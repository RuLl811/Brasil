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rdp.local\uds\group_a\lr110574\Downloads\"/>
    </mc:Choice>
  </mc:AlternateContent>
  <xr:revisionPtr revIDLastSave="0" documentId="13_ncr:1_{8F4CB179-4173-4957-8732-C0F0B5012B42}" xr6:coauthVersionLast="47" xr6:coauthVersionMax="47" xr10:uidLastSave="{00000000-0000-0000-0000-000000000000}"/>
  <bookViews>
    <workbookView xWindow="-120" yWindow="-120" windowWidth="29040" windowHeight="15720" xr2:uid="{1A8D679E-7E76-4CA8-8302-86E2A765E35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75" i="1" l="1"/>
  <c r="AB275" i="1"/>
  <c r="Y275" i="1"/>
  <c r="W275" i="1"/>
  <c r="X275" i="1"/>
  <c r="BA274" i="1"/>
  <c r="AB274" i="1"/>
  <c r="Y274" i="1"/>
  <c r="X274" i="1"/>
  <c r="V274" i="1"/>
  <c r="W274" i="1"/>
  <c r="BA273" i="1"/>
  <c r="AB273" i="1"/>
  <c r="Y273" i="1"/>
  <c r="X273" i="1"/>
  <c r="V273" i="1"/>
  <c r="W273" i="1"/>
  <c r="AD275" i="1"/>
  <c r="AC275" i="1"/>
  <c r="BA272" i="1"/>
  <c r="AB272" i="1"/>
  <c r="Z272" i="1"/>
  <c r="Y272" i="1"/>
  <c r="X272" i="1"/>
  <c r="W272" i="1"/>
  <c r="AD274" i="1"/>
  <c r="Z273" i="1"/>
  <c r="BA271" i="1"/>
  <c r="AB271" i="1"/>
  <c r="Z271" i="1"/>
  <c r="Y271" i="1"/>
  <c r="W271" i="1"/>
  <c r="X271" i="1"/>
  <c r="BA270" i="1"/>
  <c r="AD270" i="1"/>
  <c r="AB270" i="1"/>
  <c r="Z270" i="1"/>
  <c r="Y270" i="1"/>
  <c r="X270" i="1"/>
  <c r="W270" i="1"/>
  <c r="V272" i="1"/>
  <c r="BA269" i="1"/>
  <c r="AD269" i="1"/>
  <c r="AB269" i="1"/>
  <c r="Z269" i="1"/>
  <c r="Y269" i="1"/>
  <c r="X269" i="1"/>
  <c r="W269" i="1"/>
  <c r="AC271" i="1"/>
  <c r="V270" i="1"/>
  <c r="BA268" i="1"/>
  <c r="AB268" i="1"/>
  <c r="Z268" i="1"/>
  <c r="Y268" i="1"/>
  <c r="X268" i="1"/>
  <c r="W268" i="1"/>
  <c r="BA267" i="1"/>
  <c r="AB267" i="1"/>
  <c r="Z267" i="1"/>
  <c r="Y267" i="1"/>
  <c r="W267" i="1"/>
  <c r="X267" i="1"/>
  <c r="AD268" i="1"/>
  <c r="BA266" i="1"/>
  <c r="AD266" i="1"/>
  <c r="AB266" i="1"/>
  <c r="Z266" i="1"/>
  <c r="Y266" i="1"/>
  <c r="X266" i="1"/>
  <c r="W266" i="1"/>
  <c r="BA265" i="1"/>
  <c r="AB265" i="1"/>
  <c r="Z265" i="1"/>
  <c r="Y265" i="1"/>
  <c r="X265" i="1"/>
  <c r="W265" i="1"/>
  <c r="AC267" i="1"/>
  <c r="V265" i="1"/>
  <c r="BA264" i="1"/>
  <c r="AD264" i="1"/>
  <c r="AB264" i="1"/>
  <c r="Z264" i="1"/>
  <c r="Y264" i="1"/>
  <c r="X264" i="1"/>
  <c r="W264" i="1"/>
  <c r="BA263" i="1"/>
  <c r="AB263" i="1"/>
  <c r="Z263" i="1"/>
  <c r="Y263" i="1"/>
  <c r="W263" i="1"/>
  <c r="X263" i="1"/>
  <c r="AD263" i="1"/>
  <c r="BA262" i="1"/>
  <c r="AD262" i="1"/>
  <c r="AB262" i="1"/>
  <c r="Z262" i="1"/>
  <c r="Y262" i="1"/>
  <c r="X262" i="1"/>
  <c r="W262" i="1"/>
  <c r="V264" i="1"/>
  <c r="BA261" i="1"/>
  <c r="AD261" i="1"/>
  <c r="AB261" i="1"/>
  <c r="Z261" i="1"/>
  <c r="Y261" i="1"/>
  <c r="X261" i="1"/>
  <c r="W261" i="1"/>
  <c r="AC263" i="1"/>
  <c r="BA260" i="1"/>
  <c r="AD260" i="1"/>
  <c r="AB260" i="1"/>
  <c r="Z260" i="1"/>
  <c r="Y260" i="1"/>
  <c r="X260" i="1"/>
  <c r="W260" i="1"/>
  <c r="BA259" i="1"/>
  <c r="AD259" i="1"/>
  <c r="AB259" i="1"/>
  <c r="Z259" i="1"/>
  <c r="Y259" i="1"/>
  <c r="W259" i="1"/>
  <c r="X259" i="1"/>
  <c r="BA258" i="1"/>
  <c r="AD258" i="1"/>
  <c r="AB258" i="1"/>
  <c r="Z258" i="1"/>
  <c r="Y258" i="1"/>
  <c r="X258" i="1"/>
  <c r="W258" i="1"/>
  <c r="AC260" i="1"/>
  <c r="V260" i="1"/>
  <c r="BA257" i="1"/>
  <c r="AB257" i="1"/>
  <c r="Z257" i="1"/>
  <c r="Y257" i="1"/>
  <c r="X257" i="1"/>
  <c r="W257" i="1"/>
  <c r="AC259" i="1"/>
  <c r="BA256" i="1"/>
  <c r="AB256" i="1"/>
  <c r="Z256" i="1"/>
  <c r="Y256" i="1"/>
  <c r="X256" i="1"/>
  <c r="W256" i="1"/>
  <c r="V256" i="1"/>
  <c r="BA255" i="1"/>
  <c r="AB255" i="1"/>
  <c r="Z255" i="1"/>
  <c r="Y255" i="1"/>
  <c r="W255" i="1"/>
  <c r="V255" i="1"/>
  <c r="X255" i="1"/>
  <c r="AD257" i="1"/>
  <c r="BA254" i="1"/>
  <c r="AD254" i="1"/>
  <c r="AB254" i="1"/>
  <c r="Z254" i="1"/>
  <c r="Y254" i="1"/>
  <c r="X254" i="1"/>
  <c r="V254" i="1"/>
  <c r="W254" i="1"/>
  <c r="BA253" i="1"/>
  <c r="AD253" i="1"/>
  <c r="AB253" i="1"/>
  <c r="Z253" i="1"/>
  <c r="Y253" i="1"/>
  <c r="X253" i="1"/>
  <c r="V253" i="1"/>
  <c r="W253" i="1"/>
  <c r="AC255" i="1"/>
  <c r="BA252" i="1"/>
  <c r="AD252" i="1"/>
  <c r="AB252" i="1"/>
  <c r="Z252" i="1"/>
  <c r="Y252" i="1"/>
  <c r="X252" i="1"/>
  <c r="W252" i="1"/>
  <c r="V252" i="1"/>
  <c r="BA251" i="1"/>
  <c r="AB251" i="1"/>
  <c r="Z251" i="1"/>
  <c r="Y251" i="1"/>
  <c r="W251" i="1"/>
  <c r="X251" i="1"/>
  <c r="BA250" i="1"/>
  <c r="AD250" i="1"/>
  <c r="AB250" i="1"/>
  <c r="Z250" i="1"/>
  <c r="Y250" i="1"/>
  <c r="X250" i="1"/>
  <c r="V250" i="1"/>
  <c r="W250" i="1"/>
  <c r="AD251" i="1"/>
  <c r="BA249" i="1"/>
  <c r="AB249" i="1"/>
  <c r="Z249" i="1"/>
  <c r="Y249" i="1"/>
  <c r="X249" i="1"/>
  <c r="W249" i="1"/>
  <c r="AC251" i="1"/>
  <c r="V249" i="1"/>
  <c r="BA248" i="1"/>
  <c r="AB248" i="1"/>
  <c r="Z248" i="1"/>
  <c r="Y248" i="1"/>
  <c r="X248" i="1"/>
  <c r="W248" i="1"/>
  <c r="BA247" i="1"/>
  <c r="AD247" i="1"/>
  <c r="AB247" i="1"/>
  <c r="Z247" i="1"/>
  <c r="Y247" i="1"/>
  <c r="W247" i="1"/>
  <c r="X247" i="1"/>
  <c r="AD249" i="1"/>
  <c r="BA246" i="1"/>
  <c r="AB246" i="1"/>
  <c r="Z246" i="1"/>
  <c r="Y246" i="1"/>
  <c r="X246" i="1"/>
  <c r="W246" i="1"/>
  <c r="V248" i="1"/>
  <c r="BA245" i="1"/>
  <c r="AB245" i="1"/>
  <c r="Z245" i="1"/>
  <c r="Y245" i="1"/>
  <c r="X245" i="1"/>
  <c r="W245" i="1"/>
  <c r="AC247" i="1"/>
  <c r="V245" i="1"/>
  <c r="BA244" i="1"/>
  <c r="AC244" i="1"/>
  <c r="AB244" i="1"/>
  <c r="Z244" i="1"/>
  <c r="Y244" i="1"/>
  <c r="X244" i="1"/>
  <c r="W244" i="1"/>
  <c r="V244" i="1"/>
  <c r="BA243" i="1"/>
  <c r="AB243" i="1"/>
  <c r="Z243" i="1"/>
  <c r="Y243" i="1"/>
  <c r="W243" i="1"/>
  <c r="V243" i="1"/>
  <c r="X243" i="1"/>
  <c r="BA242" i="1"/>
  <c r="AD242" i="1"/>
  <c r="AB242" i="1"/>
  <c r="Z242" i="1"/>
  <c r="Y242" i="1"/>
  <c r="V242" i="1"/>
  <c r="W242" i="1"/>
  <c r="BA241" i="1"/>
  <c r="AB241" i="1"/>
  <c r="Y241" i="1"/>
  <c r="X241" i="1"/>
  <c r="V241" i="1"/>
  <c r="W241" i="1"/>
  <c r="AC243" i="1"/>
  <c r="BA240" i="1"/>
  <c r="AD240" i="1"/>
  <c r="AB240" i="1"/>
  <c r="Y240" i="1"/>
  <c r="X240" i="1"/>
  <c r="W240" i="1"/>
  <c r="BA239" i="1"/>
  <c r="AB239" i="1"/>
  <c r="Y239" i="1"/>
  <c r="W239" i="1"/>
  <c r="X239" i="1"/>
  <c r="AD241" i="1"/>
  <c r="BA238" i="1"/>
  <c r="AD238" i="1"/>
  <c r="AB238" i="1"/>
  <c r="Y238" i="1"/>
  <c r="AD239" i="1"/>
  <c r="V240" i="1"/>
  <c r="BA237" i="1"/>
  <c r="AB237" i="1"/>
  <c r="Y237" i="1"/>
  <c r="X237" i="1"/>
  <c r="V237" i="1"/>
  <c r="W237" i="1"/>
  <c r="AC239" i="1"/>
  <c r="V239" i="1"/>
  <c r="BA236" i="1"/>
  <c r="AB236" i="1"/>
  <c r="Z236" i="1"/>
  <c r="Y236" i="1"/>
  <c r="X236" i="1"/>
  <c r="W236" i="1"/>
  <c r="V236" i="1"/>
  <c r="AC237" i="1"/>
  <c r="Z238" i="1"/>
  <c r="BA235" i="1"/>
  <c r="AB235" i="1"/>
  <c r="Y235" i="1"/>
  <c r="W235" i="1"/>
  <c r="AD237" i="1"/>
  <c r="Z235" i="1"/>
  <c r="BA234" i="1"/>
  <c r="AB234" i="1"/>
  <c r="Y234" i="1"/>
  <c r="X234" i="1"/>
  <c r="W234" i="1"/>
  <c r="BA233" i="1"/>
  <c r="AC233" i="1"/>
  <c r="AB233" i="1"/>
  <c r="Z233" i="1"/>
  <c r="Y233" i="1"/>
  <c r="X233" i="1"/>
  <c r="V233" i="1"/>
  <c r="W233" i="1"/>
  <c r="AC235" i="1"/>
  <c r="V234" i="1"/>
  <c r="BA232" i="1"/>
  <c r="AC232" i="1"/>
  <c r="AB232" i="1"/>
  <c r="Y232" i="1"/>
  <c r="X232" i="1"/>
  <c r="W232" i="1"/>
  <c r="AC234" i="1"/>
  <c r="Z234" i="1"/>
  <c r="BA231" i="1"/>
  <c r="AB231" i="1"/>
  <c r="Y231" i="1"/>
  <c r="V231" i="1"/>
  <c r="Z231" i="1"/>
  <c r="BA230" i="1"/>
  <c r="AD230" i="1"/>
  <c r="AB230" i="1"/>
  <c r="Y230" i="1"/>
  <c r="V232" i="1"/>
  <c r="BA229" i="1"/>
  <c r="AD229" i="1"/>
  <c r="AB229" i="1"/>
  <c r="Z229" i="1"/>
  <c r="Y229" i="1"/>
  <c r="X229" i="1"/>
  <c r="V229" i="1"/>
  <c r="W229" i="1"/>
  <c r="AC231" i="1"/>
  <c r="BA228" i="1"/>
  <c r="AB228" i="1"/>
  <c r="Y228" i="1"/>
  <c r="X228" i="1"/>
  <c r="W228" i="1"/>
  <c r="AC230" i="1"/>
  <c r="Z230" i="1"/>
  <c r="BA227" i="1"/>
  <c r="AB227" i="1"/>
  <c r="Y227" i="1"/>
  <c r="X227" i="1"/>
  <c r="V227" i="1"/>
  <c r="W227" i="1"/>
  <c r="Z228" i="1"/>
  <c r="BA226" i="1"/>
  <c r="AD226" i="1"/>
  <c r="AB226" i="1"/>
  <c r="Y226" i="1"/>
  <c r="X226" i="1"/>
  <c r="W226" i="1"/>
  <c r="V226" i="1"/>
  <c r="AD228" i="1"/>
  <c r="V228" i="1"/>
  <c r="BA225" i="1"/>
  <c r="AB225" i="1"/>
  <c r="Z225" i="1"/>
  <c r="Y225" i="1"/>
  <c r="X225" i="1"/>
  <c r="V225" i="1"/>
  <c r="W225" i="1"/>
  <c r="AD227" i="1"/>
  <c r="AC227" i="1"/>
  <c r="BA224" i="1"/>
  <c r="AD224" i="1"/>
  <c r="AB224" i="1"/>
  <c r="Y224" i="1"/>
  <c r="V224" i="1"/>
  <c r="W224" i="1"/>
  <c r="BA223" i="1"/>
  <c r="AC223" i="1"/>
  <c r="AB223" i="1"/>
  <c r="Y223" i="1"/>
  <c r="BA222" i="1"/>
  <c r="AD222" i="1"/>
  <c r="AB222" i="1"/>
  <c r="Z222" i="1"/>
  <c r="Y222" i="1"/>
  <c r="X222" i="1"/>
  <c r="Z224" i="1"/>
  <c r="BA221" i="1"/>
  <c r="AC221" i="1"/>
  <c r="AB221" i="1"/>
  <c r="Z221" i="1"/>
  <c r="Y221" i="1"/>
  <c r="X221" i="1"/>
  <c r="Z223" i="1"/>
  <c r="BA220" i="1"/>
  <c r="AC220" i="1"/>
  <c r="AB220" i="1"/>
  <c r="Y220" i="1"/>
  <c r="W220" i="1"/>
  <c r="AC222" i="1"/>
  <c r="BA219" i="1"/>
  <c r="AD219" i="1"/>
  <c r="AC219" i="1"/>
  <c r="AB219" i="1"/>
  <c r="Z219" i="1"/>
  <c r="Y219" i="1"/>
  <c r="X219" i="1"/>
  <c r="W219" i="1"/>
  <c r="V219" i="1"/>
  <c r="AD221" i="1"/>
  <c r="BA218" i="1"/>
  <c r="AC218" i="1"/>
  <c r="AB218" i="1"/>
  <c r="Y218" i="1"/>
  <c r="X218" i="1"/>
  <c r="W218" i="1"/>
  <c r="V218" i="1"/>
  <c r="BA217" i="1"/>
  <c r="AC217" i="1"/>
  <c r="AB217" i="1"/>
  <c r="Y217" i="1"/>
  <c r="X217" i="1"/>
  <c r="V217" i="1"/>
  <c r="W217" i="1"/>
  <c r="BA216" i="1"/>
  <c r="AC216" i="1"/>
  <c r="AB216" i="1"/>
  <c r="Y216" i="1"/>
  <c r="X216" i="1"/>
  <c r="BA215" i="1"/>
  <c r="AC215" i="1"/>
  <c r="AB215" i="1"/>
  <c r="Y215" i="1"/>
  <c r="W215" i="1"/>
  <c r="X215" i="1"/>
  <c r="BA214" i="1"/>
  <c r="AB214" i="1"/>
  <c r="Y214" i="1"/>
  <c r="W214" i="1"/>
  <c r="X214" i="1"/>
  <c r="V214" i="1"/>
  <c r="BA213" i="1"/>
  <c r="AB213" i="1"/>
  <c r="Y213" i="1"/>
  <c r="X213" i="1"/>
  <c r="AC214" i="1"/>
  <c r="BA212" i="1"/>
  <c r="AD212" i="1"/>
  <c r="AB212" i="1"/>
  <c r="Y212" i="1"/>
  <c r="W212" i="1"/>
  <c r="Z212" i="1"/>
  <c r="BA211" i="1"/>
  <c r="AB211" i="1"/>
  <c r="Z211" i="1"/>
  <c r="Y211" i="1"/>
  <c r="V211" i="1"/>
  <c r="X211" i="1"/>
  <c r="AD213" i="1"/>
  <c r="BA210" i="1"/>
  <c r="AC210" i="1"/>
  <c r="AB210" i="1"/>
  <c r="Z210" i="1"/>
  <c r="Y210" i="1"/>
  <c r="X210" i="1"/>
  <c r="W210" i="1"/>
  <c r="V210" i="1"/>
  <c r="BA209" i="1"/>
  <c r="AD209" i="1"/>
  <c r="AB209" i="1"/>
  <c r="Z209" i="1"/>
  <c r="Y209" i="1"/>
  <c r="X209" i="1"/>
  <c r="AD211" i="1"/>
  <c r="AC211" i="1"/>
  <c r="BA208" i="1"/>
  <c r="AB208" i="1"/>
  <c r="Y208" i="1"/>
  <c r="W208" i="1"/>
  <c r="V208" i="1"/>
  <c r="X208" i="1"/>
  <c r="AD210" i="1"/>
  <c r="BA207" i="1"/>
  <c r="AD207" i="1"/>
  <c r="AB207" i="1"/>
  <c r="Y207" i="1"/>
  <c r="X207" i="1"/>
  <c r="W207" i="1"/>
  <c r="AC207" i="1"/>
  <c r="BA206" i="1"/>
  <c r="AB206" i="1"/>
  <c r="Y206" i="1"/>
  <c r="W206" i="1"/>
  <c r="Z208" i="1"/>
  <c r="V207" i="1"/>
  <c r="BA205" i="1"/>
  <c r="AD205" i="1"/>
  <c r="AB205" i="1"/>
  <c r="Y205" i="1"/>
  <c r="X205" i="1"/>
  <c r="Z207" i="1"/>
  <c r="BA204" i="1"/>
  <c r="AB204" i="1"/>
  <c r="Y204" i="1"/>
  <c r="X204" i="1"/>
  <c r="W204" i="1"/>
  <c r="V204" i="1"/>
  <c r="AD206" i="1"/>
  <c r="Z205" i="1"/>
  <c r="BA203" i="1"/>
  <c r="AC203" i="1"/>
  <c r="AB203" i="1"/>
  <c r="Z203" i="1"/>
  <c r="Y203" i="1"/>
  <c r="V203" i="1"/>
  <c r="W203" i="1"/>
  <c r="BA202" i="1"/>
  <c r="AC202" i="1"/>
  <c r="AB202" i="1"/>
  <c r="Z202" i="1"/>
  <c r="Y202" i="1"/>
  <c r="X202" i="1"/>
  <c r="V202" i="1"/>
  <c r="W202" i="1"/>
  <c r="AD204" i="1"/>
  <c r="BA201" i="1"/>
  <c r="AD201" i="1"/>
  <c r="AC201" i="1"/>
  <c r="AB201" i="1"/>
  <c r="Z201" i="1"/>
  <c r="Y201" i="1"/>
  <c r="X201" i="1"/>
  <c r="W201" i="1"/>
  <c r="BA200" i="1"/>
  <c r="AB200" i="1"/>
  <c r="Y200" i="1"/>
  <c r="W200" i="1"/>
  <c r="AD202" i="1"/>
  <c r="BA199" i="1"/>
  <c r="AB199" i="1"/>
  <c r="Y199" i="1"/>
  <c r="X199" i="1"/>
  <c r="Z200" i="1"/>
  <c r="V201" i="1"/>
  <c r="BA198" i="1"/>
  <c r="AD198" i="1"/>
  <c r="AB198" i="1"/>
  <c r="Y198" i="1"/>
  <c r="W198" i="1"/>
  <c r="AD200" i="1"/>
  <c r="BA197" i="1"/>
  <c r="AC197" i="1"/>
  <c r="AB197" i="1"/>
  <c r="Y197" i="1"/>
  <c r="W197" i="1"/>
  <c r="V197" i="1"/>
  <c r="X197" i="1"/>
  <c r="Z199" i="1"/>
  <c r="BA196" i="1"/>
  <c r="AD196" i="1"/>
  <c r="AC196" i="1"/>
  <c r="AB196" i="1"/>
  <c r="Z196" i="1"/>
  <c r="Y196" i="1"/>
  <c r="X196" i="1"/>
  <c r="V196" i="1"/>
  <c r="W196" i="1"/>
  <c r="BA195" i="1"/>
  <c r="AB195" i="1"/>
  <c r="Y195" i="1"/>
  <c r="V195" i="1"/>
  <c r="AD197" i="1"/>
  <c r="BA194" i="1"/>
  <c r="AB194" i="1"/>
  <c r="Z194" i="1"/>
  <c r="Y194" i="1"/>
  <c r="X194" i="1"/>
  <c r="W194" i="1"/>
  <c r="BA193" i="1"/>
  <c r="AB193" i="1"/>
  <c r="Z193" i="1"/>
  <c r="Y193" i="1"/>
  <c r="W193" i="1"/>
  <c r="AC195" i="1"/>
  <c r="Z195" i="1"/>
  <c r="BA192" i="1"/>
  <c r="AB192" i="1"/>
  <c r="Y192" i="1"/>
  <c r="W192" i="1"/>
  <c r="AD192" i="1"/>
  <c r="V194" i="1"/>
  <c r="BA191" i="1"/>
  <c r="AC191" i="1"/>
  <c r="AB191" i="1"/>
  <c r="Y191" i="1"/>
  <c r="BA190" i="1"/>
  <c r="AC190" i="1"/>
  <c r="AB190" i="1"/>
  <c r="Z190" i="1"/>
  <c r="Y190" i="1"/>
  <c r="W190" i="1"/>
  <c r="X190" i="1"/>
  <c r="Z192" i="1"/>
  <c r="BA189" i="1"/>
  <c r="AD189" i="1"/>
  <c r="AC189" i="1"/>
  <c r="AB189" i="1"/>
  <c r="Z189" i="1"/>
  <c r="Y189" i="1"/>
  <c r="W189" i="1"/>
  <c r="X189" i="1"/>
  <c r="AD191" i="1"/>
  <c r="Z191" i="1"/>
  <c r="BA188" i="1"/>
  <c r="AC188" i="1"/>
  <c r="AB188" i="1"/>
  <c r="Y188" i="1"/>
  <c r="W188" i="1"/>
  <c r="V188" i="1"/>
  <c r="X188" i="1"/>
  <c r="AD190" i="1"/>
  <c r="BA187" i="1"/>
  <c r="AD187" i="1"/>
  <c r="AB187" i="1"/>
  <c r="Z187" i="1"/>
  <c r="Y187" i="1"/>
  <c r="X187" i="1"/>
  <c r="W187" i="1"/>
  <c r="V187" i="1"/>
  <c r="BA186" i="1"/>
  <c r="AB186" i="1"/>
  <c r="Z186" i="1"/>
  <c r="Y186" i="1"/>
  <c r="V186" i="1"/>
  <c r="X186" i="1"/>
  <c r="Z188" i="1"/>
  <c r="BA185" i="1"/>
  <c r="AD185" i="1"/>
  <c r="AB185" i="1"/>
  <c r="Z185" i="1"/>
  <c r="Y185" i="1"/>
  <c r="W185" i="1"/>
  <c r="X185" i="1"/>
  <c r="AC187" i="1"/>
  <c r="BA184" i="1"/>
  <c r="AB184" i="1"/>
  <c r="Z184" i="1"/>
  <c r="Y184" i="1"/>
  <c r="AD186" i="1"/>
  <c r="BA183" i="1"/>
  <c r="AD183" i="1"/>
  <c r="AC183" i="1"/>
  <c r="AB183" i="1"/>
  <c r="Z183" i="1"/>
  <c r="Y183" i="1"/>
  <c r="X183" i="1"/>
  <c r="V183" i="1"/>
  <c r="W183" i="1"/>
  <c r="BA182" i="1"/>
  <c r="AB182" i="1"/>
  <c r="Z182" i="1"/>
  <c r="Y182" i="1"/>
  <c r="AC184" i="1"/>
  <c r="BA181" i="1"/>
  <c r="AC181" i="1"/>
  <c r="AB181" i="1"/>
  <c r="Z181" i="1"/>
  <c r="Y181" i="1"/>
  <c r="W181" i="1"/>
  <c r="BA180" i="1"/>
  <c r="AB180" i="1"/>
  <c r="Y180" i="1"/>
  <c r="W180" i="1"/>
  <c r="V180" i="1"/>
  <c r="X180" i="1"/>
  <c r="AC182" i="1"/>
  <c r="BA179" i="1"/>
  <c r="AD179" i="1"/>
  <c r="AB179" i="1"/>
  <c r="Z179" i="1"/>
  <c r="Y179" i="1"/>
  <c r="X179" i="1"/>
  <c r="W179" i="1"/>
  <c r="V179" i="1"/>
  <c r="BA178" i="1"/>
  <c r="AB178" i="1"/>
  <c r="Z178" i="1"/>
  <c r="Y178" i="1"/>
  <c r="W178" i="1"/>
  <c r="X178" i="1"/>
  <c r="AC180" i="1"/>
  <c r="Z180" i="1"/>
  <c r="BA177" i="1"/>
  <c r="AD177" i="1"/>
  <c r="AB177" i="1"/>
  <c r="Z177" i="1"/>
  <c r="Y177" i="1"/>
  <c r="W177" i="1"/>
  <c r="V177" i="1"/>
  <c r="X177" i="1"/>
  <c r="BA176" i="1"/>
  <c r="AD176" i="1"/>
  <c r="AB176" i="1"/>
  <c r="Z176" i="1"/>
  <c r="Y176" i="1"/>
  <c r="AD178" i="1"/>
  <c r="BA175" i="1"/>
  <c r="AC175" i="1"/>
  <c r="AB175" i="1"/>
  <c r="Y175" i="1"/>
  <c r="W175" i="1"/>
  <c r="BA174" i="1"/>
  <c r="AB174" i="1"/>
  <c r="Y174" i="1"/>
  <c r="AC176" i="1"/>
  <c r="V176" i="1"/>
  <c r="BA173" i="1"/>
  <c r="AD173" i="1"/>
  <c r="AB173" i="1"/>
  <c r="V173" i="1"/>
  <c r="Z175" i="1"/>
  <c r="BA172" i="1"/>
  <c r="AB172" i="1"/>
  <c r="Z172" i="1"/>
  <c r="X172" i="1"/>
  <c r="BA171" i="1"/>
  <c r="AB171" i="1"/>
  <c r="X171" i="1"/>
  <c r="W171" i="1"/>
  <c r="BA170" i="1"/>
  <c r="AB170" i="1"/>
  <c r="Y170" i="1"/>
  <c r="X170" i="1"/>
  <c r="W170" i="1"/>
  <c r="V171" i="1"/>
  <c r="BA169" i="1"/>
  <c r="AD169" i="1"/>
  <c r="AB169" i="1"/>
  <c r="Y169" i="1"/>
  <c r="W169" i="1"/>
  <c r="V169" i="1"/>
  <c r="X169" i="1"/>
  <c r="AC171" i="1"/>
  <c r="BA168" i="1"/>
  <c r="AB168" i="1"/>
  <c r="Y168" i="1"/>
  <c r="V170" i="1"/>
  <c r="BA167" i="1"/>
  <c r="AB167" i="1"/>
  <c r="Z167" i="1"/>
  <c r="Y167" i="1"/>
  <c r="X167" i="1"/>
  <c r="W167" i="1"/>
  <c r="BA166" i="1"/>
  <c r="AD166" i="1"/>
  <c r="AC166" i="1"/>
  <c r="AB166" i="1"/>
  <c r="Y166" i="1"/>
  <c r="X166" i="1"/>
  <c r="W166" i="1"/>
  <c r="AD168" i="1"/>
  <c r="Z168" i="1"/>
  <c r="BA165" i="1"/>
  <c r="AB165" i="1"/>
  <c r="Z165" i="1"/>
  <c r="Y165" i="1"/>
  <c r="V165" i="1"/>
  <c r="AD167" i="1"/>
  <c r="AC167" i="1"/>
  <c r="Z166" i="1"/>
  <c r="V167" i="1"/>
  <c r="BA164" i="1"/>
  <c r="AB164" i="1"/>
  <c r="Z164" i="1"/>
  <c r="Y164" i="1"/>
  <c r="AD165" i="1"/>
  <c r="V166" i="1"/>
  <c r="BA163" i="1"/>
  <c r="AD163" i="1"/>
  <c r="AB163" i="1"/>
  <c r="Z163" i="1"/>
  <c r="Y163" i="1"/>
  <c r="X163" i="1"/>
  <c r="W163" i="1"/>
  <c r="AC165" i="1"/>
  <c r="V163" i="1"/>
  <c r="BA162" i="1"/>
  <c r="AC162" i="1"/>
  <c r="AB162" i="1"/>
  <c r="Z162" i="1"/>
  <c r="Y162" i="1"/>
  <c r="X162" i="1"/>
  <c r="W162" i="1"/>
  <c r="BA161" i="1"/>
  <c r="AD161" i="1"/>
  <c r="AB161" i="1"/>
  <c r="Z161" i="1"/>
  <c r="Y161" i="1"/>
  <c r="X161" i="1"/>
  <c r="W161" i="1"/>
  <c r="AC163" i="1"/>
  <c r="BA160" i="1"/>
  <c r="AB160" i="1"/>
  <c r="Y160" i="1"/>
  <c r="W160" i="1"/>
  <c r="BA159" i="1"/>
  <c r="AB159" i="1"/>
  <c r="Y159" i="1"/>
  <c r="X159" i="1"/>
  <c r="W159" i="1"/>
  <c r="V159" i="1"/>
  <c r="AC161" i="1"/>
  <c r="BA158" i="1"/>
  <c r="AB158" i="1"/>
  <c r="Y158" i="1"/>
  <c r="X158" i="1"/>
  <c r="W158" i="1"/>
  <c r="AD160" i="1"/>
  <c r="Z160" i="1"/>
  <c r="BA157" i="1"/>
  <c r="AB157" i="1"/>
  <c r="Y157" i="1"/>
  <c r="AJ157" i="1" s="1"/>
  <c r="AC159" i="1"/>
  <c r="BA156" i="1"/>
  <c r="AB156" i="1"/>
  <c r="Y156" i="1"/>
  <c r="W156" i="1"/>
  <c r="V156" i="1"/>
  <c r="X156" i="1"/>
  <c r="AC158" i="1"/>
  <c r="V158" i="1"/>
  <c r="BA155" i="1"/>
  <c r="AB155" i="1"/>
  <c r="Y155" i="1"/>
  <c r="AJ155" i="1" s="1"/>
  <c r="X155" i="1"/>
  <c r="W155" i="1"/>
  <c r="AD157" i="1"/>
  <c r="BA154" i="1"/>
  <c r="AJ154" i="1"/>
  <c r="AC154" i="1"/>
  <c r="AB154" i="1"/>
  <c r="Y154" i="1"/>
  <c r="X154" i="1"/>
  <c r="W154" i="1"/>
  <c r="Z156" i="1"/>
  <c r="BA153" i="1"/>
  <c r="AB153" i="1"/>
  <c r="Y153" i="1"/>
  <c r="AJ158" i="1" s="1"/>
  <c r="W153" i="1"/>
  <c r="V153" i="1"/>
  <c r="X153" i="1"/>
  <c r="Z155" i="1"/>
  <c r="V155" i="1"/>
  <c r="BA152" i="1"/>
  <c r="AJ152" i="1"/>
  <c r="AB152" i="1"/>
  <c r="W152" i="1"/>
  <c r="AD154" i="1"/>
  <c r="V152" i="1"/>
  <c r="BA151" i="1"/>
  <c r="AJ151" i="1"/>
  <c r="AC151" i="1"/>
  <c r="AB151" i="1"/>
  <c r="AD153" i="1"/>
  <c r="BA150" i="1"/>
  <c r="AJ150" i="1"/>
  <c r="AB150" i="1"/>
  <c r="W150" i="1"/>
  <c r="AD152" i="1"/>
  <c r="AC152" i="1"/>
  <c r="BA149" i="1"/>
  <c r="AJ149" i="1"/>
  <c r="AB149" i="1"/>
  <c r="X149" i="1"/>
  <c r="W149" i="1"/>
  <c r="Z151" i="1"/>
  <c r="BA148" i="1"/>
  <c r="AJ148" i="1"/>
  <c r="AB148" i="1"/>
  <c r="AC150" i="1"/>
  <c r="Z150" i="1"/>
  <c r="V149" i="1"/>
  <c r="BA147" i="1"/>
  <c r="AJ147" i="1"/>
  <c r="AB147" i="1"/>
  <c r="AD149" i="1"/>
  <c r="AC149" i="1"/>
  <c r="BA146" i="1"/>
  <c r="AJ146" i="1"/>
  <c r="AB146" i="1"/>
  <c r="W146" i="1"/>
  <c r="AD147" i="1"/>
  <c r="Z148" i="1"/>
  <c r="BA145" i="1"/>
  <c r="AJ145" i="1"/>
  <c r="AB145" i="1"/>
  <c r="X145" i="1"/>
  <c r="W145" i="1"/>
  <c r="AC147" i="1"/>
  <c r="BA144" i="1"/>
  <c r="AJ144" i="1"/>
  <c r="AB144" i="1"/>
  <c r="Z144" i="1"/>
  <c r="W144" i="1"/>
  <c r="X144" i="1"/>
  <c r="AD145" i="1"/>
  <c r="V145" i="1"/>
  <c r="BA143" i="1"/>
  <c r="AJ143" i="1"/>
  <c r="AC143" i="1"/>
  <c r="AB143" i="1"/>
  <c r="X143" i="1"/>
  <c r="Z145" i="1"/>
  <c r="BA142" i="1"/>
  <c r="AJ142" i="1"/>
  <c r="AB142" i="1"/>
  <c r="W142" i="1"/>
  <c r="X142" i="1"/>
  <c r="AD144" i="1"/>
  <c r="AC144" i="1"/>
  <c r="BA141" i="1"/>
  <c r="AJ141" i="1"/>
  <c r="AB141" i="1"/>
  <c r="X141" i="1"/>
  <c r="W141" i="1"/>
  <c r="Z143" i="1"/>
  <c r="BA140" i="1"/>
  <c r="AJ140" i="1"/>
  <c r="AB140" i="1"/>
  <c r="X140" i="1"/>
  <c r="AD142" i="1"/>
  <c r="AC142" i="1"/>
  <c r="Z142" i="1"/>
  <c r="BA139" i="1"/>
  <c r="AJ139" i="1"/>
  <c r="AB139" i="1"/>
  <c r="X139" i="1"/>
  <c r="W139" i="1"/>
  <c r="AD141" i="1"/>
  <c r="AC141" i="1"/>
  <c r="Z141" i="1"/>
  <c r="BA138" i="1"/>
  <c r="AJ138" i="1"/>
  <c r="AB138" i="1"/>
  <c r="AC140" i="1"/>
  <c r="Z140" i="1"/>
  <c r="V139" i="1"/>
  <c r="BA137" i="1"/>
  <c r="AJ137" i="1"/>
  <c r="AB137" i="1"/>
  <c r="Z137" i="1"/>
  <c r="W137" i="1"/>
  <c r="AD139" i="1"/>
  <c r="BA136" i="1"/>
  <c r="AJ136" i="1"/>
  <c r="AB136" i="1"/>
  <c r="X136" i="1"/>
  <c r="V136" i="1"/>
  <c r="W136" i="1"/>
  <c r="AD138" i="1"/>
  <c r="Z138" i="1"/>
  <c r="BA135" i="1"/>
  <c r="AJ135" i="1"/>
  <c r="AB135" i="1"/>
  <c r="X135" i="1"/>
  <c r="W135" i="1"/>
  <c r="AD137" i="1"/>
  <c r="BA134" i="1"/>
  <c r="AJ134" i="1"/>
  <c r="AC134" i="1"/>
  <c r="AB134" i="1"/>
  <c r="W134" i="1"/>
  <c r="X134" i="1"/>
  <c r="AC136" i="1"/>
  <c r="Z136" i="1"/>
  <c r="BA133" i="1"/>
  <c r="AJ133" i="1"/>
  <c r="AB133" i="1"/>
  <c r="AD135" i="1"/>
  <c r="Z135" i="1"/>
  <c r="V135" i="1"/>
  <c r="BA132" i="1"/>
  <c r="AJ132" i="1"/>
  <c r="AD132" i="1"/>
  <c r="AB132" i="1"/>
  <c r="AD134" i="1"/>
  <c r="AC132" i="1"/>
  <c r="BA131" i="1"/>
  <c r="AJ131" i="1"/>
  <c r="AC131" i="1"/>
  <c r="AB131" i="1"/>
  <c r="X131" i="1"/>
  <c r="W131" i="1"/>
  <c r="AD133" i="1"/>
  <c r="AC133" i="1"/>
  <c r="BA130" i="1"/>
  <c r="AJ130" i="1"/>
  <c r="AD130" i="1"/>
  <c r="AC130" i="1"/>
  <c r="AB130" i="1"/>
  <c r="X130" i="1"/>
  <c r="W130" i="1"/>
  <c r="BA129" i="1"/>
  <c r="AJ129" i="1"/>
  <c r="AC129" i="1"/>
  <c r="AB129" i="1"/>
  <c r="X129" i="1"/>
  <c r="W129" i="1"/>
  <c r="Z131" i="1"/>
  <c r="BA128" i="1"/>
  <c r="AJ128" i="1"/>
  <c r="AC128" i="1"/>
  <c r="AB128" i="1"/>
  <c r="BA127" i="1"/>
  <c r="AJ127" i="1"/>
  <c r="AD127" i="1"/>
  <c r="AB127" i="1"/>
  <c r="W127" i="1"/>
  <c r="X127" i="1"/>
  <c r="AD129" i="1"/>
  <c r="Z129" i="1"/>
  <c r="V127" i="1"/>
  <c r="BA126" i="1"/>
  <c r="AJ126" i="1"/>
  <c r="AD126" i="1"/>
  <c r="AB126" i="1"/>
  <c r="Z126" i="1"/>
  <c r="X126" i="1"/>
  <c r="W126" i="1"/>
  <c r="BA125" i="1"/>
  <c r="AJ125" i="1"/>
  <c r="AD125" i="1"/>
  <c r="AC125" i="1"/>
  <c r="AB125" i="1"/>
  <c r="Z125" i="1"/>
  <c r="X125" i="1"/>
  <c r="W125" i="1"/>
  <c r="AC127" i="1"/>
  <c r="BA124" i="1"/>
  <c r="AJ124" i="1"/>
  <c r="AD124" i="1"/>
  <c r="AB124" i="1"/>
  <c r="X124" i="1"/>
  <c r="W124" i="1"/>
  <c r="V126" i="1"/>
  <c r="BA123" i="1"/>
  <c r="AJ123" i="1"/>
  <c r="AD123" i="1"/>
  <c r="AC123" i="1"/>
  <c r="AB123" i="1"/>
  <c r="Z123" i="1"/>
  <c r="X123" i="1"/>
  <c r="W123" i="1"/>
  <c r="V125" i="1"/>
  <c r="BA122" i="1"/>
  <c r="AJ122" i="1"/>
  <c r="AD122" i="1"/>
  <c r="AB122" i="1"/>
  <c r="W122" i="1"/>
  <c r="X122" i="1"/>
  <c r="AC124" i="1"/>
  <c r="Z124" i="1"/>
  <c r="BA121" i="1"/>
  <c r="AJ121" i="1"/>
  <c r="AD121" i="1"/>
  <c r="AB121" i="1"/>
  <c r="X121" i="1"/>
  <c r="W121" i="1"/>
  <c r="AC122" i="1"/>
  <c r="Z122" i="1"/>
  <c r="V123" i="1"/>
  <c r="BA120" i="1"/>
  <c r="AJ120" i="1"/>
  <c r="AB120" i="1"/>
  <c r="W120" i="1"/>
  <c r="BA119" i="1"/>
  <c r="AJ119" i="1"/>
  <c r="AC119" i="1"/>
  <c r="AB119" i="1"/>
  <c r="X119" i="1"/>
  <c r="W119" i="1"/>
  <c r="AC121" i="1"/>
  <c r="Z121" i="1"/>
  <c r="BA118" i="1"/>
  <c r="AJ118" i="1"/>
  <c r="AC118" i="1"/>
  <c r="AB118" i="1"/>
  <c r="X118" i="1"/>
  <c r="W118" i="1"/>
  <c r="AD120" i="1"/>
  <c r="Z120" i="1"/>
  <c r="BA117" i="1"/>
  <c r="AJ117" i="1"/>
  <c r="AD117" i="1"/>
  <c r="AB117" i="1"/>
  <c r="Z119" i="1"/>
  <c r="V119" i="1"/>
  <c r="BA116" i="1"/>
  <c r="AJ116" i="1"/>
  <c r="AB116" i="1"/>
  <c r="W116" i="1"/>
  <c r="X116" i="1"/>
  <c r="Z118" i="1"/>
  <c r="BA115" i="1"/>
  <c r="AJ115" i="1"/>
  <c r="AB115" i="1"/>
  <c r="AC117" i="1"/>
  <c r="BA114" i="1"/>
  <c r="AJ114" i="1"/>
  <c r="AB114" i="1"/>
  <c r="X114" i="1"/>
  <c r="W114" i="1"/>
  <c r="AD116" i="1"/>
  <c r="AC114" i="1"/>
  <c r="BA113" i="1"/>
  <c r="AJ113" i="1"/>
  <c r="AC113" i="1"/>
  <c r="AB113" i="1"/>
  <c r="W113" i="1"/>
  <c r="X113" i="1"/>
  <c r="Z115" i="1"/>
  <c r="V115" i="1"/>
  <c r="BA112" i="1"/>
  <c r="AJ112" i="1"/>
  <c r="AC112" i="1"/>
  <c r="AB112" i="1"/>
  <c r="X112" i="1"/>
  <c r="W112" i="1"/>
  <c r="Z114" i="1"/>
  <c r="V114" i="1"/>
  <c r="BA111" i="1"/>
  <c r="AJ111" i="1"/>
  <c r="AB111" i="1"/>
  <c r="AD113" i="1"/>
  <c r="Z113" i="1"/>
  <c r="BA110" i="1"/>
  <c r="AJ110" i="1"/>
  <c r="AB110" i="1"/>
  <c r="W110" i="1"/>
  <c r="V110" i="1"/>
  <c r="Z112" i="1"/>
  <c r="BA109" i="1"/>
  <c r="AJ109" i="1"/>
  <c r="AB109" i="1"/>
  <c r="X109" i="1"/>
  <c r="AC111" i="1"/>
  <c r="BA108" i="1"/>
  <c r="AJ108" i="1"/>
  <c r="AB108" i="1"/>
  <c r="Z108" i="1"/>
  <c r="AD110" i="1"/>
  <c r="BA107" i="1"/>
  <c r="AJ107" i="1"/>
  <c r="AB107" i="1"/>
  <c r="X107" i="1"/>
  <c r="W107" i="1"/>
  <c r="AC109" i="1"/>
  <c r="BA106" i="1"/>
  <c r="AJ106" i="1"/>
  <c r="AB106" i="1"/>
  <c r="X106" i="1"/>
  <c r="W106" i="1"/>
  <c r="AD108" i="1"/>
  <c r="BA105" i="1"/>
  <c r="AJ105" i="1"/>
  <c r="AD105" i="1"/>
  <c r="AB105" i="1"/>
  <c r="W105" i="1"/>
  <c r="X105" i="1"/>
  <c r="Z107" i="1"/>
  <c r="V107" i="1"/>
  <c r="BA104" i="1"/>
  <c r="AJ104" i="1"/>
  <c r="AD104" i="1"/>
  <c r="AC104" i="1"/>
  <c r="AB104" i="1"/>
  <c r="Z104" i="1"/>
  <c r="V106" i="1"/>
  <c r="BA103" i="1"/>
  <c r="AJ103" i="1"/>
  <c r="AD103" i="1"/>
  <c r="AC103" i="1"/>
  <c r="AB103" i="1"/>
  <c r="V105" i="1"/>
  <c r="BA102" i="1"/>
  <c r="AJ102" i="1"/>
  <c r="AD102" i="1"/>
  <c r="AB102" i="1"/>
  <c r="BA101" i="1"/>
  <c r="AJ101" i="1"/>
  <c r="AB101" i="1"/>
  <c r="W101" i="1"/>
  <c r="Z103" i="1"/>
  <c r="BA100" i="1"/>
  <c r="AJ100" i="1"/>
  <c r="AB100" i="1"/>
  <c r="W100" i="1"/>
  <c r="X100" i="1"/>
  <c r="AC102" i="1"/>
  <c r="BA99" i="1"/>
  <c r="AJ99" i="1"/>
  <c r="AC99" i="1"/>
  <c r="AB99" i="1"/>
  <c r="X99" i="1"/>
  <c r="W99" i="1"/>
  <c r="AD101" i="1"/>
  <c r="V101" i="1"/>
  <c r="BA98" i="1"/>
  <c r="AJ98" i="1"/>
  <c r="AB98" i="1"/>
  <c r="Z98" i="1"/>
  <c r="AD100" i="1"/>
  <c r="AC98" i="1"/>
  <c r="BA97" i="1"/>
  <c r="AJ97" i="1"/>
  <c r="AB97" i="1"/>
  <c r="X97" i="1"/>
  <c r="Z99" i="1"/>
  <c r="V99" i="1"/>
  <c r="BA96" i="1"/>
  <c r="AJ96" i="1"/>
  <c r="AB96" i="1"/>
  <c r="X96" i="1"/>
  <c r="W96" i="1"/>
  <c r="AD98" i="1"/>
  <c r="BA95" i="1"/>
  <c r="AJ95" i="1"/>
  <c r="AB95" i="1"/>
  <c r="V95" i="1"/>
  <c r="AC97" i="1"/>
  <c r="Z97" i="1"/>
  <c r="BA94" i="1"/>
  <c r="AJ94" i="1"/>
  <c r="AB94" i="1"/>
  <c r="BA93" i="1"/>
  <c r="AJ93" i="1"/>
  <c r="AB93" i="1"/>
  <c r="AD95" i="1"/>
  <c r="BA92" i="1"/>
  <c r="AJ92" i="1"/>
  <c r="AC92" i="1"/>
  <c r="AB92" i="1"/>
  <c r="V92" i="1"/>
  <c r="Z93" i="1"/>
  <c r="BA91" i="1"/>
  <c r="AJ91" i="1"/>
  <c r="AB91" i="1"/>
  <c r="X91" i="1"/>
  <c r="W91" i="1"/>
  <c r="BA90" i="1"/>
  <c r="AJ90" i="1"/>
  <c r="AD90" i="1"/>
  <c r="AC90" i="1"/>
  <c r="AB90" i="1"/>
  <c r="W90" i="1"/>
  <c r="V90" i="1"/>
  <c r="X90" i="1"/>
  <c r="AD91" i="1"/>
  <c r="Z91" i="1"/>
  <c r="BA89" i="1"/>
  <c r="AJ89" i="1"/>
  <c r="AC89" i="1"/>
  <c r="AB89" i="1"/>
  <c r="Z89" i="1"/>
  <c r="X89" i="1"/>
  <c r="W89" i="1"/>
  <c r="AC91" i="1"/>
  <c r="BA88" i="1"/>
  <c r="AJ88" i="1"/>
  <c r="AD88" i="1"/>
  <c r="AB88" i="1"/>
  <c r="X88" i="1"/>
  <c r="W88" i="1"/>
  <c r="V88" i="1"/>
  <c r="BA87" i="1"/>
  <c r="AJ87" i="1"/>
  <c r="AB87" i="1"/>
  <c r="W87" i="1"/>
  <c r="V87" i="1"/>
  <c r="X87" i="1"/>
  <c r="AD89" i="1"/>
  <c r="BA86" i="1"/>
  <c r="AJ86" i="1"/>
  <c r="AB86" i="1"/>
  <c r="X86" i="1"/>
  <c r="W86" i="1"/>
  <c r="V86" i="1"/>
  <c r="AC88" i="1"/>
  <c r="Z88" i="1"/>
  <c r="BA85" i="1"/>
  <c r="AJ85" i="1"/>
  <c r="AB85" i="1"/>
  <c r="AD87" i="1"/>
  <c r="AC87" i="1"/>
  <c r="Z87" i="1"/>
  <c r="BA84" i="1"/>
  <c r="AJ84" i="1"/>
  <c r="AC84" i="1"/>
  <c r="AB84" i="1"/>
  <c r="AC86" i="1"/>
  <c r="Z86" i="1"/>
  <c r="BA83" i="1"/>
  <c r="AJ83" i="1"/>
  <c r="AC83" i="1"/>
  <c r="AB83" i="1"/>
  <c r="Z83" i="1"/>
  <c r="W83" i="1"/>
  <c r="X83" i="1"/>
  <c r="AD85" i="1"/>
  <c r="AC85" i="1"/>
  <c r="Z85" i="1"/>
  <c r="BA82" i="1"/>
  <c r="AJ82" i="1"/>
  <c r="AD82" i="1"/>
  <c r="AC82" i="1"/>
  <c r="AB82" i="1"/>
  <c r="W82" i="1"/>
  <c r="AD84" i="1"/>
  <c r="Z84" i="1"/>
  <c r="BA81" i="1"/>
  <c r="AJ81" i="1"/>
  <c r="AC81" i="1"/>
  <c r="AB81" i="1"/>
  <c r="Z81" i="1"/>
  <c r="W81" i="1"/>
  <c r="X81" i="1"/>
  <c r="BA80" i="1"/>
  <c r="AJ80" i="1"/>
  <c r="AB80" i="1"/>
  <c r="Z80" i="1"/>
  <c r="V81" i="1"/>
  <c r="BA79" i="1"/>
  <c r="AJ79" i="1"/>
  <c r="AB79" i="1"/>
  <c r="W79" i="1"/>
  <c r="AD81" i="1"/>
  <c r="BA78" i="1"/>
  <c r="AJ78" i="1"/>
  <c r="AB78" i="1"/>
  <c r="AM78" i="1" s="1"/>
  <c r="Z78" i="1"/>
  <c r="X78" i="1"/>
  <c r="AC80" i="1"/>
  <c r="BA77" i="1"/>
  <c r="AJ77" i="1"/>
  <c r="AB77" i="1"/>
  <c r="AM77" i="1" s="1"/>
  <c r="Z77" i="1"/>
  <c r="X77" i="1"/>
  <c r="AC79" i="1"/>
  <c r="Z79" i="1"/>
  <c r="BA76" i="1"/>
  <c r="AJ76" i="1"/>
  <c r="AC76" i="1"/>
  <c r="AB76" i="1"/>
  <c r="X76" i="1"/>
  <c r="V76" i="1"/>
  <c r="W76" i="1"/>
  <c r="V78" i="1"/>
  <c r="AB75" i="1"/>
  <c r="W75" i="1"/>
  <c r="AD76" i="1"/>
  <c r="AC77" i="1"/>
  <c r="V77" i="1"/>
  <c r="AD74" i="1"/>
  <c r="AB74" i="1"/>
  <c r="Z74" i="1"/>
  <c r="X74" i="1"/>
  <c r="Z76" i="1"/>
  <c r="AC73" i="1"/>
  <c r="AB73" i="1"/>
  <c r="X73" i="1"/>
  <c r="AC75" i="1"/>
  <c r="Z75" i="1"/>
  <c r="AB72" i="1"/>
  <c r="X72" i="1"/>
  <c r="W72" i="1"/>
  <c r="V72" i="1"/>
  <c r="V74" i="1"/>
  <c r="AB71" i="1"/>
  <c r="W71" i="1"/>
  <c r="AD73" i="1"/>
  <c r="Z73" i="1"/>
  <c r="AD70" i="1"/>
  <c r="AB70" i="1"/>
  <c r="AD69" i="1"/>
  <c r="AB69" i="1"/>
  <c r="Z69" i="1"/>
  <c r="X69" i="1"/>
  <c r="AC71" i="1"/>
  <c r="Z71" i="1"/>
  <c r="AB68" i="1"/>
  <c r="X68" i="1"/>
  <c r="Z70" i="1"/>
  <c r="AD67" i="1"/>
  <c r="AB67" i="1"/>
  <c r="AD66" i="1"/>
  <c r="AB66" i="1"/>
  <c r="Z66" i="1"/>
  <c r="AD68" i="1"/>
  <c r="AC68" i="1"/>
  <c r="AB65" i="1"/>
  <c r="X65" i="1"/>
  <c r="V65" i="1"/>
  <c r="W65" i="1"/>
  <c r="AB64" i="1"/>
  <c r="Z64" i="1"/>
  <c r="W64" i="1"/>
  <c r="Z65" i="1"/>
  <c r="AB63" i="1"/>
  <c r="X63" i="1"/>
  <c r="W63" i="1"/>
  <c r="AC65" i="1"/>
  <c r="AB62" i="1"/>
  <c r="Z62" i="1"/>
  <c r="AC64" i="1"/>
  <c r="AC61" i="1"/>
  <c r="AB61" i="1"/>
  <c r="X61" i="1"/>
  <c r="W61" i="1"/>
  <c r="AD63" i="1"/>
  <c r="Z63" i="1"/>
  <c r="V63" i="1"/>
  <c r="AB60" i="1"/>
  <c r="X60" i="1"/>
  <c r="W60" i="1"/>
  <c r="AD62" i="1"/>
  <c r="AC62" i="1"/>
  <c r="Z61" i="1"/>
  <c r="AC59" i="1"/>
  <c r="AB59" i="1"/>
  <c r="X59" i="1"/>
  <c r="V59" i="1"/>
  <c r="W59" i="1"/>
  <c r="AD61" i="1"/>
  <c r="V60" i="1"/>
  <c r="AB58" i="1"/>
  <c r="W58" i="1"/>
  <c r="AD60" i="1"/>
  <c r="AC60" i="1"/>
  <c r="Z60" i="1"/>
  <c r="AD57" i="1"/>
  <c r="AB57" i="1"/>
  <c r="X57" i="1"/>
  <c r="W57" i="1"/>
  <c r="Z59" i="1"/>
  <c r="AC56" i="1"/>
  <c r="AB56" i="1"/>
  <c r="AC58" i="1"/>
  <c r="Z58" i="1"/>
  <c r="AB55" i="1"/>
  <c r="X55" i="1"/>
  <c r="W55" i="1"/>
  <c r="Z57" i="1"/>
  <c r="V57" i="1"/>
  <c r="AB54" i="1"/>
  <c r="X54" i="1"/>
  <c r="V54" i="1"/>
  <c r="W54" i="1"/>
  <c r="AD56" i="1"/>
  <c r="Z56" i="1"/>
  <c r="V55" i="1"/>
  <c r="AB53" i="1"/>
  <c r="X53" i="1"/>
  <c r="W53" i="1"/>
  <c r="AD53" i="1"/>
  <c r="AC55" i="1"/>
  <c r="AB52" i="1"/>
  <c r="V52" i="1"/>
  <c r="AD54" i="1"/>
  <c r="AC54" i="1"/>
  <c r="Z54" i="1"/>
  <c r="AD51" i="1"/>
  <c r="AB51" i="1"/>
  <c r="X51" i="1"/>
  <c r="W51" i="1"/>
  <c r="AD52" i="1"/>
  <c r="AC52" i="1"/>
  <c r="Z53" i="1"/>
  <c r="AB50" i="1"/>
  <c r="W50" i="1"/>
  <c r="X50" i="1"/>
  <c r="AB49" i="1"/>
  <c r="V50" i="1"/>
  <c r="AB48" i="1"/>
  <c r="X48" i="1"/>
  <c r="W48" i="1"/>
  <c r="AC50" i="1"/>
  <c r="AD47" i="1"/>
  <c r="AB47" i="1"/>
  <c r="X47" i="1"/>
  <c r="W47" i="1"/>
  <c r="AC47" i="1"/>
  <c r="Z49" i="1"/>
  <c r="AD46" i="1"/>
  <c r="AC46" i="1"/>
  <c r="AB46" i="1"/>
  <c r="X46" i="1"/>
  <c r="W46" i="1"/>
  <c r="Z48" i="1"/>
  <c r="AC45" i="1"/>
  <c r="AB45" i="1"/>
  <c r="AM98" i="1" s="1"/>
  <c r="X45" i="1"/>
  <c r="W45" i="1"/>
  <c r="Z45" i="1"/>
  <c r="V47" i="1"/>
  <c r="AB44" i="1"/>
  <c r="Z44" i="1"/>
  <c r="X44" i="1"/>
  <c r="AB43" i="1"/>
  <c r="Z43" i="1"/>
  <c r="W43" i="1"/>
  <c r="AD45" i="1"/>
  <c r="V45" i="1"/>
  <c r="AB42" i="1"/>
  <c r="X42" i="1"/>
  <c r="V42" i="1"/>
  <c r="AD44" i="1"/>
  <c r="AC44" i="1"/>
  <c r="AC41" i="1"/>
  <c r="AB41" i="1"/>
  <c r="AM90" i="1" s="1"/>
  <c r="X41" i="1"/>
  <c r="W41" i="1"/>
  <c r="AD42" i="1"/>
  <c r="AC43" i="1"/>
  <c r="AC42" i="1"/>
  <c r="Z42" i="1"/>
  <c r="V41" i="1"/>
  <c r="AV3" i="1"/>
  <c r="AS3" i="1"/>
  <c r="AR3" i="1"/>
  <c r="AO3" i="1"/>
  <c r="AY3" i="1" s="1"/>
  <c r="AL3" i="1"/>
  <c r="AJ3" i="1"/>
  <c r="AT3" i="1" s="1"/>
  <c r="AI3" i="1"/>
  <c r="AH3" i="1"/>
  <c r="AD3" i="1"/>
  <c r="AC3" i="1"/>
  <c r="AN3" i="1" s="1"/>
  <c r="AX3" i="1" s="1"/>
  <c r="AB3" i="1"/>
  <c r="AM3" i="1" s="1"/>
  <c r="AW3" i="1" s="1"/>
  <c r="AA3" i="1"/>
  <c r="Z3" i="1"/>
  <c r="AK3" i="1" s="1"/>
  <c r="AU3" i="1" s="1"/>
  <c r="Y3" i="1"/>
  <c r="X3" i="1"/>
  <c r="W3" i="1"/>
  <c r="V3" i="1"/>
  <c r="AG3" i="1" s="1"/>
  <c r="AQ3" i="1" s="1"/>
  <c r="AJ153" i="1" l="1"/>
  <c r="AJ168" i="1"/>
  <c r="Y171" i="1"/>
  <c r="AJ171" i="1" s="1"/>
  <c r="Y172" i="1"/>
  <c r="Y173" i="1"/>
  <c r="AA78" i="1"/>
  <c r="AA58" i="1"/>
  <c r="AA83" i="1"/>
  <c r="AA87" i="1"/>
  <c r="AA64" i="1"/>
  <c r="AA75" i="1"/>
  <c r="AA57" i="1"/>
  <c r="W49" i="1"/>
  <c r="AH161" i="1" s="1"/>
  <c r="X49" i="1"/>
  <c r="W56" i="1"/>
  <c r="V56" i="1"/>
  <c r="V80" i="1"/>
  <c r="X80" i="1"/>
  <c r="AD41" i="1"/>
  <c r="V44" i="1"/>
  <c r="AA50" i="1"/>
  <c r="V49" i="1"/>
  <c r="AC53" i="1"/>
  <c r="X56" i="1"/>
  <c r="X67" i="1"/>
  <c r="V67" i="1"/>
  <c r="W70" i="1"/>
  <c r="X70" i="1"/>
  <c r="W80" i="1"/>
  <c r="AA88" i="1"/>
  <c r="AA101" i="1"/>
  <c r="AM113" i="1"/>
  <c r="AA42" i="1"/>
  <c r="W44" i="1"/>
  <c r="X52" i="1"/>
  <c r="W52" i="1"/>
  <c r="AC57" i="1"/>
  <c r="AD64" i="1"/>
  <c r="AD65" i="1"/>
  <c r="Z68" i="1"/>
  <c r="W67" i="1"/>
  <c r="V70" i="1"/>
  <c r="W73" i="1"/>
  <c r="V73" i="1"/>
  <c r="AA74" i="1"/>
  <c r="AA80" i="1"/>
  <c r="W84" i="1"/>
  <c r="X84" i="1"/>
  <c r="V84" i="1"/>
  <c r="AA92" i="1"/>
  <c r="AD48" i="1"/>
  <c r="AD50" i="1"/>
  <c r="W85" i="1"/>
  <c r="V85" i="1"/>
  <c r="X85" i="1"/>
  <c r="AA99" i="1"/>
  <c r="X108" i="1"/>
  <c r="W108" i="1"/>
  <c r="V108" i="1"/>
  <c r="AA53" i="1"/>
  <c r="AC74" i="1"/>
  <c r="AA93" i="1"/>
  <c r="AA65" i="1"/>
  <c r="AA49" i="1"/>
  <c r="AD77" i="1"/>
  <c r="AC49" i="1"/>
  <c r="AC67" i="1"/>
  <c r="AD80" i="1"/>
  <c r="AM100" i="1"/>
  <c r="V43" i="1"/>
  <c r="AD49" i="1"/>
  <c r="Z55" i="1"/>
  <c r="AD71" i="1"/>
  <c r="AD78" i="1"/>
  <c r="AM85" i="1"/>
  <c r="Z96" i="1"/>
  <c r="AC100" i="1"/>
  <c r="AA97" i="1"/>
  <c r="V111" i="1"/>
  <c r="X111" i="1"/>
  <c r="W111" i="1"/>
  <c r="X43" i="1"/>
  <c r="AA46" i="1"/>
  <c r="Z67" i="1"/>
  <c r="X66" i="1"/>
  <c r="W66" i="1"/>
  <c r="V66" i="1"/>
  <c r="AD93" i="1"/>
  <c r="AA96" i="1"/>
  <c r="AM84" i="1"/>
  <c r="AC95" i="1"/>
  <c r="AA95" i="1"/>
  <c r="AC106" i="1"/>
  <c r="AC105" i="1"/>
  <c r="AC107" i="1"/>
  <c r="AM115" i="1"/>
  <c r="AM123" i="1"/>
  <c r="AA94" i="1"/>
  <c r="AM97" i="1"/>
  <c r="AA107" i="1"/>
  <c r="AA106" i="1"/>
  <c r="AA105" i="1"/>
  <c r="AA43" i="1"/>
  <c r="Z52" i="1"/>
  <c r="AC63" i="1"/>
  <c r="AC66" i="1"/>
  <c r="AA81" i="1"/>
  <c r="W42" i="1"/>
  <c r="AD43" i="1"/>
  <c r="AO179" i="1" s="1"/>
  <c r="V46" i="1"/>
  <c r="Z47" i="1"/>
  <c r="AC48" i="1"/>
  <c r="AN84" i="1" s="1"/>
  <c r="AA52" i="1"/>
  <c r="AA51" i="1"/>
  <c r="X62" i="1"/>
  <c r="V62" i="1"/>
  <c r="W62" i="1"/>
  <c r="AA70" i="1"/>
  <c r="AM76" i="1"/>
  <c r="AM86" i="1"/>
  <c r="Z90" i="1"/>
  <c r="X92" i="1"/>
  <c r="W92" i="1"/>
  <c r="W94" i="1"/>
  <c r="V94" i="1"/>
  <c r="X94" i="1"/>
  <c r="AD96" i="1"/>
  <c r="AM99" i="1"/>
  <c r="AD107" i="1"/>
  <c r="AM107" i="1"/>
  <c r="AA115" i="1"/>
  <c r="AM93" i="1"/>
  <c r="AM106" i="1"/>
  <c r="AM110" i="1"/>
  <c r="X117" i="1"/>
  <c r="W117" i="1"/>
  <c r="V117" i="1"/>
  <c r="AA41" i="1"/>
  <c r="Z46" i="1"/>
  <c r="AD55" i="1"/>
  <c r="AD58" i="1"/>
  <c r="V68" i="1"/>
  <c r="V71" i="1"/>
  <c r="AA76" i="1"/>
  <c r="V53" i="1"/>
  <c r="W68" i="1"/>
  <c r="Z72" i="1"/>
  <c r="X71" i="1"/>
  <c r="AM79" i="1"/>
  <c r="AA82" i="1"/>
  <c r="V82" i="1"/>
  <c r="AA118" i="1"/>
  <c r="AA59" i="1"/>
  <c r="X58" i="1"/>
  <c r="V58" i="1"/>
  <c r="X75" i="1"/>
  <c r="AI88" i="1" s="1"/>
  <c r="V75" i="1"/>
  <c r="AA79" i="1"/>
  <c r="X79" i="1"/>
  <c r="V79" i="1"/>
  <c r="Z92" i="1"/>
  <c r="AC51" i="1"/>
  <c r="AA71" i="1"/>
  <c r="AD75" i="1"/>
  <c r="X82" i="1"/>
  <c r="Z101" i="1"/>
  <c r="Z102" i="1"/>
  <c r="W102" i="1"/>
  <c r="V102" i="1"/>
  <c r="X102" i="1"/>
  <c r="AA67" i="1"/>
  <c r="AA63" i="1"/>
  <c r="AA90" i="1"/>
  <c r="X93" i="1"/>
  <c r="W93" i="1"/>
  <c r="V93" i="1"/>
  <c r="Z41" i="1"/>
  <c r="AD59" i="1"/>
  <c r="AM222" i="1"/>
  <c r="AM208" i="1"/>
  <c r="AM206" i="1"/>
  <c r="AM184" i="1"/>
  <c r="AM183" i="1"/>
  <c r="AM185" i="1"/>
  <c r="AM193" i="1"/>
  <c r="AM188" i="1"/>
  <c r="AM187" i="1"/>
  <c r="AM189" i="1"/>
  <c r="AM203" i="1"/>
  <c r="AM205" i="1"/>
  <c r="AM207" i="1"/>
  <c r="AM201" i="1"/>
  <c r="AM227" i="1"/>
  <c r="AM191" i="1"/>
  <c r="AM204" i="1"/>
  <c r="AM192" i="1"/>
  <c r="AM176" i="1"/>
  <c r="AM175" i="1"/>
  <c r="AM172" i="1"/>
  <c r="AM195" i="1"/>
  <c r="AM181" i="1"/>
  <c r="AM179" i="1"/>
  <c r="AM202" i="1"/>
  <c r="AM209" i="1"/>
  <c r="AM177" i="1"/>
  <c r="AM194" i="1"/>
  <c r="AM153" i="1"/>
  <c r="AM148" i="1"/>
  <c r="AM165" i="1"/>
  <c r="AM223" i="1"/>
  <c r="AM160" i="1"/>
  <c r="AM168" i="1"/>
  <c r="AM180" i="1"/>
  <c r="AM151" i="1"/>
  <c r="AM171" i="1"/>
  <c r="AM173" i="1"/>
  <c r="AM156" i="1"/>
  <c r="AM147" i="1"/>
  <c r="AM133" i="1"/>
  <c r="AM152" i="1"/>
  <c r="AM139" i="1"/>
  <c r="AM143" i="1"/>
  <c r="AM137" i="1"/>
  <c r="AM164" i="1"/>
  <c r="AM132" i="1"/>
  <c r="AM141" i="1"/>
  <c r="AM116" i="1"/>
  <c r="AM103" i="1"/>
  <c r="AM89" i="1"/>
  <c r="AM112" i="1"/>
  <c r="AM104" i="1"/>
  <c r="AM135" i="1"/>
  <c r="AM129" i="1"/>
  <c r="AM83" i="1"/>
  <c r="AM121" i="1"/>
  <c r="AM108" i="1"/>
  <c r="AM96" i="1"/>
  <c r="AM94" i="1"/>
  <c r="AM122" i="1"/>
  <c r="AM114" i="1"/>
  <c r="AM87" i="1"/>
  <c r="AM82" i="1"/>
  <c r="AM95" i="1"/>
  <c r="AM81" i="1"/>
  <c r="AM80" i="1"/>
  <c r="AM88" i="1"/>
  <c r="AM119" i="1"/>
  <c r="AM105" i="1"/>
  <c r="Z50" i="1"/>
  <c r="AA54" i="1"/>
  <c r="V64" i="1"/>
  <c r="AG201" i="1" s="1"/>
  <c r="X64" i="1"/>
  <c r="AI86" i="1" s="1"/>
  <c r="AC69" i="1"/>
  <c r="AC72" i="1"/>
  <c r="AD79" i="1"/>
  <c r="AA86" i="1"/>
  <c r="AA91" i="1"/>
  <c r="V91" i="1"/>
  <c r="AM92" i="1"/>
  <c r="AA102" i="1"/>
  <c r="AD112" i="1"/>
  <c r="AM125" i="1"/>
  <c r="AM126" i="1"/>
  <c r="V51" i="1"/>
  <c r="V61" i="1"/>
  <c r="AC70" i="1"/>
  <c r="AN221" i="1" s="1"/>
  <c r="V69" i="1"/>
  <c r="AA84" i="1"/>
  <c r="AM91" i="1"/>
  <c r="AD92" i="1"/>
  <c r="Z95" i="1"/>
  <c r="Z94" i="1"/>
  <c r="AM101" i="1"/>
  <c r="X104" i="1"/>
  <c r="W104" i="1"/>
  <c r="V104" i="1"/>
  <c r="AC110" i="1"/>
  <c r="Z51" i="1"/>
  <c r="Z82" i="1"/>
  <c r="AC101" i="1"/>
  <c r="AA60" i="1"/>
  <c r="W69" i="1"/>
  <c r="AC78" i="1"/>
  <c r="AD83" i="1"/>
  <c r="V83" i="1"/>
  <c r="V89" i="1"/>
  <c r="AA111" i="1"/>
  <c r="AA112" i="1"/>
  <c r="AA120" i="1"/>
  <c r="AA122" i="1"/>
  <c r="AA143" i="1"/>
  <c r="V48" i="1"/>
  <c r="AD97" i="1"/>
  <c r="V109" i="1"/>
  <c r="W109" i="1"/>
  <c r="AM128" i="1"/>
  <c r="AI90" i="1"/>
  <c r="W74" i="1"/>
  <c r="W77" i="1"/>
  <c r="W78" i="1"/>
  <c r="AC94" i="1"/>
  <c r="W95" i="1"/>
  <c r="W97" i="1"/>
  <c r="AM102" i="1"/>
  <c r="AM109" i="1"/>
  <c r="V97" i="1"/>
  <c r="AC93" i="1"/>
  <c r="AD94" i="1"/>
  <c r="X95" i="1"/>
  <c r="Z100" i="1"/>
  <c r="AC108" i="1"/>
  <c r="AD109" i="1"/>
  <c r="AA110" i="1"/>
  <c r="AM120" i="1"/>
  <c r="AA103" i="1"/>
  <c r="W103" i="1"/>
  <c r="V103" i="1"/>
  <c r="AM111" i="1"/>
  <c r="AM117" i="1"/>
  <c r="AC96" i="1"/>
  <c r="AA98" i="1"/>
  <c r="X103" i="1"/>
  <c r="AD111" i="1"/>
  <c r="AD72" i="1"/>
  <c r="AD86" i="1"/>
  <c r="X98" i="1"/>
  <c r="W98" i="1"/>
  <c r="V98" i="1"/>
  <c r="Z106" i="1"/>
  <c r="Z105" i="1"/>
  <c r="AD119" i="1"/>
  <c r="Z110" i="1"/>
  <c r="V131" i="1"/>
  <c r="Z132" i="1"/>
  <c r="Z134" i="1"/>
  <c r="W143" i="1"/>
  <c r="V143" i="1"/>
  <c r="AA150" i="1"/>
  <c r="AC120" i="1"/>
  <c r="AA134" i="1"/>
  <c r="V138" i="1"/>
  <c r="AM146" i="1"/>
  <c r="AA130" i="1"/>
  <c r="AA129" i="1"/>
  <c r="AA128" i="1"/>
  <c r="AC135" i="1"/>
  <c r="AM136" i="1"/>
  <c r="AM138" i="1"/>
  <c r="AM150" i="1"/>
  <c r="AD115" i="1"/>
  <c r="Z117" i="1"/>
  <c r="V118" i="1"/>
  <c r="AA121" i="1"/>
  <c r="AM124" i="1"/>
  <c r="AM131" i="1"/>
  <c r="AD136" i="1"/>
  <c r="AM142" i="1"/>
  <c r="AA109" i="1"/>
  <c r="AA114" i="1"/>
  <c r="AA117" i="1"/>
  <c r="AM127" i="1"/>
  <c r="X132" i="1"/>
  <c r="W132" i="1"/>
  <c r="V132" i="1"/>
  <c r="W133" i="1"/>
  <c r="X133" i="1"/>
  <c r="V133" i="1"/>
  <c r="AM140" i="1"/>
  <c r="V100" i="1"/>
  <c r="V113" i="1"/>
  <c r="Z133" i="1"/>
  <c r="AC139" i="1"/>
  <c r="AD140" i="1"/>
  <c r="AD143" i="1"/>
  <c r="AD114" i="1"/>
  <c r="Z128" i="1"/>
  <c r="X101" i="1"/>
  <c r="V112" i="1"/>
  <c r="X115" i="1"/>
  <c r="W115" i="1"/>
  <c r="AM118" i="1"/>
  <c r="V134" i="1"/>
  <c r="AA137" i="1"/>
  <c r="V122" i="1"/>
  <c r="AA132" i="1"/>
  <c r="AA131" i="1"/>
  <c r="AA152" i="1"/>
  <c r="AD106" i="1"/>
  <c r="Z116" i="1"/>
  <c r="AD118" i="1"/>
  <c r="V147" i="1"/>
  <c r="X147" i="1"/>
  <c r="W147" i="1"/>
  <c r="Z111" i="1"/>
  <c r="AA116" i="1"/>
  <c r="Z146" i="1"/>
  <c r="Z147" i="1"/>
  <c r="AC116" i="1"/>
  <c r="AC115" i="1"/>
  <c r="AA119" i="1"/>
  <c r="AA138" i="1"/>
  <c r="AA139" i="1"/>
  <c r="AA140" i="1"/>
  <c r="AA145" i="1"/>
  <c r="W151" i="1"/>
  <c r="X151" i="1"/>
  <c r="V151" i="1"/>
  <c r="AA142" i="1"/>
  <c r="AA144" i="1"/>
  <c r="AA68" i="1"/>
  <c r="V96" i="1"/>
  <c r="AD99" i="1"/>
  <c r="AA100" i="1"/>
  <c r="Z109" i="1"/>
  <c r="X110" i="1"/>
  <c r="V129" i="1"/>
  <c r="AM130" i="1"/>
  <c r="AC146" i="1"/>
  <c r="AM161" i="1"/>
  <c r="AA178" i="1"/>
  <c r="Z154" i="1"/>
  <c r="AM159" i="1"/>
  <c r="Z171" i="1"/>
  <c r="AK207" i="1" s="1"/>
  <c r="Z169" i="1"/>
  <c r="Z170" i="1"/>
  <c r="AJ179" i="1"/>
  <c r="X184" i="1"/>
  <c r="W184" i="1"/>
  <c r="V184" i="1"/>
  <c r="AD146" i="1"/>
  <c r="AD148" i="1"/>
  <c r="AA158" i="1"/>
  <c r="AA133" i="1"/>
  <c r="AJ178" i="1"/>
  <c r="V116" i="1"/>
  <c r="Z130" i="1"/>
  <c r="AM134" i="1"/>
  <c r="Z139" i="1"/>
  <c r="AK165" i="1" s="1"/>
  <c r="X138" i="1"/>
  <c r="W138" i="1"/>
  <c r="V142" i="1"/>
  <c r="AD151" i="1"/>
  <c r="AJ204" i="1"/>
  <c r="Z159" i="1"/>
  <c r="Z157" i="1"/>
  <c r="AA175" i="1"/>
  <c r="AA174" i="1"/>
  <c r="AM174" i="1"/>
  <c r="AC126" i="1"/>
  <c r="Z127" i="1"/>
  <c r="AD131" i="1"/>
  <c r="AA146" i="1"/>
  <c r="AD155" i="1"/>
  <c r="V121" i="1"/>
  <c r="AM145" i="1"/>
  <c r="Z152" i="1"/>
  <c r="V162" i="1"/>
  <c r="V161" i="1"/>
  <c r="AA168" i="1"/>
  <c r="AA167" i="1"/>
  <c r="AA169" i="1"/>
  <c r="AC170" i="1"/>
  <c r="V141" i="1"/>
  <c r="X157" i="1"/>
  <c r="W157" i="1"/>
  <c r="V157" i="1"/>
  <c r="AD158" i="1"/>
  <c r="AD159" i="1"/>
  <c r="V128" i="1"/>
  <c r="V120" i="1"/>
  <c r="V124" i="1"/>
  <c r="AG124" i="1" s="1"/>
  <c r="AD128" i="1"/>
  <c r="W128" i="1"/>
  <c r="V130" i="1"/>
  <c r="V137" i="1"/>
  <c r="AM149" i="1"/>
  <c r="AA163" i="1"/>
  <c r="AA164" i="1"/>
  <c r="X168" i="1"/>
  <c r="V168" i="1"/>
  <c r="W168" i="1"/>
  <c r="AA177" i="1"/>
  <c r="X120" i="1"/>
  <c r="X128" i="1"/>
  <c r="AC138" i="1"/>
  <c r="X137" i="1"/>
  <c r="AA165" i="1"/>
  <c r="AC148" i="1"/>
  <c r="V150" i="1"/>
  <c r="X150" i="1"/>
  <c r="Z153" i="1"/>
  <c r="AD156" i="1"/>
  <c r="AA166" i="1"/>
  <c r="AC137" i="1"/>
  <c r="AA141" i="1"/>
  <c r="V140" i="1"/>
  <c r="AM144" i="1"/>
  <c r="W140" i="1"/>
  <c r="V144" i="1"/>
  <c r="V146" i="1"/>
  <c r="X146" i="1"/>
  <c r="AD150" i="1"/>
  <c r="AA153" i="1"/>
  <c r="Z158" i="1"/>
  <c r="X160" i="1"/>
  <c r="V160" i="1"/>
  <c r="X148" i="1"/>
  <c r="V148" i="1"/>
  <c r="W148" i="1"/>
  <c r="AC157" i="1"/>
  <c r="AC155" i="1"/>
  <c r="X164" i="1"/>
  <c r="W164" i="1"/>
  <c r="V164" i="1"/>
  <c r="AA147" i="1"/>
  <c r="V154" i="1"/>
  <c r="AJ160" i="1"/>
  <c r="AJ167" i="1"/>
  <c r="AJ175" i="1"/>
  <c r="AJ164" i="1"/>
  <c r="AJ166" i="1"/>
  <c r="AJ192" i="1"/>
  <c r="AJ209" i="1"/>
  <c r="AJ169" i="1"/>
  <c r="AJ156" i="1"/>
  <c r="AJ165" i="1"/>
  <c r="AC174" i="1"/>
  <c r="AC172" i="1"/>
  <c r="AC173" i="1"/>
  <c r="AC178" i="1"/>
  <c r="AC179" i="1"/>
  <c r="AC177" i="1"/>
  <c r="AJ190" i="1"/>
  <c r="AD175" i="1"/>
  <c r="AD174" i="1"/>
  <c r="AJ162" i="1"/>
  <c r="AM166" i="1"/>
  <c r="AA170" i="1"/>
  <c r="X174" i="1"/>
  <c r="V174" i="1"/>
  <c r="W174" i="1"/>
  <c r="AD181" i="1"/>
  <c r="AD180" i="1"/>
  <c r="AD182" i="1"/>
  <c r="AJ174" i="1"/>
  <c r="AA161" i="1"/>
  <c r="AM182" i="1"/>
  <c r="AA154" i="1"/>
  <c r="AM155" i="1"/>
  <c r="AJ176" i="1"/>
  <c r="AJ232" i="1"/>
  <c r="AM154" i="1"/>
  <c r="AD164" i="1"/>
  <c r="AD162" i="1"/>
  <c r="X165" i="1"/>
  <c r="W165" i="1"/>
  <c r="AM167" i="1"/>
  <c r="AM178" i="1"/>
  <c r="AA193" i="1"/>
  <c r="AJ177" i="1"/>
  <c r="AD170" i="1"/>
  <c r="AD171" i="1"/>
  <c r="AD172" i="1"/>
  <c r="AA183" i="1"/>
  <c r="X152" i="1"/>
  <c r="AM157" i="1"/>
  <c r="AJ161" i="1"/>
  <c r="AM186" i="1"/>
  <c r="AC145" i="1"/>
  <c r="Z149" i="1"/>
  <c r="AM169" i="1"/>
  <c r="AA173" i="1"/>
  <c r="AA191" i="1"/>
  <c r="AM162" i="1"/>
  <c r="Z173" i="1"/>
  <c r="Z174" i="1"/>
  <c r="AA162" i="1"/>
  <c r="AJ170" i="1"/>
  <c r="V172" i="1"/>
  <c r="X176" i="1"/>
  <c r="W176" i="1"/>
  <c r="AD184" i="1"/>
  <c r="AJ186" i="1"/>
  <c r="AD208" i="1"/>
  <c r="Z217" i="1"/>
  <c r="Z216" i="1"/>
  <c r="Z218" i="1"/>
  <c r="AD220" i="1"/>
  <c r="AD218" i="1"/>
  <c r="W172" i="1"/>
  <c r="V185" i="1"/>
  <c r="AM196" i="1"/>
  <c r="AJ200" i="1"/>
  <c r="AM212" i="1"/>
  <c r="AC153" i="1"/>
  <c r="AC156" i="1"/>
  <c r="AM163" i="1"/>
  <c r="X181" i="1"/>
  <c r="V181" i="1"/>
  <c r="AA190" i="1"/>
  <c r="AA194" i="1"/>
  <c r="AJ198" i="1"/>
  <c r="AD199" i="1"/>
  <c r="AJ208" i="1"/>
  <c r="AC194" i="1"/>
  <c r="AM198" i="1"/>
  <c r="AJ181" i="1"/>
  <c r="AJ183" i="1"/>
  <c r="X191" i="1"/>
  <c r="W191" i="1"/>
  <c r="V191" i="1"/>
  <c r="AJ199" i="1"/>
  <c r="AM211" i="1"/>
  <c r="AJ234" i="1"/>
  <c r="V175" i="1"/>
  <c r="AA179" i="1"/>
  <c r="AM190" i="1"/>
  <c r="AJ203" i="1"/>
  <c r="AJ218" i="1"/>
  <c r="X175" i="1"/>
  <c r="V178" i="1"/>
  <c r="AD195" i="1"/>
  <c r="AJ197" i="1"/>
  <c r="Z215" i="1"/>
  <c r="Z214" i="1"/>
  <c r="Z213" i="1"/>
  <c r="AM218" i="1"/>
  <c r="AA182" i="1"/>
  <c r="AJ187" i="1"/>
  <c r="AJ207" i="1"/>
  <c r="V215" i="1"/>
  <c r="AJ188" i="1"/>
  <c r="AJ193" i="1"/>
  <c r="AA197" i="1"/>
  <c r="AJ220" i="1"/>
  <c r="AJ223" i="1"/>
  <c r="AJ222" i="1"/>
  <c r="AJ206" i="1"/>
  <c r="AJ210" i="1"/>
  <c r="AJ213" i="1"/>
  <c r="AJ185" i="1"/>
  <c r="AJ212" i="1"/>
  <c r="AJ215" i="1"/>
  <c r="AJ159" i="1"/>
  <c r="AM170" i="1"/>
  <c r="X182" i="1"/>
  <c r="V182" i="1"/>
  <c r="W186" i="1"/>
  <c r="AJ191" i="1"/>
  <c r="W182" i="1"/>
  <c r="AJ184" i="1"/>
  <c r="AA189" i="1"/>
  <c r="AC169" i="1"/>
  <c r="X173" i="1"/>
  <c r="W173" i="1"/>
  <c r="AH173" i="1" s="1"/>
  <c r="AA181" i="1"/>
  <c r="AJ182" i="1"/>
  <c r="AC193" i="1"/>
  <c r="AA210" i="1"/>
  <c r="AJ180" i="1"/>
  <c r="AJ189" i="1"/>
  <c r="AA204" i="1"/>
  <c r="AA221" i="1"/>
  <c r="AA192" i="1"/>
  <c r="Z206" i="1"/>
  <c r="Z204" i="1"/>
  <c r="AM158" i="1"/>
  <c r="AJ163" i="1"/>
  <c r="AC168" i="1"/>
  <c r="AC192" i="1"/>
  <c r="AD194" i="1"/>
  <c r="AJ196" i="1"/>
  <c r="AC199" i="1"/>
  <c r="AC200" i="1"/>
  <c r="AA206" i="1"/>
  <c r="AM225" i="1"/>
  <c r="AC160" i="1"/>
  <c r="AJ205" i="1"/>
  <c r="AM220" i="1"/>
  <c r="AJ226" i="1"/>
  <c r="AM215" i="1"/>
  <c r="AM226" i="1"/>
  <c r="AJ227" i="1"/>
  <c r="AC164" i="1"/>
  <c r="AC185" i="1"/>
  <c r="AC186" i="1"/>
  <c r="AD188" i="1"/>
  <c r="AC198" i="1"/>
  <c r="AJ216" i="1"/>
  <c r="AA196" i="1"/>
  <c r="AJ195" i="1"/>
  <c r="AM210" i="1"/>
  <c r="AA213" i="1"/>
  <c r="AM233" i="1"/>
  <c r="AD193" i="1"/>
  <c r="AA195" i="1"/>
  <c r="AM213" i="1"/>
  <c r="AM216" i="1"/>
  <c r="AA198" i="1"/>
  <c r="AD203" i="1"/>
  <c r="AA232" i="1"/>
  <c r="AA205" i="1"/>
  <c r="AJ214" i="1"/>
  <c r="AJ219" i="1"/>
  <c r="AA222" i="1"/>
  <c r="AM197" i="1"/>
  <c r="AM199" i="1"/>
  <c r="AJ217" i="1"/>
  <c r="V189" i="1"/>
  <c r="V190" i="1"/>
  <c r="AK209" i="1"/>
  <c r="AA214" i="1"/>
  <c r="AM214" i="1"/>
  <c r="AM224" i="1"/>
  <c r="AJ225" i="1"/>
  <c r="AA229" i="1"/>
  <c r="AA212" i="1"/>
  <c r="AC213" i="1"/>
  <c r="AJ230" i="1"/>
  <c r="AA238" i="1"/>
  <c r="AA247" i="1"/>
  <c r="AA235" i="1"/>
  <c r="AM258" i="1"/>
  <c r="AM254" i="1"/>
  <c r="AM250" i="1"/>
  <c r="AM246" i="1"/>
  <c r="AM247" i="1"/>
  <c r="AM243" i="1"/>
  <c r="AM239" i="1"/>
  <c r="AM238" i="1"/>
  <c r="AM231" i="1"/>
  <c r="AM242" i="1"/>
  <c r="AM234" i="1"/>
  <c r="AM235" i="1"/>
  <c r="AM230" i="1"/>
  <c r="AM219" i="1"/>
  <c r="AM221" i="1"/>
  <c r="AM200" i="1"/>
  <c r="AJ202" i="1"/>
  <c r="AJ221" i="1"/>
  <c r="AJ201" i="1"/>
  <c r="AJ194" i="1"/>
  <c r="X192" i="1"/>
  <c r="V192" i="1"/>
  <c r="X193" i="1"/>
  <c r="V193" i="1"/>
  <c r="W195" i="1"/>
  <c r="X195" i="1"/>
  <c r="Z198" i="1"/>
  <c r="Z197" i="1"/>
  <c r="X198" i="1"/>
  <c r="V198" i="1"/>
  <c r="AA199" i="1"/>
  <c r="AA201" i="1"/>
  <c r="W199" i="1"/>
  <c r="V199" i="1"/>
  <c r="X200" i="1"/>
  <c r="V200" i="1"/>
  <c r="AC205" i="1"/>
  <c r="AC204" i="1"/>
  <c r="W205" i="1"/>
  <c r="V205" i="1"/>
  <c r="X206" i="1"/>
  <c r="V206" i="1"/>
  <c r="AA207" i="1"/>
  <c r="AA209" i="1"/>
  <c r="AC209" i="1"/>
  <c r="AC208" i="1"/>
  <c r="X212" i="1"/>
  <c r="V212" i="1"/>
  <c r="AD215" i="1"/>
  <c r="AD214" i="1"/>
  <c r="W213" i="1"/>
  <c r="V213" i="1"/>
  <c r="AD217" i="1"/>
  <c r="AD216" i="1"/>
  <c r="V216" i="1"/>
  <c r="W216" i="1"/>
  <c r="AA219" i="1"/>
  <c r="AA218" i="1"/>
  <c r="V220" i="1"/>
  <c r="X220" i="1"/>
  <c r="W221" i="1"/>
  <c r="V221" i="1"/>
  <c r="AD225" i="1"/>
  <c r="AD223" i="1"/>
  <c r="AA228" i="1"/>
  <c r="AA227" i="1"/>
  <c r="AD232" i="1"/>
  <c r="AD231" i="1"/>
  <c r="AD233" i="1"/>
  <c r="AD235" i="1"/>
  <c r="AD234" i="1"/>
  <c r="AD236" i="1"/>
  <c r="AJ239" i="1"/>
  <c r="AM240" i="1"/>
  <c r="AM241" i="1"/>
  <c r="X203" i="1"/>
  <c r="AA208" i="1"/>
  <c r="Z232" i="1"/>
  <c r="AJ241" i="1"/>
  <c r="AC229" i="1"/>
  <c r="AM232" i="1"/>
  <c r="AJ240" i="1"/>
  <c r="AA258" i="1"/>
  <c r="W230" i="1"/>
  <c r="V230" i="1"/>
  <c r="AJ242" i="1"/>
  <c r="AM260" i="1"/>
  <c r="AJ229" i="1"/>
  <c r="X230" i="1"/>
  <c r="AA233" i="1"/>
  <c r="AM259" i="1"/>
  <c r="AA202" i="1"/>
  <c r="W209" i="1"/>
  <c r="V209" i="1"/>
  <c r="AC212" i="1"/>
  <c r="AM217" i="1"/>
  <c r="AC226" i="1"/>
  <c r="AC225" i="1"/>
  <c r="AM244" i="1"/>
  <c r="AA257" i="1"/>
  <c r="AM236" i="1"/>
  <c r="Z241" i="1"/>
  <c r="Z240" i="1"/>
  <c r="AA224" i="1"/>
  <c r="X231" i="1"/>
  <c r="W231" i="1"/>
  <c r="AA241" i="1"/>
  <c r="AA239" i="1"/>
  <c r="AA253" i="1"/>
  <c r="W211" i="1"/>
  <c r="V223" i="1"/>
  <c r="X224" i="1"/>
  <c r="AA231" i="1"/>
  <c r="Z237" i="1"/>
  <c r="W238" i="1"/>
  <c r="X238" i="1"/>
  <c r="V222" i="1"/>
  <c r="W223" i="1"/>
  <c r="AJ224" i="1"/>
  <c r="AM228" i="1"/>
  <c r="AA234" i="1"/>
  <c r="AA237" i="1"/>
  <c r="V238" i="1"/>
  <c r="AC242" i="1"/>
  <c r="AC241" i="1"/>
  <c r="AC240" i="1"/>
  <c r="AN240" i="1" s="1"/>
  <c r="AA250" i="1"/>
  <c r="AA251" i="1"/>
  <c r="AJ259" i="1"/>
  <c r="AJ254" i="1"/>
  <c r="AJ271" i="1"/>
  <c r="AJ266" i="1"/>
  <c r="AJ261" i="1"/>
  <c r="AJ256" i="1"/>
  <c r="AJ275" i="1"/>
  <c r="AJ274" i="1"/>
  <c r="AJ247" i="1"/>
  <c r="AJ245" i="1"/>
  <c r="AJ235" i="1"/>
  <c r="AJ268" i="1"/>
  <c r="AJ263" i="1"/>
  <c r="AJ258" i="1"/>
  <c r="AJ273" i="1"/>
  <c r="AJ253" i="1"/>
  <c r="AJ270" i="1"/>
  <c r="AJ265" i="1"/>
  <c r="AJ260" i="1"/>
  <c r="AJ255" i="1"/>
  <c r="AJ272" i="1"/>
  <c r="AJ267" i="1"/>
  <c r="AJ262" i="1"/>
  <c r="AJ257" i="1"/>
  <c r="AJ252" i="1"/>
  <c r="AJ269" i="1"/>
  <c r="AJ264" i="1"/>
  <c r="AJ251" i="1"/>
  <c r="AJ248" i="1"/>
  <c r="AJ243" i="1"/>
  <c r="AJ233" i="1"/>
  <c r="AJ238" i="1"/>
  <c r="AJ236" i="1"/>
  <c r="AJ228" i="1"/>
  <c r="AJ250" i="1"/>
  <c r="AJ244" i="1"/>
  <c r="AJ249" i="1"/>
  <c r="AJ246" i="1"/>
  <c r="AJ211" i="1"/>
  <c r="Z220" i="1"/>
  <c r="W222" i="1"/>
  <c r="X223" i="1"/>
  <c r="AD243" i="1"/>
  <c r="AD245" i="1"/>
  <c r="AD244" i="1"/>
  <c r="AO244" i="1" s="1"/>
  <c r="AC224" i="1"/>
  <c r="X235" i="1"/>
  <c r="V235" i="1"/>
  <c r="AJ237" i="1"/>
  <c r="Z239" i="1"/>
  <c r="AA246" i="1"/>
  <c r="AD246" i="1"/>
  <c r="AD248" i="1"/>
  <c r="AJ231" i="1"/>
  <c r="AC238" i="1"/>
  <c r="AC236" i="1"/>
  <c r="V257" i="1"/>
  <c r="V259" i="1"/>
  <c r="V258" i="1"/>
  <c r="AC206" i="1"/>
  <c r="AN206" i="1" s="1"/>
  <c r="AA216" i="1"/>
  <c r="Z227" i="1"/>
  <c r="Z226" i="1"/>
  <c r="AM229" i="1"/>
  <c r="AA245" i="1"/>
  <c r="AM252" i="1"/>
  <c r="AM263" i="1"/>
  <c r="AM262" i="1"/>
  <c r="V266" i="1"/>
  <c r="V268" i="1"/>
  <c r="AA270" i="1"/>
  <c r="AC256" i="1"/>
  <c r="AC258" i="1"/>
  <c r="AC257" i="1"/>
  <c r="AN257" i="1" s="1"/>
  <c r="AA268" i="1"/>
  <c r="AA267" i="1"/>
  <c r="AM270" i="1"/>
  <c r="AA248" i="1"/>
  <c r="V251" i="1"/>
  <c r="AA259" i="1"/>
  <c r="AA220" i="1"/>
  <c r="AA266" i="1"/>
  <c r="AA274" i="1"/>
  <c r="AA254" i="1"/>
  <c r="AA260" i="1"/>
  <c r="V262" i="1"/>
  <c r="V261" i="1"/>
  <c r="V263" i="1"/>
  <c r="AA243" i="1"/>
  <c r="AC252" i="1"/>
  <c r="AC254" i="1"/>
  <c r="AC253" i="1"/>
  <c r="AA261" i="1"/>
  <c r="AC228" i="1"/>
  <c r="AA236" i="1"/>
  <c r="AA244" i="1"/>
  <c r="AC246" i="1"/>
  <c r="AC245" i="1"/>
  <c r="AM248" i="1"/>
  <c r="AM255" i="1"/>
  <c r="AA262" i="1"/>
  <c r="AA265" i="1"/>
  <c r="AM268" i="1"/>
  <c r="AA249" i="1"/>
  <c r="AM251" i="1"/>
  <c r="AD255" i="1"/>
  <c r="AA263" i="1"/>
  <c r="AA264" i="1"/>
  <c r="AM267" i="1"/>
  <c r="AA252" i="1"/>
  <c r="AA255" i="1"/>
  <c r="AA242" i="1"/>
  <c r="V246" i="1"/>
  <c r="AD256" i="1"/>
  <c r="AD273" i="1"/>
  <c r="AD271" i="1"/>
  <c r="AO271" i="1" s="1"/>
  <c r="AD272" i="1"/>
  <c r="AA275" i="1"/>
  <c r="AM237" i="1"/>
  <c r="AA240" i="1"/>
  <c r="X242" i="1"/>
  <c r="V247" i="1"/>
  <c r="AM249" i="1"/>
  <c r="AA256" i="1"/>
  <c r="AD265" i="1"/>
  <c r="AA271" i="1"/>
  <c r="AM272" i="1"/>
  <c r="AD267" i="1"/>
  <c r="AA273" i="1"/>
  <c r="AM265" i="1"/>
  <c r="AM253" i="1"/>
  <c r="AC264" i="1"/>
  <c r="AC266" i="1"/>
  <c r="AC265" i="1"/>
  <c r="V271" i="1"/>
  <c r="AM273" i="1"/>
  <c r="Z275" i="1"/>
  <c r="AM245" i="1"/>
  <c r="AC248" i="1"/>
  <c r="AC250" i="1"/>
  <c r="AC249" i="1"/>
  <c r="AK266" i="1"/>
  <c r="AA269" i="1"/>
  <c r="AM256" i="1"/>
  <c r="AM261" i="1"/>
  <c r="V269" i="1"/>
  <c r="AC272" i="1"/>
  <c r="AC274" i="1"/>
  <c r="AC273" i="1"/>
  <c r="AM274" i="1"/>
  <c r="AM266" i="1"/>
  <c r="AM275" i="1"/>
  <c r="AC262" i="1"/>
  <c r="AC261" i="1"/>
  <c r="AA272" i="1"/>
  <c r="AM271" i="1"/>
  <c r="V267" i="1"/>
  <c r="AM264" i="1"/>
  <c r="AM269" i="1"/>
  <c r="AM257" i="1"/>
  <c r="AC268" i="1"/>
  <c r="AC270" i="1"/>
  <c r="AC269" i="1"/>
  <c r="Z274" i="1"/>
  <c r="V275" i="1"/>
  <c r="AJ173" i="1" l="1"/>
  <c r="AJ172" i="1"/>
  <c r="AK268" i="1"/>
  <c r="AK251" i="1"/>
  <c r="AO216" i="1"/>
  <c r="AN204" i="1"/>
  <c r="AG192" i="1"/>
  <c r="AN186" i="1"/>
  <c r="AN270" i="1"/>
  <c r="AH259" i="1"/>
  <c r="AK272" i="1"/>
  <c r="AK235" i="1"/>
  <c r="AI192" i="1"/>
  <c r="AG187" i="1"/>
  <c r="AH180" i="1"/>
  <c r="AO184" i="1"/>
  <c r="AI101" i="1"/>
  <c r="AK105" i="1"/>
  <c r="AK273" i="1"/>
  <c r="AK263" i="1"/>
  <c r="AH263" i="1"/>
  <c r="AO272" i="1"/>
  <c r="AO269" i="1"/>
  <c r="AO229" i="1"/>
  <c r="AI172" i="1"/>
  <c r="AN156" i="1"/>
  <c r="AK270" i="1"/>
  <c r="AO214" i="1"/>
  <c r="AK214" i="1"/>
  <c r="AO118" i="1"/>
  <c r="AN80" i="1"/>
  <c r="AO215" i="1"/>
  <c r="AI98" i="1"/>
  <c r="AI87" i="1"/>
  <c r="AO245" i="1"/>
  <c r="AO267" i="1"/>
  <c r="AO243" i="1"/>
  <c r="AK259" i="1"/>
  <c r="AG246" i="1"/>
  <c r="AI234" i="1"/>
  <c r="AO223" i="1"/>
  <c r="AK257" i="1"/>
  <c r="AK228" i="1"/>
  <c r="AO106" i="1"/>
  <c r="AO86" i="1"/>
  <c r="AN261" i="1"/>
  <c r="AO238" i="1"/>
  <c r="AK206" i="1"/>
  <c r="AN150" i="1"/>
  <c r="AI95" i="1"/>
  <c r="AI114" i="1"/>
  <c r="AK275" i="1"/>
  <c r="AO265" i="1"/>
  <c r="AK212" i="1"/>
  <c r="AH182" i="1"/>
  <c r="AK193" i="1"/>
  <c r="AO187" i="1"/>
  <c r="AK180" i="1"/>
  <c r="AN146" i="1"/>
  <c r="AO94" i="1"/>
  <c r="AN85" i="1"/>
  <c r="AK274" i="1"/>
  <c r="AK258" i="1"/>
  <c r="AK220" i="1"/>
  <c r="AO85" i="1"/>
  <c r="AG233" i="1"/>
  <c r="AO105" i="1"/>
  <c r="AK246" i="1"/>
  <c r="AK244" i="1"/>
  <c r="AK197" i="1"/>
  <c r="AI175" i="1"/>
  <c r="AO258" i="1"/>
  <c r="AO248" i="1"/>
  <c r="AK225" i="1"/>
  <c r="AK223" i="1"/>
  <c r="AG182" i="1"/>
  <c r="AI110" i="1"/>
  <c r="AG206" i="1"/>
  <c r="AI195" i="1"/>
  <c r="AK182" i="1"/>
  <c r="AI182" i="1"/>
  <c r="AK267" i="1"/>
  <c r="AK271" i="1"/>
  <c r="AK255" i="1"/>
  <c r="AK254" i="1"/>
  <c r="AK210" i="1"/>
  <c r="AI165" i="1"/>
  <c r="AK141" i="1"/>
  <c r="AO255" i="1"/>
  <c r="AK242" i="1"/>
  <c r="AO236" i="1"/>
  <c r="AG205" i="1"/>
  <c r="AG193" i="1"/>
  <c r="AN145" i="1"/>
  <c r="AO99" i="1"/>
  <c r="AI83" i="1"/>
  <c r="AI99" i="1"/>
  <c r="AI193" i="1"/>
  <c r="AO188" i="1"/>
  <c r="AN273" i="1"/>
  <c r="AN269" i="1"/>
  <c r="AO266" i="1"/>
  <c r="AI274" i="1"/>
  <c r="AH250" i="1"/>
  <c r="AO249" i="1"/>
  <c r="AH264" i="1"/>
  <c r="AN246" i="1"/>
  <c r="AI241" i="1"/>
  <c r="AH241" i="1"/>
  <c r="AO260" i="1"/>
  <c r="AO259" i="1"/>
  <c r="AI252" i="1"/>
  <c r="AK239" i="1"/>
  <c r="AI251" i="1"/>
  <c r="AN243" i="1"/>
  <c r="AK237" i="1"/>
  <c r="AI231" i="1"/>
  <c r="AK265" i="1"/>
  <c r="AH235" i="1"/>
  <c r="AI209" i="1"/>
  <c r="AI222" i="1"/>
  <c r="AO205" i="1"/>
  <c r="AG247" i="1"/>
  <c r="AG244" i="1"/>
  <c r="AH237" i="1"/>
  <c r="AH266" i="1"/>
  <c r="AN258" i="1"/>
  <c r="AI247" i="1"/>
  <c r="AG235" i="1"/>
  <c r="AI223" i="1"/>
  <c r="AN241" i="1"/>
  <c r="AK234" i="1"/>
  <c r="AO247" i="1"/>
  <c r="AN229" i="1"/>
  <c r="AK264" i="1"/>
  <c r="AN213" i="1"/>
  <c r="AO228" i="1"/>
  <c r="AH78" i="1"/>
  <c r="AH159" i="1"/>
  <c r="AH192" i="1"/>
  <c r="AH252" i="1"/>
  <c r="AH254" i="1"/>
  <c r="AH181" i="1"/>
  <c r="AH206" i="1"/>
  <c r="AH227" i="1"/>
  <c r="AH155" i="1"/>
  <c r="AH169" i="1"/>
  <c r="AH135" i="1"/>
  <c r="AH134" i="1"/>
  <c r="AH179" i="1"/>
  <c r="AH236" i="1"/>
  <c r="AH187" i="1"/>
  <c r="AH183" i="1"/>
  <c r="AH215" i="1"/>
  <c r="AH202" i="1"/>
  <c r="AH224" i="1"/>
  <c r="AH260" i="1"/>
  <c r="AH177" i="1"/>
  <c r="AH251" i="1"/>
  <c r="AH200" i="1"/>
  <c r="AH185" i="1"/>
  <c r="AH248" i="1"/>
  <c r="AH219" i="1"/>
  <c r="AH160" i="1"/>
  <c r="AH218" i="1"/>
  <c r="AH228" i="1"/>
  <c r="AH188" i="1"/>
  <c r="AH124" i="1"/>
  <c r="AH137" i="1"/>
  <c r="AH175" i="1"/>
  <c r="AH220" i="1"/>
  <c r="AH244" i="1"/>
  <c r="AK203" i="1"/>
  <c r="AK211" i="1"/>
  <c r="AK191" i="1"/>
  <c r="AK192" i="1"/>
  <c r="AK164" i="1"/>
  <c r="AK179" i="1"/>
  <c r="AK176" i="1"/>
  <c r="AK166" i="1"/>
  <c r="AK131" i="1"/>
  <c r="AK126" i="1"/>
  <c r="AK125" i="1"/>
  <c r="AK79" i="1"/>
  <c r="AK98" i="1"/>
  <c r="AK80" i="1"/>
  <c r="AK85" i="1"/>
  <c r="AK112" i="1"/>
  <c r="AK103" i="1"/>
  <c r="AK86" i="1"/>
  <c r="AK108" i="1"/>
  <c r="AK151" i="1"/>
  <c r="AK167" i="1"/>
  <c r="AK224" i="1"/>
  <c r="AK199" i="1"/>
  <c r="AK222" i="1"/>
  <c r="AK236" i="1"/>
  <c r="AK243" i="1"/>
  <c r="AK84" i="1"/>
  <c r="AK104" i="1"/>
  <c r="AK76" i="1"/>
  <c r="AK87" i="1"/>
  <c r="AK118" i="1"/>
  <c r="AK135" i="1"/>
  <c r="AK185" i="1"/>
  <c r="AK129" i="1"/>
  <c r="AK177" i="1"/>
  <c r="AK161" i="1"/>
  <c r="AK168" i="1"/>
  <c r="AK162" i="1"/>
  <c r="AK250" i="1"/>
  <c r="AK245" i="1"/>
  <c r="AK121" i="1"/>
  <c r="AK140" i="1"/>
  <c r="AK205" i="1"/>
  <c r="AK188" i="1"/>
  <c r="AK190" i="1"/>
  <c r="AK181" i="1"/>
  <c r="AK196" i="1"/>
  <c r="AK120" i="1"/>
  <c r="AK145" i="1"/>
  <c r="AK143" i="1"/>
  <c r="AK150" i="1"/>
  <c r="AK183" i="1"/>
  <c r="AK89" i="1"/>
  <c r="AK99" i="1"/>
  <c r="AK83" i="1"/>
  <c r="AK77" i="1"/>
  <c r="AK107" i="1"/>
  <c r="AK148" i="1"/>
  <c r="AK172" i="1"/>
  <c r="AK187" i="1"/>
  <c r="AK194" i="1"/>
  <c r="AK253" i="1"/>
  <c r="AK261" i="1"/>
  <c r="AK88" i="1"/>
  <c r="AK155" i="1"/>
  <c r="AK201" i="1"/>
  <c r="AK256" i="1"/>
  <c r="AK91" i="1"/>
  <c r="AK138" i="1"/>
  <c r="AK156" i="1"/>
  <c r="AK202" i="1"/>
  <c r="AK229" i="1"/>
  <c r="AK231" i="1"/>
  <c r="AK219" i="1"/>
  <c r="AK260" i="1"/>
  <c r="AK97" i="1"/>
  <c r="AK115" i="1"/>
  <c r="AK124" i="1"/>
  <c r="AK136" i="1"/>
  <c r="AK93" i="1"/>
  <c r="AK113" i="1"/>
  <c r="AK122" i="1"/>
  <c r="AK175" i="1"/>
  <c r="AK163" i="1"/>
  <c r="AK81" i="1"/>
  <c r="AK137" i="1"/>
  <c r="AK114" i="1"/>
  <c r="AK144" i="1"/>
  <c r="AK123" i="1"/>
  <c r="AK142" i="1"/>
  <c r="AK178" i="1"/>
  <c r="AK186" i="1"/>
  <c r="AK248" i="1"/>
  <c r="AI242" i="1"/>
  <c r="AG264" i="1"/>
  <c r="AH268" i="1"/>
  <c r="AN256" i="1"/>
  <c r="AG243" i="1"/>
  <c r="AI235" i="1"/>
  <c r="AH222" i="1"/>
  <c r="AN242" i="1"/>
  <c r="AN244" i="1"/>
  <c r="AO261" i="1"/>
  <c r="AH216" i="1"/>
  <c r="AK269" i="1"/>
  <c r="AN222" i="1"/>
  <c r="AO239" i="1"/>
  <c r="AH204" i="1"/>
  <c r="AH152" i="1"/>
  <c r="AN228" i="1"/>
  <c r="AG263" i="1"/>
  <c r="AO268" i="1"/>
  <c r="AI243" i="1"/>
  <c r="AG242" i="1"/>
  <c r="AG232" i="1"/>
  <c r="AI239" i="1"/>
  <c r="AG228" i="1"/>
  <c r="AK247" i="1"/>
  <c r="AO234" i="1"/>
  <c r="AG216" i="1"/>
  <c r="AH205" i="1"/>
  <c r="AI240" i="1"/>
  <c r="AI207" i="1"/>
  <c r="AH214" i="1"/>
  <c r="AO230" i="1"/>
  <c r="AO219" i="1"/>
  <c r="AH190" i="1"/>
  <c r="AG176" i="1"/>
  <c r="AK189" i="1"/>
  <c r="AI120" i="1"/>
  <c r="AI215" i="1"/>
  <c r="AI156" i="1"/>
  <c r="AI202" i="1"/>
  <c r="AI186" i="1"/>
  <c r="AI167" i="1"/>
  <c r="AI221" i="1"/>
  <c r="AI171" i="1"/>
  <c r="AI219" i="1"/>
  <c r="AI232" i="1"/>
  <c r="AI179" i="1"/>
  <c r="AI205" i="1"/>
  <c r="AI169" i="1"/>
  <c r="AI187" i="1"/>
  <c r="AI216" i="1"/>
  <c r="AI190" i="1"/>
  <c r="AI177" i="1"/>
  <c r="AI158" i="1"/>
  <c r="AI218" i="1"/>
  <c r="AH126" i="1"/>
  <c r="AH116" i="1"/>
  <c r="AG81" i="1"/>
  <c r="AG195" i="1"/>
  <c r="AG240" i="1"/>
  <c r="AG248" i="1"/>
  <c r="AG152" i="1"/>
  <c r="AG127" i="1"/>
  <c r="AG214" i="1"/>
  <c r="AG226" i="1"/>
  <c r="AG125" i="1"/>
  <c r="AG158" i="1"/>
  <c r="AG139" i="1"/>
  <c r="AG126" i="1"/>
  <c r="AG179" i="1"/>
  <c r="AG145" i="1"/>
  <c r="AG156" i="1"/>
  <c r="AG153" i="1"/>
  <c r="AG169" i="1"/>
  <c r="AG180" i="1"/>
  <c r="AG218" i="1"/>
  <c r="AG237" i="1"/>
  <c r="AG159" i="1"/>
  <c r="AG173" i="1"/>
  <c r="AG196" i="1"/>
  <c r="AG110" i="1"/>
  <c r="AG155" i="1"/>
  <c r="AG165" i="1"/>
  <c r="AG194" i="1"/>
  <c r="AG166" i="1"/>
  <c r="AG115" i="1"/>
  <c r="AG227" i="1"/>
  <c r="AG197" i="1"/>
  <c r="AG231" i="1"/>
  <c r="AG204" i="1"/>
  <c r="AG135" i="1"/>
  <c r="AG170" i="1"/>
  <c r="AG177" i="1"/>
  <c r="AG203" i="1"/>
  <c r="AG186" i="1"/>
  <c r="AG99" i="1"/>
  <c r="AG136" i="1"/>
  <c r="AG208" i="1"/>
  <c r="AG163" i="1"/>
  <c r="AG167" i="1"/>
  <c r="AG210" i="1"/>
  <c r="AG219" i="1"/>
  <c r="AG234" i="1"/>
  <c r="AH242" i="1"/>
  <c r="AI250" i="1"/>
  <c r="AH255" i="1"/>
  <c r="AI271" i="1"/>
  <c r="AI258" i="1"/>
  <c r="AH234" i="1"/>
  <c r="AG261" i="1"/>
  <c r="AG239" i="1"/>
  <c r="AG236" i="1"/>
  <c r="AG229" i="1"/>
  <c r="AG238" i="1"/>
  <c r="AK241" i="1"/>
  <c r="AI230" i="1"/>
  <c r="AO235" i="1"/>
  <c r="AI244" i="1"/>
  <c r="AH229" i="1"/>
  <c r="AI211" i="1"/>
  <c r="AN193" i="1"/>
  <c r="AO195" i="1"/>
  <c r="AK218" i="1"/>
  <c r="AG116" i="1"/>
  <c r="AO143" i="1"/>
  <c r="AH149" i="1"/>
  <c r="AI266" i="1"/>
  <c r="AO274" i="1"/>
  <c r="AI254" i="1"/>
  <c r="AO270" i="1"/>
  <c r="AI253" i="1"/>
  <c r="AO263" i="1"/>
  <c r="AG262" i="1"/>
  <c r="AG255" i="1"/>
  <c r="AH233" i="1"/>
  <c r="AN236" i="1"/>
  <c r="AI227" i="1"/>
  <c r="AG223" i="1"/>
  <c r="AO240" i="1"/>
  <c r="AO233" i="1"/>
  <c r="AO217" i="1"/>
  <c r="AN205" i="1"/>
  <c r="AI248" i="1"/>
  <c r="AN230" i="1"/>
  <c r="AO203" i="1"/>
  <c r="AK233" i="1"/>
  <c r="AK184" i="1"/>
  <c r="AH191" i="1"/>
  <c r="AO109" i="1"/>
  <c r="AO210" i="1"/>
  <c r="AO221" i="1"/>
  <c r="AO161" i="1"/>
  <c r="AO222" i="1"/>
  <c r="AO165" i="1"/>
  <c r="AO212" i="1"/>
  <c r="AO132" i="1"/>
  <c r="AO152" i="1"/>
  <c r="AO198" i="1"/>
  <c r="AO183" i="1"/>
  <c r="AO196" i="1"/>
  <c r="AO177" i="1"/>
  <c r="AO169" i="1"/>
  <c r="AO200" i="1"/>
  <c r="AO227" i="1"/>
  <c r="AO253" i="1"/>
  <c r="AO178" i="1"/>
  <c r="AO167" i="1"/>
  <c r="AO139" i="1"/>
  <c r="AO186" i="1"/>
  <c r="AO204" i="1"/>
  <c r="AH189" i="1"/>
  <c r="AH82" i="1"/>
  <c r="AG88" i="1"/>
  <c r="AH258" i="1"/>
  <c r="AI269" i="1"/>
  <c r="AN260" i="1"/>
  <c r="AG274" i="1"/>
  <c r="AH247" i="1"/>
  <c r="AN238" i="1"/>
  <c r="AN224" i="1"/>
  <c r="AH211" i="1"/>
  <c r="AK232" i="1"/>
  <c r="AO231" i="1"/>
  <c r="AG213" i="1"/>
  <c r="AG200" i="1"/>
  <c r="AH243" i="1"/>
  <c r="AK208" i="1"/>
  <c r="AK217" i="1"/>
  <c r="AK160" i="1"/>
  <c r="AI154" i="1"/>
  <c r="AK78" i="1"/>
  <c r="AN136" i="1"/>
  <c r="AN180" i="1"/>
  <c r="AN217" i="1"/>
  <c r="AN233" i="1"/>
  <c r="AN122" i="1"/>
  <c r="AN121" i="1"/>
  <c r="AN125" i="1"/>
  <c r="AN129" i="1"/>
  <c r="AN147" i="1"/>
  <c r="AN151" i="1"/>
  <c r="AN182" i="1"/>
  <c r="AN130" i="1"/>
  <c r="AN128" i="1"/>
  <c r="AN183" i="1"/>
  <c r="AN215" i="1"/>
  <c r="AN218" i="1"/>
  <c r="AN259" i="1"/>
  <c r="AN132" i="1"/>
  <c r="AN166" i="1"/>
  <c r="AN201" i="1"/>
  <c r="AN159" i="1"/>
  <c r="AN123" i="1"/>
  <c r="AN195" i="1"/>
  <c r="AN162" i="1"/>
  <c r="AN152" i="1"/>
  <c r="AN133" i="1"/>
  <c r="AN127" i="1"/>
  <c r="AN143" i="1"/>
  <c r="AN161" i="1"/>
  <c r="AN184" i="1"/>
  <c r="AN214" i="1"/>
  <c r="AN251" i="1"/>
  <c r="AN124" i="1"/>
  <c r="AN154" i="1"/>
  <c r="AN149" i="1"/>
  <c r="AN223" i="1"/>
  <c r="AN231" i="1"/>
  <c r="AN111" i="1"/>
  <c r="AN117" i="1"/>
  <c r="AN189" i="1"/>
  <c r="AN91" i="1"/>
  <c r="AN131" i="1"/>
  <c r="AN167" i="1"/>
  <c r="AN210" i="1"/>
  <c r="AN112" i="1"/>
  <c r="AN158" i="1"/>
  <c r="AN103" i="1"/>
  <c r="AN181" i="1"/>
  <c r="AN134" i="1"/>
  <c r="AN140" i="1"/>
  <c r="AN171" i="1"/>
  <c r="AN187" i="1"/>
  <c r="AN141" i="1"/>
  <c r="AN175" i="1"/>
  <c r="AN165" i="1"/>
  <c r="AN113" i="1"/>
  <c r="AN119" i="1"/>
  <c r="AN144" i="1"/>
  <c r="AN196" i="1"/>
  <c r="AN203" i="1"/>
  <c r="AH269" i="1"/>
  <c r="AN265" i="1"/>
  <c r="AH273" i="1"/>
  <c r="AN263" i="1"/>
  <c r="AH267" i="1"/>
  <c r="AN250" i="1"/>
  <c r="AN266" i="1"/>
  <c r="AH262" i="1"/>
  <c r="AI259" i="1"/>
  <c r="AH265" i="1"/>
  <c r="AH257" i="1"/>
  <c r="AH256" i="1"/>
  <c r="AG251" i="1"/>
  <c r="AK226" i="1"/>
  <c r="AG260" i="1"/>
  <c r="AO264" i="1"/>
  <c r="AK230" i="1"/>
  <c r="AH232" i="1"/>
  <c r="AH194" i="1"/>
  <c r="AN232" i="1"/>
  <c r="AN237" i="1"/>
  <c r="AJ1" i="1"/>
  <c r="AK119" i="1"/>
  <c r="AN142" i="1"/>
  <c r="AN83" i="1"/>
  <c r="AI261" i="1"/>
  <c r="AI272" i="1"/>
  <c r="AN249" i="1"/>
  <c r="AI264" i="1"/>
  <c r="AN248" i="1"/>
  <c r="AN264" i="1"/>
  <c r="AI270" i="1"/>
  <c r="AH261" i="1"/>
  <c r="AI256" i="1"/>
  <c r="AO254" i="1"/>
  <c r="AO250" i="1"/>
  <c r="AG268" i="1"/>
  <c r="AK227" i="1"/>
  <c r="AI229" i="1"/>
  <c r="AO251" i="1"/>
  <c r="AI255" i="1"/>
  <c r="AI233" i="1"/>
  <c r="AG230" i="1"/>
  <c r="AH226" i="1"/>
  <c r="AG199" i="1"/>
  <c r="AH203" i="1"/>
  <c r="AG225" i="1"/>
  <c r="AO213" i="1"/>
  <c r="AI213" i="1"/>
  <c r="AN207" i="1"/>
  <c r="AG215" i="1"/>
  <c r="AN239" i="1"/>
  <c r="AO176" i="1"/>
  <c r="AO120" i="1"/>
  <c r="AG84" i="1"/>
  <c r="AG252" i="1"/>
  <c r="AG266" i="1"/>
  <c r="AG253" i="1"/>
  <c r="AH223" i="1"/>
  <c r="AH230" i="1"/>
  <c r="AH199" i="1"/>
  <c r="AH217" i="1"/>
  <c r="AG224" i="1"/>
  <c r="AH171" i="1"/>
  <c r="AN262" i="1"/>
  <c r="AO257" i="1"/>
  <c r="AN226" i="1"/>
  <c r="AI203" i="1"/>
  <c r="AG212" i="1"/>
  <c r="AN234" i="1"/>
  <c r="AH239" i="1"/>
  <c r="AH212" i="1"/>
  <c r="AO201" i="1"/>
  <c r="AO207" i="1"/>
  <c r="AK221" i="1"/>
  <c r="AG184" i="1"/>
  <c r="AG119" i="1"/>
  <c r="AI194" i="1"/>
  <c r="AN268" i="1"/>
  <c r="AW253" i="1"/>
  <c r="AI257" i="1"/>
  <c r="AO273" i="1"/>
  <c r="AI249" i="1"/>
  <c r="AH249" i="1"/>
  <c r="AN254" i="1"/>
  <c r="AH270" i="1"/>
  <c r="AO262" i="1"/>
  <c r="AO246" i="1"/>
  <c r="AN255" i="1"/>
  <c r="AH225" i="1"/>
  <c r="AI260" i="1"/>
  <c r="AN235" i="1"/>
  <c r="AH272" i="1"/>
  <c r="AN211" i="1"/>
  <c r="AI208" i="1"/>
  <c r="AO202" i="1"/>
  <c r="AH193" i="1"/>
  <c r="AG202" i="1"/>
  <c r="AK200" i="1"/>
  <c r="AG133" i="1"/>
  <c r="AH120" i="1"/>
  <c r="AG250" i="1"/>
  <c r="AI262" i="1"/>
  <c r="AH275" i="1"/>
  <c r="AN253" i="1"/>
  <c r="AG275" i="1"/>
  <c r="AN272" i="1"/>
  <c r="AI245" i="1"/>
  <c r="AG270" i="1"/>
  <c r="AN252" i="1"/>
  <c r="AI268" i="1"/>
  <c r="AN271" i="1"/>
  <c r="AG258" i="1"/>
  <c r="AK238" i="1"/>
  <c r="AO241" i="1"/>
  <c r="AN212" i="1"/>
  <c r="AK252" i="1"/>
  <c r="AG221" i="1"/>
  <c r="AN208" i="1"/>
  <c r="AG198" i="1"/>
  <c r="AN247" i="1"/>
  <c r="AH201" i="1"/>
  <c r="AI217" i="1"/>
  <c r="AI196" i="1"/>
  <c r="AG207" i="1"/>
  <c r="AK195" i="1"/>
  <c r="AN96" i="1"/>
  <c r="AN97" i="1"/>
  <c r="AG267" i="1"/>
  <c r="AG273" i="1"/>
  <c r="AH271" i="1"/>
  <c r="AH274" i="1"/>
  <c r="AI263" i="1"/>
  <c r="AG272" i="1"/>
  <c r="AI246" i="1"/>
  <c r="AH246" i="1"/>
  <c r="AG259" i="1"/>
  <c r="AG241" i="1"/>
  <c r="AO237" i="1"/>
  <c r="AI238" i="1"/>
  <c r="AI237" i="1"/>
  <c r="AG209" i="1"/>
  <c r="AO252" i="1"/>
  <c r="AK249" i="1"/>
  <c r="AH221" i="1"/>
  <c r="AN209" i="1"/>
  <c r="AI198" i="1"/>
  <c r="AN227" i="1"/>
  <c r="AI199" i="1"/>
  <c r="AN188" i="1"/>
  <c r="AH198" i="1"/>
  <c r="AO125" i="1"/>
  <c r="AK132" i="1"/>
  <c r="AN118" i="1"/>
  <c r="AG271" i="1"/>
  <c r="AI265" i="1"/>
  <c r="AO275" i="1"/>
  <c r="AN274" i="1"/>
  <c r="AN275" i="1"/>
  <c r="AI267" i="1"/>
  <c r="AG269" i="1"/>
  <c r="AI275" i="1"/>
  <c r="AI273" i="1"/>
  <c r="AH253" i="1"/>
  <c r="AO256" i="1"/>
  <c r="AN245" i="1"/>
  <c r="AG256" i="1"/>
  <c r="AG265" i="1"/>
  <c r="AK262" i="1"/>
  <c r="AG257" i="1"/>
  <c r="AH240" i="1"/>
  <c r="AG254" i="1"/>
  <c r="AG245" i="1"/>
  <c r="AH238" i="1"/>
  <c r="AH231" i="1"/>
  <c r="AH209" i="1"/>
  <c r="AO242" i="1"/>
  <c r="AH245" i="1"/>
  <c r="AI220" i="1"/>
  <c r="AN267" i="1"/>
  <c r="AG189" i="1"/>
  <c r="AG211" i="1"/>
  <c r="AH178" i="1"/>
  <c r="AI178" i="1"/>
  <c r="AI183" i="1"/>
  <c r="AO171" i="1"/>
  <c r="AH144" i="1"/>
  <c r="AN77" i="1"/>
  <c r="AK204" i="1"/>
  <c r="AH186" i="1"/>
  <c r="AG178" i="1"/>
  <c r="AK216" i="1"/>
  <c r="AO182" i="1"/>
  <c r="AI163" i="1"/>
  <c r="AG164" i="1"/>
  <c r="AO150" i="1"/>
  <c r="AG120" i="1"/>
  <c r="AH184" i="1"/>
  <c r="AK116" i="1"/>
  <c r="AO140" i="1"/>
  <c r="AI133" i="1"/>
  <c r="AH142" i="1"/>
  <c r="AO130" i="1"/>
  <c r="AG131" i="1"/>
  <c r="AK106" i="1"/>
  <c r="AN108" i="1"/>
  <c r="AH77" i="1"/>
  <c r="AI197" i="1"/>
  <c r="AO79" i="1"/>
  <c r="AG93" i="1"/>
  <c r="AI82" i="1"/>
  <c r="AH112" i="1"/>
  <c r="AH156" i="1"/>
  <c r="AK96" i="1"/>
  <c r="AO88" i="1"/>
  <c r="AI84" i="1"/>
  <c r="AN163" i="1"/>
  <c r="AG101" i="1"/>
  <c r="AH76" i="1"/>
  <c r="AO180" i="1"/>
  <c r="AH164" i="1"/>
  <c r="AI146" i="1"/>
  <c r="AH168" i="1"/>
  <c r="AI184" i="1"/>
  <c r="AG134" i="1"/>
  <c r="AN139" i="1"/>
  <c r="AH133" i="1"/>
  <c r="AO126" i="1"/>
  <c r="AG98" i="1"/>
  <c r="AK100" i="1"/>
  <c r="AO135" i="1"/>
  <c r="AN101" i="1"/>
  <c r="AI201" i="1"/>
  <c r="AN110" i="1"/>
  <c r="AH96" i="1"/>
  <c r="AH93" i="1"/>
  <c r="AI77" i="1"/>
  <c r="AH99" i="1"/>
  <c r="AH153" i="1"/>
  <c r="AM2" i="1"/>
  <c r="AW219" i="1" s="1"/>
  <c r="AM1" i="1"/>
  <c r="AH100" i="1"/>
  <c r="AI85" i="1"/>
  <c r="AH84" i="1"/>
  <c r="AN176" i="1"/>
  <c r="AG171" i="1"/>
  <c r="AK174" i="1"/>
  <c r="AO181" i="1"/>
  <c r="AI164" i="1"/>
  <c r="AG146" i="1"/>
  <c r="AO156" i="1"/>
  <c r="AG168" i="1"/>
  <c r="AG128" i="1"/>
  <c r="AG161" i="1"/>
  <c r="AN115" i="1"/>
  <c r="AG132" i="1"/>
  <c r="AI140" i="1"/>
  <c r="AI124" i="1"/>
  <c r="AK110" i="1"/>
  <c r="AH98" i="1"/>
  <c r="AG109" i="1"/>
  <c r="AI204" i="1"/>
  <c r="AI106" i="1"/>
  <c r="AI93" i="1"/>
  <c r="AO90" i="1"/>
  <c r="AH123" i="1"/>
  <c r="AH162" i="1"/>
  <c r="AO107" i="1"/>
  <c r="AG86" i="1"/>
  <c r="AO77" i="1"/>
  <c r="AG85" i="1"/>
  <c r="AO191" i="1"/>
  <c r="AO197" i="1"/>
  <c r="AO211" i="1"/>
  <c r="AO206" i="1"/>
  <c r="AO224" i="1"/>
  <c r="AO163" i="1"/>
  <c r="AO154" i="1"/>
  <c r="AO134" i="1"/>
  <c r="AO113" i="1"/>
  <c r="AO95" i="1"/>
  <c r="AO103" i="1"/>
  <c r="AN197" i="1"/>
  <c r="AG183" i="1"/>
  <c r="AG78" i="1"/>
  <c r="AO208" i="1"/>
  <c r="AK173" i="1"/>
  <c r="AG144" i="1"/>
  <c r="AK153" i="1"/>
  <c r="AI168" i="1"/>
  <c r="AO159" i="1"/>
  <c r="AG162" i="1"/>
  <c r="AK170" i="1"/>
  <c r="AN116" i="1"/>
  <c r="AK111" i="1"/>
  <c r="AO149" i="1"/>
  <c r="AH115" i="1"/>
  <c r="AK133" i="1"/>
  <c r="AH132" i="1"/>
  <c r="AO136" i="1"/>
  <c r="AG103" i="1"/>
  <c r="AO144" i="1"/>
  <c r="AO104" i="1"/>
  <c r="AK82" i="1"/>
  <c r="AI185" i="1"/>
  <c r="AG104" i="1"/>
  <c r="AG92" i="1"/>
  <c r="AH127" i="1"/>
  <c r="AH170" i="1"/>
  <c r="AH85" i="1"/>
  <c r="AN102" i="1"/>
  <c r="AN202" i="1"/>
  <c r="AG149" i="1"/>
  <c r="AO232" i="1"/>
  <c r="AH213" i="1"/>
  <c r="AI200" i="1"/>
  <c r="AN200" i="1"/>
  <c r="AO209" i="1"/>
  <c r="AO189" i="1"/>
  <c r="AI170" i="1"/>
  <c r="AI152" i="1"/>
  <c r="AH174" i="1"/>
  <c r="AO174" i="1"/>
  <c r="AI159" i="1"/>
  <c r="AH140" i="1"/>
  <c r="AI150" i="1"/>
  <c r="AO168" i="1"/>
  <c r="AO158" i="1"/>
  <c r="AK152" i="1"/>
  <c r="AK157" i="1"/>
  <c r="AK169" i="1"/>
  <c r="AG129" i="1"/>
  <c r="AI130" i="1"/>
  <c r="AI115" i="1"/>
  <c r="AO127" i="1"/>
  <c r="AI132" i="1"/>
  <c r="AN135" i="1"/>
  <c r="AN120" i="1"/>
  <c r="AG90" i="1"/>
  <c r="AH103" i="1"/>
  <c r="AN93" i="1"/>
  <c r="AO97" i="1"/>
  <c r="AI228" i="1"/>
  <c r="AH104" i="1"/>
  <c r="AW125" i="1"/>
  <c r="AN89" i="1"/>
  <c r="AG76" i="1"/>
  <c r="AH131" i="1"/>
  <c r="AH154" i="1"/>
  <c r="AG114" i="1"/>
  <c r="AH83" i="1"/>
  <c r="AN190" i="1"/>
  <c r="AG188" i="1"/>
  <c r="AN76" i="1"/>
  <c r="AN199" i="1"/>
  <c r="AG181" i="1"/>
  <c r="AO192" i="1"/>
  <c r="AG174" i="1"/>
  <c r="AO175" i="1"/>
  <c r="AN155" i="1"/>
  <c r="AI166" i="1"/>
  <c r="AG150" i="1"/>
  <c r="AG157" i="1"/>
  <c r="AI149" i="1"/>
  <c r="AK159" i="1"/>
  <c r="AK171" i="1"/>
  <c r="AO123" i="1"/>
  <c r="AO157" i="1"/>
  <c r="AH147" i="1"/>
  <c r="AG112" i="1"/>
  <c r="AI131" i="1"/>
  <c r="AG97" i="1"/>
  <c r="AI123" i="1"/>
  <c r="AI214" i="1"/>
  <c r="AI104" i="1"/>
  <c r="AH114" i="1"/>
  <c r="AW188" i="1"/>
  <c r="AI116" i="1"/>
  <c r="AH121" i="1"/>
  <c r="AH158" i="1"/>
  <c r="AO96" i="1"/>
  <c r="AN107" i="1"/>
  <c r="AH111" i="1"/>
  <c r="AN109" i="1"/>
  <c r="AN82" i="1"/>
  <c r="AN191" i="1"/>
  <c r="AG217" i="1"/>
  <c r="AH79" i="1"/>
  <c r="AI181" i="1"/>
  <c r="AG185" i="1"/>
  <c r="AI174" i="1"/>
  <c r="AN157" i="1"/>
  <c r="AN148" i="1"/>
  <c r="AH157" i="1"/>
  <c r="AW159" i="1"/>
  <c r="AG151" i="1"/>
  <c r="AI147" i="1"/>
  <c r="AO160" i="1"/>
  <c r="AO133" i="1"/>
  <c r="AO137" i="1"/>
  <c r="AI107" i="1"/>
  <c r="AI144" i="1"/>
  <c r="AI225" i="1"/>
  <c r="AO112" i="1"/>
  <c r="AK92" i="1"/>
  <c r="AH122" i="1"/>
  <c r="AI94" i="1"/>
  <c r="AN105" i="1"/>
  <c r="AI111" i="1"/>
  <c r="AO78" i="1"/>
  <c r="AG106" i="1"/>
  <c r="AJ2" i="1"/>
  <c r="AN87" i="1"/>
  <c r="AI80" i="1"/>
  <c r="AN219" i="1"/>
  <c r="AG249" i="1"/>
  <c r="AH91" i="1"/>
  <c r="AO193" i="1"/>
  <c r="AO194" i="1"/>
  <c r="AI173" i="1"/>
  <c r="AN194" i="1"/>
  <c r="AH148" i="1"/>
  <c r="AO173" i="1"/>
  <c r="AI157" i="1"/>
  <c r="AG121" i="1"/>
  <c r="AO151" i="1"/>
  <c r="AK109" i="1"/>
  <c r="AI151" i="1"/>
  <c r="AO153" i="1"/>
  <c r="AG147" i="1"/>
  <c r="AG113" i="1"/>
  <c r="AH130" i="1"/>
  <c r="AI127" i="1"/>
  <c r="AH110" i="1"/>
  <c r="AH109" i="1"/>
  <c r="AO141" i="1"/>
  <c r="AI121" i="1"/>
  <c r="AI226" i="1"/>
  <c r="AK94" i="1"/>
  <c r="AG107" i="1"/>
  <c r="AW135" i="1"/>
  <c r="AO84" i="1"/>
  <c r="AH106" i="1"/>
  <c r="AH197" i="1"/>
  <c r="AG94" i="1"/>
  <c r="AN99" i="1"/>
  <c r="AN106" i="1"/>
  <c r="AG111" i="1"/>
  <c r="AN98" i="1"/>
  <c r="AO102" i="1"/>
  <c r="AO82" i="1"/>
  <c r="AG80" i="1"/>
  <c r="AN220" i="1"/>
  <c r="AI224" i="1"/>
  <c r="AK240" i="1"/>
  <c r="AO225" i="1"/>
  <c r="AI212" i="1"/>
  <c r="AN198" i="1"/>
  <c r="AN192" i="1"/>
  <c r="AN169" i="1"/>
  <c r="AK213" i="1"/>
  <c r="AG191" i="1"/>
  <c r="AO172" i="1"/>
  <c r="AH165" i="1"/>
  <c r="AG148" i="1"/>
  <c r="AH150" i="1"/>
  <c r="AK154" i="1"/>
  <c r="AH151" i="1"/>
  <c r="AK147" i="1"/>
  <c r="AI134" i="1"/>
  <c r="AH107" i="1"/>
  <c r="AH146" i="1"/>
  <c r="AI126" i="1"/>
  <c r="AO117" i="1"/>
  <c r="AH105" i="1"/>
  <c r="AI122" i="1"/>
  <c r="AI188" i="1"/>
  <c r="AK95" i="1"/>
  <c r="AI109" i="1"/>
  <c r="AW171" i="1"/>
  <c r="AN104" i="1"/>
  <c r="AN81" i="1"/>
  <c r="AG82" i="1"/>
  <c r="AH129" i="1"/>
  <c r="AH207" i="1"/>
  <c r="AG117" i="1"/>
  <c r="AH94" i="1"/>
  <c r="AN92" i="1"/>
  <c r="AH80" i="1"/>
  <c r="AN216" i="1"/>
  <c r="AO81" i="1"/>
  <c r="AN177" i="1"/>
  <c r="AI148" i="1"/>
  <c r="AG142" i="1"/>
  <c r="AK146" i="1"/>
  <c r="AG100" i="1"/>
  <c r="AO124" i="1"/>
  <c r="AG118" i="1"/>
  <c r="AO145" i="1"/>
  <c r="AI119" i="1"/>
  <c r="AI112" i="1"/>
  <c r="AO129" i="1"/>
  <c r="AO147" i="1"/>
  <c r="AI129" i="1"/>
  <c r="AI189" i="1"/>
  <c r="AO92" i="1"/>
  <c r="AW88" i="1"/>
  <c r="AW151" i="1"/>
  <c r="AW175" i="1"/>
  <c r="AI102" i="1"/>
  <c r="AG79" i="1"/>
  <c r="AH119" i="1"/>
  <c r="AH166" i="1"/>
  <c r="AH117" i="1"/>
  <c r="AH92" i="1"/>
  <c r="AG95" i="1"/>
  <c r="AN95" i="1"/>
  <c r="AO108" i="1"/>
  <c r="AO87" i="1"/>
  <c r="AI76" i="1"/>
  <c r="AK215" i="1"/>
  <c r="AI191" i="1"/>
  <c r="AN153" i="1"/>
  <c r="AH172" i="1"/>
  <c r="AO170" i="1"/>
  <c r="AO162" i="1"/>
  <c r="AN179" i="1"/>
  <c r="AG141" i="1"/>
  <c r="AO155" i="1"/>
  <c r="AH138" i="1"/>
  <c r="AK128" i="1"/>
  <c r="AK117" i="1"/>
  <c r="AI143" i="1"/>
  <c r="AG143" i="1"/>
  <c r="AH113" i="1"/>
  <c r="AO111" i="1"/>
  <c r="AO122" i="1"/>
  <c r="AG89" i="1"/>
  <c r="AI162" i="1"/>
  <c r="AI180" i="1"/>
  <c r="AG102" i="1"/>
  <c r="AI79" i="1"/>
  <c r="AH167" i="1"/>
  <c r="AH196" i="1"/>
  <c r="AI117" i="1"/>
  <c r="AI92" i="1"/>
  <c r="AO89" i="1"/>
  <c r="AG123" i="1"/>
  <c r="AN86" i="1"/>
  <c r="AI81" i="1"/>
  <c r="AG77" i="1"/>
  <c r="AN185" i="1"/>
  <c r="AN168" i="1"/>
  <c r="AH176" i="1"/>
  <c r="AO164" i="1"/>
  <c r="AN178" i="1"/>
  <c r="AI161" i="1"/>
  <c r="AG140" i="1"/>
  <c r="AI141" i="1"/>
  <c r="AG137" i="1"/>
  <c r="AI138" i="1"/>
  <c r="AO166" i="1"/>
  <c r="AG96" i="1"/>
  <c r="AH125" i="1"/>
  <c r="AO115" i="1"/>
  <c r="AI142" i="1"/>
  <c r="AH143" i="1"/>
  <c r="AO119" i="1"/>
  <c r="AI105" i="1"/>
  <c r="AG83" i="1"/>
  <c r="AI139" i="1"/>
  <c r="AI236" i="1"/>
  <c r="AH89" i="1"/>
  <c r="AG91" i="1"/>
  <c r="AW81" i="1"/>
  <c r="AW103" i="1"/>
  <c r="AW168" i="1"/>
  <c r="AW208" i="1"/>
  <c r="AH102" i="1"/>
  <c r="AI78" i="1"/>
  <c r="AH136" i="1"/>
  <c r="AH208" i="1"/>
  <c r="AH90" i="1"/>
  <c r="AG105" i="1"/>
  <c r="AW100" i="1"/>
  <c r="AG108" i="1"/>
  <c r="AO110" i="1"/>
  <c r="AN90" i="1"/>
  <c r="AI96" i="1"/>
  <c r="AG87" i="1"/>
  <c r="AA217" i="1"/>
  <c r="AA211" i="1"/>
  <c r="AA223" i="1"/>
  <c r="AA200" i="1"/>
  <c r="AA226" i="1"/>
  <c r="AA225" i="1"/>
  <c r="AA186" i="1"/>
  <c r="AA184" i="1"/>
  <c r="AA215" i="1"/>
  <c r="AA188" i="1"/>
  <c r="AA203" i="1"/>
  <c r="AA171" i="1"/>
  <c r="AA185" i="1"/>
  <c r="AA187" i="1"/>
  <c r="AA176" i="1"/>
  <c r="AA172" i="1"/>
  <c r="AA230" i="1"/>
  <c r="AA180" i="1"/>
  <c r="AA126" i="1"/>
  <c r="AA125" i="1"/>
  <c r="AA123" i="1"/>
  <c r="AA157" i="1"/>
  <c r="AA156" i="1"/>
  <c r="AA149" i="1"/>
  <c r="AA155" i="1"/>
  <c r="AA151" i="1"/>
  <c r="AA160" i="1"/>
  <c r="AA159" i="1"/>
  <c r="AA135" i="1"/>
  <c r="AA148" i="1"/>
  <c r="AA108" i="1"/>
  <c r="AA127" i="1"/>
  <c r="AA124" i="1"/>
  <c r="AA136" i="1"/>
  <c r="AA113" i="1"/>
  <c r="AA72" i="1"/>
  <c r="AA47" i="1"/>
  <c r="AA62" i="1"/>
  <c r="AA48" i="1"/>
  <c r="AA104" i="1"/>
  <c r="AA69" i="1"/>
  <c r="AA66" i="1"/>
  <c r="AA55" i="1"/>
  <c r="AA85" i="1"/>
  <c r="AA89" i="1"/>
  <c r="AA73" i="1"/>
  <c r="AA44" i="1"/>
  <c r="AA56" i="1"/>
  <c r="AA77" i="1"/>
  <c r="AA61" i="1"/>
  <c r="AA45" i="1"/>
  <c r="AG220" i="1"/>
  <c r="AK198" i="1"/>
  <c r="AG190" i="1"/>
  <c r="AN164" i="1"/>
  <c r="AN160" i="1"/>
  <c r="AO190" i="1"/>
  <c r="AO226" i="1"/>
  <c r="AI176" i="1"/>
  <c r="AI155" i="1"/>
  <c r="AN173" i="1"/>
  <c r="AG154" i="1"/>
  <c r="AG160" i="1"/>
  <c r="AI137" i="1"/>
  <c r="AG130" i="1"/>
  <c r="AO131" i="1"/>
  <c r="AK139" i="1"/>
  <c r="AO148" i="1"/>
  <c r="AI135" i="1"/>
  <c r="AO121" i="1"/>
  <c r="AH118" i="1"/>
  <c r="AH163" i="1"/>
  <c r="AH141" i="1"/>
  <c r="AI136" i="1"/>
  <c r="AI118" i="1"/>
  <c r="AI103" i="1"/>
  <c r="AH97" i="1"/>
  <c r="AO83" i="1"/>
  <c r="AI145" i="1"/>
  <c r="AK102" i="1"/>
  <c r="AH139" i="1"/>
  <c r="AH210" i="1"/>
  <c r="AW106" i="1"/>
  <c r="AK90" i="1"/>
  <c r="AH86" i="1"/>
  <c r="AH101" i="1"/>
  <c r="AH88" i="1"/>
  <c r="AI97" i="1"/>
  <c r="AO98" i="1"/>
  <c r="AH108" i="1"/>
  <c r="AI100" i="1"/>
  <c r="AI89" i="1"/>
  <c r="AI91" i="1"/>
  <c r="AO218" i="1"/>
  <c r="AG172" i="1"/>
  <c r="AW154" i="1"/>
  <c r="AN172" i="1"/>
  <c r="AI160" i="1"/>
  <c r="AN138" i="1"/>
  <c r="AH128" i="1"/>
  <c r="AN170" i="1"/>
  <c r="AK127" i="1"/>
  <c r="AW134" i="1"/>
  <c r="AO146" i="1"/>
  <c r="AI125" i="1"/>
  <c r="AO142" i="1"/>
  <c r="AO116" i="1"/>
  <c r="AO100" i="1"/>
  <c r="AH95" i="1"/>
  <c r="AN78" i="1"/>
  <c r="AI153" i="1"/>
  <c r="AW82" i="1"/>
  <c r="AW223" i="1"/>
  <c r="AW191" i="1"/>
  <c r="AK101" i="1"/>
  <c r="AH145" i="1"/>
  <c r="AH87" i="1"/>
  <c r="AN100" i="1"/>
  <c r="AO91" i="1"/>
  <c r="AI108" i="1"/>
  <c r="AN114" i="1"/>
  <c r="AN79" i="1"/>
  <c r="AG222" i="1"/>
  <c r="AN225" i="1"/>
  <c r="AI206" i="1"/>
  <c r="AH195" i="1"/>
  <c r="AW254" i="1"/>
  <c r="AG175" i="1"/>
  <c r="AO199" i="1"/>
  <c r="AI210" i="1"/>
  <c r="AO220" i="1"/>
  <c r="AK149" i="1"/>
  <c r="AN174" i="1"/>
  <c r="AK158" i="1"/>
  <c r="AN137" i="1"/>
  <c r="AI128" i="1"/>
  <c r="AO128" i="1"/>
  <c r="AN126" i="1"/>
  <c r="AK130" i="1"/>
  <c r="AO185" i="1"/>
  <c r="AO138" i="1"/>
  <c r="AG122" i="1"/>
  <c r="AO114" i="1"/>
  <c r="AL114" i="1"/>
  <c r="AW150" i="1"/>
  <c r="AG138" i="1"/>
  <c r="AK134" i="1"/>
  <c r="AI113" i="1"/>
  <c r="AN94" i="1"/>
  <c r="AH81" i="1"/>
  <c r="AO93" i="1"/>
  <c r="AO80" i="1"/>
  <c r="AO101" i="1"/>
  <c r="AN88" i="1"/>
  <c r="AO76" i="1"/>
  <c r="AL248" i="1" l="1"/>
  <c r="AW102" i="1"/>
  <c r="AW112" i="1"/>
  <c r="AW104" i="1"/>
  <c r="AW158" i="1"/>
  <c r="AW210" i="1"/>
  <c r="AW141" i="1"/>
  <c r="AW79" i="1"/>
  <c r="AW147" i="1"/>
  <c r="AW202" i="1"/>
  <c r="AW266" i="1"/>
  <c r="AW220" i="1"/>
  <c r="AW193" i="1"/>
  <c r="AW143" i="1"/>
  <c r="AW129" i="1"/>
  <c r="AW140" i="1"/>
  <c r="AW221" i="1"/>
  <c r="AW222" i="1"/>
  <c r="AW180" i="1"/>
  <c r="AW243" i="1"/>
  <c r="AW228" i="1"/>
  <c r="AW269" i="1"/>
  <c r="AW114" i="1"/>
  <c r="AL146" i="1"/>
  <c r="AW84" i="1"/>
  <c r="AW206" i="1"/>
  <c r="AW246" i="1"/>
  <c r="AW116" i="1"/>
  <c r="AW89" i="1"/>
  <c r="AW197" i="1"/>
  <c r="AL203" i="1"/>
  <c r="AW204" i="1"/>
  <c r="AW165" i="1"/>
  <c r="AW95" i="1"/>
  <c r="AW80" i="1"/>
  <c r="AW238" i="1"/>
  <c r="AL160" i="1"/>
  <c r="AW212" i="1"/>
  <c r="AW176" i="1"/>
  <c r="AW109" i="1"/>
  <c r="AW127" i="1"/>
  <c r="AW199" i="1"/>
  <c r="AW86" i="1"/>
  <c r="AW160" i="1"/>
  <c r="AW161" i="1"/>
  <c r="AL87" i="1"/>
  <c r="AW110" i="1"/>
  <c r="AW227" i="1"/>
  <c r="AW132" i="1"/>
  <c r="AW241" i="1"/>
  <c r="AW92" i="1"/>
  <c r="AW149" i="1"/>
  <c r="AW146" i="1"/>
  <c r="AW185" i="1"/>
  <c r="AW108" i="1"/>
  <c r="AW111" i="1"/>
  <c r="AW265" i="1"/>
  <c r="AW169" i="1"/>
  <c r="AW87" i="1"/>
  <c r="AL91" i="1"/>
  <c r="AW91" i="1"/>
  <c r="AW144" i="1"/>
  <c r="AW173" i="1"/>
  <c r="AW213" i="1"/>
  <c r="AW120" i="1"/>
  <c r="AW192" i="1"/>
  <c r="AW183" i="1"/>
  <c r="AW138" i="1"/>
  <c r="AW258" i="1"/>
  <c r="AW229" i="1"/>
  <c r="AW172" i="1"/>
  <c r="AW157" i="1"/>
  <c r="AW249" i="1"/>
  <c r="AW166" i="1"/>
  <c r="AT264" i="1"/>
  <c r="AL183" i="1"/>
  <c r="AL188" i="1"/>
  <c r="AT217" i="1"/>
  <c r="AL240" i="1"/>
  <c r="AL112" i="1"/>
  <c r="AL141" i="1"/>
  <c r="AL155" i="1"/>
  <c r="AL215" i="1"/>
  <c r="AT225" i="1"/>
  <c r="AL101" i="1"/>
  <c r="AL144" i="1"/>
  <c r="AL92" i="1"/>
  <c r="AL156" i="1"/>
  <c r="AL186" i="1"/>
  <c r="AL165" i="1"/>
  <c r="AL225" i="1"/>
  <c r="AL226" i="1"/>
  <c r="AL170" i="1"/>
  <c r="AL93" i="1"/>
  <c r="AL233" i="1"/>
  <c r="AT161" i="1"/>
  <c r="AH2" i="1"/>
  <c r="AR250" i="1" s="1"/>
  <c r="AH1" i="1"/>
  <c r="AR207" i="1" s="1"/>
  <c r="AL196" i="1"/>
  <c r="AL241" i="1"/>
  <c r="AK1" i="1"/>
  <c r="AU199" i="1" s="1"/>
  <c r="AK2" i="1"/>
  <c r="AU173" i="1" s="1"/>
  <c r="AT198" i="1"/>
  <c r="AT172" i="1"/>
  <c r="AL104" i="1"/>
  <c r="AL94" i="1"/>
  <c r="AL199" i="1"/>
  <c r="AL123" i="1"/>
  <c r="AT227" i="1"/>
  <c r="AL117" i="1"/>
  <c r="AT173" i="1"/>
  <c r="AL125" i="1"/>
  <c r="AL200" i="1"/>
  <c r="AT208" i="1"/>
  <c r="AL161" i="1"/>
  <c r="AL97" i="1"/>
  <c r="AT167" i="1"/>
  <c r="AT214" i="1"/>
  <c r="AL208" i="1"/>
  <c r="AL184" i="1"/>
  <c r="AT183" i="1"/>
  <c r="AL157" i="1"/>
  <c r="AL113" i="1"/>
  <c r="AL126" i="1"/>
  <c r="AL223" i="1"/>
  <c r="AT188" i="1"/>
  <c r="AL82" i="1"/>
  <c r="AL95" i="1"/>
  <c r="AL122" i="1"/>
  <c r="AL249" i="1"/>
  <c r="AT235" i="1"/>
  <c r="AL147" i="1"/>
  <c r="AL86" i="1"/>
  <c r="AL96" i="1"/>
  <c r="AT219" i="1"/>
  <c r="AL138" i="1"/>
  <c r="AL136" i="1"/>
  <c r="AL180" i="1"/>
  <c r="AL211" i="1"/>
  <c r="AT206" i="1"/>
  <c r="AL78" i="1"/>
  <c r="AL271" i="1"/>
  <c r="AY153" i="1"/>
  <c r="AL169" i="1"/>
  <c r="AL110" i="1"/>
  <c r="AL179" i="1"/>
  <c r="AL77" i="1"/>
  <c r="AL124" i="1"/>
  <c r="AL230" i="1"/>
  <c r="AL217" i="1"/>
  <c r="AL140" i="1"/>
  <c r="AL189" i="1"/>
  <c r="AL173" i="1"/>
  <c r="AT186" i="1"/>
  <c r="AL143" i="1"/>
  <c r="AT218" i="1"/>
  <c r="AL151" i="1"/>
  <c r="AL154" i="1"/>
  <c r="AL139" i="1"/>
  <c r="AT197" i="1"/>
  <c r="AL127" i="1"/>
  <c r="AL172" i="1"/>
  <c r="AT180" i="1"/>
  <c r="AL163" i="1"/>
  <c r="AR160" i="1"/>
  <c r="AT170" i="1"/>
  <c r="AL120" i="1"/>
  <c r="AL79" i="1"/>
  <c r="AU158" i="1"/>
  <c r="AT222" i="1"/>
  <c r="AL108" i="1"/>
  <c r="AL176" i="1"/>
  <c r="AT203" i="1"/>
  <c r="AT268" i="1"/>
  <c r="AL207" i="1"/>
  <c r="AL99" i="1"/>
  <c r="AT171" i="1"/>
  <c r="AL98" i="1"/>
  <c r="AL247" i="1"/>
  <c r="AL175" i="1"/>
  <c r="AL221" i="1"/>
  <c r="AL263" i="1"/>
  <c r="AL210" i="1"/>
  <c r="AL234" i="1"/>
  <c r="AL255" i="1"/>
  <c r="AL133" i="1"/>
  <c r="AL237" i="1"/>
  <c r="AL264" i="1"/>
  <c r="AL265" i="1"/>
  <c r="AL227" i="1"/>
  <c r="AL137" i="1"/>
  <c r="AL244" i="1"/>
  <c r="AL257" i="1"/>
  <c r="AL274" i="1"/>
  <c r="AL267" i="1"/>
  <c r="AL131" i="1"/>
  <c r="AL90" i="1"/>
  <c r="AL245" i="1"/>
  <c r="AL197" i="1"/>
  <c r="AL218" i="1"/>
  <c r="AL167" i="1"/>
  <c r="AL190" i="1"/>
  <c r="AL107" i="1"/>
  <c r="AL213" i="1"/>
  <c r="AL275" i="1"/>
  <c r="AL253" i="1"/>
  <c r="AL250" i="1"/>
  <c r="AL80" i="1"/>
  <c r="AL229" i="1"/>
  <c r="AL118" i="1"/>
  <c r="AL204" i="1"/>
  <c r="AL232" i="1"/>
  <c r="AL269" i="1"/>
  <c r="AL270" i="1"/>
  <c r="AL201" i="1"/>
  <c r="AL246" i="1"/>
  <c r="AL162" i="1"/>
  <c r="AL115" i="1"/>
  <c r="AL119" i="1"/>
  <c r="AL174" i="1"/>
  <c r="AL205" i="1"/>
  <c r="AL105" i="1"/>
  <c r="AL272" i="1"/>
  <c r="AL242" i="1"/>
  <c r="AL261" i="1"/>
  <c r="AL260" i="1"/>
  <c r="AL228" i="1"/>
  <c r="AL252" i="1"/>
  <c r="AL206" i="1"/>
  <c r="AL256" i="1"/>
  <c r="AL153" i="1"/>
  <c r="AL192" i="1"/>
  <c r="AL103" i="1"/>
  <c r="AL164" i="1"/>
  <c r="AL130" i="1"/>
  <c r="AL142" i="1"/>
  <c r="AL194" i="1"/>
  <c r="AL109" i="1"/>
  <c r="AL262" i="1"/>
  <c r="AL220" i="1"/>
  <c r="AL83" i="1"/>
  <c r="AL116" i="1"/>
  <c r="AL181" i="1"/>
  <c r="AL106" i="1"/>
  <c r="AL214" i="1"/>
  <c r="AL251" i="1"/>
  <c r="AL243" i="1"/>
  <c r="AL209" i="1"/>
  <c r="AL152" i="1"/>
  <c r="AL111" i="1"/>
  <c r="AL129" i="1"/>
  <c r="AL191" i="1"/>
  <c r="AL231" i="1"/>
  <c r="AL259" i="1"/>
  <c r="AL254" i="1"/>
  <c r="AL222" i="1"/>
  <c r="AL212" i="1"/>
  <c r="AL166" i="1"/>
  <c r="AL150" i="1"/>
  <c r="AL202" i="1"/>
  <c r="AL273" i="1"/>
  <c r="AL224" i="1"/>
  <c r="AL134" i="1"/>
  <c r="AL216" i="1"/>
  <c r="AL258" i="1"/>
  <c r="AL81" i="1"/>
  <c r="AL268" i="1"/>
  <c r="AL238" i="1"/>
  <c r="AL168" i="1"/>
  <c r="AL193" i="1"/>
  <c r="AL76" i="1"/>
  <c r="AL235" i="1"/>
  <c r="AO2" i="1"/>
  <c r="AY173" i="1" s="1"/>
  <c r="AO1" i="1"/>
  <c r="AY225" i="1" s="1"/>
  <c r="AL219" i="1"/>
  <c r="AL84" i="1"/>
  <c r="AT184" i="1"/>
  <c r="AL148" i="1"/>
  <c r="AL187" i="1"/>
  <c r="AL145" i="1"/>
  <c r="AR146" i="1"/>
  <c r="AL177" i="1"/>
  <c r="AL195" i="1"/>
  <c r="AT266" i="1"/>
  <c r="AL149" i="1"/>
  <c r="AL185" i="1"/>
  <c r="AL178" i="1"/>
  <c r="AL100" i="1"/>
  <c r="AL121" i="1"/>
  <c r="AT175" i="1"/>
  <c r="AL128" i="1"/>
  <c r="AL88" i="1"/>
  <c r="AL182" i="1"/>
  <c r="AT179" i="1"/>
  <c r="AT224" i="1"/>
  <c r="AL198" i="1"/>
  <c r="AL239" i="1"/>
  <c r="AT174" i="1"/>
  <c r="AT239" i="1"/>
  <c r="AT163" i="1"/>
  <c r="AL89" i="1"/>
  <c r="AL135" i="1"/>
  <c r="AT232" i="1"/>
  <c r="AR101" i="1"/>
  <c r="AL85" i="1"/>
  <c r="AL159" i="1"/>
  <c r="AL171" i="1"/>
  <c r="AL158" i="1"/>
  <c r="AI2" i="1"/>
  <c r="AS209" i="1" s="1"/>
  <c r="AI1" i="1"/>
  <c r="AL102" i="1"/>
  <c r="AT190" i="1"/>
  <c r="AL132" i="1"/>
  <c r="AT159" i="1"/>
  <c r="AR132" i="1"/>
  <c r="AL266" i="1"/>
  <c r="AT236" i="1"/>
  <c r="AT271" i="1"/>
  <c r="AL236" i="1"/>
  <c r="AT182" i="1"/>
  <c r="AW156" i="1"/>
  <c r="AR114" i="1"/>
  <c r="AU159" i="1"/>
  <c r="AW121" i="1"/>
  <c r="AW136" i="1"/>
  <c r="AT162" i="1"/>
  <c r="AW122" i="1"/>
  <c r="AY275" i="1"/>
  <c r="AW217" i="1"/>
  <c r="AT270" i="1"/>
  <c r="AT249" i="1"/>
  <c r="AS227" i="1"/>
  <c r="AT195" i="1"/>
  <c r="AW164" i="1"/>
  <c r="AU85" i="1"/>
  <c r="AW182" i="1"/>
  <c r="AW101" i="1"/>
  <c r="AT204" i="1"/>
  <c r="AR111" i="1"/>
  <c r="AN1" i="1"/>
  <c r="AX157" i="1" s="1"/>
  <c r="AN2" i="1"/>
  <c r="AU152" i="1"/>
  <c r="AT187" i="1"/>
  <c r="AW203" i="1"/>
  <c r="AW118" i="1"/>
  <c r="AW142" i="1"/>
  <c r="AR77" i="1"/>
  <c r="AW190" i="1"/>
  <c r="AT202" i="1"/>
  <c r="AT260" i="1"/>
  <c r="AW264" i="1"/>
  <c r="AT255" i="1"/>
  <c r="AT216" i="1"/>
  <c r="AR189" i="1"/>
  <c r="AW242" i="1"/>
  <c r="AR233" i="1"/>
  <c r="AW234" i="1"/>
  <c r="AW211" i="1"/>
  <c r="AT245" i="1"/>
  <c r="AW261" i="1"/>
  <c r="AW167" i="1"/>
  <c r="AW145" i="1"/>
  <c r="AY97" i="1"/>
  <c r="AW170" i="1"/>
  <c r="AW85" i="1"/>
  <c r="AW177" i="1"/>
  <c r="AW196" i="1"/>
  <c r="AR93" i="1"/>
  <c r="AR133" i="1"/>
  <c r="AW113" i="1"/>
  <c r="AW271" i="1"/>
  <c r="AT253" i="1"/>
  <c r="AT250" i="1"/>
  <c r="AT244" i="1"/>
  <c r="AU125" i="1"/>
  <c r="AR188" i="1"/>
  <c r="AT269" i="1"/>
  <c r="AT152" i="1"/>
  <c r="AT135" i="1"/>
  <c r="AT131" i="1"/>
  <c r="AT124" i="1"/>
  <c r="AT151" i="1"/>
  <c r="AT148" i="1"/>
  <c r="AT146" i="1"/>
  <c r="AT153" i="1"/>
  <c r="AT147" i="1"/>
  <c r="AT110" i="1"/>
  <c r="AT127" i="1"/>
  <c r="AT139" i="1"/>
  <c r="AT143" i="1"/>
  <c r="AT140" i="1"/>
  <c r="AT142" i="1"/>
  <c r="AT126" i="1"/>
  <c r="AT108" i="1"/>
  <c r="AT129" i="1"/>
  <c r="AT134" i="1"/>
  <c r="AT91" i="1"/>
  <c r="AT76" i="1"/>
  <c r="AT103" i="1"/>
  <c r="AT125" i="1"/>
  <c r="AT105" i="1"/>
  <c r="AT111" i="1"/>
  <c r="AT86" i="1"/>
  <c r="AT85" i="1"/>
  <c r="AT90" i="1"/>
  <c r="AT88" i="1"/>
  <c r="AT87" i="1"/>
  <c r="AT92" i="1"/>
  <c r="AT93" i="1"/>
  <c r="AT80" i="1"/>
  <c r="AT96" i="1"/>
  <c r="AT94" i="1"/>
  <c r="AT115" i="1"/>
  <c r="AT118" i="1"/>
  <c r="AT136" i="1"/>
  <c r="AT114" i="1"/>
  <c r="AT138" i="1"/>
  <c r="AT101" i="1"/>
  <c r="AT84" i="1"/>
  <c r="AT89" i="1"/>
  <c r="AT99" i="1"/>
  <c r="AT145" i="1"/>
  <c r="AT132" i="1"/>
  <c r="AT128" i="1"/>
  <c r="AT120" i="1"/>
  <c r="AT133" i="1"/>
  <c r="AT158" i="1"/>
  <c r="AT104" i="1"/>
  <c r="AT149" i="1"/>
  <c r="AT121" i="1"/>
  <c r="AT100" i="1"/>
  <c r="AT155" i="1"/>
  <c r="AT95" i="1"/>
  <c r="AT106" i="1"/>
  <c r="AT141" i="1"/>
  <c r="AT157" i="1"/>
  <c r="AT82" i="1"/>
  <c r="AT123" i="1"/>
  <c r="AT130" i="1"/>
  <c r="AT77" i="1"/>
  <c r="AT119" i="1"/>
  <c r="AT117" i="1"/>
  <c r="AT168" i="1"/>
  <c r="AT154" i="1"/>
  <c r="AT150" i="1"/>
  <c r="AT81" i="1"/>
  <c r="AT83" i="1"/>
  <c r="AT98" i="1"/>
  <c r="AT112" i="1"/>
  <c r="AT97" i="1"/>
  <c r="AT113" i="1"/>
  <c r="AT79" i="1"/>
  <c r="AT102" i="1"/>
  <c r="AT116" i="1"/>
  <c r="AT137" i="1"/>
  <c r="AT109" i="1"/>
  <c r="AT107" i="1"/>
  <c r="AT78" i="1"/>
  <c r="AT144" i="1"/>
  <c r="AT122" i="1"/>
  <c r="AR157" i="1"/>
  <c r="AW128" i="1"/>
  <c r="AW99" i="1"/>
  <c r="AT209" i="1"/>
  <c r="AW139" i="1"/>
  <c r="AW205" i="1"/>
  <c r="AT273" i="1"/>
  <c r="AT238" i="1"/>
  <c r="AR239" i="1"/>
  <c r="AW262" i="1"/>
  <c r="AT215" i="1"/>
  <c r="AR273" i="1"/>
  <c r="AT194" i="1"/>
  <c r="AY186" i="1"/>
  <c r="AT247" i="1"/>
  <c r="AU140" i="1"/>
  <c r="AU126" i="1"/>
  <c r="AT251" i="1"/>
  <c r="AT160" i="1"/>
  <c r="AW163" i="1"/>
  <c r="AW195" i="1"/>
  <c r="AW162" i="1"/>
  <c r="AT166" i="1"/>
  <c r="AR170" i="1"/>
  <c r="AY136" i="1"/>
  <c r="AW155" i="1"/>
  <c r="AY211" i="1"/>
  <c r="AW96" i="1"/>
  <c r="AW194" i="1"/>
  <c r="AR245" i="1"/>
  <c r="AW267" i="1"/>
  <c r="AT237" i="1"/>
  <c r="AT233" i="1"/>
  <c r="AT210" i="1"/>
  <c r="AW247" i="1"/>
  <c r="AW224" i="1"/>
  <c r="AT231" i="1"/>
  <c r="AY217" i="1"/>
  <c r="AY143" i="1"/>
  <c r="AW251" i="1"/>
  <c r="AR204" i="1"/>
  <c r="AT252" i="1"/>
  <c r="AU131" i="1"/>
  <c r="AR218" i="1"/>
  <c r="AT191" i="1"/>
  <c r="AW218" i="1"/>
  <c r="AU133" i="1"/>
  <c r="AR84" i="1"/>
  <c r="AW94" i="1"/>
  <c r="AY130" i="1"/>
  <c r="AT176" i="1"/>
  <c r="AR253" i="1"/>
  <c r="AW245" i="1"/>
  <c r="AW239" i="1"/>
  <c r="AW256" i="1"/>
  <c r="AT205" i="1"/>
  <c r="AW268" i="1"/>
  <c r="AY210" i="1"/>
  <c r="AY240" i="1"/>
  <c r="AU218" i="1"/>
  <c r="AT241" i="1"/>
  <c r="AW237" i="1"/>
  <c r="AU247" i="1"/>
  <c r="AU202" i="1"/>
  <c r="AU176" i="1"/>
  <c r="AW215" i="1"/>
  <c r="AW252" i="1"/>
  <c r="AW255" i="1"/>
  <c r="AW105" i="1"/>
  <c r="AT212" i="1"/>
  <c r="AT164" i="1"/>
  <c r="AW124" i="1"/>
  <c r="AY192" i="1"/>
  <c r="AT192" i="1"/>
  <c r="AW189" i="1"/>
  <c r="AR142" i="1"/>
  <c r="AT177" i="1"/>
  <c r="AR231" i="1"/>
  <c r="AT221" i="1"/>
  <c r="AT234" i="1"/>
  <c r="AW257" i="1"/>
  <c r="AU232" i="1"/>
  <c r="AT229" i="1"/>
  <c r="AR190" i="1"/>
  <c r="AU137" i="1"/>
  <c r="AU156" i="1"/>
  <c r="AU99" i="1"/>
  <c r="AR248" i="1"/>
  <c r="AR155" i="1"/>
  <c r="AT185" i="1"/>
  <c r="AW235" i="1"/>
  <c r="AW209" i="1"/>
  <c r="AR100" i="1"/>
  <c r="AW174" i="1"/>
  <c r="AW186" i="1"/>
  <c r="AR238" i="1"/>
  <c r="AU132" i="1"/>
  <c r="AT258" i="1"/>
  <c r="AW250" i="1"/>
  <c r="AW274" i="1"/>
  <c r="AW270" i="1"/>
  <c r="AR223" i="1"/>
  <c r="AR256" i="1"/>
  <c r="AW260" i="1"/>
  <c r="AW236" i="1"/>
  <c r="AT199" i="1"/>
  <c r="AU269" i="1"/>
  <c r="AU81" i="1"/>
  <c r="AU89" i="1"/>
  <c r="AU168" i="1"/>
  <c r="AR185" i="1"/>
  <c r="AR227" i="1"/>
  <c r="AY228" i="1"/>
  <c r="AW119" i="1"/>
  <c r="AU94" i="1"/>
  <c r="AY194" i="1"/>
  <c r="AW198" i="1"/>
  <c r="AG2" i="1"/>
  <c r="AQ256" i="1" s="1"/>
  <c r="AG1" i="1"/>
  <c r="AW131" i="1"/>
  <c r="AR174" i="1"/>
  <c r="AT201" i="1"/>
  <c r="AW152" i="1"/>
  <c r="AU111" i="1"/>
  <c r="AY77" i="1"/>
  <c r="AW123" i="1"/>
  <c r="AU216" i="1"/>
  <c r="AT243" i="1"/>
  <c r="AU221" i="1"/>
  <c r="AT254" i="1"/>
  <c r="AW226" i="1"/>
  <c r="AW275" i="1"/>
  <c r="AY200" i="1"/>
  <c r="AR255" i="1"/>
  <c r="AT274" i="1"/>
  <c r="AW230" i="1"/>
  <c r="AU163" i="1"/>
  <c r="AU91" i="1"/>
  <c r="AU151" i="1"/>
  <c r="AU192" i="1"/>
  <c r="AR206" i="1"/>
  <c r="AT189" i="1"/>
  <c r="AT200" i="1"/>
  <c r="AT223" i="1"/>
  <c r="AT263" i="1"/>
  <c r="AY237" i="1"/>
  <c r="AW240" i="1"/>
  <c r="AR272" i="1"/>
  <c r="AT265" i="1"/>
  <c r="AY120" i="1"/>
  <c r="AW259" i="1"/>
  <c r="AR211" i="1"/>
  <c r="AY169" i="1"/>
  <c r="AT275" i="1"/>
  <c r="AT257" i="1"/>
  <c r="AU150" i="1"/>
  <c r="AU177" i="1"/>
  <c r="AU191" i="1"/>
  <c r="AR237" i="1"/>
  <c r="AT230" i="1"/>
  <c r="AW232" i="1"/>
  <c r="AU92" i="1"/>
  <c r="AW179" i="1"/>
  <c r="AT220" i="1"/>
  <c r="AW187" i="1"/>
  <c r="AW178" i="1"/>
  <c r="AW126" i="1"/>
  <c r="AW130" i="1"/>
  <c r="AW115" i="1"/>
  <c r="AW76" i="1"/>
  <c r="AW207" i="1"/>
  <c r="AU116" i="1"/>
  <c r="AW233" i="1"/>
  <c r="AT248" i="1"/>
  <c r="AR249" i="1"/>
  <c r="AT228" i="1"/>
  <c r="AR226" i="1"/>
  <c r="AU160" i="1"/>
  <c r="AY177" i="1"/>
  <c r="AT193" i="1"/>
  <c r="AT256" i="1"/>
  <c r="AT262" i="1"/>
  <c r="AR242" i="1"/>
  <c r="AW93" i="1"/>
  <c r="AU122" i="1"/>
  <c r="AU201" i="1"/>
  <c r="AU143" i="1"/>
  <c r="AU129" i="1"/>
  <c r="AU86" i="1"/>
  <c r="AW90" i="1"/>
  <c r="AW98" i="1"/>
  <c r="AW77" i="1"/>
  <c r="AW78" i="1"/>
  <c r="AT156" i="1"/>
  <c r="AW153" i="1"/>
  <c r="AR184" i="1"/>
  <c r="AT207" i="1"/>
  <c r="AW248" i="1"/>
  <c r="AW273" i="1"/>
  <c r="AT213" i="1"/>
  <c r="AW225" i="1"/>
  <c r="AR261" i="1"/>
  <c r="AT242" i="1"/>
  <c r="AT165" i="1"/>
  <c r="AT261" i="1"/>
  <c r="AU184" i="1"/>
  <c r="AT267" i="1"/>
  <c r="AT226" i="1"/>
  <c r="AT211" i="1"/>
  <c r="AW201" i="1"/>
  <c r="AU113" i="1"/>
  <c r="AU145" i="1"/>
  <c r="AU103" i="1"/>
  <c r="AU203" i="1"/>
  <c r="AR260" i="1"/>
  <c r="AW200" i="1"/>
  <c r="AR264" i="1"/>
  <c r="AW184" i="1"/>
  <c r="AW97" i="1"/>
  <c r="AR150" i="1"/>
  <c r="AW214" i="1"/>
  <c r="AW231" i="1"/>
  <c r="AW181" i="1"/>
  <c r="AW83" i="1"/>
  <c r="AU171" i="1"/>
  <c r="AW133" i="1"/>
  <c r="AS130" i="1"/>
  <c r="AS170" i="1"/>
  <c r="AY95" i="1"/>
  <c r="AT169" i="1"/>
  <c r="AW107" i="1"/>
  <c r="AW117" i="1"/>
  <c r="AW137" i="1"/>
  <c r="AT178" i="1"/>
  <c r="AR186" i="1"/>
  <c r="AW263" i="1"/>
  <c r="AR120" i="1"/>
  <c r="AY273" i="1"/>
  <c r="AT259" i="1"/>
  <c r="AW216" i="1"/>
  <c r="AT181" i="1"/>
  <c r="AU119" i="1"/>
  <c r="AW244" i="1"/>
  <c r="AW272" i="1"/>
  <c r="AT272" i="1"/>
  <c r="AT246" i="1"/>
  <c r="AS171" i="1"/>
  <c r="AW148" i="1"/>
  <c r="AT196" i="1"/>
  <c r="AU93" i="1"/>
  <c r="AU88" i="1"/>
  <c r="AU135" i="1"/>
  <c r="AU112" i="1"/>
  <c r="AR244" i="1"/>
  <c r="AR224" i="1"/>
  <c r="AR192" i="1"/>
  <c r="AT240" i="1"/>
  <c r="AU217" i="1" l="1"/>
  <c r="AR110" i="1"/>
  <c r="AR89" i="1"/>
  <c r="AY102" i="1"/>
  <c r="AY218" i="1"/>
  <c r="AY103" i="1"/>
  <c r="AS272" i="1"/>
  <c r="AY233" i="1"/>
  <c r="AY221" i="1"/>
  <c r="AU120" i="1"/>
  <c r="AU185" i="1"/>
  <c r="AY135" i="1"/>
  <c r="AU108" i="1"/>
  <c r="AY270" i="1"/>
  <c r="AU138" i="1"/>
  <c r="AY253" i="1"/>
  <c r="AY133" i="1"/>
  <c r="AY263" i="1"/>
  <c r="AR267" i="1"/>
  <c r="AR212" i="1"/>
  <c r="AR82" i="1"/>
  <c r="AU198" i="1"/>
  <c r="AR92" i="1"/>
  <c r="AR99" i="1"/>
  <c r="AY235" i="1"/>
  <c r="AY145" i="1"/>
  <c r="AU213" i="1"/>
  <c r="AY178" i="1"/>
  <c r="AY205" i="1"/>
  <c r="AU205" i="1"/>
  <c r="AY172" i="1"/>
  <c r="AU204" i="1"/>
  <c r="AU195" i="1"/>
  <c r="AU110" i="1"/>
  <c r="AY246" i="1"/>
  <c r="AU241" i="1"/>
  <c r="AY174" i="1"/>
  <c r="AR144" i="1"/>
  <c r="AU260" i="1"/>
  <c r="AY84" i="1"/>
  <c r="AY148" i="1"/>
  <c r="AU252" i="1"/>
  <c r="AY274" i="1"/>
  <c r="AU175" i="1"/>
  <c r="AU78" i="1"/>
  <c r="AR235" i="1"/>
  <c r="AY230" i="1"/>
  <c r="AR240" i="1"/>
  <c r="AR213" i="1"/>
  <c r="AR266" i="1"/>
  <c r="AR194" i="1"/>
  <c r="AU109" i="1"/>
  <c r="AR270" i="1"/>
  <c r="AR134" i="1"/>
  <c r="AS223" i="1"/>
  <c r="AS218" i="1"/>
  <c r="AR220" i="1"/>
  <c r="AU227" i="1"/>
  <c r="AS211" i="1"/>
  <c r="AY206" i="1"/>
  <c r="AU118" i="1"/>
  <c r="AR123" i="1"/>
  <c r="AR128" i="1"/>
  <c r="AU134" i="1"/>
  <c r="AU222" i="1"/>
  <c r="AR274" i="1"/>
  <c r="AU229" i="1"/>
  <c r="AY80" i="1"/>
  <c r="AU169" i="1"/>
  <c r="AU107" i="1"/>
  <c r="AY88" i="1"/>
  <c r="AU142" i="1"/>
  <c r="AU79" i="1"/>
  <c r="AU196" i="1"/>
  <c r="AU82" i="1"/>
  <c r="AY249" i="1"/>
  <c r="AU233" i="1"/>
  <c r="AY180" i="1"/>
  <c r="AY124" i="1"/>
  <c r="AR254" i="1"/>
  <c r="AY176" i="1"/>
  <c r="AY157" i="1"/>
  <c r="AR265" i="1"/>
  <c r="AU161" i="1"/>
  <c r="AY125" i="1"/>
  <c r="AY260" i="1"/>
  <c r="AU179" i="1"/>
  <c r="AR156" i="1"/>
  <c r="AU250" i="1"/>
  <c r="AY262" i="1"/>
  <c r="AU231" i="1"/>
  <c r="AU188" i="1"/>
  <c r="AU261" i="1"/>
  <c r="AY189" i="1"/>
  <c r="AY155" i="1"/>
  <c r="AR262" i="1"/>
  <c r="AU211" i="1"/>
  <c r="AR232" i="1"/>
  <c r="AU183" i="1"/>
  <c r="AR178" i="1"/>
  <c r="AU224" i="1"/>
  <c r="AR115" i="1"/>
  <c r="AU83" i="1"/>
  <c r="AR275" i="1"/>
  <c r="AU123" i="1"/>
  <c r="AR205" i="1"/>
  <c r="AY168" i="1"/>
  <c r="AU186" i="1"/>
  <c r="AR85" i="1"/>
  <c r="AU189" i="1"/>
  <c r="AS145" i="1"/>
  <c r="AR158" i="1"/>
  <c r="AR197" i="1"/>
  <c r="AU102" i="1"/>
  <c r="AR166" i="1"/>
  <c r="AY202" i="1"/>
  <c r="AX77" i="1"/>
  <c r="AY268" i="1"/>
  <c r="AR175" i="1"/>
  <c r="AR97" i="1"/>
  <c r="AQ169" i="1"/>
  <c r="AX88" i="1"/>
  <c r="AX226" i="1"/>
  <c r="AQ85" i="1"/>
  <c r="AQ150" i="1"/>
  <c r="AQ155" i="1"/>
  <c r="AX233" i="1"/>
  <c r="AX190" i="1"/>
  <c r="AS245" i="1"/>
  <c r="AQ77" i="1"/>
  <c r="AS96" i="1"/>
  <c r="AQ199" i="1"/>
  <c r="AQ243" i="1"/>
  <c r="AX187" i="1"/>
  <c r="AQ275" i="1"/>
  <c r="AQ274" i="1"/>
  <c r="AQ263" i="1"/>
  <c r="AX272" i="1"/>
  <c r="AX160" i="1"/>
  <c r="AX126" i="1"/>
  <c r="AX181" i="1"/>
  <c r="AQ115" i="1"/>
  <c r="AQ237" i="1"/>
  <c r="AQ235" i="1"/>
  <c r="AQ255" i="1"/>
  <c r="AS123" i="1"/>
  <c r="AX274" i="1"/>
  <c r="AX222" i="1"/>
  <c r="AQ258" i="1"/>
  <c r="AS217" i="1"/>
  <c r="AS144" i="1"/>
  <c r="AX121" i="1"/>
  <c r="AS240" i="1"/>
  <c r="AX151" i="1"/>
  <c r="AS236" i="1"/>
  <c r="AQ251" i="1"/>
  <c r="AQ179" i="1"/>
  <c r="AQ248" i="1"/>
  <c r="AQ176" i="1"/>
  <c r="AX130" i="1"/>
  <c r="AX105" i="1"/>
  <c r="AS208" i="1"/>
  <c r="AX268" i="1"/>
  <c r="AS207" i="1"/>
  <c r="AS266" i="1"/>
  <c r="AX203" i="1"/>
  <c r="AX208" i="1"/>
  <c r="AQ241" i="1"/>
  <c r="AS256" i="1"/>
  <c r="AX188" i="1"/>
  <c r="AS179" i="1"/>
  <c r="AQ198" i="1"/>
  <c r="AQ76" i="1"/>
  <c r="AQ181" i="1"/>
  <c r="AQ228" i="1"/>
  <c r="AX220" i="1"/>
  <c r="AQ106" i="1"/>
  <c r="AS215" i="1"/>
  <c r="AS196" i="1"/>
  <c r="AX175" i="1"/>
  <c r="AS202" i="1"/>
  <c r="AQ271" i="1"/>
  <c r="AX133" i="1"/>
  <c r="AX138" i="1"/>
  <c r="AS97" i="1"/>
  <c r="AQ195" i="1"/>
  <c r="AX256" i="1"/>
  <c r="AX245" i="1"/>
  <c r="AX263" i="1"/>
  <c r="AX264" i="1"/>
  <c r="AX199" i="1"/>
  <c r="AQ233" i="1"/>
  <c r="AQ187" i="1"/>
  <c r="AQ201" i="1"/>
  <c r="AQ205" i="1"/>
  <c r="AQ193" i="1"/>
  <c r="AQ182" i="1"/>
  <c r="AQ124" i="1"/>
  <c r="AQ206" i="1"/>
  <c r="AQ192" i="1"/>
  <c r="AQ246" i="1"/>
  <c r="AQ197" i="1"/>
  <c r="AQ96" i="1"/>
  <c r="AQ234" i="1"/>
  <c r="AQ144" i="1"/>
  <c r="AQ261" i="1"/>
  <c r="AQ225" i="1"/>
  <c r="AQ166" i="1"/>
  <c r="AQ110" i="1"/>
  <c r="AQ185" i="1"/>
  <c r="AQ135" i="1"/>
  <c r="AQ151" i="1"/>
  <c r="AQ114" i="1"/>
  <c r="AQ231" i="1"/>
  <c r="AQ79" i="1"/>
  <c r="AQ156" i="1"/>
  <c r="AQ117" i="1"/>
  <c r="AQ160" i="1"/>
  <c r="AQ266" i="1"/>
  <c r="AQ91" i="1"/>
  <c r="AQ98" i="1"/>
  <c r="AQ227" i="1"/>
  <c r="AQ219" i="1"/>
  <c r="AQ126" i="1"/>
  <c r="AQ141" i="1"/>
  <c r="AQ209" i="1"/>
  <c r="AQ174" i="1"/>
  <c r="AQ226" i="1"/>
  <c r="AQ264" i="1"/>
  <c r="AQ230" i="1"/>
  <c r="AQ170" i="1"/>
  <c r="AQ180" i="1"/>
  <c r="AQ247" i="1"/>
  <c r="AQ148" i="1"/>
  <c r="AQ153" i="1"/>
  <c r="AQ118" i="1"/>
  <c r="AQ95" i="1"/>
  <c r="AQ222" i="1"/>
  <c r="AQ145" i="1"/>
  <c r="AQ172" i="1"/>
  <c r="AQ147" i="1"/>
  <c r="AQ116" i="1"/>
  <c r="AQ101" i="1"/>
  <c r="AQ249" i="1"/>
  <c r="AQ239" i="1"/>
  <c r="AQ175" i="1"/>
  <c r="AQ100" i="1"/>
  <c r="AQ122" i="1"/>
  <c r="AQ94" i="1"/>
  <c r="AQ157" i="1"/>
  <c r="AQ133" i="1"/>
  <c r="AQ104" i="1"/>
  <c r="AQ130" i="1"/>
  <c r="AQ154" i="1"/>
  <c r="AQ121" i="1"/>
  <c r="AQ191" i="1"/>
  <c r="AQ220" i="1"/>
  <c r="AQ131" i="1"/>
  <c r="AQ270" i="1"/>
  <c r="AQ97" i="1"/>
  <c r="AQ139" i="1"/>
  <c r="AQ214" i="1"/>
  <c r="AQ250" i="1"/>
  <c r="AQ149" i="1"/>
  <c r="AQ105" i="1"/>
  <c r="AQ163" i="1"/>
  <c r="AQ129" i="1"/>
  <c r="AQ171" i="1"/>
  <c r="AQ223" i="1"/>
  <c r="AQ259" i="1"/>
  <c r="AQ140" i="1"/>
  <c r="AQ217" i="1"/>
  <c r="AQ215" i="1"/>
  <c r="AQ158" i="1"/>
  <c r="AQ204" i="1"/>
  <c r="AQ188" i="1"/>
  <c r="AQ134" i="1"/>
  <c r="AQ216" i="1"/>
  <c r="AQ268" i="1"/>
  <c r="AQ208" i="1"/>
  <c r="AQ112" i="1"/>
  <c r="AQ78" i="1"/>
  <c r="AQ238" i="1"/>
  <c r="AQ267" i="1"/>
  <c r="AQ190" i="1"/>
  <c r="AQ120" i="1"/>
  <c r="AQ236" i="1"/>
  <c r="AQ162" i="1"/>
  <c r="AQ81" i="1"/>
  <c r="AQ207" i="1"/>
  <c r="AQ125" i="1"/>
  <c r="AQ184" i="1"/>
  <c r="AQ168" i="1"/>
  <c r="AQ84" i="1"/>
  <c r="AQ186" i="1"/>
  <c r="AQ177" i="1"/>
  <c r="AQ213" i="1"/>
  <c r="AQ89" i="1"/>
  <c r="AQ102" i="1"/>
  <c r="AQ108" i="1"/>
  <c r="AQ109" i="1"/>
  <c r="AQ212" i="1"/>
  <c r="AQ83" i="1"/>
  <c r="AQ143" i="1"/>
  <c r="AQ87" i="1"/>
  <c r="AQ137" i="1"/>
  <c r="AQ183" i="1"/>
  <c r="AQ103" i="1"/>
  <c r="AQ210" i="1"/>
  <c r="AQ200" i="1"/>
  <c r="AQ136" i="1"/>
  <c r="AQ273" i="1"/>
  <c r="AQ178" i="1"/>
  <c r="AS187" i="1"/>
  <c r="AQ113" i="1"/>
  <c r="AQ262" i="1"/>
  <c r="AS220" i="1"/>
  <c r="AS166" i="1"/>
  <c r="AQ224" i="1"/>
  <c r="AQ88" i="1"/>
  <c r="AX174" i="1"/>
  <c r="AX211" i="1"/>
  <c r="AQ252" i="1"/>
  <c r="AX225" i="1"/>
  <c r="AX167" i="1"/>
  <c r="AQ159" i="1"/>
  <c r="AX196" i="1"/>
  <c r="AX106" i="1"/>
  <c r="AQ232" i="1"/>
  <c r="AX246" i="1"/>
  <c r="AQ203" i="1"/>
  <c r="AQ107" i="1"/>
  <c r="AS258" i="1"/>
  <c r="AS252" i="1"/>
  <c r="AX249" i="1"/>
  <c r="AX163" i="1"/>
  <c r="AQ111" i="1"/>
  <c r="AS257" i="1"/>
  <c r="AX96" i="1"/>
  <c r="AX215" i="1"/>
  <c r="AQ119" i="1"/>
  <c r="AX214" i="1"/>
  <c r="AX275" i="1"/>
  <c r="AS183" i="1"/>
  <c r="AS219" i="1"/>
  <c r="AS157" i="1"/>
  <c r="AQ127" i="1"/>
  <c r="AQ269" i="1"/>
  <c r="AS94" i="1"/>
  <c r="AQ196" i="1"/>
  <c r="AQ80" i="1"/>
  <c r="AQ164" i="1"/>
  <c r="AS225" i="1"/>
  <c r="AX82" i="1"/>
  <c r="AQ142" i="1"/>
  <c r="AQ123" i="1"/>
  <c r="AX252" i="1"/>
  <c r="AQ240" i="1"/>
  <c r="AS249" i="1"/>
  <c r="AX128" i="1"/>
  <c r="AX198" i="1"/>
  <c r="AS254" i="1"/>
  <c r="AQ93" i="1"/>
  <c r="AQ173" i="1"/>
  <c r="AQ245" i="1"/>
  <c r="AQ99" i="1"/>
  <c r="AQ161" i="1"/>
  <c r="AX104" i="1"/>
  <c r="AX122" i="1"/>
  <c r="AS84" i="1"/>
  <c r="AX87" i="1"/>
  <c r="AQ86" i="1"/>
  <c r="AQ265" i="1"/>
  <c r="AX166" i="1"/>
  <c r="AQ229" i="1"/>
  <c r="AQ189" i="1"/>
  <c r="AX142" i="1"/>
  <c r="AS116" i="1"/>
  <c r="AS158" i="1"/>
  <c r="AQ165" i="1"/>
  <c r="AQ218" i="1"/>
  <c r="AX161" i="1"/>
  <c r="AS146" i="1"/>
  <c r="AS271" i="1"/>
  <c r="AX273" i="1"/>
  <c r="AX154" i="1"/>
  <c r="AX141" i="1"/>
  <c r="AQ202" i="1"/>
  <c r="AX117" i="1"/>
  <c r="AX227" i="1"/>
  <c r="AS76" i="1"/>
  <c r="AX218" i="1"/>
  <c r="AS230" i="1"/>
  <c r="AS232" i="1"/>
  <c r="AX209" i="1"/>
  <c r="AS79" i="1"/>
  <c r="AX112" i="1"/>
  <c r="AS241" i="1"/>
  <c r="AX169" i="1"/>
  <c r="AX259" i="1"/>
  <c r="AQ92" i="1"/>
  <c r="AS120" i="1"/>
  <c r="AS189" i="1"/>
  <c r="AX165" i="1"/>
  <c r="AQ242" i="1"/>
  <c r="AQ253" i="1"/>
  <c r="AQ221" i="1"/>
  <c r="AQ146" i="1"/>
  <c r="AX183" i="1"/>
  <c r="AS201" i="1"/>
  <c r="AS253" i="1"/>
  <c r="AX124" i="1"/>
  <c r="AS159" i="1"/>
  <c r="AQ194" i="1"/>
  <c r="AX95" i="1"/>
  <c r="AQ260" i="1"/>
  <c r="AX228" i="1"/>
  <c r="AQ272" i="1"/>
  <c r="AQ257" i="1"/>
  <c r="AS129" i="1"/>
  <c r="AS140" i="1"/>
  <c r="AS143" i="1"/>
  <c r="AQ244" i="1"/>
  <c r="AQ128" i="1"/>
  <c r="AQ152" i="1"/>
  <c r="AS124" i="1"/>
  <c r="AQ254" i="1"/>
  <c r="AX110" i="1"/>
  <c r="AX134" i="1"/>
  <c r="AQ90" i="1"/>
  <c r="AQ167" i="1"/>
  <c r="AS156" i="1"/>
  <c r="AQ82" i="1"/>
  <c r="AQ211" i="1"/>
  <c r="AX197" i="1"/>
  <c r="AX156" i="1"/>
  <c r="AX257" i="1"/>
  <c r="AX146" i="1"/>
  <c r="AX240" i="1"/>
  <c r="AX186" i="1"/>
  <c r="AX204" i="1"/>
  <c r="AX85" i="1"/>
  <c r="AX206" i="1"/>
  <c r="AX150" i="1"/>
  <c r="AX80" i="1"/>
  <c r="AX84" i="1"/>
  <c r="AX221" i="1"/>
  <c r="AX261" i="1"/>
  <c r="AX145" i="1"/>
  <c r="AX270" i="1"/>
  <c r="AX91" i="1"/>
  <c r="AX100" i="1"/>
  <c r="AX168" i="1"/>
  <c r="AX244" i="1"/>
  <c r="AX241" i="1"/>
  <c r="AX266" i="1"/>
  <c r="AX243" i="1"/>
  <c r="AX269" i="1"/>
  <c r="AX93" i="1"/>
  <c r="AX180" i="1"/>
  <c r="AX267" i="1"/>
  <c r="AX152" i="1"/>
  <c r="AX94" i="1"/>
  <c r="AX185" i="1"/>
  <c r="AX144" i="1"/>
  <c r="AX139" i="1"/>
  <c r="AX237" i="1"/>
  <c r="AX271" i="1"/>
  <c r="AX103" i="1"/>
  <c r="AX101" i="1"/>
  <c r="AX229" i="1"/>
  <c r="AX191" i="1"/>
  <c r="AX262" i="1"/>
  <c r="AX147" i="1"/>
  <c r="AX236" i="1"/>
  <c r="AX153" i="1"/>
  <c r="AX131" i="1"/>
  <c r="AX164" i="1"/>
  <c r="AX260" i="1"/>
  <c r="AX116" i="1"/>
  <c r="AX162" i="1"/>
  <c r="AX230" i="1"/>
  <c r="AX78" i="1"/>
  <c r="AX173" i="1"/>
  <c r="AX179" i="1"/>
  <c r="AX178" i="1"/>
  <c r="AX177" i="1"/>
  <c r="AX79" i="1"/>
  <c r="AX250" i="1"/>
  <c r="AX219" i="1"/>
  <c r="AX129" i="1"/>
  <c r="AX113" i="1"/>
  <c r="AX76" i="1"/>
  <c r="AX195" i="1"/>
  <c r="AX108" i="1"/>
  <c r="AX111" i="1"/>
  <c r="AX242" i="1"/>
  <c r="AX231" i="1"/>
  <c r="AX115" i="1"/>
  <c r="AX136" i="1"/>
  <c r="AX158" i="1"/>
  <c r="AX98" i="1"/>
  <c r="AX210" i="1"/>
  <c r="AX97" i="1"/>
  <c r="AX127" i="1"/>
  <c r="AX224" i="1"/>
  <c r="AX170" i="1"/>
  <c r="AX192" i="1"/>
  <c r="AX125" i="1"/>
  <c r="AX107" i="1"/>
  <c r="AX123" i="1"/>
  <c r="AX155" i="1"/>
  <c r="AX159" i="1"/>
  <c r="AX120" i="1"/>
  <c r="AX232" i="1"/>
  <c r="AX247" i="1"/>
  <c r="AX184" i="1"/>
  <c r="AX235" i="1"/>
  <c r="AX143" i="1"/>
  <c r="AX182" i="1"/>
  <c r="AX172" i="1"/>
  <c r="AX171" i="1"/>
  <c r="AX137" i="1"/>
  <c r="AX194" i="1"/>
  <c r="AX149" i="1"/>
  <c r="AX92" i="1"/>
  <c r="AX89" i="1"/>
  <c r="AX148" i="1"/>
  <c r="AX81" i="1"/>
  <c r="AX202" i="1"/>
  <c r="AX265" i="1"/>
  <c r="AX216" i="1"/>
  <c r="AX189" i="1"/>
  <c r="AX207" i="1"/>
  <c r="AX86" i="1"/>
  <c r="AX217" i="1"/>
  <c r="AX176" i="1"/>
  <c r="AX212" i="1"/>
  <c r="AX234" i="1"/>
  <c r="AX200" i="1"/>
  <c r="AX109" i="1"/>
  <c r="AX239" i="1"/>
  <c r="AX223" i="1"/>
  <c r="AX251" i="1"/>
  <c r="AX213" i="1"/>
  <c r="AX102" i="1"/>
  <c r="AX253" i="1"/>
  <c r="AX238" i="1"/>
  <c r="AX248" i="1"/>
  <c r="AX99" i="1"/>
  <c r="AX255" i="1"/>
  <c r="AX205" i="1"/>
  <c r="AX201" i="1"/>
  <c r="AX140" i="1"/>
  <c r="AX135" i="1"/>
  <c r="AX119" i="1"/>
  <c r="AX114" i="1"/>
  <c r="AX90" i="1"/>
  <c r="AX118" i="1"/>
  <c r="AX132" i="1"/>
  <c r="AX258" i="1"/>
  <c r="AX254" i="1"/>
  <c r="AX193" i="1"/>
  <c r="AX83" i="1"/>
  <c r="AQ138" i="1"/>
  <c r="AQ132" i="1"/>
  <c r="AY257" i="1"/>
  <c r="AR251" i="1"/>
  <c r="AR241" i="1"/>
  <c r="AS205" i="1"/>
  <c r="AR257" i="1"/>
  <c r="AR168" i="1"/>
  <c r="AY160" i="1"/>
  <c r="AS269" i="1"/>
  <c r="AY250" i="1"/>
  <c r="AS85" i="1"/>
  <c r="AR121" i="1"/>
  <c r="AR83" i="1"/>
  <c r="AR236" i="1"/>
  <c r="AR149" i="1"/>
  <c r="AS80" i="1"/>
  <c r="AY264" i="1"/>
  <c r="AR148" i="1"/>
  <c r="AU90" i="1"/>
  <c r="AS243" i="1"/>
  <c r="AS248" i="1"/>
  <c r="AY166" i="1"/>
  <c r="AS139" i="1"/>
  <c r="AY126" i="1"/>
  <c r="AS160" i="1"/>
  <c r="AS91" i="1"/>
  <c r="AS244" i="1"/>
  <c r="AR229" i="1"/>
  <c r="AY239" i="1"/>
  <c r="AS119" i="1"/>
  <c r="AY129" i="1"/>
  <c r="AS197" i="1"/>
  <c r="AY79" i="1"/>
  <c r="AS216" i="1"/>
  <c r="AR209" i="1"/>
  <c r="AY137" i="1"/>
  <c r="AS163" i="1"/>
  <c r="AY96" i="1"/>
  <c r="AR179" i="1"/>
  <c r="AY165" i="1"/>
  <c r="AR187" i="1"/>
  <c r="AY163" i="1"/>
  <c r="AR106" i="1"/>
  <c r="AS221" i="1"/>
  <c r="AS255" i="1"/>
  <c r="AY113" i="1"/>
  <c r="AU237" i="1"/>
  <c r="AY78" i="1"/>
  <c r="AS190" i="1"/>
  <c r="AR78" i="1"/>
  <c r="AU262" i="1"/>
  <c r="AY104" i="1"/>
  <c r="AU80" i="1"/>
  <c r="AR127" i="1"/>
  <c r="AY162" i="1"/>
  <c r="AR119" i="1"/>
  <c r="AY167" i="1"/>
  <c r="AR147" i="1"/>
  <c r="AR109" i="1"/>
  <c r="AY196" i="1"/>
  <c r="AS260" i="1"/>
  <c r="AR164" i="1"/>
  <c r="AR79" i="1"/>
  <c r="AR258" i="1"/>
  <c r="AS268" i="1"/>
  <c r="AY151" i="1"/>
  <c r="AS275" i="1"/>
  <c r="AR131" i="1"/>
  <c r="AY195" i="1"/>
  <c r="AY208" i="1"/>
  <c r="AS111" i="1"/>
  <c r="AU106" i="1"/>
  <c r="AS107" i="1"/>
  <c r="AR228" i="1"/>
  <c r="AY222" i="1"/>
  <c r="AR193" i="1"/>
  <c r="AU84" i="1"/>
  <c r="AY204" i="1"/>
  <c r="AY158" i="1"/>
  <c r="AR124" i="1"/>
  <c r="AY212" i="1"/>
  <c r="AU200" i="1"/>
  <c r="AU153" i="1"/>
  <c r="AS212" i="1"/>
  <c r="AU139" i="1"/>
  <c r="AR222" i="1"/>
  <c r="AR135" i="1"/>
  <c r="AR125" i="1"/>
  <c r="AY122" i="1"/>
  <c r="AR113" i="1"/>
  <c r="AY108" i="1"/>
  <c r="AS155" i="1"/>
  <c r="AR196" i="1"/>
  <c r="AS92" i="1"/>
  <c r="AY156" i="1"/>
  <c r="AR140" i="1"/>
  <c r="AY111" i="1"/>
  <c r="AR176" i="1"/>
  <c r="AR217" i="1"/>
  <c r="AY164" i="1"/>
  <c r="AY90" i="1"/>
  <c r="AS127" i="1"/>
  <c r="AY183" i="1"/>
  <c r="AR225" i="1"/>
  <c r="AR162" i="1"/>
  <c r="AU155" i="1"/>
  <c r="AU265" i="1"/>
  <c r="AY201" i="1"/>
  <c r="AY193" i="1"/>
  <c r="AU256" i="1"/>
  <c r="AS154" i="1"/>
  <c r="AR200" i="1"/>
  <c r="AS203" i="1"/>
  <c r="AY82" i="1"/>
  <c r="AS239" i="1"/>
  <c r="AR269" i="1"/>
  <c r="AS178" i="1"/>
  <c r="AU162" i="1"/>
  <c r="AY109" i="1"/>
  <c r="AS262" i="1"/>
  <c r="AU239" i="1"/>
  <c r="AU243" i="1"/>
  <c r="AU172" i="1"/>
  <c r="AR243" i="1"/>
  <c r="AU249" i="1"/>
  <c r="AU104" i="1"/>
  <c r="AR247" i="1"/>
  <c r="AY241" i="1"/>
  <c r="AY117" i="1"/>
  <c r="AY132" i="1"/>
  <c r="AR88" i="1"/>
  <c r="AY144" i="1"/>
  <c r="AU127" i="1"/>
  <c r="AU166" i="1"/>
  <c r="AR108" i="1"/>
  <c r="AS237" i="1"/>
  <c r="AY209" i="1"/>
  <c r="AY115" i="1"/>
  <c r="AY234" i="1"/>
  <c r="AR167" i="1"/>
  <c r="AY91" i="1"/>
  <c r="AR76" i="1"/>
  <c r="AR143" i="1"/>
  <c r="AS105" i="1"/>
  <c r="AS118" i="1"/>
  <c r="AS103" i="1"/>
  <c r="AS134" i="1"/>
  <c r="AS200" i="1"/>
  <c r="AS265" i="1"/>
  <c r="AR208" i="1"/>
  <c r="AS104" i="1"/>
  <c r="AU154" i="1"/>
  <c r="AR102" i="1"/>
  <c r="AS167" i="1"/>
  <c r="AU130" i="1"/>
  <c r="AR183" i="1"/>
  <c r="AR161" i="1"/>
  <c r="AR173" i="1"/>
  <c r="AR259" i="1"/>
  <c r="AR182" i="1"/>
  <c r="AR180" i="1"/>
  <c r="AR263" i="1"/>
  <c r="AR136" i="1"/>
  <c r="AS198" i="1"/>
  <c r="AR103" i="1"/>
  <c r="AR130" i="1"/>
  <c r="AS148" i="1"/>
  <c r="AS185" i="1"/>
  <c r="AS122" i="1"/>
  <c r="AS242" i="1"/>
  <c r="AR177" i="1"/>
  <c r="AR98" i="1"/>
  <c r="AS121" i="1"/>
  <c r="AR268" i="1"/>
  <c r="AR198" i="1"/>
  <c r="AR151" i="1"/>
  <c r="AS169" i="1"/>
  <c r="AS133" i="1"/>
  <c r="AS174" i="1"/>
  <c r="AR201" i="1"/>
  <c r="AR169" i="1"/>
  <c r="AS204" i="1"/>
  <c r="AS247" i="1"/>
  <c r="AS177" i="1"/>
  <c r="AS261" i="1"/>
  <c r="AU148" i="1"/>
  <c r="AS263" i="1"/>
  <c r="AU178" i="1"/>
  <c r="AY150" i="1"/>
  <c r="AU187" i="1"/>
  <c r="AS246" i="1"/>
  <c r="AS228" i="1"/>
  <c r="AR159" i="1"/>
  <c r="AY203" i="1"/>
  <c r="AY131" i="1"/>
  <c r="AU215" i="1"/>
  <c r="AR141" i="1"/>
  <c r="AU157" i="1"/>
  <c r="AR195" i="1"/>
  <c r="AU245" i="1"/>
  <c r="AU181" i="1"/>
  <c r="AY171" i="1"/>
  <c r="AY185" i="1"/>
  <c r="AS181" i="1"/>
  <c r="AY190" i="1"/>
  <c r="AR203" i="1"/>
  <c r="AS142" i="1"/>
  <c r="AU124" i="1"/>
  <c r="AR137" i="1"/>
  <c r="AY242" i="1"/>
  <c r="AY93" i="1"/>
  <c r="AU147" i="1"/>
  <c r="AY92" i="1"/>
  <c r="AR216" i="1"/>
  <c r="AS199" i="1"/>
  <c r="AR152" i="1"/>
  <c r="AS267" i="1"/>
  <c r="AR191" i="1"/>
  <c r="AY254" i="1"/>
  <c r="AR112" i="1"/>
  <c r="AS173" i="1"/>
  <c r="AS273" i="1"/>
  <c r="AR154" i="1"/>
  <c r="AR219" i="1"/>
  <c r="AR230" i="1"/>
  <c r="AY191" i="1"/>
  <c r="AS251" i="1"/>
  <c r="AS229" i="1"/>
  <c r="AU240" i="1"/>
  <c r="AU219" i="1"/>
  <c r="AY252" i="1"/>
  <c r="AU97" i="1"/>
  <c r="AR221" i="1"/>
  <c r="AR202" i="1"/>
  <c r="AY198" i="1"/>
  <c r="AU226" i="1"/>
  <c r="AR107" i="1"/>
  <c r="AY83" i="1"/>
  <c r="AY152" i="1"/>
  <c r="AY141" i="1"/>
  <c r="AU87" i="1"/>
  <c r="AU77" i="1"/>
  <c r="AS226" i="1"/>
  <c r="AY197" i="1"/>
  <c r="AY121" i="1"/>
  <c r="AU238" i="1"/>
  <c r="AS78" i="1"/>
  <c r="AU98" i="1"/>
  <c r="AS152" i="1"/>
  <c r="AS164" i="1"/>
  <c r="AS153" i="1"/>
  <c r="AY123" i="1"/>
  <c r="AY87" i="1"/>
  <c r="AY154" i="1"/>
  <c r="AY147" i="1"/>
  <c r="AS89" i="1"/>
  <c r="AY114" i="1"/>
  <c r="AS168" i="1"/>
  <c r="AS149" i="1"/>
  <c r="AU225" i="1"/>
  <c r="AU206" i="1"/>
  <c r="AU246" i="1"/>
  <c r="AU141" i="1"/>
  <c r="AU259" i="1"/>
  <c r="AU271" i="1"/>
  <c r="AU220" i="1"/>
  <c r="AU267" i="1"/>
  <c r="AU207" i="1"/>
  <c r="AU235" i="1"/>
  <c r="AU209" i="1"/>
  <c r="AU180" i="1"/>
  <c r="AU263" i="1"/>
  <c r="AU273" i="1"/>
  <c r="AU223" i="1"/>
  <c r="AU270" i="1"/>
  <c r="AU272" i="1"/>
  <c r="AU274" i="1"/>
  <c r="AU266" i="1"/>
  <c r="AU275" i="1"/>
  <c r="AU182" i="1"/>
  <c r="AU251" i="1"/>
  <c r="AU193" i="1"/>
  <c r="AU268" i="1"/>
  <c r="AU254" i="1"/>
  <c r="AU214" i="1"/>
  <c r="AU165" i="1"/>
  <c r="AU255" i="1"/>
  <c r="AU228" i="1"/>
  <c r="AU105" i="1"/>
  <c r="AU197" i="1"/>
  <c r="AU242" i="1"/>
  <c r="AU257" i="1"/>
  <c r="AU212" i="1"/>
  <c r="AU258" i="1"/>
  <c r="AU244" i="1"/>
  <c r="AU210" i="1"/>
  <c r="AS132" i="1"/>
  <c r="AR163" i="1"/>
  <c r="AS106" i="1"/>
  <c r="AS162" i="1"/>
  <c r="AR122" i="1"/>
  <c r="AY220" i="1"/>
  <c r="AR138" i="1"/>
  <c r="AR95" i="1"/>
  <c r="AS126" i="1"/>
  <c r="AS117" i="1"/>
  <c r="AU144" i="1"/>
  <c r="AY175" i="1"/>
  <c r="AS135" i="1"/>
  <c r="AY138" i="1"/>
  <c r="AY226" i="1"/>
  <c r="AY119" i="1"/>
  <c r="AY142" i="1"/>
  <c r="AY134" i="1"/>
  <c r="AS136" i="1"/>
  <c r="AU149" i="1"/>
  <c r="AR86" i="1"/>
  <c r="AS141" i="1"/>
  <c r="AR129" i="1"/>
  <c r="AS214" i="1"/>
  <c r="AS100" i="1"/>
  <c r="AS137" i="1"/>
  <c r="AR105" i="1"/>
  <c r="AR87" i="1"/>
  <c r="AS186" i="1"/>
  <c r="AS115" i="1"/>
  <c r="AS125" i="1"/>
  <c r="AS176" i="1"/>
  <c r="AY116" i="1"/>
  <c r="AU76" i="1"/>
  <c r="AY112" i="1"/>
  <c r="AR139" i="1"/>
  <c r="AR214" i="1"/>
  <c r="AY81" i="1"/>
  <c r="AR81" i="1"/>
  <c r="AY236" i="1"/>
  <c r="AY267" i="1"/>
  <c r="AY244" i="1"/>
  <c r="AY258" i="1"/>
  <c r="AY269" i="1"/>
  <c r="AY187" i="1"/>
  <c r="AY229" i="1"/>
  <c r="AY214" i="1"/>
  <c r="AY184" i="1"/>
  <c r="AY271" i="1"/>
  <c r="AY223" i="1"/>
  <c r="AY85" i="1"/>
  <c r="AY216" i="1"/>
  <c r="AY105" i="1"/>
  <c r="AY243" i="1"/>
  <c r="AY255" i="1"/>
  <c r="AY215" i="1"/>
  <c r="AY179" i="1"/>
  <c r="AY118" i="1"/>
  <c r="AY248" i="1"/>
  <c r="AY94" i="1"/>
  <c r="AY238" i="1"/>
  <c r="AY265" i="1"/>
  <c r="AY272" i="1"/>
  <c r="AY86" i="1"/>
  <c r="AY99" i="1"/>
  <c r="AY188" i="1"/>
  <c r="AY245" i="1"/>
  <c r="AY106" i="1"/>
  <c r="AY98" i="1"/>
  <c r="AU146" i="1"/>
  <c r="AS108" i="1"/>
  <c r="AR172" i="1"/>
  <c r="AS93" i="1"/>
  <c r="AY146" i="1"/>
  <c r="AR94" i="1"/>
  <c r="AR116" i="1"/>
  <c r="AR215" i="1"/>
  <c r="AR118" i="1"/>
  <c r="AU190" i="1"/>
  <c r="AU253" i="1"/>
  <c r="AR234" i="1"/>
  <c r="AU208" i="1"/>
  <c r="AS165" i="1"/>
  <c r="AS172" i="1"/>
  <c r="AS101" i="1"/>
  <c r="AS182" i="1"/>
  <c r="AS95" i="1"/>
  <c r="AS99" i="1"/>
  <c r="AS87" i="1"/>
  <c r="AS90" i="1"/>
  <c r="AS86" i="1"/>
  <c r="AS195" i="1"/>
  <c r="AS88" i="1"/>
  <c r="AS98" i="1"/>
  <c r="AS193" i="1"/>
  <c r="AS192" i="1"/>
  <c r="AS175" i="1"/>
  <c r="AS234" i="1"/>
  <c r="AS114" i="1"/>
  <c r="AS83" i="1"/>
  <c r="AS110" i="1"/>
  <c r="AY101" i="1"/>
  <c r="AR90" i="1"/>
  <c r="AY232" i="1"/>
  <c r="AS191" i="1"/>
  <c r="AY76" i="1"/>
  <c r="AS206" i="1"/>
  <c r="AS274" i="1"/>
  <c r="AS264" i="1"/>
  <c r="AU117" i="1"/>
  <c r="AR145" i="1"/>
  <c r="AR126" i="1"/>
  <c r="AY128" i="1"/>
  <c r="AS224" i="1"/>
  <c r="AU170" i="1"/>
  <c r="AY159" i="1"/>
  <c r="AU194" i="1"/>
  <c r="AY181" i="1"/>
  <c r="AY100" i="1"/>
  <c r="AS180" i="1"/>
  <c r="AS194" i="1"/>
  <c r="AS270" i="1"/>
  <c r="AS259" i="1"/>
  <c r="AY127" i="1"/>
  <c r="AU264" i="1"/>
  <c r="AS250" i="1"/>
  <c r="AR171" i="1"/>
  <c r="AY140" i="1"/>
  <c r="AU164" i="1"/>
  <c r="AY149" i="1"/>
  <c r="AY259" i="1"/>
  <c r="AS184" i="1"/>
  <c r="AU114" i="1"/>
  <c r="AY231" i="1"/>
  <c r="AR271" i="1"/>
  <c r="AU236" i="1"/>
  <c r="AY161" i="1"/>
  <c r="AS150" i="1"/>
  <c r="AY251" i="1"/>
  <c r="AY266" i="1"/>
  <c r="AY213" i="1"/>
  <c r="AY224" i="1"/>
  <c r="AS77" i="1"/>
  <c r="AU136" i="1"/>
  <c r="AR153" i="1"/>
  <c r="AS210" i="1"/>
  <c r="AR104" i="1"/>
  <c r="AS231" i="1"/>
  <c r="AS113" i="1"/>
  <c r="AU234" i="1"/>
  <c r="AU128" i="1"/>
  <c r="AS128" i="1"/>
  <c r="AR165" i="1"/>
  <c r="AS112" i="1"/>
  <c r="AU115" i="1"/>
  <c r="AS188" i="1"/>
  <c r="AU95" i="1"/>
  <c r="AS109" i="1"/>
  <c r="AY89" i="1"/>
  <c r="AR246" i="1"/>
  <c r="AY247" i="1"/>
  <c r="AS233" i="1"/>
  <c r="AS147" i="1"/>
  <c r="AR252" i="1"/>
  <c r="AU100" i="1"/>
  <c r="AU230" i="1"/>
  <c r="AR181" i="1"/>
  <c r="AY207" i="1"/>
  <c r="AY219" i="1"/>
  <c r="AS82" i="1"/>
  <c r="AU167" i="1"/>
  <c r="AY227" i="1"/>
  <c r="AS222" i="1"/>
  <c r="AR96" i="1"/>
  <c r="AS151" i="1"/>
  <c r="AS235" i="1"/>
  <c r="AS238" i="1"/>
  <c r="AS131" i="1"/>
  <c r="AU121" i="1"/>
  <c r="AY139" i="1"/>
  <c r="AR199" i="1"/>
  <c r="AS213" i="1"/>
  <c r="AU174" i="1"/>
  <c r="AY261" i="1"/>
  <c r="AR91" i="1"/>
  <c r="AY107" i="1"/>
  <c r="AS81" i="1"/>
  <c r="AY110" i="1"/>
  <c r="AS138" i="1"/>
  <c r="AL2" i="1"/>
  <c r="AV115" i="1" s="1"/>
  <c r="AL1" i="1"/>
  <c r="AU101" i="1"/>
  <c r="AR210" i="1"/>
  <c r="AU96" i="1"/>
  <c r="AS102" i="1"/>
  <c r="AY170" i="1"/>
  <c r="AU248" i="1"/>
  <c r="AR117" i="1"/>
  <c r="AR80" i="1"/>
  <c r="AY199" i="1"/>
  <c r="AS161" i="1"/>
  <c r="AY182" i="1"/>
  <c r="AY256" i="1"/>
  <c r="AV86" i="1" l="1"/>
  <c r="AV117" i="1"/>
  <c r="AV212" i="1"/>
  <c r="AZ212" i="1" s="1"/>
  <c r="AV204" i="1"/>
  <c r="AZ204" i="1" s="1"/>
  <c r="AV154" i="1"/>
  <c r="AV201" i="1"/>
  <c r="AV167" i="1"/>
  <c r="AV129" i="1"/>
  <c r="AZ129" i="1" s="1"/>
  <c r="AV155" i="1"/>
  <c r="AV264" i="1"/>
  <c r="AZ264" i="1" s="1"/>
  <c r="AV193" i="1"/>
  <c r="AZ193" i="1" s="1"/>
  <c r="AV265" i="1"/>
  <c r="AZ116" i="1"/>
  <c r="AZ201" i="1"/>
  <c r="AV133" i="1"/>
  <c r="AZ133" i="1" s="1"/>
  <c r="AZ251" i="1"/>
  <c r="AV111" i="1"/>
  <c r="AZ111" i="1" s="1"/>
  <c r="AV223" i="1"/>
  <c r="AV170" i="1"/>
  <c r="AV88" i="1"/>
  <c r="AZ88" i="1" s="1"/>
  <c r="AV272" i="1"/>
  <c r="AV150" i="1"/>
  <c r="AV134" i="1"/>
  <c r="AV136" i="1"/>
  <c r="AZ136" i="1" s="1"/>
  <c r="AV152" i="1"/>
  <c r="AV161" i="1"/>
  <c r="AZ161" i="1" s="1"/>
  <c r="AV241" i="1"/>
  <c r="AZ241" i="1" s="1"/>
  <c r="AV142" i="1"/>
  <c r="AZ142" i="1" s="1"/>
  <c r="AV194" i="1"/>
  <c r="AZ221" i="1"/>
  <c r="AV172" i="1"/>
  <c r="AZ172" i="1" s="1"/>
  <c r="AV215" i="1"/>
  <c r="AZ215" i="1" s="1"/>
  <c r="AV137" i="1"/>
  <c r="AZ137" i="1" s="1"/>
  <c r="AV82" i="1"/>
  <c r="AZ82" i="1" s="1"/>
  <c r="AZ173" i="1"/>
  <c r="AV93" i="1"/>
  <c r="AZ93" i="1" s="1"/>
  <c r="AV262" i="1"/>
  <c r="AZ262" i="1" s="1"/>
  <c r="AV120" i="1"/>
  <c r="AZ120" i="1" s="1"/>
  <c r="AV143" i="1"/>
  <c r="AZ143" i="1" s="1"/>
  <c r="AV263" i="1"/>
  <c r="AZ263" i="1" s="1"/>
  <c r="AV177" i="1"/>
  <c r="AV258" i="1"/>
  <c r="AV171" i="1"/>
  <c r="AZ171" i="1" s="1"/>
  <c r="AV123" i="1"/>
  <c r="AV191" i="1"/>
  <c r="AV173" i="1"/>
  <c r="AV135" i="1"/>
  <c r="AZ135" i="1" s="1"/>
  <c r="AV231" i="1"/>
  <c r="AZ154" i="1"/>
  <c r="AV169" i="1"/>
  <c r="AV246" i="1"/>
  <c r="AZ110" i="1"/>
  <c r="AR277" i="1"/>
  <c r="AZ146" i="1"/>
  <c r="AV254" i="1"/>
  <c r="AV245" i="1"/>
  <c r="AZ245" i="1" s="1"/>
  <c r="AV186" i="1"/>
  <c r="AZ186" i="1" s="1"/>
  <c r="AV84" i="1"/>
  <c r="AZ84" i="1" s="1"/>
  <c r="AV238" i="1"/>
  <c r="AZ238" i="1" s="1"/>
  <c r="AV168" i="1"/>
  <c r="AZ168" i="1" s="1"/>
  <c r="AV128" i="1"/>
  <c r="AZ128" i="1" s="1"/>
  <c r="AV239" i="1"/>
  <c r="AZ223" i="1"/>
  <c r="AV221" i="1"/>
  <c r="AV192" i="1"/>
  <c r="AZ192" i="1" s="1"/>
  <c r="AV175" i="1"/>
  <c r="AV270" i="1"/>
  <c r="AZ270" i="1" s="1"/>
  <c r="AV124" i="1"/>
  <c r="AZ124" i="1" s="1"/>
  <c r="AV230" i="1"/>
  <c r="AZ230" i="1" s="1"/>
  <c r="AV195" i="1"/>
  <c r="AZ195" i="1" s="1"/>
  <c r="AV141" i="1"/>
  <c r="AZ141" i="1" s="1"/>
  <c r="AV184" i="1"/>
  <c r="AZ184" i="1" s="1"/>
  <c r="AV148" i="1"/>
  <c r="AZ148" i="1" s="1"/>
  <c r="AV140" i="1"/>
  <c r="AZ140" i="1" s="1"/>
  <c r="AV90" i="1"/>
  <c r="AZ90" i="1" s="1"/>
  <c r="AV209" i="1"/>
  <c r="AZ209" i="1" s="1"/>
  <c r="AZ155" i="1"/>
  <c r="AV250" i="1"/>
  <c r="AZ250" i="1" s="1"/>
  <c r="AV181" i="1"/>
  <c r="AV243" i="1"/>
  <c r="AV103" i="1"/>
  <c r="AZ103" i="1" s="1"/>
  <c r="AV174" i="1"/>
  <c r="AZ174" i="1" s="1"/>
  <c r="AV205" i="1"/>
  <c r="AZ191" i="1"/>
  <c r="AV149" i="1"/>
  <c r="AZ149" i="1" s="1"/>
  <c r="AV104" i="1"/>
  <c r="AZ104" i="1" s="1"/>
  <c r="AV157" i="1"/>
  <c r="AZ157" i="1" s="1"/>
  <c r="AV76" i="1"/>
  <c r="AV131" i="1"/>
  <c r="AZ131" i="1" s="1"/>
  <c r="AV256" i="1"/>
  <c r="AZ256" i="1" s="1"/>
  <c r="AV180" i="1"/>
  <c r="AZ180" i="1" s="1"/>
  <c r="AZ203" i="1"/>
  <c r="AV269" i="1"/>
  <c r="AZ269" i="1" s="1"/>
  <c r="AV216" i="1"/>
  <c r="AZ216" i="1" s="1"/>
  <c r="AV248" i="1"/>
  <c r="AZ248" i="1" s="1"/>
  <c r="AV146" i="1"/>
  <c r="AV87" i="1"/>
  <c r="AZ87" i="1" s="1"/>
  <c r="AV91" i="1"/>
  <c r="AZ91" i="1" s="1"/>
  <c r="AV203" i="1"/>
  <c r="AV160" i="1"/>
  <c r="AZ160" i="1" s="1"/>
  <c r="AV114" i="1"/>
  <c r="AV244" i="1"/>
  <c r="AV232" i="1"/>
  <c r="AZ232" i="1" s="1"/>
  <c r="AV251" i="1"/>
  <c r="AV85" i="1"/>
  <c r="AZ85" i="1" s="1"/>
  <c r="AV189" i="1"/>
  <c r="AZ189" i="1" s="1"/>
  <c r="AV145" i="1"/>
  <c r="AZ145" i="1" s="1"/>
  <c r="AZ167" i="1"/>
  <c r="AZ272" i="1"/>
  <c r="AZ202" i="1"/>
  <c r="AZ265" i="1"/>
  <c r="AV206" i="1"/>
  <c r="AV185" i="1"/>
  <c r="AZ185" i="1" s="1"/>
  <c r="AZ150" i="1"/>
  <c r="AV275" i="1"/>
  <c r="AV139" i="1"/>
  <c r="AV224" i="1"/>
  <c r="AZ224" i="1" s="1"/>
  <c r="AZ258" i="1"/>
  <c r="AV182" i="1"/>
  <c r="AZ182" i="1" s="1"/>
  <c r="AV92" i="1"/>
  <c r="AZ92" i="1" s="1"/>
  <c r="AV242" i="1"/>
  <c r="AZ242" i="1" s="1"/>
  <c r="AV266" i="1"/>
  <c r="AZ266" i="1" s="1"/>
  <c r="AV240" i="1"/>
  <c r="AZ240" i="1" s="1"/>
  <c r="AV274" i="1"/>
  <c r="AV106" i="1"/>
  <c r="AV200" i="1"/>
  <c r="AZ200" i="1" s="1"/>
  <c r="AV126" i="1"/>
  <c r="AZ126" i="1" s="1"/>
  <c r="AV219" i="1"/>
  <c r="AZ219" i="1" s="1"/>
  <c r="AV234" i="1"/>
  <c r="AZ234" i="1" s="1"/>
  <c r="AV108" i="1"/>
  <c r="AZ108" i="1" s="1"/>
  <c r="AV98" i="1"/>
  <c r="AZ98" i="1" s="1"/>
  <c r="AZ260" i="1"/>
  <c r="AV102" i="1"/>
  <c r="AZ102" i="1" s="1"/>
  <c r="AZ177" i="1"/>
  <c r="AV273" i="1"/>
  <c r="AZ273" i="1" s="1"/>
  <c r="AZ106" i="1"/>
  <c r="AV196" i="1"/>
  <c r="AZ196" i="1" s="1"/>
  <c r="AV252" i="1"/>
  <c r="AZ252" i="1" s="1"/>
  <c r="AV271" i="1"/>
  <c r="AZ271" i="1" s="1"/>
  <c r="AZ86" i="1"/>
  <c r="AV110" i="1"/>
  <c r="AV198" i="1"/>
  <c r="AV220" i="1"/>
  <c r="AV118" i="1"/>
  <c r="AZ118" i="1" s="1"/>
  <c r="AV125" i="1"/>
  <c r="AZ125" i="1" s="1"/>
  <c r="AV202" i="1"/>
  <c r="AV208" i="1"/>
  <c r="AZ208" i="1" s="1"/>
  <c r="AV156" i="1"/>
  <c r="AZ156" i="1" s="1"/>
  <c r="AV218" i="1"/>
  <c r="AZ218" i="1" s="1"/>
  <c r="AV99" i="1"/>
  <c r="AZ99" i="1" s="1"/>
  <c r="AV127" i="1"/>
  <c r="AZ127" i="1" s="1"/>
  <c r="AV225" i="1"/>
  <c r="AZ225" i="1" s="1"/>
  <c r="AV227" i="1"/>
  <c r="AZ227" i="1" s="1"/>
  <c r="AV236" i="1"/>
  <c r="AZ236" i="1" s="1"/>
  <c r="AZ123" i="1"/>
  <c r="AV81" i="1"/>
  <c r="AZ81" i="1" s="1"/>
  <c r="AZ170" i="1"/>
  <c r="AZ206" i="1"/>
  <c r="AV187" i="1"/>
  <c r="AZ187" i="1" s="1"/>
  <c r="AV162" i="1"/>
  <c r="AZ162" i="1" s="1"/>
  <c r="AZ115" i="1"/>
  <c r="AV122" i="1"/>
  <c r="AZ122" i="1" s="1"/>
  <c r="AV80" i="1"/>
  <c r="AZ80" i="1" s="1"/>
  <c r="AV112" i="1"/>
  <c r="AZ112" i="1" s="1"/>
  <c r="AV207" i="1"/>
  <c r="AZ207" i="1" s="1"/>
  <c r="AV222" i="1"/>
  <c r="AZ222" i="1" s="1"/>
  <c r="AV257" i="1"/>
  <c r="AZ257" i="1" s="1"/>
  <c r="AV260" i="1"/>
  <c r="AV79" i="1"/>
  <c r="AZ79" i="1" s="1"/>
  <c r="AV113" i="1"/>
  <c r="AZ113" i="1" s="1"/>
  <c r="AV147" i="1"/>
  <c r="AZ147" i="1" s="1"/>
  <c r="AV178" i="1"/>
  <c r="AZ178" i="1" s="1"/>
  <c r="AV183" i="1"/>
  <c r="AZ183" i="1" s="1"/>
  <c r="AV237" i="1"/>
  <c r="AV253" i="1"/>
  <c r="AZ253" i="1" s="1"/>
  <c r="AZ254" i="1"/>
  <c r="AZ194" i="1"/>
  <c r="AV249" i="1"/>
  <c r="AZ249" i="1" s="1"/>
  <c r="AZ175" i="1"/>
  <c r="AZ231" i="1"/>
  <c r="AV164" i="1"/>
  <c r="AZ164" i="1" s="1"/>
  <c r="AZ274" i="1"/>
  <c r="AV100" i="1"/>
  <c r="AZ100" i="1" s="1"/>
  <c r="AV158" i="1"/>
  <c r="AZ158" i="1" s="1"/>
  <c r="AV228" i="1"/>
  <c r="AZ228" i="1" s="1"/>
  <c r="AV153" i="1"/>
  <c r="AZ153" i="1" s="1"/>
  <c r="AV213" i="1"/>
  <c r="AZ244" i="1"/>
  <c r="AZ220" i="1"/>
  <c r="AV96" i="1"/>
  <c r="AZ96" i="1" s="1"/>
  <c r="AV217" i="1"/>
  <c r="AZ217" i="1" s="1"/>
  <c r="AV144" i="1"/>
  <c r="AZ144" i="1" s="1"/>
  <c r="AV214" i="1"/>
  <c r="AZ214" i="1" s="1"/>
  <c r="AV151" i="1"/>
  <c r="AZ151" i="1" s="1"/>
  <c r="AV235" i="1"/>
  <c r="AZ235" i="1" s="1"/>
  <c r="AV229" i="1"/>
  <c r="AZ229" i="1" s="1"/>
  <c r="AV233" i="1"/>
  <c r="AZ233" i="1" s="1"/>
  <c r="AV116" i="1"/>
  <c r="AV138" i="1"/>
  <c r="AZ138" i="1" s="1"/>
  <c r="AV188" i="1"/>
  <c r="AZ188" i="1" s="1"/>
  <c r="AV226" i="1"/>
  <c r="AZ226" i="1" s="1"/>
  <c r="AV107" i="1"/>
  <c r="AZ107" i="1" s="1"/>
  <c r="AV176" i="1"/>
  <c r="AV105" i="1"/>
  <c r="AZ105" i="1" s="1"/>
  <c r="AV89" i="1"/>
  <c r="AZ89" i="1" s="1"/>
  <c r="AZ134" i="1"/>
  <c r="AZ139" i="1"/>
  <c r="AZ239" i="1"/>
  <c r="AZ114" i="1"/>
  <c r="AZ181" i="1"/>
  <c r="AZ176" i="1"/>
  <c r="AZ275" i="1"/>
  <c r="AV163" i="1"/>
  <c r="AZ163" i="1" s="1"/>
  <c r="AV165" i="1"/>
  <c r="AZ165" i="1" s="1"/>
  <c r="AV261" i="1"/>
  <c r="AZ261" i="1" s="1"/>
  <c r="AV166" i="1"/>
  <c r="AZ166" i="1" s="1"/>
  <c r="AV247" i="1"/>
  <c r="AZ247" i="1" s="1"/>
  <c r="AV78" i="1"/>
  <c r="AZ78" i="1" s="1"/>
  <c r="AV77" i="1"/>
  <c r="AZ77" i="1" s="1"/>
  <c r="AV210" i="1"/>
  <c r="AZ210" i="1" s="1"/>
  <c r="AV101" i="1"/>
  <c r="AZ101" i="1" s="1"/>
  <c r="AV119" i="1"/>
  <c r="AZ119" i="1" s="1"/>
  <c r="AV97" i="1"/>
  <c r="AZ97" i="1" s="1"/>
  <c r="AV109" i="1"/>
  <c r="AZ109" i="1" s="1"/>
  <c r="AZ152" i="1"/>
  <c r="AV159" i="1"/>
  <c r="AZ159" i="1" s="1"/>
  <c r="AZ76" i="1"/>
  <c r="AZ169" i="1"/>
  <c r="AV199" i="1"/>
  <c r="AZ199" i="1" s="1"/>
  <c r="AV179" i="1"/>
  <c r="AZ179" i="1" s="1"/>
  <c r="AV268" i="1"/>
  <c r="AZ268" i="1" s="1"/>
  <c r="AV121" i="1"/>
  <c r="AZ121" i="1" s="1"/>
  <c r="AV132" i="1"/>
  <c r="AZ132" i="1" s="1"/>
  <c r="AZ213" i="1"/>
  <c r="AZ117" i="1"/>
  <c r="AZ246" i="1"/>
  <c r="AV94" i="1"/>
  <c r="AZ94" i="1" s="1"/>
  <c r="AV83" i="1"/>
  <c r="AZ83" i="1" s="1"/>
  <c r="AV267" i="1"/>
  <c r="AZ267" i="1" s="1"/>
  <c r="AV197" i="1"/>
  <c r="AZ197" i="1" s="1"/>
  <c r="AV255" i="1"/>
  <c r="AZ255" i="1" s="1"/>
  <c r="AV130" i="1"/>
  <c r="AZ130" i="1" s="1"/>
  <c r="AV95" i="1"/>
  <c r="AZ95" i="1" s="1"/>
  <c r="AV259" i="1"/>
  <c r="AZ259" i="1" s="1"/>
  <c r="AV211" i="1"/>
  <c r="AZ211" i="1" s="1"/>
  <c r="AV190" i="1"/>
  <c r="AZ190" i="1" s="1"/>
  <c r="AZ205" i="1"/>
  <c r="AZ198" i="1"/>
  <c r="AZ237" i="1"/>
  <c r="AZ2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tc={2A71BFB5-F936-4DDD-AB7C-B36FBACDAFAA}</author>
  </authors>
  <commentList>
    <comment ref="I3" authorId="0" shapeId="0" xr:uid="{2A71BFB5-F936-4DDD-AB7C-B36FBACDAFAA}">
      <text>
        <t>[Threaded comment]
Your version of Excel allows you to read this threaded comment; however, any edits to it will get removed if the file is opened in a newer version of Excel. Learn more: https://go.microsoft.com/fwlink/?linkid=870924
Comment:
    Se estiman datos faltantes con reg lineal IPC</t>
      </text>
    </comment>
  </commentList>
</comments>
</file>

<file path=xl/sharedStrings.xml><?xml version="1.0" encoding="utf-8"?>
<sst xmlns="http://schemas.openxmlformats.org/spreadsheetml/2006/main" count="27" uniqueCount="27">
  <si>
    <t>Start Date</t>
  </si>
  <si>
    <t>Transformaciones</t>
  </si>
  <si>
    <t>Normalización</t>
  </si>
  <si>
    <t>Filtro Tukey</t>
  </si>
  <si>
    <t>End Date</t>
  </si>
  <si>
    <t>Dates</t>
  </si>
  <si>
    <t>Exp nivel</t>
  </si>
  <si>
    <t>Exp</t>
  </si>
  <si>
    <t>Impo</t>
  </si>
  <si>
    <t>Nominal GDP (ars mill)</t>
  </si>
  <si>
    <t>(Exp+Imp)/GDP</t>
  </si>
  <si>
    <t>EMAE</t>
  </si>
  <si>
    <t>EMAE Transporte</t>
  </si>
  <si>
    <t>IPC Transporte</t>
  </si>
  <si>
    <t>Producción Petroleo Arg</t>
  </si>
  <si>
    <t>Producción Petroleo Arg YoY</t>
  </si>
  <si>
    <t>ITCRM</t>
  </si>
  <si>
    <t>ITCRM YoY</t>
  </si>
  <si>
    <t>Inventarios comer. De crudo</t>
  </si>
  <si>
    <t>Inventarios comer. De crudo YoY</t>
  </si>
  <si>
    <t>Crack Spread YoY</t>
  </si>
  <si>
    <t>GDP</t>
  </si>
  <si>
    <t>GDP avg 5Y</t>
  </si>
  <si>
    <t>REM 12M (expect)</t>
  </si>
  <si>
    <t>Score</t>
  </si>
  <si>
    <t>OIL&amp;GAS vs Merval</t>
  </si>
  <si>
    <t>Brecha cambiaria (signo 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</si>
</sst>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0_-;\-* #,##0.00000_-;_-* &quot;-&quot;??_-;_-@_-"/>
    <numFmt numFmtId="165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3" fontId="5" fillId="0" borderId="4" xfId="0" applyNumberFormat="1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65" fontId="0" fillId="0" borderId="0" xfId="1" applyNumberFormat="1" applyFont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14" fontId="0" fillId="0" borderId="0" xfId="2" applyNumberFormat="1" applyFont="1" applyBorder="1" applyAlignment="1">
      <alignment horizontal="center" vertical="center"/>
    </xf>
    <xf numFmtId="10" fontId="0" fillId="0" borderId="0" xfId="2" applyNumberFormat="1" applyFont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Files\User\PORTFOLI\PORFOLIO\Mercados%20Equity%20Global\ANALISIS%20Oil&amp;Gas%20ARG.xlsx" TargetMode="External"/><Relationship Id="rId1" Type="http://schemas.openxmlformats.org/officeDocument/2006/relationships/externalLinkPath" Target="file:///R:\Files\User\PORTFOLI\PORFOLIO\Mercados%20Equity%20Global\ANALISIS%20Oil&amp;Gas%20AR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Indice"/>
      <sheetName val="Ratio MktCapW"/>
      <sheetName val="crack spread y Brent_WTI"/>
      <sheetName val="Chart1"/>
      <sheetName val="Macro"/>
    </sheetNames>
    <sheetDataSet>
      <sheetData sheetId="0"/>
      <sheetData sheetId="1">
        <row r="2">
          <cell r="B2" t="str">
            <v>Start Date</v>
          </cell>
        </row>
        <row r="3">
          <cell r="B3" t="str">
            <v>End Date</v>
          </cell>
        </row>
        <row r="4">
          <cell r="AI4"/>
        </row>
        <row r="5">
          <cell r="B5" t="str">
            <v>Dates</v>
          </cell>
          <cell r="AI5" t="str">
            <v>Ratio</v>
          </cell>
        </row>
        <row r="6">
          <cell r="B6">
            <v>38723</v>
          </cell>
          <cell r="AI6">
            <v>1</v>
          </cell>
        </row>
        <row r="7">
          <cell r="B7">
            <v>38730</v>
          </cell>
          <cell r="AI7">
            <v>0.93408743339074674</v>
          </cell>
        </row>
        <row r="8">
          <cell r="B8">
            <v>38737</v>
          </cell>
          <cell r="AI8">
            <v>0.93460199366030849</v>
          </cell>
        </row>
        <row r="9">
          <cell r="B9">
            <v>38744</v>
          </cell>
          <cell r="AI9">
            <v>0.89894141732484167</v>
          </cell>
        </row>
        <row r="10">
          <cell r="B10">
            <v>38751</v>
          </cell>
          <cell r="AI10">
            <v>0.87197790564234445</v>
          </cell>
        </row>
        <row r="11">
          <cell r="B11">
            <v>38758</v>
          </cell>
          <cell r="AI11">
            <v>0.87907262904984473</v>
          </cell>
        </row>
        <row r="12">
          <cell r="B12">
            <v>38765</v>
          </cell>
          <cell r="AI12">
            <v>0.87297247095785102</v>
          </cell>
        </row>
        <row r="13">
          <cell r="B13">
            <v>38772</v>
          </cell>
          <cell r="AI13">
            <v>0.87856444552863144</v>
          </cell>
        </row>
        <row r="14">
          <cell r="B14">
            <v>38779</v>
          </cell>
          <cell r="AI14">
            <v>0.85772345811574768</v>
          </cell>
        </row>
        <row r="15">
          <cell r="B15">
            <v>38786</v>
          </cell>
          <cell r="AI15">
            <v>0.88603675530214343</v>
          </cell>
        </row>
        <row r="16">
          <cell r="B16">
            <v>38793</v>
          </cell>
          <cell r="AI16">
            <v>0.85552604409810995</v>
          </cell>
        </row>
        <row r="17">
          <cell r="B17">
            <v>38800</v>
          </cell>
          <cell r="AI17">
            <v>0.82036654507330331</v>
          </cell>
        </row>
        <row r="18">
          <cell r="B18">
            <v>38807</v>
          </cell>
          <cell r="AI18">
            <v>0.81960843304862885</v>
          </cell>
        </row>
        <row r="19">
          <cell r="B19">
            <v>38814</v>
          </cell>
          <cell r="AI19">
            <v>0.83128323158670592</v>
          </cell>
        </row>
        <row r="20">
          <cell r="B20">
            <v>38821</v>
          </cell>
          <cell r="AI20">
            <v>0.81190001615336727</v>
          </cell>
        </row>
        <row r="21">
          <cell r="B21">
            <v>38828</v>
          </cell>
          <cell r="AI21">
            <v>0.76461542957148576</v>
          </cell>
        </row>
        <row r="22">
          <cell r="B22">
            <v>38835</v>
          </cell>
          <cell r="AI22">
            <v>0.77254791009507462</v>
          </cell>
        </row>
        <row r="23">
          <cell r="B23">
            <v>38842</v>
          </cell>
          <cell r="AI23">
            <v>0.74322588305494564</v>
          </cell>
        </row>
        <row r="24">
          <cell r="B24">
            <v>38849</v>
          </cell>
          <cell r="AI24">
            <v>0.75819623694195504</v>
          </cell>
        </row>
        <row r="25">
          <cell r="B25">
            <v>38856</v>
          </cell>
          <cell r="AI25">
            <v>0.74149991827172312</v>
          </cell>
        </row>
        <row r="26">
          <cell r="B26">
            <v>38863</v>
          </cell>
          <cell r="AI26">
            <v>0.70932477597100962</v>
          </cell>
        </row>
        <row r="27">
          <cell r="B27">
            <v>38870</v>
          </cell>
          <cell r="AI27">
            <v>0.72942705296735488</v>
          </cell>
        </row>
        <row r="28">
          <cell r="B28">
            <v>38877</v>
          </cell>
          <cell r="AI28">
            <v>0.73116271510676645</v>
          </cell>
        </row>
        <row r="29">
          <cell r="B29">
            <v>38884</v>
          </cell>
          <cell r="AI29">
            <v>0.77357350337776321</v>
          </cell>
        </row>
        <row r="30">
          <cell r="B30">
            <v>38891</v>
          </cell>
          <cell r="AI30">
            <v>0.75760139387162673</v>
          </cell>
        </row>
        <row r="31">
          <cell r="B31">
            <v>38898</v>
          </cell>
          <cell r="AI31">
            <v>0.71619931453880115</v>
          </cell>
        </row>
        <row r="32">
          <cell r="B32">
            <v>38905</v>
          </cell>
          <cell r="AI32">
            <v>0.76717561230993547</v>
          </cell>
        </row>
        <row r="33">
          <cell r="B33">
            <v>38912</v>
          </cell>
          <cell r="AI33">
            <v>0.78561853765984568</v>
          </cell>
        </row>
        <row r="34">
          <cell r="B34">
            <v>38919</v>
          </cell>
          <cell r="AI34">
            <v>0.76695496865482604</v>
          </cell>
        </row>
        <row r="35">
          <cell r="B35">
            <v>38926</v>
          </cell>
          <cell r="AI35">
            <v>0.8033593661426891</v>
          </cell>
        </row>
        <row r="36">
          <cell r="B36">
            <v>38933</v>
          </cell>
          <cell r="AI36">
            <v>0.78340836647615308</v>
          </cell>
        </row>
        <row r="37">
          <cell r="B37">
            <v>38940</v>
          </cell>
          <cell r="AI37">
            <v>0.75824054258002349</v>
          </cell>
        </row>
        <row r="38">
          <cell r="B38">
            <v>38947</v>
          </cell>
          <cell r="AI38">
            <v>0.72459658881822953</v>
          </cell>
        </row>
        <row r="39">
          <cell r="B39">
            <v>38954</v>
          </cell>
          <cell r="AI39">
            <v>0.78146029098240899</v>
          </cell>
        </row>
        <row r="40">
          <cell r="B40">
            <v>38961</v>
          </cell>
          <cell r="AI40">
            <v>0.80224161973217245</v>
          </cell>
        </row>
        <row r="41">
          <cell r="B41">
            <v>38968</v>
          </cell>
          <cell r="AI41">
            <v>0.8085493790713949</v>
          </cell>
        </row>
        <row r="42">
          <cell r="B42">
            <v>38975</v>
          </cell>
          <cell r="AI42">
            <v>0.78328927614371557</v>
          </cell>
        </row>
        <row r="43">
          <cell r="B43">
            <v>38982</v>
          </cell>
          <cell r="AI43">
            <v>0.80429250307322608</v>
          </cell>
        </row>
        <row r="44">
          <cell r="B44">
            <v>38989</v>
          </cell>
          <cell r="AI44">
            <v>0.79771993494645144</v>
          </cell>
        </row>
        <row r="45">
          <cell r="B45">
            <v>38996</v>
          </cell>
          <cell r="AI45">
            <v>0.80008205125493437</v>
          </cell>
        </row>
        <row r="46">
          <cell r="B46">
            <v>39003</v>
          </cell>
          <cell r="AI46">
            <v>0.83895227892715174</v>
          </cell>
        </row>
        <row r="47">
          <cell r="B47">
            <v>39010</v>
          </cell>
          <cell r="AI47">
            <v>0.84509727272436763</v>
          </cell>
        </row>
        <row r="48">
          <cell r="B48">
            <v>39017</v>
          </cell>
          <cell r="AI48">
            <v>0.77283922198354715</v>
          </cell>
        </row>
        <row r="49">
          <cell r="B49">
            <v>39024</v>
          </cell>
          <cell r="AI49">
            <v>0.75128078641052709</v>
          </cell>
        </row>
        <row r="50">
          <cell r="B50">
            <v>39031</v>
          </cell>
          <cell r="AI50">
            <v>0.70537150617817868</v>
          </cell>
        </row>
        <row r="51">
          <cell r="B51">
            <v>39038</v>
          </cell>
          <cell r="AI51">
            <v>0.6803245009507527</v>
          </cell>
        </row>
        <row r="52">
          <cell r="B52">
            <v>39045</v>
          </cell>
          <cell r="AI52">
            <v>0.69921151550507665</v>
          </cell>
        </row>
        <row r="53">
          <cell r="B53">
            <v>39052</v>
          </cell>
          <cell r="AI53">
            <v>0.7420609890794071</v>
          </cell>
        </row>
        <row r="54">
          <cell r="B54">
            <v>39059</v>
          </cell>
          <cell r="AI54">
            <v>0.72754288141323831</v>
          </cell>
        </row>
        <row r="55">
          <cell r="B55">
            <v>39066</v>
          </cell>
          <cell r="AI55">
            <v>0.72257826241776291</v>
          </cell>
        </row>
        <row r="56">
          <cell r="B56">
            <v>39073</v>
          </cell>
          <cell r="AI56">
            <v>0.68443665270452303</v>
          </cell>
        </row>
        <row r="57">
          <cell r="B57">
            <v>39080</v>
          </cell>
          <cell r="AI57">
            <v>0.68057023089577651</v>
          </cell>
        </row>
        <row r="58">
          <cell r="B58">
            <v>39087</v>
          </cell>
          <cell r="AI58">
            <v>0.66730549698248698</v>
          </cell>
        </row>
        <row r="59">
          <cell r="B59">
            <v>39094</v>
          </cell>
          <cell r="AI59">
            <v>0.65194575903028851</v>
          </cell>
        </row>
        <row r="60">
          <cell r="B60">
            <v>39101</v>
          </cell>
          <cell r="AI60">
            <v>0.61307996674755849</v>
          </cell>
        </row>
        <row r="61">
          <cell r="B61">
            <v>39108</v>
          </cell>
          <cell r="AI61">
            <v>0.68374697017854624</v>
          </cell>
        </row>
        <row r="62">
          <cell r="B62">
            <v>39115</v>
          </cell>
          <cell r="AI62">
            <v>0.69382606316187712</v>
          </cell>
        </row>
        <row r="63">
          <cell r="B63">
            <v>39122</v>
          </cell>
          <cell r="AI63">
            <v>0.65333494394694802</v>
          </cell>
        </row>
        <row r="64">
          <cell r="B64">
            <v>39129</v>
          </cell>
          <cell r="AI64">
            <v>0.62285561202168038</v>
          </cell>
        </row>
        <row r="65">
          <cell r="B65">
            <v>39136</v>
          </cell>
          <cell r="AI65">
            <v>0.60696909143626054</v>
          </cell>
        </row>
        <row r="66">
          <cell r="B66">
            <v>39143</v>
          </cell>
          <cell r="AI66">
            <v>0.65371477425950986</v>
          </cell>
        </row>
        <row r="67">
          <cell r="B67">
            <v>39150</v>
          </cell>
          <cell r="AI67">
            <v>0.67022383108760486</v>
          </cell>
        </row>
        <row r="68">
          <cell r="B68">
            <v>39157</v>
          </cell>
          <cell r="AI68">
            <v>0.65715241763351562</v>
          </cell>
        </row>
        <row r="69">
          <cell r="B69">
            <v>39164</v>
          </cell>
          <cell r="AI69">
            <v>0.63078291628355776</v>
          </cell>
        </row>
        <row r="70">
          <cell r="B70">
            <v>39171</v>
          </cell>
          <cell r="AI70">
            <v>0.63673980119055185</v>
          </cell>
        </row>
        <row r="71">
          <cell r="B71">
            <v>39178</v>
          </cell>
          <cell r="AI71">
            <v>0.64936731597937414</v>
          </cell>
        </row>
        <row r="72">
          <cell r="B72">
            <v>39185</v>
          </cell>
          <cell r="AI72">
            <v>0.62935930646141047</v>
          </cell>
        </row>
        <row r="73">
          <cell r="B73">
            <v>39192</v>
          </cell>
          <cell r="AI73">
            <v>0.61359153326792915</v>
          </cell>
        </row>
        <row r="74">
          <cell r="B74">
            <v>39199</v>
          </cell>
          <cell r="AI74">
            <v>0.61834586931488278</v>
          </cell>
        </row>
        <row r="75">
          <cell r="B75">
            <v>39206</v>
          </cell>
          <cell r="AI75">
            <v>0.62452025612069351</v>
          </cell>
        </row>
        <row r="76">
          <cell r="B76">
            <v>39213</v>
          </cell>
          <cell r="AI76">
            <v>0.62927411335638528</v>
          </cell>
        </row>
        <row r="77">
          <cell r="B77">
            <v>39220</v>
          </cell>
          <cell r="AI77">
            <v>0.60927897714421575</v>
          </cell>
        </row>
        <row r="78">
          <cell r="B78">
            <v>39227</v>
          </cell>
          <cell r="AI78">
            <v>0.61509935374802938</v>
          </cell>
        </row>
        <row r="79">
          <cell r="B79">
            <v>39234</v>
          </cell>
          <cell r="AI79">
            <v>0.60891042848075494</v>
          </cell>
        </row>
        <row r="80">
          <cell r="B80">
            <v>39241</v>
          </cell>
          <cell r="AI80">
            <v>0.62317367197423534</v>
          </cell>
        </row>
        <row r="81">
          <cell r="B81">
            <v>39248</v>
          </cell>
          <cell r="AI81">
            <v>0.61816282231860764</v>
          </cell>
        </row>
        <row r="82">
          <cell r="B82">
            <v>39255</v>
          </cell>
          <cell r="AI82">
            <v>0.65984606565597781</v>
          </cell>
        </row>
        <row r="83">
          <cell r="B83">
            <v>39262</v>
          </cell>
          <cell r="AI83">
            <v>0.66261924027159413</v>
          </cell>
        </row>
        <row r="84">
          <cell r="B84">
            <v>39269</v>
          </cell>
          <cell r="AI84">
            <v>0.64629058584249843</v>
          </cell>
        </row>
        <row r="85">
          <cell r="B85">
            <v>39276</v>
          </cell>
          <cell r="AI85">
            <v>0.64528526687289434</v>
          </cell>
        </row>
        <row r="86">
          <cell r="B86">
            <v>39283</v>
          </cell>
          <cell r="AI86">
            <v>0.65470351562944462</v>
          </cell>
        </row>
        <row r="87">
          <cell r="B87">
            <v>39290</v>
          </cell>
          <cell r="AI87">
            <v>0.65410649343895955</v>
          </cell>
        </row>
        <row r="88">
          <cell r="B88">
            <v>39297</v>
          </cell>
          <cell r="AI88">
            <v>0.65249112812261556</v>
          </cell>
        </row>
        <row r="89">
          <cell r="B89">
            <v>39304</v>
          </cell>
          <cell r="AI89">
            <v>0.62445684735343221</v>
          </cell>
        </row>
        <row r="90">
          <cell r="B90">
            <v>39311</v>
          </cell>
          <cell r="AI90">
            <v>0.60177755997853688</v>
          </cell>
        </row>
        <row r="91">
          <cell r="B91">
            <v>39318</v>
          </cell>
          <cell r="AI91">
            <v>0.63229951504696036</v>
          </cell>
        </row>
        <row r="92">
          <cell r="B92">
            <v>39325</v>
          </cell>
          <cell r="AI92">
            <v>0.63409054026815226</v>
          </cell>
        </row>
        <row r="93">
          <cell r="B93">
            <v>39332</v>
          </cell>
          <cell r="AI93">
            <v>0.62569003328383077</v>
          </cell>
        </row>
        <row r="94">
          <cell r="B94">
            <v>39339</v>
          </cell>
          <cell r="AI94">
            <v>0.61022805273717928</v>
          </cell>
        </row>
        <row r="95">
          <cell r="B95">
            <v>39346</v>
          </cell>
          <cell r="AI95">
            <v>0.60186067524968789</v>
          </cell>
        </row>
        <row r="96">
          <cell r="B96">
            <v>39353</v>
          </cell>
          <cell r="AI96">
            <v>0.59365589167230393</v>
          </cell>
        </row>
        <row r="97">
          <cell r="B97">
            <v>39360</v>
          </cell>
          <cell r="AI97">
            <v>0.57530841197126548</v>
          </cell>
        </row>
        <row r="98">
          <cell r="B98">
            <v>39367</v>
          </cell>
          <cell r="AI98">
            <v>0.58753183285635124</v>
          </cell>
        </row>
        <row r="99">
          <cell r="B99">
            <v>39374</v>
          </cell>
          <cell r="AI99">
            <v>0.61538515763895185</v>
          </cell>
        </row>
        <row r="100">
          <cell r="B100">
            <v>39381</v>
          </cell>
          <cell r="AI100">
            <v>0.63338109086123806</v>
          </cell>
        </row>
        <row r="101">
          <cell r="B101">
            <v>39388</v>
          </cell>
          <cell r="AI101">
            <v>0.607328526916602</v>
          </cell>
        </row>
        <row r="102">
          <cell r="B102">
            <v>39395</v>
          </cell>
          <cell r="AI102">
            <v>0.58140178072852111</v>
          </cell>
        </row>
        <row r="103">
          <cell r="B103">
            <v>39402</v>
          </cell>
          <cell r="AI103">
            <v>0.56944210113909377</v>
          </cell>
        </row>
        <row r="104">
          <cell r="B104">
            <v>39409</v>
          </cell>
          <cell r="AI104">
            <v>0.5861125412414695</v>
          </cell>
        </row>
        <row r="105">
          <cell r="B105">
            <v>39416</v>
          </cell>
          <cell r="AI105">
            <v>0.56580078202370554</v>
          </cell>
        </row>
        <row r="106">
          <cell r="B106">
            <v>39423</v>
          </cell>
          <cell r="AI106">
            <v>0.55746917305863108</v>
          </cell>
        </row>
        <row r="107">
          <cell r="B107">
            <v>39430</v>
          </cell>
          <cell r="AI107">
            <v>0.56173661610674097</v>
          </cell>
        </row>
        <row r="108">
          <cell r="B108">
            <v>39437</v>
          </cell>
          <cell r="AI108">
            <v>0.58007246744245033</v>
          </cell>
        </row>
        <row r="109">
          <cell r="B109">
            <v>39444</v>
          </cell>
          <cell r="AI109">
            <v>0.61958190984214012</v>
          </cell>
        </row>
        <row r="110">
          <cell r="B110">
            <v>39451</v>
          </cell>
          <cell r="AI110">
            <v>0.65884808857142918</v>
          </cell>
        </row>
        <row r="111">
          <cell r="B111">
            <v>39458</v>
          </cell>
          <cell r="AI111">
            <v>0.65850657002029367</v>
          </cell>
        </row>
        <row r="112">
          <cell r="B112">
            <v>39465</v>
          </cell>
          <cell r="AI112">
            <v>0.62931094457470782</v>
          </cell>
        </row>
        <row r="113">
          <cell r="B113">
            <v>39472</v>
          </cell>
          <cell r="AI113">
            <v>0.63826843440040348</v>
          </cell>
        </row>
        <row r="114">
          <cell r="B114">
            <v>39479</v>
          </cell>
          <cell r="AI114">
            <v>0.60592264803216134</v>
          </cell>
        </row>
        <row r="115">
          <cell r="B115">
            <v>39486</v>
          </cell>
          <cell r="AI115">
            <v>0.62717549116800786</v>
          </cell>
        </row>
        <row r="116">
          <cell r="B116">
            <v>39493</v>
          </cell>
          <cell r="AI116">
            <v>0.62264012240088917</v>
          </cell>
        </row>
        <row r="117">
          <cell r="B117">
            <v>39500</v>
          </cell>
          <cell r="AI117">
            <v>0.64461467641716574</v>
          </cell>
        </row>
        <row r="118">
          <cell r="B118">
            <v>39507</v>
          </cell>
          <cell r="AI118">
            <v>0.65771416752731071</v>
          </cell>
        </row>
        <row r="119">
          <cell r="B119">
            <v>39514</v>
          </cell>
          <cell r="AI119">
            <v>0.67152110082187555</v>
          </cell>
        </row>
        <row r="120">
          <cell r="B120">
            <v>39521</v>
          </cell>
          <cell r="AI120">
            <v>0.71843091242462431</v>
          </cell>
        </row>
        <row r="121">
          <cell r="B121">
            <v>39528</v>
          </cell>
          <cell r="AI121">
            <v>0.72913910022836037</v>
          </cell>
        </row>
        <row r="122">
          <cell r="B122">
            <v>39535</v>
          </cell>
          <cell r="AI122">
            <v>0.72111305310918949</v>
          </cell>
        </row>
        <row r="123">
          <cell r="B123">
            <v>39542</v>
          </cell>
          <cell r="AI123">
            <v>0.710149692337807</v>
          </cell>
        </row>
        <row r="124">
          <cell r="B124">
            <v>39549</v>
          </cell>
          <cell r="AI124">
            <v>0.69861277130086341</v>
          </cell>
        </row>
        <row r="125">
          <cell r="B125">
            <v>39556</v>
          </cell>
          <cell r="AI125">
            <v>0.69737068563958027</v>
          </cell>
        </row>
        <row r="126">
          <cell r="B126">
            <v>39563</v>
          </cell>
          <cell r="AI126">
            <v>0.74137841871601939</v>
          </cell>
        </row>
        <row r="127">
          <cell r="B127">
            <v>39570</v>
          </cell>
          <cell r="AI127">
            <v>0.72611340251215439</v>
          </cell>
        </row>
        <row r="128">
          <cell r="B128">
            <v>39577</v>
          </cell>
          <cell r="AI128">
            <v>0.76884477516689353</v>
          </cell>
        </row>
        <row r="129">
          <cell r="B129">
            <v>39584</v>
          </cell>
          <cell r="AI129">
            <v>0.7666317053629389</v>
          </cell>
        </row>
        <row r="130">
          <cell r="B130">
            <v>39591</v>
          </cell>
          <cell r="AI130">
            <v>0.76914388140910694</v>
          </cell>
        </row>
        <row r="131">
          <cell r="B131">
            <v>39598</v>
          </cell>
          <cell r="AI131">
            <v>0.77030358568533486</v>
          </cell>
        </row>
        <row r="132">
          <cell r="B132">
            <v>39605</v>
          </cell>
          <cell r="AI132">
            <v>0.76454672962044112</v>
          </cell>
        </row>
        <row r="133">
          <cell r="B133">
            <v>39612</v>
          </cell>
          <cell r="AI133">
            <v>0.80051178726849004</v>
          </cell>
        </row>
        <row r="134">
          <cell r="B134">
            <v>39619</v>
          </cell>
          <cell r="AI134">
            <v>0.79869315123652385</v>
          </cell>
        </row>
        <row r="135">
          <cell r="B135">
            <v>39626</v>
          </cell>
          <cell r="AI135">
            <v>0.78432911142487693</v>
          </cell>
        </row>
        <row r="136">
          <cell r="B136">
            <v>39633</v>
          </cell>
          <cell r="AI136">
            <v>0.8164655664870244</v>
          </cell>
        </row>
        <row r="137">
          <cell r="B137">
            <v>39640</v>
          </cell>
          <cell r="AI137">
            <v>0.84612266794226099</v>
          </cell>
        </row>
        <row r="138">
          <cell r="B138">
            <v>39647</v>
          </cell>
          <cell r="AI138">
            <v>0.85368156107307869</v>
          </cell>
        </row>
        <row r="139">
          <cell r="B139">
            <v>39654</v>
          </cell>
          <cell r="AI139">
            <v>0.83185996111296712</v>
          </cell>
        </row>
        <row r="140">
          <cell r="B140">
            <v>39661</v>
          </cell>
          <cell r="AI140">
            <v>0.84648260038825929</v>
          </cell>
        </row>
        <row r="141">
          <cell r="B141">
            <v>39668</v>
          </cell>
          <cell r="AI141">
            <v>0.90301287140454078</v>
          </cell>
        </row>
        <row r="142">
          <cell r="B142">
            <v>39675</v>
          </cell>
          <cell r="AI142">
            <v>0.92522035247156742</v>
          </cell>
        </row>
        <row r="143">
          <cell r="B143">
            <v>39682</v>
          </cell>
          <cell r="AI143">
            <v>0.91349488062271123</v>
          </cell>
        </row>
        <row r="144">
          <cell r="B144">
            <v>39689</v>
          </cell>
          <cell r="AI144">
            <v>0.91064707617055829</v>
          </cell>
        </row>
        <row r="145">
          <cell r="B145">
            <v>39696</v>
          </cell>
          <cell r="AI145">
            <v>0.95568024204493052</v>
          </cell>
        </row>
        <row r="146">
          <cell r="B146">
            <v>39703</v>
          </cell>
          <cell r="AI146">
            <v>0.98742395647760495</v>
          </cell>
        </row>
        <row r="147">
          <cell r="B147">
            <v>39710</v>
          </cell>
          <cell r="AI147">
            <v>0.97418084328834254</v>
          </cell>
        </row>
        <row r="148">
          <cell r="B148">
            <v>39717</v>
          </cell>
          <cell r="AI148">
            <v>0.96990387717291127</v>
          </cell>
        </row>
        <row r="149">
          <cell r="B149">
            <v>39724</v>
          </cell>
          <cell r="AI149">
            <v>1.0639249162663729</v>
          </cell>
        </row>
        <row r="150">
          <cell r="B150">
            <v>39731</v>
          </cell>
          <cell r="AI150">
            <v>1.2962116695228776</v>
          </cell>
        </row>
        <row r="151">
          <cell r="B151">
            <v>39738</v>
          </cell>
          <cell r="AI151">
            <v>1.205090937776284</v>
          </cell>
        </row>
        <row r="152">
          <cell r="B152">
            <v>39745</v>
          </cell>
          <cell r="AI152">
            <v>1.7738257898450485</v>
          </cell>
        </row>
        <row r="153">
          <cell r="B153">
            <v>39752</v>
          </cell>
          <cell r="AI153">
            <v>1.5938913082310016</v>
          </cell>
        </row>
        <row r="154">
          <cell r="B154">
            <v>39759</v>
          </cell>
          <cell r="AI154">
            <v>1.7543164233291615</v>
          </cell>
        </row>
        <row r="155">
          <cell r="B155">
            <v>39766</v>
          </cell>
          <cell r="AI155">
            <v>1.8053896569071874</v>
          </cell>
        </row>
        <row r="156">
          <cell r="B156">
            <v>39773</v>
          </cell>
          <cell r="AI156">
            <v>2.0875837289056935</v>
          </cell>
        </row>
        <row r="157">
          <cell r="B157">
            <v>39780</v>
          </cell>
          <cell r="AI157">
            <v>1.770698676147298</v>
          </cell>
        </row>
        <row r="158">
          <cell r="B158">
            <v>39787</v>
          </cell>
          <cell r="AI158">
            <v>1.7692534601412262</v>
          </cell>
        </row>
        <row r="159">
          <cell r="B159">
            <v>39794</v>
          </cell>
          <cell r="AI159">
            <v>1.6017927753803385</v>
          </cell>
        </row>
        <row r="160">
          <cell r="B160">
            <v>39801</v>
          </cell>
          <cell r="AI160">
            <v>1.5899013830077457</v>
          </cell>
        </row>
        <row r="161">
          <cell r="B161">
            <v>39808</v>
          </cell>
          <cell r="AI161">
            <v>1.642177781508434</v>
          </cell>
        </row>
        <row r="162">
          <cell r="B162">
            <v>39815</v>
          </cell>
          <cell r="AI162">
            <v>1.5349972803624095</v>
          </cell>
        </row>
        <row r="163">
          <cell r="B163">
            <v>39822</v>
          </cell>
          <cell r="AI163">
            <v>1.4876908809195091</v>
          </cell>
        </row>
        <row r="164">
          <cell r="B164">
            <v>39829</v>
          </cell>
          <cell r="AI164">
            <v>1.552349134760753</v>
          </cell>
        </row>
        <row r="165">
          <cell r="B165">
            <v>39836</v>
          </cell>
          <cell r="AI165">
            <v>1.5693786823977318</v>
          </cell>
        </row>
        <row r="166">
          <cell r="B166">
            <v>39843</v>
          </cell>
          <cell r="AI166">
            <v>1.5511447273245063</v>
          </cell>
        </row>
        <row r="167">
          <cell r="B167">
            <v>39850</v>
          </cell>
          <cell r="AI167">
            <v>1.4780464813253669</v>
          </cell>
        </row>
        <row r="168">
          <cell r="B168">
            <v>39857</v>
          </cell>
          <cell r="AI168">
            <v>1.4760911831097374</v>
          </cell>
        </row>
        <row r="169">
          <cell r="B169">
            <v>39864</v>
          </cell>
          <cell r="AI169">
            <v>1.5946608352663323</v>
          </cell>
        </row>
        <row r="170">
          <cell r="B170">
            <v>39871</v>
          </cell>
          <cell r="AI170">
            <v>1.1958988325435151</v>
          </cell>
        </row>
        <row r="171">
          <cell r="B171">
            <v>39878</v>
          </cell>
          <cell r="AI171">
            <v>0.90859710417062767</v>
          </cell>
        </row>
        <row r="172">
          <cell r="B172">
            <v>39885</v>
          </cell>
          <cell r="AI172">
            <v>0.71416455361377518</v>
          </cell>
        </row>
        <row r="173">
          <cell r="B173">
            <v>39892</v>
          </cell>
          <cell r="AI173">
            <v>0.95673775615105927</v>
          </cell>
        </row>
        <row r="174">
          <cell r="B174">
            <v>39899</v>
          </cell>
          <cell r="AI174">
            <v>0.96604070922476859</v>
          </cell>
        </row>
        <row r="175">
          <cell r="B175">
            <v>39906</v>
          </cell>
          <cell r="AI175">
            <v>0.90477065062608086</v>
          </cell>
        </row>
        <row r="176">
          <cell r="B176">
            <v>39913</v>
          </cell>
          <cell r="AI176">
            <v>0.93813899005722401</v>
          </cell>
        </row>
        <row r="177">
          <cell r="B177">
            <v>39920</v>
          </cell>
          <cell r="AI177">
            <v>0.90063642645638275</v>
          </cell>
        </row>
        <row r="178">
          <cell r="B178">
            <v>39927</v>
          </cell>
          <cell r="AI178">
            <v>0.89202197080613055</v>
          </cell>
        </row>
        <row r="179">
          <cell r="B179">
            <v>39934</v>
          </cell>
          <cell r="AI179">
            <v>0.94625573683641118</v>
          </cell>
        </row>
        <row r="180">
          <cell r="B180">
            <v>39941</v>
          </cell>
          <cell r="AI180">
            <v>0.85510161702934473</v>
          </cell>
        </row>
        <row r="181">
          <cell r="B181">
            <v>39948</v>
          </cell>
          <cell r="AI181">
            <v>0.90645911790826805</v>
          </cell>
        </row>
        <row r="182">
          <cell r="B182">
            <v>39955</v>
          </cell>
          <cell r="AI182">
            <v>0.90353291512230416</v>
          </cell>
        </row>
        <row r="183">
          <cell r="B183">
            <v>39962</v>
          </cell>
          <cell r="AI183">
            <v>0.97389784360389675</v>
          </cell>
        </row>
        <row r="184">
          <cell r="B184">
            <v>39969</v>
          </cell>
          <cell r="AI184">
            <v>0.95152956469070549</v>
          </cell>
        </row>
        <row r="185">
          <cell r="B185">
            <v>39976</v>
          </cell>
          <cell r="AI185">
            <v>0.96167696948904413</v>
          </cell>
        </row>
        <row r="186">
          <cell r="B186">
            <v>39983</v>
          </cell>
          <cell r="AI186">
            <v>0.94159730620484372</v>
          </cell>
        </row>
        <row r="187">
          <cell r="B187">
            <v>39990</v>
          </cell>
          <cell r="AI187">
            <v>0.88700234261707922</v>
          </cell>
        </row>
        <row r="188">
          <cell r="B188">
            <v>39997</v>
          </cell>
          <cell r="AI188">
            <v>1.0120278725424574</v>
          </cell>
        </row>
        <row r="189">
          <cell r="B189">
            <v>40004</v>
          </cell>
          <cell r="AI189">
            <v>1.1504442863325985</v>
          </cell>
        </row>
        <row r="190">
          <cell r="B190">
            <v>40011</v>
          </cell>
          <cell r="AI190">
            <v>1.0029574524059595</v>
          </cell>
        </row>
        <row r="191">
          <cell r="B191">
            <v>40018</v>
          </cell>
          <cell r="AI191">
            <v>0.93958467903790277</v>
          </cell>
        </row>
        <row r="192">
          <cell r="B192">
            <v>40025</v>
          </cell>
          <cell r="AI192">
            <v>0.9547785778709057</v>
          </cell>
        </row>
        <row r="193">
          <cell r="B193">
            <v>40032</v>
          </cell>
          <cell r="AI193">
            <v>0.90109571902734942</v>
          </cell>
        </row>
        <row r="194">
          <cell r="B194">
            <v>40039</v>
          </cell>
          <cell r="AI194">
            <v>0.95872313364581907</v>
          </cell>
        </row>
        <row r="195">
          <cell r="B195">
            <v>40046</v>
          </cell>
          <cell r="AI195">
            <v>0.97098965442341023</v>
          </cell>
        </row>
        <row r="196">
          <cell r="B196">
            <v>40053</v>
          </cell>
          <cell r="AI196">
            <v>0.9867542705054525</v>
          </cell>
        </row>
        <row r="197">
          <cell r="B197">
            <v>40060</v>
          </cell>
          <cell r="AI197">
            <v>0.94700614078912992</v>
          </cell>
        </row>
        <row r="198">
          <cell r="B198">
            <v>40067</v>
          </cell>
          <cell r="AI198">
            <v>0.92017969682900469</v>
          </cell>
        </row>
        <row r="199">
          <cell r="B199">
            <v>40074</v>
          </cell>
          <cell r="AI199">
            <v>0.88356595104197688</v>
          </cell>
        </row>
        <row r="200">
          <cell r="B200">
            <v>40081</v>
          </cell>
          <cell r="AI200">
            <v>0.86783552777684092</v>
          </cell>
        </row>
        <row r="201">
          <cell r="B201">
            <v>40088</v>
          </cell>
          <cell r="AI201">
            <v>0.84746278890781945</v>
          </cell>
        </row>
        <row r="202">
          <cell r="B202">
            <v>40095</v>
          </cell>
          <cell r="AI202">
            <v>0.80562868029349588</v>
          </cell>
        </row>
        <row r="203">
          <cell r="B203">
            <v>40102</v>
          </cell>
          <cell r="AI203">
            <v>0.82654902670897556</v>
          </cell>
        </row>
        <row r="204">
          <cell r="B204">
            <v>40109</v>
          </cell>
          <cell r="AI204">
            <v>0.76857850847494447</v>
          </cell>
        </row>
        <row r="205">
          <cell r="B205">
            <v>40116</v>
          </cell>
          <cell r="AI205">
            <v>0.80898544313712428</v>
          </cell>
        </row>
        <row r="206">
          <cell r="B206">
            <v>40123</v>
          </cell>
          <cell r="AI206">
            <v>0.77997678179500485</v>
          </cell>
        </row>
        <row r="207">
          <cell r="B207">
            <v>40130</v>
          </cell>
          <cell r="AI207">
            <v>0.78710444548645786</v>
          </cell>
        </row>
        <row r="208">
          <cell r="B208">
            <v>40137</v>
          </cell>
          <cell r="AI208">
            <v>0.77926335224080612</v>
          </cell>
        </row>
        <row r="209">
          <cell r="B209">
            <v>40144</v>
          </cell>
          <cell r="AI209">
            <v>0.81795195442671353</v>
          </cell>
        </row>
        <row r="210">
          <cell r="B210">
            <v>40151</v>
          </cell>
          <cell r="AI210">
            <v>0.85449691765104807</v>
          </cell>
        </row>
        <row r="211">
          <cell r="B211">
            <v>40158</v>
          </cell>
          <cell r="AI211">
            <v>0.85431949209831348</v>
          </cell>
        </row>
        <row r="212">
          <cell r="B212">
            <v>40165</v>
          </cell>
          <cell r="AI212">
            <v>0.84114930021333989</v>
          </cell>
        </row>
        <row r="213">
          <cell r="B213">
            <v>40172</v>
          </cell>
          <cell r="AI213">
            <v>0.85893486440225986</v>
          </cell>
        </row>
        <row r="214">
          <cell r="B214">
            <v>40179</v>
          </cell>
          <cell r="AI214">
            <v>0.86538410625415074</v>
          </cell>
        </row>
        <row r="215">
          <cell r="B215">
            <v>40186</v>
          </cell>
          <cell r="AI215">
            <v>0.87726158643605312</v>
          </cell>
        </row>
        <row r="216">
          <cell r="B216">
            <v>40193</v>
          </cell>
          <cell r="AI216">
            <v>0.87438170476319077</v>
          </cell>
        </row>
        <row r="217">
          <cell r="B217">
            <v>40200</v>
          </cell>
          <cell r="AI217">
            <v>0.86013646214439798</v>
          </cell>
        </row>
        <row r="218">
          <cell r="B218">
            <v>40207</v>
          </cell>
          <cell r="AI218">
            <v>0.88197380681858806</v>
          </cell>
        </row>
        <row r="219">
          <cell r="B219">
            <v>40214</v>
          </cell>
          <cell r="AI219">
            <v>0.92144413337993036</v>
          </cell>
        </row>
        <row r="220">
          <cell r="B220">
            <v>40221</v>
          </cell>
          <cell r="AI220">
            <v>0.83151835451855916</v>
          </cell>
        </row>
        <row r="221">
          <cell r="B221">
            <v>40228</v>
          </cell>
          <cell r="AI221">
            <v>0.84962637183919498</v>
          </cell>
        </row>
        <row r="222">
          <cell r="B222">
            <v>40235</v>
          </cell>
          <cell r="AI222">
            <v>0.8850778229239924</v>
          </cell>
        </row>
        <row r="223">
          <cell r="B223">
            <v>40242</v>
          </cell>
          <cell r="AI223">
            <v>0.91312122744586943</v>
          </cell>
        </row>
        <row r="224">
          <cell r="B224">
            <v>40249</v>
          </cell>
          <cell r="AI224">
            <v>0.88491478314787964</v>
          </cell>
        </row>
        <row r="225">
          <cell r="B225">
            <v>40256</v>
          </cell>
          <cell r="AI225">
            <v>0.85967221414987827</v>
          </cell>
        </row>
        <row r="226">
          <cell r="B226">
            <v>40263</v>
          </cell>
          <cell r="AI226">
            <v>0.82452387011792772</v>
          </cell>
        </row>
        <row r="227">
          <cell r="B227">
            <v>40270</v>
          </cell>
          <cell r="AI227">
            <v>0.88773490604862337</v>
          </cell>
        </row>
        <row r="228">
          <cell r="B228">
            <v>40277</v>
          </cell>
          <cell r="AI228">
            <v>0.83101673304862578</v>
          </cell>
        </row>
        <row r="229">
          <cell r="B229">
            <v>40284</v>
          </cell>
          <cell r="AI229">
            <v>0.8697085609306433</v>
          </cell>
        </row>
        <row r="230">
          <cell r="B230">
            <v>40291</v>
          </cell>
          <cell r="AI230">
            <v>0.87574162895803964</v>
          </cell>
        </row>
        <row r="231">
          <cell r="B231">
            <v>40298</v>
          </cell>
          <cell r="AI231">
            <v>0.90659870274661158</v>
          </cell>
        </row>
        <row r="232">
          <cell r="B232">
            <v>40305</v>
          </cell>
          <cell r="AI232">
            <v>0.98161561056647662</v>
          </cell>
        </row>
        <row r="233">
          <cell r="B233">
            <v>40312</v>
          </cell>
          <cell r="AI233">
            <v>0.93191454153372255</v>
          </cell>
        </row>
        <row r="234">
          <cell r="B234">
            <v>40319</v>
          </cell>
          <cell r="AI234">
            <v>0.83303556920369703</v>
          </cell>
        </row>
        <row r="235">
          <cell r="B235">
            <v>40326</v>
          </cell>
          <cell r="AI235">
            <v>0.83891291346603791</v>
          </cell>
        </row>
        <row r="236">
          <cell r="B236">
            <v>40333</v>
          </cell>
          <cell r="AI236">
            <v>0.82940492573529512</v>
          </cell>
        </row>
        <row r="237">
          <cell r="B237">
            <v>40340</v>
          </cell>
          <cell r="AI237">
            <v>0.87805765892589338</v>
          </cell>
        </row>
        <row r="238">
          <cell r="B238">
            <v>40347</v>
          </cell>
          <cell r="AI238">
            <v>0.86267782205578536</v>
          </cell>
        </row>
        <row r="239">
          <cell r="B239">
            <v>40354</v>
          </cell>
          <cell r="AI239">
            <v>0.85404288097261072</v>
          </cell>
        </row>
        <row r="240">
          <cell r="B240">
            <v>40361</v>
          </cell>
          <cell r="AI240">
            <v>0.89673561610855546</v>
          </cell>
        </row>
        <row r="241">
          <cell r="B241">
            <v>40368</v>
          </cell>
          <cell r="AI241">
            <v>0.84330188592061806</v>
          </cell>
        </row>
        <row r="242">
          <cell r="B242">
            <v>40375</v>
          </cell>
          <cell r="AI242">
            <v>0.85025957866912472</v>
          </cell>
        </row>
        <row r="243">
          <cell r="B243">
            <v>40382</v>
          </cell>
          <cell r="AI243">
            <v>0.83198542494282268</v>
          </cell>
        </row>
        <row r="244">
          <cell r="B244">
            <v>40389</v>
          </cell>
          <cell r="AI244">
            <v>0.83530664571499069</v>
          </cell>
        </row>
        <row r="245">
          <cell r="B245">
            <v>40396</v>
          </cell>
          <cell r="AI245">
            <v>0.869367956143825</v>
          </cell>
        </row>
        <row r="246">
          <cell r="B246">
            <v>40403</v>
          </cell>
          <cell r="AI246">
            <v>0.87742159678711684</v>
          </cell>
        </row>
        <row r="247">
          <cell r="B247">
            <v>40410</v>
          </cell>
          <cell r="AI247">
            <v>0.83948002859966442</v>
          </cell>
        </row>
        <row r="248">
          <cell r="B248">
            <v>40417</v>
          </cell>
          <cell r="AI248">
            <v>0.85400201983244395</v>
          </cell>
        </row>
        <row r="249">
          <cell r="B249">
            <v>40424</v>
          </cell>
          <cell r="AI249">
            <v>0.84762100233018101</v>
          </cell>
        </row>
        <row r="250">
          <cell r="B250">
            <v>40431</v>
          </cell>
          <cell r="AI250">
            <v>0.83320564446576317</v>
          </cell>
        </row>
        <row r="251">
          <cell r="B251">
            <v>40438</v>
          </cell>
          <cell r="AI251">
            <v>0.82607555291709978</v>
          </cell>
        </row>
        <row r="252">
          <cell r="B252">
            <v>40445</v>
          </cell>
          <cell r="AI252">
            <v>0.76531224706232615</v>
          </cell>
        </row>
        <row r="253">
          <cell r="B253">
            <v>40452</v>
          </cell>
          <cell r="AI253">
            <v>0.74962928730092582</v>
          </cell>
        </row>
        <row r="254">
          <cell r="B254">
            <v>40459</v>
          </cell>
          <cell r="AI254">
            <v>0.72836697155002972</v>
          </cell>
        </row>
        <row r="255">
          <cell r="B255">
            <v>40466</v>
          </cell>
          <cell r="AI255">
            <v>0.72624022775677444</v>
          </cell>
        </row>
        <row r="256">
          <cell r="B256">
            <v>40473</v>
          </cell>
          <cell r="AI256">
            <v>0.70364575044861022</v>
          </cell>
        </row>
        <row r="257">
          <cell r="B257">
            <v>40480</v>
          </cell>
          <cell r="AI257">
            <v>0.67444940126385933</v>
          </cell>
        </row>
        <row r="258">
          <cell r="B258">
            <v>40487</v>
          </cell>
          <cell r="AI258">
            <v>0.62076245878424985</v>
          </cell>
        </row>
        <row r="259">
          <cell r="B259">
            <v>40494</v>
          </cell>
          <cell r="AI259">
            <v>0.68551597031025557</v>
          </cell>
        </row>
        <row r="260">
          <cell r="B260">
            <v>40501</v>
          </cell>
          <cell r="AI260">
            <v>0.68020441107691043</v>
          </cell>
        </row>
        <row r="261">
          <cell r="B261">
            <v>40508</v>
          </cell>
          <cell r="AI261">
            <v>0.68453883900892876</v>
          </cell>
        </row>
        <row r="262">
          <cell r="B262">
            <v>40515</v>
          </cell>
          <cell r="AI262">
            <v>0.63531568093313884</v>
          </cell>
        </row>
        <row r="263">
          <cell r="B263">
            <v>40522</v>
          </cell>
          <cell r="AI263">
            <v>0.72250048058729643</v>
          </cell>
        </row>
        <row r="264">
          <cell r="B264">
            <v>40529</v>
          </cell>
          <cell r="AI264">
            <v>0.70371727218733893</v>
          </cell>
        </row>
        <row r="265">
          <cell r="B265">
            <v>40536</v>
          </cell>
          <cell r="AI265">
            <v>0.79326126299516964</v>
          </cell>
        </row>
        <row r="266">
          <cell r="B266">
            <v>40543</v>
          </cell>
          <cell r="AI266">
            <v>0.77066169672370455</v>
          </cell>
        </row>
        <row r="267">
          <cell r="B267">
            <v>40550</v>
          </cell>
          <cell r="AI267">
            <v>0.80608811384856405</v>
          </cell>
        </row>
        <row r="268">
          <cell r="B268">
            <v>40557</v>
          </cell>
          <cell r="AI268">
            <v>0.79212699890512717</v>
          </cell>
        </row>
        <row r="269">
          <cell r="B269">
            <v>40564</v>
          </cell>
          <cell r="AI269">
            <v>0.76786756044469262</v>
          </cell>
        </row>
        <row r="270">
          <cell r="B270">
            <v>40571</v>
          </cell>
          <cell r="AI270">
            <v>0.75913896794236668</v>
          </cell>
        </row>
        <row r="271">
          <cell r="B271">
            <v>40578</v>
          </cell>
          <cell r="AI271">
            <v>0.77720114164471965</v>
          </cell>
        </row>
        <row r="272">
          <cell r="B272">
            <v>40585</v>
          </cell>
          <cell r="AI272">
            <v>0.78851537880085498</v>
          </cell>
        </row>
        <row r="273">
          <cell r="B273">
            <v>40592</v>
          </cell>
          <cell r="AI273">
            <v>0.77800498603676282</v>
          </cell>
        </row>
        <row r="274">
          <cell r="B274">
            <v>40599</v>
          </cell>
          <cell r="AI274">
            <v>0.83858808315380307</v>
          </cell>
        </row>
        <row r="275">
          <cell r="B275">
            <v>40606</v>
          </cell>
          <cell r="AI275">
            <v>0.84463690360329757</v>
          </cell>
        </row>
        <row r="276">
          <cell r="B276">
            <v>40613</v>
          </cell>
          <cell r="AI276">
            <v>0.85758360335194272</v>
          </cell>
        </row>
        <row r="277">
          <cell r="B277">
            <v>40620</v>
          </cell>
          <cell r="AI277">
            <v>0.81201707118352118</v>
          </cell>
        </row>
        <row r="278">
          <cell r="B278">
            <v>40627</v>
          </cell>
          <cell r="AI278">
            <v>0.71331935438226113</v>
          </cell>
        </row>
        <row r="279">
          <cell r="B279">
            <v>40634</v>
          </cell>
          <cell r="AI279">
            <v>0.73886461789599445</v>
          </cell>
        </row>
        <row r="280">
          <cell r="B280">
            <v>40641</v>
          </cell>
          <cell r="AI280">
            <v>0.75340276713007015</v>
          </cell>
        </row>
        <row r="281">
          <cell r="B281">
            <v>40648</v>
          </cell>
          <cell r="AI281">
            <v>0.76220755316573829</v>
          </cell>
        </row>
        <row r="282">
          <cell r="B282">
            <v>40655</v>
          </cell>
          <cell r="AI282">
            <v>0.73743461024099788</v>
          </cell>
        </row>
        <row r="283">
          <cell r="B283">
            <v>40662</v>
          </cell>
          <cell r="AI283">
            <v>0.75636413491998777</v>
          </cell>
        </row>
        <row r="284">
          <cell r="B284">
            <v>40669</v>
          </cell>
          <cell r="AI284">
            <v>0.7574644992426891</v>
          </cell>
        </row>
        <row r="285">
          <cell r="B285">
            <v>40676</v>
          </cell>
          <cell r="AI285">
            <v>0.77959446600254534</v>
          </cell>
        </row>
        <row r="286">
          <cell r="B286">
            <v>40683</v>
          </cell>
          <cell r="AI286">
            <v>0.80944881463483842</v>
          </cell>
        </row>
        <row r="287">
          <cell r="B287">
            <v>40690</v>
          </cell>
          <cell r="AI287">
            <v>0.85946800237893417</v>
          </cell>
        </row>
        <row r="288">
          <cell r="B288">
            <v>40697</v>
          </cell>
          <cell r="AI288">
            <v>0.84696077490613231</v>
          </cell>
        </row>
        <row r="289">
          <cell r="B289">
            <v>40704</v>
          </cell>
          <cell r="AI289">
            <v>0.79932965443479986</v>
          </cell>
        </row>
        <row r="290">
          <cell r="B290">
            <v>40711</v>
          </cell>
          <cell r="AI290">
            <v>0.78489124484777906</v>
          </cell>
        </row>
        <row r="291">
          <cell r="B291">
            <v>40718</v>
          </cell>
          <cell r="AI291">
            <v>0.77073527454482615</v>
          </cell>
        </row>
        <row r="292">
          <cell r="B292">
            <v>40725</v>
          </cell>
          <cell r="AI292">
            <v>0.7851664255952997</v>
          </cell>
        </row>
        <row r="293">
          <cell r="B293">
            <v>40732</v>
          </cell>
          <cell r="AI293">
            <v>0.78447122340279607</v>
          </cell>
        </row>
        <row r="294">
          <cell r="B294">
            <v>40739</v>
          </cell>
          <cell r="AI294">
            <v>0.76761276967589132</v>
          </cell>
        </row>
        <row r="295">
          <cell r="B295">
            <v>40746</v>
          </cell>
          <cell r="AI295">
            <v>0.76207199030057393</v>
          </cell>
        </row>
        <row r="296">
          <cell r="B296">
            <v>40753</v>
          </cell>
          <cell r="AI296">
            <v>0.76214161968327876</v>
          </cell>
        </row>
        <row r="297">
          <cell r="B297">
            <v>40760</v>
          </cell>
          <cell r="AI297">
            <v>0.76367058792587417</v>
          </cell>
        </row>
        <row r="298">
          <cell r="B298">
            <v>40767</v>
          </cell>
          <cell r="AI298">
            <v>0.77410787559332184</v>
          </cell>
        </row>
        <row r="299">
          <cell r="B299">
            <v>40774</v>
          </cell>
          <cell r="AI299">
            <v>0.79968251895113995</v>
          </cell>
        </row>
        <row r="300">
          <cell r="B300">
            <v>40781</v>
          </cell>
          <cell r="AI300">
            <v>0.80728598750656244</v>
          </cell>
        </row>
        <row r="301">
          <cell r="B301">
            <v>40788</v>
          </cell>
          <cell r="AI301">
            <v>0.82941211832583606</v>
          </cell>
        </row>
        <row r="302">
          <cell r="B302">
            <v>40795</v>
          </cell>
          <cell r="AI302">
            <v>0.88308657943525004</v>
          </cell>
        </row>
        <row r="303">
          <cell r="B303">
            <v>40802</v>
          </cell>
          <cell r="AI303">
            <v>0.90406167911753388</v>
          </cell>
        </row>
        <row r="304">
          <cell r="B304">
            <v>40809</v>
          </cell>
          <cell r="AI304">
            <v>0.92762451947222546</v>
          </cell>
        </row>
        <row r="305">
          <cell r="B305">
            <v>40816</v>
          </cell>
          <cell r="AI305">
            <v>0.9839347704623902</v>
          </cell>
        </row>
        <row r="306">
          <cell r="B306">
            <v>40823</v>
          </cell>
          <cell r="AI306">
            <v>0.99142603396456963</v>
          </cell>
        </row>
        <row r="307">
          <cell r="B307">
            <v>40830</v>
          </cell>
          <cell r="AI307">
            <v>0.90934781921320684</v>
          </cell>
        </row>
        <row r="308">
          <cell r="B308">
            <v>40837</v>
          </cell>
          <cell r="AI308">
            <v>0.88982906730634792</v>
          </cell>
        </row>
        <row r="309">
          <cell r="B309">
            <v>40844</v>
          </cell>
          <cell r="AI309">
            <v>0.79206395721483003</v>
          </cell>
        </row>
        <row r="310">
          <cell r="B310">
            <v>40851</v>
          </cell>
          <cell r="AI310">
            <v>0.78940175634414167</v>
          </cell>
        </row>
        <row r="311">
          <cell r="B311">
            <v>40858</v>
          </cell>
          <cell r="AI311">
            <v>0.90097413202427012</v>
          </cell>
        </row>
        <row r="312">
          <cell r="B312">
            <v>40865</v>
          </cell>
          <cell r="AI312">
            <v>0.96136016552764358</v>
          </cell>
        </row>
        <row r="313">
          <cell r="B313">
            <v>40872</v>
          </cell>
          <cell r="AI313">
            <v>0.92786768220545801</v>
          </cell>
        </row>
        <row r="314">
          <cell r="B314">
            <v>40879</v>
          </cell>
          <cell r="AI314">
            <v>0.89357928324234825</v>
          </cell>
        </row>
        <row r="315">
          <cell r="B315">
            <v>40886</v>
          </cell>
          <cell r="AI315">
            <v>0.93146447412977429</v>
          </cell>
        </row>
        <row r="316">
          <cell r="B316">
            <v>40893</v>
          </cell>
          <cell r="AI316">
            <v>0.92944246125265739</v>
          </cell>
        </row>
        <row r="317">
          <cell r="B317">
            <v>40900</v>
          </cell>
          <cell r="AI317">
            <v>0.96395511340960049</v>
          </cell>
        </row>
        <row r="318">
          <cell r="B318">
            <v>40907</v>
          </cell>
          <cell r="AI318">
            <v>0.98521193899366644</v>
          </cell>
        </row>
        <row r="319">
          <cell r="B319">
            <v>40914</v>
          </cell>
          <cell r="AI319">
            <v>0.90195801860388891</v>
          </cell>
        </row>
        <row r="320">
          <cell r="B320">
            <v>40921</v>
          </cell>
          <cell r="AI320">
            <v>0.90167993450094619</v>
          </cell>
        </row>
        <row r="321">
          <cell r="B321">
            <v>40928</v>
          </cell>
          <cell r="AI321">
            <v>0.91667089015546466</v>
          </cell>
        </row>
        <row r="322">
          <cell r="B322">
            <v>40935</v>
          </cell>
          <cell r="AI322">
            <v>0.93578877334924904</v>
          </cell>
        </row>
        <row r="323">
          <cell r="B323">
            <v>40942</v>
          </cell>
          <cell r="AI323">
            <v>0.79469896339865387</v>
          </cell>
        </row>
        <row r="324">
          <cell r="B324">
            <v>40949</v>
          </cell>
          <cell r="AI324">
            <v>0.86482697238465711</v>
          </cell>
        </row>
        <row r="325">
          <cell r="B325">
            <v>40956</v>
          </cell>
          <cell r="AI325">
            <v>0.81426233640077728</v>
          </cell>
        </row>
        <row r="326">
          <cell r="B326">
            <v>40963</v>
          </cell>
          <cell r="AI326">
            <v>0.83674524275782891</v>
          </cell>
        </row>
        <row r="327">
          <cell r="B327">
            <v>40970</v>
          </cell>
          <cell r="AI327">
            <v>0.75889820709293765</v>
          </cell>
        </row>
        <row r="328">
          <cell r="B328">
            <v>40977</v>
          </cell>
          <cell r="AI328">
            <v>0.73824110947884303</v>
          </cell>
        </row>
        <row r="329">
          <cell r="B329">
            <v>40984</v>
          </cell>
          <cell r="AI329">
            <v>0.73072103988891113</v>
          </cell>
        </row>
        <row r="330">
          <cell r="B330">
            <v>40991</v>
          </cell>
          <cell r="AI330">
            <v>0.7835717140502545</v>
          </cell>
        </row>
        <row r="331">
          <cell r="B331">
            <v>40998</v>
          </cell>
          <cell r="AI331">
            <v>0.79880270430936162</v>
          </cell>
        </row>
        <row r="332">
          <cell r="B332">
            <v>41005</v>
          </cell>
          <cell r="AI332">
            <v>0.72000180098148303</v>
          </cell>
        </row>
        <row r="333">
          <cell r="B333">
            <v>41012</v>
          </cell>
          <cell r="AI333">
            <v>0.70471579670496398</v>
          </cell>
        </row>
        <row r="334">
          <cell r="B334">
            <v>41019</v>
          </cell>
          <cell r="AI334">
            <v>0.53306095817761512</v>
          </cell>
        </row>
        <row r="335">
          <cell r="B335">
            <v>41026</v>
          </cell>
          <cell r="AI335">
            <v>0.51110408475653013</v>
          </cell>
        </row>
        <row r="336">
          <cell r="B336">
            <v>41033</v>
          </cell>
          <cell r="AI336">
            <v>0.57995657572689807</v>
          </cell>
        </row>
        <row r="337">
          <cell r="B337">
            <v>41040</v>
          </cell>
          <cell r="AI337">
            <v>0.58402060793645005</v>
          </cell>
        </row>
        <row r="338">
          <cell r="B338">
            <v>41047</v>
          </cell>
          <cell r="AI338">
            <v>0.52345890115398841</v>
          </cell>
        </row>
        <row r="339">
          <cell r="B339">
            <v>41054</v>
          </cell>
          <cell r="AI339">
            <v>0.53582215775733744</v>
          </cell>
        </row>
        <row r="340">
          <cell r="B340">
            <v>41061</v>
          </cell>
          <cell r="AI340">
            <v>0.54601980409046025</v>
          </cell>
        </row>
        <row r="341">
          <cell r="B341">
            <v>41068</v>
          </cell>
          <cell r="AI341">
            <v>0.51989232940805963</v>
          </cell>
        </row>
        <row r="342">
          <cell r="B342">
            <v>41075</v>
          </cell>
          <cell r="AI342">
            <v>0.49138324753995061</v>
          </cell>
        </row>
        <row r="343">
          <cell r="B343">
            <v>41082</v>
          </cell>
          <cell r="AI343">
            <v>0.49454453761679151</v>
          </cell>
        </row>
        <row r="344">
          <cell r="B344">
            <v>41089</v>
          </cell>
          <cell r="AI344">
            <v>0.5157176792841498</v>
          </cell>
        </row>
        <row r="345">
          <cell r="B345">
            <v>41096</v>
          </cell>
          <cell r="AI345">
            <v>0.53955747637145501</v>
          </cell>
        </row>
        <row r="346">
          <cell r="B346">
            <v>41103</v>
          </cell>
          <cell r="AI346">
            <v>0.51973299033353082</v>
          </cell>
        </row>
        <row r="347">
          <cell r="B347">
            <v>41110</v>
          </cell>
          <cell r="AI347">
            <v>0.51971537169282866</v>
          </cell>
        </row>
        <row r="348">
          <cell r="B348">
            <v>41117</v>
          </cell>
          <cell r="AI348">
            <v>0.50236765573165398</v>
          </cell>
        </row>
        <row r="349">
          <cell r="B349">
            <v>41124</v>
          </cell>
          <cell r="AI349">
            <v>0.47550513197270783</v>
          </cell>
        </row>
        <row r="350">
          <cell r="B350">
            <v>41131</v>
          </cell>
          <cell r="AI350">
            <v>0.46565319920953335</v>
          </cell>
        </row>
        <row r="351">
          <cell r="B351">
            <v>41138</v>
          </cell>
          <cell r="AI351">
            <v>0.47031848657304887</v>
          </cell>
        </row>
        <row r="352">
          <cell r="B352">
            <v>41145</v>
          </cell>
          <cell r="AI352">
            <v>0.49005980439784413</v>
          </cell>
        </row>
        <row r="353">
          <cell r="B353">
            <v>41152</v>
          </cell>
          <cell r="AI353">
            <v>0.49743257731864293</v>
          </cell>
        </row>
        <row r="354">
          <cell r="B354">
            <v>41159</v>
          </cell>
          <cell r="AI354">
            <v>0.5173717947894102</v>
          </cell>
        </row>
        <row r="355">
          <cell r="B355">
            <v>41166</v>
          </cell>
          <cell r="AI355">
            <v>0.47823326415776557</v>
          </cell>
        </row>
        <row r="356">
          <cell r="B356">
            <v>41173</v>
          </cell>
          <cell r="AI356">
            <v>0.49616964887123871</v>
          </cell>
        </row>
        <row r="357">
          <cell r="B357">
            <v>41180</v>
          </cell>
          <cell r="AI357">
            <v>0.49224650557680405</v>
          </cell>
        </row>
        <row r="358">
          <cell r="B358">
            <v>41187</v>
          </cell>
          <cell r="AI358">
            <v>0.468968074947405</v>
          </cell>
        </row>
        <row r="359">
          <cell r="B359">
            <v>41194</v>
          </cell>
          <cell r="AI359">
            <v>0.48025271815977155</v>
          </cell>
        </row>
        <row r="360">
          <cell r="B360">
            <v>41201</v>
          </cell>
          <cell r="AI360">
            <v>0.48308105772085375</v>
          </cell>
        </row>
        <row r="361">
          <cell r="B361">
            <v>41208</v>
          </cell>
          <cell r="AI361">
            <v>0.47404033386901118</v>
          </cell>
        </row>
        <row r="362">
          <cell r="B362">
            <v>41215</v>
          </cell>
          <cell r="AI362">
            <v>0.45976940359679092</v>
          </cell>
        </row>
        <row r="363">
          <cell r="B363">
            <v>41222</v>
          </cell>
          <cell r="AI363">
            <v>0.45230809501341851</v>
          </cell>
        </row>
        <row r="364">
          <cell r="B364">
            <v>41229</v>
          </cell>
          <cell r="AI364">
            <v>0.43696115950735043</v>
          </cell>
        </row>
        <row r="365">
          <cell r="B365">
            <v>41236</v>
          </cell>
          <cell r="AI365">
            <v>0.47768867391479025</v>
          </cell>
        </row>
        <row r="366">
          <cell r="B366">
            <v>41243</v>
          </cell>
          <cell r="AI366">
            <v>0.47435715789090127</v>
          </cell>
        </row>
        <row r="367">
          <cell r="B367">
            <v>41250</v>
          </cell>
          <cell r="AI367">
            <v>0.47806076619695931</v>
          </cell>
        </row>
        <row r="368">
          <cell r="B368">
            <v>41257</v>
          </cell>
          <cell r="AI368">
            <v>0.50585141072846374</v>
          </cell>
        </row>
        <row r="369">
          <cell r="B369">
            <v>41264</v>
          </cell>
          <cell r="AI369">
            <v>0.52542969356463876</v>
          </cell>
        </row>
        <row r="370">
          <cell r="B370">
            <v>41271</v>
          </cell>
          <cell r="AI370">
            <v>0.5119261810932686</v>
          </cell>
        </row>
        <row r="371">
          <cell r="B371">
            <v>41278</v>
          </cell>
          <cell r="AI371">
            <v>0.50417609057199775</v>
          </cell>
        </row>
        <row r="372">
          <cell r="B372">
            <v>41285</v>
          </cell>
          <cell r="AI372">
            <v>0.5215807116389245</v>
          </cell>
        </row>
        <row r="373">
          <cell r="B373">
            <v>41292</v>
          </cell>
          <cell r="AI373">
            <v>0.51699039297012239</v>
          </cell>
        </row>
        <row r="374">
          <cell r="B374">
            <v>41299</v>
          </cell>
          <cell r="AI374">
            <v>0.5231977475101296</v>
          </cell>
        </row>
        <row r="375">
          <cell r="B375">
            <v>41306</v>
          </cell>
          <cell r="AI375">
            <v>0.5592480220706304</v>
          </cell>
        </row>
        <row r="376">
          <cell r="B376">
            <v>41313</v>
          </cell>
          <cell r="AI376">
            <v>0.58236508184436142</v>
          </cell>
        </row>
        <row r="377">
          <cell r="B377">
            <v>41320</v>
          </cell>
          <cell r="AI377">
            <v>0.56735181357320053</v>
          </cell>
        </row>
        <row r="378">
          <cell r="B378">
            <v>41327</v>
          </cell>
          <cell r="AI378">
            <v>0.54529447141942844</v>
          </cell>
        </row>
        <row r="379">
          <cell r="B379">
            <v>41334</v>
          </cell>
          <cell r="AI379">
            <v>0.5315575328651122</v>
          </cell>
        </row>
        <row r="380">
          <cell r="B380">
            <v>41341</v>
          </cell>
          <cell r="AI380">
            <v>0.5338035968239897</v>
          </cell>
        </row>
        <row r="381">
          <cell r="B381">
            <v>41348</v>
          </cell>
          <cell r="AI381">
            <v>0.54371353813150169</v>
          </cell>
        </row>
        <row r="382">
          <cell r="B382">
            <v>41355</v>
          </cell>
          <cell r="AI382">
            <v>0.54945158902349178</v>
          </cell>
        </row>
        <row r="383">
          <cell r="B383">
            <v>41362</v>
          </cell>
          <cell r="AI383">
            <v>0.54038946210052807</v>
          </cell>
        </row>
        <row r="384">
          <cell r="B384">
            <v>41369</v>
          </cell>
          <cell r="AI384">
            <v>0.53219460858372014</v>
          </cell>
        </row>
        <row r="385">
          <cell r="B385">
            <v>41376</v>
          </cell>
          <cell r="AI385">
            <v>0.51381816064503216</v>
          </cell>
        </row>
        <row r="386">
          <cell r="B386">
            <v>41383</v>
          </cell>
          <cell r="AI386">
            <v>0.49341529387568689</v>
          </cell>
        </row>
        <row r="387">
          <cell r="B387">
            <v>41390</v>
          </cell>
          <cell r="AI387">
            <v>0.47169553167062384</v>
          </cell>
        </row>
        <row r="388">
          <cell r="B388">
            <v>41397</v>
          </cell>
          <cell r="AI388">
            <v>0.47961445680661891</v>
          </cell>
        </row>
        <row r="389">
          <cell r="B389">
            <v>41404</v>
          </cell>
          <cell r="AI389">
            <v>0.47120721062488868</v>
          </cell>
        </row>
        <row r="390">
          <cell r="B390">
            <v>41411</v>
          </cell>
          <cell r="AI390">
            <v>0.50299462931081851</v>
          </cell>
        </row>
        <row r="391">
          <cell r="B391">
            <v>41418</v>
          </cell>
          <cell r="AI391">
            <v>0.50455916221328745</v>
          </cell>
        </row>
        <row r="392">
          <cell r="B392">
            <v>41425</v>
          </cell>
          <cell r="AI392">
            <v>0.51805189738355994</v>
          </cell>
        </row>
        <row r="393">
          <cell r="B393">
            <v>41432</v>
          </cell>
          <cell r="AI393">
            <v>0.53934319177702239</v>
          </cell>
        </row>
        <row r="394">
          <cell r="B394">
            <v>41439</v>
          </cell>
          <cell r="AI394">
            <v>0.54895976059817952</v>
          </cell>
        </row>
        <row r="395">
          <cell r="B395">
            <v>41446</v>
          </cell>
          <cell r="AI395">
            <v>0.55851483634119026</v>
          </cell>
        </row>
        <row r="396">
          <cell r="B396">
            <v>41453</v>
          </cell>
          <cell r="AI396">
            <v>0.56750589166273624</v>
          </cell>
        </row>
        <row r="397">
          <cell r="B397">
            <v>41460</v>
          </cell>
          <cell r="AI397">
            <v>0.56843915567919456</v>
          </cell>
        </row>
        <row r="398">
          <cell r="B398">
            <v>41467</v>
          </cell>
          <cell r="AI398">
            <v>0.57735006632743557</v>
          </cell>
        </row>
        <row r="399">
          <cell r="B399">
            <v>41474</v>
          </cell>
          <cell r="AI399">
            <v>0.61435850427686267</v>
          </cell>
        </row>
        <row r="400">
          <cell r="B400">
            <v>41481</v>
          </cell>
          <cell r="AI400">
            <v>0.57485654970947286</v>
          </cell>
        </row>
        <row r="401">
          <cell r="B401">
            <v>41488</v>
          </cell>
          <cell r="AI401">
            <v>0.59287304971672938</v>
          </cell>
        </row>
        <row r="402">
          <cell r="B402">
            <v>41495</v>
          </cell>
          <cell r="AI402">
            <v>0.56997122157195668</v>
          </cell>
        </row>
        <row r="403">
          <cell r="B403">
            <v>41502</v>
          </cell>
          <cell r="AI403">
            <v>0.55606213952911299</v>
          </cell>
        </row>
        <row r="404">
          <cell r="B404">
            <v>41509</v>
          </cell>
          <cell r="AI404">
            <v>0.54345874500243074</v>
          </cell>
        </row>
        <row r="405">
          <cell r="B405">
            <v>41516</v>
          </cell>
          <cell r="AI405">
            <v>0.56144344223695719</v>
          </cell>
        </row>
        <row r="406">
          <cell r="B406">
            <v>41523</v>
          </cell>
          <cell r="AI406">
            <v>0.56311583004301113</v>
          </cell>
        </row>
        <row r="407">
          <cell r="B407">
            <v>41530</v>
          </cell>
          <cell r="AI407">
            <v>0.54687409718462276</v>
          </cell>
        </row>
        <row r="408">
          <cell r="B408">
            <v>41537</v>
          </cell>
          <cell r="AI408">
            <v>0.56722028160348581</v>
          </cell>
        </row>
        <row r="409">
          <cell r="B409">
            <v>41544</v>
          </cell>
          <cell r="AI409">
            <v>0.57229005835841018</v>
          </cell>
        </row>
        <row r="410">
          <cell r="B410">
            <v>41551</v>
          </cell>
          <cell r="AI410">
            <v>0.59951024075008252</v>
          </cell>
        </row>
        <row r="411">
          <cell r="B411">
            <v>41558</v>
          </cell>
          <cell r="AI411">
            <v>0.57536640676658279</v>
          </cell>
        </row>
        <row r="412">
          <cell r="B412">
            <v>41565</v>
          </cell>
          <cell r="AI412">
            <v>0.5721502813588013</v>
          </cell>
        </row>
        <row r="413">
          <cell r="B413">
            <v>41572</v>
          </cell>
          <cell r="AI413">
            <v>0.55343795376244365</v>
          </cell>
        </row>
        <row r="414">
          <cell r="B414">
            <v>41579</v>
          </cell>
          <cell r="AI414">
            <v>0.54099718435854616</v>
          </cell>
        </row>
        <row r="415">
          <cell r="B415">
            <v>41586</v>
          </cell>
          <cell r="AI415">
            <v>0.57262835776720855</v>
          </cell>
        </row>
        <row r="416">
          <cell r="B416">
            <v>41593</v>
          </cell>
          <cell r="AI416">
            <v>0.60417485860725184</v>
          </cell>
        </row>
        <row r="417">
          <cell r="B417">
            <v>41600</v>
          </cell>
          <cell r="AI417">
            <v>0.61817081503833715</v>
          </cell>
        </row>
        <row r="418">
          <cell r="B418">
            <v>41607</v>
          </cell>
          <cell r="AI418">
            <v>0.6421841143314857</v>
          </cell>
        </row>
        <row r="419">
          <cell r="B419">
            <v>41614</v>
          </cell>
          <cell r="AI419">
            <v>0.67695495742056155</v>
          </cell>
        </row>
        <row r="420">
          <cell r="B420">
            <v>41621</v>
          </cell>
          <cell r="AI420">
            <v>0.69078821895273146</v>
          </cell>
        </row>
        <row r="421">
          <cell r="B421">
            <v>41628</v>
          </cell>
          <cell r="AI421">
            <v>0.76540935416029543</v>
          </cell>
        </row>
        <row r="422">
          <cell r="B422">
            <v>41635</v>
          </cell>
          <cell r="AI422">
            <v>0.77614399228122832</v>
          </cell>
        </row>
        <row r="423">
          <cell r="B423">
            <v>41642</v>
          </cell>
          <cell r="AI423">
            <v>0.78014780527632432</v>
          </cell>
        </row>
        <row r="424">
          <cell r="B424">
            <v>41649</v>
          </cell>
          <cell r="AI424">
            <v>0.80169667128762956</v>
          </cell>
        </row>
        <row r="425">
          <cell r="B425">
            <v>41656</v>
          </cell>
          <cell r="AI425">
            <v>0.78714607904775924</v>
          </cell>
        </row>
        <row r="426">
          <cell r="B426">
            <v>41663</v>
          </cell>
          <cell r="AI426">
            <v>0.68516060426324388</v>
          </cell>
        </row>
        <row r="427">
          <cell r="B427">
            <v>41670</v>
          </cell>
          <cell r="AI427">
            <v>0.65675961986164288</v>
          </cell>
        </row>
        <row r="428">
          <cell r="B428">
            <v>41677</v>
          </cell>
          <cell r="AI428">
            <v>0.68358161707454834</v>
          </cell>
        </row>
        <row r="429">
          <cell r="B429">
            <v>41684</v>
          </cell>
          <cell r="AI429">
            <v>0.69333427377501411</v>
          </cell>
        </row>
        <row r="430">
          <cell r="B430">
            <v>41691</v>
          </cell>
          <cell r="AI430">
            <v>0.7193830984886127</v>
          </cell>
        </row>
        <row r="431">
          <cell r="B431">
            <v>41698</v>
          </cell>
          <cell r="AI431">
            <v>0.69224016965013868</v>
          </cell>
        </row>
        <row r="432">
          <cell r="B432">
            <v>41705</v>
          </cell>
          <cell r="AI432">
            <v>0.70990228500778962</v>
          </cell>
        </row>
        <row r="433">
          <cell r="B433">
            <v>41712</v>
          </cell>
          <cell r="AI433">
            <v>0.72567198196741856</v>
          </cell>
        </row>
        <row r="434">
          <cell r="B434">
            <v>41719</v>
          </cell>
          <cell r="AI434">
            <v>0.74030527024864001</v>
          </cell>
        </row>
        <row r="435">
          <cell r="B435">
            <v>41726</v>
          </cell>
          <cell r="AI435">
            <v>0.71167200607566838</v>
          </cell>
        </row>
        <row r="436">
          <cell r="B436">
            <v>41733</v>
          </cell>
          <cell r="AI436">
            <v>0.68507352879687955</v>
          </cell>
        </row>
        <row r="437">
          <cell r="B437">
            <v>41740</v>
          </cell>
          <cell r="AI437">
            <v>0.65017307376611677</v>
          </cell>
        </row>
        <row r="438">
          <cell r="B438">
            <v>41747</v>
          </cell>
          <cell r="AI438">
            <v>0.66307665950228611</v>
          </cell>
        </row>
        <row r="439">
          <cell r="B439">
            <v>41754</v>
          </cell>
          <cell r="AI439">
            <v>0.62334748845194432</v>
          </cell>
        </row>
        <row r="440">
          <cell r="B440">
            <v>41761</v>
          </cell>
          <cell r="AI440">
            <v>0.61906803519405307</v>
          </cell>
        </row>
        <row r="441">
          <cell r="B441">
            <v>41768</v>
          </cell>
          <cell r="AI441">
            <v>0.65115686707256593</v>
          </cell>
        </row>
        <row r="442">
          <cell r="B442">
            <v>41775</v>
          </cell>
          <cell r="AI442">
            <v>0.65076543027131006</v>
          </cell>
        </row>
        <row r="443">
          <cell r="B443">
            <v>41782</v>
          </cell>
          <cell r="AI443">
            <v>0.64670030788723532</v>
          </cell>
        </row>
        <row r="444">
          <cell r="B444">
            <v>41789</v>
          </cell>
          <cell r="AI444">
            <v>0.62720067628903775</v>
          </cell>
        </row>
        <row r="445">
          <cell r="B445">
            <v>41796</v>
          </cell>
          <cell r="AI445">
            <v>0.61389746241350907</v>
          </cell>
        </row>
        <row r="446">
          <cell r="B446">
            <v>41803</v>
          </cell>
          <cell r="AI446">
            <v>0.63922234024900693</v>
          </cell>
        </row>
        <row r="447">
          <cell r="B447">
            <v>41810</v>
          </cell>
          <cell r="AI447">
            <v>0.65609397604658892</v>
          </cell>
        </row>
        <row r="448">
          <cell r="B448">
            <v>41817</v>
          </cell>
          <cell r="AI448">
            <v>0.63428556283713833</v>
          </cell>
        </row>
        <row r="449">
          <cell r="B449">
            <v>41824</v>
          </cell>
          <cell r="AI449">
            <v>0.63007698423497038</v>
          </cell>
        </row>
        <row r="450">
          <cell r="B450">
            <v>41831</v>
          </cell>
          <cell r="AI450">
            <v>0.63653820093521274</v>
          </cell>
        </row>
        <row r="451">
          <cell r="B451">
            <v>41838</v>
          </cell>
          <cell r="AI451">
            <v>0.63919996224611153</v>
          </cell>
        </row>
        <row r="452">
          <cell r="B452">
            <v>41845</v>
          </cell>
          <cell r="AI452">
            <v>0.65145094359522526</v>
          </cell>
        </row>
        <row r="453">
          <cell r="B453">
            <v>41852</v>
          </cell>
          <cell r="AI453">
            <v>0.63841263389345049</v>
          </cell>
        </row>
        <row r="454">
          <cell r="B454">
            <v>41859</v>
          </cell>
          <cell r="AI454">
            <v>0.63390282604977355</v>
          </cell>
        </row>
        <row r="455">
          <cell r="B455">
            <v>41866</v>
          </cell>
          <cell r="AI455">
            <v>0.64383906899673504</v>
          </cell>
        </row>
        <row r="456">
          <cell r="B456">
            <v>41873</v>
          </cell>
          <cell r="AI456">
            <v>0.64358892565649051</v>
          </cell>
        </row>
        <row r="457">
          <cell r="B457">
            <v>41880</v>
          </cell>
          <cell r="AI457">
            <v>0.63634147408837261</v>
          </cell>
        </row>
        <row r="458">
          <cell r="B458">
            <v>41887</v>
          </cell>
          <cell r="AI458">
            <v>0.6436660589660016</v>
          </cell>
        </row>
        <row r="459">
          <cell r="B459">
            <v>41894</v>
          </cell>
          <cell r="AI459">
            <v>0.6410241705161196</v>
          </cell>
        </row>
        <row r="460">
          <cell r="B460">
            <v>41901</v>
          </cell>
          <cell r="AI460">
            <v>0.6515216526464549</v>
          </cell>
        </row>
        <row r="461">
          <cell r="B461">
            <v>41908</v>
          </cell>
          <cell r="AI461">
            <v>0.64820159332357141</v>
          </cell>
        </row>
        <row r="462">
          <cell r="B462">
            <v>41915</v>
          </cell>
          <cell r="AI462">
            <v>0.66028363543213664</v>
          </cell>
        </row>
        <row r="463">
          <cell r="B463">
            <v>41922</v>
          </cell>
          <cell r="AI463">
            <v>0.62165407445496734</v>
          </cell>
        </row>
        <row r="464">
          <cell r="B464">
            <v>41929</v>
          </cell>
          <cell r="AI464">
            <v>0.61062774909638839</v>
          </cell>
        </row>
        <row r="465">
          <cell r="B465">
            <v>41936</v>
          </cell>
          <cell r="AI465">
            <v>0.60881216444246178</v>
          </cell>
        </row>
        <row r="466">
          <cell r="B466">
            <v>41943</v>
          </cell>
          <cell r="AI466">
            <v>0.62430063539202774</v>
          </cell>
        </row>
        <row r="467">
          <cell r="B467">
            <v>41950</v>
          </cell>
          <cell r="AI467">
            <v>0.61939200830601393</v>
          </cell>
        </row>
        <row r="468">
          <cell r="B468">
            <v>41957</v>
          </cell>
          <cell r="AI468">
            <v>0.61886502028602897</v>
          </cell>
        </row>
        <row r="469">
          <cell r="B469">
            <v>41964</v>
          </cell>
          <cell r="AI469">
            <v>0.61750564771761451</v>
          </cell>
        </row>
        <row r="470">
          <cell r="B470">
            <v>41971</v>
          </cell>
          <cell r="AI470">
            <v>0.61077318300717953</v>
          </cell>
        </row>
        <row r="471">
          <cell r="B471">
            <v>41978</v>
          </cell>
          <cell r="AI471">
            <v>0.57175991772971113</v>
          </cell>
        </row>
        <row r="472">
          <cell r="B472">
            <v>41985</v>
          </cell>
          <cell r="AI472">
            <v>0.53385460185687439</v>
          </cell>
        </row>
        <row r="473">
          <cell r="B473">
            <v>41992</v>
          </cell>
          <cell r="AI473">
            <v>0.52903041381718119</v>
          </cell>
        </row>
        <row r="474">
          <cell r="B474">
            <v>41999</v>
          </cell>
          <cell r="AI474">
            <v>0.53173950122831282</v>
          </cell>
        </row>
        <row r="475">
          <cell r="B475">
            <v>42006</v>
          </cell>
          <cell r="AI475">
            <v>0.56586749345002463</v>
          </cell>
        </row>
        <row r="476">
          <cell r="B476">
            <v>42013</v>
          </cell>
          <cell r="AI476">
            <v>0.54317633787623443</v>
          </cell>
        </row>
        <row r="477">
          <cell r="B477">
            <v>42020</v>
          </cell>
          <cell r="AI477">
            <v>0.52848072840561244</v>
          </cell>
        </row>
        <row r="478">
          <cell r="B478">
            <v>42027</v>
          </cell>
          <cell r="AI478">
            <v>0.52624312788104077</v>
          </cell>
        </row>
        <row r="479">
          <cell r="B479">
            <v>42034</v>
          </cell>
          <cell r="AI479">
            <v>0.52706434537464653</v>
          </cell>
        </row>
        <row r="480">
          <cell r="B480">
            <v>42041</v>
          </cell>
          <cell r="AI480">
            <v>0.52621516389675016</v>
          </cell>
        </row>
        <row r="481">
          <cell r="B481">
            <v>42048</v>
          </cell>
          <cell r="AI481">
            <v>0.53284394170717531</v>
          </cell>
        </row>
        <row r="482">
          <cell r="B482">
            <v>42055</v>
          </cell>
          <cell r="AI482">
            <v>0.51546335200584348</v>
          </cell>
        </row>
        <row r="483">
          <cell r="B483">
            <v>42062</v>
          </cell>
          <cell r="AI483">
            <v>0.50172938958776525</v>
          </cell>
        </row>
        <row r="484">
          <cell r="B484">
            <v>42069</v>
          </cell>
          <cell r="AI484">
            <v>0.49484622254649141</v>
          </cell>
        </row>
        <row r="485">
          <cell r="B485">
            <v>42076</v>
          </cell>
          <cell r="AI485">
            <v>0.50622242743457269</v>
          </cell>
        </row>
        <row r="486">
          <cell r="B486">
            <v>42083</v>
          </cell>
          <cell r="AI486">
            <v>0.50673816127180804</v>
          </cell>
        </row>
        <row r="487">
          <cell r="B487">
            <v>42090</v>
          </cell>
          <cell r="AI487">
            <v>0.5041976918861204</v>
          </cell>
        </row>
        <row r="488">
          <cell r="B488">
            <v>42097</v>
          </cell>
          <cell r="AI488">
            <v>0.49132839460243016</v>
          </cell>
        </row>
        <row r="489">
          <cell r="B489">
            <v>42104</v>
          </cell>
          <cell r="AI489">
            <v>0.50730034256022449</v>
          </cell>
        </row>
        <row r="490">
          <cell r="B490">
            <v>42111</v>
          </cell>
          <cell r="AI490">
            <v>0.48132480859599636</v>
          </cell>
        </row>
        <row r="491">
          <cell r="B491">
            <v>42118</v>
          </cell>
          <cell r="AI491">
            <v>0.46141607636535625</v>
          </cell>
        </row>
        <row r="492">
          <cell r="B492">
            <v>42125</v>
          </cell>
          <cell r="AI492">
            <v>0.47399896262381813</v>
          </cell>
        </row>
        <row r="493">
          <cell r="B493">
            <v>42132</v>
          </cell>
          <cell r="AI493">
            <v>0.47135257473265257</v>
          </cell>
        </row>
        <row r="494">
          <cell r="B494">
            <v>42139</v>
          </cell>
          <cell r="AI494">
            <v>0.46051673222786726</v>
          </cell>
        </row>
        <row r="495">
          <cell r="B495">
            <v>42146</v>
          </cell>
          <cell r="AI495">
            <v>0.46172612751153957</v>
          </cell>
        </row>
        <row r="496">
          <cell r="B496">
            <v>42153</v>
          </cell>
          <cell r="AI496">
            <v>0.47598633676735141</v>
          </cell>
        </row>
        <row r="497">
          <cell r="B497">
            <v>42160</v>
          </cell>
          <cell r="AI497">
            <v>0.4705110451437442</v>
          </cell>
        </row>
        <row r="498">
          <cell r="B498">
            <v>42167</v>
          </cell>
          <cell r="AI498">
            <v>0.46903733980767093</v>
          </cell>
        </row>
        <row r="499">
          <cell r="B499">
            <v>42174</v>
          </cell>
          <cell r="AI499">
            <v>0.46052106120735548</v>
          </cell>
        </row>
        <row r="500">
          <cell r="B500">
            <v>42181</v>
          </cell>
          <cell r="AI500">
            <v>0.46585363728618523</v>
          </cell>
        </row>
        <row r="501">
          <cell r="B501">
            <v>42188</v>
          </cell>
          <cell r="AI501">
            <v>0.47721805343501444</v>
          </cell>
        </row>
        <row r="502">
          <cell r="B502">
            <v>42195</v>
          </cell>
          <cell r="AI502">
            <v>0.459445355267806</v>
          </cell>
        </row>
        <row r="503">
          <cell r="B503">
            <v>42202</v>
          </cell>
          <cell r="AI503">
            <v>0.44566113271361807</v>
          </cell>
        </row>
        <row r="504">
          <cell r="B504">
            <v>42209</v>
          </cell>
          <cell r="AI504">
            <v>0.46717444669603048</v>
          </cell>
        </row>
        <row r="505">
          <cell r="B505">
            <v>42216</v>
          </cell>
          <cell r="AI505">
            <v>0.44621696033180064</v>
          </cell>
        </row>
        <row r="506">
          <cell r="B506">
            <v>42223</v>
          </cell>
          <cell r="AI506">
            <v>0.45654453207091039</v>
          </cell>
        </row>
        <row r="507">
          <cell r="B507">
            <v>42230</v>
          </cell>
          <cell r="AI507">
            <v>0.45776047908030321</v>
          </cell>
        </row>
        <row r="508">
          <cell r="B508">
            <v>42237</v>
          </cell>
          <cell r="AI508">
            <v>0.46075193983628909</v>
          </cell>
        </row>
        <row r="509">
          <cell r="B509">
            <v>42244</v>
          </cell>
          <cell r="AI509">
            <v>0.43411904363293219</v>
          </cell>
        </row>
        <row r="510">
          <cell r="B510">
            <v>42251</v>
          </cell>
          <cell r="AI510">
            <v>0.45945668352547198</v>
          </cell>
        </row>
        <row r="511">
          <cell r="B511">
            <v>42258</v>
          </cell>
          <cell r="AI511">
            <v>0.46554456094601593</v>
          </cell>
        </row>
        <row r="512">
          <cell r="B512">
            <v>42265</v>
          </cell>
          <cell r="AI512">
            <v>0.44087513367745229</v>
          </cell>
        </row>
        <row r="513">
          <cell r="B513">
            <v>42272</v>
          </cell>
          <cell r="AI513">
            <v>0.39691309587329621</v>
          </cell>
        </row>
        <row r="514">
          <cell r="B514">
            <v>42279</v>
          </cell>
          <cell r="AI514">
            <v>0.36980681931107384</v>
          </cell>
        </row>
        <row r="515">
          <cell r="B515">
            <v>42286</v>
          </cell>
          <cell r="AI515">
            <v>0.39655519485577667</v>
          </cell>
        </row>
        <row r="516">
          <cell r="B516">
            <v>42293</v>
          </cell>
          <cell r="AI516">
            <v>0.38140045227816166</v>
          </cell>
        </row>
        <row r="517">
          <cell r="B517">
            <v>42300</v>
          </cell>
          <cell r="AI517">
            <v>0.39245576839450941</v>
          </cell>
        </row>
        <row r="518">
          <cell r="B518">
            <v>42307</v>
          </cell>
          <cell r="AI518">
            <v>0.4114789953850107</v>
          </cell>
        </row>
        <row r="519">
          <cell r="B519">
            <v>42314</v>
          </cell>
          <cell r="AI519">
            <v>0.40786700524783276</v>
          </cell>
        </row>
        <row r="520">
          <cell r="B520">
            <v>42321</v>
          </cell>
          <cell r="AI520">
            <v>0.40107601144216309</v>
          </cell>
        </row>
        <row r="521">
          <cell r="B521">
            <v>42328</v>
          </cell>
          <cell r="AI521">
            <v>0.38584408019626038</v>
          </cell>
        </row>
        <row r="522">
          <cell r="B522">
            <v>42335</v>
          </cell>
          <cell r="AI522">
            <v>0.37931490989531497</v>
          </cell>
        </row>
        <row r="523">
          <cell r="B523">
            <v>42342</v>
          </cell>
          <cell r="AI523">
            <v>0.36717572456401271</v>
          </cell>
        </row>
        <row r="524">
          <cell r="B524">
            <v>42349</v>
          </cell>
          <cell r="AI524">
            <v>0.35582687709265665</v>
          </cell>
        </row>
        <row r="525">
          <cell r="B525">
            <v>42356</v>
          </cell>
          <cell r="AI525">
            <v>0.35735529153283957</v>
          </cell>
        </row>
        <row r="526">
          <cell r="B526">
            <v>42363</v>
          </cell>
          <cell r="AI526">
            <v>0.35773181751479616</v>
          </cell>
        </row>
        <row r="527">
          <cell r="B527">
            <v>42370</v>
          </cell>
          <cell r="AI527">
            <v>0.35141228286401061</v>
          </cell>
        </row>
        <row r="528">
          <cell r="B528">
            <v>42377</v>
          </cell>
          <cell r="AI528">
            <v>0.35441831318477085</v>
          </cell>
        </row>
        <row r="529">
          <cell r="B529">
            <v>42384</v>
          </cell>
          <cell r="AI529">
            <v>0.3567818056530575</v>
          </cell>
        </row>
        <row r="530">
          <cell r="B530">
            <v>42391</v>
          </cell>
          <cell r="AI530">
            <v>0.37101435452730547</v>
          </cell>
        </row>
        <row r="531">
          <cell r="B531">
            <v>42398</v>
          </cell>
          <cell r="AI531">
            <v>0.38678786238513574</v>
          </cell>
        </row>
        <row r="532">
          <cell r="B532">
            <v>42405</v>
          </cell>
          <cell r="AI532">
            <v>0.39349835046053283</v>
          </cell>
        </row>
        <row r="533">
          <cell r="B533">
            <v>42412</v>
          </cell>
          <cell r="AI533">
            <v>0.39872550290257786</v>
          </cell>
        </row>
        <row r="534">
          <cell r="B534">
            <v>42419</v>
          </cell>
          <cell r="AI534">
            <v>0.40749333354601086</v>
          </cell>
        </row>
        <row r="535">
          <cell r="B535">
            <v>42426</v>
          </cell>
          <cell r="AI535">
            <v>0.41200821191610415</v>
          </cell>
        </row>
        <row r="536">
          <cell r="B536">
            <v>42433</v>
          </cell>
          <cell r="AI536">
            <v>0.38147711180261124</v>
          </cell>
        </row>
        <row r="537">
          <cell r="B537">
            <v>42440</v>
          </cell>
          <cell r="AI537">
            <v>0.35658368609975932</v>
          </cell>
        </row>
        <row r="538">
          <cell r="B538">
            <v>42447</v>
          </cell>
          <cell r="AI538">
            <v>0.36075354385888969</v>
          </cell>
        </row>
        <row r="539">
          <cell r="B539">
            <v>42454</v>
          </cell>
          <cell r="AI539">
            <v>0.36875457427900143</v>
          </cell>
        </row>
        <row r="540">
          <cell r="B540">
            <v>42461</v>
          </cell>
          <cell r="AI540">
            <v>0.36059535952077859</v>
          </cell>
        </row>
        <row r="541">
          <cell r="B541">
            <v>42468</v>
          </cell>
          <cell r="AI541">
            <v>0.3646939797044384</v>
          </cell>
        </row>
        <row r="542">
          <cell r="B542">
            <v>42475</v>
          </cell>
          <cell r="AI542">
            <v>0.36432438742442241</v>
          </cell>
        </row>
        <row r="543">
          <cell r="B543">
            <v>42482</v>
          </cell>
          <cell r="AI543">
            <v>0.37007122117242108</v>
          </cell>
        </row>
        <row r="544">
          <cell r="B544">
            <v>42489</v>
          </cell>
          <cell r="AI544">
            <v>0.36959377703991131</v>
          </cell>
        </row>
        <row r="545">
          <cell r="B545">
            <v>42496</v>
          </cell>
          <cell r="AI545">
            <v>0.37564863805574328</v>
          </cell>
        </row>
        <row r="546">
          <cell r="B546">
            <v>42503</v>
          </cell>
          <cell r="AI546">
            <v>0.38543191867897891</v>
          </cell>
        </row>
        <row r="547">
          <cell r="B547">
            <v>42510</v>
          </cell>
          <cell r="AI547">
            <v>0.40035248484277514</v>
          </cell>
        </row>
        <row r="548">
          <cell r="B548">
            <v>42517</v>
          </cell>
          <cell r="AI548">
            <v>0.41380479889496652</v>
          </cell>
        </row>
        <row r="549">
          <cell r="B549">
            <v>42524</v>
          </cell>
          <cell r="AI549">
            <v>0.40593323068403137</v>
          </cell>
        </row>
        <row r="550">
          <cell r="B550">
            <v>42531</v>
          </cell>
          <cell r="AI550">
            <v>0.39235773534850399</v>
          </cell>
        </row>
        <row r="551">
          <cell r="B551">
            <v>42538</v>
          </cell>
          <cell r="AI551">
            <v>0.38375651460556071</v>
          </cell>
        </row>
        <row r="552">
          <cell r="B552">
            <v>42545</v>
          </cell>
          <cell r="AI552">
            <v>0.38058612201091979</v>
          </cell>
        </row>
        <row r="553">
          <cell r="B553">
            <v>42552</v>
          </cell>
          <cell r="AI553">
            <v>0.36632110622702446</v>
          </cell>
        </row>
        <row r="554">
          <cell r="B554">
            <v>42559</v>
          </cell>
          <cell r="AI554">
            <v>0.36246484182703231</v>
          </cell>
        </row>
        <row r="555">
          <cell r="B555">
            <v>42566</v>
          </cell>
          <cell r="AI555">
            <v>0.34601159721247426</v>
          </cell>
        </row>
        <row r="556">
          <cell r="B556">
            <v>42573</v>
          </cell>
          <cell r="AI556">
            <v>0.33817966635355184</v>
          </cell>
        </row>
        <row r="557">
          <cell r="B557">
            <v>42580</v>
          </cell>
          <cell r="AI557">
            <v>0.33574842007436634</v>
          </cell>
        </row>
        <row r="558">
          <cell r="B558">
            <v>42587</v>
          </cell>
          <cell r="AI558">
            <v>0.33558592018406708</v>
          </cell>
        </row>
        <row r="559">
          <cell r="B559">
            <v>42594</v>
          </cell>
          <cell r="AI559">
            <v>0.33499473036225613</v>
          </cell>
        </row>
        <row r="560">
          <cell r="B560">
            <v>42601</v>
          </cell>
          <cell r="AI560">
            <v>0.31933640524657664</v>
          </cell>
        </row>
        <row r="561">
          <cell r="B561">
            <v>42608</v>
          </cell>
          <cell r="AI561">
            <v>0.31013164572996149</v>
          </cell>
        </row>
        <row r="562">
          <cell r="B562">
            <v>42615</v>
          </cell>
          <cell r="AI562">
            <v>0.30901459140288978</v>
          </cell>
        </row>
        <row r="563">
          <cell r="B563">
            <v>42622</v>
          </cell>
          <cell r="AI563">
            <v>0.31403194995717659</v>
          </cell>
        </row>
        <row r="564">
          <cell r="B564">
            <v>42629</v>
          </cell>
          <cell r="AI564">
            <v>0.32144342675860843</v>
          </cell>
        </row>
        <row r="565">
          <cell r="B565">
            <v>42636</v>
          </cell>
          <cell r="AI565">
            <v>0.32256173386003772</v>
          </cell>
        </row>
        <row r="566">
          <cell r="B566">
            <v>42643</v>
          </cell>
          <cell r="AI566">
            <v>0.32755547083011755</v>
          </cell>
        </row>
        <row r="567">
          <cell r="B567">
            <v>42650</v>
          </cell>
          <cell r="AI567">
            <v>0.33487931045853697</v>
          </cell>
        </row>
        <row r="568">
          <cell r="B568">
            <v>42657</v>
          </cell>
          <cell r="AI568">
            <v>0.32357951442012878</v>
          </cell>
        </row>
        <row r="569">
          <cell r="B569">
            <v>42664</v>
          </cell>
          <cell r="AI569">
            <v>0.31717568065342205</v>
          </cell>
        </row>
        <row r="570">
          <cell r="B570">
            <v>42671</v>
          </cell>
          <cell r="AI570">
            <v>0.30843570091414674</v>
          </cell>
        </row>
        <row r="571">
          <cell r="B571">
            <v>42678</v>
          </cell>
          <cell r="AI571">
            <v>0.30875849709583786</v>
          </cell>
        </row>
        <row r="572">
          <cell r="B572">
            <v>42685</v>
          </cell>
          <cell r="AI572">
            <v>0.31906733553169048</v>
          </cell>
        </row>
        <row r="573">
          <cell r="B573">
            <v>42692</v>
          </cell>
          <cell r="AI573">
            <v>0.32100845473904938</v>
          </cell>
        </row>
        <row r="574">
          <cell r="B574">
            <v>42699</v>
          </cell>
          <cell r="AI574">
            <v>0.31718873608654052</v>
          </cell>
        </row>
        <row r="575">
          <cell r="B575">
            <v>42706</v>
          </cell>
          <cell r="AI575">
            <v>0.3264460939319887</v>
          </cell>
        </row>
        <row r="576">
          <cell r="B576">
            <v>42713</v>
          </cell>
          <cell r="AI576">
            <v>0.3225108163374481</v>
          </cell>
        </row>
        <row r="577">
          <cell r="B577">
            <v>42720</v>
          </cell>
          <cell r="AI577">
            <v>0.32304927175704035</v>
          </cell>
        </row>
        <row r="578">
          <cell r="B578">
            <v>42727</v>
          </cell>
          <cell r="AI578">
            <v>0.32010653338928158</v>
          </cell>
        </row>
        <row r="579">
          <cell r="B579">
            <v>42734</v>
          </cell>
          <cell r="AI579">
            <v>0.33095570592103307</v>
          </cell>
        </row>
        <row r="580">
          <cell r="B580">
            <v>42741</v>
          </cell>
          <cell r="AI580">
            <v>0.32260231240935811</v>
          </cell>
        </row>
        <row r="581">
          <cell r="B581">
            <v>42748</v>
          </cell>
          <cell r="AI581">
            <v>0.36420056553362223</v>
          </cell>
        </row>
        <row r="582">
          <cell r="B582">
            <v>42755</v>
          </cell>
          <cell r="AI582">
            <v>0.36969640765111517</v>
          </cell>
        </row>
        <row r="583">
          <cell r="B583">
            <v>42762</v>
          </cell>
          <cell r="AI583">
            <v>0.37857150884490587</v>
          </cell>
        </row>
        <row r="584">
          <cell r="B584">
            <v>42769</v>
          </cell>
          <cell r="AI584">
            <v>0.3804143903095602</v>
          </cell>
        </row>
        <row r="585">
          <cell r="B585">
            <v>42776</v>
          </cell>
          <cell r="AI585">
            <v>0.37251282017918047</v>
          </cell>
        </row>
        <row r="586">
          <cell r="B586">
            <v>42783</v>
          </cell>
          <cell r="AI586">
            <v>0.36451969292800124</v>
          </cell>
        </row>
        <row r="587">
          <cell r="B587">
            <v>42790</v>
          </cell>
          <cell r="AI587">
            <v>0.36977811508747915</v>
          </cell>
        </row>
        <row r="588">
          <cell r="B588">
            <v>42797</v>
          </cell>
          <cell r="AI588">
            <v>0.37222929387613218</v>
          </cell>
        </row>
        <row r="589">
          <cell r="B589">
            <v>42804</v>
          </cell>
          <cell r="AI589">
            <v>0.37884896572106169</v>
          </cell>
        </row>
        <row r="590">
          <cell r="B590">
            <v>42811</v>
          </cell>
          <cell r="AI590">
            <v>0.40412071410483275</v>
          </cell>
        </row>
        <row r="591">
          <cell r="B591">
            <v>42818</v>
          </cell>
          <cell r="AI591">
            <v>0.40332132862280223</v>
          </cell>
        </row>
        <row r="592">
          <cell r="B592">
            <v>42825</v>
          </cell>
          <cell r="AI592">
            <v>0.40569217915127853</v>
          </cell>
        </row>
        <row r="593">
          <cell r="B593">
            <v>42832</v>
          </cell>
          <cell r="AI593">
            <v>0.41040657148507131</v>
          </cell>
        </row>
        <row r="594">
          <cell r="B594">
            <v>42839</v>
          </cell>
          <cell r="AI594">
            <v>0.42346376629265225</v>
          </cell>
        </row>
        <row r="595">
          <cell r="B595">
            <v>42846</v>
          </cell>
          <cell r="AI595">
            <v>0.42465044232914123</v>
          </cell>
        </row>
        <row r="596">
          <cell r="B596">
            <v>42853</v>
          </cell>
          <cell r="AI596">
            <v>0.41311221766180556</v>
          </cell>
        </row>
        <row r="597">
          <cell r="B597">
            <v>42860</v>
          </cell>
          <cell r="AI597">
            <v>0.40073078694457231</v>
          </cell>
        </row>
        <row r="598">
          <cell r="B598">
            <v>42867</v>
          </cell>
          <cell r="AI598">
            <v>0.39802111302593363</v>
          </cell>
        </row>
        <row r="599">
          <cell r="B599">
            <v>42874</v>
          </cell>
          <cell r="AI599">
            <v>0.40743436499666374</v>
          </cell>
        </row>
        <row r="600">
          <cell r="B600">
            <v>42881</v>
          </cell>
          <cell r="AI600">
            <v>0.41584762955580046</v>
          </cell>
        </row>
        <row r="601">
          <cell r="B601">
            <v>42888</v>
          </cell>
          <cell r="AI601">
            <v>0.4129930278192413</v>
          </cell>
        </row>
        <row r="602">
          <cell r="B602">
            <v>42895</v>
          </cell>
          <cell r="AI602">
            <v>0.40802749597103982</v>
          </cell>
        </row>
        <row r="603">
          <cell r="B603">
            <v>42902</v>
          </cell>
          <cell r="AI603">
            <v>0.39975283051325577</v>
          </cell>
        </row>
        <row r="604">
          <cell r="B604">
            <v>42909</v>
          </cell>
          <cell r="AI604">
            <v>0.40985158926573378</v>
          </cell>
        </row>
        <row r="605">
          <cell r="B605">
            <v>42916</v>
          </cell>
          <cell r="AI605">
            <v>0.40091923695767506</v>
          </cell>
        </row>
        <row r="606">
          <cell r="B606">
            <v>42923</v>
          </cell>
          <cell r="AI606">
            <v>0.40651038764731051</v>
          </cell>
        </row>
        <row r="607">
          <cell r="B607">
            <v>42930</v>
          </cell>
          <cell r="AI607">
            <v>0.39754399418626374</v>
          </cell>
        </row>
        <row r="608">
          <cell r="B608">
            <v>42937</v>
          </cell>
          <cell r="AI608">
            <v>0.39270907993348492</v>
          </cell>
        </row>
        <row r="609">
          <cell r="B609">
            <v>42944</v>
          </cell>
          <cell r="AI609">
            <v>0.40436561410055427</v>
          </cell>
        </row>
        <row r="610">
          <cell r="B610">
            <v>42951</v>
          </cell>
          <cell r="AI610">
            <v>0.39388747862344875</v>
          </cell>
        </row>
        <row r="611">
          <cell r="B611">
            <v>42958</v>
          </cell>
          <cell r="AI611">
            <v>0.3988946814423649</v>
          </cell>
        </row>
        <row r="612">
          <cell r="B612">
            <v>42965</v>
          </cell>
          <cell r="AI612">
            <v>0.38636468172784771</v>
          </cell>
        </row>
        <row r="613">
          <cell r="B613">
            <v>42972</v>
          </cell>
          <cell r="AI613">
            <v>0.38776093102671116</v>
          </cell>
        </row>
        <row r="614">
          <cell r="B614">
            <v>42979</v>
          </cell>
          <cell r="AI614">
            <v>0.37669457768700476</v>
          </cell>
        </row>
        <row r="615">
          <cell r="B615">
            <v>42986</v>
          </cell>
          <cell r="AI615">
            <v>0.37015705831043372</v>
          </cell>
        </row>
        <row r="616">
          <cell r="B616">
            <v>42993</v>
          </cell>
          <cell r="AI616">
            <v>0.36919788104021745</v>
          </cell>
        </row>
        <row r="617">
          <cell r="B617">
            <v>43000</v>
          </cell>
          <cell r="AI617">
            <v>0.36791819724099351</v>
          </cell>
        </row>
        <row r="618">
          <cell r="B618">
            <v>43007</v>
          </cell>
          <cell r="AI618">
            <v>0.37959113883358298</v>
          </cell>
        </row>
        <row r="619">
          <cell r="B619">
            <v>43014</v>
          </cell>
          <cell r="AI619">
            <v>0.37851987472673548</v>
          </cell>
        </row>
        <row r="620">
          <cell r="B620">
            <v>43021</v>
          </cell>
          <cell r="AI620">
            <v>0.37656150093149982</v>
          </cell>
        </row>
        <row r="621">
          <cell r="B621">
            <v>43028</v>
          </cell>
          <cell r="AI621">
            <v>0.378607459411685</v>
          </cell>
        </row>
        <row r="622">
          <cell r="B622">
            <v>43035</v>
          </cell>
          <cell r="AI622">
            <v>0.38719847788216477</v>
          </cell>
        </row>
        <row r="623">
          <cell r="B623">
            <v>43042</v>
          </cell>
          <cell r="AI623">
            <v>0.38357815781778815</v>
          </cell>
        </row>
        <row r="624">
          <cell r="B624">
            <v>43049</v>
          </cell>
          <cell r="AI624">
            <v>0.37424908794297829</v>
          </cell>
        </row>
        <row r="625">
          <cell r="B625">
            <v>43056</v>
          </cell>
          <cell r="AI625">
            <v>0.37287027111705479</v>
          </cell>
        </row>
        <row r="626">
          <cell r="B626">
            <v>43063</v>
          </cell>
          <cell r="AI626">
            <v>0.37353168413582005</v>
          </cell>
        </row>
        <row r="627">
          <cell r="B627">
            <v>43070</v>
          </cell>
          <cell r="AI627">
            <v>0.36988329225338329</v>
          </cell>
        </row>
        <row r="628">
          <cell r="B628">
            <v>43077</v>
          </cell>
          <cell r="AI628">
            <v>0.36818796202639442</v>
          </cell>
        </row>
        <row r="629">
          <cell r="B629">
            <v>43084</v>
          </cell>
          <cell r="AI629">
            <v>0.36173151711579721</v>
          </cell>
        </row>
        <row r="630">
          <cell r="B630">
            <v>43091</v>
          </cell>
          <cell r="AI630">
            <v>0.36827235916437301</v>
          </cell>
        </row>
        <row r="631">
          <cell r="B631">
            <v>43098</v>
          </cell>
          <cell r="AI631">
            <v>0.3646351380384607</v>
          </cell>
        </row>
        <row r="632">
          <cell r="B632">
            <v>43105</v>
          </cell>
          <cell r="AI632">
            <v>0.35230597722347018</v>
          </cell>
        </row>
        <row r="633">
          <cell r="B633">
            <v>43112</v>
          </cell>
          <cell r="AI633">
            <v>0.36531154054932885</v>
          </cell>
        </row>
        <row r="634">
          <cell r="B634">
            <v>43119</v>
          </cell>
          <cell r="AI634">
            <v>0.35781609968043998</v>
          </cell>
        </row>
        <row r="635">
          <cell r="B635">
            <v>43126</v>
          </cell>
          <cell r="AI635">
            <v>0.36194332706842564</v>
          </cell>
        </row>
        <row r="636">
          <cell r="B636">
            <v>43133</v>
          </cell>
          <cell r="AI636">
            <v>0.35054726939157804</v>
          </cell>
        </row>
        <row r="637">
          <cell r="B637">
            <v>43140</v>
          </cell>
          <cell r="AI637">
            <v>0.35767391270925214</v>
          </cell>
        </row>
        <row r="638">
          <cell r="B638">
            <v>43147</v>
          </cell>
          <cell r="AI638">
            <v>0.35694391852663193</v>
          </cell>
        </row>
        <row r="639">
          <cell r="B639">
            <v>43154</v>
          </cell>
          <cell r="AI639">
            <v>0.3559656000898922</v>
          </cell>
        </row>
        <row r="640">
          <cell r="B640">
            <v>43161</v>
          </cell>
          <cell r="AI640">
            <v>0.35070791682478875</v>
          </cell>
        </row>
        <row r="641">
          <cell r="B641">
            <v>43168</v>
          </cell>
          <cell r="AI641">
            <v>0.35009525570217781</v>
          </cell>
        </row>
        <row r="642">
          <cell r="B642">
            <v>43175</v>
          </cell>
          <cell r="AI642">
            <v>0.34649122910917901</v>
          </cell>
        </row>
        <row r="643">
          <cell r="B643">
            <v>43182</v>
          </cell>
          <cell r="AI643">
            <v>0.34230499970945477</v>
          </cell>
        </row>
        <row r="644">
          <cell r="B644">
            <v>43189</v>
          </cell>
          <cell r="AI644">
            <v>0.35115460610547872</v>
          </cell>
        </row>
        <row r="645">
          <cell r="B645">
            <v>43196</v>
          </cell>
          <cell r="AI645">
            <v>0.34550067642909221</v>
          </cell>
        </row>
        <row r="646">
          <cell r="B646">
            <v>43203</v>
          </cell>
          <cell r="AI646">
            <v>0.35329546845140247</v>
          </cell>
        </row>
        <row r="647">
          <cell r="B647">
            <v>43210</v>
          </cell>
          <cell r="AI647">
            <v>0.35422417421881225</v>
          </cell>
        </row>
        <row r="648">
          <cell r="B648">
            <v>43217</v>
          </cell>
          <cell r="AI648">
            <v>0.36524044955048296</v>
          </cell>
        </row>
        <row r="649">
          <cell r="B649">
            <v>43224</v>
          </cell>
          <cell r="AI649">
            <v>0.37245218376162137</v>
          </cell>
        </row>
        <row r="650">
          <cell r="B650">
            <v>43231</v>
          </cell>
          <cell r="AI650">
            <v>0.40247104166906639</v>
          </cell>
        </row>
        <row r="651">
          <cell r="B651">
            <v>43238</v>
          </cell>
          <cell r="AI651">
            <v>0.3836064967032104</v>
          </cell>
        </row>
        <row r="652">
          <cell r="B652">
            <v>43245</v>
          </cell>
          <cell r="AI652">
            <v>0.39618470594735467</v>
          </cell>
        </row>
        <row r="653">
          <cell r="B653">
            <v>43252</v>
          </cell>
          <cell r="AI653">
            <v>0.39748960816480389</v>
          </cell>
        </row>
        <row r="654">
          <cell r="B654">
            <v>43259</v>
          </cell>
          <cell r="AI654">
            <v>0.37087101974595305</v>
          </cell>
        </row>
        <row r="655">
          <cell r="B655">
            <v>43266</v>
          </cell>
          <cell r="AI655">
            <v>0.39025043397411868</v>
          </cell>
        </row>
        <row r="656">
          <cell r="B656">
            <v>43273</v>
          </cell>
          <cell r="AI656">
            <v>0.37530466264602891</v>
          </cell>
        </row>
        <row r="657">
          <cell r="B657">
            <v>43280</v>
          </cell>
          <cell r="AI657">
            <v>0.36714598682502098</v>
          </cell>
        </row>
        <row r="658">
          <cell r="B658">
            <v>43287</v>
          </cell>
          <cell r="AI658">
            <v>0.36580245463742278</v>
          </cell>
        </row>
        <row r="659">
          <cell r="B659">
            <v>43294</v>
          </cell>
          <cell r="AI659">
            <v>0.38102458206057749</v>
          </cell>
        </row>
        <row r="660">
          <cell r="B660">
            <v>43301</v>
          </cell>
          <cell r="AI660">
            <v>0.38957795559042707</v>
          </cell>
        </row>
        <row r="661">
          <cell r="B661">
            <v>43308</v>
          </cell>
          <cell r="AI661">
            <v>0.38813737466745862</v>
          </cell>
        </row>
        <row r="662">
          <cell r="B662">
            <v>43315</v>
          </cell>
          <cell r="AI662">
            <v>0.38153081730794086</v>
          </cell>
        </row>
        <row r="663">
          <cell r="B663">
            <v>43322</v>
          </cell>
          <cell r="AI663">
            <v>0.40403414466062176</v>
          </cell>
        </row>
        <row r="664">
          <cell r="B664">
            <v>43329</v>
          </cell>
          <cell r="AI664">
            <v>0.40265299707587371</v>
          </cell>
        </row>
        <row r="665">
          <cell r="B665">
            <v>43336</v>
          </cell>
          <cell r="AI665">
            <v>0.42449593913722011</v>
          </cell>
        </row>
        <row r="666">
          <cell r="B666">
            <v>43343</v>
          </cell>
          <cell r="AI666">
            <v>0.44726272497640307</v>
          </cell>
        </row>
        <row r="667">
          <cell r="B667">
            <v>43350</v>
          </cell>
          <cell r="AI667">
            <v>0.45325195846215949</v>
          </cell>
        </row>
        <row r="668">
          <cell r="B668">
            <v>43357</v>
          </cell>
          <cell r="AI668">
            <v>0.46529801281769384</v>
          </cell>
        </row>
        <row r="669">
          <cell r="B669">
            <v>43364</v>
          </cell>
          <cell r="AI669">
            <v>0.45132812584873117</v>
          </cell>
        </row>
        <row r="670">
          <cell r="B670">
            <v>43371</v>
          </cell>
          <cell r="AI670">
            <v>0.44941772769029559</v>
          </cell>
        </row>
        <row r="671">
          <cell r="B671">
            <v>43378</v>
          </cell>
          <cell r="AI671">
            <v>0.43213167049475398</v>
          </cell>
        </row>
        <row r="672">
          <cell r="B672">
            <v>43385</v>
          </cell>
          <cell r="AI672">
            <v>0.43329750322390204</v>
          </cell>
        </row>
        <row r="673">
          <cell r="B673">
            <v>43392</v>
          </cell>
          <cell r="AI673">
            <v>0.43908112363617624</v>
          </cell>
        </row>
        <row r="674">
          <cell r="B674">
            <v>43399</v>
          </cell>
          <cell r="AI674">
            <v>0.43926992859484604</v>
          </cell>
        </row>
        <row r="675">
          <cell r="B675">
            <v>43406</v>
          </cell>
          <cell r="AI675">
            <v>0.43673185530208364</v>
          </cell>
        </row>
        <row r="676">
          <cell r="B676">
            <v>43413</v>
          </cell>
          <cell r="AI676">
            <v>0.44444343253054847</v>
          </cell>
        </row>
        <row r="677">
          <cell r="B677">
            <v>43420</v>
          </cell>
          <cell r="AI677">
            <v>0.44487805451247858</v>
          </cell>
        </row>
        <row r="678">
          <cell r="B678">
            <v>43427</v>
          </cell>
          <cell r="AI678">
            <v>0.43799789432513586</v>
          </cell>
        </row>
        <row r="679">
          <cell r="B679">
            <v>43434</v>
          </cell>
          <cell r="AI679">
            <v>0.44656242417060654</v>
          </cell>
        </row>
        <row r="680">
          <cell r="B680">
            <v>43441</v>
          </cell>
          <cell r="AI680">
            <v>0.44705894647698857</v>
          </cell>
        </row>
        <row r="681">
          <cell r="B681">
            <v>43448</v>
          </cell>
          <cell r="AI681">
            <v>0.44168938015114501</v>
          </cell>
        </row>
        <row r="682">
          <cell r="B682">
            <v>43455</v>
          </cell>
          <cell r="AI682">
            <v>0.4278851041508599</v>
          </cell>
        </row>
        <row r="683">
          <cell r="B683">
            <v>43462</v>
          </cell>
          <cell r="AI683">
            <v>0.41714231179701183</v>
          </cell>
        </row>
        <row r="684">
          <cell r="B684">
            <v>43469</v>
          </cell>
          <cell r="AI684">
            <v>0.42437468540879209</v>
          </cell>
        </row>
        <row r="685">
          <cell r="B685">
            <v>43476</v>
          </cell>
          <cell r="AI685">
            <v>0.41115927236260597</v>
          </cell>
        </row>
        <row r="686">
          <cell r="B686">
            <v>43483</v>
          </cell>
          <cell r="AI686">
            <v>0.41397964233057122</v>
          </cell>
        </row>
        <row r="687">
          <cell r="B687">
            <v>43490</v>
          </cell>
          <cell r="AI687">
            <v>0.40873555275620371</v>
          </cell>
        </row>
        <row r="688">
          <cell r="B688">
            <v>43497</v>
          </cell>
          <cell r="AI688">
            <v>0.40842959221620861</v>
          </cell>
        </row>
        <row r="689">
          <cell r="B689">
            <v>43504</v>
          </cell>
          <cell r="AI689">
            <v>0.3991528856447602</v>
          </cell>
        </row>
        <row r="690">
          <cell r="B690">
            <v>43511</v>
          </cell>
          <cell r="AI690">
            <v>0.40092741395093651</v>
          </cell>
        </row>
        <row r="691">
          <cell r="B691">
            <v>43518</v>
          </cell>
          <cell r="AI691">
            <v>0.3968430875495319</v>
          </cell>
        </row>
        <row r="692">
          <cell r="B692">
            <v>43525</v>
          </cell>
          <cell r="AI692">
            <v>0.39827989665488206</v>
          </cell>
        </row>
        <row r="693">
          <cell r="B693">
            <v>43532</v>
          </cell>
          <cell r="AI693">
            <v>0.40770119460059018</v>
          </cell>
        </row>
        <row r="694">
          <cell r="B694">
            <v>43539</v>
          </cell>
          <cell r="AI694">
            <v>0.4125001171362695</v>
          </cell>
        </row>
        <row r="695">
          <cell r="B695">
            <v>43546</v>
          </cell>
          <cell r="AI695">
            <v>0.42126389765980726</v>
          </cell>
        </row>
        <row r="696">
          <cell r="B696">
            <v>43553</v>
          </cell>
          <cell r="AI696">
            <v>0.42655027373226856</v>
          </cell>
        </row>
        <row r="697">
          <cell r="B697">
            <v>43560</v>
          </cell>
          <cell r="AI697">
            <v>0.43327500740051617</v>
          </cell>
        </row>
        <row r="698">
          <cell r="B698">
            <v>43567</v>
          </cell>
          <cell r="AI698">
            <v>0.43340431300444981</v>
          </cell>
        </row>
        <row r="699">
          <cell r="B699">
            <v>43574</v>
          </cell>
          <cell r="AI699">
            <v>0.43000234113962754</v>
          </cell>
        </row>
        <row r="700">
          <cell r="B700">
            <v>43581</v>
          </cell>
          <cell r="AI700">
            <v>0.44496674943234665</v>
          </cell>
        </row>
        <row r="701">
          <cell r="B701">
            <v>43588</v>
          </cell>
          <cell r="AI701">
            <v>0.43429905652265655</v>
          </cell>
        </row>
        <row r="702">
          <cell r="B702">
            <v>43595</v>
          </cell>
          <cell r="AI702">
            <v>0.43316442125948845</v>
          </cell>
        </row>
        <row r="703">
          <cell r="B703">
            <v>43602</v>
          </cell>
          <cell r="AI703">
            <v>0.44993919286227674</v>
          </cell>
        </row>
        <row r="704">
          <cell r="B704">
            <v>43609</v>
          </cell>
          <cell r="AI704">
            <v>0.44352425852407945</v>
          </cell>
        </row>
        <row r="705">
          <cell r="B705">
            <v>43616</v>
          </cell>
          <cell r="AI705">
            <v>0.44490245196858619</v>
          </cell>
        </row>
        <row r="706">
          <cell r="B706">
            <v>43623</v>
          </cell>
          <cell r="AI706">
            <v>0.44159939240618873</v>
          </cell>
        </row>
        <row r="707">
          <cell r="B707">
            <v>43630</v>
          </cell>
          <cell r="AI707">
            <v>0.4295866303310677</v>
          </cell>
        </row>
        <row r="708">
          <cell r="B708">
            <v>43637</v>
          </cell>
          <cell r="AI708">
            <v>0.43821305166247621</v>
          </cell>
        </row>
        <row r="709">
          <cell r="B709">
            <v>43644</v>
          </cell>
          <cell r="AI709">
            <v>0.42552760297042369</v>
          </cell>
        </row>
        <row r="710">
          <cell r="B710">
            <v>43651</v>
          </cell>
          <cell r="AI710">
            <v>0.41786484038305954</v>
          </cell>
        </row>
        <row r="711">
          <cell r="B711">
            <v>43658</v>
          </cell>
          <cell r="AI711">
            <v>0.41970807476954086</v>
          </cell>
        </row>
        <row r="712">
          <cell r="B712">
            <v>43665</v>
          </cell>
          <cell r="AI712">
            <v>0.42815180034312994</v>
          </cell>
        </row>
        <row r="713">
          <cell r="B713">
            <v>43672</v>
          </cell>
          <cell r="AI713">
            <v>0.41350137369122836</v>
          </cell>
        </row>
        <row r="714">
          <cell r="B714">
            <v>43679</v>
          </cell>
          <cell r="AI714">
            <v>0.41322021766922107</v>
          </cell>
        </row>
        <row r="715">
          <cell r="B715">
            <v>43686</v>
          </cell>
          <cell r="AI715">
            <v>0.4139036830933529</v>
          </cell>
        </row>
        <row r="716">
          <cell r="B716">
            <v>43693</v>
          </cell>
          <cell r="AI716">
            <v>0.45067344439817469</v>
          </cell>
        </row>
        <row r="717">
          <cell r="B717">
            <v>43700</v>
          </cell>
          <cell r="AI717">
            <v>0.46073370454575763</v>
          </cell>
        </row>
        <row r="718">
          <cell r="B718">
            <v>43707</v>
          </cell>
          <cell r="AI718">
            <v>0.49630181855892297</v>
          </cell>
        </row>
        <row r="719">
          <cell r="B719">
            <v>43714</v>
          </cell>
          <cell r="AI719">
            <v>0.49285666568036174</v>
          </cell>
        </row>
        <row r="720">
          <cell r="B720">
            <v>43721</v>
          </cell>
          <cell r="AI720">
            <v>0.47810501619235074</v>
          </cell>
        </row>
        <row r="721">
          <cell r="B721">
            <v>43728</v>
          </cell>
          <cell r="AI721">
            <v>0.48936983074948043</v>
          </cell>
        </row>
        <row r="722">
          <cell r="B722">
            <v>43735</v>
          </cell>
          <cell r="AI722">
            <v>0.48260574059983286</v>
          </cell>
        </row>
        <row r="723">
          <cell r="B723">
            <v>43742</v>
          </cell>
          <cell r="AI723">
            <v>0.4830271258700658</v>
          </cell>
        </row>
        <row r="724">
          <cell r="B724">
            <v>43749</v>
          </cell>
          <cell r="AI724">
            <v>0.46975755933042068</v>
          </cell>
        </row>
        <row r="725">
          <cell r="B725">
            <v>43756</v>
          </cell>
          <cell r="AI725">
            <v>0.47885053861791499</v>
          </cell>
        </row>
        <row r="726">
          <cell r="B726">
            <v>43763</v>
          </cell>
          <cell r="AI726">
            <v>0.48748855160930793</v>
          </cell>
        </row>
        <row r="727">
          <cell r="B727">
            <v>43770</v>
          </cell>
          <cell r="AI727">
            <v>0.47348376827952732</v>
          </cell>
        </row>
        <row r="728">
          <cell r="B728">
            <v>43777</v>
          </cell>
          <cell r="AI728">
            <v>0.46722771185736572</v>
          </cell>
        </row>
        <row r="729">
          <cell r="B729">
            <v>43784</v>
          </cell>
          <cell r="AI729">
            <v>0.46810305503369515</v>
          </cell>
        </row>
        <row r="730">
          <cell r="B730">
            <v>43791</v>
          </cell>
          <cell r="AI730">
            <v>0.44423716642313188</v>
          </cell>
        </row>
        <row r="731">
          <cell r="B731">
            <v>43798</v>
          </cell>
          <cell r="AI731">
            <v>0.43813547289869548</v>
          </cell>
        </row>
        <row r="732">
          <cell r="B732">
            <v>43805</v>
          </cell>
          <cell r="AI732">
            <v>0.43542792442118472</v>
          </cell>
        </row>
        <row r="733">
          <cell r="B733">
            <v>43812</v>
          </cell>
          <cell r="AI733">
            <v>0.43768378100987049</v>
          </cell>
        </row>
        <row r="734">
          <cell r="B734">
            <v>43819</v>
          </cell>
          <cell r="AI734">
            <v>0.43849365944089563</v>
          </cell>
        </row>
        <row r="735">
          <cell r="B735">
            <v>43826</v>
          </cell>
          <cell r="AI735">
            <v>0.43489122340241826</v>
          </cell>
        </row>
        <row r="736">
          <cell r="B736">
            <v>43833</v>
          </cell>
          <cell r="AI736">
            <v>0.43534620391478884</v>
          </cell>
        </row>
        <row r="737">
          <cell r="B737">
            <v>43840</v>
          </cell>
          <cell r="AI737">
            <v>0.42200993615792737</v>
          </cell>
        </row>
        <row r="738">
          <cell r="B738">
            <v>43847</v>
          </cell>
          <cell r="AI738">
            <v>0.41645872269974804</v>
          </cell>
        </row>
        <row r="739">
          <cell r="B739">
            <v>43854</v>
          </cell>
          <cell r="AI739">
            <v>0.41976249655466508</v>
          </cell>
        </row>
        <row r="740">
          <cell r="B740">
            <v>43861</v>
          </cell>
          <cell r="AI740">
            <v>0.41510411983428025</v>
          </cell>
        </row>
        <row r="741">
          <cell r="B741">
            <v>43868</v>
          </cell>
          <cell r="AI741">
            <v>0.4175358118862364</v>
          </cell>
        </row>
        <row r="742">
          <cell r="B742">
            <v>43875</v>
          </cell>
          <cell r="AI742">
            <v>0.42193080753970724</v>
          </cell>
        </row>
        <row r="743">
          <cell r="B743">
            <v>43882</v>
          </cell>
          <cell r="AI743">
            <v>0.41953262906662103</v>
          </cell>
        </row>
        <row r="744">
          <cell r="B744">
            <v>43889</v>
          </cell>
          <cell r="AI744">
            <v>0.40592935154618476</v>
          </cell>
        </row>
        <row r="745">
          <cell r="B745">
            <v>43896</v>
          </cell>
          <cell r="AI745">
            <v>0.39187703685493475</v>
          </cell>
        </row>
        <row r="746">
          <cell r="B746">
            <v>43903</v>
          </cell>
          <cell r="AI746">
            <v>0.3614909728291657</v>
          </cell>
        </row>
        <row r="747">
          <cell r="B747">
            <v>43910</v>
          </cell>
          <cell r="AI747">
            <v>0.36194859355537612</v>
          </cell>
        </row>
        <row r="748">
          <cell r="B748">
            <v>43917</v>
          </cell>
          <cell r="AI748">
            <v>0.37423201731248601</v>
          </cell>
        </row>
        <row r="749">
          <cell r="B749">
            <v>43924</v>
          </cell>
          <cell r="AI749">
            <v>0.38432412769056612</v>
          </cell>
        </row>
        <row r="750">
          <cell r="B750">
            <v>43931</v>
          </cell>
          <cell r="AI750">
            <v>0.38502838120717814</v>
          </cell>
        </row>
        <row r="751">
          <cell r="B751">
            <v>43938</v>
          </cell>
          <cell r="AI751">
            <v>0.36018029843590826</v>
          </cell>
        </row>
        <row r="752">
          <cell r="B752">
            <v>43945</v>
          </cell>
          <cell r="AI752">
            <v>0.35816320959498343</v>
          </cell>
        </row>
        <row r="753">
          <cell r="B753">
            <v>43952</v>
          </cell>
          <cell r="AI753">
            <v>0.3611901608226567</v>
          </cell>
        </row>
        <row r="754">
          <cell r="B754">
            <v>43959</v>
          </cell>
          <cell r="AI754">
            <v>0.35852755404899389</v>
          </cell>
        </row>
        <row r="755">
          <cell r="B755">
            <v>43966</v>
          </cell>
          <cell r="AI755">
            <v>0.3577726478738017</v>
          </cell>
        </row>
        <row r="756">
          <cell r="B756">
            <v>43973</v>
          </cell>
          <cell r="AI756">
            <v>0.3610873542737581</v>
          </cell>
        </row>
        <row r="757">
          <cell r="B757">
            <v>43980</v>
          </cell>
          <cell r="AI757">
            <v>0.37777084742058264</v>
          </cell>
        </row>
        <row r="758">
          <cell r="B758">
            <v>43987</v>
          </cell>
          <cell r="AI758">
            <v>0.37127219816661339</v>
          </cell>
        </row>
        <row r="759">
          <cell r="B759">
            <v>43994</v>
          </cell>
          <cell r="AI759">
            <v>0.36993592343439274</v>
          </cell>
        </row>
        <row r="760">
          <cell r="B760">
            <v>44001</v>
          </cell>
          <cell r="AI760">
            <v>0.36490085891802071</v>
          </cell>
        </row>
        <row r="761">
          <cell r="B761">
            <v>44008</v>
          </cell>
          <cell r="AI761">
            <v>0.36214908550573788</v>
          </cell>
        </row>
        <row r="762">
          <cell r="B762">
            <v>44015</v>
          </cell>
          <cell r="AI762">
            <v>0.37909451579542575</v>
          </cell>
        </row>
        <row r="763">
          <cell r="B763">
            <v>44022</v>
          </cell>
          <cell r="AI763">
            <v>0.38030170177582856</v>
          </cell>
        </row>
        <row r="764">
          <cell r="B764">
            <v>44029</v>
          </cell>
          <cell r="AI764">
            <v>0.38105026649911766</v>
          </cell>
        </row>
        <row r="765">
          <cell r="B765">
            <v>44036</v>
          </cell>
          <cell r="AI765">
            <v>0.37797928518080243</v>
          </cell>
        </row>
        <row r="766">
          <cell r="B766">
            <v>44043</v>
          </cell>
          <cell r="AI766">
            <v>0.36676130412014007</v>
          </cell>
        </row>
        <row r="767">
          <cell r="B767">
            <v>44050</v>
          </cell>
          <cell r="AI767">
            <v>0.36970090968082853</v>
          </cell>
        </row>
        <row r="768">
          <cell r="B768">
            <v>44057</v>
          </cell>
          <cell r="AI768">
            <v>0.3610493660635648</v>
          </cell>
        </row>
        <row r="769">
          <cell r="B769">
            <v>44064</v>
          </cell>
          <cell r="AI769">
            <v>0.3676234711785048</v>
          </cell>
        </row>
        <row r="770">
          <cell r="B770">
            <v>44071</v>
          </cell>
          <cell r="AI770">
            <v>0.36982337869090481</v>
          </cell>
        </row>
        <row r="771">
          <cell r="B771">
            <v>44078</v>
          </cell>
          <cell r="AI771">
            <v>0.36840233690297325</v>
          </cell>
        </row>
        <row r="772">
          <cell r="B772">
            <v>44085</v>
          </cell>
          <cell r="AI772">
            <v>0.36295956755146408</v>
          </cell>
        </row>
        <row r="773">
          <cell r="B773">
            <v>44092</v>
          </cell>
          <cell r="AI773">
            <v>0.36726506571635442</v>
          </cell>
        </row>
        <row r="774">
          <cell r="B774">
            <v>44099</v>
          </cell>
          <cell r="AI774">
            <v>0.34984571670027143</v>
          </cell>
        </row>
        <row r="775">
          <cell r="B775">
            <v>44106</v>
          </cell>
          <cell r="AI775">
            <v>0.35365888855745742</v>
          </cell>
        </row>
        <row r="776">
          <cell r="B776">
            <v>44113</v>
          </cell>
          <cell r="AI776">
            <v>0.3590981478493685</v>
          </cell>
        </row>
        <row r="777">
          <cell r="B777">
            <v>44120</v>
          </cell>
          <cell r="AI777">
            <v>0.36224083911183924</v>
          </cell>
        </row>
        <row r="778">
          <cell r="B778">
            <v>44127</v>
          </cell>
          <cell r="AI778">
            <v>0.36359538759488458</v>
          </cell>
        </row>
        <row r="779">
          <cell r="B779">
            <v>44134</v>
          </cell>
          <cell r="AI779">
            <v>0.35147896524463546</v>
          </cell>
        </row>
        <row r="780">
          <cell r="B780">
            <v>44141</v>
          </cell>
          <cell r="AI780">
            <v>0.35253747343736258</v>
          </cell>
        </row>
        <row r="781">
          <cell r="B781">
            <v>44148</v>
          </cell>
          <cell r="AI781">
            <v>0.37496491350370043</v>
          </cell>
        </row>
        <row r="782">
          <cell r="B782">
            <v>44155</v>
          </cell>
          <cell r="AI782">
            <v>0.38205658974774231</v>
          </cell>
        </row>
        <row r="783">
          <cell r="B783">
            <v>44162</v>
          </cell>
          <cell r="AI783">
            <v>0.3813221852407957</v>
          </cell>
        </row>
        <row r="784">
          <cell r="B784">
            <v>44169</v>
          </cell>
          <cell r="AI784">
            <v>0.37940713616985178</v>
          </cell>
        </row>
        <row r="785">
          <cell r="B785">
            <v>44176</v>
          </cell>
          <cell r="AI785">
            <v>0.37816712633301763</v>
          </cell>
        </row>
        <row r="786">
          <cell r="B786">
            <v>44183</v>
          </cell>
          <cell r="AI786">
            <v>0.38444988848339051</v>
          </cell>
        </row>
        <row r="787">
          <cell r="B787">
            <v>44190</v>
          </cell>
          <cell r="AI787">
            <v>0.3755511318999859</v>
          </cell>
        </row>
        <row r="788">
          <cell r="B788">
            <v>44197</v>
          </cell>
          <cell r="AI788">
            <v>0.36672666547138655</v>
          </cell>
        </row>
        <row r="789">
          <cell r="B789">
            <v>44204</v>
          </cell>
          <cell r="AI789">
            <v>0.36267431252668603</v>
          </cell>
        </row>
        <row r="790">
          <cell r="B790">
            <v>44211</v>
          </cell>
          <cell r="AI790">
            <v>0.35215768801287423</v>
          </cell>
        </row>
        <row r="791">
          <cell r="B791">
            <v>44218</v>
          </cell>
          <cell r="AI791">
            <v>0.34450182095932497</v>
          </cell>
        </row>
        <row r="792">
          <cell r="B792">
            <v>44225</v>
          </cell>
          <cell r="AI792">
            <v>0.35773375059533713</v>
          </cell>
        </row>
        <row r="793">
          <cell r="B793">
            <v>44232</v>
          </cell>
          <cell r="AI793">
            <v>0.36255463908973895</v>
          </cell>
        </row>
        <row r="794">
          <cell r="B794">
            <v>44239</v>
          </cell>
          <cell r="AI794">
            <v>0.3687040607835263</v>
          </cell>
        </row>
        <row r="795">
          <cell r="B795">
            <v>44246</v>
          </cell>
          <cell r="AI795">
            <v>0.35980297884178086</v>
          </cell>
        </row>
        <row r="796">
          <cell r="B796">
            <v>44253</v>
          </cell>
          <cell r="AI796">
            <v>0.36364156740938935</v>
          </cell>
        </row>
        <row r="797">
          <cell r="B797">
            <v>44260</v>
          </cell>
          <cell r="AI797">
            <v>0.37532602907605056</v>
          </cell>
        </row>
        <row r="798">
          <cell r="B798">
            <v>44267</v>
          </cell>
          <cell r="AI798">
            <v>0.37315072153043044</v>
          </cell>
        </row>
        <row r="799">
          <cell r="B799">
            <v>44274</v>
          </cell>
          <cell r="AI799">
            <v>0.3734474326281686</v>
          </cell>
        </row>
        <row r="800">
          <cell r="B800">
            <v>44281</v>
          </cell>
          <cell r="AI800">
            <v>0.36418962279680833</v>
          </cell>
        </row>
        <row r="801">
          <cell r="B801">
            <v>44288</v>
          </cell>
          <cell r="AI801">
            <v>0.36334220289683483</v>
          </cell>
        </row>
        <row r="802">
          <cell r="B802">
            <v>44295</v>
          </cell>
          <cell r="AI802">
            <v>0.35962056027533479</v>
          </cell>
        </row>
        <row r="803">
          <cell r="B803">
            <v>44302</v>
          </cell>
          <cell r="AI803">
            <v>0.36062502379960598</v>
          </cell>
        </row>
        <row r="804">
          <cell r="B804">
            <v>44309</v>
          </cell>
          <cell r="AI804">
            <v>0.35523243697187862</v>
          </cell>
        </row>
        <row r="805">
          <cell r="B805">
            <v>44316</v>
          </cell>
          <cell r="AI805">
            <v>0.35117999257507915</v>
          </cell>
        </row>
        <row r="806">
          <cell r="B806">
            <v>44323</v>
          </cell>
          <cell r="AI806">
            <v>0.35076432476078534</v>
          </cell>
        </row>
        <row r="807">
          <cell r="B807">
            <v>44330</v>
          </cell>
          <cell r="AI807">
            <v>0.36325434794427092</v>
          </cell>
        </row>
        <row r="808">
          <cell r="B808">
            <v>44337</v>
          </cell>
          <cell r="AI808">
            <v>0.36188280875204981</v>
          </cell>
        </row>
        <row r="809">
          <cell r="B809">
            <v>44344</v>
          </cell>
          <cell r="AI809">
            <v>0.355515899662324</v>
          </cell>
        </row>
        <row r="810">
          <cell r="B810">
            <v>44351</v>
          </cell>
          <cell r="AI810">
            <v>0.3675810806583269</v>
          </cell>
        </row>
        <row r="811">
          <cell r="B811">
            <v>44358</v>
          </cell>
          <cell r="AI811">
            <v>0.36234443021878693</v>
          </cell>
        </row>
        <row r="812">
          <cell r="B812">
            <v>44365</v>
          </cell>
          <cell r="AI812">
            <v>0.35808777212817466</v>
          </cell>
        </row>
        <row r="813">
          <cell r="B813">
            <v>44372</v>
          </cell>
          <cell r="AI813">
            <v>0.35005862956621853</v>
          </cell>
        </row>
        <row r="814">
          <cell r="B814">
            <v>44379</v>
          </cell>
          <cell r="AI814">
            <v>0.3483115277027527</v>
          </cell>
        </row>
        <row r="815">
          <cell r="B815">
            <v>44386</v>
          </cell>
          <cell r="AI815">
            <v>0.34453232809848133</v>
          </cell>
        </row>
        <row r="816">
          <cell r="B816">
            <v>44393</v>
          </cell>
          <cell r="AI816">
            <v>0.34129712240230825</v>
          </cell>
        </row>
        <row r="817">
          <cell r="B817">
            <v>44400</v>
          </cell>
          <cell r="AI817">
            <v>0.34345280660557265</v>
          </cell>
        </row>
        <row r="818">
          <cell r="B818">
            <v>44407</v>
          </cell>
          <cell r="AI818">
            <v>0.34009103657304407</v>
          </cell>
        </row>
        <row r="819">
          <cell r="B819">
            <v>44414</v>
          </cell>
          <cell r="AI819">
            <v>0.34485492001028861</v>
          </cell>
        </row>
        <row r="820">
          <cell r="B820">
            <v>44421</v>
          </cell>
          <cell r="AI820">
            <v>0.34639779479850757</v>
          </cell>
        </row>
        <row r="821">
          <cell r="B821">
            <v>44428</v>
          </cell>
          <cell r="AI821">
            <v>0.33655255851242316</v>
          </cell>
        </row>
        <row r="822">
          <cell r="B822">
            <v>44435</v>
          </cell>
          <cell r="AI822">
            <v>0.34584495765117668</v>
          </cell>
        </row>
        <row r="823">
          <cell r="B823">
            <v>44442</v>
          </cell>
          <cell r="AI823">
            <v>0.33082509330393634</v>
          </cell>
        </row>
        <row r="824">
          <cell r="B824">
            <v>44449</v>
          </cell>
          <cell r="AI824">
            <v>0.33717314827162476</v>
          </cell>
        </row>
        <row r="825">
          <cell r="B825">
            <v>44456</v>
          </cell>
          <cell r="AI825">
            <v>0.33605213844304255</v>
          </cell>
        </row>
        <row r="826">
          <cell r="B826">
            <v>44463</v>
          </cell>
          <cell r="AI826">
            <v>0.33652470007184976</v>
          </cell>
        </row>
        <row r="827">
          <cell r="B827">
            <v>44470</v>
          </cell>
          <cell r="AI827">
            <v>0.3411220084186381</v>
          </cell>
        </row>
        <row r="828">
          <cell r="B828">
            <v>44477</v>
          </cell>
          <cell r="AI828">
            <v>0.35184053989422925</v>
          </cell>
        </row>
        <row r="829">
          <cell r="B829">
            <v>44484</v>
          </cell>
          <cell r="AI829">
            <v>0.33994684356813121</v>
          </cell>
        </row>
        <row r="830">
          <cell r="B830">
            <v>44491</v>
          </cell>
          <cell r="AI830">
            <v>0.33243236475650634</v>
          </cell>
        </row>
        <row r="831">
          <cell r="B831">
            <v>44498</v>
          </cell>
          <cell r="AI831">
            <v>0.32966171903197189</v>
          </cell>
        </row>
        <row r="832">
          <cell r="B832">
            <v>44505</v>
          </cell>
          <cell r="AI832">
            <v>0.31010561387874708</v>
          </cell>
        </row>
        <row r="833">
          <cell r="B833">
            <v>44512</v>
          </cell>
          <cell r="AI833">
            <v>0.31281831496191664</v>
          </cell>
        </row>
        <row r="834">
          <cell r="B834">
            <v>44519</v>
          </cell>
          <cell r="AI834">
            <v>0.31320467331263585</v>
          </cell>
        </row>
        <row r="835">
          <cell r="B835">
            <v>44526</v>
          </cell>
          <cell r="AI835">
            <v>0.3042188722931638</v>
          </cell>
        </row>
        <row r="836">
          <cell r="B836">
            <v>44533</v>
          </cell>
          <cell r="AI836">
            <v>0.31694871589900309</v>
          </cell>
        </row>
        <row r="837">
          <cell r="B837">
            <v>44540</v>
          </cell>
          <cell r="AI837">
            <v>0.31440924923992408</v>
          </cell>
        </row>
        <row r="838">
          <cell r="B838">
            <v>44547</v>
          </cell>
          <cell r="AI838">
            <v>0.30892533355955221</v>
          </cell>
        </row>
        <row r="839">
          <cell r="B839">
            <v>44554</v>
          </cell>
          <cell r="AI839">
            <v>0.31069154822024192</v>
          </cell>
        </row>
        <row r="840">
          <cell r="B840">
            <v>44561</v>
          </cell>
          <cell r="AI840">
            <v>0.30998896459567854</v>
          </cell>
        </row>
        <row r="841">
          <cell r="B841">
            <v>44568</v>
          </cell>
          <cell r="AI841">
            <v>0.31528498469241856</v>
          </cell>
        </row>
        <row r="842">
          <cell r="B842">
            <v>44575</v>
          </cell>
          <cell r="AI842">
            <v>0.32596433709236705</v>
          </cell>
        </row>
        <row r="843">
          <cell r="B843">
            <v>44582</v>
          </cell>
          <cell r="AI843">
            <v>0.32717916996790075</v>
          </cell>
        </row>
        <row r="844">
          <cell r="B844">
            <v>44589</v>
          </cell>
          <cell r="AI844">
            <v>0.33656918586619888</v>
          </cell>
        </row>
        <row r="845">
          <cell r="B845">
            <v>44596</v>
          </cell>
          <cell r="AI845">
            <v>0.32530759489221939</v>
          </cell>
        </row>
        <row r="846">
          <cell r="B846">
            <v>44603</v>
          </cell>
          <cell r="AI846">
            <v>0.32704055390620618</v>
          </cell>
        </row>
        <row r="847">
          <cell r="B847">
            <v>44610</v>
          </cell>
          <cell r="AI847">
            <v>0.32372314409399527</v>
          </cell>
        </row>
        <row r="848">
          <cell r="B848">
            <v>44617</v>
          </cell>
          <cell r="AI848">
            <v>0.33162852001516574</v>
          </cell>
        </row>
        <row r="849">
          <cell r="B849">
            <v>44624</v>
          </cell>
          <cell r="AI849">
            <v>0.34551733748018937</v>
          </cell>
        </row>
        <row r="850">
          <cell r="B850">
            <v>44631</v>
          </cell>
          <cell r="AI850">
            <v>0.34137239503428962</v>
          </cell>
        </row>
        <row r="851">
          <cell r="B851">
            <v>44638</v>
          </cell>
          <cell r="AI851">
            <v>0.32100235756259016</v>
          </cell>
        </row>
        <row r="852">
          <cell r="B852">
            <v>44645</v>
          </cell>
          <cell r="AI852">
            <v>0.34143895183028089</v>
          </cell>
        </row>
        <row r="853">
          <cell r="B853">
            <v>44652</v>
          </cell>
          <cell r="AI853">
            <v>0.34431654153537694</v>
          </cell>
        </row>
        <row r="854">
          <cell r="B854">
            <v>44659</v>
          </cell>
          <cell r="AI854">
            <v>0.35370561573682696</v>
          </cell>
        </row>
        <row r="855">
          <cell r="B855">
            <v>44666</v>
          </cell>
          <cell r="AI855">
            <v>0.35675686370086007</v>
          </cell>
        </row>
        <row r="856">
          <cell r="B856">
            <v>44673</v>
          </cell>
          <cell r="AI856">
            <v>0.35493731739870332</v>
          </cell>
        </row>
        <row r="857">
          <cell r="B857">
            <v>44680</v>
          </cell>
          <cell r="AI857">
            <v>0.34665665312839683</v>
          </cell>
        </row>
        <row r="858">
          <cell r="B858">
            <v>44687</v>
          </cell>
          <cell r="AI858">
            <v>0.34470809923406565</v>
          </cell>
        </row>
        <row r="859">
          <cell r="B859">
            <v>44694</v>
          </cell>
          <cell r="AI859">
            <v>0.34999006015384876</v>
          </cell>
        </row>
        <row r="860">
          <cell r="B860">
            <v>44701</v>
          </cell>
          <cell r="AI860">
            <v>0.35396160907326685</v>
          </cell>
        </row>
        <row r="861">
          <cell r="B861">
            <v>44708</v>
          </cell>
          <cell r="AI861">
            <v>0.36178488427740341</v>
          </cell>
        </row>
        <row r="862">
          <cell r="B862">
            <v>44715</v>
          </cell>
          <cell r="AI862">
            <v>0.35507662475346685</v>
          </cell>
        </row>
        <row r="863">
          <cell r="B863">
            <v>44722</v>
          </cell>
          <cell r="AI863">
            <v>0.36415628577529841</v>
          </cell>
        </row>
        <row r="864">
          <cell r="B864">
            <v>44729</v>
          </cell>
          <cell r="AI864">
            <v>0.35931914096032452</v>
          </cell>
        </row>
        <row r="865">
          <cell r="B865">
            <v>44736</v>
          </cell>
          <cell r="AI865">
            <v>0.35319943688609939</v>
          </cell>
        </row>
        <row r="866">
          <cell r="B866">
            <v>44743</v>
          </cell>
          <cell r="AI866">
            <v>0.36102332730698644</v>
          </cell>
        </row>
        <row r="867">
          <cell r="B867">
            <v>44750</v>
          </cell>
          <cell r="AI867">
            <v>0.35454047886825435</v>
          </cell>
        </row>
        <row r="868">
          <cell r="B868">
            <v>44757</v>
          </cell>
          <cell r="AI868">
            <v>0.34849263086220306</v>
          </cell>
        </row>
        <row r="869">
          <cell r="B869">
            <v>44764</v>
          </cell>
          <cell r="AI869">
            <v>0.34114033908985603</v>
          </cell>
        </row>
        <row r="870">
          <cell r="B870">
            <v>44771</v>
          </cell>
          <cell r="AI870">
            <v>0.34400244563280019</v>
          </cell>
        </row>
        <row r="871">
          <cell r="B871">
            <v>44778</v>
          </cell>
          <cell r="AI871">
            <v>0.34459531100762125</v>
          </cell>
        </row>
        <row r="872">
          <cell r="B872">
            <v>44785</v>
          </cell>
          <cell r="AI872">
            <v>0.36063456288039986</v>
          </cell>
        </row>
        <row r="873">
          <cell r="B873">
            <v>44792</v>
          </cell>
          <cell r="AI873">
            <v>0.37084420957533126</v>
          </cell>
        </row>
        <row r="874">
          <cell r="B874">
            <v>44799</v>
          </cell>
          <cell r="AI874">
            <v>0.37991940824863257</v>
          </cell>
        </row>
        <row r="875">
          <cell r="B875">
            <v>44806</v>
          </cell>
          <cell r="AI875">
            <v>0.37818366858668112</v>
          </cell>
        </row>
        <row r="876">
          <cell r="B876">
            <v>44813</v>
          </cell>
          <cell r="AI876">
            <v>0.40407903686463925</v>
          </cell>
        </row>
        <row r="877">
          <cell r="B877">
            <v>44820</v>
          </cell>
          <cell r="AI877">
            <v>0.42318881713671069</v>
          </cell>
        </row>
        <row r="878">
          <cell r="B878">
            <v>44827</v>
          </cell>
          <cell r="AI878">
            <v>0.40957364348353448</v>
          </cell>
        </row>
        <row r="879">
          <cell r="B879">
            <v>44834</v>
          </cell>
          <cell r="AI879">
            <v>0.41547261923312323</v>
          </cell>
        </row>
        <row r="880">
          <cell r="B880">
            <v>44841</v>
          </cell>
          <cell r="AI880">
            <v>0.44630122461256017</v>
          </cell>
        </row>
        <row r="881">
          <cell r="B881">
            <v>44848</v>
          </cell>
          <cell r="AI881">
            <v>0.44107751102803849</v>
          </cell>
        </row>
        <row r="882">
          <cell r="B882">
            <v>44855</v>
          </cell>
          <cell r="AI882">
            <v>0.45004168719848364</v>
          </cell>
        </row>
        <row r="883">
          <cell r="B883">
            <v>44862</v>
          </cell>
          <cell r="AI883">
            <v>0.4546984924640185</v>
          </cell>
        </row>
        <row r="884">
          <cell r="B884">
            <v>44869</v>
          </cell>
          <cell r="AI884">
            <v>0.46691253101375119</v>
          </cell>
        </row>
        <row r="885">
          <cell r="B885">
            <v>44876</v>
          </cell>
          <cell r="AI885">
            <v>0.45529661909168873</v>
          </cell>
        </row>
        <row r="886">
          <cell r="B886">
            <v>44883</v>
          </cell>
          <cell r="AI886">
            <v>0.46297038990925521</v>
          </cell>
        </row>
        <row r="887">
          <cell r="B887">
            <v>44890</v>
          </cell>
          <cell r="AI887">
            <v>0.47046267947662085</v>
          </cell>
        </row>
        <row r="888">
          <cell r="B888">
            <v>44897</v>
          </cell>
          <cell r="AI888">
            <v>0.47126919756722807</v>
          </cell>
        </row>
        <row r="889">
          <cell r="B889">
            <v>44904</v>
          </cell>
          <cell r="AI889">
            <v>0.46053187118993844</v>
          </cell>
        </row>
        <row r="890">
          <cell r="B890">
            <v>44911</v>
          </cell>
          <cell r="AI890">
            <v>0.44719657516939731</v>
          </cell>
        </row>
        <row r="891">
          <cell r="B891">
            <v>44918</v>
          </cell>
          <cell r="AI891">
            <v>0.47045643081324945</v>
          </cell>
        </row>
        <row r="892">
          <cell r="B892">
            <v>44925</v>
          </cell>
          <cell r="AI892">
            <v>0.46714315407542156</v>
          </cell>
        </row>
        <row r="893">
          <cell r="B893">
            <v>44932</v>
          </cell>
          <cell r="AI893">
            <v>0.45107827185037652</v>
          </cell>
        </row>
        <row r="894">
          <cell r="B894">
            <v>44939</v>
          </cell>
          <cell r="AI894">
            <v>0.44731197381529536</v>
          </cell>
        </row>
        <row r="895">
          <cell r="B895">
            <v>44946</v>
          </cell>
          <cell r="AI895">
            <v>0.45615014612393412</v>
          </cell>
        </row>
        <row r="896">
          <cell r="B896">
            <v>44953</v>
          </cell>
          <cell r="AI896">
            <v>0.45023547702903799</v>
          </cell>
        </row>
        <row r="897">
          <cell r="B897">
            <v>44960</v>
          </cell>
          <cell r="AI897">
            <v>0.45577907360327991</v>
          </cell>
        </row>
        <row r="898">
          <cell r="B898">
            <v>44967</v>
          </cell>
          <cell r="AI898">
            <v>0.46053205271823072</v>
          </cell>
        </row>
        <row r="899">
          <cell r="B899">
            <v>44974</v>
          </cell>
          <cell r="AI899">
            <v>0.45914861278071495</v>
          </cell>
        </row>
        <row r="900">
          <cell r="B900">
            <v>44981</v>
          </cell>
          <cell r="AI900">
            <v>0.46658022167239704</v>
          </cell>
        </row>
        <row r="901">
          <cell r="B901">
            <v>44988</v>
          </cell>
          <cell r="AI901">
            <v>0.47119446043780189</v>
          </cell>
        </row>
        <row r="902">
          <cell r="B902">
            <v>44995</v>
          </cell>
          <cell r="AI902">
            <v>0.47197785268468351</v>
          </cell>
        </row>
        <row r="903">
          <cell r="B903">
            <v>45002</v>
          </cell>
          <cell r="AI903">
            <v>0.45435201461752805</v>
          </cell>
        </row>
        <row r="904">
          <cell r="B904">
            <v>45009</v>
          </cell>
          <cell r="AI904">
            <v>0.45827836929677074</v>
          </cell>
        </row>
        <row r="905">
          <cell r="B905">
            <v>45016</v>
          </cell>
          <cell r="AI905">
            <v>0.48455052971597706</v>
          </cell>
        </row>
        <row r="906">
          <cell r="B906">
            <v>45023</v>
          </cell>
          <cell r="AI906">
            <v>0.48843525906316998</v>
          </cell>
        </row>
        <row r="907">
          <cell r="B907">
            <v>45030</v>
          </cell>
          <cell r="AI907">
            <v>0.48666585887659519</v>
          </cell>
        </row>
        <row r="908">
          <cell r="B908">
            <v>45037</v>
          </cell>
          <cell r="AI908">
            <v>0.4753471002082062</v>
          </cell>
        </row>
        <row r="909">
          <cell r="B909">
            <v>45044</v>
          </cell>
          <cell r="AI909">
            <v>0.4707138271837723</v>
          </cell>
        </row>
        <row r="910">
          <cell r="B910">
            <v>45051</v>
          </cell>
          <cell r="AI910">
            <v>0.48013647633671586</v>
          </cell>
        </row>
        <row r="911">
          <cell r="B911">
            <v>45058</v>
          </cell>
          <cell r="AI911">
            <v>0.47519881438766898</v>
          </cell>
        </row>
        <row r="912">
          <cell r="B912">
            <v>45065</v>
          </cell>
          <cell r="AI912">
            <v>0.45636224394104408</v>
          </cell>
        </row>
        <row r="913">
          <cell r="B913">
            <v>45072</v>
          </cell>
          <cell r="AI913">
            <v>0.46498691881715692</v>
          </cell>
        </row>
        <row r="914">
          <cell r="B914">
            <v>45079</v>
          </cell>
          <cell r="AI914">
            <v>0.46243807730289166</v>
          </cell>
        </row>
        <row r="915">
          <cell r="B915">
            <v>45086</v>
          </cell>
          <cell r="AI915">
            <v>0.4517389566075366</v>
          </cell>
        </row>
        <row r="916">
          <cell r="B916">
            <v>45093</v>
          </cell>
          <cell r="AI916">
            <v>0.47368810996591382</v>
          </cell>
        </row>
        <row r="917">
          <cell r="B917">
            <v>45100</v>
          </cell>
          <cell r="AI917">
            <v>0.47662340761582561</v>
          </cell>
        </row>
        <row r="918">
          <cell r="B918">
            <v>45107</v>
          </cell>
          <cell r="AI918">
            <v>0.47549943970545666</v>
          </cell>
        </row>
        <row r="919">
          <cell r="B919">
            <v>45114</v>
          </cell>
          <cell r="AI919">
            <v>0.46960016633172574</v>
          </cell>
        </row>
        <row r="920">
          <cell r="B920">
            <v>45121</v>
          </cell>
          <cell r="AI920">
            <v>0.46903213334155708</v>
          </cell>
        </row>
        <row r="921">
          <cell r="B921">
            <v>45128</v>
          </cell>
          <cell r="AI921">
            <v>0.46262925806051586</v>
          </cell>
        </row>
        <row r="922">
          <cell r="B922">
            <v>45135</v>
          </cell>
          <cell r="AI922">
            <v>0.4566992636303403</v>
          </cell>
        </row>
        <row r="923">
          <cell r="B923">
            <v>45142</v>
          </cell>
          <cell r="AI923">
            <v>0.47296761301132495</v>
          </cell>
        </row>
        <row r="924">
          <cell r="B924">
            <v>45149</v>
          </cell>
          <cell r="AI924">
            <v>0.48014140366818053</v>
          </cell>
        </row>
        <row r="925">
          <cell r="B925">
            <v>45156</v>
          </cell>
          <cell r="AI925">
            <v>0.49851764276796107</v>
          </cell>
        </row>
        <row r="926">
          <cell r="B926">
            <v>45163</v>
          </cell>
          <cell r="AI926">
            <v>0.48231530036858894</v>
          </cell>
        </row>
        <row r="927">
          <cell r="B927">
            <v>45170</v>
          </cell>
          <cell r="AI927">
            <v>0.46296859304871318</v>
          </cell>
        </row>
        <row r="928">
          <cell r="B928">
            <v>45177</v>
          </cell>
          <cell r="AI928">
            <v>0.46504230659153711</v>
          </cell>
        </row>
        <row r="929">
          <cell r="B929">
            <v>45184</v>
          </cell>
          <cell r="AI929">
            <v>0.44742716276837941</v>
          </cell>
        </row>
        <row r="930">
          <cell r="B930">
            <v>45191</v>
          </cell>
          <cell r="AI930">
            <v>0.46275790798276256</v>
          </cell>
        </row>
        <row r="931">
          <cell r="B931">
            <v>45198</v>
          </cell>
          <cell r="AI931">
            <v>0.46676206877063597</v>
          </cell>
        </row>
        <row r="932">
          <cell r="B932">
            <v>45205</v>
          </cell>
          <cell r="AI932">
            <v>0.43743196038770521</v>
          </cell>
        </row>
        <row r="933">
          <cell r="B933">
            <v>45212</v>
          </cell>
          <cell r="AI933">
            <v>0.44091057988904209</v>
          </cell>
        </row>
        <row r="934">
          <cell r="B934">
            <v>45219</v>
          </cell>
          <cell r="AI934">
            <v>0.45004740331308124</v>
          </cell>
        </row>
        <row r="935">
          <cell r="B935">
            <v>45226</v>
          </cell>
          <cell r="AI935">
            <v>0.41811904121311377</v>
          </cell>
        </row>
        <row r="936">
          <cell r="B936">
            <v>45233</v>
          </cell>
          <cell r="AI936">
            <v>0.41543143712205277</v>
          </cell>
        </row>
        <row r="937">
          <cell r="B937">
            <v>45240</v>
          </cell>
          <cell r="AI937">
            <v>0.39902371921449964</v>
          </cell>
        </row>
        <row r="938">
          <cell r="B938">
            <v>45247</v>
          </cell>
          <cell r="AI938">
            <v>0.41883847151129561</v>
          </cell>
        </row>
        <row r="939">
          <cell r="B939">
            <v>45254</v>
          </cell>
          <cell r="AI939">
            <v>0.49246204612200822</v>
          </cell>
        </row>
        <row r="940">
          <cell r="B940">
            <v>45261</v>
          </cell>
          <cell r="AI940">
            <v>0.45435465617097737</v>
          </cell>
        </row>
        <row r="941">
          <cell r="B941">
            <v>45268</v>
          </cell>
          <cell r="AI941">
            <v>0.45431011429089524</v>
          </cell>
        </row>
        <row r="942">
          <cell r="B942">
            <v>45275</v>
          </cell>
          <cell r="AI942">
            <v>0.48143166610629939</v>
          </cell>
        </row>
        <row r="943">
          <cell r="B943">
            <v>45282</v>
          </cell>
          <cell r="AI943">
            <v>0.46482673449717332</v>
          </cell>
        </row>
        <row r="944">
          <cell r="B944">
            <v>45289</v>
          </cell>
          <cell r="AI944">
            <v>0.47130033566250862</v>
          </cell>
        </row>
        <row r="945">
          <cell r="B945">
            <v>45296</v>
          </cell>
          <cell r="AI945">
            <v>0.46944039499600532</v>
          </cell>
        </row>
        <row r="946">
          <cell r="B946">
            <v>45303</v>
          </cell>
          <cell r="AI946">
            <v>0.46962599645061431</v>
          </cell>
        </row>
        <row r="947">
          <cell r="B947">
            <v>45310</v>
          </cell>
          <cell r="AI947">
            <v>0.4620126482935572</v>
          </cell>
        </row>
        <row r="948">
          <cell r="B948">
            <v>45317</v>
          </cell>
          <cell r="AI948">
            <v>0.45458484080976724</v>
          </cell>
        </row>
        <row r="949">
          <cell r="B949">
            <v>45324</v>
          </cell>
          <cell r="AI949">
            <v>0.44687944251782591</v>
          </cell>
        </row>
        <row r="950">
          <cell r="B950">
            <v>45331</v>
          </cell>
          <cell r="AI950">
            <v>0.46121254597137279</v>
          </cell>
        </row>
        <row r="951">
          <cell r="B951">
            <v>45338</v>
          </cell>
          <cell r="AI951">
            <v>0.44832834013328904</v>
          </cell>
        </row>
        <row r="952">
          <cell r="B952">
            <v>45345</v>
          </cell>
          <cell r="AI952">
            <v>0.45709349573170099</v>
          </cell>
        </row>
        <row r="953">
          <cell r="B953">
            <v>45352</v>
          </cell>
          <cell r="AI953">
            <v>0.45129814439481297</v>
          </cell>
        </row>
        <row r="954">
          <cell r="B954">
            <v>45359</v>
          </cell>
          <cell r="AI954">
            <v>0.44150821979249477</v>
          </cell>
        </row>
        <row r="955">
          <cell r="B955">
            <v>45366</v>
          </cell>
          <cell r="AI955">
            <v>0.43238417626642917</v>
          </cell>
        </row>
        <row r="956">
          <cell r="B956">
            <v>45373</v>
          </cell>
          <cell r="AI956">
            <v>0.43293413223766702</v>
          </cell>
        </row>
        <row r="957">
          <cell r="B957">
            <v>45380</v>
          </cell>
          <cell r="AI957">
            <v>0.4325647841947417</v>
          </cell>
        </row>
        <row r="958">
          <cell r="B958">
            <v>45387</v>
          </cell>
          <cell r="AI958">
            <v>0.44915531241965867</v>
          </cell>
        </row>
        <row r="959">
          <cell r="B959">
            <v>45394</v>
          </cell>
          <cell r="AI959">
            <v>0.43244799569828563</v>
          </cell>
        </row>
        <row r="960">
          <cell r="B960">
            <v>45401</v>
          </cell>
          <cell r="AI960">
            <v>0.42500620603195022</v>
          </cell>
        </row>
        <row r="961">
          <cell r="B961">
            <v>45408</v>
          </cell>
          <cell r="AI961">
            <v>0.43221858354927745</v>
          </cell>
        </row>
        <row r="962">
          <cell r="B962">
            <v>45415</v>
          </cell>
          <cell r="AI962">
            <v>0.43571367986276782</v>
          </cell>
        </row>
        <row r="963">
          <cell r="B963">
            <v>45422</v>
          </cell>
          <cell r="AI963">
            <v>0.42379778013417052</v>
          </cell>
        </row>
        <row r="964">
          <cell r="B964">
            <v>45429</v>
          </cell>
          <cell r="AI964">
            <v>0.42505901859995759</v>
          </cell>
        </row>
        <row r="965">
          <cell r="B965">
            <v>45436</v>
          </cell>
          <cell r="AI965">
            <v>0.42366415562675569</v>
          </cell>
        </row>
        <row r="966">
          <cell r="B966">
            <v>45443</v>
          </cell>
          <cell r="AI966">
            <v>0.43246839818902894</v>
          </cell>
        </row>
        <row r="967">
          <cell r="B967">
            <v>45450</v>
          </cell>
          <cell r="AI967">
            <v>0.4280252111453472</v>
          </cell>
        </row>
        <row r="968">
          <cell r="B968">
            <v>45457</v>
          </cell>
          <cell r="AI968">
            <v>0.42539559916707098</v>
          </cell>
        </row>
        <row r="969">
          <cell r="B969">
            <v>45464</v>
          </cell>
          <cell r="AI969">
            <v>0.433588549558095</v>
          </cell>
        </row>
        <row r="970">
          <cell r="B970">
            <v>45471</v>
          </cell>
          <cell r="AI970">
            <v>0.4312741514504112</v>
          </cell>
        </row>
        <row r="971">
          <cell r="B971">
            <v>45478</v>
          </cell>
          <cell r="AI971">
            <v>0.43677222267618443</v>
          </cell>
        </row>
        <row r="972">
          <cell r="B972">
            <v>45485</v>
          </cell>
          <cell r="AI972">
            <v>0.44768239689454953</v>
          </cell>
        </row>
        <row r="973">
          <cell r="B973">
            <v>45492</v>
          </cell>
          <cell r="AI973">
            <v>0.43656514914527822</v>
          </cell>
        </row>
        <row r="974">
          <cell r="B974">
            <v>45499</v>
          </cell>
          <cell r="AI974">
            <v>0.43692536013878391</v>
          </cell>
        </row>
        <row r="975">
          <cell r="B975">
            <v>45506</v>
          </cell>
          <cell r="AI975">
            <v>0.4324508058078822</v>
          </cell>
        </row>
        <row r="976">
          <cell r="B976">
            <v>45513</v>
          </cell>
          <cell r="AI976">
            <v>0.44397626427717751</v>
          </cell>
        </row>
        <row r="977">
          <cell r="B977">
            <v>45520</v>
          </cell>
          <cell r="AI977">
            <v>0.43865377128962141</v>
          </cell>
        </row>
        <row r="978">
          <cell r="B978">
            <v>45527</v>
          </cell>
          <cell r="AI978">
            <v>0.4381425293251216</v>
          </cell>
        </row>
        <row r="979">
          <cell r="B979">
            <v>45534</v>
          </cell>
          <cell r="AI979">
            <v>0.44936910626273591</v>
          </cell>
        </row>
        <row r="980">
          <cell r="B980">
            <v>45541</v>
          </cell>
          <cell r="AI980">
            <v>0.4415001547233785</v>
          </cell>
        </row>
        <row r="981">
          <cell r="B981">
            <v>45548</v>
          </cell>
          <cell r="AI981">
            <v>0.42201887113934777</v>
          </cell>
        </row>
        <row r="982">
          <cell r="B982">
            <v>45555</v>
          </cell>
          <cell r="AI982">
            <v>0.41674896360311076</v>
          </cell>
        </row>
        <row r="983">
          <cell r="B983">
            <v>45562</v>
          </cell>
          <cell r="AI983">
            <v>0.40871636974659192</v>
          </cell>
        </row>
        <row r="984">
          <cell r="B984">
            <v>45569</v>
          </cell>
          <cell r="AI984">
            <v>0.41617194267759727</v>
          </cell>
        </row>
        <row r="985">
          <cell r="B985">
            <v>45576</v>
          </cell>
          <cell r="AI985">
            <v>0.41876076385760469</v>
          </cell>
        </row>
        <row r="986">
          <cell r="B986">
            <v>45583</v>
          </cell>
          <cell r="AI986">
            <v>0.42836723344945554</v>
          </cell>
        </row>
        <row r="987">
          <cell r="B987">
            <v>45590</v>
          </cell>
          <cell r="AI987">
            <v>0.41834925285227625</v>
          </cell>
        </row>
        <row r="988">
          <cell r="B988">
            <v>45597</v>
          </cell>
          <cell r="AI988">
            <v>0.41474067650078866</v>
          </cell>
        </row>
        <row r="989">
          <cell r="B989">
            <v>45604</v>
          </cell>
          <cell r="AI989">
            <v>0.43178827655852881</v>
          </cell>
        </row>
        <row r="990">
          <cell r="B990">
            <v>45611</v>
          </cell>
          <cell r="AI990">
            <v>0.44412264770064391</v>
          </cell>
        </row>
        <row r="991">
          <cell r="B991">
            <v>45618</v>
          </cell>
          <cell r="AI991">
            <v>0.48557897799662103</v>
          </cell>
        </row>
        <row r="992">
          <cell r="B992">
            <v>45625</v>
          </cell>
          <cell r="AI992">
            <v>0.47863278491989736</v>
          </cell>
        </row>
        <row r="993">
          <cell r="B993">
            <v>45632</v>
          </cell>
          <cell r="AI993">
            <v>0.4600892502707073</v>
          </cell>
        </row>
        <row r="994">
          <cell r="B994">
            <v>45639</v>
          </cell>
          <cell r="AI994">
            <v>0.47633463208140864</v>
          </cell>
        </row>
        <row r="995">
          <cell r="B995">
            <v>45646</v>
          </cell>
          <cell r="AI995">
            <v>0.46724208453485566</v>
          </cell>
        </row>
        <row r="996">
          <cell r="B996">
            <v>45653</v>
          </cell>
          <cell r="AI996">
            <v>0.46215689116607628</v>
          </cell>
        </row>
        <row r="997">
          <cell r="B997">
            <v>45660</v>
          </cell>
          <cell r="AI997">
            <v>0.46013636666209712</v>
          </cell>
        </row>
        <row r="998">
          <cell r="B998">
            <v>45667</v>
          </cell>
          <cell r="AI998">
            <v>0.46072057315937337</v>
          </cell>
        </row>
        <row r="999">
          <cell r="B999">
            <v>45674</v>
          </cell>
          <cell r="AI999">
            <v>0.46691792529975856</v>
          </cell>
        </row>
        <row r="1000">
          <cell r="B1000">
            <v>45681</v>
          </cell>
          <cell r="AI1000">
            <v>0.44290464518133732</v>
          </cell>
        </row>
        <row r="1001">
          <cell r="B1001">
            <v>45688</v>
          </cell>
          <cell r="AI1001">
            <v>0.44193310668815944</v>
          </cell>
        </row>
        <row r="1002">
          <cell r="B1002">
            <v>45695</v>
          </cell>
          <cell r="AI1002">
            <v>0.4449524331530858</v>
          </cell>
        </row>
        <row r="1003">
          <cell r="B1003">
            <v>45702</v>
          </cell>
          <cell r="AI1003">
            <v>0.45270611417845241</v>
          </cell>
        </row>
        <row r="1004">
          <cell r="B1004">
            <v>45709</v>
          </cell>
          <cell r="AI1004">
            <v>0.45711707791045464</v>
          </cell>
        </row>
        <row r="1005">
          <cell r="B1005">
            <v>45716</v>
          </cell>
          <cell r="AI1005">
            <v>0.45633834361090853</v>
          </cell>
        </row>
        <row r="1006">
          <cell r="B1006">
            <v>45723</v>
          </cell>
          <cell r="AI1006">
            <v>0.44059592327283509</v>
          </cell>
        </row>
        <row r="1007">
          <cell r="B1007">
            <v>45730</v>
          </cell>
          <cell r="AI1007">
            <v>0.46049175774394557</v>
          </cell>
        </row>
        <row r="1008">
          <cell r="B1008">
            <v>45737</v>
          </cell>
          <cell r="AI1008">
            <v>0.46784557234872554</v>
          </cell>
        </row>
        <row r="1009">
          <cell r="B1009">
            <v>45744</v>
          </cell>
          <cell r="AI1009">
            <v>0.47452584509077089</v>
          </cell>
        </row>
        <row r="1010">
          <cell r="B1010">
            <v>45751</v>
          </cell>
          <cell r="AI1010">
            <v>0.46299710542143441</v>
          </cell>
        </row>
        <row r="1011">
          <cell r="B1011">
            <v>45758</v>
          </cell>
          <cell r="AI1011">
            <v>0.44142309750852532</v>
          </cell>
        </row>
        <row r="1012">
          <cell r="B1012">
            <v>45765</v>
          </cell>
          <cell r="AI1012">
            <v>0.43908249819710188</v>
          </cell>
        </row>
        <row r="1013">
          <cell r="B1013">
            <v>45772</v>
          </cell>
          <cell r="AI1013">
            <v>0.42596586374607576</v>
          </cell>
        </row>
        <row r="1014">
          <cell r="B1014">
            <v>45779</v>
          </cell>
          <cell r="AI1014">
            <v>0.42186930851660653</v>
          </cell>
        </row>
        <row r="1015">
          <cell r="B1015">
            <v>45786</v>
          </cell>
          <cell r="AI1015">
            <v>0.44293963463738306</v>
          </cell>
        </row>
        <row r="1016">
          <cell r="B1016">
            <v>45793</v>
          </cell>
          <cell r="AI1016">
            <v>0.45072147129460682</v>
          </cell>
        </row>
        <row r="1017">
          <cell r="B1017">
            <v>45800</v>
          </cell>
          <cell r="AI1017">
            <v>0.4466457912720167</v>
          </cell>
        </row>
        <row r="1018">
          <cell r="B1018">
            <v>45807</v>
          </cell>
          <cell r="AI1018">
            <v>0.45211000711250965</v>
          </cell>
        </row>
        <row r="1019">
          <cell r="B1019">
            <v>45814</v>
          </cell>
          <cell r="AI1019">
            <v>0.46219477386364893</v>
          </cell>
        </row>
        <row r="1020">
          <cell r="B1020">
            <v>45821</v>
          </cell>
          <cell r="AI1020">
            <v>0.48295867715595842</v>
          </cell>
        </row>
        <row r="1021">
          <cell r="B1021">
            <v>45828</v>
          </cell>
          <cell r="AI1021">
            <v>0.48492855008574576</v>
          </cell>
        </row>
        <row r="1022">
          <cell r="B1022">
            <v>45835</v>
          </cell>
          <cell r="AI1022">
            <v>0.47353583921983422</v>
          </cell>
        </row>
        <row r="1023">
          <cell r="B1023">
            <v>45842</v>
          </cell>
          <cell r="AI1023">
            <v>0.47628421448057284</v>
          </cell>
        </row>
        <row r="1024">
          <cell r="B1024">
            <v>45849</v>
          </cell>
          <cell r="AI1024">
            <v>0.47904231210997728</v>
          </cell>
        </row>
        <row r="1025">
          <cell r="B1025">
            <v>45856</v>
          </cell>
          <cell r="AI1025">
            <v>0.47790204275878645</v>
          </cell>
        </row>
        <row r="1026">
          <cell r="B1026">
            <v>45863</v>
          </cell>
          <cell r="AI1026">
            <v>0.48020639843040608</v>
          </cell>
        </row>
        <row r="1027">
          <cell r="B1027">
            <v>45870</v>
          </cell>
          <cell r="AI1027">
            <v>0.49078619947336183</v>
          </cell>
        </row>
        <row r="1028">
          <cell r="B1028">
            <v>45877</v>
          </cell>
          <cell r="AI1028">
            <v>0.48631813535258001</v>
          </cell>
        </row>
        <row r="1029">
          <cell r="B1029">
            <v>45884</v>
          </cell>
          <cell r="AI1029">
            <v>0.48771627126816403</v>
          </cell>
        </row>
        <row r="1030">
          <cell r="B1030">
            <v>45891</v>
          </cell>
          <cell r="AI1030">
            <v>0.4999607720097613</v>
          </cell>
        </row>
        <row r="1031">
          <cell r="B1031">
            <v>45898</v>
          </cell>
          <cell r="AI1031">
            <v>0.51661516108375827</v>
          </cell>
        </row>
        <row r="1032">
          <cell r="B1032">
            <v>45905</v>
          </cell>
          <cell r="AI1032">
            <v>0.52628197797102294</v>
          </cell>
        </row>
        <row r="1033">
          <cell r="B1033">
            <v>45912</v>
          </cell>
          <cell r="AI1033">
            <v>0.55079388403993712</v>
          </cell>
        </row>
        <row r="1034">
          <cell r="B1034">
            <v>45919</v>
          </cell>
          <cell r="AI1034">
            <v>0.55082398568570201</v>
          </cell>
        </row>
        <row r="1035">
          <cell r="B1035">
            <v>45926</v>
          </cell>
          <cell r="AI1035">
            <v>0.53157767193355343</v>
          </cell>
        </row>
        <row r="1036">
          <cell r="B1036">
            <v>45933</v>
          </cell>
          <cell r="AI1036">
            <v>0.51660484195755263</v>
          </cell>
        </row>
        <row r="1037">
          <cell r="B1037">
            <v>45940</v>
          </cell>
          <cell r="AI1037">
            <v>0.50595015796116038</v>
          </cell>
        </row>
        <row r="1038">
          <cell r="B1038">
            <v>45947</v>
          </cell>
          <cell r="AI1038">
            <v>0.50597384116059241</v>
          </cell>
        </row>
        <row r="1039">
          <cell r="B1039">
            <v>45954</v>
          </cell>
          <cell r="AI1039">
            <v>0.50214604921694861</v>
          </cell>
        </row>
        <row r="1040">
          <cell r="B1040">
            <v>45961</v>
          </cell>
          <cell r="AI1040">
            <v>0.45415150794906284</v>
          </cell>
        </row>
        <row r="1041">
          <cell r="B1041">
            <v>45968</v>
          </cell>
          <cell r="AI1041">
            <v>0.4626758630262412</v>
          </cell>
        </row>
        <row r="1042">
          <cell r="B1042">
            <v>45975</v>
          </cell>
          <cell r="AI1042">
            <v>0.47729665816614347</v>
          </cell>
        </row>
        <row r="1043">
          <cell r="B1043">
            <v>45982</v>
          </cell>
          <cell r="AI1043">
            <v>0.48652191201337958</v>
          </cell>
        </row>
        <row r="1044">
          <cell r="B1044">
            <v>45989</v>
          </cell>
          <cell r="AI1044">
            <v>0.46164106078323847</v>
          </cell>
        </row>
        <row r="1045">
          <cell r="B1045">
            <v>45996</v>
          </cell>
          <cell r="AI1045">
            <v>0.45687591532006444</v>
          </cell>
        </row>
        <row r="1046">
          <cell r="B1046">
            <v>46003</v>
          </cell>
          <cell r="AI1046">
            <v>0.45588965156878863</v>
          </cell>
        </row>
        <row r="1047">
          <cell r="B1047">
            <v>46010</v>
          </cell>
          <cell r="AI1047">
            <v>0.44376439050962857</v>
          </cell>
        </row>
        <row r="1048">
          <cell r="B1048">
            <v>46017</v>
          </cell>
          <cell r="AI1048">
            <v>0.44324205434696184</v>
          </cell>
        </row>
        <row r="1049">
          <cell r="B1049">
            <v>46024</v>
          </cell>
          <cell r="AI1049">
            <v>0.45115958323277289</v>
          </cell>
        </row>
        <row r="1050">
          <cell r="B1050">
            <v>46031</v>
          </cell>
          <cell r="AI1050">
            <v>0.42463816906925067</v>
          </cell>
        </row>
        <row r="1051">
          <cell r="B1051">
            <v>46038</v>
          </cell>
          <cell r="AI1051">
            <v>0.43931972812987241</v>
          </cell>
        </row>
        <row r="1052">
          <cell r="B1052">
            <v>46045</v>
          </cell>
          <cell r="AI1052">
            <v>0.44174721056033667</v>
          </cell>
        </row>
        <row r="1053">
          <cell r="B1053">
            <v>46052</v>
          </cell>
          <cell r="AI1053">
            <v>0.45343729661256993</v>
          </cell>
        </row>
        <row r="1054">
          <cell r="B1054">
            <v>46059</v>
          </cell>
          <cell r="AI1054">
            <v>0.46080316643754238</v>
          </cell>
        </row>
        <row r="1055">
          <cell r="B1055">
            <v>46066</v>
          </cell>
          <cell r="AI1055">
            <v>0.46969003639233375</v>
          </cell>
        </row>
        <row r="1056">
          <cell r="B1056">
            <v>46073</v>
          </cell>
          <cell r="AI1056">
            <v>0.46610630434021899</v>
          </cell>
        </row>
        <row r="1057">
          <cell r="B1057">
            <v>46080</v>
          </cell>
          <cell r="AI1057">
            <v>0.47107287223157079</v>
          </cell>
        </row>
        <row r="1058">
          <cell r="B1058">
            <v>46087</v>
          </cell>
          <cell r="AI1058">
            <v>0.50275018670897587</v>
          </cell>
        </row>
        <row r="1059">
          <cell r="B1059">
            <v>46094</v>
          </cell>
          <cell r="AI1059">
            <v>0.51225812230589252</v>
          </cell>
        </row>
        <row r="1060">
          <cell r="B1060">
            <v>46101</v>
          </cell>
          <cell r="AI1060">
            <v>0.53490779361482965</v>
          </cell>
        </row>
        <row r="1061">
          <cell r="B1061">
            <v>46108</v>
          </cell>
          <cell r="AI1061">
            <v>0.55417103986352634</v>
          </cell>
        </row>
        <row r="1062">
          <cell r="B1062">
            <v>46115</v>
          </cell>
          <cell r="AI1062">
            <v>0.51605830207261139</v>
          </cell>
        </row>
        <row r="1063">
          <cell r="B1063">
            <v>46122</v>
          </cell>
          <cell r="AI1063">
            <v>0.49891965806833205</v>
          </cell>
        </row>
        <row r="1064">
          <cell r="B1064">
            <v>46129</v>
          </cell>
          <cell r="AI1064">
            <v>0.48138955371278186</v>
          </cell>
        </row>
        <row r="1065">
          <cell r="B1065">
            <v>46136</v>
          </cell>
          <cell r="AI1065">
            <v>0.51998741105211044</v>
          </cell>
        </row>
        <row r="1066">
          <cell r="B1066">
            <v>46143</v>
          </cell>
          <cell r="AI1066">
            <v>0.54256272796722327</v>
          </cell>
        </row>
        <row r="1067">
          <cell r="B1067">
            <v>46150</v>
          </cell>
          <cell r="AI1067">
            <v>0.520168258932589</v>
          </cell>
        </row>
        <row r="1068">
          <cell r="B1068">
            <v>46157</v>
          </cell>
          <cell r="AI1068">
            <v>0.54356247275524994</v>
          </cell>
        </row>
        <row r="1069">
          <cell r="B1069">
            <v>46164</v>
          </cell>
          <cell r="AI1069">
            <v>0.54891359552596219</v>
          </cell>
        </row>
        <row r="1070">
          <cell r="B1070">
            <v>46171</v>
          </cell>
          <cell r="AI1070">
            <v>0.5370349972824735</v>
          </cell>
        </row>
        <row r="1071">
          <cell r="B1071">
            <v>46178</v>
          </cell>
          <cell r="AI1071">
            <v>0.55963922364417684</v>
          </cell>
        </row>
        <row r="1072">
          <cell r="B1072">
            <v>46185</v>
          </cell>
          <cell r="AI1072">
            <v>0.5389783233207277</v>
          </cell>
        </row>
        <row r="1073">
          <cell r="B1073">
            <v>46192</v>
          </cell>
          <cell r="AI1073">
            <v>0.51481048180245093</v>
          </cell>
        </row>
        <row r="1074">
          <cell r="B1074">
            <v>46199</v>
          </cell>
          <cell r="AI1074">
            <v>0.50361415204873172</v>
          </cell>
        </row>
        <row r="1075">
          <cell r="B1075">
            <v>46206</v>
          </cell>
          <cell r="AI1075">
            <v>0.50151298837553226</v>
          </cell>
        </row>
        <row r="1076">
          <cell r="B1076">
            <v>46213</v>
          </cell>
          <cell r="AI1076">
            <v>0.50610098616753951</v>
          </cell>
        </row>
        <row r="1077">
          <cell r="B1077">
            <v>46220</v>
          </cell>
          <cell r="AI1077">
            <v>0.53250724987905163</v>
          </cell>
        </row>
        <row r="1078">
          <cell r="B1078">
            <v>46227</v>
          </cell>
          <cell r="AI1078">
            <v>0.54615519382008637</v>
          </cell>
        </row>
        <row r="1079">
          <cell r="B1079">
            <v>46234</v>
          </cell>
          <cell r="AI1079">
            <v>0.55227939799998471</v>
          </cell>
        </row>
        <row r="1080">
          <cell r="B1080">
            <v>46241</v>
          </cell>
          <cell r="AI1080">
            <v>0.54940665476599038</v>
          </cell>
        </row>
        <row r="1081">
          <cell r="B1081">
            <v>46248</v>
          </cell>
          <cell r="AI1081">
            <v>0.57313195459669364</v>
          </cell>
        </row>
        <row r="1082">
          <cell r="B1082">
            <v>46255</v>
          </cell>
          <cell r="AI1082">
            <v>0.596413222937763</v>
          </cell>
        </row>
        <row r="1083">
          <cell r="B1083">
            <v>46262</v>
          </cell>
          <cell r="AI1083">
            <v>0.58200247004257377</v>
          </cell>
        </row>
        <row r="1084">
          <cell r="B1084">
            <v>46269</v>
          </cell>
          <cell r="AI1084">
            <v>0.58716412370015614</v>
          </cell>
        </row>
        <row r="1085">
          <cell r="B1085">
            <v>46276</v>
          </cell>
          <cell r="AI1085">
            <v>0.60660818913234638</v>
          </cell>
        </row>
        <row r="1086">
          <cell r="B1086">
            <v>46283</v>
          </cell>
          <cell r="AI1086">
            <v>0.60553504671350844</v>
          </cell>
        </row>
        <row r="1087">
          <cell r="B1087"/>
        </row>
        <row r="1088">
          <cell r="B1088"/>
        </row>
        <row r="1089">
          <cell r="B1089"/>
        </row>
        <row r="1090">
          <cell r="B1090"/>
        </row>
        <row r="1091">
          <cell r="B1091"/>
        </row>
        <row r="1092">
          <cell r="B1092"/>
        </row>
        <row r="1093">
          <cell r="B1093"/>
        </row>
        <row r="1094">
          <cell r="B1094"/>
        </row>
        <row r="1095">
          <cell r="B1095"/>
        </row>
        <row r="1096">
          <cell r="B1096"/>
        </row>
        <row r="1097">
          <cell r="B1097"/>
        </row>
        <row r="1098">
          <cell r="B1098"/>
        </row>
        <row r="1099">
          <cell r="B1099"/>
        </row>
        <row r="1100">
          <cell r="B1100"/>
        </row>
        <row r="1101">
          <cell r="B1101"/>
        </row>
        <row r="1102">
          <cell r="B1102"/>
        </row>
        <row r="1103">
          <cell r="B1103"/>
        </row>
        <row r="1104">
          <cell r="B1104"/>
        </row>
        <row r="1105">
          <cell r="B1105"/>
        </row>
        <row r="1106">
          <cell r="B1106"/>
        </row>
        <row r="1107">
          <cell r="B1107"/>
        </row>
        <row r="1108">
          <cell r="B1108"/>
        </row>
        <row r="1109">
          <cell r="B1109"/>
        </row>
        <row r="1110">
          <cell r="B1110"/>
        </row>
        <row r="1111">
          <cell r="B1111"/>
        </row>
        <row r="1112">
          <cell r="B1112"/>
        </row>
        <row r="1113">
          <cell r="B1113"/>
        </row>
        <row r="1114">
          <cell r="B1114"/>
        </row>
        <row r="1115">
          <cell r="B1115"/>
        </row>
        <row r="1116">
          <cell r="B1116"/>
        </row>
        <row r="1117">
          <cell r="B1117"/>
        </row>
        <row r="1118">
          <cell r="B1118"/>
        </row>
        <row r="1119">
          <cell r="B1119"/>
        </row>
        <row r="1120">
          <cell r="B1120"/>
        </row>
        <row r="1121">
          <cell r="B1121"/>
        </row>
        <row r="1122">
          <cell r="B1122"/>
        </row>
        <row r="1123">
          <cell r="B1123"/>
        </row>
        <row r="1124">
          <cell r="B1124"/>
        </row>
        <row r="1125">
          <cell r="B1125"/>
        </row>
        <row r="1126">
          <cell r="B1126"/>
        </row>
        <row r="1127">
          <cell r="B1127"/>
        </row>
        <row r="1128">
          <cell r="B1128"/>
        </row>
        <row r="1129">
          <cell r="B1129"/>
        </row>
        <row r="1130">
          <cell r="B1130"/>
        </row>
        <row r="1131">
          <cell r="B1131"/>
        </row>
        <row r="1132">
          <cell r="B1132"/>
        </row>
        <row r="1133">
          <cell r="B1133"/>
        </row>
        <row r="1134">
          <cell r="B1134"/>
        </row>
        <row r="1135">
          <cell r="B1135"/>
        </row>
        <row r="1136">
          <cell r="B1136"/>
        </row>
        <row r="1137">
          <cell r="B1137"/>
        </row>
        <row r="1138">
          <cell r="B1138"/>
        </row>
        <row r="1139">
          <cell r="B1139"/>
        </row>
        <row r="1140">
          <cell r="B1140"/>
        </row>
        <row r="1141">
          <cell r="B1141"/>
        </row>
        <row r="1142">
          <cell r="B1142"/>
        </row>
        <row r="1143">
          <cell r="B1143"/>
        </row>
        <row r="1144">
          <cell r="B1144"/>
        </row>
        <row r="1145">
          <cell r="B1145"/>
        </row>
        <row r="1146">
          <cell r="B1146"/>
        </row>
        <row r="1147">
          <cell r="B1147"/>
        </row>
        <row r="1148">
          <cell r="B1148"/>
        </row>
        <row r="1149">
          <cell r="B1149"/>
        </row>
        <row r="1150">
          <cell r="B1150"/>
        </row>
        <row r="1151">
          <cell r="B1151"/>
        </row>
        <row r="1152">
          <cell r="B1152"/>
        </row>
        <row r="1153">
          <cell r="B1153"/>
        </row>
        <row r="1154">
          <cell r="B1154"/>
        </row>
        <row r="1155">
          <cell r="B1155"/>
        </row>
        <row r="1156">
          <cell r="B1156"/>
        </row>
        <row r="1157">
          <cell r="B1157"/>
        </row>
        <row r="1158">
          <cell r="B1158"/>
        </row>
        <row r="1159">
          <cell r="B1159"/>
        </row>
        <row r="1160">
          <cell r="B1160"/>
        </row>
        <row r="1161">
          <cell r="B1161"/>
        </row>
        <row r="1162">
          <cell r="B1162"/>
        </row>
        <row r="1163">
          <cell r="B1163"/>
        </row>
        <row r="1164">
          <cell r="B1164"/>
        </row>
        <row r="1165">
          <cell r="B1165"/>
        </row>
        <row r="1166">
          <cell r="B1166"/>
        </row>
        <row r="1167">
          <cell r="B1167"/>
        </row>
        <row r="1168">
          <cell r="B1168"/>
        </row>
        <row r="1169">
          <cell r="B1169"/>
        </row>
        <row r="1170">
          <cell r="B1170"/>
        </row>
        <row r="1171">
          <cell r="B1171"/>
        </row>
        <row r="1172">
          <cell r="B1172"/>
        </row>
        <row r="1173">
          <cell r="B1173"/>
        </row>
        <row r="1174">
          <cell r="B1174"/>
        </row>
        <row r="1175">
          <cell r="B1175"/>
        </row>
        <row r="1176">
          <cell r="B1176"/>
        </row>
        <row r="1177">
          <cell r="B1177"/>
        </row>
        <row r="1178">
          <cell r="B1178"/>
        </row>
        <row r="1179">
          <cell r="B1179"/>
        </row>
        <row r="1180">
          <cell r="B1180"/>
        </row>
        <row r="1181">
          <cell r="B1181"/>
        </row>
        <row r="1182">
          <cell r="B1182"/>
        </row>
        <row r="1183">
          <cell r="B1183"/>
        </row>
        <row r="1184">
          <cell r="B1184"/>
        </row>
        <row r="1185">
          <cell r="B1185"/>
        </row>
        <row r="1186">
          <cell r="B1186"/>
        </row>
        <row r="1187">
          <cell r="B1187"/>
        </row>
        <row r="1188">
          <cell r="B1188"/>
        </row>
        <row r="1189">
          <cell r="B1189"/>
        </row>
        <row r="1190">
          <cell r="B1190"/>
        </row>
        <row r="1191">
          <cell r="B1191"/>
        </row>
        <row r="1192">
          <cell r="B1192"/>
        </row>
        <row r="1193">
          <cell r="B1193"/>
        </row>
        <row r="1194">
          <cell r="B1194"/>
        </row>
        <row r="1195">
          <cell r="B1195"/>
        </row>
        <row r="1196">
          <cell r="B1196"/>
        </row>
        <row r="1197">
          <cell r="B1197"/>
        </row>
        <row r="1198">
          <cell r="B1198"/>
        </row>
        <row r="1199">
          <cell r="B1199"/>
        </row>
        <row r="1200">
          <cell r="B1200"/>
        </row>
        <row r="1201">
          <cell r="B1201"/>
        </row>
        <row r="1202">
          <cell r="B1202"/>
        </row>
        <row r="1203">
          <cell r="B1203"/>
        </row>
        <row r="1204">
          <cell r="B1204"/>
        </row>
        <row r="1205">
          <cell r="B1205"/>
        </row>
        <row r="1206">
          <cell r="B1206"/>
        </row>
        <row r="1207">
          <cell r="B1207"/>
        </row>
        <row r="1208">
          <cell r="B1208"/>
        </row>
        <row r="1209">
          <cell r="B1209"/>
        </row>
        <row r="1210">
          <cell r="B1210"/>
        </row>
        <row r="1211">
          <cell r="B1211"/>
        </row>
        <row r="1212">
          <cell r="B1212"/>
        </row>
        <row r="1213">
          <cell r="B1213"/>
        </row>
        <row r="1214">
          <cell r="B1214"/>
        </row>
        <row r="1215">
          <cell r="B1215"/>
        </row>
        <row r="1216">
          <cell r="B1216"/>
        </row>
        <row r="1217">
          <cell r="B1217"/>
        </row>
        <row r="1218">
          <cell r="B1218"/>
        </row>
        <row r="1219">
          <cell r="B1219"/>
        </row>
        <row r="1220">
          <cell r="B1220"/>
        </row>
        <row r="1221">
          <cell r="B1221"/>
        </row>
        <row r="1222">
          <cell r="B1222"/>
        </row>
        <row r="1223">
          <cell r="B1223"/>
        </row>
        <row r="1224">
          <cell r="B1224"/>
        </row>
        <row r="1225">
          <cell r="B1225"/>
        </row>
        <row r="1226">
          <cell r="B1226"/>
        </row>
        <row r="1227">
          <cell r="B1227"/>
        </row>
        <row r="1228">
          <cell r="B1228"/>
        </row>
        <row r="1229">
          <cell r="B1229"/>
        </row>
        <row r="1230">
          <cell r="B1230"/>
        </row>
        <row r="1231">
          <cell r="B1231"/>
        </row>
        <row r="1232">
          <cell r="B1232"/>
        </row>
        <row r="1233">
          <cell r="B1233"/>
        </row>
        <row r="1234">
          <cell r="B1234"/>
        </row>
        <row r="1235">
          <cell r="B1235"/>
        </row>
        <row r="1236">
          <cell r="B1236"/>
        </row>
        <row r="1237">
          <cell r="B1237"/>
        </row>
        <row r="1238">
          <cell r="B1238"/>
        </row>
        <row r="1239">
          <cell r="B1239"/>
        </row>
        <row r="1240">
          <cell r="B1240"/>
        </row>
        <row r="1241">
          <cell r="B1241"/>
        </row>
        <row r="1242">
          <cell r="B1242"/>
        </row>
        <row r="1243">
          <cell r="B1243"/>
        </row>
        <row r="1244">
          <cell r="B1244"/>
        </row>
        <row r="1245">
          <cell r="B1245"/>
        </row>
        <row r="1246">
          <cell r="B1246"/>
        </row>
        <row r="1247">
          <cell r="B1247"/>
        </row>
        <row r="1248">
          <cell r="B1248"/>
        </row>
        <row r="1249">
          <cell r="B1249"/>
        </row>
        <row r="1250">
          <cell r="B1250"/>
        </row>
        <row r="1251">
          <cell r="B1251"/>
        </row>
        <row r="1252">
          <cell r="B1252"/>
        </row>
        <row r="1253">
          <cell r="B1253"/>
        </row>
        <row r="1254">
          <cell r="B1254"/>
        </row>
        <row r="1255">
          <cell r="B1255"/>
        </row>
        <row r="1256">
          <cell r="B1256"/>
        </row>
        <row r="1257">
          <cell r="B1257"/>
        </row>
        <row r="1258">
          <cell r="B1258"/>
        </row>
        <row r="1259">
          <cell r="B1259"/>
        </row>
        <row r="1260">
          <cell r="B1260"/>
        </row>
        <row r="1261">
          <cell r="B1261"/>
        </row>
        <row r="1262">
          <cell r="B1262"/>
        </row>
        <row r="1263">
          <cell r="B1263"/>
        </row>
        <row r="1264">
          <cell r="B1264"/>
        </row>
        <row r="1265">
          <cell r="B1265"/>
        </row>
        <row r="1266">
          <cell r="B1266"/>
        </row>
        <row r="1267">
          <cell r="B1267"/>
        </row>
        <row r="1268">
          <cell r="B1268"/>
        </row>
        <row r="1269">
          <cell r="B1269"/>
        </row>
        <row r="1270">
          <cell r="B1270"/>
        </row>
        <row r="1271">
          <cell r="B1271"/>
        </row>
        <row r="1272">
          <cell r="B1272"/>
        </row>
        <row r="1273">
          <cell r="B1273"/>
        </row>
        <row r="1274">
          <cell r="B1274"/>
        </row>
        <row r="1275">
          <cell r="B1275"/>
        </row>
        <row r="1276">
          <cell r="B1276"/>
        </row>
        <row r="1277">
          <cell r="B1277"/>
        </row>
        <row r="1278">
          <cell r="B1278"/>
        </row>
        <row r="1279">
          <cell r="B1279"/>
        </row>
        <row r="1280">
          <cell r="B1280"/>
        </row>
        <row r="1281">
          <cell r="B1281"/>
        </row>
        <row r="1282">
          <cell r="B1282"/>
        </row>
        <row r="1283">
          <cell r="B1283"/>
        </row>
        <row r="1284">
          <cell r="B1284"/>
        </row>
        <row r="1285">
          <cell r="B1285"/>
        </row>
        <row r="1286">
          <cell r="B1286"/>
        </row>
        <row r="1287">
          <cell r="B1287"/>
        </row>
        <row r="1288">
          <cell r="B1288"/>
        </row>
        <row r="1289">
          <cell r="B1289"/>
        </row>
        <row r="1290">
          <cell r="B1290"/>
        </row>
        <row r="1291">
          <cell r="B1291"/>
        </row>
        <row r="1292">
          <cell r="B1292"/>
        </row>
        <row r="1293">
          <cell r="B1293"/>
        </row>
        <row r="1294">
          <cell r="B1294"/>
        </row>
        <row r="1295">
          <cell r="B1295"/>
        </row>
        <row r="1296">
          <cell r="B1296"/>
        </row>
        <row r="1297">
          <cell r="B1297"/>
        </row>
        <row r="1298">
          <cell r="B1298"/>
        </row>
        <row r="1299">
          <cell r="B1299"/>
        </row>
        <row r="1300">
          <cell r="B1300"/>
        </row>
        <row r="1301">
          <cell r="B1301"/>
        </row>
        <row r="1302">
          <cell r="B1302"/>
        </row>
        <row r="1303">
          <cell r="B1303"/>
        </row>
        <row r="1304">
          <cell r="B1304"/>
        </row>
        <row r="1305">
          <cell r="B1305"/>
        </row>
        <row r="1306">
          <cell r="B1306"/>
        </row>
        <row r="1307">
          <cell r="B1307"/>
        </row>
        <row r="1308">
          <cell r="B1308"/>
        </row>
        <row r="1309">
          <cell r="B1309"/>
        </row>
        <row r="1310">
          <cell r="B1310"/>
        </row>
        <row r="1311">
          <cell r="B1311"/>
        </row>
        <row r="1312">
          <cell r="B1312"/>
        </row>
        <row r="1313">
          <cell r="B1313"/>
        </row>
        <row r="1314">
          <cell r="B1314"/>
        </row>
        <row r="1315">
          <cell r="B1315"/>
        </row>
        <row r="1316">
          <cell r="B1316"/>
        </row>
        <row r="1317">
          <cell r="B1317"/>
        </row>
        <row r="1318">
          <cell r="B1318"/>
        </row>
        <row r="1319">
          <cell r="B1319"/>
        </row>
        <row r="1320">
          <cell r="B1320"/>
        </row>
        <row r="1321">
          <cell r="B1321"/>
        </row>
        <row r="1322">
          <cell r="B1322"/>
        </row>
        <row r="1323">
          <cell r="B1323"/>
        </row>
        <row r="1324">
          <cell r="B1324"/>
        </row>
      </sheetData>
      <sheetData sheetId="2" refreshError="1"/>
      <sheetData sheetId="3"/>
      <sheetData sheetId="4" refreshError="1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lambi, Ruben Orlando" id="{98585F26-B649-459E-87B6-E2F9C03F0F2A}" userId="S::ruben.llambi@icbc.com.ar::401ebe16-d378-477c-80b5-4335b70cfd5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3" dT="2026-09-18T17:34:38.30" personId="{98585F26-B649-459E-87B6-E2F9C03F0F2A}" id="{2A71BFB5-F936-4DDD-AB7C-B36FBACDAFAA}">
    <text>Se estiman datos faltantes con reg lineal IPC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AEA87-F3B0-4D1A-AEF4-44135A558E17}">
  <dimension ref="A1:BA381"/>
  <sheetViews>
    <sheetView showGridLines="0" tabSelected="1" workbookViewId="0">
      <selection activeCell="N7" sqref="N7"/>
    </sheetView>
  </sheetViews>
  <sheetFormatPr defaultColWidth="14.85546875" defaultRowHeight="15" x14ac:dyDescent="0.25"/>
  <cols>
    <col min="1" max="18" width="14.85546875" style="1"/>
    <col min="19" max="19" width="14.5703125" style="1" customWidth="1"/>
    <col min="20" max="20" width="14.85546875" style="3"/>
    <col min="21" max="21" width="14.85546875" style="8"/>
    <col min="22" max="29" width="14.85546875" style="1"/>
    <col min="30" max="30" width="14.85546875" style="3"/>
    <col min="31" max="40" width="14.85546875" style="1"/>
    <col min="41" max="41" width="14.85546875" style="3"/>
    <col min="42" max="16384" width="14.85546875" style="1"/>
  </cols>
  <sheetData>
    <row r="1" spans="1:53" x14ac:dyDescent="0.25">
      <c r="A1" s="1" t="s">
        <v>0</v>
      </c>
      <c r="B1" s="2">
        <v>38016</v>
      </c>
      <c r="C1" s="2">
        <v>43099</v>
      </c>
      <c r="D1" s="2"/>
      <c r="E1" s="2"/>
      <c r="F1" s="2"/>
      <c r="U1" s="4" t="s">
        <v>1</v>
      </c>
      <c r="V1" s="5"/>
      <c r="W1" s="5"/>
      <c r="X1" s="5"/>
      <c r="Y1" s="5"/>
      <c r="Z1" s="5"/>
      <c r="AA1" s="5"/>
      <c r="AF1" s="6" t="s">
        <v>2</v>
      </c>
      <c r="AG1" s="7">
        <f t="shared" ref="AG1:AO1" si="0">+(_xlfn.QUARTILE.INC(AG76:AG275,1))-(1.5*((_xlfn.QUARTILE.INC(AG76:AG275,3))-(_xlfn.QUARTILE.INC(AG76:AG275,1))))</f>
        <v>-3.4319318833781525</v>
      </c>
      <c r="AH1" s="7">
        <f t="shared" si="0"/>
        <v>-2.2135703447017927</v>
      </c>
      <c r="AI1" s="7">
        <f t="shared" si="0"/>
        <v>-2.5452890837729756</v>
      </c>
      <c r="AJ1" s="7">
        <f t="shared" si="0"/>
        <v>-4.1690904643657118</v>
      </c>
      <c r="AK1" s="7">
        <f t="shared" si="0"/>
        <v>-3.547128966171921</v>
      </c>
      <c r="AL1" s="7">
        <f t="shared" si="0"/>
        <v>-2.947478827957454</v>
      </c>
      <c r="AM1" s="7">
        <f t="shared" si="0"/>
        <v>-6.7782190755609246</v>
      </c>
      <c r="AN1" s="7">
        <f t="shared" si="0"/>
        <v>-2.3907031295391987</v>
      </c>
      <c r="AO1" s="23">
        <f t="shared" si="0"/>
        <v>-3.2435659620394071</v>
      </c>
      <c r="AP1" s="7"/>
      <c r="AQ1" s="6" t="s">
        <v>3</v>
      </c>
      <c r="AR1" s="7"/>
      <c r="AS1" s="7"/>
      <c r="AT1" s="7"/>
      <c r="AU1" s="7"/>
      <c r="AV1" s="7"/>
      <c r="AW1" s="7"/>
    </row>
    <row r="2" spans="1:53" x14ac:dyDescent="0.25">
      <c r="A2" s="1" t="s">
        <v>4</v>
      </c>
      <c r="AG2" s="7">
        <f t="shared" ref="AG2:AO2" si="1">+(_xlfn.QUARTILE.INC(AG76:AG275,3))+(1.5*(+(_xlfn.QUARTILE.INC(AG76:AG275,3))-(+_xlfn.QUARTILE.INC(AG76:AG275,1))))</f>
        <v>3.0345202781428773</v>
      </c>
      <c r="AH2" s="7">
        <f t="shared" si="1"/>
        <v>2.7512824055678853</v>
      </c>
      <c r="AI2" s="7">
        <f t="shared" si="1"/>
        <v>2.7119956204429263</v>
      </c>
      <c r="AJ2" s="7">
        <f t="shared" si="1"/>
        <v>5.7569985916160293</v>
      </c>
      <c r="AK2" s="7">
        <f t="shared" si="1"/>
        <v>4.8280582173360092</v>
      </c>
      <c r="AL2" s="7">
        <f t="shared" si="1"/>
        <v>3.2630954395354599</v>
      </c>
      <c r="AM2" s="7">
        <f t="shared" si="1"/>
        <v>5.162441615418734</v>
      </c>
      <c r="AN2" s="7">
        <f t="shared" si="1"/>
        <v>2.2219964550794047</v>
      </c>
      <c r="AO2" s="23">
        <f t="shared" si="1"/>
        <v>3.0933864686759356</v>
      </c>
      <c r="AP2" s="7"/>
      <c r="AQ2" s="7"/>
      <c r="AR2" s="7"/>
      <c r="AS2" s="7"/>
      <c r="AT2" s="7"/>
      <c r="AU2" s="7"/>
      <c r="AV2" s="7"/>
      <c r="AW2" s="7"/>
    </row>
    <row r="3" spans="1:53" s="9" customFormat="1" ht="36.75" customHeight="1" x14ac:dyDescent="0.25">
      <c r="A3" s="9" t="s">
        <v>5</v>
      </c>
      <c r="B3" s="10" t="s">
        <v>6</v>
      </c>
      <c r="C3" s="10" t="s">
        <v>7</v>
      </c>
      <c r="D3" s="10" t="s">
        <v>8</v>
      </c>
      <c r="E3" s="10" t="s">
        <v>9</v>
      </c>
      <c r="F3" s="11" t="s">
        <v>10</v>
      </c>
      <c r="G3" s="10" t="s">
        <v>11</v>
      </c>
      <c r="H3" s="10" t="s">
        <v>12</v>
      </c>
      <c r="I3" s="10" t="s">
        <v>13</v>
      </c>
      <c r="J3" s="10" t="s">
        <v>14</v>
      </c>
      <c r="K3" s="10" t="s">
        <v>15</v>
      </c>
      <c r="L3" s="10" t="s">
        <v>16</v>
      </c>
      <c r="M3" s="10" t="s">
        <v>17</v>
      </c>
      <c r="N3" s="10" t="s">
        <v>26</v>
      </c>
      <c r="O3" s="10" t="s">
        <v>18</v>
      </c>
      <c r="P3" s="10" t="s">
        <v>19</v>
      </c>
      <c r="Q3" s="10" t="s">
        <v>20</v>
      </c>
      <c r="R3" s="10" t="s">
        <v>21</v>
      </c>
      <c r="S3" s="10" t="s">
        <v>22</v>
      </c>
      <c r="T3" s="12" t="s">
        <v>23</v>
      </c>
      <c r="U3" s="13"/>
      <c r="V3" s="10" t="str">
        <f>+_xlfn.CONCAT("Exc. ",C3)</f>
        <v>Exc. Exp</v>
      </c>
      <c r="W3" s="10" t="str">
        <f>+_xlfn.CONCAT("Exc. ",G3)</f>
        <v>Exc. EMAE</v>
      </c>
      <c r="X3" s="10" t="str">
        <f>+_xlfn.CONCAT("Exc. ",H3)</f>
        <v>Exc. EMAE Transporte</v>
      </c>
      <c r="Y3" s="10" t="str">
        <f>+_xlfn.CONCAT("Exc. ",I3)</f>
        <v>Exc. IPC Transporte</v>
      </c>
      <c r="Z3" s="10" t="str">
        <f>+_xlfn.CONCAT("Exc. ",J3)</f>
        <v>Exc. Producción Petroleo Arg</v>
      </c>
      <c r="AA3" s="10" t="str">
        <f>+_xlfn.CONCAT("Exc. ",L3)</f>
        <v>Exc. ITCRM</v>
      </c>
      <c r="AB3" s="10" t="str">
        <f>+_xlfn.CONCAT("Exc. ",N3)</f>
        <v>Exc. Brecha cambiaria (signo op)</v>
      </c>
      <c r="AC3" s="10" t="str">
        <f>+_xlfn.CONCAT("Exc. ",O3)</f>
        <v>Exc. Inventarios comer. De crudo</v>
      </c>
      <c r="AD3" s="12" t="str">
        <f>+_xlfn.CONCAT("Exc. ",Q3)</f>
        <v>Exc. Crack Spread YoY</v>
      </c>
      <c r="AE3" s="10"/>
      <c r="AG3" s="10" t="str">
        <f t="shared" ref="AG3:AO3" si="2">+V3</f>
        <v>Exc. Exp</v>
      </c>
      <c r="AH3" s="10" t="str">
        <f t="shared" si="2"/>
        <v>Exc. EMAE</v>
      </c>
      <c r="AI3" s="10" t="str">
        <f t="shared" si="2"/>
        <v>Exc. EMAE Transporte</v>
      </c>
      <c r="AJ3" s="10" t="str">
        <f t="shared" si="2"/>
        <v>Exc. IPC Transporte</v>
      </c>
      <c r="AK3" s="10" t="str">
        <f t="shared" si="2"/>
        <v>Exc. Producción Petroleo Arg</v>
      </c>
      <c r="AL3" s="10" t="str">
        <f t="shared" si="2"/>
        <v>Exc. ITCRM</v>
      </c>
      <c r="AM3" s="10" t="str">
        <f t="shared" si="2"/>
        <v>Exc. Brecha cambiaria (signo op)</v>
      </c>
      <c r="AN3" s="10" t="str">
        <f t="shared" si="2"/>
        <v>Exc. Inventarios comer. De crudo</v>
      </c>
      <c r="AO3" s="12" t="str">
        <f t="shared" si="2"/>
        <v>Exc. Crack Spread YoY</v>
      </c>
      <c r="AQ3" s="10" t="str">
        <f t="shared" ref="AQ3:AY3" si="3">+AG3</f>
        <v>Exc. Exp</v>
      </c>
      <c r="AR3" s="10" t="str">
        <f t="shared" si="3"/>
        <v>Exc. EMAE</v>
      </c>
      <c r="AS3" s="10" t="str">
        <f t="shared" si="3"/>
        <v>Exc. EMAE Transporte</v>
      </c>
      <c r="AT3" s="10" t="str">
        <f t="shared" si="3"/>
        <v>Exc. IPC Transporte</v>
      </c>
      <c r="AU3" s="10" t="str">
        <f t="shared" si="3"/>
        <v>Exc. Producción Petroleo Arg</v>
      </c>
      <c r="AV3" s="10" t="str">
        <f t="shared" si="3"/>
        <v>Exc. ITCRM</v>
      </c>
      <c r="AW3" s="10" t="str">
        <f t="shared" si="3"/>
        <v>Exc. Brecha cambiaria (signo op)</v>
      </c>
      <c r="AX3" s="10" t="str">
        <f t="shared" si="3"/>
        <v>Exc. Inventarios comer. De crudo</v>
      </c>
      <c r="AY3" s="10" t="str">
        <f t="shared" si="3"/>
        <v>Exc. Crack Spread YoY</v>
      </c>
      <c r="AZ3" s="14" t="s">
        <v>24</v>
      </c>
      <c r="BA3" s="14" t="s">
        <v>25</v>
      </c>
    </row>
    <row r="4" spans="1:53" x14ac:dyDescent="0.25">
      <c r="A4" s="2">
        <v>38017</v>
      </c>
      <c r="B4" s="15">
        <v>2322</v>
      </c>
      <c r="D4" s="15">
        <v>1609</v>
      </c>
      <c r="E4" s="15"/>
      <c r="G4" s="1">
        <v>10.199999999999999</v>
      </c>
      <c r="I4" s="16">
        <v>-0.40792347729550205</v>
      </c>
      <c r="J4" s="1">
        <v>701.755</v>
      </c>
      <c r="L4" s="1">
        <v>159.536</v>
      </c>
      <c r="O4" s="1">
        <v>255245</v>
      </c>
      <c r="Q4" s="1">
        <v>3.7609948437973717</v>
      </c>
    </row>
    <row r="5" spans="1:53" x14ac:dyDescent="0.25">
      <c r="A5" s="2">
        <v>38046</v>
      </c>
      <c r="B5" s="15">
        <v>2395</v>
      </c>
      <c r="D5" s="15">
        <v>1364</v>
      </c>
      <c r="G5" s="1">
        <v>10.199999999999999</v>
      </c>
      <c r="I5" s="16">
        <v>-0.92311905581317832</v>
      </c>
      <c r="J5" s="1">
        <v>706.096</v>
      </c>
      <c r="L5" s="1">
        <v>159.62899999999999</v>
      </c>
      <c r="O5" s="1">
        <v>259092</v>
      </c>
      <c r="Q5" s="1">
        <v>-8.5377611140867735</v>
      </c>
    </row>
    <row r="6" spans="1:53" x14ac:dyDescent="0.25">
      <c r="A6" s="17">
        <v>38077</v>
      </c>
      <c r="B6" s="15">
        <v>2658</v>
      </c>
      <c r="D6" s="15">
        <v>1690</v>
      </c>
      <c r="E6" s="1">
        <v>151.11000000000001</v>
      </c>
      <c r="F6" s="18"/>
      <c r="G6" s="1">
        <v>13.2</v>
      </c>
      <c r="I6" s="16">
        <v>-0.90675726038292126</v>
      </c>
      <c r="J6" s="1">
        <v>683.96400000000006</v>
      </c>
      <c r="L6" s="1">
        <v>155.11799999999999</v>
      </c>
      <c r="O6" s="1">
        <v>277539</v>
      </c>
      <c r="Q6" s="1">
        <v>30.716358637543916</v>
      </c>
    </row>
    <row r="7" spans="1:53" x14ac:dyDescent="0.25">
      <c r="A7" s="2">
        <v>38107</v>
      </c>
      <c r="B7" s="15">
        <v>3040</v>
      </c>
      <c r="D7" s="15">
        <v>1651</v>
      </c>
      <c r="E7" s="1">
        <v>151.11000000000001</v>
      </c>
      <c r="F7" s="18"/>
      <c r="G7" s="1">
        <v>6.8</v>
      </c>
      <c r="I7" s="16">
        <v>-3.1656771394303451E-2</v>
      </c>
      <c r="J7" s="1">
        <v>679.85400000000004</v>
      </c>
      <c r="L7" s="1">
        <v>151.16499999999999</v>
      </c>
      <c r="O7" s="1">
        <v>282748</v>
      </c>
      <c r="Q7" s="1">
        <v>72.362555720653774</v>
      </c>
    </row>
    <row r="8" spans="1:53" x14ac:dyDescent="0.25">
      <c r="A8" s="2">
        <v>38138</v>
      </c>
      <c r="B8" s="15">
        <v>3394</v>
      </c>
      <c r="D8" s="15">
        <v>1792</v>
      </c>
      <c r="E8" s="1">
        <v>151.11000000000001</v>
      </c>
      <c r="F8" s="18"/>
      <c r="G8" s="1">
        <v>5.9</v>
      </c>
      <c r="I8" s="16">
        <v>1.0678587560372801</v>
      </c>
      <c r="J8" s="1">
        <v>712.11</v>
      </c>
      <c r="L8" s="1">
        <v>155.047</v>
      </c>
      <c r="O8" s="1">
        <v>285384</v>
      </c>
      <c r="Q8" s="1">
        <v>112.77349447801623</v>
      </c>
    </row>
    <row r="9" spans="1:53" x14ac:dyDescent="0.25">
      <c r="A9" s="2">
        <v>38168</v>
      </c>
      <c r="B9" s="15">
        <v>2951</v>
      </c>
      <c r="D9" s="15">
        <v>2039</v>
      </c>
      <c r="E9" s="1">
        <v>175.44</v>
      </c>
      <c r="F9" s="18"/>
      <c r="G9" s="1">
        <v>8.8000000000000007</v>
      </c>
      <c r="I9" s="16">
        <v>1.944652075215286</v>
      </c>
      <c r="J9" s="1">
        <v>707.39400000000001</v>
      </c>
      <c r="L9" s="1">
        <v>154.07599999999999</v>
      </c>
      <c r="O9" s="1">
        <v>288862</v>
      </c>
      <c r="Q9" s="1">
        <v>89.060415475509828</v>
      </c>
    </row>
    <row r="10" spans="1:53" x14ac:dyDescent="0.25">
      <c r="A10" s="2">
        <v>38199</v>
      </c>
      <c r="B10" s="15">
        <v>3034</v>
      </c>
      <c r="D10" s="15">
        <v>1970</v>
      </c>
      <c r="E10" s="1">
        <v>175.44</v>
      </c>
      <c r="F10" s="18"/>
      <c r="G10" s="1">
        <v>7.3</v>
      </c>
      <c r="I10" s="16">
        <v>1.9590982036730251</v>
      </c>
      <c r="J10" s="1">
        <v>696.37099999999998</v>
      </c>
      <c r="L10" s="1">
        <v>156.13499999999999</v>
      </c>
      <c r="O10" s="1">
        <v>282564</v>
      </c>
      <c r="Q10" s="1">
        <v>65.281306715063508</v>
      </c>
    </row>
    <row r="11" spans="1:53" x14ac:dyDescent="0.25">
      <c r="A11" s="2">
        <v>38230</v>
      </c>
      <c r="B11" s="15">
        <v>2945</v>
      </c>
      <c r="D11" s="15">
        <v>2032</v>
      </c>
      <c r="E11" s="1">
        <v>175.44</v>
      </c>
      <c r="F11" s="18"/>
      <c r="G11" s="1">
        <v>10.1</v>
      </c>
      <c r="I11" s="16">
        <v>2.3238327871920914</v>
      </c>
      <c r="J11" s="1">
        <v>688.71</v>
      </c>
      <c r="L11" s="1">
        <v>159.947</v>
      </c>
      <c r="O11" s="1">
        <v>271284</v>
      </c>
      <c r="Q11" s="1">
        <v>-8.4836339345357388</v>
      </c>
    </row>
    <row r="12" spans="1:53" x14ac:dyDescent="0.25">
      <c r="A12" s="2">
        <v>38260</v>
      </c>
      <c r="B12" s="15">
        <v>3002</v>
      </c>
      <c r="D12" s="15">
        <v>2025</v>
      </c>
      <c r="E12" s="1">
        <v>163.49</v>
      </c>
      <c r="F12" s="18"/>
      <c r="G12" s="1">
        <v>8.9</v>
      </c>
      <c r="I12" s="16">
        <v>2.9918852079467984</v>
      </c>
      <c r="J12" s="1">
        <v>706.01700000000005</v>
      </c>
      <c r="L12" s="1">
        <v>160.499</v>
      </c>
      <c r="O12" s="1">
        <v>257031</v>
      </c>
      <c r="Q12" s="1">
        <v>60.267960267960262</v>
      </c>
    </row>
    <row r="13" spans="1:53" x14ac:dyDescent="0.25">
      <c r="A13" s="2">
        <v>38291</v>
      </c>
      <c r="B13" s="15">
        <v>2831</v>
      </c>
      <c r="D13" s="15">
        <v>1973</v>
      </c>
      <c r="E13" s="1">
        <v>163.49</v>
      </c>
      <c r="F13" s="18"/>
      <c r="G13" s="1">
        <v>7.3</v>
      </c>
      <c r="I13" s="16">
        <v>2.7729905530033889</v>
      </c>
      <c r="J13" s="1">
        <v>698.29200000000003</v>
      </c>
      <c r="L13" s="1">
        <v>161.07900000000001</v>
      </c>
      <c r="O13" s="1">
        <v>273529</v>
      </c>
      <c r="Q13" s="1">
        <v>35.999083409715851</v>
      </c>
    </row>
    <row r="14" spans="1:53" x14ac:dyDescent="0.25">
      <c r="A14" s="2">
        <v>38321</v>
      </c>
      <c r="B14" s="15">
        <v>3042</v>
      </c>
      <c r="D14" s="15">
        <v>2193</v>
      </c>
      <c r="E14" s="1">
        <v>163.49</v>
      </c>
      <c r="F14" s="18"/>
      <c r="G14" s="1">
        <v>10.9</v>
      </c>
      <c r="I14" s="16">
        <v>2.4934672948877017</v>
      </c>
      <c r="J14" s="1">
        <v>675.48599999999999</v>
      </c>
      <c r="L14" s="1">
        <v>165.00299999999999</v>
      </c>
      <c r="O14" s="1">
        <v>276981</v>
      </c>
      <c r="Q14" s="1">
        <v>40.917701536518614</v>
      </c>
    </row>
    <row r="15" spans="1:53" x14ac:dyDescent="0.25">
      <c r="A15" s="2">
        <v>38352</v>
      </c>
      <c r="B15" s="15">
        <v>2962</v>
      </c>
      <c r="D15" s="15">
        <v>2109</v>
      </c>
      <c r="E15" s="1">
        <v>169.79</v>
      </c>
      <c r="F15" s="18">
        <v>0.33584427822604396</v>
      </c>
      <c r="G15" s="1">
        <v>9.6</v>
      </c>
      <c r="I15" s="16">
        <v>3.204991139777567</v>
      </c>
      <c r="J15" s="1">
        <v>682.53399999999999</v>
      </c>
      <c r="L15" s="1">
        <v>169.35300000000001</v>
      </c>
      <c r="O15" s="1">
        <v>275442</v>
      </c>
      <c r="Q15" s="1">
        <v>-9.3349984389634706</v>
      </c>
    </row>
    <row r="16" spans="1:53" x14ac:dyDescent="0.25">
      <c r="A16" s="2">
        <v>38383</v>
      </c>
      <c r="B16" s="15">
        <v>2781</v>
      </c>
      <c r="C16" s="19">
        <v>19.767441860465105</v>
      </c>
      <c r="D16" s="15">
        <v>1901</v>
      </c>
      <c r="E16" s="19">
        <v>169.79</v>
      </c>
      <c r="F16" s="18">
        <v>0.34026738912774601</v>
      </c>
      <c r="G16" s="1">
        <v>6.3</v>
      </c>
      <c r="H16" s="1">
        <v>12.3</v>
      </c>
      <c r="I16" s="16">
        <v>4.4088634143511607</v>
      </c>
      <c r="J16" s="1">
        <v>678.68399999999997</v>
      </c>
      <c r="K16" s="1">
        <v>-3.2876146233372094</v>
      </c>
      <c r="L16" s="1">
        <v>163.05500000000001</v>
      </c>
      <c r="M16" s="1">
        <v>2.2057717380403297</v>
      </c>
      <c r="N16" s="1">
        <v>-0.64079858315888583</v>
      </c>
      <c r="O16" s="1">
        <v>279566</v>
      </c>
      <c r="P16" s="1">
        <v>9.5284922329526456</v>
      </c>
      <c r="Q16" s="1">
        <v>22.858813212510974</v>
      </c>
    </row>
    <row r="17" spans="1:18" x14ac:dyDescent="0.25">
      <c r="A17" s="2">
        <v>38411</v>
      </c>
      <c r="B17" s="15">
        <v>2606</v>
      </c>
      <c r="C17" s="19">
        <v>8.8100208768267194</v>
      </c>
      <c r="D17" s="15">
        <v>1867</v>
      </c>
      <c r="E17" s="19">
        <v>169.79</v>
      </c>
      <c r="F17" s="18">
        <v>0.34447258377996348</v>
      </c>
      <c r="G17" s="1">
        <v>6.6</v>
      </c>
      <c r="H17" s="1">
        <v>12.4</v>
      </c>
      <c r="I17" s="16">
        <v>5.3914049651314642</v>
      </c>
      <c r="J17" s="1">
        <v>678.36400000000003</v>
      </c>
      <c r="K17" s="1">
        <v>-3.9275112732546247</v>
      </c>
      <c r="L17" s="1">
        <v>164.58099999999999</v>
      </c>
      <c r="M17" s="1">
        <v>3.102193210506865</v>
      </c>
      <c r="N17" s="1">
        <v>-1.7066302585577731E-3</v>
      </c>
      <c r="O17" s="1">
        <v>283301</v>
      </c>
      <c r="P17" s="1">
        <v>9.3437852191499573</v>
      </c>
      <c r="Q17" s="1">
        <v>-4.6732255797610751</v>
      </c>
    </row>
    <row r="18" spans="1:18" x14ac:dyDescent="0.25">
      <c r="A18" s="2">
        <v>38442</v>
      </c>
      <c r="B18" s="15">
        <v>3054</v>
      </c>
      <c r="C18" s="19">
        <v>14.89841986455982</v>
      </c>
      <c r="D18" s="15">
        <v>2198</v>
      </c>
      <c r="E18" s="19">
        <v>174.34</v>
      </c>
      <c r="F18" s="18">
        <v>0.34066766089250888</v>
      </c>
      <c r="G18" s="1">
        <v>8.6</v>
      </c>
      <c r="H18" s="1">
        <v>14.4</v>
      </c>
      <c r="I18" s="16">
        <v>6.4800432628067082</v>
      </c>
      <c r="J18" s="1">
        <v>676.98099999999999</v>
      </c>
      <c r="K18" s="1">
        <v>-1.0209601674942004</v>
      </c>
      <c r="L18" s="1">
        <v>158.60400000000001</v>
      </c>
      <c r="M18" s="1">
        <v>2.2473213940355175</v>
      </c>
      <c r="N18" s="1">
        <v>-0.40153252919794546</v>
      </c>
      <c r="O18" s="1">
        <v>298349</v>
      </c>
      <c r="P18" s="1">
        <v>7.4980453197568631</v>
      </c>
      <c r="Q18" s="1">
        <v>61.159149333956542</v>
      </c>
      <c r="R18" s="1">
        <v>7.2</v>
      </c>
    </row>
    <row r="19" spans="1:18" x14ac:dyDescent="0.25">
      <c r="A19" s="2">
        <v>38472</v>
      </c>
      <c r="B19" s="15">
        <v>3561</v>
      </c>
      <c r="C19" s="19">
        <v>17.13815789473685</v>
      </c>
      <c r="D19" s="15">
        <v>2380</v>
      </c>
      <c r="E19" s="19">
        <v>174.34</v>
      </c>
      <c r="F19" s="18">
        <v>0.3478375587931628</v>
      </c>
      <c r="G19" s="1">
        <v>13.6</v>
      </c>
      <c r="H19" s="1">
        <v>15.6</v>
      </c>
      <c r="I19" s="16">
        <v>6.0567796382898376</v>
      </c>
      <c r="J19" s="1">
        <v>677.51499999999999</v>
      </c>
      <c r="K19" s="1">
        <v>-0.34404445660393135</v>
      </c>
      <c r="L19" s="1">
        <v>161.298</v>
      </c>
      <c r="M19" s="1">
        <v>6.7032712598815936</v>
      </c>
      <c r="N19" s="1">
        <v>-0.33366045142295686</v>
      </c>
      <c r="O19" s="1">
        <v>311127</v>
      </c>
      <c r="P19" s="1">
        <v>10.036852603731949</v>
      </c>
      <c r="Q19" s="1">
        <v>16.216475095785434</v>
      </c>
      <c r="R19" s="1">
        <v>7.2</v>
      </c>
    </row>
    <row r="20" spans="1:18" x14ac:dyDescent="0.25">
      <c r="A20" s="2">
        <v>38503</v>
      </c>
      <c r="B20" s="15">
        <v>3695</v>
      </c>
      <c r="C20" s="19">
        <v>8.8685916322922775</v>
      </c>
      <c r="D20" s="15">
        <v>2476</v>
      </c>
      <c r="E20" s="19">
        <v>174.34</v>
      </c>
      <c r="F20" s="18">
        <v>0.35348743833887808</v>
      </c>
      <c r="G20" s="1">
        <v>15.3</v>
      </c>
      <c r="H20" s="1">
        <v>17.8</v>
      </c>
      <c r="I20" s="16">
        <v>6.0596060123331341</v>
      </c>
      <c r="J20" s="1">
        <v>682.57</v>
      </c>
      <c r="K20" s="1">
        <v>-4.1482355254103931</v>
      </c>
      <c r="L20" s="1">
        <v>160.255</v>
      </c>
      <c r="M20" s="1">
        <v>3.3589814701348697</v>
      </c>
      <c r="N20" s="1">
        <v>-0.76579750998353457</v>
      </c>
      <c r="O20" s="1">
        <v>317706</v>
      </c>
      <c r="P20" s="1">
        <v>11.325792616264408</v>
      </c>
      <c r="Q20" s="1">
        <v>-7.9522084027029756</v>
      </c>
      <c r="R20" s="1">
        <v>7.2</v>
      </c>
    </row>
    <row r="21" spans="1:18" x14ac:dyDescent="0.25">
      <c r="A21" s="2">
        <v>38533</v>
      </c>
      <c r="B21" s="15">
        <v>3450</v>
      </c>
      <c r="C21" s="19">
        <v>16.909522195865812</v>
      </c>
      <c r="D21" s="15">
        <v>2724</v>
      </c>
      <c r="E21" s="19">
        <v>209.55</v>
      </c>
      <c r="F21" s="18">
        <v>0.29974230493915532</v>
      </c>
      <c r="G21" s="1">
        <v>10.3</v>
      </c>
      <c r="H21" s="1">
        <v>16.5</v>
      </c>
      <c r="I21" s="16">
        <v>6.3155491999139919</v>
      </c>
      <c r="J21" s="1">
        <v>671.95899999999995</v>
      </c>
      <c r="K21" s="1">
        <v>-5.0092310650076239</v>
      </c>
      <c r="L21" s="1">
        <v>159.90899999999999</v>
      </c>
      <c r="M21" s="1">
        <v>3.7857940237285392</v>
      </c>
      <c r="N21" s="1">
        <v>0.2731983042863817</v>
      </c>
      <c r="O21" s="1">
        <v>312453</v>
      </c>
      <c r="P21" s="1">
        <v>8.1668755322610753</v>
      </c>
      <c r="Q21" s="1">
        <v>3.3064516129032162</v>
      </c>
      <c r="R21" s="1">
        <v>13.1</v>
      </c>
    </row>
    <row r="22" spans="1:18" x14ac:dyDescent="0.25">
      <c r="A22" s="2">
        <v>38564</v>
      </c>
      <c r="B22" s="15">
        <v>3601</v>
      </c>
      <c r="C22" s="19">
        <v>18.688200395517462</v>
      </c>
      <c r="D22" s="15">
        <v>2349</v>
      </c>
      <c r="E22" s="19">
        <v>209.55</v>
      </c>
      <c r="F22" s="18">
        <v>0.30425674063469338</v>
      </c>
      <c r="G22" s="1">
        <v>6.4</v>
      </c>
      <c r="H22" s="1">
        <v>16.600000000000001</v>
      </c>
      <c r="I22" s="16">
        <v>6.946741290142679</v>
      </c>
      <c r="J22" s="1">
        <v>671.923</v>
      </c>
      <c r="K22" s="1">
        <v>-3.5107722751234638</v>
      </c>
      <c r="L22" s="1">
        <v>157.44200000000001</v>
      </c>
      <c r="M22" s="1">
        <v>0.83709610273161594</v>
      </c>
      <c r="N22" s="1">
        <v>0.52533609100305911</v>
      </c>
      <c r="O22" s="1">
        <v>302036</v>
      </c>
      <c r="P22" s="1">
        <v>6.8911821746577839</v>
      </c>
      <c r="Q22" s="1">
        <v>23.289777094542675</v>
      </c>
      <c r="R22" s="1">
        <v>13.1</v>
      </c>
    </row>
    <row r="23" spans="1:18" x14ac:dyDescent="0.25">
      <c r="A23" s="2">
        <v>38595</v>
      </c>
      <c r="B23" s="15">
        <v>3837</v>
      </c>
      <c r="C23" s="19">
        <v>30.288624787775898</v>
      </c>
      <c r="D23" s="15">
        <v>2626</v>
      </c>
      <c r="E23" s="19">
        <v>209.55</v>
      </c>
      <c r="F23" s="18">
        <v>0.31134812693867814</v>
      </c>
      <c r="G23" s="1">
        <v>7.6</v>
      </c>
      <c r="H23" s="1">
        <v>16.3</v>
      </c>
      <c r="I23" s="16">
        <v>7.0561613053127115</v>
      </c>
      <c r="J23" s="1">
        <v>666.51099999999997</v>
      </c>
      <c r="K23" s="1">
        <v>-3.2232724949543434</v>
      </c>
      <c r="L23" s="1">
        <v>161.45400000000001</v>
      </c>
      <c r="M23" s="1">
        <v>0.94218709947671009</v>
      </c>
      <c r="N23" s="1">
        <v>0.49088043233508349</v>
      </c>
      <c r="O23" s="1">
        <v>305363</v>
      </c>
      <c r="P23" s="1">
        <v>12.562112030197126</v>
      </c>
      <c r="Q23" s="1">
        <v>324.79927007299267</v>
      </c>
      <c r="R23" s="1">
        <v>13.1</v>
      </c>
    </row>
    <row r="24" spans="1:18" x14ac:dyDescent="0.25">
      <c r="A24" s="2">
        <v>38625</v>
      </c>
      <c r="B24" s="15">
        <v>3483</v>
      </c>
      <c r="C24" s="19">
        <v>16.022651565622926</v>
      </c>
      <c r="D24" s="15">
        <v>2468</v>
      </c>
      <c r="E24" s="19">
        <v>204.28</v>
      </c>
      <c r="F24" s="18">
        <v>0.32390346583121205</v>
      </c>
      <c r="G24" s="1">
        <v>6.9</v>
      </c>
      <c r="H24" s="1">
        <v>15.9</v>
      </c>
      <c r="I24" s="16">
        <v>7.6813305648852754</v>
      </c>
      <c r="J24" s="1">
        <v>645.61500000000001</v>
      </c>
      <c r="K24" s="1">
        <v>-8.5553180730775669</v>
      </c>
      <c r="L24" s="1">
        <v>162.69999999999999</v>
      </c>
      <c r="M24" s="1">
        <v>1.3713481080878998</v>
      </c>
      <c r="N24" s="1">
        <v>0.30678851174937849</v>
      </c>
      <c r="O24" s="1">
        <v>289398</v>
      </c>
      <c r="P24" s="1">
        <v>12.592644467009805</v>
      </c>
      <c r="Q24" s="1">
        <v>221.20207552608821</v>
      </c>
      <c r="R24" s="1">
        <v>7</v>
      </c>
    </row>
    <row r="25" spans="1:18" x14ac:dyDescent="0.25">
      <c r="A25" s="2">
        <v>38656</v>
      </c>
      <c r="B25" s="15">
        <v>3399</v>
      </c>
      <c r="C25" s="19">
        <v>20.063581773225003</v>
      </c>
      <c r="D25" s="15">
        <v>2503</v>
      </c>
      <c r="E25" s="19">
        <v>204.28</v>
      </c>
      <c r="F25" s="18">
        <v>0.32927844135500295</v>
      </c>
      <c r="G25" s="1">
        <v>6.8</v>
      </c>
      <c r="H25" s="1">
        <v>14.7</v>
      </c>
      <c r="I25" s="16">
        <v>8.1323869701229832</v>
      </c>
      <c r="J25" s="1">
        <v>623.58199999999999</v>
      </c>
      <c r="K25" s="1">
        <v>-10.698962611629526</v>
      </c>
      <c r="L25" s="1">
        <v>166.02099999999999</v>
      </c>
      <c r="M25" s="1">
        <v>3.0680597719131564</v>
      </c>
      <c r="N25" s="1">
        <v>-4.371952244830446E-2</v>
      </c>
      <c r="O25" s="1">
        <v>303027</v>
      </c>
      <c r="P25" s="1">
        <v>10.784231288090119</v>
      </c>
      <c r="Q25" s="1">
        <v>73.496208930075852</v>
      </c>
      <c r="R25" s="1">
        <v>7</v>
      </c>
    </row>
    <row r="26" spans="1:18" x14ac:dyDescent="0.25">
      <c r="A26" s="2">
        <v>38686</v>
      </c>
      <c r="B26" s="15">
        <v>3274</v>
      </c>
      <c r="C26" s="19">
        <v>7.6265614727153208</v>
      </c>
      <c r="D26" s="15">
        <v>2701</v>
      </c>
      <c r="E26" s="19">
        <v>204.28</v>
      </c>
      <c r="F26" s="18">
        <v>0.33290092030546309</v>
      </c>
      <c r="G26" s="1">
        <v>7.9</v>
      </c>
      <c r="H26" s="1">
        <v>12.4</v>
      </c>
      <c r="I26" s="16">
        <v>9.5727506074095654</v>
      </c>
      <c r="J26" s="1">
        <v>650.31600000000003</v>
      </c>
      <c r="K26" s="1">
        <v>-3.7262060205540792</v>
      </c>
      <c r="L26" s="1">
        <v>163.36699999999999</v>
      </c>
      <c r="M26" s="1">
        <v>-0.9914971242947046</v>
      </c>
      <c r="N26" s="1">
        <v>-0.96569484043040887</v>
      </c>
      <c r="O26" s="1">
        <v>301443</v>
      </c>
      <c r="P26" s="1">
        <v>8.8316527126409472</v>
      </c>
      <c r="Q26" s="1">
        <v>23.300970873786419</v>
      </c>
      <c r="R26" s="1">
        <v>7</v>
      </c>
    </row>
    <row r="27" spans="1:18" x14ac:dyDescent="0.25">
      <c r="A27" s="2">
        <v>38717</v>
      </c>
      <c r="B27" s="15">
        <v>3645</v>
      </c>
      <c r="C27" s="19">
        <v>23.058744091829841</v>
      </c>
      <c r="D27" s="15">
        <v>2495</v>
      </c>
      <c r="E27" s="19">
        <v>209.23</v>
      </c>
      <c r="F27" s="18">
        <v>0.33013430196434546</v>
      </c>
      <c r="G27" s="1">
        <v>8.6999999999999993</v>
      </c>
      <c r="H27" s="1">
        <v>14</v>
      </c>
      <c r="I27" s="16">
        <v>9.8985780993730348</v>
      </c>
      <c r="J27" s="1">
        <v>653.19500000000005</v>
      </c>
      <c r="K27" s="1">
        <v>-4.2985404390110897</v>
      </c>
      <c r="L27" s="1">
        <v>162.511</v>
      </c>
      <c r="M27" s="1">
        <v>-4.0400819589850867</v>
      </c>
      <c r="N27" s="1">
        <v>-1.4036144578313481</v>
      </c>
      <c r="O27" s="1">
        <v>305527</v>
      </c>
      <c r="P27" s="1">
        <v>10.922444652594731</v>
      </c>
      <c r="Q27" s="1">
        <v>108.40220385674932</v>
      </c>
      <c r="R27" s="1">
        <v>7.8</v>
      </c>
    </row>
    <row r="28" spans="1:18" x14ac:dyDescent="0.25">
      <c r="A28" s="2">
        <v>38748</v>
      </c>
      <c r="B28" s="15">
        <v>3188</v>
      </c>
      <c r="C28" s="19">
        <v>14.635023372887446</v>
      </c>
      <c r="D28" s="15">
        <v>2324</v>
      </c>
      <c r="E28" s="19">
        <v>209.23</v>
      </c>
      <c r="F28" s="18">
        <v>0.33410122831333938</v>
      </c>
      <c r="G28" s="1">
        <v>8.1999999999999993</v>
      </c>
      <c r="H28" s="1">
        <v>12.4</v>
      </c>
      <c r="I28" s="16">
        <v>9.656207254150134</v>
      </c>
      <c r="J28" s="1">
        <v>648.86300000000006</v>
      </c>
      <c r="K28" s="1">
        <v>-4.3939447519022012</v>
      </c>
      <c r="L28" s="1">
        <v>167.11099999999999</v>
      </c>
      <c r="M28" s="1">
        <v>2.4875042163686967</v>
      </c>
      <c r="N28" s="1">
        <v>-1.1726287665132951</v>
      </c>
      <c r="O28" s="1">
        <v>304935</v>
      </c>
      <c r="P28" s="1">
        <v>9.0744224977286301</v>
      </c>
      <c r="Q28" s="1">
        <v>1.0349750178443973</v>
      </c>
      <c r="R28" s="1">
        <v>7.8</v>
      </c>
    </row>
    <row r="29" spans="1:18" x14ac:dyDescent="0.25">
      <c r="A29" s="2">
        <v>38776</v>
      </c>
      <c r="B29" s="15">
        <v>3090</v>
      </c>
      <c r="C29" s="19">
        <v>18.572524942440527</v>
      </c>
      <c r="D29" s="15">
        <v>2326</v>
      </c>
      <c r="E29" s="19">
        <v>209.23</v>
      </c>
      <c r="F29" s="18">
        <v>0.33860823017731684</v>
      </c>
      <c r="G29" s="1">
        <v>8.3000000000000007</v>
      </c>
      <c r="H29" s="1">
        <v>13.9</v>
      </c>
      <c r="I29" s="16">
        <v>8.9925921990776274</v>
      </c>
      <c r="J29" s="1">
        <v>629.005</v>
      </c>
      <c r="K29" s="1">
        <v>-7.2761821087203966</v>
      </c>
      <c r="L29" s="1">
        <v>169.29400000000001</v>
      </c>
      <c r="M29" s="1">
        <v>2.8636355350860843</v>
      </c>
      <c r="N29" s="1">
        <v>-0.39902676399035109</v>
      </c>
      <c r="O29" s="1">
        <v>312135</v>
      </c>
      <c r="P29" s="1">
        <v>10.177867356627758</v>
      </c>
      <c r="Q29" s="1">
        <v>-11.008723430396838</v>
      </c>
      <c r="R29" s="1">
        <v>7.8</v>
      </c>
    </row>
    <row r="30" spans="1:18" x14ac:dyDescent="0.25">
      <c r="A30" s="2">
        <v>38807</v>
      </c>
      <c r="B30" s="15">
        <v>3648</v>
      </c>
      <c r="C30" s="19">
        <v>19.449901768172893</v>
      </c>
      <c r="D30" s="15">
        <v>2722</v>
      </c>
      <c r="E30" s="19">
        <v>210.06</v>
      </c>
      <c r="F30" s="18">
        <v>0.34259259259259262</v>
      </c>
      <c r="G30" s="1">
        <v>7.2</v>
      </c>
      <c r="H30" s="1">
        <v>13.2</v>
      </c>
      <c r="I30" s="16">
        <v>8.5933245146743893</v>
      </c>
      <c r="J30" s="1">
        <v>659.65499999999997</v>
      </c>
      <c r="K30" s="1">
        <v>-2.55930373230564</v>
      </c>
      <c r="L30" s="1">
        <v>166.78899999999999</v>
      </c>
      <c r="M30" s="1">
        <v>5.1606516859599827</v>
      </c>
      <c r="N30" s="1">
        <v>0.48286056169493108</v>
      </c>
      <c r="O30" s="1">
        <v>326442</v>
      </c>
      <c r="P30" s="1">
        <v>9.4161535651200445</v>
      </c>
      <c r="Q30" s="1">
        <v>-11.419663573085836</v>
      </c>
      <c r="R30" s="1">
        <v>7.8</v>
      </c>
    </row>
    <row r="31" spans="1:18" x14ac:dyDescent="0.25">
      <c r="A31" s="2">
        <v>38837</v>
      </c>
      <c r="B31" s="15">
        <v>3925</v>
      </c>
      <c r="C31" s="19">
        <v>10.221847795563054</v>
      </c>
      <c r="D31" s="15">
        <v>2545</v>
      </c>
      <c r="E31" s="19">
        <v>210.06</v>
      </c>
      <c r="F31" s="18">
        <v>0.34511092068932686</v>
      </c>
      <c r="G31" s="1">
        <v>4.8</v>
      </c>
      <c r="H31" s="1">
        <v>11.3</v>
      </c>
      <c r="I31" s="16">
        <v>9.1673775030194893</v>
      </c>
      <c r="J31" s="1">
        <v>659.69</v>
      </c>
      <c r="K31" s="1">
        <v>-2.6309380604119359</v>
      </c>
      <c r="L31" s="1">
        <v>168.339</v>
      </c>
      <c r="M31" s="1">
        <v>4.3652122158985174</v>
      </c>
      <c r="N31" s="1">
        <v>1.0402956819616116</v>
      </c>
      <c r="O31" s="1">
        <v>330289</v>
      </c>
      <c r="P31" s="1">
        <v>6.1588997419060432</v>
      </c>
      <c r="Q31" s="1">
        <v>21.964889145306188</v>
      </c>
      <c r="R31" s="1">
        <v>7.8</v>
      </c>
    </row>
    <row r="32" spans="1:18" x14ac:dyDescent="0.25">
      <c r="A32" s="2">
        <v>38868</v>
      </c>
      <c r="B32" s="15">
        <v>4181</v>
      </c>
      <c r="C32" s="19">
        <v>13.152909336941821</v>
      </c>
      <c r="D32" s="15">
        <v>2826</v>
      </c>
      <c r="E32" s="19">
        <v>210.06</v>
      </c>
      <c r="F32" s="18">
        <v>0.34909073598019613</v>
      </c>
      <c r="G32" s="1">
        <v>5.3</v>
      </c>
      <c r="H32" s="1">
        <v>10.199999999999999</v>
      </c>
      <c r="I32" s="16">
        <v>9.0115219017298109</v>
      </c>
      <c r="J32" s="1">
        <v>669.476</v>
      </c>
      <c r="K32" s="1">
        <v>-1.9183380459147137</v>
      </c>
      <c r="L32" s="1">
        <v>164.07599999999999</v>
      </c>
      <c r="M32" s="1">
        <v>2.3843249820598489</v>
      </c>
      <c r="N32" s="1">
        <v>0.47654284445757256</v>
      </c>
      <c r="O32" s="1">
        <v>329151</v>
      </c>
      <c r="P32" s="1">
        <v>3.6023871126135587</v>
      </c>
      <c r="Q32" s="1">
        <v>63.038621129907455</v>
      </c>
      <c r="R32" s="1">
        <v>7.8</v>
      </c>
    </row>
    <row r="33" spans="1:52" x14ac:dyDescent="0.25">
      <c r="A33" s="2">
        <v>38898</v>
      </c>
      <c r="B33" s="15">
        <v>3848</v>
      </c>
      <c r="C33" s="19">
        <v>11.536231884057969</v>
      </c>
      <c r="D33" s="15">
        <v>2859</v>
      </c>
      <c r="E33" s="19">
        <v>237.31</v>
      </c>
      <c r="F33" s="18">
        <v>0.31125110614807633</v>
      </c>
      <c r="G33" s="1">
        <v>6.7</v>
      </c>
      <c r="H33" s="1">
        <v>11</v>
      </c>
      <c r="I33" s="16">
        <v>8.4973177219446345</v>
      </c>
      <c r="J33" s="1">
        <v>675.14200000000005</v>
      </c>
      <c r="K33" s="1">
        <v>0.47368961499141271</v>
      </c>
      <c r="L33" s="1">
        <v>167.011</v>
      </c>
      <c r="M33" s="1">
        <v>4.4412759757111786</v>
      </c>
      <c r="N33" s="1">
        <v>0.4155958587267583</v>
      </c>
      <c r="O33" s="1">
        <v>325089</v>
      </c>
      <c r="P33" s="1">
        <v>4.0441282368868237</v>
      </c>
      <c r="Q33" s="1">
        <v>61.953551912568329</v>
      </c>
      <c r="R33" s="1">
        <v>5.6</v>
      </c>
    </row>
    <row r="34" spans="1:52" x14ac:dyDescent="0.25">
      <c r="A34" s="2">
        <v>38929</v>
      </c>
      <c r="B34" s="15">
        <v>3817</v>
      </c>
      <c r="C34" s="19">
        <v>5.9983337961677208</v>
      </c>
      <c r="D34" s="15">
        <v>2852</v>
      </c>
      <c r="E34" s="19">
        <v>237.31</v>
      </c>
      <c r="F34" s="18">
        <v>0.31428089840293288</v>
      </c>
      <c r="G34" s="1">
        <v>8.8000000000000007</v>
      </c>
      <c r="H34" s="1">
        <v>11.6</v>
      </c>
      <c r="I34" s="16">
        <v>8.0415515075830157</v>
      </c>
      <c r="J34" s="1">
        <v>672.10199999999998</v>
      </c>
      <c r="K34" s="1">
        <v>2.6639957257001967E-2</v>
      </c>
      <c r="L34" s="1">
        <v>165.536</v>
      </c>
      <c r="M34" s="1">
        <v>5.1409407908944216</v>
      </c>
      <c r="N34" s="1">
        <v>0.47026279391423342</v>
      </c>
      <c r="O34" s="1">
        <v>317566</v>
      </c>
      <c r="P34" s="1">
        <v>5.1417711795944898</v>
      </c>
      <c r="Q34" s="1">
        <v>43.008550053437823</v>
      </c>
      <c r="R34" s="1">
        <v>5.6</v>
      </c>
    </row>
    <row r="35" spans="1:52" x14ac:dyDescent="0.25">
      <c r="A35" s="2">
        <v>38960</v>
      </c>
      <c r="B35" s="15">
        <v>4246</v>
      </c>
      <c r="C35" s="19">
        <v>10.659369298931454</v>
      </c>
      <c r="D35" s="15">
        <v>3281</v>
      </c>
      <c r="E35" s="19">
        <v>237.31</v>
      </c>
      <c r="F35" s="18">
        <v>0.31876448527242845</v>
      </c>
      <c r="G35" s="1">
        <v>9.9</v>
      </c>
      <c r="H35" s="1">
        <v>13.4</v>
      </c>
      <c r="I35" s="16">
        <v>8.1898983260876097</v>
      </c>
      <c r="J35" s="1">
        <v>665.74900000000002</v>
      </c>
      <c r="K35" s="1">
        <v>-0.11432669528333994</v>
      </c>
      <c r="L35" s="1">
        <v>167.34899999999999</v>
      </c>
      <c r="M35" s="1">
        <v>3.6511947675498702</v>
      </c>
      <c r="N35" s="1">
        <v>0.95131033513664587</v>
      </c>
      <c r="O35" s="1">
        <v>316611</v>
      </c>
      <c r="P35" s="1">
        <v>3.6834849015761506</v>
      </c>
      <c r="Q35" s="1">
        <v>-66.162635852055502</v>
      </c>
      <c r="R35" s="1">
        <v>5.6</v>
      </c>
    </row>
    <row r="36" spans="1:52" x14ac:dyDescent="0.25">
      <c r="A36" s="2">
        <v>38990</v>
      </c>
      <c r="B36" s="15">
        <v>4048</v>
      </c>
      <c r="C36" s="19">
        <v>16.221648004593735</v>
      </c>
      <c r="D36" s="15">
        <v>3169</v>
      </c>
      <c r="E36" s="19">
        <v>236.27</v>
      </c>
      <c r="F36" s="18">
        <v>0.325525881406865</v>
      </c>
      <c r="G36" s="1">
        <v>9.4</v>
      </c>
      <c r="H36" s="1">
        <v>13.6</v>
      </c>
      <c r="I36" s="16">
        <v>7.8741030805541303</v>
      </c>
      <c r="J36" s="1">
        <v>679.69</v>
      </c>
      <c r="K36" s="1">
        <v>5.2779133074665419</v>
      </c>
      <c r="L36" s="1">
        <v>165.185</v>
      </c>
      <c r="M36" s="1">
        <v>1.5273509526736451</v>
      </c>
      <c r="N36" s="1">
        <v>0.94335295466709823</v>
      </c>
      <c r="O36" s="1">
        <v>312001</v>
      </c>
      <c r="P36" s="1">
        <v>7.8103511427169536</v>
      </c>
      <c r="Q36" s="1">
        <v>-76.899259591653575</v>
      </c>
      <c r="R36" s="1">
        <v>9.4</v>
      </c>
    </row>
    <row r="37" spans="1:52" x14ac:dyDescent="0.25">
      <c r="A37" s="2">
        <v>39021</v>
      </c>
      <c r="B37" s="15">
        <v>4204</v>
      </c>
      <c r="C37" s="19">
        <v>23.683436304795524</v>
      </c>
      <c r="D37" s="15">
        <v>3255</v>
      </c>
      <c r="E37" s="19">
        <v>236.27</v>
      </c>
      <c r="F37" s="18">
        <v>0.33211579972065858</v>
      </c>
      <c r="G37" s="1">
        <v>11.5</v>
      </c>
      <c r="H37" s="1">
        <v>13.4</v>
      </c>
      <c r="I37" s="16">
        <v>7.9688361364601139</v>
      </c>
      <c r="J37" s="1">
        <v>677.66300000000001</v>
      </c>
      <c r="K37" s="1">
        <v>8.6726364776404719</v>
      </c>
      <c r="L37" s="1">
        <v>164.601</v>
      </c>
      <c r="M37" s="1">
        <v>-0.85531348443871336</v>
      </c>
      <c r="N37" s="1">
        <v>0.39221136606857332</v>
      </c>
      <c r="O37" s="1">
        <v>317857</v>
      </c>
      <c r="P37" s="1">
        <v>4.8939533440914396</v>
      </c>
      <c r="Q37" s="1">
        <v>-55.598718073225207</v>
      </c>
      <c r="R37" s="1">
        <v>9.4</v>
      </c>
    </row>
    <row r="38" spans="1:52" x14ac:dyDescent="0.25">
      <c r="A38" s="2">
        <v>39051</v>
      </c>
      <c r="B38" s="15">
        <v>4110</v>
      </c>
      <c r="C38" s="19">
        <v>25.534514355528405</v>
      </c>
      <c r="D38" s="15">
        <v>3237</v>
      </c>
      <c r="E38" s="19">
        <v>236.27</v>
      </c>
      <c r="F38" s="18">
        <v>0.33792271553730902</v>
      </c>
      <c r="G38" s="1">
        <v>9.4</v>
      </c>
      <c r="H38" s="1">
        <v>14.2</v>
      </c>
      <c r="I38" s="16">
        <v>7.379245357378057</v>
      </c>
      <c r="J38" s="1">
        <v>627.33299999999997</v>
      </c>
      <c r="K38" s="1">
        <v>-3.5341280239145401</v>
      </c>
      <c r="L38" s="1">
        <v>163.40100000000001</v>
      </c>
      <c r="M38" s="1">
        <v>2.0812036702655412E-2</v>
      </c>
      <c r="N38" s="1">
        <v>0.56739673673377178</v>
      </c>
      <c r="O38" s="1">
        <v>324458</v>
      </c>
      <c r="P38" s="1">
        <v>7.634942592795313</v>
      </c>
      <c r="Q38" s="1">
        <v>14.936402180496655</v>
      </c>
      <c r="R38" s="1">
        <v>9.4</v>
      </c>
    </row>
    <row r="39" spans="1:52" x14ac:dyDescent="0.25">
      <c r="A39" s="2">
        <v>39082</v>
      </c>
      <c r="B39" s="15">
        <v>4241</v>
      </c>
      <c r="C39" s="19">
        <v>16.351165980795599</v>
      </c>
      <c r="D39" s="15">
        <v>2756</v>
      </c>
      <c r="E39" s="19">
        <v>247.8</v>
      </c>
      <c r="F39" s="18">
        <v>0.32565778853914445</v>
      </c>
      <c r="G39" s="1">
        <v>8.1999999999999993</v>
      </c>
      <c r="H39" s="1">
        <v>12.5</v>
      </c>
      <c r="I39" s="16">
        <v>5.2161506194691309</v>
      </c>
      <c r="J39" s="1">
        <v>662.072</v>
      </c>
      <c r="K39" s="1">
        <v>1.359012239836499</v>
      </c>
      <c r="L39" s="1">
        <v>162.79300000000001</v>
      </c>
      <c r="M39" s="1">
        <v>0.17352671511468021</v>
      </c>
      <c r="N39" s="1">
        <v>2.1871372184815385</v>
      </c>
      <c r="O39" s="1">
        <v>303219</v>
      </c>
      <c r="P39" s="1">
        <v>-0.75541605160918124</v>
      </c>
      <c r="Q39" s="1">
        <v>-39.84633179114342</v>
      </c>
      <c r="R39" s="1">
        <v>9.6999999999999993</v>
      </c>
    </row>
    <row r="40" spans="1:52" x14ac:dyDescent="0.25">
      <c r="A40" s="2">
        <v>39113</v>
      </c>
      <c r="B40" s="15">
        <v>3390</v>
      </c>
      <c r="C40" s="19">
        <v>6.3362609786700164</v>
      </c>
      <c r="D40" s="15">
        <v>2951</v>
      </c>
      <c r="E40" s="19">
        <v>247.8</v>
      </c>
      <c r="F40" s="18">
        <v>0.32900322841000806</v>
      </c>
      <c r="G40" s="1">
        <v>7.7</v>
      </c>
      <c r="H40" s="1">
        <v>13.3</v>
      </c>
      <c r="I40" s="16">
        <v>5.1336094681420104</v>
      </c>
      <c r="J40" s="1">
        <v>652.86099999999999</v>
      </c>
      <c r="K40" s="1">
        <v>0.61615471987150894</v>
      </c>
      <c r="L40" s="1">
        <v>163.08099999999999</v>
      </c>
      <c r="M40" s="1">
        <v>-2.4115707523741703</v>
      </c>
      <c r="N40" s="1">
        <v>1.8931426167437815</v>
      </c>
      <c r="O40" s="1">
        <v>307711</v>
      </c>
      <c r="P40" s="1">
        <v>0.91035794513585344</v>
      </c>
      <c r="Q40" s="1">
        <v>4.792181796773809</v>
      </c>
      <c r="R40" s="1">
        <v>9.6999999999999993</v>
      </c>
    </row>
    <row r="41" spans="1:52" x14ac:dyDescent="0.25">
      <c r="A41" s="2">
        <v>39141</v>
      </c>
      <c r="B41" s="15">
        <v>3587</v>
      </c>
      <c r="C41" s="19">
        <v>16.08414239482201</v>
      </c>
      <c r="D41" s="15">
        <v>2791</v>
      </c>
      <c r="E41" s="19">
        <v>247.8</v>
      </c>
      <c r="F41" s="18">
        <v>0.33288539144471346</v>
      </c>
      <c r="G41" s="1">
        <v>8.3000000000000007</v>
      </c>
      <c r="H41" s="1">
        <v>12.6</v>
      </c>
      <c r="I41" s="16">
        <v>5.6748821820742403</v>
      </c>
      <c r="J41" s="1">
        <v>654.15099999999995</v>
      </c>
      <c r="K41" s="1">
        <v>3.9977424662760885</v>
      </c>
      <c r="L41" s="1">
        <v>163.327</v>
      </c>
      <c r="M41" s="1">
        <v>-3.5246376126738199</v>
      </c>
      <c r="N41" s="1">
        <v>1.2907881023009216</v>
      </c>
      <c r="O41" s="1">
        <v>311719</v>
      </c>
      <c r="P41" s="1">
        <v>-0.13327566597786111</v>
      </c>
      <c r="Q41" s="1">
        <v>114.96617423719454</v>
      </c>
      <c r="R41" s="1">
        <v>9.6999999999999993</v>
      </c>
      <c r="S41" s="1">
        <v>8.4499999999999975</v>
      </c>
      <c r="V41" s="20">
        <f t="shared" ref="V41:V104" si="4">+AVERAGE(C39:C41)-$S41</f>
        <v>4.4738564514292101</v>
      </c>
      <c r="W41" s="20">
        <f t="shared" ref="W41:X104" si="5">+AVERAGE(G39:G41)-$S41</f>
        <v>-0.38333333333333108</v>
      </c>
      <c r="X41" s="20">
        <f t="shared" si="5"/>
        <v>4.3500000000000014</v>
      </c>
      <c r="Y41" s="20">
        <v>-7.6415495131858249</v>
      </c>
      <c r="Z41" s="20">
        <f t="shared" ref="Z41:Z104" si="6">AVERAGE(K39:K41)</f>
        <v>1.9909698086613654</v>
      </c>
      <c r="AA41" s="19">
        <f>+AVERAGE(M39:M41)*AVERAGE($F$15:F41)</f>
        <v>-0.63539272477581688</v>
      </c>
      <c r="AB41" s="19">
        <f>+AVERAGE(N39:N41)</f>
        <v>1.7903559791754138</v>
      </c>
      <c r="AC41" s="19">
        <f>+AVERAGE(P39:P41)</f>
        <v>7.222075849603697E-3</v>
      </c>
      <c r="AD41" s="21">
        <f>AVERAGE(Q39:Q41)</f>
        <v>26.637341414274974</v>
      </c>
      <c r="AE41" s="19"/>
      <c r="AZ41" s="22"/>
    </row>
    <row r="42" spans="1:52" x14ac:dyDescent="0.25">
      <c r="A42" s="2">
        <v>39172</v>
      </c>
      <c r="B42" s="15">
        <v>4173</v>
      </c>
      <c r="C42" s="19">
        <v>14.391447368421062</v>
      </c>
      <c r="D42" s="15">
        <v>3422</v>
      </c>
      <c r="E42" s="19">
        <v>250.14</v>
      </c>
      <c r="F42" s="18">
        <v>0.33466858559206847</v>
      </c>
      <c r="G42" s="1">
        <v>9</v>
      </c>
      <c r="H42" s="1">
        <v>13.3</v>
      </c>
      <c r="I42" s="16">
        <v>5.9315225001847871</v>
      </c>
      <c r="J42" s="1">
        <v>658.45399999999995</v>
      </c>
      <c r="K42" s="1">
        <v>-0.18206486724121618</v>
      </c>
      <c r="L42" s="1">
        <v>164.44499999999999</v>
      </c>
      <c r="M42" s="1">
        <v>-1.4053684595506821</v>
      </c>
      <c r="N42" s="1">
        <v>1.0218978102189524</v>
      </c>
      <c r="O42" s="1">
        <v>315387</v>
      </c>
      <c r="P42" s="1">
        <v>-3.3865127649015725</v>
      </c>
      <c r="Q42" s="1">
        <v>47.589424572317249</v>
      </c>
      <c r="R42" s="1">
        <v>8.4</v>
      </c>
      <c r="S42" s="1">
        <v>8.4479999999999986</v>
      </c>
      <c r="V42" s="20">
        <f t="shared" si="4"/>
        <v>3.8226169139710322</v>
      </c>
      <c r="W42" s="20">
        <f t="shared" si="5"/>
        <v>-0.1146666666666647</v>
      </c>
      <c r="X42" s="20">
        <f t="shared" si="5"/>
        <v>4.6186666666666696</v>
      </c>
      <c r="Y42" s="20">
        <v>-7.4665240540871523</v>
      </c>
      <c r="Z42" s="20">
        <f t="shared" si="6"/>
        <v>1.4772774396354604</v>
      </c>
      <c r="AA42" s="19">
        <f>+AVERAGE(M40:M42)*AVERAGE($F$15:F42)</f>
        <v>-0.809821441473071</v>
      </c>
      <c r="AB42" s="19">
        <f t="shared" ref="AB42:AB105" si="7">+AVERAGE(N40:N42)</f>
        <v>1.4019428430878851</v>
      </c>
      <c r="AC42" s="19">
        <f t="shared" ref="AC42:AC105" si="8">+AVERAGE(P40:P42)</f>
        <v>-0.86981016191452676</v>
      </c>
      <c r="AD42" s="21">
        <f t="shared" ref="AD42:AD105" si="9">AVERAGE(Q40:Q42)</f>
        <v>55.782593535428532</v>
      </c>
      <c r="AE42" s="19"/>
      <c r="AZ42" s="22"/>
    </row>
    <row r="43" spans="1:52" x14ac:dyDescent="0.25">
      <c r="A43" s="2">
        <v>39202</v>
      </c>
      <c r="B43" s="15">
        <v>4299</v>
      </c>
      <c r="C43" s="19">
        <v>9.5286624203821724</v>
      </c>
      <c r="D43" s="15">
        <v>3061</v>
      </c>
      <c r="E43" s="19">
        <v>250.14</v>
      </c>
      <c r="F43" s="18">
        <v>0.33822659310785957</v>
      </c>
      <c r="G43" s="1">
        <v>9.3000000000000007</v>
      </c>
      <c r="H43" s="1">
        <v>13.5</v>
      </c>
      <c r="I43" s="16">
        <v>7.9107544999202251</v>
      </c>
      <c r="J43" s="1">
        <v>666.88199999999995</v>
      </c>
      <c r="K43" s="1">
        <v>1.0902090375782381</v>
      </c>
      <c r="L43" s="1">
        <v>162.91900000000001</v>
      </c>
      <c r="M43" s="1">
        <v>-3.2196935944730498</v>
      </c>
      <c r="N43" s="1">
        <v>1.7001877178868141</v>
      </c>
      <c r="O43" s="1">
        <v>318468</v>
      </c>
      <c r="P43" s="1">
        <v>-3.5789868872411756</v>
      </c>
      <c r="Q43" s="1">
        <v>62.724692526017023</v>
      </c>
      <c r="R43" s="1">
        <v>8.4</v>
      </c>
      <c r="S43" s="1">
        <v>8.4461538461538446</v>
      </c>
      <c r="V43" s="20">
        <f t="shared" si="4"/>
        <v>4.8885968817212362</v>
      </c>
      <c r="W43" s="20">
        <f t="shared" si="5"/>
        <v>0.42051282051282257</v>
      </c>
      <c r="X43" s="20">
        <f t="shared" si="5"/>
        <v>4.6871794871794883</v>
      </c>
      <c r="Y43" s="20">
        <v>-6.8069322905958041</v>
      </c>
      <c r="Z43" s="20">
        <f t="shared" si="6"/>
        <v>1.6352955455377034</v>
      </c>
      <c r="AA43" s="19">
        <f>+AVERAGE(M41:M43)*AVERAGE($F$15:F43)</f>
        <v>-0.89964697544052707</v>
      </c>
      <c r="AB43" s="19">
        <f t="shared" si="7"/>
        <v>1.3376245434688958</v>
      </c>
      <c r="AC43" s="19">
        <f t="shared" si="8"/>
        <v>-2.3662584393735364</v>
      </c>
      <c r="AD43" s="21">
        <f t="shared" si="9"/>
        <v>75.093430445176281</v>
      </c>
      <c r="AE43" s="19"/>
      <c r="AZ43" s="22"/>
    </row>
    <row r="44" spans="1:52" x14ac:dyDescent="0.25">
      <c r="A44" s="2">
        <v>39233</v>
      </c>
      <c r="B44" s="15">
        <v>4856</v>
      </c>
      <c r="C44" s="19">
        <v>16.144463047117917</v>
      </c>
      <c r="D44" s="15">
        <v>3542</v>
      </c>
      <c r="E44" s="19">
        <v>250.14</v>
      </c>
      <c r="F44" s="18">
        <v>0.34378747901175344</v>
      </c>
      <c r="G44" s="1">
        <v>10.7</v>
      </c>
      <c r="H44" s="1">
        <v>14.4</v>
      </c>
      <c r="I44" s="16">
        <v>9.9768223129473608</v>
      </c>
      <c r="J44" s="1">
        <v>663.09500000000003</v>
      </c>
      <c r="K44" s="1">
        <v>-0.95313349545016468</v>
      </c>
      <c r="L44" s="1">
        <v>162.155</v>
      </c>
      <c r="M44" s="1">
        <v>-1.1707988980716233</v>
      </c>
      <c r="N44" s="1">
        <v>1.0342751842751574</v>
      </c>
      <c r="O44" s="1">
        <v>325014</v>
      </c>
      <c r="P44" s="1">
        <v>-1.2568699472278677</v>
      </c>
      <c r="Q44" s="1">
        <v>56.897676846776292</v>
      </c>
      <c r="R44" s="1">
        <v>8.4</v>
      </c>
      <c r="S44" s="1">
        <v>8.4444444444444429</v>
      </c>
      <c r="V44" s="20">
        <f t="shared" si="4"/>
        <v>4.9104131675292759</v>
      </c>
      <c r="W44" s="20">
        <f t="shared" si="5"/>
        <v>1.2222222222222232</v>
      </c>
      <c r="X44" s="20">
        <f t="shared" si="5"/>
        <v>5.2888888888888914</v>
      </c>
      <c r="Y44" s="20">
        <v>-5.9382205985925411</v>
      </c>
      <c r="Z44" s="20">
        <f t="shared" si="6"/>
        <v>-1.4996441704380933E-2</v>
      </c>
      <c r="AA44" s="19">
        <f>+AVERAGE(M42:M44)*AVERAGE($F$15:F44)</f>
        <v>-0.64061875670411372</v>
      </c>
      <c r="AB44" s="19">
        <f t="shared" si="7"/>
        <v>1.252120237460308</v>
      </c>
      <c r="AC44" s="19">
        <f t="shared" si="8"/>
        <v>-2.7407898664568719</v>
      </c>
      <c r="AD44" s="21">
        <f t="shared" si="9"/>
        <v>55.737264648370193</v>
      </c>
      <c r="AE44" s="19"/>
      <c r="AZ44" s="22"/>
    </row>
    <row r="45" spans="1:52" x14ac:dyDescent="0.25">
      <c r="A45" s="2">
        <v>39263</v>
      </c>
      <c r="B45" s="15">
        <v>4521</v>
      </c>
      <c r="C45" s="19">
        <v>17.489604989604992</v>
      </c>
      <c r="D45" s="15">
        <v>3579</v>
      </c>
      <c r="E45" s="19">
        <v>293.29000000000002</v>
      </c>
      <c r="F45" s="18">
        <v>0.29795765283507791</v>
      </c>
      <c r="G45" s="1">
        <v>9.5</v>
      </c>
      <c r="H45" s="1">
        <v>14.3</v>
      </c>
      <c r="I45" s="16">
        <v>12.546610523649349</v>
      </c>
      <c r="J45" s="1">
        <v>655.07100000000003</v>
      </c>
      <c r="K45" s="1">
        <v>-2.9728560806467463</v>
      </c>
      <c r="L45" s="1">
        <v>159.44399999999999</v>
      </c>
      <c r="M45" s="1">
        <v>-4.5308392860350599</v>
      </c>
      <c r="N45" s="1">
        <v>0.11489442647903969</v>
      </c>
      <c r="O45" s="1">
        <v>336924</v>
      </c>
      <c r="P45" s="1">
        <v>3.6405415132471308</v>
      </c>
      <c r="Q45" s="1">
        <v>24.793637404350164</v>
      </c>
      <c r="R45" s="1">
        <v>9.9</v>
      </c>
      <c r="S45" s="1">
        <v>8.4964285714285701</v>
      </c>
      <c r="V45" s="20">
        <f t="shared" si="4"/>
        <v>5.8911482476064574</v>
      </c>
      <c r="W45" s="20">
        <f t="shared" si="5"/>
        <v>1.3369047619047638</v>
      </c>
      <c r="X45" s="20">
        <f t="shared" si="5"/>
        <v>5.5702380952380981</v>
      </c>
      <c r="Y45" s="20">
        <v>-4.1903498807549582</v>
      </c>
      <c r="Z45" s="20">
        <f t="shared" si="6"/>
        <v>-0.94526017950622432</v>
      </c>
      <c r="AA45" s="19">
        <f>+AVERAGE(M43:M45)*AVERAGE($F$15:F45)</f>
        <v>-0.98285185280290777</v>
      </c>
      <c r="AB45" s="19">
        <f t="shared" si="7"/>
        <v>0.94978577621367044</v>
      </c>
      <c r="AC45" s="19">
        <f t="shared" si="8"/>
        <v>-0.39843844040730403</v>
      </c>
      <c r="AD45" s="21">
        <f t="shared" si="9"/>
        <v>48.138668925714491</v>
      </c>
      <c r="AE45" s="19"/>
      <c r="AZ45" s="22"/>
    </row>
    <row r="46" spans="1:52" x14ac:dyDescent="0.25">
      <c r="A46" s="2">
        <v>39294</v>
      </c>
      <c r="B46" s="15">
        <v>4614</v>
      </c>
      <c r="C46" s="19">
        <v>20.880272465286875</v>
      </c>
      <c r="D46" s="15">
        <v>4126</v>
      </c>
      <c r="E46" s="19">
        <v>293.29000000000002</v>
      </c>
      <c r="F46" s="18">
        <v>0.30501892325002555</v>
      </c>
      <c r="G46" s="1">
        <v>8.8000000000000007</v>
      </c>
      <c r="H46" s="1">
        <v>13.6</v>
      </c>
      <c r="I46" s="16">
        <v>15.313295104409871</v>
      </c>
      <c r="J46" s="1">
        <v>632.48199999999997</v>
      </c>
      <c r="K46" s="1">
        <v>-5.8949385658724429</v>
      </c>
      <c r="L46" s="1">
        <v>159.679</v>
      </c>
      <c r="M46" s="1">
        <v>-3.5382031703073635</v>
      </c>
      <c r="N46" s="1">
        <v>-1.005617270532766</v>
      </c>
      <c r="O46" s="1">
        <v>327287</v>
      </c>
      <c r="P46" s="1">
        <v>3.0610959611545363</v>
      </c>
      <c r="Q46" s="1">
        <v>-34.732515413838193</v>
      </c>
      <c r="R46" s="1">
        <v>9.9</v>
      </c>
      <c r="S46" s="1">
        <v>8.5448275862068961</v>
      </c>
      <c r="V46" s="20">
        <f t="shared" si="4"/>
        <v>9.6266192477963664</v>
      </c>
      <c r="W46" s="20">
        <f t="shared" si="5"/>
        <v>1.12183908045977</v>
      </c>
      <c r="X46" s="20">
        <f t="shared" si="5"/>
        <v>5.5551724137931053</v>
      </c>
      <c r="Y46" s="20">
        <v>-2.2697627847561339</v>
      </c>
      <c r="Z46" s="20">
        <f t="shared" si="6"/>
        <v>-3.2736427139897848</v>
      </c>
      <c r="AA46" s="19">
        <f>+AVERAGE(M44:M46)*AVERAGE($F$15:F46)</f>
        <v>-1.0154885411629289</v>
      </c>
      <c r="AB46" s="19">
        <f t="shared" si="7"/>
        <v>4.7850780073810384E-2</v>
      </c>
      <c r="AC46" s="19">
        <f t="shared" si="8"/>
        <v>1.8149225090579331</v>
      </c>
      <c r="AD46" s="21">
        <f t="shared" si="9"/>
        <v>15.652932945762755</v>
      </c>
      <c r="AE46" s="19"/>
      <c r="AZ46" s="22"/>
    </row>
    <row r="47" spans="1:52" x14ac:dyDescent="0.25">
      <c r="A47" s="2">
        <v>39325</v>
      </c>
      <c r="B47" s="15">
        <v>4922</v>
      </c>
      <c r="C47" s="19">
        <v>15.920866698068782</v>
      </c>
      <c r="D47" s="15">
        <v>4606</v>
      </c>
      <c r="E47" s="19">
        <v>293.29000000000002</v>
      </c>
      <c r="F47" s="18">
        <v>0.31184152204302906</v>
      </c>
      <c r="G47" s="1">
        <v>8.8000000000000007</v>
      </c>
      <c r="H47" s="1">
        <v>12.1</v>
      </c>
      <c r="I47" s="16">
        <v>19.249919041372181</v>
      </c>
      <c r="J47" s="1">
        <v>655.96199999999999</v>
      </c>
      <c r="K47" s="1">
        <v>-1.4700735562501843</v>
      </c>
      <c r="L47" s="1">
        <v>154.49700000000001</v>
      </c>
      <c r="M47" s="1">
        <v>-7.6797590663822195</v>
      </c>
      <c r="N47" s="1">
        <v>-1.1337862287918776</v>
      </c>
      <c r="O47" s="1">
        <v>312591</v>
      </c>
      <c r="P47" s="1">
        <v>-1.2696968835574252</v>
      </c>
      <c r="Q47" s="1">
        <v>24.031991875079338</v>
      </c>
      <c r="R47" s="1">
        <v>9.9</v>
      </c>
      <c r="S47" s="1">
        <v>8.59</v>
      </c>
      <c r="V47" s="20">
        <f t="shared" si="4"/>
        <v>9.5069147176535473</v>
      </c>
      <c r="W47" s="20">
        <f t="shared" si="5"/>
        <v>0.44333333333333336</v>
      </c>
      <c r="X47" s="20">
        <f t="shared" si="5"/>
        <v>4.7433333333333341</v>
      </c>
      <c r="Y47" s="20">
        <v>0.21557914824893132</v>
      </c>
      <c r="Z47" s="20">
        <f t="shared" si="6"/>
        <v>-3.4459560675897918</v>
      </c>
      <c r="AA47" s="19">
        <f>+AVERAGE(M45:M47)*AVERAGE($F$15:F47)</f>
        <v>-1.728001926750893</v>
      </c>
      <c r="AB47" s="19">
        <f t="shared" si="7"/>
        <v>-0.67483635761520133</v>
      </c>
      <c r="AC47" s="19">
        <f t="shared" si="8"/>
        <v>1.8106468636147472</v>
      </c>
      <c r="AD47" s="21">
        <f t="shared" si="9"/>
        <v>4.6977046218637701</v>
      </c>
      <c r="AE47" s="19"/>
      <c r="AZ47" s="22"/>
    </row>
    <row r="48" spans="1:52" x14ac:dyDescent="0.25">
      <c r="A48" s="2">
        <v>39355</v>
      </c>
      <c r="B48" s="15">
        <v>4828</v>
      </c>
      <c r="C48" s="19">
        <v>19.268774703557323</v>
      </c>
      <c r="D48" s="15">
        <v>3963</v>
      </c>
      <c r="E48" s="19">
        <v>291.45999999999998</v>
      </c>
      <c r="F48" s="18">
        <v>0.31919989020791878</v>
      </c>
      <c r="G48" s="1">
        <v>7.6</v>
      </c>
      <c r="H48" s="1">
        <v>10.5</v>
      </c>
      <c r="I48" s="16">
        <v>21.298395956056389</v>
      </c>
      <c r="J48" s="1">
        <v>663.274</v>
      </c>
      <c r="K48" s="1">
        <v>-2.4152187026438621</v>
      </c>
      <c r="L48" s="1">
        <v>157.52500000000001</v>
      </c>
      <c r="M48" s="1">
        <v>-4.6372249296243613</v>
      </c>
      <c r="N48" s="1">
        <v>-8.7994971715898984E-2</v>
      </c>
      <c r="O48" s="1">
        <v>304684</v>
      </c>
      <c r="P48" s="1">
        <v>-2.3451847910743839</v>
      </c>
      <c r="Q48" s="1">
        <v>29.156954156954164</v>
      </c>
      <c r="R48" s="1">
        <v>8.4</v>
      </c>
      <c r="S48" s="1">
        <v>8.5838709677419338</v>
      </c>
      <c r="V48" s="20">
        <f t="shared" si="4"/>
        <v>10.106100321229061</v>
      </c>
      <c r="W48" s="20">
        <f t="shared" si="5"/>
        <v>-0.18387096774193346</v>
      </c>
      <c r="X48" s="20">
        <f t="shared" si="5"/>
        <v>3.4827956989247344</v>
      </c>
      <c r="Y48" s="20">
        <v>2.5993051510699594</v>
      </c>
      <c r="Z48" s="20">
        <f t="shared" si="6"/>
        <v>-3.2600769415888298</v>
      </c>
      <c r="AA48" s="19">
        <f>+AVERAGE(M46:M48)*AVERAGE($F$15:F48)</f>
        <v>-1.7381253376445664</v>
      </c>
      <c r="AB48" s="19">
        <f t="shared" si="7"/>
        <v>-0.74246615701351415</v>
      </c>
      <c r="AC48" s="19">
        <f t="shared" si="8"/>
        <v>-0.1845952378257576</v>
      </c>
      <c r="AD48" s="21">
        <f t="shared" si="9"/>
        <v>6.1521435393984367</v>
      </c>
      <c r="AE48" s="19"/>
      <c r="AZ48" s="22"/>
    </row>
    <row r="49" spans="1:52" x14ac:dyDescent="0.25">
      <c r="A49" s="2">
        <v>39386</v>
      </c>
      <c r="B49" s="15">
        <v>5581</v>
      </c>
      <c r="C49" s="19">
        <v>32.754519505233112</v>
      </c>
      <c r="D49" s="15">
        <v>4400</v>
      </c>
      <c r="E49" s="19">
        <v>291.45999999999998</v>
      </c>
      <c r="F49" s="18">
        <v>0.32785287861113016</v>
      </c>
      <c r="G49" s="1">
        <v>10.199999999999999</v>
      </c>
      <c r="H49" s="1">
        <v>12.7</v>
      </c>
      <c r="I49" s="16">
        <v>22.52986992119278</v>
      </c>
      <c r="J49" s="1">
        <v>658.56</v>
      </c>
      <c r="K49" s="1">
        <v>-2.8189527833156092</v>
      </c>
      <c r="L49" s="1">
        <v>159.43799999999999</v>
      </c>
      <c r="M49" s="1">
        <v>-3.1366759618714379</v>
      </c>
      <c r="N49" s="1">
        <v>-0.55607176041745365</v>
      </c>
      <c r="O49" s="1">
        <v>295477</v>
      </c>
      <c r="P49" s="1">
        <v>-7.0409020408548457</v>
      </c>
      <c r="Q49" s="1">
        <v>38.145231846019236</v>
      </c>
      <c r="R49" s="1">
        <v>8.4</v>
      </c>
      <c r="S49" s="1">
        <v>8.5781249999999982</v>
      </c>
      <c r="V49" s="20">
        <f t="shared" si="4"/>
        <v>14.069928635619744</v>
      </c>
      <c r="W49" s="20">
        <f t="shared" si="5"/>
        <v>0.28854166666666714</v>
      </c>
      <c r="X49" s="20">
        <f t="shared" si="5"/>
        <v>3.1885416666666675</v>
      </c>
      <c r="Y49" s="20">
        <v>4.3912161448337841</v>
      </c>
      <c r="Z49" s="20">
        <f t="shared" si="6"/>
        <v>-2.2347483474032184</v>
      </c>
      <c r="AA49" s="19">
        <f>+AVERAGE(M47:M49)*AVERAGE($F$15:F49)</f>
        <v>-1.693957460293275</v>
      </c>
      <c r="AB49" s="19">
        <f t="shared" si="7"/>
        <v>-0.59261765364174346</v>
      </c>
      <c r="AC49" s="19">
        <f t="shared" si="8"/>
        <v>-3.5519279051622181</v>
      </c>
      <c r="AD49" s="21">
        <f t="shared" si="9"/>
        <v>30.444725959350915</v>
      </c>
      <c r="AE49" s="19"/>
      <c r="AZ49" s="22"/>
    </row>
    <row r="50" spans="1:52" x14ac:dyDescent="0.25">
      <c r="A50" s="2">
        <v>39416</v>
      </c>
      <c r="B50" s="15">
        <v>5424</v>
      </c>
      <c r="C50" s="19">
        <v>31.970802919708021</v>
      </c>
      <c r="D50" s="15">
        <v>4384</v>
      </c>
      <c r="E50" s="19">
        <v>291.45999999999998</v>
      </c>
      <c r="F50" s="18">
        <v>0.33629657585946615</v>
      </c>
      <c r="G50" s="1">
        <v>9.8000000000000007</v>
      </c>
      <c r="H50" s="1">
        <v>11</v>
      </c>
      <c r="I50" s="16">
        <v>20.624127612006443</v>
      </c>
      <c r="J50" s="1">
        <v>622.96500000000003</v>
      </c>
      <c r="K50" s="1">
        <v>-0.69628092257221219</v>
      </c>
      <c r="L50" s="1">
        <v>159.41300000000001</v>
      </c>
      <c r="M50" s="1">
        <v>-2.4406215384238816</v>
      </c>
      <c r="N50" s="1">
        <v>-0.58796924468567102</v>
      </c>
      <c r="O50" s="1">
        <v>287895</v>
      </c>
      <c r="P50" s="1">
        <v>-11.268946982352112</v>
      </c>
      <c r="Q50" s="1">
        <v>-5.5965430016863271</v>
      </c>
      <c r="R50" s="1">
        <v>8.4</v>
      </c>
      <c r="S50" s="1">
        <v>8.5727272727272705</v>
      </c>
      <c r="V50" s="20">
        <f t="shared" si="4"/>
        <v>19.42530510343888</v>
      </c>
      <c r="W50" s="20">
        <f t="shared" si="5"/>
        <v>0.62727272727272876</v>
      </c>
      <c r="X50" s="20">
        <f t="shared" si="5"/>
        <v>2.8272727272727298</v>
      </c>
      <c r="Y50" s="20">
        <v>4.4906806249914588</v>
      </c>
      <c r="Z50" s="20">
        <f t="shared" si="6"/>
        <v>-1.9768174695105614</v>
      </c>
      <c r="AA50" s="19">
        <f>+AVERAGE(M48:M50)*AVERAGE($F$15:F50)</f>
        <v>-1.1203725452949209</v>
      </c>
      <c r="AB50" s="19">
        <f t="shared" si="7"/>
        <v>-0.41067865893967453</v>
      </c>
      <c r="AC50" s="19">
        <f t="shared" si="8"/>
        <v>-6.8850112714271141</v>
      </c>
      <c r="AD50" s="21">
        <f t="shared" si="9"/>
        <v>20.568547667095689</v>
      </c>
      <c r="AE50" s="19"/>
      <c r="AZ50" s="22"/>
    </row>
    <row r="51" spans="1:52" x14ac:dyDescent="0.25">
      <c r="A51" s="2">
        <v>39447</v>
      </c>
      <c r="B51" s="15">
        <v>5787</v>
      </c>
      <c r="C51" s="19">
        <v>36.453666588068856</v>
      </c>
      <c r="D51" s="15">
        <v>3881</v>
      </c>
      <c r="E51" s="19">
        <v>316.38</v>
      </c>
      <c r="F51" s="18">
        <v>0.31825020544914345</v>
      </c>
      <c r="G51" s="1">
        <v>7.8</v>
      </c>
      <c r="H51" s="1">
        <v>11</v>
      </c>
      <c r="I51" s="16">
        <v>19.78390788446449</v>
      </c>
      <c r="J51" s="1">
        <v>654.39700000000005</v>
      </c>
      <c r="K51" s="1">
        <v>-1.1592394784857185</v>
      </c>
      <c r="L51" s="1">
        <v>159.57</v>
      </c>
      <c r="M51" s="1">
        <v>-1.9798148569041718</v>
      </c>
      <c r="N51" s="1">
        <v>1.8114602587800177</v>
      </c>
      <c r="O51" s="1">
        <v>271865</v>
      </c>
      <c r="P51" s="1">
        <v>-10.340381044723445</v>
      </c>
      <c r="Q51" s="1">
        <v>49.072929542645241</v>
      </c>
      <c r="R51" s="1">
        <v>9.3000000000000007</v>
      </c>
      <c r="S51" s="1">
        <v>8.5941176470588214</v>
      </c>
      <c r="V51" s="20">
        <f t="shared" si="4"/>
        <v>25.132212023944511</v>
      </c>
      <c r="W51" s="20">
        <f t="shared" si="5"/>
        <v>0.67254901960784608</v>
      </c>
      <c r="X51" s="20">
        <f t="shared" si="5"/>
        <v>2.9725490196078468</v>
      </c>
      <c r="Y51" s="20">
        <v>3.6169283103349663</v>
      </c>
      <c r="Z51" s="20">
        <f t="shared" si="6"/>
        <v>-1.5581577281245131</v>
      </c>
      <c r="AA51" s="19">
        <f>+AVERAGE(M49:M51)*AVERAGE($F$15:F51)</f>
        <v>-0.82816096686220841</v>
      </c>
      <c r="AB51" s="19">
        <f t="shared" si="7"/>
        <v>0.22247308455896433</v>
      </c>
      <c r="AC51" s="19">
        <f t="shared" si="8"/>
        <v>-9.5500766893101332</v>
      </c>
      <c r="AD51" s="21">
        <f t="shared" si="9"/>
        <v>27.20720612899272</v>
      </c>
      <c r="AE51" s="19"/>
      <c r="AZ51" s="22"/>
    </row>
    <row r="52" spans="1:52" x14ac:dyDescent="0.25">
      <c r="A52" s="2">
        <v>39478</v>
      </c>
      <c r="B52" s="15">
        <v>5818</v>
      </c>
      <c r="C52" s="19">
        <v>71.622418879056056</v>
      </c>
      <c r="D52" s="15">
        <v>4479</v>
      </c>
      <c r="E52" s="19">
        <v>316.38</v>
      </c>
      <c r="F52" s="18">
        <v>0.33075415639420952</v>
      </c>
      <c r="G52" s="1">
        <v>10</v>
      </c>
      <c r="H52" s="1">
        <v>11.4</v>
      </c>
      <c r="I52" s="16">
        <v>20.956812978046507</v>
      </c>
      <c r="J52" s="1">
        <v>665.36300000000006</v>
      </c>
      <c r="K52" s="1">
        <v>1.9149558634992792</v>
      </c>
      <c r="L52" s="1">
        <v>159.852</v>
      </c>
      <c r="M52" s="1">
        <v>-1.9799976698695598</v>
      </c>
      <c r="N52" s="1">
        <v>-1.2052351502948699</v>
      </c>
      <c r="O52" s="1">
        <v>275472</v>
      </c>
      <c r="P52" s="1">
        <v>-10.47703851990992</v>
      </c>
      <c r="Q52" s="1">
        <v>8.5280898876404443</v>
      </c>
      <c r="R52" s="1">
        <v>9.3000000000000007</v>
      </c>
      <c r="S52" s="1">
        <v>8.6142857142857121</v>
      </c>
      <c r="V52" s="20">
        <f t="shared" si="4"/>
        <v>38.068010414658595</v>
      </c>
      <c r="W52" s="20">
        <f t="shared" si="5"/>
        <v>0.58571428571428896</v>
      </c>
      <c r="X52" s="20">
        <f t="shared" si="5"/>
        <v>2.5190476190476208</v>
      </c>
      <c r="Y52" s="20">
        <v>2.8068753542280369</v>
      </c>
      <c r="Z52" s="20">
        <f t="shared" si="6"/>
        <v>1.9811820813782816E-2</v>
      </c>
      <c r="AA52" s="19">
        <f>+AVERAGE(M50:M52)*AVERAGE($F$15:F52)</f>
        <v>-0.70151602045022443</v>
      </c>
      <c r="AB52" s="19">
        <f t="shared" si="7"/>
        <v>6.0852879331589156E-3</v>
      </c>
      <c r="AC52" s="19">
        <f t="shared" si="8"/>
        <v>-10.695455515661825</v>
      </c>
      <c r="AD52" s="21">
        <f t="shared" si="9"/>
        <v>17.334825476199786</v>
      </c>
      <c r="AE52" s="19"/>
      <c r="AZ52" s="22"/>
    </row>
    <row r="53" spans="1:52" x14ac:dyDescent="0.25">
      <c r="A53" s="2">
        <v>39507</v>
      </c>
      <c r="B53" s="15">
        <v>5226</v>
      </c>
      <c r="C53" s="19">
        <v>45.692779481460818</v>
      </c>
      <c r="D53" s="15">
        <v>4210</v>
      </c>
      <c r="E53" s="19">
        <v>316.38</v>
      </c>
      <c r="F53" s="18">
        <v>0.34041974840381817</v>
      </c>
      <c r="G53" s="1">
        <v>8.9</v>
      </c>
      <c r="H53" s="1">
        <v>11.8</v>
      </c>
      <c r="I53" s="16">
        <v>23.020897918713711</v>
      </c>
      <c r="J53" s="1">
        <v>675.03200000000004</v>
      </c>
      <c r="K53" s="1">
        <v>3.192076447181158</v>
      </c>
      <c r="L53" s="1">
        <v>161.67400000000001</v>
      </c>
      <c r="M53" s="1">
        <v>-1.0120800602472335</v>
      </c>
      <c r="N53" s="1">
        <v>-1.6915572232645282</v>
      </c>
      <c r="O53" s="1">
        <v>287785</v>
      </c>
      <c r="P53" s="1">
        <v>-7.6780690301200716</v>
      </c>
      <c r="Q53" s="1">
        <v>-21.554271034039818</v>
      </c>
      <c r="R53" s="1">
        <v>9.3000000000000007</v>
      </c>
      <c r="S53" s="1">
        <v>8.6333333333333329</v>
      </c>
      <c r="V53" s="20">
        <f t="shared" si="4"/>
        <v>42.622954982861913</v>
      </c>
      <c r="W53" s="20">
        <f t="shared" si="5"/>
        <v>0.2666666666666675</v>
      </c>
      <c r="X53" s="20">
        <f t="shared" si="5"/>
        <v>2.7666666666666675</v>
      </c>
      <c r="Y53" s="20">
        <v>3.3082631632170134</v>
      </c>
      <c r="Z53" s="20">
        <f t="shared" si="6"/>
        <v>1.3159309440649063</v>
      </c>
      <c r="AA53" s="19">
        <f>+AVERAGE(M51:M53)*AVERAGE($F$15:F53)</f>
        <v>-0.54543473762479833</v>
      </c>
      <c r="AB53" s="19">
        <f t="shared" si="7"/>
        <v>-0.36177737159312678</v>
      </c>
      <c r="AC53" s="19">
        <f t="shared" si="8"/>
        <v>-9.4984961982511447</v>
      </c>
      <c r="AD53" s="21">
        <f t="shared" si="9"/>
        <v>12.015582798748625</v>
      </c>
      <c r="AE53" s="19"/>
      <c r="AZ53" s="22"/>
    </row>
    <row r="54" spans="1:52" x14ac:dyDescent="0.25">
      <c r="A54" s="2">
        <v>39538</v>
      </c>
      <c r="B54" s="15">
        <v>4991</v>
      </c>
      <c r="C54" s="19">
        <v>19.602204648933629</v>
      </c>
      <c r="D54" s="15">
        <v>4163</v>
      </c>
      <c r="E54" s="19">
        <v>327.41000000000003</v>
      </c>
      <c r="F54" s="18">
        <v>0.33371308145749978</v>
      </c>
      <c r="G54" s="1">
        <v>2.4</v>
      </c>
      <c r="H54" s="1">
        <v>5.4</v>
      </c>
      <c r="I54" s="16">
        <v>27.027040227521624</v>
      </c>
      <c r="J54" s="1">
        <v>675.279</v>
      </c>
      <c r="K54" s="1">
        <v>2.5552278519076488</v>
      </c>
      <c r="L54" s="1">
        <v>156.56299999999999</v>
      </c>
      <c r="M54" s="1">
        <v>-4.7930919152300184</v>
      </c>
      <c r="N54" s="1">
        <v>-1.7843996494303349</v>
      </c>
      <c r="O54" s="1">
        <v>301723</v>
      </c>
      <c r="P54" s="1">
        <v>-4.3324550472911056</v>
      </c>
      <c r="Q54" s="1">
        <v>-29.765404026398979</v>
      </c>
      <c r="R54" s="1">
        <v>6.9</v>
      </c>
      <c r="S54" s="1">
        <v>8.5864864864864838</v>
      </c>
      <c r="V54" s="20">
        <f t="shared" si="4"/>
        <v>37.052647849997015</v>
      </c>
      <c r="W54" s="20">
        <f t="shared" si="5"/>
        <v>-1.4864864864864851</v>
      </c>
      <c r="X54" s="20">
        <f t="shared" si="5"/>
        <v>0.94684684684684939</v>
      </c>
      <c r="Y54" s="20">
        <v>5.0638251260756171</v>
      </c>
      <c r="Z54" s="20">
        <f t="shared" si="6"/>
        <v>2.5540867208626952</v>
      </c>
      <c r="AA54" s="19">
        <f>+AVERAGE(M52:M54)*AVERAGE($F$15:F54)</f>
        <v>-0.85436005516971303</v>
      </c>
      <c r="AB54" s="19">
        <f t="shared" si="7"/>
        <v>-1.5603973409965777</v>
      </c>
      <c r="AC54" s="19">
        <f t="shared" si="8"/>
        <v>-7.4958541991070327</v>
      </c>
      <c r="AD54" s="21">
        <f t="shared" si="9"/>
        <v>-14.263861724266116</v>
      </c>
      <c r="AE54" s="19"/>
      <c r="AZ54" s="22"/>
    </row>
    <row r="55" spans="1:52" x14ac:dyDescent="0.25">
      <c r="A55" s="2">
        <v>39568</v>
      </c>
      <c r="B55" s="15">
        <v>5846</v>
      </c>
      <c r="C55" s="19">
        <v>35.985112816934176</v>
      </c>
      <c r="D55" s="15">
        <v>4930</v>
      </c>
      <c r="E55" s="19">
        <v>327.41000000000003</v>
      </c>
      <c r="F55" s="18">
        <v>0.34414648300296263</v>
      </c>
      <c r="G55" s="1">
        <v>8.9</v>
      </c>
      <c r="H55" s="1">
        <v>9</v>
      </c>
      <c r="I55" s="16">
        <v>27.999179383467869</v>
      </c>
      <c r="J55" s="1">
        <v>672.17899999999997</v>
      </c>
      <c r="K55" s="1">
        <v>0.79429344321784168</v>
      </c>
      <c r="L55" s="1">
        <v>153.16999999999999</v>
      </c>
      <c r="M55" s="1">
        <v>-5.9839552170096955</v>
      </c>
      <c r="N55" s="1">
        <v>-1.6562886930931331</v>
      </c>
      <c r="O55" s="1">
        <v>302429</v>
      </c>
      <c r="P55" s="1">
        <v>-5.0362987804112187</v>
      </c>
      <c r="Q55" s="1">
        <v>-49.634551495016609</v>
      </c>
      <c r="R55" s="1">
        <v>6.9</v>
      </c>
      <c r="S55" s="1">
        <v>8.5421052631578931</v>
      </c>
      <c r="V55" s="20">
        <f t="shared" si="4"/>
        <v>25.217927052618315</v>
      </c>
      <c r="W55" s="20">
        <f t="shared" si="5"/>
        <v>-1.8087719298245588</v>
      </c>
      <c r="X55" s="20">
        <f t="shared" si="5"/>
        <v>0.19122807017544119</v>
      </c>
      <c r="Y55" s="20">
        <v>6.7345125726724966</v>
      </c>
      <c r="Z55" s="20">
        <f t="shared" si="6"/>
        <v>2.1805325807688827</v>
      </c>
      <c r="AA55" s="19">
        <f>+AVERAGE(M53:M55)*AVERAGE($F$15:F55)</f>
        <v>-1.2951924260155188</v>
      </c>
      <c r="AB55" s="19">
        <f t="shared" si="7"/>
        <v>-1.7107485219293321</v>
      </c>
      <c r="AC55" s="19">
        <f t="shared" si="8"/>
        <v>-5.6822742859407986</v>
      </c>
      <c r="AD55" s="21">
        <f t="shared" si="9"/>
        <v>-33.651408851818466</v>
      </c>
      <c r="AE55" s="19"/>
      <c r="AZ55" s="22"/>
    </row>
    <row r="56" spans="1:52" x14ac:dyDescent="0.25">
      <c r="A56" s="2">
        <v>39599</v>
      </c>
      <c r="B56" s="15">
        <v>6240</v>
      </c>
      <c r="C56" s="19">
        <v>28.500823723228997</v>
      </c>
      <c r="D56" s="15">
        <v>5200</v>
      </c>
      <c r="E56" s="19">
        <v>327.41000000000003</v>
      </c>
      <c r="F56" s="18">
        <v>0.35343758590146912</v>
      </c>
      <c r="G56" s="1">
        <v>4.4000000000000004</v>
      </c>
      <c r="H56" s="1">
        <v>5.8</v>
      </c>
      <c r="I56" s="16">
        <v>25.503049665173773</v>
      </c>
      <c r="J56" s="1">
        <v>547.59900000000005</v>
      </c>
      <c r="K56" s="1">
        <v>-17.417715410310741</v>
      </c>
      <c r="L56" s="1">
        <v>152.40600000000001</v>
      </c>
      <c r="M56" s="1">
        <v>-6.012148869908418</v>
      </c>
      <c r="N56" s="1">
        <v>-2.8161220369400608</v>
      </c>
      <c r="O56" s="1">
        <v>289256</v>
      </c>
      <c r="P56" s="1">
        <v>-11.001987606687713</v>
      </c>
      <c r="Q56" s="1">
        <v>-26.244645011021916</v>
      </c>
      <c r="R56" s="1">
        <v>6.9</v>
      </c>
      <c r="S56" s="1">
        <v>8.4999999999999964</v>
      </c>
      <c r="V56" s="20">
        <f t="shared" si="4"/>
        <v>19.529380396365603</v>
      </c>
      <c r="W56" s="20">
        <f t="shared" si="5"/>
        <v>-3.2666666666666631</v>
      </c>
      <c r="X56" s="20">
        <f t="shared" si="5"/>
        <v>-1.7666666666666631</v>
      </c>
      <c r="Y56" s="20">
        <v>6.7801486897756362</v>
      </c>
      <c r="Z56" s="20">
        <f t="shared" si="6"/>
        <v>-4.6893980383950833</v>
      </c>
      <c r="AA56" s="19">
        <f>+AVERAGE(M54:M56)*AVERAGE($F$15:F56)</f>
        <v>-1.8476941356097041</v>
      </c>
      <c r="AB56" s="19">
        <f t="shared" si="7"/>
        <v>-2.0856034598211761</v>
      </c>
      <c r="AC56" s="19">
        <f t="shared" si="8"/>
        <v>-6.7902471447966795</v>
      </c>
      <c r="AD56" s="21">
        <f t="shared" si="9"/>
        <v>-35.214866844145838</v>
      </c>
      <c r="AE56" s="19"/>
      <c r="AZ56" s="22"/>
    </row>
    <row r="57" spans="1:52" x14ac:dyDescent="0.25">
      <c r="A57" s="2">
        <v>39629</v>
      </c>
      <c r="B57" s="15">
        <v>5407</v>
      </c>
      <c r="C57" s="19">
        <v>19.597434195974351</v>
      </c>
      <c r="D57" s="15">
        <v>5196</v>
      </c>
      <c r="E57" s="19">
        <v>389.04</v>
      </c>
      <c r="F57" s="18">
        <v>0.30388134896154639</v>
      </c>
      <c r="G57" s="1">
        <v>3.2</v>
      </c>
      <c r="H57" s="1">
        <v>2.8</v>
      </c>
      <c r="I57" s="16">
        <v>25.193293626026964</v>
      </c>
      <c r="J57" s="1">
        <v>637.47900000000004</v>
      </c>
      <c r="K57" s="1">
        <v>-2.6855104255874562</v>
      </c>
      <c r="L57" s="1">
        <v>147.065</v>
      </c>
      <c r="M57" s="1">
        <v>-7.7638543940192095</v>
      </c>
      <c r="N57" s="1">
        <v>-4.6308779338910311</v>
      </c>
      <c r="O57" s="1">
        <v>282258</v>
      </c>
      <c r="P57" s="1">
        <v>-16.225024041030021</v>
      </c>
      <c r="Q57" s="1">
        <v>-38.610467361915802</v>
      </c>
      <c r="R57" s="1">
        <v>5.5</v>
      </c>
      <c r="S57" s="1">
        <v>8.4249999999999972</v>
      </c>
      <c r="V57" s="20">
        <f t="shared" si="4"/>
        <v>19.602790245379182</v>
      </c>
      <c r="W57" s="20">
        <f t="shared" si="5"/>
        <v>-2.9249999999999972</v>
      </c>
      <c r="X57" s="20">
        <f t="shared" si="5"/>
        <v>-2.55833333333333</v>
      </c>
      <c r="Y57" s="20">
        <v>5.5316813368040307</v>
      </c>
      <c r="Z57" s="20">
        <f t="shared" si="6"/>
        <v>-6.4363107975601181</v>
      </c>
      <c r="AA57" s="19">
        <f>+AVERAGE(M55:M57)*AVERAGE($F$15:F57)</f>
        <v>-2.1706092166605311</v>
      </c>
      <c r="AB57" s="19">
        <f t="shared" si="7"/>
        <v>-3.0344295546414082</v>
      </c>
      <c r="AC57" s="19">
        <f t="shared" si="8"/>
        <v>-10.754436809376317</v>
      </c>
      <c r="AD57" s="21">
        <f t="shared" si="9"/>
        <v>-38.163221289318109</v>
      </c>
      <c r="AE57" s="19"/>
      <c r="AZ57" s="22"/>
    </row>
    <row r="58" spans="1:52" x14ac:dyDescent="0.25">
      <c r="A58" s="2">
        <v>39660</v>
      </c>
      <c r="B58" s="15">
        <v>7011</v>
      </c>
      <c r="C58" s="19">
        <v>51.950585175552668</v>
      </c>
      <c r="D58" s="15">
        <v>6047</v>
      </c>
      <c r="E58" s="19">
        <v>389.04</v>
      </c>
      <c r="F58" s="18">
        <v>0.3149804647337035</v>
      </c>
      <c r="G58" s="1">
        <v>7.3</v>
      </c>
      <c r="H58" s="1">
        <v>6.5</v>
      </c>
      <c r="I58" s="16">
        <v>23.668750920667296</v>
      </c>
      <c r="J58" s="1">
        <v>670.66399999999999</v>
      </c>
      <c r="K58" s="1">
        <v>6.0368516416277496</v>
      </c>
      <c r="L58" s="1">
        <v>147.92699999999999</v>
      </c>
      <c r="M58" s="1">
        <v>-7.3597655295937532</v>
      </c>
      <c r="N58" s="1">
        <v>-2.3350253807106203</v>
      </c>
      <c r="O58" s="1">
        <v>277865</v>
      </c>
      <c r="P58" s="1">
        <v>-15.100508116729349</v>
      </c>
      <c r="Q58" s="1">
        <v>-1.3835877862595325</v>
      </c>
      <c r="R58" s="1">
        <v>5.5</v>
      </c>
      <c r="S58" s="1">
        <v>8.3536585365853639</v>
      </c>
      <c r="V58" s="20">
        <f t="shared" si="4"/>
        <v>24.995955828333308</v>
      </c>
      <c r="W58" s="20">
        <f t="shared" si="5"/>
        <v>-3.3869918699186972</v>
      </c>
      <c r="X58" s="20">
        <f t="shared" si="5"/>
        <v>-3.3203252032520307</v>
      </c>
      <c r="Y58" s="20">
        <v>3.5926883002726768</v>
      </c>
      <c r="Z58" s="20">
        <f t="shared" si="6"/>
        <v>-4.6887913980901494</v>
      </c>
      <c r="AA58" s="19">
        <f>+AVERAGE(M56:M58)*AVERAGE($F$15:F58)</f>
        <v>-2.3194081063261596</v>
      </c>
      <c r="AB58" s="19">
        <f t="shared" si="7"/>
        <v>-3.2606751171805706</v>
      </c>
      <c r="AC58" s="19">
        <f t="shared" si="8"/>
        <v>-14.109173254815694</v>
      </c>
      <c r="AD58" s="21">
        <f t="shared" si="9"/>
        <v>-22.079566719732423</v>
      </c>
      <c r="AE58" s="19"/>
      <c r="AZ58" s="22"/>
    </row>
    <row r="59" spans="1:52" x14ac:dyDescent="0.25">
      <c r="A59" s="2">
        <v>39691</v>
      </c>
      <c r="B59" s="15">
        <v>7367</v>
      </c>
      <c r="C59" s="19">
        <v>49.674928890694844</v>
      </c>
      <c r="D59" s="15">
        <v>5159</v>
      </c>
      <c r="E59" s="19">
        <v>389.04</v>
      </c>
      <c r="F59" s="18">
        <v>0.32268661320172731</v>
      </c>
      <c r="G59" s="1">
        <v>3.7</v>
      </c>
      <c r="H59" s="1">
        <v>4.9000000000000004</v>
      </c>
      <c r="I59" s="16">
        <v>20.40653925805875</v>
      </c>
      <c r="J59" s="1">
        <v>684.64599999999996</v>
      </c>
      <c r="K59" s="1">
        <v>4.3728142788759028</v>
      </c>
      <c r="L59" s="1">
        <v>141.69200000000001</v>
      </c>
      <c r="M59" s="1">
        <v>-8.288186825634158</v>
      </c>
      <c r="N59" s="1">
        <v>-0.68321454902924295</v>
      </c>
      <c r="O59" s="1">
        <v>286362</v>
      </c>
      <c r="P59" s="1">
        <v>-8.390836588385465</v>
      </c>
      <c r="Q59" s="1">
        <v>-6.4073694984646874</v>
      </c>
      <c r="R59" s="1">
        <v>5.5</v>
      </c>
      <c r="S59" s="1">
        <v>8.2857142857142829</v>
      </c>
      <c r="V59" s="20">
        <f t="shared" si="4"/>
        <v>32.121935135026334</v>
      </c>
      <c r="W59" s="20">
        <f t="shared" si="5"/>
        <v>-3.5523809523809495</v>
      </c>
      <c r="X59" s="20">
        <f t="shared" si="5"/>
        <v>-3.5523809523809495</v>
      </c>
      <c r="Y59" s="20">
        <v>1.5127177634976725</v>
      </c>
      <c r="Z59" s="20">
        <f t="shared" si="6"/>
        <v>2.574718498305399</v>
      </c>
      <c r="AA59" s="19">
        <f>+AVERAGE(M57:M59)*AVERAGE($F$15:F59)</f>
        <v>-2.5680448978920722</v>
      </c>
      <c r="AB59" s="19">
        <f t="shared" si="7"/>
        <v>-2.5497059545436316</v>
      </c>
      <c r="AC59" s="19">
        <f t="shared" si="8"/>
        <v>-13.238789582048279</v>
      </c>
      <c r="AD59" s="21">
        <f t="shared" si="9"/>
        <v>-15.467141548880008</v>
      </c>
      <c r="AE59" s="19"/>
      <c r="AZ59" s="22"/>
    </row>
    <row r="60" spans="1:52" x14ac:dyDescent="0.25">
      <c r="A60" s="2">
        <v>39721</v>
      </c>
      <c r="B60" s="15">
        <v>6919</v>
      </c>
      <c r="C60" s="19">
        <v>43.309859154929576</v>
      </c>
      <c r="D60" s="15">
        <v>5311</v>
      </c>
      <c r="E60" s="19">
        <v>388.64</v>
      </c>
      <c r="F60" s="18">
        <v>0.33186753808151503</v>
      </c>
      <c r="G60" s="1">
        <v>7</v>
      </c>
      <c r="H60" s="1">
        <v>6.8</v>
      </c>
      <c r="I60" s="16">
        <v>19.216605012065379</v>
      </c>
      <c r="J60" s="1">
        <v>684.56600000000003</v>
      </c>
      <c r="K60" s="1">
        <v>3.2101363840584707</v>
      </c>
      <c r="L60" s="1">
        <v>134.44399999999999</v>
      </c>
      <c r="M60" s="1">
        <v>-14.652277416283145</v>
      </c>
      <c r="N60" s="1">
        <v>-1.5818048422597375</v>
      </c>
      <c r="O60" s="1">
        <v>276912</v>
      </c>
      <c r="P60" s="1">
        <v>-9.1150175263551745</v>
      </c>
      <c r="Q60" s="1">
        <v>30.861783726876226</v>
      </c>
      <c r="R60" s="1">
        <v>6</v>
      </c>
      <c r="S60" s="1">
        <v>8.2325581395348806</v>
      </c>
      <c r="V60" s="20">
        <f t="shared" si="4"/>
        <v>40.079232934190813</v>
      </c>
      <c r="W60" s="20">
        <f t="shared" si="5"/>
        <v>-2.2325581395348806</v>
      </c>
      <c r="X60" s="20">
        <f t="shared" si="5"/>
        <v>-2.1658914728682142</v>
      </c>
      <c r="Y60" s="20">
        <v>-0.88020087128874991</v>
      </c>
      <c r="Z60" s="20">
        <f t="shared" si="6"/>
        <v>4.539934101520708</v>
      </c>
      <c r="AA60" s="19">
        <f>+AVERAGE(M58:M60)*AVERAGE($F$15:F60)</f>
        <v>-3.3242512812156044</v>
      </c>
      <c r="AB60" s="19">
        <f t="shared" si="7"/>
        <v>-1.5333482573332002</v>
      </c>
      <c r="AC60" s="19">
        <f t="shared" si="8"/>
        <v>-10.868787410489995</v>
      </c>
      <c r="AD60" s="21">
        <f t="shared" si="9"/>
        <v>7.690275480717335</v>
      </c>
      <c r="AE60" s="19"/>
      <c r="AZ60" s="22"/>
    </row>
    <row r="61" spans="1:52" x14ac:dyDescent="0.25">
      <c r="A61" s="2">
        <v>39752</v>
      </c>
      <c r="B61" s="15">
        <v>6061</v>
      </c>
      <c r="C61" s="19">
        <v>8.6006092098190212</v>
      </c>
      <c r="D61" s="15">
        <v>5129</v>
      </c>
      <c r="E61" s="19">
        <v>388.64</v>
      </c>
      <c r="F61" s="18">
        <v>0.33497838616714698</v>
      </c>
      <c r="G61" s="1">
        <v>1.5</v>
      </c>
      <c r="H61" s="1">
        <v>3.1</v>
      </c>
      <c r="I61" s="16">
        <v>18.129436191758298</v>
      </c>
      <c r="J61" s="1">
        <v>681.34699999999998</v>
      </c>
      <c r="K61" s="1">
        <v>3.4601251214771755</v>
      </c>
      <c r="L61" s="1">
        <v>132.898</v>
      </c>
      <c r="M61" s="1">
        <v>-16.645968965993053</v>
      </c>
      <c r="N61" s="1">
        <v>-4.9786429521741837</v>
      </c>
      <c r="O61" s="1">
        <v>294444</v>
      </c>
      <c r="P61" s="1">
        <v>-0.34960419931162612</v>
      </c>
      <c r="Q61" s="1">
        <v>-48.480050664977838</v>
      </c>
      <c r="R61" s="1">
        <v>6</v>
      </c>
      <c r="S61" s="1">
        <v>8.1818181818181799</v>
      </c>
      <c r="V61" s="20">
        <f t="shared" si="4"/>
        <v>25.679980903329636</v>
      </c>
      <c r="W61" s="20">
        <f t="shared" si="5"/>
        <v>-4.1151515151515135</v>
      </c>
      <c r="X61" s="20">
        <f t="shared" si="5"/>
        <v>-3.2484848484848472</v>
      </c>
      <c r="Y61" s="20">
        <v>-3.1776007427095543</v>
      </c>
      <c r="Z61" s="20">
        <f t="shared" si="6"/>
        <v>3.6810252614705163</v>
      </c>
      <c r="AA61" s="19">
        <f>+AVERAGE(M59:M61)*AVERAGE($F$15:F61)</f>
        <v>-4.3446862661006636</v>
      </c>
      <c r="AB61" s="19">
        <f t="shared" si="7"/>
        <v>-2.4145541144877214</v>
      </c>
      <c r="AC61" s="19">
        <f t="shared" si="8"/>
        <v>-5.951819438017421</v>
      </c>
      <c r="AD61" s="21">
        <f t="shared" si="9"/>
        <v>-8.0085454788554333</v>
      </c>
      <c r="AE61" s="19"/>
      <c r="AZ61" s="22"/>
    </row>
    <row r="62" spans="1:52" x14ac:dyDescent="0.25">
      <c r="A62" s="2">
        <v>39782</v>
      </c>
      <c r="B62" s="15">
        <v>4903</v>
      </c>
      <c r="C62" s="19">
        <v>-9.6054572271386469</v>
      </c>
      <c r="D62" s="15">
        <v>4182</v>
      </c>
      <c r="E62" s="19">
        <v>388.64</v>
      </c>
      <c r="F62" s="18">
        <v>0.33311805269658296</v>
      </c>
      <c r="G62" s="1">
        <v>-3.2</v>
      </c>
      <c r="H62" s="1">
        <v>-0.1</v>
      </c>
      <c r="I62" s="16">
        <v>19.479478205403638</v>
      </c>
      <c r="J62" s="1">
        <v>682.59</v>
      </c>
      <c r="K62" s="1">
        <v>9.5711637090366111</v>
      </c>
      <c r="L62" s="1">
        <v>127.244</v>
      </c>
      <c r="M62" s="1">
        <v>-20.179659124412698</v>
      </c>
      <c r="N62" s="1">
        <v>-10.638469208669555</v>
      </c>
      <c r="O62" s="1">
        <v>302817</v>
      </c>
      <c r="P62" s="1">
        <v>5.1831396863439849</v>
      </c>
      <c r="Q62" s="1">
        <v>-59.607011276096912</v>
      </c>
      <c r="R62" s="1">
        <v>6</v>
      </c>
      <c r="S62" s="1">
        <v>8.1333333333333311</v>
      </c>
      <c r="V62" s="20">
        <f t="shared" si="4"/>
        <v>5.9683370458699869</v>
      </c>
      <c r="W62" s="20">
        <f t="shared" si="5"/>
        <v>-6.3666666666666645</v>
      </c>
      <c r="X62" s="20">
        <f t="shared" si="5"/>
        <v>-4.8666666666666636</v>
      </c>
      <c r="Y62" s="20">
        <v>-3.8258622721527971</v>
      </c>
      <c r="Z62" s="20">
        <f t="shared" si="6"/>
        <v>5.4138084048574191</v>
      </c>
      <c r="AA62" s="19">
        <f>+AVERAGE(M60:M62)*AVERAGE($F$15:F62)</f>
        <v>-5.6511786815973961</v>
      </c>
      <c r="AB62" s="19">
        <f t="shared" si="7"/>
        <v>-5.7329723343678252</v>
      </c>
      <c r="AC62" s="19">
        <f t="shared" si="8"/>
        <v>-1.427160679774272</v>
      </c>
      <c r="AD62" s="21">
        <f t="shared" si="9"/>
        <v>-25.741759404732843</v>
      </c>
      <c r="AE62" s="19"/>
      <c r="AZ62" s="22"/>
    </row>
    <row r="63" spans="1:52" x14ac:dyDescent="0.25">
      <c r="A63" s="2">
        <v>39813</v>
      </c>
      <c r="B63" s="15">
        <v>4231</v>
      </c>
      <c r="C63" s="19">
        <v>-26.887852082253328</v>
      </c>
      <c r="D63" s="15">
        <v>3457</v>
      </c>
      <c r="E63" s="19">
        <v>351.04</v>
      </c>
      <c r="F63" s="18">
        <v>0.36315804466727436</v>
      </c>
      <c r="G63" s="1">
        <v>-4.2</v>
      </c>
      <c r="H63" s="1">
        <v>-0.7</v>
      </c>
      <c r="I63" s="16">
        <v>18.792504043683476</v>
      </c>
      <c r="J63" s="1">
        <v>659.76099999999997</v>
      </c>
      <c r="K63" s="1">
        <v>0.81968590931802421</v>
      </c>
      <c r="L63" s="1">
        <v>132.55199999999999</v>
      </c>
      <c r="M63" s="1">
        <v>-16.931754089114492</v>
      </c>
      <c r="N63" s="1">
        <v>-3.5404373964352143</v>
      </c>
      <c r="O63" s="1">
        <v>301142</v>
      </c>
      <c r="P63" s="1">
        <v>10.768947823368213</v>
      </c>
      <c r="Q63" s="1">
        <v>-50.939745715865115</v>
      </c>
      <c r="R63" s="1">
        <v>-2</v>
      </c>
      <c r="S63" s="1">
        <v>7.9130434782608674</v>
      </c>
      <c r="V63" s="20">
        <f t="shared" si="4"/>
        <v>-17.210610178118522</v>
      </c>
      <c r="W63" s="20">
        <f t="shared" si="5"/>
        <v>-9.8797101449275342</v>
      </c>
      <c r="X63" s="20">
        <f t="shared" si="5"/>
        <v>-7.1463768115942008</v>
      </c>
      <c r="Y63" s="20">
        <v>-3.9907640510262361</v>
      </c>
      <c r="Z63" s="20">
        <f t="shared" si="6"/>
        <v>4.6169915799439378</v>
      </c>
      <c r="AA63" s="19">
        <f>+AVERAGE(M61:M63)*AVERAGE($F$15:F63)</f>
        <v>-5.9137852595458158</v>
      </c>
      <c r="AB63" s="19">
        <f t="shared" si="7"/>
        <v>-6.3858498524263183</v>
      </c>
      <c r="AC63" s="19">
        <f t="shared" si="8"/>
        <v>5.2008277701335244</v>
      </c>
      <c r="AD63" s="21">
        <f t="shared" si="9"/>
        <v>-53.008935885646622</v>
      </c>
      <c r="AE63" s="19"/>
      <c r="AZ63" s="22"/>
    </row>
    <row r="64" spans="1:52" x14ac:dyDescent="0.25">
      <c r="A64" s="2">
        <v>39844</v>
      </c>
      <c r="B64" s="15">
        <v>3715</v>
      </c>
      <c r="C64" s="19">
        <v>-36.146442076314891</v>
      </c>
      <c r="D64" s="15">
        <v>2760</v>
      </c>
      <c r="E64" s="19">
        <v>351.04</v>
      </c>
      <c r="F64" s="18">
        <v>0.35227039653600728</v>
      </c>
      <c r="G64" s="1">
        <v>-7.5</v>
      </c>
      <c r="H64" s="1">
        <v>-3.6</v>
      </c>
      <c r="I64" s="16">
        <v>17.692639253034052</v>
      </c>
      <c r="J64" s="1">
        <v>639.73099999999999</v>
      </c>
      <c r="K64" s="1">
        <v>-3.8523332376462216</v>
      </c>
      <c r="L64" s="1">
        <v>130.39699999999999</v>
      </c>
      <c r="M64" s="1">
        <v>-18.426419437980137</v>
      </c>
      <c r="N64" s="1">
        <v>-3.0735714848158846</v>
      </c>
      <c r="O64" s="1">
        <v>327868</v>
      </c>
      <c r="P64" s="1">
        <v>19.020444909101464</v>
      </c>
      <c r="Q64" s="1">
        <v>44.11429754632983</v>
      </c>
      <c r="R64" s="1">
        <v>-2</v>
      </c>
      <c r="S64" s="1">
        <v>7.7021276595744661</v>
      </c>
      <c r="V64" s="20">
        <f t="shared" si="4"/>
        <v>-31.915378121476753</v>
      </c>
      <c r="W64" s="20">
        <f t="shared" si="5"/>
        <v>-12.668794326241134</v>
      </c>
      <c r="X64" s="20">
        <f t="shared" si="5"/>
        <v>-9.1687943262411338</v>
      </c>
      <c r="Y64" s="20">
        <v>-4.3289329092762756</v>
      </c>
      <c r="Z64" s="20">
        <f t="shared" si="6"/>
        <v>2.1795054602361383</v>
      </c>
      <c r="AA64" s="19">
        <f>+AVERAGE(M62:M64)*AVERAGE($F$15:F64)</f>
        <v>-6.117886370404892</v>
      </c>
      <c r="AB64" s="19">
        <f t="shared" si="7"/>
        <v>-5.7508260299735516</v>
      </c>
      <c r="AC64" s="19">
        <f t="shared" si="8"/>
        <v>11.657510806271221</v>
      </c>
      <c r="AD64" s="21">
        <f t="shared" si="9"/>
        <v>-22.144153148544063</v>
      </c>
      <c r="AE64" s="19"/>
      <c r="AZ64" s="22"/>
    </row>
    <row r="65" spans="1:53" x14ac:dyDescent="0.25">
      <c r="A65" s="2">
        <v>39872</v>
      </c>
      <c r="B65" s="15">
        <v>3945</v>
      </c>
      <c r="C65" s="19">
        <v>-24.51205510907003</v>
      </c>
      <c r="D65" s="15">
        <v>2663</v>
      </c>
      <c r="E65" s="19">
        <v>351.04</v>
      </c>
      <c r="F65" s="18">
        <v>0.34421433454876937</v>
      </c>
      <c r="G65" s="1">
        <v>-6.5</v>
      </c>
      <c r="H65" s="1">
        <v>-2.6</v>
      </c>
      <c r="I65" s="16">
        <v>14.867086451736068</v>
      </c>
      <c r="J65" s="1">
        <v>653.34299999999996</v>
      </c>
      <c r="K65" s="1">
        <v>-3.2130328636272187</v>
      </c>
      <c r="L65" s="1">
        <v>131.852</v>
      </c>
      <c r="M65" s="1">
        <v>-18.445761223202251</v>
      </c>
      <c r="N65" s="1">
        <v>-3.2033182258939696</v>
      </c>
      <c r="O65" s="1">
        <v>332309</v>
      </c>
      <c r="P65" s="1">
        <v>15.471271956495292</v>
      </c>
      <c r="Q65" s="1">
        <v>-6.5416734894383595</v>
      </c>
      <c r="R65" s="1">
        <v>-2</v>
      </c>
      <c r="S65" s="1">
        <v>7.4999999999999973</v>
      </c>
      <c r="V65" s="20">
        <f t="shared" si="4"/>
        <v>-36.682116422546081</v>
      </c>
      <c r="W65" s="20">
        <f t="shared" si="5"/>
        <v>-13.566666666666663</v>
      </c>
      <c r="X65" s="20">
        <f t="shared" si="5"/>
        <v>-9.7999999999999972</v>
      </c>
      <c r="Y65" s="20">
        <v>-6.1816778938455741</v>
      </c>
      <c r="Z65" s="20">
        <f t="shared" si="6"/>
        <v>-2.0818933973184719</v>
      </c>
      <c r="AA65" s="19">
        <f>+AVERAGE(M63:M65)*AVERAGE($F$15:F65)</f>
        <v>-5.931718088161257</v>
      </c>
      <c r="AB65" s="19">
        <f t="shared" si="7"/>
        <v>-3.2724423690483562</v>
      </c>
      <c r="AC65" s="19">
        <f t="shared" si="8"/>
        <v>15.08688822965499</v>
      </c>
      <c r="AD65" s="21">
        <f t="shared" si="9"/>
        <v>-4.4557072196578815</v>
      </c>
      <c r="AE65" s="19"/>
      <c r="AZ65" s="22"/>
    </row>
    <row r="66" spans="1:53" x14ac:dyDescent="0.25">
      <c r="A66" s="2">
        <v>39903</v>
      </c>
      <c r="B66" s="15">
        <v>4264</v>
      </c>
      <c r="C66" s="19">
        <v>-14.56621919455019</v>
      </c>
      <c r="D66" s="15">
        <v>2888</v>
      </c>
      <c r="E66" s="19">
        <v>313.91000000000003</v>
      </c>
      <c r="F66" s="18">
        <v>0.37855117708897457</v>
      </c>
      <c r="G66" s="1">
        <v>-4.7</v>
      </c>
      <c r="H66" s="1">
        <v>0.4</v>
      </c>
      <c r="I66" s="16">
        <v>12.778842934547981</v>
      </c>
      <c r="J66" s="1">
        <v>649.899</v>
      </c>
      <c r="K66" s="1">
        <v>-3.7584465087763697</v>
      </c>
      <c r="L66" s="1">
        <v>137.68899999999999</v>
      </c>
      <c r="M66" s="1">
        <v>-12.055211001322153</v>
      </c>
      <c r="N66" s="1">
        <v>-2.4977389246403803</v>
      </c>
      <c r="O66" s="1">
        <v>340912</v>
      </c>
      <c r="P66" s="1">
        <v>12.988403270549487</v>
      </c>
      <c r="Q66" s="1">
        <v>-26.666140240050527</v>
      </c>
      <c r="R66" s="1">
        <v>-6.2</v>
      </c>
      <c r="S66" s="1">
        <v>7.2204081632653043</v>
      </c>
      <c r="V66" s="20">
        <f t="shared" si="4"/>
        <v>-32.295313623243672</v>
      </c>
      <c r="W66" s="20">
        <f t="shared" si="5"/>
        <v>-13.453741496598639</v>
      </c>
      <c r="X66" s="20">
        <f t="shared" si="5"/>
        <v>-9.1537414965986379</v>
      </c>
      <c r="Y66" s="20">
        <v>-8.4285048549595931</v>
      </c>
      <c r="Z66" s="20">
        <f t="shared" si="6"/>
        <v>-3.60793753668327</v>
      </c>
      <c r="AA66" s="19">
        <f>+AVERAGE(M64:M66)*AVERAGE($F$15:F66)</f>
        <v>-5.4090893545052561</v>
      </c>
      <c r="AB66" s="19">
        <f t="shared" si="7"/>
        <v>-2.9248762117834115</v>
      </c>
      <c r="AC66" s="19">
        <f t="shared" si="8"/>
        <v>15.826706712048747</v>
      </c>
      <c r="AD66" s="21">
        <f t="shared" si="9"/>
        <v>3.6354946056136477</v>
      </c>
      <c r="AE66" s="19"/>
      <c r="AZ66" s="22"/>
    </row>
    <row r="67" spans="1:53" x14ac:dyDescent="0.25">
      <c r="A67" s="2">
        <v>39933</v>
      </c>
      <c r="B67" s="15">
        <v>5052</v>
      </c>
      <c r="C67" s="19">
        <v>-13.581936366746493</v>
      </c>
      <c r="D67" s="15">
        <v>2777</v>
      </c>
      <c r="E67" s="19">
        <v>313.91000000000003</v>
      </c>
      <c r="F67" s="18">
        <v>0.36916313593068079</v>
      </c>
      <c r="G67" s="1">
        <v>-11.9</v>
      </c>
      <c r="H67" s="1">
        <v>-2.5</v>
      </c>
      <c r="I67" s="16">
        <v>11.378125556214771</v>
      </c>
      <c r="J67" s="1">
        <v>647.19799999999998</v>
      </c>
      <c r="K67" s="1">
        <v>-3.7164207748233702</v>
      </c>
      <c r="L67" s="1">
        <v>138.16300000000001</v>
      </c>
      <c r="M67" s="1">
        <v>-9.7976104981393082</v>
      </c>
      <c r="N67" s="1">
        <v>-2.2029495212621208</v>
      </c>
      <c r="O67" s="1">
        <v>355909</v>
      </c>
      <c r="P67" s="1">
        <v>17.68348934791306</v>
      </c>
      <c r="Q67" s="1">
        <v>-28.776385224274403</v>
      </c>
      <c r="R67" s="1">
        <v>-6.2</v>
      </c>
      <c r="S67" s="1">
        <v>6.9519999999999982</v>
      </c>
      <c r="V67" s="20">
        <f t="shared" si="4"/>
        <v>-24.505403556788902</v>
      </c>
      <c r="W67" s="20">
        <f t="shared" si="5"/>
        <v>-14.651999999999997</v>
      </c>
      <c r="X67" s="20">
        <f t="shared" si="5"/>
        <v>-8.5186666666666646</v>
      </c>
      <c r="Y67" s="20">
        <v>-10.688074467630697</v>
      </c>
      <c r="Z67" s="20">
        <f t="shared" si="6"/>
        <v>-3.5626333824089862</v>
      </c>
      <c r="AA67" s="19">
        <f>+AVERAGE(M65:M67)*AVERAGE($F$15:F67)</f>
        <v>-4.4646503432785138</v>
      </c>
      <c r="AB67" s="19">
        <f t="shared" si="7"/>
        <v>-2.6346688905988236</v>
      </c>
      <c r="AC67" s="19">
        <f t="shared" si="8"/>
        <v>15.381054858319279</v>
      </c>
      <c r="AD67" s="21">
        <f t="shared" si="9"/>
        <v>-20.661399651254431</v>
      </c>
      <c r="AE67" s="19"/>
      <c r="AZ67" s="22"/>
    </row>
    <row r="68" spans="1:53" x14ac:dyDescent="0.25">
      <c r="A68" s="2">
        <v>39964</v>
      </c>
      <c r="B68" s="15">
        <v>5203</v>
      </c>
      <c r="C68" s="19">
        <v>-16.618589743589741</v>
      </c>
      <c r="D68" s="15">
        <v>2660</v>
      </c>
      <c r="E68" s="19">
        <v>313.91000000000003</v>
      </c>
      <c r="F68" s="18">
        <v>0.35776815010671847</v>
      </c>
      <c r="G68" s="1">
        <v>-13.7</v>
      </c>
      <c r="H68" s="1">
        <v>-3.8</v>
      </c>
      <c r="I68" s="16">
        <v>12.12911100902015</v>
      </c>
      <c r="J68" s="1">
        <v>643.55100000000004</v>
      </c>
      <c r="K68" s="1">
        <v>17.522311034169171</v>
      </c>
      <c r="L68" s="1">
        <v>146.88300000000001</v>
      </c>
      <c r="M68" s="1">
        <v>-3.6238730758631488</v>
      </c>
      <c r="N68" s="1">
        <v>-1.9713135024376438</v>
      </c>
      <c r="O68" s="1">
        <v>347582</v>
      </c>
      <c r="P68" s="1">
        <v>20.164145255413878</v>
      </c>
      <c r="Q68" s="1">
        <v>-42.226357638301479</v>
      </c>
      <c r="R68" s="1">
        <v>-6.2</v>
      </c>
      <c r="S68" s="1">
        <v>6.694117647058822</v>
      </c>
      <c r="V68" s="20">
        <f t="shared" si="4"/>
        <v>-21.616366082020964</v>
      </c>
      <c r="W68" s="20">
        <f t="shared" si="5"/>
        <v>-16.794117647058822</v>
      </c>
      <c r="X68" s="20">
        <f t="shared" si="5"/>
        <v>-8.6607843137254896</v>
      </c>
      <c r="Y68" s="20">
        <v>-11.782624995294919</v>
      </c>
      <c r="Z68" s="20">
        <f t="shared" si="6"/>
        <v>3.3491479168564773</v>
      </c>
      <c r="AA68" s="19">
        <f>+AVERAGE(M66:M68)*AVERAGE($F$15:F68)</f>
        <v>-2.8265388059479806</v>
      </c>
      <c r="AB68" s="19">
        <f t="shared" si="7"/>
        <v>-2.2240006494467148</v>
      </c>
      <c r="AC68" s="19">
        <f t="shared" si="8"/>
        <v>16.945345957958807</v>
      </c>
      <c r="AD68" s="21">
        <f t="shared" si="9"/>
        <v>-32.556294367542137</v>
      </c>
      <c r="AE68" s="19"/>
      <c r="AZ68" s="22"/>
    </row>
    <row r="69" spans="1:53" x14ac:dyDescent="0.25">
      <c r="A69" s="2">
        <v>39994</v>
      </c>
      <c r="B69" s="15">
        <v>5211</v>
      </c>
      <c r="C69" s="19">
        <v>-3.6249306454595898</v>
      </c>
      <c r="D69" s="15">
        <v>3619</v>
      </c>
      <c r="E69" s="19">
        <v>335.73</v>
      </c>
      <c r="F69" s="18">
        <v>0.32923480177523606</v>
      </c>
      <c r="G69" s="1">
        <v>-8</v>
      </c>
      <c r="H69" s="1">
        <v>1.4</v>
      </c>
      <c r="I69" s="16">
        <v>9.8558117834952821</v>
      </c>
      <c r="J69" s="1">
        <v>628.17999999999995</v>
      </c>
      <c r="K69" s="1">
        <v>-1.4587147184456417</v>
      </c>
      <c r="L69" s="1">
        <v>148.79</v>
      </c>
      <c r="M69" s="1">
        <v>1.1729507360690894</v>
      </c>
      <c r="N69" s="1">
        <v>-3.8154549176806274</v>
      </c>
      <c r="O69" s="1">
        <v>331784</v>
      </c>
      <c r="P69" s="1">
        <v>17.546358296310459</v>
      </c>
      <c r="Q69" s="1">
        <v>-33.98348407392843</v>
      </c>
      <c r="R69" s="1">
        <v>-11.3</v>
      </c>
      <c r="S69" s="1">
        <v>6.3480769230769214</v>
      </c>
      <c r="V69" s="20">
        <f t="shared" si="4"/>
        <v>-17.623229175008863</v>
      </c>
      <c r="W69" s="20">
        <f t="shared" si="5"/>
        <v>-17.548076923076923</v>
      </c>
      <c r="X69" s="20">
        <f t="shared" si="5"/>
        <v>-7.9814102564102551</v>
      </c>
      <c r="Y69" s="20">
        <v>-12.97339028190803</v>
      </c>
      <c r="Z69" s="20">
        <f t="shared" si="6"/>
        <v>4.1157251803000534</v>
      </c>
      <c r="AA69" s="19">
        <f>+AVERAGE(M67:M69)*AVERAGE($F$15:F69)</f>
        <v>-1.3586589303611083</v>
      </c>
      <c r="AB69" s="19">
        <f t="shared" si="7"/>
        <v>-2.663239313793464</v>
      </c>
      <c r="AC69" s="19">
        <f t="shared" si="8"/>
        <v>18.464664299879132</v>
      </c>
      <c r="AD69" s="21">
        <f t="shared" si="9"/>
        <v>-34.995408978834774</v>
      </c>
      <c r="AE69" s="19"/>
      <c r="AZ69" s="22"/>
    </row>
    <row r="70" spans="1:53" x14ac:dyDescent="0.25">
      <c r="A70" s="2">
        <v>40025</v>
      </c>
      <c r="B70" s="15">
        <v>4925</v>
      </c>
      <c r="C70" s="19">
        <v>-29.753244900870058</v>
      </c>
      <c r="D70" s="15">
        <v>3589</v>
      </c>
      <c r="E70" s="19">
        <v>335.73</v>
      </c>
      <c r="F70" s="18">
        <v>0.31570011616477528</v>
      </c>
      <c r="G70" s="1">
        <v>-6.8</v>
      </c>
      <c r="H70" s="1">
        <v>-2.7</v>
      </c>
      <c r="I70" s="16">
        <v>9.3805884726022075</v>
      </c>
      <c r="J70" s="1">
        <v>628.56299999999999</v>
      </c>
      <c r="K70" s="1">
        <v>-6.2775100497417524</v>
      </c>
      <c r="L70" s="1">
        <v>152.00700000000001</v>
      </c>
      <c r="M70" s="1">
        <v>2.7581171794195836</v>
      </c>
      <c r="N70" s="1">
        <v>-2.1443820589867713</v>
      </c>
      <c r="O70" s="1">
        <v>331296</v>
      </c>
      <c r="P70" s="1">
        <v>19.229122055674509</v>
      </c>
      <c r="Q70" s="1">
        <v>21.509433962264147</v>
      </c>
      <c r="R70" s="1">
        <v>-11.3</v>
      </c>
      <c r="S70" s="1">
        <v>6.0150943396226397</v>
      </c>
      <c r="V70" s="20">
        <f t="shared" si="4"/>
        <v>-22.680682769595769</v>
      </c>
      <c r="W70" s="20">
        <f t="shared" si="5"/>
        <v>-15.515094339622639</v>
      </c>
      <c r="X70" s="20">
        <f t="shared" si="5"/>
        <v>-7.7150943396226399</v>
      </c>
      <c r="Y70" s="20">
        <v>-13.804689107774678</v>
      </c>
      <c r="Z70" s="20">
        <f t="shared" si="6"/>
        <v>3.2620287553272589</v>
      </c>
      <c r="AA70" s="19">
        <f>+AVERAGE(M68:M70)*AVERAGE($F$15:F70)</f>
        <v>3.4044129618909479E-2</v>
      </c>
      <c r="AB70" s="19">
        <f t="shared" si="7"/>
        <v>-2.6437168263683475</v>
      </c>
      <c r="AC70" s="19">
        <f t="shared" si="8"/>
        <v>18.979875202466282</v>
      </c>
      <c r="AD70" s="21">
        <f t="shared" si="9"/>
        <v>-18.233469249988591</v>
      </c>
      <c r="AE70" s="19"/>
      <c r="AZ70" s="22"/>
    </row>
    <row r="71" spans="1:53" x14ac:dyDescent="0.25">
      <c r="A71" s="2">
        <v>40056</v>
      </c>
      <c r="B71" s="15">
        <v>4352</v>
      </c>
      <c r="C71" s="19">
        <v>-40.925749966064885</v>
      </c>
      <c r="D71" s="15">
        <v>3255</v>
      </c>
      <c r="E71" s="19">
        <v>335.73</v>
      </c>
      <c r="F71" s="18">
        <v>0.30104846156137371</v>
      </c>
      <c r="G71" s="1">
        <v>-5.6</v>
      </c>
      <c r="H71" s="1">
        <v>-1.8</v>
      </c>
      <c r="I71" s="16">
        <v>10.621822867275995</v>
      </c>
      <c r="J71" s="1">
        <v>555.80399999999997</v>
      </c>
      <c r="K71" s="1">
        <v>-18.818776418762397</v>
      </c>
      <c r="L71" s="1">
        <v>150.18700000000001</v>
      </c>
      <c r="M71" s="1">
        <v>5.9953984699206764</v>
      </c>
      <c r="N71" s="1">
        <v>-0.58150514107850881</v>
      </c>
      <c r="O71" s="1">
        <v>325351</v>
      </c>
      <c r="P71" s="1">
        <v>13.615284150830064</v>
      </c>
      <c r="Q71" s="1">
        <v>-33.989501312335967</v>
      </c>
      <c r="R71" s="1">
        <v>-11.3</v>
      </c>
      <c r="S71" s="1">
        <v>5.694444444444442</v>
      </c>
      <c r="V71" s="20">
        <f t="shared" si="4"/>
        <v>-30.46241961524262</v>
      </c>
      <c r="W71" s="20">
        <f t="shared" si="5"/>
        <v>-12.494444444444442</v>
      </c>
      <c r="X71" s="20">
        <f t="shared" si="5"/>
        <v>-6.7277777777777752</v>
      </c>
      <c r="Y71" s="20">
        <v>-14.57282458738902</v>
      </c>
      <c r="Z71" s="20">
        <f t="shared" si="6"/>
        <v>-8.8516670623165972</v>
      </c>
      <c r="AA71" s="19">
        <f>+AVERAGE(M69:M71)*AVERAGE($F$15:F71)</f>
        <v>1.0982528978395441</v>
      </c>
      <c r="AB71" s="19">
        <f t="shared" si="7"/>
        <v>-2.1804473725819693</v>
      </c>
      <c r="AC71" s="19">
        <f t="shared" si="8"/>
        <v>16.796921500938343</v>
      </c>
      <c r="AD71" s="21">
        <f t="shared" si="9"/>
        <v>-15.48785047466675</v>
      </c>
      <c r="AE71" s="19"/>
      <c r="AZ71" s="22"/>
    </row>
    <row r="72" spans="1:53" x14ac:dyDescent="0.25">
      <c r="A72" s="2">
        <v>40086</v>
      </c>
      <c r="B72" s="15">
        <v>4531</v>
      </c>
      <c r="C72" s="19">
        <v>-34.513658043069803</v>
      </c>
      <c r="D72" s="15">
        <v>3666</v>
      </c>
      <c r="E72" s="19">
        <v>331.52</v>
      </c>
      <c r="F72" s="18">
        <v>0.29270632239382238</v>
      </c>
      <c r="G72" s="1">
        <v>-4.5</v>
      </c>
      <c r="H72" s="1">
        <v>-1.2</v>
      </c>
      <c r="I72" s="16">
        <v>11.175624925207631</v>
      </c>
      <c r="J72" s="1">
        <v>629.32299999999998</v>
      </c>
      <c r="K72" s="1">
        <v>-8.0697843597257286</v>
      </c>
      <c r="L72" s="1">
        <v>151.71</v>
      </c>
      <c r="M72" s="1">
        <v>12.842521793460481</v>
      </c>
      <c r="N72" s="1">
        <v>0.19992405251967327</v>
      </c>
      <c r="O72" s="1">
        <v>320467</v>
      </c>
      <c r="P72" s="1">
        <v>15.728823597388342</v>
      </c>
      <c r="Q72" s="1">
        <v>-53.016894609814955</v>
      </c>
      <c r="R72" s="1">
        <v>-5.7</v>
      </c>
      <c r="S72" s="1">
        <v>5.4872727272727255</v>
      </c>
      <c r="V72" s="20">
        <f t="shared" si="4"/>
        <v>-40.551490363940971</v>
      </c>
      <c r="W72" s="20">
        <f t="shared" si="5"/>
        <v>-11.120606060606057</v>
      </c>
      <c r="X72" s="20">
        <f t="shared" si="5"/>
        <v>-7.3872727272727259</v>
      </c>
      <c r="Y72" s="20">
        <v>-14.25895039585034</v>
      </c>
      <c r="Z72" s="20">
        <f t="shared" si="6"/>
        <v>-11.055356942743293</v>
      </c>
      <c r="AA72" s="19">
        <f>+AVERAGE(M70:M72)*AVERAGE($F$15:F72)</f>
        <v>2.384494318430352</v>
      </c>
      <c r="AB72" s="19">
        <f t="shared" si="7"/>
        <v>-0.8419877158485356</v>
      </c>
      <c r="AC72" s="19">
        <f t="shared" si="8"/>
        <v>16.191076601297638</v>
      </c>
      <c r="AD72" s="21">
        <f t="shared" si="9"/>
        <v>-21.832320653295593</v>
      </c>
      <c r="AE72" s="19"/>
      <c r="AQ72" s="20"/>
      <c r="AR72" s="20"/>
      <c r="AS72" s="20"/>
      <c r="AT72" s="20"/>
      <c r="AU72" s="20"/>
      <c r="AV72" s="20"/>
      <c r="AW72" s="20"/>
      <c r="AX72" s="20"/>
      <c r="AY72" s="20"/>
      <c r="AZ72" s="22"/>
    </row>
    <row r="73" spans="1:53" x14ac:dyDescent="0.25">
      <c r="A73" s="2">
        <v>40117</v>
      </c>
      <c r="B73" s="15">
        <v>4808</v>
      </c>
      <c r="C73" s="19">
        <v>-20.673156244844083</v>
      </c>
      <c r="D73" s="15">
        <v>3656</v>
      </c>
      <c r="E73" s="19">
        <v>331.52</v>
      </c>
      <c r="F73" s="18">
        <v>0.28448359073359075</v>
      </c>
      <c r="G73" s="1">
        <v>-2.5</v>
      </c>
      <c r="H73" s="1">
        <v>0.8</v>
      </c>
      <c r="I73" s="16">
        <v>12.483576740833838</v>
      </c>
      <c r="J73" s="1">
        <v>638.98</v>
      </c>
      <c r="K73" s="1">
        <v>-6.2181238047573366</v>
      </c>
      <c r="L73" s="1">
        <v>149.761</v>
      </c>
      <c r="M73" s="1">
        <v>12.688678535418131</v>
      </c>
      <c r="N73" s="1">
        <v>0.9993727473665226</v>
      </c>
      <c r="O73" s="1">
        <v>317821</v>
      </c>
      <c r="P73" s="1">
        <v>7.9393704745214677</v>
      </c>
      <c r="Q73" s="1">
        <v>82.513829133374301</v>
      </c>
      <c r="R73" s="1">
        <v>-5.7</v>
      </c>
      <c r="S73" s="1">
        <v>5.2874999999999988</v>
      </c>
      <c r="V73" s="20">
        <f t="shared" si="4"/>
        <v>-37.325021417992929</v>
      </c>
      <c r="W73" s="20">
        <f t="shared" si="5"/>
        <v>-9.4874999999999989</v>
      </c>
      <c r="X73" s="20">
        <f t="shared" si="5"/>
        <v>-6.0208333333333321</v>
      </c>
      <c r="Y73" s="20">
        <v>-13.399185075630081</v>
      </c>
      <c r="Z73" s="20">
        <f t="shared" si="6"/>
        <v>-11.03556152774849</v>
      </c>
      <c r="AA73" s="19">
        <f>+AVERAGE(M71:M73)*AVERAGE($F$15:F73)</f>
        <v>3.4726342870698219</v>
      </c>
      <c r="AB73" s="19">
        <f t="shared" si="7"/>
        <v>0.20593055293589568</v>
      </c>
      <c r="AC73" s="19">
        <f t="shared" si="8"/>
        <v>12.427826074246624</v>
      </c>
      <c r="AD73" s="21">
        <f t="shared" si="9"/>
        <v>-1.497522262925538</v>
      </c>
      <c r="AE73" s="19"/>
      <c r="AZ73" s="22"/>
    </row>
    <row r="74" spans="1:53" x14ac:dyDescent="0.25">
      <c r="A74" s="2">
        <v>40147</v>
      </c>
      <c r="B74" s="15">
        <v>4872</v>
      </c>
      <c r="C74" s="19">
        <v>-0.63226595961656251</v>
      </c>
      <c r="D74" s="15">
        <v>3651</v>
      </c>
      <c r="E74" s="19">
        <v>331.52</v>
      </c>
      <c r="F74" s="18">
        <v>0.28278836872586871</v>
      </c>
      <c r="G74" s="1">
        <v>1.2</v>
      </c>
      <c r="H74" s="1">
        <v>3.8</v>
      </c>
      <c r="I74" s="16">
        <v>13.106471617040093</v>
      </c>
      <c r="J74" s="1">
        <v>617.11500000000001</v>
      </c>
      <c r="K74" s="1">
        <v>-9.5921416956005867</v>
      </c>
      <c r="L74" s="1">
        <v>149.58500000000001</v>
      </c>
      <c r="M74" s="1">
        <v>17.557605859608326</v>
      </c>
      <c r="N74" s="1">
        <v>1.1829071491360033</v>
      </c>
      <c r="O74" s="1">
        <v>321832</v>
      </c>
      <c r="P74" s="1">
        <v>6.2793700485771931</v>
      </c>
      <c r="Q74" s="1">
        <v>113.18407960199006</v>
      </c>
      <c r="R74" s="1">
        <v>-5.7</v>
      </c>
      <c r="S74" s="1">
        <v>5.0947368421052621</v>
      </c>
      <c r="V74" s="20">
        <f t="shared" si="4"/>
        <v>-23.701096924615413</v>
      </c>
      <c r="W74" s="20">
        <f t="shared" si="5"/>
        <v>-7.0280701754385957</v>
      </c>
      <c r="X74" s="20">
        <f t="shared" si="5"/>
        <v>-3.9614035087719288</v>
      </c>
      <c r="Y74" s="20">
        <v>-12.68951667389365</v>
      </c>
      <c r="Z74" s="20">
        <f t="shared" si="6"/>
        <v>-7.9600166200278837</v>
      </c>
      <c r="AA74" s="19">
        <f>+AVERAGE(M72:M74)*AVERAGE($F$15:F74)</f>
        <v>4.7347950066143802</v>
      </c>
      <c r="AB74" s="19">
        <f t="shared" si="7"/>
        <v>0.79406798300739967</v>
      </c>
      <c r="AC74" s="19">
        <f t="shared" si="8"/>
        <v>9.9825213734956666</v>
      </c>
      <c r="AD74" s="21">
        <f t="shared" si="9"/>
        <v>47.560338041849803</v>
      </c>
      <c r="AE74" s="19"/>
      <c r="AZ74" s="22"/>
    </row>
    <row r="75" spans="1:53" x14ac:dyDescent="0.25">
      <c r="A75" s="2">
        <v>40178</v>
      </c>
      <c r="B75" s="15">
        <v>4794</v>
      </c>
      <c r="C75" s="19">
        <v>13.306546915622786</v>
      </c>
      <c r="D75" s="15">
        <v>3602</v>
      </c>
      <c r="E75" s="19">
        <v>356.1</v>
      </c>
      <c r="F75" s="18">
        <v>0.26525695029486102</v>
      </c>
      <c r="G75" s="1">
        <v>2.2999999999999998</v>
      </c>
      <c r="H75" s="1">
        <v>4.2</v>
      </c>
      <c r="I75" s="16">
        <v>16.507906390919295</v>
      </c>
      <c r="J75" s="1">
        <v>616.56600000000003</v>
      </c>
      <c r="K75" s="1">
        <v>-6.547067801825202</v>
      </c>
      <c r="L75" s="1">
        <v>143.61500000000001</v>
      </c>
      <c r="M75" s="1">
        <v>8.3461584887440488</v>
      </c>
      <c r="N75" s="1">
        <v>0.46092806019961685</v>
      </c>
      <c r="O75" s="1">
        <v>307969</v>
      </c>
      <c r="P75" s="1">
        <v>2.2670368131977536</v>
      </c>
      <c r="Q75" s="1">
        <v>45.352112676056343</v>
      </c>
      <c r="R75" s="1">
        <v>0.3</v>
      </c>
      <c r="S75" s="1">
        <v>5.0120689655172406</v>
      </c>
      <c r="V75" s="20">
        <f t="shared" si="4"/>
        <v>-7.6783607284631952</v>
      </c>
      <c r="W75" s="20">
        <f t="shared" si="5"/>
        <v>-4.6787356321839075</v>
      </c>
      <c r="X75" s="20">
        <f t="shared" si="5"/>
        <v>-2.078735632183907</v>
      </c>
      <c r="Y75" s="20">
        <v>-11.108161353849413</v>
      </c>
      <c r="Z75" s="20">
        <f t="shared" si="6"/>
        <v>-7.4524444340610421</v>
      </c>
      <c r="AA75" s="19">
        <f>+AVERAGE(M73:M75)*AVERAGE($F$15:F75)</f>
        <v>4.2271335680086457</v>
      </c>
      <c r="AB75" s="19">
        <f t="shared" si="7"/>
        <v>0.88106931890071427</v>
      </c>
      <c r="AC75" s="19">
        <f t="shared" si="8"/>
        <v>5.4952591120988048</v>
      </c>
      <c r="AD75" s="21">
        <f t="shared" si="9"/>
        <v>80.350007137140238</v>
      </c>
      <c r="AE75" s="19"/>
      <c r="AR75" s="20"/>
      <c r="AZ75" s="22"/>
    </row>
    <row r="76" spans="1:53" x14ac:dyDescent="0.25">
      <c r="A76" s="2">
        <v>40209</v>
      </c>
      <c r="B76" s="15">
        <v>4408</v>
      </c>
      <c r="C76" s="19">
        <v>18.654104979811571</v>
      </c>
      <c r="D76" s="15">
        <v>3209</v>
      </c>
      <c r="E76" s="19">
        <v>356.1</v>
      </c>
      <c r="F76" s="18">
        <v>0.26846391463072172</v>
      </c>
      <c r="G76" s="1">
        <v>4.0999999999999996</v>
      </c>
      <c r="H76" s="1">
        <v>6.3</v>
      </c>
      <c r="I76" s="16">
        <v>17.841402778633107</v>
      </c>
      <c r="J76" s="1">
        <v>625.54200000000003</v>
      </c>
      <c r="K76" s="1">
        <v>-2.2179634877784515</v>
      </c>
      <c r="L76" s="1">
        <v>137.363</v>
      </c>
      <c r="M76" s="1">
        <v>5.3421474420423776</v>
      </c>
      <c r="N76" s="1">
        <v>-0.16915692294749984</v>
      </c>
      <c r="O76" s="1">
        <v>308283</v>
      </c>
      <c r="P76" s="1">
        <v>-5.9734405309453837</v>
      </c>
      <c r="Q76" s="1">
        <v>-46.357758620689658</v>
      </c>
      <c r="R76" s="1">
        <v>0.3</v>
      </c>
      <c r="S76" s="1">
        <v>4.9322033898305078</v>
      </c>
      <c r="V76" s="20">
        <f t="shared" si="4"/>
        <v>5.5105919221087563</v>
      </c>
      <c r="W76" s="20">
        <f t="shared" si="5"/>
        <v>-2.3988700564971746</v>
      </c>
      <c r="X76" s="20">
        <f t="shared" si="5"/>
        <v>-0.16553672316384116</v>
      </c>
      <c r="Y76" s="20">
        <v>-9.454804877364408</v>
      </c>
      <c r="Z76" s="20">
        <f t="shared" si="6"/>
        <v>-6.1190576617347467</v>
      </c>
      <c r="AA76" s="19">
        <f>+AVERAGE(M74:M76)*AVERAGE($F$15:F76)</f>
        <v>3.4123464969077459</v>
      </c>
      <c r="AB76" s="19">
        <f t="shared" si="7"/>
        <v>0.49155942879604009</v>
      </c>
      <c r="AC76" s="19">
        <f t="shared" si="8"/>
        <v>0.85765544360985457</v>
      </c>
      <c r="AD76" s="21">
        <f t="shared" si="9"/>
        <v>37.392811219118919</v>
      </c>
      <c r="AE76" s="19"/>
      <c r="AG76" s="20">
        <f>(V76- AVERAGE(V$41:V76))/_xlfn.STDEV.S(V41:V76)</f>
        <v>0.12776212988869728</v>
      </c>
      <c r="AH76" s="20">
        <f>(W76- AVERAGE(W$41:W76))/_xlfn.STDEV.S(W41:W76)</f>
        <v>0.44708067675003893</v>
      </c>
      <c r="AI76" s="20">
        <f>(X76- AVERAGE(X$41:X76))/_xlfn.STDEV.S(X41:X76)</f>
        <v>0.30254341572236493</v>
      </c>
      <c r="AJ76" s="20">
        <f>(Y76- AVERAGE(Y$41:Y76))/_xlfn.STDEV.S(Y41:Y76)</f>
        <v>-0.80858733737141053</v>
      </c>
      <c r="AK76" s="20">
        <f>(Z76- AVERAGE(Z$41:Z76))/_xlfn.STDEV.S(Z41:Z76)</f>
        <v>-1.0406194628822947</v>
      </c>
      <c r="AL76" s="20">
        <f>(AA76- AVERAGE(AA$41:AA76))/_xlfn.STDEV.S(AA41:AA76)</f>
        <v>1.7412184198111345</v>
      </c>
      <c r="AM76" s="20">
        <f>(AB76- AVERAGE(AB$41:AB76))/_xlfn.STDEV.S(AB41:AB76)</f>
        <v>0.89738914274109549</v>
      </c>
      <c r="AN76" s="20">
        <f>(AC76- AVERAGE(AC$41:AC76))/_xlfn.STDEV.S(AC41:AC76)</f>
        <v>-7.7778052669748049E-2</v>
      </c>
      <c r="AO76" s="24">
        <f>(AD76- AVERAGE(AD$41:AD76))/_xlfn.STDEV.S(AD41:AD76)</f>
        <v>0.98128025145883946</v>
      </c>
      <c r="AP76" s="20"/>
      <c r="AQ76" s="20">
        <f t="shared" ref="AQ76:AY76" si="10">+IF(AG76&gt;AG$2,AG$2,IF(AG76&lt;AG$1,AG$1,AG76))</f>
        <v>0.12776212988869728</v>
      </c>
      <c r="AR76" s="20">
        <f t="shared" si="10"/>
        <v>0.44708067675003893</v>
      </c>
      <c r="AS76" s="20">
        <f t="shared" si="10"/>
        <v>0.30254341572236493</v>
      </c>
      <c r="AT76" s="20">
        <f t="shared" si="10"/>
        <v>-0.80858733737141053</v>
      </c>
      <c r="AU76" s="20">
        <f t="shared" si="10"/>
        <v>-1.0406194628822947</v>
      </c>
      <c r="AV76" s="20">
        <f t="shared" si="10"/>
        <v>1.7412184198111345</v>
      </c>
      <c r="AW76" s="20">
        <f t="shared" si="10"/>
        <v>0.89738914274109549</v>
      </c>
      <c r="AX76" s="20">
        <f t="shared" si="10"/>
        <v>-7.7778052669748049E-2</v>
      </c>
      <c r="AY76" s="20">
        <f t="shared" si="10"/>
        <v>0.98128025145883946</v>
      </c>
      <c r="AZ76" s="22">
        <f>+AVERAGE(AQ76:AY76)</f>
        <v>0.28558768704985749</v>
      </c>
      <c r="BA76" s="1">
        <f>+_xlfn.XLOOKUP(A76,[1]Indice!B:B,[1]Indice!AI:AI,"NOOOOOO",-1)</f>
        <v>0.88197380681858806</v>
      </c>
    </row>
    <row r="77" spans="1:53" x14ac:dyDescent="0.25">
      <c r="A77" s="2">
        <v>40237</v>
      </c>
      <c r="B77" s="15">
        <v>3959</v>
      </c>
      <c r="C77" s="19">
        <v>0.35487959442332961</v>
      </c>
      <c r="D77" s="15">
        <v>3455</v>
      </c>
      <c r="E77" s="19">
        <v>356.1</v>
      </c>
      <c r="F77" s="18">
        <v>0.2707273237854535</v>
      </c>
      <c r="G77" s="1">
        <v>4.3</v>
      </c>
      <c r="H77" s="1">
        <v>5.5</v>
      </c>
      <c r="I77" s="16">
        <v>23.477929905060947</v>
      </c>
      <c r="J77" s="1">
        <v>626.65</v>
      </c>
      <c r="K77" s="1">
        <v>-4.0856028150603851</v>
      </c>
      <c r="L77" s="1">
        <v>134.97499999999999</v>
      </c>
      <c r="M77" s="1">
        <v>2.3685647544216204</v>
      </c>
      <c r="N77" s="1">
        <v>-1.1444121110851579</v>
      </c>
      <c r="O77" s="1">
        <v>320730</v>
      </c>
      <c r="P77" s="1">
        <v>-3.4844075845071876</v>
      </c>
      <c r="Q77" s="1">
        <v>-11.563731931668841</v>
      </c>
      <c r="R77" s="1">
        <v>0.3</v>
      </c>
      <c r="S77" s="1">
        <v>4.8549999999999995</v>
      </c>
      <c r="V77" s="20">
        <f t="shared" si="4"/>
        <v>5.916843829952561</v>
      </c>
      <c r="W77" s="20">
        <f t="shared" si="5"/>
        <v>-1.2883333333333331</v>
      </c>
      <c r="X77" s="20">
        <f t="shared" si="5"/>
        <v>0.4783333333333335</v>
      </c>
      <c r="Y77" s="20">
        <v>-6.1326150812048539</v>
      </c>
      <c r="Z77" s="20">
        <f t="shared" si="6"/>
        <v>-4.2835447015546793</v>
      </c>
      <c r="AA77" s="19">
        <f>+AVERAGE(M75:M77)*AVERAGE($F$15:F77)</f>
        <v>1.7487266907964261</v>
      </c>
      <c r="AB77" s="19">
        <f t="shared" si="7"/>
        <v>-0.284213657944347</v>
      </c>
      <c r="AC77" s="19">
        <f t="shared" si="8"/>
        <v>-2.396937100751606</v>
      </c>
      <c r="AD77" s="21">
        <f t="shared" si="9"/>
        <v>-4.1897926254340518</v>
      </c>
      <c r="AE77" s="19"/>
      <c r="AG77" s="20">
        <f>(V77- AVERAGE(V$41:V77))/_xlfn.STDEV.S(V42:V77)</f>
        <v>0.1401847720291157</v>
      </c>
      <c r="AH77" s="20">
        <f>(W77- AVERAGE(W$41:W77))/_xlfn.STDEV.S(W42:W77)</f>
        <v>0.61473532102480011</v>
      </c>
      <c r="AI77" s="20">
        <f>(X77- AVERAGE(X$41:X77))/_xlfn.STDEV.S(X42:X77)</f>
        <v>0.42298164679631567</v>
      </c>
      <c r="AJ77" s="20">
        <f>(Y77- AVERAGE(Y$41:Y77))/_xlfn.STDEV.S(Y42:Y77)</f>
        <v>-0.31985981864378044</v>
      </c>
      <c r="AK77" s="20">
        <f>(Z77- AVERAGE(Z$41:Z77))/_xlfn.STDEV.S(Z42:Z77)</f>
        <v>-0.62278287202639981</v>
      </c>
      <c r="AL77" s="20">
        <f>(AA77- AVERAGE(AA$41:AA77))/_xlfn.STDEV.S(AA42:AA77)</f>
        <v>1.0898649137195444</v>
      </c>
      <c r="AM77" s="20">
        <f>(AB77- AVERAGE(AB$41:AB77))/_xlfn.STDEV.S(AB42:AB77)</f>
        <v>0.52231725992410039</v>
      </c>
      <c r="AN77" s="20">
        <f>(AC77- AVERAGE(AC$41:AC77))/_xlfn.STDEV.S(AC42:AC77)</f>
        <v>-0.38081728069947451</v>
      </c>
      <c r="AO77" s="24">
        <f>(AD77- AVERAGE(AD$41:AD77))/_xlfn.STDEV.S(AD42:AD77)</f>
        <v>-0.24617201603665947</v>
      </c>
      <c r="AP77" s="20"/>
      <c r="AQ77" s="20">
        <f t="shared" ref="AQ77:AQ108" si="11">+IF(AG77&gt;AG$2,AG$2,IF(AG77&lt;AG$1,AG$1,AG77))</f>
        <v>0.1401847720291157</v>
      </c>
      <c r="AR77" s="20">
        <f t="shared" ref="AR77:AR108" si="12">+IF(AH77&gt;AH$2,AH$2,IF(AH77&lt;AH$1,AH$1,AH77))</f>
        <v>0.61473532102480011</v>
      </c>
      <c r="AS77" s="20">
        <f t="shared" ref="AS77:AS108" si="13">+IF(AI77&gt;AI$2,AI$2,IF(AI77&lt;AI$1,AI$1,AI77))</f>
        <v>0.42298164679631567</v>
      </c>
      <c r="AT77" s="20">
        <f t="shared" ref="AT77:AT108" si="14">+IF(AJ77&gt;AJ$2,AJ$2,IF(AJ77&lt;AJ$1,AJ$1,AJ77))</f>
        <v>-0.31985981864378044</v>
      </c>
      <c r="AU77" s="20">
        <f t="shared" ref="AU77:AU140" si="15">+IF(AK77&gt;AK$2,AK$2,IF(AK77&lt;AK$1,AK$1,AK77))</f>
        <v>-0.62278287202639981</v>
      </c>
      <c r="AV77" s="20">
        <f t="shared" ref="AV77:AV108" si="16">+IF(AL77&gt;AL$2,AL$2,IF(AL77&lt;AL$1,AL$1,AL77))</f>
        <v>1.0898649137195444</v>
      </c>
      <c r="AW77" s="20">
        <f t="shared" ref="AW77:AW140" si="17">+IF(AM77&gt;AM$2,AM$2,IF(AM77&lt;AM$1,AM$1,AM77))</f>
        <v>0.52231725992410039</v>
      </c>
      <c r="AX77" s="20">
        <f t="shared" ref="AX77:AX108" si="18">+IF(AN77&gt;AN$2,AN$2,IF(AN77&lt;AN$1,AN$1,AN77))</f>
        <v>-0.38081728069947451</v>
      </c>
      <c r="AY77" s="20">
        <f t="shared" ref="AY77:AY108" si="19">+IF(AO77&gt;AO$2,AO$2,IF(AO77&lt;AO$1,AO$1,AO77))</f>
        <v>-0.24617201603665947</v>
      </c>
      <c r="AZ77" s="22">
        <f t="shared" ref="AZ77:AZ140" si="20">+AVERAGE(AQ77:AY77)</f>
        <v>0.1356057695652847</v>
      </c>
      <c r="BA77" s="1">
        <f>+_xlfn.XLOOKUP(A77,[1]Indice!B:B,[1]Indice!AI:AI,"NOOOOOO",-1)</f>
        <v>0.8850778229239924</v>
      </c>
    </row>
    <row r="78" spans="1:53" x14ac:dyDescent="0.25">
      <c r="A78" s="2">
        <v>40268</v>
      </c>
      <c r="B78" s="15">
        <v>4687</v>
      </c>
      <c r="C78" s="19">
        <v>9.9202626641651026</v>
      </c>
      <c r="D78" s="15">
        <v>4403</v>
      </c>
      <c r="E78" s="19">
        <v>369.47</v>
      </c>
      <c r="F78" s="18">
        <v>0.26617587354859662</v>
      </c>
      <c r="G78" s="1">
        <v>8.5</v>
      </c>
      <c r="H78" s="1">
        <v>7.6</v>
      </c>
      <c r="I78" s="16">
        <v>23.845024628085493</v>
      </c>
      <c r="J78" s="1">
        <v>627.02700000000004</v>
      </c>
      <c r="K78" s="1">
        <v>-3.5193160783444699</v>
      </c>
      <c r="L78" s="1">
        <v>132.964</v>
      </c>
      <c r="M78" s="1">
        <v>-3.4316466820152658</v>
      </c>
      <c r="N78" s="1">
        <v>-0.60701916057919192</v>
      </c>
      <c r="O78" s="1">
        <v>333386</v>
      </c>
      <c r="P78" s="1">
        <v>-2.2076078284131939</v>
      </c>
      <c r="Q78" s="1">
        <v>22.192311833746103</v>
      </c>
      <c r="R78" s="1">
        <v>5.7</v>
      </c>
      <c r="S78" s="1">
        <v>4.8299999999999992</v>
      </c>
      <c r="V78" s="20">
        <f t="shared" si="4"/>
        <v>4.8130824128000009</v>
      </c>
      <c r="W78" s="20">
        <f t="shared" si="5"/>
        <v>0.80333333333333368</v>
      </c>
      <c r="X78" s="20">
        <f t="shared" si="5"/>
        <v>1.6366666666666667</v>
      </c>
      <c r="Y78" s="20">
        <v>-3.8329579785015113</v>
      </c>
      <c r="Z78" s="20">
        <f t="shared" si="6"/>
        <v>-3.2742941270611023</v>
      </c>
      <c r="AA78" s="19">
        <f>+AVERAGE(M76:M78)*AVERAGE($F$15:F78)</f>
        <v>0.46467635951940939</v>
      </c>
      <c r="AB78" s="19">
        <f t="shared" si="7"/>
        <v>-0.64019606487061653</v>
      </c>
      <c r="AC78" s="19">
        <f t="shared" si="8"/>
        <v>-3.8884853146219212</v>
      </c>
      <c r="AD78" s="21">
        <f t="shared" si="9"/>
        <v>-11.909726239537465</v>
      </c>
      <c r="AE78" s="19"/>
      <c r="AG78" s="20">
        <f>(V78- AVERAGE(V$41:V78))/_xlfn.STDEV.S(V43:V78)</f>
        <v>9.3258663101751571E-2</v>
      </c>
      <c r="AH78" s="20">
        <f>(W78- AVERAGE(W$41:W78))/_xlfn.STDEV.S(W43:W78)</f>
        <v>0.93122352987318135</v>
      </c>
      <c r="AI78" s="20">
        <f>(X78- AVERAGE(X$41:X78))/_xlfn.STDEV.S(X43:X78)</f>
        <v>0.64469546508578834</v>
      </c>
      <c r="AJ78" s="20">
        <f>(Y78- AVERAGE(Y$41:Y78))/_xlfn.STDEV.S(Y43:Y78)</f>
        <v>1.3526994682117507E-2</v>
      </c>
      <c r="AK78" s="20">
        <f>(Z78- AVERAGE(Z$41:Z78))/_xlfn.STDEV.S(Z43:Z78)</f>
        <v>-0.39229158974193634</v>
      </c>
      <c r="AL78" s="20">
        <f>(AA78- AVERAGE(AA$41:AA78))/_xlfn.STDEV.S(AA43:AA78)</f>
        <v>0.6130866529616118</v>
      </c>
      <c r="AM78" s="20">
        <f>(AB78- AVERAGE(AB$41:AB78))/_xlfn.STDEV.S(AB43:AB78)</f>
        <v>0.34423240331838062</v>
      </c>
      <c r="AN78" s="20">
        <f>(AC78- AVERAGE(AC$41:AC78))/_xlfn.STDEV.S(AC43:AC78)</f>
        <v>-0.50920099666199736</v>
      </c>
      <c r="AO78" s="24">
        <f>(AD78- AVERAGE(AD$41:AD78))/_xlfn.STDEV.S(AD43:AD78)</f>
        <v>-0.48015968286431526</v>
      </c>
      <c r="AP78" s="20"/>
      <c r="AQ78" s="20">
        <f t="shared" si="11"/>
        <v>9.3258663101751571E-2</v>
      </c>
      <c r="AR78" s="20">
        <f t="shared" si="12"/>
        <v>0.93122352987318135</v>
      </c>
      <c r="AS78" s="20">
        <f t="shared" si="13"/>
        <v>0.64469546508578834</v>
      </c>
      <c r="AT78" s="20">
        <f t="shared" si="14"/>
        <v>1.3526994682117507E-2</v>
      </c>
      <c r="AU78" s="20">
        <f t="shared" si="15"/>
        <v>-0.39229158974193634</v>
      </c>
      <c r="AV78" s="20">
        <f t="shared" si="16"/>
        <v>0.6130866529616118</v>
      </c>
      <c r="AW78" s="20">
        <f t="shared" si="17"/>
        <v>0.34423240331838062</v>
      </c>
      <c r="AX78" s="20">
        <f t="shared" si="18"/>
        <v>-0.50920099666199736</v>
      </c>
      <c r="AY78" s="20">
        <f t="shared" si="19"/>
        <v>-0.48015968286431526</v>
      </c>
      <c r="AZ78" s="22">
        <f t="shared" si="20"/>
        <v>0.13981904886162028</v>
      </c>
      <c r="BA78" s="1">
        <f>+_xlfn.XLOOKUP(A78,[1]Indice!B:B,[1]Indice!AI:AI,"NOOOOOO",-1)</f>
        <v>0.82452387011792772</v>
      </c>
    </row>
    <row r="79" spans="1:53" x14ac:dyDescent="0.25">
      <c r="A79" s="2">
        <v>40298</v>
      </c>
      <c r="B79" s="15">
        <v>6208</v>
      </c>
      <c r="C79" s="19">
        <v>22.882026920031674</v>
      </c>
      <c r="D79" s="15">
        <v>4101</v>
      </c>
      <c r="E79" s="19">
        <v>369.47</v>
      </c>
      <c r="F79" s="18">
        <v>0.27288819119278968</v>
      </c>
      <c r="G79" s="1">
        <v>13.9</v>
      </c>
      <c r="H79" s="1">
        <v>9.6</v>
      </c>
      <c r="I79" s="16">
        <v>23.24336752653242</v>
      </c>
      <c r="J79" s="1">
        <v>626.59400000000005</v>
      </c>
      <c r="K79" s="1">
        <v>-3.1835697885345682</v>
      </c>
      <c r="L79" s="1">
        <v>132.84800000000001</v>
      </c>
      <c r="M79" s="1">
        <v>-3.8469054667313207</v>
      </c>
      <c r="N79" s="1">
        <v>-7.0948151090988176E-3</v>
      </c>
      <c r="O79" s="1">
        <v>339942</v>
      </c>
      <c r="P79" s="1">
        <v>-4.4862591280355417</v>
      </c>
      <c r="Q79" s="1">
        <v>55.742069923593426</v>
      </c>
      <c r="R79" s="1">
        <v>5.7</v>
      </c>
      <c r="S79" s="1">
        <v>4.8049999999999988</v>
      </c>
      <c r="V79" s="20">
        <f t="shared" si="4"/>
        <v>6.2473897262067046</v>
      </c>
      <c r="W79" s="20">
        <f t="shared" si="5"/>
        <v>4.0950000000000015</v>
      </c>
      <c r="X79" s="20">
        <f t="shared" si="5"/>
        <v>2.7616666666666676</v>
      </c>
      <c r="Y79" s="20">
        <v>-2.1841146543403767</v>
      </c>
      <c r="Z79" s="20">
        <f t="shared" si="6"/>
        <v>-3.5961628939798076</v>
      </c>
      <c r="AA79" s="19">
        <f>+AVERAGE(M77:M79)*AVERAGE($F$15:F79)</f>
        <v>-0.53185827299401156</v>
      </c>
      <c r="AB79" s="19">
        <f t="shared" si="7"/>
        <v>-0.58617536225781619</v>
      </c>
      <c r="AC79" s="19">
        <f t="shared" si="8"/>
        <v>-3.3927581803186411</v>
      </c>
      <c r="AD79" s="21">
        <f t="shared" si="9"/>
        <v>22.123549941890229</v>
      </c>
      <c r="AE79" s="19"/>
      <c r="AG79" s="20">
        <f>(V79- AVERAGE(V$41:V79))/_xlfn.STDEV.S(V44:V79)</f>
        <v>0.14704694856772355</v>
      </c>
      <c r="AH79" s="20">
        <f>(W79- AVERAGE(W$41:W79))/_xlfn.STDEV.S(W44:W79)</f>
        <v>1.4059548444494709</v>
      </c>
      <c r="AI79" s="20">
        <f>(X79- AVERAGE(X$41:X79))/_xlfn.STDEV.S(X44:X79)</f>
        <v>0.8584859094949101</v>
      </c>
      <c r="AJ79" s="20">
        <f>(Y79- AVERAGE(Y$41:Y79))/_xlfn.STDEV.S(Y44:Y79)</f>
        <v>0.24784608737359987</v>
      </c>
      <c r="AK79" s="20">
        <f>(Z79- AVERAGE(Z$41:Z79))/_xlfn.STDEV.S(Z44:Z79)</f>
        <v>-0.45402294481388444</v>
      </c>
      <c r="AL79" s="20">
        <f>(AA79- AVERAGE(AA$41:AA79))/_xlfn.STDEV.S(AA44:AA79)</f>
        <v>0.2534785396478712</v>
      </c>
      <c r="AM79" s="20">
        <f>(AB79- AVERAGE(AB$41:AB79))/_xlfn.STDEV.S(AB44:AB79)</f>
        <v>0.37282734909800386</v>
      </c>
      <c r="AN79" s="20">
        <f>(AC79- AVERAGE(AC$41:AC79))/_xlfn.STDEV.S(AC44:AC79)</f>
        <v>-0.44919336483581107</v>
      </c>
      <c r="AO79" s="24">
        <f>(AD79- AVERAGE(AD$41:AD79))/_xlfn.STDEV.S(AD44:AD79)</f>
        <v>0.59852894176499272</v>
      </c>
      <c r="AP79" s="20"/>
      <c r="AQ79" s="20">
        <f t="shared" si="11"/>
        <v>0.14704694856772355</v>
      </c>
      <c r="AR79" s="20">
        <f t="shared" si="12"/>
        <v>1.4059548444494709</v>
      </c>
      <c r="AS79" s="20">
        <f t="shared" si="13"/>
        <v>0.8584859094949101</v>
      </c>
      <c r="AT79" s="20">
        <f t="shared" si="14"/>
        <v>0.24784608737359987</v>
      </c>
      <c r="AU79" s="20">
        <f t="shared" si="15"/>
        <v>-0.45402294481388444</v>
      </c>
      <c r="AV79" s="20">
        <f t="shared" si="16"/>
        <v>0.2534785396478712</v>
      </c>
      <c r="AW79" s="20">
        <f t="shared" si="17"/>
        <v>0.37282734909800386</v>
      </c>
      <c r="AX79" s="20">
        <f t="shared" si="18"/>
        <v>-0.44919336483581107</v>
      </c>
      <c r="AY79" s="20">
        <f t="shared" si="19"/>
        <v>0.59852894176499272</v>
      </c>
      <c r="AZ79" s="22">
        <f t="shared" si="20"/>
        <v>0.33121692341631959</v>
      </c>
      <c r="BA79" s="1">
        <f>+_xlfn.XLOOKUP(A79,[1]Indice!B:B,[1]Indice!AI:AI,"NOOOOOO",-1)</f>
        <v>0.90659870274661158</v>
      </c>
    </row>
    <row r="80" spans="1:53" x14ac:dyDescent="0.25">
      <c r="A80" s="2">
        <v>40329</v>
      </c>
      <c r="B80" s="15">
        <v>6503</v>
      </c>
      <c r="C80" s="19">
        <v>24.985585239285022</v>
      </c>
      <c r="D80" s="15">
        <v>4575</v>
      </c>
      <c r="E80" s="19">
        <v>369.47</v>
      </c>
      <c r="F80" s="18">
        <v>0.28158984491298344</v>
      </c>
      <c r="G80" s="1">
        <v>18.8</v>
      </c>
      <c r="H80" s="1">
        <v>13.5</v>
      </c>
      <c r="I80" s="16">
        <v>24.197055777807126</v>
      </c>
      <c r="J80" s="1">
        <v>625.20000000000005</v>
      </c>
      <c r="K80" s="1">
        <v>-2.8515222569773013</v>
      </c>
      <c r="L80" s="1">
        <v>127.34399999999999</v>
      </c>
      <c r="M80" s="1">
        <v>-13.302424378587052</v>
      </c>
      <c r="N80" s="1">
        <v>-0.50042151407854174</v>
      </c>
      <c r="O80" s="1">
        <v>342581</v>
      </c>
      <c r="P80" s="1">
        <v>-1.438797175918205</v>
      </c>
      <c r="Q80" s="1">
        <v>5.7881893606637425</v>
      </c>
      <c r="R80" s="1">
        <v>5.7</v>
      </c>
      <c r="S80" s="1">
        <v>4.7799999999999994</v>
      </c>
      <c r="V80" s="20">
        <f t="shared" si="4"/>
        <v>14.4826249411606</v>
      </c>
      <c r="W80" s="20">
        <f t="shared" si="5"/>
        <v>8.9533333333333349</v>
      </c>
      <c r="X80" s="20">
        <f t="shared" si="5"/>
        <v>5.4533333333333331</v>
      </c>
      <c r="Y80" s="20">
        <v>-2.0431559433641162</v>
      </c>
      <c r="Z80" s="20">
        <f t="shared" si="6"/>
        <v>-3.1848027079521128</v>
      </c>
      <c r="AA80" s="19">
        <f>+AVERAGE(M78:M80)*AVERAGE($F$15:F80)</f>
        <v>-2.2248581310194351</v>
      </c>
      <c r="AB80" s="19">
        <f t="shared" si="7"/>
        <v>-0.37151182992227749</v>
      </c>
      <c r="AC80" s="19">
        <f t="shared" si="8"/>
        <v>-2.7108880441223135</v>
      </c>
      <c r="AD80" s="21">
        <f t="shared" si="9"/>
        <v>27.90752370600109</v>
      </c>
      <c r="AE80" s="19"/>
      <c r="AG80" s="20">
        <f>(V80- AVERAGE(V$41:V80))/_xlfn.STDEV.S(V45:V80)</f>
        <v>0.46478529885153069</v>
      </c>
      <c r="AH80" s="20">
        <f>(W80- AVERAGE(W$41:W80))/_xlfn.STDEV.S(W45:W80)</f>
        <v>2.0214842432410589</v>
      </c>
      <c r="AI80" s="20">
        <f>(X80- AVERAGE(X$41:X80))/_xlfn.STDEV.S(X45:X80)</f>
        <v>1.3673352452036616</v>
      </c>
      <c r="AJ80" s="20">
        <f>(Y80- AVERAGE(Y$41:Y80))/_xlfn.STDEV.S(Y45:Y80)</f>
        <v>0.26200132054351427</v>
      </c>
      <c r="AK80" s="20">
        <f>(Z80- AVERAGE(Z$41:Z80))/_xlfn.STDEV.S(Z45:Z80)</f>
        <v>-0.35404541672020101</v>
      </c>
      <c r="AL80" s="20">
        <f>(AA80- AVERAGE(AA$41:AA80))/_xlfn.STDEV.S(AA45:AA80)</f>
        <v>-0.33646441558172219</v>
      </c>
      <c r="AM80" s="20">
        <f>(AB80- AVERAGE(AB$41:AB80))/_xlfn.STDEV.S(AB45:AB80)</f>
        <v>0.48710373041271737</v>
      </c>
      <c r="AN80" s="20">
        <f>(AC80- AVERAGE(AC$41:AC80))/_xlfn.STDEV.S(AC45:AC80)</f>
        <v>-0.37416061683266583</v>
      </c>
      <c r="AO80" s="24">
        <f>(AD80- AVERAGE(AD$41:AD80))/_xlfn.STDEV.S(AD45:AD80)</f>
        <v>0.80126807733474981</v>
      </c>
      <c r="AP80" s="20"/>
      <c r="AQ80" s="20">
        <f t="shared" si="11"/>
        <v>0.46478529885153069</v>
      </c>
      <c r="AR80" s="20">
        <f t="shared" si="12"/>
        <v>2.0214842432410589</v>
      </c>
      <c r="AS80" s="20">
        <f t="shared" si="13"/>
        <v>1.3673352452036616</v>
      </c>
      <c r="AT80" s="20">
        <f t="shared" si="14"/>
        <v>0.26200132054351427</v>
      </c>
      <c r="AU80" s="20">
        <f t="shared" si="15"/>
        <v>-0.35404541672020101</v>
      </c>
      <c r="AV80" s="20">
        <f t="shared" si="16"/>
        <v>-0.33646441558172219</v>
      </c>
      <c r="AW80" s="20">
        <f t="shared" si="17"/>
        <v>0.48710373041271737</v>
      </c>
      <c r="AX80" s="20">
        <f t="shared" si="18"/>
        <v>-0.37416061683266583</v>
      </c>
      <c r="AY80" s="20">
        <f t="shared" si="19"/>
        <v>0.80126807733474981</v>
      </c>
      <c r="AZ80" s="22">
        <f t="shared" si="20"/>
        <v>0.48214527405029373</v>
      </c>
      <c r="BA80" s="1">
        <f>+_xlfn.XLOOKUP(A80,[1]Indice!B:B,[1]Indice!AI:AI,"NOOOOOO",-1)</f>
        <v>0.83891291346603791</v>
      </c>
    </row>
    <row r="81" spans="1:53" x14ac:dyDescent="0.25">
      <c r="A81" s="2">
        <v>40359</v>
      </c>
      <c r="B81" s="15">
        <v>6369</v>
      </c>
      <c r="C81" s="19">
        <v>22.222222222222232</v>
      </c>
      <c r="D81" s="15">
        <v>5151</v>
      </c>
      <c r="E81" s="19">
        <v>432.2</v>
      </c>
      <c r="F81" s="18">
        <v>0.2469435446552522</v>
      </c>
      <c r="G81" s="1">
        <v>15.9</v>
      </c>
      <c r="H81" s="1">
        <v>11.1</v>
      </c>
      <c r="I81" s="16">
        <v>24.947024957410036</v>
      </c>
      <c r="J81" s="1">
        <v>627.70299999999997</v>
      </c>
      <c r="K81" s="1">
        <v>-7.5933649590875785E-2</v>
      </c>
      <c r="L81" s="1">
        <v>126.58</v>
      </c>
      <c r="M81" s="1">
        <v>-14.927078432690365</v>
      </c>
      <c r="N81" s="1">
        <v>-1.6693549365123683</v>
      </c>
      <c r="O81" s="1">
        <v>342606</v>
      </c>
      <c r="P81" s="1">
        <v>3.2617606635642504</v>
      </c>
      <c r="Q81" s="1">
        <v>25.327614963068857</v>
      </c>
      <c r="R81" s="1">
        <v>16.2</v>
      </c>
      <c r="S81" s="1">
        <v>4.8316666666666661</v>
      </c>
      <c r="V81" s="20">
        <f t="shared" si="4"/>
        <v>18.531611460512973</v>
      </c>
      <c r="W81" s="20">
        <f t="shared" si="5"/>
        <v>11.368333333333332</v>
      </c>
      <c r="X81" s="20">
        <f t="shared" si="5"/>
        <v>6.5683333333333342</v>
      </c>
      <c r="Y81" s="20">
        <v>-1.8188569814763795</v>
      </c>
      <c r="Z81" s="20">
        <f t="shared" si="6"/>
        <v>-2.0370085650342484</v>
      </c>
      <c r="AA81" s="19">
        <f>+AVERAGE(M79:M81)*AVERAGE($F$15:F81)</f>
        <v>-3.4551986509850505</v>
      </c>
      <c r="AB81" s="19">
        <f t="shared" si="7"/>
        <v>-0.72562375523333633</v>
      </c>
      <c r="AC81" s="19">
        <f t="shared" si="8"/>
        <v>-0.88776521346316561</v>
      </c>
      <c r="AD81" s="21">
        <f t="shared" si="9"/>
        <v>28.952624749108676</v>
      </c>
      <c r="AE81" s="19"/>
      <c r="AG81" s="20">
        <f>(V81- AVERAGE(V$41:V81))/_xlfn.STDEV.S(V46:V81)</f>
        <v>0.60851187959676567</v>
      </c>
      <c r="AH81" s="20">
        <f>(W81- AVERAGE(W$41:W81))/_xlfn.STDEV.S(W46:W81)</f>
        <v>2.1772244047691158</v>
      </c>
      <c r="AI81" s="20">
        <f>(X81- AVERAGE(X$41:X81))/_xlfn.STDEV.S(X46:X81)</f>
        <v>1.5399059515761617</v>
      </c>
      <c r="AJ81" s="20">
        <f>(Y81- AVERAGE(Y$41:Y81))/_xlfn.STDEV.S(Y46:Y81)</f>
        <v>0.28741719759910295</v>
      </c>
      <c r="AK81" s="20">
        <f>(Z81- AVERAGE(Z$41:Z81))/_xlfn.STDEV.S(Z46:Z81)</f>
        <v>-9.6557111725262726E-2</v>
      </c>
      <c r="AL81" s="20">
        <f>(AA81- AVERAGE(AA$41:AA81))/_xlfn.STDEV.S(AA46:AA81)</f>
        <v>-0.74691414697279801</v>
      </c>
      <c r="AM81" s="20">
        <f>(AB81- AVERAGE(AB$41:AB81))/_xlfn.STDEV.S(AB46:AB81)</f>
        <v>0.29453642403696978</v>
      </c>
      <c r="AN81" s="20">
        <f>(AC81- AVERAGE(AC$41:AC81))/_xlfn.STDEV.S(AC46:AC81)</f>
        <v>-0.19424568928612049</v>
      </c>
      <c r="AO81" s="24">
        <f>(AD81- AVERAGE(AD$41:AD81))/_xlfn.STDEV.S(AD46:AD81)</f>
        <v>0.83891576922125766</v>
      </c>
      <c r="AP81" s="20"/>
      <c r="AQ81" s="20">
        <f t="shared" si="11"/>
        <v>0.60851187959676567</v>
      </c>
      <c r="AR81" s="20">
        <f t="shared" si="12"/>
        <v>2.1772244047691158</v>
      </c>
      <c r="AS81" s="20">
        <f t="shared" si="13"/>
        <v>1.5399059515761617</v>
      </c>
      <c r="AT81" s="20">
        <f t="shared" si="14"/>
        <v>0.28741719759910295</v>
      </c>
      <c r="AU81" s="20">
        <f t="shared" si="15"/>
        <v>-9.6557111725262726E-2</v>
      </c>
      <c r="AV81" s="20">
        <f t="shared" si="16"/>
        <v>-0.74691414697279801</v>
      </c>
      <c r="AW81" s="20">
        <f t="shared" si="17"/>
        <v>0.29453642403696978</v>
      </c>
      <c r="AX81" s="20">
        <f t="shared" si="18"/>
        <v>-0.19424568928612049</v>
      </c>
      <c r="AY81" s="20">
        <f t="shared" si="19"/>
        <v>0.83891576922125766</v>
      </c>
      <c r="AZ81" s="22">
        <f t="shared" si="20"/>
        <v>0.52319940875724358</v>
      </c>
      <c r="BA81" s="1">
        <f>+_xlfn.XLOOKUP(A81,[1]Indice!B:B,[1]Indice!AI:AI,"NOOOOOO",-1)</f>
        <v>0.85404288097261072</v>
      </c>
    </row>
    <row r="82" spans="1:53" x14ac:dyDescent="0.25">
      <c r="A82" s="2">
        <v>40390</v>
      </c>
      <c r="B82" s="15">
        <v>5984</v>
      </c>
      <c r="C82" s="19">
        <v>21.502538071065992</v>
      </c>
      <c r="D82" s="15">
        <v>5291</v>
      </c>
      <c r="E82" s="19">
        <v>432.2</v>
      </c>
      <c r="F82" s="18">
        <v>0.25333179083757518</v>
      </c>
      <c r="G82" s="1">
        <v>9.5</v>
      </c>
      <c r="H82" s="1">
        <v>10.4</v>
      </c>
      <c r="I82" s="16">
        <v>25.568160004368075</v>
      </c>
      <c r="J82" s="1">
        <v>624.75199999999995</v>
      </c>
      <c r="K82" s="1">
        <v>-0.60630358452534727</v>
      </c>
      <c r="L82" s="1">
        <v>128.58099999999999</v>
      </c>
      <c r="M82" s="1">
        <v>-15.411132382061366</v>
      </c>
      <c r="N82" s="1">
        <v>-1.243428093452148</v>
      </c>
      <c r="O82" s="1">
        <v>337388</v>
      </c>
      <c r="P82" s="1">
        <v>1.8388389838694064</v>
      </c>
      <c r="Q82" s="1">
        <v>-22.670807453416142</v>
      </c>
      <c r="R82" s="1">
        <v>16.2</v>
      </c>
      <c r="S82" s="1">
        <v>4.8833333333333337</v>
      </c>
      <c r="V82" s="20">
        <f t="shared" si="4"/>
        <v>18.020115177524421</v>
      </c>
      <c r="W82" s="20">
        <f t="shared" si="5"/>
        <v>9.8500000000000014</v>
      </c>
      <c r="X82" s="20">
        <f t="shared" si="5"/>
        <v>6.7833333333333323</v>
      </c>
      <c r="Y82" s="20">
        <v>-1.180802205196585</v>
      </c>
      <c r="Z82" s="20">
        <f t="shared" si="6"/>
        <v>-1.1779198303645082</v>
      </c>
      <c r="AA82" s="19">
        <f>+AVERAGE(M80:M82)*AVERAGE($F$15:F82)</f>
        <v>-4.6859346632734891</v>
      </c>
      <c r="AB82" s="19">
        <f t="shared" si="7"/>
        <v>-1.1377348480143528</v>
      </c>
      <c r="AC82" s="19">
        <f t="shared" si="8"/>
        <v>1.220600823838484</v>
      </c>
      <c r="AD82" s="21">
        <f t="shared" si="9"/>
        <v>2.8149989567721527</v>
      </c>
      <c r="AE82" s="19"/>
      <c r="AG82" s="20">
        <f>(V82- AVERAGE(V$41:V82))/_xlfn.STDEV.S(V47:V82)</f>
        <v>0.57179865360903137</v>
      </c>
      <c r="AH82" s="20">
        <f>(W82- AVERAGE(W$41:W82))/_xlfn.STDEV.S(W47:W82)</f>
        <v>1.8249337388744631</v>
      </c>
      <c r="AI82" s="20">
        <f>(X82- AVERAGE(X$41:X82))/_xlfn.STDEV.S(X47:X82)</f>
        <v>1.5279825488961873</v>
      </c>
      <c r="AJ82" s="20">
        <f>(Y82- AVERAGE(Y$41:Y82))/_xlfn.STDEV.S(Y47:Y82)</f>
        <v>0.37116509516567925</v>
      </c>
      <c r="AK82" s="20">
        <f>(Z82- AVERAGE(Z$41:Z82))/_xlfn.STDEV.S(Z47:Z82)</f>
        <v>9.2371003725631728E-2</v>
      </c>
      <c r="AL82" s="20">
        <f>(AA82- AVERAGE(AA$41:AA82))/_xlfn.STDEV.S(AA47:AA82)</f>
        <v>-1.1303780368385603</v>
      </c>
      <c r="AM82" s="20">
        <f>(AB82- AVERAGE(AB$41:AB82))/_xlfn.STDEV.S(AB47:AB82)</f>
        <v>6.4000799926277746E-2</v>
      </c>
      <c r="AN82" s="20">
        <f>(AC82- AVERAGE(AC$41:AC82))/_xlfn.STDEV.S(AC47:AC82)</f>
        <v>7.8919480192683536E-3</v>
      </c>
      <c r="AO82" s="24">
        <f>(AD82- AVERAGE(AD$41:AD82))/_xlfn.STDEV.S(AD47:AD82)</f>
        <v>-8.6664800242715223E-2</v>
      </c>
      <c r="AP82" s="20"/>
      <c r="AQ82" s="20">
        <f t="shared" si="11"/>
        <v>0.57179865360903137</v>
      </c>
      <c r="AR82" s="20">
        <f t="shared" si="12"/>
        <v>1.8249337388744631</v>
      </c>
      <c r="AS82" s="20">
        <f t="shared" si="13"/>
        <v>1.5279825488961873</v>
      </c>
      <c r="AT82" s="20">
        <f t="shared" si="14"/>
        <v>0.37116509516567925</v>
      </c>
      <c r="AU82" s="20">
        <f t="shared" si="15"/>
        <v>9.2371003725631728E-2</v>
      </c>
      <c r="AV82" s="20">
        <f t="shared" si="16"/>
        <v>-1.1303780368385603</v>
      </c>
      <c r="AW82" s="20">
        <f t="shared" si="17"/>
        <v>6.4000799926277746E-2</v>
      </c>
      <c r="AX82" s="20">
        <f t="shared" si="18"/>
        <v>7.8919480192683536E-3</v>
      </c>
      <c r="AY82" s="20">
        <f t="shared" si="19"/>
        <v>-8.6664800242715223E-2</v>
      </c>
      <c r="AZ82" s="22">
        <f t="shared" si="20"/>
        <v>0.36034455012614036</v>
      </c>
      <c r="BA82" s="1">
        <f>+_xlfn.XLOOKUP(A82,[1]Indice!B:B,[1]Indice!AI:AI,"NOOOOOO",-1)</f>
        <v>0.83530664571499069</v>
      </c>
    </row>
    <row r="83" spans="1:53" x14ac:dyDescent="0.25">
      <c r="A83" s="2">
        <v>40421</v>
      </c>
      <c r="B83" s="15">
        <v>6383</v>
      </c>
      <c r="C83" s="19">
        <v>46.668198529411775</v>
      </c>
      <c r="D83" s="15">
        <v>5355</v>
      </c>
      <c r="E83" s="19">
        <v>432.2</v>
      </c>
      <c r="F83" s="18">
        <v>0.26288986580286905</v>
      </c>
      <c r="G83" s="1">
        <v>10.7</v>
      </c>
      <c r="H83" s="1">
        <v>10.8</v>
      </c>
      <c r="I83" s="16">
        <v>24.501060275118665</v>
      </c>
      <c r="J83" s="1">
        <v>625.58500000000004</v>
      </c>
      <c r="K83" s="1">
        <v>12.554965419464438</v>
      </c>
      <c r="L83" s="1">
        <v>127.30200000000001</v>
      </c>
      <c r="M83" s="1">
        <v>-15.237670370937561</v>
      </c>
      <c r="N83" s="1">
        <v>-0.26665924938749086</v>
      </c>
      <c r="O83" s="1">
        <v>341105</v>
      </c>
      <c r="P83" s="1">
        <v>4.8421550878896991</v>
      </c>
      <c r="Q83" s="1">
        <v>32.140490390987409</v>
      </c>
      <c r="R83" s="1">
        <v>16.2</v>
      </c>
      <c r="S83" s="1">
        <v>4.9350000000000005</v>
      </c>
      <c r="V83" s="20">
        <f t="shared" si="4"/>
        <v>25.195986274233334</v>
      </c>
      <c r="W83" s="20">
        <f t="shared" si="5"/>
        <v>7.0983333333333309</v>
      </c>
      <c r="X83" s="20">
        <f t="shared" si="5"/>
        <v>5.8316666666666652</v>
      </c>
      <c r="Y83" s="20">
        <v>-1.2169553946017508</v>
      </c>
      <c r="Z83" s="20">
        <f t="shared" si="6"/>
        <v>3.9575760617827385</v>
      </c>
      <c r="AA83" s="19">
        <f>+AVERAGE(M81:M83)*AVERAGE($F$15:F83)</f>
        <v>-4.8806903312365959</v>
      </c>
      <c r="AB83" s="19">
        <f t="shared" si="7"/>
        <v>-1.0598140931173357</v>
      </c>
      <c r="AC83" s="19">
        <f t="shared" si="8"/>
        <v>3.3142515784411182</v>
      </c>
      <c r="AD83" s="21">
        <f t="shared" si="9"/>
        <v>11.599099300213375</v>
      </c>
      <c r="AE83" s="19"/>
      <c r="AG83" s="20">
        <f>(V83- AVERAGE(V$41:V83))/_xlfn.STDEV.S(V48:V83)</f>
        <v>0.82875613674993509</v>
      </c>
      <c r="AH83" s="20">
        <f>(W83- AVERAGE(W$41:W83))/_xlfn.STDEV.S(W48:W83)</f>
        <v>1.3792677500419293</v>
      </c>
      <c r="AI83" s="20">
        <f>(X83- AVERAGE(X$41:X83))/_xlfn.STDEV.S(X48:X83)</f>
        <v>1.2966906928498234</v>
      </c>
      <c r="AJ83" s="20">
        <f>(Y83- AVERAGE(Y$41:Y83))/_xlfn.STDEV.S(Y48:Y83)</f>
        <v>0.35829000272443318</v>
      </c>
      <c r="AK83" s="20">
        <f>(Z83- AVERAGE(Z$41:Z83))/_xlfn.STDEV.S(Z48:Z83)</f>
        <v>1.1820561705490185</v>
      </c>
      <c r="AL83" s="20">
        <f>(AA83- AVERAGE(AA$41:AA83))/_xlfn.STDEV.S(AA48:AA83)</f>
        <v>-1.1482465169426983</v>
      </c>
      <c r="AM83" s="20">
        <f>(AB83- AVERAGE(AB$41:AB83))/_xlfn.STDEV.S(AB48:AB83)</f>
        <v>0.10572362641553726</v>
      </c>
      <c r="AN83" s="20">
        <f>(AC83- AVERAGE(AC$41:AC83))/_xlfn.STDEV.S(AC48:AC83)</f>
        <v>0.20386783162872499</v>
      </c>
      <c r="AO83" s="24">
        <f>(AD83- AVERAGE(AD$41:AD83))/_xlfn.STDEV.S(AD48:AD83)</f>
        <v>0.22070099583325367</v>
      </c>
      <c r="AP83" s="20"/>
      <c r="AQ83" s="20">
        <f t="shared" si="11"/>
        <v>0.82875613674993509</v>
      </c>
      <c r="AR83" s="20">
        <f t="shared" si="12"/>
        <v>1.3792677500419293</v>
      </c>
      <c r="AS83" s="20">
        <f t="shared" si="13"/>
        <v>1.2966906928498234</v>
      </c>
      <c r="AT83" s="20">
        <f t="shared" si="14"/>
        <v>0.35829000272443318</v>
      </c>
      <c r="AU83" s="20">
        <f t="shared" si="15"/>
        <v>1.1820561705490185</v>
      </c>
      <c r="AV83" s="20">
        <f t="shared" si="16"/>
        <v>-1.1482465169426983</v>
      </c>
      <c r="AW83" s="20">
        <f t="shared" si="17"/>
        <v>0.10572362641553726</v>
      </c>
      <c r="AX83" s="20">
        <f t="shared" si="18"/>
        <v>0.20386783162872499</v>
      </c>
      <c r="AY83" s="20">
        <f t="shared" si="19"/>
        <v>0.22070099583325367</v>
      </c>
      <c r="AZ83" s="22">
        <f t="shared" si="20"/>
        <v>0.49190074331666189</v>
      </c>
      <c r="BA83" s="1">
        <f>+_xlfn.XLOOKUP(A83,[1]Indice!B:B,[1]Indice!AI:AI,"NOOOOOO",-1)</f>
        <v>0.85400201983244395</v>
      </c>
    </row>
    <row r="84" spans="1:53" x14ac:dyDescent="0.25">
      <c r="A84" s="2">
        <v>40451</v>
      </c>
      <c r="B84" s="15">
        <v>6375</v>
      </c>
      <c r="C84" s="19">
        <v>40.697417788567634</v>
      </c>
      <c r="D84" s="15">
        <v>5337</v>
      </c>
      <c r="E84" s="19">
        <v>434.56</v>
      </c>
      <c r="F84" s="18">
        <v>0.26955081001472753</v>
      </c>
      <c r="G84" s="1">
        <v>8.3000000000000007</v>
      </c>
      <c r="H84" s="1">
        <v>9.1999999999999993</v>
      </c>
      <c r="I84" s="16">
        <v>24.563674650775596</v>
      </c>
      <c r="J84" s="1">
        <v>615.74099999999999</v>
      </c>
      <c r="K84" s="1">
        <v>-2.1581922160798128</v>
      </c>
      <c r="L84" s="1">
        <v>130.34700000000001</v>
      </c>
      <c r="M84" s="1">
        <v>-14.081471228000787</v>
      </c>
      <c r="N84" s="1">
        <v>0.19058770485017584</v>
      </c>
      <c r="O84" s="1">
        <v>337343</v>
      </c>
      <c r="P84" s="1">
        <v>5.2660648366290363</v>
      </c>
      <c r="Q84" s="1">
        <v>115.01956947162424</v>
      </c>
      <c r="R84" s="1">
        <v>9.5</v>
      </c>
      <c r="S84" s="1">
        <v>4.9766666666666683</v>
      </c>
      <c r="V84" s="20">
        <f t="shared" si="4"/>
        <v>31.312718129681798</v>
      </c>
      <c r="W84" s="20">
        <f t="shared" si="5"/>
        <v>4.5233333333333317</v>
      </c>
      <c r="X84" s="20">
        <f t="shared" si="5"/>
        <v>5.1566666666666663</v>
      </c>
      <c r="Y84" s="20">
        <v>-1.4477479445792198</v>
      </c>
      <c r="Z84" s="20">
        <f t="shared" si="6"/>
        <v>3.2634898729530923</v>
      </c>
      <c r="AA84" s="19">
        <f>+AVERAGE(M82:M84)*AVERAGE($F$15:F84)</f>
        <v>-4.7791190035466817</v>
      </c>
      <c r="AB84" s="19">
        <f t="shared" si="7"/>
        <v>-0.43983321266315434</v>
      </c>
      <c r="AC84" s="19">
        <f t="shared" si="8"/>
        <v>3.9823529694627138</v>
      </c>
      <c r="AD84" s="21">
        <f t="shared" si="9"/>
        <v>41.496417469731831</v>
      </c>
      <c r="AE84" s="19"/>
      <c r="AG84" s="20">
        <f>(V84- AVERAGE(V$41:V84))/_xlfn.STDEV.S(V49:V84)</f>
        <v>1.029036194135919</v>
      </c>
      <c r="AH84" s="20">
        <f>(W84- AVERAGE(W$41:W84))/_xlfn.STDEV.S(W49:W84)</f>
        <v>1.0006493100619831</v>
      </c>
      <c r="AI84" s="20">
        <f>(X84- AVERAGE(X$41:X84))/_xlfn.STDEV.S(X49:X84)</f>
        <v>1.1247125224952286</v>
      </c>
      <c r="AJ84" s="20">
        <f>(Y84- AVERAGE(Y$41:Y84))/_xlfn.STDEV.S(Y49:Y84)</f>
        <v>0.32038461419698433</v>
      </c>
      <c r="AK84" s="20">
        <f>(Z84- AVERAGE(Z$41:Z84))/_xlfn.STDEV.S(Z49:Z84)</f>
        <v>0.99341210540102454</v>
      </c>
      <c r="AL84" s="20">
        <f>(AA84- AVERAGE(AA$41:AA84))/_xlfn.STDEV.S(AA49:AA84)</f>
        <v>-1.0713683995364573</v>
      </c>
      <c r="AM84" s="20">
        <f>(AB84- AVERAGE(AB$41:AB84))/_xlfn.STDEV.S(AB49:AB84)</f>
        <v>0.44463972809019525</v>
      </c>
      <c r="AN84" s="20">
        <f>(AC84- AVERAGE(AC$41:AC84))/_xlfn.STDEV.S(AC49:AC84)</f>
        <v>0.26176668465555586</v>
      </c>
      <c r="AO84" s="24">
        <f>(AD84- AVERAGE(AD$41:AD84))/_xlfn.STDEV.S(AD49:AD84)</f>
        <v>1.2170005533858805</v>
      </c>
      <c r="AP84" s="20"/>
      <c r="AQ84" s="20">
        <f t="shared" si="11"/>
        <v>1.029036194135919</v>
      </c>
      <c r="AR84" s="20">
        <f t="shared" si="12"/>
        <v>1.0006493100619831</v>
      </c>
      <c r="AS84" s="20">
        <f t="shared" si="13"/>
        <v>1.1247125224952286</v>
      </c>
      <c r="AT84" s="20">
        <f t="shared" si="14"/>
        <v>0.32038461419698433</v>
      </c>
      <c r="AU84" s="20">
        <f t="shared" si="15"/>
        <v>0.99341210540102454</v>
      </c>
      <c r="AV84" s="20">
        <f t="shared" si="16"/>
        <v>-1.0713683995364573</v>
      </c>
      <c r="AW84" s="20">
        <f t="shared" si="17"/>
        <v>0.44463972809019525</v>
      </c>
      <c r="AX84" s="20">
        <f t="shared" si="18"/>
        <v>0.26176668465555586</v>
      </c>
      <c r="AY84" s="20">
        <f t="shared" si="19"/>
        <v>1.2170005533858805</v>
      </c>
      <c r="AZ84" s="22">
        <f t="shared" si="20"/>
        <v>0.59113703476514601</v>
      </c>
      <c r="BA84" s="1">
        <f>+_xlfn.XLOOKUP(A84,[1]Indice!B:B,[1]Indice!AI:AI,"NOOOOOO",-1)</f>
        <v>0.76531224706232615</v>
      </c>
    </row>
    <row r="85" spans="1:53" x14ac:dyDescent="0.25">
      <c r="A85" s="2">
        <v>40482</v>
      </c>
      <c r="B85" s="15">
        <v>5899</v>
      </c>
      <c r="C85" s="19">
        <v>22.691347753743752</v>
      </c>
      <c r="D85" s="15">
        <v>4951</v>
      </c>
      <c r="E85" s="19">
        <v>434.56</v>
      </c>
      <c r="F85" s="18">
        <v>0.27504142120765834</v>
      </c>
      <c r="G85" s="1">
        <v>6.3</v>
      </c>
      <c r="H85" s="1">
        <v>7.7</v>
      </c>
      <c r="I85" s="16">
        <v>26.701946939278812</v>
      </c>
      <c r="J85" s="1">
        <v>608.529</v>
      </c>
      <c r="K85" s="1">
        <v>-4.7655638674136913</v>
      </c>
      <c r="L85" s="1">
        <v>127.506</v>
      </c>
      <c r="M85" s="1">
        <v>-14.860344148343019</v>
      </c>
      <c r="N85" s="1">
        <v>0.38918527799610692</v>
      </c>
      <c r="O85" s="1">
        <v>347394</v>
      </c>
      <c r="P85" s="1">
        <v>9.3049232114932536</v>
      </c>
      <c r="Q85" s="1">
        <v>27.310995117023062</v>
      </c>
      <c r="R85" s="1">
        <v>9.5</v>
      </c>
      <c r="S85" s="1">
        <v>5.0183333333333344</v>
      </c>
      <c r="V85" s="20">
        <f t="shared" si="4"/>
        <v>31.667321357241054</v>
      </c>
      <c r="W85" s="20">
        <f t="shared" si="5"/>
        <v>3.4149999999999991</v>
      </c>
      <c r="X85" s="20">
        <f t="shared" si="5"/>
        <v>4.2149999999999981</v>
      </c>
      <c r="Y85" s="20">
        <v>-1.2144051553678032</v>
      </c>
      <c r="Z85" s="20">
        <f t="shared" si="6"/>
        <v>1.8770697786569777</v>
      </c>
      <c r="AA85" s="19">
        <f>+AVERAGE(M83:M85)*AVERAGE($F$15:F85)</f>
        <v>-4.7108362493753964</v>
      </c>
      <c r="AB85" s="19">
        <f t="shared" si="7"/>
        <v>0.10437124448626396</v>
      </c>
      <c r="AC85" s="19">
        <f t="shared" si="8"/>
        <v>6.4710477120039966</v>
      </c>
      <c r="AD85" s="21">
        <f t="shared" si="9"/>
        <v>58.157018326544907</v>
      </c>
      <c r="AE85" s="19"/>
      <c r="AG85" s="20">
        <f>(V85- AVERAGE(V$41:V85))/_xlfn.STDEV.S(V50:V85)</f>
        <v>1.0058050013114175</v>
      </c>
      <c r="AH85" s="20">
        <f>(W85- AVERAGE(W$41:W85))/_xlfn.STDEV.S(W50:W85)</f>
        <v>0.82990516022602945</v>
      </c>
      <c r="AI85" s="20">
        <f>(X85- AVERAGE(X$41:X85))/_xlfn.STDEV.S(X50:X85)</f>
        <v>0.91508481025069222</v>
      </c>
      <c r="AJ85" s="20">
        <f>(Y85- AVERAGE(Y$41:Y85))/_xlfn.STDEV.S(Y50:Y85)</f>
        <v>0.35349356037956464</v>
      </c>
      <c r="AK85" s="20">
        <f>(Z85- AVERAGE(Z$41:Z85))/_xlfn.STDEV.S(Z50:Z85)</f>
        <v>0.67522835001663428</v>
      </c>
      <c r="AL85" s="20">
        <f>(AA85- AVERAGE(AA$41:AA85))/_xlfn.STDEV.S(AA50:AA85)</f>
        <v>-1.0110639572617934</v>
      </c>
      <c r="AM85" s="20">
        <f>(AB85- AVERAGE(AB$41:AB85))/_xlfn.STDEV.S(AB50:AB85)</f>
        <v>0.72836932106382835</v>
      </c>
      <c r="AN85" s="20">
        <f>(AC85- AVERAGE(AC$41:AC85))/_xlfn.STDEV.S(AC50:AC85)</f>
        <v>0.48966060734297934</v>
      </c>
      <c r="AO85" s="24">
        <f>(AD85- AVERAGE(AD$41:AD85))/_xlfn.STDEV.S(AD50:AD85)</f>
        <v>1.6830077952756444</v>
      </c>
      <c r="AP85" s="20"/>
      <c r="AQ85" s="20">
        <f t="shared" si="11"/>
        <v>1.0058050013114175</v>
      </c>
      <c r="AR85" s="20">
        <f t="shared" si="12"/>
        <v>0.82990516022602945</v>
      </c>
      <c r="AS85" s="20">
        <f t="shared" si="13"/>
        <v>0.91508481025069222</v>
      </c>
      <c r="AT85" s="20">
        <f t="shared" si="14"/>
        <v>0.35349356037956464</v>
      </c>
      <c r="AU85" s="20">
        <f t="shared" si="15"/>
        <v>0.67522835001663428</v>
      </c>
      <c r="AV85" s="20">
        <f t="shared" si="16"/>
        <v>-1.0110639572617934</v>
      </c>
      <c r="AW85" s="20">
        <f t="shared" si="17"/>
        <v>0.72836932106382835</v>
      </c>
      <c r="AX85" s="20">
        <f t="shared" si="18"/>
        <v>0.48966060734297934</v>
      </c>
      <c r="AY85" s="20">
        <f t="shared" si="19"/>
        <v>1.6830077952756444</v>
      </c>
      <c r="AZ85" s="22">
        <f t="shared" si="20"/>
        <v>0.62994340540055527</v>
      </c>
      <c r="BA85" s="1">
        <f>+_xlfn.XLOOKUP(A85,[1]Indice!B:B,[1]Indice!AI:AI,"NOOOOOO",-1)</f>
        <v>0.67444940126385933</v>
      </c>
    </row>
    <row r="86" spans="1:53" x14ac:dyDescent="0.25">
      <c r="A86" s="2">
        <v>40512</v>
      </c>
      <c r="B86" s="15">
        <v>5915</v>
      </c>
      <c r="C86" s="19">
        <v>21.40804597701149</v>
      </c>
      <c r="D86" s="15">
        <v>5576</v>
      </c>
      <c r="E86" s="19">
        <v>434.56</v>
      </c>
      <c r="F86" s="18">
        <v>0.28187131811487481</v>
      </c>
      <c r="G86" s="1">
        <v>9.8000000000000007</v>
      </c>
      <c r="H86" s="1">
        <v>8</v>
      </c>
      <c r="I86" s="16">
        <v>27.721262851526795</v>
      </c>
      <c r="J86" s="1">
        <v>608.27200000000005</v>
      </c>
      <c r="K86" s="1">
        <v>-1.4329582006595176</v>
      </c>
      <c r="L86" s="1">
        <v>124.236</v>
      </c>
      <c r="M86" s="1">
        <v>-16.946217869438783</v>
      </c>
      <c r="N86" s="1">
        <v>-0.10945803868478432</v>
      </c>
      <c r="O86" s="1">
        <v>338658</v>
      </c>
      <c r="P86" s="1">
        <v>5.2281935916875799</v>
      </c>
      <c r="Q86" s="1">
        <v>25.269026319201359</v>
      </c>
      <c r="R86" s="1">
        <v>9.5</v>
      </c>
      <c r="S86" s="1">
        <v>5.0600000000000023</v>
      </c>
      <c r="V86" s="20">
        <f t="shared" si="4"/>
        <v>23.205603839774295</v>
      </c>
      <c r="W86" s="20">
        <f t="shared" si="5"/>
        <v>3.0733333333333324</v>
      </c>
      <c r="X86" s="20">
        <f t="shared" si="5"/>
        <v>3.2399999999999967</v>
      </c>
      <c r="Y86" s="20">
        <v>-0.28612842986332154</v>
      </c>
      <c r="Z86" s="20">
        <f t="shared" si="6"/>
        <v>-2.7855714280510071</v>
      </c>
      <c r="AA86" s="19">
        <f>+AVERAGE(M84:M86)*AVERAGE($F$15:F86)</f>
        <v>-4.8849412644479022</v>
      </c>
      <c r="AB86" s="19">
        <f t="shared" si="7"/>
        <v>0.15677164805383281</v>
      </c>
      <c r="AC86" s="19">
        <f t="shared" si="8"/>
        <v>6.5997272132699569</v>
      </c>
      <c r="AD86" s="21">
        <f t="shared" si="9"/>
        <v>55.866530302616219</v>
      </c>
      <c r="AE86" s="19"/>
      <c r="AG86" s="20">
        <f>(V86- AVERAGE(V$41:V86))/_xlfn.STDEV.S(V51:V86)</f>
        <v>0.66598657526689975</v>
      </c>
      <c r="AH86" s="20">
        <f>(W86- AVERAGE(W$41:W86))/_xlfn.STDEV.S(W51:W86)</f>
        <v>0.76361423088772129</v>
      </c>
      <c r="AI86" s="20">
        <f>(X86- AVERAGE(X$41:X86))/_xlfn.STDEV.S(X51:X86)</f>
        <v>0.70932767732030055</v>
      </c>
      <c r="AJ86" s="20">
        <f>(Y86- AVERAGE(Y$41:Y86))/_xlfn.STDEV.S(Y51:Y86)</f>
        <v>0.4915613098959451</v>
      </c>
      <c r="AK86" s="20">
        <f>(Z86- AVERAGE(Z$41:Z86))/_xlfn.STDEV.S(Z51:Z86)</f>
        <v>-0.3133141390252977</v>
      </c>
      <c r="AL86" s="20">
        <f>(AA86- AVERAGE(AA$41:AA86))/_xlfn.STDEV.S(AA51:AA86)</f>
        <v>-1.030852486678552</v>
      </c>
      <c r="AM86" s="20">
        <f>(AB86- AVERAGE(AB$41:AB86))/_xlfn.STDEV.S(AB51:AB86)</f>
        <v>0.73563244596396615</v>
      </c>
      <c r="AN86" s="20">
        <f>(AC86- AVERAGE(AC$41:AC86))/_xlfn.STDEV.S(AC51:AC86)</f>
        <v>0.49501093196419721</v>
      </c>
      <c r="AO86" s="24">
        <f>(AD86- AVERAGE(AD$41:AD86))/_xlfn.STDEV.S(AD51:AD86)</f>
        <v>1.5109006034912076</v>
      </c>
      <c r="AP86" s="20"/>
      <c r="AQ86" s="20">
        <f t="shared" si="11"/>
        <v>0.66598657526689975</v>
      </c>
      <c r="AR86" s="20">
        <f t="shared" si="12"/>
        <v>0.76361423088772129</v>
      </c>
      <c r="AS86" s="20">
        <f t="shared" si="13"/>
        <v>0.70932767732030055</v>
      </c>
      <c r="AT86" s="20">
        <f t="shared" si="14"/>
        <v>0.4915613098959451</v>
      </c>
      <c r="AU86" s="20">
        <f t="shared" si="15"/>
        <v>-0.3133141390252977</v>
      </c>
      <c r="AV86" s="20">
        <f t="shared" si="16"/>
        <v>-1.030852486678552</v>
      </c>
      <c r="AW86" s="20">
        <f t="shared" si="17"/>
        <v>0.73563244596396615</v>
      </c>
      <c r="AX86" s="20">
        <f t="shared" si="18"/>
        <v>0.49501093196419721</v>
      </c>
      <c r="AY86" s="20">
        <f t="shared" si="19"/>
        <v>1.5109006034912076</v>
      </c>
      <c r="AZ86" s="22">
        <f t="shared" si="20"/>
        <v>0.44754079434293204</v>
      </c>
      <c r="BA86" s="1">
        <f>+_xlfn.XLOOKUP(A86,[1]Indice!B:B,[1]Indice!AI:AI,"NOOOOOO",-1)</f>
        <v>0.68453883900892876</v>
      </c>
    </row>
    <row r="87" spans="1:53" x14ac:dyDescent="0.25">
      <c r="A87" s="2">
        <v>40543</v>
      </c>
      <c r="B87" s="15">
        <v>5484</v>
      </c>
      <c r="C87" s="19">
        <v>14.392991239048802</v>
      </c>
      <c r="D87" s="15">
        <v>5389</v>
      </c>
      <c r="E87" s="19">
        <v>461.07</v>
      </c>
      <c r="F87" s="18">
        <v>0.27103693582319388</v>
      </c>
      <c r="G87" s="1">
        <v>9.6999999999999993</v>
      </c>
      <c r="H87" s="1">
        <v>6.5</v>
      </c>
      <c r="I87" s="16">
        <v>25.706330322588755</v>
      </c>
      <c r="J87" s="1">
        <v>520.601</v>
      </c>
      <c r="K87" s="1">
        <v>-15.564432680361884</v>
      </c>
      <c r="L87" s="1">
        <v>125.461</v>
      </c>
      <c r="M87" s="1">
        <v>-12.640740869686319</v>
      </c>
      <c r="N87" s="1">
        <v>-0.90829757052308668</v>
      </c>
      <c r="O87" s="1">
        <v>313918</v>
      </c>
      <c r="P87" s="1">
        <v>1.9316879296292777</v>
      </c>
      <c r="Q87" s="1">
        <v>58.423772609819125</v>
      </c>
      <c r="R87" s="1">
        <v>8.6</v>
      </c>
      <c r="S87" s="1">
        <v>5.0733333333333359</v>
      </c>
      <c r="V87" s="20">
        <f t="shared" si="4"/>
        <v>14.424128323268013</v>
      </c>
      <c r="W87" s="20">
        <f t="shared" si="5"/>
        <v>3.5266666666666637</v>
      </c>
      <c r="X87" s="20">
        <f t="shared" si="5"/>
        <v>2.3266666666666636</v>
      </c>
      <c r="Y87" s="20">
        <v>-6.6118414710683027E-2</v>
      </c>
      <c r="Z87" s="20">
        <f t="shared" si="6"/>
        <v>-7.2543182494783638</v>
      </c>
      <c r="AA87" s="19">
        <f>+AVERAGE(M85:M87)*AVERAGE($F$15:F87)</f>
        <v>-4.721762953001905</v>
      </c>
      <c r="AB87" s="19">
        <f t="shared" si="7"/>
        <v>-0.20952344373725471</v>
      </c>
      <c r="AC87" s="19">
        <f t="shared" si="8"/>
        <v>5.4882682442700377</v>
      </c>
      <c r="AD87" s="21">
        <f t="shared" si="9"/>
        <v>37.001264682014515</v>
      </c>
      <c r="AE87" s="19"/>
      <c r="AG87" s="20">
        <f>(V87- AVERAGE(V$41:V87))/_xlfn.STDEV.S(V52:V87)</f>
        <v>0.32651805222926977</v>
      </c>
      <c r="AH87" s="20">
        <f>(W87- AVERAGE(W$41:W87))/_xlfn.STDEV.S(W52:W87)</f>
        <v>0.79806180690069917</v>
      </c>
      <c r="AI87" s="20">
        <f>(X87- AVERAGE(X$41:X87))/_xlfn.STDEV.S(X52:X87)</f>
        <v>0.52342511524045032</v>
      </c>
      <c r="AJ87" s="20">
        <f>(Y87- AVERAGE(Y$41:Y87))/_xlfn.STDEV.S(Y52:Y87)</f>
        <v>0.52149112616544802</v>
      </c>
      <c r="AK87" s="20">
        <f>(Z87- AVERAGE(Z$41:Z87))/_xlfn.STDEV.S(Z52:Z87)</f>
        <v>-1.213787593952018</v>
      </c>
      <c r="AL87" s="20">
        <f>(AA87- AVERAGE(AA$41:AA87))/_xlfn.STDEV.S(AA52:AA87)</f>
        <v>-0.94773944517030329</v>
      </c>
      <c r="AM87" s="20">
        <f>(AB87- AVERAGE(AB$41:AB87))/_xlfn.STDEV.S(AB52:AB87)</f>
        <v>0.52436240381181454</v>
      </c>
      <c r="AN87" s="20">
        <f>(AC87- AVERAGE(AC$41:AC87))/_xlfn.STDEV.S(AC52:AC87)</f>
        <v>0.38631819394963501</v>
      </c>
      <c r="AO87" s="24">
        <f>(AD87- AVERAGE(AD$41:AD87))/_xlfn.STDEV.S(AD52:AD87)</f>
        <v>0.88310976572221556</v>
      </c>
      <c r="AP87" s="20"/>
      <c r="AQ87" s="20">
        <f t="shared" si="11"/>
        <v>0.32651805222926977</v>
      </c>
      <c r="AR87" s="20">
        <f t="shared" si="12"/>
        <v>0.79806180690069917</v>
      </c>
      <c r="AS87" s="20">
        <f t="shared" si="13"/>
        <v>0.52342511524045032</v>
      </c>
      <c r="AT87" s="20">
        <f t="shared" si="14"/>
        <v>0.52149112616544802</v>
      </c>
      <c r="AU87" s="20">
        <f t="shared" si="15"/>
        <v>-1.213787593952018</v>
      </c>
      <c r="AV87" s="20">
        <f t="shared" si="16"/>
        <v>-0.94773944517030329</v>
      </c>
      <c r="AW87" s="20">
        <f t="shared" si="17"/>
        <v>0.52436240381181454</v>
      </c>
      <c r="AX87" s="20">
        <f t="shared" si="18"/>
        <v>0.38631819394963501</v>
      </c>
      <c r="AY87" s="20">
        <f t="shared" si="19"/>
        <v>0.88310976572221556</v>
      </c>
      <c r="AZ87" s="22">
        <f t="shared" si="20"/>
        <v>0.20019549165524567</v>
      </c>
      <c r="BA87" s="1">
        <f>+_xlfn.XLOOKUP(A87,[1]Indice!B:B,[1]Indice!AI:AI,"NOOOOOO",-1)</f>
        <v>0.77066169672370455</v>
      </c>
    </row>
    <row r="88" spans="1:53" x14ac:dyDescent="0.25">
      <c r="A88" s="2">
        <v>40574</v>
      </c>
      <c r="B88" s="15">
        <v>5185</v>
      </c>
      <c r="C88" s="19">
        <v>17.627041742286753</v>
      </c>
      <c r="D88" s="15">
        <v>4889</v>
      </c>
      <c r="E88" s="19">
        <v>461.07</v>
      </c>
      <c r="F88" s="18">
        <v>0.27636584466566899</v>
      </c>
      <c r="G88" s="1">
        <v>9.5</v>
      </c>
      <c r="H88" s="1">
        <v>8.4</v>
      </c>
      <c r="I88" s="16">
        <v>24.214882841136415</v>
      </c>
      <c r="J88" s="1">
        <v>600.39499999999998</v>
      </c>
      <c r="K88" s="1">
        <v>-4.0200338266655251</v>
      </c>
      <c r="L88" s="1">
        <v>125.875</v>
      </c>
      <c r="M88" s="1">
        <v>-8.3632419210413307</v>
      </c>
      <c r="N88" s="1">
        <v>-2.1112581094906435</v>
      </c>
      <c r="O88" s="1">
        <v>321573</v>
      </c>
      <c r="P88" s="1">
        <v>4.3109740076488157</v>
      </c>
      <c r="Q88" s="1">
        <v>116.64657827775544</v>
      </c>
      <c r="R88" s="1">
        <v>8.6</v>
      </c>
      <c r="S88" s="1">
        <v>5.0866666666666696</v>
      </c>
      <c r="V88" s="20">
        <f t="shared" si="4"/>
        <v>12.722692986115678</v>
      </c>
      <c r="W88" s="20">
        <f t="shared" si="5"/>
        <v>4.5799999999999965</v>
      </c>
      <c r="X88" s="20">
        <f t="shared" si="5"/>
        <v>2.5466666666666633</v>
      </c>
      <c r="Y88" s="20">
        <v>-0.96839458422527613</v>
      </c>
      <c r="Z88" s="20">
        <f t="shared" si="6"/>
        <v>-7.0058082358956426</v>
      </c>
      <c r="AA88" s="19">
        <f>+AVERAGE(M86:M88)*AVERAGE($F$15:F88)</f>
        <v>-4.0243207356227853</v>
      </c>
      <c r="AB88" s="19">
        <f t="shared" si="7"/>
        <v>-1.0430045728995048</v>
      </c>
      <c r="AC88" s="19">
        <f t="shared" si="8"/>
        <v>3.8236185096552244</v>
      </c>
      <c r="AD88" s="21">
        <f t="shared" si="9"/>
        <v>66.779792402258636</v>
      </c>
      <c r="AE88" s="19"/>
      <c r="AG88" s="20">
        <f>(V88- AVERAGE(V$41:V88))/_xlfn.STDEV.S(V53:V88)</f>
        <v>0.26177169537357803</v>
      </c>
      <c r="AH88" s="20">
        <f>(W88- AVERAGE(W$41:W88))/_xlfn.STDEV.S(W53:W88)</f>
        <v>0.90242544446232809</v>
      </c>
      <c r="AI88" s="20">
        <f>(X88- AVERAGE(X$41:X88))/_xlfn.STDEV.S(X53:X88)</f>
        <v>0.5541254448096361</v>
      </c>
      <c r="AJ88" s="20">
        <f>(Y88- AVERAGE(Y$41:Y88))/_xlfn.STDEV.S(Y53:Y88)</f>
        <v>0.37804157897867552</v>
      </c>
      <c r="AK88" s="20">
        <f>(Z88- AVERAGE(Z$41:Z88))/_xlfn.STDEV.S(Z53:Z88)</f>
        <v>-1.1198338654128468</v>
      </c>
      <c r="AL88" s="20">
        <f>(AA88- AVERAGE(AA$41:AA88))/_xlfn.STDEV.S(AA53:AA88)</f>
        <v>-0.7065883658309573</v>
      </c>
      <c r="AM88" s="20">
        <f>(AB88- AVERAGE(AB$41:AB88))/_xlfn.STDEV.S(AB53:AB88)</f>
        <v>5.8508913002277826E-2</v>
      </c>
      <c r="AN88" s="20">
        <f>(AC88- AVERAGE(AC$41:AC88))/_xlfn.STDEV.S(AC53:AC88)</f>
        <v>0.22343309004119391</v>
      </c>
      <c r="AO88" s="24">
        <f>(AD88- AVERAGE(AD$41:AD88))/_xlfn.STDEV.S(AD53:AD88)</f>
        <v>1.6930586970366455</v>
      </c>
      <c r="AP88" s="20"/>
      <c r="AQ88" s="20">
        <f t="shared" si="11"/>
        <v>0.26177169537357803</v>
      </c>
      <c r="AR88" s="20">
        <f t="shared" si="12"/>
        <v>0.90242544446232809</v>
      </c>
      <c r="AS88" s="20">
        <f t="shared" si="13"/>
        <v>0.5541254448096361</v>
      </c>
      <c r="AT88" s="20">
        <f t="shared" si="14"/>
        <v>0.37804157897867552</v>
      </c>
      <c r="AU88" s="20">
        <f t="shared" si="15"/>
        <v>-1.1198338654128468</v>
      </c>
      <c r="AV88" s="20">
        <f t="shared" si="16"/>
        <v>-0.7065883658309573</v>
      </c>
      <c r="AW88" s="20">
        <f t="shared" si="17"/>
        <v>5.8508913002277826E-2</v>
      </c>
      <c r="AX88" s="20">
        <f t="shared" si="18"/>
        <v>0.22343309004119391</v>
      </c>
      <c r="AY88" s="20">
        <f t="shared" si="19"/>
        <v>1.6930586970366455</v>
      </c>
      <c r="AZ88" s="22">
        <f t="shared" si="20"/>
        <v>0.24943807027339229</v>
      </c>
      <c r="BA88" s="1">
        <f>+_xlfn.XLOOKUP(A88,[1]Indice!B:B,[1]Indice!AI:AI,"NOOOOOO",-1)</f>
        <v>0.75913896794236668</v>
      </c>
    </row>
    <row r="89" spans="1:53" x14ac:dyDescent="0.25">
      <c r="A89" s="2">
        <v>40602</v>
      </c>
      <c r="B89" s="15">
        <v>5398</v>
      </c>
      <c r="C89" s="19">
        <v>36.347562515786812</v>
      </c>
      <c r="D89" s="15">
        <v>4764</v>
      </c>
      <c r="E89" s="19">
        <v>461.07</v>
      </c>
      <c r="F89" s="18">
        <v>0.28232589411586095</v>
      </c>
      <c r="G89" s="1">
        <v>8.1</v>
      </c>
      <c r="H89" s="1">
        <v>7.5</v>
      </c>
      <c r="I89" s="16">
        <v>19.956253293178879</v>
      </c>
      <c r="J89" s="1">
        <v>604.32299999999998</v>
      </c>
      <c r="K89" s="1">
        <v>-3.5629139072847704</v>
      </c>
      <c r="L89" s="1">
        <v>127.089</v>
      </c>
      <c r="M89" s="1">
        <v>-5.8425634376736424</v>
      </c>
      <c r="N89" s="1">
        <v>-3.1938408139315033</v>
      </c>
      <c r="O89" s="1">
        <v>324722</v>
      </c>
      <c r="P89" s="1">
        <v>1.2446606179652653</v>
      </c>
      <c r="Q89" s="1">
        <v>149.33135215453194</v>
      </c>
      <c r="R89" s="1">
        <v>8.6</v>
      </c>
      <c r="S89" s="1">
        <v>5.1000000000000032</v>
      </c>
      <c r="V89" s="20">
        <f t="shared" si="4"/>
        <v>17.689198499040785</v>
      </c>
      <c r="W89" s="20">
        <f t="shared" si="5"/>
        <v>3.9999999999999964</v>
      </c>
      <c r="X89" s="20">
        <f t="shared" si="5"/>
        <v>2.3666666666666627</v>
      </c>
      <c r="Y89" s="20">
        <v>-3.6738734174883518</v>
      </c>
      <c r="Z89" s="20">
        <f t="shared" si="6"/>
        <v>-7.7157934714373928</v>
      </c>
      <c r="AA89" s="19">
        <f>+AVERAGE(M87:M89)*AVERAGE($F$15:F89)</f>
        <v>-2.8425937375612502</v>
      </c>
      <c r="AB89" s="19">
        <f t="shared" si="7"/>
        <v>-2.0711321646484113</v>
      </c>
      <c r="AC89" s="19">
        <f t="shared" si="8"/>
        <v>2.4957741850811197</v>
      </c>
      <c r="AD89" s="21">
        <f t="shared" si="9"/>
        <v>108.13390101403552</v>
      </c>
      <c r="AE89" s="19"/>
      <c r="AG89" s="20">
        <f>(V89- AVERAGE(V$41:V89))/_xlfn.STDEV.S(V54:V89)</f>
        <v>0.46107035606175095</v>
      </c>
      <c r="AH89" s="20">
        <f>(W89- AVERAGE(W$41:W89))/_xlfn.STDEV.S(W54:W89)</f>
        <v>0.8047397537976555</v>
      </c>
      <c r="AI89" s="20">
        <f>(X89- AVERAGE(X$41:X89))/_xlfn.STDEV.S(X54:X89)</f>
        <v>0.50966319372682356</v>
      </c>
      <c r="AJ89" s="20">
        <f>(Y89- AVERAGE(Y$41:Y89))/_xlfn.STDEV.S(Y54:Y89)</f>
        <v>-4.836903382867274E-2</v>
      </c>
      <c r="AK89" s="20">
        <f>(Z89- AVERAGE(Z$41:Z89))/_xlfn.STDEV.S(Z54:Z89)</f>
        <v>-1.2225342029479078</v>
      </c>
      <c r="AL89" s="20">
        <f>(AA89- AVERAGE(AA$41:AA89))/_xlfn.STDEV.S(AA54:AA89)</f>
        <v>-0.32301981675965913</v>
      </c>
      <c r="AM89" s="20">
        <f>(AB89- AVERAGE(AB$41:AB89))/_xlfn.STDEV.S(AB54:AB89)</f>
        <v>-0.5145755609635253</v>
      </c>
      <c r="AN89" s="20">
        <f>(AC89- AVERAGE(AC$41:AC89))/_xlfn.STDEV.S(AC54:AC89)</f>
        <v>8.946464061638211E-2</v>
      </c>
      <c r="AO89" s="24">
        <f>(AD89- AVERAGE(AD$41:AD89))/_xlfn.STDEV.S(AD54:AD89)</f>
        <v>2.5434957857419951</v>
      </c>
      <c r="AP89" s="20"/>
      <c r="AQ89" s="20">
        <f t="shared" si="11"/>
        <v>0.46107035606175095</v>
      </c>
      <c r="AR89" s="20">
        <f t="shared" si="12"/>
        <v>0.8047397537976555</v>
      </c>
      <c r="AS89" s="20">
        <f t="shared" si="13"/>
        <v>0.50966319372682356</v>
      </c>
      <c r="AT89" s="20">
        <f t="shared" si="14"/>
        <v>-4.836903382867274E-2</v>
      </c>
      <c r="AU89" s="20">
        <f t="shared" si="15"/>
        <v>-1.2225342029479078</v>
      </c>
      <c r="AV89" s="20">
        <f t="shared" si="16"/>
        <v>-0.32301981675965913</v>
      </c>
      <c r="AW89" s="20">
        <f t="shared" si="17"/>
        <v>-0.5145755609635253</v>
      </c>
      <c r="AX89" s="20">
        <f t="shared" si="18"/>
        <v>8.946464061638211E-2</v>
      </c>
      <c r="AY89" s="20">
        <f t="shared" si="19"/>
        <v>2.5434957857419951</v>
      </c>
      <c r="AZ89" s="22">
        <f t="shared" si="20"/>
        <v>0.25554834616053806</v>
      </c>
      <c r="BA89" s="1">
        <f>+_xlfn.XLOOKUP(A89,[1]Indice!B:B,[1]Indice!AI:AI,"NOOOOOO",-1)</f>
        <v>0.83858808315380307</v>
      </c>
    </row>
    <row r="90" spans="1:53" x14ac:dyDescent="0.25">
      <c r="A90" s="2">
        <v>40633</v>
      </c>
      <c r="B90" s="15">
        <v>6098</v>
      </c>
      <c r="C90" s="19">
        <v>30.104544484745045</v>
      </c>
      <c r="D90" s="15">
        <v>5642</v>
      </c>
      <c r="E90" s="19">
        <v>470.77</v>
      </c>
      <c r="F90" s="18">
        <v>0.28213777428468256</v>
      </c>
      <c r="G90" s="1">
        <v>7.4</v>
      </c>
      <c r="H90" s="1">
        <v>7.3</v>
      </c>
      <c r="I90" s="16">
        <v>20.010585765612877</v>
      </c>
      <c r="J90" s="1">
        <v>599.16</v>
      </c>
      <c r="K90" s="1">
        <v>-4.44430622604769</v>
      </c>
      <c r="L90" s="1">
        <v>127.14100000000001</v>
      </c>
      <c r="M90" s="1">
        <v>-4.379380885051587</v>
      </c>
      <c r="N90" s="1">
        <v>-4.2539572453244689</v>
      </c>
      <c r="O90" s="1">
        <v>333920</v>
      </c>
      <c r="P90" s="1">
        <v>0.16017469239859583</v>
      </c>
      <c r="Q90" s="1">
        <v>110.35424744448359</v>
      </c>
      <c r="R90" s="1">
        <v>8.3000000000000007</v>
      </c>
      <c r="S90" s="1">
        <v>5.1083333333333361</v>
      </c>
      <c r="V90" s="20">
        <f t="shared" si="4"/>
        <v>22.918049580939538</v>
      </c>
      <c r="W90" s="20">
        <f t="shared" si="5"/>
        <v>3.2249999999999979</v>
      </c>
      <c r="X90" s="20">
        <f t="shared" si="5"/>
        <v>2.6249999999999973</v>
      </c>
      <c r="Y90" s="20">
        <v>-5.6761858905739508</v>
      </c>
      <c r="Z90" s="20">
        <f t="shared" si="6"/>
        <v>-4.0090846533326614</v>
      </c>
      <c r="AA90" s="19">
        <f>+AVERAGE(M88:M90)*AVERAGE($F$15:F90)</f>
        <v>-1.9649612173050228</v>
      </c>
      <c r="AB90" s="19">
        <f t="shared" si="7"/>
        <v>-3.1863520562488716</v>
      </c>
      <c r="AC90" s="19">
        <f t="shared" si="8"/>
        <v>1.9052697726708923</v>
      </c>
      <c r="AD90" s="21">
        <f t="shared" si="9"/>
        <v>125.44405929225699</v>
      </c>
      <c r="AE90" s="19"/>
      <c r="AG90" s="20">
        <f>(V90- AVERAGE(V$41:V90))/_xlfn.STDEV.S(V55:V90)</f>
        <v>0.67121210304140078</v>
      </c>
      <c r="AH90" s="20">
        <f>(W90- AVERAGE(W$41:W90))/_xlfn.STDEV.S(W55:W90)</f>
        <v>0.68771922254153817</v>
      </c>
      <c r="AI90" s="20">
        <f>(X90- AVERAGE(X$41:X90))/_xlfn.STDEV.S(X55:X90)</f>
        <v>0.54503135218166887</v>
      </c>
      <c r="AJ90" s="20">
        <f>(Y90- AVERAGE(Y$41:Y90))/_xlfn.STDEV.S(Y55:Y90)</f>
        <v>-0.37528196276642167</v>
      </c>
      <c r="AK90" s="20">
        <f>(Z90- AVERAGE(Z$41:Z90))/_xlfn.STDEV.S(Z55:Z90)</f>
        <v>-0.46667401476501735</v>
      </c>
      <c r="AL90" s="20">
        <f>(AA90- AVERAGE(AA$41:AA90))/_xlfn.STDEV.S(AA55:AA90)</f>
        <v>-4.1000137069691966E-2</v>
      </c>
      <c r="AM90" s="20">
        <f>(AB90- AVERAGE(AB$41:AB90))/_xlfn.STDEV.S(AB55:AB90)</f>
        <v>-1.1145665857394884</v>
      </c>
      <c r="AN90" s="20">
        <f>(AC90- AVERAGE(AC$41:AC90))/_xlfn.STDEV.S(AC55:AC90)</f>
        <v>2.8233089094495258E-2</v>
      </c>
      <c r="AO90" s="24">
        <f>(AD90- AVERAGE(AD$41:AD90))/_xlfn.STDEV.S(AD55:AD90)</f>
        <v>2.6116326066091871</v>
      </c>
      <c r="AP90" s="20"/>
      <c r="AQ90" s="20">
        <f t="shared" si="11"/>
        <v>0.67121210304140078</v>
      </c>
      <c r="AR90" s="20">
        <f t="shared" si="12"/>
        <v>0.68771922254153817</v>
      </c>
      <c r="AS90" s="20">
        <f t="shared" si="13"/>
        <v>0.54503135218166887</v>
      </c>
      <c r="AT90" s="20">
        <f t="shared" si="14"/>
        <v>-0.37528196276642167</v>
      </c>
      <c r="AU90" s="20">
        <f t="shared" si="15"/>
        <v>-0.46667401476501735</v>
      </c>
      <c r="AV90" s="20">
        <f t="shared" si="16"/>
        <v>-4.1000137069691966E-2</v>
      </c>
      <c r="AW90" s="20">
        <f t="shared" si="17"/>
        <v>-1.1145665857394884</v>
      </c>
      <c r="AX90" s="20">
        <f t="shared" si="18"/>
        <v>2.8233089094495258E-2</v>
      </c>
      <c r="AY90" s="20">
        <f t="shared" si="19"/>
        <v>2.6116326066091871</v>
      </c>
      <c r="AZ90" s="22">
        <f t="shared" si="20"/>
        <v>0.2829228525697412</v>
      </c>
      <c r="BA90" s="1">
        <f>+_xlfn.XLOOKUP(A90,[1]Indice!B:B,[1]Indice!AI:AI,"NOOOOOO",-1)</f>
        <v>0.71331935438226113</v>
      </c>
    </row>
    <row r="91" spans="1:53" x14ac:dyDescent="0.25">
      <c r="A91" s="2">
        <v>40663</v>
      </c>
      <c r="B91" s="15">
        <v>7043</v>
      </c>
      <c r="C91" s="19">
        <v>13.450386597938135</v>
      </c>
      <c r="D91" s="15">
        <v>5533</v>
      </c>
      <c r="E91" s="19">
        <v>470.77</v>
      </c>
      <c r="F91" s="18">
        <v>0.28695328929201097</v>
      </c>
      <c r="G91" s="1">
        <v>3.6</v>
      </c>
      <c r="H91" s="1">
        <v>5.2</v>
      </c>
      <c r="I91" s="16">
        <v>21.59752134221365</v>
      </c>
      <c r="J91" s="1">
        <v>504.64100000000002</v>
      </c>
      <c r="K91" s="1">
        <v>-19.462841967845211</v>
      </c>
      <c r="L91" s="1">
        <v>129.13499999999999</v>
      </c>
      <c r="M91" s="1">
        <v>-2.7949235216187085</v>
      </c>
      <c r="N91" s="1">
        <v>-4.0175236684743432</v>
      </c>
      <c r="O91" s="1">
        <v>344418</v>
      </c>
      <c r="P91" s="1">
        <v>1.3166952009460386</v>
      </c>
      <c r="Q91" s="1">
        <v>101.33799152605367</v>
      </c>
      <c r="R91" s="1">
        <v>8.3000000000000007</v>
      </c>
      <c r="S91" s="1">
        <v>5.1166666666666707</v>
      </c>
      <c r="V91" s="20">
        <f t="shared" si="4"/>
        <v>21.51749786615666</v>
      </c>
      <c r="W91" s="20">
        <f t="shared" si="5"/>
        <v>1.2499999999999964</v>
      </c>
      <c r="X91" s="20">
        <f t="shared" si="5"/>
        <v>1.5499999999999963</v>
      </c>
      <c r="Y91" s="20">
        <v>-6.6048694349806567</v>
      </c>
      <c r="Z91" s="20">
        <f t="shared" si="6"/>
        <v>-9.1566873670592237</v>
      </c>
      <c r="AA91" s="19">
        <f>+AVERAGE(M89:M91)*AVERAGE($F$15:F91)</f>
        <v>-1.3745346691161022</v>
      </c>
      <c r="AB91" s="19">
        <f t="shared" si="7"/>
        <v>-3.8217739092434386</v>
      </c>
      <c r="AC91" s="19">
        <f t="shared" si="8"/>
        <v>0.90717683710329988</v>
      </c>
      <c r="AD91" s="21">
        <f t="shared" si="9"/>
        <v>120.34119704168972</v>
      </c>
      <c r="AE91" s="19"/>
      <c r="AG91" s="20">
        <f>(V91- AVERAGE(V$41:V91))/_xlfn.STDEV.S(V56:V91)</f>
        <v>0.60372326579239532</v>
      </c>
      <c r="AH91" s="20">
        <f>(W91- AVERAGE(W$41:W91))/_xlfn.STDEV.S(W56:W91)</f>
        <v>0.43309899048600264</v>
      </c>
      <c r="AI91" s="20">
        <f>(X91- AVERAGE(X$41:X91))/_xlfn.STDEV.S(X56:X91)</f>
        <v>0.33014854054013337</v>
      </c>
      <c r="AJ91" s="20">
        <f>(Y91- AVERAGE(Y$41:Y91))/_xlfn.STDEV.S(Y56:Y91)</f>
        <v>-0.54763280562194183</v>
      </c>
      <c r="AK91" s="20">
        <f>(Z91- AVERAGE(Z$41:Z91))/_xlfn.STDEV.S(Z56:Z91)</f>
        <v>-1.4689328777237585</v>
      </c>
      <c r="AL91" s="20">
        <f>(AA91- AVERAGE(AA$41:AA91))/_xlfn.STDEV.S(AA56:AA91)</f>
        <v>0.14579886581373602</v>
      </c>
      <c r="AM91" s="20">
        <f>(AB91- AVERAGE(AB$41:AB91))/_xlfn.STDEV.S(AB56:AB91)</f>
        <v>-1.4168296190182117</v>
      </c>
      <c r="AN91" s="20">
        <f>(AC91- AVERAGE(AC$41:AC91))/_xlfn.STDEV.S(AC56:AC91)</f>
        <v>-7.6618666416171086E-2</v>
      </c>
      <c r="AO91" s="24">
        <f>(AD91- AVERAGE(AD$41:AD91))/_xlfn.STDEV.S(AD56:AD91)</f>
        <v>2.2734728111523062</v>
      </c>
      <c r="AP91" s="20"/>
      <c r="AQ91" s="20">
        <f t="shared" si="11"/>
        <v>0.60372326579239532</v>
      </c>
      <c r="AR91" s="20">
        <f t="shared" si="12"/>
        <v>0.43309899048600264</v>
      </c>
      <c r="AS91" s="20">
        <f t="shared" si="13"/>
        <v>0.33014854054013337</v>
      </c>
      <c r="AT91" s="20">
        <f t="shared" si="14"/>
        <v>-0.54763280562194183</v>
      </c>
      <c r="AU91" s="20">
        <f t="shared" si="15"/>
        <v>-1.4689328777237585</v>
      </c>
      <c r="AV91" s="20">
        <f t="shared" si="16"/>
        <v>0.14579886581373602</v>
      </c>
      <c r="AW91" s="20">
        <f t="shared" si="17"/>
        <v>-1.4168296190182117</v>
      </c>
      <c r="AX91" s="20">
        <f t="shared" si="18"/>
        <v>-7.6618666416171086E-2</v>
      </c>
      <c r="AY91" s="20">
        <f t="shared" si="19"/>
        <v>2.2734728111523062</v>
      </c>
      <c r="AZ91" s="22">
        <f t="shared" si="20"/>
        <v>3.0692056111610064E-2</v>
      </c>
      <c r="BA91" s="1">
        <f>+_xlfn.XLOOKUP(A91,[1]Indice!B:B,[1]Indice!AI:AI,"NOOOOOO",-1)</f>
        <v>0.75636413491998777</v>
      </c>
    </row>
    <row r="92" spans="1:53" x14ac:dyDescent="0.25">
      <c r="A92" s="2">
        <v>40694</v>
      </c>
      <c r="B92" s="15">
        <v>7933</v>
      </c>
      <c r="C92" s="19">
        <v>21.989850838074744</v>
      </c>
      <c r="D92" s="15">
        <v>6490</v>
      </c>
      <c r="E92" s="19">
        <v>470.77</v>
      </c>
      <c r="F92" s="18">
        <v>0.29405866983877477</v>
      </c>
      <c r="G92" s="1">
        <v>5.0999999999999996</v>
      </c>
      <c r="H92" s="1">
        <v>4.3</v>
      </c>
      <c r="I92" s="16">
        <v>21.804435441646881</v>
      </c>
      <c r="J92" s="1">
        <v>528.39499999999998</v>
      </c>
      <c r="K92" s="1">
        <v>-15.483845169545752</v>
      </c>
      <c r="L92" s="1">
        <v>126.298</v>
      </c>
      <c r="M92" s="1">
        <v>-0.82139716044729028</v>
      </c>
      <c r="N92" s="1">
        <v>-6.8956269472584042</v>
      </c>
      <c r="O92" s="1">
        <v>351529</v>
      </c>
      <c r="P92" s="1">
        <v>2.6119370309503509</v>
      </c>
      <c r="Q92" s="1">
        <v>134.82192286399709</v>
      </c>
      <c r="R92" s="1">
        <v>8.3000000000000007</v>
      </c>
      <c r="S92" s="1">
        <v>5.1250000000000027</v>
      </c>
      <c r="V92" s="20">
        <f t="shared" si="4"/>
        <v>16.72326064025264</v>
      </c>
      <c r="W92" s="20">
        <f t="shared" si="5"/>
        <v>0.24166666666666448</v>
      </c>
      <c r="X92" s="20">
        <f t="shared" si="5"/>
        <v>0.47499999999999787</v>
      </c>
      <c r="Y92" s="20">
        <v>-6.0296303396128934</v>
      </c>
      <c r="Z92" s="20">
        <f t="shared" si="6"/>
        <v>-13.130331121146218</v>
      </c>
      <c r="AA92" s="19">
        <f>+AVERAGE(M90:M92)*AVERAGE($F$15:F92)</f>
        <v>-0.84354077947371175</v>
      </c>
      <c r="AB92" s="19">
        <f t="shared" si="7"/>
        <v>-5.0557026203524051</v>
      </c>
      <c r="AC92" s="19">
        <f t="shared" si="8"/>
        <v>1.3629356414316618</v>
      </c>
      <c r="AD92" s="21">
        <f t="shared" si="9"/>
        <v>115.50472061151144</v>
      </c>
      <c r="AE92" s="19"/>
      <c r="AG92" s="20">
        <f>(V92- AVERAGE(V$41:V92))/_xlfn.STDEV.S(V57:V92)</f>
        <v>0.39854287846941583</v>
      </c>
      <c r="AH92" s="20">
        <f>(W92- AVERAGE(W$41:W92))/_xlfn.STDEV.S(W57:W92)</f>
        <v>0.30221425584338091</v>
      </c>
      <c r="AI92" s="20">
        <f>(X92- AVERAGE(X$41:X92))/_xlfn.STDEV.S(X57:X92)</f>
        <v>0.12123091948928648</v>
      </c>
      <c r="AJ92" s="20">
        <f>(Y92- AVERAGE(Y$41:Y92))/_xlfn.STDEV.S(Y57:Y92)</f>
        <v>-0.46783617213841538</v>
      </c>
      <c r="AK92" s="20">
        <f>(Z92- AVERAGE(Z$41:Z92))/_xlfn.STDEV.S(Z57:Z92)</f>
        <v>-2.1011372548829179</v>
      </c>
      <c r="AL92" s="20">
        <f>(AA92- AVERAGE(AA$41:AA92))/_xlfn.STDEV.S(AA57:AA92)</f>
        <v>0.30960598182491961</v>
      </c>
      <c r="AM92" s="20">
        <f>(AB92- AVERAGE(AB$41:AB92))/_xlfn.STDEV.S(AB57:AB92)</f>
        <v>-1.9721236689859936</v>
      </c>
      <c r="AN92" s="20">
        <f>(AC92- AVERAGE(AC$41:AC92))/_xlfn.STDEV.S(AC57:AC92)</f>
        <v>-2.7835443453762831E-2</v>
      </c>
      <c r="AO92" s="24">
        <f>(AD92- AVERAGE(AD$41:AD92))/_xlfn.STDEV.S(AD57:AD92)</f>
        <v>2.0267464815241065</v>
      </c>
      <c r="AP92" s="20"/>
      <c r="AQ92" s="20">
        <f t="shared" si="11"/>
        <v>0.39854287846941583</v>
      </c>
      <c r="AR92" s="20">
        <f t="shared" si="12"/>
        <v>0.30221425584338091</v>
      </c>
      <c r="AS92" s="20">
        <f t="shared" si="13"/>
        <v>0.12123091948928648</v>
      </c>
      <c r="AT92" s="20">
        <f t="shared" si="14"/>
        <v>-0.46783617213841538</v>
      </c>
      <c r="AU92" s="20">
        <f t="shared" si="15"/>
        <v>-2.1011372548829179</v>
      </c>
      <c r="AV92" s="20">
        <f t="shared" si="16"/>
        <v>0.30960598182491961</v>
      </c>
      <c r="AW92" s="20">
        <f t="shared" si="17"/>
        <v>-1.9721236689859936</v>
      </c>
      <c r="AX92" s="20">
        <f t="shared" si="18"/>
        <v>-2.7835443453762831E-2</v>
      </c>
      <c r="AY92" s="20">
        <f t="shared" si="19"/>
        <v>2.0267464815241065</v>
      </c>
      <c r="AZ92" s="22">
        <f t="shared" si="20"/>
        <v>-0.15673244692333116</v>
      </c>
      <c r="BA92" s="1">
        <f>+_xlfn.XLOOKUP(A92,[1]Indice!B:B,[1]Indice!AI:AI,"NOOOOOO",-1)</f>
        <v>0.85946800237893417</v>
      </c>
    </row>
    <row r="93" spans="1:53" x14ac:dyDescent="0.25">
      <c r="A93" s="2">
        <v>40724</v>
      </c>
      <c r="B93" s="15">
        <v>7817</v>
      </c>
      <c r="C93" s="19">
        <v>22.735123253257971</v>
      </c>
      <c r="D93" s="15">
        <v>6705</v>
      </c>
      <c r="E93" s="19">
        <v>548.13</v>
      </c>
      <c r="F93" s="18">
        <v>0.25803367814204659</v>
      </c>
      <c r="G93" s="1">
        <v>4.5999999999999996</v>
      </c>
      <c r="H93" s="1">
        <v>4</v>
      </c>
      <c r="I93" s="16">
        <v>22.353281254978324</v>
      </c>
      <c r="J93" s="1">
        <v>536.41700000000003</v>
      </c>
      <c r="K93" s="1">
        <v>-14.542865017372852</v>
      </c>
      <c r="L93" s="1">
        <v>126.136</v>
      </c>
      <c r="M93" s="1">
        <v>-0.35076631379364898</v>
      </c>
      <c r="N93" s="1">
        <v>-5.7688104538690332</v>
      </c>
      <c r="O93" s="1">
        <v>337405</v>
      </c>
      <c r="P93" s="1">
        <v>-1.5180703198426126</v>
      </c>
      <c r="Q93" s="1">
        <v>175.34220532319392</v>
      </c>
      <c r="R93" s="1">
        <v>4.4000000000000004</v>
      </c>
      <c r="S93" s="1">
        <v>5.1050000000000031</v>
      </c>
      <c r="V93" s="20">
        <f t="shared" si="4"/>
        <v>14.28678689642361</v>
      </c>
      <c r="W93" s="20">
        <f t="shared" si="5"/>
        <v>-0.67166666666667041</v>
      </c>
      <c r="X93" s="20">
        <f t="shared" si="5"/>
        <v>-0.60500000000000309</v>
      </c>
      <c r="Y93" s="20">
        <v>-5.3391260265345082</v>
      </c>
      <c r="Z93" s="20">
        <f t="shared" si="6"/>
        <v>-16.496517384921273</v>
      </c>
      <c r="AA93" s="19">
        <f>+AVERAGE(M91:M93)*AVERAGE($F$15:F93)</f>
        <v>-0.41754621428134853</v>
      </c>
      <c r="AB93" s="19">
        <f t="shared" si="7"/>
        <v>-5.5606536898672596</v>
      </c>
      <c r="AC93" s="19">
        <f t="shared" si="8"/>
        <v>0.803520637351259</v>
      </c>
      <c r="AD93" s="21">
        <f t="shared" si="9"/>
        <v>137.16737323774822</v>
      </c>
      <c r="AE93" s="19"/>
      <c r="AG93" s="20">
        <f>(V93- AVERAGE(V$41:V93))/_xlfn.STDEV.S(V58:V93)</f>
        <v>0.29307413035960278</v>
      </c>
      <c r="AH93" s="20">
        <f>(W93- AVERAGE(W$41:W93))/_xlfn.STDEV.S(W58:W93)</f>
        <v>0.1862249970307765</v>
      </c>
      <c r="AI93" s="20">
        <f>(X93- AVERAGE(X$41:X93))/_xlfn.STDEV.S(X58:X93)</f>
        <v>-8.3823889539381677E-2</v>
      </c>
      <c r="AJ93" s="20">
        <f>(Y93- AVERAGE(Y$41:Y93))/_xlfn.STDEV.S(Y58:Y93)</f>
        <v>-0.35407568103674081</v>
      </c>
      <c r="AK93" s="20">
        <f>(Z93- AVERAGE(Z$41:Z93))/_xlfn.STDEV.S(Z58:Z93)</f>
        <v>-2.4777131034154363</v>
      </c>
      <c r="AL93" s="20">
        <f>(AA93- AVERAGE(AA$41:AA93))/_xlfn.STDEV.S(AA58:AA93)</f>
        <v>0.4359284696841616</v>
      </c>
      <c r="AM93" s="20">
        <f>(AB93- AVERAGE(AB$41:AB93))/_xlfn.STDEV.S(AB58:AB93)</f>
        <v>-2.0987782032965421</v>
      </c>
      <c r="AN93" s="20">
        <f>(AC93- AVERAGE(AC$41:AC93))/_xlfn.STDEV.S(AC58:AC93)</f>
        <v>-9.0421534256040353E-2</v>
      </c>
      <c r="AO93" s="24">
        <f>(AD93- AVERAGE(AD$41:AD93))/_xlfn.STDEV.S(AD58:AD93)</f>
        <v>2.2912824388450521</v>
      </c>
      <c r="AP93" s="20"/>
      <c r="AQ93" s="20">
        <f t="shared" si="11"/>
        <v>0.29307413035960278</v>
      </c>
      <c r="AR93" s="20">
        <f t="shared" si="12"/>
        <v>0.1862249970307765</v>
      </c>
      <c r="AS93" s="20">
        <f t="shared" si="13"/>
        <v>-8.3823889539381677E-2</v>
      </c>
      <c r="AT93" s="20">
        <f t="shared" si="14"/>
        <v>-0.35407568103674081</v>
      </c>
      <c r="AU93" s="20">
        <f t="shared" si="15"/>
        <v>-2.4777131034154363</v>
      </c>
      <c r="AV93" s="20">
        <f t="shared" si="16"/>
        <v>0.4359284696841616</v>
      </c>
      <c r="AW93" s="20">
        <f t="shared" si="17"/>
        <v>-2.0987782032965421</v>
      </c>
      <c r="AX93" s="20">
        <f t="shared" si="18"/>
        <v>-9.0421534256040353E-2</v>
      </c>
      <c r="AY93" s="20">
        <f t="shared" si="19"/>
        <v>2.2912824388450521</v>
      </c>
      <c r="AZ93" s="22">
        <f t="shared" si="20"/>
        <v>-0.21092248618050535</v>
      </c>
      <c r="BA93" s="1">
        <f>+_xlfn.XLOOKUP(A93,[1]Indice!B:B,[1]Indice!AI:AI,"NOOOOOO",-1)</f>
        <v>0.77073527454482615</v>
      </c>
    </row>
    <row r="94" spans="1:53" x14ac:dyDescent="0.25">
      <c r="A94" s="2">
        <v>40755</v>
      </c>
      <c r="B94" s="15">
        <v>7226</v>
      </c>
      <c r="C94" s="19">
        <v>20.755347593582883</v>
      </c>
      <c r="D94" s="15">
        <v>6859</v>
      </c>
      <c r="E94" s="19">
        <v>548.13</v>
      </c>
      <c r="F94" s="18">
        <v>0.26316019922281209</v>
      </c>
      <c r="G94" s="1">
        <v>4.9000000000000004</v>
      </c>
      <c r="H94" s="1">
        <v>4.0999999999999996</v>
      </c>
      <c r="I94" s="16">
        <v>22.714092501417497</v>
      </c>
      <c r="J94" s="1">
        <v>562.13</v>
      </c>
      <c r="K94" s="1">
        <v>-10.02349732373805</v>
      </c>
      <c r="L94" s="1">
        <v>126.039</v>
      </c>
      <c r="M94" s="1">
        <v>-1.976963937129117</v>
      </c>
      <c r="N94" s="1">
        <v>-2.6627795768578988</v>
      </c>
      <c r="O94" s="1">
        <v>332927</v>
      </c>
      <c r="P94" s="1">
        <v>-1.3222165577910339</v>
      </c>
      <c r="Q94" s="1">
        <v>243.04397075481413</v>
      </c>
      <c r="R94" s="1">
        <v>4.4000000000000004</v>
      </c>
      <c r="S94" s="1">
        <v>5.0850000000000026</v>
      </c>
      <c r="V94" s="20">
        <f t="shared" si="4"/>
        <v>16.741773894971864</v>
      </c>
      <c r="W94" s="20">
        <f t="shared" si="5"/>
        <v>-0.21833333333333638</v>
      </c>
      <c r="X94" s="20">
        <f t="shared" si="5"/>
        <v>-0.95166666666666888</v>
      </c>
      <c r="Y94" s="20">
        <v>-4.9859155653791056</v>
      </c>
      <c r="Z94" s="20">
        <f t="shared" si="6"/>
        <v>-13.350069170218886</v>
      </c>
      <c r="AA94" s="19">
        <f>+AVERAGE(M92:M94)*AVERAGE($F$15:F94)</f>
        <v>-0.33076369043818077</v>
      </c>
      <c r="AB94" s="19">
        <f t="shared" si="7"/>
        <v>-5.1090723259951121</v>
      </c>
      <c r="AC94" s="19">
        <f t="shared" si="8"/>
        <v>-7.6116615561098541E-2</v>
      </c>
      <c r="AD94" s="21">
        <f t="shared" si="9"/>
        <v>184.40269964733503</v>
      </c>
      <c r="AE94" s="19"/>
      <c r="AG94" s="20">
        <f>(V94- AVERAGE(V$41:V94))/_xlfn.STDEV.S(V59:V94)</f>
        <v>0.39082033353642043</v>
      </c>
      <c r="AH94" s="20">
        <f>(W94- AVERAGE(W$41:W94))/_xlfn.STDEV.S(W59:W94)</f>
        <v>0.23692607254106829</v>
      </c>
      <c r="AI94" s="20">
        <f>(X94- AVERAGE(X$41:X94))/_xlfn.STDEV.S(X59:X94)</f>
        <v>-0.14757746373373246</v>
      </c>
      <c r="AJ94" s="20">
        <f>(Y94- AVERAGE(Y$41:Y94))/_xlfn.STDEV.S(Y59:Y94)</f>
        <v>-0.29295160729214637</v>
      </c>
      <c r="AK94" s="20">
        <f>(Z94- AVERAGE(Z$41:Z94))/_xlfn.STDEV.S(Z59:Z94)</f>
        <v>-1.8110866341348835</v>
      </c>
      <c r="AL94" s="20">
        <f>(AA94- AVERAGE(AA$41:AA94))/_xlfn.STDEV.S(AA59:AA94)</f>
        <v>0.45313430547467209</v>
      </c>
      <c r="AM94" s="20">
        <f>(AB94- AVERAGE(AB$41:AB94))/_xlfn.STDEV.S(AB59:AB94)</f>
        <v>-1.7835936051721337</v>
      </c>
      <c r="AN94" s="20">
        <f>(AC94- AVERAGE(AC$41:AC94))/_xlfn.STDEV.S(AC59:AC94)</f>
        <v>-0.19867521201182284</v>
      </c>
      <c r="AO94" s="24">
        <f>(AD94- AVERAGE(AD$41:AD94))/_xlfn.STDEV.S(AD59:AD94)</f>
        <v>2.8237830969208133</v>
      </c>
      <c r="AP94" s="20"/>
      <c r="AQ94" s="20">
        <f t="shared" si="11"/>
        <v>0.39082033353642043</v>
      </c>
      <c r="AR94" s="20">
        <f t="shared" si="12"/>
        <v>0.23692607254106829</v>
      </c>
      <c r="AS94" s="20">
        <f t="shared" si="13"/>
        <v>-0.14757746373373246</v>
      </c>
      <c r="AT94" s="20">
        <f t="shared" si="14"/>
        <v>-0.29295160729214637</v>
      </c>
      <c r="AU94" s="20">
        <f t="shared" si="15"/>
        <v>-1.8110866341348835</v>
      </c>
      <c r="AV94" s="20">
        <f t="shared" si="16"/>
        <v>0.45313430547467209</v>
      </c>
      <c r="AW94" s="20">
        <f t="shared" si="17"/>
        <v>-1.7835936051721337</v>
      </c>
      <c r="AX94" s="20">
        <f t="shared" si="18"/>
        <v>-0.19867521201182284</v>
      </c>
      <c r="AY94" s="20">
        <f t="shared" si="19"/>
        <v>2.8237830969208133</v>
      </c>
      <c r="AZ94" s="22">
        <f t="shared" si="20"/>
        <v>-3.6580079319082789E-2</v>
      </c>
      <c r="BA94" s="1">
        <f>+_xlfn.XLOOKUP(A94,[1]Indice!B:B,[1]Indice!AI:AI,"NOOOOOO",-1)</f>
        <v>0.76214161968327876</v>
      </c>
    </row>
    <row r="95" spans="1:53" x14ac:dyDescent="0.25">
      <c r="A95" s="2">
        <v>40786</v>
      </c>
      <c r="B95" s="15">
        <v>8328</v>
      </c>
      <c r="C95" s="19">
        <v>30.471565094783017</v>
      </c>
      <c r="D95" s="15">
        <v>7671</v>
      </c>
      <c r="E95" s="19">
        <v>548.13</v>
      </c>
      <c r="F95" s="18">
        <v>0.2709339025413679</v>
      </c>
      <c r="G95" s="1">
        <v>6.7</v>
      </c>
      <c r="H95" s="1">
        <v>5.4</v>
      </c>
      <c r="I95" s="16">
        <v>24.526021330400326</v>
      </c>
      <c r="J95" s="1">
        <v>592.37400000000002</v>
      </c>
      <c r="K95" s="1">
        <v>-5.3087909716505344</v>
      </c>
      <c r="L95" s="1">
        <v>123.523</v>
      </c>
      <c r="M95" s="1">
        <v>-2.968531523463902</v>
      </c>
      <c r="N95" s="1">
        <v>-4.4759109790795781</v>
      </c>
      <c r="O95" s="1">
        <v>335107</v>
      </c>
      <c r="P95" s="1">
        <v>-1.7584028378358596</v>
      </c>
      <c r="Q95" s="1">
        <v>337.5877632898696</v>
      </c>
      <c r="R95" s="1">
        <v>4.4000000000000004</v>
      </c>
      <c r="S95" s="1">
        <v>5.0650000000000013</v>
      </c>
      <c r="V95" s="20">
        <f t="shared" si="4"/>
        <v>19.589011980541287</v>
      </c>
      <c r="W95" s="20">
        <f t="shared" si="5"/>
        <v>0.33499999999999819</v>
      </c>
      <c r="X95" s="20">
        <f t="shared" si="5"/>
        <v>-0.56500000000000128</v>
      </c>
      <c r="Y95" s="20">
        <v>-4.3360669083279504</v>
      </c>
      <c r="Z95" s="20">
        <f t="shared" si="6"/>
        <v>-9.9583844375871458</v>
      </c>
      <c r="AA95" s="19">
        <f>+AVERAGE(M93:M95)*AVERAGE($F$15:F95)</f>
        <v>-0.55532198129075971</v>
      </c>
      <c r="AB95" s="19">
        <f t="shared" si="7"/>
        <v>-4.3025003366021695</v>
      </c>
      <c r="AC95" s="19">
        <f t="shared" si="8"/>
        <v>-1.5328965718231686</v>
      </c>
      <c r="AD95" s="21">
        <f t="shared" si="9"/>
        <v>251.99131312262588</v>
      </c>
      <c r="AE95" s="19"/>
      <c r="AG95" s="20">
        <f>(V95- AVERAGE(V$41:V95))/_xlfn.STDEV.S(V60:V95)</f>
        <v>0.50852580351433763</v>
      </c>
      <c r="AH95" s="20">
        <f>(W95- AVERAGE(W$41:W95))/_xlfn.STDEV.S(W60:W95)</f>
        <v>0.29843883327739795</v>
      </c>
      <c r="AI95" s="20">
        <f>(X95- AVERAGE(X$41:X95))/_xlfn.STDEV.S(X60:X95)</f>
        <v>-7.227808862196837E-2</v>
      </c>
      <c r="AJ95" s="20">
        <f>(Y95- AVERAGE(Y$41:Y95))/_xlfn.STDEV.S(Y60:Y95)</f>
        <v>-0.15894844103508243</v>
      </c>
      <c r="AK95" s="20">
        <f>(Z95- AVERAGE(Z$41:Z95))/_xlfn.STDEV.S(Z60:Z95)</f>
        <v>-1.2156130707278014</v>
      </c>
      <c r="AL95" s="20">
        <f>(AA95- AVERAGE(AA$41:AA95))/_xlfn.STDEV.S(AA60:AA95)</f>
        <v>0.37385588603108844</v>
      </c>
      <c r="AM95" s="20">
        <f>(AB95- AVERAGE(AB$41:AB95))/_xlfn.STDEV.S(AB60:AB95)</f>
        <v>-1.3397820406540788</v>
      </c>
      <c r="AN95" s="20">
        <f>(AC95- AVERAGE(AC$41:AC95))/_xlfn.STDEV.S(AC60:AC95)</f>
        <v>-0.39174065920029127</v>
      </c>
      <c r="AO95" s="24">
        <f>(AD95- AVERAGE(AD$41:AD95))/_xlfn.STDEV.S(AD60:AD95)</f>
        <v>3.3221087736419217</v>
      </c>
      <c r="AP95" s="20"/>
      <c r="AQ95" s="20">
        <f t="shared" si="11"/>
        <v>0.50852580351433763</v>
      </c>
      <c r="AR95" s="20">
        <f t="shared" si="12"/>
        <v>0.29843883327739795</v>
      </c>
      <c r="AS95" s="20">
        <f t="shared" si="13"/>
        <v>-7.227808862196837E-2</v>
      </c>
      <c r="AT95" s="20">
        <f t="shared" si="14"/>
        <v>-0.15894844103508243</v>
      </c>
      <c r="AU95" s="20">
        <f t="shared" si="15"/>
        <v>-1.2156130707278014</v>
      </c>
      <c r="AV95" s="20">
        <f t="shared" si="16"/>
        <v>0.37385588603108844</v>
      </c>
      <c r="AW95" s="20">
        <f t="shared" si="17"/>
        <v>-1.3397820406540788</v>
      </c>
      <c r="AX95" s="20">
        <f t="shared" si="18"/>
        <v>-0.39174065920029127</v>
      </c>
      <c r="AY95" s="20">
        <f t="shared" si="19"/>
        <v>3.0933864686759356</v>
      </c>
      <c r="AZ95" s="22">
        <f t="shared" si="20"/>
        <v>0.12176052125105968</v>
      </c>
      <c r="BA95" s="1">
        <f>+_xlfn.XLOOKUP(A95,[1]Indice!B:B,[1]Indice!AI:AI,"NOOOOOO",-1)</f>
        <v>0.80728598750656244</v>
      </c>
    </row>
    <row r="96" spans="1:53" x14ac:dyDescent="0.25">
      <c r="A96" s="2">
        <v>40816</v>
      </c>
      <c r="B96" s="15">
        <v>7718</v>
      </c>
      <c r="C96" s="19">
        <v>21.066666666666656</v>
      </c>
      <c r="D96" s="15">
        <v>6889</v>
      </c>
      <c r="E96" s="19">
        <v>540.16999999999996</v>
      </c>
      <c r="F96" s="18">
        <v>0.28028583594053724</v>
      </c>
      <c r="G96" s="1">
        <v>7.7</v>
      </c>
      <c r="H96" s="1">
        <v>6</v>
      </c>
      <c r="I96" s="16">
        <v>24.96725089636605</v>
      </c>
      <c r="J96" s="1">
        <v>596.77300000000002</v>
      </c>
      <c r="K96" s="1">
        <v>-3.080515996173705</v>
      </c>
      <c r="L96" s="1">
        <v>111.065</v>
      </c>
      <c r="M96" s="1">
        <v>-14.792822236031522</v>
      </c>
      <c r="N96" s="1">
        <v>-8.9945574024300701</v>
      </c>
      <c r="O96" s="1">
        <v>314342</v>
      </c>
      <c r="P96" s="1">
        <v>-6.818282875293102</v>
      </c>
      <c r="Q96" s="1">
        <v>250.13651877133108</v>
      </c>
      <c r="R96" s="1">
        <v>6.4</v>
      </c>
      <c r="S96" s="1">
        <v>5.0150000000000006</v>
      </c>
      <c r="V96" s="20">
        <f t="shared" si="4"/>
        <v>19.082859785010854</v>
      </c>
      <c r="W96" s="20">
        <f t="shared" si="5"/>
        <v>1.418333333333333</v>
      </c>
      <c r="X96" s="20">
        <f t="shared" si="5"/>
        <v>0.15166666666666639</v>
      </c>
      <c r="Y96" s="20">
        <v>-3.7513311777003793</v>
      </c>
      <c r="Z96" s="20">
        <f t="shared" si="6"/>
        <v>-6.1376014305207631</v>
      </c>
      <c r="AA96" s="19">
        <f>+AVERAGE(M94:M96)*AVERAGE($F$15:F96)</f>
        <v>-2.0668462450205007</v>
      </c>
      <c r="AB96" s="19">
        <f t="shared" si="7"/>
        <v>-5.377749319455849</v>
      </c>
      <c r="AC96" s="19">
        <f t="shared" si="8"/>
        <v>-3.299634090306665</v>
      </c>
      <c r="AD96" s="21">
        <f t="shared" si="9"/>
        <v>276.92275093867164</v>
      </c>
      <c r="AE96" s="19"/>
      <c r="AG96" s="20">
        <f>(V96- AVERAGE(V$41:V96))/_xlfn.STDEV.S(V61:V96)</f>
        <v>0.49351200122766131</v>
      </c>
      <c r="AH96" s="20">
        <f>(W96- AVERAGE(W$41:W96))/_xlfn.STDEV.S(W61:W96)</f>
        <v>0.42143983203798646</v>
      </c>
      <c r="AI96" s="20">
        <f>(X96- AVERAGE(X$41:X96))/_xlfn.STDEV.S(X61:X96)</f>
        <v>6.4043226841982465E-2</v>
      </c>
      <c r="AJ96" s="20">
        <f>(Y96- AVERAGE(Y$41:Y96))/_xlfn.STDEV.S(Y61:Y96)</f>
        <v>-3.177346090749588E-2</v>
      </c>
      <c r="AK96" s="20">
        <f>(Z96- AVERAGE(Z$41:Z96))/_xlfn.STDEV.S(Z61:Z96)</f>
        <v>-0.58006558807040276</v>
      </c>
      <c r="AL96" s="20">
        <f>(AA96- AVERAGE(AA$41:AA96))/_xlfn.STDEV.S(AA61:AA96)</f>
        <v>-0.10382933920745661</v>
      </c>
      <c r="AM96" s="20">
        <f>(AB96- AVERAGE(AB$41:AB96))/_xlfn.STDEV.S(AB61:AB96)</f>
        <v>-1.7663997117746004</v>
      </c>
      <c r="AN96" s="20">
        <f>(AC96- AVERAGE(AC$41:AC96))/_xlfn.STDEV.S(AC61:AC96)</f>
        <v>-0.63635575237364483</v>
      </c>
      <c r="AO96" s="24">
        <f>(AD96- AVERAGE(AD$41:AD96))/_xlfn.STDEV.S(AD61:AD96)</f>
        <v>3.1244753556237015</v>
      </c>
      <c r="AP96" s="20"/>
      <c r="AQ96" s="20">
        <f t="shared" si="11"/>
        <v>0.49351200122766131</v>
      </c>
      <c r="AR96" s="20">
        <f t="shared" si="12"/>
        <v>0.42143983203798646</v>
      </c>
      <c r="AS96" s="20">
        <f t="shared" si="13"/>
        <v>6.4043226841982465E-2</v>
      </c>
      <c r="AT96" s="20">
        <f t="shared" si="14"/>
        <v>-3.177346090749588E-2</v>
      </c>
      <c r="AU96" s="20">
        <f t="shared" si="15"/>
        <v>-0.58006558807040276</v>
      </c>
      <c r="AV96" s="20">
        <f t="shared" si="16"/>
        <v>-0.10382933920745661</v>
      </c>
      <c r="AW96" s="20">
        <f t="shared" si="17"/>
        <v>-1.7663997117746004</v>
      </c>
      <c r="AX96" s="20">
        <f t="shared" si="18"/>
        <v>-0.63635575237364483</v>
      </c>
      <c r="AY96" s="20">
        <f t="shared" si="19"/>
        <v>3.0933864686759356</v>
      </c>
      <c r="AZ96" s="22">
        <f t="shared" si="20"/>
        <v>0.10599529738332948</v>
      </c>
      <c r="BA96" s="1">
        <f>+_xlfn.XLOOKUP(A96,[1]Indice!B:B,[1]Indice!AI:AI,"NOOOOOO",-1)</f>
        <v>0.9839347704623902</v>
      </c>
    </row>
    <row r="97" spans="1:53" x14ac:dyDescent="0.25">
      <c r="A97" s="2">
        <v>40847</v>
      </c>
      <c r="B97" s="15">
        <v>7435</v>
      </c>
      <c r="C97" s="19">
        <v>26.038311578233596</v>
      </c>
      <c r="D97" s="15">
        <v>6303</v>
      </c>
      <c r="E97" s="19">
        <v>540.16999999999996</v>
      </c>
      <c r="F97" s="18">
        <v>0.28563230094229597</v>
      </c>
      <c r="G97" s="1">
        <v>7.3</v>
      </c>
      <c r="H97" s="1">
        <v>4.7</v>
      </c>
      <c r="I97" s="16">
        <v>22.119297206404468</v>
      </c>
      <c r="J97" s="1">
        <v>600.06100000000004</v>
      </c>
      <c r="K97" s="1">
        <v>-1.3915524157435355</v>
      </c>
      <c r="L97" s="1">
        <v>116.79900000000001</v>
      </c>
      <c r="M97" s="1">
        <v>-8.3972518940285124</v>
      </c>
      <c r="N97" s="1">
        <v>-11.496106818249107</v>
      </c>
      <c r="O97" s="1">
        <v>317407</v>
      </c>
      <c r="P97" s="1">
        <v>-8.63198558409184</v>
      </c>
      <c r="Q97" s="1">
        <v>198.71710091257771</v>
      </c>
      <c r="R97" s="1">
        <v>6.4</v>
      </c>
      <c r="S97" s="1">
        <v>4.9649999999999981</v>
      </c>
      <c r="V97" s="20">
        <f t="shared" si="4"/>
        <v>20.893847779894422</v>
      </c>
      <c r="W97" s="20">
        <f t="shared" si="5"/>
        <v>2.2683333333333353</v>
      </c>
      <c r="X97" s="20">
        <f t="shared" si="5"/>
        <v>0.40166666666666906</v>
      </c>
      <c r="Y97" s="20">
        <v>-4.2511926395030564</v>
      </c>
      <c r="Z97" s="20">
        <f t="shared" si="6"/>
        <v>-3.2602864611892586</v>
      </c>
      <c r="AA97" s="19">
        <f>+AVERAGE(M95:M97)*AVERAGE($F$15:F97)</f>
        <v>-2.7361353183798647</v>
      </c>
      <c r="AB97" s="19">
        <f t="shared" si="7"/>
        <v>-8.3221917332529181</v>
      </c>
      <c r="AC97" s="19">
        <f t="shared" si="8"/>
        <v>-5.7362237657402675</v>
      </c>
      <c r="AD97" s="21">
        <f t="shared" si="9"/>
        <v>262.14712765792615</v>
      </c>
      <c r="AE97" s="19"/>
      <c r="AG97" s="20">
        <f>(V97- AVERAGE(V$41:V97))/_xlfn.STDEV.S(V62:V97)</f>
        <v>0.56626275346299937</v>
      </c>
      <c r="AH97" s="20">
        <f>(W97- AVERAGE(W$41:W97))/_xlfn.STDEV.S(W62:W97)</f>
        <v>0.51312731397962263</v>
      </c>
      <c r="AI97" s="20">
        <f>(X97- AVERAGE(X$41:X97))/_xlfn.STDEV.S(X62:X97)</f>
        <v>0.11004192291380863</v>
      </c>
      <c r="AJ97" s="20">
        <f>(Y97- AVERAGE(Y$41:Y97))/_xlfn.STDEV.S(Y62:Y97)</f>
        <v>-0.13997562882940356</v>
      </c>
      <c r="AK97" s="20">
        <f>(Z97- AVERAGE(Z$41:Z97))/_xlfn.STDEV.S(Z62:Z97)</f>
        <v>-8.5944688629165489E-2</v>
      </c>
      <c r="AL97" s="20">
        <f>(AA97- AVERAGE(AA$41:AA97))/_xlfn.STDEV.S(AA62:AA97)</f>
        <v>-0.31344617549077686</v>
      </c>
      <c r="AM97" s="20">
        <f>(AB97- AVERAGE(AB$41:AB97))/_xlfn.STDEV.S(AB62:AB97)</f>
        <v>-2.7838960664903287</v>
      </c>
      <c r="AN97" s="20">
        <f>(AC97- AVERAGE(AC$41:AC97))/_xlfn.STDEV.S(AC62:AC97)</f>
        <v>-0.94848700066081548</v>
      </c>
      <c r="AO97" s="24">
        <f>(AD97- AVERAGE(AD$41:AD97))/_xlfn.STDEV.S(AD62:AD97)</f>
        <v>2.6317897607362086</v>
      </c>
      <c r="AP97" s="20"/>
      <c r="AQ97" s="20">
        <f t="shared" si="11"/>
        <v>0.56626275346299937</v>
      </c>
      <c r="AR97" s="20">
        <f t="shared" si="12"/>
        <v>0.51312731397962263</v>
      </c>
      <c r="AS97" s="20">
        <f t="shared" si="13"/>
        <v>0.11004192291380863</v>
      </c>
      <c r="AT97" s="20">
        <f t="shared" si="14"/>
        <v>-0.13997562882940356</v>
      </c>
      <c r="AU97" s="20">
        <f t="shared" si="15"/>
        <v>-8.5944688629165489E-2</v>
      </c>
      <c r="AV97" s="20">
        <f t="shared" si="16"/>
        <v>-0.31344617549077686</v>
      </c>
      <c r="AW97" s="20">
        <f t="shared" si="17"/>
        <v>-2.7838960664903287</v>
      </c>
      <c r="AX97" s="20">
        <f t="shared" si="18"/>
        <v>-0.94848700066081548</v>
      </c>
      <c r="AY97" s="20">
        <f t="shared" si="19"/>
        <v>2.6317897607362086</v>
      </c>
      <c r="AZ97" s="22">
        <f t="shared" si="20"/>
        <v>-5.0058645445316782E-2</v>
      </c>
      <c r="BA97" s="1">
        <f>+_xlfn.XLOOKUP(A97,[1]Indice!B:B,[1]Indice!AI:AI,"NOOOOOO",-1)</f>
        <v>0.79206395721483003</v>
      </c>
    </row>
    <row r="98" spans="1:53" x14ac:dyDescent="0.25">
      <c r="A98" s="2">
        <v>40877</v>
      </c>
      <c r="B98" s="15">
        <v>6493</v>
      </c>
      <c r="C98" s="19">
        <v>9.7717666948436097</v>
      </c>
      <c r="D98" s="15">
        <v>6230</v>
      </c>
      <c r="E98" s="19">
        <v>540.16999999999996</v>
      </c>
      <c r="F98" s="18">
        <v>0.28791306440565007</v>
      </c>
      <c r="G98" s="1">
        <v>4.8</v>
      </c>
      <c r="H98" s="1">
        <v>3.8</v>
      </c>
      <c r="I98" s="16">
        <v>21.458165123014783</v>
      </c>
      <c r="J98" s="1">
        <v>597.596</v>
      </c>
      <c r="K98" s="1">
        <v>-1.7551358602730383</v>
      </c>
      <c r="L98" s="1">
        <v>112.15300000000001</v>
      </c>
      <c r="M98" s="1">
        <v>-9.7258443607327933</v>
      </c>
      <c r="N98" s="1">
        <v>-10.878424902528883</v>
      </c>
      <c r="O98" s="1">
        <v>312476</v>
      </c>
      <c r="P98" s="1">
        <v>-7.731103355007118</v>
      </c>
      <c r="Q98" s="1">
        <v>41.037052370109706</v>
      </c>
      <c r="R98" s="1">
        <v>6.4</v>
      </c>
      <c r="S98" s="1">
        <v>4.9149999999999974</v>
      </c>
      <c r="V98" s="20">
        <f t="shared" si="4"/>
        <v>14.043914979914623</v>
      </c>
      <c r="W98" s="20">
        <f t="shared" si="5"/>
        <v>1.6850000000000032</v>
      </c>
      <c r="X98" s="20">
        <f t="shared" si="5"/>
        <v>-8.1666666666664334E-2</v>
      </c>
      <c r="Y98" s="20">
        <v>-5.5643963070982423</v>
      </c>
      <c r="Z98" s="20">
        <f t="shared" si="6"/>
        <v>-2.0757347573967593</v>
      </c>
      <c r="AA98" s="19">
        <f>+AVERAGE(M96:M98)*AVERAGE($F$15:F98)</f>
        <v>-3.4395555795559405</v>
      </c>
      <c r="AB98" s="19">
        <f t="shared" si="7"/>
        <v>-10.456363041069354</v>
      </c>
      <c r="AC98" s="19">
        <f t="shared" si="8"/>
        <v>-7.7271239381306858</v>
      </c>
      <c r="AD98" s="21">
        <f t="shared" si="9"/>
        <v>163.29689068467283</v>
      </c>
      <c r="AE98" s="19"/>
      <c r="AG98" s="20">
        <f>(V98- AVERAGE(V$41:V98))/_xlfn.STDEV.S(V63:V98)</f>
        <v>0.25821435474727394</v>
      </c>
      <c r="AH98" s="20">
        <f>(W98- AVERAGE(W$41:W98))/_xlfn.STDEV.S(W63:W98)</f>
        <v>0.43456538509121406</v>
      </c>
      <c r="AI98" s="20">
        <f>(X98- AVERAGE(X$41:X98))/_xlfn.STDEV.S(X63:X98)</f>
        <v>1.7153208522586963E-2</v>
      </c>
      <c r="AJ98" s="20">
        <f>(Y98- AVERAGE(Y$41:Y98))/_xlfn.STDEV.S(Y63:Y98)</f>
        <v>-0.42453534417881028</v>
      </c>
      <c r="AK98" s="20">
        <f>(Z98- AVERAGE(Z$41:Z98))/_xlfn.STDEV.S(Z63:Z98)</f>
        <v>0.12587002474856476</v>
      </c>
      <c r="AL98" s="20">
        <f>(AA98- AVERAGE(AA$41:AA98))/_xlfn.STDEV.S(AA63:AA98)</f>
        <v>-0.53897602925315913</v>
      </c>
      <c r="AM98" s="20">
        <f>(AB98- AVERAGE(AB$41:AB98))/_xlfn.STDEV.S(AB63:AB98)</f>
        <v>-3.2080990978093262</v>
      </c>
      <c r="AN98" s="20">
        <f>(AC98- AVERAGE(AC$41:AC98))/_xlfn.STDEV.S(AC63:AC98)</f>
        <v>-1.1590829477444176</v>
      </c>
      <c r="AO98" s="24">
        <f>(AD98- AVERAGE(AD$41:AD98))/_xlfn.STDEV.S(AD63:AD98)</f>
        <v>1.4381317549577044</v>
      </c>
      <c r="AP98" s="20"/>
      <c r="AQ98" s="20">
        <f t="shared" si="11"/>
        <v>0.25821435474727394</v>
      </c>
      <c r="AR98" s="20">
        <f t="shared" si="12"/>
        <v>0.43456538509121406</v>
      </c>
      <c r="AS98" s="20">
        <f t="shared" si="13"/>
        <v>1.7153208522586963E-2</v>
      </c>
      <c r="AT98" s="20">
        <f t="shared" si="14"/>
        <v>-0.42453534417881028</v>
      </c>
      <c r="AU98" s="20">
        <f t="shared" si="15"/>
        <v>0.12587002474856476</v>
      </c>
      <c r="AV98" s="20">
        <f t="shared" si="16"/>
        <v>-0.53897602925315913</v>
      </c>
      <c r="AW98" s="20">
        <f t="shared" si="17"/>
        <v>-3.2080990978093262</v>
      </c>
      <c r="AX98" s="20">
        <f t="shared" si="18"/>
        <v>-1.1590829477444176</v>
      </c>
      <c r="AY98" s="20">
        <f t="shared" si="19"/>
        <v>1.4381317549577044</v>
      </c>
      <c r="AZ98" s="22">
        <f t="shared" si="20"/>
        <v>-0.33963985454648543</v>
      </c>
      <c r="BA98" s="1">
        <f>+_xlfn.XLOOKUP(A98,[1]Indice!B:B,[1]Indice!AI:AI,"NOOOOOO",-1)</f>
        <v>0.92786768220545801</v>
      </c>
    </row>
    <row r="99" spans="1:53" x14ac:dyDescent="0.25">
      <c r="A99" s="2">
        <v>40908</v>
      </c>
      <c r="B99" s="15">
        <v>6306</v>
      </c>
      <c r="C99" s="19">
        <v>14.989059080962797</v>
      </c>
      <c r="D99" s="15">
        <v>5987</v>
      </c>
      <c r="E99" s="19">
        <v>549.86</v>
      </c>
      <c r="F99" s="18">
        <v>0.28542174371658241</v>
      </c>
      <c r="G99" s="1">
        <v>3.5</v>
      </c>
      <c r="H99" s="1">
        <v>4.5</v>
      </c>
      <c r="I99" s="16">
        <v>21.670799610241648</v>
      </c>
      <c r="J99" s="1">
        <v>590.58500000000004</v>
      </c>
      <c r="K99" s="1">
        <v>13.442924619814423</v>
      </c>
      <c r="L99" s="1">
        <v>109.129</v>
      </c>
      <c r="M99" s="1">
        <v>-13.017591123934924</v>
      </c>
      <c r="N99" s="1">
        <v>-9.2773835562255833</v>
      </c>
      <c r="O99" s="1">
        <v>307231</v>
      </c>
      <c r="P99" s="1">
        <v>-2.130174121904449</v>
      </c>
      <c r="Q99" s="1">
        <v>33.550807372369931</v>
      </c>
      <c r="R99" s="1">
        <v>5.2</v>
      </c>
      <c r="S99" s="1">
        <v>4.8399999999999981</v>
      </c>
      <c r="V99" s="20">
        <f t="shared" si="4"/>
        <v>12.093045784680003</v>
      </c>
      <c r="W99" s="20">
        <f t="shared" si="5"/>
        <v>0.3600000000000021</v>
      </c>
      <c r="X99" s="20">
        <f t="shared" si="5"/>
        <v>-0.50666666666666504</v>
      </c>
      <c r="Y99" s="20">
        <v>-7.0055336129947143</v>
      </c>
      <c r="Z99" s="20">
        <f t="shared" si="6"/>
        <v>3.4320787812659499</v>
      </c>
      <c r="AA99" s="19">
        <f>+AVERAGE(M97:M99)*AVERAGE($F$15:F99)</f>
        <v>-3.2506252756105987</v>
      </c>
      <c r="AB99" s="19">
        <f t="shared" si="7"/>
        <v>-10.550638425667858</v>
      </c>
      <c r="AC99" s="19">
        <f t="shared" si="8"/>
        <v>-6.1644210203344691</v>
      </c>
      <c r="AD99" s="21">
        <f t="shared" si="9"/>
        <v>91.101653551685786</v>
      </c>
      <c r="AE99" s="19"/>
      <c r="AG99" s="20">
        <f>(V99- AVERAGE(V$41:V99))/_xlfn.STDEV.S(V64:V99)</f>
        <v>0.17069557945106981</v>
      </c>
      <c r="AH99" s="20">
        <f>(W99- AVERAGE(W$41:W99))/_xlfn.STDEV.S(W64:W99)</f>
        <v>0.27249701204801868</v>
      </c>
      <c r="AI99" s="20">
        <f>(X99- AVERAGE(X$41:X99))/_xlfn.STDEV.S(X64:X99)</f>
        <v>-6.5044400015501005E-2</v>
      </c>
      <c r="AJ99" s="20">
        <f>(Y99- AVERAGE(Y$41:Y99))/_xlfn.STDEV.S(Y64:Y99)</f>
        <v>-0.73391355215155718</v>
      </c>
      <c r="AK99" s="20">
        <f>(Z99- AVERAGE(Z$41:Z99))/_xlfn.STDEV.S(Z64:Z99)</f>
        <v>1.1291433972902101</v>
      </c>
      <c r="AL99" s="20">
        <f>(AA99- AVERAGE(AA$41:AA99))/_xlfn.STDEV.S(AA64:AA99)</f>
        <v>-0.48023469763333038</v>
      </c>
      <c r="AM99" s="20">
        <f>(AB99- AVERAGE(AB$41:AB99))/_xlfn.STDEV.S(AB64:AB99)</f>
        <v>-2.9136015743047468</v>
      </c>
      <c r="AN99" s="20">
        <f>(AC99- AVERAGE(AC$41:AC99))/_xlfn.STDEV.S(AC64:AC99)</f>
        <v>-0.91150153245315224</v>
      </c>
      <c r="AO99" s="24">
        <f>(AD99- AVERAGE(AD$41:AD99))/_xlfn.STDEV.S(AD64:AD99)</f>
        <v>0.60870556274150178</v>
      </c>
      <c r="AP99" s="20"/>
      <c r="AQ99" s="20">
        <f t="shared" si="11"/>
        <v>0.17069557945106981</v>
      </c>
      <c r="AR99" s="20">
        <f t="shared" si="12"/>
        <v>0.27249701204801868</v>
      </c>
      <c r="AS99" s="20">
        <f t="shared" si="13"/>
        <v>-6.5044400015501005E-2</v>
      </c>
      <c r="AT99" s="20">
        <f t="shared" si="14"/>
        <v>-0.73391355215155718</v>
      </c>
      <c r="AU99" s="20">
        <f t="shared" si="15"/>
        <v>1.1291433972902101</v>
      </c>
      <c r="AV99" s="20">
        <f t="shared" si="16"/>
        <v>-0.48023469763333038</v>
      </c>
      <c r="AW99" s="20">
        <f t="shared" si="17"/>
        <v>-2.9136015743047468</v>
      </c>
      <c r="AX99" s="20">
        <f t="shared" si="18"/>
        <v>-0.91150153245315224</v>
      </c>
      <c r="AY99" s="20">
        <f t="shared" si="19"/>
        <v>0.60870556274150178</v>
      </c>
      <c r="AZ99" s="22">
        <f t="shared" si="20"/>
        <v>-0.32480602278083187</v>
      </c>
      <c r="BA99" s="1">
        <f>+_xlfn.XLOOKUP(A99,[1]Indice!B:B,[1]Indice!AI:AI,"NOOOOOO",-1)</f>
        <v>0.98521193899366644</v>
      </c>
    </row>
    <row r="100" spans="1:53" x14ac:dyDescent="0.25">
      <c r="A100" s="2">
        <v>40939</v>
      </c>
      <c r="B100" s="15">
        <v>5399</v>
      </c>
      <c r="C100" s="19">
        <v>4.1272902603664452</v>
      </c>
      <c r="D100" s="15">
        <v>5364</v>
      </c>
      <c r="E100" s="19">
        <v>549.86</v>
      </c>
      <c r="F100" s="18">
        <v>0.28667478994653184</v>
      </c>
      <c r="G100" s="1">
        <v>2.2999999999999998</v>
      </c>
      <c r="H100" s="1">
        <v>2.1</v>
      </c>
      <c r="I100" s="16">
        <v>21.743054115669558</v>
      </c>
      <c r="J100" s="1">
        <v>556.87900000000002</v>
      </c>
      <c r="K100" s="1">
        <v>-7.2478951357023202</v>
      </c>
      <c r="L100" s="1">
        <v>112.72199999999999</v>
      </c>
      <c r="M100" s="1">
        <v>-10.44925521350547</v>
      </c>
      <c r="N100" s="1">
        <v>-8.2338198518511874</v>
      </c>
      <c r="O100" s="1">
        <v>313351</v>
      </c>
      <c r="P100" s="1">
        <v>-2.5568066970796721</v>
      </c>
      <c r="Q100" s="1">
        <v>55.640724485380488</v>
      </c>
      <c r="R100" s="1">
        <v>5.2</v>
      </c>
      <c r="S100" s="1">
        <v>4.7649999999999988</v>
      </c>
      <c r="V100" s="20">
        <f t="shared" si="4"/>
        <v>4.8643720120576184</v>
      </c>
      <c r="W100" s="20">
        <f t="shared" si="5"/>
        <v>-1.2316666666666651</v>
      </c>
      <c r="X100" s="20">
        <f t="shared" si="5"/>
        <v>-1.298333333333332</v>
      </c>
      <c r="Y100" s="20">
        <v>-7.3835390848296818</v>
      </c>
      <c r="Z100" s="20">
        <f t="shared" si="6"/>
        <v>1.4799645412796885</v>
      </c>
      <c r="AA100" s="19">
        <f>+AVERAGE(M98:M100)*AVERAGE($F$15:F100)</f>
        <v>-3.4614171087731047</v>
      </c>
      <c r="AB100" s="19">
        <f t="shared" si="7"/>
        <v>-9.4632094368685511</v>
      </c>
      <c r="AC100" s="19">
        <f t="shared" si="8"/>
        <v>-4.1393613913304135</v>
      </c>
      <c r="AD100" s="21">
        <f t="shared" si="9"/>
        <v>43.409528075953375</v>
      </c>
      <c r="AE100" s="19"/>
      <c r="AG100" s="20">
        <f>(V100- AVERAGE(V$41:V100))/_xlfn.STDEV.S(V65:V100)</f>
        <v>-0.15227484073165498</v>
      </c>
      <c r="AH100" s="20">
        <f>(W100- AVERAGE(W$41:W100))/_xlfn.STDEV.S(W65:W100)</f>
        <v>7.8483073762816685E-2</v>
      </c>
      <c r="AI100" s="20">
        <f>(X100- AVERAGE(X$41:X100))/_xlfn.STDEV.S(X65:X100)</f>
        <v>-0.22595293742223552</v>
      </c>
      <c r="AJ100" s="20">
        <f>(Y100- AVERAGE(Y$41:Y100))/_xlfn.STDEV.S(Y65:Y100)</f>
        <v>-0.80578769199922307</v>
      </c>
      <c r="AK100" s="20">
        <f>(Z100- AVERAGE(Z$41:Z100))/_xlfn.STDEV.S(Z65:Z100)</f>
        <v>0.75752796597956151</v>
      </c>
      <c r="AL100" s="20">
        <f>(AA100- AVERAGE(AA$41:AA100))/_xlfn.STDEV.S(AA65:AA100)</f>
        <v>-0.55602032085797104</v>
      </c>
      <c r="AM100" s="20">
        <f>(AB100- AVERAGE(AB$41:AB100))/_xlfn.STDEV.S(AB65:AB100)</f>
        <v>-2.3591644574476143</v>
      </c>
      <c r="AN100" s="20">
        <f>(AC100- AVERAGE(AC$41:AC100))/_xlfn.STDEV.S(AC65:AC100)</f>
        <v>-0.63977649184053031</v>
      </c>
      <c r="AO100" s="24">
        <f>(AD100- AVERAGE(AD$41:AD100))/_xlfn.STDEV.S(AD65:AD100)</f>
        <v>4.6476145683376643E-2</v>
      </c>
      <c r="AP100" s="20"/>
      <c r="AQ100" s="20">
        <f t="shared" si="11"/>
        <v>-0.15227484073165498</v>
      </c>
      <c r="AR100" s="20">
        <f t="shared" si="12"/>
        <v>7.8483073762816685E-2</v>
      </c>
      <c r="AS100" s="20">
        <f t="shared" si="13"/>
        <v>-0.22595293742223552</v>
      </c>
      <c r="AT100" s="20">
        <f t="shared" si="14"/>
        <v>-0.80578769199922307</v>
      </c>
      <c r="AU100" s="20">
        <f t="shared" si="15"/>
        <v>0.75752796597956151</v>
      </c>
      <c r="AV100" s="20">
        <f t="shared" si="16"/>
        <v>-0.55602032085797104</v>
      </c>
      <c r="AW100" s="20">
        <f t="shared" si="17"/>
        <v>-2.3591644574476143</v>
      </c>
      <c r="AX100" s="20">
        <f t="shared" si="18"/>
        <v>-0.63977649184053031</v>
      </c>
      <c r="AY100" s="20">
        <f t="shared" si="19"/>
        <v>4.6476145683376643E-2</v>
      </c>
      <c r="AZ100" s="22">
        <f t="shared" si="20"/>
        <v>-0.42849883943038602</v>
      </c>
      <c r="BA100" s="1">
        <f>+_xlfn.XLOOKUP(A100,[1]Indice!B:B,[1]Indice!AI:AI,"NOOOOOO",-1)</f>
        <v>0.93578877334924904</v>
      </c>
    </row>
    <row r="101" spans="1:53" x14ac:dyDescent="0.25">
      <c r="A101" s="2">
        <v>40968</v>
      </c>
      <c r="B101" s="15">
        <v>6005</v>
      </c>
      <c r="C101" s="19">
        <v>11.244905520563165</v>
      </c>
      <c r="D101" s="15">
        <v>4725</v>
      </c>
      <c r="E101" s="19">
        <v>549.86</v>
      </c>
      <c r="F101" s="18">
        <v>0.28770778016222309</v>
      </c>
      <c r="G101" s="1">
        <v>2.2000000000000002</v>
      </c>
      <c r="H101" s="1">
        <v>2.8</v>
      </c>
      <c r="I101" s="16">
        <v>22.258507612543589</v>
      </c>
      <c r="J101" s="1">
        <v>556.64800000000002</v>
      </c>
      <c r="K101" s="1">
        <v>-7.8889931377756568</v>
      </c>
      <c r="L101" s="1">
        <v>113.884</v>
      </c>
      <c r="M101" s="1">
        <v>-10.390356364437514</v>
      </c>
      <c r="N101" s="1">
        <v>-9.1154278293258386</v>
      </c>
      <c r="O101" s="1">
        <v>319264</v>
      </c>
      <c r="P101" s="1">
        <v>-1.6808223649768084</v>
      </c>
      <c r="Q101" s="1">
        <v>15.272149384187506</v>
      </c>
      <c r="R101" s="1">
        <v>5.2</v>
      </c>
      <c r="S101" s="1">
        <v>4.6900000000000004</v>
      </c>
      <c r="V101" s="20">
        <f t="shared" si="4"/>
        <v>5.430418287297468</v>
      </c>
      <c r="W101" s="20">
        <f t="shared" si="5"/>
        <v>-2.0233333333333339</v>
      </c>
      <c r="X101" s="20">
        <f t="shared" si="5"/>
        <v>-1.5566666666666675</v>
      </c>
      <c r="Y101" s="20">
        <v>-7.4089095094334141</v>
      </c>
      <c r="Z101" s="20">
        <f t="shared" si="6"/>
        <v>-0.56465455122118458</v>
      </c>
      <c r="AA101" s="19">
        <f>+AVERAGE(M99:M101)*AVERAGE($F$15:F101)</f>
        <v>-3.5274529329411166</v>
      </c>
      <c r="AB101" s="19">
        <f t="shared" si="7"/>
        <v>-8.8755437458008704</v>
      </c>
      <c r="AC101" s="19">
        <f t="shared" si="8"/>
        <v>-2.1226010613203101</v>
      </c>
      <c r="AD101" s="21">
        <f t="shared" si="9"/>
        <v>34.821227080645976</v>
      </c>
      <c r="AE101" s="19"/>
      <c r="AG101" s="20">
        <f>(V101- AVERAGE(V$41:V101))/_xlfn.STDEV.S(V66:V101)</f>
        <v>-0.13085711340824432</v>
      </c>
      <c r="AH101" s="20">
        <f>(W101- AVERAGE(W$41:W101))/_xlfn.STDEV.S(W66:W101)</f>
        <v>-2.1100920127251385E-2</v>
      </c>
      <c r="AI101" s="20">
        <f>(X101- AVERAGE(X$41:X101))/_xlfn.STDEV.S(X66:X101)</f>
        <v>-0.28900415298705595</v>
      </c>
      <c r="AJ101" s="20">
        <f>(Y101- AVERAGE(Y$41:Y101))/_xlfn.STDEV.S(Y66:Y101)</f>
        <v>-0.79746028456092055</v>
      </c>
      <c r="AK101" s="20">
        <f>(Z101- AVERAGE(Z$41:Z101))/_xlfn.STDEV.S(Z66:Z101)</f>
        <v>0.36885214088583268</v>
      </c>
      <c r="AL101" s="20">
        <f>(AA101- AVERAGE(AA$41:AA101))/_xlfn.STDEV.S(AA66:AA101)</f>
        <v>-0.58385958788126979</v>
      </c>
      <c r="AM101" s="20">
        <f>(AB101- AVERAGE(AB$41:AB101))/_xlfn.STDEV.S(AB66:AB101)</f>
        <v>-2.025701371178946</v>
      </c>
      <c r="AN101" s="20">
        <f>(AC101- AVERAGE(AC$41:AC101))/_xlfn.STDEV.S(AC66:AC101)</f>
        <v>-0.38636526227838935</v>
      </c>
      <c r="AO101" s="24">
        <f>(AD101- AVERAGE(AD$41:AD101))/_xlfn.STDEV.S(AD66:AD101)</f>
        <v>-5.5602379931029781E-2</v>
      </c>
      <c r="AP101" s="20"/>
      <c r="AQ101" s="20">
        <f t="shared" si="11"/>
        <v>-0.13085711340824432</v>
      </c>
      <c r="AR101" s="20">
        <f t="shared" si="12"/>
        <v>-2.1100920127251385E-2</v>
      </c>
      <c r="AS101" s="20">
        <f t="shared" si="13"/>
        <v>-0.28900415298705595</v>
      </c>
      <c r="AT101" s="20">
        <f t="shared" si="14"/>
        <v>-0.79746028456092055</v>
      </c>
      <c r="AU101" s="20">
        <f t="shared" si="15"/>
        <v>0.36885214088583268</v>
      </c>
      <c r="AV101" s="20">
        <f t="shared" si="16"/>
        <v>-0.58385958788126979</v>
      </c>
      <c r="AW101" s="20">
        <f t="shared" si="17"/>
        <v>-2.025701371178946</v>
      </c>
      <c r="AX101" s="20">
        <f t="shared" si="18"/>
        <v>-0.38636526227838935</v>
      </c>
      <c r="AY101" s="20">
        <f t="shared" si="19"/>
        <v>-5.5602379931029781E-2</v>
      </c>
      <c r="AZ101" s="22">
        <f t="shared" si="20"/>
        <v>-0.43567765905191935</v>
      </c>
      <c r="BA101" s="1">
        <f>+_xlfn.XLOOKUP(A101,[1]Indice!B:B,[1]Indice!AI:AI,"NOOOOOO",-1)</f>
        <v>0.83674524275782891</v>
      </c>
    </row>
    <row r="102" spans="1:53" x14ac:dyDescent="0.25">
      <c r="A102" s="2">
        <v>40999</v>
      </c>
      <c r="B102" s="15">
        <v>6200</v>
      </c>
      <c r="C102" s="19">
        <v>1.672679567071178</v>
      </c>
      <c r="D102" s="15">
        <v>5147</v>
      </c>
      <c r="E102" s="19">
        <v>540.45000000000005</v>
      </c>
      <c r="F102" s="18">
        <v>0.29199000832639466</v>
      </c>
      <c r="G102" s="1">
        <v>0.3</v>
      </c>
      <c r="H102" s="1">
        <v>0.7</v>
      </c>
      <c r="I102" s="16">
        <v>23.204662661876522</v>
      </c>
      <c r="J102" s="1">
        <v>559.11400000000003</v>
      </c>
      <c r="K102" s="1">
        <v>-6.683690500033368</v>
      </c>
      <c r="L102" s="1">
        <v>108.372</v>
      </c>
      <c r="M102" s="1">
        <v>-14.76235046129888</v>
      </c>
      <c r="N102" s="1">
        <v>-14.665443781178622</v>
      </c>
      <c r="O102" s="1">
        <v>336811</v>
      </c>
      <c r="P102" s="1">
        <v>0.86577623382846358</v>
      </c>
      <c r="Q102" s="1">
        <v>42.381969754094939</v>
      </c>
      <c r="R102" s="1">
        <v>1.6</v>
      </c>
      <c r="S102" s="1">
        <v>4.576666666666668</v>
      </c>
      <c r="V102" s="20">
        <f t="shared" si="4"/>
        <v>1.1049584493335942</v>
      </c>
      <c r="W102" s="20">
        <f t="shared" si="5"/>
        <v>-2.9766666666666683</v>
      </c>
      <c r="X102" s="20">
        <f t="shared" si="5"/>
        <v>-2.7100000000000009</v>
      </c>
      <c r="Y102" s="20">
        <v>-7.2563033791067895</v>
      </c>
      <c r="Z102" s="20">
        <f t="shared" si="6"/>
        <v>-7.2735262578371147</v>
      </c>
      <c r="AA102" s="19">
        <f>+AVERAGE(M100:M102)*AVERAGE($F$15:F102)</f>
        <v>-3.7064589677095023</v>
      </c>
      <c r="AB102" s="19">
        <f t="shared" si="7"/>
        <v>-10.671563820785217</v>
      </c>
      <c r="AC102" s="19">
        <f t="shared" si="8"/>
        <v>-1.1239509427426724</v>
      </c>
      <c r="AD102" s="21">
        <f t="shared" si="9"/>
        <v>37.764947874554309</v>
      </c>
      <c r="AE102" s="19"/>
      <c r="AG102" s="20">
        <f>(V102- AVERAGE(V$41:V102))/_xlfn.STDEV.S(V67:V102)</f>
        <v>-0.35075085375876519</v>
      </c>
      <c r="AH102" s="20">
        <f>(W102- AVERAGE(W$41:W102))/_xlfn.STDEV.S(W67:W102)</f>
        <v>-0.14742037493476112</v>
      </c>
      <c r="AI102" s="20">
        <f>(X102- AVERAGE(X$41:X102))/_xlfn.STDEV.S(X67:X102)</f>
        <v>-0.55596120270997673</v>
      </c>
      <c r="AJ102" s="20">
        <f>(Y102- AVERAGE(Y$41:Y102))/_xlfn.STDEV.S(Y67:Y102)</f>
        <v>-0.75307189678748865</v>
      </c>
      <c r="AK102" s="20">
        <f>(Z102- AVERAGE(Z$41:Z102))/_xlfn.STDEV.S(Z67:Z102)</f>
        <v>-0.8576974217012262</v>
      </c>
      <c r="AL102" s="20">
        <f>(AA102- AVERAGE(AA$41:AA102))/_xlfn.STDEV.S(AA67:AA102)</f>
        <v>-0.64801827275799551</v>
      </c>
      <c r="AM102" s="20">
        <f>(AB102- AVERAGE(AB$41:AB102))/_xlfn.STDEV.S(AB67:AB102)</f>
        <v>-2.3526195413954007</v>
      </c>
      <c r="AN102" s="20">
        <f>(AC102- AVERAGE(AC$41:AC102))/_xlfn.STDEV.S(AC67:AC102)</f>
        <v>-0.26177860135893105</v>
      </c>
      <c r="AO102" s="24">
        <f>(AD102- AVERAGE(AD$41:AD102))/_xlfn.STDEV.S(AD67:AD102)</f>
        <v>-1.9970114117267745E-2</v>
      </c>
      <c r="AP102" s="20"/>
      <c r="AQ102" s="20">
        <f t="shared" si="11"/>
        <v>-0.35075085375876519</v>
      </c>
      <c r="AR102" s="20">
        <f t="shared" si="12"/>
        <v>-0.14742037493476112</v>
      </c>
      <c r="AS102" s="20">
        <f t="shared" si="13"/>
        <v>-0.55596120270997673</v>
      </c>
      <c r="AT102" s="20">
        <f t="shared" si="14"/>
        <v>-0.75307189678748865</v>
      </c>
      <c r="AU102" s="20">
        <f t="shared" si="15"/>
        <v>-0.8576974217012262</v>
      </c>
      <c r="AV102" s="20">
        <f t="shared" si="16"/>
        <v>-0.64801827275799551</v>
      </c>
      <c r="AW102" s="20">
        <f t="shared" si="17"/>
        <v>-2.3526195413954007</v>
      </c>
      <c r="AX102" s="20">
        <f t="shared" si="18"/>
        <v>-0.26177860135893105</v>
      </c>
      <c r="AY102" s="20">
        <f t="shared" si="19"/>
        <v>-1.9970114117267745E-2</v>
      </c>
      <c r="AZ102" s="22">
        <f t="shared" si="20"/>
        <v>-0.66080980883575702</v>
      </c>
      <c r="BA102" s="1">
        <f>+_xlfn.XLOOKUP(A102,[1]Indice!B:B,[1]Indice!AI:AI,"NOOOOOO",-1)</f>
        <v>0.79880270430936162</v>
      </c>
    </row>
    <row r="103" spans="1:53" x14ac:dyDescent="0.25">
      <c r="A103" s="2">
        <v>41029</v>
      </c>
      <c r="B103" s="15">
        <v>6715</v>
      </c>
      <c r="C103" s="19">
        <v>-4.6571063467272467</v>
      </c>
      <c r="D103" s="15">
        <v>4770</v>
      </c>
      <c r="E103" s="19">
        <v>540.45000000000005</v>
      </c>
      <c r="F103" s="18">
        <v>0.28997132019613286</v>
      </c>
      <c r="G103" s="1">
        <v>-3.7</v>
      </c>
      <c r="H103" s="1">
        <v>-0.9</v>
      </c>
      <c r="I103" s="16">
        <v>22.425696903264804</v>
      </c>
      <c r="J103" s="1">
        <v>552.90700000000004</v>
      </c>
      <c r="K103" s="1">
        <v>9.5644230254775309</v>
      </c>
      <c r="L103" s="1">
        <v>106.071</v>
      </c>
      <c r="M103" s="1">
        <v>-17.860378673481236</v>
      </c>
      <c r="N103" s="1">
        <v>-23.515626880963914</v>
      </c>
      <c r="O103" s="1">
        <v>350051</v>
      </c>
      <c r="P103" s="1">
        <v>1.6355126619398419</v>
      </c>
      <c r="Q103" s="1">
        <v>0.41349774791406002</v>
      </c>
      <c r="R103" s="1">
        <v>1.6</v>
      </c>
      <c r="S103" s="1">
        <v>4.4633333333333356</v>
      </c>
      <c r="V103" s="20">
        <f t="shared" si="4"/>
        <v>-1.7098404196976369</v>
      </c>
      <c r="W103" s="20">
        <f t="shared" si="5"/>
        <v>-4.863333333333336</v>
      </c>
      <c r="X103" s="20">
        <f t="shared" si="5"/>
        <v>-3.5966666666666689</v>
      </c>
      <c r="Y103" s="20">
        <v>-7.3901521278000359</v>
      </c>
      <c r="Z103" s="20">
        <f t="shared" si="6"/>
        <v>-1.669420204110498</v>
      </c>
      <c r="AA103" s="19">
        <f>+AVERAGE(M101:M103)*AVERAGE($F$15:F103)</f>
        <v>-4.4744171707878255</v>
      </c>
      <c r="AB103" s="19">
        <f t="shared" si="7"/>
        <v>-15.765499497156126</v>
      </c>
      <c r="AC103" s="19">
        <f t="shared" si="8"/>
        <v>0.27348884359716569</v>
      </c>
      <c r="AD103" s="21">
        <f t="shared" si="9"/>
        <v>19.355872295398836</v>
      </c>
      <c r="AE103" s="19"/>
      <c r="AG103" s="20">
        <f>(V103- AVERAGE(V$41:V103))/_xlfn.STDEV.S(V68:V103)</f>
        <v>-0.50159997625714803</v>
      </c>
      <c r="AH103" s="20">
        <f>(W103- AVERAGE(W$41:W103))/_xlfn.STDEV.S(W68:W103)</f>
        <v>-0.41276396613033345</v>
      </c>
      <c r="AI103" s="20">
        <f>(X103- AVERAGE(X$41:X103))/_xlfn.STDEV.S(X68:X103)</f>
        <v>-0.7780764258841858</v>
      </c>
      <c r="AJ103" s="20">
        <f>(Y103- AVERAGE(Y$41:Y103))/_xlfn.STDEV.S(Y68:Y103)</f>
        <v>-0.78087808604007858</v>
      </c>
      <c r="AK103" s="20">
        <f>(Z103- AVERAGE(Z$41:Z103))/_xlfn.STDEV.S(Z68:Z103)</f>
        <v>0.17404800512107496</v>
      </c>
      <c r="AL103" s="20">
        <f>(AA103- AVERAGE(AA$41:AA103))/_xlfn.STDEV.S(AA68:AA103)</f>
        <v>-0.90821154651420932</v>
      </c>
      <c r="AM103" s="20">
        <f>(AB103- AVERAGE(AB$41:AB103))/_xlfn.STDEV.S(AB68:AB103)</f>
        <v>-3.2048214309958278</v>
      </c>
      <c r="AN103" s="20">
        <f>(AC103- AVERAGE(AC$41:AC103))/_xlfn.STDEV.S(AC68:AC103)</f>
        <v>-7.850988009671539E-2</v>
      </c>
      <c r="AO103" s="24">
        <f>(AD103- AVERAGE(AD$41:AD103))/_xlfn.STDEV.S(AD68:AD103)</f>
        <v>-0.24169235068828962</v>
      </c>
      <c r="AP103" s="20"/>
      <c r="AQ103" s="20">
        <f t="shared" si="11"/>
        <v>-0.50159997625714803</v>
      </c>
      <c r="AR103" s="20">
        <f t="shared" si="12"/>
        <v>-0.41276396613033345</v>
      </c>
      <c r="AS103" s="20">
        <f t="shared" si="13"/>
        <v>-0.7780764258841858</v>
      </c>
      <c r="AT103" s="20">
        <f t="shared" si="14"/>
        <v>-0.78087808604007858</v>
      </c>
      <c r="AU103" s="20">
        <f t="shared" si="15"/>
        <v>0.17404800512107496</v>
      </c>
      <c r="AV103" s="20">
        <f t="shared" si="16"/>
        <v>-0.90821154651420932</v>
      </c>
      <c r="AW103" s="20">
        <f t="shared" si="17"/>
        <v>-3.2048214309958278</v>
      </c>
      <c r="AX103" s="20">
        <f t="shared" si="18"/>
        <v>-7.850988009671539E-2</v>
      </c>
      <c r="AY103" s="20">
        <f t="shared" si="19"/>
        <v>-0.24169235068828962</v>
      </c>
      <c r="AZ103" s="22">
        <f t="shared" si="20"/>
        <v>-0.74805618416507924</v>
      </c>
      <c r="BA103" s="1">
        <f>+_xlfn.XLOOKUP(A103,[1]Indice!B:B,[1]Indice!AI:AI,"NOOOOOO",-1)</f>
        <v>0.51110408475653013</v>
      </c>
    </row>
    <row r="104" spans="1:53" x14ac:dyDescent="0.25">
      <c r="A104" s="2">
        <v>41060</v>
      </c>
      <c r="B104" s="15">
        <v>7081</v>
      </c>
      <c r="C104" s="19">
        <v>-10.73994705659902</v>
      </c>
      <c r="D104" s="15">
        <v>5987</v>
      </c>
      <c r="E104" s="19">
        <v>540.45000000000005</v>
      </c>
      <c r="F104" s="18">
        <v>0.28746415024516608</v>
      </c>
      <c r="G104" s="1">
        <v>-5.3</v>
      </c>
      <c r="H104" s="1">
        <v>-0.8</v>
      </c>
      <c r="I104" s="16">
        <v>22.64555087077132</v>
      </c>
      <c r="J104" s="1">
        <v>557.63400000000001</v>
      </c>
      <c r="K104" s="1">
        <v>5.5335497118632837</v>
      </c>
      <c r="L104" s="1">
        <v>100.248</v>
      </c>
      <c r="M104" s="1">
        <v>-20.625821469856998</v>
      </c>
      <c r="N104" s="1">
        <v>-31.328330724315421</v>
      </c>
      <c r="O104" s="1">
        <v>360564</v>
      </c>
      <c r="P104" s="1">
        <v>2.5702004671022793</v>
      </c>
      <c r="Q104" s="1">
        <v>8.2514734774066909</v>
      </c>
      <c r="R104" s="1">
        <v>1.6</v>
      </c>
      <c r="S104" s="1">
        <v>4.3500000000000023</v>
      </c>
      <c r="V104" s="20">
        <f t="shared" si="4"/>
        <v>-8.9247912787516981</v>
      </c>
      <c r="W104" s="20">
        <f t="shared" si="5"/>
        <v>-7.2500000000000018</v>
      </c>
      <c r="X104" s="20">
        <f t="shared" si="5"/>
        <v>-4.6833333333333353</v>
      </c>
      <c r="Y104" s="20">
        <v>-7.5098716091924622</v>
      </c>
      <c r="Z104" s="20">
        <f t="shared" si="6"/>
        <v>2.804760745769149</v>
      </c>
      <c r="AA104" s="19">
        <f>+AVERAGE(M102:M104)*AVERAGE($F$15:F104)</f>
        <v>-5.5343034832678359</v>
      </c>
      <c r="AB104" s="19">
        <f t="shared" si="7"/>
        <v>-23.169800462152654</v>
      </c>
      <c r="AC104" s="19">
        <f t="shared" si="8"/>
        <v>1.690496454290195</v>
      </c>
      <c r="AD104" s="21">
        <f t="shared" si="9"/>
        <v>17.015646993138564</v>
      </c>
      <c r="AE104" s="19"/>
      <c r="AG104" s="20">
        <f>(V104- AVERAGE(V$41:V104))/_xlfn.STDEV.S(V69:V104)</f>
        <v>-0.88465601885373701</v>
      </c>
      <c r="AH104" s="20">
        <f>(W104- AVERAGE(W$41:W104))/_xlfn.STDEV.S(W69:W104)</f>
        <v>-0.78532633480343883</v>
      </c>
      <c r="AI104" s="20">
        <f>(X104- AVERAGE(X$41:X104))/_xlfn.STDEV.S(X69:X104)</f>
        <v>-1.0642495596507622</v>
      </c>
      <c r="AJ104" s="20">
        <f>(Y104- AVERAGE(Y$41:Y104))/_xlfn.STDEV.S(Y69:Y104)</f>
        <v>-0.81340984579777131</v>
      </c>
      <c r="AK104" s="20">
        <f>(Z104- AVERAGE(Z$41:Z104))/_xlfn.STDEV.S(Z69:Z104)</f>
        <v>0.98606721400013597</v>
      </c>
      <c r="AL104" s="20">
        <f>(AA104- AVERAGE(AA$41:AA104))/_xlfn.STDEV.S(AA69:AA104)</f>
        <v>-1.2363543764599234</v>
      </c>
      <c r="AM104" s="20">
        <f>(AB104- AVERAGE(AB$41:AB104))/_xlfn.STDEV.S(AB69:AB104)</f>
        <v>-3.8517975057217595</v>
      </c>
      <c r="AN104" s="20">
        <f>(AC104- AVERAGE(AC$41:AC104))/_xlfn.STDEV.S(AC69:AC104)</f>
        <v>0.12047837852072837</v>
      </c>
      <c r="AO104" s="24">
        <f>(AD104- AVERAGE(AD$41:AD104))/_xlfn.STDEV.S(AD69:AD104)</f>
        <v>-0.27038703824257254</v>
      </c>
      <c r="AP104" s="20"/>
      <c r="AQ104" s="20">
        <f t="shared" si="11"/>
        <v>-0.88465601885373701</v>
      </c>
      <c r="AR104" s="20">
        <f t="shared" si="12"/>
        <v>-0.78532633480343883</v>
      </c>
      <c r="AS104" s="20">
        <f t="shared" si="13"/>
        <v>-1.0642495596507622</v>
      </c>
      <c r="AT104" s="20">
        <f t="shared" si="14"/>
        <v>-0.81340984579777131</v>
      </c>
      <c r="AU104" s="20">
        <f t="shared" si="15"/>
        <v>0.98606721400013597</v>
      </c>
      <c r="AV104" s="20">
        <f t="shared" si="16"/>
        <v>-1.2363543764599234</v>
      </c>
      <c r="AW104" s="20">
        <f t="shared" si="17"/>
        <v>-3.8517975057217595</v>
      </c>
      <c r="AX104" s="20">
        <f t="shared" si="18"/>
        <v>0.12047837852072837</v>
      </c>
      <c r="AY104" s="20">
        <f t="shared" si="19"/>
        <v>-0.27038703824257254</v>
      </c>
      <c r="AZ104" s="22">
        <f t="shared" si="20"/>
        <v>-0.86662612077878887</v>
      </c>
      <c r="BA104" s="1">
        <f>+_xlfn.XLOOKUP(A104,[1]Indice!B:B,[1]Indice!AI:AI,"NOOOOOO",-1)</f>
        <v>0.53582215775733744</v>
      </c>
    </row>
    <row r="105" spans="1:53" x14ac:dyDescent="0.25">
      <c r="A105" s="2">
        <v>41090</v>
      </c>
      <c r="B105" s="15">
        <v>6822</v>
      </c>
      <c r="C105" s="19">
        <v>-12.728668287066647</v>
      </c>
      <c r="D105" s="15">
        <v>6034</v>
      </c>
      <c r="E105" s="19">
        <v>596.03</v>
      </c>
      <c r="F105" s="18">
        <v>0.25786285925205105</v>
      </c>
      <c r="G105" s="1">
        <v>-4.9000000000000004</v>
      </c>
      <c r="H105" s="1">
        <v>-0.1</v>
      </c>
      <c r="I105" s="16">
        <v>22.421774123356425</v>
      </c>
      <c r="J105" s="1">
        <v>532.10599999999999</v>
      </c>
      <c r="K105" s="1">
        <v>-0.80366580477502225</v>
      </c>
      <c r="L105" s="1">
        <v>101.074</v>
      </c>
      <c r="M105" s="1">
        <v>-19.869030253060181</v>
      </c>
      <c r="N105" s="1">
        <v>-44.176483601263293</v>
      </c>
      <c r="O105" s="1">
        <v>357068</v>
      </c>
      <c r="P105" s="1">
        <v>5.8277144677761239</v>
      </c>
      <c r="Q105" s="1">
        <v>-7.9299868811710255</v>
      </c>
      <c r="R105" s="1">
        <v>-4.5999999999999996</v>
      </c>
      <c r="S105" s="1">
        <v>4.1083333333333334</v>
      </c>
      <c r="V105" s="20">
        <f t="shared" ref="V105:V168" si="21">+AVERAGE(C103:C105)-$S105</f>
        <v>-13.483573896797637</v>
      </c>
      <c r="W105" s="20">
        <f t="shared" ref="W105:X168" si="22">+AVERAGE(G103:G105)-$S105</f>
        <v>-8.7416666666666671</v>
      </c>
      <c r="X105" s="20">
        <f t="shared" si="22"/>
        <v>-4.7083333333333339</v>
      </c>
      <c r="Y105" s="20">
        <v>-8.0371244842441563</v>
      </c>
      <c r="Z105" s="20">
        <f t="shared" ref="Z105:Z168" si="23">AVERAGE(K103:K105)</f>
        <v>4.7647689775219311</v>
      </c>
      <c r="AA105" s="19">
        <f>+AVERAGE(M103:M105)*AVERAGE($F$15:F105)</f>
        <v>-6.0535287257895707</v>
      </c>
      <c r="AB105" s="19">
        <f t="shared" si="7"/>
        <v>-33.006813735514207</v>
      </c>
      <c r="AC105" s="19">
        <f t="shared" si="8"/>
        <v>3.344475865606082</v>
      </c>
      <c r="AD105" s="21">
        <f t="shared" si="9"/>
        <v>0.24499478138324213</v>
      </c>
      <c r="AE105" s="19"/>
      <c r="AG105" s="20">
        <f>(V105- AVERAGE(V$41:V105))/_xlfn.STDEV.S(V70:V105)</f>
        <v>-1.1195780207390489</v>
      </c>
      <c r="AH105" s="20">
        <f>(W105- AVERAGE(W$41:W105))/_xlfn.STDEV.S(W70:W105)</f>
        <v>-1.0724641106414126</v>
      </c>
      <c r="AI105" s="20">
        <f>(X105- AVERAGE(X$41:X105))/_xlfn.STDEV.S(X70:X105)</f>
        <v>-1.0939563016900016</v>
      </c>
      <c r="AJ105" s="20">
        <f>(Y105- AVERAGE(Y$41:Y105))/_xlfn.STDEV.S(Y70:Y105)</f>
        <v>-0.95407876198919395</v>
      </c>
      <c r="AK105" s="20">
        <f>(Z105- AVERAGE(Z$41:Z105))/_xlfn.STDEV.S(Z70:Z105)</f>
        <v>1.3202513078506897</v>
      </c>
      <c r="AL105" s="20">
        <f>(AA105- AVERAGE(AA$41:AA105))/_xlfn.STDEV.S(AA70:AA105)</f>
        <v>-1.3523908134076921</v>
      </c>
      <c r="AM105" s="20">
        <f>(AB105- AVERAGE(AB$41:AB105))/_xlfn.STDEV.S(AB70:AB105)</f>
        <v>-4.1523337773955404</v>
      </c>
      <c r="AN105" s="20">
        <f>(AC105- AVERAGE(AC$41:AC105))/_xlfn.STDEV.S(AC70:AC105)</f>
        <v>0.38572086150264051</v>
      </c>
      <c r="AO105" s="24">
        <f>(AD105- AVERAGE(AD$41:AD105))/_xlfn.STDEV.S(AD70:AD105)</f>
        <v>-0.47798121719417946</v>
      </c>
      <c r="AP105" s="20"/>
      <c r="AQ105" s="20">
        <f t="shared" si="11"/>
        <v>-1.1195780207390489</v>
      </c>
      <c r="AR105" s="20">
        <f t="shared" si="12"/>
        <v>-1.0724641106414126</v>
      </c>
      <c r="AS105" s="20">
        <f t="shared" si="13"/>
        <v>-1.0939563016900016</v>
      </c>
      <c r="AT105" s="20">
        <f t="shared" si="14"/>
        <v>-0.95407876198919395</v>
      </c>
      <c r="AU105" s="20">
        <f t="shared" si="15"/>
        <v>1.3202513078506897</v>
      </c>
      <c r="AV105" s="20">
        <f t="shared" si="16"/>
        <v>-1.3523908134076921</v>
      </c>
      <c r="AW105" s="20">
        <f t="shared" si="17"/>
        <v>-4.1523337773955404</v>
      </c>
      <c r="AX105" s="20">
        <f t="shared" si="18"/>
        <v>0.38572086150264051</v>
      </c>
      <c r="AY105" s="20">
        <f t="shared" si="19"/>
        <v>-0.47798121719417946</v>
      </c>
      <c r="AZ105" s="22">
        <f t="shared" si="20"/>
        <v>-0.94631231485597089</v>
      </c>
      <c r="BA105" s="1">
        <f>+_xlfn.XLOOKUP(A105,[1]Indice!B:B,[1]Indice!AI:AI,"NOOOOOO",-1)</f>
        <v>0.5157176792841498</v>
      </c>
    </row>
    <row r="106" spans="1:53" x14ac:dyDescent="0.25">
      <c r="A106" s="2">
        <v>41121</v>
      </c>
      <c r="B106" s="15">
        <v>7655</v>
      </c>
      <c r="C106" s="19">
        <v>5.9368945474674861</v>
      </c>
      <c r="D106" s="15">
        <v>6345</v>
      </c>
      <c r="E106" s="19">
        <v>596.03</v>
      </c>
      <c r="F106" s="18">
        <v>0.25772024898075602</v>
      </c>
      <c r="G106" s="1">
        <v>0.3</v>
      </c>
      <c r="H106" s="1">
        <v>3.3</v>
      </c>
      <c r="I106" s="16">
        <v>22.380539721478833</v>
      </c>
      <c r="J106" s="1">
        <v>550.43600000000004</v>
      </c>
      <c r="K106" s="1">
        <v>-2.0803017095689547</v>
      </c>
      <c r="L106" s="1">
        <v>100.078</v>
      </c>
      <c r="M106" s="1">
        <v>-20.597592808575126</v>
      </c>
      <c r="N106" s="1">
        <v>-47.231432187346378</v>
      </c>
      <c r="O106" s="1">
        <v>347599</v>
      </c>
      <c r="P106" s="1">
        <v>4.4069720989886596</v>
      </c>
      <c r="Q106" s="1">
        <v>-11.469996697985774</v>
      </c>
      <c r="R106" s="1">
        <v>-4.5999999999999996</v>
      </c>
      <c r="S106" s="1">
        <v>3.8666666666666671</v>
      </c>
      <c r="V106" s="20">
        <f t="shared" si="21"/>
        <v>-9.7105735987327293</v>
      </c>
      <c r="W106" s="20">
        <f t="shared" si="22"/>
        <v>-7.1666666666666661</v>
      </c>
      <c r="X106" s="20">
        <f t="shared" si="22"/>
        <v>-3.0666666666666673</v>
      </c>
      <c r="Y106" s="20">
        <v>-8.2995730730378128</v>
      </c>
      <c r="Z106" s="20">
        <f t="shared" si="23"/>
        <v>0.88319406583976889</v>
      </c>
      <c r="AA106" s="19">
        <f>+AVERAGE(M104:M106)*AVERAGE($F$15:F106)</f>
        <v>-6.3256365518581061</v>
      </c>
      <c r="AB106" s="19">
        <f t="shared" ref="AB106:AB169" si="24">+AVERAGE(N104:N106)</f>
        <v>-40.912082170975026</v>
      </c>
      <c r="AC106" s="19">
        <f t="shared" ref="AC106:AC169" si="25">+AVERAGE(P104:P106)</f>
        <v>4.2682956779556882</v>
      </c>
      <c r="AD106" s="21">
        <f t="shared" ref="AD106:AD169" si="26">AVERAGE(Q104:Q106)</f>
        <v>-3.7161700339167028</v>
      </c>
      <c r="AE106" s="19"/>
      <c r="AG106" s="20">
        <f>(V106- AVERAGE(V$41:V106))/_xlfn.STDEV.S(V71:V106)</f>
        <v>-0.92533742050179812</v>
      </c>
      <c r="AH106" s="20">
        <f>(W106- AVERAGE(W$41:W106))/_xlfn.STDEV.S(W71:W106)</f>
        <v>-0.86709948554982008</v>
      </c>
      <c r="AI106" s="20">
        <f>(X106- AVERAGE(X$41:X106))/_xlfn.STDEV.S(X71:X106)</f>
        <v>-0.69640596664285792</v>
      </c>
      <c r="AJ106" s="20">
        <f>(Y106- AVERAGE(Y$41:Y106))/_xlfn.STDEV.S(Y71:Y106)</f>
        <v>-1.0521939467809183</v>
      </c>
      <c r="AK106" s="20">
        <f>(Z106- AVERAGE(Z$41:Z106))/_xlfn.STDEV.S(Z71:Z106)</f>
        <v>0.60665812457779222</v>
      </c>
      <c r="AL106" s="20">
        <f>(AA106- AVERAGE(AA$41:AA106))/_xlfn.STDEV.S(AA71:AA106)</f>
        <v>-1.3860756288232952</v>
      </c>
      <c r="AM106" s="20">
        <f>(AB106- AVERAGE(AB$41:AB106))/_xlfn.STDEV.S(AB71:AB106)</f>
        <v>-3.9678365971006921</v>
      </c>
      <c r="AN106" s="20">
        <f>(AC106- AVERAGE(AC$41:AC106))/_xlfn.STDEV.S(AC71:AC106)</f>
        <v>0.58549476784362775</v>
      </c>
      <c r="AO106" s="24">
        <f>(AD106- AVERAGE(AD$41:AD106))/_xlfn.STDEV.S(AD71:AD106)</f>
        <v>-0.52264327975061831</v>
      </c>
      <c r="AP106" s="20"/>
      <c r="AQ106" s="20">
        <f t="shared" si="11"/>
        <v>-0.92533742050179812</v>
      </c>
      <c r="AR106" s="20">
        <f t="shared" si="12"/>
        <v>-0.86709948554982008</v>
      </c>
      <c r="AS106" s="20">
        <f t="shared" si="13"/>
        <v>-0.69640596664285792</v>
      </c>
      <c r="AT106" s="20">
        <f t="shared" si="14"/>
        <v>-1.0521939467809183</v>
      </c>
      <c r="AU106" s="20">
        <f t="shared" si="15"/>
        <v>0.60665812457779222</v>
      </c>
      <c r="AV106" s="20">
        <f t="shared" si="16"/>
        <v>-1.3860756288232952</v>
      </c>
      <c r="AW106" s="20">
        <f t="shared" si="17"/>
        <v>-3.9678365971006921</v>
      </c>
      <c r="AX106" s="20">
        <f t="shared" si="18"/>
        <v>0.58549476784362775</v>
      </c>
      <c r="AY106" s="20">
        <f t="shared" si="19"/>
        <v>-0.52264327975061831</v>
      </c>
      <c r="AZ106" s="22">
        <f t="shared" si="20"/>
        <v>-0.91393771474761998</v>
      </c>
      <c r="BA106" s="1">
        <f>+_xlfn.XLOOKUP(A106,[1]Indice!B:B,[1]Indice!AI:AI,"NOOOOOO",-1)</f>
        <v>0.50236765573165398</v>
      </c>
    </row>
    <row r="107" spans="1:53" x14ac:dyDescent="0.25">
      <c r="A107" s="2">
        <v>41152</v>
      </c>
      <c r="B107" s="15">
        <v>7451</v>
      </c>
      <c r="C107" s="19">
        <v>-10.530739673390965</v>
      </c>
      <c r="D107" s="15">
        <v>6276</v>
      </c>
      <c r="E107" s="19">
        <v>596.03</v>
      </c>
      <c r="F107" s="18">
        <v>0.25390836031743369</v>
      </c>
      <c r="G107" s="1">
        <v>-0.5</v>
      </c>
      <c r="H107" s="1">
        <v>0.5</v>
      </c>
      <c r="I107" s="16">
        <v>21.548292497407743</v>
      </c>
      <c r="J107" s="1">
        <v>558.60699999999997</v>
      </c>
      <c r="K107" s="1">
        <v>-5.7002839422392038</v>
      </c>
      <c r="L107" s="1">
        <v>100.607</v>
      </c>
      <c r="M107" s="1">
        <v>-18.55201055673842</v>
      </c>
      <c r="N107" s="1">
        <v>-41.102013287817925</v>
      </c>
      <c r="O107" s="1">
        <v>331065</v>
      </c>
      <c r="P107" s="1">
        <v>-1.2061819060777634</v>
      </c>
      <c r="Q107" s="1">
        <v>-10.34611197066071</v>
      </c>
      <c r="R107" s="1">
        <v>-4.5999999999999996</v>
      </c>
      <c r="S107" s="1">
        <v>3.6250000000000004</v>
      </c>
      <c r="V107" s="20">
        <f t="shared" si="21"/>
        <v>-9.3991711376633766</v>
      </c>
      <c r="W107" s="20">
        <f t="shared" si="22"/>
        <v>-5.3250000000000011</v>
      </c>
      <c r="X107" s="20">
        <f t="shared" si="22"/>
        <v>-2.3916666666666675</v>
      </c>
      <c r="Y107" s="20">
        <v>-8.9499987599973458</v>
      </c>
      <c r="Z107" s="20">
        <f t="shared" si="23"/>
        <v>-2.8614171521943934</v>
      </c>
      <c r="AA107" s="19">
        <f>+AVERAGE(M105:M107)*AVERAGE($F$15:F107)</f>
        <v>-6.0989120635116008</v>
      </c>
      <c r="AB107" s="19">
        <f t="shared" si="24"/>
        <v>-44.169976358809201</v>
      </c>
      <c r="AC107" s="19">
        <f t="shared" si="25"/>
        <v>3.0095015535623397</v>
      </c>
      <c r="AD107" s="21">
        <f t="shared" si="26"/>
        <v>-9.9153651832725043</v>
      </c>
      <c r="AE107" s="19"/>
      <c r="AG107" s="20">
        <f>(V107- AVERAGE(V$41:V107))/_xlfn.STDEV.S(V72:V107)</f>
        <v>-0.9426886523921626</v>
      </c>
      <c r="AH107" s="20">
        <f>(W107- AVERAGE(W$41:W107))/_xlfn.STDEV.S(W72:W107)</f>
        <v>-0.57021302639100802</v>
      </c>
      <c r="AI107" s="20">
        <f>(X107- AVERAGE(X$41:X107))/_xlfn.STDEV.S(X72:X107)</f>
        <v>-0.52972300653344706</v>
      </c>
      <c r="AJ107" s="20">
        <f>(Y107- AVERAGE(Y$41:Y107))/_xlfn.STDEV.S(Y72:Y107)</f>
        <v>-1.2794332301837243</v>
      </c>
      <c r="AK107" s="20">
        <f>(Z107- AVERAGE(Z$41:Z107))/_xlfn.STDEV.S(Z72:Z107)</f>
        <v>-9.1554126229843658E-2</v>
      </c>
      <c r="AL107" s="20">
        <f>(AA107- AVERAGE(AA$41:AA107))/_xlfn.STDEV.S(AA72:AA107)</f>
        <v>-1.2790109697417986</v>
      </c>
      <c r="AM107" s="20">
        <f>(AB107- AVERAGE(AB$41:AB107))/_xlfn.STDEV.S(AB72:AB107)</f>
        <v>-3.5182063325527579</v>
      </c>
      <c r="AN107" s="20">
        <f>(AC107- AVERAGE(AC$41:AC107))/_xlfn.STDEV.S(AC72:AC107)</f>
        <v>0.40118519063525254</v>
      </c>
      <c r="AO107" s="24">
        <f>(AD107- AVERAGE(AD$41:AD107))/_xlfn.STDEV.S(AD72:AD107)</f>
        <v>-0.59346094324281062</v>
      </c>
      <c r="AP107" s="20"/>
      <c r="AQ107" s="20">
        <f t="shared" si="11"/>
        <v>-0.9426886523921626</v>
      </c>
      <c r="AR107" s="20">
        <f t="shared" si="12"/>
        <v>-0.57021302639100802</v>
      </c>
      <c r="AS107" s="20">
        <f t="shared" si="13"/>
        <v>-0.52972300653344706</v>
      </c>
      <c r="AT107" s="20">
        <f t="shared" si="14"/>
        <v>-1.2794332301837243</v>
      </c>
      <c r="AU107" s="20">
        <f t="shared" si="15"/>
        <v>-9.1554126229843658E-2</v>
      </c>
      <c r="AV107" s="20">
        <f t="shared" si="16"/>
        <v>-1.2790109697417986</v>
      </c>
      <c r="AW107" s="20">
        <f t="shared" si="17"/>
        <v>-3.5182063325527579</v>
      </c>
      <c r="AX107" s="20">
        <f t="shared" si="18"/>
        <v>0.40118519063525254</v>
      </c>
      <c r="AY107" s="20">
        <f t="shared" si="19"/>
        <v>-0.59346094324281062</v>
      </c>
      <c r="AZ107" s="22">
        <f t="shared" si="20"/>
        <v>-0.93367834407025563</v>
      </c>
      <c r="BA107" s="1">
        <f>+_xlfn.XLOOKUP(A107,[1]Indice!B:B,[1]Indice!AI:AI,"NOOOOOO",-1)</f>
        <v>0.49743257731864293</v>
      </c>
    </row>
    <row r="108" spans="1:53" x14ac:dyDescent="0.25">
      <c r="A108" s="2">
        <v>41182</v>
      </c>
      <c r="B108" s="15">
        <v>6803</v>
      </c>
      <c r="C108" s="19">
        <v>-11.855402954133199</v>
      </c>
      <c r="D108" s="15">
        <v>5855</v>
      </c>
      <c r="E108" s="19">
        <v>587.25</v>
      </c>
      <c r="F108" s="18">
        <v>0.25438569604086847</v>
      </c>
      <c r="G108" s="1">
        <v>-3.2</v>
      </c>
      <c r="H108" s="1">
        <v>-2.1</v>
      </c>
      <c r="I108" s="16">
        <v>21.099017898069857</v>
      </c>
      <c r="J108" s="1">
        <v>558.06500000000005</v>
      </c>
      <c r="K108" s="1">
        <v>-6.4862183778421567</v>
      </c>
      <c r="L108" s="1">
        <v>101.679</v>
      </c>
      <c r="M108" s="1">
        <v>-8.4509071264574747</v>
      </c>
      <c r="N108" s="1">
        <v>-36.500428275178095</v>
      </c>
      <c r="O108" s="1">
        <v>338080</v>
      </c>
      <c r="P108" s="1">
        <v>7.5516475685718065</v>
      </c>
      <c r="Q108" s="1">
        <v>9.828768236020391</v>
      </c>
      <c r="R108" s="1">
        <v>-1.1000000000000001</v>
      </c>
      <c r="S108" s="1">
        <v>3.4666666666666677</v>
      </c>
      <c r="V108" s="20">
        <f t="shared" si="21"/>
        <v>-8.9497493600188935</v>
      </c>
      <c r="W108" s="20">
        <f t="shared" si="22"/>
        <v>-4.6000000000000014</v>
      </c>
      <c r="X108" s="20">
        <f t="shared" si="22"/>
        <v>-2.9000000000000012</v>
      </c>
      <c r="Y108" s="20">
        <v>-9.5896986668511985</v>
      </c>
      <c r="Z108" s="20">
        <f t="shared" si="23"/>
        <v>-4.7556013432167719</v>
      </c>
      <c r="AA108" s="19">
        <f>+AVERAGE(M106:M108)*AVERAGE($F$15:F108)</f>
        <v>-4.9095872214583212</v>
      </c>
      <c r="AB108" s="19">
        <f t="shared" si="24"/>
        <v>-41.611291250114128</v>
      </c>
      <c r="AC108" s="19">
        <f t="shared" si="25"/>
        <v>3.5841459204942345</v>
      </c>
      <c r="AD108" s="21">
        <f t="shared" si="26"/>
        <v>-3.9957801442086982</v>
      </c>
      <c r="AE108" s="19"/>
      <c r="AG108" s="20">
        <f>(V108- AVERAGE(V$41:V108))/_xlfn.STDEV.S(V73:V108)</f>
        <v>-1.0094781090825611</v>
      </c>
      <c r="AH108" s="20">
        <f>(W108- AVERAGE(W$41:W108))/_xlfn.STDEV.S(W73:W108)</f>
        <v>-0.45342675711329983</v>
      </c>
      <c r="AI108" s="20">
        <f>(X108- AVERAGE(X$41:X108))/_xlfn.STDEV.S(X73:X108)</f>
        <v>-0.70333403808687867</v>
      </c>
      <c r="AJ108" s="20">
        <f>(Y108- AVERAGE(Y$41:Y108))/_xlfn.STDEV.S(Y73:Y108)</f>
        <v>-1.5270367305423824</v>
      </c>
      <c r="AK108" s="20">
        <f>(Z108- AVERAGE(Z$41:Z108))/_xlfn.STDEV.S(Z73:Z108)</f>
        <v>-0.45256164782856584</v>
      </c>
      <c r="AL108" s="20">
        <f>(AA108- AVERAGE(AA$41:AA108))/_xlfn.STDEV.S(AA73:AA108)</f>
        <v>-0.89770443450392101</v>
      </c>
      <c r="AM108" s="20">
        <f>(AB108- AVERAGE(AB$41:AB108))/_xlfn.STDEV.S(AB73:AB108)</f>
        <v>-2.9006783649639423</v>
      </c>
      <c r="AN108" s="20">
        <f>(AC108- AVERAGE(AC$41:AC108))/_xlfn.STDEV.S(AC73:AC108)</f>
        <v>0.58312341652505639</v>
      </c>
      <c r="AO108" s="24">
        <f>(AD108- AVERAGE(AD$41:AD108))/_xlfn.STDEV.S(AD73:AD108)</f>
        <v>-0.5141116426818837</v>
      </c>
      <c r="AP108" s="20"/>
      <c r="AQ108" s="20">
        <f t="shared" si="11"/>
        <v>-1.0094781090825611</v>
      </c>
      <c r="AR108" s="20">
        <f t="shared" si="12"/>
        <v>-0.45342675711329983</v>
      </c>
      <c r="AS108" s="20">
        <f t="shared" si="13"/>
        <v>-0.70333403808687867</v>
      </c>
      <c r="AT108" s="20">
        <f t="shared" si="14"/>
        <v>-1.5270367305423824</v>
      </c>
      <c r="AU108" s="20">
        <f t="shared" si="15"/>
        <v>-0.45256164782856584</v>
      </c>
      <c r="AV108" s="20">
        <f t="shared" si="16"/>
        <v>-0.89770443450392101</v>
      </c>
      <c r="AW108" s="20">
        <f t="shared" si="17"/>
        <v>-2.9006783649639423</v>
      </c>
      <c r="AX108" s="20">
        <f t="shared" si="18"/>
        <v>0.58312341652505639</v>
      </c>
      <c r="AY108" s="20">
        <f t="shared" si="19"/>
        <v>-0.5141116426818837</v>
      </c>
      <c r="AZ108" s="22">
        <f t="shared" si="20"/>
        <v>-0.87502314536426407</v>
      </c>
      <c r="BA108" s="1">
        <f>+_xlfn.XLOOKUP(A108,[1]Indice!B:B,[1]Indice!AI:AI,"NOOOOOO",-1)</f>
        <v>0.49224650557680405</v>
      </c>
    </row>
    <row r="109" spans="1:53" x14ac:dyDescent="0.25">
      <c r="A109" s="2">
        <v>41213</v>
      </c>
      <c r="B109" s="15">
        <v>6889</v>
      </c>
      <c r="C109" s="19">
        <v>-7.343644922663084</v>
      </c>
      <c r="D109" s="15">
        <v>6257</v>
      </c>
      <c r="E109" s="19">
        <v>587.25</v>
      </c>
      <c r="F109" s="18">
        <v>0.25337760749255001</v>
      </c>
      <c r="G109" s="1">
        <v>1.5</v>
      </c>
      <c r="H109" s="1">
        <v>0.7</v>
      </c>
      <c r="I109" s="16">
        <v>21.612231739204894</v>
      </c>
      <c r="J109" s="1">
        <v>552.11800000000005</v>
      </c>
      <c r="K109" s="1">
        <v>-7.9896877150822938</v>
      </c>
      <c r="L109" s="1">
        <v>101.855</v>
      </c>
      <c r="M109" s="1">
        <v>-12.794630091011051</v>
      </c>
      <c r="N109" s="1">
        <v>-34.337913848891979</v>
      </c>
      <c r="O109" s="1">
        <v>346303</v>
      </c>
      <c r="P109" s="1">
        <v>9.1037689779998487</v>
      </c>
      <c r="Q109" s="1">
        <v>34.069777738422033</v>
      </c>
      <c r="R109" s="1">
        <v>-1.1000000000000001</v>
      </c>
      <c r="S109" s="1">
        <v>3.3083333333333345</v>
      </c>
      <c r="V109" s="20">
        <f t="shared" si="21"/>
        <v>-13.218262516729084</v>
      </c>
      <c r="W109" s="20">
        <f t="shared" si="22"/>
        <v>-4.0416666666666679</v>
      </c>
      <c r="X109" s="20">
        <f t="shared" si="22"/>
        <v>-3.6083333333333343</v>
      </c>
      <c r="Y109" s="20">
        <v>-10.01112464841917</v>
      </c>
      <c r="Z109" s="20">
        <f t="shared" si="23"/>
        <v>-6.7253966783878845</v>
      </c>
      <c r="AA109" s="19">
        <f>+AVERAGE(M107:M109)*AVERAGE($F$15:F109)</f>
        <v>-4.0969516688043193</v>
      </c>
      <c r="AB109" s="19">
        <f t="shared" si="24"/>
        <v>-37.313451803962664</v>
      </c>
      <c r="AC109" s="19">
        <f t="shared" si="25"/>
        <v>5.1497448801646302</v>
      </c>
      <c r="AD109" s="21">
        <f t="shared" si="26"/>
        <v>11.184144667927237</v>
      </c>
      <c r="AE109" s="19"/>
      <c r="AG109" s="20">
        <f>(V109- AVERAGE(V$41:V109))/_xlfn.STDEV.S(V74:V109)</f>
        <v>-1.4168295386608509</v>
      </c>
      <c r="AH109" s="20">
        <f>(W109- AVERAGE(W$41:W109))/_xlfn.STDEV.S(W74:W109)</f>
        <v>-0.35472060034603836</v>
      </c>
      <c r="AI109" s="20">
        <f>(X109- AVERAGE(X$41:X109))/_xlfn.STDEV.S(X74:X109)</f>
        <v>-0.93235343960241224</v>
      </c>
      <c r="AJ109" s="20">
        <f>(Y109- AVERAGE(Y$41:Y109))/_xlfn.STDEV.S(Y74:Y109)</f>
        <v>-1.7119469825066549</v>
      </c>
      <c r="AK109" s="20">
        <f>(Z109- AVERAGE(Z$41:Z109))/_xlfn.STDEV.S(Z74:Z109)</f>
        <v>-0.83948022093331209</v>
      </c>
      <c r="AL109" s="20">
        <f>(AA109- AVERAGE(AA$41:AA109))/_xlfn.STDEV.S(AA74:AA109)</f>
        <v>-0.6520300172168918</v>
      </c>
      <c r="AM109" s="20">
        <f>(AB109- AVERAGE(AB$41:AB109))/_xlfn.STDEV.S(AB74:AB109)</f>
        <v>-2.3695496822247977</v>
      </c>
      <c r="AN109" s="20">
        <f>(AC109- AVERAGE(AC$41:AC109))/_xlfn.STDEV.S(AC74:AC109)</f>
        <v>1.0144762596627908</v>
      </c>
      <c r="AO109" s="24">
        <f>(AD109- AVERAGE(AD$41:AD109))/_xlfn.STDEV.S(AD74:AD109)</f>
        <v>-0.31659735486742779</v>
      </c>
      <c r="AP109" s="20"/>
      <c r="AQ109" s="20">
        <f t="shared" ref="AQ109:AQ139" si="27">+IF(AG109&gt;AG$2,AG$2,IF(AG109&lt;AG$1,AG$1,AG109))</f>
        <v>-1.4168295386608509</v>
      </c>
      <c r="AR109" s="20">
        <f t="shared" ref="AR109:AR139" si="28">+IF(AH109&gt;AH$2,AH$2,IF(AH109&lt;AH$1,AH$1,AH109))</f>
        <v>-0.35472060034603836</v>
      </c>
      <c r="AS109" s="20">
        <f t="shared" ref="AS109:AS139" si="29">+IF(AI109&gt;AI$2,AI$2,IF(AI109&lt;AI$1,AI$1,AI109))</f>
        <v>-0.93235343960241224</v>
      </c>
      <c r="AT109" s="20">
        <f t="shared" ref="AT109:AT139" si="30">+IF(AJ109&gt;AJ$2,AJ$2,IF(AJ109&lt;AJ$1,AJ$1,AJ109))</f>
        <v>-1.7119469825066549</v>
      </c>
      <c r="AU109" s="20">
        <f t="shared" si="15"/>
        <v>-0.83948022093331209</v>
      </c>
      <c r="AV109" s="20">
        <f t="shared" ref="AV109:AV140" si="31">+IF(AL109&gt;AL$2,AL$2,IF(AL109&lt;AL$1,AL$1,AL109))</f>
        <v>-0.6520300172168918</v>
      </c>
      <c r="AW109" s="20">
        <f t="shared" si="17"/>
        <v>-2.3695496822247977</v>
      </c>
      <c r="AX109" s="20">
        <f t="shared" ref="AX109:AX140" si="32">+IF(AN109&gt;AN$2,AN$2,IF(AN109&lt;AN$1,AN$1,AN109))</f>
        <v>1.0144762596627908</v>
      </c>
      <c r="AY109" s="20">
        <f t="shared" ref="AY109:AY140" si="33">+IF(AO109&gt;AO$2,AO$2,IF(AO109&lt;AO$1,AO$1,AO109))</f>
        <v>-0.31659735486742779</v>
      </c>
      <c r="AZ109" s="22">
        <f t="shared" si="20"/>
        <v>-0.84211461963284384</v>
      </c>
      <c r="BA109" s="1">
        <f>+_xlfn.XLOOKUP(A109,[1]Indice!B:B,[1]Indice!AI:AI,"NOOOOOO",-1)</f>
        <v>0.47404033386901118</v>
      </c>
    </row>
    <row r="110" spans="1:53" x14ac:dyDescent="0.25">
      <c r="A110" s="2">
        <v>41243</v>
      </c>
      <c r="B110" s="15">
        <v>6649</v>
      </c>
      <c r="C110" s="19">
        <v>2.4025874018173354</v>
      </c>
      <c r="D110" s="15">
        <v>5779</v>
      </c>
      <c r="E110" s="19">
        <v>587.25</v>
      </c>
      <c r="F110" s="18">
        <v>0.25287526607066835</v>
      </c>
      <c r="G110" s="1">
        <v>0</v>
      </c>
      <c r="H110" s="1">
        <v>1.3</v>
      </c>
      <c r="I110" s="16">
        <v>22.275983983477005</v>
      </c>
      <c r="J110" s="1">
        <v>532.53599999999994</v>
      </c>
      <c r="K110" s="1">
        <v>-10.886953727936611</v>
      </c>
      <c r="L110" s="1">
        <v>99.972999999999999</v>
      </c>
      <c r="M110" s="1">
        <v>-10.860164239922254</v>
      </c>
      <c r="N110" s="1">
        <v>-42.939806853309825</v>
      </c>
      <c r="O110" s="1">
        <v>344769</v>
      </c>
      <c r="P110" s="1">
        <v>10.33455369372367</v>
      </c>
      <c r="Q110" s="1">
        <v>122.99845894180672</v>
      </c>
      <c r="R110" s="1">
        <v>-1.1000000000000001</v>
      </c>
      <c r="S110" s="1">
        <v>3.1500000000000004</v>
      </c>
      <c r="V110" s="20">
        <f t="shared" si="21"/>
        <v>-8.7488201583263159</v>
      </c>
      <c r="W110" s="20">
        <f t="shared" si="22"/>
        <v>-3.7166666666666672</v>
      </c>
      <c r="X110" s="20">
        <f t="shared" si="22"/>
        <v>-3.1833333333333336</v>
      </c>
      <c r="Y110" s="20">
        <v>-10.018260227571087</v>
      </c>
      <c r="Z110" s="20">
        <f t="shared" si="23"/>
        <v>-8.4542866069536871</v>
      </c>
      <c r="AA110" s="19">
        <f>+AVERAGE(M108:M110)*AVERAGE($F$15:F110)</f>
        <v>-3.2988776521393324</v>
      </c>
      <c r="AB110" s="19">
        <f t="shared" si="24"/>
        <v>-37.926049659126626</v>
      </c>
      <c r="AC110" s="19">
        <f t="shared" si="25"/>
        <v>8.9966567467651082</v>
      </c>
      <c r="AD110" s="21">
        <f t="shared" si="26"/>
        <v>55.632334972083051</v>
      </c>
      <c r="AE110" s="19"/>
      <c r="AG110" s="20">
        <f>(V110- AVERAGE(V$41:V110))/_xlfn.STDEV.S(V75:V110)</f>
        <v>-1.1437889808270028</v>
      </c>
      <c r="AH110" s="20">
        <f>(W110- AVERAGE(W$41:W110))/_xlfn.STDEV.S(W75:W110)</f>
        <v>-0.29114751382790205</v>
      </c>
      <c r="AI110" s="20">
        <f>(X110- AVERAGE(X$41:X110))/_xlfn.STDEV.S(X75:X110)</f>
        <v>-0.79630379206749113</v>
      </c>
      <c r="AJ110" s="20">
        <f>(Y110- AVERAGE(Y$41:Y110))/_xlfn.STDEV.S(Y75:Y110)</f>
        <v>-1.7651338500041511</v>
      </c>
      <c r="AK110" s="20">
        <f>(Z110- AVERAGE(Z$41:Z110))/_xlfn.STDEV.S(Z75:Z110)</f>
        <v>-1.161197524939299</v>
      </c>
      <c r="AL110" s="20">
        <f>(AA110- AVERAGE(AA$41:AA110))/_xlfn.STDEV.S(AA75:AA110)</f>
        <v>-0.40690031781997554</v>
      </c>
      <c r="AM110" s="20">
        <f>(AB110- AVERAGE(AB$41:AB110))/_xlfn.STDEV.S(AB75:AB110)</f>
        <v>-2.2615267233893381</v>
      </c>
      <c r="AN110" s="20">
        <f>(AC110- AVERAGE(AC$41:AC110))/_xlfn.STDEV.S(AC75:AC110)</f>
        <v>1.9747689664587622</v>
      </c>
      <c r="AO110" s="24">
        <f>(AD110- AVERAGE(AD$41:AD110))/_xlfn.STDEV.S(AD75:AD110)</f>
        <v>0.25038836779911744</v>
      </c>
      <c r="AP110" s="20"/>
      <c r="AQ110" s="20">
        <f t="shared" si="27"/>
        <v>-1.1437889808270028</v>
      </c>
      <c r="AR110" s="20">
        <f t="shared" si="28"/>
        <v>-0.29114751382790205</v>
      </c>
      <c r="AS110" s="20">
        <f t="shared" si="29"/>
        <v>-0.79630379206749113</v>
      </c>
      <c r="AT110" s="20">
        <f t="shared" si="30"/>
        <v>-1.7651338500041511</v>
      </c>
      <c r="AU110" s="20">
        <f t="shared" si="15"/>
        <v>-1.161197524939299</v>
      </c>
      <c r="AV110" s="20">
        <f t="shared" si="31"/>
        <v>-0.40690031781997554</v>
      </c>
      <c r="AW110" s="20">
        <f t="shared" si="17"/>
        <v>-2.2615267233893381</v>
      </c>
      <c r="AX110" s="20">
        <f t="shared" si="32"/>
        <v>1.9747689664587622</v>
      </c>
      <c r="AY110" s="20">
        <f t="shared" si="33"/>
        <v>0.25038836779911744</v>
      </c>
      <c r="AZ110" s="22">
        <f t="shared" si="20"/>
        <v>-0.62231570762414223</v>
      </c>
      <c r="BA110" s="1">
        <f>+_xlfn.XLOOKUP(A110,[1]Indice!B:B,[1]Indice!AI:AI,"NOOOOOO",-1)</f>
        <v>0.47435715789090127</v>
      </c>
    </row>
    <row r="111" spans="1:53" x14ac:dyDescent="0.25">
      <c r="A111" s="2">
        <v>41274</v>
      </c>
      <c r="B111" s="15">
        <v>6313</v>
      </c>
      <c r="C111" s="19">
        <v>0.1110053916904441</v>
      </c>
      <c r="D111" s="15">
        <v>5437</v>
      </c>
      <c r="E111" s="19">
        <v>593.91999999999996</v>
      </c>
      <c r="F111" s="18">
        <v>0.24912109374999999</v>
      </c>
      <c r="G111" s="1">
        <v>0.2</v>
      </c>
      <c r="H111" s="1">
        <v>0</v>
      </c>
      <c r="I111" s="16">
        <v>21.381051392625537</v>
      </c>
      <c r="J111" s="1">
        <v>545.81299999999999</v>
      </c>
      <c r="K111" s="1">
        <v>-7.5809578638130093</v>
      </c>
      <c r="L111" s="1">
        <v>102.214</v>
      </c>
      <c r="M111" s="1">
        <v>-6.3365374923256006</v>
      </c>
      <c r="N111" s="1">
        <v>-36.447319036587423</v>
      </c>
      <c r="O111" s="1">
        <v>332239</v>
      </c>
      <c r="P111" s="1">
        <v>8.1398036005481131</v>
      </c>
      <c r="Q111" s="1">
        <v>70.694919394235441</v>
      </c>
      <c r="R111" s="1">
        <v>0.6</v>
      </c>
      <c r="S111" s="1">
        <v>3.0050000000000003</v>
      </c>
      <c r="V111" s="20">
        <f t="shared" si="21"/>
        <v>-4.6150173763851017</v>
      </c>
      <c r="W111" s="20">
        <f t="shared" si="22"/>
        <v>-2.4383333333333335</v>
      </c>
      <c r="X111" s="20">
        <f t="shared" si="22"/>
        <v>-2.3383333333333338</v>
      </c>
      <c r="Y111" s="20">
        <v>-10.156016653992531</v>
      </c>
      <c r="Z111" s="20">
        <f t="shared" si="23"/>
        <v>-8.819199768943971</v>
      </c>
      <c r="AA111" s="19">
        <f>+AVERAGE(M109:M111)*AVERAGE($F$15:F111)</f>
        <v>-3.0755308997595101</v>
      </c>
      <c r="AB111" s="19">
        <f t="shared" si="24"/>
        <v>-37.908346579596412</v>
      </c>
      <c r="AC111" s="19">
        <f t="shared" si="25"/>
        <v>9.1927087574238779</v>
      </c>
      <c r="AD111" s="21">
        <f t="shared" si="26"/>
        <v>75.921052024821392</v>
      </c>
      <c r="AE111" s="19"/>
      <c r="AG111" s="20">
        <f>(V111- AVERAGE(V$41:V111))/_xlfn.STDEV.S(V76:V111)</f>
        <v>-0.81935198844504598</v>
      </c>
      <c r="AH111" s="20">
        <f>(W111- AVERAGE(W$41:W111))/_xlfn.STDEV.S(W76:W111)</f>
        <v>-2.5222136473294167E-2</v>
      </c>
      <c r="AI111" s="20">
        <f>(X111- AVERAGE(X$41:X111))/_xlfn.STDEV.S(X76:X111)</f>
        <v>-0.52426850068988617</v>
      </c>
      <c r="AJ111" s="20">
        <f>(Y111- AVERAGE(Y$41:Y111))/_xlfn.STDEV.S(Y76:Y111)</f>
        <v>-1.809591592591218</v>
      </c>
      <c r="AK111" s="20">
        <f>(Z111- AVERAGE(Z$41:Z111))/_xlfn.STDEV.S(Z76:Z111)</f>
        <v>-1.2081526472395878</v>
      </c>
      <c r="AL111" s="20">
        <f>(AA111- AVERAGE(AA$41:AA111))/_xlfn.STDEV.S(AA76:AA111)</f>
        <v>-0.35700384978552441</v>
      </c>
      <c r="AM111" s="20">
        <f>(AB111- AVERAGE(AB$41:AB111))/_xlfn.STDEV.S(AB76:AB111)</f>
        <v>-2.1391132833850923</v>
      </c>
      <c r="AN111" s="20">
        <f>(AC111- AVERAGE(AC$41:AC111))/_xlfn.STDEV.S(AC76:AC111)</f>
        <v>1.9139624940983331</v>
      </c>
      <c r="AO111" s="24">
        <f>(AD111- AVERAGE(AD$41:AD111))/_xlfn.STDEV.S(AD76:AD111)</f>
        <v>0.50384386270593506</v>
      </c>
      <c r="AP111" s="20"/>
      <c r="AQ111" s="20">
        <f t="shared" si="27"/>
        <v>-0.81935198844504598</v>
      </c>
      <c r="AR111" s="20">
        <f t="shared" si="28"/>
        <v>-2.5222136473294167E-2</v>
      </c>
      <c r="AS111" s="20">
        <f t="shared" si="29"/>
        <v>-0.52426850068988617</v>
      </c>
      <c r="AT111" s="20">
        <f t="shared" si="30"/>
        <v>-1.809591592591218</v>
      </c>
      <c r="AU111" s="20">
        <f t="shared" si="15"/>
        <v>-1.2081526472395878</v>
      </c>
      <c r="AV111" s="20">
        <f t="shared" si="31"/>
        <v>-0.35700384978552441</v>
      </c>
      <c r="AW111" s="20">
        <f t="shared" si="17"/>
        <v>-2.1391132833850923</v>
      </c>
      <c r="AX111" s="20">
        <f t="shared" si="32"/>
        <v>1.9139624940983331</v>
      </c>
      <c r="AY111" s="20">
        <f t="shared" si="33"/>
        <v>0.50384386270593506</v>
      </c>
      <c r="AZ111" s="22">
        <f t="shared" si="20"/>
        <v>-0.49609973797837564</v>
      </c>
      <c r="BA111" s="1">
        <f>+_xlfn.XLOOKUP(A111,[1]Indice!B:B,[1]Indice!AI:AI,"NOOOOOO",-1)</f>
        <v>0.5119261810932686</v>
      </c>
    </row>
    <row r="112" spans="1:53" x14ac:dyDescent="0.25">
      <c r="A112" s="2">
        <v>41305</v>
      </c>
      <c r="B112" s="15">
        <v>5383</v>
      </c>
      <c r="C112" s="19">
        <v>-0.29635117614372763</v>
      </c>
      <c r="D112" s="15">
        <v>5358</v>
      </c>
      <c r="E112" s="19">
        <v>593.91999999999996</v>
      </c>
      <c r="F112" s="18">
        <v>0.24908405172413794</v>
      </c>
      <c r="G112" s="1">
        <v>0.2</v>
      </c>
      <c r="H112" s="1">
        <v>-0.3</v>
      </c>
      <c r="I112" s="16">
        <v>22.050338702612354</v>
      </c>
      <c r="J112" s="1">
        <v>533.68600000000004</v>
      </c>
      <c r="K112" s="1">
        <v>-4.1648185692044422</v>
      </c>
      <c r="L112" s="1">
        <v>103.524</v>
      </c>
      <c r="M112" s="1">
        <v>-8.1598978016713666</v>
      </c>
      <c r="N112" s="1">
        <v>-45.93016989861507</v>
      </c>
      <c r="O112" s="1">
        <v>340940</v>
      </c>
      <c r="P112" s="1">
        <v>8.8045035758622205</v>
      </c>
      <c r="Q112" s="1">
        <v>23.357693224243391</v>
      </c>
      <c r="R112" s="1">
        <v>0.6</v>
      </c>
      <c r="S112" s="1">
        <v>2.8599999999999994</v>
      </c>
      <c r="V112" s="20">
        <f t="shared" si="21"/>
        <v>-2.1209194608786488</v>
      </c>
      <c r="W112" s="20">
        <f t="shared" si="22"/>
        <v>-2.7266666666666661</v>
      </c>
      <c r="X112" s="20">
        <f t="shared" si="22"/>
        <v>-2.526666666666666</v>
      </c>
      <c r="Y112" s="20">
        <v>-10.223876391103371</v>
      </c>
      <c r="Z112" s="20">
        <f t="shared" si="23"/>
        <v>-7.5442433869846868</v>
      </c>
      <c r="AA112" s="19">
        <f>+AVERAGE(M110:M112)*AVERAGE($F$15:F112)</f>
        <v>-2.5952010520182012</v>
      </c>
      <c r="AB112" s="19">
        <f t="shared" si="24"/>
        <v>-41.772431929504108</v>
      </c>
      <c r="AC112" s="19">
        <f t="shared" si="25"/>
        <v>9.0929536233780013</v>
      </c>
      <c r="AD112" s="21">
        <f t="shared" si="26"/>
        <v>72.350357186761855</v>
      </c>
      <c r="AE112" s="19"/>
      <c r="AG112" s="20">
        <f>(V112- AVERAGE(V$41:V112))/_xlfn.STDEV.S(V77:V112)</f>
        <v>-0.61015335233902956</v>
      </c>
      <c r="AH112" s="20">
        <f>(W112- AVERAGE(W$41:W112))/_xlfn.STDEV.S(W77:W112)</f>
        <v>-8.4562780197537532E-2</v>
      </c>
      <c r="AI112" s="20">
        <f>(X112- AVERAGE(X$41:X112))/_xlfn.STDEV.S(X77:X112)</f>
        <v>-0.56833939978191295</v>
      </c>
      <c r="AJ112" s="20">
        <f>(Y112- AVERAGE(Y$41:Y112))/_xlfn.STDEV.S(Y77:Y112)</f>
        <v>-1.7877313645893753</v>
      </c>
      <c r="AK112" s="20">
        <f>(Z112- AVERAGE(Z$41:Z112))/_xlfn.STDEV.S(Z77:Z112)</f>
        <v>-0.9412094991712846</v>
      </c>
      <c r="AL112" s="20">
        <f>(AA112- AVERAGE(AA$41:AA112))/_xlfn.STDEV.S(AA77:AA112)</f>
        <v>-0.16155582359479401</v>
      </c>
      <c r="AM112" s="20">
        <f>(AB112- AVERAGE(AB$41:AB112))/_xlfn.STDEV.S(AB77:AB112)</f>
        <v>-2.261768672630911</v>
      </c>
      <c r="AN112" s="20">
        <f>(AC112- AVERAGE(AC$41:AC112))/_xlfn.STDEV.S(AC77:AC112)</f>
        <v>1.7697023532690506</v>
      </c>
      <c r="AO112" s="24">
        <f>(AD112- AVERAGE(AD$41:AD112))/_xlfn.STDEV.S(AD77:AD112)</f>
        <v>0.45271808045227219</v>
      </c>
      <c r="AP112" s="20"/>
      <c r="AQ112" s="20">
        <f t="shared" si="27"/>
        <v>-0.61015335233902956</v>
      </c>
      <c r="AR112" s="20">
        <f t="shared" si="28"/>
        <v>-8.4562780197537532E-2</v>
      </c>
      <c r="AS112" s="20">
        <f t="shared" si="29"/>
        <v>-0.56833939978191295</v>
      </c>
      <c r="AT112" s="20">
        <f t="shared" si="30"/>
        <v>-1.7877313645893753</v>
      </c>
      <c r="AU112" s="20">
        <f t="shared" si="15"/>
        <v>-0.9412094991712846</v>
      </c>
      <c r="AV112" s="20">
        <f t="shared" si="31"/>
        <v>-0.16155582359479401</v>
      </c>
      <c r="AW112" s="20">
        <f t="shared" si="17"/>
        <v>-2.261768672630911</v>
      </c>
      <c r="AX112" s="20">
        <f t="shared" si="32"/>
        <v>1.7697023532690506</v>
      </c>
      <c r="AY112" s="20">
        <f t="shared" si="33"/>
        <v>0.45271808045227219</v>
      </c>
      <c r="AZ112" s="22">
        <f t="shared" si="20"/>
        <v>-0.46587782873150246</v>
      </c>
      <c r="BA112" s="1">
        <f>+_xlfn.XLOOKUP(A112,[1]Indice!B:B,[1]Indice!AI:AI,"NOOOOOO",-1)</f>
        <v>0.5231977475101296</v>
      </c>
    </row>
    <row r="113" spans="1:53" x14ac:dyDescent="0.25">
      <c r="A113" s="2">
        <v>41333</v>
      </c>
      <c r="B113" s="15">
        <v>4906</v>
      </c>
      <c r="C113" s="19">
        <v>-18.301415487094086</v>
      </c>
      <c r="D113" s="15">
        <v>5175</v>
      </c>
      <c r="E113" s="19">
        <v>593.91999999999996</v>
      </c>
      <c r="F113" s="18">
        <v>0.24799131196120688</v>
      </c>
      <c r="G113" s="1">
        <v>0.3</v>
      </c>
      <c r="H113" s="1">
        <v>-1.4</v>
      </c>
      <c r="I113" s="16">
        <v>23.406917196409367</v>
      </c>
      <c r="J113" s="1">
        <v>533.77200000000005</v>
      </c>
      <c r="K113" s="1">
        <v>-4.1095988847530185</v>
      </c>
      <c r="L113" s="1">
        <v>103.17400000000001</v>
      </c>
      <c r="M113" s="1">
        <v>-9.4043061360682749</v>
      </c>
      <c r="N113" s="1">
        <v>-54.843147658601431</v>
      </c>
      <c r="O113" s="1">
        <v>349107</v>
      </c>
      <c r="P113" s="1">
        <v>9.3474366041896406</v>
      </c>
      <c r="Q113" s="1">
        <v>25.877162749017725</v>
      </c>
      <c r="R113" s="1">
        <v>0.6</v>
      </c>
      <c r="S113" s="1">
        <v>2.714999999999999</v>
      </c>
      <c r="V113" s="20">
        <f t="shared" si="21"/>
        <v>-8.877253757182455</v>
      </c>
      <c r="W113" s="20">
        <f t="shared" si="22"/>
        <v>-2.4816666666666656</v>
      </c>
      <c r="X113" s="20">
        <f t="shared" si="22"/>
        <v>-3.2816666666666654</v>
      </c>
      <c r="Y113" s="20">
        <v>-10.008809356290925</v>
      </c>
      <c r="Z113" s="20">
        <f t="shared" si="23"/>
        <v>-5.2851251059234903</v>
      </c>
      <c r="AA113" s="19">
        <f>+AVERAGE(M111:M113)*AVERAGE($F$15:F113)</f>
        <v>-2.4414444335050889</v>
      </c>
      <c r="AB113" s="19">
        <f t="shared" si="24"/>
        <v>-45.740212197934646</v>
      </c>
      <c r="AC113" s="19">
        <f t="shared" si="25"/>
        <v>8.7639145935333236</v>
      </c>
      <c r="AD113" s="21">
        <f t="shared" si="26"/>
        <v>39.976591789165518</v>
      </c>
      <c r="AE113" s="19"/>
      <c r="AG113" s="20">
        <f>(V113- AVERAGE(V$41:V113))/_xlfn.STDEV.S(V78:V113)</f>
        <v>-1.0875260406614384</v>
      </c>
      <c r="AH113" s="20">
        <f>(W113- AVERAGE(W$41:W113))/_xlfn.STDEV.S(W78:W113)</f>
        <v>-3.2533964451247697E-2</v>
      </c>
      <c r="AI113" s="20">
        <f>(X113- AVERAGE(X$41:X113))/_xlfn.STDEV.S(X78:X113)</f>
        <v>-0.7762848817925343</v>
      </c>
      <c r="AJ113" s="20">
        <f>(Y113- AVERAGE(Y$41:Y113))/_xlfn.STDEV.S(Y78:Y113)</f>
        <v>-1.6470496201759017</v>
      </c>
      <c r="AK113" s="20">
        <f>(Z113- AVERAGE(Z$41:Z113))/_xlfn.STDEV.S(Z78:Z113)</f>
        <v>-0.49371980762382378</v>
      </c>
      <c r="AL113" s="20">
        <f>(AA113- AVERAGE(AA$41:AA113))/_xlfn.STDEV.S(AA78:AA113)</f>
        <v>-9.0501041817016195E-2</v>
      </c>
      <c r="AM113" s="20">
        <f>(AB113- AVERAGE(AB$41:AB113))/_xlfn.STDEV.S(AB78:AB113)</f>
        <v>-2.3613165483548029</v>
      </c>
      <c r="AN113" s="20">
        <f>(AC113- AVERAGE(AC$41:AC113))/_xlfn.STDEV.S(AC78:AC113)</f>
        <v>1.6202452119016368</v>
      </c>
      <c r="AO113" s="24">
        <f>(AD113- AVERAGE(AD$41:AD113))/_xlfn.STDEV.S(AD78:AD113)</f>
        <v>3.5773505848447455E-2</v>
      </c>
      <c r="AP113" s="20"/>
      <c r="AQ113" s="20">
        <f t="shared" si="27"/>
        <v>-1.0875260406614384</v>
      </c>
      <c r="AR113" s="20">
        <f t="shared" si="28"/>
        <v>-3.2533964451247697E-2</v>
      </c>
      <c r="AS113" s="20">
        <f t="shared" si="29"/>
        <v>-0.7762848817925343</v>
      </c>
      <c r="AT113" s="20">
        <f t="shared" si="30"/>
        <v>-1.6470496201759017</v>
      </c>
      <c r="AU113" s="20">
        <f t="shared" si="15"/>
        <v>-0.49371980762382378</v>
      </c>
      <c r="AV113" s="20">
        <f t="shared" si="31"/>
        <v>-9.0501041817016195E-2</v>
      </c>
      <c r="AW113" s="20">
        <f t="shared" si="17"/>
        <v>-2.3613165483548029</v>
      </c>
      <c r="AX113" s="20">
        <f t="shared" si="32"/>
        <v>1.6202452119016368</v>
      </c>
      <c r="AY113" s="20">
        <f t="shared" si="33"/>
        <v>3.5773505848447455E-2</v>
      </c>
      <c r="AZ113" s="22">
        <f t="shared" si="20"/>
        <v>-0.53699035412518681</v>
      </c>
      <c r="BA113" s="1">
        <f>+_xlfn.XLOOKUP(A113,[1]Indice!B:B,[1]Indice!AI:AI,"NOOOOOO",-1)</f>
        <v>0.54529447141942844</v>
      </c>
    </row>
    <row r="114" spans="1:53" x14ac:dyDescent="0.25">
      <c r="A114" s="2">
        <v>41364</v>
      </c>
      <c r="B114" s="15">
        <v>6160</v>
      </c>
      <c r="C114" s="19">
        <v>-0.64516129032258229</v>
      </c>
      <c r="D114" s="15">
        <v>5619</v>
      </c>
      <c r="E114" s="19">
        <v>576.42999999999995</v>
      </c>
      <c r="F114" s="18">
        <v>0.25626528806620058</v>
      </c>
      <c r="G114" s="1">
        <v>1.3</v>
      </c>
      <c r="H114" s="1">
        <v>2</v>
      </c>
      <c r="I114" s="16">
        <v>22.222509016454524</v>
      </c>
      <c r="J114" s="1">
        <v>535.72299999999996</v>
      </c>
      <c r="K114" s="1">
        <v>-4.1835833121689037</v>
      </c>
      <c r="L114" s="1">
        <v>101.872</v>
      </c>
      <c r="M114" s="1">
        <v>-5.9978592256302417</v>
      </c>
      <c r="N114" s="1">
        <v>-62.613398374455073</v>
      </c>
      <c r="O114" s="1">
        <v>360116</v>
      </c>
      <c r="P114" s="1">
        <v>6.9193108301094597</v>
      </c>
      <c r="Q114" s="1">
        <v>-4.3044603977874569</v>
      </c>
      <c r="R114" s="1">
        <v>0.7</v>
      </c>
      <c r="S114" s="1">
        <v>2.6116666666666659</v>
      </c>
      <c r="V114" s="20">
        <f t="shared" si="21"/>
        <v>-9.0259759845201319</v>
      </c>
      <c r="W114" s="20">
        <f t="shared" si="22"/>
        <v>-2.0116666666666658</v>
      </c>
      <c r="X114" s="20">
        <f t="shared" si="22"/>
        <v>-2.5116666666666658</v>
      </c>
      <c r="Y114" s="20">
        <v>-9.7671327595345865</v>
      </c>
      <c r="Z114" s="20">
        <f t="shared" si="23"/>
        <v>-4.1526669220421217</v>
      </c>
      <c r="AA114" s="19">
        <f>+AVERAGE(M112:M114)*AVERAGE($F$15:F114)</f>
        <v>-2.4029073224711905</v>
      </c>
      <c r="AB114" s="19">
        <f t="shared" si="24"/>
        <v>-54.462238643890522</v>
      </c>
      <c r="AC114" s="19">
        <f t="shared" si="25"/>
        <v>8.3570836700537736</v>
      </c>
      <c r="AD114" s="21">
        <f t="shared" si="26"/>
        <v>14.976798525157887</v>
      </c>
      <c r="AE114" s="19"/>
      <c r="AG114" s="20">
        <f>(V114- AVERAGE(V$41:V114))/_xlfn.STDEV.S(V79:V114)</f>
        <v>-1.0587333110488593</v>
      </c>
      <c r="AH114" s="20">
        <f>(W114- AVERAGE(W$41:W114))/_xlfn.STDEV.S(W79:W114)</f>
        <v>6.4725755363196316E-2</v>
      </c>
      <c r="AI114" s="20">
        <f>(X114- AVERAGE(X$41:X114))/_xlfn.STDEV.S(X79:X114)</f>
        <v>-0.5322814518352561</v>
      </c>
      <c r="AJ114" s="20">
        <f>(Y114- AVERAGE(Y$41:Y114))/_xlfn.STDEV.S(Y79:Y114)</f>
        <v>-1.5200842559724141</v>
      </c>
      <c r="AK114" s="20">
        <f>(Z114- AVERAGE(Z$41:Z114))/_xlfn.STDEV.S(Z79:Z114)</f>
        <v>-0.26960968617509862</v>
      </c>
      <c r="AL114" s="20">
        <f>(AA114- AVERAGE(AA$41:AA114))/_xlfn.STDEV.S(AA79:AA114)</f>
        <v>-7.2437777414727872E-2</v>
      </c>
      <c r="AM114" s="20">
        <f>(AB114- AVERAGE(AB$41:AB114))/_xlfn.STDEV.S(AB79:AB114)</f>
        <v>-2.6651985683388526</v>
      </c>
      <c r="AN114" s="20">
        <f>(AC114- AVERAGE(AC$41:AC114))/_xlfn.STDEV.S(AC79:AC114)</f>
        <v>1.4932710948992418</v>
      </c>
      <c r="AO114" s="24">
        <f>(AD114- AVERAGE(AD$41:AD114))/_xlfn.STDEV.S(AD79:AD114)</f>
        <v>-0.2884774268570533</v>
      </c>
      <c r="AP114" s="20"/>
      <c r="AQ114" s="20">
        <f t="shared" si="27"/>
        <v>-1.0587333110488593</v>
      </c>
      <c r="AR114" s="20">
        <f t="shared" si="28"/>
        <v>6.4725755363196316E-2</v>
      </c>
      <c r="AS114" s="20">
        <f t="shared" si="29"/>
        <v>-0.5322814518352561</v>
      </c>
      <c r="AT114" s="20">
        <f t="shared" si="30"/>
        <v>-1.5200842559724141</v>
      </c>
      <c r="AU114" s="20">
        <f t="shared" si="15"/>
        <v>-0.26960968617509862</v>
      </c>
      <c r="AV114" s="20">
        <f t="shared" si="31"/>
        <v>-7.2437777414727872E-2</v>
      </c>
      <c r="AW114" s="20">
        <f t="shared" si="17"/>
        <v>-2.6651985683388526</v>
      </c>
      <c r="AX114" s="20">
        <f t="shared" si="32"/>
        <v>1.4932710948992418</v>
      </c>
      <c r="AY114" s="20">
        <f t="shared" si="33"/>
        <v>-0.2884774268570533</v>
      </c>
      <c r="AZ114" s="22">
        <f t="shared" si="20"/>
        <v>-0.53875840304220246</v>
      </c>
      <c r="BA114" s="1">
        <f>+_xlfn.XLOOKUP(A114,[1]Indice!B:B,[1]Indice!AI:AI,"NOOOOOO",-1)</f>
        <v>0.54038946210052807</v>
      </c>
    </row>
    <row r="115" spans="1:53" x14ac:dyDescent="0.25">
      <c r="A115" s="2">
        <v>41394</v>
      </c>
      <c r="B115" s="15">
        <v>6895</v>
      </c>
      <c r="C115" s="19">
        <v>2.6805658972449686</v>
      </c>
      <c r="D115" s="15">
        <v>6193</v>
      </c>
      <c r="E115" s="19">
        <v>576.42999999999995</v>
      </c>
      <c r="F115" s="18">
        <v>0.25904619815068614</v>
      </c>
      <c r="G115" s="1">
        <v>7.2</v>
      </c>
      <c r="H115" s="1">
        <v>4.3</v>
      </c>
      <c r="I115" s="16">
        <v>21.743762919914577</v>
      </c>
      <c r="J115" s="1">
        <v>531.69899999999996</v>
      </c>
      <c r="K115" s="1">
        <v>-3.83572644224075</v>
      </c>
      <c r="L115" s="1">
        <v>102.348</v>
      </c>
      <c r="M115" s="1">
        <v>-3.5099131713663523</v>
      </c>
      <c r="N115" s="1">
        <v>-70.148899089419942</v>
      </c>
      <c r="O115" s="1">
        <v>366408</v>
      </c>
      <c r="P115" s="1">
        <v>4.6727476853372751</v>
      </c>
      <c r="Q115" s="1">
        <v>-9.0006618133686267</v>
      </c>
      <c r="R115" s="1">
        <v>0.7</v>
      </c>
      <c r="S115" s="1">
        <v>2.5083333333333324</v>
      </c>
      <c r="V115" s="20">
        <f t="shared" si="21"/>
        <v>-7.9303369600572324</v>
      </c>
      <c r="W115" s="20">
        <f t="shared" si="22"/>
        <v>0.42500000000000115</v>
      </c>
      <c r="X115" s="20">
        <f t="shared" si="22"/>
        <v>-0.87499999999999889</v>
      </c>
      <c r="Y115" s="20">
        <v>-9.8924605376305159</v>
      </c>
      <c r="Z115" s="20">
        <f t="shared" si="23"/>
        <v>-4.0429695463875577</v>
      </c>
      <c r="AA115" s="19">
        <f>+AVERAGE(M113:M115)*AVERAGE($F$15:F115)</f>
        <v>-1.9257650824749377</v>
      </c>
      <c r="AB115" s="19">
        <f t="shared" si="24"/>
        <v>-62.535148374158815</v>
      </c>
      <c r="AC115" s="19">
        <f t="shared" si="25"/>
        <v>6.9798317065454576</v>
      </c>
      <c r="AD115" s="21">
        <f t="shared" si="26"/>
        <v>4.1906801792872139</v>
      </c>
      <c r="AE115" s="19"/>
      <c r="AG115" s="20">
        <f>(V115- AVERAGE(V$41:V115))/_xlfn.STDEV.S(V80:V115)</f>
        <v>-0.9466016040393328</v>
      </c>
      <c r="AH115" s="20">
        <f>(W115- AVERAGE(W$41:W115))/_xlfn.STDEV.S(W80:W115)</f>
        <v>0.57043852789134297</v>
      </c>
      <c r="AI115" s="20">
        <f>(X115- AVERAGE(X$41:X115))/_xlfn.STDEV.S(X80:X115)</f>
        <v>-4.0339170992682256E-2</v>
      </c>
      <c r="AJ115" s="20">
        <f>(Y115- AVERAGE(Y$41:Y115))/_xlfn.STDEV.S(Y80:Y115)</f>
        <v>-1.5271058567089182</v>
      </c>
      <c r="AK115" s="20">
        <f>(Z115- AVERAGE(Z$41:Z115))/_xlfn.STDEV.S(Z80:Z115)</f>
        <v>-0.2449665069856895</v>
      </c>
      <c r="AL115" s="20">
        <f>(AA115- AVERAGE(AA$41:AA115))/_xlfn.STDEV.S(AA80:AA115)</f>
        <v>0.21791592563643888</v>
      </c>
      <c r="AM115" s="20">
        <f>(AB115- AVERAGE(AB$41:AB115))/_xlfn.STDEV.S(AB80:AB115)</f>
        <v>-2.8425570707086347</v>
      </c>
      <c r="AN115" s="20">
        <f>(AC115- AVERAGE(AC$41:AC115))/_xlfn.STDEV.S(AC80:AC115)</f>
        <v>1.1755852421599804</v>
      </c>
      <c r="AO115" s="24">
        <f>(AD115- AVERAGE(AD$41:AD115))/_xlfn.STDEV.S(AD80:AD115)</f>
        <v>-0.422300499605407</v>
      </c>
      <c r="AP115" s="20"/>
      <c r="AQ115" s="20">
        <f t="shared" si="27"/>
        <v>-0.9466016040393328</v>
      </c>
      <c r="AR115" s="20">
        <f t="shared" si="28"/>
        <v>0.57043852789134297</v>
      </c>
      <c r="AS115" s="20">
        <f t="shared" si="29"/>
        <v>-4.0339170992682256E-2</v>
      </c>
      <c r="AT115" s="20">
        <f t="shared" si="30"/>
        <v>-1.5271058567089182</v>
      </c>
      <c r="AU115" s="20">
        <f t="shared" si="15"/>
        <v>-0.2449665069856895</v>
      </c>
      <c r="AV115" s="20">
        <f t="shared" si="31"/>
        <v>0.21791592563643888</v>
      </c>
      <c r="AW115" s="20">
        <f t="shared" si="17"/>
        <v>-2.8425570707086347</v>
      </c>
      <c r="AX115" s="20">
        <f t="shared" si="32"/>
        <v>1.1755852421599804</v>
      </c>
      <c r="AY115" s="20">
        <f t="shared" si="33"/>
        <v>-0.422300499605407</v>
      </c>
      <c r="AZ115" s="22">
        <f t="shared" si="20"/>
        <v>-0.45110344592810026</v>
      </c>
      <c r="BA115" s="1">
        <f>+_xlfn.XLOOKUP(A115,[1]Indice!B:B,[1]Indice!AI:AI,"NOOOOOO",-1)</f>
        <v>0.47169553167062384</v>
      </c>
    </row>
    <row r="116" spans="1:53" x14ac:dyDescent="0.25">
      <c r="A116" s="2">
        <v>41425</v>
      </c>
      <c r="B116" s="15">
        <v>8393</v>
      </c>
      <c r="C116" s="19">
        <v>18.528456432707241</v>
      </c>
      <c r="D116" s="15">
        <v>7028</v>
      </c>
      <c r="E116" s="19">
        <v>576.42999999999995</v>
      </c>
      <c r="F116" s="18">
        <v>0.26312822025224225</v>
      </c>
      <c r="G116" s="1">
        <v>6.7</v>
      </c>
      <c r="H116" s="1">
        <v>4.5</v>
      </c>
      <c r="I116" s="16">
        <v>21.746845476888776</v>
      </c>
      <c r="J116" s="1">
        <v>541.30700000000002</v>
      </c>
      <c r="K116" s="1">
        <v>-2.927906117632717</v>
      </c>
      <c r="L116" s="1">
        <v>99.201999999999998</v>
      </c>
      <c r="M116" s="1">
        <v>-1.0434123374032489</v>
      </c>
      <c r="N116" s="1">
        <v>-69.125530896069293</v>
      </c>
      <c r="O116" s="1">
        <v>362550</v>
      </c>
      <c r="P116" s="1">
        <v>0.55080374080607175</v>
      </c>
      <c r="Q116" s="1">
        <v>-12.497277676951002</v>
      </c>
      <c r="R116" s="1">
        <v>0.7</v>
      </c>
      <c r="S116" s="1">
        <v>2.4049999999999989</v>
      </c>
      <c r="V116" s="20">
        <f t="shared" si="21"/>
        <v>4.4496203465432114</v>
      </c>
      <c r="W116" s="20">
        <f t="shared" si="22"/>
        <v>2.6616666666666675</v>
      </c>
      <c r="X116" s="20">
        <f t="shared" si="22"/>
        <v>1.1950000000000012</v>
      </c>
      <c r="Y116" s="20">
        <v>-10.419922254537379</v>
      </c>
      <c r="Z116" s="20">
        <f t="shared" si="23"/>
        <v>-3.649071957347457</v>
      </c>
      <c r="AA116" s="19">
        <f>+AVERAGE(M114:M116)*AVERAGE($F$15:F116)</f>
        <v>-1.0729378077055758</v>
      </c>
      <c r="AB116" s="19">
        <f t="shared" si="24"/>
        <v>-67.295942786648098</v>
      </c>
      <c r="AC116" s="19">
        <f t="shared" si="25"/>
        <v>4.047620752084268</v>
      </c>
      <c r="AD116" s="21">
        <f t="shared" si="26"/>
        <v>-8.6007999627023626</v>
      </c>
      <c r="AE116" s="19"/>
      <c r="AG116" s="20">
        <f>(V116- AVERAGE(V$41:V116))/_xlfn.STDEV.S(V81:V116)</f>
        <v>-5.4279962309184797E-2</v>
      </c>
      <c r="AH116" s="20">
        <f>(W116- AVERAGE(W$41:W116))/_xlfn.STDEV.S(W81:W116)</f>
        <v>1.077003440023234</v>
      </c>
      <c r="AI116" s="20">
        <f>(X116- AVERAGE(X$41:X116))/_xlfn.STDEV.S(X81:X116)</f>
        <v>0.60166349176667866</v>
      </c>
      <c r="AJ116" s="20">
        <f>(Y116- AVERAGE(Y$41:Y116))/_xlfn.STDEV.S(Y81:Y116)</f>
        <v>-1.6527408855761523</v>
      </c>
      <c r="AK116" s="20">
        <f>(Z116- AVERAGE(Z$41:Z116))/_xlfn.STDEV.S(Z81:Z116)</f>
        <v>-0.16607208132388337</v>
      </c>
      <c r="AL116" s="20">
        <f>(AA116- AVERAGE(AA$41:AA116))/_xlfn.STDEV.S(AA81:AA116)</f>
        <v>0.72093833832097098</v>
      </c>
      <c r="AM116" s="20">
        <f>(AB116- AVERAGE(AB$41:AB116))/_xlfn.STDEV.S(AB81:AB116)</f>
        <v>-2.8233659330182777</v>
      </c>
      <c r="AN116" s="20">
        <f>(AC116- AVERAGE(AC$41:AC116))/_xlfn.STDEV.S(AC81:AC116)</f>
        <v>0.52634335407461819</v>
      </c>
      <c r="AO116" s="24">
        <f>(AD116- AVERAGE(AD$41:AD116))/_xlfn.STDEV.S(AD81:AD116)</f>
        <v>-0.57551044523528949</v>
      </c>
      <c r="AP116" s="20"/>
      <c r="AQ116" s="20">
        <f t="shared" si="27"/>
        <v>-5.4279962309184797E-2</v>
      </c>
      <c r="AR116" s="20">
        <f t="shared" si="28"/>
        <v>1.077003440023234</v>
      </c>
      <c r="AS116" s="20">
        <f t="shared" si="29"/>
        <v>0.60166349176667866</v>
      </c>
      <c r="AT116" s="20">
        <f t="shared" si="30"/>
        <v>-1.6527408855761523</v>
      </c>
      <c r="AU116" s="20">
        <f t="shared" si="15"/>
        <v>-0.16607208132388337</v>
      </c>
      <c r="AV116" s="20">
        <f t="shared" si="31"/>
        <v>0.72093833832097098</v>
      </c>
      <c r="AW116" s="20">
        <f t="shared" si="17"/>
        <v>-2.8233659330182777</v>
      </c>
      <c r="AX116" s="20">
        <f t="shared" si="32"/>
        <v>0.52634335407461819</v>
      </c>
      <c r="AY116" s="20">
        <f t="shared" si="33"/>
        <v>-0.57551044523528949</v>
      </c>
      <c r="AZ116" s="22">
        <f t="shared" si="20"/>
        <v>-0.26066896480858731</v>
      </c>
      <c r="BA116" s="1">
        <f>+_xlfn.XLOOKUP(A116,[1]Indice!B:B,[1]Indice!AI:AI,"NOOOOOO",-1)</f>
        <v>0.51805189738355994</v>
      </c>
    </row>
    <row r="117" spans="1:53" x14ac:dyDescent="0.25">
      <c r="A117" s="2">
        <v>41455</v>
      </c>
      <c r="B117" s="15">
        <v>7483</v>
      </c>
      <c r="C117" s="19">
        <v>9.6892406918792204</v>
      </c>
      <c r="D117" s="15">
        <v>6643</v>
      </c>
      <c r="E117" s="19">
        <v>646.69000000000005</v>
      </c>
      <c r="F117" s="18">
        <v>0.23650435293571881</v>
      </c>
      <c r="G117" s="1">
        <v>4.9000000000000004</v>
      </c>
      <c r="H117" s="1">
        <v>3.5</v>
      </c>
      <c r="I117" s="16">
        <v>23.069248720943452</v>
      </c>
      <c r="J117" s="1">
        <v>539.01</v>
      </c>
      <c r="K117" s="1">
        <v>1.2974858392876598</v>
      </c>
      <c r="L117" s="1">
        <v>97.923000000000002</v>
      </c>
      <c r="M117" s="1">
        <v>-3.1175178582029006</v>
      </c>
      <c r="N117" s="1">
        <v>-51.613646409300486</v>
      </c>
      <c r="O117" s="1">
        <v>355163</v>
      </c>
      <c r="P117" s="1">
        <v>-0.53351182407832543</v>
      </c>
      <c r="Q117" s="1">
        <v>-26.881397877685707</v>
      </c>
      <c r="R117" s="1">
        <v>6.2</v>
      </c>
      <c r="S117" s="1">
        <v>2.4166666666666652</v>
      </c>
      <c r="V117" s="20">
        <f t="shared" si="21"/>
        <v>7.8827543406104779</v>
      </c>
      <c r="W117" s="20">
        <f t="shared" si="22"/>
        <v>3.8500000000000014</v>
      </c>
      <c r="X117" s="20">
        <f t="shared" si="22"/>
        <v>1.6833333333333353</v>
      </c>
      <c r="Y117" s="20">
        <v>-10.147106481694404</v>
      </c>
      <c r="Z117" s="20">
        <f t="shared" si="23"/>
        <v>-1.8220489068619357</v>
      </c>
      <c r="AA117" s="19">
        <f>+AVERAGE(M115:M117)*AVERAGE($F$15:F117)</f>
        <v>-0.77833717755744525</v>
      </c>
      <c r="AB117" s="19">
        <f t="shared" si="24"/>
        <v>-63.62935879826324</v>
      </c>
      <c r="AC117" s="19">
        <f t="shared" si="25"/>
        <v>1.5633465340216739</v>
      </c>
      <c r="AD117" s="21">
        <f t="shared" si="26"/>
        <v>-16.126445789335111</v>
      </c>
      <c r="AE117" s="19"/>
      <c r="AG117" s="20">
        <f>(V117- AVERAGE(V$41:V117))/_xlfn.STDEV.S(V82:V117)</f>
        <v>0.19278207960844676</v>
      </c>
      <c r="AH117" s="20">
        <f>(W117- AVERAGE(W$41:W117))/_xlfn.STDEV.S(W82:W117)</f>
        <v>1.4418656080765893</v>
      </c>
      <c r="AI117" s="20">
        <f>(X117- AVERAGE(X$41:X117))/_xlfn.STDEV.S(X82:X117)</f>
        <v>0.79385450087433651</v>
      </c>
      <c r="AJ117" s="20">
        <f>(Y117- AVERAGE(Y$41:Y117))/_xlfn.STDEV.S(Y82:Y117)</f>
        <v>-1.55688069939024</v>
      </c>
      <c r="AK117" s="20">
        <f>(Z117- AVERAGE(Z$41:Z117))/_xlfn.STDEV.S(Z82:Z117)</f>
        <v>0.18743874754751991</v>
      </c>
      <c r="AL117" s="20">
        <f>(AA117- AVERAGE(AA$41:AA117))/_xlfn.STDEV.S(AA82:AA117)</f>
        <v>0.85925023991637706</v>
      </c>
      <c r="AM117" s="20">
        <f>(AB117- AVERAGE(AB$41:AB117))/_xlfn.STDEV.S(AB82:AB117)</f>
        <v>-2.4804672001498465</v>
      </c>
      <c r="AN117" s="20">
        <f>(AC117- AVERAGE(AC$41:AC117))/_xlfn.STDEV.S(AC82:AC117)</f>
        <v>-3.2303801882400271E-2</v>
      </c>
      <c r="AO117" s="24">
        <f>(AD117- AVERAGE(AD$41:AD117))/_xlfn.STDEV.S(AD82:AD117)</f>
        <v>-0.65519757206501061</v>
      </c>
      <c r="AP117" s="20"/>
      <c r="AQ117" s="20">
        <f t="shared" si="27"/>
        <v>0.19278207960844676</v>
      </c>
      <c r="AR117" s="20">
        <f t="shared" si="28"/>
        <v>1.4418656080765893</v>
      </c>
      <c r="AS117" s="20">
        <f t="shared" si="29"/>
        <v>0.79385450087433651</v>
      </c>
      <c r="AT117" s="20">
        <f t="shared" si="30"/>
        <v>-1.55688069939024</v>
      </c>
      <c r="AU117" s="20">
        <f t="shared" si="15"/>
        <v>0.18743874754751991</v>
      </c>
      <c r="AV117" s="20">
        <f t="shared" si="31"/>
        <v>0.85925023991637706</v>
      </c>
      <c r="AW117" s="20">
        <f t="shared" si="17"/>
        <v>-2.4804672001498465</v>
      </c>
      <c r="AX117" s="20">
        <f t="shared" si="32"/>
        <v>-3.2303801882400271E-2</v>
      </c>
      <c r="AY117" s="20">
        <f t="shared" si="33"/>
        <v>-0.65519757206501061</v>
      </c>
      <c r="AZ117" s="22">
        <f t="shared" si="20"/>
        <v>-0.13885089971824754</v>
      </c>
      <c r="BA117" s="1">
        <f>+_xlfn.XLOOKUP(A117,[1]Indice!B:B,[1]Indice!AI:AI,"NOOOOOO",-1)</f>
        <v>0.56750589166273624</v>
      </c>
    </row>
    <row r="118" spans="1:53" x14ac:dyDescent="0.25">
      <c r="A118" s="2">
        <v>41486</v>
      </c>
      <c r="B118" s="15">
        <v>6931</v>
      </c>
      <c r="C118" s="19">
        <v>-9.4578706727629029</v>
      </c>
      <c r="D118" s="15">
        <v>6988</v>
      </c>
      <c r="E118" s="19">
        <v>646.69000000000005</v>
      </c>
      <c r="F118" s="18">
        <v>0.23637909972320587</v>
      </c>
      <c r="G118" s="1">
        <v>2.6</v>
      </c>
      <c r="H118" s="1">
        <v>1.7</v>
      </c>
      <c r="I118" s="16">
        <v>23.800166340204363</v>
      </c>
      <c r="J118" s="1">
        <v>544.78099999999995</v>
      </c>
      <c r="K118" s="1">
        <v>-1.0273673960278895</v>
      </c>
      <c r="L118" s="1">
        <v>97.144000000000005</v>
      </c>
      <c r="M118" s="1">
        <v>-2.9317132636543453</v>
      </c>
      <c r="N118" s="1">
        <v>-50.294279080997086</v>
      </c>
      <c r="O118" s="1">
        <v>336130</v>
      </c>
      <c r="P118" s="1">
        <v>-3.2994916556146614</v>
      </c>
      <c r="Q118" s="1">
        <v>-26.637732266377323</v>
      </c>
      <c r="R118" s="1">
        <v>6.2</v>
      </c>
      <c r="S118" s="1">
        <v>2.4283333333333323</v>
      </c>
      <c r="V118" s="20">
        <f t="shared" si="21"/>
        <v>3.8249421506078529</v>
      </c>
      <c r="W118" s="20">
        <f t="shared" si="22"/>
        <v>2.305000000000001</v>
      </c>
      <c r="X118" s="20">
        <f t="shared" si="22"/>
        <v>0.8050000000000006</v>
      </c>
      <c r="Y118" s="20">
        <v>-9.4947846330594743</v>
      </c>
      <c r="Z118" s="20">
        <f t="shared" si="23"/>
        <v>-0.88592922479098224</v>
      </c>
      <c r="AA118" s="19">
        <f>+AVERAGE(M116:M118)*AVERAGE($F$15:F118)</f>
        <v>-0.71812266124811952</v>
      </c>
      <c r="AB118" s="19">
        <f t="shared" si="24"/>
        <v>-57.011152128788957</v>
      </c>
      <c r="AC118" s="19">
        <f t="shared" si="25"/>
        <v>-1.0940665796289717</v>
      </c>
      <c r="AD118" s="21">
        <f t="shared" si="26"/>
        <v>-22.005469273671341</v>
      </c>
      <c r="AE118" s="19"/>
      <c r="AG118" s="20">
        <f>(V118- AVERAGE(V$41:V118))/_xlfn.STDEV.S(V83:V118)</f>
        <v>-0.10229538413031421</v>
      </c>
      <c r="AH118" s="20">
        <f>(W118- AVERAGE(W$41:W118))/_xlfn.STDEV.S(W83:W118)</f>
        <v>1.1509322797426709</v>
      </c>
      <c r="AI118" s="20">
        <f>(X118- AVERAGE(X$41:X118))/_xlfn.STDEV.S(X83:X118)</f>
        <v>0.53691106555785617</v>
      </c>
      <c r="AJ118" s="20">
        <f>(Y118- AVERAGE(Y$41:Y118))/_xlfn.STDEV.S(Y83:Y118)</f>
        <v>-1.3753221753152409</v>
      </c>
      <c r="AK118" s="20">
        <f>(Z118- AVERAGE(Z$41:Z118))/_xlfn.STDEV.S(Z83:Z118)</f>
        <v>0.36469072083199305</v>
      </c>
      <c r="AL118" s="20">
        <f>(AA118- AVERAGE(AA$41:AA118))/_xlfn.STDEV.S(AA83:AA118)</f>
        <v>0.86543502195662714</v>
      </c>
      <c r="AM118" s="20">
        <f>(AB118- AVERAGE(AB$41:AB118))/_xlfn.STDEV.S(AB83:AB118)</f>
        <v>-2.0901398184722004</v>
      </c>
      <c r="AN118" s="20">
        <f>(AC118- AVERAGE(AC$41:AC118))/_xlfn.STDEV.S(AC83:AC118)</f>
        <v>-0.6214583904699098</v>
      </c>
      <c r="AO118" s="24">
        <f>(AD118- AVERAGE(AD$41:AD118))/_xlfn.STDEV.S(AD83:AD118)</f>
        <v>-0.71440025357439807</v>
      </c>
      <c r="AP118" s="20"/>
      <c r="AQ118" s="20">
        <f t="shared" si="27"/>
        <v>-0.10229538413031421</v>
      </c>
      <c r="AR118" s="20">
        <f t="shared" si="28"/>
        <v>1.1509322797426709</v>
      </c>
      <c r="AS118" s="20">
        <f t="shared" si="29"/>
        <v>0.53691106555785617</v>
      </c>
      <c r="AT118" s="20">
        <f t="shared" si="30"/>
        <v>-1.3753221753152409</v>
      </c>
      <c r="AU118" s="20">
        <f t="shared" si="15"/>
        <v>0.36469072083199305</v>
      </c>
      <c r="AV118" s="20">
        <f t="shared" si="31"/>
        <v>0.86543502195662714</v>
      </c>
      <c r="AW118" s="20">
        <f t="shared" si="17"/>
        <v>-2.0901398184722004</v>
      </c>
      <c r="AX118" s="20">
        <f t="shared" si="32"/>
        <v>-0.6214583904699098</v>
      </c>
      <c r="AY118" s="20">
        <f t="shared" si="33"/>
        <v>-0.71440025357439807</v>
      </c>
      <c r="AZ118" s="22">
        <f t="shared" si="20"/>
        <v>-0.22062743709699068</v>
      </c>
      <c r="BA118" s="1">
        <f>+_xlfn.XLOOKUP(A118,[1]Indice!B:B,[1]Indice!AI:AI,"NOOOOOO",-1)</f>
        <v>0.57485654970947286</v>
      </c>
    </row>
    <row r="119" spans="1:53" x14ac:dyDescent="0.25">
      <c r="A119" s="2">
        <v>41517</v>
      </c>
      <c r="B119" s="15">
        <v>7200</v>
      </c>
      <c r="C119" s="19">
        <v>-3.3686753455911989</v>
      </c>
      <c r="D119" s="15">
        <v>7074</v>
      </c>
      <c r="E119" s="19">
        <v>646.69000000000005</v>
      </c>
      <c r="F119" s="18">
        <v>0.23722494549165751</v>
      </c>
      <c r="G119" s="1">
        <v>1.9</v>
      </c>
      <c r="H119" s="1">
        <v>3.3</v>
      </c>
      <c r="I119" s="16">
        <v>23.942260978044228</v>
      </c>
      <c r="J119" s="1">
        <v>542.36300000000006</v>
      </c>
      <c r="K119" s="1">
        <v>-2.9079478058814057</v>
      </c>
      <c r="L119" s="1">
        <v>96.483000000000004</v>
      </c>
      <c r="M119" s="1">
        <v>-4.0991183516057461</v>
      </c>
      <c r="N119" s="1">
        <v>-52.92644658630288</v>
      </c>
      <c r="O119" s="1">
        <v>331609</v>
      </c>
      <c r="P119" s="1">
        <v>0.16431818525062258</v>
      </c>
      <c r="Q119" s="1">
        <v>-45.080054967882141</v>
      </c>
      <c r="R119" s="1">
        <v>6.2</v>
      </c>
      <c r="S119" s="1">
        <v>2.44</v>
      </c>
      <c r="V119" s="20">
        <f t="shared" si="21"/>
        <v>-3.4857684421582937</v>
      </c>
      <c r="W119" s="20">
        <f t="shared" si="22"/>
        <v>0.69333333333333336</v>
      </c>
      <c r="X119" s="20">
        <f t="shared" si="22"/>
        <v>0.39333333333333353</v>
      </c>
      <c r="Y119" s="20">
        <v>-8.77534291425766</v>
      </c>
      <c r="Z119" s="20">
        <f t="shared" si="23"/>
        <v>-0.87927645420721179</v>
      </c>
      <c r="AA119" s="19">
        <f>+AVERAGE(M117:M119)*AVERAGE($F$15:F119)</f>
        <v>-1.0253665342560923</v>
      </c>
      <c r="AB119" s="19">
        <f t="shared" si="24"/>
        <v>-51.611457358866822</v>
      </c>
      <c r="AC119" s="19">
        <f t="shared" si="25"/>
        <v>-1.2228950981474547</v>
      </c>
      <c r="AD119" s="21">
        <f t="shared" si="26"/>
        <v>-32.866395037315051</v>
      </c>
      <c r="AE119" s="19"/>
      <c r="AG119" s="20">
        <f>(V119- AVERAGE(V$41:V119))/_xlfn.STDEV.S(V84:V119)</f>
        <v>-0.64293785520444491</v>
      </c>
      <c r="AH119" s="20">
        <f>(W119- AVERAGE(W$41:W119))/_xlfn.STDEV.S(W84:W119)</f>
        <v>0.76176892870001134</v>
      </c>
      <c r="AI119" s="20">
        <f>(X119- AVERAGE(X$41:X119))/_xlfn.STDEV.S(X84:X119)</f>
        <v>0.41344009627696354</v>
      </c>
      <c r="AJ119" s="20">
        <f>(Y119- AVERAGE(Y$41:Y119))/_xlfn.STDEV.S(Y84:Y119)</f>
        <v>-1.1795288537569268</v>
      </c>
      <c r="AK119" s="20">
        <f>(Z119- AVERAGE(Z$41:Z119))/_xlfn.STDEV.S(Z84:Z119)</f>
        <v>0.37269781083477971</v>
      </c>
      <c r="AL119" s="20">
        <f>(AA119- AVERAGE(AA$41:AA119))/_xlfn.STDEV.S(AA84:AA119)</f>
        <v>0.6758536264106455</v>
      </c>
      <c r="AM119" s="20">
        <f>(AB119- AVERAGE(AB$41:AB119))/_xlfn.STDEV.S(AB84:AB119)</f>
        <v>-1.8036405324609459</v>
      </c>
      <c r="AN119" s="20">
        <f>(AC119- AVERAGE(AC$41:AC119))/_xlfn.STDEV.S(AC84:AC119)</f>
        <v>-0.63727441190174894</v>
      </c>
      <c r="AO119" s="24">
        <f>(AD119- AVERAGE(AD$41:AD119))/_xlfn.STDEV.S(AD84:AD119)</f>
        <v>-0.82784106585710349</v>
      </c>
      <c r="AP119" s="20"/>
      <c r="AQ119" s="20">
        <f t="shared" si="27"/>
        <v>-0.64293785520444491</v>
      </c>
      <c r="AR119" s="20">
        <f t="shared" si="28"/>
        <v>0.76176892870001134</v>
      </c>
      <c r="AS119" s="20">
        <f t="shared" si="29"/>
        <v>0.41344009627696354</v>
      </c>
      <c r="AT119" s="20">
        <f t="shared" si="30"/>
        <v>-1.1795288537569268</v>
      </c>
      <c r="AU119" s="20">
        <f t="shared" si="15"/>
        <v>0.37269781083477971</v>
      </c>
      <c r="AV119" s="20">
        <f t="shared" si="31"/>
        <v>0.6758536264106455</v>
      </c>
      <c r="AW119" s="20">
        <f t="shared" si="17"/>
        <v>-1.8036405324609459</v>
      </c>
      <c r="AX119" s="20">
        <f t="shared" si="32"/>
        <v>-0.63727441190174894</v>
      </c>
      <c r="AY119" s="20">
        <f t="shared" si="33"/>
        <v>-0.82784106585710349</v>
      </c>
      <c r="AZ119" s="22">
        <f t="shared" si="20"/>
        <v>-0.31860691743986336</v>
      </c>
      <c r="BA119" s="1">
        <f>+_xlfn.XLOOKUP(A119,[1]Indice!B:B,[1]Indice!AI:AI,"NOOOOOO",-1)</f>
        <v>0.56144344223695719</v>
      </c>
    </row>
    <row r="120" spans="1:53" x14ac:dyDescent="0.25">
      <c r="A120" s="2">
        <v>41547</v>
      </c>
      <c r="B120" s="15">
        <v>6545</v>
      </c>
      <c r="C120" s="19">
        <v>-3.7924445097750947</v>
      </c>
      <c r="D120" s="15">
        <v>6029</v>
      </c>
      <c r="E120" s="19">
        <v>616.04</v>
      </c>
      <c r="F120" s="18">
        <v>0.24889130575936627</v>
      </c>
      <c r="G120" s="1">
        <v>3.2</v>
      </c>
      <c r="H120" s="1">
        <v>4.0999999999999996</v>
      </c>
      <c r="I120" s="16">
        <v>24.37837687272032</v>
      </c>
      <c r="J120" s="1">
        <v>545.64499999999998</v>
      </c>
      <c r="K120" s="1">
        <v>-2.225547203282785</v>
      </c>
      <c r="L120" s="1">
        <v>100.07</v>
      </c>
      <c r="M120" s="1">
        <v>-1.5824309837823014</v>
      </c>
      <c r="N120" s="1">
        <v>-58.027168084887414</v>
      </c>
      <c r="O120" s="1">
        <v>334730</v>
      </c>
      <c r="P120" s="1">
        <v>-0.99088973024136218</v>
      </c>
      <c r="Q120" s="1">
        <v>-61.951955505591386</v>
      </c>
      <c r="R120" s="1">
        <v>2.6</v>
      </c>
      <c r="S120" s="1">
        <v>2.3833333333333333</v>
      </c>
      <c r="V120" s="20">
        <f t="shared" si="21"/>
        <v>-7.9229968427097326</v>
      </c>
      <c r="W120" s="20">
        <f t="shared" si="22"/>
        <v>0.18333333333333357</v>
      </c>
      <c r="X120" s="20">
        <f t="shared" si="22"/>
        <v>0.64999999999999991</v>
      </c>
      <c r="Y120" s="20">
        <v>-8.3528150011270377</v>
      </c>
      <c r="Z120" s="20">
        <f t="shared" si="23"/>
        <v>-2.0536208017306934</v>
      </c>
      <c r="AA120" s="19">
        <f>+AVERAGE(M118:M120)*AVERAGE($F$15:F120)</f>
        <v>-0.86879614753102696</v>
      </c>
      <c r="AB120" s="19">
        <f t="shared" si="24"/>
        <v>-53.749297917395801</v>
      </c>
      <c r="AC120" s="19">
        <f t="shared" si="25"/>
        <v>-1.3753544002018003</v>
      </c>
      <c r="AD120" s="21">
        <f t="shared" si="26"/>
        <v>-44.556580913283618</v>
      </c>
      <c r="AE120" s="19"/>
      <c r="AG120" s="20">
        <f>(V120- AVERAGE(V$41:V120))/_xlfn.STDEV.S(V85:V120)</f>
        <v>-1.0008396471921241</v>
      </c>
      <c r="AH120" s="20">
        <f>(W120- AVERAGE(W$41:W120))/_xlfn.STDEV.S(W85:W120)</f>
        <v>0.63029414678149243</v>
      </c>
      <c r="AI120" s="20">
        <f>(X120- AVERAGE(X$41:X120))/_xlfn.STDEV.S(X85:X120)</f>
        <v>0.54839798384935701</v>
      </c>
      <c r="AJ120" s="20">
        <f>(Y120- AVERAGE(Y$41:Y120))/_xlfn.STDEV.S(Y85:Y120)</f>
        <v>-1.0740845273409776</v>
      </c>
      <c r="AK120" s="20">
        <f>(Z120- AVERAGE(Z$41:Z120))/_xlfn.STDEV.S(Z85:Z120)</f>
        <v>0.1395602014337668</v>
      </c>
      <c r="AL120" s="20">
        <f>(AA120- AVERAGE(AA$41:AA120))/_xlfn.STDEV.S(AA85:AA120)</f>
        <v>0.7505940849944166</v>
      </c>
      <c r="AM120" s="20">
        <f>(AB120- AVERAGE(AB$41:AB120))/_xlfn.STDEV.S(AB85:AB120)</f>
        <v>-1.860292737285435</v>
      </c>
      <c r="AN120" s="20">
        <f>(AC120- AVERAGE(AC$41:AC120))/_xlfn.STDEV.S(AC85:AC120)</f>
        <v>-0.65896171371294499</v>
      </c>
      <c r="AO120" s="24">
        <f>(AD120- AVERAGE(AD$41:AD120))/_xlfn.STDEV.S(AD85:AD120)</f>
        <v>-0.93732105849973746</v>
      </c>
      <c r="AP120" s="20"/>
      <c r="AQ120" s="20">
        <f t="shared" si="27"/>
        <v>-1.0008396471921241</v>
      </c>
      <c r="AR120" s="20">
        <f t="shared" si="28"/>
        <v>0.63029414678149243</v>
      </c>
      <c r="AS120" s="20">
        <f t="shared" si="29"/>
        <v>0.54839798384935701</v>
      </c>
      <c r="AT120" s="20">
        <f t="shared" si="30"/>
        <v>-1.0740845273409776</v>
      </c>
      <c r="AU120" s="20">
        <f t="shared" si="15"/>
        <v>0.1395602014337668</v>
      </c>
      <c r="AV120" s="20">
        <f t="shared" si="31"/>
        <v>0.7505940849944166</v>
      </c>
      <c r="AW120" s="20">
        <f t="shared" si="17"/>
        <v>-1.860292737285435</v>
      </c>
      <c r="AX120" s="20">
        <f t="shared" si="32"/>
        <v>-0.65896171371294499</v>
      </c>
      <c r="AY120" s="20">
        <f t="shared" si="33"/>
        <v>-0.93732105849973746</v>
      </c>
      <c r="AZ120" s="22">
        <f t="shared" si="20"/>
        <v>-0.38473925188579844</v>
      </c>
      <c r="BA120" s="1">
        <f>+_xlfn.XLOOKUP(A120,[1]Indice!B:B,[1]Indice!AI:AI,"NOOOOOO",-1)</f>
        <v>0.57229005835841018</v>
      </c>
    </row>
    <row r="121" spans="1:53" x14ac:dyDescent="0.25">
      <c r="A121" s="2">
        <v>41578</v>
      </c>
      <c r="B121" s="15">
        <v>6027</v>
      </c>
      <c r="C121" s="19">
        <v>-12.512701408041805</v>
      </c>
      <c r="D121" s="15">
        <v>6831</v>
      </c>
      <c r="E121" s="19">
        <v>616.04</v>
      </c>
      <c r="F121" s="18">
        <v>0.24842380364911371</v>
      </c>
      <c r="G121" s="1">
        <v>1</v>
      </c>
      <c r="H121" s="1">
        <v>2.5</v>
      </c>
      <c r="I121" s="16">
        <v>26.846808418581602</v>
      </c>
      <c r="J121" s="1">
        <v>546.84199999999998</v>
      </c>
      <c r="K121" s="1">
        <v>-0.95559282617122543</v>
      </c>
      <c r="L121" s="1">
        <v>99.388999999999996</v>
      </c>
      <c r="M121" s="1">
        <v>-2.4210888027097477</v>
      </c>
      <c r="N121" s="1">
        <v>-57.069818739735553</v>
      </c>
      <c r="O121" s="1">
        <v>354806</v>
      </c>
      <c r="P121" s="1">
        <v>2.4553642330560121</v>
      </c>
      <c r="Q121" s="1">
        <v>-42.50189888048611</v>
      </c>
      <c r="R121" s="1">
        <v>2.6</v>
      </c>
      <c r="S121" s="1">
        <v>2.3266666666666671</v>
      </c>
      <c r="V121" s="20">
        <f t="shared" si="21"/>
        <v>-8.8846070878026993</v>
      </c>
      <c r="W121" s="20">
        <f t="shared" si="22"/>
        <v>-0.29333333333333389</v>
      </c>
      <c r="X121" s="20">
        <f t="shared" si="22"/>
        <v>0.97333333333333227</v>
      </c>
      <c r="Y121" s="20">
        <v>-7.288880715427954</v>
      </c>
      <c r="Z121" s="20">
        <f t="shared" si="23"/>
        <v>-2.0296959451118055</v>
      </c>
      <c r="AA121" s="19">
        <f>+AVERAGE(M119:M121)*AVERAGE($F$15:F121)</f>
        <v>-0.81592330762792609</v>
      </c>
      <c r="AB121" s="19">
        <f t="shared" si="24"/>
        <v>-56.007811136975285</v>
      </c>
      <c r="AC121" s="19">
        <f t="shared" si="25"/>
        <v>0.54293089602175748</v>
      </c>
      <c r="AD121" s="21">
        <f t="shared" si="26"/>
        <v>-49.844636451319879</v>
      </c>
      <c r="AE121" s="19"/>
      <c r="AG121" s="20">
        <f>(V121- AVERAGE(V$41:V121))/_xlfn.STDEV.S(V86:V121)</f>
        <v>-1.1165631570659758</v>
      </c>
      <c r="AH121" s="20">
        <f>(W121- AVERAGE(W$41:W121))/_xlfn.STDEV.S(W86:W121)</f>
        <v>0.49771987918109395</v>
      </c>
      <c r="AI121" s="20">
        <f>(X121- AVERAGE(X$41:X121))/_xlfn.STDEV.S(X86:X121)</f>
        <v>0.71870147502136073</v>
      </c>
      <c r="AJ121" s="20">
        <f>(Y121- AVERAGE(Y$41:Y121))/_xlfn.STDEV.S(Y86:Y121)</f>
        <v>-0.75418363265693578</v>
      </c>
      <c r="AK121" s="20">
        <f>(Z121- AVERAGE(Z$41:Z121))/_xlfn.STDEV.S(Z86:Z121)</f>
        <v>0.14582061557183093</v>
      </c>
      <c r="AL121" s="20">
        <f>(AA121- AVERAGE(AA$41:AA121))/_xlfn.STDEV.S(AA86:AA121)</f>
        <v>0.76706538116405998</v>
      </c>
      <c r="AM121" s="20">
        <f>(AB121- AVERAGE(AB$41:AB121))/_xlfn.STDEV.S(AB86:AB121)</f>
        <v>-1.9239807103517355</v>
      </c>
      <c r="AN121" s="20">
        <f>(AC121- AVERAGE(AC$41:AC121))/_xlfn.STDEV.S(AC86:AC121)</f>
        <v>-0.233715633303787</v>
      </c>
      <c r="AO121" s="24">
        <f>(AD121- AVERAGE(AD$41:AD121))/_xlfn.STDEV.S(AD86:AD121)</f>
        <v>-0.96349917356727155</v>
      </c>
      <c r="AP121" s="20"/>
      <c r="AQ121" s="20">
        <f t="shared" si="27"/>
        <v>-1.1165631570659758</v>
      </c>
      <c r="AR121" s="20">
        <f t="shared" si="28"/>
        <v>0.49771987918109395</v>
      </c>
      <c r="AS121" s="20">
        <f t="shared" si="29"/>
        <v>0.71870147502136073</v>
      </c>
      <c r="AT121" s="20">
        <f t="shared" si="30"/>
        <v>-0.75418363265693578</v>
      </c>
      <c r="AU121" s="20">
        <f t="shared" si="15"/>
        <v>0.14582061557183093</v>
      </c>
      <c r="AV121" s="20">
        <f t="shared" si="31"/>
        <v>0.76706538116405998</v>
      </c>
      <c r="AW121" s="20">
        <f t="shared" si="17"/>
        <v>-1.9239807103517355</v>
      </c>
      <c r="AX121" s="20">
        <f t="shared" si="32"/>
        <v>-0.233715633303787</v>
      </c>
      <c r="AY121" s="20">
        <f t="shared" si="33"/>
        <v>-0.96349917356727155</v>
      </c>
      <c r="AZ121" s="22">
        <f t="shared" si="20"/>
        <v>-0.31807055066748446</v>
      </c>
      <c r="BA121" s="1">
        <f>+_xlfn.XLOOKUP(A121,[1]Indice!B:B,[1]Indice!AI:AI,"NOOOOOO",-1)</f>
        <v>0.55343795376244365</v>
      </c>
    </row>
    <row r="122" spans="1:53" x14ac:dyDescent="0.25">
      <c r="A122" s="2">
        <v>41608</v>
      </c>
      <c r="B122" s="15">
        <v>5090</v>
      </c>
      <c r="C122" s="19">
        <v>-23.447134907504886</v>
      </c>
      <c r="D122" s="15">
        <v>6092</v>
      </c>
      <c r="E122" s="19">
        <v>616.04</v>
      </c>
      <c r="F122" s="18">
        <v>0.24640120771378482</v>
      </c>
      <c r="G122" s="1">
        <v>-0.5</v>
      </c>
      <c r="H122" s="1">
        <v>2.5</v>
      </c>
      <c r="I122" s="16">
        <v>28.141551409577382</v>
      </c>
      <c r="J122" s="1">
        <v>543.30999999999995</v>
      </c>
      <c r="K122" s="1">
        <v>2.0231496086649647</v>
      </c>
      <c r="L122" s="1">
        <v>98.974999999999994</v>
      </c>
      <c r="M122" s="1">
        <v>-0.99826953277385444</v>
      </c>
      <c r="N122" s="1">
        <v>-50.614522793256775</v>
      </c>
      <c r="O122" s="1">
        <v>356378</v>
      </c>
      <c r="P122" s="1">
        <v>3.36718208423612</v>
      </c>
      <c r="Q122" s="1">
        <v>-20.132947216006325</v>
      </c>
      <c r="R122" s="1">
        <v>2.6</v>
      </c>
      <c r="S122" s="1">
        <v>2.2700000000000005</v>
      </c>
      <c r="V122" s="20">
        <f t="shared" si="21"/>
        <v>-15.520760275107264</v>
      </c>
      <c r="W122" s="20">
        <f t="shared" si="22"/>
        <v>-1.0366666666666671</v>
      </c>
      <c r="X122" s="20">
        <f t="shared" si="22"/>
        <v>0.76333333333333275</v>
      </c>
      <c r="Y122" s="20">
        <v>-5.9024967458835782</v>
      </c>
      <c r="Z122" s="20">
        <f t="shared" si="23"/>
        <v>-0.38599680692968191</v>
      </c>
      <c r="AA122" s="19">
        <f>+AVERAGE(M120:M122)*AVERAGE($F$15:F122)</f>
        <v>-0.50281277271221214</v>
      </c>
      <c r="AB122" s="19">
        <f t="shared" si="24"/>
        <v>-55.237169872626588</v>
      </c>
      <c r="AC122" s="19">
        <f t="shared" si="25"/>
        <v>1.6105521956835898</v>
      </c>
      <c r="AD122" s="21">
        <f t="shared" si="26"/>
        <v>-41.528933867361275</v>
      </c>
      <c r="AE122" s="19"/>
      <c r="AG122" s="20">
        <f>(V122- AVERAGE(V$41:V122))/_xlfn.STDEV.S(V87:V122)</f>
        <v>-1.6425937695742925</v>
      </c>
      <c r="AH122" s="20">
        <f>(W122- AVERAGE(W$41:W122))/_xlfn.STDEV.S(W87:W122)</f>
        <v>0.28269340683480909</v>
      </c>
      <c r="AI122" s="20">
        <f>(X122- AVERAGE(X$41:X122))/_xlfn.STDEV.S(X87:X122)</f>
        <v>0.64247178576413855</v>
      </c>
      <c r="AJ122" s="20">
        <f>(Y122- AVERAGE(Y$41:Y122))/_xlfn.STDEV.S(Y87:Y122)</f>
        <v>-0.29157834069614119</v>
      </c>
      <c r="AK122" s="20">
        <f>(Z122- AVERAGE(Z$41:Z122))/_xlfn.STDEV.S(Z87:Z122)</f>
        <v>0.48325105406921509</v>
      </c>
      <c r="AL122" s="20">
        <f>(AA122- AVERAGE(AA$41:AA122))/_xlfn.STDEV.S(AA87:AA122)</f>
        <v>0.92882047203016782</v>
      </c>
      <c r="AM122" s="20">
        <f>(AB122- AVERAGE(AB$41:AB122))/_xlfn.STDEV.S(AB87:AB122)</f>
        <v>-1.86616582520852</v>
      </c>
      <c r="AN122" s="20">
        <f>(AC122- AVERAGE(AC$41:AC122))/_xlfn.STDEV.S(AC87:AC122)</f>
        <v>6.2643084937864463E-3</v>
      </c>
      <c r="AO122" s="24">
        <f>(AD122- AVERAGE(AD$41:AD122))/_xlfn.STDEV.S(AD87:AD122)</f>
        <v>-0.83738259935622039</v>
      </c>
      <c r="AP122" s="20"/>
      <c r="AQ122" s="20">
        <f t="shared" si="27"/>
        <v>-1.6425937695742925</v>
      </c>
      <c r="AR122" s="20">
        <f t="shared" si="28"/>
        <v>0.28269340683480909</v>
      </c>
      <c r="AS122" s="20">
        <f t="shared" si="29"/>
        <v>0.64247178576413855</v>
      </c>
      <c r="AT122" s="20">
        <f t="shared" si="30"/>
        <v>-0.29157834069614119</v>
      </c>
      <c r="AU122" s="20">
        <f t="shared" si="15"/>
        <v>0.48325105406921509</v>
      </c>
      <c r="AV122" s="20">
        <f t="shared" si="31"/>
        <v>0.92882047203016782</v>
      </c>
      <c r="AW122" s="20">
        <f t="shared" si="17"/>
        <v>-1.86616582520852</v>
      </c>
      <c r="AX122" s="20">
        <f t="shared" si="32"/>
        <v>6.2643084937864463E-3</v>
      </c>
      <c r="AY122" s="20">
        <f t="shared" si="33"/>
        <v>-0.83738259935622039</v>
      </c>
      <c r="AZ122" s="22">
        <f t="shared" si="20"/>
        <v>-0.25491327862700636</v>
      </c>
      <c r="BA122" s="1">
        <f>+_xlfn.XLOOKUP(A122,[1]Indice!B:B,[1]Indice!AI:AI,"NOOOOOO",-1)</f>
        <v>0.6421841143314857</v>
      </c>
    </row>
    <row r="123" spans="1:53" x14ac:dyDescent="0.25">
      <c r="A123" s="2">
        <v>41639</v>
      </c>
      <c r="B123" s="15">
        <v>4951</v>
      </c>
      <c r="C123" s="19">
        <v>-21.574528750198006</v>
      </c>
      <c r="D123" s="15">
        <v>5412</v>
      </c>
      <c r="E123" s="19">
        <v>607.94000000000005</v>
      </c>
      <c r="F123" s="18">
        <v>0.24740270421423166</v>
      </c>
      <c r="G123" s="1">
        <v>-0.7</v>
      </c>
      <c r="H123" s="1">
        <v>1.3</v>
      </c>
      <c r="I123" s="16">
        <v>30.990825033365674</v>
      </c>
      <c r="J123" s="1">
        <v>540.548</v>
      </c>
      <c r="K123" s="1">
        <v>-0.96461608646184471</v>
      </c>
      <c r="L123" s="1">
        <v>102.69</v>
      </c>
      <c r="M123" s="1">
        <v>0.46568963155733112</v>
      </c>
      <c r="N123" s="1">
        <v>-35.226646865624645</v>
      </c>
      <c r="O123" s="1">
        <v>330695</v>
      </c>
      <c r="P123" s="1">
        <v>-0.46472569445489276</v>
      </c>
      <c r="Q123" s="1">
        <v>-19.514900010732294</v>
      </c>
      <c r="R123" s="1">
        <v>-0.1</v>
      </c>
      <c r="S123" s="1">
        <v>2.3016666666666672</v>
      </c>
      <c r="V123" s="20">
        <f t="shared" si="21"/>
        <v>-21.479788355248232</v>
      </c>
      <c r="W123" s="20">
        <f t="shared" si="22"/>
        <v>-2.3683333333333341</v>
      </c>
      <c r="X123" s="20">
        <f t="shared" si="22"/>
        <v>-0.2016666666666671</v>
      </c>
      <c r="Y123" s="20">
        <v>-3.8959343435517866</v>
      </c>
      <c r="Z123" s="20">
        <f t="shared" si="23"/>
        <v>3.4313565343964868E-2</v>
      </c>
      <c r="AA123" s="19">
        <f>+AVERAGE(M121:M123)*AVERAGE($F$15:F123)</f>
        <v>-0.29643285151727111</v>
      </c>
      <c r="AB123" s="19">
        <f t="shared" si="24"/>
        <v>-47.636996132872326</v>
      </c>
      <c r="AC123" s="19">
        <f t="shared" si="25"/>
        <v>1.7859402076124133</v>
      </c>
      <c r="AD123" s="21">
        <f t="shared" si="26"/>
        <v>-27.383248702408242</v>
      </c>
      <c r="AE123" s="19"/>
      <c r="AG123" s="20">
        <f>(V123- AVERAGE(V$41:V123))/_xlfn.STDEV.S(V88:V123)</f>
        <v>-2.0229431650884289</v>
      </c>
      <c r="AH123" s="20">
        <f>(W123- AVERAGE(W$41:W123))/_xlfn.STDEV.S(W88:W123)</f>
        <v>-0.11414712230392032</v>
      </c>
      <c r="AI123" s="20">
        <f>(X123- AVERAGE(X$41:X123))/_xlfn.STDEV.S(X88:X123)</f>
        <v>0.19127823805526481</v>
      </c>
      <c r="AJ123" s="20">
        <f>(Y123- AVERAGE(Y$41:Y123))/_xlfn.STDEV.S(Y88:Y123)</f>
        <v>0.51034327176316241</v>
      </c>
      <c r="AK123" s="20">
        <f>(Z123- AVERAGE(Z$41:Z123))/_xlfn.STDEV.S(Z88:Z123)</f>
        <v>0.56074550383518595</v>
      </c>
      <c r="AL123" s="20">
        <f>(AA123- AVERAGE(AA$41:AA123))/_xlfn.STDEV.S(AA88:AA123)</f>
        <v>1.0258278932015255</v>
      </c>
      <c r="AM123" s="20">
        <f>(AB123- AVERAGE(AB$41:AB123))/_xlfn.STDEV.S(AB88:AB123)</f>
        <v>-1.5317997682620919</v>
      </c>
      <c r="AN123" s="20">
        <f>(AC123- AVERAGE(AC$41:AC123))/_xlfn.STDEV.S(AC88:AC123)</f>
        <v>4.6309937876803035E-2</v>
      </c>
      <c r="AO123" s="24">
        <f>(AD123- AVERAGE(AD$41:AD123))/_xlfn.STDEV.S(AD88:AD123)</f>
        <v>-0.65674987051461309</v>
      </c>
      <c r="AP123" s="20"/>
      <c r="AQ123" s="20">
        <f t="shared" si="27"/>
        <v>-2.0229431650884289</v>
      </c>
      <c r="AR123" s="20">
        <f t="shared" si="28"/>
        <v>-0.11414712230392032</v>
      </c>
      <c r="AS123" s="20">
        <f t="shared" si="29"/>
        <v>0.19127823805526481</v>
      </c>
      <c r="AT123" s="20">
        <f t="shared" si="30"/>
        <v>0.51034327176316241</v>
      </c>
      <c r="AU123" s="20">
        <f t="shared" si="15"/>
        <v>0.56074550383518595</v>
      </c>
      <c r="AV123" s="20">
        <f t="shared" si="31"/>
        <v>1.0258278932015255</v>
      </c>
      <c r="AW123" s="20">
        <f t="shared" si="17"/>
        <v>-1.5317997682620919</v>
      </c>
      <c r="AX123" s="20">
        <f t="shared" si="32"/>
        <v>4.6309937876803035E-2</v>
      </c>
      <c r="AY123" s="20">
        <f t="shared" si="33"/>
        <v>-0.65674987051461309</v>
      </c>
      <c r="AZ123" s="22">
        <f t="shared" si="20"/>
        <v>-0.22123723127079029</v>
      </c>
      <c r="BA123" s="1">
        <f>+_xlfn.XLOOKUP(A123,[1]Indice!B:B,[1]Indice!AI:AI,"NOOOOOO",-1)</f>
        <v>0.77614399228122832</v>
      </c>
    </row>
    <row r="124" spans="1:53" x14ac:dyDescent="0.25">
      <c r="A124" s="2">
        <v>41670</v>
      </c>
      <c r="B124" s="15">
        <v>4275</v>
      </c>
      <c r="C124" s="19">
        <v>-20.583317852498606</v>
      </c>
      <c r="D124" s="15">
        <v>5649</v>
      </c>
      <c r="E124" s="19">
        <v>607.94000000000005</v>
      </c>
      <c r="F124" s="18">
        <v>0.24605882159423628</v>
      </c>
      <c r="G124" s="1">
        <v>1.1000000000000001</v>
      </c>
      <c r="H124" s="1">
        <v>1.7</v>
      </c>
      <c r="I124" s="16">
        <v>34.50316064529855</v>
      </c>
      <c r="J124" s="1">
        <v>539.13300000000004</v>
      </c>
      <c r="K124" s="1">
        <v>1.0206376033847553</v>
      </c>
      <c r="L124" s="1">
        <v>119.181</v>
      </c>
      <c r="M124" s="1">
        <v>15.124029210617817</v>
      </c>
      <c r="N124" s="1">
        <v>-42.232527157204359</v>
      </c>
      <c r="O124" s="1">
        <v>326930</v>
      </c>
      <c r="P124" s="1">
        <v>-4.1092274300463476</v>
      </c>
      <c r="Q124" s="1">
        <v>-41.566051708039545</v>
      </c>
      <c r="R124" s="1">
        <v>-0.1</v>
      </c>
      <c r="S124" s="1">
        <v>2.3333333333333339</v>
      </c>
      <c r="V124" s="20">
        <f t="shared" si="21"/>
        <v>-24.201660503400497</v>
      </c>
      <c r="W124" s="20">
        <f t="shared" si="22"/>
        <v>-2.3666666666666671</v>
      </c>
      <c r="X124" s="20">
        <f t="shared" si="22"/>
        <v>-0.50000000000000067</v>
      </c>
      <c r="Y124" s="20">
        <v>-1.4942975444928059</v>
      </c>
      <c r="Z124" s="20">
        <f t="shared" si="23"/>
        <v>0.69305704186262507</v>
      </c>
      <c r="AA124" s="19">
        <f>+AVERAGE(M122:M124)*AVERAGE($F$15:F124)</f>
        <v>1.4619780311858357</v>
      </c>
      <c r="AB124" s="19">
        <f t="shared" si="24"/>
        <v>-42.691232272028593</v>
      </c>
      <c r="AC124" s="19">
        <f t="shared" si="25"/>
        <v>-0.40225701342170678</v>
      </c>
      <c r="AD124" s="21">
        <f t="shared" si="26"/>
        <v>-27.071299644926057</v>
      </c>
      <c r="AE124" s="19"/>
      <c r="AG124" s="20">
        <f>(V124- AVERAGE(V$41:V124))/_xlfn.STDEV.S(V89:V124)</f>
        <v>-2.1130565597971351</v>
      </c>
      <c r="AH124" s="20">
        <f>(W124- AVERAGE(W$41:W124))/_xlfn.STDEV.S(W89:W124)</f>
        <v>-0.11716589777391326</v>
      </c>
      <c r="AI124" s="20">
        <f>(X124- AVERAGE(X$41:X124))/_xlfn.STDEV.S(X89:X124)</f>
        <v>4.7539767527933353E-2</v>
      </c>
      <c r="AJ124" s="20">
        <f>(Y124- AVERAGE(Y$41:Y124))/_xlfn.STDEV.S(Y89:Y124)</f>
        <v>1.5176414954157107</v>
      </c>
      <c r="AK124" s="20">
        <f>(Z124- AVERAGE(Z$41:Z124))/_xlfn.STDEV.S(Z89:Z124)</f>
        <v>0.68329153771188045</v>
      </c>
      <c r="AL124" s="20">
        <f>(AA124- AVERAGE(AA$41:AA124))/_xlfn.STDEV.S(AA89:AA124)</f>
        <v>1.8736322408988746</v>
      </c>
      <c r="AM124" s="20">
        <f>(AB124- AVERAGE(AB$41:AB124))/_xlfn.STDEV.S(AB89:AB124)</f>
        <v>-1.3207996699917584</v>
      </c>
      <c r="AN124" s="20">
        <f>(AC124- AVERAGE(AC$41:AC124))/_xlfn.STDEV.S(AC89:AC124)</f>
        <v>-0.45448935717288225</v>
      </c>
      <c r="AO124" s="24">
        <f>(AD124- AVERAGE(AD$41:AD124))/_xlfn.STDEV.S(AD89:AD124)</f>
        <v>-0.63733867484945605</v>
      </c>
      <c r="AP124" s="20"/>
      <c r="AQ124" s="20">
        <f t="shared" si="27"/>
        <v>-2.1130565597971351</v>
      </c>
      <c r="AR124" s="20">
        <f t="shared" si="28"/>
        <v>-0.11716589777391326</v>
      </c>
      <c r="AS124" s="20">
        <f t="shared" si="29"/>
        <v>4.7539767527933353E-2</v>
      </c>
      <c r="AT124" s="20">
        <f t="shared" si="30"/>
        <v>1.5176414954157107</v>
      </c>
      <c r="AU124" s="20">
        <f t="shared" si="15"/>
        <v>0.68329153771188045</v>
      </c>
      <c r="AV124" s="20">
        <f t="shared" si="31"/>
        <v>1.8736322408988746</v>
      </c>
      <c r="AW124" s="20">
        <f t="shared" si="17"/>
        <v>-1.3207996699917584</v>
      </c>
      <c r="AX124" s="20">
        <f t="shared" si="32"/>
        <v>-0.45448935717288225</v>
      </c>
      <c r="AY124" s="20">
        <f t="shared" si="33"/>
        <v>-0.63733867484945605</v>
      </c>
      <c r="AZ124" s="22">
        <f t="shared" si="20"/>
        <v>-5.7860568670082921E-2</v>
      </c>
      <c r="BA124" s="1">
        <f>+_xlfn.XLOOKUP(A124,[1]Indice!B:B,[1]Indice!AI:AI,"NOOOOOO",-1)</f>
        <v>0.65675961986164288</v>
      </c>
    </row>
    <row r="125" spans="1:53" x14ac:dyDescent="0.25">
      <c r="A125" s="2">
        <v>41698</v>
      </c>
      <c r="B125" s="15">
        <v>4648</v>
      </c>
      <c r="C125" s="19">
        <v>-5.2588666938442774</v>
      </c>
      <c r="D125" s="15">
        <v>5537</v>
      </c>
      <c r="E125" s="19">
        <v>607.94000000000005</v>
      </c>
      <c r="F125" s="18">
        <v>0.2462298911076751</v>
      </c>
      <c r="G125" s="1">
        <v>-0.2</v>
      </c>
      <c r="H125" s="1">
        <v>3.4</v>
      </c>
      <c r="I125" s="16">
        <v>41.120009430060087</v>
      </c>
      <c r="J125" s="1">
        <v>538.92999999999995</v>
      </c>
      <c r="K125" s="1">
        <v>0.96633019341589854</v>
      </c>
      <c r="L125" s="1">
        <v>113.337</v>
      </c>
      <c r="M125" s="1">
        <v>9.8503498943532275</v>
      </c>
      <c r="N125" s="1">
        <v>-38.788561871462356</v>
      </c>
      <c r="O125" s="1">
        <v>332453</v>
      </c>
      <c r="P125" s="1">
        <v>-4.7704571950719981</v>
      </c>
      <c r="Q125" s="1">
        <v>-37.010568972126393</v>
      </c>
      <c r="R125" s="1">
        <v>-0.1</v>
      </c>
      <c r="S125" s="1">
        <v>2.3650000000000007</v>
      </c>
      <c r="V125" s="20">
        <f t="shared" si="21"/>
        <v>-18.170571098846963</v>
      </c>
      <c r="W125" s="20">
        <f t="shared" si="22"/>
        <v>-2.2983333333333338</v>
      </c>
      <c r="X125" s="20">
        <f t="shared" si="22"/>
        <v>-0.23166666666666735</v>
      </c>
      <c r="Y125" s="20">
        <v>2.689168911298097</v>
      </c>
      <c r="Z125" s="20">
        <f t="shared" si="23"/>
        <v>0.34078390344626969</v>
      </c>
      <c r="AA125" s="19">
        <f>+AVERAGE(M123:M125)*AVERAGE($F$15:F125)</f>
        <v>2.5447940064938046</v>
      </c>
      <c r="AB125" s="19">
        <f t="shared" si="24"/>
        <v>-38.749245298097122</v>
      </c>
      <c r="AC125" s="19">
        <f t="shared" si="25"/>
        <v>-3.1148034398577464</v>
      </c>
      <c r="AD125" s="21">
        <f t="shared" si="26"/>
        <v>-32.697173563632745</v>
      </c>
      <c r="AE125" s="19"/>
      <c r="AG125" s="20">
        <f>(V125- AVERAGE(V$41:V125))/_xlfn.STDEV.S(V90:V125)</f>
        <v>-1.6328994054932984</v>
      </c>
      <c r="AH125" s="20">
        <f>(W125- AVERAGE(W$41:W125))/_xlfn.STDEV.S(W90:W125)</f>
        <v>-9.8271157036918605E-2</v>
      </c>
      <c r="AI125" s="20">
        <f>(X125- AVERAGE(X$41:X125))/_xlfn.STDEV.S(X90:X125)</f>
        <v>0.18908647125747383</v>
      </c>
      <c r="AJ125" s="20">
        <f>(Y125- AVERAGE(Y$41:Y125))/_xlfn.STDEV.S(Y90:Y125)</f>
        <v>2.7070993747582466</v>
      </c>
      <c r="AK125" s="20">
        <f>(Z125- AVERAGE(Z$41:Z125))/_xlfn.STDEV.S(Z90:Z125)</f>
        <v>0.60205190161611477</v>
      </c>
      <c r="AL125" s="20">
        <f>(AA125- AVERAGE(AA$41:AA125))/_xlfn.STDEV.S(AA90:AA125)</f>
        <v>2.2138359367770093</v>
      </c>
      <c r="AM125" s="20">
        <f>(AB125- AVERAGE(AB$41:AB125))/_xlfn.STDEV.S(AB90:AB125)</f>
        <v>-1.1547322897543453</v>
      </c>
      <c r="AN125" s="20">
        <f>(AC125- AVERAGE(AC$41:AC125))/_xlfn.STDEV.S(AC90:AC125)</f>
        <v>-1.053932409993666</v>
      </c>
      <c r="AO125" s="24">
        <f>(AD125- AVERAGE(AD$41:AD125))/_xlfn.STDEV.S(AD90:AD125)</f>
        <v>-0.68728154117737261</v>
      </c>
      <c r="AP125" s="20"/>
      <c r="AQ125" s="20">
        <f t="shared" si="27"/>
        <v>-1.6328994054932984</v>
      </c>
      <c r="AR125" s="20">
        <f t="shared" si="28"/>
        <v>-9.8271157036918605E-2</v>
      </c>
      <c r="AS125" s="20">
        <f t="shared" si="29"/>
        <v>0.18908647125747383</v>
      </c>
      <c r="AT125" s="20">
        <f t="shared" si="30"/>
        <v>2.7070993747582466</v>
      </c>
      <c r="AU125" s="20">
        <f t="shared" si="15"/>
        <v>0.60205190161611477</v>
      </c>
      <c r="AV125" s="20">
        <f t="shared" si="31"/>
        <v>2.2138359367770093</v>
      </c>
      <c r="AW125" s="20">
        <f t="shared" si="17"/>
        <v>-1.1547322897543453</v>
      </c>
      <c r="AX125" s="20">
        <f t="shared" si="32"/>
        <v>-1.053932409993666</v>
      </c>
      <c r="AY125" s="20">
        <f t="shared" si="33"/>
        <v>-0.68728154117737261</v>
      </c>
      <c r="AZ125" s="22">
        <f t="shared" si="20"/>
        <v>0.12055076455036046</v>
      </c>
      <c r="BA125" s="1">
        <f>+_xlfn.XLOOKUP(A125,[1]Indice!B:B,[1]Indice!AI:AI,"NOOOOOO",-1)</f>
        <v>0.69224016965013868</v>
      </c>
    </row>
    <row r="126" spans="1:53" x14ac:dyDescent="0.25">
      <c r="A126" s="2">
        <v>41729</v>
      </c>
      <c r="B126" s="15">
        <v>4913</v>
      </c>
      <c r="C126" s="19">
        <v>-20.243506493506491</v>
      </c>
      <c r="D126" s="15">
        <v>5390</v>
      </c>
      <c r="E126" s="19">
        <v>517.45000000000005</v>
      </c>
      <c r="F126" s="18">
        <v>0.28643733694076717</v>
      </c>
      <c r="G126" s="1">
        <v>-3.3</v>
      </c>
      <c r="H126" s="1">
        <v>-0.8</v>
      </c>
      <c r="I126" s="16">
        <v>43.374178391192103</v>
      </c>
      <c r="J126" s="1">
        <v>534.697</v>
      </c>
      <c r="K126" s="1">
        <v>-0.19151688465867123</v>
      </c>
      <c r="L126" s="1">
        <v>112.366</v>
      </c>
      <c r="M126" s="1">
        <v>10.30116224281452</v>
      </c>
      <c r="N126" s="1">
        <v>-28.353695695115121</v>
      </c>
      <c r="O126" s="1">
        <v>348423</v>
      </c>
      <c r="P126" s="1">
        <v>-3.2470092970042996</v>
      </c>
      <c r="Q126" s="1">
        <v>-35.009992313604911</v>
      </c>
      <c r="R126" s="1">
        <v>-0.9</v>
      </c>
      <c r="S126" s="1">
        <v>2.4533333333333336</v>
      </c>
      <c r="V126" s="20">
        <f t="shared" si="21"/>
        <v>-17.81523034661646</v>
      </c>
      <c r="W126" s="20">
        <f t="shared" si="22"/>
        <v>-3.2533333333333334</v>
      </c>
      <c r="X126" s="20">
        <f t="shared" si="22"/>
        <v>-1.0200000000000002</v>
      </c>
      <c r="Y126" s="20">
        <v>6.6905591093219101</v>
      </c>
      <c r="Z126" s="20">
        <f t="shared" si="23"/>
        <v>0.5984836373806609</v>
      </c>
      <c r="AA126" s="19">
        <f>+AVERAGE(M124:M126)*AVERAGE($F$15:F126)</f>
        <v>3.5272119390311216</v>
      </c>
      <c r="AB126" s="19">
        <f t="shared" si="24"/>
        <v>-36.458261574593948</v>
      </c>
      <c r="AC126" s="19">
        <f t="shared" si="25"/>
        <v>-4.0422313073742151</v>
      </c>
      <c r="AD126" s="21">
        <f t="shared" si="26"/>
        <v>-37.862204331256955</v>
      </c>
      <c r="AE126" s="19"/>
      <c r="AG126" s="20">
        <f>(V126- AVERAGE(V$41:V126))/_xlfn.STDEV.S(V91:V126)</f>
        <v>-1.6212529313109989</v>
      </c>
      <c r="AH126" s="20">
        <f>(W126- AVERAGE(W$41:W126))/_xlfn.STDEV.S(W91:W126)</f>
        <v>-0.42157936585223726</v>
      </c>
      <c r="AI126" s="20">
        <f>(X126- AVERAGE(X$41:X126))/_xlfn.STDEV.S(X91:X126)</f>
        <v>-0.2383315114575536</v>
      </c>
      <c r="AJ126" s="20">
        <f>(Y126- AVERAGE(Y$41:Y126))/_xlfn.STDEV.S(Y91:Y126)</f>
        <v>3.1585691280529469</v>
      </c>
      <c r="AK126" s="20">
        <f>(Z126- AVERAGE(Z$41:Z126))/_xlfn.STDEV.S(Z91:Z126)</f>
        <v>0.64026225532796766</v>
      </c>
      <c r="AL126" s="20">
        <f>(AA126- AVERAGE(AA$41:AA126))/_xlfn.STDEV.S(AA91:AA126)</f>
        <v>2.4052392186158289</v>
      </c>
      <c r="AM126" s="20">
        <f>(AB126- AVERAGE(AB$41:AB126))/_xlfn.STDEV.S(AB91:AB126)</f>
        <v>-1.0629375311244058</v>
      </c>
      <c r="AN126" s="20">
        <f>(AC126- AVERAGE(AC$41:AC126))/_xlfn.STDEV.S(AC91:AC126)</f>
        <v>-1.2258091086104996</v>
      </c>
      <c r="AO126" s="24">
        <f>(AD126- AVERAGE(AD$41:AD126))/_xlfn.STDEV.S(AD91:AD126)</f>
        <v>-0.73438391162765704</v>
      </c>
      <c r="AP126" s="20"/>
      <c r="AQ126" s="20">
        <f t="shared" si="27"/>
        <v>-1.6212529313109989</v>
      </c>
      <c r="AR126" s="20">
        <f t="shared" si="28"/>
        <v>-0.42157936585223726</v>
      </c>
      <c r="AS126" s="20">
        <f t="shared" si="29"/>
        <v>-0.2383315114575536</v>
      </c>
      <c r="AT126" s="20">
        <f t="shared" si="30"/>
        <v>3.1585691280529469</v>
      </c>
      <c r="AU126" s="20">
        <f t="shared" si="15"/>
        <v>0.64026225532796766</v>
      </c>
      <c r="AV126" s="20">
        <f t="shared" si="31"/>
        <v>2.4052392186158289</v>
      </c>
      <c r="AW126" s="20">
        <f t="shared" si="17"/>
        <v>-1.0629375311244058</v>
      </c>
      <c r="AX126" s="20">
        <f t="shared" si="32"/>
        <v>-1.2258091086104996</v>
      </c>
      <c r="AY126" s="20">
        <f t="shared" si="33"/>
        <v>-0.73438391162765704</v>
      </c>
      <c r="AZ126" s="22">
        <f t="shared" si="20"/>
        <v>9.9975138001487926E-2</v>
      </c>
      <c r="BA126" s="1">
        <f>+_xlfn.XLOOKUP(A126,[1]Indice!B:B,[1]Indice!AI:AI,"NOOOOOO",-1)</f>
        <v>0.71167200607566838</v>
      </c>
    </row>
    <row r="127" spans="1:53" x14ac:dyDescent="0.25">
      <c r="A127" s="2">
        <v>41759</v>
      </c>
      <c r="B127" s="15">
        <v>6479</v>
      </c>
      <c r="C127" s="19">
        <v>-6.033357505438719</v>
      </c>
      <c r="D127" s="15">
        <v>5656</v>
      </c>
      <c r="E127" s="19">
        <v>517.45000000000005</v>
      </c>
      <c r="F127" s="18">
        <v>0.28459561310271519</v>
      </c>
      <c r="G127" s="1">
        <v>-2.2999999999999998</v>
      </c>
      <c r="H127" s="1">
        <v>0.4</v>
      </c>
      <c r="I127" s="16">
        <v>44.025744819899266</v>
      </c>
      <c r="J127" s="1">
        <v>514.66899999999998</v>
      </c>
      <c r="K127" s="1">
        <v>-3.2029400092909666</v>
      </c>
      <c r="L127" s="1">
        <v>110.249</v>
      </c>
      <c r="M127" s="1">
        <v>7.7197404932192182</v>
      </c>
      <c r="N127" s="1">
        <v>-21.645755467236107</v>
      </c>
      <c r="O127" s="1">
        <v>367576</v>
      </c>
      <c r="P127" s="1">
        <v>0.31877033252549758</v>
      </c>
      <c r="Q127" s="1">
        <v>-1.9919191919191892</v>
      </c>
      <c r="R127" s="1">
        <v>-0.9</v>
      </c>
      <c r="S127" s="1">
        <v>2.5416666666666661</v>
      </c>
      <c r="V127" s="20">
        <f t="shared" si="21"/>
        <v>-13.053576897596496</v>
      </c>
      <c r="W127" s="20">
        <f t="shared" si="22"/>
        <v>-4.4749999999999996</v>
      </c>
      <c r="X127" s="20">
        <f t="shared" si="22"/>
        <v>-1.5416666666666661</v>
      </c>
      <c r="Y127" s="20">
        <v>9.7165607839304826</v>
      </c>
      <c r="Z127" s="20">
        <f t="shared" si="23"/>
        <v>-0.80937556684457979</v>
      </c>
      <c r="AA127" s="19">
        <f>+AVERAGE(M125:M127)*AVERAGE($F$15:F127)</f>
        <v>2.7855907979934451</v>
      </c>
      <c r="AB127" s="19">
        <f t="shared" si="24"/>
        <v>-29.596004344604534</v>
      </c>
      <c r="AC127" s="19">
        <f t="shared" si="25"/>
        <v>-2.5662320531836005</v>
      </c>
      <c r="AD127" s="21">
        <f t="shared" si="26"/>
        <v>-24.670826825883498</v>
      </c>
      <c r="AE127" s="19"/>
      <c r="AG127" s="20">
        <f>(V127- AVERAGE(V$41:V127))/_xlfn.STDEV.S(V92:V127)</f>
        <v>-1.2868270346746629</v>
      </c>
      <c r="AH127" s="20">
        <f>(W127- AVERAGE(W$41:W127))/_xlfn.STDEV.S(W92:W127)</f>
        <v>-0.82853440703221581</v>
      </c>
      <c r="AI127" s="20">
        <f>(X127- AVERAGE(X$41:X127))/_xlfn.STDEV.S(X92:X127)</f>
        <v>-0.54248510860574817</v>
      </c>
      <c r="AJ127" s="20">
        <f>(Y127- AVERAGE(Y$41:Y127))/_xlfn.STDEV.S(Y92:Y127)</f>
        <v>3.1446489314790176</v>
      </c>
      <c r="AK127" s="20">
        <f>(Z127- AVERAGE(Z$41:Z127))/_xlfn.STDEV.S(Z92:Z127)</f>
        <v>0.35455892663692185</v>
      </c>
      <c r="AL127" s="20">
        <f>(AA127- AVERAGE(AA$41:AA127))/_xlfn.STDEV.S(AA92:AA127)</f>
        <v>1.937036144390712</v>
      </c>
      <c r="AM127" s="20">
        <f>(AB127- AVERAGE(AB$41:AB127))/_xlfn.STDEV.S(AB92:AB127)</f>
        <v>-0.74548865480626025</v>
      </c>
      <c r="AN127" s="20">
        <f>(AC127- AVERAGE(AC$41:AC127))/_xlfn.STDEV.S(AC92:AC127)</f>
        <v>-0.87717761432133656</v>
      </c>
      <c r="AO127" s="24">
        <f>(AD127- AVERAGE(AD$41:AD127))/_xlfn.STDEV.S(AD92:AD127)</f>
        <v>-0.58127428020036342</v>
      </c>
      <c r="AP127" s="20"/>
      <c r="AQ127" s="20">
        <f t="shared" si="27"/>
        <v>-1.2868270346746629</v>
      </c>
      <c r="AR127" s="20">
        <f t="shared" si="28"/>
        <v>-0.82853440703221581</v>
      </c>
      <c r="AS127" s="20">
        <f t="shared" si="29"/>
        <v>-0.54248510860574817</v>
      </c>
      <c r="AT127" s="20">
        <f t="shared" si="30"/>
        <v>3.1446489314790176</v>
      </c>
      <c r="AU127" s="20">
        <f t="shared" si="15"/>
        <v>0.35455892663692185</v>
      </c>
      <c r="AV127" s="20">
        <f t="shared" si="31"/>
        <v>1.937036144390712</v>
      </c>
      <c r="AW127" s="20">
        <f t="shared" si="17"/>
        <v>-0.74548865480626025</v>
      </c>
      <c r="AX127" s="20">
        <f t="shared" si="32"/>
        <v>-0.87717761432133656</v>
      </c>
      <c r="AY127" s="20">
        <f t="shared" si="33"/>
        <v>-0.58127428020036342</v>
      </c>
      <c r="AZ127" s="22">
        <f t="shared" si="20"/>
        <v>6.3828544762896025E-2</v>
      </c>
      <c r="BA127" s="1">
        <f>+_xlfn.XLOOKUP(A127,[1]Indice!B:B,[1]Indice!AI:AI,"NOOOOOO",-1)</f>
        <v>0.62334748845194432</v>
      </c>
    </row>
    <row r="128" spans="1:53" x14ac:dyDescent="0.25">
      <c r="A128" s="2">
        <v>41790</v>
      </c>
      <c r="B128" s="15">
        <v>7179</v>
      </c>
      <c r="C128" s="19">
        <v>-14.464434647920887</v>
      </c>
      <c r="D128" s="15">
        <v>5777</v>
      </c>
      <c r="E128" s="19">
        <v>517.45000000000005</v>
      </c>
      <c r="F128" s="18">
        <v>0.27983186781331526</v>
      </c>
      <c r="G128" s="1">
        <v>-2.2000000000000002</v>
      </c>
      <c r="H128" s="1">
        <v>0.3</v>
      </c>
      <c r="I128" s="16">
        <v>45.000207358484907</v>
      </c>
      <c r="J128" s="1">
        <v>528.45399999999995</v>
      </c>
      <c r="K128" s="1">
        <v>-2.3744381654033808</v>
      </c>
      <c r="L128" s="1">
        <v>108.873</v>
      </c>
      <c r="M128" s="1">
        <v>9.7487953871897801</v>
      </c>
      <c r="N128" s="1">
        <v>-29.308630907789922</v>
      </c>
      <c r="O128" s="1">
        <v>357951</v>
      </c>
      <c r="P128" s="1">
        <v>-1.2685146876292963</v>
      </c>
      <c r="Q128" s="1">
        <v>-13.145559381092632</v>
      </c>
      <c r="R128" s="1">
        <v>-0.9</v>
      </c>
      <c r="S128" s="1">
        <v>2.6299999999999981</v>
      </c>
      <c r="V128" s="20">
        <f t="shared" si="21"/>
        <v>-16.210432882288696</v>
      </c>
      <c r="W128" s="20">
        <f t="shared" si="22"/>
        <v>-5.2299999999999986</v>
      </c>
      <c r="X128" s="20">
        <f t="shared" si="22"/>
        <v>-2.6633333333333313</v>
      </c>
      <c r="Y128" s="20">
        <v>10.865188486765419</v>
      </c>
      <c r="Z128" s="20">
        <f t="shared" si="23"/>
        <v>-1.9229650197843398</v>
      </c>
      <c r="AA128" s="19">
        <f>+AVERAGE(M126:M128)*AVERAGE($F$15:F128)</f>
        <v>2.7738167386403045</v>
      </c>
      <c r="AB128" s="19">
        <f t="shared" si="24"/>
        <v>-26.436027356713719</v>
      </c>
      <c r="AC128" s="19">
        <f t="shared" si="25"/>
        <v>-1.3989178840360328</v>
      </c>
      <c r="AD128" s="21">
        <f t="shared" si="26"/>
        <v>-16.715823628872243</v>
      </c>
      <c r="AE128" s="19"/>
      <c r="AG128" s="20">
        <f>(V128- AVERAGE(V$41:V128))/_xlfn.STDEV.S(V93:V128)</f>
        <v>-1.5457392927152425</v>
      </c>
      <c r="AH128" s="20">
        <f>(W128- AVERAGE(W$41:W128))/_xlfn.STDEV.S(W93:W128)</f>
        <v>-1.0602478419284682</v>
      </c>
      <c r="AI128" s="20">
        <f>(X128- AVERAGE(X$41:X128))/_xlfn.STDEV.S(X93:X128)</f>
        <v>-1.1849074217328006</v>
      </c>
      <c r="AJ128" s="20">
        <f>(Y128- AVERAGE(Y$41:Y128))/_xlfn.STDEV.S(Y93:Y128)</f>
        <v>2.8427091234157102</v>
      </c>
      <c r="AK128" s="20">
        <f>(Z128- AVERAGE(Z$41:Z128))/_xlfn.STDEV.S(Z93:Z128)</f>
        <v>0.13095854922851694</v>
      </c>
      <c r="AL128" s="20">
        <f>(AA128- AVERAGE(AA$41:AA128))/_xlfn.STDEV.S(AA93:AA128)</f>
        <v>1.8183327537521023</v>
      </c>
      <c r="AM128" s="20">
        <f>(AB128- AVERAGE(AB$41:AB128))/_xlfn.STDEV.S(AB93:AB128)</f>
        <v>-0.59868617157346637</v>
      </c>
      <c r="AN128" s="20">
        <f>(AC128- AVERAGE(AC$41:AC128))/_xlfn.STDEV.S(AC93:AC128)</f>
        <v>-0.60926235007293994</v>
      </c>
      <c r="AO128" s="24">
        <f>(AD128- AVERAGE(AD$41:AD128))/_xlfn.STDEV.S(AD93:AD128)</f>
        <v>-0.4886856164739305</v>
      </c>
      <c r="AP128" s="20"/>
      <c r="AQ128" s="20">
        <f t="shared" si="27"/>
        <v>-1.5457392927152425</v>
      </c>
      <c r="AR128" s="20">
        <f t="shared" si="28"/>
        <v>-1.0602478419284682</v>
      </c>
      <c r="AS128" s="20">
        <f t="shared" si="29"/>
        <v>-1.1849074217328006</v>
      </c>
      <c r="AT128" s="20">
        <f t="shared" si="30"/>
        <v>2.8427091234157102</v>
      </c>
      <c r="AU128" s="20">
        <f t="shared" si="15"/>
        <v>0.13095854922851694</v>
      </c>
      <c r="AV128" s="20">
        <f t="shared" si="31"/>
        <v>1.8183327537521023</v>
      </c>
      <c r="AW128" s="20">
        <f t="shared" si="17"/>
        <v>-0.59868617157346637</v>
      </c>
      <c r="AX128" s="20">
        <f t="shared" si="32"/>
        <v>-0.60926235007293994</v>
      </c>
      <c r="AY128" s="20">
        <f t="shared" si="33"/>
        <v>-0.4886856164739305</v>
      </c>
      <c r="AZ128" s="22">
        <f t="shared" si="20"/>
        <v>-7.7280918677835389E-2</v>
      </c>
      <c r="BA128" s="1">
        <f>+_xlfn.XLOOKUP(A128,[1]Indice!B:B,[1]Indice!AI:AI,"NOOOOOO",-1)</f>
        <v>0.62720067628903775</v>
      </c>
    </row>
    <row r="129" spans="1:53" x14ac:dyDescent="0.25">
      <c r="A129" s="2">
        <v>41820</v>
      </c>
      <c r="B129" s="15">
        <v>7204</v>
      </c>
      <c r="C129" s="19">
        <v>-3.7284511559534939</v>
      </c>
      <c r="D129" s="15">
        <v>5848</v>
      </c>
      <c r="E129" s="19">
        <v>583.71</v>
      </c>
      <c r="F129" s="18">
        <v>0.24622672217368213</v>
      </c>
      <c r="G129" s="1">
        <v>-1.6</v>
      </c>
      <c r="H129" s="1">
        <v>1.4</v>
      </c>
      <c r="I129" s="16">
        <v>44.168363365383556</v>
      </c>
      <c r="J129" s="1">
        <v>530.13499999999999</v>
      </c>
      <c r="K129" s="1">
        <v>-1.6465371699968423</v>
      </c>
      <c r="L129" s="1">
        <v>108.33199999999999</v>
      </c>
      <c r="M129" s="1">
        <v>10.629780541854306</v>
      </c>
      <c r="N129" s="1">
        <v>-28.251501597129568</v>
      </c>
      <c r="O129" s="1">
        <v>353229</v>
      </c>
      <c r="P129" s="1">
        <v>-0.54453870476373067</v>
      </c>
      <c r="Q129" s="1">
        <v>10.241025641025647</v>
      </c>
      <c r="R129" s="1">
        <v>-2</v>
      </c>
      <c r="S129" s="1">
        <v>2.7849999999999979</v>
      </c>
      <c r="V129" s="20">
        <f t="shared" si="21"/>
        <v>-10.860414436437697</v>
      </c>
      <c r="W129" s="20">
        <f t="shared" si="22"/>
        <v>-4.8183333333333316</v>
      </c>
      <c r="X129" s="20">
        <f t="shared" si="22"/>
        <v>-2.0849999999999982</v>
      </c>
      <c r="Y129" s="20">
        <v>11.06672160745925</v>
      </c>
      <c r="Z129" s="20">
        <f t="shared" si="23"/>
        <v>-2.4079717815637296</v>
      </c>
      <c r="AA129" s="19">
        <f>+AVERAGE(M127:M129)*AVERAGE($F$15:F129)</f>
        <v>2.8022894663998343</v>
      </c>
      <c r="AB129" s="19">
        <f t="shared" si="24"/>
        <v>-26.401962657385202</v>
      </c>
      <c r="AC129" s="19">
        <f t="shared" si="25"/>
        <v>-0.49809435328917645</v>
      </c>
      <c r="AD129" s="21">
        <f t="shared" si="26"/>
        <v>-1.6321509773287246</v>
      </c>
      <c r="AE129" s="19"/>
      <c r="AG129" s="20">
        <f>(V129- AVERAGE(V$41:V129))/_xlfn.STDEV.S(V94:V129)</f>
        <v>-1.1289905115917152</v>
      </c>
      <c r="AH129" s="20">
        <f>(W129- AVERAGE(W$41:W129))/_xlfn.STDEV.S(W94:W129)</f>
        <v>-0.90159808968009025</v>
      </c>
      <c r="AI129" s="20">
        <f>(X129- AVERAGE(X$41:X129))/_xlfn.STDEV.S(X94:X129)</f>
        <v>-0.83836881508880567</v>
      </c>
      <c r="AJ129" s="20">
        <f>(Y129- AVERAGE(Y$41:Y129))/_xlfn.STDEV.S(Y94:Y129)</f>
        <v>2.5227119001946918</v>
      </c>
      <c r="AK129" s="20">
        <f>(Z129- AVERAGE(Z$41:Z129))/_xlfn.STDEV.S(Z94:Z129)</f>
        <v>2.7951031052020042E-2</v>
      </c>
      <c r="AL129" s="20">
        <f>(AA129- AVERAGE(AA$41:AA129))/_xlfn.STDEV.S(AA94:AA129)</f>
        <v>1.7347859525062643</v>
      </c>
      <c r="AM129" s="20">
        <f>(AB129- AVERAGE(AB$41:AB129))/_xlfn.STDEV.S(AB94:AB129)</f>
        <v>-0.60754265084317094</v>
      </c>
      <c r="AN129" s="20">
        <f>(AC129- AVERAGE(AC$41:AC129))/_xlfn.STDEV.S(AC94:AC129)</f>
        <v>-0.40543740702935499</v>
      </c>
      <c r="AO129" s="24">
        <f>(AD129- AVERAGE(AD$41:AD129))/_xlfn.STDEV.S(AD94:AD129)</f>
        <v>-0.32056968258099594</v>
      </c>
      <c r="AP129" s="20"/>
      <c r="AQ129" s="20">
        <f t="shared" si="27"/>
        <v>-1.1289905115917152</v>
      </c>
      <c r="AR129" s="20">
        <f t="shared" si="28"/>
        <v>-0.90159808968009025</v>
      </c>
      <c r="AS129" s="20">
        <f t="shared" si="29"/>
        <v>-0.83836881508880567</v>
      </c>
      <c r="AT129" s="20">
        <f t="shared" si="30"/>
        <v>2.5227119001946918</v>
      </c>
      <c r="AU129" s="20">
        <f t="shared" si="15"/>
        <v>2.7951031052020042E-2</v>
      </c>
      <c r="AV129" s="20">
        <f t="shared" si="31"/>
        <v>1.7347859525062643</v>
      </c>
      <c r="AW129" s="20">
        <f t="shared" si="17"/>
        <v>-0.60754265084317094</v>
      </c>
      <c r="AX129" s="20">
        <f t="shared" si="32"/>
        <v>-0.40543740702935499</v>
      </c>
      <c r="AY129" s="20">
        <f t="shared" si="33"/>
        <v>-0.32056968258099594</v>
      </c>
      <c r="AZ129" s="22">
        <f t="shared" si="20"/>
        <v>9.2157474376492344E-3</v>
      </c>
      <c r="BA129" s="1">
        <f>+_xlfn.XLOOKUP(A129,[1]Indice!B:B,[1]Indice!AI:AI,"NOOOOOO",-1)</f>
        <v>0.63428556283713833</v>
      </c>
    </row>
    <row r="130" spans="1:53" x14ac:dyDescent="0.25">
      <c r="A130" s="2">
        <v>41851</v>
      </c>
      <c r="B130" s="15">
        <v>6417</v>
      </c>
      <c r="C130" s="19">
        <v>-7.4159572933198632</v>
      </c>
      <c r="D130" s="15">
        <v>6145</v>
      </c>
      <c r="E130" s="19">
        <v>583.71</v>
      </c>
      <c r="F130" s="18">
        <v>0.24390193760600298</v>
      </c>
      <c r="G130" s="1">
        <v>-3.5</v>
      </c>
      <c r="H130" s="1">
        <v>0.2</v>
      </c>
      <c r="I130" s="16">
        <v>43.72076954560184</v>
      </c>
      <c r="J130" s="1">
        <v>524.93200000000002</v>
      </c>
      <c r="K130" s="1">
        <v>-3.6434824268834487</v>
      </c>
      <c r="L130" s="1">
        <v>105.747</v>
      </c>
      <c r="M130" s="1">
        <v>8.8559252244091233</v>
      </c>
      <c r="N130" s="1">
        <v>-22.372946685537819</v>
      </c>
      <c r="O130" s="1">
        <v>335631</v>
      </c>
      <c r="P130" s="1">
        <v>-0.14845446702168585</v>
      </c>
      <c r="Q130" s="1">
        <v>-4.7004991680532404</v>
      </c>
      <c r="R130" s="1">
        <v>-2</v>
      </c>
      <c r="S130" s="1">
        <v>2.9399999999999982</v>
      </c>
      <c r="V130" s="20">
        <f t="shared" si="21"/>
        <v>-11.476281032398079</v>
      </c>
      <c r="W130" s="20">
        <f t="shared" si="22"/>
        <v>-5.3733333333333313</v>
      </c>
      <c r="X130" s="20">
        <f t="shared" si="22"/>
        <v>-2.3066666666666649</v>
      </c>
      <c r="Y130" s="20">
        <v>10.84288156830344</v>
      </c>
      <c r="Z130" s="20">
        <f t="shared" si="23"/>
        <v>-2.5548192540945571</v>
      </c>
      <c r="AA130" s="19">
        <f>+AVERAGE(M128:M130)*AVERAGE($F$15:F130)</f>
        <v>2.9109579712007889</v>
      </c>
      <c r="AB130" s="19">
        <f t="shared" si="24"/>
        <v>-26.644359730152434</v>
      </c>
      <c r="AC130" s="19">
        <f t="shared" si="25"/>
        <v>-0.65383595313823761</v>
      </c>
      <c r="AD130" s="21">
        <f t="shared" si="26"/>
        <v>-2.5350109693734084</v>
      </c>
      <c r="AE130" s="19"/>
      <c r="AG130" s="20">
        <f>(V130- AVERAGE(V$41:V130))/_xlfn.STDEV.S(V95:V130)</f>
        <v>-1.2127453928574525</v>
      </c>
      <c r="AH130" s="20">
        <f>(W130- AVERAGE(W$41:W130))/_xlfn.STDEV.S(W95:W130)</f>
        <v>-1.0617360173012163</v>
      </c>
      <c r="AI130" s="20">
        <f>(X130- AVERAGE(X$41:X130))/_xlfn.STDEV.S(X95:X130)</f>
        <v>-0.95342095984396125</v>
      </c>
      <c r="AJ130" s="20">
        <f>(Y130- AVERAGE(Y$41:Y130))/_xlfn.STDEV.S(Y95:Y130)</f>
        <v>2.2457983820684504</v>
      </c>
      <c r="AK130" s="20">
        <f>(Z130- AVERAGE(Z$41:Z130))/_xlfn.STDEV.S(Z95:Z130)</f>
        <v>-1.0443257799261795E-2</v>
      </c>
      <c r="AL130" s="20">
        <f>(AA130- AVERAGE(AA$41:AA130))/_xlfn.STDEV.S(AA95:AA130)</f>
        <v>1.6888184750670217</v>
      </c>
      <c r="AM130" s="20">
        <f>(AB130- AVERAGE(AB$41:AB130))/_xlfn.STDEV.S(AB95:AB130)</f>
        <v>-0.63388604903532686</v>
      </c>
      <c r="AN130" s="20">
        <f>(AC130- AVERAGE(AC$41:AC130))/_xlfn.STDEV.S(AC95:AC130)</f>
        <v>-0.43437893963999058</v>
      </c>
      <c r="AO130" s="24">
        <f>(AD130- AVERAGE(AD$41:AD130))/_xlfn.STDEV.S(AD95:AD130)</f>
        <v>-0.34144705394395852</v>
      </c>
      <c r="AP130" s="20"/>
      <c r="AQ130" s="20">
        <f t="shared" si="27"/>
        <v>-1.2127453928574525</v>
      </c>
      <c r="AR130" s="20">
        <f t="shared" si="28"/>
        <v>-1.0617360173012163</v>
      </c>
      <c r="AS130" s="20">
        <f t="shared" si="29"/>
        <v>-0.95342095984396125</v>
      </c>
      <c r="AT130" s="20">
        <f t="shared" si="30"/>
        <v>2.2457983820684504</v>
      </c>
      <c r="AU130" s="20">
        <f t="shared" si="15"/>
        <v>-1.0443257799261795E-2</v>
      </c>
      <c r="AV130" s="20">
        <f t="shared" si="31"/>
        <v>1.6888184750670217</v>
      </c>
      <c r="AW130" s="20">
        <f t="shared" si="17"/>
        <v>-0.63388604903532686</v>
      </c>
      <c r="AX130" s="20">
        <f t="shared" si="32"/>
        <v>-0.43437893963999058</v>
      </c>
      <c r="AY130" s="20">
        <f t="shared" si="33"/>
        <v>-0.34144705394395852</v>
      </c>
      <c r="AZ130" s="22">
        <f t="shared" si="20"/>
        <v>-7.927120147618838E-2</v>
      </c>
      <c r="BA130" s="1">
        <f>+_xlfn.XLOOKUP(A130,[1]Indice!B:B,[1]Indice!AI:AI,"NOOOOOO",-1)</f>
        <v>0.65145094359522526</v>
      </c>
    </row>
    <row r="131" spans="1:53" x14ac:dyDescent="0.25">
      <c r="A131" s="2">
        <v>41882</v>
      </c>
      <c r="B131" s="15">
        <v>6420</v>
      </c>
      <c r="C131" s="19">
        <v>-10.833333333333329</v>
      </c>
      <c r="D131" s="15">
        <v>5644</v>
      </c>
      <c r="E131" s="19">
        <v>583.71</v>
      </c>
      <c r="F131" s="18">
        <v>0.2401158109335115</v>
      </c>
      <c r="G131" s="1">
        <v>-5.6</v>
      </c>
      <c r="H131" s="1">
        <v>-1.3</v>
      </c>
      <c r="I131" s="16">
        <v>44.654379092199378</v>
      </c>
      <c r="J131" s="1">
        <v>528.87199999999996</v>
      </c>
      <c r="K131" s="1">
        <v>-2.4874484432013455</v>
      </c>
      <c r="L131" s="1">
        <v>106.01300000000001</v>
      </c>
      <c r="M131" s="1">
        <v>9.8773877263352183</v>
      </c>
      <c r="N131" s="1">
        <v>-38.46171882891074</v>
      </c>
      <c r="O131" s="1">
        <v>328119</v>
      </c>
      <c r="P131" s="1">
        <v>-1.052444294334598</v>
      </c>
      <c r="Q131" s="1">
        <v>1.9668315391329738</v>
      </c>
      <c r="R131" s="1">
        <v>-2</v>
      </c>
      <c r="S131" s="1">
        <v>3.0949999999999984</v>
      </c>
      <c r="V131" s="20">
        <f t="shared" si="21"/>
        <v>-10.42091392753556</v>
      </c>
      <c r="W131" s="20">
        <f t="shared" si="22"/>
        <v>-6.6616666666666653</v>
      </c>
      <c r="X131" s="20">
        <f t="shared" si="22"/>
        <v>-2.9949999999999983</v>
      </c>
      <c r="Y131" s="20">
        <v>10.679383061531603</v>
      </c>
      <c r="Z131" s="20">
        <f t="shared" si="23"/>
        <v>-2.592489346693879</v>
      </c>
      <c r="AA131" s="19">
        <f>+AVERAGE(M129:M131)*AVERAGE($F$15:F131)</f>
        <v>2.9188598526587657</v>
      </c>
      <c r="AB131" s="19">
        <f t="shared" si="24"/>
        <v>-29.695389037192712</v>
      </c>
      <c r="AC131" s="19">
        <f t="shared" si="25"/>
        <v>-0.58181248870667146</v>
      </c>
      <c r="AD131" s="21">
        <f t="shared" si="26"/>
        <v>2.5024526707017936</v>
      </c>
      <c r="AE131" s="19"/>
      <c r="AG131" s="20">
        <f>(V131- AVERAGE(V$41:V131))/_xlfn.STDEV.S(V96:V131)</f>
        <v>-1.1832723762484105</v>
      </c>
      <c r="AH131" s="20">
        <f>(W131- AVERAGE(W$41:W131))/_xlfn.STDEV.S(W96:W131)</f>
        <v>-1.4406685635570868</v>
      </c>
      <c r="AI131" s="20">
        <f>(X131- AVERAGE(X$41:X131))/_xlfn.STDEV.S(X96:X131)</f>
        <v>-1.326863077576377</v>
      </c>
      <c r="AJ131" s="20">
        <f>(Y131- AVERAGE(Y$41:Y131))/_xlfn.STDEV.S(Y96:Y131)</f>
        <v>2.0455898484304784</v>
      </c>
      <c r="AK131" s="20">
        <f>(Z131- AVERAGE(Z$41:Z131))/_xlfn.STDEV.S(Z96:Z131)</f>
        <v>-2.2596312367072106E-2</v>
      </c>
      <c r="AL131" s="20">
        <f>(AA131- AVERAGE(AA$41:AA131))/_xlfn.STDEV.S(AA96:AA131)</f>
        <v>1.6135749014732257</v>
      </c>
      <c r="AM131" s="20">
        <f>(AB131- AVERAGE(AB$41:AB131))/_xlfn.STDEV.S(AB96:AB131)</f>
        <v>-0.82303612887332089</v>
      </c>
      <c r="AN131" s="20">
        <f>(AC131- AVERAGE(AC$41:AC131))/_xlfn.STDEV.S(AC96:AC131)</f>
        <v>-0.41504199018769811</v>
      </c>
      <c r="AO131" s="24">
        <f>(AD131- AVERAGE(AD$41:AD131))/_xlfn.STDEV.S(AD96:AD131)</f>
        <v>-0.31206150790052389</v>
      </c>
      <c r="AP131" s="20"/>
      <c r="AQ131" s="20">
        <f t="shared" si="27"/>
        <v>-1.1832723762484105</v>
      </c>
      <c r="AR131" s="20">
        <f t="shared" si="28"/>
        <v>-1.4406685635570868</v>
      </c>
      <c r="AS131" s="20">
        <f t="shared" si="29"/>
        <v>-1.326863077576377</v>
      </c>
      <c r="AT131" s="20">
        <f t="shared" si="30"/>
        <v>2.0455898484304784</v>
      </c>
      <c r="AU131" s="20">
        <f t="shared" si="15"/>
        <v>-2.2596312367072106E-2</v>
      </c>
      <c r="AV131" s="20">
        <f t="shared" si="31"/>
        <v>1.6135749014732257</v>
      </c>
      <c r="AW131" s="20">
        <f t="shared" si="17"/>
        <v>-0.82303612887332089</v>
      </c>
      <c r="AX131" s="20">
        <f t="shared" si="32"/>
        <v>-0.41504199018769811</v>
      </c>
      <c r="AY131" s="20">
        <f t="shared" si="33"/>
        <v>-0.31206150790052389</v>
      </c>
      <c r="AZ131" s="22">
        <f t="shared" si="20"/>
        <v>-0.20715280075630943</v>
      </c>
      <c r="BA131" s="1">
        <f>+_xlfn.XLOOKUP(A131,[1]Indice!B:B,[1]Indice!AI:AI,"NOOOOOO",-1)</f>
        <v>0.63634147408837261</v>
      </c>
    </row>
    <row r="132" spans="1:53" x14ac:dyDescent="0.25">
      <c r="A132" s="2">
        <v>41912</v>
      </c>
      <c r="B132" s="15">
        <v>5685</v>
      </c>
      <c r="C132" s="19">
        <v>-13.139801375095495</v>
      </c>
      <c r="D132" s="15">
        <v>5644</v>
      </c>
      <c r="E132" s="19">
        <v>564.94000000000005</v>
      </c>
      <c r="F132" s="18">
        <v>0.24588982900839026</v>
      </c>
      <c r="G132" s="1">
        <v>-3.6</v>
      </c>
      <c r="H132" s="1">
        <v>0.2</v>
      </c>
      <c r="I132" s="16">
        <v>46.47458580930904</v>
      </c>
      <c r="J132" s="1">
        <v>539.60299999999995</v>
      </c>
      <c r="K132" s="1">
        <v>-1.1073133630840615</v>
      </c>
      <c r="L132" s="1">
        <v>98.903999999999996</v>
      </c>
      <c r="M132" s="1">
        <v>-1.165184370940342</v>
      </c>
      <c r="N132" s="1">
        <v>-64.472279795123868</v>
      </c>
      <c r="O132" s="1">
        <v>325465</v>
      </c>
      <c r="P132" s="1">
        <v>-2.767902488572882</v>
      </c>
      <c r="Q132" s="1">
        <v>10.341342041831902</v>
      </c>
      <c r="R132" s="1">
        <v>-4.2</v>
      </c>
      <c r="S132" s="1">
        <v>3.1199999999999983</v>
      </c>
      <c r="V132" s="20">
        <f t="shared" si="21"/>
        <v>-13.58303066724956</v>
      </c>
      <c r="W132" s="20">
        <f t="shared" si="22"/>
        <v>-7.3533333333333317</v>
      </c>
      <c r="X132" s="20">
        <f t="shared" si="22"/>
        <v>-3.4199999999999982</v>
      </c>
      <c r="Y132" s="20">
        <v>11.251772521103426</v>
      </c>
      <c r="Z132" s="20">
        <f t="shared" si="23"/>
        <v>-2.4127480777229522</v>
      </c>
      <c r="AA132" s="19">
        <f>+AVERAGE(M130:M132)*AVERAGE($F$15:F132)</f>
        <v>1.7437758356948769</v>
      </c>
      <c r="AB132" s="19">
        <f t="shared" si="24"/>
        <v>-41.768981769857476</v>
      </c>
      <c r="AC132" s="19">
        <f t="shared" si="25"/>
        <v>-1.3229337499763887</v>
      </c>
      <c r="AD132" s="21">
        <f t="shared" si="26"/>
        <v>2.5358914709705451</v>
      </c>
      <c r="AE132" s="19"/>
      <c r="AG132" s="20">
        <f>(V132- AVERAGE(V$41:V132))/_xlfn.STDEV.S(V97:V132)</f>
        <v>-1.5653871823729755</v>
      </c>
      <c r="AH132" s="20">
        <f>(W132- AVERAGE(W$41:W132))/_xlfn.STDEV.S(W97:W132)</f>
        <v>-1.6240893943498231</v>
      </c>
      <c r="AI132" s="20">
        <f>(X132- AVERAGE(X$41:X132))/_xlfn.STDEV.S(X97:X132)</f>
        <v>-1.5475472644365824</v>
      </c>
      <c r="AJ132" s="20">
        <f>(Y132- AVERAGE(Y$41:Y132))/_xlfn.STDEV.S(Y97:Y132)</f>
        <v>1.9727513604013958</v>
      </c>
      <c r="AK132" s="20">
        <f>(Z132- AVERAGE(Z$41:Z132))/_xlfn.STDEV.S(Z97:Z132)</f>
        <v>3.3162950160568548E-2</v>
      </c>
      <c r="AL132" s="20">
        <f>(AA132- AVERAGE(AA$41:AA132))/_xlfn.STDEV.S(AA97:AA132)</f>
        <v>1.1682506859201198</v>
      </c>
      <c r="AM132" s="20">
        <f>(AB132- AVERAGE(AB$41:AB132))/_xlfn.STDEV.S(AB97:AB132)</f>
        <v>-1.5537093412994178</v>
      </c>
      <c r="AN132" s="20">
        <f>(AC132- AVERAGE(AC$41:AC132))/_xlfn.STDEV.S(AC97:AC132)</f>
        <v>-0.57744129245101761</v>
      </c>
      <c r="AO132" s="24">
        <f>(AD132- AVERAGE(AD$41:AD132))/_xlfn.STDEV.S(AD97:AD132)</f>
        <v>-0.37883724271635821</v>
      </c>
      <c r="AP132" s="20"/>
      <c r="AQ132" s="20">
        <f t="shared" si="27"/>
        <v>-1.5653871823729755</v>
      </c>
      <c r="AR132" s="20">
        <f t="shared" si="28"/>
        <v>-1.6240893943498231</v>
      </c>
      <c r="AS132" s="20">
        <f t="shared" si="29"/>
        <v>-1.5475472644365824</v>
      </c>
      <c r="AT132" s="20">
        <f t="shared" si="30"/>
        <v>1.9727513604013958</v>
      </c>
      <c r="AU132" s="20">
        <f t="shared" si="15"/>
        <v>3.3162950160568548E-2</v>
      </c>
      <c r="AV132" s="20">
        <f t="shared" si="31"/>
        <v>1.1682506859201198</v>
      </c>
      <c r="AW132" s="20">
        <f t="shared" si="17"/>
        <v>-1.5537093412994178</v>
      </c>
      <c r="AX132" s="20">
        <f t="shared" si="32"/>
        <v>-0.57744129245101761</v>
      </c>
      <c r="AY132" s="20">
        <f t="shared" si="33"/>
        <v>-0.37883724271635821</v>
      </c>
      <c r="AZ132" s="22">
        <f t="shared" si="20"/>
        <v>-0.45253852457156563</v>
      </c>
      <c r="BA132" s="1">
        <f>+_xlfn.XLOOKUP(A132,[1]Indice!B:B,[1]Indice!AI:AI,"NOOOOOO",-1)</f>
        <v>0.64820159332357141</v>
      </c>
    </row>
    <row r="133" spans="1:53" x14ac:dyDescent="0.25">
      <c r="A133" s="2">
        <v>41943</v>
      </c>
      <c r="B133" s="15">
        <v>5794</v>
      </c>
      <c r="C133" s="19">
        <v>-3.8659366185498589</v>
      </c>
      <c r="D133" s="15">
        <v>5494</v>
      </c>
      <c r="E133" s="19">
        <v>564.94000000000005</v>
      </c>
      <c r="F133" s="18">
        <v>0.24311077282543278</v>
      </c>
      <c r="G133" s="1">
        <v>-3.6</v>
      </c>
      <c r="H133" s="1">
        <v>1.1000000000000001</v>
      </c>
      <c r="I133" s="16">
        <v>43.289970317231216</v>
      </c>
      <c r="J133" s="1">
        <v>538.63</v>
      </c>
      <c r="K133" s="1">
        <v>-1.5017134748245398</v>
      </c>
      <c r="L133" s="1">
        <v>98.05</v>
      </c>
      <c r="M133" s="1">
        <v>-1.3472315849842542</v>
      </c>
      <c r="N133" s="1">
        <v>-60.40417673231422</v>
      </c>
      <c r="O133" s="1">
        <v>348935</v>
      </c>
      <c r="P133" s="1">
        <v>-1.6547070793616836</v>
      </c>
      <c r="Q133" s="1">
        <v>-15.277698007007078</v>
      </c>
      <c r="R133" s="1">
        <v>-4.2</v>
      </c>
      <c r="S133" s="1">
        <v>3.1449999999999987</v>
      </c>
      <c r="V133" s="20">
        <f t="shared" si="21"/>
        <v>-12.424690442326227</v>
      </c>
      <c r="W133" s="20">
        <f t="shared" si="22"/>
        <v>-7.4116666666666653</v>
      </c>
      <c r="X133" s="20">
        <f t="shared" si="22"/>
        <v>-3.1449999999999987</v>
      </c>
      <c r="Y133" s="20">
        <v>10.980825179469889</v>
      </c>
      <c r="Z133" s="20">
        <f t="shared" si="23"/>
        <v>-1.6988250937033156</v>
      </c>
      <c r="AA133" s="19">
        <f>+AVERAGE(M131:M133)*AVERAGE($F$15:F133)</f>
        <v>0.72990404470724446</v>
      </c>
      <c r="AB133" s="19">
        <f t="shared" si="24"/>
        <v>-54.446058452116283</v>
      </c>
      <c r="AC133" s="19">
        <f t="shared" si="25"/>
        <v>-1.8250179540897211</v>
      </c>
      <c r="AD133" s="21">
        <f t="shared" si="26"/>
        <v>-0.98984147534740075</v>
      </c>
      <c r="AE133" s="19"/>
      <c r="AG133" s="20">
        <f>(V133- AVERAGE(V$41:V133))/_xlfn.STDEV.S(V98:V133)</f>
        <v>-1.6072040442157733</v>
      </c>
      <c r="AH133" s="20">
        <f>(W133- AVERAGE(W$41:W133))/_xlfn.STDEV.S(W98:W133)</f>
        <v>-1.6313032589843932</v>
      </c>
      <c r="AI133" s="20">
        <f>(X133- AVERAGE(X$41:X133))/_xlfn.STDEV.S(X98:X133)</f>
        <v>-1.3857377073647432</v>
      </c>
      <c r="AJ133" s="20">
        <f>(Y133- AVERAGE(Y$41:Y133))/_xlfn.STDEV.S(Y98:Y133)</f>
        <v>1.8196696814621356</v>
      </c>
      <c r="AK133" s="20">
        <f>(Z133- AVERAGE(Z$41:Z133))/_xlfn.STDEV.S(Z98:Z133)</f>
        <v>0.25568145937050174</v>
      </c>
      <c r="AL133" s="20">
        <f>(AA133- AVERAGE(AA$41:AA133))/_xlfn.STDEV.S(AA98:AA133)</f>
        <v>0.80750869585252327</v>
      </c>
      <c r="AM133" s="20">
        <f>(AB133- AVERAGE(AB$41:AB133))/_xlfn.STDEV.S(AB98:AB133)</f>
        <v>-2.3411377400693909</v>
      </c>
      <c r="AN133" s="20">
        <f>(AC133- AVERAGE(AC$41:AC133))/_xlfn.STDEV.S(AC98:AC133)</f>
        <v>-0.70087480078692022</v>
      </c>
      <c r="AO133" s="24">
        <f>(AD133- AVERAGE(AD$41:AD133))/_xlfn.STDEV.S(AD98:AD133)</f>
        <v>-0.60078882824780044</v>
      </c>
      <c r="AP133" s="20"/>
      <c r="AQ133" s="20">
        <f t="shared" si="27"/>
        <v>-1.6072040442157733</v>
      </c>
      <c r="AR133" s="20">
        <f t="shared" si="28"/>
        <v>-1.6313032589843932</v>
      </c>
      <c r="AS133" s="20">
        <f t="shared" si="29"/>
        <v>-1.3857377073647432</v>
      </c>
      <c r="AT133" s="20">
        <f t="shared" si="30"/>
        <v>1.8196696814621356</v>
      </c>
      <c r="AU133" s="20">
        <f t="shared" si="15"/>
        <v>0.25568145937050174</v>
      </c>
      <c r="AV133" s="20">
        <f t="shared" si="31"/>
        <v>0.80750869585252327</v>
      </c>
      <c r="AW133" s="20">
        <f t="shared" si="17"/>
        <v>-2.3411377400693909</v>
      </c>
      <c r="AX133" s="20">
        <f t="shared" si="32"/>
        <v>-0.70087480078692022</v>
      </c>
      <c r="AY133" s="20">
        <f t="shared" si="33"/>
        <v>-0.60078882824780044</v>
      </c>
      <c r="AZ133" s="22">
        <f t="shared" si="20"/>
        <v>-0.59824294922042898</v>
      </c>
      <c r="BA133" s="1">
        <f>+_xlfn.XLOOKUP(A133,[1]Indice!B:B,[1]Indice!AI:AI,"NOOOOOO",-1)</f>
        <v>0.62430063539202774</v>
      </c>
    </row>
    <row r="134" spans="1:53" x14ac:dyDescent="0.25">
      <c r="A134" s="2">
        <v>41973</v>
      </c>
      <c r="B134" s="15">
        <v>4889</v>
      </c>
      <c r="C134" s="19">
        <v>-3.9489194499017666</v>
      </c>
      <c r="D134" s="15">
        <v>4651</v>
      </c>
      <c r="E134" s="19">
        <v>564.94000000000005</v>
      </c>
      <c r="F134" s="18">
        <v>0.24020426947994478</v>
      </c>
      <c r="G134" s="1">
        <v>-3.3</v>
      </c>
      <c r="H134" s="1">
        <v>0.4</v>
      </c>
      <c r="I134" s="16">
        <v>41.208215499893512</v>
      </c>
      <c r="J134" s="1">
        <v>533.65</v>
      </c>
      <c r="K134" s="1">
        <v>-1.7779904658482226</v>
      </c>
      <c r="L134" s="1">
        <v>94.843000000000004</v>
      </c>
      <c r="M134" s="1">
        <v>-4.1747916140439383</v>
      </c>
      <c r="N134" s="1">
        <v>-44.437476998728933</v>
      </c>
      <c r="O134" s="1">
        <v>347015</v>
      </c>
      <c r="P134" s="1">
        <v>-2.6272665540521545</v>
      </c>
      <c r="Q134" s="1">
        <v>-37.041615162752372</v>
      </c>
      <c r="R134" s="1">
        <v>-4.2</v>
      </c>
      <c r="S134" s="1">
        <v>3.1699999999999995</v>
      </c>
      <c r="V134" s="20">
        <f t="shared" si="21"/>
        <v>-10.154885814515707</v>
      </c>
      <c r="W134" s="20">
        <f t="shared" si="22"/>
        <v>-6.67</v>
      </c>
      <c r="X134" s="20">
        <f t="shared" si="22"/>
        <v>-2.6033333333333326</v>
      </c>
      <c r="Y134" s="20">
        <v>9.6990055845879297</v>
      </c>
      <c r="Z134" s="20">
        <f t="shared" si="23"/>
        <v>-1.4623391012522748</v>
      </c>
      <c r="AA134" s="19">
        <f>+AVERAGE(M132:M134)*AVERAGE($F$15:F134)</f>
        <v>-0.66167350652869095</v>
      </c>
      <c r="AB134" s="19">
        <f t="shared" si="24"/>
        <v>-56.437977842055666</v>
      </c>
      <c r="AC134" s="19">
        <f t="shared" si="25"/>
        <v>-2.349958707328907</v>
      </c>
      <c r="AD134" s="21">
        <f t="shared" si="26"/>
        <v>-13.992657042642515</v>
      </c>
      <c r="AE134" s="19"/>
      <c r="AG134" s="20">
        <f>(V134- AVERAGE(V$41:V134))/_xlfn.STDEV.S(V99:V134)</f>
        <v>-1.4639664372068266</v>
      </c>
      <c r="AH134" s="20">
        <f>(W134- AVERAGE(W$41:W134))/_xlfn.STDEV.S(W99:W134)</f>
        <v>-1.3953985722522684</v>
      </c>
      <c r="AI134" s="20">
        <f>(X134- AVERAGE(X$41:X134))/_xlfn.STDEV.S(X99:X134)</f>
        <v>-1.0704689687366871</v>
      </c>
      <c r="AJ134" s="20">
        <f>(Y134- AVERAGE(Y$41:Y134))/_xlfn.STDEV.S(Y99:Y134)</f>
        <v>1.5841006114469747</v>
      </c>
      <c r="AK134" s="20">
        <f>(Z134- AVERAGE(Z$41:Z134))/_xlfn.STDEV.S(Z99:Z134)</f>
        <v>0.32660050153563586</v>
      </c>
      <c r="AL134" s="20">
        <f>(AA134- AVERAGE(AA$41:AA134))/_xlfn.STDEV.S(AA99:AA134)</f>
        <v>0.33209833349794959</v>
      </c>
      <c r="AM134" s="20">
        <f>(AB134- AVERAGE(AB$41:AB134))/_xlfn.STDEV.S(AB99:AB134)</f>
        <v>-2.5001455607561054</v>
      </c>
      <c r="AN134" s="20">
        <f>(AC134- AVERAGE(AC$41:AC134))/_xlfn.STDEV.S(AC99:AC134)</f>
        <v>-0.8563956216488916</v>
      </c>
      <c r="AO134" s="24">
        <f>(AD134- AVERAGE(AD$41:AD134))/_xlfn.STDEV.S(AD99:AD134)</f>
        <v>-1.1154492146224853</v>
      </c>
      <c r="AP134" s="20"/>
      <c r="AQ134" s="20">
        <f t="shared" si="27"/>
        <v>-1.4639664372068266</v>
      </c>
      <c r="AR134" s="20">
        <f t="shared" si="28"/>
        <v>-1.3953985722522684</v>
      </c>
      <c r="AS134" s="20">
        <f t="shared" si="29"/>
        <v>-1.0704689687366871</v>
      </c>
      <c r="AT134" s="20">
        <f t="shared" si="30"/>
        <v>1.5841006114469747</v>
      </c>
      <c r="AU134" s="20">
        <f t="shared" si="15"/>
        <v>0.32660050153563586</v>
      </c>
      <c r="AV134" s="20">
        <f t="shared" si="31"/>
        <v>0.33209833349794959</v>
      </c>
      <c r="AW134" s="20">
        <f t="shared" si="17"/>
        <v>-2.5001455607561054</v>
      </c>
      <c r="AX134" s="20">
        <f t="shared" si="32"/>
        <v>-0.8563956216488916</v>
      </c>
      <c r="AY134" s="20">
        <f t="shared" si="33"/>
        <v>-1.1154492146224853</v>
      </c>
      <c r="AZ134" s="22">
        <f t="shared" si="20"/>
        <v>-0.6843361031936338</v>
      </c>
      <c r="BA134" s="1">
        <f>+_xlfn.XLOOKUP(A134,[1]Indice!B:B,[1]Indice!AI:AI,"NOOOOOO",-1)</f>
        <v>0.61077318300717953</v>
      </c>
    </row>
    <row r="135" spans="1:53" x14ac:dyDescent="0.25">
      <c r="A135" s="2">
        <v>42004</v>
      </c>
      <c r="B135" s="15">
        <v>4502</v>
      </c>
      <c r="C135" s="19">
        <v>-9.0688749747525712</v>
      </c>
      <c r="D135" s="15">
        <v>4300</v>
      </c>
      <c r="E135" s="19">
        <v>588.64</v>
      </c>
      <c r="F135" s="18">
        <v>0.22788121772220712</v>
      </c>
      <c r="G135" s="1">
        <v>-1.5</v>
      </c>
      <c r="H135" s="1">
        <v>2.5</v>
      </c>
      <c r="I135" s="16">
        <v>38.586378509224474</v>
      </c>
      <c r="J135" s="1">
        <v>534.52499999999998</v>
      </c>
      <c r="K135" s="1">
        <v>-1.1142396234931962</v>
      </c>
      <c r="L135" s="1">
        <v>92.013999999999996</v>
      </c>
      <c r="M135" s="1">
        <v>-10.396338494498004</v>
      </c>
      <c r="N135" s="1">
        <v>-35.085625145437781</v>
      </c>
      <c r="O135" s="1">
        <v>352979</v>
      </c>
      <c r="P135" s="1">
        <v>6.7385355085501697</v>
      </c>
      <c r="Q135" s="1">
        <v>-39.465730287136637</v>
      </c>
      <c r="R135" s="1">
        <v>-2.8</v>
      </c>
      <c r="S135" s="1">
        <v>3.1183333333333323</v>
      </c>
      <c r="V135" s="20">
        <f t="shared" si="21"/>
        <v>-8.7462436810680657</v>
      </c>
      <c r="W135" s="20">
        <f t="shared" si="22"/>
        <v>-5.918333333333333</v>
      </c>
      <c r="X135" s="20">
        <f t="shared" si="22"/>
        <v>-1.784999999999999</v>
      </c>
      <c r="Y135" s="20">
        <v>7.02212794413974</v>
      </c>
      <c r="Z135" s="20">
        <f t="shared" si="23"/>
        <v>-1.4646478547219861</v>
      </c>
      <c r="AA135" s="19">
        <f>+AVERAGE(M133:M135)*AVERAGE($F$15:F135)</f>
        <v>-1.5720368243220249</v>
      </c>
      <c r="AB135" s="19">
        <f t="shared" si="24"/>
        <v>-46.642426292160309</v>
      </c>
      <c r="AC135" s="19">
        <f t="shared" si="25"/>
        <v>0.81885395837877739</v>
      </c>
      <c r="AD135" s="21">
        <f t="shared" si="26"/>
        <v>-30.595014485632031</v>
      </c>
      <c r="AE135" s="19"/>
      <c r="AG135" s="20">
        <f>(V135- AVERAGE(V$41:V135))/_xlfn.STDEV.S(V100:V135)</f>
        <v>-1.4050711311003643</v>
      </c>
      <c r="AH135" s="20">
        <f>(W135- AVERAGE(W$41:W135))/_xlfn.STDEV.S(W100:W135)</f>
        <v>-1.1485193787875341</v>
      </c>
      <c r="AI135" s="20">
        <f>(X135- AVERAGE(X$41:X135))/_xlfn.STDEV.S(X100:X135)</f>
        <v>-0.59213654356430812</v>
      </c>
      <c r="AJ135" s="20">
        <f>(Y135- AVERAGE(Y$41:Y135))/_xlfn.STDEV.S(Y100:Y135)</f>
        <v>1.228263004611043</v>
      </c>
      <c r="AK135" s="20">
        <f>(Z135- AVERAGE(Z$41:Z135))/_xlfn.STDEV.S(Z100:Z135)</f>
        <v>0.33745200991837437</v>
      </c>
      <c r="AL135" s="20">
        <f>(AA135- AVERAGE(AA$41:AA135))/_xlfn.STDEV.S(AA100:AA135)</f>
        <v>2.0236142019337894E-2</v>
      </c>
      <c r="AM135" s="20">
        <f>(AB135- AVERAGE(AB$41:AB135))/_xlfn.STDEV.S(AB100:AB135)</f>
        <v>-1.9613987129779797</v>
      </c>
      <c r="AN135" s="20">
        <f>(AC135- AVERAGE(AC$41:AC135))/_xlfn.STDEV.S(AC100:AC135)</f>
        <v>-9.5705286086797944E-2</v>
      </c>
      <c r="AO135" s="24">
        <f>(AD135- AVERAGE(AD$41:AD135))/_xlfn.STDEV.S(AD100:AD135)</f>
        <v>-1.7245736426928509</v>
      </c>
      <c r="AP135" s="20"/>
      <c r="AQ135" s="20">
        <f t="shared" si="27"/>
        <v>-1.4050711311003643</v>
      </c>
      <c r="AR135" s="20">
        <f t="shared" si="28"/>
        <v>-1.1485193787875341</v>
      </c>
      <c r="AS135" s="20">
        <f t="shared" si="29"/>
        <v>-0.59213654356430812</v>
      </c>
      <c r="AT135" s="20">
        <f t="shared" si="30"/>
        <v>1.228263004611043</v>
      </c>
      <c r="AU135" s="20">
        <f t="shared" si="15"/>
        <v>0.33745200991837437</v>
      </c>
      <c r="AV135" s="20">
        <f t="shared" si="31"/>
        <v>2.0236142019337894E-2</v>
      </c>
      <c r="AW135" s="20">
        <f t="shared" si="17"/>
        <v>-1.9613987129779797</v>
      </c>
      <c r="AX135" s="20">
        <f t="shared" si="32"/>
        <v>-9.5705286086797944E-2</v>
      </c>
      <c r="AY135" s="20">
        <f t="shared" si="33"/>
        <v>-1.7245736426928509</v>
      </c>
      <c r="AZ135" s="22">
        <f t="shared" si="20"/>
        <v>-0.5934948376290089</v>
      </c>
      <c r="BA135" s="1">
        <f>+_xlfn.XLOOKUP(A135,[1]Indice!B:B,[1]Indice!AI:AI,"NOOOOOO",-1)</f>
        <v>0.53173950122831282</v>
      </c>
    </row>
    <row r="136" spans="1:53" x14ac:dyDescent="0.25">
      <c r="A136" s="2">
        <v>42035</v>
      </c>
      <c r="B136" s="15">
        <v>3796</v>
      </c>
      <c r="C136" s="19">
        <v>-11.204678362573095</v>
      </c>
      <c r="D136" s="15">
        <v>4363</v>
      </c>
      <c r="E136" s="19">
        <v>588.64</v>
      </c>
      <c r="F136" s="18">
        <v>0.22488278064691491</v>
      </c>
      <c r="G136" s="1">
        <v>-2.9</v>
      </c>
      <c r="H136" s="1">
        <v>2.1</v>
      </c>
      <c r="I136" s="16">
        <v>34.741686558207199</v>
      </c>
      <c r="J136" s="1">
        <v>533.25</v>
      </c>
      <c r="K136" s="1">
        <v>-1.0911964209202596</v>
      </c>
      <c r="L136" s="1">
        <v>89.832999999999998</v>
      </c>
      <c r="M136" s="1">
        <v>-24.624730452001575</v>
      </c>
      <c r="N136" s="1">
        <v>-41.83703293661776</v>
      </c>
      <c r="O136" s="1">
        <v>379473</v>
      </c>
      <c r="P136" s="1">
        <v>16.071636130058419</v>
      </c>
      <c r="Q136" s="1">
        <v>-6.4521461237533657</v>
      </c>
      <c r="R136" s="1">
        <v>-2.8</v>
      </c>
      <c r="S136" s="1">
        <v>3.0666666666666655</v>
      </c>
      <c r="V136" s="20">
        <f t="shared" si="21"/>
        <v>-11.140824262409144</v>
      </c>
      <c r="W136" s="20">
        <f t="shared" si="22"/>
        <v>-5.633333333333332</v>
      </c>
      <c r="X136" s="20">
        <f t="shared" si="22"/>
        <v>-1.3999999999999988</v>
      </c>
      <c r="Y136" s="20">
        <v>4.1629326895634051</v>
      </c>
      <c r="Z136" s="20">
        <f t="shared" si="23"/>
        <v>-1.3278088367538927</v>
      </c>
      <c r="AA136" s="19">
        <f>+AVERAGE(M134:M136)*AVERAGE($F$15:F136)</f>
        <v>-3.863189145876329</v>
      </c>
      <c r="AB136" s="19">
        <f t="shared" si="24"/>
        <v>-40.453378360261489</v>
      </c>
      <c r="AC136" s="19">
        <f t="shared" si="25"/>
        <v>6.7276350281854782</v>
      </c>
      <c r="AD136" s="21">
        <f t="shared" si="26"/>
        <v>-27.653163857880795</v>
      </c>
      <c r="AE136" s="19"/>
      <c r="AG136" s="20">
        <f>(V136- AVERAGE(V$41:V136))/_xlfn.STDEV.S(V101:V136)</f>
        <v>-1.7823003815092995</v>
      </c>
      <c r="AH136" s="20">
        <f>(W136- AVERAGE(W$41:W136))/_xlfn.STDEV.S(W101:W136)</f>
        <v>-1.043014116349805</v>
      </c>
      <c r="AI136" s="20">
        <f>(X136- AVERAGE(X$41:X136))/_xlfn.STDEV.S(X101:X136)</f>
        <v>-0.36264778674896253</v>
      </c>
      <c r="AJ136" s="20">
        <f>(Y136- AVERAGE(Y$41:Y136))/_xlfn.STDEV.S(Y101:Y136)</f>
        <v>0.87797961764137611</v>
      </c>
      <c r="AK136" s="20">
        <f>(Z136- AVERAGE(Z$41:Z136))/_xlfn.STDEV.S(Z101:Z136)</f>
        <v>0.38656007585078006</v>
      </c>
      <c r="AL136" s="20">
        <f>(AA136- AVERAGE(AA$41:AA136))/_xlfn.STDEV.S(AA101:AA136)</f>
        <v>-0.75868896767399885</v>
      </c>
      <c r="AM136" s="20">
        <f>(AB136- AVERAGE(AB$41:AB136))/_xlfn.STDEV.S(AB101:AB136)</f>
        <v>-1.6427947859812557</v>
      </c>
      <c r="AN136" s="20">
        <f>(AC136- AVERAGE(AC$41:AC136))/_xlfn.STDEV.S(AC101:AC136)</f>
        <v>1.3965290738159224</v>
      </c>
      <c r="AO136" s="24">
        <f>(AD136- AVERAGE(AD$41:AD136))/_xlfn.STDEV.S(AD101:AD136)</f>
        <v>-1.6462976858587719</v>
      </c>
      <c r="AP136" s="20"/>
      <c r="AQ136" s="20">
        <f t="shared" si="27"/>
        <v>-1.7823003815092995</v>
      </c>
      <c r="AR136" s="20">
        <f t="shared" si="28"/>
        <v>-1.043014116349805</v>
      </c>
      <c r="AS136" s="20">
        <f t="shared" si="29"/>
        <v>-0.36264778674896253</v>
      </c>
      <c r="AT136" s="20">
        <f t="shared" si="30"/>
        <v>0.87797961764137611</v>
      </c>
      <c r="AU136" s="20">
        <f t="shared" si="15"/>
        <v>0.38656007585078006</v>
      </c>
      <c r="AV136" s="20">
        <f t="shared" si="31"/>
        <v>-0.75868896767399885</v>
      </c>
      <c r="AW136" s="20">
        <f t="shared" si="17"/>
        <v>-1.6427947859812557</v>
      </c>
      <c r="AX136" s="20">
        <f t="shared" si="32"/>
        <v>1.3965290738159224</v>
      </c>
      <c r="AY136" s="20">
        <f t="shared" si="33"/>
        <v>-1.6462976858587719</v>
      </c>
      <c r="AZ136" s="22">
        <f t="shared" si="20"/>
        <v>-0.50829721742377953</v>
      </c>
      <c r="BA136" s="1">
        <f>+_xlfn.XLOOKUP(A136,[1]Indice!B:B,[1]Indice!AI:AI,"NOOOOOO",-1)</f>
        <v>0.52706434537464653</v>
      </c>
    </row>
    <row r="137" spans="1:53" x14ac:dyDescent="0.25">
      <c r="A137" s="2">
        <v>42063</v>
      </c>
      <c r="B137" s="15">
        <v>3872</v>
      </c>
      <c r="C137" s="19">
        <v>-16.695352839931154</v>
      </c>
      <c r="D137" s="15">
        <v>4085</v>
      </c>
      <c r="E137" s="19">
        <v>588.64</v>
      </c>
      <c r="F137" s="18">
        <v>0.22109778472410982</v>
      </c>
      <c r="G137" s="1">
        <v>0.1</v>
      </c>
      <c r="H137" s="1">
        <v>2.4</v>
      </c>
      <c r="I137" s="16">
        <v>27.717211502782558</v>
      </c>
      <c r="J137" s="1">
        <v>528.83600000000001</v>
      </c>
      <c r="K137" s="1">
        <v>-1.8729705156513732</v>
      </c>
      <c r="L137" s="1">
        <v>88.197999999999993</v>
      </c>
      <c r="M137" s="1">
        <v>-22.180752975639027</v>
      </c>
      <c r="N137" s="1">
        <v>-39.611334903361438</v>
      </c>
      <c r="O137" s="1">
        <v>410246</v>
      </c>
      <c r="P137" s="1">
        <v>23.39969860401321</v>
      </c>
      <c r="Q137" s="1">
        <v>44.546837643990436</v>
      </c>
      <c r="R137" s="1">
        <v>-2.8</v>
      </c>
      <c r="S137" s="1">
        <v>3.0149999999999988</v>
      </c>
      <c r="V137" s="20">
        <f t="shared" si="21"/>
        <v>-15.337968725752273</v>
      </c>
      <c r="W137" s="20">
        <f t="shared" si="22"/>
        <v>-4.4483333333333324</v>
      </c>
      <c r="X137" s="20">
        <f t="shared" si="22"/>
        <v>-0.68166666666666531</v>
      </c>
      <c r="Y137" s="20">
        <v>-0.30976932549024383</v>
      </c>
      <c r="Z137" s="20">
        <f t="shared" si="23"/>
        <v>-1.3594688533549431</v>
      </c>
      <c r="AA137" s="19">
        <f>+AVERAGE(M135:M137)*AVERAGE($F$15:F137)</f>
        <v>-5.6263152715753044</v>
      </c>
      <c r="AB137" s="19">
        <f t="shared" si="24"/>
        <v>-38.844664328472327</v>
      </c>
      <c r="AC137" s="19">
        <f t="shared" si="25"/>
        <v>15.403290080873932</v>
      </c>
      <c r="AD137" s="21">
        <f t="shared" si="26"/>
        <v>-0.45701292229985552</v>
      </c>
      <c r="AE137" s="19"/>
      <c r="AG137" s="20">
        <f>(V137- AVERAGE(V$41:V137))/_xlfn.STDEV.S(V102:V137)</f>
        <v>-2.4562454418250641</v>
      </c>
      <c r="AH137" s="20">
        <f>(W137- AVERAGE(W$41:W137))/_xlfn.STDEV.S(W102:W137)</f>
        <v>-0.65172158597058838</v>
      </c>
      <c r="AI137" s="20">
        <f>(X137- AVERAGE(X$41:X137))/_xlfn.STDEV.S(X102:X137)</f>
        <v>5.7943110977035611E-2</v>
      </c>
      <c r="AJ137" s="20">
        <f>(Y137- AVERAGE(Y$41:Y137))/_xlfn.STDEV.S(Y102:Y137)</f>
        <v>0.35237773232337616</v>
      </c>
      <c r="AK137" s="20">
        <f>(Z137- AVERAGE(Z$41:Z137))/_xlfn.STDEV.S(Z102:Z137)</f>
        <v>0.3733072747684486</v>
      </c>
      <c r="AL137" s="20">
        <f>(AA137- AVERAGE(AA$41:AA137))/_xlfn.STDEV.S(AA102:AA137)</f>
        <v>-1.3205570747032656</v>
      </c>
      <c r="AM137" s="20">
        <f>(AB137- AVERAGE(AB$41:AB137))/_xlfn.STDEV.S(AB102:AB137)</f>
        <v>-1.6406213283552684</v>
      </c>
      <c r="AN137" s="20">
        <f>(AC137- AVERAGE(AC$41:AC137))/_xlfn.STDEV.S(AC102:AC137)</f>
        <v>3.1324437842962638</v>
      </c>
      <c r="AO137" s="24">
        <f>(AD137- AVERAGE(AD$41:AD137))/_xlfn.STDEV.S(AD102:AD137)</f>
        <v>-0.78422219264402537</v>
      </c>
      <c r="AP137" s="20"/>
      <c r="AQ137" s="20">
        <f t="shared" si="27"/>
        <v>-2.4562454418250641</v>
      </c>
      <c r="AR137" s="20">
        <f t="shared" si="28"/>
        <v>-0.65172158597058838</v>
      </c>
      <c r="AS137" s="20">
        <f t="shared" si="29"/>
        <v>5.7943110977035611E-2</v>
      </c>
      <c r="AT137" s="20">
        <f t="shared" si="30"/>
        <v>0.35237773232337616</v>
      </c>
      <c r="AU137" s="20">
        <f t="shared" si="15"/>
        <v>0.3733072747684486</v>
      </c>
      <c r="AV137" s="20">
        <f t="shared" si="31"/>
        <v>-1.3205570747032656</v>
      </c>
      <c r="AW137" s="20">
        <f t="shared" si="17"/>
        <v>-1.6406213283552684</v>
      </c>
      <c r="AX137" s="20">
        <f t="shared" si="32"/>
        <v>2.2219964550794047</v>
      </c>
      <c r="AY137" s="20">
        <f t="shared" si="33"/>
        <v>-0.78422219264402537</v>
      </c>
      <c r="AZ137" s="22">
        <f t="shared" si="20"/>
        <v>-0.42752700559443851</v>
      </c>
      <c r="BA137" s="1">
        <f>+_xlfn.XLOOKUP(A137,[1]Indice!B:B,[1]Indice!AI:AI,"NOOOOOO",-1)</f>
        <v>0.50172938958776525</v>
      </c>
    </row>
    <row r="138" spans="1:53" x14ac:dyDescent="0.25">
      <c r="A138" s="2">
        <v>42094</v>
      </c>
      <c r="B138" s="15">
        <v>4381</v>
      </c>
      <c r="C138" s="19">
        <v>-10.828414410747001</v>
      </c>
      <c r="D138" s="15">
        <v>5059</v>
      </c>
      <c r="E138" s="19">
        <v>586.41</v>
      </c>
      <c r="F138" s="18">
        <v>0.22046690881806244</v>
      </c>
      <c r="G138" s="1">
        <v>3.4</v>
      </c>
      <c r="H138" s="1">
        <v>3.1</v>
      </c>
      <c r="I138" s="16">
        <v>25.132210719343572</v>
      </c>
      <c r="J138" s="1">
        <v>531.49099999999999</v>
      </c>
      <c r="K138" s="1">
        <v>-0.59959191841361115</v>
      </c>
      <c r="L138" s="1">
        <v>83.731999999999999</v>
      </c>
      <c r="M138" s="1">
        <v>-25.482797287435698</v>
      </c>
      <c r="N138" s="1">
        <v>-35.587961913527444</v>
      </c>
      <c r="O138" s="1">
        <v>437983</v>
      </c>
      <c r="P138" s="1">
        <v>25.704388057045602</v>
      </c>
      <c r="Q138" s="1">
        <v>22.395685495316474</v>
      </c>
      <c r="R138" s="1">
        <v>0.3</v>
      </c>
      <c r="S138" s="1">
        <v>2.9249999999999985</v>
      </c>
      <c r="V138" s="20">
        <f t="shared" si="21"/>
        <v>-15.834481871083749</v>
      </c>
      <c r="W138" s="20">
        <f t="shared" si="22"/>
        <v>-2.7249999999999983</v>
      </c>
      <c r="X138" s="20">
        <f t="shared" si="22"/>
        <v>-0.39166666666666528</v>
      </c>
      <c r="Y138" s="20">
        <v>-4.7567323742538825</v>
      </c>
      <c r="Z138" s="20">
        <f t="shared" si="23"/>
        <v>-1.1879196183284146</v>
      </c>
      <c r="AA138" s="19">
        <f>+AVERAGE(M136:M138)*AVERAGE($F$15:F138)</f>
        <v>-7.0957061120162788</v>
      </c>
      <c r="AB138" s="19">
        <f t="shared" si="24"/>
        <v>-39.012109917835545</v>
      </c>
      <c r="AC138" s="19">
        <f t="shared" si="25"/>
        <v>21.725240930372411</v>
      </c>
      <c r="AD138" s="21">
        <f t="shared" si="26"/>
        <v>20.163459005184517</v>
      </c>
      <c r="AE138" s="19"/>
      <c r="AG138" s="20">
        <f>(V138- AVERAGE(V$41:V138))/_xlfn.STDEV.S(V103:V138)</f>
        <v>-2.5637254210405307</v>
      </c>
      <c r="AH138" s="20">
        <f>(W138- AVERAGE(W$41:W138))/_xlfn.STDEV.S(W103:W138)</f>
        <v>-8.9681272933028452E-2</v>
      </c>
      <c r="AI138" s="20">
        <f>(X138- AVERAGE(X$41:X138))/_xlfn.STDEV.S(X103:X138)</f>
        <v>0.22410728253630532</v>
      </c>
      <c r="AJ138" s="20">
        <f>(Y138- AVERAGE(Y$41:Y138))/_xlfn.STDEV.S(Y103:Y138)</f>
        <v>-0.16865764568797387</v>
      </c>
      <c r="AK138" s="20">
        <f>(Z138- AVERAGE(Z$41:Z138))/_xlfn.STDEV.S(Z103:Z138)</f>
        <v>0.4450029751963242</v>
      </c>
      <c r="AL138" s="20">
        <f>(AA138- AVERAGE(AA$41:AA138))/_xlfn.STDEV.S(AA103:AA138)</f>
        <v>-1.7228060161093655</v>
      </c>
      <c r="AM138" s="20">
        <f>(AB138- AVERAGE(AB$41:AB138))/_xlfn.STDEV.S(AB103:AB138)</f>
        <v>-1.7868214221639422</v>
      </c>
      <c r="AN138" s="20">
        <f>(AC138- AVERAGE(AC$41:AC138))/_xlfn.STDEV.S(AC103:AC138)</f>
        <v>3.669407778884596</v>
      </c>
      <c r="AO138" s="24">
        <f>(AD138- AVERAGE(AD$41:AD138))/_xlfn.STDEV.S(AD103:AD138)</f>
        <v>-0.11083000919897062</v>
      </c>
      <c r="AP138" s="20"/>
      <c r="AQ138" s="20">
        <f t="shared" si="27"/>
        <v>-2.5637254210405307</v>
      </c>
      <c r="AR138" s="20">
        <f t="shared" si="28"/>
        <v>-8.9681272933028452E-2</v>
      </c>
      <c r="AS138" s="20">
        <f t="shared" si="29"/>
        <v>0.22410728253630532</v>
      </c>
      <c r="AT138" s="20">
        <f t="shared" si="30"/>
        <v>-0.16865764568797387</v>
      </c>
      <c r="AU138" s="20">
        <f t="shared" si="15"/>
        <v>0.4450029751963242</v>
      </c>
      <c r="AV138" s="20">
        <f t="shared" si="31"/>
        <v>-1.7228060161093655</v>
      </c>
      <c r="AW138" s="20">
        <f t="shared" si="17"/>
        <v>-1.7868214221639422</v>
      </c>
      <c r="AX138" s="20">
        <f t="shared" si="32"/>
        <v>2.2219964550794047</v>
      </c>
      <c r="AY138" s="20">
        <f t="shared" si="33"/>
        <v>-0.11083000919897062</v>
      </c>
      <c r="AZ138" s="22">
        <f t="shared" si="20"/>
        <v>-0.39460167492464193</v>
      </c>
      <c r="BA138" s="1">
        <f>+_xlfn.XLOOKUP(A138,[1]Indice!B:B,[1]Indice!AI:AI,"NOOOOOO",-1)</f>
        <v>0.5041976918861204</v>
      </c>
    </row>
    <row r="139" spans="1:53" x14ac:dyDescent="0.25">
      <c r="A139" s="2">
        <v>42124</v>
      </c>
      <c r="B139" s="15">
        <v>5155</v>
      </c>
      <c r="C139" s="19">
        <v>-20.435252353758294</v>
      </c>
      <c r="D139" s="15">
        <v>4933</v>
      </c>
      <c r="E139" s="19">
        <v>586.41</v>
      </c>
      <c r="F139" s="18">
        <v>0.21697617707747138</v>
      </c>
      <c r="G139" s="1">
        <v>3.4</v>
      </c>
      <c r="H139" s="1">
        <v>2.9</v>
      </c>
      <c r="I139" s="16">
        <v>24.813100833055056</v>
      </c>
      <c r="J139" s="1">
        <v>533.28599999999994</v>
      </c>
      <c r="K139" s="1">
        <v>3.6172763465450508</v>
      </c>
      <c r="L139" s="1">
        <v>85.584999999999994</v>
      </c>
      <c r="M139" s="1">
        <v>-22.371177969868207</v>
      </c>
      <c r="N139" s="1">
        <v>-34.506425859544706</v>
      </c>
      <c r="O139" s="1">
        <v>458181</v>
      </c>
      <c r="P139" s="1">
        <v>24.649324221385505</v>
      </c>
      <c r="Q139" s="1">
        <v>4.5471410314548377</v>
      </c>
      <c r="R139" s="1">
        <v>0.3</v>
      </c>
      <c r="S139" s="1">
        <v>2.8349999999999986</v>
      </c>
      <c r="V139" s="20">
        <f t="shared" si="21"/>
        <v>-18.821339868145483</v>
      </c>
      <c r="W139" s="20">
        <f t="shared" si="22"/>
        <v>-0.53499999999999837</v>
      </c>
      <c r="X139" s="20">
        <f t="shared" si="22"/>
        <v>-3.4999999999998366E-2</v>
      </c>
      <c r="Y139" s="20">
        <v>-8.0358346954329285</v>
      </c>
      <c r="Z139" s="20">
        <f t="shared" si="23"/>
        <v>0.38157130416002216</v>
      </c>
      <c r="AA139" s="19">
        <f>+AVERAGE(M137:M139)*AVERAGE($F$15:F139)</f>
        <v>-6.8600271836147</v>
      </c>
      <c r="AB139" s="19">
        <f t="shared" si="24"/>
        <v>-36.56857422547786</v>
      </c>
      <c r="AC139" s="19">
        <f t="shared" si="25"/>
        <v>24.584470294148105</v>
      </c>
      <c r="AD139" s="21">
        <f t="shared" si="26"/>
        <v>23.829888056920584</v>
      </c>
      <c r="AE139" s="19"/>
      <c r="AG139" s="20">
        <f>(V139- AVERAGE(V$41:V139))/_xlfn.STDEV.S(V104:V139)</f>
        <v>-2.9735358615448164</v>
      </c>
      <c r="AH139" s="20">
        <f>(W139- AVERAGE(W$41:W139))/_xlfn.STDEV.S(W104:W139)</f>
        <v>0.61134941692744638</v>
      </c>
      <c r="AI139" s="20">
        <f>(X139- AVERAGE(X$41:X139))/_xlfn.STDEV.S(X104:X139)</f>
        <v>0.43007375388608704</v>
      </c>
      <c r="AJ139" s="20">
        <f>(Y139- AVERAGE(Y$41:Y139))/_xlfn.STDEV.S(Y104:Y139)</f>
        <v>-0.54871229279095979</v>
      </c>
      <c r="AK139" s="20">
        <f>(Z139- AVERAGE(Z$41:Z139))/_xlfn.STDEV.S(Z104:Z139)</f>
        <v>0.97764866919219873</v>
      </c>
      <c r="AL139" s="20">
        <f>(AA139- AVERAGE(AA$41:AA139))/_xlfn.STDEV.S(AA104:AA139)</f>
        <v>-1.584480286679125</v>
      </c>
      <c r="AM139" s="20">
        <f>(AB139- AVERAGE(AB$41:AB139))/_xlfn.STDEV.S(AB104:AB139)</f>
        <v>-1.6892800111930009</v>
      </c>
      <c r="AN139" s="20">
        <f>(AC139- AVERAGE(AC$41:AC139))/_xlfn.STDEV.S(AC104:AC139)</f>
        <v>3.4756885952273735</v>
      </c>
      <c r="AO139" s="24">
        <f>(AD139- AVERAGE(AD$41:AD139))/_xlfn.STDEV.S(AD104:AD139)</f>
        <v>1.1060342559699612E-2</v>
      </c>
      <c r="AP139" s="20"/>
      <c r="AQ139" s="20">
        <f t="shared" si="27"/>
        <v>-2.9735358615448164</v>
      </c>
      <c r="AR139" s="20">
        <f t="shared" si="28"/>
        <v>0.61134941692744638</v>
      </c>
      <c r="AS139" s="20">
        <f t="shared" si="29"/>
        <v>0.43007375388608704</v>
      </c>
      <c r="AT139" s="20">
        <f t="shared" si="30"/>
        <v>-0.54871229279095979</v>
      </c>
      <c r="AU139" s="20">
        <f t="shared" si="15"/>
        <v>0.97764866919219873</v>
      </c>
      <c r="AV139" s="20">
        <f t="shared" si="31"/>
        <v>-1.584480286679125</v>
      </c>
      <c r="AW139" s="20">
        <f t="shared" si="17"/>
        <v>-1.6892800111930009</v>
      </c>
      <c r="AX139" s="20">
        <f t="shared" si="32"/>
        <v>2.2219964550794047</v>
      </c>
      <c r="AY139" s="20">
        <f t="shared" si="33"/>
        <v>1.1060342559699612E-2</v>
      </c>
      <c r="AZ139" s="22">
        <f t="shared" si="20"/>
        <v>-0.28265331272922939</v>
      </c>
      <c r="BA139" s="1">
        <f>+_xlfn.XLOOKUP(A139,[1]Indice!B:B,[1]Indice!AI:AI,"NOOOOOO",-1)</f>
        <v>0.46141607636535625</v>
      </c>
    </row>
    <row r="140" spans="1:53" x14ac:dyDescent="0.25">
      <c r="A140" s="2">
        <v>42155</v>
      </c>
      <c r="B140" s="15">
        <v>5206</v>
      </c>
      <c r="C140" s="19">
        <v>-27.482936342108932</v>
      </c>
      <c r="D140" s="15">
        <v>5003</v>
      </c>
      <c r="E140" s="19">
        <v>586.41</v>
      </c>
      <c r="F140" s="18">
        <v>0.21229174127317066</v>
      </c>
      <c r="G140" s="1">
        <v>2.9</v>
      </c>
      <c r="H140" s="1">
        <v>0.9</v>
      </c>
      <c r="I140" s="16">
        <v>24.027220119080223</v>
      </c>
      <c r="J140" s="1">
        <v>536.36400000000003</v>
      </c>
      <c r="K140" s="1">
        <v>1.4968190230370215</v>
      </c>
      <c r="L140" s="1">
        <v>83.153999999999996</v>
      </c>
      <c r="M140" s="1">
        <v>-23.622936816290551</v>
      </c>
      <c r="N140" s="1">
        <v>-32.334402391176354</v>
      </c>
      <c r="O140" s="1">
        <v>444464</v>
      </c>
      <c r="P140" s="1">
        <v>24.168950498811292</v>
      </c>
      <c r="Q140" s="1">
        <v>18.21090839621742</v>
      </c>
      <c r="R140" s="1">
        <v>0.3</v>
      </c>
      <c r="S140" s="1">
        <v>2.7449999999999983</v>
      </c>
      <c r="V140" s="20">
        <f t="shared" si="21"/>
        <v>-22.327201035538074</v>
      </c>
      <c r="W140" s="20">
        <f t="shared" si="22"/>
        <v>0.48833333333333462</v>
      </c>
      <c r="X140" s="20">
        <f t="shared" si="22"/>
        <v>-0.44499999999999806</v>
      </c>
      <c r="Y140" s="20">
        <v>-9.2200868613020397</v>
      </c>
      <c r="Z140" s="20">
        <f t="shared" si="23"/>
        <v>1.5048344837228205</v>
      </c>
      <c r="AA140" s="19">
        <f>+AVERAGE(M138:M140)*AVERAGE($F$15:F140)</f>
        <v>-6.9858686156573437</v>
      </c>
      <c r="AB140" s="19">
        <f t="shared" si="24"/>
        <v>-34.142930054749506</v>
      </c>
      <c r="AC140" s="19">
        <f t="shared" si="25"/>
        <v>24.840887592414134</v>
      </c>
      <c r="AD140" s="21">
        <f t="shared" si="26"/>
        <v>15.051244974329578</v>
      </c>
      <c r="AE140" s="19"/>
      <c r="AG140" s="20">
        <f>(V140- AVERAGE(V$41:V140))/_xlfn.STDEV.S(V105:V140)</f>
        <v>-3.320482261643547</v>
      </c>
      <c r="AH140" s="20">
        <f>(W140- AVERAGE(W$41:W140))/_xlfn.STDEV.S(W105:W140)</f>
        <v>0.93585174360883039</v>
      </c>
      <c r="AI140" s="20">
        <f>(X140- AVERAGE(X$41:X140))/_xlfn.STDEV.S(X105:X140)</f>
        <v>0.19687990421695686</v>
      </c>
      <c r="AJ140" s="20">
        <f>(Y140- AVERAGE(Y$41:Y140))/_xlfn.STDEV.S(Y105:Y140)</f>
        <v>-0.67846264787682997</v>
      </c>
      <c r="AK140" s="20">
        <f>(Z140- AVERAGE(Z$41:Z140))/_xlfn.STDEV.S(Z105:Z140)</f>
        <v>1.382498068738691</v>
      </c>
      <c r="AL140" s="20">
        <f>(AA140- AVERAGE(AA$41:AA140))/_xlfn.STDEV.S(AA105:AA140)</f>
        <v>-1.5779179250064375</v>
      </c>
      <c r="AM140" s="20">
        <f>(AB140- AVERAGE(AB$41:AB140))/_xlfn.STDEV.S(AB105:AB140)</f>
        <v>-1.5166939408858007</v>
      </c>
      <c r="AN140" s="20">
        <f>(AC140- AVERAGE(AC$41:AC140))/_xlfn.STDEV.S(AC105:AC140)</f>
        <v>3.0645058147715187</v>
      </c>
      <c r="AO140" s="24">
        <f>(AD140- AVERAGE(AD$41:AD140))/_xlfn.STDEV.S(AD105:AD140)</f>
        <v>-0.27764367596271833</v>
      </c>
      <c r="AP140" s="20"/>
      <c r="AQ140" s="20">
        <f t="shared" ref="AQ140:AQ171" si="34">+IF(AG140&gt;AG$2,AG$2,IF(AG140&lt;AG$1,AG$1,AG140))</f>
        <v>-3.320482261643547</v>
      </c>
      <c r="AR140" s="20">
        <f t="shared" ref="AR140:AR171" si="35">+IF(AH140&gt;AH$2,AH$2,IF(AH140&lt;AH$1,AH$1,AH140))</f>
        <v>0.93585174360883039</v>
      </c>
      <c r="AS140" s="20">
        <f t="shared" ref="AS140:AS171" si="36">+IF(AI140&gt;AI$2,AI$2,IF(AI140&lt;AI$1,AI$1,AI140))</f>
        <v>0.19687990421695686</v>
      </c>
      <c r="AT140" s="20">
        <f t="shared" ref="AT140" si="37">+IF(AJ140&gt;AJ$2,AJ$2,IF(AJ140&lt;AJ$1,AJ$1,AJ140))</f>
        <v>-0.67846264787682997</v>
      </c>
      <c r="AU140" s="20">
        <f t="shared" si="15"/>
        <v>1.382498068738691</v>
      </c>
      <c r="AV140" s="20">
        <f t="shared" si="31"/>
        <v>-1.5779179250064375</v>
      </c>
      <c r="AW140" s="20">
        <f t="shared" si="17"/>
        <v>-1.5166939408858007</v>
      </c>
      <c r="AX140" s="20">
        <f t="shared" si="32"/>
        <v>2.2219964550794047</v>
      </c>
      <c r="AY140" s="20">
        <f t="shared" si="33"/>
        <v>-0.27764367596271833</v>
      </c>
      <c r="AZ140" s="22">
        <f t="shared" si="20"/>
        <v>-0.29266380885905008</v>
      </c>
      <c r="BA140" s="1">
        <f>+_xlfn.XLOOKUP(A140,[1]Indice!B:B,[1]Indice!AI:AI,"NOOOOOO",-1)</f>
        <v>0.47598633676735141</v>
      </c>
    </row>
    <row r="141" spans="1:53" x14ac:dyDescent="0.25">
      <c r="A141" s="2">
        <v>42185</v>
      </c>
      <c r="B141" s="15">
        <v>6046</v>
      </c>
      <c r="C141" s="19">
        <v>-16.074403109383674</v>
      </c>
      <c r="D141" s="15">
        <v>5707</v>
      </c>
      <c r="E141" s="19">
        <v>664.83</v>
      </c>
      <c r="F141" s="18">
        <v>0.18529699321631093</v>
      </c>
      <c r="G141" s="1">
        <v>5.9</v>
      </c>
      <c r="H141" s="1">
        <v>2.9</v>
      </c>
      <c r="I141" s="16">
        <v>23.113110387295617</v>
      </c>
      <c r="J141" s="1">
        <v>533.62199999999996</v>
      </c>
      <c r="K141" s="1">
        <v>0.65775698642798197</v>
      </c>
      <c r="L141" s="1">
        <v>84.046999999999997</v>
      </c>
      <c r="M141" s="1">
        <v>-22.417198980910534</v>
      </c>
      <c r="N141" s="1">
        <v>-33.207462947659238</v>
      </c>
      <c r="O141" s="1">
        <v>433223</v>
      </c>
      <c r="P141" s="1">
        <v>22.646498447182985</v>
      </c>
      <c r="Q141" s="1">
        <v>14.174070800576821</v>
      </c>
      <c r="R141" s="1">
        <v>4</v>
      </c>
      <c r="S141" s="1">
        <v>2.5416666666666652</v>
      </c>
      <c r="V141" s="20">
        <f t="shared" si="21"/>
        <v>-23.872530601750299</v>
      </c>
      <c r="W141" s="20">
        <f t="shared" si="22"/>
        <v>1.5250000000000012</v>
      </c>
      <c r="X141" s="20">
        <f t="shared" si="22"/>
        <v>-0.30833333333333224</v>
      </c>
      <c r="Y141" s="20">
        <v>-9.859977540231359</v>
      </c>
      <c r="Z141" s="20">
        <f t="shared" si="23"/>
        <v>1.9239507853366848</v>
      </c>
      <c r="AA141" s="19">
        <f>+AVERAGE(M139:M141)*AVERAGE($F$15:F141)</f>
        <v>-6.666873038172616</v>
      </c>
      <c r="AB141" s="19">
        <f t="shared" si="24"/>
        <v>-33.349430399460097</v>
      </c>
      <c r="AC141" s="19">
        <f t="shared" si="25"/>
        <v>23.82159105579326</v>
      </c>
      <c r="AD141" s="21">
        <f t="shared" si="26"/>
        <v>12.310706742749693</v>
      </c>
      <c r="AE141" s="19"/>
      <c r="AG141" s="20">
        <f>(V141- AVERAGE(V$41:V141))/_xlfn.STDEV.S(V106:V141)</f>
        <v>-3.352367764010316</v>
      </c>
      <c r="AH141" s="20">
        <f>(W141- AVERAGE(W$41:W141))/_xlfn.STDEV.S(W106:W141)</f>
        <v>1.285153511928943</v>
      </c>
      <c r="AI141" s="20">
        <f>(X141- AVERAGE(X$41:X141))/_xlfn.STDEV.S(X106:X141)</f>
        <v>0.29375107836713626</v>
      </c>
      <c r="AJ141" s="20">
        <f>(Y141- AVERAGE(Y$41:Y141))/_xlfn.STDEV.S(Y106:Y141)</f>
        <v>-0.74255963097820532</v>
      </c>
      <c r="AK141" s="20">
        <f>(Z141- AVERAGE(Z$41:Z141))/_xlfn.STDEV.S(Z106:Z141)</f>
        <v>1.6100813736261264</v>
      </c>
      <c r="AL141" s="20">
        <f>(AA141- AVERAGE(AA$41:AA141))/_xlfn.STDEV.S(AA106:AA141)</f>
        <v>-1.4538048168075597</v>
      </c>
      <c r="AM141" s="20">
        <f>(AB141- AVERAGE(AB$41:AB141))/_xlfn.STDEV.S(AB106:AB141)</f>
        <v>-1.4308358978297526</v>
      </c>
      <c r="AN141" s="20">
        <f>(AC141- AVERAGE(AC$41:AC141))/_xlfn.STDEV.S(AC106:AC141)</f>
        <v>2.6542569967717156</v>
      </c>
      <c r="AO141" s="24">
        <f>(AD141- AVERAGE(AD$41:AD141))/_xlfn.STDEV.S(AD106:AD141)</f>
        <v>-0.36362647729270298</v>
      </c>
      <c r="AP141" s="20"/>
      <c r="AQ141" s="20">
        <f t="shared" si="34"/>
        <v>-3.352367764010316</v>
      </c>
      <c r="AR141" s="20">
        <f t="shared" si="35"/>
        <v>1.285153511928943</v>
      </c>
      <c r="AS141" s="20">
        <f t="shared" si="36"/>
        <v>0.29375107836713626</v>
      </c>
      <c r="AT141" s="20">
        <f t="shared" ref="AT141:AT172" si="38">+IF(AJ141&gt;AJ$2,AJ$2,IF(AJ141&lt;AJ$1,AJ$1,AJ141))</f>
        <v>-0.74255963097820532</v>
      </c>
      <c r="AU141" s="20">
        <f t="shared" ref="AU141:AU204" si="39">+IF(AK141&gt;AK$2,AK$2,IF(AK141&lt;AK$1,AK$1,AK141))</f>
        <v>1.6100813736261264</v>
      </c>
      <c r="AV141" s="20">
        <f t="shared" ref="AV141:AV172" si="40">+IF(AL141&gt;AL$2,AL$2,IF(AL141&lt;AL$1,AL$1,AL141))</f>
        <v>-1.4538048168075597</v>
      </c>
      <c r="AW141" s="20">
        <f t="shared" ref="AW141:AW204" si="41">+IF(AM141&gt;AM$2,AM$2,IF(AM141&lt;AM$1,AM$1,AM141))</f>
        <v>-1.4308358978297526</v>
      </c>
      <c r="AX141" s="20">
        <f t="shared" ref="AX141:AX172" si="42">+IF(AN141&gt;AN$2,AN$2,IF(AN141&lt;AN$1,AN$1,AN141))</f>
        <v>2.2219964550794047</v>
      </c>
      <c r="AY141" s="20">
        <f t="shared" ref="AY141:AY172" si="43">+IF(AO141&gt;AO$2,AO$2,IF(AO141&lt;AO$1,AO$1,AO141))</f>
        <v>-0.36362647729270298</v>
      </c>
      <c r="AZ141" s="22">
        <f t="shared" ref="AZ141:AZ204" si="44">+AVERAGE(AQ141:AY141)</f>
        <v>-0.21469024087965852</v>
      </c>
      <c r="BA141" s="1">
        <f>+_xlfn.XLOOKUP(A141,[1]Indice!B:B,[1]Indice!AI:AI,"NOOOOOO",-1)</f>
        <v>0.46585363728618523</v>
      </c>
    </row>
    <row r="142" spans="1:53" x14ac:dyDescent="0.25">
      <c r="A142" s="2">
        <v>42216</v>
      </c>
      <c r="B142" s="15">
        <v>5569</v>
      </c>
      <c r="C142" s="19">
        <v>-13.214897927380399</v>
      </c>
      <c r="D142" s="15">
        <v>5801</v>
      </c>
      <c r="E142" s="19">
        <v>664.83</v>
      </c>
      <c r="F142" s="18">
        <v>0.18350405366785494</v>
      </c>
      <c r="G142" s="1">
        <v>4.4000000000000004</v>
      </c>
      <c r="H142" s="1">
        <v>4.3</v>
      </c>
      <c r="I142" s="16">
        <v>23.554888244701143</v>
      </c>
      <c r="J142" s="1">
        <v>532.18100000000004</v>
      </c>
      <c r="K142" s="1">
        <v>1.3809407694711062</v>
      </c>
      <c r="L142" s="1">
        <v>80.363</v>
      </c>
      <c r="M142" s="1">
        <v>-24.00446348359765</v>
      </c>
      <c r="N142" s="1">
        <v>-45.152333085904047</v>
      </c>
      <c r="O142" s="1">
        <v>423226</v>
      </c>
      <c r="P142" s="1">
        <v>26.098602334110964</v>
      </c>
      <c r="Q142" s="1">
        <v>20.781803191231397</v>
      </c>
      <c r="R142" s="1">
        <v>4</v>
      </c>
      <c r="S142" s="1">
        <v>2.3383333333333325</v>
      </c>
      <c r="V142" s="20">
        <f t="shared" si="21"/>
        <v>-21.262412459624333</v>
      </c>
      <c r="W142" s="20">
        <f t="shared" si="22"/>
        <v>2.0616666666666679</v>
      </c>
      <c r="X142" s="20">
        <f t="shared" si="22"/>
        <v>0.36166666666666725</v>
      </c>
      <c r="Y142" s="20">
        <v>-10.199003868296003</v>
      </c>
      <c r="Z142" s="20">
        <f t="shared" si="23"/>
        <v>1.1785055929787032</v>
      </c>
      <c r="AA142" s="19">
        <f>+AVERAGE(M140:M142)*AVERAGE($F$15:F142)</f>
        <v>-6.8061853851811103</v>
      </c>
      <c r="AB142" s="19">
        <f t="shared" si="24"/>
        <v>-36.898066141579882</v>
      </c>
      <c r="AC142" s="19">
        <f t="shared" si="25"/>
        <v>24.304683760035079</v>
      </c>
      <c r="AD142" s="21">
        <f t="shared" si="26"/>
        <v>17.722260796008545</v>
      </c>
      <c r="AE142" s="19"/>
      <c r="AG142" s="20">
        <f>(V142- AVERAGE(V$41:V142))/_xlfn.STDEV.S(V107:V142)</f>
        <v>-2.8929851850355495</v>
      </c>
      <c r="AH142" s="20">
        <f>(W142- AVERAGE(W$41:W142))/_xlfn.STDEV.S(W107:W142)</f>
        <v>1.4427825706954502</v>
      </c>
      <c r="AI142" s="20">
        <f>(X142- AVERAGE(X$41:X142))/_xlfn.STDEV.S(X107:X142)</f>
        <v>0.72273364152450548</v>
      </c>
      <c r="AJ142" s="20">
        <f>(Y142- AVERAGE(Y$41:Y142))/_xlfn.STDEV.S(Y107:Y142)</f>
        <v>-0.77061506372927302</v>
      </c>
      <c r="AK142" s="20">
        <f>(Z142- AVERAGE(Z$41:Z142))/_xlfn.STDEV.S(Z107:Z142)</f>
        <v>1.3105028594013493</v>
      </c>
      <c r="AL142" s="20">
        <f>(AA142- AVERAGE(AA$41:AA142))/_xlfn.STDEV.S(AA107:AA142)</f>
        <v>-1.4723738086747427</v>
      </c>
      <c r="AM142" s="20">
        <f>(AB142- AVERAGE(AB$41:AB142))/_xlfn.STDEV.S(AB107:AB142)</f>
        <v>-1.7315092543579056</v>
      </c>
      <c r="AN142" s="20">
        <f>(AC142- AVERAGE(AC$41:AC142))/_xlfn.STDEV.S(AC107:AC142)</f>
        <v>2.4946507396758157</v>
      </c>
      <c r="AO142" s="24">
        <f>(AD142- AVERAGE(AD$41:AD142))/_xlfn.STDEV.S(AD107:AD142)</f>
        <v>-0.18154587746549797</v>
      </c>
      <c r="AP142" s="20"/>
      <c r="AQ142" s="20">
        <f t="shared" si="34"/>
        <v>-2.8929851850355495</v>
      </c>
      <c r="AR142" s="20">
        <f t="shared" si="35"/>
        <v>1.4427825706954502</v>
      </c>
      <c r="AS142" s="20">
        <f t="shared" si="36"/>
        <v>0.72273364152450548</v>
      </c>
      <c r="AT142" s="20">
        <f t="shared" si="38"/>
        <v>-0.77061506372927302</v>
      </c>
      <c r="AU142" s="20">
        <f t="shared" si="39"/>
        <v>1.3105028594013493</v>
      </c>
      <c r="AV142" s="20">
        <f t="shared" si="40"/>
        <v>-1.4723738086747427</v>
      </c>
      <c r="AW142" s="20">
        <f t="shared" si="41"/>
        <v>-1.7315092543579056</v>
      </c>
      <c r="AX142" s="20">
        <f t="shared" si="42"/>
        <v>2.2219964550794047</v>
      </c>
      <c r="AY142" s="20">
        <f t="shared" si="43"/>
        <v>-0.18154587746549797</v>
      </c>
      <c r="AZ142" s="22">
        <f t="shared" si="44"/>
        <v>-0.15011262917358431</v>
      </c>
      <c r="BA142" s="1">
        <f>+_xlfn.XLOOKUP(A142,[1]Indice!B:B,[1]Indice!AI:AI,"NOOOOOO",-1)</f>
        <v>0.44621696033180064</v>
      </c>
    </row>
    <row r="143" spans="1:53" x14ac:dyDescent="0.25">
      <c r="A143" s="2">
        <v>42247</v>
      </c>
      <c r="B143" s="15">
        <v>5136</v>
      </c>
      <c r="C143" s="19">
        <v>-19.999999999999996</v>
      </c>
      <c r="D143" s="15">
        <v>5605</v>
      </c>
      <c r="E143" s="19">
        <v>664.83</v>
      </c>
      <c r="F143" s="18">
        <v>0.18151407126633876</v>
      </c>
      <c r="G143" s="1">
        <v>4.5</v>
      </c>
      <c r="H143" s="1">
        <v>4.8</v>
      </c>
      <c r="I143" s="16">
        <v>22.769179647783378</v>
      </c>
      <c r="J143" s="1">
        <v>529.22400000000005</v>
      </c>
      <c r="K143" s="1">
        <v>6.6556747190271714E-2</v>
      </c>
      <c r="L143" s="1">
        <v>78.262</v>
      </c>
      <c r="M143" s="1">
        <v>-26.17697829511475</v>
      </c>
      <c r="N143" s="1">
        <v>-46.075169325990409</v>
      </c>
      <c r="O143" s="1">
        <v>423657</v>
      </c>
      <c r="P143" s="1">
        <v>29.116875280005129</v>
      </c>
      <c r="Q143" s="1">
        <v>-5.3130171774239621</v>
      </c>
      <c r="R143" s="1">
        <v>4</v>
      </c>
      <c r="S143" s="1">
        <v>2.1350000000000002</v>
      </c>
      <c r="V143" s="20">
        <f t="shared" si="21"/>
        <v>-18.564767012254691</v>
      </c>
      <c r="W143" s="20">
        <f t="shared" si="22"/>
        <v>2.7983333333333333</v>
      </c>
      <c r="X143" s="20">
        <f t="shared" si="22"/>
        <v>1.8649999999999998</v>
      </c>
      <c r="Y143" s="20">
        <v>-10.509245425829942</v>
      </c>
      <c r="Z143" s="20">
        <f t="shared" si="23"/>
        <v>0.70175150102978667</v>
      </c>
      <c r="AA143" s="19">
        <f>+AVERAGE(M141:M143)*AVERAGE($F$15:F143)</f>
        <v>-7.033725712992605</v>
      </c>
      <c r="AB143" s="19">
        <f t="shared" si="24"/>
        <v>-41.478321786517903</v>
      </c>
      <c r="AC143" s="19">
        <f t="shared" si="25"/>
        <v>25.953992020433024</v>
      </c>
      <c r="AD143" s="21">
        <f t="shared" si="26"/>
        <v>9.8809522714614193</v>
      </c>
      <c r="AE143" s="19"/>
      <c r="AG143" s="20">
        <f>(V143- AVERAGE(V$41:V143))/_xlfn.STDEV.S(V108:V143)</f>
        <v>-2.4820787215243851</v>
      </c>
      <c r="AH143" s="20">
        <f>(W143- AVERAGE(W$41:W143))/_xlfn.STDEV.S(W108:W143)</f>
        <v>1.6215789050524094</v>
      </c>
      <c r="AI143" s="20">
        <f>(X143- AVERAGE(X$41:X143))/_xlfn.STDEV.S(X108:X143)</f>
        <v>1.6090973333279357</v>
      </c>
      <c r="AJ143" s="20">
        <f>(Y143- AVERAGE(Y$41:Y143))/_xlfn.STDEV.S(Y108:Y143)</f>
        <v>-0.79537951784491534</v>
      </c>
      <c r="AK143" s="20">
        <f>(Z143- AVERAGE(Z$41:Z143))/_xlfn.STDEV.S(Z108:Z143)</f>
        <v>1.1034417857920964</v>
      </c>
      <c r="AL143" s="20">
        <f>(AA143- AVERAGE(AA$41:AA143))/_xlfn.STDEV.S(AA108:AA143)</f>
        <v>-1.5082885593547875</v>
      </c>
      <c r="AM143" s="20">
        <f>(AB143- AVERAGE(AB$41:AB143))/_xlfn.STDEV.S(AB108:AB143)</f>
        <v>-2.1282747650073368</v>
      </c>
      <c r="AN143" s="20">
        <f>(AC143- AVERAGE(AC$41:AC143))/_xlfn.STDEV.S(AC108:AC143)</f>
        <v>2.4765177737758552</v>
      </c>
      <c r="AO143" s="24">
        <f>(AD143- AVERAGE(AD$41:AD143))/_xlfn.STDEV.S(AD108:AD143)</f>
        <v>-0.43423718096848851</v>
      </c>
      <c r="AP143" s="20"/>
      <c r="AQ143" s="20">
        <f t="shared" si="34"/>
        <v>-2.4820787215243851</v>
      </c>
      <c r="AR143" s="20">
        <f t="shared" si="35"/>
        <v>1.6215789050524094</v>
      </c>
      <c r="AS143" s="20">
        <f t="shared" si="36"/>
        <v>1.6090973333279357</v>
      </c>
      <c r="AT143" s="20">
        <f t="shared" si="38"/>
        <v>-0.79537951784491534</v>
      </c>
      <c r="AU143" s="20">
        <f t="shared" si="39"/>
        <v>1.1034417857920964</v>
      </c>
      <c r="AV143" s="20">
        <f t="shared" si="40"/>
        <v>-1.5082885593547875</v>
      </c>
      <c r="AW143" s="20">
        <f t="shared" si="41"/>
        <v>-2.1282747650073368</v>
      </c>
      <c r="AX143" s="20">
        <f t="shared" si="42"/>
        <v>2.2219964550794047</v>
      </c>
      <c r="AY143" s="20">
        <f t="shared" si="43"/>
        <v>-0.43423718096848851</v>
      </c>
      <c r="AZ143" s="22">
        <f t="shared" si="44"/>
        <v>-8.8016029494229653E-2</v>
      </c>
      <c r="BA143" s="1">
        <f>+_xlfn.XLOOKUP(A143,[1]Indice!B:B,[1]Indice!AI:AI,"NOOOOOO",-1)</f>
        <v>0.43411904363293219</v>
      </c>
    </row>
    <row r="144" spans="1:53" x14ac:dyDescent="0.25">
      <c r="A144" s="2">
        <v>42277</v>
      </c>
      <c r="B144" s="15">
        <v>5162</v>
      </c>
      <c r="C144" s="19">
        <v>-9.1996481970096795</v>
      </c>
      <c r="D144" s="15">
        <v>5487</v>
      </c>
      <c r="E144" s="19">
        <v>672.91</v>
      </c>
      <c r="F144" s="18">
        <v>0.17832399577952476</v>
      </c>
      <c r="G144" s="1">
        <v>2.9</v>
      </c>
      <c r="H144" s="1">
        <v>5.2</v>
      </c>
      <c r="I144" s="16">
        <v>21.923512671603625</v>
      </c>
      <c r="J144" s="1">
        <v>529.27099999999996</v>
      </c>
      <c r="K144" s="1">
        <v>-1.9147410225665906</v>
      </c>
      <c r="L144" s="1">
        <v>75.251000000000005</v>
      </c>
      <c r="M144" s="1">
        <v>-23.915109601229467</v>
      </c>
      <c r="N144" s="1">
        <v>-48.305726400149098</v>
      </c>
      <c r="O144" s="1">
        <v>425988</v>
      </c>
      <c r="P144" s="1">
        <v>30.885963160401264</v>
      </c>
      <c r="Q144" s="1">
        <v>3.593827073497291</v>
      </c>
      <c r="R144" s="1">
        <v>4</v>
      </c>
      <c r="S144" s="1">
        <v>2.0433333333333339</v>
      </c>
      <c r="V144" s="20">
        <f t="shared" si="21"/>
        <v>-16.181515374796692</v>
      </c>
      <c r="W144" s="20">
        <f t="shared" si="22"/>
        <v>1.8899999999999997</v>
      </c>
      <c r="X144" s="20">
        <f t="shared" si="22"/>
        <v>2.7233333333333327</v>
      </c>
      <c r="Y144" s="20">
        <v>-10.895095330022279</v>
      </c>
      <c r="Z144" s="20">
        <f t="shared" si="23"/>
        <v>-0.15574783530173755</v>
      </c>
      <c r="AA144" s="19">
        <f>+AVERAGE(M142:M144)*AVERAGE($F$15:F144)</f>
        <v>-7.1575089677816512</v>
      </c>
      <c r="AB144" s="19">
        <f t="shared" si="24"/>
        <v>-46.51107627068118</v>
      </c>
      <c r="AC144" s="19">
        <f t="shared" si="25"/>
        <v>28.700480258172451</v>
      </c>
      <c r="AD144" s="21">
        <f t="shared" si="26"/>
        <v>6.3542043624349089</v>
      </c>
      <c r="AE144" s="19"/>
      <c r="AG144" s="20">
        <f>(V144- AVERAGE(V$41:V144))/_xlfn.STDEV.S(V109:V144)</f>
        <v>-2.1420697777521291</v>
      </c>
      <c r="AH144" s="20">
        <f>(W144- AVERAGE(W$41:W144))/_xlfn.STDEV.S(W109:W144)</f>
        <v>1.2964938855568333</v>
      </c>
      <c r="AI144" s="20">
        <f>(X144- AVERAGE(X$41:X144))/_xlfn.STDEV.S(X109:X144)</f>
        <v>2.0064679937401193</v>
      </c>
      <c r="AJ144" s="20">
        <f>(Y144- AVERAGE(Y$41:Y144))/_xlfn.STDEV.S(Y109:Y144)</f>
        <v>-0.82875064111840013</v>
      </c>
      <c r="AK144" s="20">
        <f>(Z144- AVERAGE(Z$41:Z144))/_xlfn.STDEV.S(Z109:Z144)</f>
        <v>0.78423898153244986</v>
      </c>
      <c r="AL144" s="20">
        <f>(AA144- AVERAGE(AA$41:AA144))/_xlfn.STDEV.S(AA109:AA144)</f>
        <v>-1.4935955432133099</v>
      </c>
      <c r="AM144" s="20">
        <f>(AB144- AVERAGE(AB$41:AB144))/_xlfn.STDEV.S(AB109:AB144)</f>
        <v>-2.5619278539736232</v>
      </c>
      <c r="AN144" s="20">
        <f>(AC144- AVERAGE(AC$41:AC144))/_xlfn.STDEV.S(AC109:AC144)</f>
        <v>2.5464834808347914</v>
      </c>
      <c r="AO144" s="24">
        <f>(AD144- AVERAGE(AD$41:AD144))/_xlfn.STDEV.S(AD109:AD144)</f>
        <v>-0.5440564550938809</v>
      </c>
      <c r="AP144" s="20"/>
      <c r="AQ144" s="20">
        <f t="shared" si="34"/>
        <v>-2.1420697777521291</v>
      </c>
      <c r="AR144" s="20">
        <f t="shared" si="35"/>
        <v>1.2964938855568333</v>
      </c>
      <c r="AS144" s="20">
        <f t="shared" si="36"/>
        <v>2.0064679937401193</v>
      </c>
      <c r="AT144" s="20">
        <f t="shared" si="38"/>
        <v>-0.82875064111840013</v>
      </c>
      <c r="AU144" s="20">
        <f t="shared" si="39"/>
        <v>0.78423898153244986</v>
      </c>
      <c r="AV144" s="20">
        <f t="shared" si="40"/>
        <v>-1.4935955432133099</v>
      </c>
      <c r="AW144" s="20">
        <f t="shared" si="41"/>
        <v>-2.5619278539736232</v>
      </c>
      <c r="AX144" s="20">
        <f t="shared" si="42"/>
        <v>2.2219964550794047</v>
      </c>
      <c r="AY144" s="20">
        <f t="shared" si="43"/>
        <v>-0.5440564550938809</v>
      </c>
      <c r="AZ144" s="22">
        <f t="shared" si="44"/>
        <v>-0.1401336616936151</v>
      </c>
      <c r="BA144" s="1">
        <f>+_xlfn.XLOOKUP(A144,[1]Indice!B:B,[1]Indice!AI:AI,"NOOOOOO",-1)</f>
        <v>0.39691309587329621</v>
      </c>
    </row>
    <row r="145" spans="1:53" x14ac:dyDescent="0.25">
      <c r="A145" s="2">
        <v>42308</v>
      </c>
      <c r="B145" s="15">
        <v>5033</v>
      </c>
      <c r="C145" s="19">
        <v>-13.134276838108383</v>
      </c>
      <c r="D145" s="15">
        <v>5058</v>
      </c>
      <c r="E145" s="19">
        <v>672.91</v>
      </c>
      <c r="F145" s="18">
        <v>0.17654515462691892</v>
      </c>
      <c r="G145" s="1">
        <v>2.6</v>
      </c>
      <c r="H145" s="1">
        <v>3.3</v>
      </c>
      <c r="I145" s="16">
        <v>22.092195658347812</v>
      </c>
      <c r="J145" s="1">
        <v>534.61900000000003</v>
      </c>
      <c r="K145" s="1">
        <v>-0.74466702560198605</v>
      </c>
      <c r="L145" s="1">
        <v>75.823999999999998</v>
      </c>
      <c r="M145" s="1">
        <v>-22.668026517083117</v>
      </c>
      <c r="N145" s="1">
        <v>-45.431047330677423</v>
      </c>
      <c r="O145" s="1">
        <v>450841</v>
      </c>
      <c r="P145" s="1">
        <v>29.204866235831894</v>
      </c>
      <c r="Q145" s="1">
        <v>-11.538200799945763</v>
      </c>
      <c r="R145" s="1">
        <v>4</v>
      </c>
      <c r="S145" s="1">
        <v>1.9516666666666673</v>
      </c>
      <c r="V145" s="20">
        <f t="shared" si="21"/>
        <v>-16.062975011706019</v>
      </c>
      <c r="W145" s="20">
        <f t="shared" si="22"/>
        <v>1.3816666666666662</v>
      </c>
      <c r="X145" s="20">
        <f t="shared" si="22"/>
        <v>2.4816666666666665</v>
      </c>
      <c r="Y145" s="20">
        <v>-11.278744631411715</v>
      </c>
      <c r="Z145" s="20">
        <f t="shared" si="23"/>
        <v>-0.86428376699276832</v>
      </c>
      <c r="AA145" s="19">
        <f>+AVERAGE(M143:M145)*AVERAGE($F$15:F145)</f>
        <v>-7.0074466909164803</v>
      </c>
      <c r="AB145" s="19">
        <f t="shared" si="24"/>
        <v>-46.603981018938974</v>
      </c>
      <c r="AC145" s="19">
        <f t="shared" si="25"/>
        <v>29.735901558746093</v>
      </c>
      <c r="AD145" s="21">
        <f t="shared" si="26"/>
        <v>-4.419130301290811</v>
      </c>
      <c r="AE145" s="19"/>
      <c r="AG145" s="20">
        <f>(V145- AVERAGE(V$41:V145))/_xlfn.STDEV.S(V110:V145)</f>
        <v>-2.0982433643042744</v>
      </c>
      <c r="AH145" s="20">
        <f>(W145- AVERAGE(W$41:W145))/_xlfn.STDEV.S(W110:W145)</f>
        <v>1.1130126645170855</v>
      </c>
      <c r="AI145" s="20">
        <f>(X145- AVERAGE(X$41:X145))/_xlfn.STDEV.S(X110:X145)</f>
        <v>1.8127490101673951</v>
      </c>
      <c r="AJ145" s="20">
        <f>(Y145- AVERAGE(Y$41:Y145))/_xlfn.STDEV.S(Y110:Y145)</f>
        <v>-0.86130606923907749</v>
      </c>
      <c r="AK145" s="20">
        <f>(Z145- AVERAGE(Z$41:Z145))/_xlfn.STDEV.S(Z110:Z145)</f>
        <v>0.53935710059183539</v>
      </c>
      <c r="AL145" s="20">
        <f>(AA145- AVERAGE(AA$41:AA145))/_xlfn.STDEV.S(AA110:AA145)</f>
        <v>-1.3987580806054545</v>
      </c>
      <c r="AM145" s="20">
        <f>(AB145- AVERAGE(AB$41:AB145))/_xlfn.STDEV.S(AB110:AB145)</f>
        <v>-2.5565174487323614</v>
      </c>
      <c r="AN145" s="20">
        <f>(AC145- AVERAGE(AC$41:AC145))/_xlfn.STDEV.S(AC110:AC145)</f>
        <v>2.4536330438884959</v>
      </c>
      <c r="AO145" s="24">
        <f>(AD145- AVERAGE(AD$41:AD145))/_xlfn.STDEV.S(AD110:AD145)</f>
        <v>-0.89098626043943419</v>
      </c>
      <c r="AP145" s="20"/>
      <c r="AQ145" s="20">
        <f t="shared" si="34"/>
        <v>-2.0982433643042744</v>
      </c>
      <c r="AR145" s="20">
        <f t="shared" si="35"/>
        <v>1.1130126645170855</v>
      </c>
      <c r="AS145" s="20">
        <f t="shared" si="36"/>
        <v>1.8127490101673951</v>
      </c>
      <c r="AT145" s="20">
        <f t="shared" si="38"/>
        <v>-0.86130606923907749</v>
      </c>
      <c r="AU145" s="20">
        <f t="shared" si="39"/>
        <v>0.53935710059183539</v>
      </c>
      <c r="AV145" s="20">
        <f t="shared" si="40"/>
        <v>-1.3987580806054545</v>
      </c>
      <c r="AW145" s="20">
        <f t="shared" si="41"/>
        <v>-2.5565174487323614</v>
      </c>
      <c r="AX145" s="20">
        <f t="shared" si="42"/>
        <v>2.2219964550794047</v>
      </c>
      <c r="AY145" s="20">
        <f t="shared" si="43"/>
        <v>-0.89098626043943419</v>
      </c>
      <c r="AZ145" s="22">
        <f t="shared" si="44"/>
        <v>-0.2354106658849868</v>
      </c>
      <c r="BA145" s="1">
        <f>+_xlfn.XLOOKUP(A145,[1]Indice!B:B,[1]Indice!AI:AI,"NOOOOOO",-1)</f>
        <v>0.4114789953850107</v>
      </c>
    </row>
    <row r="146" spans="1:53" x14ac:dyDescent="0.25">
      <c r="A146" s="2">
        <v>42338</v>
      </c>
      <c r="B146" s="15">
        <v>3999</v>
      </c>
      <c r="C146" s="19">
        <v>-18.204131724278994</v>
      </c>
      <c r="D146" s="15">
        <v>4700</v>
      </c>
      <c r="E146" s="19">
        <v>672.91</v>
      </c>
      <c r="F146" s="18">
        <v>0.17529535896330861</v>
      </c>
      <c r="G146" s="1">
        <v>3.8</v>
      </c>
      <c r="H146" s="1">
        <v>2.6</v>
      </c>
      <c r="I146" s="16">
        <v>23.931455887614788</v>
      </c>
      <c r="J146" s="1">
        <v>532.16399999999999</v>
      </c>
      <c r="K146" s="1">
        <v>-0.27845966457415994</v>
      </c>
      <c r="L146" s="1">
        <v>74.05</v>
      </c>
      <c r="M146" s="1">
        <v>-21.923600054827453</v>
      </c>
      <c r="N146" s="1">
        <v>-48.912213333566612</v>
      </c>
      <c r="O146" s="1">
        <v>457212</v>
      </c>
      <c r="P146" s="1">
        <v>31.755687794475751</v>
      </c>
      <c r="Q146" s="1">
        <v>-9.0183246073298413</v>
      </c>
      <c r="R146" s="1">
        <v>4</v>
      </c>
      <c r="S146" s="1">
        <v>1.8599999999999999</v>
      </c>
      <c r="V146" s="20">
        <f t="shared" si="21"/>
        <v>-15.372685586465686</v>
      </c>
      <c r="W146" s="20">
        <f t="shared" si="22"/>
        <v>1.2400000000000002</v>
      </c>
      <c r="X146" s="20">
        <f t="shared" si="22"/>
        <v>1.8399999999999999</v>
      </c>
      <c r="Y146" s="20">
        <v>-10.694378872991251</v>
      </c>
      <c r="Z146" s="20">
        <f t="shared" si="23"/>
        <v>-0.97928923758091224</v>
      </c>
      <c r="AA146" s="19">
        <f>+AVERAGE(M144:M146)*AVERAGE($F$15:F146)</f>
        <v>-6.5781506448872689</v>
      </c>
      <c r="AB146" s="19">
        <f t="shared" si="24"/>
        <v>-47.549662354797704</v>
      </c>
      <c r="AC146" s="19">
        <f t="shared" si="25"/>
        <v>30.615505730236304</v>
      </c>
      <c r="AD146" s="21">
        <f t="shared" si="26"/>
        <v>-5.6542327779261043</v>
      </c>
      <c r="AE146" s="19"/>
      <c r="AG146" s="20">
        <f>(V146- AVERAGE(V$41:V146))/_xlfn.STDEV.S(V111:V146)</f>
        <v>-1.9889616177712481</v>
      </c>
      <c r="AH146" s="20">
        <f>(W146- AVERAGE(W$41:W146))/_xlfn.STDEV.S(W111:W146)</f>
        <v>1.0489244751826714</v>
      </c>
      <c r="AI146" s="20">
        <f>(X146- AVERAGE(X$41:X146))/_xlfn.STDEV.S(X111:X146)</f>
        <v>1.4255522128780735</v>
      </c>
      <c r="AJ146" s="20">
        <f>(Y146- AVERAGE(Y$41:Y146))/_xlfn.STDEV.S(Y111:Y146)</f>
        <v>-0.78524225607542364</v>
      </c>
      <c r="AK146" s="20">
        <f>(Z146- AVERAGE(Z$41:Z146))/_xlfn.STDEV.S(Z111:Z146)</f>
        <v>0.54660878935141466</v>
      </c>
      <c r="AL146" s="20">
        <f>(AA146- AVERAGE(AA$41:AA146))/_xlfn.STDEV.S(AA111:AA146)</f>
        <v>-1.2357989526943152</v>
      </c>
      <c r="AM146" s="20">
        <f>(AB146- AVERAGE(AB$41:AB146))/_xlfn.STDEV.S(AB111:AB146)</f>
        <v>-2.6265140252699557</v>
      </c>
      <c r="AN146" s="20">
        <f>(AC146- AVERAGE(AC$41:AC146))/_xlfn.STDEV.S(AC111:AC146)</f>
        <v>2.3637965917245651</v>
      </c>
      <c r="AO146" s="24">
        <f>(AD146- AVERAGE(AD$41:AD146))/_xlfn.STDEV.S(AD111:AD146)</f>
        <v>-0.97664109244074937</v>
      </c>
      <c r="AP146" s="20"/>
      <c r="AQ146" s="20">
        <f t="shared" si="34"/>
        <v>-1.9889616177712481</v>
      </c>
      <c r="AR146" s="20">
        <f t="shared" si="35"/>
        <v>1.0489244751826714</v>
      </c>
      <c r="AS146" s="20">
        <f t="shared" si="36"/>
        <v>1.4255522128780735</v>
      </c>
      <c r="AT146" s="20">
        <f t="shared" si="38"/>
        <v>-0.78524225607542364</v>
      </c>
      <c r="AU146" s="20">
        <f t="shared" si="39"/>
        <v>0.54660878935141466</v>
      </c>
      <c r="AV146" s="20">
        <f t="shared" si="40"/>
        <v>-1.2357989526943152</v>
      </c>
      <c r="AW146" s="20">
        <f t="shared" si="41"/>
        <v>-2.6265140252699557</v>
      </c>
      <c r="AX146" s="20">
        <f t="shared" si="42"/>
        <v>2.2219964550794047</v>
      </c>
      <c r="AY146" s="20">
        <f t="shared" si="43"/>
        <v>-0.97664109244074937</v>
      </c>
      <c r="AZ146" s="22">
        <f t="shared" si="44"/>
        <v>-0.26334177908445866</v>
      </c>
      <c r="BA146" s="1">
        <f>+_xlfn.XLOOKUP(A146,[1]Indice!B:B,[1]Indice!AI:AI,"NOOOOOO",-1)</f>
        <v>0.37931490989531497</v>
      </c>
    </row>
    <row r="147" spans="1:53" x14ac:dyDescent="0.25">
      <c r="A147" s="2">
        <v>42369</v>
      </c>
      <c r="B147" s="15">
        <v>3429</v>
      </c>
      <c r="C147" s="19">
        <v>-23.833851621501555</v>
      </c>
      <c r="D147" s="15">
        <v>4404</v>
      </c>
      <c r="E147" s="19">
        <v>652.54</v>
      </c>
      <c r="F147" s="18">
        <v>0.17928249609219357</v>
      </c>
      <c r="G147" s="1">
        <v>1.1000000000000001</v>
      </c>
      <c r="H147" s="1">
        <v>2</v>
      </c>
      <c r="I147" s="16">
        <v>30.587718247816731</v>
      </c>
      <c r="J147" s="1">
        <v>532.21699999999998</v>
      </c>
      <c r="K147" s="1">
        <v>-0.43178522987699086</v>
      </c>
      <c r="L147" s="1">
        <v>94.864999999999995</v>
      </c>
      <c r="M147" s="1">
        <v>3.0984415415045596</v>
      </c>
      <c r="N147" s="1">
        <v>-26.442855236474252</v>
      </c>
      <c r="O147" s="1">
        <v>455106</v>
      </c>
      <c r="P147" s="1">
        <v>28.932882692738104</v>
      </c>
      <c r="Q147" s="1">
        <v>4.8755415228724619</v>
      </c>
      <c r="R147" s="1">
        <v>2.5</v>
      </c>
      <c r="S147" s="1">
        <v>1.7583333333333333</v>
      </c>
      <c r="V147" s="20">
        <f t="shared" si="21"/>
        <v>-20.149086727962978</v>
      </c>
      <c r="W147" s="20">
        <f t="shared" si="22"/>
        <v>0.7416666666666667</v>
      </c>
      <c r="X147" s="20">
        <f t="shared" si="22"/>
        <v>0.875</v>
      </c>
      <c r="Y147" s="20">
        <v>-7.7293395130402196</v>
      </c>
      <c r="Z147" s="20">
        <f t="shared" si="23"/>
        <v>-0.48497064001771228</v>
      </c>
      <c r="AA147" s="19">
        <f>+AVERAGE(M145:M147)*AVERAGE($F$15:F147)</f>
        <v>-3.9729439869222705</v>
      </c>
      <c r="AB147" s="19">
        <f t="shared" si="24"/>
        <v>-40.262038633572764</v>
      </c>
      <c r="AC147" s="19">
        <f t="shared" si="25"/>
        <v>29.964478907681919</v>
      </c>
      <c r="AD147" s="21">
        <f t="shared" si="26"/>
        <v>-5.2269946281343804</v>
      </c>
      <c r="AE147" s="19"/>
      <c r="AG147" s="20">
        <f>(V147- AVERAGE(V$41:V147))/_xlfn.STDEV.S(V112:V147)</f>
        <v>-2.5858983415668844</v>
      </c>
      <c r="AH147" s="20">
        <f>(W147- AVERAGE(W$41:W147))/_xlfn.STDEV.S(W112:W147)</f>
        <v>0.8795847942880366</v>
      </c>
      <c r="AI147" s="20">
        <f>(X147- AVERAGE(X$41:X147))/_xlfn.STDEV.S(X112:X147)</f>
        <v>0.86554729788701412</v>
      </c>
      <c r="AJ147" s="20">
        <f>(Y147- AVERAGE(Y$41:Y147))/_xlfn.STDEV.S(Y112:Y147)</f>
        <v>-0.44416426576151169</v>
      </c>
      <c r="AK147" s="20">
        <f>(Z147- AVERAGE(Z$41:Z147))/_xlfn.STDEV.S(Z112:Z147)</f>
        <v>0.89539006685608669</v>
      </c>
      <c r="AL147" s="20">
        <f>(AA147- AVERAGE(AA$41:AA147))/_xlfn.STDEV.S(AA112:AA147)</f>
        <v>-0.50435456633867248</v>
      </c>
      <c r="AM147" s="20">
        <f>(AB147- AVERAGE(AB$41:AB147))/_xlfn.STDEV.S(AB112:AB147)</f>
        <v>-1.9435727146366746</v>
      </c>
      <c r="AN147" s="20">
        <f>(AC147- AVERAGE(AC$41:AC147))/_xlfn.STDEV.S(AC112:AC147)</f>
        <v>2.1770666227914588</v>
      </c>
      <c r="AO147" s="24">
        <f>(AD147- AVERAGE(AD$41:AD147))/_xlfn.STDEV.S(AD112:AD147)</f>
        <v>-1.0845820826606616</v>
      </c>
      <c r="AP147" s="20"/>
      <c r="AQ147" s="20">
        <f t="shared" si="34"/>
        <v>-2.5858983415668844</v>
      </c>
      <c r="AR147" s="20">
        <f t="shared" si="35"/>
        <v>0.8795847942880366</v>
      </c>
      <c r="AS147" s="20">
        <f t="shared" si="36"/>
        <v>0.86554729788701412</v>
      </c>
      <c r="AT147" s="20">
        <f t="shared" si="38"/>
        <v>-0.44416426576151169</v>
      </c>
      <c r="AU147" s="20">
        <f t="shared" si="39"/>
        <v>0.89539006685608669</v>
      </c>
      <c r="AV147" s="20">
        <f t="shared" si="40"/>
        <v>-0.50435456633867248</v>
      </c>
      <c r="AW147" s="20">
        <f t="shared" si="41"/>
        <v>-1.9435727146366746</v>
      </c>
      <c r="AX147" s="20">
        <f t="shared" si="42"/>
        <v>2.1770666227914588</v>
      </c>
      <c r="AY147" s="20">
        <f t="shared" si="43"/>
        <v>-1.0845820826606616</v>
      </c>
      <c r="AZ147" s="22">
        <f t="shared" si="44"/>
        <v>-0.19388702101575653</v>
      </c>
      <c r="BA147" s="1">
        <f>+_xlfn.XLOOKUP(A147,[1]Indice!B:B,[1]Indice!AI:AI,"NOOOOOO",-1)</f>
        <v>0.35773181751479616</v>
      </c>
    </row>
    <row r="148" spans="1:53" x14ac:dyDescent="0.25">
      <c r="A148" s="2">
        <v>42400</v>
      </c>
      <c r="B148" s="15">
        <v>3881</v>
      </c>
      <c r="C148" s="19">
        <v>2.2391991570073655</v>
      </c>
      <c r="D148" s="15">
        <v>4123</v>
      </c>
      <c r="E148" s="19">
        <v>652.54</v>
      </c>
      <c r="F148" s="18">
        <v>0.17904496276090354</v>
      </c>
      <c r="G148" s="1">
        <v>0.6</v>
      </c>
      <c r="H148" s="1">
        <v>5.8</v>
      </c>
      <c r="I148" s="16">
        <v>34.33387826859704</v>
      </c>
      <c r="J148" s="1">
        <v>524.60500000000002</v>
      </c>
      <c r="K148" s="1">
        <v>-1.6211908110642215</v>
      </c>
      <c r="L148" s="1">
        <v>97.103999999999999</v>
      </c>
      <c r="M148" s="1">
        <v>8.0939075840726673</v>
      </c>
      <c r="N148" s="1">
        <v>-3.0451473616681213</v>
      </c>
      <c r="O148" s="1">
        <v>471344</v>
      </c>
      <c r="P148" s="1">
        <v>24.210154609155321</v>
      </c>
      <c r="Q148" s="1">
        <v>-22.334786193897994</v>
      </c>
      <c r="R148" s="1">
        <v>2.5</v>
      </c>
      <c r="S148" s="1">
        <v>1.6566666666666665</v>
      </c>
      <c r="V148" s="20">
        <f t="shared" si="21"/>
        <v>-14.922928062924393</v>
      </c>
      <c r="W148" s="20">
        <f t="shared" si="22"/>
        <v>0.17666666666666675</v>
      </c>
      <c r="X148" s="20">
        <f t="shared" si="22"/>
        <v>1.8099999999999998</v>
      </c>
      <c r="Y148" s="20">
        <v>-3.5849165678504811</v>
      </c>
      <c r="Z148" s="20">
        <f t="shared" si="23"/>
        <v>-0.77714523517179079</v>
      </c>
      <c r="AA148" s="19">
        <f>+AVERAGE(M146:M148)*AVERAGE($F$15:F148)</f>
        <v>-1.0246214697825264</v>
      </c>
      <c r="AB148" s="19">
        <f t="shared" si="24"/>
        <v>-26.133405310569657</v>
      </c>
      <c r="AC148" s="19">
        <f t="shared" si="25"/>
        <v>28.299575032123059</v>
      </c>
      <c r="AD148" s="21">
        <f t="shared" si="26"/>
        <v>-8.8258564261184578</v>
      </c>
      <c r="AE148" s="19"/>
      <c r="AG148" s="20">
        <f>(V148- AVERAGE(V$41:V148))/_xlfn.STDEV.S(V113:V148)</f>
        <v>-1.9384092234914743</v>
      </c>
      <c r="AH148" s="20">
        <f>(W148- AVERAGE(W$41:W148))/_xlfn.STDEV.S(W113:W148)</f>
        <v>0.69781154728402794</v>
      </c>
      <c r="AI148" s="20">
        <f>(X148- AVERAGE(X$41:X148))/_xlfn.STDEV.S(X113:X148)</f>
        <v>1.3840081270125648</v>
      </c>
      <c r="AJ148" s="20">
        <f>(Y148- AVERAGE(Y$41:Y148))/_xlfn.STDEV.S(Y113:Y148)</f>
        <v>3.3138714477082311E-2</v>
      </c>
      <c r="AK148" s="20">
        <f>(Z148- AVERAGE(Z$41:Z148))/_xlfn.STDEV.S(Z113:Z148)</f>
        <v>0.88099309537115478</v>
      </c>
      <c r="AL148" s="20">
        <f>(AA148- AVERAGE(AA$41:AA148))/_xlfn.STDEV.S(AA113:AA148)</f>
        <v>0.31057269497900492</v>
      </c>
      <c r="AM148" s="20">
        <f>(AB148- AVERAGE(AB$41:AB148))/_xlfn.STDEV.S(AB113:AB148)</f>
        <v>-0.61104295541191123</v>
      </c>
      <c r="AN148" s="20">
        <f>(AC148- AVERAGE(AC$41:AC148))/_xlfn.STDEV.S(AC113:AC148)</f>
        <v>1.9484373951027421</v>
      </c>
      <c r="AO148" s="24">
        <f>(AD148- AVERAGE(AD$41:AD148))/_xlfn.STDEV.S(AD113:AD148)</f>
        <v>-1.4389139224333067</v>
      </c>
      <c r="AP148" s="20"/>
      <c r="AQ148" s="20">
        <f t="shared" si="34"/>
        <v>-1.9384092234914743</v>
      </c>
      <c r="AR148" s="20">
        <f t="shared" si="35"/>
        <v>0.69781154728402794</v>
      </c>
      <c r="AS148" s="20">
        <f t="shared" si="36"/>
        <v>1.3840081270125648</v>
      </c>
      <c r="AT148" s="20">
        <f t="shared" si="38"/>
        <v>3.3138714477082311E-2</v>
      </c>
      <c r="AU148" s="20">
        <f t="shared" si="39"/>
        <v>0.88099309537115478</v>
      </c>
      <c r="AV148" s="20">
        <f t="shared" si="40"/>
        <v>0.31057269497900492</v>
      </c>
      <c r="AW148" s="20">
        <f t="shared" si="41"/>
        <v>-0.61104295541191123</v>
      </c>
      <c r="AX148" s="20">
        <f t="shared" si="42"/>
        <v>1.9484373951027421</v>
      </c>
      <c r="AY148" s="20">
        <f t="shared" si="43"/>
        <v>-1.4389139224333067</v>
      </c>
      <c r="AZ148" s="22">
        <f t="shared" si="44"/>
        <v>0.14073283032109829</v>
      </c>
      <c r="BA148" s="1">
        <f>+_xlfn.XLOOKUP(A148,[1]Indice!B:B,[1]Indice!AI:AI,"NOOOOOO",-1)</f>
        <v>0.38678786238513574</v>
      </c>
    </row>
    <row r="149" spans="1:53" x14ac:dyDescent="0.25">
      <c r="A149" s="2">
        <v>42429</v>
      </c>
      <c r="B149" s="15">
        <v>4141</v>
      </c>
      <c r="C149" s="19">
        <v>6.9473140495867725</v>
      </c>
      <c r="D149" s="15">
        <v>4096</v>
      </c>
      <c r="E149" s="19">
        <v>652.54</v>
      </c>
      <c r="F149" s="18">
        <v>0.17947405523033072</v>
      </c>
      <c r="G149" s="1">
        <v>1.2</v>
      </c>
      <c r="H149" s="1">
        <v>6.1</v>
      </c>
      <c r="I149" s="16">
        <v>35.345368194484628</v>
      </c>
      <c r="J149" s="1">
        <v>518.274</v>
      </c>
      <c r="K149" s="1">
        <v>-1.9972165283755339</v>
      </c>
      <c r="L149" s="1">
        <v>107.663</v>
      </c>
      <c r="M149" s="1">
        <v>22.069661443570165</v>
      </c>
      <c r="N149" s="1">
        <v>-1.8613980700349808</v>
      </c>
      <c r="O149" s="1">
        <v>486699</v>
      </c>
      <c r="P149" s="1">
        <v>18.635891635750255</v>
      </c>
      <c r="Q149" s="1">
        <v>-44.242624725588662</v>
      </c>
      <c r="R149" s="1">
        <v>2.5</v>
      </c>
      <c r="S149" s="1">
        <v>1.5549999999999997</v>
      </c>
      <c r="V149" s="20">
        <f t="shared" si="21"/>
        <v>-6.4374461383024721</v>
      </c>
      <c r="W149" s="20">
        <f t="shared" si="22"/>
        <v>-0.58833333333333293</v>
      </c>
      <c r="X149" s="20">
        <f t="shared" si="22"/>
        <v>3.0783333333333331</v>
      </c>
      <c r="Y149" s="20">
        <v>0.21458832081280121</v>
      </c>
      <c r="Z149" s="20">
        <f t="shared" si="23"/>
        <v>-1.3500641897722485</v>
      </c>
      <c r="AA149" s="19">
        <f>+AVERAGE(M147:M149)*AVERAGE($F$15:F149)</f>
        <v>3.1670768430712326</v>
      </c>
      <c r="AB149" s="19">
        <f t="shared" si="24"/>
        <v>-10.449800222725784</v>
      </c>
      <c r="AC149" s="19">
        <f t="shared" si="25"/>
        <v>23.926309645881229</v>
      </c>
      <c r="AD149" s="21">
        <f t="shared" si="26"/>
        <v>-20.567289798871396</v>
      </c>
      <c r="AE149" s="19"/>
      <c r="AG149" s="20">
        <f>(V149- AVERAGE(V$41:V149))/_xlfn.STDEV.S(V114:V149)</f>
        <v>-0.79042777527569086</v>
      </c>
      <c r="AH149" s="20">
        <f>(W149- AVERAGE(W$41:W149))/_xlfn.STDEV.S(W114:W149)</f>
        <v>0.46016545894332228</v>
      </c>
      <c r="AI149" s="20">
        <f>(X149- AVERAGE(X$41:X149))/_xlfn.STDEV.S(X114:X149)</f>
        <v>2.0613356861092815</v>
      </c>
      <c r="AJ149" s="20">
        <f>(Y149- AVERAGE(Y$41:Y149))/_xlfn.STDEV.S(Y114:Y149)</f>
        <v>0.47620211165390636</v>
      </c>
      <c r="AK149" s="20">
        <f>(Z149- AVERAGE(Z$41:Z149))/_xlfn.STDEV.S(Z114:Z149)</f>
        <v>0.57938052240969429</v>
      </c>
      <c r="AL149" s="20">
        <f>(AA149- AVERAGE(AA$41:AA149))/_xlfn.STDEV.S(AA114:AA149)</f>
        <v>1.4221679283509625</v>
      </c>
      <c r="AM149" s="20">
        <f>(AB149- AVERAGE(AB$41:AB149))/_xlfn.STDEV.S(AB114:AB149)</f>
        <v>0.69602242333696296</v>
      </c>
      <c r="AN149" s="20">
        <f>(AC149- AVERAGE(AC$41:AC149))/_xlfn.STDEV.S(AC114:AC149)</f>
        <v>1.5534288634094633</v>
      </c>
      <c r="AO149" s="24">
        <f>(AD149- AVERAGE(AD$41:AD149))/_xlfn.STDEV.S(AD114:AD149)</f>
        <v>-2.1332124044872152</v>
      </c>
      <c r="AP149" s="20"/>
      <c r="AQ149" s="20">
        <f t="shared" si="34"/>
        <v>-0.79042777527569086</v>
      </c>
      <c r="AR149" s="20">
        <f t="shared" si="35"/>
        <v>0.46016545894332228</v>
      </c>
      <c r="AS149" s="20">
        <f t="shared" si="36"/>
        <v>2.0613356861092815</v>
      </c>
      <c r="AT149" s="20">
        <f t="shared" si="38"/>
        <v>0.47620211165390636</v>
      </c>
      <c r="AU149" s="20">
        <f t="shared" si="39"/>
        <v>0.57938052240969429</v>
      </c>
      <c r="AV149" s="20">
        <f t="shared" si="40"/>
        <v>1.4221679283509625</v>
      </c>
      <c r="AW149" s="20">
        <f t="shared" si="41"/>
        <v>0.69602242333696296</v>
      </c>
      <c r="AX149" s="20">
        <f t="shared" si="42"/>
        <v>1.5534288634094633</v>
      </c>
      <c r="AY149" s="20">
        <f t="shared" si="43"/>
        <v>-2.1332124044872152</v>
      </c>
      <c r="AZ149" s="22">
        <f t="shared" si="44"/>
        <v>0.48056253493896528</v>
      </c>
      <c r="BA149" s="1">
        <f>+_xlfn.XLOOKUP(A149,[1]Indice!B:B,[1]Indice!AI:AI,"NOOOOOO",-1)</f>
        <v>0.41200821191610415</v>
      </c>
    </row>
    <row r="150" spans="1:53" x14ac:dyDescent="0.25">
      <c r="A150" s="2">
        <v>42460</v>
      </c>
      <c r="B150" s="15">
        <v>4421</v>
      </c>
      <c r="C150" s="19">
        <v>0.91303355398311137</v>
      </c>
      <c r="D150" s="15">
        <v>4556</v>
      </c>
      <c r="E150" s="19">
        <v>486.18</v>
      </c>
      <c r="F150" s="18">
        <v>0.23993376938582417</v>
      </c>
      <c r="G150" s="1">
        <v>0.5</v>
      </c>
      <c r="H150" s="1">
        <v>6</v>
      </c>
      <c r="I150" s="16">
        <v>36.663125024882184</v>
      </c>
      <c r="J150" s="1">
        <v>521.64499999999998</v>
      </c>
      <c r="K150" s="1">
        <v>-1.8525243136760516</v>
      </c>
      <c r="L150" s="1">
        <v>101.92700000000001</v>
      </c>
      <c r="M150" s="1">
        <v>21.730043472029827</v>
      </c>
      <c r="N150" s="1">
        <v>3.3387302576481925E-2</v>
      </c>
      <c r="O150" s="1">
        <v>503816</v>
      </c>
      <c r="P150" s="1">
        <v>15.030948689789337</v>
      </c>
      <c r="Q150" s="1">
        <v>-27.469851576994429</v>
      </c>
      <c r="R150" s="1">
        <v>0.7</v>
      </c>
      <c r="S150" s="1">
        <v>1.428333333333333</v>
      </c>
      <c r="V150" s="20">
        <f t="shared" si="21"/>
        <v>1.9381822535257507</v>
      </c>
      <c r="W150" s="20">
        <f t="shared" si="22"/>
        <v>-0.6616666666666664</v>
      </c>
      <c r="X150" s="20">
        <f t="shared" si="22"/>
        <v>4.5383333333333331</v>
      </c>
      <c r="Y150" s="20">
        <v>2.2626455075962824</v>
      </c>
      <c r="Z150" s="20">
        <f t="shared" si="23"/>
        <v>-1.8236438843719356</v>
      </c>
      <c r="AA150" s="19">
        <f>+AVERAGE(M148:M150)*AVERAGE($F$15:F150)</f>
        <v>4.9352897320784823</v>
      </c>
      <c r="AB150" s="19">
        <f t="shared" si="24"/>
        <v>-1.6243860430422068</v>
      </c>
      <c r="AC150" s="19">
        <f t="shared" si="25"/>
        <v>19.292331644898308</v>
      </c>
      <c r="AD150" s="21">
        <f t="shared" si="26"/>
        <v>-31.349087498827028</v>
      </c>
      <c r="AE150" s="19"/>
      <c r="AG150" s="20">
        <f>(V150- AVERAGE(V$41:V150))/_xlfn.STDEV.S(V115:V150)</f>
        <v>0.30519146950838</v>
      </c>
      <c r="AH150" s="20">
        <f>(W150- AVERAGE(W$41:W150))/_xlfn.STDEV.S(W115:W150)</f>
        <v>0.43341562687538049</v>
      </c>
      <c r="AI150" s="20">
        <f>(X150- AVERAGE(X$41:X150))/_xlfn.STDEV.S(X115:X150)</f>
        <v>2.6646698794830934</v>
      </c>
      <c r="AJ150" s="20">
        <f>(Y150- AVERAGE(Y$41:Y150))/_xlfn.STDEV.S(Y115:Y150)</f>
        <v>0.7168323941756285</v>
      </c>
      <c r="AK150" s="20">
        <f>(Z150- AVERAGE(Z$41:Z150))/_xlfn.STDEV.S(Z115:Z150)</f>
        <v>0.26876034065082416</v>
      </c>
      <c r="AL150" s="20">
        <f>(AA150- AVERAGE(AA$41:AA150))/_xlfn.STDEV.S(AA115:AA150)</f>
        <v>1.8046862961930636</v>
      </c>
      <c r="AM150" s="20">
        <f>(AB150- AVERAGE(AB$41:AB150))/_xlfn.STDEV.S(AB115:AB150)</f>
        <v>1.2304619316894176</v>
      </c>
      <c r="AN150" s="20">
        <f>(AC150- AVERAGE(AC$41:AC150))/_xlfn.STDEV.S(AC115:AC150)</f>
        <v>1.169254060507616</v>
      </c>
      <c r="AO150" s="24">
        <f>(AD150- AVERAGE(AD$41:AD150))/_xlfn.STDEV.S(AD115:AD150)</f>
        <v>-2.6820376213481159</v>
      </c>
      <c r="AP150" s="20"/>
      <c r="AQ150" s="20">
        <f t="shared" si="34"/>
        <v>0.30519146950838</v>
      </c>
      <c r="AR150" s="20">
        <f t="shared" si="35"/>
        <v>0.43341562687538049</v>
      </c>
      <c r="AS150" s="20">
        <f t="shared" si="36"/>
        <v>2.6646698794830934</v>
      </c>
      <c r="AT150" s="20">
        <f t="shared" si="38"/>
        <v>0.7168323941756285</v>
      </c>
      <c r="AU150" s="20">
        <f t="shared" si="39"/>
        <v>0.26876034065082416</v>
      </c>
      <c r="AV150" s="20">
        <f t="shared" si="40"/>
        <v>1.8046862961930636</v>
      </c>
      <c r="AW150" s="20">
        <f t="shared" si="41"/>
        <v>1.2304619316894176</v>
      </c>
      <c r="AX150" s="20">
        <f t="shared" si="42"/>
        <v>1.169254060507616</v>
      </c>
      <c r="AY150" s="20">
        <f t="shared" si="43"/>
        <v>-2.6820376213481159</v>
      </c>
      <c r="AZ150" s="22">
        <f t="shared" si="44"/>
        <v>0.65680381974836521</v>
      </c>
      <c r="BA150" s="1">
        <f>+_xlfn.XLOOKUP(A150,[1]Indice!B:B,[1]Indice!AI:AI,"NOOOOOO",-1)</f>
        <v>0.36875457427900143</v>
      </c>
    </row>
    <row r="151" spans="1:53" x14ac:dyDescent="0.25">
      <c r="A151" s="2">
        <v>42490</v>
      </c>
      <c r="B151" s="15">
        <v>4740</v>
      </c>
      <c r="C151" s="19">
        <v>-8.050436469447142</v>
      </c>
      <c r="D151" s="15">
        <v>4423</v>
      </c>
      <c r="E151" s="19">
        <v>486.18</v>
      </c>
      <c r="F151" s="18">
        <v>0.23803118186679831</v>
      </c>
      <c r="G151" s="1">
        <v>-2.7</v>
      </c>
      <c r="H151" s="1">
        <v>1.5</v>
      </c>
      <c r="I151" s="16">
        <v>38.939231222329525</v>
      </c>
      <c r="J151" s="1">
        <v>520.95699999999999</v>
      </c>
      <c r="K151" s="1">
        <v>-2.3118926804753803</v>
      </c>
      <c r="L151" s="1">
        <v>95.718999999999994</v>
      </c>
      <c r="M151" s="1">
        <v>11.840859963778705</v>
      </c>
      <c r="N151" s="1">
        <v>7.937863908263898E-2</v>
      </c>
      <c r="O151" s="1">
        <v>512095</v>
      </c>
      <c r="P151" s="1">
        <v>11.766965456882762</v>
      </c>
      <c r="Q151" s="1">
        <v>-27.417192429022073</v>
      </c>
      <c r="R151" s="1">
        <v>0.7</v>
      </c>
      <c r="S151" s="1">
        <v>1.3016666666666665</v>
      </c>
      <c r="V151" s="20">
        <f t="shared" si="21"/>
        <v>-1.3650296219590858</v>
      </c>
      <c r="W151" s="20">
        <f t="shared" si="22"/>
        <v>-1.635</v>
      </c>
      <c r="X151" s="20">
        <f t="shared" si="22"/>
        <v>3.2316666666666665</v>
      </c>
      <c r="Y151" s="20">
        <v>3.7023496045437767</v>
      </c>
      <c r="Z151" s="20">
        <f t="shared" si="23"/>
        <v>-2.0538778408423219</v>
      </c>
      <c r="AA151" s="19">
        <f>+AVERAGE(M149:M151)*AVERAGE($F$15:F151)</f>
        <v>5.2852390596240264</v>
      </c>
      <c r="AB151" s="19">
        <f t="shared" si="24"/>
        <v>-0.58287737612528667</v>
      </c>
      <c r="AC151" s="19">
        <f t="shared" si="25"/>
        <v>15.144601927474119</v>
      </c>
      <c r="AD151" s="21">
        <f t="shared" si="26"/>
        <v>-33.043222910535057</v>
      </c>
      <c r="AE151" s="19"/>
      <c r="AG151" s="20">
        <f>(V151- AVERAGE(V$41:V151))/_xlfn.STDEV.S(V116:V151)</f>
        <v>-0.10979584621504349</v>
      </c>
      <c r="AH151" s="20">
        <f>(W151- AVERAGE(W$41:W151))/_xlfn.STDEV.S(W116:W151)</f>
        <v>0.13688914960188725</v>
      </c>
      <c r="AI151" s="20">
        <f>(X151- AVERAGE(X$41:X151))/_xlfn.STDEV.S(X116:X151)</f>
        <v>1.8868127760669282</v>
      </c>
      <c r="AJ151" s="20">
        <f>(Y151- AVERAGE(Y$41:Y151))/_xlfn.STDEV.S(Y116:Y151)</f>
        <v>0.886981161384646</v>
      </c>
      <c r="AK151" s="20">
        <f>(Z151- AVERAGE(Z$41:Z151))/_xlfn.STDEV.S(Z116:Z151)</f>
        <v>0.10592837789761735</v>
      </c>
      <c r="AL151" s="20">
        <f>(AA151- AVERAGE(AA$41:AA151))/_xlfn.STDEV.S(AA116:AA151)</f>
        <v>1.8026746717593329</v>
      </c>
      <c r="AM151" s="20">
        <f>(AB151- AVERAGE(AB$41:AB151))/_xlfn.STDEV.S(AB116:AB151)</f>
        <v>1.2003884082594471</v>
      </c>
      <c r="AN151" s="20">
        <f>(AC151- AVERAGE(AC$41:AC151))/_xlfn.STDEV.S(AC116:AC151)</f>
        <v>0.83707037212662649</v>
      </c>
      <c r="AO151" s="24">
        <f>(AD151- AVERAGE(AD$41:AD151))/_xlfn.STDEV.S(AD116:AD151)</f>
        <v>-2.7271233558745309</v>
      </c>
      <c r="AP151" s="20"/>
      <c r="AQ151" s="20">
        <f t="shared" si="34"/>
        <v>-0.10979584621504349</v>
      </c>
      <c r="AR151" s="20">
        <f t="shared" si="35"/>
        <v>0.13688914960188725</v>
      </c>
      <c r="AS151" s="20">
        <f t="shared" si="36"/>
        <v>1.8868127760669282</v>
      </c>
      <c r="AT151" s="20">
        <f t="shared" si="38"/>
        <v>0.886981161384646</v>
      </c>
      <c r="AU151" s="20">
        <f t="shared" si="39"/>
        <v>0.10592837789761735</v>
      </c>
      <c r="AV151" s="20">
        <f t="shared" si="40"/>
        <v>1.8026746717593329</v>
      </c>
      <c r="AW151" s="20">
        <f t="shared" si="41"/>
        <v>1.2003884082594471</v>
      </c>
      <c r="AX151" s="20">
        <f t="shared" si="42"/>
        <v>0.83707037212662649</v>
      </c>
      <c r="AY151" s="20">
        <f t="shared" si="43"/>
        <v>-2.7271233558745309</v>
      </c>
      <c r="AZ151" s="22">
        <f t="shared" si="44"/>
        <v>0.44664730166743438</v>
      </c>
      <c r="BA151" s="1">
        <f>+_xlfn.XLOOKUP(A151,[1]Indice!B:B,[1]Indice!AI:AI,"NOOOOOO",-1)</f>
        <v>0.36959377703991131</v>
      </c>
    </row>
    <row r="152" spans="1:53" x14ac:dyDescent="0.25">
      <c r="A152" s="2">
        <v>42521</v>
      </c>
      <c r="B152" s="15">
        <v>5383</v>
      </c>
      <c r="C152" s="19">
        <v>3.3999231655781781</v>
      </c>
      <c r="D152" s="15">
        <v>4874</v>
      </c>
      <c r="E152" s="19">
        <v>486.18</v>
      </c>
      <c r="F152" s="18">
        <v>0.23812991073265047</v>
      </c>
      <c r="G152" s="1">
        <v>-3.2</v>
      </c>
      <c r="H152" s="1">
        <v>3.1</v>
      </c>
      <c r="I152" s="16">
        <v>42.224339828883117</v>
      </c>
      <c r="J152" s="1">
        <v>499.13400000000001</v>
      </c>
      <c r="K152" s="1">
        <v>-6.9411817347920461</v>
      </c>
      <c r="L152" s="1">
        <v>88.075000000000003</v>
      </c>
      <c r="M152" s="1">
        <v>5.9179353969742943</v>
      </c>
      <c r="N152" s="1">
        <v>0.56357155896988864</v>
      </c>
      <c r="O152" s="1">
        <v>504205</v>
      </c>
      <c r="P152" s="1">
        <v>13.441133590122046</v>
      </c>
      <c r="Q152" s="1">
        <v>-31.17449800008081</v>
      </c>
      <c r="R152" s="1">
        <v>0.7</v>
      </c>
      <c r="S152" s="1">
        <v>1.1750000000000007</v>
      </c>
      <c r="V152" s="20">
        <f t="shared" si="21"/>
        <v>-2.4208265832952849</v>
      </c>
      <c r="W152" s="20">
        <f t="shared" si="22"/>
        <v>-2.9750000000000005</v>
      </c>
      <c r="X152" s="20">
        <f t="shared" si="22"/>
        <v>2.3583333333333325</v>
      </c>
      <c r="Y152" s="20">
        <v>5.9469064311382738</v>
      </c>
      <c r="Z152" s="20">
        <f t="shared" si="23"/>
        <v>-3.7018662429811595</v>
      </c>
      <c r="AA152" s="19">
        <f>+AVERAGE(M150:M152)*AVERAGE($F$15:F152)</f>
        <v>3.7465360164009898</v>
      </c>
      <c r="AB152" s="19">
        <f t="shared" si="24"/>
        <v>0.22544583354300318</v>
      </c>
      <c r="AC152" s="19">
        <f t="shared" si="25"/>
        <v>13.413015912264717</v>
      </c>
      <c r="AD152" s="21">
        <f t="shared" si="26"/>
        <v>-28.687180668699103</v>
      </c>
      <c r="AE152" s="19"/>
      <c r="AG152" s="20">
        <f>(V152- AVERAGE(V$41:V152))/_xlfn.STDEV.S(V117:V152)</f>
        <v>-0.24867755135169364</v>
      </c>
      <c r="AH152" s="20">
        <f>(W152- AVERAGE(W$41:W152))/_xlfn.STDEV.S(W117:W152)</f>
        <v>-0.27724256650223017</v>
      </c>
      <c r="AI152" s="20">
        <f>(X152- AVERAGE(X$41:X152))/_xlfn.STDEV.S(X117:X152)</f>
        <v>1.4102939277795929</v>
      </c>
      <c r="AJ152" s="20">
        <f>(Y152- AVERAGE(Y$41:Y152))/_xlfn.STDEV.S(Y117:Y152)</f>
        <v>1.1533983051982202</v>
      </c>
      <c r="AK152" s="20">
        <f>(Z152- AVERAGE(Z$41:Z152))/_xlfn.STDEV.S(Z117:Z152)</f>
        <v>-1.1742136041341178</v>
      </c>
      <c r="AL152" s="20">
        <f>(AA152- AVERAGE(AA$41:AA152))/_xlfn.STDEV.S(AA117:AA152)</f>
        <v>1.377467862481534</v>
      </c>
      <c r="AM152" s="20">
        <f>(AB152- AVERAGE(AB$41:AB152))/_xlfn.STDEV.S(AB117:AB152)</f>
        <v>1.191672296190545</v>
      </c>
      <c r="AN152" s="20">
        <f>(AC152- AVERAGE(AC$41:AC152))/_xlfn.STDEV.S(AC117:AC152)</f>
        <v>0.69770288040761275</v>
      </c>
      <c r="AO152" s="24">
        <f>(AD152- AVERAGE(AD$41:AD152))/_xlfn.STDEV.S(AD117:AD152)</f>
        <v>-2.4624660356531605</v>
      </c>
      <c r="AP152" s="20"/>
      <c r="AQ152" s="20">
        <f t="shared" si="34"/>
        <v>-0.24867755135169364</v>
      </c>
      <c r="AR152" s="20">
        <f t="shared" si="35"/>
        <v>-0.27724256650223017</v>
      </c>
      <c r="AS152" s="20">
        <f t="shared" si="36"/>
        <v>1.4102939277795929</v>
      </c>
      <c r="AT152" s="20">
        <f t="shared" si="38"/>
        <v>1.1533983051982202</v>
      </c>
      <c r="AU152" s="20">
        <f t="shared" si="39"/>
        <v>-1.1742136041341178</v>
      </c>
      <c r="AV152" s="20">
        <f t="shared" si="40"/>
        <v>1.377467862481534</v>
      </c>
      <c r="AW152" s="20">
        <f t="shared" si="41"/>
        <v>1.191672296190545</v>
      </c>
      <c r="AX152" s="20">
        <f t="shared" si="42"/>
        <v>0.69770288040761275</v>
      </c>
      <c r="AY152" s="20">
        <f t="shared" si="43"/>
        <v>-2.4624660356531605</v>
      </c>
      <c r="AZ152" s="22">
        <f t="shared" si="44"/>
        <v>0.18532616826847814</v>
      </c>
      <c r="BA152" s="1">
        <f>+_xlfn.XLOOKUP(A152,[1]Indice!B:B,[1]Indice!AI:AI,"NOOOOOO",-1)</f>
        <v>0.41380479889496652</v>
      </c>
    </row>
    <row r="153" spans="1:53" x14ac:dyDescent="0.25">
      <c r="A153" s="2">
        <v>42551</v>
      </c>
      <c r="B153" s="15">
        <v>5305</v>
      </c>
      <c r="C153" s="19">
        <v>-12.256037049288782</v>
      </c>
      <c r="D153" s="15">
        <v>5046</v>
      </c>
      <c r="E153" s="19">
        <v>592.1</v>
      </c>
      <c r="F153" s="18">
        <v>0.19316331700726228</v>
      </c>
      <c r="G153" s="1">
        <v>-5.7</v>
      </c>
      <c r="H153" s="1">
        <v>1.2</v>
      </c>
      <c r="I153" s="16">
        <v>45.20088583511577</v>
      </c>
      <c r="J153" s="1">
        <v>500.53899999999999</v>
      </c>
      <c r="K153" s="1">
        <v>-6.1997069086356937</v>
      </c>
      <c r="L153" s="1">
        <v>95.262</v>
      </c>
      <c r="M153" s="1">
        <v>13.343724344711895</v>
      </c>
      <c r="N153" s="1">
        <v>-0.64989480755974771</v>
      </c>
      <c r="O153" s="1">
        <v>495941</v>
      </c>
      <c r="P153" s="1">
        <v>14.477070700309081</v>
      </c>
      <c r="Q153" s="1">
        <v>-40.726857887874836</v>
      </c>
      <c r="R153" s="1">
        <v>-3.9</v>
      </c>
      <c r="S153" s="1">
        <v>1.0366666666666673</v>
      </c>
      <c r="T153" s="3">
        <v>21.5</v>
      </c>
      <c r="V153" s="20">
        <f t="shared" si="21"/>
        <v>-6.6721834510525833</v>
      </c>
      <c r="W153" s="20">
        <f t="shared" si="22"/>
        <v>-4.9033333333333342</v>
      </c>
      <c r="X153" s="20">
        <f t="shared" si="22"/>
        <v>0.89666666666666606</v>
      </c>
      <c r="Y153" s="20">
        <f t="shared" ref="Y153:Y216" si="45">+AVERAGE(I151:I153)-AVERAGE(T94:T153)</f>
        <v>20.621485628776135</v>
      </c>
      <c r="Z153" s="20">
        <f t="shared" si="23"/>
        <v>-5.150927107967707</v>
      </c>
      <c r="AA153" s="19">
        <f>+AVERAGE(M151:M153)*AVERAGE($F$15:F153)</f>
        <v>2.9440551220710742</v>
      </c>
      <c r="AB153" s="19">
        <f t="shared" si="24"/>
        <v>-2.3148698357400299E-3</v>
      </c>
      <c r="AC153" s="19">
        <f t="shared" si="25"/>
        <v>13.228389915771297</v>
      </c>
      <c r="AD153" s="21">
        <f t="shared" si="26"/>
        <v>-33.106182772325901</v>
      </c>
      <c r="AE153" s="19"/>
      <c r="AG153" s="20">
        <f>(V153- AVERAGE(V$41:V153))/_xlfn.STDEV.S(V118:V153)</f>
        <v>-0.87599400838383501</v>
      </c>
      <c r="AH153" s="20">
        <f>(W153- AVERAGE(W$41:W153))/_xlfn.STDEV.S(W118:W153)</f>
        <v>-0.90584140015623449</v>
      </c>
      <c r="AI153" s="20">
        <f>(X153- AVERAGE(X$41:X153))/_xlfn.STDEV.S(X118:X153)</f>
        <v>0.67812894906028187</v>
      </c>
      <c r="AJ153" s="20">
        <f>(Y153- AVERAGE(Y$41:Y153))/_xlfn.STDEV.S(Y118:Y153)</f>
        <v>2.7037363547418041</v>
      </c>
      <c r="AK153" s="20">
        <f>(Z153- AVERAGE(Z$41:Z153))/_xlfn.STDEV.S(Z118:Z153)</f>
        <v>-2.0142505736776304</v>
      </c>
      <c r="AL153" s="20">
        <f>(AA153- AVERAGE(AA$41:AA153))/_xlfn.STDEV.S(AA118:AA153)</f>
        <v>1.1557559542272364</v>
      </c>
      <c r="AM153" s="20">
        <f>(AB153- AVERAGE(AB$41:AB153))/_xlfn.STDEV.S(AB118:AB153)</f>
        <v>1.1261023602413005</v>
      </c>
      <c r="AN153" s="20">
        <f>(AC153- AVERAGE(AC$41:AC153))/_xlfn.STDEV.S(AC118:AC153)</f>
        <v>0.68148890250958694</v>
      </c>
      <c r="AO153" s="24">
        <f>(AD153- AVERAGE(AD$41:AD153))/_xlfn.STDEV.S(AD118:AD153)</f>
        <v>-2.6260478478705793</v>
      </c>
      <c r="AP153" s="20"/>
      <c r="AQ153" s="20">
        <f t="shared" si="34"/>
        <v>-0.87599400838383501</v>
      </c>
      <c r="AR153" s="20">
        <f t="shared" si="35"/>
        <v>-0.90584140015623449</v>
      </c>
      <c r="AS153" s="20">
        <f t="shared" si="36"/>
        <v>0.67812894906028187</v>
      </c>
      <c r="AT153" s="20">
        <f t="shared" si="38"/>
        <v>2.7037363547418041</v>
      </c>
      <c r="AU153" s="20">
        <f t="shared" si="39"/>
        <v>-2.0142505736776304</v>
      </c>
      <c r="AV153" s="20">
        <f t="shared" si="40"/>
        <v>1.1557559542272364</v>
      </c>
      <c r="AW153" s="20">
        <f t="shared" si="41"/>
        <v>1.1261023602413005</v>
      </c>
      <c r="AX153" s="20">
        <f t="shared" si="42"/>
        <v>0.68148890250958694</v>
      </c>
      <c r="AY153" s="20">
        <f t="shared" si="43"/>
        <v>-2.6260478478705793</v>
      </c>
      <c r="AZ153" s="22">
        <f t="shared" si="44"/>
        <v>-8.5468121453409953E-3</v>
      </c>
      <c r="BA153" s="1">
        <f>+_xlfn.XLOOKUP(A153,[1]Indice!B:B,[1]Indice!AI:AI,"NOOOOOO",-1)</f>
        <v>0.38058612201091979</v>
      </c>
    </row>
    <row r="154" spans="1:53" x14ac:dyDescent="0.25">
      <c r="A154" s="2">
        <v>42582</v>
      </c>
      <c r="B154" s="15">
        <v>5002</v>
      </c>
      <c r="C154" s="19">
        <v>-10.181361106123177</v>
      </c>
      <c r="D154" s="15">
        <v>4718</v>
      </c>
      <c r="E154" s="19">
        <v>592.1</v>
      </c>
      <c r="F154" s="18">
        <v>0.19037662557000506</v>
      </c>
      <c r="G154" s="1">
        <v>-5.3</v>
      </c>
      <c r="H154" s="1">
        <v>1</v>
      </c>
      <c r="I154" s="16">
        <v>44.808185304875494</v>
      </c>
      <c r="J154" s="1">
        <v>511.63799999999998</v>
      </c>
      <c r="K154" s="1">
        <v>-3.8601528427358422</v>
      </c>
      <c r="L154" s="1">
        <v>93.549000000000007</v>
      </c>
      <c r="M154" s="1">
        <v>16.408048480021908</v>
      </c>
      <c r="N154" s="1">
        <v>-0.66578869618030279</v>
      </c>
      <c r="O154" s="1">
        <v>491914</v>
      </c>
      <c r="P154" s="1">
        <v>16.229626724256075</v>
      </c>
      <c r="Q154" s="1">
        <v>-45.197558625120458</v>
      </c>
      <c r="R154" s="1">
        <v>-3.9</v>
      </c>
      <c r="S154" s="1">
        <v>0.89833333333333365</v>
      </c>
      <c r="T154" s="3">
        <v>21.7</v>
      </c>
      <c r="V154" s="20">
        <f t="shared" si="21"/>
        <v>-7.244158329944594</v>
      </c>
      <c r="W154" s="20">
        <f t="shared" si="22"/>
        <v>-5.6316666666666668</v>
      </c>
      <c r="X154" s="20">
        <f t="shared" si="22"/>
        <v>0.86833333333333296</v>
      </c>
      <c r="Y154" s="20">
        <f t="shared" si="45"/>
        <v>22.477803656291456</v>
      </c>
      <c r="Z154" s="20">
        <f t="shared" si="23"/>
        <v>-5.6670138287211946</v>
      </c>
      <c r="AA154" s="19">
        <f>+AVERAGE(M152:M154)*AVERAGE($F$15:F154)</f>
        <v>3.3684204836582277</v>
      </c>
      <c r="AB154" s="19">
        <f t="shared" si="24"/>
        <v>-0.25070398159005397</v>
      </c>
      <c r="AC154" s="19">
        <f t="shared" si="25"/>
        <v>14.7159436715624</v>
      </c>
      <c r="AD154" s="21">
        <f t="shared" si="26"/>
        <v>-39.032971504358699</v>
      </c>
      <c r="AE154" s="19"/>
      <c r="AG154" s="20">
        <f>(V154- AVERAGE(V$41:V154))/_xlfn.STDEV.S(V119:V154)</f>
        <v>-1.0281702770204166</v>
      </c>
      <c r="AH154" s="20">
        <f>(W154- AVERAGE(W$41:W154))/_xlfn.STDEV.S(W119:W154)</f>
        <v>-1.1464528740050206</v>
      </c>
      <c r="AI154" s="20">
        <f>(X154- AVERAGE(X$41:X154))/_xlfn.STDEV.S(X119:X154)</f>
        <v>0.65780370731805959</v>
      </c>
      <c r="AJ154" s="20">
        <f>(Y154- AVERAGE(Y$41:Y154))/_xlfn.STDEV.S(Y119:Y154)</f>
        <v>2.7011829307810977</v>
      </c>
      <c r="AK154" s="20">
        <f>(Z154- AVERAGE(Z$41:Z154))/_xlfn.STDEV.S(Z119:Z154)</f>
        <v>-2.0750058327461933</v>
      </c>
      <c r="AL154" s="20">
        <f>(AA154- AVERAGE(AA$41:AA154))/_xlfn.STDEV.S(AA119:AA154)</f>
        <v>1.2273387243660885</v>
      </c>
      <c r="AM154" s="20">
        <f>(AB154- AVERAGE(AB$41:AB154))/_xlfn.STDEV.S(AB119:AB154)</f>
        <v>1.0599544513446983</v>
      </c>
      <c r="AN154" s="20">
        <f>(AC154- AVERAGE(AC$41:AC154))/_xlfn.STDEV.S(AC119:AC154)</f>
        <v>0.80020044567498338</v>
      </c>
      <c r="AO154" s="24">
        <f>(AD154- AVERAGE(AD$41:AD154))/_xlfn.STDEV.S(AD119:AD154)</f>
        <v>-2.83957786218398</v>
      </c>
      <c r="AP154" s="20"/>
      <c r="AQ154" s="20">
        <f t="shared" si="34"/>
        <v>-1.0281702770204166</v>
      </c>
      <c r="AR154" s="20">
        <f t="shared" si="35"/>
        <v>-1.1464528740050206</v>
      </c>
      <c r="AS154" s="20">
        <f t="shared" si="36"/>
        <v>0.65780370731805959</v>
      </c>
      <c r="AT154" s="20">
        <f t="shared" si="38"/>
        <v>2.7011829307810977</v>
      </c>
      <c r="AU154" s="20">
        <f t="shared" si="39"/>
        <v>-2.0750058327461933</v>
      </c>
      <c r="AV154" s="20">
        <f t="shared" si="40"/>
        <v>1.2273387243660885</v>
      </c>
      <c r="AW154" s="20">
        <f t="shared" si="41"/>
        <v>1.0599544513446983</v>
      </c>
      <c r="AX154" s="20">
        <f t="shared" si="42"/>
        <v>0.80020044567498338</v>
      </c>
      <c r="AY154" s="20">
        <f t="shared" si="43"/>
        <v>-2.83957786218398</v>
      </c>
      <c r="AZ154" s="22">
        <f t="shared" si="44"/>
        <v>-7.1414065163409202E-2</v>
      </c>
      <c r="BA154" s="1">
        <f>+_xlfn.XLOOKUP(A154,[1]Indice!B:B,[1]Indice!AI:AI,"NOOOOOO",-1)</f>
        <v>0.33574842007436634</v>
      </c>
    </row>
    <row r="155" spans="1:53" x14ac:dyDescent="0.25">
      <c r="A155" s="2">
        <v>42613</v>
      </c>
      <c r="B155" s="15">
        <v>5764</v>
      </c>
      <c r="C155" s="19">
        <v>12.227414330218078</v>
      </c>
      <c r="D155" s="15">
        <v>5174</v>
      </c>
      <c r="E155" s="19">
        <v>592.1</v>
      </c>
      <c r="F155" s="18">
        <v>0.19070933963857456</v>
      </c>
      <c r="G155" s="1">
        <v>-1.9</v>
      </c>
      <c r="H155" s="1">
        <v>2.9</v>
      </c>
      <c r="I155" s="16">
        <v>42.191651006039635</v>
      </c>
      <c r="J155" s="1">
        <v>509.50200000000001</v>
      </c>
      <c r="K155" s="1">
        <v>-3.7265883633395336</v>
      </c>
      <c r="L155" s="1">
        <v>92.911000000000001</v>
      </c>
      <c r="M155" s="1">
        <v>18.717896297053493</v>
      </c>
      <c r="N155" s="1">
        <v>-0.38788377444707312</v>
      </c>
      <c r="O155" s="1">
        <v>495238</v>
      </c>
      <c r="P155" s="1">
        <v>16.895979530610838</v>
      </c>
      <c r="Q155" s="1">
        <v>-24.089922854387645</v>
      </c>
      <c r="R155" s="1">
        <v>-3.9</v>
      </c>
      <c r="S155" s="1">
        <v>0.76000000000000023</v>
      </c>
      <c r="T155" s="3">
        <v>21.9</v>
      </c>
      <c r="V155" s="20">
        <f t="shared" si="21"/>
        <v>-4.1633279417312936</v>
      </c>
      <c r="W155" s="20">
        <f t="shared" si="22"/>
        <v>-5.0600000000000005</v>
      </c>
      <c r="X155" s="20">
        <f t="shared" si="22"/>
        <v>0.93999999999999972</v>
      </c>
      <c r="Y155" s="20">
        <f t="shared" si="45"/>
        <v>22.3669073820103</v>
      </c>
      <c r="Z155" s="20">
        <f t="shared" si="23"/>
        <v>-4.5954827049036906</v>
      </c>
      <c r="AA155" s="19">
        <f>+AVERAGE(M153:M155)*AVERAGE($F$15:F155)</f>
        <v>4.5665577646176407</v>
      </c>
      <c r="AB155" s="19">
        <f t="shared" si="24"/>
        <v>-0.56785575939570787</v>
      </c>
      <c r="AC155" s="19">
        <f t="shared" si="25"/>
        <v>15.867558985058665</v>
      </c>
      <c r="AD155" s="21">
        <f t="shared" si="26"/>
        <v>-36.671446455794317</v>
      </c>
      <c r="AE155" s="19"/>
      <c r="AG155" s="20">
        <f>(V155- AVERAGE(V$41:V155))/_xlfn.STDEV.S(V120:V155)</f>
        <v>-0.54837610250442781</v>
      </c>
      <c r="AH155" s="20">
        <f>(W155- AVERAGE(W$41:W155))/_xlfn.STDEV.S(W120:W155)</f>
        <v>-0.95308257763286464</v>
      </c>
      <c r="AI155" s="20">
        <f>(X155- AVERAGE(X$41:X155))/_xlfn.STDEV.S(X120:X155)</f>
        <v>0.68619994525095063</v>
      </c>
      <c r="AJ155" s="20">
        <f>(Y155- AVERAGE(Y$41:Y155))/_xlfn.STDEV.S(Y120:Y155)</f>
        <v>2.5304658219869496</v>
      </c>
      <c r="AK155" s="20">
        <f>(Z155- AVERAGE(Z$41:Z155))/_xlfn.STDEV.S(Z120:Z155)</f>
        <v>-1.3331358843613197</v>
      </c>
      <c r="AL155" s="20">
        <f>(AA155- AVERAGE(AA$41:AA155))/_xlfn.STDEV.S(AA120:AA155)</f>
        <v>1.4630079375291654</v>
      </c>
      <c r="AM155" s="20">
        <f>(AB155- AVERAGE(AB$41:AB155))/_xlfn.STDEV.S(AB120:AB155)</f>
        <v>0.99492419274409449</v>
      </c>
      <c r="AN155" s="20">
        <f>(AC155- AVERAGE(AC$41:AC155))/_xlfn.STDEV.S(AC120:AC155)</f>
        <v>0.89481131746257736</v>
      </c>
      <c r="AO155" s="24">
        <f>(AD155- AVERAGE(AD$41:AD155))/_xlfn.STDEV.S(AD120:AD155)</f>
        <v>-2.686309919116284</v>
      </c>
      <c r="AP155" s="20"/>
      <c r="AQ155" s="20">
        <f t="shared" si="34"/>
        <v>-0.54837610250442781</v>
      </c>
      <c r="AR155" s="20">
        <f t="shared" si="35"/>
        <v>-0.95308257763286464</v>
      </c>
      <c r="AS155" s="20">
        <f t="shared" si="36"/>
        <v>0.68619994525095063</v>
      </c>
      <c r="AT155" s="20">
        <f t="shared" si="38"/>
        <v>2.5304658219869496</v>
      </c>
      <c r="AU155" s="20">
        <f t="shared" si="39"/>
        <v>-1.3331358843613197</v>
      </c>
      <c r="AV155" s="20">
        <f t="shared" si="40"/>
        <v>1.4630079375291654</v>
      </c>
      <c r="AW155" s="20">
        <f t="shared" si="41"/>
        <v>0.99492419274409449</v>
      </c>
      <c r="AX155" s="20">
        <f t="shared" si="42"/>
        <v>0.89481131746257736</v>
      </c>
      <c r="AY155" s="20">
        <f t="shared" si="43"/>
        <v>-2.686309919116284</v>
      </c>
      <c r="AZ155" s="22">
        <f t="shared" si="44"/>
        <v>0.11650052570653793</v>
      </c>
      <c r="BA155" s="1">
        <f>+_xlfn.XLOOKUP(A155,[1]Indice!B:B,[1]Indice!AI:AI,"NOOOOOO",-1)</f>
        <v>0.31013164572996149</v>
      </c>
    </row>
    <row r="156" spans="1:53" x14ac:dyDescent="0.25">
      <c r="A156" s="2">
        <v>42643</v>
      </c>
      <c r="B156" s="15">
        <v>5050</v>
      </c>
      <c r="C156" s="19">
        <v>-2.1697016660209179</v>
      </c>
      <c r="D156" s="15">
        <v>4741</v>
      </c>
      <c r="E156" s="19">
        <v>570.55999999999995</v>
      </c>
      <c r="F156" s="18">
        <v>0.19640528603477286</v>
      </c>
      <c r="G156" s="1">
        <v>-2.7</v>
      </c>
      <c r="H156" s="1">
        <v>1.7</v>
      </c>
      <c r="I156" s="16">
        <v>40.260751969991325</v>
      </c>
      <c r="J156" s="1">
        <v>512.86500000000001</v>
      </c>
      <c r="K156" s="1">
        <v>-3.0997352962848779</v>
      </c>
      <c r="L156" s="1">
        <v>94.287000000000006</v>
      </c>
      <c r="M156" s="1">
        <v>25.296673798354831</v>
      </c>
      <c r="N156" s="1">
        <v>-0.2364123122231554</v>
      </c>
      <c r="O156" s="1">
        <v>469108</v>
      </c>
      <c r="P156" s="1">
        <v>10.122350864343588</v>
      </c>
      <c r="Q156" s="1">
        <v>-2.9793891572001963</v>
      </c>
      <c r="R156" s="1">
        <v>-3.3</v>
      </c>
      <c r="S156" s="1">
        <v>0.59833333333333372</v>
      </c>
      <c r="T156" s="3">
        <v>21.1</v>
      </c>
      <c r="V156" s="20">
        <f t="shared" si="21"/>
        <v>-0.6395494806420059</v>
      </c>
      <c r="W156" s="20">
        <f t="shared" si="22"/>
        <v>-3.898333333333333</v>
      </c>
      <c r="X156" s="20">
        <f t="shared" si="22"/>
        <v>1.2683333333333326</v>
      </c>
      <c r="Y156" s="20">
        <f t="shared" si="45"/>
        <v>20.870196093635492</v>
      </c>
      <c r="Z156" s="20">
        <f t="shared" si="23"/>
        <v>-3.5621588341200847</v>
      </c>
      <c r="AA156" s="19">
        <f>+AVERAGE(M154:M156)*AVERAGE($F$15:F156)</f>
        <v>5.6804700231319831</v>
      </c>
      <c r="AB156" s="19">
        <f t="shared" si="24"/>
        <v>-0.4300282609501771</v>
      </c>
      <c r="AC156" s="19">
        <f t="shared" si="25"/>
        <v>14.415985706403498</v>
      </c>
      <c r="AD156" s="21">
        <f t="shared" si="26"/>
        <v>-24.088956878902767</v>
      </c>
      <c r="AE156" s="19"/>
      <c r="AG156" s="20">
        <f>(V156- AVERAGE(V$41:V156))/_xlfn.STDEV.S(V121:V156)</f>
        <v>7.8487373717208841E-5</v>
      </c>
      <c r="AH156" s="20">
        <f>(W156- AVERAGE(W$41:W156))/_xlfn.STDEV.S(W121:W156)</f>
        <v>-0.5695018039278773</v>
      </c>
      <c r="AI156" s="20">
        <f>(X156- AVERAGE(X$41:X156))/_xlfn.STDEV.S(X121:X156)</f>
        <v>0.84042960799295252</v>
      </c>
      <c r="AJ156" s="20">
        <f>(Y156- AVERAGE(Y$41:Y156))/_xlfn.STDEV.S(Y121:Y156)</f>
        <v>2.2817411304846869</v>
      </c>
      <c r="AK156" s="20">
        <f>(Z156- AVERAGE(Z$41:Z156))/_xlfn.STDEV.S(Z121:Z156)</f>
        <v>-0.71681591690926783</v>
      </c>
      <c r="AL156" s="20">
        <f>(AA156- AVERAGE(AA$41:AA156))/_xlfn.STDEV.S(AA121:AA156)</f>
        <v>1.6545504613292039</v>
      </c>
      <c r="AM156" s="20">
        <f>(AB156- AVERAGE(AB$41:AB156))/_xlfn.STDEV.S(AB121:AB156)</f>
        <v>0.96983106930669705</v>
      </c>
      <c r="AN156" s="20">
        <f>(AC156- AVERAGE(AC$41:AC156))/_xlfn.STDEV.S(AC121:AC156)</f>
        <v>0.78349355163904699</v>
      </c>
      <c r="AO156" s="24">
        <f>(AD156- AVERAGE(AD$41:AD156))/_xlfn.STDEV.S(AD121:AD156)</f>
        <v>-2.1171424417873639</v>
      </c>
      <c r="AP156" s="20"/>
      <c r="AQ156" s="20">
        <f t="shared" si="34"/>
        <v>7.8487373717208841E-5</v>
      </c>
      <c r="AR156" s="20">
        <f t="shared" si="35"/>
        <v>-0.5695018039278773</v>
      </c>
      <c r="AS156" s="20">
        <f t="shared" si="36"/>
        <v>0.84042960799295252</v>
      </c>
      <c r="AT156" s="20">
        <f t="shared" si="38"/>
        <v>2.2817411304846869</v>
      </c>
      <c r="AU156" s="20">
        <f t="shared" si="39"/>
        <v>-0.71681591690926783</v>
      </c>
      <c r="AV156" s="20">
        <f t="shared" si="40"/>
        <v>1.6545504613292039</v>
      </c>
      <c r="AW156" s="20">
        <f t="shared" si="41"/>
        <v>0.96983106930669705</v>
      </c>
      <c r="AX156" s="20">
        <f t="shared" si="42"/>
        <v>0.78349355163904699</v>
      </c>
      <c r="AY156" s="20">
        <f t="shared" si="43"/>
        <v>-2.1171424417873639</v>
      </c>
      <c r="AZ156" s="22">
        <f t="shared" si="44"/>
        <v>0.34740712727797729</v>
      </c>
      <c r="BA156" s="1">
        <f>+_xlfn.XLOOKUP(A156,[1]Indice!B:B,[1]Indice!AI:AI,"NOOOOOO",-1)</f>
        <v>0.32755547083011755</v>
      </c>
    </row>
    <row r="157" spans="1:53" x14ac:dyDescent="0.25">
      <c r="A157" s="2">
        <v>42674</v>
      </c>
      <c r="B157" s="15">
        <v>4737</v>
      </c>
      <c r="C157" s="19">
        <v>-5.8811841843830699</v>
      </c>
      <c r="D157" s="15">
        <v>4783</v>
      </c>
      <c r="E157" s="19">
        <v>570.55999999999995</v>
      </c>
      <c r="F157" s="18">
        <v>0.19540451486259114</v>
      </c>
      <c r="G157" s="1">
        <v>-4</v>
      </c>
      <c r="H157" s="1">
        <v>2.1</v>
      </c>
      <c r="I157" s="16">
        <v>41.715612237739251</v>
      </c>
      <c r="J157" s="1">
        <v>510.61399999999998</v>
      </c>
      <c r="K157" s="1">
        <v>-4.4901135200956288</v>
      </c>
      <c r="L157" s="1">
        <v>90.840999999999994</v>
      </c>
      <c r="M157" s="1">
        <v>19.80507491031862</v>
      </c>
      <c r="N157" s="1">
        <v>-0.25857988886761607</v>
      </c>
      <c r="O157" s="1">
        <v>482578</v>
      </c>
      <c r="P157" s="1">
        <v>7.03951060351653</v>
      </c>
      <c r="Q157" s="1">
        <v>6.8357728561575737</v>
      </c>
      <c r="R157" s="1">
        <v>-3.3</v>
      </c>
      <c r="S157" s="1">
        <v>0.43666666666666692</v>
      </c>
      <c r="T157" s="3">
        <v>19.43</v>
      </c>
      <c r="V157" s="20">
        <f t="shared" si="21"/>
        <v>0.95550949327136303</v>
      </c>
      <c r="W157" s="20">
        <f t="shared" si="22"/>
        <v>-3.3033333333333337</v>
      </c>
      <c r="X157" s="20">
        <f t="shared" si="22"/>
        <v>1.796666666666666</v>
      </c>
      <c r="Y157" s="20">
        <f t="shared" si="45"/>
        <v>20.263338404590073</v>
      </c>
      <c r="Z157" s="20">
        <f t="shared" si="23"/>
        <v>-3.7721457265733469</v>
      </c>
      <c r="AA157" s="19">
        <f>+AVERAGE(M155:M157)*AVERAGE($F$15:F157)</f>
        <v>5.9869445664273755</v>
      </c>
      <c r="AB157" s="19">
        <f t="shared" si="24"/>
        <v>-0.29429199184594818</v>
      </c>
      <c r="AC157" s="19">
        <f t="shared" si="25"/>
        <v>11.352613666156985</v>
      </c>
      <c r="AD157" s="21">
        <f t="shared" si="26"/>
        <v>-6.7445130518100882</v>
      </c>
      <c r="AE157" s="19"/>
      <c r="AG157" s="20">
        <f>(V157- AVERAGE(V$41:V157))/_xlfn.STDEV.S(V122:V157)</f>
        <v>0.22371216437746996</v>
      </c>
      <c r="AH157" s="20">
        <f>(W157- AVERAGE(W$41:W157))/_xlfn.STDEV.S(W122:W157)</f>
        <v>-0.37120986898747038</v>
      </c>
      <c r="AI157" s="20">
        <f>(X157- AVERAGE(X$41:X157))/_xlfn.STDEV.S(X122:X157)</f>
        <v>1.087031119072674</v>
      </c>
      <c r="AJ157" s="20">
        <f>(Y157- AVERAGE(Y$41:Y157))/_xlfn.STDEV.S(Y122:Y157)</f>
        <v>2.1473661609839212</v>
      </c>
      <c r="AK157" s="20">
        <f>(Z157- AVERAGE(Z$41:Z157))/_xlfn.STDEV.S(Z122:Z157)</f>
        <v>-0.80831309582576438</v>
      </c>
      <c r="AL157" s="20">
        <f>(AA157- AVERAGE(AA$41:AA157))/_xlfn.STDEV.S(AA122:AA157)</f>
        <v>1.6587498047119624</v>
      </c>
      <c r="AM157" s="20">
        <f>(AB157- AVERAGE(AB$41:AB157))/_xlfn.STDEV.S(AB122:AB157)</f>
        <v>0.9568430536037269</v>
      </c>
      <c r="AN157" s="20">
        <f>(AC157- AVERAGE(AC$41:AC157))/_xlfn.STDEV.S(AC122:AC157)</f>
        <v>0.53582448219314094</v>
      </c>
      <c r="AO157" s="24">
        <f>(AD157- AVERAGE(AD$41:AD157))/_xlfn.STDEV.S(AD122:AD157)</f>
        <v>-1.3011717502304119</v>
      </c>
      <c r="AP157" s="20"/>
      <c r="AQ157" s="20">
        <f t="shared" si="34"/>
        <v>0.22371216437746996</v>
      </c>
      <c r="AR157" s="20">
        <f t="shared" si="35"/>
        <v>-0.37120986898747038</v>
      </c>
      <c r="AS157" s="20">
        <f t="shared" si="36"/>
        <v>1.087031119072674</v>
      </c>
      <c r="AT157" s="20">
        <f t="shared" si="38"/>
        <v>2.1473661609839212</v>
      </c>
      <c r="AU157" s="20">
        <f t="shared" si="39"/>
        <v>-0.80831309582576438</v>
      </c>
      <c r="AV157" s="20">
        <f t="shared" si="40"/>
        <v>1.6587498047119624</v>
      </c>
      <c r="AW157" s="20">
        <f t="shared" si="41"/>
        <v>0.9568430536037269</v>
      </c>
      <c r="AX157" s="20">
        <f t="shared" si="42"/>
        <v>0.53582448219314094</v>
      </c>
      <c r="AY157" s="20">
        <f t="shared" si="43"/>
        <v>-1.3011717502304119</v>
      </c>
      <c r="AZ157" s="22">
        <f t="shared" si="44"/>
        <v>0.45875911887769433</v>
      </c>
      <c r="BA157" s="1">
        <f>+_xlfn.XLOOKUP(A157,[1]Indice!B:B,[1]Indice!AI:AI,"NOOOOOO",-1)</f>
        <v>0.30843570091414674</v>
      </c>
    </row>
    <row r="158" spans="1:53" x14ac:dyDescent="0.25">
      <c r="A158" s="2">
        <v>42704</v>
      </c>
      <c r="B158" s="15">
        <v>4837</v>
      </c>
      <c r="C158" s="19">
        <v>20.955238809702426</v>
      </c>
      <c r="D158" s="15">
        <v>4723</v>
      </c>
      <c r="E158" s="19">
        <v>570.55999999999995</v>
      </c>
      <c r="F158" s="18">
        <v>0.1969135586090858</v>
      </c>
      <c r="G158" s="1">
        <v>-0.8</v>
      </c>
      <c r="H158" s="1">
        <v>4.8</v>
      </c>
      <c r="I158" s="16">
        <v>39.857851942747772</v>
      </c>
      <c r="J158" s="1">
        <v>501.97300000000001</v>
      </c>
      <c r="K158" s="1">
        <v>-5.6732511030434196</v>
      </c>
      <c r="L158" s="1">
        <v>90.472999999999999</v>
      </c>
      <c r="M158" s="1">
        <v>22.178257933828505</v>
      </c>
      <c r="N158" s="1">
        <v>-0.5960178557015805</v>
      </c>
      <c r="O158" s="1">
        <v>488145</v>
      </c>
      <c r="P158" s="1">
        <v>6.7655704574683062</v>
      </c>
      <c r="Q158" s="1">
        <v>1.6975974679902306</v>
      </c>
      <c r="R158" s="1">
        <v>-3.3</v>
      </c>
      <c r="S158" s="1">
        <v>0.27500000000000041</v>
      </c>
      <c r="T158" s="3">
        <v>20</v>
      </c>
      <c r="V158" s="20">
        <f t="shared" si="21"/>
        <v>4.0264509864328124</v>
      </c>
      <c r="W158" s="20">
        <f t="shared" si="22"/>
        <v>-2.7750000000000004</v>
      </c>
      <c r="X158" s="20">
        <f t="shared" si="22"/>
        <v>2.5916666666666663</v>
      </c>
      <c r="Y158" s="20">
        <f t="shared" si="45"/>
        <v>19.673072050159448</v>
      </c>
      <c r="Z158" s="20">
        <f t="shared" si="23"/>
        <v>-4.4210333064746417</v>
      </c>
      <c r="AA158" s="19">
        <f>+AVERAGE(M156:M158)*AVERAGE($F$15:F158)</f>
        <v>6.2983995471358156</v>
      </c>
      <c r="AB158" s="19">
        <f t="shared" si="24"/>
        <v>-0.36367001893078399</v>
      </c>
      <c r="AC158" s="19">
        <f t="shared" si="25"/>
        <v>7.9758106417761416</v>
      </c>
      <c r="AD158" s="21">
        <f t="shared" si="26"/>
        <v>1.8513270556492027</v>
      </c>
      <c r="AE158" s="19"/>
      <c r="AG158" s="20">
        <f>(V158- AVERAGE(V$41:V158))/_xlfn.STDEV.S(V123:V158)</f>
        <v>0.6081170056861378</v>
      </c>
      <c r="AH158" s="20">
        <f>(W158- AVERAGE(W$41:W158))/_xlfn.STDEV.S(W123:W158)</f>
        <v>-0.1932692719037733</v>
      </c>
      <c r="AI158" s="20">
        <f>(X158- AVERAGE(X$41:X158))/_xlfn.STDEV.S(X123:X158)</f>
        <v>1.440781411069108</v>
      </c>
      <c r="AJ158" s="20">
        <f>(Y158- AVERAGE(Y$41:Y158))/_xlfn.STDEV.S(Y123:Y158)</f>
        <v>2.031090311353676</v>
      </c>
      <c r="AK158" s="20">
        <f>(Z158- AVERAGE(Z$41:Z158))/_xlfn.STDEV.S(Z123:Z158)</f>
        <v>-1.1177224984693537</v>
      </c>
      <c r="AL158" s="20">
        <f>(AA158- AVERAGE(AA$41:AA158))/_xlfn.STDEV.S(AA123:AA158)</f>
        <v>1.6630028878290415</v>
      </c>
      <c r="AM158" s="20">
        <f>(AB158- AVERAGE(AB$41:AB158))/_xlfn.STDEV.S(AB123:AB158)</f>
        <v>0.93869082304191775</v>
      </c>
      <c r="AN158" s="20">
        <f>(AC158- AVERAGE(AC$41:AC158))/_xlfn.STDEV.S(AC123:AC158)</f>
        <v>0.25699400529898714</v>
      </c>
      <c r="AO158" s="24">
        <f>(AD158- AVERAGE(AD$41:AD158))/_xlfn.STDEV.S(AD123:AD158)</f>
        <v>-0.86619094775486483</v>
      </c>
      <c r="AP158" s="20"/>
      <c r="AQ158" s="20">
        <f t="shared" si="34"/>
        <v>0.6081170056861378</v>
      </c>
      <c r="AR158" s="20">
        <f t="shared" si="35"/>
        <v>-0.1932692719037733</v>
      </c>
      <c r="AS158" s="20">
        <f t="shared" si="36"/>
        <v>1.440781411069108</v>
      </c>
      <c r="AT158" s="20">
        <f t="shared" si="38"/>
        <v>2.031090311353676</v>
      </c>
      <c r="AU158" s="20">
        <f t="shared" si="39"/>
        <v>-1.1177224984693537</v>
      </c>
      <c r="AV158" s="20">
        <f t="shared" si="40"/>
        <v>1.6630028878290415</v>
      </c>
      <c r="AW158" s="20">
        <f t="shared" si="41"/>
        <v>0.93869082304191775</v>
      </c>
      <c r="AX158" s="20">
        <f t="shared" si="42"/>
        <v>0.25699400529898714</v>
      </c>
      <c r="AY158" s="20">
        <f t="shared" si="43"/>
        <v>-0.86619094775486483</v>
      </c>
      <c r="AZ158" s="22">
        <f t="shared" si="44"/>
        <v>0.52905485846120848</v>
      </c>
      <c r="BA158" s="1">
        <f>+_xlfn.XLOOKUP(A158,[1]Indice!B:B,[1]Indice!AI:AI,"NOOOOOO",-1)</f>
        <v>0.31718873608654052</v>
      </c>
    </row>
    <row r="159" spans="1:53" x14ac:dyDescent="0.25">
      <c r="A159" s="2">
        <v>42735</v>
      </c>
      <c r="B159" s="15">
        <v>4649</v>
      </c>
      <c r="C159" s="19">
        <v>35.578885972586761</v>
      </c>
      <c r="D159" s="15">
        <v>4595</v>
      </c>
      <c r="E159" s="19">
        <v>580.29</v>
      </c>
      <c r="F159" s="18">
        <v>0.19604335763152905</v>
      </c>
      <c r="G159" s="1">
        <v>0.5</v>
      </c>
      <c r="H159" s="1">
        <v>5.3</v>
      </c>
      <c r="I159" s="16">
        <v>32.372993875724589</v>
      </c>
      <c r="J159" s="1">
        <v>494.637</v>
      </c>
      <c r="K159" s="1">
        <v>-7.0610296176183756</v>
      </c>
      <c r="L159" s="1">
        <v>90.712000000000003</v>
      </c>
      <c r="M159" s="1">
        <v>-4.3778000316238792</v>
      </c>
      <c r="N159" s="1">
        <v>-0.49638066948693993</v>
      </c>
      <c r="O159" s="1">
        <v>479012</v>
      </c>
      <c r="P159" s="1">
        <v>5.2528421950051252</v>
      </c>
      <c r="Q159" s="1">
        <v>20.842960162430877</v>
      </c>
      <c r="R159" s="1">
        <v>-1.5</v>
      </c>
      <c r="S159" s="1">
        <v>0.16333333333333347</v>
      </c>
      <c r="T159" s="3">
        <v>19.600000000000001</v>
      </c>
      <c r="V159" s="20">
        <f t="shared" si="21"/>
        <v>16.720980199302037</v>
      </c>
      <c r="W159" s="20">
        <f t="shared" si="22"/>
        <v>-1.5966666666666669</v>
      </c>
      <c r="X159" s="20">
        <f t="shared" si="22"/>
        <v>3.9033333333333329</v>
      </c>
      <c r="Y159" s="20">
        <f t="shared" si="45"/>
        <v>17.235009828261013</v>
      </c>
      <c r="Z159" s="20">
        <f t="shared" si="23"/>
        <v>-5.7414647469191422</v>
      </c>
      <c r="AA159" s="19">
        <f>+AVERAGE(M157:M159)*AVERAGE($F$15:F159)</f>
        <v>3.5131007505717502</v>
      </c>
      <c r="AB159" s="19">
        <f t="shared" si="24"/>
        <v>-0.45032613801871219</v>
      </c>
      <c r="AC159" s="19">
        <f t="shared" si="25"/>
        <v>6.3526410853299877</v>
      </c>
      <c r="AD159" s="21">
        <f t="shared" si="26"/>
        <v>9.792110162192893</v>
      </c>
      <c r="AE159" s="19"/>
      <c r="AG159" s="20">
        <f>(V159- AVERAGE(V$41:V159))/_xlfn.STDEV.S(V124:V159)</f>
        <v>1.9443883692533137</v>
      </c>
      <c r="AH159" s="20">
        <f>(W159- AVERAGE(W$41:W159))/_xlfn.STDEV.S(W124:W159)</f>
        <v>0.20135953365082554</v>
      </c>
      <c r="AI159" s="20">
        <f>(X159- AVERAGE(X$41:X159))/_xlfn.STDEV.S(X124:X159)</f>
        <v>1.9741641206971901</v>
      </c>
      <c r="AJ159" s="20">
        <f>(Y159- AVERAGE(Y$41:Y159))/_xlfn.STDEV.S(Y124:Y159)</f>
        <v>1.769231906433375</v>
      </c>
      <c r="AK159" s="20">
        <f>(Z159- AVERAGE(Z$41:Z159))/_xlfn.STDEV.S(Z124:Z159)</f>
        <v>-1.7048177102300415</v>
      </c>
      <c r="AL159" s="20">
        <f>(AA159- AVERAGE(AA$41:AA159))/_xlfn.STDEV.S(AA124:AA159)</f>
        <v>1.0562954642055238</v>
      </c>
      <c r="AM159" s="20">
        <f>(AB159- AVERAGE(AB$41:AB159))/_xlfn.STDEV.S(AB124:AB159)</f>
        <v>0.91265460815553789</v>
      </c>
      <c r="AN159" s="20">
        <f>(AC159- AVERAGE(AC$41:AC159))/_xlfn.STDEV.S(AC124:AC159)</f>
        <v>0.12148058449407761</v>
      </c>
      <c r="AO159" s="24">
        <f>(AD159- AVERAGE(AD$41:AD159))/_xlfn.STDEV.S(AD124:AD159)</f>
        <v>-0.4311170826821174</v>
      </c>
      <c r="AP159" s="20"/>
      <c r="AQ159" s="20">
        <f t="shared" si="34"/>
        <v>1.9443883692533137</v>
      </c>
      <c r="AR159" s="20">
        <f t="shared" si="35"/>
        <v>0.20135953365082554</v>
      </c>
      <c r="AS159" s="20">
        <f t="shared" si="36"/>
        <v>1.9741641206971901</v>
      </c>
      <c r="AT159" s="20">
        <f t="shared" si="38"/>
        <v>1.769231906433375</v>
      </c>
      <c r="AU159" s="20">
        <f t="shared" si="39"/>
        <v>-1.7048177102300415</v>
      </c>
      <c r="AV159" s="20">
        <f t="shared" si="40"/>
        <v>1.0562954642055238</v>
      </c>
      <c r="AW159" s="20">
        <f t="shared" si="41"/>
        <v>0.91265460815553789</v>
      </c>
      <c r="AX159" s="20">
        <f t="shared" si="42"/>
        <v>0.12148058449407761</v>
      </c>
      <c r="AY159" s="20">
        <f t="shared" si="43"/>
        <v>-0.4311170826821174</v>
      </c>
      <c r="AZ159" s="22">
        <f t="shared" si="44"/>
        <v>0.64929331044196503</v>
      </c>
      <c r="BA159" s="1">
        <f>+_xlfn.XLOOKUP(A159,[1]Indice!B:B,[1]Indice!AI:AI,"NOOOOOO",-1)</f>
        <v>0.33095570592103307</v>
      </c>
    </row>
    <row r="160" spans="1:53" x14ac:dyDescent="0.25">
      <c r="A160" s="2">
        <v>42766</v>
      </c>
      <c r="B160" s="15">
        <v>4291</v>
      </c>
      <c r="C160" s="19">
        <v>10.564287554753937</v>
      </c>
      <c r="D160" s="15">
        <v>4344</v>
      </c>
      <c r="E160" s="19">
        <v>580.29</v>
      </c>
      <c r="F160" s="18">
        <v>0.19713074497234143</v>
      </c>
      <c r="G160" s="1">
        <v>1.5</v>
      </c>
      <c r="H160" s="1">
        <v>3.5</v>
      </c>
      <c r="I160" s="16">
        <v>28.78933174995813</v>
      </c>
      <c r="J160" s="1">
        <v>497.315</v>
      </c>
      <c r="K160" s="1">
        <v>-5.2020091306792748</v>
      </c>
      <c r="L160" s="1">
        <v>91.316000000000003</v>
      </c>
      <c r="M160" s="1">
        <v>-5.9606195419344203</v>
      </c>
      <c r="N160" s="1">
        <v>0.18511586172603733</v>
      </c>
      <c r="O160" s="1">
        <v>494762</v>
      </c>
      <c r="P160" s="1">
        <v>4.9683458365864519</v>
      </c>
      <c r="Q160" s="1">
        <v>1.8049446382526924</v>
      </c>
      <c r="R160" s="1">
        <v>-1.5</v>
      </c>
      <c r="S160" s="1">
        <v>5.1666666666666826E-2</v>
      </c>
      <c r="T160" s="3">
        <v>19.649999999999999</v>
      </c>
      <c r="V160" s="20">
        <f t="shared" si="21"/>
        <v>22.314470779014371</v>
      </c>
      <c r="W160" s="20">
        <f t="shared" si="22"/>
        <v>0.34833333333333316</v>
      </c>
      <c r="X160" s="20">
        <f t="shared" si="22"/>
        <v>4.4816666666666665</v>
      </c>
      <c r="Y160" s="20">
        <f t="shared" si="45"/>
        <v>13.063392522810162</v>
      </c>
      <c r="Z160" s="20">
        <f t="shared" si="23"/>
        <v>-5.9787632837803564</v>
      </c>
      <c r="AA160" s="19">
        <f>+AVERAGE(M158:M160)*AVERAGE($F$15:F160)</f>
        <v>1.103828042801835</v>
      </c>
      <c r="AB160" s="19">
        <f t="shared" si="24"/>
        <v>-0.30242755448749437</v>
      </c>
      <c r="AC160" s="19">
        <f t="shared" si="25"/>
        <v>5.6622528296866284</v>
      </c>
      <c r="AD160" s="21">
        <f t="shared" si="26"/>
        <v>8.1151674228912665</v>
      </c>
      <c r="AE160" s="19"/>
      <c r="AG160" s="20">
        <f>(V160- AVERAGE(V$41:V160))/_xlfn.STDEV.S(V125:V160)</f>
        <v>2.2193681045555826</v>
      </c>
      <c r="AH160" s="20">
        <f>(W160- AVERAGE(W$41:W160))/_xlfn.STDEV.S(W125:W160)</f>
        <v>0.83612771797082064</v>
      </c>
      <c r="AI160" s="20">
        <f>(X160- AVERAGE(X$41:X160))/_xlfn.STDEV.S(X125:X160)</f>
        <v>2.1196670551391747</v>
      </c>
      <c r="AJ160" s="20">
        <f>(Y160- AVERAGE(Y$41:Y160))/_xlfn.STDEV.S(Y125:Y160)</f>
        <v>1.3729593476046167</v>
      </c>
      <c r="AK160" s="20">
        <f>(Z160- AVERAGE(Z$41:Z160))/_xlfn.STDEV.S(Z125:Z160)</f>
        <v>-1.7343338492215055</v>
      </c>
      <c r="AL160" s="20">
        <f>(AA160- AVERAGE(AA$41:AA160))/_xlfn.STDEV.S(AA125:AA160)</f>
        <v>0.54745315108319703</v>
      </c>
      <c r="AM160" s="20">
        <f>(AB160- AVERAGE(AB$41:AB160))/_xlfn.STDEV.S(AB125:AB160)</f>
        <v>0.89730824093410855</v>
      </c>
      <c r="AN160" s="20">
        <f>(AC160- AVERAGE(AC$41:AC160))/_xlfn.STDEV.S(AC125:AC160)</f>
        <v>6.3691038234731281E-2</v>
      </c>
      <c r="AO160" s="24">
        <f>(AD160- AVERAGE(AD$41:AD160))/_xlfn.STDEV.S(AD125:AD160)</f>
        <v>-0.5161668838665614</v>
      </c>
      <c r="AP160" s="20"/>
      <c r="AQ160" s="20">
        <f t="shared" si="34"/>
        <v>2.2193681045555826</v>
      </c>
      <c r="AR160" s="20">
        <f t="shared" si="35"/>
        <v>0.83612771797082064</v>
      </c>
      <c r="AS160" s="20">
        <f t="shared" si="36"/>
        <v>2.1196670551391747</v>
      </c>
      <c r="AT160" s="20">
        <f t="shared" si="38"/>
        <v>1.3729593476046167</v>
      </c>
      <c r="AU160" s="20">
        <f t="shared" si="39"/>
        <v>-1.7343338492215055</v>
      </c>
      <c r="AV160" s="20">
        <f t="shared" si="40"/>
        <v>0.54745315108319703</v>
      </c>
      <c r="AW160" s="20">
        <f t="shared" si="41"/>
        <v>0.89730824093410855</v>
      </c>
      <c r="AX160" s="20">
        <f t="shared" si="42"/>
        <v>6.3691038234731281E-2</v>
      </c>
      <c r="AY160" s="20">
        <f t="shared" si="43"/>
        <v>-0.5161668838665614</v>
      </c>
      <c r="AZ160" s="22">
        <f t="shared" si="44"/>
        <v>0.64511932471490718</v>
      </c>
      <c r="BA160" s="1">
        <f>+_xlfn.XLOOKUP(A160,[1]Indice!B:B,[1]Indice!AI:AI,"NOOOOOO",-1)</f>
        <v>0.37857150884490587</v>
      </c>
    </row>
    <row r="161" spans="1:53" x14ac:dyDescent="0.25">
      <c r="A161" s="2">
        <v>42794</v>
      </c>
      <c r="B161" s="15">
        <v>3899</v>
      </c>
      <c r="C161" s="19">
        <v>-5.8439990340497516</v>
      </c>
      <c r="D161" s="15">
        <v>4117</v>
      </c>
      <c r="E161" s="19">
        <v>580.29</v>
      </c>
      <c r="F161" s="18">
        <v>0.19674990091161315</v>
      </c>
      <c r="G161" s="1">
        <v>-1.2</v>
      </c>
      <c r="H161" s="1">
        <v>0.9</v>
      </c>
      <c r="I161" s="16">
        <v>27.911983573002097</v>
      </c>
      <c r="J161" s="1">
        <v>485.70299999999997</v>
      </c>
      <c r="K161" s="1">
        <v>-6.2845135970548416</v>
      </c>
      <c r="L161" s="1">
        <v>87.799000000000007</v>
      </c>
      <c r="M161" s="1">
        <v>-18.450163937471544</v>
      </c>
      <c r="N161" s="1">
        <v>-0.34391273392457844</v>
      </c>
      <c r="O161" s="1">
        <v>520184</v>
      </c>
      <c r="P161" s="1">
        <v>6.8800223546791717</v>
      </c>
      <c r="Q161" s="1">
        <v>-6.3049457958038957</v>
      </c>
      <c r="R161" s="1">
        <v>-1.5</v>
      </c>
      <c r="S161" s="1">
        <v>-6.0000000000000039E-2</v>
      </c>
      <c r="T161" s="3">
        <v>19.45</v>
      </c>
      <c r="V161" s="20">
        <f t="shared" si="21"/>
        <v>13.493058164430316</v>
      </c>
      <c r="W161" s="20">
        <f t="shared" si="22"/>
        <v>0.32666666666666672</v>
      </c>
      <c r="X161" s="20">
        <f t="shared" si="22"/>
        <v>3.2933333333333339</v>
      </c>
      <c r="Y161" s="20">
        <f t="shared" si="45"/>
        <v>9.2103252884504982</v>
      </c>
      <c r="Z161" s="20">
        <f t="shared" si="23"/>
        <v>-6.182517448450831</v>
      </c>
      <c r="AA161" s="19">
        <f>+AVERAGE(M159:M161)*AVERAGE($F$15:F161)</f>
        <v>-2.678545080224997</v>
      </c>
      <c r="AB161" s="19">
        <f t="shared" si="24"/>
        <v>-0.21839251389516035</v>
      </c>
      <c r="AC161" s="19">
        <f t="shared" si="25"/>
        <v>5.7004034620902502</v>
      </c>
      <c r="AD161" s="21">
        <f t="shared" si="26"/>
        <v>5.4476530016265583</v>
      </c>
      <c r="AE161" s="19"/>
      <c r="AG161" s="20">
        <f>(V161- AVERAGE(V$41:V161))/_xlfn.STDEV.S(V126:V161)</f>
        <v>1.2643370679435295</v>
      </c>
      <c r="AH161" s="20">
        <f>(W161- AVERAGE(W$41:W161))/_xlfn.STDEV.S(W126:W161)</f>
        <v>0.81169197135922622</v>
      </c>
      <c r="AI161" s="20">
        <f>(X161- AVERAGE(X$41:X161))/_xlfn.STDEV.S(X126:X161)</f>
        <v>1.5463379897751812</v>
      </c>
      <c r="AJ161" s="20">
        <f>(Y161- AVERAGE(Y$41:Y161))/_xlfn.STDEV.S(Y126:Y161)</f>
        <v>1.0136404803593715</v>
      </c>
      <c r="AK161" s="20">
        <f>(Z161- AVERAGE(Z$41:Z161))/_xlfn.STDEV.S(Z126:Z161)</f>
        <v>-1.7430255339646408</v>
      </c>
      <c r="AL161" s="20">
        <f>(AA161- AVERAGE(AA$41:AA161))/_xlfn.STDEV.S(AA126:AA161)</f>
        <v>-0.24346523564724973</v>
      </c>
      <c r="AM161" s="20">
        <f>(AB161- AVERAGE(AB$41:AB161))/_xlfn.STDEV.S(AB126:AB161)</f>
        <v>0.87855639581395961</v>
      </c>
      <c r="AN161" s="20">
        <f>(AC161- AVERAGE(AC$41:AC161))/_xlfn.STDEV.S(AC126:AC161)</f>
        <v>6.7833094780265474E-2</v>
      </c>
      <c r="AO161" s="24">
        <f>(AD161- AVERAGE(AD$41:AD161))/_xlfn.STDEV.S(AD126:AD161)</f>
        <v>-0.66367416985483996</v>
      </c>
      <c r="AP161" s="20"/>
      <c r="AQ161" s="20">
        <f t="shared" si="34"/>
        <v>1.2643370679435295</v>
      </c>
      <c r="AR161" s="20">
        <f t="shared" si="35"/>
        <v>0.81169197135922622</v>
      </c>
      <c r="AS161" s="20">
        <f t="shared" si="36"/>
        <v>1.5463379897751812</v>
      </c>
      <c r="AT161" s="20">
        <f t="shared" si="38"/>
        <v>1.0136404803593715</v>
      </c>
      <c r="AU161" s="20">
        <f t="shared" si="39"/>
        <v>-1.7430255339646408</v>
      </c>
      <c r="AV161" s="20">
        <f t="shared" si="40"/>
        <v>-0.24346523564724973</v>
      </c>
      <c r="AW161" s="20">
        <f t="shared" si="41"/>
        <v>0.87855639581395961</v>
      </c>
      <c r="AX161" s="20">
        <f t="shared" si="42"/>
        <v>6.7833094780265474E-2</v>
      </c>
      <c r="AY161" s="20">
        <f t="shared" si="43"/>
        <v>-0.66367416985483996</v>
      </c>
      <c r="AZ161" s="22">
        <f t="shared" si="44"/>
        <v>0.32580356228497814</v>
      </c>
      <c r="BA161" s="1">
        <f>+_xlfn.XLOOKUP(A161,[1]Indice!B:B,[1]Indice!AI:AI,"NOOOOOO",-1)</f>
        <v>0.36977811508747915</v>
      </c>
    </row>
    <row r="162" spans="1:53" x14ac:dyDescent="0.25">
      <c r="A162" s="2">
        <v>42825</v>
      </c>
      <c r="B162" s="15">
        <v>4565</v>
      </c>
      <c r="C162" s="19">
        <v>3.2571816331146808</v>
      </c>
      <c r="D162" s="15">
        <v>5475</v>
      </c>
      <c r="E162" s="19">
        <v>589.42999999999995</v>
      </c>
      <c r="F162" s="18">
        <v>0.19550243455541794</v>
      </c>
      <c r="G162" s="1">
        <v>1.3</v>
      </c>
      <c r="H162" s="1">
        <v>3</v>
      </c>
      <c r="I162" s="16">
        <v>27.100396324583276</v>
      </c>
      <c r="J162" s="1">
        <v>485.37900000000002</v>
      </c>
      <c r="K162" s="1">
        <v>-6.9522376328729258</v>
      </c>
      <c r="L162" s="1">
        <v>85.385999999999996</v>
      </c>
      <c r="M162" s="1">
        <v>-16.228281024654912</v>
      </c>
      <c r="N162" s="1">
        <v>-0.21322273782446999</v>
      </c>
      <c r="O162" s="1">
        <v>535543</v>
      </c>
      <c r="P162" s="1">
        <v>6.297338710957967</v>
      </c>
      <c r="Q162" s="1">
        <v>1.9344524380495498</v>
      </c>
      <c r="R162" s="1">
        <v>0.6</v>
      </c>
      <c r="S162" s="1">
        <v>-7.666666666666673E-2</v>
      </c>
      <c r="T162" s="3">
        <v>18.399999999999999</v>
      </c>
      <c r="V162" s="20">
        <f t="shared" si="21"/>
        <v>2.7358233846062889</v>
      </c>
      <c r="W162" s="20">
        <f t="shared" si="22"/>
        <v>0.6100000000000001</v>
      </c>
      <c r="X162" s="20">
        <f t="shared" si="22"/>
        <v>2.5433333333333334</v>
      </c>
      <c r="Y162" s="20">
        <f t="shared" si="45"/>
        <v>7.6609038825144999</v>
      </c>
      <c r="Z162" s="20">
        <f t="shared" si="23"/>
        <v>-6.1462534535356808</v>
      </c>
      <c r="AA162" s="19">
        <f>+AVERAGE(M160:M162)*AVERAGE($F$15:F162)</f>
        <v>-3.7734825883860439</v>
      </c>
      <c r="AB162" s="19">
        <f t="shared" si="24"/>
        <v>-0.12400653667433703</v>
      </c>
      <c r="AC162" s="19">
        <f t="shared" si="25"/>
        <v>6.0485689674078635</v>
      </c>
      <c r="AD162" s="21">
        <f t="shared" si="26"/>
        <v>-0.85518290650055118</v>
      </c>
      <c r="AE162" s="19"/>
      <c r="AG162" s="20">
        <f>(V162- AVERAGE(V$41:V162))/_xlfn.STDEV.S(V127:V162)</f>
        <v>0.26283971298660025</v>
      </c>
      <c r="AH162" s="20">
        <f>(W162- AVERAGE(W$41:W162))/_xlfn.STDEV.S(W127:W162)</f>
        <v>0.88514168413489869</v>
      </c>
      <c r="AI162" s="20">
        <f>(X162- AVERAGE(X$41:X162))/_xlfn.STDEV.S(X127:X162)</f>
        <v>1.2054822332214108</v>
      </c>
      <c r="AJ162" s="20">
        <f>(Y162- AVERAGE(Y$41:Y162))/_xlfn.STDEV.S(Y127:Y162)</f>
        <v>0.8657711471590166</v>
      </c>
      <c r="AK162" s="20">
        <f>(Z162- AVERAGE(Z$41:Z162))/_xlfn.STDEV.S(Z127:Z162)</f>
        <v>-1.6664203715196277</v>
      </c>
      <c r="AL162" s="20">
        <f>(AA162- AVERAGE(AA$41:AA162))/_xlfn.STDEV.S(AA127:AA162)</f>
        <v>-0.47050347222357874</v>
      </c>
      <c r="AM162" s="20">
        <f>(AB162- AVERAGE(AB$41:AB162))/_xlfn.STDEV.S(AB127:AB162)</f>
        <v>0.86178634556460387</v>
      </c>
      <c r="AN162" s="20">
        <f>(AC162- AVERAGE(AC$41:AC162))/_xlfn.STDEV.S(AC127:AC162)</f>
        <v>9.9994178644246798E-2</v>
      </c>
      <c r="AO162" s="24">
        <f>(AD162- AVERAGE(AD$41:AD162))/_xlfn.STDEV.S(AD127:AD162)</f>
        <v>-1.0365514222289947</v>
      </c>
      <c r="AP162" s="20"/>
      <c r="AQ162" s="20">
        <f t="shared" si="34"/>
        <v>0.26283971298660025</v>
      </c>
      <c r="AR162" s="20">
        <f t="shared" si="35"/>
        <v>0.88514168413489869</v>
      </c>
      <c r="AS162" s="20">
        <f t="shared" si="36"/>
        <v>1.2054822332214108</v>
      </c>
      <c r="AT162" s="20">
        <f t="shared" si="38"/>
        <v>0.8657711471590166</v>
      </c>
      <c r="AU162" s="20">
        <f t="shared" si="39"/>
        <v>-1.6664203715196277</v>
      </c>
      <c r="AV162" s="20">
        <f t="shared" si="40"/>
        <v>-0.47050347222357874</v>
      </c>
      <c r="AW162" s="20">
        <f t="shared" si="41"/>
        <v>0.86178634556460387</v>
      </c>
      <c r="AX162" s="20">
        <f t="shared" si="42"/>
        <v>9.9994178644246798E-2</v>
      </c>
      <c r="AY162" s="20">
        <f t="shared" si="43"/>
        <v>-1.0365514222289947</v>
      </c>
      <c r="AZ162" s="22">
        <f t="shared" si="44"/>
        <v>0.11194889285984175</v>
      </c>
      <c r="BA162" s="1">
        <f>+_xlfn.XLOOKUP(A162,[1]Indice!B:B,[1]Indice!AI:AI,"NOOOOOO",-1)</f>
        <v>0.40569217915127853</v>
      </c>
    </row>
    <row r="163" spans="1:53" x14ac:dyDescent="0.25">
      <c r="A163" s="2">
        <v>42855</v>
      </c>
      <c r="B163" s="15">
        <v>4867</v>
      </c>
      <c r="C163" s="19">
        <v>2.6793248945147674</v>
      </c>
      <c r="D163" s="15">
        <v>4973</v>
      </c>
      <c r="E163" s="19">
        <v>589.42999999999995</v>
      </c>
      <c r="F163" s="18">
        <v>0.19665100181531309</v>
      </c>
      <c r="G163" s="1">
        <v>-0.7</v>
      </c>
      <c r="H163" s="1">
        <v>2.4</v>
      </c>
      <c r="I163" s="16">
        <v>26.114567553596469</v>
      </c>
      <c r="J163" s="1">
        <v>453.85300000000001</v>
      </c>
      <c r="K163" s="1">
        <v>-12.880909556834819</v>
      </c>
      <c r="L163" s="1">
        <v>83.418000000000006</v>
      </c>
      <c r="M163" s="1">
        <v>-12.851158077288716</v>
      </c>
      <c r="N163" s="1">
        <v>-0.30649694678548389</v>
      </c>
      <c r="O163" s="1">
        <v>527772</v>
      </c>
      <c r="P163" s="1">
        <v>3.0613460393091207</v>
      </c>
      <c r="Q163" s="1">
        <v>-17.868202314336934</v>
      </c>
      <c r="R163" s="1">
        <v>0.6</v>
      </c>
      <c r="S163" s="1">
        <v>-9.3333333333333407E-2</v>
      </c>
      <c r="T163" s="3">
        <v>17.510000000000002</v>
      </c>
      <c r="V163" s="20">
        <f t="shared" si="21"/>
        <v>0.1241691645265656</v>
      </c>
      <c r="W163" s="20">
        <f t="shared" si="22"/>
        <v>-0.10666666666666655</v>
      </c>
      <c r="X163" s="20">
        <f t="shared" si="22"/>
        <v>2.1933333333333334</v>
      </c>
      <c r="Y163" s="20">
        <f t="shared" si="45"/>
        <v>7.0204976352424353</v>
      </c>
      <c r="Z163" s="20">
        <f t="shared" si="23"/>
        <v>-8.7058869289208616</v>
      </c>
      <c r="AA163" s="19">
        <f>+AVERAGE(M161:M163)*AVERAGE($F$15:F163)</f>
        <v>-4.4045842737589789</v>
      </c>
      <c r="AB163" s="19">
        <f t="shared" si="24"/>
        <v>-0.28787747284484411</v>
      </c>
      <c r="AC163" s="19">
        <f t="shared" si="25"/>
        <v>5.4129023683154207</v>
      </c>
      <c r="AD163" s="21">
        <f t="shared" si="26"/>
        <v>-7.4128985573637598</v>
      </c>
      <c r="AE163" s="19"/>
      <c r="AG163" s="20">
        <f>(V163- AVERAGE(V$41:V163))/_xlfn.STDEV.S(V128:V163)</f>
        <v>2.1728990797784439E-2</v>
      </c>
      <c r="AH163" s="20">
        <f>(W163- AVERAGE(W$41:W163))/_xlfn.STDEV.S(W128:W163)</f>
        <v>0.64794385255021525</v>
      </c>
      <c r="AI163" s="20">
        <f>(X163- AVERAGE(X$41:X163))/_xlfn.STDEV.S(X128:X163)</f>
        <v>1.05237964697357</v>
      </c>
      <c r="AJ163" s="20">
        <f>(Y163- AVERAGE(Y$41:Y163))/_xlfn.STDEV.S(Y128:Y163)</f>
        <v>0.80289952074895565</v>
      </c>
      <c r="AK163" s="20">
        <f>(Z163- AVERAGE(Z$41:Z163))/_xlfn.STDEV.S(Z128:Z163)</f>
        <v>-2.5260148568052405</v>
      </c>
      <c r="AL163" s="20">
        <f>(AA163- AVERAGE(AA$41:AA163))/_xlfn.STDEV.S(AA128:AA163)</f>
        <v>-0.59721969979555301</v>
      </c>
      <c r="AM163" s="20">
        <f>(AB163- AVERAGE(AB$41:AB163))/_xlfn.STDEV.S(AB128:AB163)</f>
        <v>0.83145289261231414</v>
      </c>
      <c r="AN163" s="20">
        <f>(AC163- AVERAGE(AC$41:AC163))/_xlfn.STDEV.S(AC128:AC163)</f>
        <v>4.3789286158212801E-2</v>
      </c>
      <c r="AO163" s="24">
        <f>(AD163- AVERAGE(AD$41:AD163))/_xlfn.STDEV.S(AD128:AD163)</f>
        <v>-1.4157405012643036</v>
      </c>
      <c r="AP163" s="20"/>
      <c r="AQ163" s="20">
        <f t="shared" si="34"/>
        <v>2.1728990797784439E-2</v>
      </c>
      <c r="AR163" s="20">
        <f t="shared" si="35"/>
        <v>0.64794385255021525</v>
      </c>
      <c r="AS163" s="20">
        <f t="shared" si="36"/>
        <v>1.05237964697357</v>
      </c>
      <c r="AT163" s="20">
        <f t="shared" si="38"/>
        <v>0.80289952074895565</v>
      </c>
      <c r="AU163" s="20">
        <f t="shared" si="39"/>
        <v>-2.5260148568052405</v>
      </c>
      <c r="AV163" s="20">
        <f t="shared" si="40"/>
        <v>-0.59721969979555301</v>
      </c>
      <c r="AW163" s="20">
        <f t="shared" si="41"/>
        <v>0.83145289261231414</v>
      </c>
      <c r="AX163" s="20">
        <f t="shared" si="42"/>
        <v>4.3789286158212801E-2</v>
      </c>
      <c r="AY163" s="20">
        <f t="shared" si="43"/>
        <v>-1.4157405012643036</v>
      </c>
      <c r="AZ163" s="22">
        <f t="shared" si="44"/>
        <v>-0.12653120755822722</v>
      </c>
      <c r="BA163" s="1">
        <f>+_xlfn.XLOOKUP(A163,[1]Indice!B:B,[1]Indice!AI:AI,"NOOOOOO",-1)</f>
        <v>0.41311221766180556</v>
      </c>
    </row>
    <row r="164" spans="1:53" x14ac:dyDescent="0.25">
      <c r="A164" s="2">
        <v>42886</v>
      </c>
      <c r="B164" s="15">
        <v>5493</v>
      </c>
      <c r="C164" s="19">
        <v>2.0434701839123104</v>
      </c>
      <c r="D164" s="15">
        <v>6064</v>
      </c>
      <c r="E164" s="19">
        <v>589.42999999999995</v>
      </c>
      <c r="F164" s="18">
        <v>0.1988565224029995</v>
      </c>
      <c r="G164" s="1">
        <v>2.4</v>
      </c>
      <c r="H164" s="1">
        <v>3.7</v>
      </c>
      <c r="I164" s="16">
        <v>22.487646701377304</v>
      </c>
      <c r="J164" s="1">
        <v>469.77800000000002</v>
      </c>
      <c r="K164" s="1">
        <v>-5.8813865615245593</v>
      </c>
      <c r="L164" s="1">
        <v>86.212000000000003</v>
      </c>
      <c r="M164" s="1">
        <v>-2.1152426908884414</v>
      </c>
      <c r="N164" s="1">
        <v>-0.35906593714933877</v>
      </c>
      <c r="O164" s="1">
        <v>509912</v>
      </c>
      <c r="P164" s="1">
        <v>1.1318808817841974</v>
      </c>
      <c r="Q164" s="1">
        <v>3.5104197240974466</v>
      </c>
      <c r="R164" s="1">
        <v>0.6</v>
      </c>
      <c r="S164" s="1">
        <v>-0.11000000000000006</v>
      </c>
      <c r="T164" s="3">
        <v>17</v>
      </c>
      <c r="V164" s="20">
        <f t="shared" si="21"/>
        <v>2.7699922371805861</v>
      </c>
      <c r="W164" s="20">
        <f t="shared" si="22"/>
        <v>1.1100000000000001</v>
      </c>
      <c r="X164" s="20">
        <f t="shared" si="22"/>
        <v>3.1433333333333335</v>
      </c>
      <c r="Y164" s="20">
        <f t="shared" si="45"/>
        <v>5.4642035265190145</v>
      </c>
      <c r="Z164" s="20">
        <f t="shared" si="23"/>
        <v>-8.5715112504107669</v>
      </c>
      <c r="AA164" s="19">
        <f>+AVERAGE(M162:M164)*AVERAGE($F$15:F164)</f>
        <v>-2.885334527864841</v>
      </c>
      <c r="AB164" s="19">
        <f t="shared" si="24"/>
        <v>-0.29292854058643086</v>
      </c>
      <c r="AC164" s="19">
        <f t="shared" si="25"/>
        <v>3.496855210683762</v>
      </c>
      <c r="AD164" s="21">
        <f t="shared" si="26"/>
        <v>-4.1411100507299787</v>
      </c>
      <c r="AE164" s="19"/>
      <c r="AG164" s="20">
        <f>(V164- AVERAGE(V$41:V164))/_xlfn.STDEV.S(V129:V164)</f>
        <v>0.26089132138377275</v>
      </c>
      <c r="AH164" s="20">
        <f>(W164- AVERAGE(W$41:W164))/_xlfn.STDEV.S(W129:W164)</f>
        <v>1.0294246123006532</v>
      </c>
      <c r="AI164" s="20">
        <f>(X164- AVERAGE(X$41:X164))/_xlfn.STDEV.S(X129:X164)</f>
        <v>1.4810314077806868</v>
      </c>
      <c r="AJ164" s="20">
        <f>(Y164- AVERAGE(Y$41:Y164))/_xlfn.STDEV.S(Y129:Y164)</f>
        <v>0.65907569234370456</v>
      </c>
      <c r="AK164" s="20">
        <f>(Z164- AVERAGE(Z$41:Z164))/_xlfn.STDEV.S(Z129:Z164)</f>
        <v>-2.2641820421442418</v>
      </c>
      <c r="AL164" s="20">
        <f>(AA164- AVERAGE(AA$41:AA164))/_xlfn.STDEV.S(AA129:AA164)</f>
        <v>-0.27746325650549519</v>
      </c>
      <c r="AM164" s="20">
        <f>(AB164- AVERAGE(AB$41:AB164))/_xlfn.STDEV.S(AB129:AB164)</f>
        <v>0.81062031326102857</v>
      </c>
      <c r="AN164" s="20">
        <f>(AC164- AVERAGE(AC$41:AC164))/_xlfn.STDEV.S(AC129:AC164)</f>
        <v>-0.13221134444319257</v>
      </c>
      <c r="AO164" s="24">
        <f>(AD164- AVERAGE(AD$41:AD164))/_xlfn.STDEV.S(AD129:AD164)</f>
        <v>-1.2238540626076675</v>
      </c>
      <c r="AP164" s="20"/>
      <c r="AQ164" s="20">
        <f t="shared" si="34"/>
        <v>0.26089132138377275</v>
      </c>
      <c r="AR164" s="20">
        <f t="shared" si="35"/>
        <v>1.0294246123006532</v>
      </c>
      <c r="AS164" s="20">
        <f t="shared" si="36"/>
        <v>1.4810314077806868</v>
      </c>
      <c r="AT164" s="20">
        <f t="shared" si="38"/>
        <v>0.65907569234370456</v>
      </c>
      <c r="AU164" s="20">
        <f t="shared" si="39"/>
        <v>-2.2641820421442418</v>
      </c>
      <c r="AV164" s="20">
        <f t="shared" si="40"/>
        <v>-0.27746325650549519</v>
      </c>
      <c r="AW164" s="20">
        <f t="shared" si="41"/>
        <v>0.81062031326102857</v>
      </c>
      <c r="AX164" s="20">
        <f t="shared" si="42"/>
        <v>-0.13221134444319257</v>
      </c>
      <c r="AY164" s="20">
        <f t="shared" si="43"/>
        <v>-1.2238540626076675</v>
      </c>
      <c r="AZ164" s="22">
        <f t="shared" si="44"/>
        <v>3.8148071263249865E-2</v>
      </c>
      <c r="BA164" s="1">
        <f>+_xlfn.XLOOKUP(A164,[1]Indice!B:B,[1]Indice!AI:AI,"NOOOOOO",-1)</f>
        <v>0.41584762955580046</v>
      </c>
    </row>
    <row r="165" spans="1:53" x14ac:dyDescent="0.25">
      <c r="A165" s="2">
        <v>42916</v>
      </c>
      <c r="B165" s="15">
        <v>5158</v>
      </c>
      <c r="C165" s="19">
        <v>-2.7709707822808682</v>
      </c>
      <c r="D165" s="15">
        <v>5898</v>
      </c>
      <c r="E165" s="19">
        <v>671.52</v>
      </c>
      <c r="F165" s="18">
        <v>0.17559715272813914</v>
      </c>
      <c r="G165" s="1">
        <v>5.2</v>
      </c>
      <c r="H165" s="1">
        <v>3.4</v>
      </c>
      <c r="I165" s="16">
        <v>20.050432875827166</v>
      </c>
      <c r="J165" s="1">
        <v>461.52100000000002</v>
      </c>
      <c r="K165" s="1">
        <v>-7.7951967778734481</v>
      </c>
      <c r="L165" s="1">
        <v>87.929000000000002</v>
      </c>
      <c r="M165" s="1">
        <v>-7.6977178728139251</v>
      </c>
      <c r="N165" s="1">
        <v>-0.2203283563215308</v>
      </c>
      <c r="O165" s="1">
        <v>502914</v>
      </c>
      <c r="P165" s="1">
        <v>1.406014021829205</v>
      </c>
      <c r="Q165" s="1">
        <v>17.590046741820188</v>
      </c>
      <c r="R165" s="1">
        <v>2.2999999999999998</v>
      </c>
      <c r="S165" s="1">
        <v>4.999999999999975E-3</v>
      </c>
      <c r="T165" s="3">
        <v>17</v>
      </c>
      <c r="V165" s="20">
        <f t="shared" si="21"/>
        <v>0.64560809871540314</v>
      </c>
      <c r="W165" s="20">
        <f t="shared" si="22"/>
        <v>2.2950000000000004</v>
      </c>
      <c r="X165" s="20">
        <f t="shared" si="22"/>
        <v>3.1616666666666666</v>
      </c>
      <c r="Y165" s="20">
        <f t="shared" si="45"/>
        <v>3.3272926333439052</v>
      </c>
      <c r="Z165" s="20">
        <f t="shared" si="23"/>
        <v>-8.8524976320776094</v>
      </c>
      <c r="AA165" s="19">
        <f>+AVERAGE(M163:M165)*AVERAGE($F$15:F165)</f>
        <v>-2.0912074089897952</v>
      </c>
      <c r="AB165" s="19">
        <f t="shared" si="24"/>
        <v>-0.29529708008545114</v>
      </c>
      <c r="AC165" s="19">
        <f t="shared" si="25"/>
        <v>1.8664136476408411</v>
      </c>
      <c r="AD165" s="21">
        <f t="shared" si="26"/>
        <v>1.0774213838602336</v>
      </c>
      <c r="AE165" s="19"/>
      <c r="AG165" s="20">
        <f>(V165- AVERAGE(V$41:V165))/_xlfn.STDEV.S(V130:V165)</f>
        <v>6.6128370101920353E-2</v>
      </c>
      <c r="AH165" s="20">
        <f>(W165- AVERAGE(W$41:W165))/_xlfn.STDEV.S(W130:W165)</f>
        <v>1.3778974000538087</v>
      </c>
      <c r="AI165" s="20">
        <f>(X165- AVERAGE(X$41:X165))/_xlfn.STDEV.S(X130:X165)</f>
        <v>1.4954446757796809</v>
      </c>
      <c r="AJ165" s="20">
        <f>(Y165- AVERAGE(Y$41:Y165))/_xlfn.STDEV.S(Y130:Y165)</f>
        <v>0.46279472446315606</v>
      </c>
      <c r="AK165" s="20">
        <f>(Z165- AVERAGE(Z$41:Z165))/_xlfn.STDEV.S(Z130:Z165)</f>
        <v>-2.1893260403327028</v>
      </c>
      <c r="AL165" s="20">
        <f>(AA165- AVERAGE(AA$41:AA165))/_xlfn.STDEV.S(AA130:AA165)</f>
        <v>-0.10987852595157992</v>
      </c>
      <c r="AM165" s="20">
        <f>(AB165- AVERAGE(AB$41:AB165))/_xlfn.STDEV.S(AB130:AB165)</f>
        <v>0.79191227006989273</v>
      </c>
      <c r="AN165" s="20">
        <f>(AC165- AVERAGE(AC$41:AC165))/_xlfn.STDEV.S(AC130:AC165)</f>
        <v>-0.28332461477313198</v>
      </c>
      <c r="AO165" s="24">
        <f>(AD165- AVERAGE(AD$41:AD165))/_xlfn.STDEV.S(AD130:AD165)</f>
        <v>-0.91463006864212271</v>
      </c>
      <c r="AP165" s="20"/>
      <c r="AQ165" s="20">
        <f t="shared" si="34"/>
        <v>6.6128370101920353E-2</v>
      </c>
      <c r="AR165" s="20">
        <f t="shared" si="35"/>
        <v>1.3778974000538087</v>
      </c>
      <c r="AS165" s="20">
        <f t="shared" si="36"/>
        <v>1.4954446757796809</v>
      </c>
      <c r="AT165" s="20">
        <f t="shared" si="38"/>
        <v>0.46279472446315606</v>
      </c>
      <c r="AU165" s="20">
        <f t="shared" si="39"/>
        <v>-2.1893260403327028</v>
      </c>
      <c r="AV165" s="20">
        <f t="shared" si="40"/>
        <v>-0.10987852595157992</v>
      </c>
      <c r="AW165" s="20">
        <f t="shared" si="41"/>
        <v>0.79191227006989273</v>
      </c>
      <c r="AX165" s="20">
        <f t="shared" si="42"/>
        <v>-0.28332461477313198</v>
      </c>
      <c r="AY165" s="20">
        <f t="shared" si="43"/>
        <v>-0.91463006864212271</v>
      </c>
      <c r="AZ165" s="22">
        <f t="shared" si="44"/>
        <v>7.7446465640991294E-2</v>
      </c>
      <c r="BA165" s="1">
        <f>+_xlfn.XLOOKUP(A165,[1]Indice!B:B,[1]Indice!AI:AI,"NOOOOOO",-1)</f>
        <v>0.40091923695767506</v>
      </c>
    </row>
    <row r="166" spans="1:53" x14ac:dyDescent="0.25">
      <c r="A166" s="2">
        <v>42947</v>
      </c>
      <c r="B166" s="15">
        <v>5304</v>
      </c>
      <c r="C166" s="19">
        <v>6.0375849660135872</v>
      </c>
      <c r="D166" s="15">
        <v>6043</v>
      </c>
      <c r="E166" s="19">
        <v>671.52</v>
      </c>
      <c r="F166" s="18">
        <v>0.17802001429592565</v>
      </c>
      <c r="G166" s="1">
        <v>4.2</v>
      </c>
      <c r="H166" s="1">
        <v>3.5</v>
      </c>
      <c r="I166" s="16">
        <v>19.646925006985246</v>
      </c>
      <c r="J166" s="1">
        <v>473.38099999999997</v>
      </c>
      <c r="K166" s="1">
        <v>-7.4773570375929914</v>
      </c>
      <c r="L166" s="1">
        <v>94.525000000000006</v>
      </c>
      <c r="M166" s="1">
        <v>1.0433035093907916</v>
      </c>
      <c r="N166" s="1">
        <v>0.22182782466446671</v>
      </c>
      <c r="O166" s="1">
        <v>481888</v>
      </c>
      <c r="P166" s="1">
        <v>-2.0381611419882373</v>
      </c>
      <c r="Q166" s="1">
        <v>47.406213364595537</v>
      </c>
      <c r="R166" s="1">
        <v>2.2999999999999998</v>
      </c>
      <c r="S166" s="1">
        <v>0.12000000000000009</v>
      </c>
      <c r="T166" s="3">
        <v>17.100000000000001</v>
      </c>
      <c r="V166" s="20">
        <f t="shared" si="21"/>
        <v>1.6500281225483429</v>
      </c>
      <c r="W166" s="20">
        <f t="shared" si="22"/>
        <v>3.8133333333333335</v>
      </c>
      <c r="X166" s="20">
        <f t="shared" si="22"/>
        <v>3.4133333333333331</v>
      </c>
      <c r="Y166" s="20">
        <f t="shared" si="45"/>
        <v>1.346906289968004</v>
      </c>
      <c r="Z166" s="20">
        <f t="shared" si="23"/>
        <v>-7.0513134589969999</v>
      </c>
      <c r="AA166" s="19">
        <f>+AVERAGE(M164:M166)*AVERAGE($F$15:F166)</f>
        <v>-0.80727219824657248</v>
      </c>
      <c r="AB166" s="19">
        <f t="shared" si="24"/>
        <v>-0.11918882293546762</v>
      </c>
      <c r="AC166" s="19">
        <f t="shared" si="25"/>
        <v>0.16657792054172171</v>
      </c>
      <c r="AD166" s="21">
        <f t="shared" si="26"/>
        <v>22.835559943504393</v>
      </c>
      <c r="AE166" s="19"/>
      <c r="AG166" s="20">
        <f>(V166- AVERAGE(V$41:V166))/_xlfn.STDEV.S(V131:V166)</f>
        <v>0.15494292235600857</v>
      </c>
      <c r="AH166" s="20">
        <f>(W166- AVERAGE(W$41:W166))/_xlfn.STDEV.S(W131:W166)</f>
        <v>1.7972206162954847</v>
      </c>
      <c r="AI166" s="20">
        <f>(X166- AVERAGE(X$41:X166))/_xlfn.STDEV.S(X131:X166)</f>
        <v>1.6253816542224266</v>
      </c>
      <c r="AJ166" s="20">
        <f>(Y166- AVERAGE(Y$41:Y166))/_xlfn.STDEV.S(Y131:Y166)</f>
        <v>0.28039019537939652</v>
      </c>
      <c r="AK166" s="20">
        <f>(Z166- AVERAGE(Z$41:Z166))/_xlfn.STDEV.S(Z131:Z166)</f>
        <v>-1.5013937607795842</v>
      </c>
      <c r="AL166" s="20">
        <f>(AA166- AVERAGE(AA$41:AA166))/_xlfn.STDEV.S(AA131:AA166)</f>
        <v>0.16363011320147489</v>
      </c>
      <c r="AM166" s="20">
        <f>(AB166- AVERAGE(AB$41:AB166))/_xlfn.STDEV.S(AB131:AB166)</f>
        <v>0.78325204556121431</v>
      </c>
      <c r="AN166" s="20">
        <f>(AC166- AVERAGE(AC$41:AC166))/_xlfn.STDEV.S(AC131:AC166)</f>
        <v>-0.43994881443608702</v>
      </c>
      <c r="AO166" s="24">
        <f>(AD166- AVERAGE(AD$41:AD166))/_xlfn.STDEV.S(AD131:AD166)</f>
        <v>0.32102184919445398</v>
      </c>
      <c r="AP166" s="20"/>
      <c r="AQ166" s="20">
        <f t="shared" si="34"/>
        <v>0.15494292235600857</v>
      </c>
      <c r="AR166" s="20">
        <f t="shared" si="35"/>
        <v>1.7972206162954847</v>
      </c>
      <c r="AS166" s="20">
        <f t="shared" si="36"/>
        <v>1.6253816542224266</v>
      </c>
      <c r="AT166" s="20">
        <f t="shared" si="38"/>
        <v>0.28039019537939652</v>
      </c>
      <c r="AU166" s="20">
        <f t="shared" si="39"/>
        <v>-1.5013937607795842</v>
      </c>
      <c r="AV166" s="20">
        <f t="shared" si="40"/>
        <v>0.16363011320147489</v>
      </c>
      <c r="AW166" s="20">
        <f t="shared" si="41"/>
        <v>0.78325204556121431</v>
      </c>
      <c r="AX166" s="20">
        <f t="shared" si="42"/>
        <v>-0.43994881443608702</v>
      </c>
      <c r="AY166" s="20">
        <f t="shared" si="43"/>
        <v>0.32102184919445398</v>
      </c>
      <c r="AZ166" s="22">
        <f t="shared" si="44"/>
        <v>0.35383298011053205</v>
      </c>
      <c r="BA166" s="1">
        <f>+_xlfn.XLOOKUP(A166,[1]Indice!B:B,[1]Indice!AI:AI,"NOOOOOO",-1)</f>
        <v>0.40436561410055427</v>
      </c>
    </row>
    <row r="167" spans="1:53" x14ac:dyDescent="0.25">
      <c r="A167" s="2">
        <v>42978</v>
      </c>
      <c r="B167" s="15">
        <v>5272</v>
      </c>
      <c r="C167" s="19">
        <v>-8.5357390700902194</v>
      </c>
      <c r="D167" s="15">
        <v>6317</v>
      </c>
      <c r="E167" s="19">
        <v>671.52</v>
      </c>
      <c r="F167" s="18">
        <v>0.17898945675482489</v>
      </c>
      <c r="G167" s="1">
        <v>4</v>
      </c>
      <c r="H167" s="1">
        <v>1.6</v>
      </c>
      <c r="I167" s="16">
        <v>21.211629189331823</v>
      </c>
      <c r="J167" s="1">
        <v>478.94400000000002</v>
      </c>
      <c r="K167" s="1">
        <v>-5.9976212065899652</v>
      </c>
      <c r="L167" s="1">
        <v>92.081999999999994</v>
      </c>
      <c r="M167" s="1">
        <v>-0.89225172476887771</v>
      </c>
      <c r="N167" s="1">
        <v>-0.20101069073086286</v>
      </c>
      <c r="O167" s="1">
        <v>457773</v>
      </c>
      <c r="P167" s="1">
        <v>-7.5650495317402981</v>
      </c>
      <c r="Q167" s="1">
        <v>114.16435093290987</v>
      </c>
      <c r="R167" s="1">
        <v>2.2999999999999998</v>
      </c>
      <c r="S167" s="1">
        <v>0.23500000000000007</v>
      </c>
      <c r="T167" s="3">
        <v>17.2</v>
      </c>
      <c r="V167" s="20">
        <f t="shared" si="21"/>
        <v>-1.991374962119167</v>
      </c>
      <c r="W167" s="20">
        <f t="shared" si="22"/>
        <v>4.2316666666666665</v>
      </c>
      <c r="X167" s="20">
        <f t="shared" si="22"/>
        <v>2.5983333333333336</v>
      </c>
      <c r="Y167" s="20">
        <f t="shared" si="45"/>
        <v>1.066995690714748</v>
      </c>
      <c r="Z167" s="20">
        <f t="shared" si="23"/>
        <v>-7.0900583406854691</v>
      </c>
      <c r="AA167" s="19">
        <f>+AVERAGE(M165:M167)*AVERAGE($F$15:F167)</f>
        <v>-0.69309474533197601</v>
      </c>
      <c r="AB167" s="19">
        <f t="shared" si="24"/>
        <v>-6.6503740795975652E-2</v>
      </c>
      <c r="AC167" s="19">
        <f t="shared" si="25"/>
        <v>-2.7323988839664435</v>
      </c>
      <c r="AD167" s="21">
        <f t="shared" si="26"/>
        <v>59.720203679775203</v>
      </c>
      <c r="AE167" s="19"/>
      <c r="AG167" s="20">
        <f>(V167- AVERAGE(V$41:V167))/_xlfn.STDEV.S(V132:V167)</f>
        <v>-0.17155076780725073</v>
      </c>
      <c r="AH167" s="20">
        <f>(W167- AVERAGE(W$41:W167))/_xlfn.STDEV.S(W132:W167)</f>
        <v>1.8948950889182921</v>
      </c>
      <c r="AI167" s="20">
        <f>(X167- AVERAGE(X$41:X167))/_xlfn.STDEV.S(X132:X167)</f>
        <v>1.3077859610671814</v>
      </c>
      <c r="AJ167" s="20">
        <f>(Y167- AVERAGE(Y$41:Y167))/_xlfn.STDEV.S(Y132:Y167)</f>
        <v>0.25361897974322112</v>
      </c>
      <c r="AK167" s="20">
        <f>(Z167- AVERAGE(Z$41:Z167))/_xlfn.STDEV.S(Z132:Z167)</f>
        <v>-1.4625011255684117</v>
      </c>
      <c r="AL167" s="20">
        <f>(AA167- AVERAGE(AA$41:AA167))/_xlfn.STDEV.S(AA132:AA167)</f>
        <v>0.18873369451604832</v>
      </c>
      <c r="AM167" s="20">
        <f>(AB167- AVERAGE(AB$41:AB167))/_xlfn.STDEV.S(AB132:AB167)</f>
        <v>0.77134206209183576</v>
      </c>
      <c r="AN167" s="20">
        <f>(AC167- AVERAGE(AC$41:AC167))/_xlfn.STDEV.S(AC132:AC167)</f>
        <v>-0.70030279591825251</v>
      </c>
      <c r="AO167" s="24">
        <f>(AD167- AVERAGE(AD$41:AD167))/_xlfn.STDEV.S(AD132:AD167)</f>
        <v>2.0100440601853138</v>
      </c>
      <c r="AP167" s="20"/>
      <c r="AQ167" s="20">
        <f t="shared" si="34"/>
        <v>-0.17155076780725073</v>
      </c>
      <c r="AR167" s="20">
        <f t="shared" si="35"/>
        <v>1.8948950889182921</v>
      </c>
      <c r="AS167" s="20">
        <f t="shared" si="36"/>
        <v>1.3077859610671814</v>
      </c>
      <c r="AT167" s="20">
        <f t="shared" si="38"/>
        <v>0.25361897974322112</v>
      </c>
      <c r="AU167" s="20">
        <f t="shared" si="39"/>
        <v>-1.4625011255684117</v>
      </c>
      <c r="AV167" s="20">
        <f t="shared" si="40"/>
        <v>0.18873369451604832</v>
      </c>
      <c r="AW167" s="20">
        <f t="shared" si="41"/>
        <v>0.77134206209183576</v>
      </c>
      <c r="AX167" s="20">
        <f t="shared" si="42"/>
        <v>-0.70030279591825251</v>
      </c>
      <c r="AY167" s="20">
        <f t="shared" si="43"/>
        <v>2.0100440601853138</v>
      </c>
      <c r="AZ167" s="22">
        <f t="shared" si="44"/>
        <v>0.45467390635866423</v>
      </c>
      <c r="BA167" s="1">
        <f>+_xlfn.XLOOKUP(A167,[1]Indice!B:B,[1]Indice!AI:AI,"NOOOOOO",-1)</f>
        <v>0.38776093102671116</v>
      </c>
    </row>
    <row r="168" spans="1:53" x14ac:dyDescent="0.25">
      <c r="A168" s="2">
        <v>43008</v>
      </c>
      <c r="B168" s="15">
        <v>5268</v>
      </c>
      <c r="C168" s="19">
        <v>4.3168316831683207</v>
      </c>
      <c r="D168" s="15">
        <v>5968</v>
      </c>
      <c r="E168" s="19">
        <v>643.78</v>
      </c>
      <c r="F168" s="18">
        <v>0.18894653453042964</v>
      </c>
      <c r="G168" s="1">
        <v>3.3</v>
      </c>
      <c r="H168" s="1">
        <v>1.5</v>
      </c>
      <c r="I168" s="16">
        <v>22.189652653532637</v>
      </c>
      <c r="J168" s="1">
        <v>484.50599999999997</v>
      </c>
      <c r="K168" s="1">
        <v>-5.5295253136790397</v>
      </c>
      <c r="L168" s="1">
        <v>89.855999999999995</v>
      </c>
      <c r="M168" s="1">
        <v>-4.6994813707085914</v>
      </c>
      <c r="N168" s="1">
        <v>-0.11800898900478085</v>
      </c>
      <c r="O168" s="1">
        <v>464963</v>
      </c>
      <c r="P168" s="1">
        <v>-0.88359183812682929</v>
      </c>
      <c r="Q168" s="1">
        <v>26.950851854448565</v>
      </c>
      <c r="R168" s="1">
        <v>3.9</v>
      </c>
      <c r="S168" s="1">
        <v>0.31833333333333347</v>
      </c>
      <c r="T168" s="3">
        <v>16.899999999999999</v>
      </c>
      <c r="V168" s="20">
        <f t="shared" si="21"/>
        <v>0.28789252636389606</v>
      </c>
      <c r="W168" s="20">
        <f t="shared" si="22"/>
        <v>3.5150000000000001</v>
      </c>
      <c r="X168" s="20">
        <f t="shared" si="22"/>
        <v>1.8816666666666664</v>
      </c>
      <c r="Y168" s="20">
        <f t="shared" si="45"/>
        <v>1.9260689499499044</v>
      </c>
      <c r="Z168" s="20">
        <f t="shared" si="23"/>
        <v>-6.3348345192873312</v>
      </c>
      <c r="AA168" s="19">
        <f>+AVERAGE(M166:M168)*AVERAGE($F$15:F168)</f>
        <v>-0.41688079829960145</v>
      </c>
      <c r="AB168" s="19">
        <f t="shared" si="24"/>
        <v>-3.2397285023725665E-2</v>
      </c>
      <c r="AC168" s="19">
        <f t="shared" si="25"/>
        <v>-3.4956008372851213</v>
      </c>
      <c r="AD168" s="21">
        <f t="shared" si="26"/>
        <v>62.840472050651321</v>
      </c>
      <c r="AE168" s="19"/>
      <c r="AG168" s="20">
        <f>(V168- AVERAGE(V$41:V168))/_xlfn.STDEV.S(V133:V168)</f>
        <v>3.3324874667741797E-2</v>
      </c>
      <c r="AH168" s="20">
        <f>(W168- AVERAGE(W$41:W168))/_xlfn.STDEV.S(W133:W168)</f>
        <v>1.6981074296756506</v>
      </c>
      <c r="AI168" s="20">
        <f>(X168- AVERAGE(X$41:X168))/_xlfn.STDEV.S(X133:X168)</f>
        <v>1.0376887583364001</v>
      </c>
      <c r="AJ168" s="20">
        <f>(Y168- AVERAGE(Y$41:Y168))/_xlfn.STDEV.S(Y133:Y168)</f>
        <v>0.33208909915773266</v>
      </c>
      <c r="AK168" s="20">
        <f>(Z168- AVERAGE(Z$41:Z168))/_xlfn.STDEV.S(Z133:Z168)</f>
        <v>-1.1849495695875174</v>
      </c>
      <c r="AL168" s="20">
        <f>(AA168- AVERAGE(AA$41:AA168))/_xlfn.STDEV.S(AA133:AA168)</f>
        <v>0.24817780214612517</v>
      </c>
      <c r="AM168" s="20">
        <f>(AB168- AVERAGE(AB$41:AB168))/_xlfn.STDEV.S(AB133:AB168)</f>
        <v>0.7696967613836706</v>
      </c>
      <c r="AN168" s="20">
        <f>(AC168- AVERAGE(AC$41:AC168))/_xlfn.STDEV.S(AC133:AC168)</f>
        <v>-0.75873387197276987</v>
      </c>
      <c r="AO168" s="24">
        <f>(AD168- AVERAGE(AD$41:AD168))/_xlfn.STDEV.S(AD133:AD168)</f>
        <v>1.8934244059188725</v>
      </c>
      <c r="AP168" s="20"/>
      <c r="AQ168" s="20">
        <f t="shared" si="34"/>
        <v>3.3324874667741797E-2</v>
      </c>
      <c r="AR168" s="20">
        <f t="shared" si="35"/>
        <v>1.6981074296756506</v>
      </c>
      <c r="AS168" s="20">
        <f t="shared" si="36"/>
        <v>1.0376887583364001</v>
      </c>
      <c r="AT168" s="20">
        <f t="shared" si="38"/>
        <v>0.33208909915773266</v>
      </c>
      <c r="AU168" s="20">
        <f t="shared" si="39"/>
        <v>-1.1849495695875174</v>
      </c>
      <c r="AV168" s="20">
        <f t="shared" si="40"/>
        <v>0.24817780214612517</v>
      </c>
      <c r="AW168" s="20">
        <f t="shared" si="41"/>
        <v>0.7696967613836706</v>
      </c>
      <c r="AX168" s="20">
        <f t="shared" si="42"/>
        <v>-0.75873387197276987</v>
      </c>
      <c r="AY168" s="20">
        <f t="shared" si="43"/>
        <v>1.8934244059188725</v>
      </c>
      <c r="AZ168" s="22">
        <f t="shared" si="44"/>
        <v>0.45209174330287838</v>
      </c>
      <c r="BA168" s="1">
        <f>+_xlfn.XLOOKUP(A168,[1]Indice!B:B,[1]Indice!AI:AI,"NOOOOOO",-1)</f>
        <v>0.37959113883358298</v>
      </c>
    </row>
    <row r="169" spans="1:53" x14ac:dyDescent="0.25">
      <c r="A169" s="2">
        <v>43039</v>
      </c>
      <c r="B169" s="15">
        <v>5281</v>
      </c>
      <c r="C169" s="19">
        <v>11.484061642389708</v>
      </c>
      <c r="D169" s="15">
        <v>6209</v>
      </c>
      <c r="E169" s="19">
        <v>643.78</v>
      </c>
      <c r="F169" s="18">
        <v>0.1920065861008419</v>
      </c>
      <c r="G169" s="1">
        <v>6</v>
      </c>
      <c r="H169" s="1">
        <v>2.2999999999999998</v>
      </c>
      <c r="I169" s="16">
        <v>21.091638114043551</v>
      </c>
      <c r="J169" s="1">
        <v>489.38600000000002</v>
      </c>
      <c r="K169" s="1">
        <v>-4.1573478204671162</v>
      </c>
      <c r="L169" s="1">
        <v>88.843000000000004</v>
      </c>
      <c r="M169" s="1">
        <v>-2.1994473860921682</v>
      </c>
      <c r="N169" s="1">
        <v>-0.12329867473706013</v>
      </c>
      <c r="O169" s="1">
        <v>454906</v>
      </c>
      <c r="P169" s="1">
        <v>-5.7342025537840513</v>
      </c>
      <c r="Q169" s="1">
        <v>46.739832149774038</v>
      </c>
      <c r="R169" s="1">
        <v>3.9</v>
      </c>
      <c r="S169" s="1">
        <v>0.40166666666666678</v>
      </c>
      <c r="T169" s="3">
        <v>17.3</v>
      </c>
      <c r="V169" s="20">
        <f t="shared" ref="V169:V232" si="46">+AVERAGE(C167:C169)-$S169</f>
        <v>2.0200514184892695</v>
      </c>
      <c r="W169" s="20">
        <f t="shared" ref="W169:X232" si="47">+AVERAGE(G167:G169)-$S169</f>
        <v>4.0316666666666672</v>
      </c>
      <c r="X169" s="20">
        <f t="shared" si="47"/>
        <v>1.3983333333333332</v>
      </c>
      <c r="Y169" s="20">
        <f t="shared" si="45"/>
        <v>2.5129341032830652</v>
      </c>
      <c r="Z169" s="20">
        <f t="shared" ref="Z169:Z232" si="48">AVERAGE(K167:K169)</f>
        <v>-5.2281647802453737</v>
      </c>
      <c r="AA169" s="19">
        <f>+AVERAGE(M167:M169)*AVERAGE($F$15:F169)</f>
        <v>-0.71270127338298439</v>
      </c>
      <c r="AB169" s="19">
        <f t="shared" si="24"/>
        <v>-0.14743945149090129</v>
      </c>
      <c r="AC169" s="19">
        <f t="shared" si="25"/>
        <v>-4.7276146412170599</v>
      </c>
      <c r="AD169" s="21">
        <f t="shared" si="26"/>
        <v>62.61834497904416</v>
      </c>
      <c r="AE169" s="19"/>
      <c r="AG169" s="20">
        <f>(V169- AVERAGE(V$41:V169))/_xlfn.STDEV.S(V134:V169)</f>
        <v>0.18732613314773608</v>
      </c>
      <c r="AH169" s="20">
        <f>(W169- AVERAGE(W$41:W169))/_xlfn.STDEV.S(W134:W169)</f>
        <v>1.8940593646732382</v>
      </c>
      <c r="AI169" s="20">
        <f>(X169- AVERAGE(X$41:X169))/_xlfn.STDEV.S(X134:X169)</f>
        <v>0.85563283201024243</v>
      </c>
      <c r="AJ169" s="20">
        <f>(Y169- AVERAGE(Y$41:Y169))/_xlfn.STDEV.S(Y134:Y169)</f>
        <v>0.38585624683072473</v>
      </c>
      <c r="AK169" s="20">
        <f>(Z169- AVERAGE(Z$41:Z169))/_xlfn.STDEV.S(Z134:Z169)</f>
        <v>-0.81620719801240926</v>
      </c>
      <c r="AL169" s="20">
        <f>(AA169- AVERAGE(AA$41:AA169))/_xlfn.STDEV.S(AA134:AA169)</f>
        <v>0.18258607124383286</v>
      </c>
      <c r="AM169" s="20">
        <f>(AB169- AVERAGE(AB$41:AB169))/_xlfn.STDEV.S(AB134:AB169)</f>
        <v>0.78329425198790037</v>
      </c>
      <c r="AN169" s="20">
        <f>(AC169- AVERAGE(AC$41:AC169))/_xlfn.STDEV.S(AC134:AC169)</f>
        <v>-0.85545485130609678</v>
      </c>
      <c r="AO169" s="24">
        <f>(AD169- AVERAGE(AD$41:AD169))/_xlfn.STDEV.S(AD134:AD169)</f>
        <v>1.7016224405971221</v>
      </c>
      <c r="AP169" s="20"/>
      <c r="AQ169" s="20">
        <f t="shared" si="34"/>
        <v>0.18732613314773608</v>
      </c>
      <c r="AR169" s="20">
        <f t="shared" si="35"/>
        <v>1.8940593646732382</v>
      </c>
      <c r="AS169" s="20">
        <f t="shared" si="36"/>
        <v>0.85563283201024243</v>
      </c>
      <c r="AT169" s="20">
        <f t="shared" si="38"/>
        <v>0.38585624683072473</v>
      </c>
      <c r="AU169" s="20">
        <f t="shared" si="39"/>
        <v>-0.81620719801240926</v>
      </c>
      <c r="AV169" s="20">
        <f t="shared" si="40"/>
        <v>0.18258607124383286</v>
      </c>
      <c r="AW169" s="20">
        <f t="shared" si="41"/>
        <v>0.78329425198790037</v>
      </c>
      <c r="AX169" s="20">
        <f t="shared" si="42"/>
        <v>-0.85545485130609678</v>
      </c>
      <c r="AY169" s="20">
        <f t="shared" si="43"/>
        <v>1.7016224405971221</v>
      </c>
      <c r="AZ169" s="22">
        <f t="shared" si="44"/>
        <v>0.47985725457469897</v>
      </c>
      <c r="BA169" s="1">
        <f>+_xlfn.XLOOKUP(A169,[1]Indice!B:B,[1]Indice!AI:AI,"NOOOOOO",-1)</f>
        <v>0.38719847788216477</v>
      </c>
    </row>
    <row r="170" spans="1:53" x14ac:dyDescent="0.25">
      <c r="A170" s="2">
        <v>43069</v>
      </c>
      <c r="B170" s="15">
        <v>4668</v>
      </c>
      <c r="C170" s="19">
        <v>-3.4939011784163698</v>
      </c>
      <c r="D170" s="15">
        <v>6163</v>
      </c>
      <c r="E170" s="19">
        <v>643.78</v>
      </c>
      <c r="F170" s="18">
        <v>0.1939808630277424</v>
      </c>
      <c r="G170" s="1">
        <v>5.0999999999999996</v>
      </c>
      <c r="H170" s="1">
        <v>1.4</v>
      </c>
      <c r="I170" s="16">
        <v>20.775577992742054</v>
      </c>
      <c r="J170" s="1">
        <v>488.84699999999998</v>
      </c>
      <c r="K170" s="1">
        <v>-2.614881676902947</v>
      </c>
      <c r="L170" s="1">
        <v>86.471000000000004</v>
      </c>
      <c r="M170" s="1">
        <v>-4.4234191416223538</v>
      </c>
      <c r="N170" s="1">
        <v>-3.9083049469890163E-2</v>
      </c>
      <c r="O170" s="1">
        <v>453713</v>
      </c>
      <c r="P170" s="1">
        <v>-7.0536418482213259</v>
      </c>
      <c r="Q170" s="1">
        <v>24.529636440797866</v>
      </c>
      <c r="R170" s="1">
        <v>3.9</v>
      </c>
      <c r="S170" s="1">
        <v>0.48500000000000015</v>
      </c>
      <c r="T170" s="3">
        <v>17.5</v>
      </c>
      <c r="V170" s="20">
        <f t="shared" si="46"/>
        <v>3.6173307157138863</v>
      </c>
      <c r="W170" s="20">
        <f t="shared" si="47"/>
        <v>4.3149999999999995</v>
      </c>
      <c r="X170" s="20">
        <f t="shared" si="47"/>
        <v>1.2483333333333331</v>
      </c>
      <c r="Y170" s="20">
        <f t="shared" si="45"/>
        <v>2.4500673645505238</v>
      </c>
      <c r="Z170" s="20">
        <f t="shared" si="48"/>
        <v>-4.1005849370163672</v>
      </c>
      <c r="AA170" s="19">
        <f>+AVERAGE(M168:M170)*AVERAGE($F$15:F170)</f>
        <v>-1.033769972695735</v>
      </c>
      <c r="AB170" s="19">
        <f t="shared" ref="AB170:AB233" si="49">+AVERAGE(N168:N170)</f>
        <v>-9.3463571070577053E-2</v>
      </c>
      <c r="AC170" s="19">
        <f t="shared" ref="AC170:AC233" si="50">+AVERAGE(P168:P170)</f>
        <v>-4.5571454133774019</v>
      </c>
      <c r="AD170" s="21">
        <f t="shared" ref="AD170:AD233" si="51">AVERAGE(Q168:Q170)</f>
        <v>32.740106815006818</v>
      </c>
      <c r="AE170" s="19"/>
      <c r="AG170" s="20">
        <f>(V170- AVERAGE(V$41:V170))/_xlfn.STDEV.S(V135:V170)</f>
        <v>0.32578137585266892</v>
      </c>
      <c r="AH170" s="20">
        <f>(W170- AVERAGE(W$41:W170))/_xlfn.STDEV.S(W135:W170)</f>
        <v>2.0087288603602831</v>
      </c>
      <c r="AI170" s="20">
        <f>(X170- AVERAGE(X$41:X170))/_xlfn.STDEV.S(X135:X170)</f>
        <v>0.83818695799863652</v>
      </c>
      <c r="AJ170" s="20">
        <f>(Y170- AVERAGE(Y$41:Y170))/_xlfn.STDEV.S(Y135:Y170)</f>
        <v>0.37878544586235569</v>
      </c>
      <c r="AK170" s="20">
        <f>(Z170- AVERAGE(Z$41:Z170))/_xlfn.STDEV.S(Z135:Z170)</f>
        <v>-0.44886032019997957</v>
      </c>
      <c r="AL170" s="20">
        <f>(AA170- AVERAGE(AA$41:AA170))/_xlfn.STDEV.S(AA135:AA170)</f>
        <v>0.11142152901887047</v>
      </c>
      <c r="AM170" s="20">
        <f>(AB170- AVERAGE(AB$41:AB170))/_xlfn.STDEV.S(AB135:AB170)</f>
        <v>0.81683457207445564</v>
      </c>
      <c r="AN170" s="20">
        <f>(AC170- AVERAGE(AC$41:AC170))/_xlfn.STDEV.S(AC135:AC170)</f>
        <v>-0.82617477944334439</v>
      </c>
      <c r="AO170" s="24">
        <f>(AD170- AVERAGE(AD$41:AD170))/_xlfn.STDEV.S(AD135:AD170)</f>
        <v>0.54599692056083804</v>
      </c>
      <c r="AP170" s="20"/>
      <c r="AQ170" s="20">
        <f t="shared" si="34"/>
        <v>0.32578137585266892</v>
      </c>
      <c r="AR170" s="20">
        <f t="shared" si="35"/>
        <v>2.0087288603602831</v>
      </c>
      <c r="AS170" s="20">
        <f t="shared" si="36"/>
        <v>0.83818695799863652</v>
      </c>
      <c r="AT170" s="20">
        <f t="shared" si="38"/>
        <v>0.37878544586235569</v>
      </c>
      <c r="AU170" s="20">
        <f t="shared" si="39"/>
        <v>-0.44886032019997957</v>
      </c>
      <c r="AV170" s="20">
        <f t="shared" si="40"/>
        <v>0.11142152901887047</v>
      </c>
      <c r="AW170" s="20">
        <f t="shared" si="41"/>
        <v>0.81683457207445564</v>
      </c>
      <c r="AX170" s="20">
        <f t="shared" si="42"/>
        <v>-0.82617477944334439</v>
      </c>
      <c r="AY170" s="20">
        <f t="shared" si="43"/>
        <v>0.54599692056083804</v>
      </c>
      <c r="AZ170" s="22">
        <f t="shared" si="44"/>
        <v>0.41674450689830933</v>
      </c>
      <c r="BA170" s="1">
        <f>+_xlfn.XLOOKUP(A170,[1]Indice!B:B,[1]Indice!AI:AI,"NOOOOOO",-1)</f>
        <v>0.37353168413582005</v>
      </c>
    </row>
    <row r="171" spans="1:53" x14ac:dyDescent="0.25">
      <c r="A171" s="2">
        <v>43100</v>
      </c>
      <c r="B171" s="15">
        <v>4578</v>
      </c>
      <c r="C171" s="19">
        <v>-1.5272101527210147</v>
      </c>
      <c r="D171" s="15">
        <v>5366</v>
      </c>
      <c r="E171" s="19">
        <v>668.85</v>
      </c>
      <c r="F171" s="18">
        <v>0.18775659714435225</v>
      </c>
      <c r="G171" s="1">
        <v>2.5</v>
      </c>
      <c r="H171" s="1">
        <v>-0.2</v>
      </c>
      <c r="I171" s="16">
        <v>20.6</v>
      </c>
      <c r="J171" s="1">
        <v>486.57799999999997</v>
      </c>
      <c r="K171" s="1">
        <v>-1.6292756101949579</v>
      </c>
      <c r="L171" s="1">
        <v>91.082999999999998</v>
      </c>
      <c r="M171" s="1">
        <v>0.40898668312900899</v>
      </c>
      <c r="N171" s="1">
        <v>0.22442705135338192</v>
      </c>
      <c r="O171" s="1">
        <v>424463</v>
      </c>
      <c r="P171" s="1">
        <v>-11.387814919041695</v>
      </c>
      <c r="Q171" s="1">
        <v>8.6442641946697485</v>
      </c>
      <c r="R171" s="1">
        <v>4.5</v>
      </c>
      <c r="S171" s="1">
        <v>0.55000000000000027</v>
      </c>
      <c r="T171" s="3">
        <v>17.399999999999999</v>
      </c>
      <c r="V171" s="20">
        <f t="shared" si="46"/>
        <v>1.6043167704174408</v>
      </c>
      <c r="W171" s="20">
        <f t="shared" si="47"/>
        <v>3.9833333333333329</v>
      </c>
      <c r="X171" s="20">
        <f t="shared" si="47"/>
        <v>0.61666666666666625</v>
      </c>
      <c r="Y171" s="20">
        <f t="shared" si="45"/>
        <v>1.9992474741916979</v>
      </c>
      <c r="Z171" s="20">
        <f t="shared" si="48"/>
        <v>-2.8005017025216734</v>
      </c>
      <c r="AA171" s="19">
        <f>+AVERAGE(M169:M171)*AVERAGE($F$15:F171)</f>
        <v>-0.56621234401616582</v>
      </c>
      <c r="AB171" s="19">
        <f t="shared" si="49"/>
        <v>2.0681775715477208E-2</v>
      </c>
      <c r="AC171" s="19">
        <f t="shared" si="50"/>
        <v>-8.0585531070156904</v>
      </c>
      <c r="AD171" s="21">
        <f t="shared" si="51"/>
        <v>26.637910928413884</v>
      </c>
      <c r="AE171" s="19"/>
      <c r="AG171" s="20">
        <f>(V171- AVERAGE(V$41:V171))/_xlfn.STDEV.S(V136:V171)</f>
        <v>0.14464237133573651</v>
      </c>
      <c r="AH171" s="20">
        <f>(W171- AVERAGE(W$41:W171))/_xlfn.STDEV.S(W136:W171)</f>
        <v>1.9254425396609651</v>
      </c>
      <c r="AI171" s="20">
        <f>(X171- AVERAGE(X$41:X171))/_xlfn.STDEV.S(X136:X171)</f>
        <v>0.4665000981673903</v>
      </c>
      <c r="AJ171" s="20">
        <f>(Y171- AVERAGE(Y$41:Y171))/_xlfn.STDEV.S(Y136:Y171)</f>
        <v>0.33445998972078955</v>
      </c>
      <c r="AK171" s="20">
        <f>(Z171- AVERAGE(Z$41:Z171))/_xlfn.STDEV.S(Z136:Z171)</f>
        <v>-2.5599049169186112E-2</v>
      </c>
      <c r="AL171" s="20">
        <f>(AA171- AVERAGE(AA$41:AA171))/_xlfn.STDEV.S(AA136:AA171)</f>
        <v>0.21216051838967992</v>
      </c>
      <c r="AM171" s="20">
        <f>(AB171- AVERAGE(AB$41:AB171))/_xlfn.STDEV.S(AB136:AB171)</f>
        <v>0.84022535816675781</v>
      </c>
      <c r="AN171" s="20">
        <f>(AC171- AVERAGE(AC$41:AC171))/_xlfn.STDEV.S(AC136:AC171)</f>
        <v>-1.0959026072602345</v>
      </c>
      <c r="AO171" s="24">
        <f>(AD171- AVERAGE(AD$41:AD171))/_xlfn.STDEV.S(AD136:AD171)</f>
        <v>0.31711136785256605</v>
      </c>
      <c r="AP171" s="20"/>
      <c r="AQ171" s="20">
        <f t="shared" si="34"/>
        <v>0.14464237133573651</v>
      </c>
      <c r="AR171" s="20">
        <f t="shared" si="35"/>
        <v>1.9254425396609651</v>
      </c>
      <c r="AS171" s="20">
        <f t="shared" si="36"/>
        <v>0.4665000981673903</v>
      </c>
      <c r="AT171" s="20">
        <f t="shared" si="38"/>
        <v>0.33445998972078955</v>
      </c>
      <c r="AU171" s="20">
        <f t="shared" si="39"/>
        <v>-2.5599049169186112E-2</v>
      </c>
      <c r="AV171" s="20">
        <f t="shared" si="40"/>
        <v>0.21216051838967992</v>
      </c>
      <c r="AW171" s="20">
        <f t="shared" si="41"/>
        <v>0.84022535816675781</v>
      </c>
      <c r="AX171" s="20">
        <f t="shared" si="42"/>
        <v>-1.0959026072602345</v>
      </c>
      <c r="AY171" s="20">
        <f t="shared" si="43"/>
        <v>0.31711136785256605</v>
      </c>
      <c r="AZ171" s="22">
        <f t="shared" si="44"/>
        <v>0.34656006520716276</v>
      </c>
      <c r="BA171" s="1">
        <f>+_xlfn.XLOOKUP(A171,[1]Indice!B:B,[1]Indice!AI:AI,"NOOOOOO",-1)</f>
        <v>0.3646351380384607</v>
      </c>
    </row>
    <row r="172" spans="1:53" x14ac:dyDescent="0.25">
      <c r="A172" s="2">
        <v>43131</v>
      </c>
      <c r="B172" s="15">
        <v>4810</v>
      </c>
      <c r="C172" s="19">
        <v>12.095082731298067</v>
      </c>
      <c r="D172" s="15">
        <v>5743</v>
      </c>
      <c r="E172" s="19">
        <v>668.85</v>
      </c>
      <c r="F172" s="18">
        <v>0.19062420572624655</v>
      </c>
      <c r="G172" s="1">
        <v>4.5</v>
      </c>
      <c r="H172" s="1">
        <v>1</v>
      </c>
      <c r="I172" s="16">
        <v>20.7</v>
      </c>
      <c r="J172" s="1">
        <v>480.84899999999999</v>
      </c>
      <c r="K172" s="1">
        <v>-3.3109799623980751</v>
      </c>
      <c r="L172" s="1">
        <v>97.072000000000003</v>
      </c>
      <c r="M172" s="1">
        <v>6.30338604406675</v>
      </c>
      <c r="N172" s="1">
        <v>-0.3782627313546838</v>
      </c>
      <c r="O172" s="1">
        <v>418359</v>
      </c>
      <c r="P172" s="1">
        <v>-15.442374313306196</v>
      </c>
      <c r="Q172" s="1">
        <v>28.300059594755655</v>
      </c>
      <c r="R172" s="1">
        <v>4.5</v>
      </c>
      <c r="S172" s="1">
        <v>0.61500000000000021</v>
      </c>
      <c r="T172" s="3">
        <v>18.600000000000001</v>
      </c>
      <c r="V172" s="20">
        <f t="shared" si="46"/>
        <v>1.7429904667202272</v>
      </c>
      <c r="W172" s="20">
        <f t="shared" si="47"/>
        <v>3.418333333333333</v>
      </c>
      <c r="X172" s="20">
        <f t="shared" si="47"/>
        <v>0.11833333333333318</v>
      </c>
      <c r="Y172" s="20">
        <f t="shared" si="45"/>
        <v>1.8798593309140195</v>
      </c>
      <c r="Z172" s="20">
        <f t="shared" si="48"/>
        <v>-2.5183790831653265</v>
      </c>
      <c r="AA172" s="19">
        <f>+AVERAGE(M170:M172)*AVERAGE($F$15:F172)</f>
        <v>0.2081712405546651</v>
      </c>
      <c r="AB172" s="19">
        <f t="shared" si="49"/>
        <v>-6.4306243157064014E-2</v>
      </c>
      <c r="AC172" s="19">
        <f t="shared" si="50"/>
        <v>-11.294610360189738</v>
      </c>
      <c r="AD172" s="21">
        <f t="shared" si="51"/>
        <v>20.49132007674109</v>
      </c>
      <c r="AE172" s="19"/>
      <c r="AG172" s="20">
        <f>(V172- AVERAGE(V$41:V172))/_xlfn.STDEV.S(V137:V172)</f>
        <v>0.15563524975094278</v>
      </c>
      <c r="AH172" s="20">
        <f>(W172- AVERAGE(W$41:W172))/_xlfn.STDEV.S(W137:W172)</f>
        <v>1.7797555156694207</v>
      </c>
      <c r="AI172" s="20">
        <f>(X172- AVERAGE(X$41:X172))/_xlfn.STDEV.S(X137:X172)</f>
        <v>0.13503978239748551</v>
      </c>
      <c r="AJ172" s="20">
        <f>(Y172- AVERAGE(Y$41:Y172))/_xlfn.STDEV.S(Y137:Y172)</f>
        <v>0.32076250789357158</v>
      </c>
      <c r="AK172" s="20">
        <f>(Z172- AVERAGE(Z$41:Z172))/_xlfn.STDEV.S(Z137:Z172)</f>
        <v>6.652348516328048E-2</v>
      </c>
      <c r="AL172" s="20">
        <f>(AA172- AVERAGE(AA$41:AA172))/_xlfn.STDEV.S(AA137:AA172)</f>
        <v>0.38015574744842551</v>
      </c>
      <c r="AM172" s="20">
        <f>(AB172- AVERAGE(AB$41:AB172))/_xlfn.STDEV.S(AB137:AB172)</f>
        <v>0.84638151830570785</v>
      </c>
      <c r="AN172" s="20">
        <f>(AC172- AVERAGE(AC$41:AC172))/_xlfn.STDEV.S(AC137:AC172)</f>
        <v>-1.2928682493547643</v>
      </c>
      <c r="AO172" s="24">
        <f>(AD172- AVERAGE(AD$41:AD172))/_xlfn.STDEV.S(AD137:AD172)</f>
        <v>8.5069788178300257E-2</v>
      </c>
      <c r="AP172" s="20"/>
      <c r="AQ172" s="20">
        <f t="shared" ref="AQ172:AQ203" si="52">+IF(AG172&gt;AG$2,AG$2,IF(AG172&lt;AG$1,AG$1,AG172))</f>
        <v>0.15563524975094278</v>
      </c>
      <c r="AR172" s="20">
        <f t="shared" ref="AR172:AR203" si="53">+IF(AH172&gt;AH$2,AH$2,IF(AH172&lt;AH$1,AH$1,AH172))</f>
        <v>1.7797555156694207</v>
      </c>
      <c r="AS172" s="20">
        <f t="shared" ref="AS172:AS203" si="54">+IF(AI172&gt;AI$2,AI$2,IF(AI172&lt;AI$1,AI$1,AI172))</f>
        <v>0.13503978239748551</v>
      </c>
      <c r="AT172" s="20">
        <f t="shared" si="38"/>
        <v>0.32076250789357158</v>
      </c>
      <c r="AU172" s="20">
        <f t="shared" si="39"/>
        <v>6.652348516328048E-2</v>
      </c>
      <c r="AV172" s="20">
        <f t="shared" si="40"/>
        <v>0.38015574744842551</v>
      </c>
      <c r="AW172" s="20">
        <f t="shared" si="41"/>
        <v>0.84638151830570785</v>
      </c>
      <c r="AX172" s="20">
        <f t="shared" si="42"/>
        <v>-1.2928682493547643</v>
      </c>
      <c r="AY172" s="20">
        <f t="shared" si="43"/>
        <v>8.5069788178300257E-2</v>
      </c>
      <c r="AZ172" s="22">
        <f t="shared" si="44"/>
        <v>0.27516170505026333</v>
      </c>
      <c r="BA172" s="1">
        <f>+_xlfn.XLOOKUP(A172,[1]Indice!B:B,[1]Indice!AI:AI,"NOOOOOO",-1)</f>
        <v>0.36194332706842564</v>
      </c>
    </row>
    <row r="173" spans="1:53" x14ac:dyDescent="0.25">
      <c r="A173" s="2">
        <v>43159</v>
      </c>
      <c r="B173" s="15">
        <v>4304</v>
      </c>
      <c r="C173" s="19">
        <v>10.387278789433196</v>
      </c>
      <c r="D173" s="15">
        <v>5196</v>
      </c>
      <c r="E173" s="19">
        <v>668.85</v>
      </c>
      <c r="F173" s="18">
        <v>0.19284293937355163</v>
      </c>
      <c r="G173" s="1">
        <v>5</v>
      </c>
      <c r="H173" s="1">
        <v>0.4</v>
      </c>
      <c r="I173" s="16">
        <v>23.8</v>
      </c>
      <c r="J173" s="1">
        <v>482.80900000000003</v>
      </c>
      <c r="K173" s="1">
        <v>-0.59583737386837976</v>
      </c>
      <c r="L173" s="1">
        <v>96.537999999999997</v>
      </c>
      <c r="M173" s="1">
        <v>9.9534163259262556</v>
      </c>
      <c r="N173" s="1">
        <v>-0.28803478064109989</v>
      </c>
      <c r="O173" s="1">
        <v>423498</v>
      </c>
      <c r="P173" s="1">
        <v>-18.586884640819402</v>
      </c>
      <c r="Q173" s="1">
        <v>8.784250518075055</v>
      </c>
      <c r="R173" s="1">
        <v>4.5</v>
      </c>
      <c r="S173" s="1">
        <v>0.68</v>
      </c>
      <c r="T173" s="3">
        <v>17.64</v>
      </c>
      <c r="V173" s="20">
        <f t="shared" si="46"/>
        <v>6.3050504560034168</v>
      </c>
      <c r="W173" s="20">
        <f t="shared" si="47"/>
        <v>3.32</v>
      </c>
      <c r="X173" s="20">
        <f t="shared" si="47"/>
        <v>-0.27999999999999997</v>
      </c>
      <c r="Y173" s="20">
        <f t="shared" si="45"/>
        <v>2.9438095238095272</v>
      </c>
      <c r="Z173" s="20">
        <f t="shared" si="48"/>
        <v>-1.8453643154871375</v>
      </c>
      <c r="AA173" s="19">
        <f>+AVERAGE(M171:M173)*AVERAGE($F$15:F173)</f>
        <v>1.5128924131746695</v>
      </c>
      <c r="AB173" s="19">
        <f t="shared" si="49"/>
        <v>-0.14729015354746725</v>
      </c>
      <c r="AC173" s="19">
        <f t="shared" si="50"/>
        <v>-15.1390246243891</v>
      </c>
      <c r="AD173" s="21">
        <f t="shared" si="51"/>
        <v>15.242858102500152</v>
      </c>
      <c r="AE173" s="19"/>
      <c r="AG173" s="20">
        <f>(V173- AVERAGE(V$41:V173))/_xlfn.STDEV.S(V138:V173)</f>
        <v>0.55611603355073402</v>
      </c>
      <c r="AH173" s="20">
        <f>(W173- AVERAGE(W$41:W173))/_xlfn.STDEV.S(W138:W173)</f>
        <v>1.7689910843462857</v>
      </c>
      <c r="AI173" s="20">
        <f>(X173- AVERAGE(X$41:X173))/_xlfn.STDEV.S(X138:X173)</f>
        <v>-0.14952219428019722</v>
      </c>
      <c r="AJ173" s="20">
        <f>(Y173- AVERAGE(Y$41:Y173))/_xlfn.STDEV.S(Y138:Y173)</f>
        <v>0.41806027713031002</v>
      </c>
      <c r="AK173" s="20">
        <f>(Z173- AVERAGE(Z$41:Z173))/_xlfn.STDEV.S(Z138:Z173)</f>
        <v>0.28642066807648048</v>
      </c>
      <c r="AL173" s="20">
        <f>(AA173- AVERAGE(AA$41:AA173))/_xlfn.STDEV.S(AA138:AA173)</f>
        <v>0.6684023324652455</v>
      </c>
      <c r="AM173" s="20">
        <f>(AB173- AVERAGE(AB$41:AB173))/_xlfn.STDEV.S(AB138:AB173)</f>
        <v>0.85358409616259734</v>
      </c>
      <c r="AN173" s="20">
        <f>(AC173- AVERAGE(AC$41:AC173))/_xlfn.STDEV.S(AC138:AC173)</f>
        <v>-1.4938383405382063</v>
      </c>
      <c r="AO173" s="24">
        <f>(AD173- AVERAGE(AD$41:AD173))/_xlfn.STDEV.S(AD138:AD173)</f>
        <v>-0.11490060074720772</v>
      </c>
      <c r="AP173" s="20"/>
      <c r="AQ173" s="20">
        <f t="shared" si="52"/>
        <v>0.55611603355073402</v>
      </c>
      <c r="AR173" s="20">
        <f t="shared" si="53"/>
        <v>1.7689910843462857</v>
      </c>
      <c r="AS173" s="20">
        <f t="shared" si="54"/>
        <v>-0.14952219428019722</v>
      </c>
      <c r="AT173" s="20">
        <f t="shared" ref="AT173:AT203" si="55">+IF(AJ173&gt;AJ$2,AJ$2,IF(AJ173&lt;AJ$1,AJ$1,AJ173))</f>
        <v>0.41806027713031002</v>
      </c>
      <c r="AU173" s="20">
        <f t="shared" si="39"/>
        <v>0.28642066807648048</v>
      </c>
      <c r="AV173" s="20">
        <f t="shared" ref="AV173:AV204" si="56">+IF(AL173&gt;AL$2,AL$2,IF(AL173&lt;AL$1,AL$1,AL173))</f>
        <v>0.6684023324652455</v>
      </c>
      <c r="AW173" s="20">
        <f t="shared" si="41"/>
        <v>0.85358409616259734</v>
      </c>
      <c r="AX173" s="20">
        <f t="shared" ref="AX173:AX204" si="57">+IF(AN173&gt;AN$2,AN$2,IF(AN173&lt;AN$1,AN$1,AN173))</f>
        <v>-1.4938383405382063</v>
      </c>
      <c r="AY173" s="20">
        <f t="shared" ref="AY173:AY204" si="58">+IF(AO173&gt;AO$2,AO$2,IF(AO173&lt;AO$1,AO$1,AO173))</f>
        <v>-0.11490060074720772</v>
      </c>
      <c r="AZ173" s="22">
        <f t="shared" si="44"/>
        <v>0.31036815068511575</v>
      </c>
      <c r="BA173" s="1">
        <f>+_xlfn.XLOOKUP(A173,[1]Indice!B:B,[1]Indice!AI:AI,"NOOOOOO",-1)</f>
        <v>0.3559656000898922</v>
      </c>
    </row>
    <row r="174" spans="1:53" x14ac:dyDescent="0.25">
      <c r="A174" s="2">
        <v>43190</v>
      </c>
      <c r="B174" s="15">
        <v>5417</v>
      </c>
      <c r="C174" s="19">
        <v>18.663745892661552</v>
      </c>
      <c r="D174" s="15">
        <v>5979</v>
      </c>
      <c r="E174" s="19">
        <v>633.29</v>
      </c>
      <c r="F174" s="18">
        <v>0.20581250296072889</v>
      </c>
      <c r="G174" s="1">
        <v>2.1</v>
      </c>
      <c r="H174" s="1">
        <v>-0.3</v>
      </c>
      <c r="I174" s="16">
        <v>24.6</v>
      </c>
      <c r="J174" s="1">
        <v>487.32400000000001</v>
      </c>
      <c r="K174" s="1">
        <v>0.4007177896035774</v>
      </c>
      <c r="L174" s="1">
        <v>93.8</v>
      </c>
      <c r="M174" s="1">
        <v>9.8540744384325372</v>
      </c>
      <c r="N174" s="1">
        <v>-3.9545141626406988E-2</v>
      </c>
      <c r="O174" s="1">
        <v>425332</v>
      </c>
      <c r="P174" s="1">
        <v>-20.579299888150903</v>
      </c>
      <c r="Q174" s="1">
        <v>4.1980342952739447</v>
      </c>
      <c r="R174" s="1">
        <v>3.8</v>
      </c>
      <c r="S174" s="1">
        <v>0.73166666666666669</v>
      </c>
      <c r="T174" s="3">
        <v>17.8</v>
      </c>
      <c r="V174" s="20">
        <f t="shared" si="46"/>
        <v>12.983702471130936</v>
      </c>
      <c r="W174" s="20">
        <f t="shared" si="47"/>
        <v>3.1349999999999998</v>
      </c>
      <c r="X174" s="20">
        <f t="shared" si="47"/>
        <v>-0.36500000000000005</v>
      </c>
      <c r="Y174" s="20">
        <f t="shared" si="45"/>
        <v>4.3206060606060603</v>
      </c>
      <c r="Z174" s="20">
        <f t="shared" si="48"/>
        <v>-1.1686998488876259</v>
      </c>
      <c r="AA174" s="19">
        <f>+AVERAGE(M172:M174)*AVERAGE($F$15:F174)</f>
        <v>2.3666829912195269</v>
      </c>
      <c r="AB174" s="19">
        <f t="shared" si="49"/>
        <v>-0.23528088454073023</v>
      </c>
      <c r="AC174" s="19">
        <f t="shared" si="50"/>
        <v>-18.202852947425498</v>
      </c>
      <c r="AD174" s="21">
        <f t="shared" si="51"/>
        <v>13.760781469368217</v>
      </c>
      <c r="AE174" s="19"/>
      <c r="AG174" s="20">
        <f>(V174- AVERAGE(V$41:V174))/_xlfn.STDEV.S(V139:V174)</f>
        <v>1.1228128449532768</v>
      </c>
      <c r="AH174" s="20">
        <f>(W174- AVERAGE(W$41:W174))/_xlfn.STDEV.S(W139:W174)</f>
        <v>1.6977411231982471</v>
      </c>
      <c r="AI174" s="20">
        <f>(X174- AVERAGE(X$41:X174))/_xlfn.STDEV.S(X139:X174)</f>
        <v>-0.20949221297944973</v>
      </c>
      <c r="AJ174" s="20">
        <f>(Y174- AVERAGE(Y$41:Y174))/_xlfn.STDEV.S(Y139:Y174)</f>
        <v>0.54796065379326309</v>
      </c>
      <c r="AK174" s="20">
        <f>(Z174- AVERAGE(Z$41:Z174))/_xlfn.STDEV.S(Z139:Z174)</f>
        <v>0.50564350994932961</v>
      </c>
      <c r="AL174" s="20">
        <f>(AA174- AVERAGE(AA$41:AA174))/_xlfn.STDEV.S(AA139:AA174)</f>
        <v>0.86932534328523481</v>
      </c>
      <c r="AM174" s="20">
        <f>(AB174- AVERAGE(AB$41:AB174))/_xlfn.STDEV.S(AB139:AB174)</f>
        <v>0.86502491900117906</v>
      </c>
      <c r="AN174" s="20">
        <f>(AC174- AVERAGE(AC$41:AC174))/_xlfn.STDEV.S(AC139:AC174)</f>
        <v>-1.6158697808977449</v>
      </c>
      <c r="AO174" s="24">
        <f>(AD174- AVERAGE(AD$41:AD174))/_xlfn.STDEV.S(AD139:AD174)</f>
        <v>-0.17087392308787605</v>
      </c>
      <c r="AP174" s="20"/>
      <c r="AQ174" s="20">
        <f t="shared" si="52"/>
        <v>1.1228128449532768</v>
      </c>
      <c r="AR174" s="20">
        <f t="shared" si="53"/>
        <v>1.6977411231982471</v>
      </c>
      <c r="AS174" s="20">
        <f t="shared" si="54"/>
        <v>-0.20949221297944973</v>
      </c>
      <c r="AT174" s="20">
        <f t="shared" si="55"/>
        <v>0.54796065379326309</v>
      </c>
      <c r="AU174" s="20">
        <f t="shared" si="39"/>
        <v>0.50564350994932961</v>
      </c>
      <c r="AV174" s="20">
        <f t="shared" si="56"/>
        <v>0.86932534328523481</v>
      </c>
      <c r="AW174" s="20">
        <f t="shared" si="41"/>
        <v>0.86502491900117906</v>
      </c>
      <c r="AX174" s="20">
        <f t="shared" si="57"/>
        <v>-1.6158697808977449</v>
      </c>
      <c r="AY174" s="20">
        <f t="shared" si="58"/>
        <v>-0.17087392308787605</v>
      </c>
      <c r="AZ174" s="22">
        <f t="shared" si="44"/>
        <v>0.40136360857949549</v>
      </c>
      <c r="BA174" s="1">
        <f>+_xlfn.XLOOKUP(A174,[1]Indice!B:B,[1]Indice!AI:AI,"NOOOOOO",-1)</f>
        <v>0.35115460610547872</v>
      </c>
    </row>
    <row r="175" spans="1:53" x14ac:dyDescent="0.25">
      <c r="A175" s="2">
        <v>43220</v>
      </c>
      <c r="B175" s="15">
        <v>5216</v>
      </c>
      <c r="C175" s="19">
        <v>7.1707417300184817</v>
      </c>
      <c r="D175" s="15">
        <v>6106</v>
      </c>
      <c r="E175" s="19">
        <v>633.29</v>
      </c>
      <c r="F175" s="18">
        <v>0.20815266307694738</v>
      </c>
      <c r="G175" s="1">
        <v>-0.3</v>
      </c>
      <c r="H175" s="1">
        <v>-1.4</v>
      </c>
      <c r="I175" s="16">
        <v>28.8</v>
      </c>
      <c r="J175" s="1">
        <v>486.58800000000002</v>
      </c>
      <c r="K175" s="1">
        <v>7.2126878086076429</v>
      </c>
      <c r="L175" s="1">
        <v>91.442999999999998</v>
      </c>
      <c r="M175" s="1">
        <v>9.6202258505358351</v>
      </c>
      <c r="N175" s="1">
        <v>-7.2465075706240611E-2</v>
      </c>
      <c r="O175" s="1">
        <v>435955</v>
      </c>
      <c r="P175" s="1">
        <v>-17.397095715574153</v>
      </c>
      <c r="Q175" s="1">
        <v>40.117740441857386</v>
      </c>
      <c r="R175" s="1">
        <v>3.8</v>
      </c>
      <c r="S175" s="1">
        <v>0.78333333333333333</v>
      </c>
      <c r="T175" s="3">
        <v>18.2</v>
      </c>
      <c r="V175" s="20">
        <f t="shared" si="46"/>
        <v>11.290588804037744</v>
      </c>
      <c r="W175" s="20">
        <f t="shared" si="47"/>
        <v>1.4833333333333334</v>
      </c>
      <c r="X175" s="20">
        <f t="shared" si="47"/>
        <v>-1.2166666666666666</v>
      </c>
      <c r="Y175" s="20">
        <f t="shared" si="45"/>
        <v>7.0428985507246402</v>
      </c>
      <c r="Z175" s="20">
        <f t="shared" si="48"/>
        <v>2.3391894081142799</v>
      </c>
      <c r="AA175" s="19">
        <f>+AVERAGE(M173:M175)*AVERAGE($F$15:F175)</f>
        <v>2.6634353758383584</v>
      </c>
      <c r="AB175" s="19">
        <f t="shared" si="49"/>
        <v>-0.13334833265791582</v>
      </c>
      <c r="AC175" s="19">
        <f t="shared" si="50"/>
        <v>-18.854426748181485</v>
      </c>
      <c r="AD175" s="21">
        <f t="shared" si="51"/>
        <v>17.700008418402131</v>
      </c>
      <c r="AE175" s="19"/>
      <c r="AG175" s="20">
        <f>(V175- AVERAGE(V$41:V175))/_xlfn.STDEV.S(V140:V175)</f>
        <v>0.97265779306153954</v>
      </c>
      <c r="AH175" s="20">
        <f>(W175- AVERAGE(W$41:W175))/_xlfn.STDEV.S(W140:W175)</f>
        <v>1.1053937527554261</v>
      </c>
      <c r="AI175" s="20">
        <f>(X175- AVERAGE(X$41:X175))/_xlfn.STDEV.S(X140:X175)</f>
        <v>-0.78556781620762373</v>
      </c>
      <c r="AJ175" s="20">
        <f>(Y175- AVERAGE(Y$41:Y175))/_xlfn.STDEV.S(Y140:Y175)</f>
        <v>0.81358015112160187</v>
      </c>
      <c r="AK175" s="20">
        <f>(Z175- AVERAGE(Z$41:Z175))/_xlfn.STDEV.S(Z140:Z175)</f>
        <v>1.6043087012460882</v>
      </c>
      <c r="AL175" s="20">
        <f>(AA175- AVERAGE(AA$41:AA175))/_xlfn.STDEV.S(AA140:AA175)</f>
        <v>0.95005894081196529</v>
      </c>
      <c r="AM175" s="20">
        <f>(AB175- AVERAGE(AB$41:AB175))/_xlfn.STDEV.S(AB140:AB175)</f>
        <v>0.88654042878670813</v>
      </c>
      <c r="AN175" s="20">
        <f>(AC175- AVERAGE(AC$41:AC175))/_xlfn.STDEV.S(AC140:AC175)</f>
        <v>-1.5775433307954563</v>
      </c>
      <c r="AO175" s="24">
        <f>(AD175- AVERAGE(AD$41:AD175))/_xlfn.STDEV.S(AD140:AD175)</f>
        <v>-1.9696325461593472E-2</v>
      </c>
      <c r="AP175" s="20"/>
      <c r="AQ175" s="20">
        <f t="shared" si="52"/>
        <v>0.97265779306153954</v>
      </c>
      <c r="AR175" s="20">
        <f t="shared" si="53"/>
        <v>1.1053937527554261</v>
      </c>
      <c r="AS175" s="20">
        <f t="shared" si="54"/>
        <v>-0.78556781620762373</v>
      </c>
      <c r="AT175" s="20">
        <f t="shared" si="55"/>
        <v>0.81358015112160187</v>
      </c>
      <c r="AU175" s="20">
        <f t="shared" si="39"/>
        <v>1.6043087012460882</v>
      </c>
      <c r="AV175" s="20">
        <f t="shared" si="56"/>
        <v>0.95005894081196529</v>
      </c>
      <c r="AW175" s="20">
        <f t="shared" si="41"/>
        <v>0.88654042878670813</v>
      </c>
      <c r="AX175" s="20">
        <f t="shared" si="57"/>
        <v>-1.5775433307954563</v>
      </c>
      <c r="AY175" s="20">
        <f t="shared" si="58"/>
        <v>-1.9696325461593472E-2</v>
      </c>
      <c r="AZ175" s="22">
        <f t="shared" si="44"/>
        <v>0.4388591439242952</v>
      </c>
      <c r="BA175" s="1">
        <f>+_xlfn.XLOOKUP(A175,[1]Indice!B:B,[1]Indice!AI:AI,"NOOOOOO",-1)</f>
        <v>0.36524044955048296</v>
      </c>
    </row>
    <row r="176" spans="1:53" x14ac:dyDescent="0.25">
      <c r="A176" s="2">
        <v>43251</v>
      </c>
      <c r="B176" s="15">
        <v>5163</v>
      </c>
      <c r="C176" s="19">
        <v>-6.0076460950300392</v>
      </c>
      <c r="D176" s="15">
        <v>6448</v>
      </c>
      <c r="E176" s="19">
        <v>633.29</v>
      </c>
      <c r="F176" s="18">
        <v>0.20823793206903629</v>
      </c>
      <c r="G176" s="1">
        <v>-5.2</v>
      </c>
      <c r="H176" s="1">
        <v>-5.2</v>
      </c>
      <c r="I176" s="16">
        <v>30</v>
      </c>
      <c r="J176" s="1">
        <v>485.15600000000001</v>
      </c>
      <c r="K176" s="1">
        <v>3.2734610816172793</v>
      </c>
      <c r="L176" s="1">
        <v>105.215</v>
      </c>
      <c r="M176" s="1">
        <v>22.042175103233895</v>
      </c>
      <c r="N176" s="1">
        <v>-0.62027519636544959</v>
      </c>
      <c r="O176" s="1">
        <v>434512</v>
      </c>
      <c r="P176" s="1">
        <v>-14.786865184580867</v>
      </c>
      <c r="Q176" s="1">
        <v>37.911869789599059</v>
      </c>
      <c r="R176" s="1">
        <v>3.8</v>
      </c>
      <c r="S176" s="1">
        <v>0.83499999999999985</v>
      </c>
      <c r="T176" s="3">
        <v>22.24</v>
      </c>
      <c r="V176" s="20">
        <f t="shared" si="46"/>
        <v>5.7739471758833307</v>
      </c>
      <c r="W176" s="20">
        <f t="shared" si="47"/>
        <v>-1.9683333333333333</v>
      </c>
      <c r="X176" s="20">
        <f t="shared" si="47"/>
        <v>-3.1350000000000002</v>
      </c>
      <c r="Y176" s="20">
        <f t="shared" si="45"/>
        <v>8.9616666666666696</v>
      </c>
      <c r="Z176" s="20">
        <f t="shared" si="48"/>
        <v>3.6289555599428334</v>
      </c>
      <c r="AA176" s="19">
        <f>+AVERAGE(M174:M176)*AVERAGE($F$15:F176)</f>
        <v>3.7521551752755102</v>
      </c>
      <c r="AB176" s="19">
        <f t="shared" si="49"/>
        <v>-0.24409513789936574</v>
      </c>
      <c r="AC176" s="19">
        <f t="shared" si="50"/>
        <v>-17.587753596101972</v>
      </c>
      <c r="AD176" s="21">
        <f t="shared" si="51"/>
        <v>27.409214842243461</v>
      </c>
      <c r="AE176" s="19"/>
      <c r="AG176" s="20">
        <f>(V176- AVERAGE(V$41:V176))/_xlfn.STDEV.S(V141:V176)</f>
        <v>0.50399984323628155</v>
      </c>
      <c r="AH176" s="20">
        <f>(W176- AVERAGE(W$41:W176))/_xlfn.STDEV.S(W141:W176)</f>
        <v>-0.11390523199723601</v>
      </c>
      <c r="AI176" s="20">
        <f>(X176- AVERAGE(X$41:X176))/_xlfn.STDEV.S(X141:X176)</f>
        <v>-1.8687672939749038</v>
      </c>
      <c r="AJ176" s="20">
        <f>(Y176- AVERAGE(Y$41:Y176))/_xlfn.STDEV.S(Y141:Y176)</f>
        <v>1.0128938462344561</v>
      </c>
      <c r="AK176" s="20">
        <f>(Z176- AVERAGE(Z$41:Z176))/_xlfn.STDEV.S(Z141:Z176)</f>
        <v>1.9333914611945409</v>
      </c>
      <c r="AL176" s="20">
        <f>(AA176- AVERAGE(AA$41:AA176))/_xlfn.STDEV.S(AA141:AA176)</f>
        <v>1.2201767871326312</v>
      </c>
      <c r="AM176" s="20">
        <f>(AB176- AVERAGE(AB$41:AB176))/_xlfn.STDEV.S(AB141:AB176)</f>
        <v>0.89514486844224905</v>
      </c>
      <c r="AN176" s="20">
        <f>(AC176- AVERAGE(AC$41:AC176))/_xlfn.STDEV.S(AC141:AC176)</f>
        <v>-1.4349123170730333</v>
      </c>
      <c r="AO176" s="24">
        <f>(AD176- AVERAGE(AD$41:AD176))/_xlfn.STDEV.S(AD141:AD176)</f>
        <v>0.34864574859998881</v>
      </c>
      <c r="AP176" s="20"/>
      <c r="AQ176" s="20">
        <f t="shared" si="52"/>
        <v>0.50399984323628155</v>
      </c>
      <c r="AR176" s="20">
        <f t="shared" si="53"/>
        <v>-0.11390523199723601</v>
      </c>
      <c r="AS176" s="20">
        <f t="shared" si="54"/>
        <v>-1.8687672939749038</v>
      </c>
      <c r="AT176" s="20">
        <f t="shared" si="55"/>
        <v>1.0128938462344561</v>
      </c>
      <c r="AU176" s="20">
        <f t="shared" si="39"/>
        <v>1.9333914611945409</v>
      </c>
      <c r="AV176" s="20">
        <f t="shared" si="56"/>
        <v>1.2201767871326312</v>
      </c>
      <c r="AW176" s="20">
        <f t="shared" si="41"/>
        <v>0.89514486844224905</v>
      </c>
      <c r="AX176" s="20">
        <f t="shared" si="57"/>
        <v>-1.4349123170730333</v>
      </c>
      <c r="AY176" s="20">
        <f t="shared" si="58"/>
        <v>0.34864574859998881</v>
      </c>
      <c r="AZ176" s="22">
        <f t="shared" si="44"/>
        <v>0.27740752353277492</v>
      </c>
      <c r="BA176" s="1">
        <f>+_xlfn.XLOOKUP(A176,[1]Indice!B:B,[1]Indice!AI:AI,"NOOOOOO",-1)</f>
        <v>0.39618470594735467</v>
      </c>
    </row>
    <row r="177" spans="1:53" x14ac:dyDescent="0.25">
      <c r="A177" s="2">
        <v>43281</v>
      </c>
      <c r="B177" s="15">
        <v>5133</v>
      </c>
      <c r="C177" s="19">
        <v>-0.48468398604110119</v>
      </c>
      <c r="D177" s="15">
        <v>5461</v>
      </c>
      <c r="E177" s="19">
        <v>620.1</v>
      </c>
      <c r="F177" s="18">
        <v>0.21192227060151589</v>
      </c>
      <c r="G177" s="1">
        <v>-6.2</v>
      </c>
      <c r="H177" s="1">
        <v>-5.8</v>
      </c>
      <c r="I177" s="16">
        <v>36.799999999999997</v>
      </c>
      <c r="J177" s="1">
        <v>484.76400000000001</v>
      </c>
      <c r="K177" s="1">
        <v>5.03617386857802</v>
      </c>
      <c r="L177" s="1">
        <v>115.747</v>
      </c>
      <c r="M177" s="1">
        <v>31.636888853506797</v>
      </c>
      <c r="N177" s="1">
        <v>-1.2155468514750245</v>
      </c>
      <c r="O177" s="1">
        <v>417881</v>
      </c>
      <c r="P177" s="1">
        <v>-16.908059827326337</v>
      </c>
      <c r="Q177" s="1">
        <v>-1.6601391243350583</v>
      </c>
      <c r="R177" s="1">
        <v>-4</v>
      </c>
      <c r="S177" s="1">
        <v>0.66499999999999992</v>
      </c>
      <c r="T177" s="3">
        <v>24.15</v>
      </c>
      <c r="V177" s="20">
        <f t="shared" si="46"/>
        <v>-0.43886278368421949</v>
      </c>
      <c r="W177" s="20">
        <f t="shared" si="47"/>
        <v>-4.5649999999999995</v>
      </c>
      <c r="X177" s="20">
        <f t="shared" si="47"/>
        <v>-4.7983333333333329</v>
      </c>
      <c r="Y177" s="20">
        <f t="shared" si="45"/>
        <v>12.815866666666668</v>
      </c>
      <c r="Z177" s="20">
        <f t="shared" si="48"/>
        <v>5.1741075862676471</v>
      </c>
      <c r="AA177" s="19">
        <f>+AVERAGE(M175:M177)*AVERAGE($F$15:F177)</f>
        <v>5.7131668930502775</v>
      </c>
      <c r="AB177" s="19">
        <f t="shared" si="49"/>
        <v>-0.6360957078489049</v>
      </c>
      <c r="AC177" s="19">
        <f t="shared" si="50"/>
        <v>-16.364006909160452</v>
      </c>
      <c r="AD177" s="21">
        <f t="shared" si="51"/>
        <v>25.456490369040463</v>
      </c>
      <c r="AE177" s="19"/>
      <c r="AG177" s="20">
        <f>(V177- AVERAGE(V$41:V177))/_xlfn.STDEV.S(V142:V177)</f>
        <v>-6.7147374466046114E-2</v>
      </c>
      <c r="AH177" s="20">
        <f>(W177- AVERAGE(W$41:W177))/_xlfn.STDEV.S(W142:W177)</f>
        <v>-0.97669446049110398</v>
      </c>
      <c r="AI177" s="20">
        <f>(X177- AVERAGE(X$41:X177))/_xlfn.STDEV.S(X142:X177)</f>
        <v>-2.4184552384054578</v>
      </c>
      <c r="AJ177" s="20">
        <f>(Y177- AVERAGE(Y$41:Y177))/_xlfn.STDEV.S(Y142:Y177)</f>
        <v>1.4124776059058732</v>
      </c>
      <c r="AK177" s="20">
        <f>(Z177- AVERAGE(Z$41:Z177))/_xlfn.STDEV.S(Z142:Z177)</f>
        <v>2.261486620727474</v>
      </c>
      <c r="AL177" s="20">
        <f>(AA177- AVERAGE(AA$41:AA177))/_xlfn.STDEV.S(AA142:AA177)</f>
        <v>1.6891628730804777</v>
      </c>
      <c r="AM177" s="20">
        <f>(AB177- AVERAGE(AB$41:AB177))/_xlfn.STDEV.S(AB142:AB177)</f>
        <v>0.88940608042860969</v>
      </c>
      <c r="AN177" s="20">
        <f>(AC177- AVERAGE(AC$41:AC177))/_xlfn.STDEV.S(AC142:AC177)</f>
        <v>-1.3151460097845256</v>
      </c>
      <c r="AO177" s="24">
        <f>(AD177- AVERAGE(AD$41:AD177))/_xlfn.STDEV.S(AD142:AD177)</f>
        <v>0.2699185477645718</v>
      </c>
      <c r="AP177" s="20"/>
      <c r="AQ177" s="20">
        <f t="shared" si="52"/>
        <v>-6.7147374466046114E-2</v>
      </c>
      <c r="AR177" s="20">
        <f t="shared" si="53"/>
        <v>-0.97669446049110398</v>
      </c>
      <c r="AS177" s="20">
        <f t="shared" si="54"/>
        <v>-2.4184552384054578</v>
      </c>
      <c r="AT177" s="20">
        <f t="shared" si="55"/>
        <v>1.4124776059058732</v>
      </c>
      <c r="AU177" s="20">
        <f t="shared" si="39"/>
        <v>2.261486620727474</v>
      </c>
      <c r="AV177" s="20">
        <f t="shared" si="56"/>
        <v>1.6891628730804777</v>
      </c>
      <c r="AW177" s="20">
        <f t="shared" si="41"/>
        <v>0.88940608042860969</v>
      </c>
      <c r="AX177" s="20">
        <f t="shared" si="57"/>
        <v>-1.3151460097845256</v>
      </c>
      <c r="AY177" s="20">
        <f t="shared" si="58"/>
        <v>0.2699185477645718</v>
      </c>
      <c r="AZ177" s="22">
        <f t="shared" si="44"/>
        <v>0.19388984941776363</v>
      </c>
      <c r="BA177" s="1">
        <f>+_xlfn.XLOOKUP(A177,[1]Indice!B:B,[1]Indice!AI:AI,"NOOOOOO",-1)</f>
        <v>0.36714598682502098</v>
      </c>
    </row>
    <row r="178" spans="1:53" x14ac:dyDescent="0.25">
      <c r="A178" s="2">
        <v>43312</v>
      </c>
      <c r="B178" s="15">
        <v>5415</v>
      </c>
      <c r="C178" s="19">
        <v>2.0927601809954677</v>
      </c>
      <c r="D178" s="15">
        <v>6182</v>
      </c>
      <c r="E178" s="19">
        <v>620.1</v>
      </c>
      <c r="F178" s="18">
        <v>0.21232543138203516</v>
      </c>
      <c r="G178" s="1">
        <v>-2.9</v>
      </c>
      <c r="H178" s="1">
        <v>-3.8</v>
      </c>
      <c r="I178" s="16">
        <v>40.9</v>
      </c>
      <c r="J178" s="1">
        <v>483.48899999999998</v>
      </c>
      <c r="K178" s="1">
        <v>2.1352779262370003</v>
      </c>
      <c r="L178" s="1">
        <v>108.072</v>
      </c>
      <c r="M178" s="1">
        <v>14.331658291457284</v>
      </c>
      <c r="N178" s="1">
        <v>0.14516438045495406</v>
      </c>
      <c r="O178" s="1">
        <v>408740</v>
      </c>
      <c r="P178" s="1">
        <v>-15.1794607875689</v>
      </c>
      <c r="Q178" s="1">
        <v>-3.4794711203896989</v>
      </c>
      <c r="R178" s="1">
        <v>-4</v>
      </c>
      <c r="S178" s="1">
        <v>0.49499999999999994</v>
      </c>
      <c r="T178" s="3">
        <v>23.7</v>
      </c>
      <c r="V178" s="20">
        <f t="shared" si="46"/>
        <v>-1.9615233000252239</v>
      </c>
      <c r="W178" s="20">
        <f t="shared" si="47"/>
        <v>-5.2616666666666667</v>
      </c>
      <c r="X178" s="20">
        <f t="shared" si="47"/>
        <v>-5.4283333333333337</v>
      </c>
      <c r="Y178" s="20">
        <f t="shared" si="45"/>
        <v>16.670384615384616</v>
      </c>
      <c r="Z178" s="20">
        <f t="shared" si="48"/>
        <v>3.4816376254774331</v>
      </c>
      <c r="AA178" s="19">
        <f>+AVERAGE(M176:M178)*AVERAGE($F$15:F178)</f>
        <v>6.1303250155226543</v>
      </c>
      <c r="AB178" s="19">
        <f t="shared" si="49"/>
        <v>-0.56355255579517338</v>
      </c>
      <c r="AC178" s="19">
        <f t="shared" si="50"/>
        <v>-15.624795266492034</v>
      </c>
      <c r="AD178" s="21">
        <f t="shared" si="51"/>
        <v>10.9240865149581</v>
      </c>
      <c r="AE178" s="19"/>
      <c r="AG178" s="20">
        <f>(V178- AVERAGE(V$41:V178))/_xlfn.STDEV.S(V143:V178)</f>
        <v>-0.22691823907581402</v>
      </c>
      <c r="AH178" s="20">
        <f>(W178- AVERAGE(W$41:W178))/_xlfn.STDEV.S(W143:W178)</f>
        <v>-1.154428376091271</v>
      </c>
      <c r="AI178" s="20">
        <f>(X178- AVERAGE(X$41:X178))/_xlfn.STDEV.S(X143:X178)</f>
        <v>-2.3357062481100197</v>
      </c>
      <c r="AJ178" s="20">
        <f>(Y178- AVERAGE(Y$41:Y178))/_xlfn.STDEV.S(Y143:Y178)</f>
        <v>1.8201023465232582</v>
      </c>
      <c r="AK178" s="20">
        <f>(Z178- AVERAGE(Z$41:Z178))/_xlfn.STDEV.S(Z143:Z178)</f>
        <v>1.7022332603967727</v>
      </c>
      <c r="AL178" s="20">
        <f>(AA178- AVERAGE(AA$41:AA178))/_xlfn.STDEV.S(AA143:AA178)</f>
        <v>1.8035148646041728</v>
      </c>
      <c r="AM178" s="20">
        <f>(AB178- AVERAGE(AB$41:AB178))/_xlfn.STDEV.S(AB143:AB178)</f>
        <v>0.92626550830782051</v>
      </c>
      <c r="AN178" s="20">
        <f>(AC178- AVERAGE(AC$41:AC178))/_xlfn.STDEV.S(AC143:AC178)</f>
        <v>-1.2428783991177597</v>
      </c>
      <c r="AO178" s="24">
        <f>(AD178- AVERAGE(AD$41:AD178))/_xlfn.STDEV.S(AD143:AD178)</f>
        <v>-0.27934398944995215</v>
      </c>
      <c r="AP178" s="20"/>
      <c r="AQ178" s="20">
        <f t="shared" si="52"/>
        <v>-0.22691823907581402</v>
      </c>
      <c r="AR178" s="20">
        <f t="shared" si="53"/>
        <v>-1.154428376091271</v>
      </c>
      <c r="AS178" s="20">
        <f t="shared" si="54"/>
        <v>-2.3357062481100197</v>
      </c>
      <c r="AT178" s="20">
        <f t="shared" si="55"/>
        <v>1.8201023465232582</v>
      </c>
      <c r="AU178" s="20">
        <f t="shared" si="39"/>
        <v>1.7022332603967727</v>
      </c>
      <c r="AV178" s="20">
        <f t="shared" si="56"/>
        <v>1.8035148646041728</v>
      </c>
      <c r="AW178" s="20">
        <f t="shared" si="41"/>
        <v>0.92626550830782051</v>
      </c>
      <c r="AX178" s="20">
        <f t="shared" si="57"/>
        <v>-1.2428783991177597</v>
      </c>
      <c r="AY178" s="20">
        <f t="shared" si="58"/>
        <v>-0.27934398944995215</v>
      </c>
      <c r="AZ178" s="22">
        <f t="shared" si="44"/>
        <v>0.11253785866524531</v>
      </c>
      <c r="BA178" s="1">
        <f>+_xlfn.XLOOKUP(A178,[1]Indice!B:B,[1]Indice!AI:AI,"NOOOOOO",-1)</f>
        <v>0.38813737466745862</v>
      </c>
    </row>
    <row r="179" spans="1:53" x14ac:dyDescent="0.25">
      <c r="A179" s="2">
        <v>43343</v>
      </c>
      <c r="B179" s="15">
        <v>5202</v>
      </c>
      <c r="C179" s="19">
        <v>-1.3277693474962105</v>
      </c>
      <c r="D179" s="15">
        <v>6314</v>
      </c>
      <c r="E179" s="19">
        <v>620.1</v>
      </c>
      <c r="F179" s="18">
        <v>0.21220770843412354</v>
      </c>
      <c r="G179" s="1">
        <v>-1.7</v>
      </c>
      <c r="H179" s="1">
        <v>-3.4</v>
      </c>
      <c r="I179" s="16">
        <v>45</v>
      </c>
      <c r="J179" s="1">
        <v>491.07600000000002</v>
      </c>
      <c r="K179" s="1">
        <v>2.5330727600721525</v>
      </c>
      <c r="L179" s="1">
        <v>135.46799999999999</v>
      </c>
      <c r="M179" s="1">
        <v>47.116700332312497</v>
      </c>
      <c r="N179" s="1">
        <v>-0.53698713855938607</v>
      </c>
      <c r="O179" s="1">
        <v>401490</v>
      </c>
      <c r="P179" s="1">
        <v>-12.29495841825533</v>
      </c>
      <c r="Q179" s="1">
        <v>-35.326610810410017</v>
      </c>
      <c r="R179" s="1">
        <v>-4</v>
      </c>
      <c r="S179" s="1">
        <v>0.32499999999999996</v>
      </c>
      <c r="T179" s="3">
        <v>31.5</v>
      </c>
      <c r="V179" s="20">
        <f t="shared" si="46"/>
        <v>-0.23156438418061459</v>
      </c>
      <c r="W179" s="20">
        <f t="shared" si="47"/>
        <v>-3.9249999999999998</v>
      </c>
      <c r="X179" s="20">
        <f t="shared" si="47"/>
        <v>-4.6583333333333332</v>
      </c>
      <c r="Y179" s="20">
        <f t="shared" si="45"/>
        <v>21.215925925925927</v>
      </c>
      <c r="Z179" s="20">
        <f t="shared" si="48"/>
        <v>3.234841518295724</v>
      </c>
      <c r="AA179" s="19">
        <f>+AVERAGE(M177:M179)*AVERAGE($F$15:F179)</f>
        <v>8.3795376411325915</v>
      </c>
      <c r="AB179" s="19">
        <f t="shared" si="49"/>
        <v>-0.5357898698598188</v>
      </c>
      <c r="AC179" s="19">
        <f t="shared" si="50"/>
        <v>-14.794159677716857</v>
      </c>
      <c r="AD179" s="21">
        <f t="shared" si="51"/>
        <v>-13.488740351711591</v>
      </c>
      <c r="AE179" s="19"/>
      <c r="AG179" s="20">
        <f>(V179- AVERAGE(V$41:V179))/_xlfn.STDEV.S(V144:V179)</f>
        <v>-5.0470599222892536E-2</v>
      </c>
      <c r="AH179" s="20">
        <f>(W179- AVERAGE(W$41:W179))/_xlfn.STDEV.S(W144:W179)</f>
        <v>-0.70922880119257847</v>
      </c>
      <c r="AI179" s="20">
        <f>(X179- AVERAGE(X$41:X179))/_xlfn.STDEV.S(X144:X179)</f>
        <v>-1.8042578463935055</v>
      </c>
      <c r="AJ179" s="20">
        <f>(Y179- AVERAGE(Y$41:Y179))/_xlfn.STDEV.S(Y144:Y179)</f>
        <v>2.291229159741341</v>
      </c>
      <c r="AK179" s="20">
        <f>(Z179- AVERAGE(Z$41:Z179))/_xlfn.STDEV.S(Z144:Z179)</f>
        <v>1.5747713485521735</v>
      </c>
      <c r="AL179" s="20">
        <f>(AA179- AVERAGE(AA$41:AA179))/_xlfn.STDEV.S(AA144:AA179)</f>
        <v>2.3389703742614252</v>
      </c>
      <c r="AM179" s="20">
        <f>(AB179- AVERAGE(AB$41:AB179))/_xlfn.STDEV.S(AB144:AB179)</f>
        <v>0.98916142255364548</v>
      </c>
      <c r="AN179" s="20">
        <f>(AC179- AVERAGE(AC$41:AC179))/_xlfn.STDEV.S(AC144:AC179)</f>
        <v>-1.180290415660046</v>
      </c>
      <c r="AO179" s="24">
        <f>(AD179- AVERAGE(AD$41:AD179))/_xlfn.STDEV.S(AD144:AD179)</f>
        <v>-1.1915623030533411</v>
      </c>
      <c r="AP179" s="20"/>
      <c r="AQ179" s="20">
        <f t="shared" si="52"/>
        <v>-5.0470599222892536E-2</v>
      </c>
      <c r="AR179" s="20">
        <f t="shared" si="53"/>
        <v>-0.70922880119257847</v>
      </c>
      <c r="AS179" s="20">
        <f t="shared" si="54"/>
        <v>-1.8042578463935055</v>
      </c>
      <c r="AT179" s="20">
        <f t="shared" si="55"/>
        <v>2.291229159741341</v>
      </c>
      <c r="AU179" s="20">
        <f t="shared" si="39"/>
        <v>1.5747713485521735</v>
      </c>
      <c r="AV179" s="20">
        <f t="shared" si="56"/>
        <v>2.3389703742614252</v>
      </c>
      <c r="AW179" s="20">
        <f t="shared" si="41"/>
        <v>0.98916142255364548</v>
      </c>
      <c r="AX179" s="20">
        <f t="shared" si="57"/>
        <v>-1.180290415660046</v>
      </c>
      <c r="AY179" s="20">
        <f t="shared" si="58"/>
        <v>-1.1915623030533411</v>
      </c>
      <c r="AZ179" s="22">
        <f t="shared" si="44"/>
        <v>0.25092470439846903</v>
      </c>
      <c r="BA179" s="1">
        <f>+_xlfn.XLOOKUP(A179,[1]Indice!B:B,[1]Indice!AI:AI,"NOOOOOO",-1)</f>
        <v>0.44726272497640307</v>
      </c>
    </row>
    <row r="180" spans="1:53" x14ac:dyDescent="0.25">
      <c r="A180" s="2">
        <v>43373</v>
      </c>
      <c r="B180" s="15">
        <v>5037</v>
      </c>
      <c r="C180" s="19">
        <v>-4.3849658314350837</v>
      </c>
      <c r="D180" s="15">
        <v>4700</v>
      </c>
      <c r="E180" s="19">
        <v>490.17</v>
      </c>
      <c r="F180" s="18">
        <v>0.265399759267193</v>
      </c>
      <c r="G180" s="1">
        <v>-5.9</v>
      </c>
      <c r="H180" s="1">
        <v>-5</v>
      </c>
      <c r="I180" s="16">
        <v>58.8</v>
      </c>
      <c r="J180" s="1">
        <v>498.55799999999999</v>
      </c>
      <c r="K180" s="1">
        <v>2.9002736808212859</v>
      </c>
      <c r="L180" s="1">
        <v>143.65700000000001</v>
      </c>
      <c r="M180" s="1">
        <v>59.874688390313402</v>
      </c>
      <c r="N180" s="1">
        <v>-0.43954170944942028</v>
      </c>
      <c r="O180" s="1">
        <v>403964</v>
      </c>
      <c r="P180" s="1">
        <v>-13.119108402173939</v>
      </c>
      <c r="Q180" s="1">
        <v>-0.99409068316120841</v>
      </c>
      <c r="R180" s="1">
        <v>-3.5</v>
      </c>
      <c r="S180" s="1">
        <v>0.2233333333333333</v>
      </c>
      <c r="T180" s="3">
        <v>31.9</v>
      </c>
      <c r="V180" s="20">
        <f t="shared" si="46"/>
        <v>-1.4299916659786089</v>
      </c>
      <c r="W180" s="20">
        <f t="shared" si="47"/>
        <v>-3.7233333333333332</v>
      </c>
      <c r="X180" s="20">
        <f t="shared" si="47"/>
        <v>-4.29</v>
      </c>
      <c r="Y180" s="20">
        <f t="shared" si="45"/>
        <v>28.112976190476189</v>
      </c>
      <c r="Z180" s="20">
        <f t="shared" si="48"/>
        <v>2.5228747890434797</v>
      </c>
      <c r="AA180" s="19">
        <f>+AVERAGE(M178:M180)*AVERAGE($F$15:F180)</f>
        <v>10.920370107396391</v>
      </c>
      <c r="AB180" s="19">
        <f t="shared" si="49"/>
        <v>-0.27712148918461743</v>
      </c>
      <c r="AC180" s="19">
        <f t="shared" si="50"/>
        <v>-13.531175869332722</v>
      </c>
      <c r="AD180" s="21">
        <f t="shared" si="51"/>
        <v>-13.266724204653642</v>
      </c>
      <c r="AE180" s="19"/>
      <c r="AG180" s="20">
        <f>(V180- AVERAGE(V$41:V180))/_xlfn.STDEV.S(V145:V180)</f>
        <v>-0.18838113229357198</v>
      </c>
      <c r="AH180" s="20">
        <f>(W180- AVERAGE(W$41:W180))/_xlfn.STDEV.S(W145:W180)</f>
        <v>-0.63251098714863296</v>
      </c>
      <c r="AI180" s="20">
        <f>(X180- AVERAGE(X$41:X180))/_xlfn.STDEV.S(X145:X180)</f>
        <v>-1.5466908747405428</v>
      </c>
      <c r="AJ180" s="20">
        <f>(Y180- AVERAGE(Y$41:Y180))/_xlfn.STDEV.S(Y145:Y180)</f>
        <v>2.9387930631822581</v>
      </c>
      <c r="AK180" s="20">
        <f>(Z180- AVERAGE(Z$41:Z180))/_xlfn.STDEV.S(Z145:Z180)</f>
        <v>1.3363899388158083</v>
      </c>
      <c r="AL180" s="20">
        <f>(AA180- AVERAGE(AA$41:AA180))/_xlfn.STDEV.S(AA145:AA180)</f>
        <v>2.8803341884591949</v>
      </c>
      <c r="AM180" s="20">
        <f>(AB180- AVERAGE(AB$41:AB180))/_xlfn.STDEV.S(AB145:AB180)</f>
        <v>1.1289870366081545</v>
      </c>
      <c r="AN180" s="20">
        <f>(AC180- AVERAGE(AC$41:AC180))/_xlfn.STDEV.S(AC145:AC180)</f>
        <v>-1.1083103690666238</v>
      </c>
      <c r="AO180" s="24">
        <f>(AD180- AVERAGE(AD$41:AD180))/_xlfn.STDEV.S(AD145:AD180)</f>
        <v>-1.1684459150583542</v>
      </c>
      <c r="AP180" s="20"/>
      <c r="AQ180" s="20">
        <f t="shared" si="52"/>
        <v>-0.18838113229357198</v>
      </c>
      <c r="AR180" s="20">
        <f t="shared" si="53"/>
        <v>-0.63251098714863296</v>
      </c>
      <c r="AS180" s="20">
        <f t="shared" si="54"/>
        <v>-1.5466908747405428</v>
      </c>
      <c r="AT180" s="20">
        <f t="shared" si="55"/>
        <v>2.9387930631822581</v>
      </c>
      <c r="AU180" s="20">
        <f t="shared" si="39"/>
        <v>1.3363899388158083</v>
      </c>
      <c r="AV180" s="20">
        <f t="shared" si="56"/>
        <v>2.8803341884591949</v>
      </c>
      <c r="AW180" s="20">
        <f t="shared" si="41"/>
        <v>1.1289870366081545</v>
      </c>
      <c r="AX180" s="20">
        <f t="shared" si="57"/>
        <v>-1.1083103690666238</v>
      </c>
      <c r="AY180" s="20">
        <f t="shared" si="58"/>
        <v>-1.1684459150583542</v>
      </c>
      <c r="AZ180" s="22">
        <f t="shared" si="44"/>
        <v>0.40446277208418768</v>
      </c>
      <c r="BA180" s="1">
        <f>+_xlfn.XLOOKUP(A180,[1]Indice!B:B,[1]Indice!AI:AI,"NOOOOOO",-1)</f>
        <v>0.44941772769029559</v>
      </c>
    </row>
    <row r="181" spans="1:53" x14ac:dyDescent="0.25">
      <c r="A181" s="2">
        <v>43404</v>
      </c>
      <c r="B181" s="15">
        <v>5398</v>
      </c>
      <c r="C181" s="19">
        <v>2.2154894906267764</v>
      </c>
      <c r="D181" s="15">
        <v>5073</v>
      </c>
      <c r="E181" s="19">
        <v>490.17</v>
      </c>
      <c r="F181" s="18">
        <v>0.26332088867127729</v>
      </c>
      <c r="G181" s="1">
        <v>-4.4000000000000004</v>
      </c>
      <c r="H181" s="1">
        <v>-3.9</v>
      </c>
      <c r="I181" s="16">
        <v>68.7</v>
      </c>
      <c r="J181" s="1">
        <v>498.423</v>
      </c>
      <c r="K181" s="1">
        <v>1.8465996166625143</v>
      </c>
      <c r="L181" s="1">
        <v>119.604</v>
      </c>
      <c r="M181" s="1">
        <v>34.623999639814038</v>
      </c>
      <c r="N181" s="1">
        <v>-0.12073792669717864</v>
      </c>
      <c r="O181" s="1">
        <v>426004</v>
      </c>
      <c r="P181" s="1">
        <v>-6.3534004827370927</v>
      </c>
      <c r="Q181" s="1">
        <v>-25.458278339932537</v>
      </c>
      <c r="R181" s="1">
        <v>-3.5</v>
      </c>
      <c r="S181" s="1">
        <v>0.1216666666666668</v>
      </c>
      <c r="T181" s="3">
        <v>30.6</v>
      </c>
      <c r="V181" s="20">
        <f t="shared" si="46"/>
        <v>-1.2874152294348393</v>
      </c>
      <c r="W181" s="20">
        <f t="shared" si="47"/>
        <v>-4.121666666666667</v>
      </c>
      <c r="X181" s="20">
        <f t="shared" si="47"/>
        <v>-4.2216666666666676</v>
      </c>
      <c r="Y181" s="20">
        <f t="shared" si="45"/>
        <v>37.018275862068968</v>
      </c>
      <c r="Z181" s="20">
        <f t="shared" si="48"/>
        <v>2.4266486858519842</v>
      </c>
      <c r="AA181" s="19">
        <f>+AVERAGE(M179:M181)*AVERAGE($F$15:F181)</f>
        <v>12.745000563768896</v>
      </c>
      <c r="AB181" s="19">
        <f t="shared" si="49"/>
        <v>-0.36575559156866166</v>
      </c>
      <c r="AC181" s="19">
        <f t="shared" si="50"/>
        <v>-10.58915576772212</v>
      </c>
      <c r="AD181" s="21">
        <f t="shared" si="51"/>
        <v>-20.592993277834591</v>
      </c>
      <c r="AE181" s="19"/>
      <c r="AG181" s="20">
        <f>(V181- AVERAGE(V$41:V181))/_xlfn.STDEV.S(V146:V181)</f>
        <v>-0.18025167865396138</v>
      </c>
      <c r="AH181" s="20">
        <f>(W181- AVERAGE(W$41:W181))/_xlfn.STDEV.S(W146:W181)</f>
        <v>-0.74095071677679625</v>
      </c>
      <c r="AI181" s="20">
        <f>(X181- AVERAGE(X$41:X181))/_xlfn.STDEV.S(X146:X181)</f>
        <v>-1.4375992434764837</v>
      </c>
      <c r="AJ181" s="20">
        <f>(Y181- AVERAGE(Y$41:Y181))/_xlfn.STDEV.S(Y146:Y181)</f>
        <v>3.6021761784172832</v>
      </c>
      <c r="AK181" s="20">
        <f>(Z181- AVERAGE(Z$41:Z181))/_xlfn.STDEV.S(Z146:Z181)</f>
        <v>1.2694774082768425</v>
      </c>
      <c r="AL181" s="20">
        <f>(AA181- AVERAGE(AA$41:AA181))/_xlfn.STDEV.S(AA146:AA181)</f>
        <v>3.1813290615169398</v>
      </c>
      <c r="AM181" s="20">
        <f>(AB181- AVERAGE(AB$41:AB181))/_xlfn.STDEV.S(AB146:AB181)</f>
        <v>1.329101421557733</v>
      </c>
      <c r="AN181" s="20">
        <f>(AC181- AVERAGE(AC$41:AC181))/_xlfn.STDEV.S(AC146:AC181)</f>
        <v>-0.93730100698147056</v>
      </c>
      <c r="AO181" s="24">
        <f>(AD181- AVERAGE(AD$41:AD181))/_xlfn.STDEV.S(AD146:AD181)</f>
        <v>-1.419440991932486</v>
      </c>
      <c r="AP181" s="20"/>
      <c r="AQ181" s="20">
        <f t="shared" si="52"/>
        <v>-0.18025167865396138</v>
      </c>
      <c r="AR181" s="20">
        <f t="shared" si="53"/>
        <v>-0.74095071677679625</v>
      </c>
      <c r="AS181" s="20">
        <f t="shared" si="54"/>
        <v>-1.4375992434764837</v>
      </c>
      <c r="AT181" s="20">
        <f t="shared" si="55"/>
        <v>3.6021761784172832</v>
      </c>
      <c r="AU181" s="20">
        <f t="shared" si="39"/>
        <v>1.2694774082768425</v>
      </c>
      <c r="AV181" s="20">
        <f t="shared" si="56"/>
        <v>3.1813290615169398</v>
      </c>
      <c r="AW181" s="20">
        <f t="shared" si="41"/>
        <v>1.329101421557733</v>
      </c>
      <c r="AX181" s="20">
        <f t="shared" si="57"/>
        <v>-0.93730100698147056</v>
      </c>
      <c r="AY181" s="20">
        <f t="shared" si="58"/>
        <v>-1.419440991932486</v>
      </c>
      <c r="AZ181" s="22">
        <f t="shared" si="44"/>
        <v>0.51850449243862229</v>
      </c>
      <c r="BA181" s="1">
        <f>+_xlfn.XLOOKUP(A181,[1]Indice!B:B,[1]Indice!AI:AI,"NOOOOOO",-1)</f>
        <v>0.43926992859484604</v>
      </c>
    </row>
    <row r="182" spans="1:53" x14ac:dyDescent="0.25">
      <c r="A182" s="2">
        <v>43434</v>
      </c>
      <c r="B182" s="15">
        <v>5350</v>
      </c>
      <c r="C182" s="19">
        <v>14.610111396743797</v>
      </c>
      <c r="D182" s="15">
        <v>4363</v>
      </c>
      <c r="E182" s="19">
        <v>490.17</v>
      </c>
      <c r="F182" s="18">
        <v>0.261040047330518</v>
      </c>
      <c r="G182" s="1">
        <v>-7.5</v>
      </c>
      <c r="H182" s="1">
        <v>-5.6</v>
      </c>
      <c r="I182" s="16">
        <v>68.2</v>
      </c>
      <c r="J182" s="1">
        <v>496.00299999999999</v>
      </c>
      <c r="K182" s="1">
        <v>1.4638526982880151</v>
      </c>
      <c r="L182" s="1">
        <v>120.869</v>
      </c>
      <c r="M182" s="1">
        <v>39.779810572330597</v>
      </c>
      <c r="N182" s="1">
        <v>-0.19944329267795879</v>
      </c>
      <c r="O182" s="1">
        <v>443162</v>
      </c>
      <c r="P182" s="1">
        <v>-2.3254788820245342</v>
      </c>
      <c r="Q182" s="1">
        <v>-20.316937407701928</v>
      </c>
      <c r="R182" s="1">
        <v>-3.5</v>
      </c>
      <c r="S182" s="1">
        <v>2.0000000000000167E-2</v>
      </c>
      <c r="T182" s="3">
        <v>28.63</v>
      </c>
      <c r="V182" s="20">
        <f t="shared" si="46"/>
        <v>4.1268783519784957</v>
      </c>
      <c r="W182" s="20">
        <f t="shared" si="47"/>
        <v>-5.953333333333334</v>
      </c>
      <c r="X182" s="20">
        <f t="shared" si="47"/>
        <v>-4.8533333333333335</v>
      </c>
      <c r="Y182" s="20">
        <f t="shared" si="45"/>
        <v>44.480000000000004</v>
      </c>
      <c r="Z182" s="20">
        <f t="shared" si="48"/>
        <v>2.0702419985906051</v>
      </c>
      <c r="AA182" s="19">
        <f>+AVERAGE(M180:M182)*AVERAGE($F$15:F182)</f>
        <v>12.082315408795443</v>
      </c>
      <c r="AB182" s="19">
        <f t="shared" si="49"/>
        <v>-0.25324097627485259</v>
      </c>
      <c r="AC182" s="19">
        <f t="shared" si="50"/>
        <v>-7.2659959223118555</v>
      </c>
      <c r="AD182" s="21">
        <f t="shared" si="51"/>
        <v>-15.589768810265225</v>
      </c>
      <c r="AE182" s="19"/>
      <c r="AG182" s="20">
        <f>(V182- AVERAGE(V$41:V182))/_xlfn.STDEV.S(V147:V182)</f>
        <v>0.49589908096017982</v>
      </c>
      <c r="AH182" s="20">
        <f>(W182- AVERAGE(W$41:W182))/_xlfn.STDEV.S(W147:W182)</f>
        <v>-1.2557185201943322</v>
      </c>
      <c r="AI182" s="20">
        <f>(X182- AVERAGE(X$41:X182))/_xlfn.STDEV.S(X147:X182)</f>
        <v>-1.5671329175826716</v>
      </c>
      <c r="AJ182" s="20">
        <f>(Y182- AVERAGE(Y$41:Y182))/_xlfn.STDEV.S(Y147:Y182)</f>
        <v>3.913013157233967</v>
      </c>
      <c r="AK182" s="20">
        <f>(Z182- AVERAGE(Z$41:Z182))/_xlfn.STDEV.S(Z147:Z182)</f>
        <v>1.1445122704274053</v>
      </c>
      <c r="AL182" s="20">
        <f>(AA182- AVERAGE(AA$41:AA182))/_xlfn.STDEV.S(AA147:AA182)</f>
        <v>2.9689198771869045</v>
      </c>
      <c r="AM182" s="20">
        <f>(AB182- AVERAGE(AB$41:AB182))/_xlfn.STDEV.S(AB147:AB182)</f>
        <v>1.8291879002914273</v>
      </c>
      <c r="AN182" s="20">
        <f>(AC182- AVERAGE(AC$41:AC182))/_xlfn.STDEV.S(AC147:AC182)</f>
        <v>-0.7413721369620927</v>
      </c>
      <c r="AO182" s="24">
        <f>(AD182- AVERAGE(AD$41:AD182))/_xlfn.STDEV.S(AD147:AD182)</f>
        <v>-1.2183541598776493</v>
      </c>
      <c r="AP182" s="20"/>
      <c r="AQ182" s="20">
        <f t="shared" si="52"/>
        <v>0.49589908096017982</v>
      </c>
      <c r="AR182" s="20">
        <f t="shared" si="53"/>
        <v>-1.2557185201943322</v>
      </c>
      <c r="AS182" s="20">
        <f t="shared" si="54"/>
        <v>-1.5671329175826716</v>
      </c>
      <c r="AT182" s="20">
        <f t="shared" si="55"/>
        <v>3.913013157233967</v>
      </c>
      <c r="AU182" s="20">
        <f t="shared" si="39"/>
        <v>1.1445122704274053</v>
      </c>
      <c r="AV182" s="20">
        <f t="shared" si="56"/>
        <v>2.9689198771869045</v>
      </c>
      <c r="AW182" s="20">
        <f t="shared" si="41"/>
        <v>1.8291879002914273</v>
      </c>
      <c r="AX182" s="20">
        <f t="shared" si="57"/>
        <v>-0.7413721369620927</v>
      </c>
      <c r="AY182" s="20">
        <f t="shared" si="58"/>
        <v>-1.2183541598776493</v>
      </c>
      <c r="AZ182" s="22">
        <f t="shared" si="44"/>
        <v>0.61877272794257099</v>
      </c>
      <c r="BA182" s="1">
        <f>+_xlfn.XLOOKUP(A182,[1]Indice!B:B,[1]Indice!AI:AI,"NOOOOOO",-1)</f>
        <v>0.44656242417060654</v>
      </c>
    </row>
    <row r="183" spans="1:53" x14ac:dyDescent="0.25">
      <c r="A183" s="2">
        <v>43465</v>
      </c>
      <c r="B183" s="15">
        <v>5336</v>
      </c>
      <c r="C183" s="19">
        <v>16.55744866754041</v>
      </c>
      <c r="D183" s="15">
        <v>3917</v>
      </c>
      <c r="E183" s="19">
        <v>453.41</v>
      </c>
      <c r="F183" s="18">
        <v>0.28067973798548773</v>
      </c>
      <c r="G183" s="1">
        <v>-7.2</v>
      </c>
      <c r="H183" s="1">
        <v>-4.7</v>
      </c>
      <c r="I183" s="16">
        <v>66.8</v>
      </c>
      <c r="J183" s="1">
        <v>498.726</v>
      </c>
      <c r="K183" s="1">
        <v>2.4966192470682991</v>
      </c>
      <c r="L183" s="1">
        <v>117.94199999999999</v>
      </c>
      <c r="M183" s="1">
        <v>29.488488521458443</v>
      </c>
      <c r="N183" s="1">
        <v>-0.29275799553998283</v>
      </c>
      <c r="O183" s="1">
        <v>441418</v>
      </c>
      <c r="P183" s="1">
        <v>3.9944588809860848</v>
      </c>
      <c r="Q183" s="1">
        <v>-22.35494880546074</v>
      </c>
      <c r="R183" s="1">
        <v>-6.3</v>
      </c>
      <c r="S183" s="1">
        <v>-8.3333333333333204E-2</v>
      </c>
      <c r="T183" s="3">
        <v>28.65</v>
      </c>
      <c r="V183" s="20">
        <f t="shared" si="46"/>
        <v>11.211016518303662</v>
      </c>
      <c r="W183" s="20">
        <f t="shared" si="47"/>
        <v>-6.2833333333333341</v>
      </c>
      <c r="X183" s="20">
        <f t="shared" si="47"/>
        <v>-4.6500000000000004</v>
      </c>
      <c r="Y183" s="20">
        <f t="shared" si="45"/>
        <v>46.891935483870967</v>
      </c>
      <c r="Z183" s="20">
        <f t="shared" si="48"/>
        <v>1.9356905206729429</v>
      </c>
      <c r="AA183" s="19">
        <f>+AVERAGE(M181:M183)*AVERAGE($F$15:F183)</f>
        <v>9.3503806379224148</v>
      </c>
      <c r="AB183" s="19">
        <f t="shared" si="49"/>
        <v>-0.20431307163837342</v>
      </c>
      <c r="AC183" s="19">
        <f t="shared" si="50"/>
        <v>-1.5614734945918476</v>
      </c>
      <c r="AD183" s="21">
        <f t="shared" si="51"/>
        <v>-22.710054851031732</v>
      </c>
      <c r="AE183" s="19"/>
      <c r="AG183" s="20">
        <f>(V183- AVERAGE(V$41:V183))/_xlfn.STDEV.S(V148:V183)</f>
        <v>1.5339004537365537</v>
      </c>
      <c r="AH183" s="20">
        <f>(W183- AVERAGE(W$41:W183))/_xlfn.STDEV.S(W148:W183)</f>
        <v>-1.297647441495988</v>
      </c>
      <c r="AI183" s="20">
        <f>(X183- AVERAGE(X$41:X183))/_xlfn.STDEV.S(X148:X183)</f>
        <v>-1.4215606519288371</v>
      </c>
      <c r="AJ183" s="20">
        <f>(Y183- AVERAGE(Y$41:Y183))/_xlfn.STDEV.S(Y148:Y183)</f>
        <v>3.7483809938559234</v>
      </c>
      <c r="AK183" s="20">
        <f>(Z183- AVERAGE(Z$41:Z183))/_xlfn.STDEV.S(Z148:Z183)</f>
        <v>1.0848794089526981</v>
      </c>
      <c r="AL183" s="20">
        <f>(AA183- AVERAGE(AA$41:AA183))/_xlfn.STDEV.S(AA148:AA183)</f>
        <v>2.332445436193102</v>
      </c>
      <c r="AM183" s="20">
        <f>(AB183- AVERAGE(AB$41:AB183))/_xlfn.STDEV.S(AB148:AB183)</f>
        <v>3.1545033201492592</v>
      </c>
      <c r="AN183" s="20">
        <f>(AC183- AVERAGE(AC$41:AC183))/_xlfn.STDEV.S(AC148:AC183)</f>
        <v>-0.35004568902177763</v>
      </c>
      <c r="AO183" s="24">
        <f>(AD183- AVERAGE(AD$41:AD183))/_xlfn.STDEV.S(AD148:AD183)</f>
        <v>-1.455733076803859</v>
      </c>
      <c r="AP183" s="20"/>
      <c r="AQ183" s="20">
        <f t="shared" si="52"/>
        <v>1.5339004537365537</v>
      </c>
      <c r="AR183" s="20">
        <f t="shared" si="53"/>
        <v>-1.297647441495988</v>
      </c>
      <c r="AS183" s="20">
        <f t="shared" si="54"/>
        <v>-1.4215606519288371</v>
      </c>
      <c r="AT183" s="20">
        <f t="shared" si="55"/>
        <v>3.7483809938559234</v>
      </c>
      <c r="AU183" s="20">
        <f t="shared" si="39"/>
        <v>1.0848794089526981</v>
      </c>
      <c r="AV183" s="20">
        <f t="shared" si="56"/>
        <v>2.332445436193102</v>
      </c>
      <c r="AW183" s="20">
        <f t="shared" si="41"/>
        <v>3.1545033201492592</v>
      </c>
      <c r="AX183" s="20">
        <f t="shared" si="57"/>
        <v>-0.35004568902177763</v>
      </c>
      <c r="AY183" s="20">
        <f t="shared" si="58"/>
        <v>-1.455733076803859</v>
      </c>
      <c r="AZ183" s="22">
        <f t="shared" si="44"/>
        <v>0.8143469726263417</v>
      </c>
      <c r="BA183" s="1">
        <f>+_xlfn.XLOOKUP(A183,[1]Indice!B:B,[1]Indice!AI:AI,"NOOOOOO",-1)</f>
        <v>0.41714231179701183</v>
      </c>
    </row>
    <row r="184" spans="1:53" x14ac:dyDescent="0.25">
      <c r="A184" s="2">
        <v>43496</v>
      </c>
      <c r="B184" s="15">
        <v>4585</v>
      </c>
      <c r="C184" s="19">
        <v>-4.6777546777546757</v>
      </c>
      <c r="D184" s="15">
        <v>4212</v>
      </c>
      <c r="E184" s="19">
        <v>453.41</v>
      </c>
      <c r="F184" s="18">
        <v>0.27680686354513573</v>
      </c>
      <c r="G184" s="1">
        <v>-5.7</v>
      </c>
      <c r="H184" s="1">
        <v>-5.6</v>
      </c>
      <c r="I184" s="16">
        <v>67.3</v>
      </c>
      <c r="J184" s="1">
        <v>500.85599999999999</v>
      </c>
      <c r="K184" s="1">
        <v>4.160765645764064</v>
      </c>
      <c r="L184" s="1">
        <v>116.62</v>
      </c>
      <c r="M184" s="1">
        <v>20.137629800560418</v>
      </c>
      <c r="N184" s="1">
        <v>-0.40947275514136017</v>
      </c>
      <c r="O184" s="1">
        <v>445944</v>
      </c>
      <c r="P184" s="1">
        <v>6.593619355625191</v>
      </c>
      <c r="Q184" s="1">
        <v>-34.77326830401207</v>
      </c>
      <c r="R184" s="1">
        <v>-6.3</v>
      </c>
      <c r="S184" s="1">
        <v>-0.18666666666666651</v>
      </c>
      <c r="T184" s="3">
        <v>28.5</v>
      </c>
      <c r="V184" s="20">
        <f t="shared" si="46"/>
        <v>9.0166017955098425</v>
      </c>
      <c r="W184" s="20">
        <f t="shared" si="47"/>
        <v>-6.6133333333333333</v>
      </c>
      <c r="X184" s="20">
        <f t="shared" si="47"/>
        <v>-5.1133333333333333</v>
      </c>
      <c r="Y184" s="20">
        <f t="shared" si="45"/>
        <v>46.191145833333337</v>
      </c>
      <c r="Z184" s="20">
        <f t="shared" si="48"/>
        <v>2.7070791970401262</v>
      </c>
      <c r="AA184" s="19">
        <f>+AVERAGE(M182:M184)*AVERAGE($F$15:F184)</f>
        <v>8.0477899776176667</v>
      </c>
      <c r="AB184" s="19">
        <f t="shared" si="49"/>
        <v>-0.3005580144531006</v>
      </c>
      <c r="AC184" s="19">
        <f t="shared" si="50"/>
        <v>2.7541997848622475</v>
      </c>
      <c r="AD184" s="21">
        <f t="shared" si="51"/>
        <v>-25.815051505724909</v>
      </c>
      <c r="AE184" s="19"/>
      <c r="AG184" s="20">
        <f>(V184- AVERAGE(V$41:V184))/_xlfn.STDEV.S(V149:V184)</f>
        <v>1.3172671800439435</v>
      </c>
      <c r="AH184" s="20">
        <f>(W184- AVERAGE(W$41:W184))/_xlfn.STDEV.S(W149:W184)</f>
        <v>-1.3340312956999036</v>
      </c>
      <c r="AI184" s="20">
        <f>(X184- AVERAGE(X$41:X184))/_xlfn.STDEV.S(X149:X184)</f>
        <v>-1.4973074001164106</v>
      </c>
      <c r="AJ184" s="20">
        <f>(Y184- AVERAGE(Y$41:Y184))/_xlfn.STDEV.S(Y149:Y184)</f>
        <v>3.4145996229519708</v>
      </c>
      <c r="AK184" s="20">
        <f>(Z184- AVERAGE(Z$41:Z184))/_xlfn.STDEV.S(Z149:Z184)</f>
        <v>1.2428172623435909</v>
      </c>
      <c r="AL184" s="20">
        <f>(AA184- AVERAGE(AA$41:AA184))/_xlfn.STDEV.S(AA149:AA184)</f>
        <v>2.0087965198696205</v>
      </c>
      <c r="AM184" s="20">
        <f>(AB184- AVERAGE(AB$41:AB184))/_xlfn.STDEV.S(AB149:AB184)</f>
        <v>8.3154642233258773</v>
      </c>
      <c r="AN184" s="20">
        <f>(AC184- AVERAGE(AC$41:AC184))/_xlfn.STDEV.S(AC149:AC184)</f>
        <v>-1.9545520142449157E-2</v>
      </c>
      <c r="AO184" s="24">
        <f>(AD184- AVERAGE(AD$41:AD184))/_xlfn.STDEV.S(AD149:AD184)</f>
        <v>-1.5397405531070487</v>
      </c>
      <c r="AP184" s="20"/>
      <c r="AQ184" s="20">
        <f t="shared" si="52"/>
        <v>1.3172671800439435</v>
      </c>
      <c r="AR184" s="20">
        <f t="shared" si="53"/>
        <v>-1.3340312956999036</v>
      </c>
      <c r="AS184" s="20">
        <f t="shared" si="54"/>
        <v>-1.4973074001164106</v>
      </c>
      <c r="AT184" s="20">
        <f t="shared" si="55"/>
        <v>3.4145996229519708</v>
      </c>
      <c r="AU184" s="20">
        <f t="shared" si="39"/>
        <v>1.2428172623435909</v>
      </c>
      <c r="AV184" s="20">
        <f t="shared" si="56"/>
        <v>2.0087965198696205</v>
      </c>
      <c r="AW184" s="20">
        <f t="shared" si="41"/>
        <v>5.162441615418734</v>
      </c>
      <c r="AX184" s="20">
        <f t="shared" si="57"/>
        <v>-1.9545520142449157E-2</v>
      </c>
      <c r="AY184" s="20">
        <f t="shared" si="58"/>
        <v>-1.5397405531070487</v>
      </c>
      <c r="AZ184" s="22">
        <f t="shared" si="44"/>
        <v>0.97281082572911637</v>
      </c>
      <c r="BA184" s="1">
        <f>+_xlfn.XLOOKUP(A184,[1]Indice!B:B,[1]Indice!AI:AI,"NOOOOOO",-1)</f>
        <v>0.40873555275620371</v>
      </c>
    </row>
    <row r="185" spans="1:53" x14ac:dyDescent="0.25">
      <c r="A185" s="2">
        <v>43524</v>
      </c>
      <c r="B185" s="15">
        <v>4448</v>
      </c>
      <c r="C185" s="19">
        <v>3.3457249070631967</v>
      </c>
      <c r="D185" s="15">
        <v>3998</v>
      </c>
      <c r="E185" s="19">
        <v>453.41</v>
      </c>
      <c r="F185" s="18">
        <v>0.27448225667717957</v>
      </c>
      <c r="G185" s="1">
        <v>-4.7</v>
      </c>
      <c r="H185" s="1">
        <v>-4</v>
      </c>
      <c r="I185" s="16">
        <v>63.6</v>
      </c>
      <c r="J185" s="1">
        <v>484.34899999999999</v>
      </c>
      <c r="K185" s="1">
        <v>0.31896671354509909</v>
      </c>
      <c r="L185" s="1">
        <v>117.53100000000001</v>
      </c>
      <c r="M185" s="1">
        <v>21.745841015972989</v>
      </c>
      <c r="N185" s="1">
        <v>-0.3206309285302078</v>
      </c>
      <c r="O185" s="1">
        <v>445865</v>
      </c>
      <c r="P185" s="1">
        <v>5.2814889326513903</v>
      </c>
      <c r="Q185" s="1">
        <v>7.0430733410942858</v>
      </c>
      <c r="R185" s="1">
        <v>-6.3</v>
      </c>
      <c r="S185" s="1">
        <v>-0.28999999999999981</v>
      </c>
      <c r="T185" s="3">
        <v>29</v>
      </c>
      <c r="V185" s="20">
        <f t="shared" si="46"/>
        <v>5.3651396322829772</v>
      </c>
      <c r="W185" s="20">
        <f t="shared" si="47"/>
        <v>-5.5766666666666671</v>
      </c>
      <c r="X185" s="20">
        <f t="shared" si="47"/>
        <v>-4.4766666666666666</v>
      </c>
      <c r="Y185" s="20">
        <f t="shared" si="45"/>
        <v>44.422727272727272</v>
      </c>
      <c r="Z185" s="20">
        <f t="shared" si="48"/>
        <v>2.3254505354591539</v>
      </c>
      <c r="AA185" s="19">
        <f>+AVERAGE(M183:M185)*AVERAGE($F$15:F185)</f>
        <v>6.4250970311435829</v>
      </c>
      <c r="AB185" s="19">
        <f t="shared" si="49"/>
        <v>-0.34095389307051693</v>
      </c>
      <c r="AC185" s="19">
        <f t="shared" si="50"/>
        <v>5.2898557230875554</v>
      </c>
      <c r="AD185" s="21">
        <f t="shared" si="51"/>
        <v>-16.695047922792842</v>
      </c>
      <c r="AE185" s="19"/>
      <c r="AG185" s="20">
        <f>(V185- AVERAGE(V$41:V185))/_xlfn.STDEV.S(V150:V185)</f>
        <v>0.77714891424047039</v>
      </c>
      <c r="AH185" s="20">
        <f>(W185- AVERAGE(W$41:W185))/_xlfn.STDEV.S(W150:W185)</f>
        <v>-1.0150063750900873</v>
      </c>
      <c r="AI185" s="20">
        <f>(X185- AVERAGE(X$41:X185))/_xlfn.STDEV.S(X150:X185)</f>
        <v>-1.2623584802586232</v>
      </c>
      <c r="AJ185" s="20">
        <f>(Y185- AVERAGE(Y$41:Y185))/_xlfn.STDEV.S(Y150:Y185)</f>
        <v>3.0888285930301853</v>
      </c>
      <c r="AK185" s="20">
        <f>(Z185- AVERAGE(Z$41:Z185))/_xlfn.STDEV.S(Z150:Z185)</f>
        <v>1.1184291501887764</v>
      </c>
      <c r="AL185" s="20">
        <f>(AA185- AVERAGE(AA$41:AA185))/_xlfn.STDEV.S(AA150:AA185)</f>
        <v>1.6175166684922593</v>
      </c>
      <c r="AM185" s="20">
        <f>(AB185- AVERAGE(AB$41:AB185))/_xlfn.STDEV.S(AB150:AB185)</f>
        <v>47.927641925798241</v>
      </c>
      <c r="AN185" s="20">
        <f>(AC185- AVERAGE(AC$41:AC185))/_xlfn.STDEV.S(AC150:AC185)</f>
        <v>0.19907019264808179</v>
      </c>
      <c r="AO185" s="24">
        <f>(AD185- AVERAGE(AD$41:AD185))/_xlfn.STDEV.S(AD150:AD185)</f>
        <v>-1.2049251914487067</v>
      </c>
      <c r="AP185" s="20"/>
      <c r="AQ185" s="20">
        <f t="shared" si="52"/>
        <v>0.77714891424047039</v>
      </c>
      <c r="AR185" s="20">
        <f t="shared" si="53"/>
        <v>-1.0150063750900873</v>
      </c>
      <c r="AS185" s="20">
        <f t="shared" si="54"/>
        <v>-1.2623584802586232</v>
      </c>
      <c r="AT185" s="20">
        <f t="shared" si="55"/>
        <v>3.0888285930301853</v>
      </c>
      <c r="AU185" s="20">
        <f t="shared" si="39"/>
        <v>1.1184291501887764</v>
      </c>
      <c r="AV185" s="20">
        <f t="shared" si="56"/>
        <v>1.6175166684922593</v>
      </c>
      <c r="AW185" s="20">
        <f t="shared" si="41"/>
        <v>5.162441615418734</v>
      </c>
      <c r="AX185" s="20">
        <f t="shared" si="57"/>
        <v>0.19907019264808179</v>
      </c>
      <c r="AY185" s="20">
        <f t="shared" si="58"/>
        <v>-1.2049251914487067</v>
      </c>
      <c r="AZ185" s="22">
        <f t="shared" si="44"/>
        <v>0.94234945413567672</v>
      </c>
      <c r="BA185" s="1">
        <f>+_xlfn.XLOOKUP(A185,[1]Indice!B:B,[1]Indice!AI:AI,"NOOOOOO",-1)</f>
        <v>0.3968430875495319</v>
      </c>
    </row>
    <row r="186" spans="1:53" x14ac:dyDescent="0.25">
      <c r="A186" s="2">
        <v>43555</v>
      </c>
      <c r="B186" s="15">
        <v>5137</v>
      </c>
      <c r="C186" s="19">
        <v>-5.1689126822964777</v>
      </c>
      <c r="D186" s="15">
        <v>3956</v>
      </c>
      <c r="E186" s="19">
        <v>449.24</v>
      </c>
      <c r="F186" s="18">
        <v>0.2719036595138456</v>
      </c>
      <c r="G186" s="1">
        <v>-7</v>
      </c>
      <c r="H186" s="1">
        <v>-3.9</v>
      </c>
      <c r="I186" s="16">
        <v>67.5</v>
      </c>
      <c r="J186" s="1">
        <v>502.53100000000001</v>
      </c>
      <c r="K186" s="1">
        <v>3.1205111999409008</v>
      </c>
      <c r="L186" s="1">
        <v>122.806</v>
      </c>
      <c r="M186" s="1">
        <v>30.92324093816632</v>
      </c>
      <c r="N186" s="1">
        <v>-0.63088380222502405</v>
      </c>
      <c r="O186" s="1">
        <v>449521</v>
      </c>
      <c r="P186" s="1">
        <v>5.6870867933755287</v>
      </c>
      <c r="Q186" s="1">
        <v>0.67733681200139451</v>
      </c>
      <c r="R186" s="1">
        <v>-5.9</v>
      </c>
      <c r="S186" s="1">
        <v>-0.37333333333333318</v>
      </c>
      <c r="T186" s="3">
        <v>30.7</v>
      </c>
      <c r="V186" s="20">
        <f t="shared" si="46"/>
        <v>-1.7936474843293193</v>
      </c>
      <c r="W186" s="20">
        <f t="shared" si="47"/>
        <v>-5.4266666666666667</v>
      </c>
      <c r="X186" s="20">
        <f t="shared" si="47"/>
        <v>-4.1266666666666669</v>
      </c>
      <c r="Y186" s="20">
        <f t="shared" si="45"/>
        <v>44.384803921568633</v>
      </c>
      <c r="Z186" s="20">
        <f t="shared" si="48"/>
        <v>2.5334145197500213</v>
      </c>
      <c r="AA186" s="19">
        <f>+AVERAGE(M184:M186)*AVERAGE($F$15:F186)</f>
        <v>6.5545163195702019</v>
      </c>
      <c r="AB186" s="19">
        <f t="shared" si="49"/>
        <v>-0.45366249529886399</v>
      </c>
      <c r="AC186" s="19">
        <f t="shared" si="50"/>
        <v>5.85406502721737</v>
      </c>
      <c r="AD186" s="21">
        <f t="shared" si="51"/>
        <v>-9.017619383638797</v>
      </c>
      <c r="AE186" s="19"/>
      <c r="AG186" s="20">
        <f>(V186- AVERAGE(V$41:V186))/_xlfn.STDEV.S(V151:V186)</f>
        <v>-0.34017180086107224</v>
      </c>
      <c r="AH186" s="20">
        <f>(W186- AVERAGE(W$41:W186))/_xlfn.STDEV.S(W151:W186)</f>
        <v>-0.94972638331799564</v>
      </c>
      <c r="AI186" s="20">
        <f>(X186- AVERAGE(X$41:X186))/_xlfn.STDEV.S(X151:X186)</f>
        <v>-1.1513883373383116</v>
      </c>
      <c r="AJ186" s="20">
        <f>(Y186- AVERAGE(Y$41:Y186))/_xlfn.STDEV.S(Y151:Y186)</f>
        <v>2.929068406849511</v>
      </c>
      <c r="AK186" s="20">
        <f>(Z186- AVERAGE(Z$41:Z186))/_xlfn.STDEV.S(Z151:Z186)</f>
        <v>1.1375486187092811</v>
      </c>
      <c r="AL186" s="20">
        <f>(AA186- AVERAGE(AA$41:AA186))/_xlfn.STDEV.S(AA151:AA186)</f>
        <v>1.6260386273203087</v>
      </c>
      <c r="AM186" s="20">
        <f>(AB186- AVERAGE(AB$41:AB186))/_xlfn.STDEV.S(AB151:AB186)</f>
        <v>73.204059187681835</v>
      </c>
      <c r="AN186" s="20">
        <f>(AC186- AVERAGE(AC$41:AC186))/_xlfn.STDEV.S(AC151:AC186)</f>
        <v>0.25667545366972133</v>
      </c>
      <c r="AO186" s="24">
        <f>(AD186- AVERAGE(AD$41:AD186))/_xlfn.STDEV.S(AD151:AD186)</f>
        <v>-0.93742219483842226</v>
      </c>
      <c r="AP186" s="20"/>
      <c r="AQ186" s="20">
        <f t="shared" si="52"/>
        <v>-0.34017180086107224</v>
      </c>
      <c r="AR186" s="20">
        <f t="shared" si="53"/>
        <v>-0.94972638331799564</v>
      </c>
      <c r="AS186" s="20">
        <f t="shared" si="54"/>
        <v>-1.1513883373383116</v>
      </c>
      <c r="AT186" s="20">
        <f t="shared" si="55"/>
        <v>2.929068406849511</v>
      </c>
      <c r="AU186" s="20">
        <f t="shared" si="39"/>
        <v>1.1375486187092811</v>
      </c>
      <c r="AV186" s="20">
        <f t="shared" si="56"/>
        <v>1.6260386273203087</v>
      </c>
      <c r="AW186" s="20">
        <f t="shared" si="41"/>
        <v>5.162441615418734</v>
      </c>
      <c r="AX186" s="20">
        <f t="shared" si="57"/>
        <v>0.25667545366972133</v>
      </c>
      <c r="AY186" s="20">
        <f t="shared" si="58"/>
        <v>-0.93742219483842226</v>
      </c>
      <c r="AZ186" s="22">
        <f t="shared" si="44"/>
        <v>0.85922933395686174</v>
      </c>
      <c r="BA186" s="1">
        <f>+_xlfn.XLOOKUP(A186,[1]Indice!B:B,[1]Indice!AI:AI,"NOOOOOO",-1)</f>
        <v>0.42655027373226856</v>
      </c>
    </row>
    <row r="187" spans="1:53" x14ac:dyDescent="0.25">
      <c r="A187" s="2">
        <v>43585</v>
      </c>
      <c r="B187" s="15">
        <v>5337</v>
      </c>
      <c r="C187" s="19">
        <v>2.319785276073616</v>
      </c>
      <c r="D187" s="15">
        <v>4172</v>
      </c>
      <c r="E187" s="19">
        <v>449.24</v>
      </c>
      <c r="F187" s="18">
        <v>0.2678679547680527</v>
      </c>
      <c r="G187" s="1">
        <v>-1.1000000000000001</v>
      </c>
      <c r="H187" s="1">
        <v>-0.9</v>
      </c>
      <c r="I187" s="16">
        <v>68</v>
      </c>
      <c r="J187" s="1">
        <v>507.70299999999997</v>
      </c>
      <c r="K187" s="1">
        <v>4.339400067408139</v>
      </c>
      <c r="L187" s="1">
        <v>120.67100000000001</v>
      </c>
      <c r="M187" s="1">
        <v>31.963080826307099</v>
      </c>
      <c r="N187" s="1">
        <v>-0.7269233868847369</v>
      </c>
      <c r="O187" s="1">
        <v>470567</v>
      </c>
      <c r="P187" s="1">
        <v>7.9393515385762337</v>
      </c>
      <c r="Q187" s="1">
        <v>8.9269697398857595</v>
      </c>
      <c r="R187" s="1">
        <v>-5.9</v>
      </c>
      <c r="S187" s="1">
        <v>-0.4566666666666665</v>
      </c>
      <c r="T187" s="3">
        <v>31.4</v>
      </c>
      <c r="V187" s="20">
        <f t="shared" si="46"/>
        <v>0.62219916694677813</v>
      </c>
      <c r="W187" s="20">
        <f t="shared" si="47"/>
        <v>-3.81</v>
      </c>
      <c r="X187" s="20">
        <f t="shared" si="47"/>
        <v>-2.476666666666667</v>
      </c>
      <c r="Y187" s="20">
        <f t="shared" si="45"/>
        <v>44.34238095238095</v>
      </c>
      <c r="Z187" s="20">
        <f t="shared" si="48"/>
        <v>2.5929593269647131</v>
      </c>
      <c r="AA187" s="19">
        <f>+AVERAGE(M185:M187)*AVERAGE($F$15:F187)</f>
        <v>7.6187569895806995</v>
      </c>
      <c r="AB187" s="19">
        <f t="shared" si="49"/>
        <v>-0.55947937254665625</v>
      </c>
      <c r="AC187" s="19">
        <f t="shared" si="50"/>
        <v>6.3026424215343839</v>
      </c>
      <c r="AD187" s="21">
        <f t="shared" si="51"/>
        <v>5.5491266309938139</v>
      </c>
      <c r="AE187" s="19"/>
      <c r="AG187" s="20">
        <f>(V187- AVERAGE(V$41:V187))/_xlfn.STDEV.S(V152:V187)</f>
        <v>3.5557561663428515E-2</v>
      </c>
      <c r="AH187" s="20">
        <f>(W187- AVERAGE(W$41:W187))/_xlfn.STDEV.S(W152:W187)</f>
        <v>-0.50970992418697569</v>
      </c>
      <c r="AI187" s="20">
        <f>(X187- AVERAGE(X$41:X187))/_xlfn.STDEV.S(X152:X187)</f>
        <v>-0.64043510606909171</v>
      </c>
      <c r="AJ187" s="20">
        <f>(Y187- AVERAGE(Y$41:Y187))/_xlfn.STDEV.S(Y152:Y187)</f>
        <v>2.7980222870434019</v>
      </c>
      <c r="AK187" s="20">
        <f>(Z187- AVERAGE(Z$41:Z187))/_xlfn.STDEV.S(Z152:Z187)</f>
        <v>1.1220021938487255</v>
      </c>
      <c r="AL187" s="20">
        <f>(AA187- AVERAGE(AA$41:AA187))/_xlfn.STDEV.S(AA152:AA187)</f>
        <v>1.8325478922568359</v>
      </c>
      <c r="AM187" s="20">
        <f>(AB187- AVERAGE(AB$41:AB187))/_xlfn.STDEV.S(AB152:AB187)</f>
        <v>72.569436947824656</v>
      </c>
      <c r="AN187" s="20">
        <f>(AC187- AVERAGE(AC$41:AC187))/_xlfn.STDEV.S(AC152:AC187)</f>
        <v>0.30282544162196162</v>
      </c>
      <c r="AO187" s="24">
        <f>(AD187- AVERAGE(AD$41:AD187))/_xlfn.STDEV.S(AD152:AD187)</f>
        <v>-0.40625562395876053</v>
      </c>
      <c r="AP187" s="20"/>
      <c r="AQ187" s="20">
        <f t="shared" si="52"/>
        <v>3.5557561663428515E-2</v>
      </c>
      <c r="AR187" s="20">
        <f t="shared" si="53"/>
        <v>-0.50970992418697569</v>
      </c>
      <c r="AS187" s="20">
        <f t="shared" si="54"/>
        <v>-0.64043510606909171</v>
      </c>
      <c r="AT187" s="20">
        <f t="shared" si="55"/>
        <v>2.7980222870434019</v>
      </c>
      <c r="AU187" s="20">
        <f t="shared" si="39"/>
        <v>1.1220021938487255</v>
      </c>
      <c r="AV187" s="20">
        <f t="shared" si="56"/>
        <v>1.8325478922568359</v>
      </c>
      <c r="AW187" s="20">
        <f t="shared" si="41"/>
        <v>5.162441615418734</v>
      </c>
      <c r="AX187" s="20">
        <f t="shared" si="57"/>
        <v>0.30282544162196162</v>
      </c>
      <c r="AY187" s="20">
        <f t="shared" si="58"/>
        <v>-0.40625562395876053</v>
      </c>
      <c r="AZ187" s="22">
        <f t="shared" si="44"/>
        <v>1.0774440375153622</v>
      </c>
      <c r="BA187" s="1">
        <f>+_xlfn.XLOOKUP(A187,[1]Indice!B:B,[1]Indice!AI:AI,"NOOOOOO",-1)</f>
        <v>0.44496674943234665</v>
      </c>
    </row>
    <row r="188" spans="1:53" x14ac:dyDescent="0.25">
      <c r="A188" s="2">
        <v>43616</v>
      </c>
      <c r="B188" s="15">
        <v>6044</v>
      </c>
      <c r="C188" s="19">
        <v>17.063722641874879</v>
      </c>
      <c r="D188" s="15">
        <v>4645</v>
      </c>
      <c r="E188" s="19">
        <v>449.24</v>
      </c>
      <c r="F188" s="18">
        <v>0.26581559967945861</v>
      </c>
      <c r="G188" s="1">
        <v>2.9</v>
      </c>
      <c r="H188" s="1">
        <v>2.1</v>
      </c>
      <c r="I188" s="16">
        <v>70.599999999999994</v>
      </c>
      <c r="J188" s="1">
        <v>506.096</v>
      </c>
      <c r="K188" s="1">
        <v>4.3161374897970894</v>
      </c>
      <c r="L188" s="1">
        <v>118.07299999999999</v>
      </c>
      <c r="M188" s="1">
        <v>12.220690966116997</v>
      </c>
      <c r="N188" s="1">
        <v>-0.56060547993095344</v>
      </c>
      <c r="O188" s="1">
        <v>483264</v>
      </c>
      <c r="P188" s="1">
        <v>11.21994329270537</v>
      </c>
      <c r="Q188" s="1">
        <v>-10.823258491652277</v>
      </c>
      <c r="R188" s="1">
        <v>-5.9</v>
      </c>
      <c r="S188" s="1">
        <v>-0.5399999999999997</v>
      </c>
      <c r="T188" s="3">
        <v>31</v>
      </c>
      <c r="V188" s="20">
        <f t="shared" si="46"/>
        <v>5.2781984118840057</v>
      </c>
      <c r="W188" s="20">
        <f t="shared" si="47"/>
        <v>-1.1933333333333334</v>
      </c>
      <c r="X188" s="20">
        <f t="shared" si="47"/>
        <v>-0.36000000000000021</v>
      </c>
      <c r="Y188" s="20">
        <f t="shared" si="45"/>
        <v>46.426388888888894</v>
      </c>
      <c r="Z188" s="20">
        <f t="shared" si="48"/>
        <v>3.925349585715376</v>
      </c>
      <c r="AA188" s="19">
        <f>+AVERAGE(M186:M188)*AVERAGE($F$15:F188)</f>
        <v>6.7606723199414365</v>
      </c>
      <c r="AB188" s="19">
        <f t="shared" si="49"/>
        <v>-0.63947088968023813</v>
      </c>
      <c r="AC188" s="19">
        <f t="shared" si="50"/>
        <v>8.2821272082190447</v>
      </c>
      <c r="AD188" s="21">
        <f t="shared" si="51"/>
        <v>-0.40631731325504106</v>
      </c>
      <c r="AE188" s="19"/>
      <c r="AG188" s="20">
        <f>(V188- AVERAGE(V$41:V188))/_xlfn.STDEV.S(V153:V188)</f>
        <v>0.76541044023268801</v>
      </c>
      <c r="AH188" s="20">
        <f>(W188- AVERAGE(W$41:W188))/_xlfn.STDEV.S(W153:W188)</f>
        <v>0.18636596413187181</v>
      </c>
      <c r="AI188" s="20">
        <f>(X188- AVERAGE(X$41:X188))/_xlfn.STDEV.S(X153:X188)</f>
        <v>2.2619408392508363E-2</v>
      </c>
      <c r="AJ188" s="20">
        <f>(Y188- AVERAGE(Y$41:Y188))/_xlfn.STDEV.S(Y153:Y188)</f>
        <v>2.8000858804661539</v>
      </c>
      <c r="AK188" s="20">
        <f>(Z188- AVERAGE(Z$41:Z188))/_xlfn.STDEV.S(Z153:Z188)</f>
        <v>1.3862281082800609</v>
      </c>
      <c r="AL188" s="20">
        <f>(AA188- AVERAGE(AA$41:AA188))/_xlfn.STDEV.S(AA153:AA188)</f>
        <v>1.6189560914802561</v>
      </c>
      <c r="AM188" s="20">
        <f>(AB188- AVERAGE(AB$41:AB188))/_xlfn.STDEV.S(AB153:AB188)</f>
        <v>75.178808665289864</v>
      </c>
      <c r="AN188" s="20">
        <f>(AC188- AVERAGE(AC$41:AC188))/_xlfn.STDEV.S(AC153:AC188)</f>
        <v>0.49130850380850544</v>
      </c>
      <c r="AO188" s="24">
        <f>(AD188- AVERAGE(AD$41:AD188))/_xlfn.STDEV.S(AD153:AD188)</f>
        <v>-0.64140673250360281</v>
      </c>
      <c r="AP188" s="20"/>
      <c r="AQ188" s="20">
        <f t="shared" si="52"/>
        <v>0.76541044023268801</v>
      </c>
      <c r="AR188" s="20">
        <f t="shared" si="53"/>
        <v>0.18636596413187181</v>
      </c>
      <c r="AS188" s="20">
        <f t="shared" si="54"/>
        <v>2.2619408392508363E-2</v>
      </c>
      <c r="AT188" s="20">
        <f t="shared" si="55"/>
        <v>2.8000858804661539</v>
      </c>
      <c r="AU188" s="20">
        <f t="shared" si="39"/>
        <v>1.3862281082800609</v>
      </c>
      <c r="AV188" s="20">
        <f t="shared" si="56"/>
        <v>1.6189560914802561</v>
      </c>
      <c r="AW188" s="20">
        <f t="shared" si="41"/>
        <v>5.162441615418734</v>
      </c>
      <c r="AX188" s="20">
        <f t="shared" si="57"/>
        <v>0.49130850380850544</v>
      </c>
      <c r="AY188" s="20">
        <f t="shared" si="58"/>
        <v>-0.64140673250360281</v>
      </c>
      <c r="AZ188" s="22">
        <f t="shared" si="44"/>
        <v>1.3102232533007974</v>
      </c>
      <c r="BA188" s="1">
        <f>+_xlfn.XLOOKUP(A188,[1]Indice!B:B,[1]Indice!AI:AI,"NOOOOOO",-1)</f>
        <v>0.44490245196858619</v>
      </c>
    </row>
    <row r="189" spans="1:53" x14ac:dyDescent="0.25">
      <c r="A189" s="2">
        <v>43646</v>
      </c>
      <c r="B189" s="15">
        <v>5239</v>
      </c>
      <c r="C189" s="19">
        <v>2.0650691603350868</v>
      </c>
      <c r="D189" s="15">
        <v>4171</v>
      </c>
      <c r="E189" s="19">
        <v>483.7</v>
      </c>
      <c r="F189" s="18">
        <v>0.24443043208600373</v>
      </c>
      <c r="G189" s="1">
        <v>-0.2</v>
      </c>
      <c r="H189" s="1">
        <v>2.2000000000000002</v>
      </c>
      <c r="I189" s="16">
        <v>63.6</v>
      </c>
      <c r="J189" s="1">
        <v>498.10700000000003</v>
      </c>
      <c r="K189" s="1">
        <v>2.7524733684844538</v>
      </c>
      <c r="L189" s="1">
        <v>111.08799999999999</v>
      </c>
      <c r="M189" s="1">
        <v>-4.0251583194380931</v>
      </c>
      <c r="N189" s="1">
        <v>-0.26496451509079311</v>
      </c>
      <c r="O189" s="1">
        <v>468491</v>
      </c>
      <c r="P189" s="1">
        <v>12.1111034002503</v>
      </c>
      <c r="Q189" s="1">
        <v>30.083813826309225</v>
      </c>
      <c r="R189" s="1">
        <v>0.6</v>
      </c>
      <c r="S189" s="1">
        <v>-0.49666666666666648</v>
      </c>
      <c r="T189" s="3">
        <v>30.02</v>
      </c>
      <c r="V189" s="20">
        <f t="shared" si="46"/>
        <v>7.6461923594278609</v>
      </c>
      <c r="W189" s="20">
        <f t="shared" si="47"/>
        <v>1.0299999999999998</v>
      </c>
      <c r="X189" s="20">
        <f t="shared" si="47"/>
        <v>1.63</v>
      </c>
      <c r="Y189" s="20">
        <f t="shared" si="45"/>
        <v>44.917027027027018</v>
      </c>
      <c r="Z189" s="20">
        <f t="shared" si="48"/>
        <v>3.8026703085632274</v>
      </c>
      <c r="AA189" s="19">
        <f>+AVERAGE(M187:M189)*AVERAGE($F$15:F189)</f>
        <v>3.6128728492700279</v>
      </c>
      <c r="AB189" s="19">
        <f t="shared" si="49"/>
        <v>-0.51749779396882778</v>
      </c>
      <c r="AC189" s="19">
        <f t="shared" si="50"/>
        <v>10.4234660771773</v>
      </c>
      <c r="AD189" s="21">
        <f t="shared" si="51"/>
        <v>9.3958416915142351</v>
      </c>
      <c r="AE189" s="19"/>
      <c r="AG189" s="20">
        <f>(V189- AVERAGE(V$41:V189))/_xlfn.STDEV.S(V154:V189)</f>
        <v>1.1678435520913104</v>
      </c>
      <c r="AH189" s="20">
        <f>(W189- AVERAGE(W$41:W189))/_xlfn.STDEV.S(W154:W189)</f>
        <v>0.78199195330170523</v>
      </c>
      <c r="AI189" s="20">
        <f>(X189- AVERAGE(X$41:X189))/_xlfn.STDEV.S(X154:X189)</f>
        <v>0.64565643457480448</v>
      </c>
      <c r="AJ189" s="20">
        <f>(Y189- AVERAGE(Y$41:Y189))/_xlfn.STDEV.S(Y154:Y189)</f>
        <v>2.5896332844670398</v>
      </c>
      <c r="AK189" s="20">
        <f>(Z189- AVERAGE(Z$41:Z189))/_xlfn.STDEV.S(Z154:Z189)</f>
        <v>1.3270451446920595</v>
      </c>
      <c r="AL189" s="20">
        <f>(AA189- AVERAGE(AA$41:AA189))/_xlfn.STDEV.S(AA154:AA189)</f>
        <v>0.92120749385173284</v>
      </c>
      <c r="AM189" s="20">
        <f>(AB189- AVERAGE(AB$41:AB189))/_xlfn.STDEV.S(AB154:AB189)</f>
        <v>76.480655742062197</v>
      </c>
      <c r="AN189" s="20">
        <f>(AC189- AVERAGE(AC$41:AC189))/_xlfn.STDEV.S(AC154:AC189)</f>
        <v>0.69560269326277935</v>
      </c>
      <c r="AO189" s="24">
        <f>(AD189- AVERAGE(AD$41:AD189))/_xlfn.STDEV.S(AD154:AD189)</f>
        <v>-0.26802553370814491</v>
      </c>
      <c r="AP189" s="20"/>
      <c r="AQ189" s="20">
        <f t="shared" si="52"/>
        <v>1.1678435520913104</v>
      </c>
      <c r="AR189" s="20">
        <f t="shared" si="53"/>
        <v>0.78199195330170523</v>
      </c>
      <c r="AS189" s="20">
        <f t="shared" si="54"/>
        <v>0.64565643457480448</v>
      </c>
      <c r="AT189" s="20">
        <f t="shared" si="55"/>
        <v>2.5896332844670398</v>
      </c>
      <c r="AU189" s="20">
        <f t="shared" si="39"/>
        <v>1.3270451446920595</v>
      </c>
      <c r="AV189" s="20">
        <f t="shared" si="56"/>
        <v>0.92120749385173284</v>
      </c>
      <c r="AW189" s="20">
        <f t="shared" si="41"/>
        <v>5.162441615418734</v>
      </c>
      <c r="AX189" s="20">
        <f t="shared" si="57"/>
        <v>0.69560269326277935</v>
      </c>
      <c r="AY189" s="20">
        <f t="shared" si="58"/>
        <v>-0.26802553370814491</v>
      </c>
      <c r="AZ189" s="22">
        <f t="shared" si="44"/>
        <v>1.4470440708835577</v>
      </c>
      <c r="BA189" s="1">
        <f>+_xlfn.XLOOKUP(A189,[1]Indice!B:B,[1]Indice!AI:AI,"NOOOOOO",-1)</f>
        <v>0.42552760297042369</v>
      </c>
    </row>
    <row r="190" spans="1:53" x14ac:dyDescent="0.25">
      <c r="A190" s="2">
        <v>43677</v>
      </c>
      <c r="B190" s="15">
        <v>5856</v>
      </c>
      <c r="C190" s="19">
        <v>8.1440443213296465</v>
      </c>
      <c r="D190" s="15">
        <v>4905</v>
      </c>
      <c r="E190" s="19">
        <v>483.7</v>
      </c>
      <c r="F190" s="18">
        <v>0.24270208807111845</v>
      </c>
      <c r="G190" s="1">
        <v>0.6</v>
      </c>
      <c r="H190" s="1">
        <v>1.1000000000000001</v>
      </c>
      <c r="I190" s="16">
        <v>57.3</v>
      </c>
      <c r="J190" s="1">
        <v>505.19099999999997</v>
      </c>
      <c r="K190" s="1">
        <v>4.4886233192482194</v>
      </c>
      <c r="L190" s="1">
        <v>112.587</v>
      </c>
      <c r="M190" s="1">
        <v>4.1777703753053563</v>
      </c>
      <c r="N190" s="1">
        <v>-0.40617606735797729</v>
      </c>
      <c r="O190" s="1">
        <v>436545</v>
      </c>
      <c r="P190" s="1">
        <v>6.8026129079610476</v>
      </c>
      <c r="Q190" s="1">
        <v>8.7702132042434933</v>
      </c>
      <c r="R190" s="1">
        <v>0.6</v>
      </c>
      <c r="S190" s="1">
        <v>-0.45333333333333325</v>
      </c>
      <c r="T190" s="3">
        <v>30.2</v>
      </c>
      <c r="V190" s="20">
        <f t="shared" si="46"/>
        <v>9.5442787078465372</v>
      </c>
      <c r="W190" s="20">
        <f t="shared" si="47"/>
        <v>1.5533333333333332</v>
      </c>
      <c r="X190" s="20">
        <f t="shared" si="47"/>
        <v>2.2533333333333334</v>
      </c>
      <c r="Y190" s="20">
        <f t="shared" si="45"/>
        <v>41.14728070175439</v>
      </c>
      <c r="Z190" s="20">
        <f t="shared" si="48"/>
        <v>3.852411392509921</v>
      </c>
      <c r="AA190" s="19">
        <f>+AVERAGE(M188:M190)*AVERAGE($F$15:F190)</f>
        <v>1.1125279366259941</v>
      </c>
      <c r="AB190" s="19">
        <f t="shared" si="49"/>
        <v>-0.4105820207932413</v>
      </c>
      <c r="AC190" s="19">
        <f t="shared" si="50"/>
        <v>10.044553200305574</v>
      </c>
      <c r="AD190" s="21">
        <f t="shared" si="51"/>
        <v>9.3435895129668136</v>
      </c>
      <c r="AE190" s="19"/>
      <c r="AG190" s="20">
        <f>(V190- AVERAGE(V$41:V190))/_xlfn.STDEV.S(V155:V190)</f>
        <v>1.5220171128392468</v>
      </c>
      <c r="AH190" s="20">
        <f>(W190- AVERAGE(W$41:W190))/_xlfn.STDEV.S(W155:W190)</f>
        <v>0.93133217111500377</v>
      </c>
      <c r="AI190" s="20">
        <f>(X190- AVERAGE(X$41:X190))/_xlfn.STDEV.S(X155:X190)</f>
        <v>0.83054096682055334</v>
      </c>
      <c r="AJ190" s="20">
        <f>(Y190- AVERAGE(Y$41:Y190))/_xlfn.STDEV.S(Y155:Y190)</f>
        <v>2.2911101256492801</v>
      </c>
      <c r="AK190" s="20">
        <f>(Z190- AVERAGE(Z$41:Z190))/_xlfn.STDEV.S(Z155:Z190)</f>
        <v>1.3152990769160025</v>
      </c>
      <c r="AL190" s="20">
        <f>(AA190- AVERAGE(AA$41:AA190))/_xlfn.STDEV.S(AA155:AA190)</f>
        <v>0.3678310208164085</v>
      </c>
      <c r="AM190" s="20">
        <f>(AB190- AVERAGE(AB$41:AB190))/_xlfn.STDEV.S(AB155:AB190)</f>
        <v>76.251902167919482</v>
      </c>
      <c r="AN190" s="20">
        <f>(AC190- AVERAGE(AC$41:AC190))/_xlfn.STDEV.S(AC155:AC190)</f>
        <v>0.66626562224598462</v>
      </c>
      <c r="AO190" s="24">
        <f>(AD190- AVERAGE(AD$41:AD190))/_xlfn.STDEV.S(AD155:AD190)</f>
        <v>-0.28140499355740201</v>
      </c>
      <c r="AP190" s="20"/>
      <c r="AQ190" s="20">
        <f t="shared" si="52"/>
        <v>1.5220171128392468</v>
      </c>
      <c r="AR190" s="20">
        <f t="shared" si="53"/>
        <v>0.93133217111500377</v>
      </c>
      <c r="AS190" s="20">
        <f t="shared" si="54"/>
        <v>0.83054096682055334</v>
      </c>
      <c r="AT190" s="20">
        <f t="shared" si="55"/>
        <v>2.2911101256492801</v>
      </c>
      <c r="AU190" s="20">
        <f t="shared" si="39"/>
        <v>1.3152990769160025</v>
      </c>
      <c r="AV190" s="20">
        <f t="shared" si="56"/>
        <v>0.3678310208164085</v>
      </c>
      <c r="AW190" s="20">
        <f t="shared" si="41"/>
        <v>5.162441615418734</v>
      </c>
      <c r="AX190" s="20">
        <f t="shared" si="57"/>
        <v>0.66626562224598462</v>
      </c>
      <c r="AY190" s="20">
        <f t="shared" si="58"/>
        <v>-0.28140499355740201</v>
      </c>
      <c r="AZ190" s="22">
        <f t="shared" si="44"/>
        <v>1.422825857584868</v>
      </c>
      <c r="BA190" s="1">
        <f>+_xlfn.XLOOKUP(A190,[1]Indice!B:B,[1]Indice!AI:AI,"NOOOOOO",-1)</f>
        <v>0.41350137369122836</v>
      </c>
    </row>
    <row r="191" spans="1:53" x14ac:dyDescent="0.25">
      <c r="A191" s="2">
        <v>43708</v>
      </c>
      <c r="B191" s="15">
        <v>5568</v>
      </c>
      <c r="C191" s="19">
        <v>7.0357554786620424</v>
      </c>
      <c r="D191" s="15">
        <v>4400</v>
      </c>
      <c r="E191" s="19">
        <v>483.7</v>
      </c>
      <c r="F191" s="18">
        <v>0.23950175728757495</v>
      </c>
      <c r="G191" s="1">
        <v>-3.7</v>
      </c>
      <c r="H191" s="1">
        <v>-0.6</v>
      </c>
      <c r="I191" s="16">
        <v>57.1</v>
      </c>
      <c r="J191" s="1">
        <v>519.38900000000001</v>
      </c>
      <c r="K191" s="1">
        <v>5.7655026920476748</v>
      </c>
      <c r="L191" s="1">
        <v>141.489</v>
      </c>
      <c r="M191" s="1">
        <v>4.4445920807866246</v>
      </c>
      <c r="N191" s="1">
        <v>-1.3865905489474084</v>
      </c>
      <c r="O191" s="1">
        <v>422980</v>
      </c>
      <c r="P191" s="1">
        <v>5.3525617076390475</v>
      </c>
      <c r="Q191" s="1">
        <v>-23.668672972198333</v>
      </c>
      <c r="R191" s="1">
        <v>0.6</v>
      </c>
      <c r="S191" s="1">
        <v>-0.41000000000000014</v>
      </c>
      <c r="T191" s="3">
        <v>48.3</v>
      </c>
      <c r="V191" s="20">
        <f t="shared" si="46"/>
        <v>6.1582896534422593</v>
      </c>
      <c r="W191" s="20">
        <f t="shared" si="47"/>
        <v>-0.69</v>
      </c>
      <c r="X191" s="20">
        <f t="shared" si="47"/>
        <v>1.31</v>
      </c>
      <c r="Y191" s="20">
        <f t="shared" si="45"/>
        <v>35.990512820512826</v>
      </c>
      <c r="Z191" s="20">
        <f t="shared" si="48"/>
        <v>4.3355331265934494</v>
      </c>
      <c r="AA191" s="19">
        <f>+AVERAGE(M189:M191)*AVERAGE($F$15:F191)</f>
        <v>0.41308927109722576</v>
      </c>
      <c r="AB191" s="19">
        <f t="shared" si="49"/>
        <v>-0.6859103771320596</v>
      </c>
      <c r="AC191" s="19">
        <f t="shared" si="50"/>
        <v>8.0887593386167982</v>
      </c>
      <c r="AD191" s="21">
        <f t="shared" si="51"/>
        <v>5.061784686118127</v>
      </c>
      <c r="AE191" s="19"/>
      <c r="AG191" s="20">
        <f>(V191- AVERAGE(V$41:V191))/_xlfn.STDEV.S(V156:V191)</f>
        <v>0.97105662596273767</v>
      </c>
      <c r="AH191" s="20">
        <f>(W191- AVERAGE(W$41:W191))/_xlfn.STDEV.S(W156:W191)</f>
        <v>0.32126854174015462</v>
      </c>
      <c r="AI191" s="20">
        <f>(X191- AVERAGE(X$41:X191))/_xlfn.STDEV.S(X156:X191)</f>
        <v>0.53093226107776126</v>
      </c>
      <c r="AJ191" s="20">
        <f>(Y191- AVERAGE(Y$41:Y191))/_xlfn.STDEV.S(Y156:Y191)</f>
        <v>1.9492712915879811</v>
      </c>
      <c r="AK191" s="20">
        <f>(Z191- AVERAGE(Z$41:Z191))/_xlfn.STDEV.S(Z156:Z191)</f>
        <v>1.390313711388915</v>
      </c>
      <c r="AL191" s="20">
        <f>(AA191- AVERAGE(AA$41:AA191))/_xlfn.STDEV.S(AA156:AA191)</f>
        <v>0.21221609600749514</v>
      </c>
      <c r="AM191" s="20">
        <f>(AB191- AVERAGE(AB$41:AB191))/_xlfn.STDEV.S(AB156:AB191)</f>
        <v>71.814974601614111</v>
      </c>
      <c r="AN191" s="20">
        <f>(AC191- AVERAGE(AC$41:AC191))/_xlfn.STDEV.S(AC156:AC191)</f>
        <v>0.48726970688106364</v>
      </c>
      <c r="AO191" s="24">
        <f>(AD191- AVERAGE(AD$41:AD191))/_xlfn.STDEV.S(AD156:AD191)</f>
        <v>-0.48131229310685603</v>
      </c>
      <c r="AP191" s="20"/>
      <c r="AQ191" s="20">
        <f t="shared" si="52"/>
        <v>0.97105662596273767</v>
      </c>
      <c r="AR191" s="20">
        <f t="shared" si="53"/>
        <v>0.32126854174015462</v>
      </c>
      <c r="AS191" s="20">
        <f t="shared" si="54"/>
        <v>0.53093226107776126</v>
      </c>
      <c r="AT191" s="20">
        <f t="shared" si="55"/>
        <v>1.9492712915879811</v>
      </c>
      <c r="AU191" s="20">
        <f t="shared" si="39"/>
        <v>1.390313711388915</v>
      </c>
      <c r="AV191" s="20">
        <f t="shared" si="56"/>
        <v>0.21221609600749514</v>
      </c>
      <c r="AW191" s="20">
        <f t="shared" si="41"/>
        <v>5.162441615418734</v>
      </c>
      <c r="AX191" s="20">
        <f t="shared" si="57"/>
        <v>0.48726970688106364</v>
      </c>
      <c r="AY191" s="20">
        <f t="shared" si="58"/>
        <v>-0.48131229310685603</v>
      </c>
      <c r="AZ191" s="22">
        <f t="shared" si="44"/>
        <v>1.1714952841064428</v>
      </c>
      <c r="BA191" s="1">
        <f>+_xlfn.XLOOKUP(A191,[1]Indice!B:B,[1]Indice!AI:AI,"NOOOOOO",-1)</f>
        <v>0.49630181855892297</v>
      </c>
    </row>
    <row r="192" spans="1:53" x14ac:dyDescent="0.25">
      <c r="A192" s="2">
        <v>43738</v>
      </c>
      <c r="B192" s="15">
        <v>5746</v>
      </c>
      <c r="C192" s="19">
        <v>14.075838792932306</v>
      </c>
      <c r="D192" s="15">
        <v>4002</v>
      </c>
      <c r="E192" s="19">
        <v>451.13</v>
      </c>
      <c r="F192" s="18">
        <v>0.25681732538292734</v>
      </c>
      <c r="G192" s="1">
        <v>-2.1</v>
      </c>
      <c r="H192" s="1">
        <v>1</v>
      </c>
      <c r="I192" s="16">
        <v>49</v>
      </c>
      <c r="J192" s="1">
        <v>517.14400000000001</v>
      </c>
      <c r="K192" s="1">
        <v>3.7279514118718327</v>
      </c>
      <c r="L192" s="1">
        <v>128.59299999999999</v>
      </c>
      <c r="M192" s="1">
        <v>-10.486088391098258</v>
      </c>
      <c r="N192" s="1">
        <v>-13.268853298079829</v>
      </c>
      <c r="O192" s="1">
        <v>422642</v>
      </c>
      <c r="P192" s="1">
        <v>4.6236793377627761</v>
      </c>
      <c r="Q192" s="1">
        <v>-8.7688960785407453</v>
      </c>
      <c r="R192" s="1">
        <v>-1.8</v>
      </c>
      <c r="S192" s="1">
        <v>-0.37000000000000011</v>
      </c>
      <c r="T192" s="3">
        <v>48</v>
      </c>
      <c r="V192" s="20">
        <f t="shared" si="46"/>
        <v>10.121879530974663</v>
      </c>
      <c r="W192" s="20">
        <f t="shared" si="47"/>
        <v>-1.3633333333333333</v>
      </c>
      <c r="X192" s="20">
        <f t="shared" si="47"/>
        <v>0.87000000000000011</v>
      </c>
      <c r="Y192" s="20">
        <f t="shared" si="45"/>
        <v>30.507416666666671</v>
      </c>
      <c r="Z192" s="20">
        <f t="shared" si="48"/>
        <v>4.6606924743892426</v>
      </c>
      <c r="AA192" s="19">
        <f>+AVERAGE(M190:M192)*AVERAGE($F$15:F192)</f>
        <v>-0.16742362372018185</v>
      </c>
      <c r="AB192" s="19">
        <f t="shared" si="49"/>
        <v>-5.020539971461738</v>
      </c>
      <c r="AC192" s="19">
        <f t="shared" si="50"/>
        <v>5.592951317787624</v>
      </c>
      <c r="AD192" s="21">
        <f t="shared" si="51"/>
        <v>-7.8891186154985284</v>
      </c>
      <c r="AE192" s="19"/>
      <c r="AG192" s="20">
        <f>(V192- AVERAGE(V$41:V192))/_xlfn.STDEV.S(V157:V192)</f>
        <v>1.6471996961473694</v>
      </c>
      <c r="AH192" s="20">
        <f>(W192- AVERAGE(W$41:W192))/_xlfn.STDEV.S(W157:W192)</f>
        <v>0.13388965886319257</v>
      </c>
      <c r="AI192" s="20">
        <f>(X192- AVERAGE(X$41:X192))/_xlfn.STDEV.S(X157:X192)</f>
        <v>0.39139194985423564</v>
      </c>
      <c r="AJ192" s="20">
        <f>(Y192- AVERAGE(Y$41:Y192))/_xlfn.STDEV.S(Y157:Y192)</f>
        <v>1.6110554846405098</v>
      </c>
      <c r="AK192" s="20">
        <f>(Z192- AVERAGE(Z$41:Z192))/_xlfn.STDEV.S(Z157:Z192)</f>
        <v>1.4240787030379205</v>
      </c>
      <c r="AL192" s="20">
        <f>(AA192- AVERAGE(AA$41:AA192))/_xlfn.STDEV.S(AA157:AA192)</f>
        <v>8.4858889997737566E-2</v>
      </c>
      <c r="AM192" s="20">
        <f>(AB192- AVERAGE(AB$41:AB192))/_xlfn.STDEV.S(AB157:AB192)</f>
        <v>10.973054470218395</v>
      </c>
      <c r="AN192" s="20">
        <f>(AC192- AVERAGE(AC$41:AC192))/_xlfn.STDEV.S(AC157:AC192)</f>
        <v>0.24364462862962624</v>
      </c>
      <c r="AO192" s="24">
        <f>(AD192- AVERAGE(AD$41:AD192))/_xlfn.STDEV.S(AD157:AD192)</f>
        <v>-1.068021690643979</v>
      </c>
      <c r="AP192" s="20"/>
      <c r="AQ192" s="20">
        <f t="shared" si="52"/>
        <v>1.6471996961473694</v>
      </c>
      <c r="AR192" s="20">
        <f t="shared" si="53"/>
        <v>0.13388965886319257</v>
      </c>
      <c r="AS192" s="20">
        <f t="shared" si="54"/>
        <v>0.39139194985423564</v>
      </c>
      <c r="AT192" s="20">
        <f t="shared" si="55"/>
        <v>1.6110554846405098</v>
      </c>
      <c r="AU192" s="20">
        <f t="shared" si="39"/>
        <v>1.4240787030379205</v>
      </c>
      <c r="AV192" s="20">
        <f t="shared" si="56"/>
        <v>8.4858889997737566E-2</v>
      </c>
      <c r="AW192" s="20">
        <f t="shared" si="41"/>
        <v>5.162441615418734</v>
      </c>
      <c r="AX192" s="20">
        <f t="shared" si="57"/>
        <v>0.24364462862962624</v>
      </c>
      <c r="AY192" s="20">
        <f t="shared" si="58"/>
        <v>-1.068021690643979</v>
      </c>
      <c r="AZ192" s="22">
        <f t="shared" si="44"/>
        <v>1.0700598817717051</v>
      </c>
      <c r="BA192" s="1">
        <f>+_xlfn.XLOOKUP(A192,[1]Indice!B:B,[1]Indice!AI:AI,"NOOOOOO",-1)</f>
        <v>0.48260574059983286</v>
      </c>
    </row>
    <row r="193" spans="1:53" x14ac:dyDescent="0.25">
      <c r="A193" s="2">
        <v>43769</v>
      </c>
      <c r="B193" s="15">
        <v>5889</v>
      </c>
      <c r="C193" s="19">
        <v>9.0959614672100777</v>
      </c>
      <c r="D193" s="15">
        <v>4121</v>
      </c>
      <c r="E193" s="19">
        <v>451.13</v>
      </c>
      <c r="F193" s="18">
        <v>0.2557954469886729</v>
      </c>
      <c r="G193" s="1">
        <v>-0.8</v>
      </c>
      <c r="H193" s="1">
        <v>-0.1</v>
      </c>
      <c r="I193" s="16">
        <v>43.3</v>
      </c>
      <c r="J193" s="1">
        <v>514.23299999999995</v>
      </c>
      <c r="K193" s="1">
        <v>3.172004502199921</v>
      </c>
      <c r="L193" s="1">
        <v>131.35499999999999</v>
      </c>
      <c r="M193" s="1">
        <v>9.8249222434032326</v>
      </c>
      <c r="N193" s="1">
        <v>-19.666143909973854</v>
      </c>
      <c r="O193" s="1">
        <v>438853</v>
      </c>
      <c r="P193" s="1">
        <v>3.0161688622642124</v>
      </c>
      <c r="Q193" s="1">
        <v>9.5416092858548129</v>
      </c>
      <c r="R193" s="1">
        <v>-1.8</v>
      </c>
      <c r="S193" s="1">
        <v>-0.33000000000000007</v>
      </c>
      <c r="T193" s="3">
        <v>48.2</v>
      </c>
      <c r="V193" s="20">
        <f t="shared" si="46"/>
        <v>10.399185246268143</v>
      </c>
      <c r="W193" s="20">
        <f t="shared" si="47"/>
        <v>-1.87</v>
      </c>
      <c r="X193" s="20">
        <f t="shared" si="47"/>
        <v>0.4300000000000001</v>
      </c>
      <c r="Y193" s="20">
        <f t="shared" si="45"/>
        <v>25.249512195121945</v>
      </c>
      <c r="Z193" s="20">
        <f t="shared" si="48"/>
        <v>4.2218195353731431</v>
      </c>
      <c r="AA193" s="19">
        <f>+AVERAGE(M191:M193)*AVERAGE($F$15:F193)</f>
        <v>0.33977900850750875</v>
      </c>
      <c r="AB193" s="19">
        <f t="shared" si="49"/>
        <v>-11.440529252333697</v>
      </c>
      <c r="AC193" s="19">
        <f t="shared" si="50"/>
        <v>4.3308033025553456</v>
      </c>
      <c r="AD193" s="21">
        <f t="shared" si="51"/>
        <v>-7.6319865882947555</v>
      </c>
      <c r="AE193" s="19"/>
      <c r="AG193" s="20">
        <f>(V193- AVERAGE(V$41:V193))/_xlfn.STDEV.S(V158:V193)</f>
        <v>1.6734755745757404</v>
      </c>
      <c r="AH193" s="20">
        <f>(W193- AVERAGE(W$41:W193))/_xlfn.STDEV.S(W158:W193)</f>
        <v>-9.044698749103141E-3</v>
      </c>
      <c r="AI193" s="20">
        <f>(X193- AVERAGE(X$41:X193))/_xlfn.STDEV.S(X158:X193)</f>
        <v>0.25336293200179422</v>
      </c>
      <c r="AJ193" s="20">
        <f>(Y193- AVERAGE(Y$41:Y193))/_xlfn.STDEV.S(Y158:Y193)</f>
        <v>1.2966699187232107</v>
      </c>
      <c r="AK193" s="20">
        <f>(Z193- AVERAGE(Z$41:Z193))/_xlfn.STDEV.S(Z158:Z193)</f>
        <v>1.3054248322772151</v>
      </c>
      <c r="AL193" s="20">
        <f>(AA193- AVERAGE(AA$41:AA193))/_xlfn.STDEV.S(AA158:AA193)</f>
        <v>0.19383779022818559</v>
      </c>
      <c r="AM193" s="20">
        <f>(AB193- AVERAGE(AB$41:AB193))/_xlfn.STDEV.S(AB158:AB193)</f>
        <v>1.2087871812572026</v>
      </c>
      <c r="AN193" s="20">
        <f>(AC193- AVERAGE(AC$41:AC193))/_xlfn.STDEV.S(AC158:AC193)</f>
        <v>0.11531570345993422</v>
      </c>
      <c r="AO193" s="24">
        <f>(AD193- AVERAGE(AD$41:AD193))/_xlfn.STDEV.S(AD158:AD193)</f>
        <v>-1.0487188216133783</v>
      </c>
      <c r="AP193" s="20"/>
      <c r="AQ193" s="20">
        <f t="shared" si="52"/>
        <v>1.6734755745757404</v>
      </c>
      <c r="AR193" s="20">
        <f t="shared" si="53"/>
        <v>-9.044698749103141E-3</v>
      </c>
      <c r="AS193" s="20">
        <f t="shared" si="54"/>
        <v>0.25336293200179422</v>
      </c>
      <c r="AT193" s="20">
        <f t="shared" si="55"/>
        <v>1.2966699187232107</v>
      </c>
      <c r="AU193" s="20">
        <f t="shared" si="39"/>
        <v>1.3054248322772151</v>
      </c>
      <c r="AV193" s="20">
        <f t="shared" si="56"/>
        <v>0.19383779022818559</v>
      </c>
      <c r="AW193" s="20">
        <f t="shared" si="41"/>
        <v>1.2087871812572026</v>
      </c>
      <c r="AX193" s="20">
        <f t="shared" si="57"/>
        <v>0.11531570345993422</v>
      </c>
      <c r="AY193" s="20">
        <f t="shared" si="58"/>
        <v>-1.0487188216133783</v>
      </c>
      <c r="AZ193" s="22">
        <f t="shared" si="44"/>
        <v>0.55434560135120003</v>
      </c>
      <c r="BA193" s="1">
        <f>+_xlfn.XLOOKUP(A193,[1]Indice!B:B,[1]Indice!AI:AI,"NOOOOOO",-1)</f>
        <v>0.48748855160930793</v>
      </c>
    </row>
    <row r="194" spans="1:53" x14ac:dyDescent="0.25">
      <c r="A194" s="2">
        <v>43799</v>
      </c>
      <c r="B194" s="15">
        <v>5893</v>
      </c>
      <c r="C194" s="19">
        <v>10.149532710280385</v>
      </c>
      <c r="D194" s="15">
        <v>3409</v>
      </c>
      <c r="E194" s="19">
        <v>451.13</v>
      </c>
      <c r="F194" s="18">
        <v>0.25488440139205992</v>
      </c>
      <c r="G194" s="1">
        <v>-2</v>
      </c>
      <c r="H194" s="1">
        <v>0</v>
      </c>
      <c r="I194" s="16">
        <v>46</v>
      </c>
      <c r="J194" s="1">
        <v>514.12599999999998</v>
      </c>
      <c r="K194" s="1">
        <v>3.6538085455128266</v>
      </c>
      <c r="L194" s="1">
        <v>124.246</v>
      </c>
      <c r="M194" s="1">
        <v>2.7939339284680065</v>
      </c>
      <c r="N194" s="1">
        <v>-22.430873690218768</v>
      </c>
      <c r="O194" s="1">
        <v>447096</v>
      </c>
      <c r="P194" s="1">
        <v>0.88771149150874695</v>
      </c>
      <c r="Q194" s="1">
        <v>9.9650723501318659</v>
      </c>
      <c r="R194" s="1">
        <v>-1.8</v>
      </c>
      <c r="S194" s="1">
        <v>-0.2900000000000002</v>
      </c>
      <c r="T194" s="3">
        <v>45.6</v>
      </c>
      <c r="V194" s="20">
        <f t="shared" si="46"/>
        <v>11.397110990140924</v>
      </c>
      <c r="W194" s="20">
        <f t="shared" si="47"/>
        <v>-1.3433333333333333</v>
      </c>
      <c r="X194" s="20">
        <f t="shared" si="47"/>
        <v>0.59000000000000019</v>
      </c>
      <c r="Y194" s="20">
        <f t="shared" si="45"/>
        <v>21.048333333333339</v>
      </c>
      <c r="Z194" s="20">
        <f t="shared" si="48"/>
        <v>3.5179214865281936</v>
      </c>
      <c r="AA194" s="19">
        <f>+AVERAGE(M192:M194)*AVERAGE($F$15:F194)</f>
        <v>0.19148055369522163</v>
      </c>
      <c r="AB194" s="19">
        <f t="shared" si="49"/>
        <v>-18.455290299424153</v>
      </c>
      <c r="AC194" s="19">
        <f t="shared" si="50"/>
        <v>2.8425198971785783</v>
      </c>
      <c r="AD194" s="21">
        <f t="shared" si="51"/>
        <v>3.5792618524819777</v>
      </c>
      <c r="AE194" s="19"/>
      <c r="AG194" s="20">
        <f>(V194- AVERAGE(V$41:V194))/_xlfn.STDEV.S(V159:V194)</f>
        <v>1.8045364419699113</v>
      </c>
      <c r="AH194" s="20">
        <f>(W194- AVERAGE(W$41:W194))/_xlfn.STDEV.S(W159:W194)</f>
        <v>0.14019799071486827</v>
      </c>
      <c r="AI194" s="20">
        <f>(X194- AVERAGE(X$41:X194))/_xlfn.STDEV.S(X159:X194)</f>
        <v>0.30511394141483839</v>
      </c>
      <c r="AJ194" s="20">
        <f>(Y194- AVERAGE(Y$41:Y194))/_xlfn.STDEV.S(Y159:Y194)</f>
        <v>1.0469966845656442</v>
      </c>
      <c r="AK194" s="20">
        <f>(Z194- AVERAGE(Z$41:Z194))/_xlfn.STDEV.S(Z159:Z194)</f>
        <v>1.1458977233687881</v>
      </c>
      <c r="AL194" s="20">
        <f>(AA194- AVERAGE(AA$41:AA194))/_xlfn.STDEV.S(AA159:AA194)</f>
        <v>0.16103111926219521</v>
      </c>
      <c r="AM194" s="20">
        <f>(AB194- AVERAGE(AB$41:AB194))/_xlfn.STDEV.S(AB159:AB194)</f>
        <v>-1.2799582142371202</v>
      </c>
      <c r="AN194" s="20">
        <f>(AC194- AVERAGE(AC$41:AC194))/_xlfn.STDEV.S(AC159:AC194)</f>
        <v>-4.1558111777078521E-2</v>
      </c>
      <c r="AO194" s="24">
        <f>(AD194- AVERAGE(AD$41:AD194))/_xlfn.STDEV.S(AD159:AD194)</f>
        <v>-0.54105048840978021</v>
      </c>
      <c r="AP194" s="20"/>
      <c r="AQ194" s="20">
        <f t="shared" si="52"/>
        <v>1.8045364419699113</v>
      </c>
      <c r="AR194" s="20">
        <f t="shared" si="53"/>
        <v>0.14019799071486827</v>
      </c>
      <c r="AS194" s="20">
        <f t="shared" si="54"/>
        <v>0.30511394141483839</v>
      </c>
      <c r="AT194" s="20">
        <f t="shared" si="55"/>
        <v>1.0469966845656442</v>
      </c>
      <c r="AU194" s="20">
        <f t="shared" si="39"/>
        <v>1.1458977233687881</v>
      </c>
      <c r="AV194" s="20">
        <f t="shared" si="56"/>
        <v>0.16103111926219521</v>
      </c>
      <c r="AW194" s="20">
        <f t="shared" si="41"/>
        <v>-1.2799582142371202</v>
      </c>
      <c r="AX194" s="20">
        <f t="shared" si="57"/>
        <v>-4.1558111777078521E-2</v>
      </c>
      <c r="AY194" s="20">
        <f t="shared" si="58"/>
        <v>-0.54105048840978021</v>
      </c>
      <c r="AZ194" s="22">
        <f t="shared" si="44"/>
        <v>0.30457856520802967</v>
      </c>
      <c r="BA194" s="1">
        <f>+_xlfn.XLOOKUP(A194,[1]Indice!B:B,[1]Indice!AI:AI,"NOOOOOO",-1)</f>
        <v>0.43813547289869548</v>
      </c>
    </row>
    <row r="195" spans="1:53" x14ac:dyDescent="0.25">
      <c r="A195" s="2">
        <v>43830</v>
      </c>
      <c r="B195" s="15">
        <v>5374</v>
      </c>
      <c r="C195" s="19">
        <v>0.71214392803597981</v>
      </c>
      <c r="D195" s="15">
        <v>3133</v>
      </c>
      <c r="E195" s="19">
        <v>425</v>
      </c>
      <c r="F195" s="18">
        <v>0.26879999999999998</v>
      </c>
      <c r="G195" s="1">
        <v>-0.4</v>
      </c>
      <c r="H195" s="1">
        <v>0.4</v>
      </c>
      <c r="I195" s="16">
        <v>49.7</v>
      </c>
      <c r="J195" s="1">
        <v>517.08900000000006</v>
      </c>
      <c r="K195" s="1">
        <v>3.6819816893444601</v>
      </c>
      <c r="L195" s="1">
        <v>123.399</v>
      </c>
      <c r="M195" s="1">
        <v>4.6268504858320236</v>
      </c>
      <c r="N195" s="1">
        <v>-22.077251562743939</v>
      </c>
      <c r="O195" s="1">
        <v>429896</v>
      </c>
      <c r="P195" s="1">
        <v>-2.6102243225242239</v>
      </c>
      <c r="Q195" s="1">
        <v>0.79670329670329387</v>
      </c>
      <c r="R195" s="1">
        <v>-1.1000000000000001</v>
      </c>
      <c r="S195" s="1">
        <v>-0.26166666666666683</v>
      </c>
      <c r="T195" s="3">
        <v>42.2</v>
      </c>
      <c r="V195" s="20">
        <f t="shared" si="46"/>
        <v>6.9142127018421471</v>
      </c>
      <c r="W195" s="20">
        <f t="shared" si="47"/>
        <v>-0.80499999999999983</v>
      </c>
      <c r="X195" s="20">
        <f t="shared" si="47"/>
        <v>0.36166666666666686</v>
      </c>
      <c r="Y195" s="20">
        <f t="shared" si="45"/>
        <v>20.88286821705427</v>
      </c>
      <c r="Z195" s="20">
        <f t="shared" si="48"/>
        <v>3.5025982456857356</v>
      </c>
      <c r="AA195" s="19">
        <f>+AVERAGE(M193:M195)*AVERAGE($F$15:F195)</f>
        <v>1.5483077194184185</v>
      </c>
      <c r="AB195" s="19">
        <f t="shared" si="49"/>
        <v>-21.391423054312185</v>
      </c>
      <c r="AC195" s="19">
        <f t="shared" si="50"/>
        <v>0.43121867708291184</v>
      </c>
      <c r="AD195" s="21">
        <f t="shared" si="51"/>
        <v>6.7677949775633239</v>
      </c>
      <c r="AE195" s="19"/>
      <c r="AG195" s="20">
        <f>(V195- AVERAGE(V$41:V195))/_xlfn.STDEV.S(V160:V195)</f>
        <v>1.0980729678385677</v>
      </c>
      <c r="AH195" s="20">
        <f>(W195- AVERAGE(W$41:W195))/_xlfn.STDEV.S(W160:W195)</f>
        <v>0.29214139777604231</v>
      </c>
      <c r="AI195" s="20">
        <f>(X195- AVERAGE(X$41:X195))/_xlfn.STDEV.S(X160:X195)</f>
        <v>0.23723624863641624</v>
      </c>
      <c r="AJ195" s="20">
        <f>(Y195- AVERAGE(Y$41:Y195))/_xlfn.STDEV.S(Y160:Y195)</f>
        <v>1.031208580207617</v>
      </c>
      <c r="AK195" s="20">
        <f>(Z195- AVERAGE(Z$41:Z195))/_xlfn.STDEV.S(Z160:Z195)</f>
        <v>1.1434633704888102</v>
      </c>
      <c r="AL195" s="20">
        <f>(AA195- AVERAGE(AA$41:AA195))/_xlfn.STDEV.S(AA160:AA195)</f>
        <v>0.45338840819237164</v>
      </c>
      <c r="AM195" s="20">
        <f>(AB195- AVERAGE(AB$41:AB195))/_xlfn.STDEV.S(AB160:AB195)</f>
        <v>-1.5228915865364565</v>
      </c>
      <c r="AN195" s="20">
        <f>(AC195- AVERAGE(AC$41:AC195))/_xlfn.STDEV.S(AC160:AC195)</f>
        <v>-0.29987158813207354</v>
      </c>
      <c r="AO195" s="24">
        <f>(AD195- AVERAGE(AD$41:AD195))/_xlfn.STDEV.S(AD160:AD195)</f>
        <v>-0.39496750047764417</v>
      </c>
      <c r="AP195" s="20"/>
      <c r="AQ195" s="20">
        <f t="shared" si="52"/>
        <v>1.0980729678385677</v>
      </c>
      <c r="AR195" s="20">
        <f t="shared" si="53"/>
        <v>0.29214139777604231</v>
      </c>
      <c r="AS195" s="20">
        <f t="shared" si="54"/>
        <v>0.23723624863641624</v>
      </c>
      <c r="AT195" s="20">
        <f t="shared" si="55"/>
        <v>1.031208580207617</v>
      </c>
      <c r="AU195" s="20">
        <f t="shared" si="39"/>
        <v>1.1434633704888102</v>
      </c>
      <c r="AV195" s="20">
        <f t="shared" si="56"/>
        <v>0.45338840819237164</v>
      </c>
      <c r="AW195" s="20">
        <f t="shared" si="41"/>
        <v>-1.5228915865364565</v>
      </c>
      <c r="AX195" s="20">
        <f t="shared" si="57"/>
        <v>-0.29987158813207354</v>
      </c>
      <c r="AY195" s="20">
        <f t="shared" si="58"/>
        <v>-0.39496750047764417</v>
      </c>
      <c r="AZ195" s="22">
        <f t="shared" si="44"/>
        <v>0.22642003311040565</v>
      </c>
      <c r="BA195" s="1">
        <f>+_xlfn.XLOOKUP(A195,[1]Indice!B:B,[1]Indice!AI:AI,"NOOOOOO",-1)</f>
        <v>0.43489122340241826</v>
      </c>
    </row>
    <row r="196" spans="1:53" x14ac:dyDescent="0.25">
      <c r="A196" s="2">
        <v>43861</v>
      </c>
      <c r="B196" s="15">
        <v>4579</v>
      </c>
      <c r="C196" s="19">
        <v>-0.13086150490730919</v>
      </c>
      <c r="D196" s="15">
        <v>3535</v>
      </c>
      <c r="E196" s="19">
        <v>425</v>
      </c>
      <c r="F196" s="18">
        <v>0.26719294117647058</v>
      </c>
      <c r="G196" s="1">
        <v>-0.5</v>
      </c>
      <c r="H196" s="1">
        <v>-2</v>
      </c>
      <c r="I196" s="16">
        <v>48.2</v>
      </c>
      <c r="J196" s="1">
        <v>513.28499999999997</v>
      </c>
      <c r="K196" s="1">
        <v>2.4815515836887236</v>
      </c>
      <c r="L196" s="1">
        <v>119.41200000000001</v>
      </c>
      <c r="M196" s="1">
        <v>2.394100497341789</v>
      </c>
      <c r="N196" s="1">
        <v>-32.771923236005904</v>
      </c>
      <c r="O196" s="1">
        <v>435009</v>
      </c>
      <c r="P196" s="1">
        <v>-2.4521016091706538</v>
      </c>
      <c r="Q196" s="1">
        <v>17.527149724051981</v>
      </c>
      <c r="R196" s="1">
        <v>-1.1000000000000001</v>
      </c>
      <c r="S196" s="1">
        <v>-0.23333333333333356</v>
      </c>
      <c r="T196" s="3">
        <v>40.04</v>
      </c>
      <c r="V196" s="20">
        <f t="shared" si="46"/>
        <v>3.8102717111363522</v>
      </c>
      <c r="W196" s="20">
        <f t="shared" si="47"/>
        <v>-0.73333333333333317</v>
      </c>
      <c r="X196" s="20">
        <f t="shared" si="47"/>
        <v>-0.29999999999999977</v>
      </c>
      <c r="Y196" s="20">
        <f t="shared" si="45"/>
        <v>22.184621212121218</v>
      </c>
      <c r="Z196" s="20">
        <f t="shared" si="48"/>
        <v>3.27244727284867</v>
      </c>
      <c r="AA196" s="19">
        <f>+AVERAGE(M194:M196)*AVERAGE($F$15:F196)</f>
        <v>0.88113507939930591</v>
      </c>
      <c r="AB196" s="19">
        <f t="shared" si="49"/>
        <v>-25.76001616298954</v>
      </c>
      <c r="AC196" s="19">
        <f t="shared" si="50"/>
        <v>-1.3915381467287105</v>
      </c>
      <c r="AD196" s="21">
        <f t="shared" si="51"/>
        <v>9.4296417902957135</v>
      </c>
      <c r="AE196" s="19"/>
      <c r="AG196" s="20">
        <f>(V196- AVERAGE(V$41:V196))/_xlfn.STDEV.S(V161:V196)</f>
        <v>0.63489741686840018</v>
      </c>
      <c r="AH196" s="20">
        <f>(W196- AVERAGE(W$41:W196))/_xlfn.STDEV.S(W161:W196)</f>
        <v>0.31093958841453434</v>
      </c>
      <c r="AI196" s="20">
        <f>(X196- AVERAGE(X$41:X196))/_xlfn.STDEV.S(X161:X196)</f>
        <v>2.162893394704412E-2</v>
      </c>
      <c r="AJ196" s="20">
        <f>(Y196- AVERAGE(Y$41:Y196))/_xlfn.STDEV.S(Y161:Y196)</f>
        <v>1.1021934095410211</v>
      </c>
      <c r="AK196" s="20">
        <f>(Z196- AVERAGE(Z$41:Z196))/_xlfn.STDEV.S(Z161:Z196)</f>
        <v>1.1021411018239506</v>
      </c>
      <c r="AL196" s="20">
        <f>(AA196- AVERAGE(AA$41:AA196))/_xlfn.STDEV.S(AA161:AA196)</f>
        <v>0.30599245740071102</v>
      </c>
      <c r="AM196" s="20">
        <f>(AB196- AVERAGE(AB$41:AB196))/_xlfn.STDEV.S(AB161:AB196)</f>
        <v>-1.863390233675863</v>
      </c>
      <c r="AN196" s="20">
        <f>(AC196- AVERAGE(AC$41:AC196))/_xlfn.STDEV.S(AC161:AC196)</f>
        <v>-0.49849119485849436</v>
      </c>
      <c r="AO196" s="24">
        <f>(AD196- AVERAGE(AD$41:AD196))/_xlfn.STDEV.S(AD161:AD196)</f>
        <v>-0.27335536973551727</v>
      </c>
      <c r="AP196" s="20"/>
      <c r="AQ196" s="20">
        <f t="shared" si="52"/>
        <v>0.63489741686840018</v>
      </c>
      <c r="AR196" s="20">
        <f t="shared" si="53"/>
        <v>0.31093958841453434</v>
      </c>
      <c r="AS196" s="20">
        <f t="shared" si="54"/>
        <v>2.162893394704412E-2</v>
      </c>
      <c r="AT196" s="20">
        <f t="shared" si="55"/>
        <v>1.1021934095410211</v>
      </c>
      <c r="AU196" s="20">
        <f t="shared" si="39"/>
        <v>1.1021411018239506</v>
      </c>
      <c r="AV196" s="20">
        <f t="shared" si="56"/>
        <v>0.30599245740071102</v>
      </c>
      <c r="AW196" s="20">
        <f t="shared" si="41"/>
        <v>-1.863390233675863</v>
      </c>
      <c r="AX196" s="20">
        <f t="shared" si="57"/>
        <v>-0.49849119485849436</v>
      </c>
      <c r="AY196" s="20">
        <f t="shared" si="58"/>
        <v>-0.27335536973551727</v>
      </c>
      <c r="AZ196" s="22">
        <f t="shared" si="44"/>
        <v>9.3617345525087423E-2</v>
      </c>
      <c r="BA196" s="1">
        <f>+_xlfn.XLOOKUP(A196,[1]Indice!B:B,[1]Indice!AI:AI,"NOOOOOO",-1)</f>
        <v>0.41510411983428025</v>
      </c>
    </row>
    <row r="197" spans="1:53" x14ac:dyDescent="0.25">
      <c r="A197" s="2">
        <v>43890</v>
      </c>
      <c r="B197" s="15">
        <v>4378</v>
      </c>
      <c r="C197" s="19">
        <v>-1.5737410071942404</v>
      </c>
      <c r="D197" s="15">
        <v>3191</v>
      </c>
      <c r="E197" s="19">
        <v>425</v>
      </c>
      <c r="F197" s="18">
        <v>0.26512941176470589</v>
      </c>
      <c r="G197" s="1">
        <v>-2.5</v>
      </c>
      <c r="H197" s="1">
        <v>-0.9</v>
      </c>
      <c r="I197" s="16">
        <v>47.4</v>
      </c>
      <c r="J197" s="1">
        <v>516.26400000000001</v>
      </c>
      <c r="K197" s="1">
        <v>6.5892569201133844</v>
      </c>
      <c r="L197" s="1">
        <v>118.938</v>
      </c>
      <c r="M197" s="1">
        <v>1.1971309697015986</v>
      </c>
      <c r="N197" s="1">
        <v>-33.466754011518752</v>
      </c>
      <c r="O197" s="1">
        <v>444119</v>
      </c>
      <c r="P197" s="1">
        <v>-0.39159835376179064</v>
      </c>
      <c r="Q197" s="1">
        <v>-15.324534084729835</v>
      </c>
      <c r="R197" s="1">
        <v>-1.1000000000000001</v>
      </c>
      <c r="S197" s="1">
        <v>-0.20500000000000013</v>
      </c>
      <c r="T197" s="3">
        <v>39.9</v>
      </c>
      <c r="V197" s="20">
        <f t="shared" si="46"/>
        <v>-0.12581952802185647</v>
      </c>
      <c r="W197" s="20">
        <f t="shared" si="47"/>
        <v>-0.92833333333333323</v>
      </c>
      <c r="X197" s="20">
        <f t="shared" si="47"/>
        <v>-0.62833333333333319</v>
      </c>
      <c r="Y197" s="20">
        <f t="shared" si="45"/>
        <v>22.337555555555561</v>
      </c>
      <c r="Z197" s="20">
        <f t="shared" si="48"/>
        <v>4.2509300643821897</v>
      </c>
      <c r="AA197" s="19">
        <f>+AVERAGE(M195:M197)*AVERAGE($F$15:F197)</f>
        <v>0.73771865589340202</v>
      </c>
      <c r="AB197" s="19">
        <f t="shared" si="49"/>
        <v>-29.438642936756196</v>
      </c>
      <c r="AC197" s="19">
        <f t="shared" si="50"/>
        <v>-1.8179747618188893</v>
      </c>
      <c r="AD197" s="21">
        <f t="shared" si="51"/>
        <v>0.99977297867514581</v>
      </c>
      <c r="AE197" s="19"/>
      <c r="AG197" s="20">
        <f>(V197- AVERAGE(V$41:V197))/_xlfn.STDEV.S(V162:V197)</f>
        <v>-0.21129242484262853</v>
      </c>
      <c r="AH197" s="20">
        <f>(W197- AVERAGE(W$41:W197))/_xlfn.STDEV.S(W162:W197)</f>
        <v>0.25384910848635484</v>
      </c>
      <c r="AI197" s="20">
        <f>(X197- AVERAGE(X$41:X197))/_xlfn.STDEV.S(X162:X197)</f>
        <v>-9.1914222101073417E-2</v>
      </c>
      <c r="AJ197" s="20">
        <f>(Y197- AVERAGE(Y$41:Y197))/_xlfn.STDEV.S(Y162:Y197)</f>
        <v>1.1111144651604445</v>
      </c>
      <c r="AK197" s="20">
        <f>(Z197- AVERAGE(Z$41:Z197))/_xlfn.STDEV.S(Z162:Z197)</f>
        <v>1.3219448185456042</v>
      </c>
      <c r="AL197" s="20">
        <f>(AA197- AVERAGE(AA$41:AA197))/_xlfn.STDEV.S(AA162:AA197)</f>
        <v>0.27792042099027331</v>
      </c>
      <c r="AM197" s="20">
        <f>(AB197- AVERAGE(AB$41:AB197))/_xlfn.STDEV.S(AB162:AB197)</f>
        <v>-1.9855134850809151</v>
      </c>
      <c r="AN197" s="20">
        <f>(AC197- AVERAGE(AC$41:AC197))/_xlfn.STDEV.S(AC162:AC197)</f>
        <v>-0.54796695920702176</v>
      </c>
      <c r="AO197" s="24">
        <f>(AD197- AVERAGE(AD$41:AD197))/_xlfn.STDEV.S(AD162:AD197)</f>
        <v>-0.64788613069593826</v>
      </c>
      <c r="AP197" s="20"/>
      <c r="AQ197" s="20">
        <f t="shared" si="52"/>
        <v>-0.21129242484262853</v>
      </c>
      <c r="AR197" s="20">
        <f t="shared" si="53"/>
        <v>0.25384910848635484</v>
      </c>
      <c r="AS197" s="20">
        <f t="shared" si="54"/>
        <v>-9.1914222101073417E-2</v>
      </c>
      <c r="AT197" s="20">
        <f t="shared" si="55"/>
        <v>1.1111144651604445</v>
      </c>
      <c r="AU197" s="20">
        <f t="shared" si="39"/>
        <v>1.3219448185456042</v>
      </c>
      <c r="AV197" s="20">
        <f t="shared" si="56"/>
        <v>0.27792042099027331</v>
      </c>
      <c r="AW197" s="20">
        <f t="shared" si="41"/>
        <v>-1.9855134850809151</v>
      </c>
      <c r="AX197" s="20">
        <f t="shared" si="57"/>
        <v>-0.54796695920702176</v>
      </c>
      <c r="AY197" s="20">
        <f t="shared" si="58"/>
        <v>-0.64788613069593826</v>
      </c>
      <c r="AZ197" s="22">
        <f t="shared" si="44"/>
        <v>-5.7749378749433346E-2</v>
      </c>
      <c r="BA197" s="1">
        <f>+_xlfn.XLOOKUP(A197,[1]Indice!B:B,[1]Indice!AI:AI,"NOOOOOO",-1)</f>
        <v>0.40592935154618476</v>
      </c>
    </row>
    <row r="198" spans="1:53" x14ac:dyDescent="0.25">
      <c r="A198" s="2">
        <v>43921</v>
      </c>
      <c r="B198" s="15">
        <v>4383</v>
      </c>
      <c r="C198" s="19">
        <v>-14.677827525793264</v>
      </c>
      <c r="D198" s="15">
        <v>3154</v>
      </c>
      <c r="E198" s="19">
        <v>406.58</v>
      </c>
      <c r="F198" s="18">
        <v>0.27331398494761178</v>
      </c>
      <c r="G198" s="1">
        <v>-11.6</v>
      </c>
      <c r="H198" s="1">
        <v>-14.4</v>
      </c>
      <c r="I198" s="16">
        <v>43.8</v>
      </c>
      <c r="J198" s="1">
        <v>518.47900000000004</v>
      </c>
      <c r="K198" s="1">
        <v>3.173535562980212</v>
      </c>
      <c r="L198" s="1">
        <v>112.494</v>
      </c>
      <c r="M198" s="1">
        <v>-8.3969838607234166</v>
      </c>
      <c r="N198" s="1">
        <v>-36.142251566476858</v>
      </c>
      <c r="O198" s="1">
        <v>469193</v>
      </c>
      <c r="P198" s="1">
        <v>4.3762137920141608</v>
      </c>
      <c r="Q198" s="1">
        <v>-51.873816405860666</v>
      </c>
      <c r="R198" s="1">
        <v>-5</v>
      </c>
      <c r="S198" s="1">
        <v>-0.29333333333333339</v>
      </c>
      <c r="T198" s="3">
        <v>39.5</v>
      </c>
      <c r="V198" s="20">
        <f t="shared" si="46"/>
        <v>-5.1674766792982716</v>
      </c>
      <c r="W198" s="20">
        <f t="shared" si="47"/>
        <v>-4.5733333333333333</v>
      </c>
      <c r="X198" s="20">
        <f t="shared" si="47"/>
        <v>-5.4733333333333336</v>
      </c>
      <c r="Y198" s="20">
        <f t="shared" si="45"/>
        <v>20.079492753623185</v>
      </c>
      <c r="Z198" s="20">
        <f t="shared" si="48"/>
        <v>4.0814480222607736</v>
      </c>
      <c r="AA198" s="19">
        <f>+AVERAGE(M196:M198)*AVERAGE($F$15:F198)</f>
        <v>-0.43143645628474508</v>
      </c>
      <c r="AB198" s="19">
        <f t="shared" si="49"/>
        <v>-34.126976271333838</v>
      </c>
      <c r="AC198" s="19">
        <f t="shared" si="50"/>
        <v>0.51083794302723884</v>
      </c>
      <c r="AD198" s="21">
        <f t="shared" si="51"/>
        <v>-16.557066922179505</v>
      </c>
      <c r="AE198" s="19"/>
      <c r="AG198" s="20">
        <f>(V198- AVERAGE(V$41:V198))/_xlfn.STDEV.S(V163:V198)</f>
        <v>-1.2553420773338839</v>
      </c>
      <c r="AH198" s="20">
        <f>(W198- AVERAGE(W$41:W198))/_xlfn.STDEV.S(W163:W198)</f>
        <v>-0.77258227197728224</v>
      </c>
      <c r="AI198" s="20">
        <f>(X198- AVERAGE(X$41:X198))/_xlfn.STDEV.S(X163:X198)</f>
        <v>-1.7423622899956024</v>
      </c>
      <c r="AJ198" s="20">
        <f>(Y198- AVERAGE(Y$41:Y198))/_xlfn.STDEV.S(Y163:Y198)</f>
        <v>0.98190474219570412</v>
      </c>
      <c r="AK198" s="20">
        <f>(Z198- AVERAGE(Z$41:Z198))/_xlfn.STDEV.S(Z163:Z198)</f>
        <v>1.3012645654360302</v>
      </c>
      <c r="AL198" s="20">
        <f>(AA198- AVERAGE(AA$41:AA198))/_xlfn.STDEV.S(AA163:AA198)</f>
        <v>1.9288807248025237E-2</v>
      </c>
      <c r="AM198" s="20">
        <f>(AB198- AVERAGE(AB$41:AB198))/_xlfn.STDEV.S(AB163:AB198)</f>
        <v>-2.1516081242926548</v>
      </c>
      <c r="AN198" s="20">
        <f>(AC198- AVERAGE(AC$41:AC198))/_xlfn.STDEV.S(AC163:AC198)</f>
        <v>-0.29289473811302547</v>
      </c>
      <c r="AO198" s="24">
        <f>(AD198- AVERAGE(AD$41:AD198))/_xlfn.STDEV.S(AD163:AD198)</f>
        <v>-1.4074117734562939</v>
      </c>
      <c r="AP198" s="20"/>
      <c r="AQ198" s="20">
        <f t="shared" si="52"/>
        <v>-1.2553420773338839</v>
      </c>
      <c r="AR198" s="20">
        <f t="shared" si="53"/>
        <v>-0.77258227197728224</v>
      </c>
      <c r="AS198" s="20">
        <f t="shared" si="54"/>
        <v>-1.7423622899956024</v>
      </c>
      <c r="AT198" s="20">
        <f t="shared" si="55"/>
        <v>0.98190474219570412</v>
      </c>
      <c r="AU198" s="20">
        <f t="shared" si="39"/>
        <v>1.3012645654360302</v>
      </c>
      <c r="AV198" s="20">
        <f t="shared" si="56"/>
        <v>1.9288807248025237E-2</v>
      </c>
      <c r="AW198" s="20">
        <f t="shared" si="41"/>
        <v>-2.1516081242926548</v>
      </c>
      <c r="AX198" s="20">
        <f t="shared" si="57"/>
        <v>-0.29289473811302547</v>
      </c>
      <c r="AY198" s="20">
        <f t="shared" si="58"/>
        <v>-1.4074117734562939</v>
      </c>
      <c r="AZ198" s="22">
        <f t="shared" si="44"/>
        <v>-0.59108257336544257</v>
      </c>
      <c r="BA198" s="1">
        <f>+_xlfn.XLOOKUP(A198,[1]Indice!B:B,[1]Indice!AI:AI,"NOOOOOO",-1)</f>
        <v>0.37423201731248601</v>
      </c>
    </row>
    <row r="199" spans="1:53" x14ac:dyDescent="0.25">
      <c r="A199" s="2">
        <v>43951</v>
      </c>
      <c r="B199" s="15">
        <v>4349</v>
      </c>
      <c r="C199" s="19">
        <v>-18.512272812441445</v>
      </c>
      <c r="D199" s="15">
        <v>2894</v>
      </c>
      <c r="E199" s="19">
        <v>406.58</v>
      </c>
      <c r="F199" s="18">
        <v>0.26774066604358304</v>
      </c>
      <c r="G199" s="1">
        <v>-24.4</v>
      </c>
      <c r="H199" s="1">
        <v>-25.8</v>
      </c>
      <c r="I199" s="16">
        <v>39.6</v>
      </c>
      <c r="J199" s="1">
        <v>460.74099999999999</v>
      </c>
      <c r="K199" s="1">
        <v>-9.2498961006730269</v>
      </c>
      <c r="L199" s="1">
        <v>113.255</v>
      </c>
      <c r="M199" s="1">
        <v>-6.14563565396824</v>
      </c>
      <c r="N199" s="1">
        <v>-57.309595478544196</v>
      </c>
      <c r="O199" s="1">
        <v>527631</v>
      </c>
      <c r="P199" s="1">
        <v>12.126647214955577</v>
      </c>
      <c r="Q199" s="1">
        <v>-37.154372887232391</v>
      </c>
      <c r="R199" s="1">
        <v>-5</v>
      </c>
      <c r="S199" s="1">
        <v>-0.38166666666666682</v>
      </c>
      <c r="T199" s="3">
        <v>48.98</v>
      </c>
      <c r="V199" s="20">
        <f t="shared" si="46"/>
        <v>-11.206280448476317</v>
      </c>
      <c r="W199" s="20">
        <f t="shared" si="47"/>
        <v>-12.451666666666668</v>
      </c>
      <c r="X199" s="20">
        <f t="shared" si="47"/>
        <v>-13.318333333333335</v>
      </c>
      <c r="Y199" s="20">
        <f t="shared" si="45"/>
        <v>16.732127659574463</v>
      </c>
      <c r="Z199" s="20">
        <f t="shared" si="48"/>
        <v>0.17096546080685648</v>
      </c>
      <c r="AA199" s="19">
        <f>+AVERAGE(M197:M199)*AVERAGE($F$15:F199)</f>
        <v>-1.1980532344120389</v>
      </c>
      <c r="AB199" s="19">
        <f t="shared" si="49"/>
        <v>-42.306200352179935</v>
      </c>
      <c r="AC199" s="19">
        <f t="shared" si="50"/>
        <v>5.3704208844026491</v>
      </c>
      <c r="AD199" s="21">
        <f t="shared" si="51"/>
        <v>-34.784241125940959</v>
      </c>
      <c r="AE199" s="19"/>
      <c r="AG199" s="20">
        <f>(V199- AVERAGE(V$41:V199))/_xlfn.STDEV.S(V164:V199)</f>
        <v>-2.2339716807372056</v>
      </c>
      <c r="AH199" s="20">
        <f>(W199- AVERAGE(W$41:W199))/_xlfn.STDEV.S(W164:W199)</f>
        <v>-2.6128268746928227</v>
      </c>
      <c r="AI199" s="20">
        <f>(X199- AVERAGE(X$41:X199))/_xlfn.STDEV.S(X164:X199)</f>
        <v>-3.6464898373968619</v>
      </c>
      <c r="AJ199" s="20">
        <f>(Y199- AVERAGE(Y$41:Y199))/_xlfn.STDEV.S(Y164:Y199)</f>
        <v>0.78723813677398657</v>
      </c>
      <c r="AK199" s="20">
        <f>(Z199- AVERAGE(Z$41:Z199))/_xlfn.STDEV.S(Z164:Z199)</f>
        <v>0.45952940101828038</v>
      </c>
      <c r="AL199" s="20">
        <f>(AA199- AVERAGE(AA$41:AA199))/_xlfn.STDEV.S(AA164:AA199)</f>
        <v>-0.15803756263824964</v>
      </c>
      <c r="AM199" s="20">
        <f>(AB199- AVERAGE(AB$41:AB199))/_xlfn.STDEV.S(AB164:AB199)</f>
        <v>-2.4959388917736751</v>
      </c>
      <c r="AN199" s="20">
        <f>(AC199- AVERAGE(AC$41:AC199))/_xlfn.STDEV.S(AC164:AC199)</f>
        <v>0.2476924754243213</v>
      </c>
      <c r="AO199" s="24">
        <f>(AD199- AVERAGE(AD$41:AD199))/_xlfn.STDEV.S(AD164:AD199)</f>
        <v>-2.1116444107717687</v>
      </c>
      <c r="AP199" s="20"/>
      <c r="AQ199" s="20">
        <f t="shared" si="52"/>
        <v>-2.2339716807372056</v>
      </c>
      <c r="AR199" s="20">
        <f t="shared" si="53"/>
        <v>-2.2135703447017927</v>
      </c>
      <c r="AS199" s="20">
        <f t="shared" si="54"/>
        <v>-2.5452890837729756</v>
      </c>
      <c r="AT199" s="20">
        <f t="shared" si="55"/>
        <v>0.78723813677398657</v>
      </c>
      <c r="AU199" s="20">
        <f t="shared" si="39"/>
        <v>0.45952940101828038</v>
      </c>
      <c r="AV199" s="20">
        <f t="shared" si="56"/>
        <v>-0.15803756263824964</v>
      </c>
      <c r="AW199" s="20">
        <f t="shared" si="41"/>
        <v>-2.4959388917736751</v>
      </c>
      <c r="AX199" s="20">
        <f t="shared" si="57"/>
        <v>0.2476924754243213</v>
      </c>
      <c r="AY199" s="20">
        <f t="shared" si="58"/>
        <v>-2.1116444107717687</v>
      </c>
      <c r="AZ199" s="22">
        <f t="shared" si="44"/>
        <v>-1.14044355124212</v>
      </c>
      <c r="BA199" s="1">
        <f>+_xlfn.XLOOKUP(A199,[1]Indice!B:B,[1]Indice!AI:AI,"NOOOOOO",-1)</f>
        <v>0.35816320959498343</v>
      </c>
    </row>
    <row r="200" spans="1:53" x14ac:dyDescent="0.25">
      <c r="A200" s="2">
        <v>43982</v>
      </c>
      <c r="B200" s="15">
        <v>5078</v>
      </c>
      <c r="C200" s="19">
        <v>-15.982792852415617</v>
      </c>
      <c r="D200" s="15">
        <v>3166</v>
      </c>
      <c r="E200" s="19">
        <v>406.58</v>
      </c>
      <c r="F200" s="18">
        <v>0.26172708937970385</v>
      </c>
      <c r="G200" s="1">
        <v>-20.2</v>
      </c>
      <c r="H200" s="1">
        <v>-20.9</v>
      </c>
      <c r="I200" s="16">
        <v>36.4</v>
      </c>
      <c r="J200" s="1">
        <v>447.666</v>
      </c>
      <c r="K200" s="1">
        <v>-11.54524042869337</v>
      </c>
      <c r="L200" s="1">
        <v>114.764</v>
      </c>
      <c r="M200" s="1">
        <v>-2.8025035359480976</v>
      </c>
      <c r="N200" s="1">
        <v>-70.388924399048776</v>
      </c>
      <c r="O200" s="1">
        <v>532345</v>
      </c>
      <c r="P200" s="1">
        <v>10.156146536882527</v>
      </c>
      <c r="Q200" s="1">
        <v>-57.659319376556304</v>
      </c>
      <c r="R200" s="1">
        <v>-5</v>
      </c>
      <c r="S200" s="1">
        <v>-0.47000000000000008</v>
      </c>
      <c r="T200" s="3">
        <v>51</v>
      </c>
      <c r="V200" s="20">
        <f t="shared" si="46"/>
        <v>-15.920964396883443</v>
      </c>
      <c r="W200" s="20">
        <f t="shared" si="47"/>
        <v>-18.263333333333335</v>
      </c>
      <c r="X200" s="20">
        <f t="shared" si="47"/>
        <v>-19.896666666666668</v>
      </c>
      <c r="Y200" s="20">
        <f t="shared" si="45"/>
        <v>12.562708333333337</v>
      </c>
      <c r="Z200" s="20">
        <f t="shared" si="48"/>
        <v>-5.8738669887953954</v>
      </c>
      <c r="AA200" s="19">
        <f>+AVERAGE(M198:M200)*AVERAGE($F$15:F200)</f>
        <v>-1.5568731223221461</v>
      </c>
      <c r="AB200" s="19">
        <f t="shared" si="49"/>
        <v>-54.613590481356617</v>
      </c>
      <c r="AC200" s="19">
        <f t="shared" si="50"/>
        <v>8.8863358479507557</v>
      </c>
      <c r="AD200" s="21">
        <f t="shared" si="51"/>
        <v>-48.895836223216456</v>
      </c>
      <c r="AE200" s="19"/>
      <c r="AG200" s="20">
        <f>(V200- AVERAGE(V$41:V200))/_xlfn.STDEV.S(V165:V200)</f>
        <v>-2.6479161132015947</v>
      </c>
      <c r="AH200" s="20">
        <f>(W200- AVERAGE(W$41:W200))/_xlfn.STDEV.S(W165:W200)</f>
        <v>-3.3044512382974478</v>
      </c>
      <c r="AI200" s="20">
        <f>(X200- AVERAGE(X$41:X200))/_xlfn.STDEV.S(X165:X200)</f>
        <v>-4.190162726912237</v>
      </c>
      <c r="AJ200" s="20">
        <f>(Y200- AVERAGE(Y$41:Y200))/_xlfn.STDEV.S(Y165:Y200)</f>
        <v>0.54106256639000816</v>
      </c>
      <c r="AK200" s="20">
        <f>(Z200- AVERAGE(Z$41:Z200))/_xlfn.STDEV.S(Z165:Z200)</f>
        <v>-0.99978622021841534</v>
      </c>
      <c r="AL200" s="20">
        <f>(AA200- AVERAGE(AA$41:AA200))/_xlfn.STDEV.S(AA165:AA200)</f>
        <v>-0.24290984054777273</v>
      </c>
      <c r="AM200" s="20">
        <f>(AB200- AVERAGE(AB$41:AB200))/_xlfn.STDEV.S(AB165:AB200)</f>
        <v>-2.8919882045860019</v>
      </c>
      <c r="AN200" s="20">
        <f>(AC200- AVERAGE(AC$41:AC200))/_xlfn.STDEV.S(AC165:AC200)</f>
        <v>0.62520465726943697</v>
      </c>
      <c r="AO200" s="24">
        <f>(AD200- AVERAGE(AD$41:AD200))/_xlfn.STDEV.S(AD165:AD200)</f>
        <v>-2.5120182358328185</v>
      </c>
      <c r="AP200" s="20"/>
      <c r="AQ200" s="20">
        <f t="shared" si="52"/>
        <v>-2.6479161132015947</v>
      </c>
      <c r="AR200" s="20">
        <f t="shared" si="53"/>
        <v>-2.2135703447017927</v>
      </c>
      <c r="AS200" s="20">
        <f t="shared" si="54"/>
        <v>-2.5452890837729756</v>
      </c>
      <c r="AT200" s="20">
        <f t="shared" si="55"/>
        <v>0.54106256639000816</v>
      </c>
      <c r="AU200" s="20">
        <f t="shared" si="39"/>
        <v>-0.99978622021841534</v>
      </c>
      <c r="AV200" s="20">
        <f t="shared" si="56"/>
        <v>-0.24290984054777273</v>
      </c>
      <c r="AW200" s="20">
        <f t="shared" si="41"/>
        <v>-2.8919882045860019</v>
      </c>
      <c r="AX200" s="20">
        <f t="shared" si="57"/>
        <v>0.62520465726943697</v>
      </c>
      <c r="AY200" s="20">
        <f t="shared" si="58"/>
        <v>-2.5120182358328185</v>
      </c>
      <c r="AZ200" s="22">
        <f t="shared" si="44"/>
        <v>-1.4319123132446583</v>
      </c>
      <c r="BA200" s="1">
        <f>+_xlfn.XLOOKUP(A200,[1]Indice!B:B,[1]Indice!AI:AI,"NOOOOOO",-1)</f>
        <v>0.37777084742058264</v>
      </c>
    </row>
    <row r="201" spans="1:53" x14ac:dyDescent="0.25">
      <c r="A201" s="2">
        <v>44012</v>
      </c>
      <c r="B201" s="15">
        <v>4786</v>
      </c>
      <c r="C201" s="19">
        <v>-8.6466882992937588</v>
      </c>
      <c r="D201" s="15">
        <v>3299</v>
      </c>
      <c r="E201" s="19">
        <v>355.47</v>
      </c>
      <c r="F201" s="18">
        <v>0.29563113624215825</v>
      </c>
      <c r="G201" s="1">
        <v>-12.2</v>
      </c>
      <c r="H201" s="1">
        <v>-19.2</v>
      </c>
      <c r="I201" s="16">
        <v>36.700000000000003</v>
      </c>
      <c r="J201" s="1">
        <v>467.23700000000002</v>
      </c>
      <c r="K201" s="1">
        <v>-6.1974635971789205</v>
      </c>
      <c r="L201" s="1">
        <v>116.10599999999999</v>
      </c>
      <c r="M201" s="1">
        <v>4.5171395650295265</v>
      </c>
      <c r="N201" s="1">
        <v>-56.670674973619484</v>
      </c>
      <c r="O201" s="1">
        <v>533527</v>
      </c>
      <c r="P201" s="1">
        <v>13.882016943761988</v>
      </c>
      <c r="Q201" s="1">
        <v>-49.762383476512518</v>
      </c>
      <c r="R201" s="1">
        <v>-18.899999999999999</v>
      </c>
      <c r="S201" s="1">
        <v>-0.85166666666666702</v>
      </c>
      <c r="T201" s="3">
        <v>52.5</v>
      </c>
      <c r="V201" s="20">
        <f t="shared" si="46"/>
        <v>-13.528917988050274</v>
      </c>
      <c r="W201" s="20">
        <f t="shared" si="47"/>
        <v>-18.081666666666667</v>
      </c>
      <c r="X201" s="20">
        <f t="shared" si="47"/>
        <v>-21.115000000000002</v>
      </c>
      <c r="Y201" s="20">
        <f t="shared" si="45"/>
        <v>9.6831972789115675</v>
      </c>
      <c r="Z201" s="20">
        <f t="shared" si="48"/>
        <v>-8.9975333755151059</v>
      </c>
      <c r="AA201" s="19">
        <f>+AVERAGE(M199:M201)*AVERAGE($F$15:F201)</f>
        <v>-0.39792827446735929</v>
      </c>
      <c r="AB201" s="19">
        <f t="shared" si="49"/>
        <v>-61.456398283737485</v>
      </c>
      <c r="AC201" s="19">
        <f t="shared" si="50"/>
        <v>12.054936898533365</v>
      </c>
      <c r="AD201" s="21">
        <f t="shared" si="51"/>
        <v>-48.192025246767066</v>
      </c>
      <c r="AE201" s="19"/>
      <c r="AG201" s="20">
        <f>(V201- AVERAGE(V$41:V201))/_xlfn.STDEV.S(V166:V201)</f>
        <v>-2.0611920443730201</v>
      </c>
      <c r="AH201" s="20">
        <f>(W201- AVERAGE(W$41:W201))/_xlfn.STDEV.S(W166:W201)</f>
        <v>-2.8656799119987681</v>
      </c>
      <c r="AI201" s="20">
        <f>(X201- AVERAGE(X$41:X201))/_xlfn.STDEV.S(X166:X201)</f>
        <v>-3.6969622432081906</v>
      </c>
      <c r="AJ201" s="20">
        <f>(Y201- AVERAGE(Y$41:Y201))/_xlfn.STDEV.S(Y166:Y201)</f>
        <v>0.36982847896262688</v>
      </c>
      <c r="AK201" s="20">
        <f>(Z201- AVERAGE(Z$41:Z201))/_xlfn.STDEV.S(Z166:Z201)</f>
        <v>-1.7505452883193806</v>
      </c>
      <c r="AL201" s="20">
        <f>(AA201- AVERAGE(AA$41:AA201))/_xlfn.STDEV.S(AA166:AA201)</f>
        <v>3.0672027687708658E-2</v>
      </c>
      <c r="AM201" s="20">
        <f>(AB201- AVERAGE(AB$41:AB201))/_xlfn.STDEV.S(AB166:AB201)</f>
        <v>-2.8225971545395656</v>
      </c>
      <c r="AN201" s="20">
        <f>(AC201- AVERAGE(AC$41:AC201))/_xlfn.STDEV.S(AC166:AC201)</f>
        <v>0.9357191255749</v>
      </c>
      <c r="AO201" s="24">
        <f>(AD201- AVERAGE(AD$41:AD201))/_xlfn.STDEV.S(AD166:AD201)</f>
        <v>-2.3272760508191577</v>
      </c>
      <c r="AP201" s="20"/>
      <c r="AQ201" s="20">
        <f t="shared" si="52"/>
        <v>-2.0611920443730201</v>
      </c>
      <c r="AR201" s="20">
        <f t="shared" si="53"/>
        <v>-2.2135703447017927</v>
      </c>
      <c r="AS201" s="20">
        <f t="shared" si="54"/>
        <v>-2.5452890837729756</v>
      </c>
      <c r="AT201" s="20">
        <f t="shared" si="55"/>
        <v>0.36982847896262688</v>
      </c>
      <c r="AU201" s="20">
        <f t="shared" si="39"/>
        <v>-1.7505452883193806</v>
      </c>
      <c r="AV201" s="20">
        <f t="shared" si="56"/>
        <v>3.0672027687708658E-2</v>
      </c>
      <c r="AW201" s="20">
        <f t="shared" si="41"/>
        <v>-2.8225971545395656</v>
      </c>
      <c r="AX201" s="20">
        <f t="shared" si="57"/>
        <v>0.9357191255749</v>
      </c>
      <c r="AY201" s="20">
        <f t="shared" si="58"/>
        <v>-2.3272760508191577</v>
      </c>
      <c r="AZ201" s="22">
        <f t="shared" si="44"/>
        <v>-1.3760278149222951</v>
      </c>
      <c r="BA201" s="1">
        <f>+_xlfn.XLOOKUP(A201,[1]Indice!B:B,[1]Indice!AI:AI,"NOOOOOO",-1)</f>
        <v>0.36214908550573788</v>
      </c>
    </row>
    <row r="202" spans="1:53" x14ac:dyDescent="0.25">
      <c r="A202" s="2">
        <v>44043</v>
      </c>
      <c r="B202" s="15">
        <v>4931</v>
      </c>
      <c r="C202" s="19">
        <v>-15.795765027322407</v>
      </c>
      <c r="D202" s="15">
        <v>3451</v>
      </c>
      <c r="E202" s="19">
        <v>355.47</v>
      </c>
      <c r="F202" s="18">
        <v>0.28893858834782121</v>
      </c>
      <c r="G202" s="1">
        <v>-13.2</v>
      </c>
      <c r="H202" s="1">
        <v>-23.2</v>
      </c>
      <c r="I202" s="16">
        <v>37.6</v>
      </c>
      <c r="J202" s="1">
        <v>469.49299999999999</v>
      </c>
      <c r="K202" s="1">
        <v>-7.0662383138258562</v>
      </c>
      <c r="L202" s="1">
        <v>121.211</v>
      </c>
      <c r="M202" s="1">
        <v>7.6598541572295176</v>
      </c>
      <c r="N202" s="1">
        <v>-58.675887710074505</v>
      </c>
      <c r="O202" s="1">
        <v>518596</v>
      </c>
      <c r="P202" s="1">
        <v>18.795542269410937</v>
      </c>
      <c r="Q202" s="1">
        <v>-53.72851664220444</v>
      </c>
      <c r="R202" s="1">
        <v>-18.899999999999999</v>
      </c>
      <c r="S202" s="1">
        <v>-1.2333333333333336</v>
      </c>
      <c r="T202" s="3">
        <v>51.9</v>
      </c>
      <c r="V202" s="20">
        <f t="shared" si="46"/>
        <v>-12.241748726343928</v>
      </c>
      <c r="W202" s="20">
        <f t="shared" si="47"/>
        <v>-13.966666666666663</v>
      </c>
      <c r="X202" s="20">
        <f t="shared" si="47"/>
        <v>-19.866666666666664</v>
      </c>
      <c r="Y202" s="20">
        <f t="shared" si="45"/>
        <v>8.5361999999999973</v>
      </c>
      <c r="Z202" s="20">
        <f t="shared" si="48"/>
        <v>-8.269647446566049</v>
      </c>
      <c r="AA202" s="19">
        <f>+AVERAGE(M200:M202)*AVERAGE($F$15:F202)</f>
        <v>0.84220555325983171</v>
      </c>
      <c r="AB202" s="19">
        <f t="shared" si="49"/>
        <v>-61.911829027580922</v>
      </c>
      <c r="AC202" s="19">
        <f t="shared" si="50"/>
        <v>14.277901916685151</v>
      </c>
      <c r="AD202" s="21">
        <f t="shared" si="51"/>
        <v>-53.716739831757756</v>
      </c>
      <c r="AE202" s="19"/>
      <c r="AG202" s="20">
        <f>(V202- AVERAGE(V$41:V202))/_xlfn.STDEV.S(V167:V202)</f>
        <v>-1.7490882155663379</v>
      </c>
      <c r="AH202" s="20">
        <f>(W202- AVERAGE(W$41:W202))/_xlfn.STDEV.S(W167:W202)</f>
        <v>-2.0313281745712777</v>
      </c>
      <c r="AI202" s="20">
        <f>(X202- AVERAGE(X$41:X202))/_xlfn.STDEV.S(X167:X202)</f>
        <v>-3.111900044143344</v>
      </c>
      <c r="AJ202" s="20">
        <f>(Y202- AVERAGE(Y$41:Y202))/_xlfn.STDEV.S(Y167:Y202)</f>
        <v>0.30242539760357989</v>
      </c>
      <c r="AK202" s="20">
        <f>(Z202- AVERAGE(Z$41:Z202))/_xlfn.STDEV.S(Z167:Z202)</f>
        <v>-1.5361101440642582</v>
      </c>
      <c r="AL202" s="20">
        <f>(AA202- AVERAGE(AA$41:AA202))/_xlfn.STDEV.S(AA167:AA202)</f>
        <v>0.32745005819254647</v>
      </c>
      <c r="AM202" s="20">
        <f>(AB202- AVERAGE(AB$41:AB202))/_xlfn.STDEV.S(AB167:AB202)</f>
        <v>-2.5040942400723667</v>
      </c>
      <c r="AN202" s="20">
        <f>(AC202- AVERAGE(AC$41:AC202))/_xlfn.STDEV.S(AC167:AC202)</f>
        <v>1.1170868437137067</v>
      </c>
      <c r="AO202" s="24">
        <f>(AD202- AVERAGE(AD$41:AD202))/_xlfn.STDEV.S(AD167:AD202)</f>
        <v>-2.3871075421411843</v>
      </c>
      <c r="AP202" s="20"/>
      <c r="AQ202" s="20">
        <f t="shared" si="52"/>
        <v>-1.7490882155663379</v>
      </c>
      <c r="AR202" s="20">
        <f t="shared" si="53"/>
        <v>-2.0313281745712777</v>
      </c>
      <c r="AS202" s="20">
        <f t="shared" si="54"/>
        <v>-2.5452890837729756</v>
      </c>
      <c r="AT202" s="20">
        <f t="shared" si="55"/>
        <v>0.30242539760357989</v>
      </c>
      <c r="AU202" s="20">
        <f t="shared" si="39"/>
        <v>-1.5361101440642582</v>
      </c>
      <c r="AV202" s="20">
        <f t="shared" si="56"/>
        <v>0.32745005819254647</v>
      </c>
      <c r="AW202" s="20">
        <f t="shared" si="41"/>
        <v>-2.5040942400723667</v>
      </c>
      <c r="AX202" s="20">
        <f t="shared" si="57"/>
        <v>1.1170868437137067</v>
      </c>
      <c r="AY202" s="20">
        <f t="shared" si="58"/>
        <v>-2.3871075421411843</v>
      </c>
      <c r="AZ202" s="22">
        <f t="shared" si="44"/>
        <v>-1.2228950111865073</v>
      </c>
      <c r="BA202" s="1">
        <f>+_xlfn.XLOOKUP(A202,[1]Indice!B:B,[1]Indice!AI:AI,"NOOOOOO",-1)</f>
        <v>0.36676130412014007</v>
      </c>
    </row>
    <row r="203" spans="1:53" x14ac:dyDescent="0.25">
      <c r="A203" s="2">
        <v>44074</v>
      </c>
      <c r="B203" s="15">
        <v>4955</v>
      </c>
      <c r="C203" s="19">
        <v>-11.009339080459768</v>
      </c>
      <c r="D203" s="15">
        <v>3508</v>
      </c>
      <c r="E203" s="19">
        <v>355.47</v>
      </c>
      <c r="F203" s="18">
        <v>0.28470475708217291</v>
      </c>
      <c r="G203" s="1">
        <v>-11.4</v>
      </c>
      <c r="H203" s="1">
        <v>-21.1</v>
      </c>
      <c r="I203" s="16">
        <v>36.200000000000003</v>
      </c>
      <c r="J203" s="1">
        <v>472.76499999999999</v>
      </c>
      <c r="K203" s="1">
        <v>-8.9767014703815544</v>
      </c>
      <c r="L203" s="1">
        <v>120.75</v>
      </c>
      <c r="M203" s="1">
        <v>-14.657676568496491</v>
      </c>
      <c r="N203" s="1">
        <v>-71.794090865491938</v>
      </c>
      <c r="O203" s="1">
        <v>498401</v>
      </c>
      <c r="P203" s="1">
        <v>17.830866707645754</v>
      </c>
      <c r="Q203" s="1">
        <v>-36.009312105737457</v>
      </c>
      <c r="R203" s="1">
        <v>-18.899999999999999</v>
      </c>
      <c r="S203" s="1">
        <v>-1.615</v>
      </c>
      <c r="T203" s="3">
        <v>51.15</v>
      </c>
      <c r="V203" s="20">
        <f t="shared" si="46"/>
        <v>-10.202264135691978</v>
      </c>
      <c r="W203" s="20">
        <f t="shared" si="47"/>
        <v>-10.651666666666666</v>
      </c>
      <c r="X203" s="20">
        <f t="shared" si="47"/>
        <v>-19.551666666666669</v>
      </c>
      <c r="Y203" s="20">
        <f t="shared" si="45"/>
        <v>8.0227450980392163</v>
      </c>
      <c r="Z203" s="20">
        <f t="shared" si="48"/>
        <v>-7.4134677937954434</v>
      </c>
      <c r="AA203" s="19">
        <f>+AVERAGE(M201:M203)*AVERAGE($F$15:F203)</f>
        <v>-0.22293133841046986</v>
      </c>
      <c r="AB203" s="19">
        <f t="shared" si="49"/>
        <v>-62.380217849728638</v>
      </c>
      <c r="AC203" s="19">
        <f t="shared" si="50"/>
        <v>16.836141973606228</v>
      </c>
      <c r="AD203" s="21">
        <f t="shared" si="51"/>
        <v>-46.500070741484798</v>
      </c>
      <c r="AE203" s="19"/>
      <c r="AG203" s="20">
        <f>(V203- AVERAGE(V$41:V203))/_xlfn.STDEV.S(V168:V203)</f>
        <v>-1.4081271145216734</v>
      </c>
      <c r="AH203" s="20">
        <f>(W203- AVERAGE(W$41:W203))/_xlfn.STDEV.S(W168:W203)</f>
        <v>-1.4469138456412556</v>
      </c>
      <c r="AI203" s="20">
        <f>(X203- AVERAGE(X$41:X203))/_xlfn.STDEV.S(X168:X203)</f>
        <v>-2.8191042249766154</v>
      </c>
      <c r="AJ203" s="20">
        <f>(Y203- AVERAGE(Y$41:Y203))/_xlfn.STDEV.S(Y168:Y203)</f>
        <v>0.27290089099392595</v>
      </c>
      <c r="AK203" s="20">
        <f>(Z203- AVERAGE(Z$41:Z203))/_xlfn.STDEV.S(Z168:Z203)</f>
        <v>-1.3164872354124264</v>
      </c>
      <c r="AL203" s="20">
        <f>(AA203- AVERAGE(AA$41:AA203))/_xlfn.STDEV.S(AA168:AA203)</f>
        <v>7.0791654379311481E-2</v>
      </c>
      <c r="AM203" s="20">
        <f>(AB203- AVERAGE(AB$41:AB203))/_xlfn.STDEV.S(AB168:AB203)</f>
        <v>-2.2900980288407164</v>
      </c>
      <c r="AN203" s="20">
        <f>(AC203- AVERAGE(AC$41:AC203))/_xlfn.STDEV.S(AC168:AC203)</f>
        <v>1.3035636429891881</v>
      </c>
      <c r="AO203" s="24">
        <f>(AD203- AVERAGE(AD$41:AD203))/_xlfn.STDEV.S(AD168:AD203)</f>
        <v>-2.169674461832384</v>
      </c>
      <c r="AP203" s="20"/>
      <c r="AQ203" s="20">
        <f t="shared" si="52"/>
        <v>-1.4081271145216734</v>
      </c>
      <c r="AR203" s="20">
        <f t="shared" si="53"/>
        <v>-1.4469138456412556</v>
      </c>
      <c r="AS203" s="20">
        <f t="shared" si="54"/>
        <v>-2.5452890837729756</v>
      </c>
      <c r="AT203" s="20">
        <f t="shared" si="55"/>
        <v>0.27290089099392595</v>
      </c>
      <c r="AU203" s="20">
        <f t="shared" si="39"/>
        <v>-1.3164872354124264</v>
      </c>
      <c r="AV203" s="20">
        <f t="shared" si="56"/>
        <v>7.0791654379311481E-2</v>
      </c>
      <c r="AW203" s="20">
        <f t="shared" si="41"/>
        <v>-2.2900980288407164</v>
      </c>
      <c r="AX203" s="20">
        <f t="shared" si="57"/>
        <v>1.3035636429891881</v>
      </c>
      <c r="AY203" s="20">
        <f t="shared" si="58"/>
        <v>-2.169674461832384</v>
      </c>
      <c r="AZ203" s="22">
        <f t="shared" si="44"/>
        <v>-1.0588148424065562</v>
      </c>
      <c r="BA203" s="1">
        <f>+_xlfn.XLOOKUP(A203,[1]Indice!B:B,[1]Indice!AI:AI,"NOOOOOO",-1)</f>
        <v>0.36982337869090481</v>
      </c>
    </row>
    <row r="204" spans="1:53" x14ac:dyDescent="0.25">
      <c r="A204" s="2">
        <v>44104</v>
      </c>
      <c r="B204" s="15">
        <v>4727</v>
      </c>
      <c r="C204" s="19">
        <v>-17.734075878872257</v>
      </c>
      <c r="D204" s="15">
        <v>4129</v>
      </c>
      <c r="E204" s="19">
        <v>376</v>
      </c>
      <c r="F204" s="18">
        <v>0.26678723404255317</v>
      </c>
      <c r="G204" s="1">
        <v>-5.7</v>
      </c>
      <c r="H204" s="1">
        <v>-18.7</v>
      </c>
      <c r="I204" s="16">
        <v>34.700000000000003</v>
      </c>
      <c r="J204" s="1">
        <v>470.68900000000002</v>
      </c>
      <c r="K204" s="1">
        <v>-8.9829911978095094</v>
      </c>
      <c r="L204" s="1">
        <v>119.011</v>
      </c>
      <c r="M204" s="1">
        <v>-7.4514164845675861</v>
      </c>
      <c r="N204" s="1">
        <v>-73.465276374390243</v>
      </c>
      <c r="O204" s="1">
        <v>492426</v>
      </c>
      <c r="P204" s="1">
        <v>16.511373692155541</v>
      </c>
      <c r="Q204" s="1">
        <v>-44.542953225313362</v>
      </c>
      <c r="R204" s="1">
        <v>-10.199999999999999</v>
      </c>
      <c r="S204" s="1">
        <v>-1.8516666666666668</v>
      </c>
      <c r="T204" s="3">
        <v>50.51</v>
      </c>
      <c r="V204" s="20">
        <f t="shared" si="46"/>
        <v>-12.994726662218143</v>
      </c>
      <c r="W204" s="20">
        <f t="shared" si="47"/>
        <v>-8.2483333333333331</v>
      </c>
      <c r="X204" s="20">
        <f t="shared" si="47"/>
        <v>-19.148333333333333</v>
      </c>
      <c r="Y204" s="20">
        <f t="shared" si="45"/>
        <v>6.9387820512820539</v>
      </c>
      <c r="Z204" s="20">
        <f t="shared" si="48"/>
        <v>-8.3419769940056412</v>
      </c>
      <c r="AA204" s="19">
        <f>+AVERAGE(M202:M204)*AVERAGE($F$15:F204)</f>
        <v>-1.298437341079246</v>
      </c>
      <c r="AB204" s="19">
        <f t="shared" si="49"/>
        <v>-67.978418316652224</v>
      </c>
      <c r="AC204" s="19">
        <f t="shared" si="50"/>
        <v>17.712594223070742</v>
      </c>
      <c r="AD204" s="21">
        <f t="shared" si="51"/>
        <v>-44.760260657751758</v>
      </c>
      <c r="AE204" s="19"/>
      <c r="AG204" s="20">
        <f>(V204- AVERAGE(V$41:V204))/_xlfn.STDEV.S(V169:V204)</f>
        <v>-1.67928153638637</v>
      </c>
      <c r="AH204" s="20">
        <f>(W204- AVERAGE(W$41:W204))/_xlfn.STDEV.S(W169:W204)</f>
        <v>-1.0378967771179992</v>
      </c>
      <c r="AI204" s="20">
        <f>(X204- AVERAGE(X$41:X204))/_xlfn.STDEV.S(X169:X204)</f>
        <v>-2.5883019210354195</v>
      </c>
      <c r="AJ204" s="20">
        <f>(Y204- AVERAGE(Y$41:Y204))/_xlfn.STDEV.S(Y169:Y204)</f>
        <v>0.20627870770773479</v>
      </c>
      <c r="AK204" s="20">
        <f>(Z204- AVERAGE(Z$41:Z204))/_xlfn.STDEV.S(Z169:Z204)</f>
        <v>-1.4905559938082884</v>
      </c>
      <c r="AL204" s="20">
        <f>(AA204- AVERAGE(AA$41:AA204))/_xlfn.STDEV.S(AA169:AA204)</f>
        <v>-0.1866118234754692</v>
      </c>
      <c r="AM204" s="20">
        <f>(AB204- AVERAGE(AB$41:AB204))/_xlfn.STDEV.S(AB169:AB204)</f>
        <v>-2.3315911792520607</v>
      </c>
      <c r="AN204" s="20">
        <f>(AC204- AVERAGE(AC$41:AC204))/_xlfn.STDEV.S(AC169:AC204)</f>
        <v>1.3185067351070126</v>
      </c>
      <c r="AO204" s="24">
        <f>(AD204- AVERAGE(AD$41:AD204))/_xlfn.STDEV.S(AD169:AD204)</f>
        <v>-2.1987639271507295</v>
      </c>
      <c r="AP204" s="20"/>
      <c r="AQ204" s="20">
        <f t="shared" ref="AQ204:AQ235" si="59">+IF(AG204&gt;AG$2,AG$2,IF(AG204&lt;AG$1,AG$1,AG204))</f>
        <v>-1.67928153638637</v>
      </c>
      <c r="AR204" s="20">
        <f t="shared" ref="AR204:AR235" si="60">+IF(AH204&gt;AH$2,AH$2,IF(AH204&lt;AH$1,AH$1,AH204))</f>
        <v>-1.0378967771179992</v>
      </c>
      <c r="AS204" s="20">
        <f t="shared" ref="AS204:AS235" si="61">+IF(AI204&gt;AI$2,AI$2,IF(AI204&lt;AI$1,AI$1,AI204))</f>
        <v>-2.5452890837729756</v>
      </c>
      <c r="AT204" s="20">
        <f t="shared" ref="AT204" si="62">+IF(AJ204&gt;AJ$2,AJ$2,IF(AJ204&lt;AJ$1,AJ$1,AJ204))</f>
        <v>0.20627870770773479</v>
      </c>
      <c r="AU204" s="20">
        <f t="shared" si="39"/>
        <v>-1.4905559938082884</v>
      </c>
      <c r="AV204" s="20">
        <f t="shared" si="56"/>
        <v>-0.1866118234754692</v>
      </c>
      <c r="AW204" s="20">
        <f t="shared" si="41"/>
        <v>-2.3315911792520607</v>
      </c>
      <c r="AX204" s="20">
        <f t="shared" si="57"/>
        <v>1.3185067351070126</v>
      </c>
      <c r="AY204" s="20">
        <f t="shared" si="58"/>
        <v>-2.1987639271507295</v>
      </c>
      <c r="AZ204" s="22">
        <f t="shared" si="44"/>
        <v>-1.105022764238794</v>
      </c>
      <c r="BA204" s="1">
        <f>+_xlfn.XLOOKUP(A204,[1]Indice!B:B,[1]Indice!AI:AI,"NOOOOOO",-1)</f>
        <v>0.34984571670027143</v>
      </c>
    </row>
    <row r="205" spans="1:53" x14ac:dyDescent="0.25">
      <c r="A205" s="2">
        <v>44135</v>
      </c>
      <c r="B205" s="15">
        <v>4674</v>
      </c>
      <c r="C205" s="19">
        <v>-20.631686194600107</v>
      </c>
      <c r="D205" s="15">
        <v>4004</v>
      </c>
      <c r="E205" s="19">
        <v>376</v>
      </c>
      <c r="F205" s="18">
        <v>0.26324468085106384</v>
      </c>
      <c r="G205" s="1">
        <v>-7.3</v>
      </c>
      <c r="H205" s="1">
        <v>-19.600000000000001</v>
      </c>
      <c r="I205" s="16">
        <v>35.6</v>
      </c>
      <c r="J205" s="1">
        <v>474.428</v>
      </c>
      <c r="K205" s="1">
        <v>-7.7406545282002419</v>
      </c>
      <c r="L205" s="1">
        <v>117.83</v>
      </c>
      <c r="M205" s="1">
        <v>-10.296524685013885</v>
      </c>
      <c r="N205" s="1">
        <v>-94.305050436319561</v>
      </c>
      <c r="O205" s="1">
        <v>484429</v>
      </c>
      <c r="P205" s="1">
        <v>10.385254287882283</v>
      </c>
      <c r="Q205" s="1">
        <v>-50.089798850574716</v>
      </c>
      <c r="R205" s="1">
        <v>-10.199999999999999</v>
      </c>
      <c r="S205" s="1">
        <v>-2.0883333333333334</v>
      </c>
      <c r="T205" s="3">
        <v>52.1</v>
      </c>
      <c r="V205" s="20">
        <f t="shared" si="46"/>
        <v>-14.37003371797738</v>
      </c>
      <c r="W205" s="20">
        <f t="shared" si="47"/>
        <v>-6.0450000000000017</v>
      </c>
      <c r="X205" s="20">
        <f t="shared" si="47"/>
        <v>-17.711666666666666</v>
      </c>
      <c r="Y205" s="20">
        <f t="shared" si="45"/>
        <v>5.8405660377358473</v>
      </c>
      <c r="Z205" s="20">
        <f t="shared" si="48"/>
        <v>-8.5667823987971019</v>
      </c>
      <c r="AA205" s="19">
        <f>+AVERAGE(M203:M205)*AVERAGE($F$15:F205)</f>
        <v>-2.911674625100475</v>
      </c>
      <c r="AB205" s="19">
        <f t="shared" si="49"/>
        <v>-79.854805892067247</v>
      </c>
      <c r="AC205" s="19">
        <f t="shared" si="50"/>
        <v>14.909164895894527</v>
      </c>
      <c r="AD205" s="21">
        <f t="shared" si="51"/>
        <v>-43.547354727208507</v>
      </c>
      <c r="AE205" s="19"/>
      <c r="AG205" s="20">
        <f>(V205- AVERAGE(V$41:V205))/_xlfn.STDEV.S(V170:V205)</f>
        <v>-1.7456712716755924</v>
      </c>
      <c r="AH205" s="20">
        <f>(W205- AVERAGE(W$41:W205))/_xlfn.STDEV.S(W170:W205)</f>
        <v>-0.66720389134944813</v>
      </c>
      <c r="AI205" s="20">
        <f>(X205- AVERAGE(X$41:X205))/_xlfn.STDEV.S(X170:X205)</f>
        <v>-2.2836824962218656</v>
      </c>
      <c r="AJ205" s="20">
        <f>(Y205- AVERAGE(Y$41:Y205))/_xlfn.STDEV.S(Y170:Y205)</f>
        <v>0.13737520407245155</v>
      </c>
      <c r="AK205" s="20">
        <f>(Z205- AVERAGE(Z$41:Z205))/_xlfn.STDEV.S(Z170:Z205)</f>
        <v>-1.4770697616497082</v>
      </c>
      <c r="AL205" s="20">
        <f>(AA205- AVERAGE(AA$41:AA205))/_xlfn.STDEV.S(AA170:AA205)</f>
        <v>-0.5604196848811196</v>
      </c>
      <c r="AM205" s="20">
        <f>(AB205- AVERAGE(AB$41:AB205))/_xlfn.STDEV.S(AB170:AB205)</f>
        <v>-2.5689768580902652</v>
      </c>
      <c r="AN205" s="20">
        <f>(AC205- AVERAGE(AC$41:AC205))/_xlfn.STDEV.S(AC170:AC205)</f>
        <v>1.0241557412722662</v>
      </c>
      <c r="AO205" s="24">
        <f>(AD205- AVERAGE(AD$41:AD205))/_xlfn.STDEV.S(AD170:AD205)</f>
        <v>-2.2964152953520514</v>
      </c>
      <c r="AP205" s="20"/>
      <c r="AQ205" s="20">
        <f t="shared" si="59"/>
        <v>-1.7456712716755924</v>
      </c>
      <c r="AR205" s="20">
        <f t="shared" si="60"/>
        <v>-0.66720389134944813</v>
      </c>
      <c r="AS205" s="20">
        <f t="shared" si="61"/>
        <v>-2.2836824962218656</v>
      </c>
      <c r="AT205" s="20">
        <f t="shared" ref="AT205:AT236" si="63">+IF(AJ205&gt;AJ$2,AJ$2,IF(AJ205&lt;AJ$1,AJ$1,AJ205))</f>
        <v>0.13737520407245155</v>
      </c>
      <c r="AU205" s="20">
        <f t="shared" ref="AU205:AU268" si="64">+IF(AK205&gt;AK$2,AK$2,IF(AK205&lt;AK$1,AK$1,AK205))</f>
        <v>-1.4770697616497082</v>
      </c>
      <c r="AV205" s="20">
        <f t="shared" ref="AV205:AV236" si="65">+IF(AL205&gt;AL$2,AL$2,IF(AL205&lt;AL$1,AL$1,AL205))</f>
        <v>-0.5604196848811196</v>
      </c>
      <c r="AW205" s="20">
        <f t="shared" ref="AW205:AW268" si="66">+IF(AM205&gt;AM$2,AM$2,IF(AM205&lt;AM$1,AM$1,AM205))</f>
        <v>-2.5689768580902652</v>
      </c>
      <c r="AX205" s="20">
        <f t="shared" ref="AX205:AX236" si="67">+IF(AN205&gt;AN$2,AN$2,IF(AN205&lt;AN$1,AN$1,AN205))</f>
        <v>1.0241557412722662</v>
      </c>
      <c r="AY205" s="20">
        <f t="shared" ref="AY205:AY236" si="68">+IF(AO205&gt;AO$2,AO$2,IF(AO205&lt;AO$1,AO$1,AO205))</f>
        <v>-2.2964152953520514</v>
      </c>
      <c r="AZ205" s="22">
        <f t="shared" ref="AZ205:AZ268" si="69">+AVERAGE(AQ205:AY205)</f>
        <v>-1.1597675904305926</v>
      </c>
      <c r="BA205" s="1">
        <f>+_xlfn.XLOOKUP(A205,[1]Indice!B:B,[1]Indice!AI:AI,"NOOOOOO",-1)</f>
        <v>0.35147896524463546</v>
      </c>
    </row>
    <row r="206" spans="1:53" x14ac:dyDescent="0.25">
      <c r="A206" s="2">
        <v>44165</v>
      </c>
      <c r="B206" s="15">
        <v>4500</v>
      </c>
      <c r="C206" s="19">
        <v>-23.638214831155612</v>
      </c>
      <c r="D206" s="15">
        <v>4115</v>
      </c>
      <c r="E206" s="19">
        <v>376</v>
      </c>
      <c r="F206" s="18">
        <v>0.26141755319148935</v>
      </c>
      <c r="G206" s="1">
        <v>-4.0999999999999996</v>
      </c>
      <c r="H206" s="1">
        <v>-17.5</v>
      </c>
      <c r="I206" s="16">
        <v>34.299999999999997</v>
      </c>
      <c r="J206" s="1">
        <v>473.99599999999998</v>
      </c>
      <c r="K206" s="1">
        <v>-7.8054795906061898</v>
      </c>
      <c r="L206" s="1">
        <v>121.801</v>
      </c>
      <c r="M206" s="1">
        <v>-1.9678701930041953</v>
      </c>
      <c r="N206" s="1">
        <v>-81.206025553549054</v>
      </c>
      <c r="O206" s="1">
        <v>488042</v>
      </c>
      <c r="P206" s="1">
        <v>9.1582121065721935</v>
      </c>
      <c r="Q206" s="1">
        <v>-43.780385039216952</v>
      </c>
      <c r="R206" s="1">
        <v>-10.199999999999999</v>
      </c>
      <c r="S206" s="1">
        <v>-2.3250000000000002</v>
      </c>
      <c r="T206" s="3">
        <v>52.45</v>
      </c>
      <c r="V206" s="20">
        <f t="shared" si="46"/>
        <v>-18.342992301542658</v>
      </c>
      <c r="W206" s="20">
        <f t="shared" si="47"/>
        <v>-3.375</v>
      </c>
      <c r="X206" s="20">
        <f t="shared" si="47"/>
        <v>-16.274999999999999</v>
      </c>
      <c r="Y206" s="20">
        <f t="shared" si="45"/>
        <v>4.7851851851851848</v>
      </c>
      <c r="Z206" s="20">
        <f t="shared" si="48"/>
        <v>-8.1763751055386464</v>
      </c>
      <c r="AA206" s="19">
        <f>+AVERAGE(M204:M206)*AVERAGE($F$15:F206)</f>
        <v>-1.771205365993511</v>
      </c>
      <c r="AB206" s="19">
        <f t="shared" si="49"/>
        <v>-82.992117454752943</v>
      </c>
      <c r="AC206" s="19">
        <f t="shared" si="50"/>
        <v>12.018280028870004</v>
      </c>
      <c r="AD206" s="21">
        <f t="shared" si="51"/>
        <v>-46.137712371701674</v>
      </c>
      <c r="AE206" s="19"/>
      <c r="AG206" s="20">
        <f>(V206- AVERAGE(V$41:V206))/_xlfn.STDEV.S(V171:V206)</f>
        <v>-2.0608512331974254</v>
      </c>
      <c r="AH206" s="20">
        <f>(W206- AVERAGE(W$41:W206))/_xlfn.STDEV.S(W171:W206)</f>
        <v>-0.19809829432861253</v>
      </c>
      <c r="AI206" s="20">
        <f>(X206- AVERAGE(X$41:X206))/_xlfn.STDEV.S(X171:X206)</f>
        <v>-2.0302990538784917</v>
      </c>
      <c r="AJ206" s="20">
        <f>(Y206- AVERAGE(Y$41:Y206))/_xlfn.STDEV.S(Y171:Y206)</f>
        <v>7.051314587384222E-2</v>
      </c>
      <c r="AK206" s="20">
        <f>(Z206- AVERAGE(Z$41:Z206))/_xlfn.STDEV.S(Z171:Z206)</f>
        <v>-1.3298843983680357</v>
      </c>
      <c r="AL206" s="20">
        <f>(AA206- AVERAGE(AA$41:AA206))/_xlfn.STDEV.S(AA171:AA206)</f>
        <v>-0.28818549529741233</v>
      </c>
      <c r="AM206" s="20">
        <f>(AB206- AVERAGE(AB$41:AB206))/_xlfn.STDEV.S(AB171:AB206)</f>
        <v>-2.4595561062464197</v>
      </c>
      <c r="AN206" s="20">
        <f>(AC206- AVERAGE(AC$41:AC206))/_xlfn.STDEV.S(AC171:AC206)</f>
        <v>0.74767775023728578</v>
      </c>
      <c r="AO206" s="24">
        <f>(AD206- AVERAGE(AD$41:AD206))/_xlfn.STDEV.S(AD171:AD206)</f>
        <v>-2.3998968534274585</v>
      </c>
      <c r="AP206" s="20"/>
      <c r="AQ206" s="20">
        <f t="shared" si="59"/>
        <v>-2.0608512331974254</v>
      </c>
      <c r="AR206" s="20">
        <f t="shared" si="60"/>
        <v>-0.19809829432861253</v>
      </c>
      <c r="AS206" s="20">
        <f t="shared" si="61"/>
        <v>-2.0302990538784917</v>
      </c>
      <c r="AT206" s="20">
        <f t="shared" si="63"/>
        <v>7.051314587384222E-2</v>
      </c>
      <c r="AU206" s="20">
        <f t="shared" si="64"/>
        <v>-1.3298843983680357</v>
      </c>
      <c r="AV206" s="20">
        <f t="shared" si="65"/>
        <v>-0.28818549529741233</v>
      </c>
      <c r="AW206" s="20">
        <f t="shared" si="66"/>
        <v>-2.4595561062464197</v>
      </c>
      <c r="AX206" s="20">
        <f t="shared" si="67"/>
        <v>0.74767775023728578</v>
      </c>
      <c r="AY206" s="20">
        <f t="shared" si="68"/>
        <v>-2.3998968534274585</v>
      </c>
      <c r="AZ206" s="22">
        <f t="shared" si="69"/>
        <v>-1.1053978376258589</v>
      </c>
      <c r="BA206" s="1">
        <f>+_xlfn.XLOOKUP(A206,[1]Indice!B:B,[1]Indice!AI:AI,"NOOOOOO",-1)</f>
        <v>0.3813221852407957</v>
      </c>
    </row>
    <row r="207" spans="1:53" x14ac:dyDescent="0.25">
      <c r="A207" s="2">
        <v>44196</v>
      </c>
      <c r="B207" s="15">
        <v>3544</v>
      </c>
      <c r="C207" s="19">
        <v>-34.05284704131001</v>
      </c>
      <c r="D207" s="15">
        <v>3908</v>
      </c>
      <c r="E207" s="19">
        <v>403.84</v>
      </c>
      <c r="F207" s="18">
        <v>0.24078347860538826</v>
      </c>
      <c r="G207" s="1">
        <v>-1.4</v>
      </c>
      <c r="H207" s="1">
        <v>-18.399999999999999</v>
      </c>
      <c r="I207" s="16">
        <v>34.200000000000003</v>
      </c>
      <c r="J207" s="1">
        <v>479.77600000000001</v>
      </c>
      <c r="K207" s="1">
        <v>-7.2159724921628694</v>
      </c>
      <c r="L207" s="1">
        <v>124.515</v>
      </c>
      <c r="M207" s="1">
        <v>0.90438334184230751</v>
      </c>
      <c r="N207" s="1">
        <v>-70.930944990214002</v>
      </c>
      <c r="O207" s="1">
        <v>493469</v>
      </c>
      <c r="P207" s="1">
        <v>14.787995236057094</v>
      </c>
      <c r="Q207" s="1">
        <v>-19.071954210956665</v>
      </c>
      <c r="R207" s="1">
        <v>-4.3</v>
      </c>
      <c r="S207" s="1">
        <v>-2.438333333333333</v>
      </c>
      <c r="T207" s="3">
        <v>49.8</v>
      </c>
      <c r="V207" s="20">
        <f t="shared" si="46"/>
        <v>-23.669249355688578</v>
      </c>
      <c r="W207" s="20">
        <f t="shared" si="47"/>
        <v>-1.8283333333333336</v>
      </c>
      <c r="X207" s="20">
        <f t="shared" si="47"/>
        <v>-16.061666666666667</v>
      </c>
      <c r="Y207" s="20">
        <f t="shared" si="45"/>
        <v>4.2600000000000016</v>
      </c>
      <c r="Z207" s="20">
        <f t="shared" si="48"/>
        <v>-7.5873688703231004</v>
      </c>
      <c r="AA207" s="19">
        <f>+AVERAGE(M205:M207)*AVERAGE($F$15:F207)</f>
        <v>-1.0199834398465362</v>
      </c>
      <c r="AB207" s="19">
        <f t="shared" si="49"/>
        <v>-82.14734032669422</v>
      </c>
      <c r="AC207" s="19">
        <f t="shared" si="50"/>
        <v>11.443820543503856</v>
      </c>
      <c r="AD207" s="21">
        <f t="shared" si="51"/>
        <v>-37.647379366916105</v>
      </c>
      <c r="AE207" s="19"/>
      <c r="AG207" s="20">
        <f>(V207- AVERAGE(V$41:V207))/_xlfn.STDEV.S(V172:V207)</f>
        <v>-2.4074697330180563</v>
      </c>
      <c r="AH207" s="20">
        <f>(W207- AVERAGE(W$41:W207))/_xlfn.STDEV.S(W172:W207)</f>
        <v>8.7205138858549039E-2</v>
      </c>
      <c r="AI207" s="20">
        <f>(X207- AVERAGE(X$41:X207))/_xlfn.STDEV.S(X172:X207)</f>
        <v>-1.9565232713705851</v>
      </c>
      <c r="AJ207" s="20">
        <f>(Y207- AVERAGE(Y$41:Y207))/_xlfn.STDEV.S(Y172:Y207)</f>
        <v>3.7070949533709568E-2</v>
      </c>
      <c r="AK207" s="20">
        <f>(Z207- AVERAGE(Z$41:Z207))/_xlfn.STDEV.S(Z172:Z207)</f>
        <v>-1.1545937548787053</v>
      </c>
      <c r="AL207" s="20">
        <f>(AA207- AVERAGE(AA$41:AA207))/_xlfn.STDEV.S(AA172:AA207)</f>
        <v>-0.11096409100820341</v>
      </c>
      <c r="AM207" s="20">
        <f>(AB207- AVERAGE(AB$41:AB207))/_xlfn.STDEV.S(AB172:AB207)</f>
        <v>-2.2625017946675912</v>
      </c>
      <c r="AN207" s="20">
        <f>(AC207- AVERAGE(AC$41:AC207))/_xlfn.STDEV.S(AC172:AC207)</f>
        <v>0.68825838519798199</v>
      </c>
      <c r="AO207" s="24">
        <f>(AD207- AVERAGE(AD$41:AD207))/_xlfn.STDEV.S(AD172:AD207)</f>
        <v>-2.0678758445683934</v>
      </c>
      <c r="AP207" s="20"/>
      <c r="AQ207" s="20">
        <f t="shared" si="59"/>
        <v>-2.4074697330180563</v>
      </c>
      <c r="AR207" s="20">
        <f t="shared" si="60"/>
        <v>8.7205138858549039E-2</v>
      </c>
      <c r="AS207" s="20">
        <f t="shared" si="61"/>
        <v>-1.9565232713705851</v>
      </c>
      <c r="AT207" s="20">
        <f t="shared" si="63"/>
        <v>3.7070949533709568E-2</v>
      </c>
      <c r="AU207" s="20">
        <f t="shared" si="64"/>
        <v>-1.1545937548787053</v>
      </c>
      <c r="AV207" s="20">
        <f t="shared" si="65"/>
        <v>-0.11096409100820341</v>
      </c>
      <c r="AW207" s="20">
        <f t="shared" si="66"/>
        <v>-2.2625017946675912</v>
      </c>
      <c r="AX207" s="20">
        <f t="shared" si="67"/>
        <v>0.68825838519798199</v>
      </c>
      <c r="AY207" s="20">
        <f t="shared" si="68"/>
        <v>-2.0678758445683934</v>
      </c>
      <c r="AZ207" s="22">
        <f t="shared" si="69"/>
        <v>-1.0163771128801438</v>
      </c>
      <c r="BA207" s="1">
        <f>+_xlfn.XLOOKUP(A207,[1]Indice!B:B,[1]Indice!AI:AI,"NOOOOOO",-1)</f>
        <v>0.3755511318999859</v>
      </c>
    </row>
    <row r="208" spans="1:53" x14ac:dyDescent="0.25">
      <c r="A208" s="2">
        <v>44227</v>
      </c>
      <c r="B208" s="15">
        <v>4912</v>
      </c>
      <c r="C208" s="19">
        <v>7.2723302031011183</v>
      </c>
      <c r="D208" s="15">
        <v>3844</v>
      </c>
      <c r="E208" s="19">
        <v>403.84</v>
      </c>
      <c r="F208" s="18">
        <v>0.24237321711568938</v>
      </c>
      <c r="G208" s="1">
        <v>-1.8</v>
      </c>
      <c r="H208" s="1">
        <v>-13.6</v>
      </c>
      <c r="I208" s="16">
        <v>38.4</v>
      </c>
      <c r="J208" s="1">
        <v>487.39</v>
      </c>
      <c r="K208" s="1">
        <v>-5.044955531527318</v>
      </c>
      <c r="L208" s="1">
        <v>122.98099999999999</v>
      </c>
      <c r="M208" s="1">
        <v>2.9888118447057188</v>
      </c>
      <c r="N208" s="1">
        <v>-70.491367486491185</v>
      </c>
      <c r="O208" s="1">
        <v>475659</v>
      </c>
      <c r="P208" s="1">
        <v>9.3446342489465817</v>
      </c>
      <c r="Q208" s="1">
        <v>4.1505718397333968</v>
      </c>
      <c r="R208" s="1">
        <v>-4.3</v>
      </c>
      <c r="S208" s="1">
        <v>-2.5516666666666667</v>
      </c>
      <c r="T208" s="3">
        <v>49.35</v>
      </c>
      <c r="V208" s="20">
        <f t="shared" si="46"/>
        <v>-14.254577223121501</v>
      </c>
      <c r="W208" s="20">
        <f t="shared" si="47"/>
        <v>0.11833333333333362</v>
      </c>
      <c r="X208" s="20">
        <f t="shared" si="47"/>
        <v>-13.948333333333334</v>
      </c>
      <c r="Y208" s="20">
        <f t="shared" si="45"/>
        <v>4.8556547619047628</v>
      </c>
      <c r="Z208" s="20">
        <f t="shared" si="48"/>
        <v>-6.6888025380987921</v>
      </c>
      <c r="AA208" s="19">
        <f>+AVERAGE(M206:M208)*AVERAGE($F$15:F208)</f>
        <v>0.17278022779957472</v>
      </c>
      <c r="AB208" s="19">
        <f t="shared" si="49"/>
        <v>-74.209446010084747</v>
      </c>
      <c r="AC208" s="19">
        <f t="shared" si="50"/>
        <v>11.096947197191957</v>
      </c>
      <c r="AD208" s="21">
        <f t="shared" si="51"/>
        <v>-19.567255803480073</v>
      </c>
      <c r="AE208" s="19"/>
      <c r="AG208" s="20">
        <f>(V208- AVERAGE(V$41:V208))/_xlfn.STDEV.S(V173:V208)</f>
        <v>-1.4005620673114232</v>
      </c>
      <c r="AH208" s="20">
        <f>(W208- AVERAGE(W$41:W208))/_xlfn.STDEV.S(W173:W208)</f>
        <v>0.46106757192918124</v>
      </c>
      <c r="AI208" s="20">
        <f>(X208- AVERAGE(X$41:X208))/_xlfn.STDEV.S(X173:X208)</f>
        <v>-1.6570785114095858</v>
      </c>
      <c r="AJ208" s="20">
        <f>(Y208- AVERAGE(Y$41:Y208))/_xlfn.STDEV.S(Y173:Y208)</f>
        <v>7.5223263114321565E-2</v>
      </c>
      <c r="AK208" s="20">
        <f>(Z208- AVERAGE(Z$41:Z208))/_xlfn.STDEV.S(Z173:Z208)</f>
        <v>-0.93748035048134459</v>
      </c>
      <c r="AL208" s="20">
        <f>(AA208- AVERAGE(AA$41:AA208))/_xlfn.STDEV.S(AA173:AA208)</f>
        <v>0.16708031173667709</v>
      </c>
      <c r="AM208" s="20">
        <f>(AB208- AVERAGE(AB$41:AB208))/_xlfn.STDEV.S(AB173:AB208)</f>
        <v>-1.9017698084238102</v>
      </c>
      <c r="AN208" s="20">
        <f>(AC208- AVERAGE(AC$41:AC208))/_xlfn.STDEV.S(AC173:AC208)</f>
        <v>0.65691479989626889</v>
      </c>
      <c r="AO208" s="24">
        <f>(AD208- AVERAGE(AD$41:AD208))/_xlfn.STDEV.S(AD173:AD208)</f>
        <v>-1.3386301410470309</v>
      </c>
      <c r="AP208" s="20"/>
      <c r="AQ208" s="20">
        <f t="shared" si="59"/>
        <v>-1.4005620673114232</v>
      </c>
      <c r="AR208" s="20">
        <f t="shared" si="60"/>
        <v>0.46106757192918124</v>
      </c>
      <c r="AS208" s="20">
        <f t="shared" si="61"/>
        <v>-1.6570785114095858</v>
      </c>
      <c r="AT208" s="20">
        <f t="shared" si="63"/>
        <v>7.5223263114321565E-2</v>
      </c>
      <c r="AU208" s="20">
        <f t="shared" si="64"/>
        <v>-0.93748035048134459</v>
      </c>
      <c r="AV208" s="20">
        <f t="shared" si="65"/>
        <v>0.16708031173667709</v>
      </c>
      <c r="AW208" s="20">
        <f t="shared" si="66"/>
        <v>-1.9017698084238102</v>
      </c>
      <c r="AX208" s="20">
        <f t="shared" si="67"/>
        <v>0.65691479989626889</v>
      </c>
      <c r="AY208" s="20">
        <f t="shared" si="68"/>
        <v>-1.3386301410470309</v>
      </c>
      <c r="AZ208" s="22">
        <f t="shared" si="69"/>
        <v>-0.65280388133297185</v>
      </c>
      <c r="BA208" s="1">
        <f>+_xlfn.XLOOKUP(A208,[1]Indice!B:B,[1]Indice!AI:AI,"NOOOOOO",-1)</f>
        <v>0.35773375059533713</v>
      </c>
    </row>
    <row r="209" spans="1:53" x14ac:dyDescent="0.25">
      <c r="A209" s="2">
        <v>44255</v>
      </c>
      <c r="B209" s="15">
        <v>4775</v>
      </c>
      <c r="C209" s="19">
        <v>9.0680676107811831</v>
      </c>
      <c r="D209" s="15">
        <v>3713</v>
      </c>
      <c r="E209" s="19">
        <v>403.84</v>
      </c>
      <c r="F209" s="18">
        <v>0.24464887083993661</v>
      </c>
      <c r="G209" s="1">
        <v>-2.1</v>
      </c>
      <c r="H209" s="1">
        <v>-13.5</v>
      </c>
      <c r="I209" s="16">
        <v>42.7</v>
      </c>
      <c r="J209" s="1">
        <v>492.66</v>
      </c>
      <c r="K209" s="1">
        <v>-4.5720794012365733</v>
      </c>
      <c r="L209" s="1">
        <v>122.15</v>
      </c>
      <c r="M209" s="1">
        <v>2.7005666818006091</v>
      </c>
      <c r="N209" s="1">
        <v>-65.400649063235662</v>
      </c>
      <c r="O209" s="1">
        <v>484605</v>
      </c>
      <c r="P209" s="1">
        <v>9.1160252094596217</v>
      </c>
      <c r="Q209" s="1">
        <v>9.7553856033627095</v>
      </c>
      <c r="R209" s="1">
        <v>-4.3</v>
      </c>
      <c r="S209" s="1">
        <v>-2.665</v>
      </c>
      <c r="T209" s="3">
        <v>44.95</v>
      </c>
      <c r="V209" s="20">
        <f t="shared" si="46"/>
        <v>-3.2391497424759015</v>
      </c>
      <c r="W209" s="20">
        <f t="shared" si="47"/>
        <v>0.89833333333333321</v>
      </c>
      <c r="X209" s="20">
        <f t="shared" si="47"/>
        <v>-12.501666666666665</v>
      </c>
      <c r="Y209" s="20">
        <f t="shared" si="45"/>
        <v>7.4070175438596451</v>
      </c>
      <c r="Z209" s="20">
        <f t="shared" si="48"/>
        <v>-5.6110024749755878</v>
      </c>
      <c r="AA209" s="19">
        <f>+AVERAGE(M207:M209)*AVERAGE($F$15:F209)</f>
        <v>0.59145256436517701</v>
      </c>
      <c r="AB209" s="19">
        <f t="shared" si="49"/>
        <v>-68.940987179980297</v>
      </c>
      <c r="AC209" s="19">
        <f t="shared" si="50"/>
        <v>11.082884898154433</v>
      </c>
      <c r="AD209" s="21">
        <f t="shared" si="51"/>
        <v>-1.7219989226201864</v>
      </c>
      <c r="AE209" s="19"/>
      <c r="AG209" s="20">
        <f>(V209- AVERAGE(V$41:V209))/_xlfn.STDEV.S(V174:V209)</f>
        <v>-0.30793104079514083</v>
      </c>
      <c r="AH209" s="20">
        <f>(W209- AVERAGE(W$41:W209))/_xlfn.STDEV.S(W174:W209)</f>
        <v>0.61785224718278897</v>
      </c>
      <c r="AI209" s="20">
        <f>(X209- AVERAGE(X$41:X209))/_xlfn.STDEV.S(X174:X209)</f>
        <v>-1.4585278063519869</v>
      </c>
      <c r="AJ209" s="20">
        <f>(Y209- AVERAGE(Y$41:Y209))/_xlfn.STDEV.S(Y174:Y209)</f>
        <v>0.24033304667257246</v>
      </c>
      <c r="AK209" s="20">
        <f>(Z209- AVERAGE(Z$41:Z209))/_xlfn.STDEV.S(Z174:Z209)</f>
        <v>-0.70131584369515931</v>
      </c>
      <c r="AL209" s="20">
        <f>(AA209- AVERAGE(AA$41:AA209))/_xlfn.STDEV.S(AA174:AA209)</f>
        <v>0.26270232515193281</v>
      </c>
      <c r="AM209" s="20">
        <f>(AB209- AVERAGE(AB$41:AB209))/_xlfn.STDEV.S(AB174:AB209)</f>
        <v>-1.6761284780731931</v>
      </c>
      <c r="AN209" s="20">
        <f>(AC209- AVERAGE(AC$41:AC209))/_xlfn.STDEV.S(AC174:AC209)</f>
        <v>0.66598022471056095</v>
      </c>
      <c r="AO209" s="24">
        <f>(AD209- AVERAGE(AD$41:AD209))/_xlfn.STDEV.S(AD174:AD209)</f>
        <v>-0.58304934853904999</v>
      </c>
      <c r="AP209" s="20"/>
      <c r="AQ209" s="20">
        <f t="shared" si="59"/>
        <v>-0.30793104079514083</v>
      </c>
      <c r="AR209" s="20">
        <f t="shared" si="60"/>
        <v>0.61785224718278897</v>
      </c>
      <c r="AS209" s="20">
        <f t="shared" si="61"/>
        <v>-1.4585278063519869</v>
      </c>
      <c r="AT209" s="20">
        <f t="shared" si="63"/>
        <v>0.24033304667257246</v>
      </c>
      <c r="AU209" s="20">
        <f t="shared" si="64"/>
        <v>-0.70131584369515931</v>
      </c>
      <c r="AV209" s="20">
        <f t="shared" si="65"/>
        <v>0.26270232515193281</v>
      </c>
      <c r="AW209" s="20">
        <f t="shared" si="66"/>
        <v>-1.6761284780731931</v>
      </c>
      <c r="AX209" s="20">
        <f t="shared" si="67"/>
        <v>0.66598022471056095</v>
      </c>
      <c r="AY209" s="20">
        <f t="shared" si="68"/>
        <v>-0.58304934853904999</v>
      </c>
      <c r="AZ209" s="22">
        <f t="shared" si="69"/>
        <v>-0.32667607485963052</v>
      </c>
      <c r="BA209" s="1">
        <f>+_xlfn.XLOOKUP(A209,[1]Indice!B:B,[1]Indice!AI:AI,"NOOOOOO",-1)</f>
        <v>0.36364156740938935</v>
      </c>
    </row>
    <row r="210" spans="1:53" x14ac:dyDescent="0.25">
      <c r="A210" s="2">
        <v>44286</v>
      </c>
      <c r="B210" s="15">
        <v>5720</v>
      </c>
      <c r="C210" s="19">
        <v>30.504220853296825</v>
      </c>
      <c r="D210" s="15">
        <v>5320</v>
      </c>
      <c r="E210" s="19">
        <v>415</v>
      </c>
      <c r="F210" s="18">
        <v>0.24651084337349397</v>
      </c>
      <c r="G210" s="1">
        <v>13.8</v>
      </c>
      <c r="H210" s="1">
        <v>2.2999999999999998</v>
      </c>
      <c r="I210" s="16">
        <v>46.3</v>
      </c>
      <c r="J210" s="1">
        <v>497.404</v>
      </c>
      <c r="K210" s="1">
        <v>-4.064774079567357</v>
      </c>
      <c r="L210" s="1">
        <v>117.788</v>
      </c>
      <c r="M210" s="1">
        <v>4.7060287659786315</v>
      </c>
      <c r="N210" s="1">
        <v>-58.981627611161301</v>
      </c>
      <c r="O210" s="1">
        <v>501835</v>
      </c>
      <c r="P210" s="1">
        <v>6.9570517889226746</v>
      </c>
      <c r="Q210" s="1">
        <v>111.67029098063578</v>
      </c>
      <c r="R210" s="1">
        <v>3.2</v>
      </c>
      <c r="S210" s="1">
        <v>-2.623333333333334</v>
      </c>
      <c r="T210" s="3">
        <v>43.1</v>
      </c>
      <c r="V210" s="20">
        <f t="shared" si="46"/>
        <v>18.238206222393043</v>
      </c>
      <c r="W210" s="20">
        <f t="shared" si="47"/>
        <v>5.9233333333333338</v>
      </c>
      <c r="X210" s="20">
        <f t="shared" si="47"/>
        <v>-5.6433333333333335</v>
      </c>
      <c r="Y210" s="20">
        <f t="shared" si="45"/>
        <v>11.232183908045972</v>
      </c>
      <c r="Z210" s="20">
        <f t="shared" si="48"/>
        <v>-4.5606030041104164</v>
      </c>
      <c r="AA210" s="19">
        <f>+AVERAGE(M208:M210)*AVERAGE($F$15:F210)</f>
        <v>0.93205632211403011</v>
      </c>
      <c r="AB210" s="19">
        <f t="shared" si="49"/>
        <v>-64.957881386962711</v>
      </c>
      <c r="AC210" s="19">
        <f t="shared" si="50"/>
        <v>8.4725704157762944</v>
      </c>
      <c r="AD210" s="21">
        <f t="shared" si="51"/>
        <v>41.858749474577301</v>
      </c>
      <c r="AE210" s="19"/>
      <c r="AG210" s="20">
        <f>(V210- AVERAGE(V$41:V210))/_xlfn.STDEV.S(V175:V210)</f>
        <v>1.7815820122027117</v>
      </c>
      <c r="AH210" s="20">
        <f>(W210- AVERAGE(W$41:W210))/_xlfn.STDEV.S(W175:W210)</f>
        <v>1.551066799891069</v>
      </c>
      <c r="AI210" s="20">
        <f>(X210- AVERAGE(X$41:X210))/_xlfn.STDEV.S(X175:X210)</f>
        <v>-0.55228133992717676</v>
      </c>
      <c r="AJ210" s="20">
        <f>(Y210- AVERAGE(Y$41:Y210))/_xlfn.STDEV.S(Y175:Y210)</f>
        <v>0.4923968309952097</v>
      </c>
      <c r="AK210" s="20">
        <f>(Z210- AVERAGE(Z$41:Z210))/_xlfn.STDEV.S(Z175:Z210)</f>
        <v>-0.48236595457534431</v>
      </c>
      <c r="AL210" s="20">
        <f>(AA210- AVERAGE(AA$41:AA210))/_xlfn.STDEV.S(AA175:AA210)</f>
        <v>0.33911558349872745</v>
      </c>
      <c r="AM210" s="20">
        <f>(AB210- AVERAGE(AB$41:AB210))/_xlfn.STDEV.S(AB175:AB210)</f>
        <v>-1.5161562759044085</v>
      </c>
      <c r="AN210" s="20">
        <f>(AC210- AVERAGE(AC$41:AC210))/_xlfn.STDEV.S(AC175:AC210)</f>
        <v>0.44735480615997369</v>
      </c>
      <c r="AO210" s="24">
        <f>(AD210- AVERAGE(AD$41:AD210))/_xlfn.STDEV.S(AD175:AD210)</f>
        <v>1.2301323131083333</v>
      </c>
      <c r="AP210" s="20"/>
      <c r="AQ210" s="20">
        <f t="shared" si="59"/>
        <v>1.7815820122027117</v>
      </c>
      <c r="AR210" s="20">
        <f t="shared" si="60"/>
        <v>1.551066799891069</v>
      </c>
      <c r="AS210" s="20">
        <f t="shared" si="61"/>
        <v>-0.55228133992717676</v>
      </c>
      <c r="AT210" s="20">
        <f t="shared" si="63"/>
        <v>0.4923968309952097</v>
      </c>
      <c r="AU210" s="20">
        <f t="shared" si="64"/>
        <v>-0.48236595457534431</v>
      </c>
      <c r="AV210" s="20">
        <f t="shared" si="65"/>
        <v>0.33911558349872745</v>
      </c>
      <c r="AW210" s="20">
        <f t="shared" si="66"/>
        <v>-1.5161562759044085</v>
      </c>
      <c r="AX210" s="20">
        <f t="shared" si="67"/>
        <v>0.44735480615997369</v>
      </c>
      <c r="AY210" s="20">
        <f t="shared" si="68"/>
        <v>1.2301323131083333</v>
      </c>
      <c r="AZ210" s="22">
        <f t="shared" si="69"/>
        <v>0.36564941949434387</v>
      </c>
      <c r="BA210" s="1">
        <f>+_xlfn.XLOOKUP(A210,[1]Indice!B:B,[1]Indice!AI:AI,"NOOOOOO",-1)</f>
        <v>0.36418962279680833</v>
      </c>
    </row>
    <row r="211" spans="1:53" x14ac:dyDescent="0.25">
      <c r="A211" s="2">
        <v>44316</v>
      </c>
      <c r="B211" s="15">
        <v>6143</v>
      </c>
      <c r="C211" s="19">
        <v>41.250862267187863</v>
      </c>
      <c r="D211" s="15">
        <v>4673</v>
      </c>
      <c r="E211" s="19">
        <v>415</v>
      </c>
      <c r="F211" s="18">
        <v>0.25512048192771086</v>
      </c>
      <c r="G211" s="1">
        <v>30</v>
      </c>
      <c r="H211" s="1">
        <v>18.399999999999999</v>
      </c>
      <c r="I211" s="16">
        <v>52.6</v>
      </c>
      <c r="J211" s="1">
        <v>503.03199999999998</v>
      </c>
      <c r="K211" s="1">
        <v>9.1789096260154857</v>
      </c>
      <c r="L211" s="1">
        <v>117.542</v>
      </c>
      <c r="M211" s="1">
        <v>3.7852633437817307</v>
      </c>
      <c r="N211" s="1">
        <v>-58.779146098080417</v>
      </c>
      <c r="O211" s="1">
        <v>485117</v>
      </c>
      <c r="P211" s="1">
        <v>-8.0575250506509271</v>
      </c>
      <c r="Q211" s="1">
        <v>47.424315564443845</v>
      </c>
      <c r="R211" s="1">
        <v>3.2</v>
      </c>
      <c r="S211" s="1">
        <v>-2.5816666666666674</v>
      </c>
      <c r="T211" s="3">
        <v>43.3</v>
      </c>
      <c r="V211" s="20">
        <f t="shared" si="46"/>
        <v>29.522716910421956</v>
      </c>
      <c r="W211" s="20">
        <f t="shared" si="47"/>
        <v>16.481666666666669</v>
      </c>
      <c r="X211" s="20">
        <f t="shared" si="47"/>
        <v>4.9816666666666674</v>
      </c>
      <c r="Y211" s="20">
        <f t="shared" si="45"/>
        <v>15.761016949152541</v>
      </c>
      <c r="Z211" s="20">
        <f t="shared" si="48"/>
        <v>0.1806853817371851</v>
      </c>
      <c r="AA211" s="19">
        <f>+AVERAGE(M209:M211)*AVERAGE($F$15:F211)</f>
        <v>1.0032039956963348</v>
      </c>
      <c r="AB211" s="19">
        <f t="shared" si="49"/>
        <v>-61.053807590825791</v>
      </c>
      <c r="AC211" s="19">
        <f t="shared" si="50"/>
        <v>2.6718506492437903</v>
      </c>
      <c r="AD211" s="21">
        <f t="shared" si="51"/>
        <v>56.283330716147447</v>
      </c>
      <c r="AE211" s="19"/>
      <c r="AG211" s="20">
        <f>(V211- AVERAGE(V$41:V211))/_xlfn.STDEV.S(V176:V211)</f>
        <v>2.607838604420563</v>
      </c>
      <c r="AH211" s="20">
        <f>(W211- AVERAGE(W$41:W211))/_xlfn.STDEV.S(W176:W211)</f>
        <v>2.9890652736174577</v>
      </c>
      <c r="AI211" s="20">
        <f>(X211- AVERAGE(X$41:X211))/_xlfn.STDEV.S(X176:X211)</f>
        <v>0.84178148527425967</v>
      </c>
      <c r="AJ211" s="20">
        <f>(Y211- AVERAGE(Y$41:Y211))/_xlfn.STDEV.S(Y176:Y211)</f>
        <v>0.79624319747315342</v>
      </c>
      <c r="AK211" s="20">
        <f>(Z211- AVERAGE(Z$41:Z211))/_xlfn.STDEV.S(Z176:Z211)</f>
        <v>0.4563168529480231</v>
      </c>
      <c r="AL211" s="20">
        <f>(AA211- AVERAGE(AA$41:AA211))/_xlfn.STDEV.S(AA176:AA211)</f>
        <v>0.3525605516095901</v>
      </c>
      <c r="AM211" s="20">
        <f>(AB211- AVERAGE(AB$41:AB211))/_xlfn.STDEV.S(AB176:AB211)</f>
        <v>-1.3741817230168827</v>
      </c>
      <c r="AN211" s="20">
        <f>(AC211- AVERAGE(AC$41:AC211))/_xlfn.STDEV.S(AC176:AC211)</f>
        <v>-0.1099976481406737</v>
      </c>
      <c r="AO211" s="24">
        <f>(AD211- AVERAGE(AD$41:AD211))/_xlfn.STDEV.S(AD176:AD211)</f>
        <v>1.6683128256808999</v>
      </c>
      <c r="AP211" s="20"/>
      <c r="AQ211" s="20">
        <f t="shared" si="59"/>
        <v>2.607838604420563</v>
      </c>
      <c r="AR211" s="20">
        <f t="shared" si="60"/>
        <v>2.7512824055678853</v>
      </c>
      <c r="AS211" s="20">
        <f t="shared" si="61"/>
        <v>0.84178148527425967</v>
      </c>
      <c r="AT211" s="20">
        <f t="shared" si="63"/>
        <v>0.79624319747315342</v>
      </c>
      <c r="AU211" s="20">
        <f t="shared" si="64"/>
        <v>0.4563168529480231</v>
      </c>
      <c r="AV211" s="20">
        <f t="shared" si="65"/>
        <v>0.3525605516095901</v>
      </c>
      <c r="AW211" s="20">
        <f t="shared" si="66"/>
        <v>-1.3741817230168827</v>
      </c>
      <c r="AX211" s="20">
        <f t="shared" si="67"/>
        <v>-0.1099976481406737</v>
      </c>
      <c r="AY211" s="20">
        <f t="shared" si="68"/>
        <v>1.6683128256808999</v>
      </c>
      <c r="AZ211" s="22">
        <f t="shared" si="69"/>
        <v>0.88779517242409101</v>
      </c>
      <c r="BA211" s="1">
        <f>+_xlfn.XLOOKUP(A211,[1]Indice!B:B,[1]Indice!AI:AI,"NOOOOOO",-1)</f>
        <v>0.35117999257507915</v>
      </c>
    </row>
    <row r="212" spans="1:53" x14ac:dyDescent="0.25">
      <c r="A212" s="2">
        <v>44347</v>
      </c>
      <c r="B212" s="15">
        <v>6813</v>
      </c>
      <c r="C212" s="19">
        <v>34.166994879873954</v>
      </c>
      <c r="D212" s="15">
        <v>5141</v>
      </c>
      <c r="E212" s="19">
        <v>415</v>
      </c>
      <c r="F212" s="18">
        <v>0.26406024096385544</v>
      </c>
      <c r="G212" s="1">
        <v>15.4</v>
      </c>
      <c r="H212" s="1">
        <v>8.1</v>
      </c>
      <c r="I212" s="16">
        <v>60</v>
      </c>
      <c r="J212" s="1">
        <v>504.40499999999997</v>
      </c>
      <c r="K212" s="1">
        <v>12.674404578413355</v>
      </c>
      <c r="L212" s="1">
        <v>117.88200000000001</v>
      </c>
      <c r="M212" s="1">
        <v>2.7168798577951403</v>
      </c>
      <c r="N212" s="1">
        <v>-66.930882232585347</v>
      </c>
      <c r="O212" s="1">
        <v>479270</v>
      </c>
      <c r="P212" s="1">
        <v>-9.9700382270895727</v>
      </c>
      <c r="Q212" s="1">
        <v>137.33391417991726</v>
      </c>
      <c r="R212" s="1">
        <v>3.2</v>
      </c>
      <c r="S212" s="1">
        <v>-2.5400000000000005</v>
      </c>
      <c r="T212" s="3">
        <v>43.26</v>
      </c>
      <c r="V212" s="20">
        <f t="shared" si="46"/>
        <v>37.847359333452879</v>
      </c>
      <c r="W212" s="20">
        <f t="shared" si="47"/>
        <v>22.27333333333333</v>
      </c>
      <c r="X212" s="20">
        <f t="shared" si="47"/>
        <v>12.14</v>
      </c>
      <c r="Y212" s="20">
        <f t="shared" si="45"/>
        <v>21.330666666666669</v>
      </c>
      <c r="Z212" s="20">
        <f t="shared" si="48"/>
        <v>5.929513374953828</v>
      </c>
      <c r="AA212" s="19">
        <f>+AVERAGE(M210:M212)*AVERAGE($F$15:F212)</f>
        <v>1.0045747333383643</v>
      </c>
      <c r="AB212" s="19">
        <f t="shared" si="49"/>
        <v>-61.563885313942357</v>
      </c>
      <c r="AC212" s="19">
        <f t="shared" si="50"/>
        <v>-3.6901704962726085</v>
      </c>
      <c r="AD212" s="21">
        <f t="shared" si="51"/>
        <v>98.809506908332295</v>
      </c>
      <c r="AE212" s="19"/>
      <c r="AG212" s="20">
        <f>(V212- AVERAGE(V$41:V212))/_xlfn.STDEV.S(V177:V212)</f>
        <v>2.9055180908450979</v>
      </c>
      <c r="AH212" s="20">
        <f>(W212- AVERAGE(W$41:W212))/_xlfn.STDEV.S(W177:W212)</f>
        <v>3.1944974615455721</v>
      </c>
      <c r="AI212" s="20">
        <f>(X212- AVERAGE(X$41:X212))/_xlfn.STDEV.S(X177:X212)</f>
        <v>1.6358616654750335</v>
      </c>
      <c r="AJ212" s="20">
        <f>(Y212- AVERAGE(Y$41:Y212))/_xlfn.STDEV.S(Y177:Y212)</f>
        <v>1.1766816082569442</v>
      </c>
      <c r="AK212" s="20">
        <f>(Z212- AVERAGE(Z$41:Z212))/_xlfn.STDEV.S(Z177:Z212)</f>
        <v>1.5707923877949621</v>
      </c>
      <c r="AL212" s="20">
        <f>(AA212- AVERAGE(AA$41:AA212))/_xlfn.STDEV.S(AA177:AA212)</f>
        <v>0.35005236307894466</v>
      </c>
      <c r="AM212" s="20">
        <f>(AB212- AVERAGE(AB$41:AB212))/_xlfn.STDEV.S(AB177:AB212)</f>
        <v>-1.3780184874599952</v>
      </c>
      <c r="AN212" s="20">
        <f>(AC212- AVERAGE(AC$41:AC212))/_xlfn.STDEV.S(AC177:AC212)</f>
        <v>-0.79804327238125772</v>
      </c>
      <c r="AO212" s="24">
        <f>(AD212- AVERAGE(AD$41:AD212))/_xlfn.STDEV.S(AD177:AD212)</f>
        <v>2.7288837159534158</v>
      </c>
      <c r="AP212" s="20"/>
      <c r="AQ212" s="20">
        <f t="shared" si="59"/>
        <v>2.9055180908450979</v>
      </c>
      <c r="AR212" s="20">
        <f t="shared" si="60"/>
        <v>2.7512824055678853</v>
      </c>
      <c r="AS212" s="20">
        <f t="shared" si="61"/>
        <v>1.6358616654750335</v>
      </c>
      <c r="AT212" s="20">
        <f t="shared" si="63"/>
        <v>1.1766816082569442</v>
      </c>
      <c r="AU212" s="20">
        <f t="shared" si="64"/>
        <v>1.5707923877949621</v>
      </c>
      <c r="AV212" s="20">
        <f t="shared" si="65"/>
        <v>0.35005236307894466</v>
      </c>
      <c r="AW212" s="20">
        <f t="shared" si="66"/>
        <v>-1.3780184874599952</v>
      </c>
      <c r="AX212" s="20">
        <f t="shared" si="67"/>
        <v>-0.79804327238125772</v>
      </c>
      <c r="AY212" s="20">
        <f t="shared" si="68"/>
        <v>2.7288837159534158</v>
      </c>
      <c r="AZ212" s="22">
        <f t="shared" si="69"/>
        <v>1.2158900530145589</v>
      </c>
      <c r="BA212" s="1">
        <f>+_xlfn.XLOOKUP(A212,[1]Indice!B:B,[1]Indice!AI:AI,"NOOOOOO",-1)</f>
        <v>0.355515899662324</v>
      </c>
    </row>
    <row r="213" spans="1:53" x14ac:dyDescent="0.25">
      <c r="A213" s="2">
        <v>44377</v>
      </c>
      <c r="B213" s="15">
        <v>7010</v>
      </c>
      <c r="C213" s="19">
        <v>46.468867530296706</v>
      </c>
      <c r="D213" s="15">
        <v>5909</v>
      </c>
      <c r="E213" s="19">
        <v>492.72</v>
      </c>
      <c r="F213" s="18">
        <v>0.23221911024516967</v>
      </c>
      <c r="G213" s="1">
        <v>12.4</v>
      </c>
      <c r="H213" s="1">
        <v>9.5</v>
      </c>
      <c r="I213" s="16">
        <v>62.2</v>
      </c>
      <c r="J213" s="1">
        <v>502.59800000000001</v>
      </c>
      <c r="K213" s="1">
        <v>7.5681078339258301</v>
      </c>
      <c r="L213" s="1">
        <v>115.97199999999999</v>
      </c>
      <c r="M213" s="1">
        <v>-0.11541177889170529</v>
      </c>
      <c r="N213" s="1">
        <v>-71.104310606856316</v>
      </c>
      <c r="O213" s="1">
        <v>452342</v>
      </c>
      <c r="P213" s="1">
        <v>-15.21666194962954</v>
      </c>
      <c r="Q213" s="1">
        <v>74.304165908677462</v>
      </c>
      <c r="R213" s="1">
        <v>18.7</v>
      </c>
      <c r="S213" s="1">
        <v>-2.1633333333333344</v>
      </c>
      <c r="T213" s="3">
        <v>42.9</v>
      </c>
      <c r="V213" s="20">
        <f t="shared" si="46"/>
        <v>42.79224155911951</v>
      </c>
      <c r="W213" s="20">
        <f t="shared" si="47"/>
        <v>21.43</v>
      </c>
      <c r="X213" s="20">
        <f t="shared" si="47"/>
        <v>14.163333333333334</v>
      </c>
      <c r="Y213" s="20">
        <f t="shared" si="45"/>
        <v>26.274000000000008</v>
      </c>
      <c r="Z213" s="20">
        <f t="shared" si="48"/>
        <v>9.8071406794515568</v>
      </c>
      <c r="AA213" s="19">
        <f>+AVERAGE(M211:M213)*AVERAGE($F$15:F213)</f>
        <v>0.57204265185565584</v>
      </c>
      <c r="AB213" s="19">
        <f t="shared" si="49"/>
        <v>-65.604779645840694</v>
      </c>
      <c r="AC213" s="19">
        <f t="shared" si="50"/>
        <v>-11.081408409123346</v>
      </c>
      <c r="AD213" s="21">
        <f t="shared" si="51"/>
        <v>86.354131884346188</v>
      </c>
      <c r="AE213" s="19"/>
      <c r="AG213" s="20">
        <f>(V213- AVERAGE(V$41:V213))/_xlfn.STDEV.S(V178:V213)</f>
        <v>2.8732829857676072</v>
      </c>
      <c r="AH213" s="20">
        <f>(W213- AVERAGE(W$41:W213))/_xlfn.STDEV.S(W178:W213)</f>
        <v>2.6993449192935879</v>
      </c>
      <c r="AI213" s="20">
        <f>(X213- AVERAGE(X$41:X213))/_xlfn.STDEV.S(X178:X213)</f>
        <v>1.7288012161010251</v>
      </c>
      <c r="AJ213" s="20">
        <f>(Y213- AVERAGE(Y$41:Y213))/_xlfn.STDEV.S(Y178:Y213)</f>
        <v>1.5138948732596504</v>
      </c>
      <c r="AK213" s="20">
        <f>(Z213- AVERAGE(Z$41:Z213))/_xlfn.STDEV.S(Z178:Z213)</f>
        <v>2.2359245732873232</v>
      </c>
      <c r="AL213" s="20">
        <f>(AA213- AVERAGE(AA$41:AA213))/_xlfn.STDEV.S(AA178:AA213)</f>
        <v>0.24921362993118074</v>
      </c>
      <c r="AM213" s="20">
        <f>(AB213- AVERAGE(AB$41:AB213))/_xlfn.STDEV.S(AB178:AB213)</f>
        <v>-1.4921486470478862</v>
      </c>
      <c r="AN213" s="20">
        <f>(AC213- AVERAGE(AC$41:AC213))/_xlfn.STDEV.S(AC178:AC213)</f>
        <v>-1.6363703716672848</v>
      </c>
      <c r="AO213" s="24">
        <f>(AD213- AVERAGE(AD$41:AD213))/_xlfn.STDEV.S(AD178:AD213)</f>
        <v>2.0992348165180492</v>
      </c>
      <c r="AP213" s="20"/>
      <c r="AQ213" s="20">
        <f t="shared" si="59"/>
        <v>2.8732829857676072</v>
      </c>
      <c r="AR213" s="20">
        <f t="shared" si="60"/>
        <v>2.6993449192935879</v>
      </c>
      <c r="AS213" s="20">
        <f t="shared" si="61"/>
        <v>1.7288012161010251</v>
      </c>
      <c r="AT213" s="20">
        <f t="shared" si="63"/>
        <v>1.5138948732596504</v>
      </c>
      <c r="AU213" s="20">
        <f t="shared" si="64"/>
        <v>2.2359245732873232</v>
      </c>
      <c r="AV213" s="20">
        <f t="shared" si="65"/>
        <v>0.24921362993118074</v>
      </c>
      <c r="AW213" s="20">
        <f t="shared" si="66"/>
        <v>-1.4921486470478862</v>
      </c>
      <c r="AX213" s="20">
        <f t="shared" si="67"/>
        <v>-1.6363703716672848</v>
      </c>
      <c r="AY213" s="20">
        <f t="shared" si="68"/>
        <v>2.0992348165180492</v>
      </c>
      <c r="AZ213" s="22">
        <f t="shared" si="69"/>
        <v>1.1412419994936949</v>
      </c>
      <c r="BA213" s="1">
        <f>+_xlfn.XLOOKUP(A213,[1]Indice!B:B,[1]Indice!AI:AI,"NOOOOOO",-1)</f>
        <v>0.35005862956621853</v>
      </c>
    </row>
    <row r="214" spans="1:53" x14ac:dyDescent="0.25">
      <c r="A214" s="2">
        <v>44408</v>
      </c>
      <c r="B214" s="15">
        <v>7252</v>
      </c>
      <c r="C214" s="19">
        <v>47.06955992699249</v>
      </c>
      <c r="D214" s="15">
        <v>5715</v>
      </c>
      <c r="E214" s="19">
        <v>492.72</v>
      </c>
      <c r="F214" s="18">
        <v>0.24152459814905017</v>
      </c>
      <c r="G214" s="1">
        <v>11.7</v>
      </c>
      <c r="H214" s="1">
        <v>12.1</v>
      </c>
      <c r="I214" s="16">
        <v>62.9</v>
      </c>
      <c r="J214" s="1">
        <v>511.923</v>
      </c>
      <c r="K214" s="1">
        <v>9.0374084384644782</v>
      </c>
      <c r="L214" s="1">
        <v>113.636</v>
      </c>
      <c r="M214" s="1">
        <v>-6.2494328072534744</v>
      </c>
      <c r="N214" s="1">
        <v>-76.717722477629096</v>
      </c>
      <c r="O214" s="1">
        <v>439225</v>
      </c>
      <c r="P214" s="1">
        <v>-15.304977284822863</v>
      </c>
      <c r="Q214" s="1">
        <v>125.18162283843242</v>
      </c>
      <c r="R214" s="1">
        <v>18.7</v>
      </c>
      <c r="S214" s="1">
        <v>-1.7866666666666675</v>
      </c>
      <c r="T214" s="3">
        <v>43.2</v>
      </c>
      <c r="V214" s="20">
        <f t="shared" si="46"/>
        <v>44.355140779054388</v>
      </c>
      <c r="W214" s="20">
        <f t="shared" si="47"/>
        <v>14.953333333333333</v>
      </c>
      <c r="X214" s="20">
        <f t="shared" si="47"/>
        <v>11.686666666666667</v>
      </c>
      <c r="Y214" s="20">
        <f t="shared" si="45"/>
        <v>29.34899999999999</v>
      </c>
      <c r="Z214" s="20">
        <f t="shared" si="48"/>
        <v>9.7599736169345537</v>
      </c>
      <c r="AA214" s="19">
        <f>+AVERAGE(M212:M214)*AVERAGE($F$15:F214)</f>
        <v>-0.326573320833278</v>
      </c>
      <c r="AB214" s="19">
        <f t="shared" si="49"/>
        <v>-71.584305105690248</v>
      </c>
      <c r="AC214" s="19">
        <f t="shared" si="50"/>
        <v>-13.497225820513991</v>
      </c>
      <c r="AD214" s="21">
        <f t="shared" si="51"/>
        <v>112.27323430900906</v>
      </c>
      <c r="AE214" s="19"/>
      <c r="AG214" s="20">
        <f>(V214- AVERAGE(V$41:V214))/_xlfn.STDEV.S(V179:V214)</f>
        <v>2.6723568488851694</v>
      </c>
      <c r="AH214" s="20">
        <f>(W214- AVERAGE(W$41:W214))/_xlfn.STDEV.S(W179:W214)</f>
        <v>1.8388123423554814</v>
      </c>
      <c r="AI214" s="20">
        <f>(X214- AVERAGE(X$41:X214))/_xlfn.STDEV.S(X179:X214)</f>
        <v>1.3730420083684767</v>
      </c>
      <c r="AJ214" s="20">
        <f>(Y214- AVERAGE(Y$41:Y214))/_xlfn.STDEV.S(Y179:Y214)</f>
        <v>1.7172545035925433</v>
      </c>
      <c r="AK214" s="20">
        <f>(Z214- AVERAGE(Z$41:Z214))/_xlfn.STDEV.S(Z179:Z214)</f>
        <v>2.1284400152686991</v>
      </c>
      <c r="AL214" s="20">
        <f>(AA214- AVERAGE(AA$41:AA214))/_xlfn.STDEV.S(AA179:AA214)</f>
        <v>4.0593983746521969E-2</v>
      </c>
      <c r="AM214" s="20">
        <f>(AB214- AVERAGE(AB$41:AB214))/_xlfn.STDEV.S(AB179:AB214)</f>
        <v>-1.6615627160119353</v>
      </c>
      <c r="AN214" s="20">
        <f>(AC214- AVERAGE(AC$41:AC214))/_xlfn.STDEV.S(AC179:AC214)</f>
        <v>-1.9209172509527475</v>
      </c>
      <c r="AO214" s="24">
        <f>(AD214- AVERAGE(AD$41:AD214))/_xlfn.STDEV.S(AD179:AD214)</f>
        <v>2.4599635633871118</v>
      </c>
      <c r="AP214" s="20"/>
      <c r="AQ214" s="20">
        <f t="shared" si="59"/>
        <v>2.6723568488851694</v>
      </c>
      <c r="AR214" s="20">
        <f t="shared" si="60"/>
        <v>1.8388123423554814</v>
      </c>
      <c r="AS214" s="20">
        <f t="shared" si="61"/>
        <v>1.3730420083684767</v>
      </c>
      <c r="AT214" s="20">
        <f t="shared" si="63"/>
        <v>1.7172545035925433</v>
      </c>
      <c r="AU214" s="20">
        <f t="shared" si="64"/>
        <v>2.1284400152686991</v>
      </c>
      <c r="AV214" s="20">
        <f t="shared" si="65"/>
        <v>4.0593983746521969E-2</v>
      </c>
      <c r="AW214" s="20">
        <f t="shared" si="66"/>
        <v>-1.6615627160119353</v>
      </c>
      <c r="AX214" s="20">
        <f t="shared" si="67"/>
        <v>-1.9209172509527475</v>
      </c>
      <c r="AY214" s="20">
        <f t="shared" si="68"/>
        <v>2.4599635633871118</v>
      </c>
      <c r="AZ214" s="22">
        <f t="shared" si="69"/>
        <v>0.96088703318214663</v>
      </c>
      <c r="BA214" s="1">
        <f>+_xlfn.XLOOKUP(A214,[1]Indice!B:B,[1]Indice!AI:AI,"NOOOOOO",-1)</f>
        <v>0.34009103657304407</v>
      </c>
    </row>
    <row r="215" spans="1:53" x14ac:dyDescent="0.25">
      <c r="A215" s="2">
        <v>44439</v>
      </c>
      <c r="B215" s="15">
        <v>8099</v>
      </c>
      <c r="C215" s="19">
        <v>63.451059535822395</v>
      </c>
      <c r="D215" s="15">
        <v>5754</v>
      </c>
      <c r="E215" s="19">
        <v>492.72</v>
      </c>
      <c r="F215" s="18">
        <v>0.25246387400552039</v>
      </c>
      <c r="G215" s="1">
        <v>12.6</v>
      </c>
      <c r="H215" s="1">
        <v>13.5</v>
      </c>
      <c r="I215" s="16">
        <v>62.3</v>
      </c>
      <c r="J215" s="1">
        <v>508.75700000000001</v>
      </c>
      <c r="K215" s="1">
        <v>7.6130847249690659</v>
      </c>
      <c r="L215" s="1">
        <v>112.738</v>
      </c>
      <c r="M215" s="1">
        <v>-6.6351966873706036</v>
      </c>
      <c r="N215" s="1">
        <v>-78.561078213261993</v>
      </c>
      <c r="O215" s="1">
        <v>425395</v>
      </c>
      <c r="P215" s="1">
        <v>-14.648044446138753</v>
      </c>
      <c r="Q215" s="1">
        <v>146.94284708367559</v>
      </c>
      <c r="R215" s="1">
        <v>18.7</v>
      </c>
      <c r="S215" s="1">
        <v>-1.410000000000001</v>
      </c>
      <c r="T215" s="3">
        <v>43.67</v>
      </c>
      <c r="V215" s="20">
        <f t="shared" si="46"/>
        <v>53.739828997703867</v>
      </c>
      <c r="W215" s="20">
        <f t="shared" si="47"/>
        <v>13.643333333333334</v>
      </c>
      <c r="X215" s="20">
        <f t="shared" si="47"/>
        <v>13.110000000000003</v>
      </c>
      <c r="Y215" s="20">
        <f t="shared" si="45"/>
        <v>29.752833333333328</v>
      </c>
      <c r="Z215" s="20">
        <f t="shared" si="48"/>
        <v>8.0728669991197908</v>
      </c>
      <c r="AA215" s="19">
        <f>+AVERAGE(M213:M215)*AVERAGE($F$15:F215)</f>
        <v>-1.1634433387961132</v>
      </c>
      <c r="AB215" s="19">
        <f t="shared" si="49"/>
        <v>-75.46103709924914</v>
      </c>
      <c r="AC215" s="19">
        <f t="shared" si="50"/>
        <v>-15.056561226863719</v>
      </c>
      <c r="AD215" s="21">
        <f t="shared" si="51"/>
        <v>115.47621194359516</v>
      </c>
      <c r="AE215" s="19"/>
      <c r="AG215" s="20">
        <f>(V215- AVERAGE(V$41:V215))/_xlfn.STDEV.S(V180:V215)</f>
        <v>2.8713339085162821</v>
      </c>
      <c r="AH215" s="20">
        <f>(W215- AVERAGE(W$41:W215))/_xlfn.STDEV.S(W180:W215)</f>
        <v>1.62181308475041</v>
      </c>
      <c r="AI215" s="20">
        <f>(X215- AVERAGE(X$41:X215))/_xlfn.STDEV.S(X180:X215)</f>
        <v>1.4409871017824623</v>
      </c>
      <c r="AJ215" s="20">
        <f>(Y215- AVERAGE(Y$41:Y215))/_xlfn.STDEV.S(Y180:Y215)</f>
        <v>1.7331207873486072</v>
      </c>
      <c r="AK215" s="20">
        <f>(Z215- AVERAGE(Z$41:Z215))/_xlfn.STDEV.S(Z180:Z215)</f>
        <v>1.7687066167354899</v>
      </c>
      <c r="AL215" s="20">
        <f>(AA215- AVERAGE(AA$41:AA215))/_xlfn.STDEV.S(AA180:AA215)</f>
        <v>-0.15599789089330643</v>
      </c>
      <c r="AM215" s="20">
        <f>(AB215- AVERAGE(AB$41:AB215))/_xlfn.STDEV.S(AB180:AB215)</f>
        <v>-1.7618804210423491</v>
      </c>
      <c r="AN215" s="20">
        <f>(AC215- AVERAGE(AC$41:AC215))/_xlfn.STDEV.S(AC180:AC215)</f>
        <v>-2.0811343527477524</v>
      </c>
      <c r="AO215" s="24">
        <f>(AD215- AVERAGE(AD$41:AD215))/_xlfn.STDEV.S(AD180:AD215)</f>
        <v>2.2636588573515226</v>
      </c>
      <c r="AP215" s="20"/>
      <c r="AQ215" s="20">
        <f t="shared" si="59"/>
        <v>2.8713339085162821</v>
      </c>
      <c r="AR215" s="20">
        <f t="shared" si="60"/>
        <v>1.62181308475041</v>
      </c>
      <c r="AS215" s="20">
        <f t="shared" si="61"/>
        <v>1.4409871017824623</v>
      </c>
      <c r="AT215" s="20">
        <f t="shared" si="63"/>
        <v>1.7331207873486072</v>
      </c>
      <c r="AU215" s="20">
        <f t="shared" si="64"/>
        <v>1.7687066167354899</v>
      </c>
      <c r="AV215" s="20">
        <f t="shared" si="65"/>
        <v>-0.15599789089330643</v>
      </c>
      <c r="AW215" s="20">
        <f t="shared" si="66"/>
        <v>-1.7618804210423491</v>
      </c>
      <c r="AX215" s="20">
        <f t="shared" si="67"/>
        <v>-2.0811343527477524</v>
      </c>
      <c r="AY215" s="20">
        <f t="shared" si="68"/>
        <v>2.2636588573515226</v>
      </c>
      <c r="AZ215" s="22">
        <f t="shared" si="69"/>
        <v>0.85562307686681838</v>
      </c>
      <c r="BA215" s="1">
        <f>+_xlfn.XLOOKUP(A215,[1]Indice!B:B,[1]Indice!AI:AI,"NOOOOOO",-1)</f>
        <v>0.34584495765117668</v>
      </c>
    </row>
    <row r="216" spans="1:53" x14ac:dyDescent="0.25">
      <c r="A216" s="2">
        <v>44469</v>
      </c>
      <c r="B216" s="15">
        <v>7570</v>
      </c>
      <c r="C216" s="19">
        <v>60.143854453141522</v>
      </c>
      <c r="D216" s="15">
        <v>5886</v>
      </c>
      <c r="E216" s="19">
        <v>488.15</v>
      </c>
      <c r="F216" s="18">
        <v>0.26425074259961079</v>
      </c>
      <c r="G216" s="1">
        <v>11.1</v>
      </c>
      <c r="H216" s="1">
        <v>12.3</v>
      </c>
      <c r="I216" s="16">
        <v>61.4</v>
      </c>
      <c r="J216" s="1">
        <v>523.44899999999996</v>
      </c>
      <c r="K216" s="1">
        <v>11.209099851494276</v>
      </c>
      <c r="L216" s="1">
        <v>107.526</v>
      </c>
      <c r="M216" s="1">
        <v>-9.6503684533362453</v>
      </c>
      <c r="N216" s="1">
        <v>-81.380946023639339</v>
      </c>
      <c r="O216" s="1">
        <v>418542</v>
      </c>
      <c r="P216" s="1">
        <v>-15.004081831584848</v>
      </c>
      <c r="Q216" s="1">
        <v>110.08820286659318</v>
      </c>
      <c r="R216" s="1">
        <v>11.8</v>
      </c>
      <c r="S216" s="1">
        <v>-1.1583333333333348</v>
      </c>
      <c r="T216" s="3">
        <v>45.6</v>
      </c>
      <c r="V216" s="20">
        <f t="shared" si="46"/>
        <v>58.046491305318803</v>
      </c>
      <c r="W216" s="20">
        <f t="shared" si="47"/>
        <v>12.958333333333334</v>
      </c>
      <c r="X216" s="20">
        <f t="shared" si="47"/>
        <v>13.79166666666667</v>
      </c>
      <c r="Y216" s="20">
        <f t="shared" si="45"/>
        <v>29.077833333333324</v>
      </c>
      <c r="Z216" s="20">
        <f t="shared" si="48"/>
        <v>9.2865310049759398</v>
      </c>
      <c r="AA216" s="19">
        <f>+AVERAGE(M214:M216)*AVERAGE($F$15:F216)</f>
        <v>-2.0166201963679886</v>
      </c>
      <c r="AB216" s="19">
        <f t="shared" si="49"/>
        <v>-78.886582238176814</v>
      </c>
      <c r="AC216" s="19">
        <f t="shared" si="50"/>
        <v>-14.985701187515488</v>
      </c>
      <c r="AD216" s="21">
        <f t="shared" si="51"/>
        <v>127.4042242629004</v>
      </c>
      <c r="AE216" s="19"/>
      <c r="AG216" s="20">
        <f>(V216- AVERAGE(V$41:V216))/_xlfn.STDEV.S(V181:V216)</f>
        <v>2.783921103899814</v>
      </c>
      <c r="AH216" s="20">
        <f>(W216- AVERAGE(W$41:W216))/_xlfn.STDEV.S(W181:W216)</f>
        <v>1.4947621838995779</v>
      </c>
      <c r="AI216" s="20">
        <f>(X216- AVERAGE(X$41:X216))/_xlfn.STDEV.S(X181:X216)</f>
        <v>1.4327250217405731</v>
      </c>
      <c r="AJ216" s="20">
        <f>(Y216- AVERAGE(Y$41:Y216))/_xlfn.STDEV.S(Y181:Y216)</f>
        <v>1.6766596697724474</v>
      </c>
      <c r="AK216" s="20">
        <f>(Z216- AVERAGE(Z$41:Z216))/_xlfn.STDEV.S(Z181:Z216)</f>
        <v>1.9116713130579588</v>
      </c>
      <c r="AL216" s="20">
        <f>(AA216- AVERAGE(AA$41:AA216))/_xlfn.STDEV.S(AA181:AA216)</f>
        <v>-0.37481847482544667</v>
      </c>
      <c r="AM216" s="20">
        <f>(AB216- AVERAGE(AB$41:AB216))/_xlfn.STDEV.S(AB181:AB216)</f>
        <v>-1.8479663650962952</v>
      </c>
      <c r="AN216" s="20">
        <f>(AC216- AVERAGE(AC$41:AC216))/_xlfn.STDEV.S(AC181:AC216)</f>
        <v>-2.0420138939570922</v>
      </c>
      <c r="AO216" s="24">
        <f>(AD216- AVERAGE(AD$41:AD216))/_xlfn.STDEV.S(AD181:AD216)</f>
        <v>2.2743798395600336</v>
      </c>
      <c r="AP216" s="20"/>
      <c r="AQ216" s="20">
        <f t="shared" si="59"/>
        <v>2.783921103899814</v>
      </c>
      <c r="AR216" s="20">
        <f t="shared" si="60"/>
        <v>1.4947621838995779</v>
      </c>
      <c r="AS216" s="20">
        <f t="shared" si="61"/>
        <v>1.4327250217405731</v>
      </c>
      <c r="AT216" s="20">
        <f t="shared" si="63"/>
        <v>1.6766596697724474</v>
      </c>
      <c r="AU216" s="20">
        <f t="shared" si="64"/>
        <v>1.9116713130579588</v>
      </c>
      <c r="AV216" s="20">
        <f t="shared" si="65"/>
        <v>-0.37481847482544667</v>
      </c>
      <c r="AW216" s="20">
        <f t="shared" si="66"/>
        <v>-1.8479663650962952</v>
      </c>
      <c r="AX216" s="20">
        <f t="shared" si="67"/>
        <v>-2.0420138939570922</v>
      </c>
      <c r="AY216" s="20">
        <f t="shared" si="68"/>
        <v>2.2743798395600336</v>
      </c>
      <c r="AZ216" s="22">
        <f t="shared" si="69"/>
        <v>0.81214671089461921</v>
      </c>
      <c r="BA216" s="1">
        <f>+_xlfn.XLOOKUP(A216,[1]Indice!B:B,[1]Indice!AI:AI,"NOOOOOO",-1)</f>
        <v>0.33652470007184976</v>
      </c>
    </row>
    <row r="217" spans="1:53" x14ac:dyDescent="0.25">
      <c r="A217" s="2">
        <v>44500</v>
      </c>
      <c r="B217" s="15">
        <v>6863</v>
      </c>
      <c r="C217" s="19">
        <v>46.833547282841259</v>
      </c>
      <c r="D217" s="15">
        <v>5247</v>
      </c>
      <c r="E217" s="19">
        <v>488.15</v>
      </c>
      <c r="F217" s="18">
        <v>0.27128136843183448</v>
      </c>
      <c r="G217" s="1">
        <v>6.2</v>
      </c>
      <c r="H217" s="1">
        <v>12.7</v>
      </c>
      <c r="I217" s="16">
        <v>59.8</v>
      </c>
      <c r="J217" s="1">
        <v>533.03899999999999</v>
      </c>
      <c r="K217" s="1">
        <v>12.354034753429399</v>
      </c>
      <c r="L217" s="1">
        <v>104.813</v>
      </c>
      <c r="M217" s="1">
        <v>-11.047271492828648</v>
      </c>
      <c r="N217" s="1">
        <v>-91.767325421101347</v>
      </c>
      <c r="O217" s="1">
        <v>434102</v>
      </c>
      <c r="P217" s="1">
        <v>-10.388932124212214</v>
      </c>
      <c r="Q217" s="1">
        <v>110.29147175242895</v>
      </c>
      <c r="R217" s="1">
        <v>11.8</v>
      </c>
      <c r="S217" s="1">
        <v>-0.90666666666666751</v>
      </c>
      <c r="T217" s="3">
        <v>48.64</v>
      </c>
      <c r="V217" s="20">
        <f t="shared" si="46"/>
        <v>57.716153757268394</v>
      </c>
      <c r="W217" s="20">
        <f t="shared" si="47"/>
        <v>10.873333333333335</v>
      </c>
      <c r="X217" s="20">
        <f t="shared" si="47"/>
        <v>13.740000000000002</v>
      </c>
      <c r="Y217" s="20">
        <f t="shared" ref="Y217:Y274" si="70">+AVERAGE(I215:I217)-AVERAGE(T158:T217)</f>
        <v>27.557666666666655</v>
      </c>
      <c r="Z217" s="20">
        <f t="shared" si="48"/>
        <v>10.392073109964247</v>
      </c>
      <c r="AA217" s="19">
        <f>+AVERAGE(M215:M217)*AVERAGE($F$15:F217)</f>
        <v>-2.4460973499276601</v>
      </c>
      <c r="AB217" s="19">
        <f t="shared" si="49"/>
        <v>-83.903116552667555</v>
      </c>
      <c r="AC217" s="19">
        <f t="shared" si="50"/>
        <v>-13.347019467311938</v>
      </c>
      <c r="AD217" s="21">
        <f t="shared" si="51"/>
        <v>122.4408405675659</v>
      </c>
      <c r="AE217" s="19"/>
      <c r="AG217" s="20">
        <f>(V217- AVERAGE(V$41:V217))/_xlfn.STDEV.S(V182:V217)</f>
        <v>2.5421065630099644</v>
      </c>
      <c r="AH217" s="20">
        <f>(W217- AVERAGE(W$41:W217))/_xlfn.STDEV.S(W182:W217)</f>
        <v>1.2498323240399556</v>
      </c>
      <c r="AI217" s="20">
        <f>(X217- AVERAGE(X$41:X217))/_xlfn.STDEV.S(X182:X217)</f>
        <v>1.3635932469065308</v>
      </c>
      <c r="AJ217" s="20">
        <f>(Y217- AVERAGE(Y$41:Y217))/_xlfn.STDEV.S(Y182:Y217)</f>
        <v>1.5794260044629242</v>
      </c>
      <c r="AK217" s="20">
        <f>(Z217- AVERAGE(Z$41:Z217))/_xlfn.STDEV.S(Z182:Z217)</f>
        <v>2.0146995347804304</v>
      </c>
      <c r="AL217" s="20">
        <f>(AA217- AVERAGE(AA$41:AA217))/_xlfn.STDEV.S(AA182:AA217)</f>
        <v>-0.53104832010054759</v>
      </c>
      <c r="AM217" s="20">
        <f>(AB217- AVERAGE(AB$41:AB217))/_xlfn.STDEV.S(AB182:AB217)</f>
        <v>-1.9796617231638156</v>
      </c>
      <c r="AN217" s="20">
        <f>(AC217- AVERAGE(AC$41:AC217))/_xlfn.STDEV.S(AC182:AC217)</f>
        <v>-1.8208328868609234</v>
      </c>
      <c r="AO217" s="24">
        <f>(AD217- AVERAGE(AD$41:AD217))/_xlfn.STDEV.S(AD182:AD217)</f>
        <v>2.013945817211968</v>
      </c>
      <c r="AP217" s="20"/>
      <c r="AQ217" s="20">
        <f t="shared" si="59"/>
        <v>2.5421065630099644</v>
      </c>
      <c r="AR217" s="20">
        <f t="shared" si="60"/>
        <v>1.2498323240399556</v>
      </c>
      <c r="AS217" s="20">
        <f t="shared" si="61"/>
        <v>1.3635932469065308</v>
      </c>
      <c r="AT217" s="20">
        <f t="shared" si="63"/>
        <v>1.5794260044629242</v>
      </c>
      <c r="AU217" s="20">
        <f t="shared" si="64"/>
        <v>2.0146995347804304</v>
      </c>
      <c r="AV217" s="20">
        <f t="shared" si="65"/>
        <v>-0.53104832010054759</v>
      </c>
      <c r="AW217" s="20">
        <f t="shared" si="66"/>
        <v>-1.9796617231638156</v>
      </c>
      <c r="AX217" s="20">
        <f t="shared" si="67"/>
        <v>-1.8208328868609234</v>
      </c>
      <c r="AY217" s="20">
        <f t="shared" si="68"/>
        <v>2.013945817211968</v>
      </c>
      <c r="AZ217" s="22">
        <f t="shared" si="69"/>
        <v>0.71467339558738741</v>
      </c>
      <c r="BA217" s="1">
        <f>+_xlfn.XLOOKUP(A217,[1]Indice!B:B,[1]Indice!AI:AI,"NOOOOOO",-1)</f>
        <v>0.32966171903197189</v>
      </c>
    </row>
    <row r="218" spans="1:53" x14ac:dyDescent="0.25">
      <c r="A218" s="2">
        <v>44530</v>
      </c>
      <c r="B218" s="15">
        <v>6191</v>
      </c>
      <c r="C218" s="19">
        <v>37.577777777777776</v>
      </c>
      <c r="D218" s="15">
        <v>5767</v>
      </c>
      <c r="E218" s="19">
        <v>488.15</v>
      </c>
      <c r="F218" s="18">
        <v>0.27812967325617127</v>
      </c>
      <c r="G218" s="1">
        <v>8.8000000000000007</v>
      </c>
      <c r="H218" s="1">
        <v>14</v>
      </c>
      <c r="I218" s="16">
        <v>57.6</v>
      </c>
      <c r="J218" s="1">
        <v>547.34100000000001</v>
      </c>
      <c r="K218" s="1">
        <v>15.473759272230158</v>
      </c>
      <c r="L218" s="1">
        <v>103.26</v>
      </c>
      <c r="M218" s="1">
        <v>-15.222370916494931</v>
      </c>
      <c r="N218" s="1">
        <v>-106.67458654167335</v>
      </c>
      <c r="O218" s="1">
        <v>433111</v>
      </c>
      <c r="P218" s="1">
        <v>-11.255383757955261</v>
      </c>
      <c r="Q218" s="1">
        <v>99.043007033321828</v>
      </c>
      <c r="R218" s="1">
        <v>11.8</v>
      </c>
      <c r="S218" s="1">
        <v>-0.65500000000000114</v>
      </c>
      <c r="T218" s="3">
        <v>52.3</v>
      </c>
      <c r="V218" s="20">
        <f t="shared" si="46"/>
        <v>48.840059837920187</v>
      </c>
      <c r="W218" s="20">
        <f t="shared" si="47"/>
        <v>9.3550000000000022</v>
      </c>
      <c r="X218" s="20">
        <f t="shared" si="47"/>
        <v>13.655000000000001</v>
      </c>
      <c r="Y218" s="20">
        <f t="shared" si="70"/>
        <v>25.452666666666659</v>
      </c>
      <c r="Z218" s="20">
        <f t="shared" si="48"/>
        <v>13.012297959051276</v>
      </c>
      <c r="AA218" s="19">
        <f>+AVERAGE(M216:M218)*AVERAGE($F$15:F218)</f>
        <v>-3.2151556973096356</v>
      </c>
      <c r="AB218" s="19">
        <f t="shared" si="49"/>
        <v>-93.274285995471345</v>
      </c>
      <c r="AC218" s="19">
        <f t="shared" si="50"/>
        <v>-12.216132571250775</v>
      </c>
      <c r="AD218" s="21">
        <f t="shared" si="51"/>
        <v>106.47422721744799</v>
      </c>
      <c r="AE218" s="19"/>
      <c r="AG218" s="20">
        <f>(V218- AVERAGE(V$41:V218))/_xlfn.STDEV.S(V183:V218)</f>
        <v>2.0328096857893159</v>
      </c>
      <c r="AH218" s="20">
        <f>(W218- AVERAGE(W$41:W218))/_xlfn.STDEV.S(W183:W218)</f>
        <v>1.0805703096923531</v>
      </c>
      <c r="AI218" s="20">
        <f>(X218- AVERAGE(X$41:X218))/_xlfn.STDEV.S(X183:X218)</f>
        <v>1.302069640010743</v>
      </c>
      <c r="AJ218" s="20">
        <f>(Y218- AVERAGE(Y$41:Y218))/_xlfn.STDEV.S(Y183:Y218)</f>
        <v>1.4676619704992502</v>
      </c>
      <c r="AK218" s="20">
        <f>(Z218- AVERAGE(Z$41:Z218))/_xlfn.STDEV.S(Z183:Z218)</f>
        <v>2.3095690775460818</v>
      </c>
      <c r="AL218" s="20">
        <f>(AA218- AVERAGE(AA$41:AA218))/_xlfn.STDEV.S(AA183:AA218)</f>
        <v>-0.83201194264292233</v>
      </c>
      <c r="AM218" s="20">
        <f>(AB218- AVERAGE(AB$41:AB218))/_xlfn.STDEV.S(AB183:AB218)</f>
        <v>-2.2284143090691462</v>
      </c>
      <c r="AN218" s="20">
        <f>(AC218- AVERAGE(AC$41:AC218))/_xlfn.STDEV.S(AC183:AC218)</f>
        <v>-1.649740282291916</v>
      </c>
      <c r="AO218" s="24">
        <f>(AD218- AVERAGE(AD$41:AD218))/_xlfn.STDEV.S(AD183:AD218)</f>
        <v>1.6318040687523276</v>
      </c>
      <c r="AP218" s="20"/>
      <c r="AQ218" s="20">
        <f t="shared" si="59"/>
        <v>2.0328096857893159</v>
      </c>
      <c r="AR218" s="20">
        <f t="shared" si="60"/>
        <v>1.0805703096923531</v>
      </c>
      <c r="AS218" s="20">
        <f t="shared" si="61"/>
        <v>1.302069640010743</v>
      </c>
      <c r="AT218" s="20">
        <f t="shared" si="63"/>
        <v>1.4676619704992502</v>
      </c>
      <c r="AU218" s="20">
        <f t="shared" si="64"/>
        <v>2.3095690775460818</v>
      </c>
      <c r="AV218" s="20">
        <f t="shared" si="65"/>
        <v>-0.83201194264292233</v>
      </c>
      <c r="AW218" s="20">
        <f t="shared" si="66"/>
        <v>-2.2284143090691462</v>
      </c>
      <c r="AX218" s="20">
        <f t="shared" si="67"/>
        <v>-1.649740282291916</v>
      </c>
      <c r="AY218" s="20">
        <f t="shared" si="68"/>
        <v>1.6318040687523276</v>
      </c>
      <c r="AZ218" s="22">
        <f t="shared" si="69"/>
        <v>0.56825757980956515</v>
      </c>
      <c r="BA218" s="1">
        <f>+_xlfn.XLOOKUP(A218,[1]Indice!B:B,[1]Indice!AI:AI,"NOOOOOO",-1)</f>
        <v>0.3042188722931638</v>
      </c>
    </row>
    <row r="219" spans="1:53" x14ac:dyDescent="0.25">
      <c r="A219" s="2">
        <v>44561</v>
      </c>
      <c r="B219" s="15">
        <v>6587</v>
      </c>
      <c r="C219" s="19">
        <v>85.863431151241528</v>
      </c>
      <c r="D219" s="15">
        <v>6216</v>
      </c>
      <c r="E219" s="19">
        <v>539.97</v>
      </c>
      <c r="F219" s="18">
        <v>0.26134785265848104</v>
      </c>
      <c r="G219" s="1">
        <v>10</v>
      </c>
      <c r="H219" s="1">
        <v>17</v>
      </c>
      <c r="I219" s="16">
        <v>57.6</v>
      </c>
      <c r="J219" s="1">
        <v>549.43700000000001</v>
      </c>
      <c r="K219" s="1">
        <v>14.51948409257653</v>
      </c>
      <c r="L219" s="1">
        <v>102.239</v>
      </c>
      <c r="M219" s="1">
        <v>-17.890214030438102</v>
      </c>
      <c r="N219" s="1">
        <v>-98.56706350984652</v>
      </c>
      <c r="O219" s="1">
        <v>417851</v>
      </c>
      <c r="P219" s="1">
        <v>-15.323758939264675</v>
      </c>
      <c r="Q219" s="1">
        <v>61.875894586174951</v>
      </c>
      <c r="R219" s="1">
        <v>8.4</v>
      </c>
      <c r="S219" s="1">
        <v>-0.49000000000000116</v>
      </c>
      <c r="T219" s="3">
        <v>54.77</v>
      </c>
      <c r="V219" s="20">
        <f t="shared" si="46"/>
        <v>57.24825207062019</v>
      </c>
      <c r="W219" s="20">
        <f t="shared" si="47"/>
        <v>8.8233333333333359</v>
      </c>
      <c r="X219" s="20">
        <f t="shared" si="47"/>
        <v>15.05666666666667</v>
      </c>
      <c r="Y219" s="20">
        <f t="shared" si="70"/>
        <v>23.599833333333329</v>
      </c>
      <c r="Z219" s="20">
        <f t="shared" si="48"/>
        <v>14.115759372745364</v>
      </c>
      <c r="AA219" s="19">
        <f>+AVERAGE(M217:M219)*AVERAGE($F$15:F219)</f>
        <v>-3.9521786277843112</v>
      </c>
      <c r="AB219" s="19">
        <f t="shared" si="49"/>
        <v>-99.002991824207072</v>
      </c>
      <c r="AC219" s="19">
        <f t="shared" si="50"/>
        <v>-12.322691607144051</v>
      </c>
      <c r="AD219" s="21">
        <f t="shared" si="51"/>
        <v>90.403457790641895</v>
      </c>
      <c r="AE219" s="19"/>
      <c r="AG219" s="20">
        <f>(V219- AVERAGE(V$41:V219))/_xlfn.STDEV.S(V184:V219)</f>
        <v>2.2522721457050849</v>
      </c>
      <c r="AH219" s="20">
        <f>(W219- AVERAGE(W$41:W219))/_xlfn.STDEV.S(W184:W219)</f>
        <v>1.0165532006885376</v>
      </c>
      <c r="AI219" s="20">
        <f>(X219- AVERAGE(X$41:X219))/_xlfn.STDEV.S(X184:X219)</f>
        <v>1.3697409162629093</v>
      </c>
      <c r="AJ219" s="20">
        <f>(Y219- AVERAGE(Y$41:Y219))/_xlfn.STDEV.S(Y184:Y219)</f>
        <v>1.3836905594939033</v>
      </c>
      <c r="AK219" s="20">
        <f>(Z219- AVERAGE(Z$41:Z219))/_xlfn.STDEV.S(Z184:Z219)</f>
        <v>2.338207201563391</v>
      </c>
      <c r="AL219" s="20">
        <f>(AA219- AVERAGE(AA$41:AA219))/_xlfn.STDEV.S(AA184:AA219)</f>
        <v>-1.1334602837186423</v>
      </c>
      <c r="AM219" s="20">
        <f>(AB219- AVERAGE(AB$41:AB219))/_xlfn.STDEV.S(AB184:AB219)</f>
        <v>-2.3574093425025553</v>
      </c>
      <c r="AN219" s="20">
        <f>(AC219- AVERAGE(AC$41:AC219))/_xlfn.STDEV.S(AC184:AC219)</f>
        <v>-1.5942436512529667</v>
      </c>
      <c r="AO219" s="24">
        <f>(AD219- AVERAGE(AD$41:AD219))/_xlfn.STDEV.S(AD184:AD219)</f>
        <v>1.3052500239640066</v>
      </c>
      <c r="AP219" s="20"/>
      <c r="AQ219" s="20">
        <f t="shared" si="59"/>
        <v>2.2522721457050849</v>
      </c>
      <c r="AR219" s="20">
        <f t="shared" si="60"/>
        <v>1.0165532006885376</v>
      </c>
      <c r="AS219" s="20">
        <f t="shared" si="61"/>
        <v>1.3697409162629093</v>
      </c>
      <c r="AT219" s="20">
        <f t="shared" si="63"/>
        <v>1.3836905594939033</v>
      </c>
      <c r="AU219" s="20">
        <f t="shared" si="64"/>
        <v>2.338207201563391</v>
      </c>
      <c r="AV219" s="20">
        <f t="shared" si="65"/>
        <v>-1.1334602837186423</v>
      </c>
      <c r="AW219" s="20">
        <f t="shared" si="66"/>
        <v>-2.3574093425025553</v>
      </c>
      <c r="AX219" s="20">
        <f t="shared" si="67"/>
        <v>-1.5942436512529667</v>
      </c>
      <c r="AY219" s="20">
        <f t="shared" si="68"/>
        <v>1.3052500239640066</v>
      </c>
      <c r="AZ219" s="22">
        <f t="shared" si="69"/>
        <v>0.50895564113374092</v>
      </c>
      <c r="BA219" s="1">
        <f>+_xlfn.XLOOKUP(A219,[1]Indice!B:B,[1]Indice!AI:AI,"NOOOOOO",-1)</f>
        <v>0.30998896459567854</v>
      </c>
    </row>
    <row r="220" spans="1:53" x14ac:dyDescent="0.25">
      <c r="A220" s="2">
        <v>44592</v>
      </c>
      <c r="B220" s="15">
        <v>5591</v>
      </c>
      <c r="C220" s="19">
        <v>13.823289902280123</v>
      </c>
      <c r="D220" s="15">
        <v>5251</v>
      </c>
      <c r="E220" s="19">
        <v>539.97</v>
      </c>
      <c r="F220" s="18">
        <v>0.26521103024242088</v>
      </c>
      <c r="G220" s="1">
        <v>6.2</v>
      </c>
      <c r="H220" s="1">
        <v>8.3000000000000007</v>
      </c>
      <c r="I220" s="16">
        <v>54.9</v>
      </c>
      <c r="J220" s="1">
        <v>559.89700000000005</v>
      </c>
      <c r="K220" s="1">
        <v>14.876587537700825</v>
      </c>
      <c r="L220" s="1">
        <v>102.361</v>
      </c>
      <c r="M220" s="1">
        <v>-16.766817638496999</v>
      </c>
      <c r="N220" s="1">
        <v>-101.52906742297377</v>
      </c>
      <c r="O220" s="1">
        <v>415143</v>
      </c>
      <c r="P220" s="1">
        <v>-12.722559648824049</v>
      </c>
      <c r="Q220" s="1">
        <v>56.395898480110553</v>
      </c>
      <c r="R220" s="1">
        <v>8.4</v>
      </c>
      <c r="S220" s="1">
        <v>-0.32500000000000095</v>
      </c>
      <c r="T220" s="3">
        <v>53.85</v>
      </c>
      <c r="V220" s="20">
        <f t="shared" si="46"/>
        <v>46.079832943766476</v>
      </c>
      <c r="W220" s="20">
        <f t="shared" si="47"/>
        <v>8.658333333333335</v>
      </c>
      <c r="X220" s="20">
        <f t="shared" si="47"/>
        <v>13.425000000000001</v>
      </c>
      <c r="Y220" s="20">
        <f t="shared" si="70"/>
        <v>21.396499999999996</v>
      </c>
      <c r="Z220" s="20">
        <f t="shared" si="48"/>
        <v>14.956610300835839</v>
      </c>
      <c r="AA220" s="19">
        <f>+AVERAGE(M218:M220)*AVERAGE($F$15:F220)</f>
        <v>-4.4637966102056463</v>
      </c>
      <c r="AB220" s="19">
        <f t="shared" si="49"/>
        <v>-102.25690582483121</v>
      </c>
      <c r="AC220" s="19">
        <f t="shared" si="50"/>
        <v>-13.100567448681327</v>
      </c>
      <c r="AD220" s="21">
        <f t="shared" si="51"/>
        <v>72.438266699869118</v>
      </c>
      <c r="AE220" s="19"/>
      <c r="AG220" s="20">
        <f>(V220- AVERAGE(V$41:V220))/_xlfn.STDEV.S(V185:V220)</f>
        <v>1.7336159902868575</v>
      </c>
      <c r="AH220" s="20">
        <f>(W220- AVERAGE(W$41:W220))/_xlfn.STDEV.S(W185:W220)</f>
        <v>0.9925415309469926</v>
      </c>
      <c r="AI220" s="20">
        <f>(X220- AVERAGE(X$41:X220))/_xlfn.STDEV.S(X185:X220)</f>
        <v>1.1913273064090322</v>
      </c>
      <c r="AJ220" s="20">
        <f>(Y220- AVERAGE(Y$41:Y220))/_xlfn.STDEV.S(Y185:Y220)</f>
        <v>1.2684885167856572</v>
      </c>
      <c r="AK220" s="20">
        <f>(Z220- AVERAGE(Z$41:Z220))/_xlfn.STDEV.S(Z185:Z220)</f>
        <v>2.3239543735348418</v>
      </c>
      <c r="AL220" s="20">
        <f>(AA220- AVERAGE(AA$41:AA220))/_xlfn.STDEV.S(AA185:AA220)</f>
        <v>-1.3678667980507631</v>
      </c>
      <c r="AM220" s="20">
        <f>(AB220- AVERAGE(AB$41:AB220))/_xlfn.STDEV.S(AB185:AB220)</f>
        <v>-2.4151781723535035</v>
      </c>
      <c r="AN220" s="20">
        <f>(AC220- AVERAGE(AC$41:AC220))/_xlfn.STDEV.S(AC185:AC220)</f>
        <v>-1.6025534522675413</v>
      </c>
      <c r="AO220" s="24">
        <f>(AD220- AVERAGE(AD$41:AD220))/_xlfn.STDEV.S(AD185:AD220)</f>
        <v>0.97602609406856178</v>
      </c>
      <c r="AP220" s="20"/>
      <c r="AQ220" s="20">
        <f t="shared" si="59"/>
        <v>1.7336159902868575</v>
      </c>
      <c r="AR220" s="20">
        <f t="shared" si="60"/>
        <v>0.9925415309469926</v>
      </c>
      <c r="AS220" s="20">
        <f t="shared" si="61"/>
        <v>1.1913273064090322</v>
      </c>
      <c r="AT220" s="20">
        <f t="shared" si="63"/>
        <v>1.2684885167856572</v>
      </c>
      <c r="AU220" s="20">
        <f t="shared" si="64"/>
        <v>2.3239543735348418</v>
      </c>
      <c r="AV220" s="20">
        <f t="shared" si="65"/>
        <v>-1.3678667980507631</v>
      </c>
      <c r="AW220" s="20">
        <f t="shared" si="66"/>
        <v>-2.4151781723535035</v>
      </c>
      <c r="AX220" s="20">
        <f t="shared" si="67"/>
        <v>-1.6025534522675413</v>
      </c>
      <c r="AY220" s="20">
        <f t="shared" si="68"/>
        <v>0.97602609406856178</v>
      </c>
      <c r="AZ220" s="22">
        <f t="shared" si="69"/>
        <v>0.3444839321511261</v>
      </c>
      <c r="BA220" s="1">
        <f>+_xlfn.XLOOKUP(A220,[1]Indice!B:B,[1]Indice!AI:AI,"NOOOOOO",-1)</f>
        <v>0.33656918586619888</v>
      </c>
    </row>
    <row r="221" spans="1:53" x14ac:dyDescent="0.25">
      <c r="A221" s="2">
        <v>44620</v>
      </c>
      <c r="B221" s="15">
        <v>6518</v>
      </c>
      <c r="C221" s="19">
        <v>36.502617801047109</v>
      </c>
      <c r="D221" s="15">
        <v>5639</v>
      </c>
      <c r="E221" s="19">
        <v>539.97</v>
      </c>
      <c r="F221" s="18">
        <v>0.27200585217697282</v>
      </c>
      <c r="G221" s="1">
        <v>9.1999999999999993</v>
      </c>
      <c r="H221" s="1">
        <v>12.2</v>
      </c>
      <c r="I221" s="16">
        <v>55</v>
      </c>
      <c r="J221" s="1">
        <v>559.51499999999999</v>
      </c>
      <c r="K221" s="1">
        <v>13.570210692972839</v>
      </c>
      <c r="L221" s="1">
        <v>102.105</v>
      </c>
      <c r="M221" s="1">
        <v>-16.410151453131395</v>
      </c>
      <c r="N221" s="1">
        <v>-94.929496354261801</v>
      </c>
      <c r="O221" s="1">
        <v>413425</v>
      </c>
      <c r="P221" s="1">
        <v>-14.688251256177709</v>
      </c>
      <c r="Q221" s="1">
        <v>46.734042553191472</v>
      </c>
      <c r="R221" s="1">
        <v>8.4</v>
      </c>
      <c r="S221" s="1">
        <v>-0.16000000000000095</v>
      </c>
      <c r="T221" s="3">
        <v>52.9</v>
      </c>
      <c r="V221" s="20">
        <f t="shared" si="46"/>
        <v>45.55644628485625</v>
      </c>
      <c r="W221" s="20">
        <f t="shared" si="47"/>
        <v>8.6266666666666669</v>
      </c>
      <c r="X221" s="20">
        <f t="shared" si="47"/>
        <v>12.66</v>
      </c>
      <c r="Y221" s="20">
        <f t="shared" si="70"/>
        <v>19.972333333333331</v>
      </c>
      <c r="Z221" s="20">
        <f t="shared" si="48"/>
        <v>14.322094107750067</v>
      </c>
      <c r="AA221" s="19">
        <f>+AVERAGE(M219:M221)*AVERAGE($F$15:F221)</f>
        <v>-4.5703835337237422</v>
      </c>
      <c r="AB221" s="19">
        <f t="shared" si="49"/>
        <v>-98.341875762360701</v>
      </c>
      <c r="AC221" s="19">
        <f t="shared" si="50"/>
        <v>-14.244856614755477</v>
      </c>
      <c r="AD221" s="21">
        <f t="shared" si="51"/>
        <v>55.00194520649233</v>
      </c>
      <c r="AE221" s="19"/>
      <c r="AG221" s="20">
        <f>(V221- AVERAGE(V$41:V221))/_xlfn.STDEV.S(V186:V221)</f>
        <v>1.663124816897511</v>
      </c>
      <c r="AH221" s="20">
        <f>(W221- AVERAGE(W$41:W221))/_xlfn.STDEV.S(W186:W221)</f>
        <v>0.98172638052880812</v>
      </c>
      <c r="AI221" s="20">
        <f>(X221- AVERAGE(X$41:X221))/_xlfn.STDEV.S(X186:X221)</f>
        <v>1.0978832770322702</v>
      </c>
      <c r="AJ221" s="20">
        <f>(Y221- AVERAGE(Y$41:Y221))/_xlfn.STDEV.S(Y186:Y221)</f>
        <v>1.202889047782105</v>
      </c>
      <c r="AK221" s="20">
        <f>(Z221- AVERAGE(Z$41:Z221))/_xlfn.STDEV.S(Z186:Z221)</f>
        <v>2.1316119241992144</v>
      </c>
      <c r="AL221" s="20">
        <f>(AA221- AVERAGE(AA$41:AA221))/_xlfn.STDEV.S(AA186:AA221)</f>
        <v>-1.438939284877649</v>
      </c>
      <c r="AM221" s="20">
        <f>(AB221- AVERAGE(AB$41:AB221))/_xlfn.STDEV.S(AB186:AB221)</f>
        <v>-2.2884887406492882</v>
      </c>
      <c r="AN221" s="20">
        <f>(AC221- AVERAGE(AC$41:AC221))/_xlfn.STDEV.S(AC186:AC221)</f>
        <v>-1.6440677954172651</v>
      </c>
      <c r="AO221" s="24">
        <f>(AD221- AVERAGE(AD$41:AD221))/_xlfn.STDEV.S(AD186:AD221)</f>
        <v>0.66628696866826564</v>
      </c>
      <c r="AP221" s="20"/>
      <c r="AQ221" s="20">
        <f t="shared" si="59"/>
        <v>1.663124816897511</v>
      </c>
      <c r="AR221" s="20">
        <f t="shared" si="60"/>
        <v>0.98172638052880812</v>
      </c>
      <c r="AS221" s="20">
        <f t="shared" si="61"/>
        <v>1.0978832770322702</v>
      </c>
      <c r="AT221" s="20">
        <f t="shared" si="63"/>
        <v>1.202889047782105</v>
      </c>
      <c r="AU221" s="20">
        <f t="shared" si="64"/>
        <v>2.1316119241992144</v>
      </c>
      <c r="AV221" s="20">
        <f t="shared" si="65"/>
        <v>-1.438939284877649</v>
      </c>
      <c r="AW221" s="20">
        <f t="shared" si="66"/>
        <v>-2.2884887406492882</v>
      </c>
      <c r="AX221" s="20">
        <f t="shared" si="67"/>
        <v>-1.6440677954172651</v>
      </c>
      <c r="AY221" s="20">
        <f t="shared" si="68"/>
        <v>0.66628696866826564</v>
      </c>
      <c r="AZ221" s="22">
        <f t="shared" si="69"/>
        <v>0.2635585104626636</v>
      </c>
      <c r="BA221" s="1">
        <f>+_xlfn.XLOOKUP(A221,[1]Indice!B:B,[1]Indice!AI:AI,"NOOOOOO",-1)</f>
        <v>0.33162852001516574</v>
      </c>
    </row>
    <row r="222" spans="1:53" x14ac:dyDescent="0.25">
      <c r="A222" s="2">
        <v>44651</v>
      </c>
      <c r="B222" s="15">
        <v>7408</v>
      </c>
      <c r="C222" s="19">
        <v>29.510489510489514</v>
      </c>
      <c r="D222" s="15">
        <v>7084</v>
      </c>
      <c r="E222" s="19">
        <v>566.46</v>
      </c>
      <c r="F222" s="18">
        <v>0.26537972672386401</v>
      </c>
      <c r="G222" s="1">
        <v>5.5</v>
      </c>
      <c r="H222" s="1">
        <v>10.199999999999999</v>
      </c>
      <c r="I222" s="16">
        <v>56.9</v>
      </c>
      <c r="J222" s="1">
        <v>562.74400000000003</v>
      </c>
      <c r="K222" s="1">
        <v>13.136203166842254</v>
      </c>
      <c r="L222" s="1">
        <v>102.029</v>
      </c>
      <c r="M222" s="1">
        <v>-13.379121812069139</v>
      </c>
      <c r="N222" s="1">
        <v>-77.88681705717994</v>
      </c>
      <c r="O222" s="1">
        <v>409950</v>
      </c>
      <c r="P222" s="1">
        <v>-18.309803022905935</v>
      </c>
      <c r="Q222" s="1">
        <v>68.631671640330708</v>
      </c>
      <c r="R222" s="1">
        <v>6.9</v>
      </c>
      <c r="S222" s="1">
        <v>-5.5000000000001312E-2</v>
      </c>
      <c r="T222" s="3">
        <v>55.37</v>
      </c>
      <c r="V222" s="20">
        <f t="shared" si="46"/>
        <v>26.667132404605585</v>
      </c>
      <c r="W222" s="20">
        <f t="shared" si="47"/>
        <v>7.0216666666666674</v>
      </c>
      <c r="X222" s="20">
        <f t="shared" si="47"/>
        <v>10.288333333333334</v>
      </c>
      <c r="Y222" s="20">
        <f t="shared" si="70"/>
        <v>19.122833333333332</v>
      </c>
      <c r="Z222" s="20">
        <f t="shared" si="48"/>
        <v>13.861000465838638</v>
      </c>
      <c r="AA222" s="19">
        <f>+AVERAGE(M220:M222)*AVERAGE($F$15:F222)</f>
        <v>-4.1664199731218448</v>
      </c>
      <c r="AB222" s="19">
        <f t="shared" si="49"/>
        <v>-91.448460278138498</v>
      </c>
      <c r="AC222" s="19">
        <f t="shared" si="50"/>
        <v>-15.240204642635897</v>
      </c>
      <c r="AD222" s="21">
        <f t="shared" si="51"/>
        <v>57.253870891210909</v>
      </c>
      <c r="AE222" s="19"/>
      <c r="AG222" s="20">
        <f>(V222- AVERAGE(V$41:V222))/_xlfn.STDEV.S(V187:V222)</f>
        <v>0.92326721392115463</v>
      </c>
      <c r="AH222" s="20">
        <f>(W222- AVERAGE(W$41:W222))/_xlfn.STDEV.S(W187:W222)</f>
        <v>0.81934231783996203</v>
      </c>
      <c r="AI222" s="20">
        <f>(X222- AVERAGE(X$41:X222))/_xlfn.STDEV.S(X187:X222)</f>
        <v>0.88606611921478351</v>
      </c>
      <c r="AJ222" s="20">
        <f>(Y222- AVERAGE(Y$41:Y222))/_xlfn.STDEV.S(Y187:Y222)</f>
        <v>1.1860077478504785</v>
      </c>
      <c r="AK222" s="20">
        <f>(Z222- AVERAGE(Z$41:Z222))/_xlfn.STDEV.S(Z187:Z222)</f>
        <v>1.9894289524423376</v>
      </c>
      <c r="AL222" s="20">
        <f>(AA222- AVERAGE(AA$41:AA222))/_xlfn.STDEV.S(AA187:AA222)</f>
        <v>-1.3580886370283531</v>
      </c>
      <c r="AM222" s="20">
        <f>(AB222- AVERAGE(AB$41:AB222))/_xlfn.STDEV.S(AB187:AB222)</f>
        <v>-2.103084581824767</v>
      </c>
      <c r="AN222" s="20">
        <f>(AC222- AVERAGE(AC$41:AC222))/_xlfn.STDEV.S(AC187:AC222)</f>
        <v>-1.6690463291688311</v>
      </c>
      <c r="AO222" s="24">
        <f>(AD222- AVERAGE(AD$41:AD222))/_xlfn.STDEV.S(AD187:AD222)</f>
        <v>0.69993295230728714</v>
      </c>
      <c r="AP222" s="20"/>
      <c r="AQ222" s="20">
        <f t="shared" si="59"/>
        <v>0.92326721392115463</v>
      </c>
      <c r="AR222" s="20">
        <f t="shared" si="60"/>
        <v>0.81934231783996203</v>
      </c>
      <c r="AS222" s="20">
        <f t="shared" si="61"/>
        <v>0.88606611921478351</v>
      </c>
      <c r="AT222" s="20">
        <f t="shared" si="63"/>
        <v>1.1860077478504785</v>
      </c>
      <c r="AU222" s="20">
        <f t="shared" si="64"/>
        <v>1.9894289524423376</v>
      </c>
      <c r="AV222" s="20">
        <f t="shared" si="65"/>
        <v>-1.3580886370283531</v>
      </c>
      <c r="AW222" s="20">
        <f t="shared" si="66"/>
        <v>-2.103084581824767</v>
      </c>
      <c r="AX222" s="20">
        <f t="shared" si="67"/>
        <v>-1.6690463291688311</v>
      </c>
      <c r="AY222" s="20">
        <f t="shared" si="68"/>
        <v>0.69993295230728714</v>
      </c>
      <c r="AZ222" s="22">
        <f t="shared" si="69"/>
        <v>0.15264730617267247</v>
      </c>
      <c r="BA222" s="1">
        <f>+_xlfn.XLOOKUP(A222,[1]Indice!B:B,[1]Indice!AI:AI,"NOOOOOO",-1)</f>
        <v>0.34143895183028089</v>
      </c>
    </row>
    <row r="223" spans="1:53" x14ac:dyDescent="0.25">
      <c r="A223" s="2">
        <v>44681</v>
      </c>
      <c r="B223" s="15">
        <v>8366</v>
      </c>
      <c r="C223" s="19">
        <v>36.187530522545998</v>
      </c>
      <c r="D223" s="15">
        <v>6889</v>
      </c>
      <c r="E223" s="19">
        <v>566.46</v>
      </c>
      <c r="F223" s="18">
        <v>0.27321611411220564</v>
      </c>
      <c r="G223" s="1">
        <v>7</v>
      </c>
      <c r="H223" s="1">
        <v>11.1</v>
      </c>
      <c r="I223" s="16">
        <v>56.5</v>
      </c>
      <c r="J223" s="1">
        <v>569.21900000000005</v>
      </c>
      <c r="K223" s="1">
        <v>13.157612239380413</v>
      </c>
      <c r="L223" s="1">
        <v>97.316999999999993</v>
      </c>
      <c r="M223" s="1">
        <v>-17.206615507648337</v>
      </c>
      <c r="N223" s="1">
        <v>-73.879910581371888</v>
      </c>
      <c r="O223" s="1">
        <v>415727</v>
      </c>
      <c r="P223" s="1">
        <v>-14.303765895649912</v>
      </c>
      <c r="Q223" s="1">
        <v>124.34746000561323</v>
      </c>
      <c r="R223" s="1">
        <v>6.9</v>
      </c>
      <c r="S223" s="1">
        <v>4.9999999999998788E-2</v>
      </c>
      <c r="T223" s="3">
        <v>56.11</v>
      </c>
      <c r="V223" s="20">
        <f t="shared" si="46"/>
        <v>34.016879278027545</v>
      </c>
      <c r="W223" s="20">
        <f t="shared" si="47"/>
        <v>7.1833333333333345</v>
      </c>
      <c r="X223" s="20">
        <f t="shared" si="47"/>
        <v>11.116666666666667</v>
      </c>
      <c r="Y223" s="20">
        <f t="shared" si="70"/>
        <v>19.012833333333333</v>
      </c>
      <c r="Z223" s="20">
        <f t="shared" si="48"/>
        <v>13.288008699731835</v>
      </c>
      <c r="AA223" s="19">
        <f>+AVERAGE(M221:M223)*AVERAGE($F$15:F223)</f>
        <v>-4.206133755394168</v>
      </c>
      <c r="AB223" s="19">
        <f t="shared" si="49"/>
        <v>-82.232074664271209</v>
      </c>
      <c r="AC223" s="19">
        <f t="shared" si="50"/>
        <v>-15.767273391577852</v>
      </c>
      <c r="AD223" s="21">
        <f t="shared" si="51"/>
        <v>79.904391399711798</v>
      </c>
      <c r="AE223" s="19"/>
      <c r="AG223" s="20">
        <f>(V223- AVERAGE(V$41:V223))/_xlfn.STDEV.S(V188:V223)</f>
        <v>1.1970858056495546</v>
      </c>
      <c r="AH223" s="20">
        <f>(W223- AVERAGE(W$41:W223))/_xlfn.STDEV.S(W188:W223)</f>
        <v>0.83080665704364776</v>
      </c>
      <c r="AI223" s="20">
        <f>(X223- AVERAGE(X$41:X223))/_xlfn.STDEV.S(X188:X223)</f>
        <v>0.93520283197527188</v>
      </c>
      <c r="AJ223" s="20">
        <f>(Y223- AVERAGE(Y$41:Y223))/_xlfn.STDEV.S(Y188:Y223)</f>
        <v>1.2416027451005944</v>
      </c>
      <c r="AK223" s="20">
        <f>(Z223- AVERAGE(Z$41:Z223))/_xlfn.STDEV.S(Z188:Z223)</f>
        <v>1.8529202210694586</v>
      </c>
      <c r="AL223" s="20">
        <f>(AA223- AVERAGE(AA$41:AA223))/_xlfn.STDEV.S(AA188:AA223)</f>
        <v>-1.5368827909318878</v>
      </c>
      <c r="AM223" s="20">
        <f>(AB223- AVERAGE(AB$41:AB223))/_xlfn.STDEV.S(AB188:AB223)</f>
        <v>-1.8682755892542873</v>
      </c>
      <c r="AN223" s="20">
        <f>(AC223- AVERAGE(AC$41:AC223))/_xlfn.STDEV.S(AC188:AC223)</f>
        <v>-1.6543749812257289</v>
      </c>
      <c r="AO223" s="24">
        <f>(AD223- AVERAGE(AD$41:AD223))/_xlfn.STDEV.S(AD188:AD223)</f>
        <v>1.0744901571237211</v>
      </c>
      <c r="AP223" s="20"/>
      <c r="AQ223" s="20">
        <f t="shared" si="59"/>
        <v>1.1970858056495546</v>
      </c>
      <c r="AR223" s="20">
        <f t="shared" si="60"/>
        <v>0.83080665704364776</v>
      </c>
      <c r="AS223" s="20">
        <f t="shared" si="61"/>
        <v>0.93520283197527188</v>
      </c>
      <c r="AT223" s="20">
        <f t="shared" si="63"/>
        <v>1.2416027451005944</v>
      </c>
      <c r="AU223" s="20">
        <f t="shared" si="64"/>
        <v>1.8529202210694586</v>
      </c>
      <c r="AV223" s="20">
        <f t="shared" si="65"/>
        <v>-1.5368827909318878</v>
      </c>
      <c r="AW223" s="20">
        <f t="shared" si="66"/>
        <v>-1.8682755892542873</v>
      </c>
      <c r="AX223" s="20">
        <f t="shared" si="67"/>
        <v>-1.6543749812257289</v>
      </c>
      <c r="AY223" s="20">
        <f t="shared" si="68"/>
        <v>1.0744901571237211</v>
      </c>
      <c r="AZ223" s="22">
        <f t="shared" si="69"/>
        <v>0.23028611739448276</v>
      </c>
      <c r="BA223" s="1">
        <f>+_xlfn.XLOOKUP(A223,[1]Indice!B:B,[1]Indice!AI:AI,"NOOOOOO",-1)</f>
        <v>0.34665665312839683</v>
      </c>
    </row>
    <row r="224" spans="1:53" x14ac:dyDescent="0.25">
      <c r="A224" s="2">
        <v>44712</v>
      </c>
      <c r="B224" s="15">
        <v>8361</v>
      </c>
      <c r="C224" s="19">
        <v>22.721268163804488</v>
      </c>
      <c r="D224" s="15">
        <v>7892</v>
      </c>
      <c r="E224" s="19">
        <v>566.46</v>
      </c>
      <c r="F224" s="18">
        <v>0.28080535254033823</v>
      </c>
      <c r="G224" s="1">
        <v>8.9</v>
      </c>
      <c r="H224" s="1">
        <v>11.6</v>
      </c>
      <c r="I224" s="16">
        <v>56.7</v>
      </c>
      <c r="J224" s="1">
        <v>576.51599999999996</v>
      </c>
      <c r="K224" s="1">
        <v>14.29625003717252</v>
      </c>
      <c r="L224" s="1">
        <v>98.3</v>
      </c>
      <c r="M224" s="1">
        <v>-16.611526781018316</v>
      </c>
      <c r="N224" s="1">
        <v>-77.181297563177708</v>
      </c>
      <c r="O224" s="1">
        <v>414733</v>
      </c>
      <c r="P224" s="1">
        <v>-13.465687399586868</v>
      </c>
      <c r="Q224" s="1">
        <v>134.96237151248164</v>
      </c>
      <c r="R224" s="1">
        <v>6.9</v>
      </c>
      <c r="S224" s="1">
        <v>0.15499999999999864</v>
      </c>
      <c r="T224" s="3">
        <v>60.1</v>
      </c>
      <c r="V224" s="20">
        <f t="shared" si="46"/>
        <v>29.318096065613336</v>
      </c>
      <c r="W224" s="20">
        <f t="shared" si="47"/>
        <v>6.9783333333333344</v>
      </c>
      <c r="X224" s="20">
        <f t="shared" si="47"/>
        <v>10.811666666666667</v>
      </c>
      <c r="Y224" s="20">
        <f t="shared" si="70"/>
        <v>18.861166666666676</v>
      </c>
      <c r="Z224" s="20">
        <f t="shared" si="48"/>
        <v>13.530021814465064</v>
      </c>
      <c r="AA224" s="19">
        <f>+AVERAGE(M222:M224)*AVERAGE($F$15:F224)</f>
        <v>-4.2250787177762863</v>
      </c>
      <c r="AB224" s="19">
        <f t="shared" si="49"/>
        <v>-76.316008400576507</v>
      </c>
      <c r="AC224" s="19">
        <f t="shared" si="50"/>
        <v>-15.359752106047573</v>
      </c>
      <c r="AD224" s="21">
        <f t="shared" si="51"/>
        <v>109.31383438614186</v>
      </c>
      <c r="AE224" s="19"/>
      <c r="AG224" s="20">
        <f>(V224- AVERAGE(V$41:V224))/_xlfn.STDEV.S(V189:V224)</f>
        <v>1.0066861002368277</v>
      </c>
      <c r="AH224" s="20">
        <f>(W224- AVERAGE(W$41:W224))/_xlfn.STDEV.S(W189:W224)</f>
        <v>0.80421502613711926</v>
      </c>
      <c r="AI224" s="20">
        <f>(X224- AVERAGE(X$41:X224))/_xlfn.STDEV.S(X189:X224)</f>
        <v>0.89474919703124423</v>
      </c>
      <c r="AJ224" s="20">
        <f>(Y224- AVERAGE(Y$41:Y224))/_xlfn.STDEV.S(Y189:Y224)</f>
        <v>1.3311821041277863</v>
      </c>
      <c r="AK224" s="20">
        <f>(Z224- AVERAGE(Z$41:Z224))/_xlfn.STDEV.S(Z189:Z224)</f>
        <v>1.8267747722108503</v>
      </c>
      <c r="AL224" s="20">
        <f>(AA224- AVERAGE(AA$41:AA224))/_xlfn.STDEV.S(AA189:AA224)</f>
        <v>-1.7547391432022139</v>
      </c>
      <c r="AM224" s="20">
        <f>(AB224- AVERAGE(AB$41:AB224))/_xlfn.STDEV.S(AB189:AB224)</f>
        <v>-1.7440298149585811</v>
      </c>
      <c r="AN224" s="20">
        <f>(AC224- AVERAGE(AC$41:AC224))/_xlfn.STDEV.S(AC189:AC224)</f>
        <v>-1.5725427312166871</v>
      </c>
      <c r="AO224" s="24">
        <f>(AD224- AVERAGE(AD$41:AD224))/_xlfn.STDEV.S(AD189:AD224)</f>
        <v>1.5294733756823353</v>
      </c>
      <c r="AP224" s="20"/>
      <c r="AQ224" s="20">
        <f t="shared" si="59"/>
        <v>1.0066861002368277</v>
      </c>
      <c r="AR224" s="20">
        <f t="shared" si="60"/>
        <v>0.80421502613711926</v>
      </c>
      <c r="AS224" s="20">
        <f t="shared" si="61"/>
        <v>0.89474919703124423</v>
      </c>
      <c r="AT224" s="20">
        <f t="shared" si="63"/>
        <v>1.3311821041277863</v>
      </c>
      <c r="AU224" s="20">
        <f t="shared" si="64"/>
        <v>1.8267747722108503</v>
      </c>
      <c r="AV224" s="20">
        <f t="shared" si="65"/>
        <v>-1.7547391432022139</v>
      </c>
      <c r="AW224" s="20">
        <f t="shared" si="66"/>
        <v>-1.7440298149585811</v>
      </c>
      <c r="AX224" s="20">
        <f t="shared" si="67"/>
        <v>-1.5725427312166871</v>
      </c>
      <c r="AY224" s="20">
        <f t="shared" si="68"/>
        <v>1.5294733756823353</v>
      </c>
      <c r="AZ224" s="22">
        <f t="shared" si="69"/>
        <v>0.25797432067207565</v>
      </c>
      <c r="BA224" s="1">
        <f>+_xlfn.XLOOKUP(A224,[1]Indice!B:B,[1]Indice!AI:AI,"NOOOOOO",-1)</f>
        <v>0.36178488427740341</v>
      </c>
    </row>
    <row r="225" spans="1:53" x14ac:dyDescent="0.25">
      <c r="A225" s="2">
        <v>44742</v>
      </c>
      <c r="B225" s="15">
        <v>8457</v>
      </c>
      <c r="C225" s="19">
        <v>20.641940085592015</v>
      </c>
      <c r="D225" s="15">
        <v>8667</v>
      </c>
      <c r="E225" s="19">
        <v>667.31</v>
      </c>
      <c r="F225" s="18">
        <v>0.2446688945167913</v>
      </c>
      <c r="G225" s="1">
        <v>8.4</v>
      </c>
      <c r="H225" s="1">
        <v>9.8000000000000007</v>
      </c>
      <c r="I225" s="16">
        <v>59</v>
      </c>
      <c r="J225" s="1">
        <v>573.80799999999999</v>
      </c>
      <c r="K225" s="1">
        <v>14.168381091846749</v>
      </c>
      <c r="L225" s="1">
        <v>94.43</v>
      </c>
      <c r="M225" s="1">
        <v>-18.57517331769737</v>
      </c>
      <c r="N225" s="1">
        <v>-84.989866402781345</v>
      </c>
      <c r="O225" s="1">
        <v>415566</v>
      </c>
      <c r="P225" s="1">
        <v>-8.1301316260705363</v>
      </c>
      <c r="Q225" s="1">
        <v>150.04435631164222</v>
      </c>
      <c r="R225" s="1">
        <v>8.1</v>
      </c>
      <c r="S225" s="1">
        <v>0.25166666666666559</v>
      </c>
      <c r="T225" s="3">
        <v>68.75</v>
      </c>
      <c r="V225" s="20">
        <f t="shared" si="46"/>
        <v>26.265246257314171</v>
      </c>
      <c r="W225" s="20">
        <f t="shared" si="47"/>
        <v>7.8483333333333345</v>
      </c>
      <c r="X225" s="20">
        <f t="shared" si="47"/>
        <v>10.581666666666669</v>
      </c>
      <c r="Y225" s="20">
        <f t="shared" si="70"/>
        <v>18.698666666666668</v>
      </c>
      <c r="Z225" s="20">
        <f t="shared" si="48"/>
        <v>13.874081122799893</v>
      </c>
      <c r="AA225" s="19">
        <f>+AVERAGE(M223:M225)*AVERAGE($F$15:F225)</f>
        <v>-4.6882496504863864</v>
      </c>
      <c r="AB225" s="19">
        <f t="shared" si="49"/>
        <v>-78.683691515776971</v>
      </c>
      <c r="AC225" s="19">
        <f t="shared" si="50"/>
        <v>-11.966528307102438</v>
      </c>
      <c r="AD225" s="21">
        <f t="shared" si="51"/>
        <v>136.4513959432457</v>
      </c>
      <c r="AE225" s="19"/>
      <c r="AG225" s="20">
        <f>(V225- AVERAGE(V$41:V225))/_xlfn.STDEV.S(V190:V225)</f>
        <v>0.88266437022495825</v>
      </c>
      <c r="AH225" s="20">
        <f>(W225- AVERAGE(W$41:W225))/_xlfn.STDEV.S(W190:W225)</f>
        <v>0.88189431829805975</v>
      </c>
      <c r="AI225" s="20">
        <f>(X225- AVERAGE(X$41:X225))/_xlfn.STDEV.S(X190:X225)</f>
        <v>0.86262994230851719</v>
      </c>
      <c r="AJ225" s="20">
        <f>(Y225- AVERAGE(Y$41:Y225))/_xlfn.STDEV.S(Y190:Y225)</f>
        <v>1.4424785256193728</v>
      </c>
      <c r="AK225" s="20">
        <f>(Z225- AVERAGE(Z$41:Z225))/_xlfn.STDEV.S(Z190:Z225)</f>
        <v>1.8144333505461678</v>
      </c>
      <c r="AL225" s="20">
        <f>(AA225- AVERAGE(AA$41:AA225))/_xlfn.STDEV.S(AA190:AA225)</f>
        <v>-2.0263910513035852</v>
      </c>
      <c r="AM225" s="20">
        <f>(AB225- AVERAGE(AB$41:AB225))/_xlfn.STDEV.S(AB190:AB225)</f>
        <v>-1.9018783940898301</v>
      </c>
      <c r="AN225" s="20">
        <f>(AC225- AVERAGE(AC$41:AC225))/_xlfn.STDEV.S(AC190:AC225)</f>
        <v>-1.2624012437090506</v>
      </c>
      <c r="AO225" s="24">
        <f>(AD225- AVERAGE(AD$41:AD225))/_xlfn.STDEV.S(AD190:AD225)</f>
        <v>1.887461047001221</v>
      </c>
      <c r="AP225" s="20"/>
      <c r="AQ225" s="20">
        <f t="shared" si="59"/>
        <v>0.88266437022495825</v>
      </c>
      <c r="AR225" s="20">
        <f t="shared" si="60"/>
        <v>0.88189431829805975</v>
      </c>
      <c r="AS225" s="20">
        <f t="shared" si="61"/>
        <v>0.86262994230851719</v>
      </c>
      <c r="AT225" s="20">
        <f t="shared" si="63"/>
        <v>1.4424785256193728</v>
      </c>
      <c r="AU225" s="20">
        <f t="shared" si="64"/>
        <v>1.8144333505461678</v>
      </c>
      <c r="AV225" s="20">
        <f t="shared" si="65"/>
        <v>-2.0263910513035852</v>
      </c>
      <c r="AW225" s="20">
        <f t="shared" si="66"/>
        <v>-1.9018783940898301</v>
      </c>
      <c r="AX225" s="20">
        <f t="shared" si="67"/>
        <v>-1.2624012437090506</v>
      </c>
      <c r="AY225" s="20">
        <f t="shared" si="68"/>
        <v>1.887461047001221</v>
      </c>
      <c r="AZ225" s="22">
        <f t="shared" si="69"/>
        <v>0.28676565165509227</v>
      </c>
      <c r="BA225" s="1">
        <f>+_xlfn.XLOOKUP(A225,[1]Indice!B:B,[1]Indice!AI:AI,"NOOOOOO",-1)</f>
        <v>0.35319943688609939</v>
      </c>
    </row>
    <row r="226" spans="1:53" x14ac:dyDescent="0.25">
      <c r="A226" s="2">
        <v>44773</v>
      </c>
      <c r="B226" s="15">
        <v>7656</v>
      </c>
      <c r="C226" s="19">
        <v>5.5708769994484264</v>
      </c>
      <c r="D226" s="15">
        <v>8302</v>
      </c>
      <c r="E226" s="19">
        <v>667.31</v>
      </c>
      <c r="F226" s="18">
        <v>0.24915106921820443</v>
      </c>
      <c r="G226" s="1">
        <v>7</v>
      </c>
      <c r="H226" s="1">
        <v>10</v>
      </c>
      <c r="I226" s="16">
        <v>63.9</v>
      </c>
      <c r="J226" s="1">
        <v>579.77</v>
      </c>
      <c r="K226" s="1">
        <v>13.253360368649192</v>
      </c>
      <c r="L226" s="1">
        <v>92.421999999999997</v>
      </c>
      <c r="M226" s="1">
        <v>-18.668379738815165</v>
      </c>
      <c r="N226" s="1">
        <v>-129.01230946107458</v>
      </c>
      <c r="O226" s="1">
        <v>426553</v>
      </c>
      <c r="P226" s="1">
        <v>-2.8850816779554922</v>
      </c>
      <c r="Q226" s="1">
        <v>71.731721724905697</v>
      </c>
      <c r="R226" s="1">
        <v>8.1</v>
      </c>
      <c r="S226" s="1">
        <v>0.348333333333332</v>
      </c>
      <c r="T226" s="3">
        <v>83.7</v>
      </c>
      <c r="V226" s="20">
        <f t="shared" si="46"/>
        <v>15.963028416281645</v>
      </c>
      <c r="W226" s="20">
        <f t="shared" si="47"/>
        <v>7.7516666666666678</v>
      </c>
      <c r="X226" s="20">
        <f t="shared" si="47"/>
        <v>10.118333333333334</v>
      </c>
      <c r="Y226" s="20">
        <f t="shared" si="70"/>
        <v>20.055333333333337</v>
      </c>
      <c r="Z226" s="20">
        <f t="shared" si="48"/>
        <v>13.905997165889486</v>
      </c>
      <c r="AA226" s="19">
        <f>+AVERAGE(M224:M226)*AVERAGE($F$15:F226)</f>
        <v>-4.8174171773152485</v>
      </c>
      <c r="AB226" s="19">
        <f t="shared" si="49"/>
        <v>-97.061157809011206</v>
      </c>
      <c r="AC226" s="19">
        <f t="shared" si="50"/>
        <v>-8.1603002345376314</v>
      </c>
      <c r="AD226" s="21">
        <f t="shared" si="51"/>
        <v>118.91281651634318</v>
      </c>
      <c r="AE226" s="19"/>
      <c r="AG226" s="20">
        <f>(V226- AVERAGE(V$41:V226))/_xlfn.STDEV.S(V191:V226)</f>
        <v>0.4826215998661661</v>
      </c>
      <c r="AH226" s="20">
        <f>(W226- AVERAGE(W$41:W226))/_xlfn.STDEV.S(W191:W226)</f>
        <v>0.86416565023505398</v>
      </c>
      <c r="AI226" s="20">
        <f>(X226- AVERAGE(X$41:X226))/_xlfn.STDEV.S(X191:X226)</f>
        <v>0.81457506100259958</v>
      </c>
      <c r="AJ226" s="20">
        <f>(Y226- AVERAGE(Y$41:Y226))/_xlfn.STDEV.S(Y191:Y226)</f>
        <v>1.7302326708274323</v>
      </c>
      <c r="AK226" s="20">
        <f>(Z226- AVERAGE(Z$41:Z226))/_xlfn.STDEV.S(Z191:Z226)</f>
        <v>1.7685158998285078</v>
      </c>
      <c r="AL226" s="20">
        <f>(AA226- AVERAGE(AA$41:AA226))/_xlfn.STDEV.S(AA191:AA226)</f>
        <v>-2.0236447896252416</v>
      </c>
      <c r="AM226" s="20">
        <f>(AB226- AVERAGE(AB$41:AB226))/_xlfn.STDEV.S(AB191:AB226)</f>
        <v>-2.6289937116335733</v>
      </c>
      <c r="AN226" s="20">
        <f>(AC226- AVERAGE(AC$41:AC226))/_xlfn.STDEV.S(AC191:AC226)</f>
        <v>-0.93008715868999992</v>
      </c>
      <c r="AO226" s="24">
        <f>(AD226- AVERAGE(AD$41:AD226))/_xlfn.STDEV.S(AD191:AD226)</f>
        <v>1.5564691297516777</v>
      </c>
      <c r="AP226" s="20"/>
      <c r="AQ226" s="20">
        <f t="shared" si="59"/>
        <v>0.4826215998661661</v>
      </c>
      <c r="AR226" s="20">
        <f t="shared" si="60"/>
        <v>0.86416565023505398</v>
      </c>
      <c r="AS226" s="20">
        <f t="shared" si="61"/>
        <v>0.81457506100259958</v>
      </c>
      <c r="AT226" s="20">
        <f t="shared" si="63"/>
        <v>1.7302326708274323</v>
      </c>
      <c r="AU226" s="20">
        <f t="shared" si="64"/>
        <v>1.7685158998285078</v>
      </c>
      <c r="AV226" s="20">
        <f t="shared" si="65"/>
        <v>-2.0236447896252416</v>
      </c>
      <c r="AW226" s="20">
        <f t="shared" si="66"/>
        <v>-2.6289937116335733</v>
      </c>
      <c r="AX226" s="20">
        <f t="shared" si="67"/>
        <v>-0.93008715868999992</v>
      </c>
      <c r="AY226" s="20">
        <f t="shared" si="68"/>
        <v>1.5564691297516777</v>
      </c>
      <c r="AZ226" s="22">
        <f t="shared" si="69"/>
        <v>0.18153937239584697</v>
      </c>
      <c r="BA226" s="1">
        <f>+_xlfn.XLOOKUP(A226,[1]Indice!B:B,[1]Indice!AI:AI,"NOOOOOO",-1)</f>
        <v>0.34400244563280019</v>
      </c>
    </row>
    <row r="227" spans="1:53" x14ac:dyDescent="0.25">
      <c r="A227" s="2">
        <v>44804</v>
      </c>
      <c r="B227" s="15">
        <v>7583</v>
      </c>
      <c r="C227" s="19">
        <v>-6.3711569329546798</v>
      </c>
      <c r="D227" s="15">
        <v>7918</v>
      </c>
      <c r="E227" s="19">
        <v>667.31</v>
      </c>
      <c r="F227" s="18">
        <v>0.25162068603797333</v>
      </c>
      <c r="G227" s="1">
        <v>7.4</v>
      </c>
      <c r="H227" s="1">
        <v>7.1</v>
      </c>
      <c r="I227" s="16">
        <v>71</v>
      </c>
      <c r="J227" s="1">
        <v>584.09199999999998</v>
      </c>
      <c r="K227" s="1">
        <v>14.807658666121547</v>
      </c>
      <c r="L227" s="1">
        <v>90.402000000000001</v>
      </c>
      <c r="M227" s="1">
        <v>-19.812308183576079</v>
      </c>
      <c r="N227" s="1">
        <v>-110.35168414637013</v>
      </c>
      <c r="O227" s="1">
        <v>418346</v>
      </c>
      <c r="P227" s="1">
        <v>-1.6570481552439453</v>
      </c>
      <c r="Q227" s="1">
        <v>40.823115673415074</v>
      </c>
      <c r="R227" s="1">
        <v>8.1</v>
      </c>
      <c r="S227" s="1">
        <v>0.44499999999999901</v>
      </c>
      <c r="T227" s="3">
        <v>90.53</v>
      </c>
      <c r="V227" s="20">
        <f t="shared" si="46"/>
        <v>6.1688867173619215</v>
      </c>
      <c r="W227" s="20">
        <f t="shared" si="47"/>
        <v>7.1550000000000011</v>
      </c>
      <c r="X227" s="20">
        <f t="shared" si="47"/>
        <v>8.5216666666666683</v>
      </c>
      <c r="Y227" s="20">
        <f t="shared" si="70"/>
        <v>23.599833333333336</v>
      </c>
      <c r="Z227" s="20">
        <f t="shared" si="48"/>
        <v>14.076466708872497</v>
      </c>
      <c r="AA227" s="19">
        <f>+AVERAGE(M225:M227)*AVERAGE($F$15:F227)</f>
        <v>-5.1022376973955064</v>
      </c>
      <c r="AB227" s="19">
        <f t="shared" si="49"/>
        <v>-108.11795333674202</v>
      </c>
      <c r="AC227" s="19">
        <f t="shared" si="50"/>
        <v>-4.2240871530899913</v>
      </c>
      <c r="AD227" s="21">
        <f t="shared" si="51"/>
        <v>87.533064569987673</v>
      </c>
      <c r="AE227" s="19"/>
      <c r="AG227" s="20">
        <f>(V227- AVERAGE(V$41:V227))/_xlfn.STDEV.S(V192:V227)</f>
        <v>0.10357161782410178</v>
      </c>
      <c r="AH227" s="20">
        <f>(W227- AVERAGE(W$41:W227))/_xlfn.STDEV.S(W192:W227)</f>
        <v>0.79986492601356141</v>
      </c>
      <c r="AI227" s="20">
        <f>(X227- AVERAGE(X$41:X227))/_xlfn.STDEV.S(X192:X227)</f>
        <v>0.68249628507372651</v>
      </c>
      <c r="AJ227" s="20">
        <f>(Y227- AVERAGE(Y$41:Y227))/_xlfn.STDEV.S(Y192:Y227)</f>
        <v>2.269768263387129</v>
      </c>
      <c r="AK227" s="20">
        <f>(Z227- AVERAGE(Z$41:Z227))/_xlfn.STDEV.S(Z192:Z227)</f>
        <v>1.7422912146251532</v>
      </c>
      <c r="AL227" s="20">
        <f>(AA227- AVERAGE(AA$41:AA227))/_xlfn.STDEV.S(AA192:AA227)</f>
        <v>-2.0752547774213927</v>
      </c>
      <c r="AM227" s="20">
        <f>(AB227- AVERAGE(AB$41:AB227))/_xlfn.STDEV.S(AB192:AB227)</f>
        <v>-3.1340426031833375</v>
      </c>
      <c r="AN227" s="20">
        <f>(AC227- AVERAGE(AC$41:AC227))/_xlfn.STDEV.S(AC192:AC227)</f>
        <v>-0.58577430265855701</v>
      </c>
      <c r="AO227" s="24">
        <f>(AD227- AVERAGE(AD$41:AD227))/_xlfn.STDEV.S(AD192:AD227)</f>
        <v>1.0532603459645817</v>
      </c>
      <c r="AP227" s="20"/>
      <c r="AQ227" s="20">
        <f t="shared" si="59"/>
        <v>0.10357161782410178</v>
      </c>
      <c r="AR227" s="20">
        <f t="shared" si="60"/>
        <v>0.79986492601356141</v>
      </c>
      <c r="AS227" s="20">
        <f t="shared" si="61"/>
        <v>0.68249628507372651</v>
      </c>
      <c r="AT227" s="20">
        <f t="shared" si="63"/>
        <v>2.269768263387129</v>
      </c>
      <c r="AU227" s="20">
        <f t="shared" si="64"/>
        <v>1.7422912146251532</v>
      </c>
      <c r="AV227" s="20">
        <f t="shared" si="65"/>
        <v>-2.0752547774213927</v>
      </c>
      <c r="AW227" s="20">
        <f t="shared" si="66"/>
        <v>-3.1340426031833375</v>
      </c>
      <c r="AX227" s="20">
        <f t="shared" si="67"/>
        <v>-0.58577430265855701</v>
      </c>
      <c r="AY227" s="20">
        <f t="shared" si="68"/>
        <v>1.0532603459645817</v>
      </c>
      <c r="AZ227" s="22">
        <f t="shared" si="69"/>
        <v>9.5131218847218479E-2</v>
      </c>
      <c r="BA227" s="1">
        <f>+_xlfn.XLOOKUP(A227,[1]Indice!B:B,[1]Indice!AI:AI,"NOOOOOO",-1)</f>
        <v>0.37991940824863257</v>
      </c>
    </row>
    <row r="228" spans="1:53" x14ac:dyDescent="0.25">
      <c r="A228" s="2">
        <v>44834</v>
      </c>
      <c r="B228" s="15">
        <v>7494</v>
      </c>
      <c r="C228" s="19">
        <v>-1.0039630118890308</v>
      </c>
      <c r="D228" s="15">
        <v>7144</v>
      </c>
      <c r="E228" s="19">
        <v>648.4</v>
      </c>
      <c r="F228" s="18">
        <v>0.26078192473781614</v>
      </c>
      <c r="G228" s="1">
        <v>5.6</v>
      </c>
      <c r="H228" s="1">
        <v>5.6</v>
      </c>
      <c r="I228" s="16">
        <v>75.599999999999994</v>
      </c>
      <c r="J228" s="1">
        <v>594.63900000000001</v>
      </c>
      <c r="K228" s="1">
        <v>13.6001788139819</v>
      </c>
      <c r="L228" s="1">
        <v>87.787000000000006</v>
      </c>
      <c r="M228" s="1">
        <v>-18.357420530848344</v>
      </c>
      <c r="N228" s="1">
        <v>-101.51875479273951</v>
      </c>
      <c r="O228" s="1">
        <v>429203</v>
      </c>
      <c r="P228" s="1">
        <v>2.5471756717366567</v>
      </c>
      <c r="Q228" s="1">
        <v>67.725006559958032</v>
      </c>
      <c r="R228" s="1">
        <v>6.7</v>
      </c>
      <c r="S228" s="1">
        <v>0.49166666666666553</v>
      </c>
      <c r="T228" s="3">
        <v>94.05</v>
      </c>
      <c r="V228" s="20">
        <f t="shared" si="46"/>
        <v>-1.0930809817984268</v>
      </c>
      <c r="W228" s="20">
        <f t="shared" si="47"/>
        <v>6.1750000000000016</v>
      </c>
      <c r="X228" s="20">
        <f t="shared" si="47"/>
        <v>7.075000000000002</v>
      </c>
      <c r="Y228" s="20">
        <f t="shared" si="70"/>
        <v>27.847333333333331</v>
      </c>
      <c r="Z228" s="20">
        <f t="shared" si="48"/>
        <v>13.887065949584212</v>
      </c>
      <c r="AA228" s="19">
        <f>+AVERAGE(M226:M228)*AVERAGE($F$15:F228)</f>
        <v>-5.0821016242958272</v>
      </c>
      <c r="AB228" s="19">
        <f t="shared" si="49"/>
        <v>-113.62758280006142</v>
      </c>
      <c r="AC228" s="19">
        <f t="shared" si="50"/>
        <v>-0.66498472048759361</v>
      </c>
      <c r="AD228" s="21">
        <f t="shared" si="51"/>
        <v>60.093281319426268</v>
      </c>
      <c r="AE228" s="19"/>
      <c r="AG228" s="20">
        <f>(V228- AVERAGE(V$41:V228))/_xlfn.STDEV.S(V193:V228)</f>
        <v>-0.17520211297809654</v>
      </c>
      <c r="AH228" s="20">
        <f>(W228- AVERAGE(W$41:W228))/_xlfn.STDEV.S(W193:W228)</f>
        <v>0.70025450526721955</v>
      </c>
      <c r="AI228" s="20">
        <f>(X228- AVERAGE(X$41:X228))/_xlfn.STDEV.S(X193:X228)</f>
        <v>0.56535686052781764</v>
      </c>
      <c r="AJ228" s="20">
        <f>(Y228- AVERAGE(Y$41:Y228))/_xlfn.STDEV.S(Y193:Y228)</f>
        <v>2.8249762069383055</v>
      </c>
      <c r="AK228" s="20">
        <f>(Z228- AVERAGE(Z$41:Z228))/_xlfn.STDEV.S(Z193:Z228)</f>
        <v>1.6799142048104609</v>
      </c>
      <c r="AL228" s="20">
        <f>(AA228- AVERAGE(AA$41:AA228))/_xlfn.STDEV.S(AA193:AA228)</f>
        <v>-1.9852959830505132</v>
      </c>
      <c r="AM228" s="20">
        <f>(AB228- AVERAGE(AB$41:AB228))/_xlfn.STDEV.S(AB193:AB228)</f>
        <v>-3.4441444668149344</v>
      </c>
      <c r="AN228" s="20">
        <f>(AC228- AVERAGE(AC$41:AC228))/_xlfn.STDEV.S(AC193:AC228)</f>
        <v>-0.27078367973825712</v>
      </c>
      <c r="AO228" s="24">
        <f>(AD228- AVERAGE(AD$41:AD228))/_xlfn.STDEV.S(AD193:AD228)</f>
        <v>0.62763088383445087</v>
      </c>
      <c r="AP228" s="20"/>
      <c r="AQ228" s="20">
        <f t="shared" si="59"/>
        <v>-0.17520211297809654</v>
      </c>
      <c r="AR228" s="20">
        <f t="shared" si="60"/>
        <v>0.70025450526721955</v>
      </c>
      <c r="AS228" s="20">
        <f t="shared" si="61"/>
        <v>0.56535686052781764</v>
      </c>
      <c r="AT228" s="20">
        <f t="shared" si="63"/>
        <v>2.8249762069383055</v>
      </c>
      <c r="AU228" s="20">
        <f t="shared" si="64"/>
        <v>1.6799142048104609</v>
      </c>
      <c r="AV228" s="20">
        <f t="shared" si="65"/>
        <v>-1.9852959830505132</v>
      </c>
      <c r="AW228" s="20">
        <f t="shared" si="66"/>
        <v>-3.4441444668149344</v>
      </c>
      <c r="AX228" s="20">
        <f t="shared" si="67"/>
        <v>-0.27078367973825712</v>
      </c>
      <c r="AY228" s="20">
        <f t="shared" si="68"/>
        <v>0.62763088383445087</v>
      </c>
      <c r="AZ228" s="22">
        <f t="shared" si="69"/>
        <v>5.8078490977383698E-2</v>
      </c>
      <c r="BA228" s="1">
        <f>+_xlfn.XLOOKUP(A228,[1]Indice!B:B,[1]Indice!AI:AI,"NOOOOOO",-1)</f>
        <v>0.41547261923312323</v>
      </c>
    </row>
    <row r="229" spans="1:53" x14ac:dyDescent="0.25">
      <c r="A229" s="2">
        <v>44865</v>
      </c>
      <c r="B229" s="15">
        <v>8021</v>
      </c>
      <c r="C229" s="19">
        <v>16.873087571033075</v>
      </c>
      <c r="D229" s="15">
        <v>6089</v>
      </c>
      <c r="E229" s="19">
        <v>648.4</v>
      </c>
      <c r="F229" s="18">
        <v>0.26386644046884639</v>
      </c>
      <c r="G229" s="1">
        <v>5</v>
      </c>
      <c r="H229" s="1">
        <v>6.2</v>
      </c>
      <c r="I229" s="16">
        <v>77.900000000000006</v>
      </c>
      <c r="J229" s="1">
        <v>609.63699999999994</v>
      </c>
      <c r="K229" s="1">
        <v>14.370055474364918</v>
      </c>
      <c r="L229" s="1">
        <v>88.7</v>
      </c>
      <c r="M229" s="1">
        <v>-15.373093032352859</v>
      </c>
      <c r="N229" s="1">
        <v>-95.104260845459066</v>
      </c>
      <c r="O229" s="1">
        <v>436830</v>
      </c>
      <c r="P229" s="1">
        <v>0.62842373451401645</v>
      </c>
      <c r="Q229" s="1">
        <v>104.08396075747204</v>
      </c>
      <c r="R229" s="1">
        <v>6.7</v>
      </c>
      <c r="S229" s="1">
        <v>0.53833333333333211</v>
      </c>
      <c r="T229" s="3">
        <v>98.85</v>
      </c>
      <c r="V229" s="20">
        <f t="shared" si="46"/>
        <v>2.6276558753964561</v>
      </c>
      <c r="W229" s="20">
        <f t="shared" si="47"/>
        <v>5.4616666666666678</v>
      </c>
      <c r="X229" s="20">
        <f t="shared" si="47"/>
        <v>5.7616666666666676</v>
      </c>
      <c r="Y229" s="20">
        <f t="shared" si="70"/>
        <v>31.154833333333329</v>
      </c>
      <c r="Z229" s="20">
        <f t="shared" si="48"/>
        <v>14.259297651489454</v>
      </c>
      <c r="AA229" s="19">
        <f>+AVERAGE(M227:M229)*AVERAGE($F$15:F229)</f>
        <v>-4.7870949440525861</v>
      </c>
      <c r="AB229" s="19">
        <f t="shared" si="49"/>
        <v>-102.32489992818957</v>
      </c>
      <c r="AC229" s="19">
        <f t="shared" si="50"/>
        <v>0.50618375033557594</v>
      </c>
      <c r="AD229" s="21">
        <f t="shared" si="51"/>
        <v>70.877360996948383</v>
      </c>
      <c r="AE229" s="19"/>
      <c r="AG229" s="20">
        <f>(V229- AVERAGE(V$41:V229))/_xlfn.STDEV.S(V194:V229)</f>
        <v>-3.1906021582760256E-2</v>
      </c>
      <c r="AH229" s="20">
        <f>(W229- AVERAGE(W$41:W229))/_xlfn.STDEV.S(W194:W229)</f>
        <v>0.62820174044308108</v>
      </c>
      <c r="AI229" s="20">
        <f>(X229- AVERAGE(X$41:X229))/_xlfn.STDEV.S(X194:X229)</f>
        <v>0.46064838207336162</v>
      </c>
      <c r="AJ229" s="20">
        <f>(Y229- AVERAGE(Y$41:Y229))/_xlfn.STDEV.S(Y194:Y229)</f>
        <v>3.1428610102011136</v>
      </c>
      <c r="AK229" s="20">
        <f>(Z229- AVERAGE(Z$41:Z229))/_xlfn.STDEV.S(Z194:Z229)</f>
        <v>1.682406277895123</v>
      </c>
      <c r="AL229" s="20">
        <f>(AA229- AVERAGE(AA$41:AA229))/_xlfn.STDEV.S(AA194:AA229)</f>
        <v>-1.80799729164689</v>
      </c>
      <c r="AM229" s="20">
        <f>(AB229- AVERAGE(AB$41:AB229))/_xlfn.STDEV.S(AB194:AB229)</f>
        <v>-3.159503870566275</v>
      </c>
      <c r="AN229" s="20">
        <f>(AC229- AVERAGE(AC$41:AC229))/_xlfn.STDEV.S(AC194:AC229)</f>
        <v>-0.16628280463229436</v>
      </c>
      <c r="AO229" s="24">
        <f>(AD229- AVERAGE(AD$41:AD229))/_xlfn.STDEV.S(AD194:AD229)</f>
        <v>0.79364693330508884</v>
      </c>
      <c r="AP229" s="20"/>
      <c r="AQ229" s="20">
        <f t="shared" si="59"/>
        <v>-3.1906021582760256E-2</v>
      </c>
      <c r="AR229" s="20">
        <f t="shared" si="60"/>
        <v>0.62820174044308108</v>
      </c>
      <c r="AS229" s="20">
        <f t="shared" si="61"/>
        <v>0.46064838207336162</v>
      </c>
      <c r="AT229" s="20">
        <f t="shared" si="63"/>
        <v>3.1428610102011136</v>
      </c>
      <c r="AU229" s="20">
        <f t="shared" si="64"/>
        <v>1.682406277895123</v>
      </c>
      <c r="AV229" s="20">
        <f t="shared" si="65"/>
        <v>-1.80799729164689</v>
      </c>
      <c r="AW229" s="20">
        <f t="shared" si="66"/>
        <v>-3.159503870566275</v>
      </c>
      <c r="AX229" s="20">
        <f t="shared" si="67"/>
        <v>-0.16628280463229436</v>
      </c>
      <c r="AY229" s="20">
        <f t="shared" si="68"/>
        <v>0.79364693330508884</v>
      </c>
      <c r="AZ229" s="22">
        <f t="shared" si="69"/>
        <v>0.17134159505439428</v>
      </c>
      <c r="BA229" s="1">
        <f>+_xlfn.XLOOKUP(A229,[1]Indice!B:B,[1]Indice!AI:AI,"NOOOOOO",-1)</f>
        <v>0.4546984924640185</v>
      </c>
    </row>
    <row r="230" spans="1:53" x14ac:dyDescent="0.25">
      <c r="A230" s="2">
        <v>44895</v>
      </c>
      <c r="B230" s="15">
        <v>7137</v>
      </c>
      <c r="C230" s="19">
        <v>15.280245517686964</v>
      </c>
      <c r="D230" s="15">
        <v>5778</v>
      </c>
      <c r="E230" s="19">
        <v>648.4</v>
      </c>
      <c r="F230" s="18">
        <v>0.26534238124614434</v>
      </c>
      <c r="G230" s="1">
        <v>3</v>
      </c>
      <c r="H230" s="1">
        <v>2.9</v>
      </c>
      <c r="I230" s="16">
        <v>84.7</v>
      </c>
      <c r="J230" s="1">
        <v>608.94299999999998</v>
      </c>
      <c r="K230" s="1">
        <v>11.254775359419433</v>
      </c>
      <c r="L230" s="1">
        <v>91.484999999999999</v>
      </c>
      <c r="M230" s="1">
        <v>-11.403253922138301</v>
      </c>
      <c r="N230" s="1">
        <v>-89.287564712686347</v>
      </c>
      <c r="O230" s="1">
        <v>419084</v>
      </c>
      <c r="P230" s="1">
        <v>-3.2386616825709758</v>
      </c>
      <c r="Q230" s="1">
        <v>91.426750854428533</v>
      </c>
      <c r="R230" s="1">
        <v>6.7</v>
      </c>
      <c r="S230" s="1">
        <v>0.58499999999999885</v>
      </c>
      <c r="T230" s="3">
        <v>100.7</v>
      </c>
      <c r="V230" s="20">
        <f t="shared" si="46"/>
        <v>9.7981233589436698</v>
      </c>
      <c r="W230" s="20">
        <f t="shared" si="47"/>
        <v>3.9483333333333341</v>
      </c>
      <c r="X230" s="20">
        <f t="shared" si="47"/>
        <v>4.3150000000000013</v>
      </c>
      <c r="Y230" s="20">
        <f t="shared" si="70"/>
        <v>34.334833333333329</v>
      </c>
      <c r="Z230" s="20">
        <f t="shared" si="48"/>
        <v>13.075003215922083</v>
      </c>
      <c r="AA230" s="19">
        <f>+AVERAGE(M228:M230)*AVERAGE($F$15:F230)</f>
        <v>-4.0350674383187171</v>
      </c>
      <c r="AB230" s="19">
        <f t="shared" si="49"/>
        <v>-95.3035267836283</v>
      </c>
      <c r="AC230" s="19">
        <f t="shared" si="50"/>
        <v>-2.1020758773434196E-2</v>
      </c>
      <c r="AD230" s="21">
        <f t="shared" si="51"/>
        <v>87.745239390619531</v>
      </c>
      <c r="AE230" s="19"/>
      <c r="AG230" s="20">
        <f>(V230- AVERAGE(V$41:V230))/_xlfn.STDEV.S(V195:V230)</f>
        <v>0.241600217866863</v>
      </c>
      <c r="AH230" s="20">
        <f>(W230- AVERAGE(W$41:W230))/_xlfn.STDEV.S(W195:W230)</f>
        <v>0.47774079867007607</v>
      </c>
      <c r="AI230" s="20">
        <f>(X230- AVERAGE(X$41:X230))/_xlfn.STDEV.S(X195:X230)</f>
        <v>0.34730452818411678</v>
      </c>
      <c r="AJ230" s="20">
        <f>(Y230- AVERAGE(Y$41:Y230))/_xlfn.STDEV.S(Y195:Y230)</f>
        <v>3.3416260713075796</v>
      </c>
      <c r="AK230" s="20">
        <f>(Z230- AVERAGE(Z$41:Z230))/_xlfn.STDEV.S(Z195:Z230)</f>
        <v>1.5220551070157469</v>
      </c>
      <c r="AL230" s="20">
        <f>(AA230- AVERAGE(AA$41:AA230))/_xlfn.STDEV.S(AA195:AA230)</f>
        <v>-1.4560957882157197</v>
      </c>
      <c r="AM230" s="20">
        <f>(AB230- AVERAGE(AB$41:AB230))/_xlfn.STDEV.S(AB195:AB230)</f>
        <v>-3.0372021240196259</v>
      </c>
      <c r="AN230" s="20">
        <f>(AC230- AVERAGE(AC$41:AC230))/_xlfn.STDEV.S(AC195:AC230)</f>
        <v>-0.21257368311521002</v>
      </c>
      <c r="AO230" s="24">
        <f>(AD230- AVERAGE(AD$41:AD230))/_xlfn.STDEV.S(AD195:AD230)</f>
        <v>1.0475899049996311</v>
      </c>
      <c r="AP230" s="20"/>
      <c r="AQ230" s="20">
        <f t="shared" si="59"/>
        <v>0.241600217866863</v>
      </c>
      <c r="AR230" s="20">
        <f t="shared" si="60"/>
        <v>0.47774079867007607</v>
      </c>
      <c r="AS230" s="20">
        <f t="shared" si="61"/>
        <v>0.34730452818411678</v>
      </c>
      <c r="AT230" s="20">
        <f t="shared" si="63"/>
        <v>3.3416260713075796</v>
      </c>
      <c r="AU230" s="20">
        <f t="shared" si="64"/>
        <v>1.5220551070157469</v>
      </c>
      <c r="AV230" s="20">
        <f t="shared" si="65"/>
        <v>-1.4560957882157197</v>
      </c>
      <c r="AW230" s="20">
        <f t="shared" si="66"/>
        <v>-3.0372021240196259</v>
      </c>
      <c r="AX230" s="20">
        <f t="shared" si="67"/>
        <v>-0.21257368311521002</v>
      </c>
      <c r="AY230" s="20">
        <f t="shared" si="68"/>
        <v>1.0475899049996311</v>
      </c>
      <c r="AZ230" s="22">
        <f t="shared" si="69"/>
        <v>0.25244944807705089</v>
      </c>
      <c r="BA230" s="1">
        <f>+_xlfn.XLOOKUP(A230,[1]Indice!B:B,[1]Indice!AI:AI,"NOOOOOO",-1)</f>
        <v>0.47046267947662085</v>
      </c>
    </row>
    <row r="231" spans="1:53" x14ac:dyDescent="0.25">
      <c r="A231" s="2">
        <v>44926</v>
      </c>
      <c r="B231" s="15">
        <v>6110</v>
      </c>
      <c r="C231" s="19">
        <v>-7.2415363594959814</v>
      </c>
      <c r="D231" s="15">
        <v>5089</v>
      </c>
      <c r="E231" s="19">
        <v>643.67999999999995</v>
      </c>
      <c r="F231" s="18">
        <v>0.26479617201093714</v>
      </c>
      <c r="G231" s="1">
        <v>-0.7</v>
      </c>
      <c r="H231" s="1">
        <v>0.8</v>
      </c>
      <c r="I231" s="16">
        <v>86.2</v>
      </c>
      <c r="J231" s="1">
        <v>611.50300000000004</v>
      </c>
      <c r="K231" s="1">
        <v>11.296290566525368</v>
      </c>
      <c r="L231" s="1">
        <v>94.081999999999994</v>
      </c>
      <c r="M231" s="1">
        <v>-7.9783644206222748</v>
      </c>
      <c r="N231" s="1">
        <v>-89.20060882209151</v>
      </c>
      <c r="O231" s="1">
        <v>420646</v>
      </c>
      <c r="P231" s="1">
        <v>0.66889872227180458</v>
      </c>
      <c r="Q231" s="1">
        <v>84.983876001248305</v>
      </c>
      <c r="R231" s="1">
        <v>2.4</v>
      </c>
      <c r="S231" s="1">
        <v>0.54999999999999882</v>
      </c>
      <c r="T231" s="3">
        <v>98.43</v>
      </c>
      <c r="V231" s="20">
        <f t="shared" si="46"/>
        <v>7.7539322430746864</v>
      </c>
      <c r="W231" s="20">
        <f t="shared" si="47"/>
        <v>1.8833333333333342</v>
      </c>
      <c r="X231" s="20">
        <f t="shared" si="47"/>
        <v>2.7500000000000013</v>
      </c>
      <c r="Y231" s="20">
        <f t="shared" si="70"/>
        <v>36.517666666666678</v>
      </c>
      <c r="Z231" s="20">
        <f t="shared" si="48"/>
        <v>12.307040466769905</v>
      </c>
      <c r="AA231" s="19">
        <f>+AVERAGE(M229:M231)*AVERAGE($F$15:F231)</f>
        <v>-3.1069727379531398</v>
      </c>
      <c r="AB231" s="19">
        <f t="shared" si="49"/>
        <v>-91.197478126745636</v>
      </c>
      <c r="AC231" s="19">
        <f t="shared" si="50"/>
        <v>-0.64711307526171824</v>
      </c>
      <c r="AD231" s="21">
        <f t="shared" si="51"/>
        <v>93.498195871049631</v>
      </c>
      <c r="AE231" s="19"/>
      <c r="AG231" s="20">
        <f>(V231- AVERAGE(V$41:V231))/_xlfn.STDEV.S(V196:V231)</f>
        <v>0.16245608993451299</v>
      </c>
      <c r="AH231" s="20">
        <f>(W231- AVERAGE(W$41:W231))/_xlfn.STDEV.S(W196:W231)</f>
        <v>0.27271162464786869</v>
      </c>
      <c r="AI231" s="20">
        <f>(X231- AVERAGE(X$41:X231))/_xlfn.STDEV.S(X196:X231)</f>
        <v>0.2260324841680928</v>
      </c>
      <c r="AJ231" s="20">
        <f>(Y231- AVERAGE(Y$41:Y231))/_xlfn.STDEV.S(Y196:Y231)</f>
        <v>3.3786750058694248</v>
      </c>
      <c r="AK231" s="20">
        <f>(Z231- AVERAGE(Z$41:Z231))/_xlfn.STDEV.S(Z196:Z231)</f>
        <v>1.416072527854018</v>
      </c>
      <c r="AL231" s="20">
        <f>(AA231- AVERAGE(AA$41:AA231))/_xlfn.STDEV.S(AA196:AA231)</f>
        <v>-1.0664617589641729</v>
      </c>
      <c r="AM231" s="20">
        <f>(AB231- AVERAGE(AB$41:AB231))/_xlfn.STDEV.S(AB196:AB231)</f>
        <v>-3.0618721046846353</v>
      </c>
      <c r="AN231" s="20">
        <f>(AC231- AVERAGE(AC$41:AC231))/_xlfn.STDEV.S(AC196:AC231)</f>
        <v>-0.26720676669255233</v>
      </c>
      <c r="AO231" s="24">
        <f>(AD231- AVERAGE(AD$41:AD231))/_xlfn.STDEV.S(AD196:AD231)</f>
        <v>1.1256149067962991</v>
      </c>
      <c r="AP231" s="20"/>
      <c r="AQ231" s="20">
        <f t="shared" si="59"/>
        <v>0.16245608993451299</v>
      </c>
      <c r="AR231" s="20">
        <f t="shared" si="60"/>
        <v>0.27271162464786869</v>
      </c>
      <c r="AS231" s="20">
        <f t="shared" si="61"/>
        <v>0.2260324841680928</v>
      </c>
      <c r="AT231" s="20">
        <f t="shared" si="63"/>
        <v>3.3786750058694248</v>
      </c>
      <c r="AU231" s="20">
        <f t="shared" si="64"/>
        <v>1.416072527854018</v>
      </c>
      <c r="AV231" s="20">
        <f t="shared" si="65"/>
        <v>-1.0664617589641729</v>
      </c>
      <c r="AW231" s="20">
        <f t="shared" si="66"/>
        <v>-3.0618721046846353</v>
      </c>
      <c r="AX231" s="20">
        <f t="shared" si="67"/>
        <v>-0.26720676669255233</v>
      </c>
      <c r="AY231" s="20">
        <f t="shared" si="68"/>
        <v>1.1256149067962991</v>
      </c>
      <c r="AZ231" s="22">
        <f t="shared" si="69"/>
        <v>0.24289133432542842</v>
      </c>
      <c r="BA231" s="1">
        <f>+_xlfn.XLOOKUP(A231,[1]Indice!B:B,[1]Indice!AI:AI,"NOOOOOO",-1)</f>
        <v>0.46714315407542156</v>
      </c>
    </row>
    <row r="232" spans="1:53" x14ac:dyDescent="0.25">
      <c r="A232" s="2">
        <v>44957</v>
      </c>
      <c r="B232" s="15">
        <v>4905</v>
      </c>
      <c r="C232" s="19">
        <v>-12.26971919155786</v>
      </c>
      <c r="D232" s="15">
        <v>5367</v>
      </c>
      <c r="E232" s="19">
        <v>643.67999999999995</v>
      </c>
      <c r="F232" s="18">
        <v>0.2639106388267462</v>
      </c>
      <c r="G232" s="1">
        <v>2.4</v>
      </c>
      <c r="H232" s="1">
        <v>3.7</v>
      </c>
      <c r="I232" s="16">
        <v>92</v>
      </c>
      <c r="J232" s="1">
        <v>615.97799999999995</v>
      </c>
      <c r="K232" s="1">
        <v>10.016306570672807</v>
      </c>
      <c r="L232" s="1">
        <v>96.215000000000003</v>
      </c>
      <c r="M232" s="1">
        <v>-6.0042398960541643</v>
      </c>
      <c r="N232" s="1">
        <v>-88.65428943493616</v>
      </c>
      <c r="O232" s="1">
        <v>452688</v>
      </c>
      <c r="P232" s="1">
        <v>9.043871629775758</v>
      </c>
      <c r="Q232" s="1">
        <v>70.701199665209685</v>
      </c>
      <c r="R232" s="1">
        <v>2.4</v>
      </c>
      <c r="S232" s="1">
        <v>0.51499999999999879</v>
      </c>
      <c r="T232" s="3">
        <v>98.5</v>
      </c>
      <c r="V232" s="20">
        <f t="shared" si="46"/>
        <v>-1.9253366777889578</v>
      </c>
      <c r="W232" s="20">
        <f t="shared" si="47"/>
        <v>1.0516666666666676</v>
      </c>
      <c r="X232" s="20">
        <f t="shared" si="47"/>
        <v>1.951666666666668</v>
      </c>
      <c r="Y232" s="20">
        <f t="shared" si="70"/>
        <v>39.885999999999996</v>
      </c>
      <c r="Z232" s="20">
        <f t="shared" si="48"/>
        <v>10.855790832205869</v>
      </c>
      <c r="AA232" s="19">
        <f>+AVERAGE(M230:M232)*AVERAGE($F$15:F232)</f>
        <v>-2.2692576420070369</v>
      </c>
      <c r="AB232" s="19">
        <f t="shared" si="49"/>
        <v>-89.047487656571334</v>
      </c>
      <c r="AC232" s="19">
        <f t="shared" si="50"/>
        <v>2.1580362231588626</v>
      </c>
      <c r="AD232" s="21">
        <f t="shared" si="51"/>
        <v>82.370608840295503</v>
      </c>
      <c r="AE232" s="19"/>
      <c r="AG232" s="20">
        <f>(V232- AVERAGE(V$41:V232))/_xlfn.STDEV.S(V197:V232)</f>
        <v>-0.2067698026385372</v>
      </c>
      <c r="AH232" s="20">
        <f>(W232- AVERAGE(W$41:W232))/_xlfn.STDEV.S(W197:W232)</f>
        <v>0.18963231275636461</v>
      </c>
      <c r="AI232" s="20">
        <f>(X232- AVERAGE(X$41:X232))/_xlfn.STDEV.S(X197:X232)</f>
        <v>0.16397679185620603</v>
      </c>
      <c r="AJ232" s="20">
        <f>(Y232- AVERAGE(Y$41:Y232))/_xlfn.STDEV.S(Y197:Y232)</f>
        <v>3.4858831276740103</v>
      </c>
      <c r="AK232" s="20">
        <f>(Z232- AVERAGE(Z$41:Z232))/_xlfn.STDEV.S(Z197:Z232)</f>
        <v>1.2438319584164546</v>
      </c>
      <c r="AL232" s="20">
        <f>(AA232- AVERAGE(AA$41:AA232))/_xlfn.STDEV.S(AA197:AA232)</f>
        <v>-0.69296455009260527</v>
      </c>
      <c r="AM232" s="20">
        <f>(AB232- AVERAGE(AB$41:AB232))/_xlfn.STDEV.S(AB197:AB232)</f>
        <v>-3.195208226036121</v>
      </c>
      <c r="AN232" s="20">
        <f>(AC232- AVERAGE(AC$41:AC232))/_xlfn.STDEV.S(AC197:AC232)</f>
        <v>-1.6321554362206898E-2</v>
      </c>
      <c r="AO232" s="24">
        <f>(AD232- AVERAGE(AD$41:AD232))/_xlfn.STDEV.S(AD197:AD232)</f>
        <v>0.94766683109723004</v>
      </c>
      <c r="AP232" s="20"/>
      <c r="AQ232" s="20">
        <f t="shared" si="59"/>
        <v>-0.2067698026385372</v>
      </c>
      <c r="AR232" s="20">
        <f t="shared" si="60"/>
        <v>0.18963231275636461</v>
      </c>
      <c r="AS232" s="20">
        <f t="shared" si="61"/>
        <v>0.16397679185620603</v>
      </c>
      <c r="AT232" s="20">
        <f t="shared" si="63"/>
        <v>3.4858831276740103</v>
      </c>
      <c r="AU232" s="20">
        <f t="shared" si="64"/>
        <v>1.2438319584164546</v>
      </c>
      <c r="AV232" s="20">
        <f t="shared" si="65"/>
        <v>-0.69296455009260527</v>
      </c>
      <c r="AW232" s="20">
        <f t="shared" si="66"/>
        <v>-3.195208226036121</v>
      </c>
      <c r="AX232" s="20">
        <f t="shared" si="67"/>
        <v>-1.6321554362206898E-2</v>
      </c>
      <c r="AY232" s="20">
        <f t="shared" si="68"/>
        <v>0.94766683109723004</v>
      </c>
      <c r="AZ232" s="22">
        <f t="shared" si="69"/>
        <v>0.21330298763008837</v>
      </c>
      <c r="BA232" s="1">
        <f>+_xlfn.XLOOKUP(A232,[1]Indice!B:B,[1]Indice!AI:AI,"NOOOOOO",-1)</f>
        <v>0.45023547702903799</v>
      </c>
    </row>
    <row r="233" spans="1:53" x14ac:dyDescent="0.25">
      <c r="A233" s="2">
        <v>44985</v>
      </c>
      <c r="B233" s="15">
        <v>5262</v>
      </c>
      <c r="C233" s="19">
        <v>-19.269714636391534</v>
      </c>
      <c r="D233" s="15">
        <v>5031</v>
      </c>
      <c r="E233" s="19">
        <v>643.67999999999995</v>
      </c>
      <c r="F233" s="18">
        <v>0.26101478995774297</v>
      </c>
      <c r="G233" s="1">
        <v>-0.4</v>
      </c>
      <c r="H233" s="1">
        <v>0</v>
      </c>
      <c r="I233" s="16">
        <v>91.8</v>
      </c>
      <c r="J233" s="1">
        <v>627.24099999999999</v>
      </c>
      <c r="K233" s="1">
        <v>12.104411856697329</v>
      </c>
      <c r="L233" s="1">
        <v>94.024000000000001</v>
      </c>
      <c r="M233" s="1">
        <v>-7.9144018412418582</v>
      </c>
      <c r="N233" s="1">
        <v>-86.560074620886326</v>
      </c>
      <c r="O233" s="1">
        <v>480207</v>
      </c>
      <c r="P233" s="1">
        <v>16.153353087016995</v>
      </c>
      <c r="Q233" s="1">
        <v>31.294859711447852</v>
      </c>
      <c r="R233" s="1">
        <v>2.4</v>
      </c>
      <c r="S233" s="1">
        <v>0.47999999999999876</v>
      </c>
      <c r="T233" s="3">
        <v>103.53</v>
      </c>
      <c r="V233" s="20">
        <f t="shared" ref="V233:V275" si="71">+AVERAGE(C231:C233)-$S233</f>
        <v>-13.406990062481791</v>
      </c>
      <c r="W233" s="20">
        <f t="shared" ref="W233:X275" si="72">+AVERAGE(G231:G233)-$S233</f>
        <v>-4.6666666666665468E-2</v>
      </c>
      <c r="X233" s="20">
        <f t="shared" si="72"/>
        <v>1.0200000000000014</v>
      </c>
      <c r="Y233" s="20">
        <f t="shared" si="70"/>
        <v>40.821166666666677</v>
      </c>
      <c r="Z233" s="20">
        <f t="shared" ref="Z233:Z274" si="73">AVERAGE(K231:K233)</f>
        <v>11.13900299796517</v>
      </c>
      <c r="AA233" s="19">
        <f>+AVERAGE(M231:M233)*AVERAGE($F$15:F233)</f>
        <v>-1.9571484500988494</v>
      </c>
      <c r="AB233" s="19">
        <f t="shared" si="49"/>
        <v>-88.138324292638003</v>
      </c>
      <c r="AC233" s="19">
        <f t="shared" si="50"/>
        <v>8.622041146354853</v>
      </c>
      <c r="AD233" s="21">
        <f t="shared" si="51"/>
        <v>62.326645125968611</v>
      </c>
      <c r="AE233" s="19"/>
      <c r="AG233" s="20">
        <f>(V233- AVERAGE(V$41:V233))/_xlfn.STDEV.S(V198:V233)</f>
        <v>-0.63449592356296602</v>
      </c>
      <c r="AH233" s="20">
        <f>(W233- AVERAGE(W$41:W233))/_xlfn.STDEV.S(W198:W233)</f>
        <v>8.0319181021369687E-2</v>
      </c>
      <c r="AI233" s="20">
        <f>(X233- AVERAGE(X$41:X233))/_xlfn.STDEV.S(X198:X233)</f>
        <v>9.2117704721985022E-2</v>
      </c>
      <c r="AJ233" s="20">
        <f>(Y233- AVERAGE(Y$41:Y233))/_xlfn.STDEV.S(Y198:Y233)</f>
        <v>3.3469648489087334</v>
      </c>
      <c r="AK233" s="20">
        <f>(Z233- AVERAGE(Z$41:Z233))/_xlfn.STDEV.S(Z198:Z233)</f>
        <v>1.2608912860146511</v>
      </c>
      <c r="AL233" s="20">
        <f>(AA233- AVERAGE(AA$41:AA233))/_xlfn.STDEV.S(AA198:AA233)</f>
        <v>-0.55634344691985327</v>
      </c>
      <c r="AM233" s="20">
        <f>(AB233- AVERAGE(AB$41:AB233))/_xlfn.STDEV.S(AB198:AB233)</f>
        <v>-3.4307407812485509</v>
      </c>
      <c r="AN233" s="20">
        <f>(AC233- AVERAGE(AC$41:AC233))/_xlfn.STDEV.S(AC198:AC233)</f>
        <v>0.55186071191167096</v>
      </c>
      <c r="AO233" s="24">
        <f>(AD233- AVERAGE(AD$41:AD233))/_xlfn.STDEV.S(AD198:AD233)</f>
        <v>0.63833442243634975</v>
      </c>
      <c r="AP233" s="20"/>
      <c r="AQ233" s="20">
        <f t="shared" si="59"/>
        <v>-0.63449592356296602</v>
      </c>
      <c r="AR233" s="20">
        <f t="shared" si="60"/>
        <v>8.0319181021369687E-2</v>
      </c>
      <c r="AS233" s="20">
        <f t="shared" si="61"/>
        <v>9.2117704721985022E-2</v>
      </c>
      <c r="AT233" s="20">
        <f t="shared" si="63"/>
        <v>3.3469648489087334</v>
      </c>
      <c r="AU233" s="20">
        <f t="shared" si="64"/>
        <v>1.2608912860146511</v>
      </c>
      <c r="AV233" s="20">
        <f t="shared" si="65"/>
        <v>-0.55634344691985327</v>
      </c>
      <c r="AW233" s="20">
        <f t="shared" si="66"/>
        <v>-3.4307407812485509</v>
      </c>
      <c r="AX233" s="20">
        <f t="shared" si="67"/>
        <v>0.55186071191167096</v>
      </c>
      <c r="AY233" s="20">
        <f t="shared" si="68"/>
        <v>0.63833442243634975</v>
      </c>
      <c r="AZ233" s="22">
        <f t="shared" si="69"/>
        <v>0.14987866703148775</v>
      </c>
      <c r="BA233" s="1">
        <f>+_xlfn.XLOOKUP(A233,[1]Indice!B:B,[1]Indice!AI:AI,"NOOOOOO",-1)</f>
        <v>0.46658022167239704</v>
      </c>
    </row>
    <row r="234" spans="1:53" x14ac:dyDescent="0.25">
      <c r="A234" s="2">
        <v>45016</v>
      </c>
      <c r="B234" s="15">
        <v>5771</v>
      </c>
      <c r="C234" s="19">
        <v>-22.097732181425489</v>
      </c>
      <c r="D234" s="15">
        <v>6844</v>
      </c>
      <c r="E234" s="19">
        <v>628.05999999999995</v>
      </c>
      <c r="F234" s="18">
        <v>0.26451772123682449</v>
      </c>
      <c r="G234" s="1">
        <v>0.7</v>
      </c>
      <c r="H234" s="1">
        <v>-1.1000000000000001</v>
      </c>
      <c r="I234" s="16">
        <v>91.5</v>
      </c>
      <c r="J234" s="1">
        <v>631.12599999999998</v>
      </c>
      <c r="K234" s="1">
        <v>12.151528936781197</v>
      </c>
      <c r="L234" s="1">
        <v>94.215000000000003</v>
      </c>
      <c r="M234" s="1">
        <v>-7.6586068666751554</v>
      </c>
      <c r="N234" s="1">
        <v>-88.159445981856123</v>
      </c>
      <c r="O234" s="1">
        <v>469952</v>
      </c>
      <c r="P234" s="1">
        <v>14.63641907549702</v>
      </c>
      <c r="Q234" s="1">
        <v>4.0644038294168849</v>
      </c>
      <c r="R234" s="1">
        <v>0.9</v>
      </c>
      <c r="S234" s="1">
        <v>0.43166666666666587</v>
      </c>
      <c r="T234" s="3">
        <v>113.26</v>
      </c>
      <c r="V234" s="20">
        <f t="shared" si="71"/>
        <v>-18.310722003124958</v>
      </c>
      <c r="W234" s="20">
        <f t="shared" si="72"/>
        <v>0.46833333333333416</v>
      </c>
      <c r="X234" s="20">
        <f t="shared" si="72"/>
        <v>0.43500000000000083</v>
      </c>
      <c r="Y234" s="20">
        <f t="shared" si="70"/>
        <v>40.996833333333335</v>
      </c>
      <c r="Z234" s="20">
        <f t="shared" si="73"/>
        <v>11.42408245471711</v>
      </c>
      <c r="AA234" s="19">
        <f>+AVERAGE(M232:M234)*AVERAGE($F$15:F234)</f>
        <v>-1.9284502112222195</v>
      </c>
      <c r="AB234" s="19">
        <f t="shared" ref="AB234:AB275" si="74">+AVERAGE(N232:N234)</f>
        <v>-87.791270012559536</v>
      </c>
      <c r="AC234" s="19">
        <f t="shared" ref="AC234:AC275" si="75">+AVERAGE(P232:P234)</f>
        <v>13.277881264096592</v>
      </c>
      <c r="AD234" s="21">
        <f t="shared" ref="AD234:AD275" si="76">AVERAGE(Q232:Q234)</f>
        <v>35.353487735358144</v>
      </c>
      <c r="AE234" s="19"/>
      <c r="AG234" s="20">
        <f>(V234- AVERAGE(V$41:V234))/_xlfn.STDEV.S(V199:V234)</f>
        <v>-0.80420150480054586</v>
      </c>
      <c r="AH234" s="20">
        <f>(W234- AVERAGE(W$41:W234))/_xlfn.STDEV.S(W199:W234)</f>
        <v>0.13181084950566249</v>
      </c>
      <c r="AI234" s="20">
        <f>(X234- AVERAGE(X$41:X234))/_xlfn.STDEV.S(X199:X234)</f>
        <v>4.7193863419169507E-2</v>
      </c>
      <c r="AJ234" s="20">
        <f>(Y234- AVERAGE(Y$41:Y234))/_xlfn.STDEV.S(Y199:Y234)</f>
        <v>3.1683284161085052</v>
      </c>
      <c r="AK234" s="20">
        <f>(Z234- AVERAGE(Z$41:Z234))/_xlfn.STDEV.S(Z199:Z234)</f>
        <v>1.2778705177322713</v>
      </c>
      <c r="AL234" s="20">
        <f>(AA234- AVERAGE(AA$41:AA234))/_xlfn.STDEV.S(AA199:AA234)</f>
        <v>-0.54490096260915377</v>
      </c>
      <c r="AM234" s="20">
        <f>(AB234- AVERAGE(AB$41:AB234))/_xlfn.STDEV.S(AB199:AB234)</f>
        <v>-3.7396549120337306</v>
      </c>
      <c r="AN234" s="20">
        <f>(AC234- AVERAGE(AC$41:AC234))/_xlfn.STDEV.S(AC199:AC234)</f>
        <v>0.93765053511703034</v>
      </c>
      <c r="AO234" s="24">
        <f>(AD234- AVERAGE(AD$41:AD234))/_xlfn.STDEV.S(AD199:AD234)</f>
        <v>0.22069300687124152</v>
      </c>
      <c r="AP234" s="20"/>
      <c r="AQ234" s="20">
        <f t="shared" si="59"/>
        <v>-0.80420150480054586</v>
      </c>
      <c r="AR234" s="20">
        <f t="shared" si="60"/>
        <v>0.13181084950566249</v>
      </c>
      <c r="AS234" s="20">
        <f t="shared" si="61"/>
        <v>4.7193863419169507E-2</v>
      </c>
      <c r="AT234" s="20">
        <f t="shared" si="63"/>
        <v>3.1683284161085052</v>
      </c>
      <c r="AU234" s="20">
        <f t="shared" si="64"/>
        <v>1.2778705177322713</v>
      </c>
      <c r="AV234" s="20">
        <f t="shared" si="65"/>
        <v>-0.54490096260915377</v>
      </c>
      <c r="AW234" s="20">
        <f t="shared" si="66"/>
        <v>-3.7396549120337306</v>
      </c>
      <c r="AX234" s="20">
        <f t="shared" si="67"/>
        <v>0.93765053511703034</v>
      </c>
      <c r="AY234" s="20">
        <f t="shared" si="68"/>
        <v>0.22069300687124152</v>
      </c>
      <c r="AZ234" s="22">
        <f t="shared" si="69"/>
        <v>7.7198867701161134E-2</v>
      </c>
      <c r="BA234" s="1">
        <f>+_xlfn.XLOOKUP(A234,[1]Indice!B:B,[1]Indice!AI:AI,"NOOOOOO",-1)</f>
        <v>0.48455052971597706</v>
      </c>
    </row>
    <row r="235" spans="1:53" x14ac:dyDescent="0.25">
      <c r="A235" s="2">
        <v>45046</v>
      </c>
      <c r="B235" s="15">
        <v>5819</v>
      </c>
      <c r="C235" s="19">
        <v>-30.444656944776472</v>
      </c>
      <c r="D235" s="15">
        <v>6110</v>
      </c>
      <c r="E235" s="19">
        <v>628.05999999999995</v>
      </c>
      <c r="F235" s="18">
        <v>0.2592220488488361</v>
      </c>
      <c r="G235" s="1">
        <v>-4.8</v>
      </c>
      <c r="H235" s="1">
        <v>-3.3</v>
      </c>
      <c r="I235" s="16">
        <v>93.5</v>
      </c>
      <c r="J235" s="1">
        <v>627.84</v>
      </c>
      <c r="K235" s="1">
        <v>10.298496712161743</v>
      </c>
      <c r="L235" s="1">
        <v>93.915000000000006</v>
      </c>
      <c r="M235" s="1">
        <v>-3.4957921020993155</v>
      </c>
      <c r="N235" s="1">
        <v>-92.31134666961178</v>
      </c>
      <c r="O235" s="1">
        <v>459633</v>
      </c>
      <c r="P235" s="1">
        <v>10.561257748474361</v>
      </c>
      <c r="Q235" s="1">
        <v>-43.049561101728486</v>
      </c>
      <c r="R235" s="1">
        <v>0.9</v>
      </c>
      <c r="S235" s="1">
        <v>0.38333333333333208</v>
      </c>
      <c r="T235" s="3">
        <v>146.5</v>
      </c>
      <c r="V235" s="20">
        <f t="shared" si="71"/>
        <v>-24.320701254197832</v>
      </c>
      <c r="W235" s="20">
        <f t="shared" si="72"/>
        <v>-1.883333333333332</v>
      </c>
      <c r="X235" s="20">
        <f t="shared" si="72"/>
        <v>-1.8499999999999988</v>
      </c>
      <c r="Y235" s="20">
        <f t="shared" si="70"/>
        <v>39.358499999999999</v>
      </c>
      <c r="Z235" s="20">
        <f t="shared" si="73"/>
        <v>11.518145835213423</v>
      </c>
      <c r="AA235" s="19">
        <f>+AVERAGE(M233:M235)*AVERAGE($F$15:F235)</f>
        <v>-1.7040035984756041</v>
      </c>
      <c r="AB235" s="19">
        <f t="shared" si="74"/>
        <v>-89.010289090784738</v>
      </c>
      <c r="AC235" s="19">
        <f t="shared" si="75"/>
        <v>13.783676636996125</v>
      </c>
      <c r="AD235" s="21">
        <f t="shared" si="76"/>
        <v>-2.563432520287916</v>
      </c>
      <c r="AE235" s="19"/>
      <c r="AG235" s="20">
        <f>(V235- AVERAGE(V$41:V235))/_xlfn.STDEV.S(V200:V235)</f>
        <v>-1.0061903940495014</v>
      </c>
      <c r="AH235" s="20">
        <f>(W235- AVERAGE(W$41:W235))/_xlfn.STDEV.S(W200:W235)</f>
        <v>-0.10656538142432888</v>
      </c>
      <c r="AI235" s="20">
        <f>(X235- AVERAGE(X$41:X235))/_xlfn.STDEV.S(X200:X235)</f>
        <v>-0.12998128653657301</v>
      </c>
      <c r="AJ235" s="20">
        <f>(Y235- AVERAGE(Y$41:Y235))/_xlfn.STDEV.S(Y200:Y235)</f>
        <v>2.8909708225955275</v>
      </c>
      <c r="AK235" s="20">
        <f>(Z235- AVERAGE(Z$41:Z235))/_xlfn.STDEV.S(Z200:Z235)</f>
        <v>1.2806954403100721</v>
      </c>
      <c r="AL235" s="20">
        <f>(AA235- AVERAGE(AA$41:AA235))/_xlfn.STDEV.S(AA200:AA235)</f>
        <v>-0.4332705718714942</v>
      </c>
      <c r="AM235" s="20">
        <f>(AB235- AVERAGE(AB$41:AB235))/_xlfn.STDEV.S(AB200:AB235)</f>
        <v>-4.1241529317687418</v>
      </c>
      <c r="AN235" s="20">
        <f>(AC235- AVERAGE(AC$41:AC235))/_xlfn.STDEV.S(AC200:AC235)</f>
        <v>0.95904105061660072</v>
      </c>
      <c r="AO235" s="24">
        <f>(AD235- AVERAGE(AD$41:AD235))/_xlfn.STDEV.S(AD200:AD235)</f>
        <v>-0.3813733684853361</v>
      </c>
      <c r="AP235" s="20"/>
      <c r="AQ235" s="20">
        <f t="shared" si="59"/>
        <v>-1.0061903940495014</v>
      </c>
      <c r="AR235" s="20">
        <f t="shared" si="60"/>
        <v>-0.10656538142432888</v>
      </c>
      <c r="AS235" s="20">
        <f t="shared" si="61"/>
        <v>-0.12998128653657301</v>
      </c>
      <c r="AT235" s="20">
        <f t="shared" si="63"/>
        <v>2.8909708225955275</v>
      </c>
      <c r="AU235" s="20">
        <f t="shared" si="64"/>
        <v>1.2806954403100721</v>
      </c>
      <c r="AV235" s="20">
        <f t="shared" si="65"/>
        <v>-0.4332705718714942</v>
      </c>
      <c r="AW235" s="20">
        <f t="shared" si="66"/>
        <v>-4.1241529317687418</v>
      </c>
      <c r="AX235" s="20">
        <f t="shared" si="67"/>
        <v>0.95904105061660072</v>
      </c>
      <c r="AY235" s="20">
        <f t="shared" si="68"/>
        <v>-0.3813733684853361</v>
      </c>
      <c r="AZ235" s="22">
        <f t="shared" si="69"/>
        <v>-0.11675851340153054</v>
      </c>
      <c r="BA235" s="1">
        <f>+_xlfn.XLOOKUP(A235,[1]Indice!B:B,[1]Indice!AI:AI,"NOOOOOO",-1)</f>
        <v>0.4707138271837723</v>
      </c>
    </row>
    <row r="236" spans="1:53" x14ac:dyDescent="0.25">
      <c r="A236" s="2">
        <v>45077</v>
      </c>
      <c r="B236" s="15">
        <v>6280</v>
      </c>
      <c r="C236" s="19">
        <v>-24.889367300562139</v>
      </c>
      <c r="D236" s="15">
        <v>7406</v>
      </c>
      <c r="E236" s="19">
        <v>628.05999999999995</v>
      </c>
      <c r="F236" s="18">
        <v>0.25513485972677769</v>
      </c>
      <c r="G236" s="1">
        <v>-6.6</v>
      </c>
      <c r="H236" s="1">
        <v>-3.4</v>
      </c>
      <c r="I236" s="16">
        <v>97.2</v>
      </c>
      <c r="J236" s="1">
        <v>627.98900000000003</v>
      </c>
      <c r="K236" s="1">
        <v>8.9282864655968019</v>
      </c>
      <c r="L236" s="1">
        <v>91.728999999999999</v>
      </c>
      <c r="M236" s="1">
        <v>-6.6846388606307201</v>
      </c>
      <c r="N236" s="1">
        <v>-95.428402329028344</v>
      </c>
      <c r="O236" s="1">
        <v>459657</v>
      </c>
      <c r="P236" s="1">
        <v>10.832029281489541</v>
      </c>
      <c r="Q236" s="1">
        <v>-37.657949729508047</v>
      </c>
      <c r="R236" s="1">
        <v>0.9</v>
      </c>
      <c r="S236" s="1">
        <v>0.33499999999999908</v>
      </c>
      <c r="T236" s="3">
        <v>171.1</v>
      </c>
      <c r="V236" s="20">
        <f t="shared" si="71"/>
        <v>-26.145585475588028</v>
      </c>
      <c r="W236" s="20">
        <f t="shared" si="72"/>
        <v>-3.9016666666666655</v>
      </c>
      <c r="X236" s="20">
        <f t="shared" si="72"/>
        <v>-2.9349999999999992</v>
      </c>
      <c r="Y236" s="20">
        <f t="shared" si="70"/>
        <v>38.677499999999995</v>
      </c>
      <c r="Z236" s="20">
        <f t="shared" si="73"/>
        <v>10.459437371513248</v>
      </c>
      <c r="AA236" s="19">
        <f>+AVERAGE(M234:M236)*AVERAGE($F$15:F236)</f>
        <v>-1.5937641696012821</v>
      </c>
      <c r="AB236" s="19">
        <f t="shared" si="74"/>
        <v>-91.966398326832078</v>
      </c>
      <c r="AC236" s="19">
        <f t="shared" si="75"/>
        <v>12.009902035153642</v>
      </c>
      <c r="AD236" s="21">
        <f t="shared" si="76"/>
        <v>-25.547702333939885</v>
      </c>
      <c r="AE236" s="19"/>
      <c r="AG236" s="20">
        <f>(V236- AVERAGE(V$41:V236))/_xlfn.STDEV.S(V201:V236)</f>
        <v>-1.0532929009713432</v>
      </c>
      <c r="AH236" s="20">
        <f>(W236- AVERAGE(W$41:W236))/_xlfn.STDEV.S(W201:W236)</f>
        <v>-0.33698626655775615</v>
      </c>
      <c r="AI236" s="20">
        <f>(X236- AVERAGE(X$41:X236))/_xlfn.STDEV.S(X201:X236)</f>
        <v>-0.22227210420729063</v>
      </c>
      <c r="AJ236" s="20">
        <f>(Y236- AVERAGE(Y$41:Y236))/_xlfn.STDEV.S(Y201:Y236)</f>
        <v>2.7517023071853512</v>
      </c>
      <c r="AK236" s="20">
        <f>(Z236- AVERAGE(Z$41:Z236))/_xlfn.STDEV.S(Z201:Z236)</f>
        <v>1.185224801865191</v>
      </c>
      <c r="AL236" s="20">
        <f>(AA236- AVERAGE(AA$41:AA236))/_xlfn.STDEV.S(AA201:AA236)</f>
        <v>-0.3769895960057803</v>
      </c>
      <c r="AM236" s="20">
        <f>(AB236- AVERAGE(AB$41:AB236))/_xlfn.STDEV.S(AB201:AB236)</f>
        <v>-4.491643564123124</v>
      </c>
      <c r="AN236" s="20">
        <f>(AC236- AVERAGE(AC$41:AC236))/_xlfn.STDEV.S(AC201:AC236)</f>
        <v>0.79876645978956706</v>
      </c>
      <c r="AO236" s="24">
        <f>(AD236- AVERAGE(AD$41:AD236))/_xlfn.STDEV.S(AD201:AD236)</f>
        <v>-0.7571565138535209</v>
      </c>
      <c r="AP236" s="20"/>
      <c r="AQ236" s="20">
        <f t="shared" ref="AQ236:AQ267" si="77">+IF(AG236&gt;AG$2,AG$2,IF(AG236&lt;AG$1,AG$1,AG236))</f>
        <v>-1.0532929009713432</v>
      </c>
      <c r="AR236" s="20">
        <f t="shared" ref="AR236:AR267" si="78">+IF(AH236&gt;AH$2,AH$2,IF(AH236&lt;AH$1,AH$1,AH236))</f>
        <v>-0.33698626655775615</v>
      </c>
      <c r="AS236" s="20">
        <f t="shared" ref="AS236:AS267" si="79">+IF(AI236&gt;AI$2,AI$2,IF(AI236&lt;AI$1,AI$1,AI236))</f>
        <v>-0.22227210420729063</v>
      </c>
      <c r="AT236" s="20">
        <f t="shared" si="63"/>
        <v>2.7517023071853512</v>
      </c>
      <c r="AU236" s="20">
        <f t="shared" si="64"/>
        <v>1.185224801865191</v>
      </c>
      <c r="AV236" s="20">
        <f t="shared" si="65"/>
        <v>-0.3769895960057803</v>
      </c>
      <c r="AW236" s="20">
        <f t="shared" si="66"/>
        <v>-4.491643564123124</v>
      </c>
      <c r="AX236" s="20">
        <f t="shared" si="67"/>
        <v>0.79876645978956706</v>
      </c>
      <c r="AY236" s="20">
        <f t="shared" si="68"/>
        <v>-0.7571565138535209</v>
      </c>
      <c r="AZ236" s="22">
        <f t="shared" si="69"/>
        <v>-0.2780719307643007</v>
      </c>
      <c r="BA236" s="1">
        <f>+_xlfn.XLOOKUP(A236,[1]Indice!B:B,[1]Indice!AI:AI,"NOOOOOO",-1)</f>
        <v>0.46498691881715692</v>
      </c>
    </row>
    <row r="237" spans="1:53" x14ac:dyDescent="0.25">
      <c r="A237" s="2">
        <v>45107</v>
      </c>
      <c r="B237" s="15">
        <v>5434</v>
      </c>
      <c r="C237" s="19">
        <v>-35.745536242166253</v>
      </c>
      <c r="D237" s="15">
        <v>7252</v>
      </c>
      <c r="E237" s="19">
        <v>691.48</v>
      </c>
      <c r="F237" s="18">
        <v>0.22531671198010064</v>
      </c>
      <c r="G237" s="1">
        <v>-5.5</v>
      </c>
      <c r="H237" s="1">
        <v>-3.3</v>
      </c>
      <c r="I237" s="16">
        <v>100.5</v>
      </c>
      <c r="J237" s="1">
        <v>620.27300000000002</v>
      </c>
      <c r="K237" s="1">
        <v>8.0976563589214567</v>
      </c>
      <c r="L237" s="1">
        <v>94.754999999999995</v>
      </c>
      <c r="M237" s="1">
        <v>0.34417028486708467</v>
      </c>
      <c r="N237" s="1">
        <v>-95.578023330127593</v>
      </c>
      <c r="O237" s="1">
        <v>452182</v>
      </c>
      <c r="P237" s="1">
        <v>8.8111154425530422</v>
      </c>
      <c r="Q237" s="1">
        <v>-27.354119709491609</v>
      </c>
      <c r="R237" s="1">
        <v>-5.7</v>
      </c>
      <c r="S237" s="1">
        <v>0.3066666666666657</v>
      </c>
      <c r="T237" s="3">
        <v>161.41999999999999</v>
      </c>
      <c r="V237" s="20">
        <f t="shared" si="71"/>
        <v>-30.666520162501619</v>
      </c>
      <c r="W237" s="20">
        <f t="shared" si="72"/>
        <v>-5.9399999999999986</v>
      </c>
      <c r="X237" s="20">
        <f t="shared" si="72"/>
        <v>-3.6399999999999992</v>
      </c>
      <c r="Y237" s="20">
        <f t="shared" si="70"/>
        <v>39.38966666666667</v>
      </c>
      <c r="Z237" s="20">
        <f t="shared" si="73"/>
        <v>9.1081465122266678</v>
      </c>
      <c r="AA237" s="19">
        <f>+AVERAGE(M235:M237)*AVERAGE($F$15:F237)</f>
        <v>-0.87815713036568988</v>
      </c>
      <c r="AB237" s="19">
        <f t="shared" si="74"/>
        <v>-94.439257442922568</v>
      </c>
      <c r="AC237" s="19">
        <f t="shared" si="75"/>
        <v>10.068134157505648</v>
      </c>
      <c r="AD237" s="21">
        <f t="shared" si="76"/>
        <v>-36.020543513576051</v>
      </c>
      <c r="AE237" s="19"/>
      <c r="AG237" s="20">
        <f>(V237- AVERAGE(V$41:V237))/_xlfn.STDEV.S(V202:V237)</f>
        <v>-1.1839424371883041</v>
      </c>
      <c r="AH237" s="20">
        <f>(W237- AVERAGE(W$41:W237))/_xlfn.STDEV.S(W202:W237)</f>
        <v>-0.60459415490274382</v>
      </c>
      <c r="AI237" s="20">
        <f>(X237- AVERAGE(X$41:X237))/_xlfn.STDEV.S(X202:X237)</f>
        <v>-0.29220370549007352</v>
      </c>
      <c r="AJ237" s="20">
        <f>(Y237- AVERAGE(Y$41:Y237))/_xlfn.STDEV.S(Y202:Y237)</f>
        <v>2.7610607427303546</v>
      </c>
      <c r="AK237" s="20">
        <f>(Z237- AVERAGE(Z$41:Z237))/_xlfn.STDEV.S(Z202:Z237)</f>
        <v>1.0760184363767276</v>
      </c>
      <c r="AL237" s="20">
        <f>(AA237- AVERAGE(AA$41:AA237))/_xlfn.STDEV.S(AA202:AA237)</f>
        <v>-2.3766656627497159E-2</v>
      </c>
      <c r="AM237" s="20">
        <f>(AB237- AVERAGE(AB$41:AB237))/_xlfn.STDEV.S(AB202:AB237)</f>
        <v>-4.7547131545733476</v>
      </c>
      <c r="AN237" s="20">
        <f>(AC237- AVERAGE(AC$41:AC237))/_xlfn.STDEV.S(AC202:AC237)</f>
        <v>0.63475808941012246</v>
      </c>
      <c r="AO237" s="24">
        <f>(AD237- AVERAGE(AD$41:AD237))/_xlfn.STDEV.S(AD202:AD237)</f>
        <v>-0.9307303798913662</v>
      </c>
      <c r="AP237" s="20"/>
      <c r="AQ237" s="20">
        <f t="shared" si="77"/>
        <v>-1.1839424371883041</v>
      </c>
      <c r="AR237" s="20">
        <f t="shared" si="78"/>
        <v>-0.60459415490274382</v>
      </c>
      <c r="AS237" s="20">
        <f t="shared" si="79"/>
        <v>-0.29220370549007352</v>
      </c>
      <c r="AT237" s="20">
        <f t="shared" ref="AT237:AT267" si="80">+IF(AJ237&gt;AJ$2,AJ$2,IF(AJ237&lt;AJ$1,AJ$1,AJ237))</f>
        <v>2.7610607427303546</v>
      </c>
      <c r="AU237" s="20">
        <f t="shared" si="64"/>
        <v>1.0760184363767276</v>
      </c>
      <c r="AV237" s="20">
        <f t="shared" ref="AV237:AV268" si="81">+IF(AL237&gt;AL$2,AL$2,IF(AL237&lt;AL$1,AL$1,AL237))</f>
        <v>-2.3766656627497159E-2</v>
      </c>
      <c r="AW237" s="20">
        <f t="shared" si="66"/>
        <v>-4.7547131545733476</v>
      </c>
      <c r="AX237" s="20">
        <f t="shared" ref="AX237:AX268" si="82">+IF(AN237&gt;AN$2,AN$2,IF(AN237&lt;AN$1,AN$1,AN237))</f>
        <v>0.63475808941012246</v>
      </c>
      <c r="AY237" s="20">
        <f t="shared" ref="AY237:AY268" si="83">+IF(AO237&gt;AO$2,AO$2,IF(AO237&lt;AO$1,AO$1,AO237))</f>
        <v>-0.9307303798913662</v>
      </c>
      <c r="AZ237" s="22">
        <f t="shared" si="69"/>
        <v>-0.36867924668401414</v>
      </c>
      <c r="BA237" s="1">
        <f>+_xlfn.XLOOKUP(A237,[1]Indice!B:B,[1]Indice!AI:AI,"NOOOOOO",-1)</f>
        <v>0.47549943970545666</v>
      </c>
    </row>
    <row r="238" spans="1:53" x14ac:dyDescent="0.25">
      <c r="A238" s="2">
        <v>45138</v>
      </c>
      <c r="B238" s="15">
        <v>6086</v>
      </c>
      <c r="C238" s="19">
        <v>-20.506792058516197</v>
      </c>
      <c r="D238" s="15">
        <v>6754</v>
      </c>
      <c r="E238" s="19">
        <v>691.48</v>
      </c>
      <c r="F238" s="18">
        <v>0.22080754324058541</v>
      </c>
      <c r="G238" s="1">
        <v>-1.5</v>
      </c>
      <c r="H238" s="1">
        <v>-0.8</v>
      </c>
      <c r="I238" s="16">
        <v>100.1</v>
      </c>
      <c r="J238" s="1">
        <v>616.86500000000001</v>
      </c>
      <c r="K238" s="1">
        <v>6.3982268830743205</v>
      </c>
      <c r="L238" s="1">
        <v>96.94</v>
      </c>
      <c r="M238" s="1">
        <v>4.8884464737833033</v>
      </c>
      <c r="N238" s="1">
        <v>-89.075537810531657</v>
      </c>
      <c r="O238" s="1">
        <v>439771</v>
      </c>
      <c r="P238" s="1">
        <v>3.0987942881658403</v>
      </c>
      <c r="Q238" s="1">
        <v>9.610245283518104</v>
      </c>
      <c r="R238" s="1">
        <v>-5.7</v>
      </c>
      <c r="S238" s="1">
        <v>0.27833333333333249</v>
      </c>
      <c r="T238" s="3">
        <v>154.91999999999999</v>
      </c>
      <c r="V238" s="20">
        <f t="shared" si="71"/>
        <v>-27.325565200414864</v>
      </c>
      <c r="W238" s="20">
        <f t="shared" si="72"/>
        <v>-4.8116666666666656</v>
      </c>
      <c r="X238" s="20">
        <f t="shared" si="72"/>
        <v>-2.778333333333332</v>
      </c>
      <c r="Y238" s="20">
        <f t="shared" si="70"/>
        <v>39.402666666666654</v>
      </c>
      <c r="Z238" s="20">
        <f t="shared" si="73"/>
        <v>7.8080565691975279</v>
      </c>
      <c r="AA238" s="19">
        <f>+AVERAGE(M236:M238)*AVERAGE($F$15:F238)</f>
        <v>-0.12953134820402767</v>
      </c>
      <c r="AB238" s="19">
        <f t="shared" si="74"/>
        <v>-93.360654489895865</v>
      </c>
      <c r="AC238" s="19">
        <f t="shared" si="75"/>
        <v>7.5806463374028086</v>
      </c>
      <c r="AD238" s="21">
        <f t="shared" si="76"/>
        <v>-18.467274718493851</v>
      </c>
      <c r="AE238" s="19"/>
      <c r="AG238" s="20">
        <f>(V238- AVERAGE(V$41:V238))/_xlfn.STDEV.S(V203:V238)</f>
        <v>-1.0422503015109752</v>
      </c>
      <c r="AH238" s="20">
        <f>(W238- AVERAGE(W$41:W238))/_xlfn.STDEV.S(W203:W238)</f>
        <v>-0.49372281025044162</v>
      </c>
      <c r="AI238" s="20">
        <f>(X238- AVERAGE(X$41:X238))/_xlfn.STDEV.S(X203:X238)</f>
        <v>-0.22888621230673856</v>
      </c>
      <c r="AJ238" s="20">
        <f>(Y238- AVERAGE(Y$41:Y238))/_xlfn.STDEV.S(Y203:Y238)</f>
        <v>2.7346842869746699</v>
      </c>
      <c r="AK238" s="20">
        <f>(Z238- AVERAGE(Z$41:Z238))/_xlfn.STDEV.S(Z203:Z238)</f>
        <v>0.96549924896627548</v>
      </c>
      <c r="AL238" s="20">
        <f>(AA238- AVERAGE(AA$41:AA238))/_xlfn.STDEV.S(AA203:AA238)</f>
        <v>0.35213744333707886</v>
      </c>
      <c r="AM238" s="20">
        <f>(AB238- AVERAGE(AB$41:AB238))/_xlfn.STDEV.S(AB203:AB238)</f>
        <v>-4.7979614974632829</v>
      </c>
      <c r="AN238" s="20">
        <f>(AC238- AVERAGE(AC$41:AC238))/_xlfn.STDEV.S(AC203:AC238)</f>
        <v>0.42868683895871973</v>
      </c>
      <c r="AO238" s="24">
        <f>(AD238- AVERAGE(AD$41:AD238))/_xlfn.STDEV.S(AD203:AD238)</f>
        <v>-0.65511252892649519</v>
      </c>
      <c r="AP238" s="20"/>
      <c r="AQ238" s="20">
        <f t="shared" si="77"/>
        <v>-1.0422503015109752</v>
      </c>
      <c r="AR238" s="20">
        <f t="shared" si="78"/>
        <v>-0.49372281025044162</v>
      </c>
      <c r="AS238" s="20">
        <f t="shared" si="79"/>
        <v>-0.22888621230673856</v>
      </c>
      <c r="AT238" s="20">
        <f t="shared" si="80"/>
        <v>2.7346842869746699</v>
      </c>
      <c r="AU238" s="20">
        <f t="shared" si="64"/>
        <v>0.96549924896627548</v>
      </c>
      <c r="AV238" s="20">
        <f t="shared" si="81"/>
        <v>0.35213744333707886</v>
      </c>
      <c r="AW238" s="20">
        <f t="shared" si="66"/>
        <v>-4.7979614974632829</v>
      </c>
      <c r="AX238" s="20">
        <f t="shared" si="82"/>
        <v>0.42868683895871973</v>
      </c>
      <c r="AY238" s="20">
        <f t="shared" si="83"/>
        <v>-0.65511252892649519</v>
      </c>
      <c r="AZ238" s="22">
        <f t="shared" si="69"/>
        <v>-0.30410283691346546</v>
      </c>
      <c r="BA238" s="1">
        <f>+_xlfn.XLOOKUP(A238,[1]Indice!B:B,[1]Indice!AI:AI,"NOOOOOO",-1)</f>
        <v>0.4566992636303403</v>
      </c>
    </row>
    <row r="239" spans="1:53" x14ac:dyDescent="0.25">
      <c r="A239" s="2">
        <v>45169</v>
      </c>
      <c r="B239" s="15">
        <v>5935</v>
      </c>
      <c r="C239" s="19">
        <v>-21.732823420809709</v>
      </c>
      <c r="D239" s="15">
        <v>6899</v>
      </c>
      <c r="E239" s="19">
        <v>691.48</v>
      </c>
      <c r="F239" s="18">
        <v>0.216950598715798</v>
      </c>
      <c r="G239" s="1">
        <v>0.3</v>
      </c>
      <c r="H239" s="1">
        <v>0.4</v>
      </c>
      <c r="I239" s="16">
        <v>106.9</v>
      </c>
      <c r="J239" s="1">
        <v>622.05999999999995</v>
      </c>
      <c r="K239" s="1">
        <v>6.5003458359299549</v>
      </c>
      <c r="L239" s="1">
        <v>107.904</v>
      </c>
      <c r="M239" s="1">
        <v>19.360191146213566</v>
      </c>
      <c r="N239" s="1">
        <v>-93.966236086093801</v>
      </c>
      <c r="O239" s="1">
        <v>422944</v>
      </c>
      <c r="P239" s="1">
        <v>1.099090226750099</v>
      </c>
      <c r="Q239" s="1">
        <v>7.2860421166306644</v>
      </c>
      <c r="R239" s="1">
        <v>-5.7</v>
      </c>
      <c r="S239" s="1">
        <v>0.24999999999999864</v>
      </c>
      <c r="T239" s="3">
        <v>197.5</v>
      </c>
      <c r="V239" s="20">
        <f t="shared" si="71"/>
        <v>-26.245050573830721</v>
      </c>
      <c r="W239" s="20">
        <f t="shared" si="72"/>
        <v>-2.4833333333333321</v>
      </c>
      <c r="X239" s="20">
        <f t="shared" si="72"/>
        <v>-1.4833333333333318</v>
      </c>
      <c r="Y239" s="20">
        <f t="shared" si="70"/>
        <v>39.869333333333337</v>
      </c>
      <c r="Z239" s="20">
        <f t="shared" si="73"/>
        <v>6.9987430259752443</v>
      </c>
      <c r="AA239" s="19">
        <f>+AVERAGE(M237:M239)*AVERAGE($F$15:F239)</f>
        <v>2.192018201024307</v>
      </c>
      <c r="AB239" s="19">
        <f t="shared" si="74"/>
        <v>-92.873265742251007</v>
      </c>
      <c r="AC239" s="19">
        <f t="shared" si="75"/>
        <v>4.3363333191563278</v>
      </c>
      <c r="AD239" s="21">
        <f t="shared" si="76"/>
        <v>-3.4859441031142802</v>
      </c>
      <c r="AE239" s="19"/>
      <c r="AG239" s="20">
        <f>(V239- AVERAGE(V$41:V239))/_xlfn.STDEV.S(V204:V239)</f>
        <v>-0.98308643915330851</v>
      </c>
      <c r="AH239" s="20">
        <f>(W239- AVERAGE(W$41:W239))/_xlfn.STDEV.S(W204:W239)</f>
        <v>-0.20677403421017132</v>
      </c>
      <c r="AI239" s="20">
        <f>(X239- AVERAGE(X$41:X239))/_xlfn.STDEV.S(X204:X239)</f>
        <v>-0.1187001874272698</v>
      </c>
      <c r="AJ239" s="20">
        <f>(Y239- AVERAGE(Y$41:Y239))/_xlfn.STDEV.S(Y204:Y239)</f>
        <v>2.7626920822125403</v>
      </c>
      <c r="AK239" s="20">
        <f>(Z239- AVERAGE(Z$41:Z239))/_xlfn.STDEV.S(Z204:Z239)</f>
        <v>0.90616069502407925</v>
      </c>
      <c r="AL239" s="20">
        <f>(AA239- AVERAGE(AA$41:AA239))/_xlfn.STDEV.S(AA204:AA239)</f>
        <v>1.4389528383566021</v>
      </c>
      <c r="AM239" s="20">
        <f>(AB239- AVERAGE(AB$41:AB239))/_xlfn.STDEV.S(AB204:AB239)</f>
        <v>-4.9103724506846058</v>
      </c>
      <c r="AN239" s="20">
        <f>(AC239- AVERAGE(AC$41:AC239))/_xlfn.STDEV.S(AC204:AC239)</f>
        <v>0.15337747915403752</v>
      </c>
      <c r="AO239" s="24">
        <f>(AD239- AVERAGE(AD$41:AD239))/_xlfn.STDEV.S(AD204:AD239)</f>
        <v>-0.41245455271816772</v>
      </c>
      <c r="AP239" s="20"/>
      <c r="AQ239" s="20">
        <f t="shared" si="77"/>
        <v>-0.98308643915330851</v>
      </c>
      <c r="AR239" s="20">
        <f t="shared" si="78"/>
        <v>-0.20677403421017132</v>
      </c>
      <c r="AS239" s="20">
        <f t="shared" si="79"/>
        <v>-0.1187001874272698</v>
      </c>
      <c r="AT239" s="20">
        <f t="shared" si="80"/>
        <v>2.7626920822125403</v>
      </c>
      <c r="AU239" s="20">
        <f t="shared" si="64"/>
        <v>0.90616069502407925</v>
      </c>
      <c r="AV239" s="20">
        <f t="shared" si="81"/>
        <v>1.4389528383566021</v>
      </c>
      <c r="AW239" s="20">
        <f t="shared" si="66"/>
        <v>-4.9103724506846058</v>
      </c>
      <c r="AX239" s="20">
        <f t="shared" si="82"/>
        <v>0.15337747915403752</v>
      </c>
      <c r="AY239" s="20">
        <f t="shared" si="83"/>
        <v>-0.41245455271816772</v>
      </c>
      <c r="AZ239" s="22">
        <f t="shared" si="69"/>
        <v>-0.15224495216069595</v>
      </c>
      <c r="BA239" s="1">
        <f>+_xlfn.XLOOKUP(A239,[1]Indice!B:B,[1]Indice!AI:AI,"NOOOOOO",-1)</f>
        <v>0.48231530036858894</v>
      </c>
    </row>
    <row r="240" spans="1:53" x14ac:dyDescent="0.25">
      <c r="A240" s="2">
        <v>45199</v>
      </c>
      <c r="B240" s="15">
        <v>5788</v>
      </c>
      <c r="C240" s="19">
        <v>-22.764878569522285</v>
      </c>
      <c r="D240" s="15">
        <v>6520</v>
      </c>
      <c r="E240" s="19">
        <v>677.34</v>
      </c>
      <c r="F240" s="18">
        <v>0.21803968464877313</v>
      </c>
      <c r="G240" s="1">
        <v>-0.5</v>
      </c>
      <c r="H240" s="1">
        <v>0.4</v>
      </c>
      <c r="I240" s="16">
        <v>116.8</v>
      </c>
      <c r="J240" s="1">
        <v>636.84100000000001</v>
      </c>
      <c r="K240" s="1">
        <v>7.0970790681404994</v>
      </c>
      <c r="L240" s="1">
        <v>94.394999999999996</v>
      </c>
      <c r="M240" s="1">
        <v>7.5273104218164244</v>
      </c>
      <c r="N240" s="1">
        <v>-100.19766954814568</v>
      </c>
      <c r="O240" s="1">
        <v>414063</v>
      </c>
      <c r="P240" s="1">
        <v>-3.5274683541354546</v>
      </c>
      <c r="Q240" s="1">
        <v>-30.068836045056312</v>
      </c>
      <c r="R240" s="1">
        <v>-0.6</v>
      </c>
      <c r="S240" s="1">
        <v>0.29833333333333195</v>
      </c>
      <c r="T240" s="3">
        <v>185.86</v>
      </c>
      <c r="V240" s="20">
        <f t="shared" si="71"/>
        <v>-21.966498016282728</v>
      </c>
      <c r="W240" s="20">
        <f t="shared" si="72"/>
        <v>-0.86499999999999866</v>
      </c>
      <c r="X240" s="20">
        <f t="shared" si="72"/>
        <v>-0.29833333333333195</v>
      </c>
      <c r="Y240" s="20">
        <f t="shared" si="70"/>
        <v>42.736666666666665</v>
      </c>
      <c r="Z240" s="20">
        <f t="shared" si="73"/>
        <v>6.6652172623815913</v>
      </c>
      <c r="AA240" s="19">
        <f>+AVERAGE(M238:M240)*AVERAGE($F$15:F240)</f>
        <v>2.8299561062000467</v>
      </c>
      <c r="AB240" s="19">
        <f t="shared" si="74"/>
        <v>-94.413147814923718</v>
      </c>
      <c r="AC240" s="19">
        <f t="shared" si="75"/>
        <v>0.22347205359349495</v>
      </c>
      <c r="AD240" s="21">
        <f t="shared" si="76"/>
        <v>-4.3908495483025147</v>
      </c>
      <c r="AE240" s="19"/>
      <c r="AG240" s="20">
        <f>(V240- AVERAGE(V$41:V240))/_xlfn.STDEV.S(V205:V240)</f>
        <v>-0.82542993985758317</v>
      </c>
      <c r="AH240" s="20">
        <f>(W240- AVERAGE(W$41:W240))/_xlfn.STDEV.S(W205:W240)</f>
        <v>7.9195548750431635E-3</v>
      </c>
      <c r="AI240" s="20">
        <f>(X240- AVERAGE(X$41:X240))/_xlfn.STDEV.S(X205:X240)</f>
        <v>-6.1135073011912714E-3</v>
      </c>
      <c r="AJ240" s="20">
        <f>(Y240- AVERAGE(Y$41:Y240))/_xlfn.STDEV.S(Y205:Y240)</f>
        <v>2.9955486257083916</v>
      </c>
      <c r="AK240" s="20">
        <f>(Z240- AVERAGE(Z$41:Z240))/_xlfn.STDEV.S(Z205:Z240)</f>
        <v>0.91589835723290847</v>
      </c>
      <c r="AL240" s="20">
        <f>(AA240- AVERAGE(AA$41:AA240))/_xlfn.STDEV.S(AA205:AA240)</f>
        <v>1.615382796602618</v>
      </c>
      <c r="AM240" s="20">
        <f>(AB240- AVERAGE(AB$41:AB240))/_xlfn.STDEV.S(AB205:AB240)</f>
        <v>-5.1050391790978571</v>
      </c>
      <c r="AN240" s="20">
        <f>(AC240- AVERAGE(AC$41:AC240))/_xlfn.STDEV.S(AC205:AC240)</f>
        <v>-0.21965653236472282</v>
      </c>
      <c r="AO240" s="24">
        <f>(AD240- AVERAGE(AD$41:AD240))/_xlfn.STDEV.S(AD205:AD240)</f>
        <v>-0.43779083313503697</v>
      </c>
      <c r="AP240" s="20"/>
      <c r="AQ240" s="20">
        <f t="shared" si="77"/>
        <v>-0.82542993985758317</v>
      </c>
      <c r="AR240" s="20">
        <f t="shared" si="78"/>
        <v>7.9195548750431635E-3</v>
      </c>
      <c r="AS240" s="20">
        <f t="shared" si="79"/>
        <v>-6.1135073011912714E-3</v>
      </c>
      <c r="AT240" s="20">
        <f t="shared" si="80"/>
        <v>2.9955486257083916</v>
      </c>
      <c r="AU240" s="20">
        <f t="shared" si="64"/>
        <v>0.91589835723290847</v>
      </c>
      <c r="AV240" s="20">
        <f t="shared" si="81"/>
        <v>1.615382796602618</v>
      </c>
      <c r="AW240" s="20">
        <f t="shared" si="66"/>
        <v>-5.1050391790978571</v>
      </c>
      <c r="AX240" s="20">
        <f t="shared" si="82"/>
        <v>-0.21965653236472282</v>
      </c>
      <c r="AY240" s="20">
        <f t="shared" si="83"/>
        <v>-0.43779083313503697</v>
      </c>
      <c r="AZ240" s="22">
        <f t="shared" si="69"/>
        <v>-0.11769785081527001</v>
      </c>
      <c r="BA240" s="1">
        <f>+_xlfn.XLOOKUP(A240,[1]Indice!B:B,[1]Indice!AI:AI,"NOOOOOO",-1)</f>
        <v>0.46676206877063597</v>
      </c>
    </row>
    <row r="241" spans="1:53" x14ac:dyDescent="0.25">
      <c r="A241" s="2">
        <v>45230</v>
      </c>
      <c r="B241" s="15">
        <v>5426</v>
      </c>
      <c r="C241" s="19">
        <v>-32.352574491958606</v>
      </c>
      <c r="D241" s="15">
        <v>5849</v>
      </c>
      <c r="E241" s="19">
        <v>677.34</v>
      </c>
      <c r="F241" s="18">
        <v>0.21385419434848082</v>
      </c>
      <c r="G241" s="1">
        <v>0.7</v>
      </c>
      <c r="H241" s="1">
        <v>-0.9</v>
      </c>
      <c r="I241" s="16">
        <v>122.2</v>
      </c>
      <c r="J241" s="1">
        <v>653.53200000000004</v>
      </c>
      <c r="K241" s="1">
        <v>7.2001863403960309</v>
      </c>
      <c r="L241" s="1">
        <v>86.204999999999998</v>
      </c>
      <c r="M241" s="1">
        <v>-2.812852311161218</v>
      </c>
      <c r="N241" s="1">
        <v>-146.27411274879341</v>
      </c>
      <c r="O241" s="1">
        <v>421893</v>
      </c>
      <c r="P241" s="1">
        <v>-3.4194080076917821</v>
      </c>
      <c r="Q241" s="1">
        <v>-38.55785354946898</v>
      </c>
      <c r="R241" s="1">
        <v>-0.6</v>
      </c>
      <c r="S241" s="1">
        <v>0.34666666666666568</v>
      </c>
      <c r="T241" s="3">
        <v>195.59</v>
      </c>
      <c r="V241" s="20">
        <f t="shared" si="71"/>
        <v>-25.963425494096864</v>
      </c>
      <c r="W241" s="20">
        <f t="shared" si="72"/>
        <v>-0.17999999999999902</v>
      </c>
      <c r="X241" s="20">
        <f t="shared" si="72"/>
        <v>-0.37999999999999901</v>
      </c>
      <c r="Y241" s="20">
        <f t="shared" si="70"/>
        <v>47.353499999999997</v>
      </c>
      <c r="Z241" s="20">
        <f t="shared" si="73"/>
        <v>6.9325370814888281</v>
      </c>
      <c r="AA241" s="19">
        <f>+AVERAGE(M239:M241)*AVERAGE($F$15:F241)</f>
        <v>2.1421956817932899</v>
      </c>
      <c r="AB241" s="19">
        <f t="shared" si="74"/>
        <v>-113.47933946101097</v>
      </c>
      <c r="AC241" s="19">
        <f t="shared" si="75"/>
        <v>-1.9492620450257128</v>
      </c>
      <c r="AD241" s="21">
        <f t="shared" si="76"/>
        <v>-20.446882492631541</v>
      </c>
      <c r="AE241" s="19"/>
      <c r="AG241" s="20">
        <f>(V241- AVERAGE(V$41:V241))/_xlfn.STDEV.S(V206:V241)</f>
        <v>-0.94458562272774471</v>
      </c>
      <c r="AH241" s="20">
        <f>(W241- AVERAGE(W$41:W241))/_xlfn.STDEV.S(W206:W241)</f>
        <v>0.10441776561482896</v>
      </c>
      <c r="AI241" s="20">
        <f>(X241- AVERAGE(X$41:X241))/_xlfn.STDEV.S(X206:X241)</f>
        <v>-1.5434062840006741E-2</v>
      </c>
      <c r="AJ241" s="20">
        <f>(Y241- AVERAGE(Y$41:Y241))/_xlfn.STDEV.S(Y206:Y241)</f>
        <v>3.3573557978414326</v>
      </c>
      <c r="AK241" s="20">
        <f>(Z241- AVERAGE(Z$41:Z241))/_xlfn.STDEV.S(Z206:Z241)</f>
        <v>1.0246905611541537</v>
      </c>
      <c r="AL241" s="20">
        <f>(AA241- AVERAGE(AA$41:AA241))/_xlfn.STDEV.S(AA206:AA241)</f>
        <v>1.2469469632008274</v>
      </c>
      <c r="AM241" s="20">
        <f>(AB241- AVERAGE(AB$41:AB241))/_xlfn.STDEV.S(AB206:AB241)</f>
        <v>-6.1998606213162413</v>
      </c>
      <c r="AN241" s="20">
        <f>(AC241- AVERAGE(AC$41:AC241))/_xlfn.STDEV.S(AC206:AC241)</f>
        <v>-0.43347126895217664</v>
      </c>
      <c r="AO241" s="24">
        <f>(AD241- AVERAGE(AD$41:AD241))/_xlfn.STDEV.S(AD206:AD241)</f>
        <v>-0.73245042446639275</v>
      </c>
      <c r="AP241" s="20"/>
      <c r="AQ241" s="20">
        <f t="shared" si="77"/>
        <v>-0.94458562272774471</v>
      </c>
      <c r="AR241" s="20">
        <f t="shared" si="78"/>
        <v>0.10441776561482896</v>
      </c>
      <c r="AS241" s="20">
        <f t="shared" si="79"/>
        <v>-1.5434062840006741E-2</v>
      </c>
      <c r="AT241" s="20">
        <f t="shared" si="80"/>
        <v>3.3573557978414326</v>
      </c>
      <c r="AU241" s="20">
        <f t="shared" si="64"/>
        <v>1.0246905611541537</v>
      </c>
      <c r="AV241" s="20">
        <f t="shared" si="81"/>
        <v>1.2469469632008274</v>
      </c>
      <c r="AW241" s="20">
        <f t="shared" si="66"/>
        <v>-6.1998606213162413</v>
      </c>
      <c r="AX241" s="20">
        <f t="shared" si="82"/>
        <v>-0.43347126895217664</v>
      </c>
      <c r="AY241" s="20">
        <f t="shared" si="83"/>
        <v>-0.73245042446639275</v>
      </c>
      <c r="AZ241" s="22">
        <f t="shared" si="69"/>
        <v>-0.28804343472125765</v>
      </c>
      <c r="BA241" s="1">
        <f>+_xlfn.XLOOKUP(A241,[1]Indice!B:B,[1]Indice!AI:AI,"NOOOOOO",-1)</f>
        <v>0.41811904121311377</v>
      </c>
    </row>
    <row r="242" spans="1:53" x14ac:dyDescent="0.25">
      <c r="A242" s="2">
        <v>45260</v>
      </c>
      <c r="B242" s="15">
        <v>4944</v>
      </c>
      <c r="C242" s="19">
        <v>-30.727196300966796</v>
      </c>
      <c r="D242" s="15">
        <v>5517</v>
      </c>
      <c r="E242" s="19">
        <v>677.34</v>
      </c>
      <c r="F242" s="18">
        <v>0.21023119851182567</v>
      </c>
      <c r="G242" s="1">
        <v>-1.1000000000000001</v>
      </c>
      <c r="H242" s="1">
        <v>0.1</v>
      </c>
      <c r="I242" s="16">
        <v>131.19999999999999</v>
      </c>
      <c r="J242" s="1">
        <v>666.49400000000003</v>
      </c>
      <c r="K242" s="1">
        <v>9.4509666750418386</v>
      </c>
      <c r="L242" s="1">
        <v>80.296000000000006</v>
      </c>
      <c r="M242" s="1">
        <v>-12.230420287478816</v>
      </c>
      <c r="N242" s="1">
        <v>-151.10401029471734</v>
      </c>
      <c r="O242" s="1">
        <v>449664</v>
      </c>
      <c r="P242" s="1">
        <v>7.2968664993175558</v>
      </c>
      <c r="Q242" s="1">
        <v>-29.365127398172252</v>
      </c>
      <c r="R242" s="1">
        <v>-0.6</v>
      </c>
      <c r="S242" s="1">
        <v>0.39499999999999852</v>
      </c>
      <c r="T242" s="3">
        <v>226.73</v>
      </c>
      <c r="V242" s="20">
        <f t="shared" si="71"/>
        <v>-29.009883120815893</v>
      </c>
      <c r="W242" s="20">
        <f t="shared" si="72"/>
        <v>-0.69499999999999851</v>
      </c>
      <c r="X242" s="20">
        <f t="shared" si="72"/>
        <v>-0.52833333333333188</v>
      </c>
      <c r="Y242" s="20">
        <f t="shared" si="70"/>
        <v>52.151833333333315</v>
      </c>
      <c r="Z242" s="20">
        <f t="shared" si="73"/>
        <v>7.9160773611927899</v>
      </c>
      <c r="AA242" s="19">
        <f>+AVERAGE(M240:M242)*AVERAGE($F$15:F242)</f>
        <v>-0.66815756279834559</v>
      </c>
      <c r="AB242" s="19">
        <f t="shared" si="74"/>
        <v>-132.5252641972188</v>
      </c>
      <c r="AC242" s="19">
        <f t="shared" si="75"/>
        <v>0.11666337916343987</v>
      </c>
      <c r="AD242" s="21">
        <f t="shared" si="76"/>
        <v>-32.663938997565843</v>
      </c>
      <c r="AE242" s="19"/>
      <c r="AG242" s="20">
        <f>(V242- AVERAGE(V$41:V242))/_xlfn.STDEV.S(V207:V242)</f>
        <v>-1.0290444415701034</v>
      </c>
      <c r="AH242" s="20">
        <f>(W242- AVERAGE(W$41:W242))/_xlfn.STDEV.S(W207:W242)</f>
        <v>3.184715719478589E-2</v>
      </c>
      <c r="AI242" s="20">
        <f>(X242- AVERAGE(X$41:X242))/_xlfn.STDEV.S(X207:X242)</f>
        <v>-3.3933956805477922E-2</v>
      </c>
      <c r="AJ242" s="20">
        <f>(Y242- AVERAGE(Y$41:Y242))/_xlfn.STDEV.S(Y207:Y242)</f>
        <v>3.7045765264833341</v>
      </c>
      <c r="AK242" s="20">
        <f>(Z242- AVERAGE(Z$41:Z242))/_xlfn.STDEV.S(Z207:Z242)</f>
        <v>1.2771475294936288</v>
      </c>
      <c r="AL242" s="20">
        <f>(AA242- AVERAGE(AA$41:AA242))/_xlfn.STDEV.S(AA207:AA242)</f>
        <v>4.6795612426094771E-2</v>
      </c>
      <c r="AM242" s="20">
        <f>(AB242- AVERAGE(AB$41:AB242))/_xlfn.STDEV.S(AB207:AB242)</f>
        <v>-6.6188803638028082</v>
      </c>
      <c r="AN242" s="20">
        <f>(AC242- AVERAGE(AC$41:AC242))/_xlfn.STDEV.S(AC207:AC242)</f>
        <v>-0.24051326877153795</v>
      </c>
      <c r="AO242" s="24">
        <f>(AD242- AVERAGE(AD$41:AD242))/_xlfn.STDEV.S(AD207:AD242)</f>
        <v>-0.96000583716076593</v>
      </c>
      <c r="AP242" s="20"/>
      <c r="AQ242" s="20">
        <f t="shared" si="77"/>
        <v>-1.0290444415701034</v>
      </c>
      <c r="AR242" s="20">
        <f t="shared" si="78"/>
        <v>3.184715719478589E-2</v>
      </c>
      <c r="AS242" s="20">
        <f t="shared" si="79"/>
        <v>-3.3933956805477922E-2</v>
      </c>
      <c r="AT242" s="20">
        <f t="shared" si="80"/>
        <v>3.7045765264833341</v>
      </c>
      <c r="AU242" s="20">
        <f t="shared" si="64"/>
        <v>1.2771475294936288</v>
      </c>
      <c r="AV242" s="20">
        <f t="shared" si="81"/>
        <v>4.6795612426094771E-2</v>
      </c>
      <c r="AW242" s="20">
        <f t="shared" si="66"/>
        <v>-6.6188803638028082</v>
      </c>
      <c r="AX242" s="20">
        <f t="shared" si="82"/>
        <v>-0.24051326877153795</v>
      </c>
      <c r="AY242" s="20">
        <f t="shared" si="83"/>
        <v>-0.96000583716076593</v>
      </c>
      <c r="AZ242" s="22">
        <f t="shared" si="69"/>
        <v>-0.42466789361253882</v>
      </c>
      <c r="BA242" s="1">
        <f>+_xlfn.XLOOKUP(A242,[1]Indice!B:B,[1]Indice!AI:AI,"NOOOOOO",-1)</f>
        <v>0.49246204612200822</v>
      </c>
    </row>
    <row r="243" spans="1:53" x14ac:dyDescent="0.25">
      <c r="A243" s="2">
        <v>45291</v>
      </c>
      <c r="B243" s="15">
        <v>5305</v>
      </c>
      <c r="C243" s="19">
        <v>-13.175122749590839</v>
      </c>
      <c r="D243" s="15">
        <v>4266</v>
      </c>
      <c r="E243" s="19">
        <v>715.48</v>
      </c>
      <c r="F243" s="18">
        <v>0.19674903561245596</v>
      </c>
      <c r="G243" s="1">
        <v>-4.7</v>
      </c>
      <c r="H243" s="1">
        <v>-0.4</v>
      </c>
      <c r="I243" s="16">
        <v>187.7</v>
      </c>
      <c r="J243" s="1">
        <v>677.11300000000006</v>
      </c>
      <c r="K243" s="1">
        <v>10.729301409805014</v>
      </c>
      <c r="L243" s="1">
        <v>147.80199999999999</v>
      </c>
      <c r="M243" s="1">
        <v>57.099126294083888</v>
      </c>
      <c r="N243" s="1">
        <v>-50.272482467216342</v>
      </c>
      <c r="O243" s="1">
        <v>431065</v>
      </c>
      <c r="P243" s="1">
        <v>2.4769045705890447</v>
      </c>
      <c r="Q243" s="1">
        <v>-33.549838324195136</v>
      </c>
      <c r="R243" s="1">
        <v>-1.7</v>
      </c>
      <c r="S243" s="1">
        <v>0.47166666666666518</v>
      </c>
      <c r="T243" s="3">
        <v>213</v>
      </c>
      <c r="V243" s="20">
        <f t="shared" si="71"/>
        <v>-25.889964514172078</v>
      </c>
      <c r="W243" s="20">
        <f t="shared" si="72"/>
        <v>-2.1716666666666655</v>
      </c>
      <c r="X243" s="20">
        <f t="shared" si="72"/>
        <v>-0.87166666666666526</v>
      </c>
      <c r="Y243" s="20">
        <f t="shared" si="70"/>
        <v>72.712666666666664</v>
      </c>
      <c r="Z243" s="20">
        <f t="shared" si="73"/>
        <v>9.1268181417476288</v>
      </c>
      <c r="AA243" s="19">
        <f>+AVERAGE(M241:M243)*AVERAGE($F$15:F243)</f>
        <v>3.7344193014181659</v>
      </c>
      <c r="AB243" s="19">
        <f t="shared" si="74"/>
        <v>-115.88353517024235</v>
      </c>
      <c r="AC243" s="19">
        <f t="shared" si="75"/>
        <v>2.1181210207382728</v>
      </c>
      <c r="AD243" s="21">
        <f t="shared" si="76"/>
        <v>-33.824273090612124</v>
      </c>
      <c r="AE243" s="19"/>
      <c r="AG243" s="20">
        <f>(V243- AVERAGE(V$41:V243))/_xlfn.STDEV.S(V208:V243)</f>
        <v>-0.91901358564773472</v>
      </c>
      <c r="AH243" s="20">
        <f>(W243- AVERAGE(W$41:W243))/_xlfn.STDEV.S(W208:W243)</f>
        <v>-0.17809099942953852</v>
      </c>
      <c r="AI243" s="20">
        <f>(X243- AVERAGE(X$41:X243))/_xlfn.STDEV.S(X208:X243)</f>
        <v>-8.0738488532996588E-2</v>
      </c>
      <c r="AJ243" s="20">
        <f>(Y243- AVERAGE(Y$41:Y243))/_xlfn.STDEV.S(Y208:Y243)</f>
        <v>4.8072451417872175</v>
      </c>
      <c r="AK243" s="20">
        <f>(Z243- AVERAGE(Z$41:Z243))/_xlfn.STDEV.S(Z208:Z243)</f>
        <v>1.6416479859663613</v>
      </c>
      <c r="AL243" s="20">
        <f>(AA243- AVERAGE(AA$41:AA243))/_xlfn.STDEV.S(AA208:AA243)</f>
        <v>1.7769643820560601</v>
      </c>
      <c r="AM243" s="20">
        <f>(AB243- AVERAGE(AB$41:AB243))/_xlfn.STDEV.S(AB208:AB243)</f>
        <v>-5.314019052159094</v>
      </c>
      <c r="AN243" s="20">
        <f>(AC243- AVERAGE(AC$41:AC243))/_xlfn.STDEV.S(AC208:AC243)</f>
        <v>-4.4500256269368224E-2</v>
      </c>
      <c r="AO243" s="24">
        <f>(AD243- AVERAGE(AD$41:AD243))/_xlfn.STDEV.S(AD208:AD243)</f>
        <v>-0.97964460636461548</v>
      </c>
      <c r="AP243" s="20"/>
      <c r="AQ243" s="20">
        <f t="shared" si="77"/>
        <v>-0.91901358564773472</v>
      </c>
      <c r="AR243" s="20">
        <f t="shared" si="78"/>
        <v>-0.17809099942953852</v>
      </c>
      <c r="AS243" s="20">
        <f t="shared" si="79"/>
        <v>-8.0738488532996588E-2</v>
      </c>
      <c r="AT243" s="20">
        <f t="shared" si="80"/>
        <v>4.8072451417872175</v>
      </c>
      <c r="AU243" s="20">
        <f t="shared" si="64"/>
        <v>1.6416479859663613</v>
      </c>
      <c r="AV243" s="20">
        <f t="shared" si="81"/>
        <v>1.7769643820560601</v>
      </c>
      <c r="AW243" s="20">
        <f t="shared" si="66"/>
        <v>-5.314019052159094</v>
      </c>
      <c r="AX243" s="20">
        <f t="shared" si="82"/>
        <v>-4.4500256269368224E-2</v>
      </c>
      <c r="AY243" s="20">
        <f t="shared" si="83"/>
        <v>-0.97964460636461548</v>
      </c>
      <c r="AZ243" s="22">
        <f t="shared" si="69"/>
        <v>7.8872280156254637E-2</v>
      </c>
      <c r="BA243" s="1">
        <f>+_xlfn.XLOOKUP(A243,[1]Indice!B:B,[1]Indice!AI:AI,"NOOOOOO",-1)</f>
        <v>0.47130033566250862</v>
      </c>
    </row>
    <row r="244" spans="1:53" x14ac:dyDescent="0.25">
      <c r="A244" s="2">
        <v>45322</v>
      </c>
      <c r="B244" s="15">
        <v>5412</v>
      </c>
      <c r="C244" s="19">
        <v>10.336391437308867</v>
      </c>
      <c r="D244" s="15">
        <v>4604</v>
      </c>
      <c r="E244" s="19">
        <v>715.48</v>
      </c>
      <c r="F244" s="18">
        <v>0.19639123385699112</v>
      </c>
      <c r="G244" s="1">
        <v>-4</v>
      </c>
      <c r="H244" s="1">
        <v>0.1</v>
      </c>
      <c r="I244" s="16">
        <v>243</v>
      </c>
      <c r="J244" s="1">
        <v>669.61199999999997</v>
      </c>
      <c r="K244" s="1">
        <v>8.7071291507164297</v>
      </c>
      <c r="L244" s="1">
        <v>122.122</v>
      </c>
      <c r="M244" s="1">
        <v>26.926154965441974</v>
      </c>
      <c r="N244" s="1">
        <v>-43.915215893045875</v>
      </c>
      <c r="O244" s="1">
        <v>421912</v>
      </c>
      <c r="P244" s="1">
        <v>-6.7985013961050385</v>
      </c>
      <c r="Q244" s="1">
        <v>-30.170793495137694</v>
      </c>
      <c r="R244" s="1">
        <v>-1.7</v>
      </c>
      <c r="S244" s="1">
        <v>0.54833333333333145</v>
      </c>
      <c r="T244" s="3">
        <v>183.2</v>
      </c>
      <c r="V244" s="20">
        <f t="shared" si="71"/>
        <v>-11.736975871082921</v>
      </c>
      <c r="W244" s="20">
        <f t="shared" si="72"/>
        <v>-3.8149999999999986</v>
      </c>
      <c r="X244" s="20">
        <f t="shared" si="72"/>
        <v>-0.6149999999999981</v>
      </c>
      <c r="Y244" s="20">
        <f t="shared" si="70"/>
        <v>110.401</v>
      </c>
      <c r="Z244" s="20">
        <f t="shared" si="73"/>
        <v>9.6291324118544264</v>
      </c>
      <c r="AA244" s="19">
        <f>+AVERAGE(M242:M244)*AVERAGE($F$15:F244)</f>
        <v>6.3678603850219107</v>
      </c>
      <c r="AB244" s="19">
        <f t="shared" si="74"/>
        <v>-81.763902884993186</v>
      </c>
      <c r="AC244" s="19">
        <f t="shared" si="75"/>
        <v>0.99175655793385431</v>
      </c>
      <c r="AD244" s="21">
        <f t="shared" si="76"/>
        <v>-31.028586405835028</v>
      </c>
      <c r="AE244" s="19"/>
      <c r="AG244" s="20">
        <f>(V244- AVERAGE(V$41:V244))/_xlfn.STDEV.S(V209:V244)</f>
        <v>-0.45082884288422487</v>
      </c>
      <c r="AH244" s="20">
        <f>(W244- AVERAGE(W$41:W244))/_xlfn.STDEV.S(W209:W244)</f>
        <v>-0.4040152226993608</v>
      </c>
      <c r="AI244" s="20">
        <f>(X244- AVERAGE(X$41:X244))/_xlfn.STDEV.S(X209:X244)</f>
        <v>-5.1701408955292329E-2</v>
      </c>
      <c r="AJ244" s="20">
        <f>(Y244- AVERAGE(Y$41:Y244))/_xlfn.STDEV.S(Y209:Y244)</f>
        <v>5.5255802176678133</v>
      </c>
      <c r="AK244" s="20">
        <f>(Z244- AVERAGE(Z$41:Z244))/_xlfn.STDEV.S(Z209:Z244)</f>
        <v>1.983240245985348</v>
      </c>
      <c r="AL244" s="20">
        <f>(AA244- AVERAGE(AA$41:AA244))/_xlfn.STDEV.S(AA209:AA244)</f>
        <v>2.4868253177082909</v>
      </c>
      <c r="AM244" s="20">
        <f>(AB244- AVERAGE(AB$41:AB244))/_xlfn.STDEV.S(AB209:AB244)</f>
        <v>-3.2210098052229053</v>
      </c>
      <c r="AN244" s="20">
        <f>(AC244- AVERAGE(AC$41:AC244))/_xlfn.STDEV.S(AC209:AC244)</f>
        <v>-0.16137066634283756</v>
      </c>
      <c r="AO244" s="24">
        <f>(AD244- AVERAGE(AD$41:AD244))/_xlfn.STDEV.S(AD209:AD244)</f>
        <v>-0.91574209506343718</v>
      </c>
      <c r="AP244" s="20"/>
      <c r="AQ244" s="20">
        <f t="shared" si="77"/>
        <v>-0.45082884288422487</v>
      </c>
      <c r="AR244" s="20">
        <f t="shared" si="78"/>
        <v>-0.4040152226993608</v>
      </c>
      <c r="AS244" s="20">
        <f t="shared" si="79"/>
        <v>-5.1701408955292329E-2</v>
      </c>
      <c r="AT244" s="20">
        <f t="shared" si="80"/>
        <v>5.5255802176678133</v>
      </c>
      <c r="AU244" s="20">
        <f t="shared" si="64"/>
        <v>1.983240245985348</v>
      </c>
      <c r="AV244" s="20">
        <f t="shared" si="81"/>
        <v>2.4868253177082909</v>
      </c>
      <c r="AW244" s="20">
        <f t="shared" si="66"/>
        <v>-3.2210098052229053</v>
      </c>
      <c r="AX244" s="20">
        <f t="shared" si="82"/>
        <v>-0.16137066634283756</v>
      </c>
      <c r="AY244" s="20">
        <f t="shared" si="83"/>
        <v>-0.91574209506343718</v>
      </c>
      <c r="AZ244" s="22">
        <f t="shared" si="69"/>
        <v>0.53233086002148822</v>
      </c>
      <c r="BA244" s="1">
        <f>+_xlfn.XLOOKUP(A244,[1]Indice!B:B,[1]Indice!AI:AI,"NOOOOOO",-1)</f>
        <v>0.45458484080976724</v>
      </c>
    </row>
    <row r="245" spans="1:53" x14ac:dyDescent="0.25">
      <c r="A245" s="2">
        <v>45351</v>
      </c>
      <c r="B245" s="15">
        <v>5550</v>
      </c>
      <c r="C245" s="19">
        <v>5.4732041049030844</v>
      </c>
      <c r="D245" s="15">
        <v>4118</v>
      </c>
      <c r="E245" s="19">
        <v>715.48</v>
      </c>
      <c r="F245" s="18">
        <v>0.19551769441493821</v>
      </c>
      <c r="G245" s="1">
        <v>-2.8</v>
      </c>
      <c r="H245" s="1">
        <v>-0.1</v>
      </c>
      <c r="I245" s="16">
        <v>297.8</v>
      </c>
      <c r="J245" s="1">
        <v>670.45899999999995</v>
      </c>
      <c r="K245" s="1">
        <v>6.8901745899901279</v>
      </c>
      <c r="L245" s="1">
        <v>110.58499999999999</v>
      </c>
      <c r="M245" s="1">
        <v>17.613588020079973</v>
      </c>
      <c r="N245" s="1">
        <v>-36.035429878740686</v>
      </c>
      <c r="O245" s="1">
        <v>447163</v>
      </c>
      <c r="P245" s="1">
        <v>-6.881199149533435</v>
      </c>
      <c r="Q245" s="1">
        <v>-14.191446478367709</v>
      </c>
      <c r="R245" s="1">
        <v>-1.7</v>
      </c>
      <c r="S245" s="1">
        <v>0.62499999999999833</v>
      </c>
      <c r="T245" s="3">
        <v>146.9</v>
      </c>
      <c r="V245" s="20">
        <f t="shared" si="71"/>
        <v>0.25315759754037248</v>
      </c>
      <c r="W245" s="20">
        <f t="shared" si="72"/>
        <v>-4.4583333333333321</v>
      </c>
      <c r="X245" s="20">
        <f t="shared" si="72"/>
        <v>-0.75833333333333164</v>
      </c>
      <c r="Y245" s="20">
        <f t="shared" si="70"/>
        <v>163.96933333333334</v>
      </c>
      <c r="Z245" s="20">
        <f t="shared" si="73"/>
        <v>8.7755350501705234</v>
      </c>
      <c r="AA245" s="19">
        <f>+AVERAGE(M243:M245)*AVERAGE($F$15:F245)</f>
        <v>9.0045311671229253</v>
      </c>
      <c r="AB245" s="19">
        <f t="shared" si="74"/>
        <v>-43.407709413000966</v>
      </c>
      <c r="AC245" s="19">
        <f t="shared" si="75"/>
        <v>-3.7342653250164766</v>
      </c>
      <c r="AD245" s="21">
        <f t="shared" si="76"/>
        <v>-25.970692765900179</v>
      </c>
      <c r="AE245" s="19"/>
      <c r="AG245" s="20">
        <f>(V245- AVERAGE(V$41:V245))/_xlfn.STDEV.S(V210:V245)</f>
        <v>-5.439390279693531E-2</v>
      </c>
      <c r="AH245" s="20">
        <f>(W245- AVERAGE(W$41:W245))/_xlfn.STDEV.S(W210:W245)</f>
        <v>-0.48185785307453188</v>
      </c>
      <c r="AI245" s="20">
        <f>(X245- AVERAGE(X$41:X245))/_xlfn.STDEV.S(X210:X245)</f>
        <v>-7.7838790125531035E-2</v>
      </c>
      <c r="AJ245" s="20">
        <f>(Y245- AVERAGE(Y$41:Y245))/_xlfn.STDEV.S(Y210:Y245)</f>
        <v>5.4874478122400729</v>
      </c>
      <c r="AK245" s="20">
        <f>(Z245- AVERAGE(Z$41:Z245))/_xlfn.STDEV.S(Z210:Z245)</f>
        <v>2.1449595319453727</v>
      </c>
      <c r="AL245" s="20">
        <f>(AA245- AVERAGE(AA$41:AA245))/_xlfn.STDEV.S(AA210:AA245)</f>
        <v>2.9015178127630246</v>
      </c>
      <c r="AM245" s="20">
        <f>(AB245- AVERAGE(AB$41:AB245))/_xlfn.STDEV.S(AB210:AB245)</f>
        <v>-0.75644847370200874</v>
      </c>
      <c r="AN245" s="20">
        <f>(AC245- AVERAGE(AC$41:AC245))/_xlfn.STDEV.S(AC210:AC245)</f>
        <v>-0.66735925500714333</v>
      </c>
      <c r="AO245" s="24">
        <f>(AD245- AVERAGE(AD$41:AD245))/_xlfn.STDEV.S(AD210:AD245)</f>
        <v>-0.807208993482186</v>
      </c>
      <c r="AP245" s="20"/>
      <c r="AQ245" s="20">
        <f t="shared" si="77"/>
        <v>-5.439390279693531E-2</v>
      </c>
      <c r="AR245" s="20">
        <f t="shared" si="78"/>
        <v>-0.48185785307453188</v>
      </c>
      <c r="AS245" s="20">
        <f t="shared" si="79"/>
        <v>-7.7838790125531035E-2</v>
      </c>
      <c r="AT245" s="20">
        <f t="shared" si="80"/>
        <v>5.4874478122400729</v>
      </c>
      <c r="AU245" s="20">
        <f t="shared" si="64"/>
        <v>2.1449595319453727</v>
      </c>
      <c r="AV245" s="20">
        <f t="shared" si="81"/>
        <v>2.9015178127630246</v>
      </c>
      <c r="AW245" s="20">
        <f t="shared" si="66"/>
        <v>-0.75644847370200874</v>
      </c>
      <c r="AX245" s="20">
        <f t="shared" si="82"/>
        <v>-0.66735925500714333</v>
      </c>
      <c r="AY245" s="20">
        <f t="shared" si="83"/>
        <v>-0.807208993482186</v>
      </c>
      <c r="AZ245" s="22">
        <f t="shared" si="69"/>
        <v>0.85431309875112604</v>
      </c>
      <c r="BA245" s="1">
        <f>+_xlfn.XLOOKUP(A245,[1]Indice!B:B,[1]Indice!AI:AI,"NOOOOOO",-1)</f>
        <v>0.45709349573170099</v>
      </c>
    </row>
    <row r="246" spans="1:53" x14ac:dyDescent="0.25">
      <c r="A246" s="2">
        <v>45382</v>
      </c>
      <c r="B246" s="15">
        <v>6492</v>
      </c>
      <c r="C246" s="19">
        <v>12.493501992722233</v>
      </c>
      <c r="D246" s="15">
        <v>4332</v>
      </c>
      <c r="E246" s="19">
        <v>518.12</v>
      </c>
      <c r="F246" s="18">
        <v>0.26653670964255383</v>
      </c>
      <c r="G246" s="1">
        <v>-8.1999999999999993</v>
      </c>
      <c r="H246" s="1">
        <v>-0.7</v>
      </c>
      <c r="I246" s="16">
        <v>326.7</v>
      </c>
      <c r="J246" s="1">
        <v>677.71</v>
      </c>
      <c r="K246" s="1">
        <v>7.3810934742032597</v>
      </c>
      <c r="L246" s="1">
        <v>101.898</v>
      </c>
      <c r="M246" s="1">
        <v>8.1547524279573338</v>
      </c>
      <c r="N246" s="1">
        <v>-22.066609811931293</v>
      </c>
      <c r="O246" s="1">
        <v>451417</v>
      </c>
      <c r="P246" s="1">
        <v>-3.9440198147896011</v>
      </c>
      <c r="Q246" s="1">
        <v>-17.133617685595603</v>
      </c>
      <c r="R246" s="1">
        <v>-5.0999999999999996</v>
      </c>
      <c r="S246" s="1">
        <v>0.63833333333333286</v>
      </c>
      <c r="T246" s="3">
        <v>120</v>
      </c>
      <c r="V246" s="20">
        <f t="shared" si="71"/>
        <v>8.7960325116447287</v>
      </c>
      <c r="W246" s="20">
        <f t="shared" si="72"/>
        <v>-5.6383333333333328</v>
      </c>
      <c r="X246" s="20">
        <f t="shared" si="72"/>
        <v>-0.87166666666666615</v>
      </c>
      <c r="Y246" s="20">
        <f t="shared" si="70"/>
        <v>208.81433333333337</v>
      </c>
      <c r="Z246" s="20">
        <f t="shared" si="73"/>
        <v>7.6594657383032727</v>
      </c>
      <c r="AA246" s="19">
        <f>+AVERAGE(M244:M246)*AVERAGE($F$15:F246)</f>
        <v>4.6684408386736829</v>
      </c>
      <c r="AB246" s="19">
        <f t="shared" si="74"/>
        <v>-34.005751861239283</v>
      </c>
      <c r="AC246" s="19">
        <f t="shared" si="75"/>
        <v>-5.8745734534760246</v>
      </c>
      <c r="AD246" s="21">
        <f t="shared" si="76"/>
        <v>-20.498619219700334</v>
      </c>
      <c r="AE246" s="19"/>
      <c r="AG246" s="20">
        <f>(V246- AVERAGE(V$41:V246))/_xlfn.STDEV.S(V211:V246)</f>
        <v>0.2273621937558078</v>
      </c>
      <c r="AH246" s="20">
        <f>(W246- AVERAGE(W$41:W246))/_xlfn.STDEV.S(W211:W246)</f>
        <v>-0.62243723599257172</v>
      </c>
      <c r="AI246" s="20">
        <f>(X246- AVERAGE(X$41:X246))/_xlfn.STDEV.S(X211:X246)</f>
        <v>-9.7459486121131506E-2</v>
      </c>
      <c r="AJ246" s="20">
        <f>(Y246- AVERAGE(Y$41:Y246))/_xlfn.STDEV.S(Y211:Y246)</f>
        <v>4.9827648095665253</v>
      </c>
      <c r="AK246" s="20">
        <f>(Z246- AVERAGE(Z$41:Z246))/_xlfn.STDEV.S(Z211:Z246)</f>
        <v>2.3562910112720852</v>
      </c>
      <c r="AL246" s="20">
        <f>(AA246- AVERAGE(AA$41:AA246))/_xlfn.STDEV.S(AA211:AA246)</f>
        <v>1.5349078100583367</v>
      </c>
      <c r="AM246" s="20">
        <f>(AB246- AVERAGE(AB$41:AB246))/_xlfn.STDEV.S(AB211:AB246)</f>
        <v>-0.1962378031647809</v>
      </c>
      <c r="AN246" s="20">
        <f>(AC246- AVERAGE(AC$41:AC246))/_xlfn.STDEV.S(AC211:AC246)</f>
        <v>-0.91143724946666738</v>
      </c>
      <c r="AO246" s="24">
        <f>(AD246- AVERAGE(AD$41:AD246))/_xlfn.STDEV.S(AD211:AD246)</f>
        <v>-0.6892797030534521</v>
      </c>
      <c r="AP246" s="20"/>
      <c r="AQ246" s="20">
        <f t="shared" si="77"/>
        <v>0.2273621937558078</v>
      </c>
      <c r="AR246" s="20">
        <f t="shared" si="78"/>
        <v>-0.62243723599257172</v>
      </c>
      <c r="AS246" s="20">
        <f t="shared" si="79"/>
        <v>-9.7459486121131506E-2</v>
      </c>
      <c r="AT246" s="20">
        <f t="shared" si="80"/>
        <v>4.9827648095665253</v>
      </c>
      <c r="AU246" s="20">
        <f t="shared" si="64"/>
        <v>2.3562910112720852</v>
      </c>
      <c r="AV246" s="20">
        <f t="shared" si="81"/>
        <v>1.5349078100583367</v>
      </c>
      <c r="AW246" s="20">
        <f t="shared" si="66"/>
        <v>-0.1962378031647809</v>
      </c>
      <c r="AX246" s="20">
        <f t="shared" si="82"/>
        <v>-0.91143724946666738</v>
      </c>
      <c r="AY246" s="20">
        <f t="shared" si="83"/>
        <v>-0.6892797030534521</v>
      </c>
      <c r="AZ246" s="22">
        <f t="shared" si="69"/>
        <v>0.73160826076157237</v>
      </c>
      <c r="BA246" s="1">
        <f>+_xlfn.XLOOKUP(A246,[1]Indice!B:B,[1]Indice!AI:AI,"NOOOOOO",-1)</f>
        <v>0.4325647841947417</v>
      </c>
    </row>
    <row r="247" spans="1:53" x14ac:dyDescent="0.25">
      <c r="A247" s="2">
        <v>45412</v>
      </c>
      <c r="B247" s="15">
        <v>6511</v>
      </c>
      <c r="C247" s="19">
        <v>11.89207767657674</v>
      </c>
      <c r="D247" s="15">
        <v>4705</v>
      </c>
      <c r="E247" s="19">
        <v>518.12</v>
      </c>
      <c r="F247" s="18">
        <v>0.26516058056048791</v>
      </c>
      <c r="G247" s="1">
        <v>-1.9</v>
      </c>
      <c r="H247" s="1">
        <v>1.1000000000000001</v>
      </c>
      <c r="I247" s="16">
        <v>325.89999999999998</v>
      </c>
      <c r="J247" s="1">
        <v>680.49</v>
      </c>
      <c r="K247" s="1">
        <v>8.3858944954128489</v>
      </c>
      <c r="L247" s="1">
        <v>93.546000000000006</v>
      </c>
      <c r="M247" s="1">
        <v>-0.39290848107330634</v>
      </c>
      <c r="N247" s="1">
        <v>-18.772847934804048</v>
      </c>
      <c r="O247" s="1">
        <v>460890</v>
      </c>
      <c r="P247" s="1">
        <v>0.27347905829215868</v>
      </c>
      <c r="Q247" s="1">
        <v>5.8504796075272703</v>
      </c>
      <c r="R247" s="1">
        <v>-5.0999999999999996</v>
      </c>
      <c r="S247" s="1">
        <v>0.65166666666666717</v>
      </c>
      <c r="T247" s="3">
        <v>88</v>
      </c>
      <c r="V247" s="20">
        <f t="shared" si="71"/>
        <v>9.3012612580673526</v>
      </c>
      <c r="W247" s="20">
        <f t="shared" si="72"/>
        <v>-4.9516666666666671</v>
      </c>
      <c r="X247" s="20">
        <f t="shared" si="72"/>
        <v>-0.55166666666666708</v>
      </c>
      <c r="Y247" s="20">
        <f t="shared" si="70"/>
        <v>235.50433333333336</v>
      </c>
      <c r="Z247" s="20">
        <f t="shared" si="73"/>
        <v>7.5523875198687449</v>
      </c>
      <c r="AA247" s="19">
        <f>+AVERAGE(M245:M247)*AVERAGE($F$15:F247)</f>
        <v>2.2481003097975947</v>
      </c>
      <c r="AB247" s="19">
        <f t="shared" si="74"/>
        <v>-25.62496254182534</v>
      </c>
      <c r="AC247" s="19">
        <f t="shared" si="75"/>
        <v>-3.5172466353436254</v>
      </c>
      <c r="AD247" s="21">
        <f t="shared" si="76"/>
        <v>-8.4915281854786802</v>
      </c>
      <c r="AE247" s="19"/>
      <c r="AG247" s="20">
        <f>(V247- AVERAGE(V$41:V247))/_xlfn.STDEV.S(V212:V247)</f>
        <v>0.24422209613406065</v>
      </c>
      <c r="AH247" s="20">
        <f>(W247- AVERAGE(W$41:W247))/_xlfn.STDEV.S(W212:W247)</f>
        <v>-0.5353810794748799</v>
      </c>
      <c r="AI247" s="20">
        <f>(X247- AVERAGE(X$41:X247))/_xlfn.STDEV.S(X212:X247)</f>
        <v>-4.6365504809152809E-2</v>
      </c>
      <c r="AJ247" s="20">
        <f>(Y247- AVERAGE(Y$41:Y247))/_xlfn.STDEV.S(Y212:Y247)</f>
        <v>4.4014527110308439</v>
      </c>
      <c r="AK247" s="20">
        <f>(Z247- AVERAGE(Z$41:Z247))/_xlfn.STDEV.S(Z212:Z247)</f>
        <v>2.7243669429319035</v>
      </c>
      <c r="AL247" s="20">
        <f>(AA247- AVERAGE(AA$41:AA247))/_xlfn.STDEV.S(AA212:AA247)</f>
        <v>0.82515357234567721</v>
      </c>
      <c r="AM247" s="20">
        <f>(AB247- AVERAGE(AB$41:AB247))/_xlfn.STDEV.S(AB212:AB247)</f>
        <v>0.21187000618204277</v>
      </c>
      <c r="AN247" s="20">
        <f>(AC247- AVERAGE(AC$41:AC247))/_xlfn.STDEV.S(AC212:AC247)</f>
        <v>-0.655607881165302</v>
      </c>
      <c r="AO247" s="24">
        <f>(AD247- AVERAGE(AD$41:AD247))/_xlfn.STDEV.S(AD212:AD247)</f>
        <v>-0.46961775675441964</v>
      </c>
      <c r="AP247" s="20"/>
      <c r="AQ247" s="20">
        <f t="shared" si="77"/>
        <v>0.24422209613406065</v>
      </c>
      <c r="AR247" s="20">
        <f t="shared" si="78"/>
        <v>-0.5353810794748799</v>
      </c>
      <c r="AS247" s="20">
        <f t="shared" si="79"/>
        <v>-4.6365504809152809E-2</v>
      </c>
      <c r="AT247" s="20">
        <f t="shared" si="80"/>
        <v>4.4014527110308439</v>
      </c>
      <c r="AU247" s="20">
        <f t="shared" si="64"/>
        <v>2.7243669429319035</v>
      </c>
      <c r="AV247" s="20">
        <f t="shared" si="81"/>
        <v>0.82515357234567721</v>
      </c>
      <c r="AW247" s="20">
        <f t="shared" si="66"/>
        <v>0.21187000618204277</v>
      </c>
      <c r="AX247" s="20">
        <f t="shared" si="82"/>
        <v>-0.655607881165302</v>
      </c>
      <c r="AY247" s="20">
        <f t="shared" si="83"/>
        <v>-0.46961775675441964</v>
      </c>
      <c r="AZ247" s="22">
        <f t="shared" si="69"/>
        <v>0.74445478960230804</v>
      </c>
      <c r="BA247" s="1">
        <f>+_xlfn.XLOOKUP(A247,[1]Indice!B:B,[1]Indice!AI:AI,"NOOOOOO",-1)</f>
        <v>0.43221858354927745</v>
      </c>
    </row>
    <row r="248" spans="1:53" x14ac:dyDescent="0.25">
      <c r="A248" s="2">
        <v>45443</v>
      </c>
      <c r="B248" s="15">
        <v>7667</v>
      </c>
      <c r="C248" s="19">
        <v>22.085987261146499</v>
      </c>
      <c r="D248" s="15">
        <v>5012</v>
      </c>
      <c r="E248" s="19">
        <v>518.12</v>
      </c>
      <c r="F248" s="18">
        <v>0.26321701536323633</v>
      </c>
      <c r="G248" s="1">
        <v>1.9</v>
      </c>
      <c r="H248" s="1">
        <v>2.8</v>
      </c>
      <c r="I248" s="16">
        <v>309.5</v>
      </c>
      <c r="J248" s="1">
        <v>683.5</v>
      </c>
      <c r="K248" s="1">
        <v>8.8394860419529486</v>
      </c>
      <c r="L248" s="1">
        <v>92.168000000000006</v>
      </c>
      <c r="M248" s="1">
        <v>0.47858365402435599</v>
      </c>
      <c r="N248" s="1">
        <v>-27.690810671072196</v>
      </c>
      <c r="O248" s="1">
        <v>455922</v>
      </c>
      <c r="P248" s="1">
        <v>-0.81256241066708368</v>
      </c>
      <c r="Q248" s="1">
        <v>-24.692208890698907</v>
      </c>
      <c r="R248" s="1">
        <v>-5.0999999999999996</v>
      </c>
      <c r="S248" s="1">
        <v>0.66500000000000059</v>
      </c>
      <c r="T248" s="3">
        <v>68.88</v>
      </c>
      <c r="V248" s="20">
        <f t="shared" si="71"/>
        <v>14.825522310148491</v>
      </c>
      <c r="W248" s="20">
        <f t="shared" si="72"/>
        <v>-3.3983333333333334</v>
      </c>
      <c r="X248" s="20">
        <f t="shared" si="72"/>
        <v>0.40166666666666606</v>
      </c>
      <c r="Y248" s="20">
        <f t="shared" si="70"/>
        <v>238.773</v>
      </c>
      <c r="Z248" s="20">
        <f t="shared" si="73"/>
        <v>8.2021580038563524</v>
      </c>
      <c r="AA248" s="19">
        <f>+AVERAGE(M246:M248)*AVERAGE($F$15:F248)</f>
        <v>0.730018870731728</v>
      </c>
      <c r="AB248" s="19">
        <f t="shared" si="74"/>
        <v>-22.843422805935845</v>
      </c>
      <c r="AC248" s="19">
        <f t="shared" si="75"/>
        <v>-1.4943677223881753</v>
      </c>
      <c r="AD248" s="21">
        <f t="shared" si="76"/>
        <v>-11.991782322922413</v>
      </c>
      <c r="AE248" s="19"/>
      <c r="AG248" s="20">
        <f>(V248- AVERAGE(V$41:V248))/_xlfn.STDEV.S(V213:V248)</f>
        <v>0.43113196879086962</v>
      </c>
      <c r="AH248" s="20">
        <f>(W248- AVERAGE(W$41:W248))/_xlfn.STDEV.S(W213:W248)</f>
        <v>-0.35076055101887171</v>
      </c>
      <c r="AI248" s="20">
        <f>(X248- AVERAGE(X$41:X248))/_xlfn.STDEV.S(X213:X248)</f>
        <v>0.10159028393027912</v>
      </c>
      <c r="AJ248" s="20">
        <f>(Y248- AVERAGE(Y$41:Y248))/_xlfn.STDEV.S(Y213:Y248)</f>
        <v>3.788704652541381</v>
      </c>
      <c r="AK248" s="20">
        <f>(Z248- AVERAGE(Z$41:Z248))/_xlfn.STDEV.S(Z213:Z248)</f>
        <v>3.0514886122566578</v>
      </c>
      <c r="AL248" s="20">
        <f>(AA248- AVERAGE(AA$41:AA248))/_xlfn.STDEV.S(AA213:AA248)</f>
        <v>0.38911168371028232</v>
      </c>
      <c r="AM248" s="20">
        <f>(AB248- AVERAGE(AB$41:AB248))/_xlfn.STDEV.S(AB213:AB248)</f>
        <v>0.3083624024439624</v>
      </c>
      <c r="AN248" s="20">
        <f>(AC248- AVERAGE(AC$41:AC248))/_xlfn.STDEV.S(AC213:AC248)</f>
        <v>-0.43097143964637796</v>
      </c>
      <c r="AO248" s="24">
        <f>(AD248- AVERAGE(AD$41:AD248))/_xlfn.STDEV.S(AD213:AD248)</f>
        <v>-0.52485447395392448</v>
      </c>
      <c r="AP248" s="20"/>
      <c r="AQ248" s="20">
        <f t="shared" si="77"/>
        <v>0.43113196879086962</v>
      </c>
      <c r="AR248" s="20">
        <f t="shared" si="78"/>
        <v>-0.35076055101887171</v>
      </c>
      <c r="AS248" s="20">
        <f t="shared" si="79"/>
        <v>0.10159028393027912</v>
      </c>
      <c r="AT248" s="20">
        <f t="shared" si="80"/>
        <v>3.788704652541381</v>
      </c>
      <c r="AU248" s="20">
        <f t="shared" si="64"/>
        <v>3.0514886122566578</v>
      </c>
      <c r="AV248" s="20">
        <f t="shared" si="81"/>
        <v>0.38911168371028232</v>
      </c>
      <c r="AW248" s="20">
        <f t="shared" si="66"/>
        <v>0.3083624024439624</v>
      </c>
      <c r="AX248" s="20">
        <f t="shared" si="82"/>
        <v>-0.43097143964637796</v>
      </c>
      <c r="AY248" s="20">
        <f t="shared" si="83"/>
        <v>-0.52485447395392448</v>
      </c>
      <c r="AZ248" s="22">
        <f t="shared" si="69"/>
        <v>0.75153368211713967</v>
      </c>
      <c r="BA248" s="1">
        <f>+_xlfn.XLOOKUP(A248,[1]Indice!B:B,[1]Indice!AI:AI,"NOOOOOO",-1)</f>
        <v>0.43246839818902894</v>
      </c>
    </row>
    <row r="249" spans="1:53" x14ac:dyDescent="0.25">
      <c r="A249" s="2">
        <v>45473</v>
      </c>
      <c r="B249" s="15">
        <v>6567</v>
      </c>
      <c r="C249" s="19">
        <v>20.850202429149789</v>
      </c>
      <c r="D249" s="15">
        <v>4687</v>
      </c>
      <c r="E249" s="19">
        <v>631.85</v>
      </c>
      <c r="F249" s="18">
        <v>0.2135728416554562</v>
      </c>
      <c r="G249" s="1">
        <v>-3.4</v>
      </c>
      <c r="H249" s="1">
        <v>0.9</v>
      </c>
      <c r="I249" s="16">
        <v>299.7</v>
      </c>
      <c r="J249" s="1">
        <v>660.94500000000005</v>
      </c>
      <c r="K249" s="1">
        <v>6.5571127551900643</v>
      </c>
      <c r="L249" s="1">
        <v>88.004999999999995</v>
      </c>
      <c r="M249" s="1">
        <v>-7.1236346366946313</v>
      </c>
      <c r="N249" s="1">
        <v>-42.795345213442594</v>
      </c>
      <c r="O249" s="1">
        <v>448539</v>
      </c>
      <c r="P249" s="1">
        <v>-0.8056490528150162</v>
      </c>
      <c r="Q249" s="1">
        <v>-30.023844408055378</v>
      </c>
      <c r="R249" s="1">
        <v>-1.1000000000000001</v>
      </c>
      <c r="S249" s="1">
        <v>0.63666666666666727</v>
      </c>
      <c r="T249" s="3">
        <v>63.25</v>
      </c>
      <c r="V249" s="20">
        <f t="shared" si="71"/>
        <v>17.639422455624342</v>
      </c>
      <c r="W249" s="20">
        <f t="shared" si="72"/>
        <v>-1.7700000000000005</v>
      </c>
      <c r="X249" s="20">
        <f t="shared" si="72"/>
        <v>0.9633333333333326</v>
      </c>
      <c r="Y249" s="20">
        <f t="shared" si="70"/>
        <v>229.21916666666664</v>
      </c>
      <c r="Z249" s="20">
        <f t="shared" si="73"/>
        <v>7.9274977641852873</v>
      </c>
      <c r="AA249" s="19">
        <f>+AVERAGE(M247:M249)*AVERAGE($F$15:F249)</f>
        <v>-0.62297122963509943</v>
      </c>
      <c r="AB249" s="19">
        <f t="shared" si="74"/>
        <v>-29.753001273106282</v>
      </c>
      <c r="AC249" s="19">
        <f t="shared" si="75"/>
        <v>-0.44824413506331373</v>
      </c>
      <c r="AD249" s="21">
        <f t="shared" si="76"/>
        <v>-16.288524563742339</v>
      </c>
      <c r="AE249" s="19"/>
      <c r="AG249" s="20">
        <f>(V249- AVERAGE(V$41:V249))/_xlfn.STDEV.S(V214:V249)</f>
        <v>0.53238948738755776</v>
      </c>
      <c r="AH249" s="20">
        <f>(W249- AVERAGE(W$41:W249))/_xlfn.STDEV.S(W214:W249)</f>
        <v>-0.12350072315304479</v>
      </c>
      <c r="AI249" s="20">
        <f>(X249- AVERAGE(X$41:X249))/_xlfn.STDEV.S(X214:X249)</f>
        <v>0.19281477211953216</v>
      </c>
      <c r="AJ249" s="20">
        <f>(Y249- AVERAGE(Y$41:Y249))/_xlfn.STDEV.S(Y214:Y249)</f>
        <v>3.258107285453387</v>
      </c>
      <c r="AK249" s="20">
        <f>(Z249- AVERAGE(Z$41:Z249))/_xlfn.STDEV.S(Z214:Z249)</f>
        <v>2.8888945514507958</v>
      </c>
      <c r="AL249" s="20">
        <f>(AA249- AVERAGE(AA$41:AA249))/_xlfn.STDEV.S(AA214:AA249)</f>
        <v>1.1875222959567024E-3</v>
      </c>
      <c r="AM249" s="20">
        <f>(AB249- AVERAGE(AB$41:AB249))/_xlfn.STDEV.S(AB214:AB249)</f>
        <v>1.5709948486356651E-2</v>
      </c>
      <c r="AN249" s="20">
        <f>(AC249- AVERAGE(AC$41:AC249))/_xlfn.STDEV.S(AC214:AC249)</f>
        <v>-0.31724918566480703</v>
      </c>
      <c r="AO249" s="24">
        <f>(AD249- AVERAGE(AD$41:AD249))/_xlfn.STDEV.S(AD214:AD249)</f>
        <v>-0.59032605720307141</v>
      </c>
      <c r="AP249" s="20"/>
      <c r="AQ249" s="20">
        <f t="shared" si="77"/>
        <v>0.53238948738755776</v>
      </c>
      <c r="AR249" s="20">
        <f t="shared" si="78"/>
        <v>-0.12350072315304479</v>
      </c>
      <c r="AS249" s="20">
        <f t="shared" si="79"/>
        <v>0.19281477211953216</v>
      </c>
      <c r="AT249" s="20">
        <f t="shared" si="80"/>
        <v>3.258107285453387</v>
      </c>
      <c r="AU249" s="20">
        <f t="shared" si="64"/>
        <v>2.8888945514507958</v>
      </c>
      <c r="AV249" s="20">
        <f t="shared" si="81"/>
        <v>1.1875222959567024E-3</v>
      </c>
      <c r="AW249" s="20">
        <f t="shared" si="66"/>
        <v>1.5709948486356651E-2</v>
      </c>
      <c r="AX249" s="20">
        <f t="shared" si="82"/>
        <v>-0.31724918566480703</v>
      </c>
      <c r="AY249" s="20">
        <f t="shared" si="83"/>
        <v>-0.59032605720307141</v>
      </c>
      <c r="AZ249" s="22">
        <f t="shared" si="69"/>
        <v>0.65089195568585134</v>
      </c>
      <c r="BA249" s="1">
        <f>+_xlfn.XLOOKUP(A249,[1]Indice!B:B,[1]Indice!AI:AI,"NOOOOOO",-1)</f>
        <v>0.4312741514504112</v>
      </c>
    </row>
    <row r="250" spans="1:53" x14ac:dyDescent="0.25">
      <c r="A250" s="2">
        <v>45504</v>
      </c>
      <c r="B250" s="15">
        <v>7186</v>
      </c>
      <c r="C250" s="19">
        <v>18.074268813670713</v>
      </c>
      <c r="D250" s="15">
        <v>5727</v>
      </c>
      <c r="E250" s="19">
        <v>631.85</v>
      </c>
      <c r="F250" s="18">
        <v>0.2136883754055551</v>
      </c>
      <c r="G250" s="1">
        <v>-0.4</v>
      </c>
      <c r="H250" s="1">
        <v>1.3</v>
      </c>
      <c r="I250" s="16">
        <v>289.5</v>
      </c>
      <c r="J250" s="1">
        <v>676.19899999999996</v>
      </c>
      <c r="K250" s="1">
        <v>9.6186361683674662</v>
      </c>
      <c r="L250" s="1">
        <v>87.05</v>
      </c>
      <c r="M250" s="1">
        <v>-10.202186919744172</v>
      </c>
      <c r="N250" s="1">
        <v>-45.438803464683716</v>
      </c>
      <c r="O250" s="1">
        <v>433049</v>
      </c>
      <c r="P250" s="1">
        <v>-1.5285227993660389</v>
      </c>
      <c r="Q250" s="1">
        <v>-40.567290283645129</v>
      </c>
      <c r="R250" s="1">
        <v>-1.1000000000000001</v>
      </c>
      <c r="S250" s="1">
        <v>0.60833333333333384</v>
      </c>
      <c r="T250" s="3">
        <v>53.7</v>
      </c>
      <c r="V250" s="20">
        <f t="shared" si="71"/>
        <v>19.728486167989001</v>
      </c>
      <c r="W250" s="20">
        <f t="shared" si="72"/>
        <v>-1.2416666666666671</v>
      </c>
      <c r="X250" s="20">
        <f t="shared" si="72"/>
        <v>1.0583333333333329</v>
      </c>
      <c r="Y250" s="20">
        <f t="shared" si="70"/>
        <v>216.69416666666666</v>
      </c>
      <c r="Z250" s="20">
        <f t="shared" si="73"/>
        <v>8.3384116551701606</v>
      </c>
      <c r="AA250" s="19">
        <f>+AVERAGE(M248:M250)*AVERAGE($F$15:F250)</f>
        <v>-1.4900141990449796</v>
      </c>
      <c r="AB250" s="19">
        <f t="shared" si="74"/>
        <v>-38.641653116399503</v>
      </c>
      <c r="AC250" s="19">
        <f t="shared" si="75"/>
        <v>-1.0489114209493795</v>
      </c>
      <c r="AD250" s="21">
        <f t="shared" si="76"/>
        <v>-31.761114527466475</v>
      </c>
      <c r="AE250" s="19"/>
      <c r="AG250" s="20">
        <f>(V250- AVERAGE(V$41:V250))/_xlfn.STDEV.S(V215:V250)</f>
        <v>0.61286723149966704</v>
      </c>
      <c r="AH250" s="20">
        <f>(W250- AVERAGE(W$41:W250))/_xlfn.STDEV.S(W215:W250)</f>
        <v>-3.9275654004240143E-2</v>
      </c>
      <c r="AI250" s="20">
        <f>(X250- AVERAGE(X$41:X250))/_xlfn.STDEV.S(X215:X250)</f>
        <v>0.20968515452334804</v>
      </c>
      <c r="AJ250" s="20">
        <f>(Y250- AVERAGE(Y$41:Y250))/_xlfn.STDEV.S(Y215:Y250)</f>
        <v>2.8518450032768921</v>
      </c>
      <c r="AK250" s="20">
        <f>(Z250- AVERAGE(Z$41:Z250))/_xlfn.STDEV.S(Z215:Z250)</f>
        <v>2.9984161764800463</v>
      </c>
      <c r="AL250" s="20">
        <f>(AA250- AVERAGE(AA$41:AA250))/_xlfn.STDEV.S(AA215:AA250)</f>
        <v>-0.2472846341998938</v>
      </c>
      <c r="AM250" s="20">
        <f>(AB250- AVERAGE(AB$41:AB250))/_xlfn.STDEV.S(AB215:AB250)</f>
        <v>-0.32066456854667025</v>
      </c>
      <c r="AN250" s="20">
        <f>(AC250- AVERAGE(AC$41:AC250))/_xlfn.STDEV.S(AC215:AC250)</f>
        <v>-0.38881344787498556</v>
      </c>
      <c r="AO250" s="24">
        <f>(AD250- AVERAGE(AD$41:AD250))/_xlfn.STDEV.S(AD215:AD250)</f>
        <v>-0.84734892328485822</v>
      </c>
      <c r="AP250" s="20"/>
      <c r="AQ250" s="20">
        <f t="shared" si="77"/>
        <v>0.61286723149966704</v>
      </c>
      <c r="AR250" s="20">
        <f t="shared" si="78"/>
        <v>-3.9275654004240143E-2</v>
      </c>
      <c r="AS250" s="20">
        <f t="shared" si="79"/>
        <v>0.20968515452334804</v>
      </c>
      <c r="AT250" s="20">
        <f t="shared" si="80"/>
        <v>2.8518450032768921</v>
      </c>
      <c r="AU250" s="20">
        <f t="shared" si="64"/>
        <v>2.9984161764800463</v>
      </c>
      <c r="AV250" s="20">
        <f t="shared" si="81"/>
        <v>-0.2472846341998938</v>
      </c>
      <c r="AW250" s="20">
        <f t="shared" si="66"/>
        <v>-0.32066456854667025</v>
      </c>
      <c r="AX250" s="20">
        <f t="shared" si="82"/>
        <v>-0.38881344787498556</v>
      </c>
      <c r="AY250" s="20">
        <f t="shared" si="83"/>
        <v>-0.84734892328485822</v>
      </c>
      <c r="AZ250" s="22">
        <f t="shared" si="69"/>
        <v>0.5366029264299228</v>
      </c>
      <c r="BA250" s="1">
        <f>+_xlfn.XLOOKUP(A250,[1]Indice!B:B,[1]Indice!AI:AI,"NOOOOOO",-1)</f>
        <v>0.43692536013878391</v>
      </c>
    </row>
    <row r="251" spans="1:53" x14ac:dyDescent="0.25">
      <c r="A251" s="2">
        <v>45535</v>
      </c>
      <c r="B251" s="15">
        <v>6758</v>
      </c>
      <c r="C251" s="19">
        <v>13.866891322662166</v>
      </c>
      <c r="D251" s="15">
        <v>4883</v>
      </c>
      <c r="E251" s="19">
        <v>631.85</v>
      </c>
      <c r="F251" s="18">
        <v>0.21180026905119886</v>
      </c>
      <c r="G251" s="1">
        <v>-3.1</v>
      </c>
      <c r="H251" s="1">
        <v>-1.8</v>
      </c>
      <c r="I251" s="16">
        <v>270.60000000000002</v>
      </c>
      <c r="J251" s="1">
        <v>711.346</v>
      </c>
      <c r="K251" s="1">
        <v>14.353277818859933</v>
      </c>
      <c r="L251" s="1">
        <v>86.409000000000006</v>
      </c>
      <c r="M251" s="1">
        <v>-19.920484875444831</v>
      </c>
      <c r="N251" s="1">
        <v>-36.882968123311997</v>
      </c>
      <c r="O251" s="1">
        <v>418310</v>
      </c>
      <c r="P251" s="1">
        <v>-1.0956533252629241</v>
      </c>
      <c r="Q251" s="1">
        <v>-46.330722531534072</v>
      </c>
      <c r="R251" s="1">
        <v>-1.1000000000000001</v>
      </c>
      <c r="S251" s="1">
        <v>0.58000000000000052</v>
      </c>
      <c r="T251" s="3">
        <v>44.7</v>
      </c>
      <c r="V251" s="20">
        <f t="shared" si="71"/>
        <v>17.01712085516089</v>
      </c>
      <c r="W251" s="20">
        <f t="shared" si="72"/>
        <v>-2.8800000000000008</v>
      </c>
      <c r="X251" s="20">
        <f t="shared" si="72"/>
        <v>-0.4466666666666671</v>
      </c>
      <c r="Y251" s="20">
        <f t="shared" si="70"/>
        <v>203.78750000000002</v>
      </c>
      <c r="Z251" s="20">
        <f t="shared" si="73"/>
        <v>10.176342247472489</v>
      </c>
      <c r="AA251" s="19">
        <f>+AVERAGE(M249:M251)*AVERAGE($F$15:F251)</f>
        <v>-3.2913575870171625</v>
      </c>
      <c r="AB251" s="19">
        <f t="shared" si="74"/>
        <v>-41.705705600479433</v>
      </c>
      <c r="AC251" s="19">
        <f t="shared" si="75"/>
        <v>-1.143275059147993</v>
      </c>
      <c r="AD251" s="21">
        <f t="shared" si="76"/>
        <v>-38.973952407744861</v>
      </c>
      <c r="AE251" s="19"/>
      <c r="AG251" s="20">
        <f>(V251- AVERAGE(V$41:V251))/_xlfn.STDEV.S(V216:V251)</f>
        <v>0.534654181886836</v>
      </c>
      <c r="AH251" s="20">
        <f>(W251- AVERAGE(W$41:W251))/_xlfn.STDEV.S(W216:W251)</f>
        <v>-0.33502887904507617</v>
      </c>
      <c r="AI251" s="20">
        <f>(X251- AVERAGE(X$41:X251))/_xlfn.STDEV.S(X216:X251)</f>
        <v>-3.4400625137904581E-2</v>
      </c>
      <c r="AJ251" s="20">
        <f>(Y251- AVERAGE(Y$41:Y251))/_xlfn.STDEV.S(Y216:Y251)</f>
        <v>2.5372074637136546</v>
      </c>
      <c r="AK251" s="20">
        <f>(Z251- AVERAGE(Z$41:Z251))/_xlfn.STDEV.S(Z216:Z251)</f>
        <v>3.7143996891276911</v>
      </c>
      <c r="AL251" s="20">
        <f>(AA251- AVERAGE(AA$41:AA251))/_xlfn.STDEV.S(AA216:AA251)</f>
        <v>-0.75875584515749028</v>
      </c>
      <c r="AM251" s="20">
        <f>(AB251- AVERAGE(AB$41:AB251))/_xlfn.STDEV.S(AB216:AB251)</f>
        <v>-0.42049556498838725</v>
      </c>
      <c r="AN251" s="20">
        <f>(AC251- AVERAGE(AC$41:AC251))/_xlfn.STDEV.S(AC216:AC251)</f>
        <v>-0.40851586271844442</v>
      </c>
      <c r="AO251" s="24">
        <f>(AD251- AVERAGE(AD$41:AD251))/_xlfn.STDEV.S(AD216:AD251)</f>
        <v>-0.9653183277826034</v>
      </c>
      <c r="AP251" s="20"/>
      <c r="AQ251" s="20">
        <f t="shared" si="77"/>
        <v>0.534654181886836</v>
      </c>
      <c r="AR251" s="20">
        <f t="shared" si="78"/>
        <v>-0.33502887904507617</v>
      </c>
      <c r="AS251" s="20">
        <f t="shared" si="79"/>
        <v>-3.4400625137904581E-2</v>
      </c>
      <c r="AT251" s="20">
        <f t="shared" si="80"/>
        <v>2.5372074637136546</v>
      </c>
      <c r="AU251" s="20">
        <f t="shared" si="64"/>
        <v>3.7143996891276911</v>
      </c>
      <c r="AV251" s="20">
        <f t="shared" si="81"/>
        <v>-0.75875584515749028</v>
      </c>
      <c r="AW251" s="20">
        <f t="shared" si="66"/>
        <v>-0.42049556498838725</v>
      </c>
      <c r="AX251" s="20">
        <f t="shared" si="82"/>
        <v>-0.40851586271844442</v>
      </c>
      <c r="AY251" s="20">
        <f t="shared" si="83"/>
        <v>-0.9653183277826034</v>
      </c>
      <c r="AZ251" s="22">
        <f t="shared" si="69"/>
        <v>0.42930513665536385</v>
      </c>
      <c r="BA251" s="1">
        <f>+_xlfn.XLOOKUP(A251,[1]Indice!B:B,[1]Indice!AI:AI,"NOOOOOO",-1)</f>
        <v>0.44936910626273591</v>
      </c>
    </row>
    <row r="252" spans="1:53" x14ac:dyDescent="0.25">
      <c r="A252" s="2">
        <v>45565</v>
      </c>
      <c r="B252" s="15">
        <v>6953</v>
      </c>
      <c r="C252" s="19">
        <v>20.127850725639252</v>
      </c>
      <c r="D252" s="15">
        <v>5971</v>
      </c>
      <c r="E252" s="19">
        <v>677.98</v>
      </c>
      <c r="F252" s="18">
        <v>0.1982978848933597</v>
      </c>
      <c r="G252" s="1">
        <v>-2.4</v>
      </c>
      <c r="H252" s="1">
        <v>-0.2</v>
      </c>
      <c r="I252" s="16">
        <v>245.8</v>
      </c>
      <c r="J252" s="1">
        <v>733.20500000000004</v>
      </c>
      <c r="K252" s="1">
        <v>15.131563451473774</v>
      </c>
      <c r="L252" s="1">
        <v>85.893000000000001</v>
      </c>
      <c r="M252" s="1">
        <v>-9.0068329890354288</v>
      </c>
      <c r="N252" s="1">
        <v>-28.700575585491261</v>
      </c>
      <c r="O252" s="1">
        <v>416931</v>
      </c>
      <c r="P252" s="1">
        <v>0.69264822019836636</v>
      </c>
      <c r="Q252" s="1">
        <v>-27.771812080536918</v>
      </c>
      <c r="R252" s="1">
        <v>-2</v>
      </c>
      <c r="S252" s="1">
        <v>0.57666666666666722</v>
      </c>
      <c r="T252" s="3">
        <v>40.9</v>
      </c>
      <c r="V252" s="20">
        <f t="shared" si="71"/>
        <v>16.779670287324041</v>
      </c>
      <c r="W252" s="20">
        <f t="shared" si="72"/>
        <v>-2.5433333333333339</v>
      </c>
      <c r="X252" s="20">
        <f t="shared" si="72"/>
        <v>-0.8100000000000005</v>
      </c>
      <c r="Y252" s="20">
        <f t="shared" si="70"/>
        <v>185.93916666666672</v>
      </c>
      <c r="Z252" s="20">
        <f t="shared" si="73"/>
        <v>13.034492479567058</v>
      </c>
      <c r="AA252" s="19">
        <f>+AVERAGE(M250:M252)*AVERAGE($F$15:F252)</f>
        <v>-3.4541097598306263</v>
      </c>
      <c r="AB252" s="19">
        <f t="shared" si="74"/>
        <v>-37.007449057828993</v>
      </c>
      <c r="AC252" s="19">
        <f t="shared" si="75"/>
        <v>-0.64384263481019888</v>
      </c>
      <c r="AD252" s="21">
        <f t="shared" si="76"/>
        <v>-38.223274965238708</v>
      </c>
      <c r="AE252" s="19"/>
      <c r="AG252" s="20">
        <f>(V252- AVERAGE(V$41:V252))/_xlfn.STDEV.S(V217:V252)</f>
        <v>0.55001359321171561</v>
      </c>
      <c r="AH252" s="20">
        <f>(W252- AVERAGE(W$41:W252))/_xlfn.STDEV.S(W217:W252)</f>
        <v>-0.28768042159816209</v>
      </c>
      <c r="AI252" s="20">
        <f>(X252- AVERAGE(X$41:X252))/_xlfn.STDEV.S(X217:X252)</f>
        <v>-9.6719600489648755E-2</v>
      </c>
      <c r="AJ252" s="20">
        <f>(Y252- AVERAGE(Y$41:Y252))/_xlfn.STDEV.S(Y217:Y252)</f>
        <v>2.223407376796116</v>
      </c>
      <c r="AK252" s="20">
        <f>(Z252- AVERAGE(Z$41:Z252))/_xlfn.STDEV.S(Z217:Z252)</f>
        <v>4.7472891032132107</v>
      </c>
      <c r="AL252" s="20">
        <f>(AA252- AVERAGE(AA$41:AA252))/_xlfn.STDEV.S(AA217:AA252)</f>
        <v>-0.79785120794560127</v>
      </c>
      <c r="AM252" s="20">
        <f>(AB252- AVERAGE(AB$41:AB252))/_xlfn.STDEV.S(AB217:AB252)</f>
        <v>-0.23770244974920154</v>
      </c>
      <c r="AN252" s="20">
        <f>(AC252- AVERAGE(AC$41:AC252))/_xlfn.STDEV.S(AC217:AC252)</f>
        <v>-0.35978808109257199</v>
      </c>
      <c r="AO252" s="24">
        <f>(AD252- AVERAGE(AD$41:AD252))/_xlfn.STDEV.S(AD217:AD252)</f>
        <v>-0.96257317196568948</v>
      </c>
      <c r="AP252" s="20"/>
      <c r="AQ252" s="20">
        <f t="shared" si="77"/>
        <v>0.55001359321171561</v>
      </c>
      <c r="AR252" s="20">
        <f t="shared" si="78"/>
        <v>-0.28768042159816209</v>
      </c>
      <c r="AS252" s="20">
        <f t="shared" si="79"/>
        <v>-9.6719600489648755E-2</v>
      </c>
      <c r="AT252" s="20">
        <f t="shared" si="80"/>
        <v>2.223407376796116</v>
      </c>
      <c r="AU252" s="20">
        <f t="shared" si="64"/>
        <v>4.7472891032132107</v>
      </c>
      <c r="AV252" s="20">
        <f t="shared" si="81"/>
        <v>-0.79785120794560127</v>
      </c>
      <c r="AW252" s="20">
        <f t="shared" si="66"/>
        <v>-0.23770244974920154</v>
      </c>
      <c r="AX252" s="20">
        <f t="shared" si="82"/>
        <v>-0.35978808109257199</v>
      </c>
      <c r="AY252" s="20">
        <f t="shared" si="83"/>
        <v>-0.96257317196568948</v>
      </c>
      <c r="AZ252" s="22">
        <f t="shared" si="69"/>
        <v>0.53093279337557397</v>
      </c>
      <c r="BA252" s="1">
        <f>+_xlfn.XLOOKUP(A252,[1]Indice!B:B,[1]Indice!AI:AI,"NOOOOOO",-1)</f>
        <v>0.40871636974659192</v>
      </c>
    </row>
    <row r="253" spans="1:53" x14ac:dyDescent="0.25">
      <c r="A253" s="2">
        <v>45596</v>
      </c>
      <c r="B253" s="15">
        <v>7032</v>
      </c>
      <c r="C253" s="19">
        <v>29.598230740877263</v>
      </c>
      <c r="D253" s="15">
        <v>6120</v>
      </c>
      <c r="E253" s="19">
        <v>677.98</v>
      </c>
      <c r="F253" s="18">
        <v>0.20106640313873567</v>
      </c>
      <c r="G253" s="1">
        <v>0.4</v>
      </c>
      <c r="H253" s="1">
        <v>1.6</v>
      </c>
      <c r="I253" s="16">
        <v>226.8</v>
      </c>
      <c r="J253" s="1">
        <v>735.41700000000003</v>
      </c>
      <c r="K253" s="1">
        <v>12.52960834358532</v>
      </c>
      <c r="L253" s="1">
        <v>82.908000000000001</v>
      </c>
      <c r="M253" s="1">
        <v>-3.8246041412911103</v>
      </c>
      <c r="N253" s="1">
        <v>-19.625763356415593</v>
      </c>
      <c r="O253" s="1">
        <v>425509</v>
      </c>
      <c r="P253" s="1">
        <v>0.85708935678003861</v>
      </c>
      <c r="Q253" s="1">
        <v>-21.975072780203796</v>
      </c>
      <c r="R253" s="1">
        <v>-2</v>
      </c>
      <c r="S253" s="1">
        <v>0.57333333333333381</v>
      </c>
      <c r="T253" s="3">
        <v>35</v>
      </c>
      <c r="V253" s="20">
        <f t="shared" si="71"/>
        <v>20.62432426305956</v>
      </c>
      <c r="W253" s="20">
        <f t="shared" si="72"/>
        <v>-2.2733333333333339</v>
      </c>
      <c r="X253" s="20">
        <f t="shared" si="72"/>
        <v>-0.70666666666666711</v>
      </c>
      <c r="Y253" s="20">
        <f t="shared" si="70"/>
        <v>165.25916666666672</v>
      </c>
      <c r="Z253" s="20">
        <f t="shared" si="73"/>
        <v>14.004816537973008</v>
      </c>
      <c r="AA253" s="19">
        <f>+AVERAGE(M251:M253)*AVERAGE($F$15:F253)</f>
        <v>-2.8882240748435635</v>
      </c>
      <c r="AB253" s="19">
        <f t="shared" si="74"/>
        <v>-28.403102355072949</v>
      </c>
      <c r="AC253" s="19">
        <f t="shared" si="75"/>
        <v>0.15136141723849361</v>
      </c>
      <c r="AD253" s="21">
        <f t="shared" si="76"/>
        <v>-32.025869130758259</v>
      </c>
      <c r="AE253" s="19"/>
      <c r="AG253" s="20">
        <f>(V253- AVERAGE(V$41:V253))/_xlfn.STDEV.S(V218:V253)</f>
        <v>0.73126261322072594</v>
      </c>
      <c r="AH253" s="20">
        <f>(W253- AVERAGE(W$41:W253))/_xlfn.STDEV.S(W218:W253)</f>
        <v>-0.24523879585045774</v>
      </c>
      <c r="AI253" s="20">
        <f>(X253- AVERAGE(X$41:X253))/_xlfn.STDEV.S(X218:X253)</f>
        <v>-8.1673291128300921E-2</v>
      </c>
      <c r="AJ253" s="20">
        <f>(Y253- AVERAGE(Y$41:Y253))/_xlfn.STDEV.S(Y218:Y253)</f>
        <v>1.917619357045083</v>
      </c>
      <c r="AK253" s="20">
        <f>(Z253- AVERAGE(Z$41:Z253))/_xlfn.STDEV.S(Z218:Z253)</f>
        <v>5.0004686689749711</v>
      </c>
      <c r="AL253" s="20">
        <f>(AA253- AVERAGE(AA$41:AA253))/_xlfn.STDEV.S(AA218:AA253)</f>
        <v>-0.63259930367619976</v>
      </c>
      <c r="AM253" s="20">
        <f>(AB253- AVERAGE(AB$41:AB253))/_xlfn.STDEV.S(AB218:AB253)</f>
        <v>6.283600112946798E-2</v>
      </c>
      <c r="AN253" s="20">
        <f>(AC253- AVERAGE(AC$41:AC253))/_xlfn.STDEV.S(AC218:AC253)</f>
        <v>-0.27046328767254774</v>
      </c>
      <c r="AO253" s="24">
        <f>(AD253- AVERAGE(AD$41:AD253))/_xlfn.STDEV.S(AD218:AD253)</f>
        <v>-0.87026235882001923</v>
      </c>
      <c r="AP253" s="20"/>
      <c r="AQ253" s="20">
        <f t="shared" si="77"/>
        <v>0.73126261322072594</v>
      </c>
      <c r="AR253" s="20">
        <f t="shared" si="78"/>
        <v>-0.24523879585045774</v>
      </c>
      <c r="AS253" s="20">
        <f t="shared" si="79"/>
        <v>-8.1673291128300921E-2</v>
      </c>
      <c r="AT253" s="20">
        <f t="shared" si="80"/>
        <v>1.917619357045083</v>
      </c>
      <c r="AU253" s="20">
        <f t="shared" si="64"/>
        <v>4.8280582173360092</v>
      </c>
      <c r="AV253" s="20">
        <f t="shared" si="81"/>
        <v>-0.63259930367619976</v>
      </c>
      <c r="AW253" s="20">
        <f t="shared" si="66"/>
        <v>6.283600112946798E-2</v>
      </c>
      <c r="AX253" s="20">
        <f t="shared" si="82"/>
        <v>-0.27046328767254774</v>
      </c>
      <c r="AY253" s="20">
        <f t="shared" si="83"/>
        <v>-0.87026235882001923</v>
      </c>
      <c r="AZ253" s="22">
        <f t="shared" si="69"/>
        <v>0.60439323906486231</v>
      </c>
      <c r="BA253" s="1">
        <f>+_xlfn.XLOOKUP(A253,[1]Indice!B:B,[1]Indice!AI:AI,"NOOOOOO",-1)</f>
        <v>0.41834925285227625</v>
      </c>
    </row>
    <row r="254" spans="1:53" x14ac:dyDescent="0.25">
      <c r="A254" s="2">
        <v>45626</v>
      </c>
      <c r="B254" s="15">
        <v>6526</v>
      </c>
      <c r="C254" s="19">
        <v>31.998381877022663</v>
      </c>
      <c r="D254" s="15">
        <v>5249</v>
      </c>
      <c r="E254" s="19">
        <v>677.98</v>
      </c>
      <c r="F254" s="18">
        <v>0.20300451340747513</v>
      </c>
      <c r="G254" s="1">
        <v>1.2</v>
      </c>
      <c r="H254" s="1">
        <v>1.2</v>
      </c>
      <c r="I254" s="16">
        <v>206.2</v>
      </c>
      <c r="J254" s="1">
        <v>751.327</v>
      </c>
      <c r="K254" s="1">
        <v>12.728246615873505</v>
      </c>
      <c r="L254" s="1">
        <v>80.668999999999997</v>
      </c>
      <c r="M254" s="1">
        <v>0.46453123443259692</v>
      </c>
      <c r="N254" s="1">
        <v>-12.060368144290923</v>
      </c>
      <c r="O254" s="1">
        <v>423375</v>
      </c>
      <c r="P254" s="1">
        <v>-5.8463652860802684</v>
      </c>
      <c r="Q254" s="1">
        <v>-32.675006426184559</v>
      </c>
      <c r="R254" s="1">
        <v>-2</v>
      </c>
      <c r="S254" s="1">
        <v>0.57000000000000062</v>
      </c>
      <c r="T254" s="3">
        <v>29.4</v>
      </c>
      <c r="V254" s="20">
        <f t="shared" si="71"/>
        <v>26.671487781179728</v>
      </c>
      <c r="W254" s="20">
        <f t="shared" si="72"/>
        <v>-0.83666666666666734</v>
      </c>
      <c r="X254" s="20">
        <f t="shared" si="72"/>
        <v>0.29666666666666608</v>
      </c>
      <c r="Y254" s="20">
        <f t="shared" si="70"/>
        <v>144.0625</v>
      </c>
      <c r="Z254" s="20">
        <f t="shared" si="73"/>
        <v>13.463139470310866</v>
      </c>
      <c r="AA254" s="19">
        <f>+AVERAGE(M252:M254)*AVERAGE($F$15:F254)</f>
        <v>-1.0895168224162772</v>
      </c>
      <c r="AB254" s="19">
        <f t="shared" si="74"/>
        <v>-20.128902362065926</v>
      </c>
      <c r="AC254" s="19">
        <f t="shared" si="75"/>
        <v>-1.4322092363672878</v>
      </c>
      <c r="AD254" s="21">
        <f t="shared" si="76"/>
        <v>-27.473963762308426</v>
      </c>
      <c r="AE254" s="19"/>
      <c r="AG254" s="20">
        <f>(V254- AVERAGE(V$41:V254))/_xlfn.STDEV.S(V219:V254)</f>
        <v>1.0034632742784835</v>
      </c>
      <c r="AH254" s="20">
        <f>(W254- AVERAGE(W$41:W254))/_xlfn.STDEV.S(W219:W254)</f>
        <v>4.0707638966229101E-2</v>
      </c>
      <c r="AI254" s="20">
        <f>(X254- AVERAGE(X$41:X254))/_xlfn.STDEV.S(X219:X254)</f>
        <v>9.9217487558407008E-2</v>
      </c>
      <c r="AJ254" s="20">
        <f>(Y254- AVERAGE(Y$41:Y254))/_xlfn.STDEV.S(Y219:Y254)</f>
        <v>1.6314099633937438</v>
      </c>
      <c r="AK254" s="20">
        <f>(Z254- AVERAGE(Z$41:Z254))/_xlfn.STDEV.S(Z219:Z254)</f>
        <v>4.7605362208607565</v>
      </c>
      <c r="AL254" s="20">
        <f>(AA254- AVERAGE(AA$41:AA254))/_xlfn.STDEV.S(AA219:AA254)</f>
        <v>-0.12012464143104037</v>
      </c>
      <c r="AM254" s="20">
        <f>(AB254- AVERAGE(AB$41:AB254))/_xlfn.STDEV.S(AB219:AB254)</f>
        <v>0.32303405912650873</v>
      </c>
      <c r="AN254" s="20">
        <f>(AC254- AVERAGE(AC$41:AC254))/_xlfn.STDEV.S(AC219:AC254)</f>
        <v>-0.47339015668370693</v>
      </c>
      <c r="AO254" s="24">
        <f>(AD254- AVERAGE(AD$41:AD254))/_xlfn.STDEV.S(AD219:AD254)</f>
        <v>-0.80016627101578452</v>
      </c>
      <c r="AP254" s="20"/>
      <c r="AQ254" s="20">
        <f t="shared" si="77"/>
        <v>1.0034632742784835</v>
      </c>
      <c r="AR254" s="20">
        <f t="shared" si="78"/>
        <v>4.0707638966229101E-2</v>
      </c>
      <c r="AS254" s="20">
        <f t="shared" si="79"/>
        <v>9.9217487558407008E-2</v>
      </c>
      <c r="AT254" s="20">
        <f t="shared" si="80"/>
        <v>1.6314099633937438</v>
      </c>
      <c r="AU254" s="20">
        <f t="shared" si="64"/>
        <v>4.7605362208607565</v>
      </c>
      <c r="AV254" s="20">
        <f t="shared" si="81"/>
        <v>-0.12012464143104037</v>
      </c>
      <c r="AW254" s="20">
        <f t="shared" si="66"/>
        <v>0.32303405912650873</v>
      </c>
      <c r="AX254" s="20">
        <f t="shared" si="82"/>
        <v>-0.47339015668370693</v>
      </c>
      <c r="AY254" s="20">
        <f t="shared" si="83"/>
        <v>-0.80016627101578452</v>
      </c>
      <c r="AZ254" s="22">
        <f t="shared" si="69"/>
        <v>0.71829861945039963</v>
      </c>
      <c r="BA254" s="1">
        <f>+_xlfn.XLOOKUP(A254,[1]Indice!B:B,[1]Indice!AI:AI,"NOOOOOO",-1)</f>
        <v>0.47863278491989736</v>
      </c>
    </row>
    <row r="255" spans="1:53" x14ac:dyDescent="0.25">
      <c r="A255" s="2">
        <v>45657</v>
      </c>
      <c r="B255" s="15">
        <v>7049</v>
      </c>
      <c r="C255" s="19">
        <v>32.874646559849197</v>
      </c>
      <c r="D255" s="15">
        <v>5367</v>
      </c>
      <c r="E255" s="19">
        <v>709.2</v>
      </c>
      <c r="F255" s="18">
        <v>0.19807952622673436</v>
      </c>
      <c r="G255" s="1">
        <v>6.7</v>
      </c>
      <c r="H255" s="1">
        <v>3.1</v>
      </c>
      <c r="I255" s="16">
        <v>137.80000000000001</v>
      </c>
      <c r="J255" s="1">
        <v>757.923</v>
      </c>
      <c r="K255" s="1">
        <v>11.934492470237611</v>
      </c>
      <c r="L255" s="1">
        <v>79.149000000000001</v>
      </c>
      <c r="M255" s="1">
        <v>-46.449303798324785</v>
      </c>
      <c r="N255" s="1">
        <v>-9.1957336531896416</v>
      </c>
      <c r="O255" s="1">
        <v>415601</v>
      </c>
      <c r="P255" s="1">
        <v>-3.5873940125039194</v>
      </c>
      <c r="Q255" s="1">
        <v>-28.168239326365672</v>
      </c>
      <c r="R255" s="1">
        <v>2.7</v>
      </c>
      <c r="S255" s="1">
        <v>0.6333333333333343</v>
      </c>
      <c r="T255" s="3">
        <v>25.9</v>
      </c>
      <c r="V255" s="20">
        <f t="shared" si="71"/>
        <v>30.857086392583039</v>
      </c>
      <c r="W255" s="20">
        <f t="shared" si="72"/>
        <v>2.1333333333333329</v>
      </c>
      <c r="X255" s="20">
        <f t="shared" si="72"/>
        <v>1.3333333333333326</v>
      </c>
      <c r="Y255" s="20">
        <f t="shared" si="70"/>
        <v>108.33416666666668</v>
      </c>
      <c r="Z255" s="20">
        <f t="shared" si="73"/>
        <v>12.397449143232146</v>
      </c>
      <c r="AA255" s="19">
        <f>+AVERAGE(M253:M255)*AVERAGE($F$15:F255)</f>
        <v>-4.3836135537352661</v>
      </c>
      <c r="AB255" s="19">
        <f t="shared" si="74"/>
        <v>-13.627288384632052</v>
      </c>
      <c r="AC255" s="19">
        <f t="shared" si="75"/>
        <v>-2.8588899806013828</v>
      </c>
      <c r="AD255" s="21">
        <f t="shared" si="76"/>
        <v>-27.606106177584678</v>
      </c>
      <c r="AE255" s="19"/>
      <c r="AG255" s="20">
        <f>(V255- AVERAGE(V$41:V255))/_xlfn.STDEV.S(V220:V255)</f>
        <v>1.2373915323034885</v>
      </c>
      <c r="AH255" s="20">
        <f>(W255- AVERAGE(W$41:W255))/_xlfn.STDEV.S(W220:W255)</f>
        <v>0.67502485271606749</v>
      </c>
      <c r="AI255" s="20">
        <f>(X255- AVERAGE(X$41:X255))/_xlfn.STDEV.S(X220:X255)</f>
        <v>0.3125176587700198</v>
      </c>
      <c r="AJ255" s="20">
        <f>(Y255- AVERAGE(Y$41:Y255))/_xlfn.STDEV.S(Y220:Y255)</f>
        <v>1.1727620634139102</v>
      </c>
      <c r="AK255" s="20">
        <f>(Z255- AVERAGE(Z$41:Z255))/_xlfn.STDEV.S(Z220:Z255)</f>
        <v>4.4146055577302583</v>
      </c>
      <c r="AL255" s="20">
        <f>(AA255- AVERAGE(AA$41:AA255))/_xlfn.STDEV.S(AA220:AA255)</f>
        <v>-1.0543107773980838</v>
      </c>
      <c r="AM255" s="20">
        <f>(AB255- AVERAGE(AB$41:AB255))/_xlfn.STDEV.S(AB220:AB255)</f>
        <v>0.50305892586662282</v>
      </c>
      <c r="AN255" s="20">
        <f>(AC255- AVERAGE(AC$41:AC255))/_xlfn.STDEV.S(AC220:AC255)</f>
        <v>-0.66687800009005527</v>
      </c>
      <c r="AO255" s="24">
        <f>(AD255- AVERAGE(AD$41:AD255))/_xlfn.STDEV.S(AD220:AD255)</f>
        <v>-0.80732959017461159</v>
      </c>
      <c r="AP255" s="20"/>
      <c r="AQ255" s="20">
        <f t="shared" si="77"/>
        <v>1.2373915323034885</v>
      </c>
      <c r="AR255" s="20">
        <f t="shared" si="78"/>
        <v>0.67502485271606749</v>
      </c>
      <c r="AS255" s="20">
        <f t="shared" si="79"/>
        <v>0.3125176587700198</v>
      </c>
      <c r="AT255" s="20">
        <f t="shared" si="80"/>
        <v>1.1727620634139102</v>
      </c>
      <c r="AU255" s="20">
        <f t="shared" si="64"/>
        <v>4.4146055577302583</v>
      </c>
      <c r="AV255" s="20">
        <f t="shared" si="81"/>
        <v>-1.0543107773980838</v>
      </c>
      <c r="AW255" s="20">
        <f t="shared" si="66"/>
        <v>0.50305892586662282</v>
      </c>
      <c r="AX255" s="20">
        <f t="shared" si="82"/>
        <v>-0.66687800009005527</v>
      </c>
      <c r="AY255" s="20">
        <f t="shared" si="83"/>
        <v>-0.80732959017461159</v>
      </c>
      <c r="AZ255" s="22">
        <f t="shared" si="69"/>
        <v>0.6429824692375129</v>
      </c>
      <c r="BA255" s="1">
        <f>+_xlfn.XLOOKUP(A255,[1]Indice!B:B,[1]Indice!AI:AI,"NOOOOOO",-1)</f>
        <v>0.46215689116607628</v>
      </c>
    </row>
    <row r="256" spans="1:53" x14ac:dyDescent="0.25">
      <c r="A256" s="2">
        <v>45688</v>
      </c>
      <c r="B256" s="15">
        <v>5915</v>
      </c>
      <c r="C256" s="19">
        <v>9.2941611234294221</v>
      </c>
      <c r="D256" s="15">
        <v>5753</v>
      </c>
      <c r="E256" s="19">
        <v>709.2</v>
      </c>
      <c r="F256" s="18">
        <v>0.20040891144952058</v>
      </c>
      <c r="G256" s="1">
        <v>6.6</v>
      </c>
      <c r="H256" s="1">
        <v>2.8</v>
      </c>
      <c r="I256" s="16">
        <v>90.6</v>
      </c>
      <c r="J256" s="1">
        <v>747.61199999999997</v>
      </c>
      <c r="K256" s="1">
        <v>11.648536764574114</v>
      </c>
      <c r="L256" s="1">
        <v>80.89</v>
      </c>
      <c r="M256" s="1">
        <v>-33.762958353122286</v>
      </c>
      <c r="N256" s="1">
        <v>-12.670899725495023</v>
      </c>
      <c r="O256" s="1">
        <v>423790</v>
      </c>
      <c r="P256" s="1">
        <v>0.44511651718841527</v>
      </c>
      <c r="Q256" s="1">
        <v>-26.896820752876938</v>
      </c>
      <c r="R256" s="1">
        <v>2.7</v>
      </c>
      <c r="S256" s="1">
        <v>0.69666666666666754</v>
      </c>
      <c r="T256" s="3">
        <v>21.9</v>
      </c>
      <c r="V256" s="20">
        <f t="shared" si="71"/>
        <v>24.025729853433759</v>
      </c>
      <c r="W256" s="20">
        <f t="shared" si="72"/>
        <v>4.1366666666666658</v>
      </c>
      <c r="X256" s="20">
        <f t="shared" si="72"/>
        <v>1.669999999999999</v>
      </c>
      <c r="Y256" s="20">
        <f t="shared" si="70"/>
        <v>63.236500000000035</v>
      </c>
      <c r="Z256" s="20">
        <f t="shared" si="73"/>
        <v>12.103758616895078</v>
      </c>
      <c r="AA256" s="19">
        <f>+AVERAGE(M254:M256)*AVERAGE($F$15:F256)</f>
        <v>-7.0114344221148386</v>
      </c>
      <c r="AB256" s="19">
        <f t="shared" si="74"/>
        <v>-11.30900050765853</v>
      </c>
      <c r="AC256" s="19">
        <f t="shared" si="75"/>
        <v>-2.996214260465258</v>
      </c>
      <c r="AD256" s="21">
        <f t="shared" si="76"/>
        <v>-29.24668883514239</v>
      </c>
      <c r="AE256" s="19"/>
      <c r="AG256" s="20">
        <f>(V256- AVERAGE(V$41:V256))/_xlfn.STDEV.S(V221:V256)</f>
        <v>0.97080922093892252</v>
      </c>
      <c r="AH256" s="20">
        <f>(W256- AVERAGE(W$41:W256))/_xlfn.STDEV.S(W221:W256)</f>
        <v>1.1382395843054387</v>
      </c>
      <c r="AI256" s="20">
        <f>(X256- AVERAGE(X$41:X256))/_xlfn.STDEV.S(X221:X256)</f>
        <v>0.40640790534040222</v>
      </c>
      <c r="AJ256" s="20">
        <f>(Y256- AVERAGE(Y$41:Y256))/_xlfn.STDEV.S(Y221:Y256)</f>
        <v>0.58871997894046901</v>
      </c>
      <c r="AK256" s="20">
        <f>(Z256- AVERAGE(Z$41:Z256))/_xlfn.STDEV.S(Z221:Z256)</f>
        <v>4.4147311135061491</v>
      </c>
      <c r="AL256" s="20">
        <f>(AA256- AVERAGE(AA$41:AA256))/_xlfn.STDEV.S(AA221:AA256)</f>
        <v>-1.7506000072912047</v>
      </c>
      <c r="AM256" s="20">
        <f>(AB256- AVERAGE(AB$41:AB256))/_xlfn.STDEV.S(AB221:AB256)</f>
        <v>0.54777150805693509</v>
      </c>
      <c r="AN256" s="20">
        <f>(AC256- AVERAGE(AC$41:AC256))/_xlfn.STDEV.S(AC221:AC256)</f>
        <v>-0.70497098194989194</v>
      </c>
      <c r="AO256" s="24">
        <f>(AD256- AVERAGE(AD$41:AD256))/_xlfn.STDEV.S(AD221:AD256)</f>
        <v>-0.83550838932605509</v>
      </c>
      <c r="AP256" s="20"/>
      <c r="AQ256" s="20">
        <f t="shared" si="77"/>
        <v>0.97080922093892252</v>
      </c>
      <c r="AR256" s="20">
        <f t="shared" si="78"/>
        <v>1.1382395843054387</v>
      </c>
      <c r="AS256" s="20">
        <f t="shared" si="79"/>
        <v>0.40640790534040222</v>
      </c>
      <c r="AT256" s="20">
        <f t="shared" si="80"/>
        <v>0.58871997894046901</v>
      </c>
      <c r="AU256" s="20">
        <f t="shared" si="64"/>
        <v>4.4147311135061491</v>
      </c>
      <c r="AV256" s="20">
        <f t="shared" si="81"/>
        <v>-1.7506000072912047</v>
      </c>
      <c r="AW256" s="20">
        <f t="shared" si="66"/>
        <v>0.54777150805693509</v>
      </c>
      <c r="AX256" s="20">
        <f t="shared" si="82"/>
        <v>-0.70497098194989194</v>
      </c>
      <c r="AY256" s="20">
        <f t="shared" si="83"/>
        <v>-0.83550838932605509</v>
      </c>
      <c r="AZ256" s="22">
        <f t="shared" si="69"/>
        <v>0.53062221472457394</v>
      </c>
      <c r="BA256" s="1">
        <f>+_xlfn.XLOOKUP(A256,[1]Indice!B:B,[1]Indice!AI:AI,"NOOOOOO",-1)</f>
        <v>0.44193310668815944</v>
      </c>
    </row>
    <row r="257" spans="1:53" x14ac:dyDescent="0.25">
      <c r="A257" s="2">
        <v>45716</v>
      </c>
      <c r="B257" s="15">
        <v>6140</v>
      </c>
      <c r="C257" s="19">
        <v>10.630630630630634</v>
      </c>
      <c r="D257" s="15">
        <v>5864</v>
      </c>
      <c r="E257" s="19">
        <v>709.2</v>
      </c>
      <c r="F257" s="18">
        <v>0.20370276367738296</v>
      </c>
      <c r="G257" s="1">
        <v>5.9</v>
      </c>
      <c r="H257" s="1">
        <v>2.9</v>
      </c>
      <c r="I257" s="16">
        <v>59.4</v>
      </c>
      <c r="J257" s="1">
        <v>745.84900000000005</v>
      </c>
      <c r="K257" s="1">
        <v>11.24453546003561</v>
      </c>
      <c r="L257" s="1">
        <v>80.388999999999996</v>
      </c>
      <c r="M257" s="1">
        <v>-27.305692453768593</v>
      </c>
      <c r="N257" s="1">
        <v>-13.126002174864016</v>
      </c>
      <c r="O257" s="1">
        <v>433775</v>
      </c>
      <c r="P257" s="1">
        <v>-2.993986532875037</v>
      </c>
      <c r="Q257" s="1">
        <v>-19.48904404903633</v>
      </c>
      <c r="R257" s="1">
        <v>2.7</v>
      </c>
      <c r="S257" s="1">
        <v>0.76000000000000112</v>
      </c>
      <c r="T257" s="3">
        <v>22.2</v>
      </c>
      <c r="V257" s="20">
        <f t="shared" si="71"/>
        <v>16.83981277130308</v>
      </c>
      <c r="W257" s="20">
        <f t="shared" si="72"/>
        <v>5.6400000000000006</v>
      </c>
      <c r="X257" s="20">
        <f t="shared" si="72"/>
        <v>2.1733333333333325</v>
      </c>
      <c r="Y257" s="20">
        <f t="shared" si="70"/>
        <v>14.5981666666667</v>
      </c>
      <c r="Z257" s="20">
        <f t="shared" si="73"/>
        <v>11.60918823161578</v>
      </c>
      <c r="AA257" s="19">
        <f>+AVERAGE(M255:M257)*AVERAGE($F$15:F257)</f>
        <v>-9.4441396028376943</v>
      </c>
      <c r="AB257" s="19">
        <f t="shared" si="74"/>
        <v>-11.664211851182893</v>
      </c>
      <c r="AC257" s="19">
        <f t="shared" si="75"/>
        <v>-2.0454213427301804</v>
      </c>
      <c r="AD257" s="21">
        <f t="shared" si="76"/>
        <v>-24.851368042759646</v>
      </c>
      <c r="AE257" s="19"/>
      <c r="AG257" s="20">
        <f>(V257- AVERAGE(V$41:V257))/_xlfn.STDEV.S(V222:V257)</f>
        <v>0.67298706645192063</v>
      </c>
      <c r="AH257" s="20">
        <f>(W257- AVERAGE(W$41:W257))/_xlfn.STDEV.S(W222:W257)</f>
        <v>1.5071321414690118</v>
      </c>
      <c r="AI257" s="20">
        <f>(X257- AVERAGE(X$41:X257))/_xlfn.STDEV.S(X222:X257)</f>
        <v>0.55356181238623503</v>
      </c>
      <c r="AJ257" s="20">
        <f>(Y257- AVERAGE(Y$41:Y257))/_xlfn.STDEV.S(Y222:Y257)</f>
        <v>-4.8931414864785208E-2</v>
      </c>
      <c r="AK257" s="20">
        <f>(Z257- AVERAGE(Z$41:Z257))/_xlfn.STDEV.S(Z222:Z257)</f>
        <v>4.3084837694465525</v>
      </c>
      <c r="AL257" s="20">
        <f>(AA257- AVERAGE(AA$41:AA257))/_xlfn.STDEV.S(AA222:AA257)</f>
        <v>-2.2834189785181631</v>
      </c>
      <c r="AM257" s="20">
        <f>(AB257- AVERAGE(AB$41:AB257))/_xlfn.STDEV.S(AB222:AB257)</f>
        <v>0.51637573985094298</v>
      </c>
      <c r="AN257" s="20">
        <f>(AC257- AVERAGE(AC$41:AC257))/_xlfn.STDEV.S(AC222:AC257)</f>
        <v>-0.60341408792365026</v>
      </c>
      <c r="AO257" s="24">
        <f>(AD257- AVERAGE(AD$41:AD257))/_xlfn.STDEV.S(AD222:AD257)</f>
        <v>-0.75167985948508842</v>
      </c>
      <c r="AP257" s="20"/>
      <c r="AQ257" s="20">
        <f t="shared" si="77"/>
        <v>0.67298706645192063</v>
      </c>
      <c r="AR257" s="20">
        <f t="shared" si="78"/>
        <v>1.5071321414690118</v>
      </c>
      <c r="AS257" s="20">
        <f t="shared" si="79"/>
        <v>0.55356181238623503</v>
      </c>
      <c r="AT257" s="20">
        <f t="shared" si="80"/>
        <v>-4.8931414864785208E-2</v>
      </c>
      <c r="AU257" s="20">
        <f t="shared" si="64"/>
        <v>4.3084837694465525</v>
      </c>
      <c r="AV257" s="20">
        <f t="shared" si="81"/>
        <v>-2.2834189785181631</v>
      </c>
      <c r="AW257" s="20">
        <f t="shared" si="66"/>
        <v>0.51637573985094298</v>
      </c>
      <c r="AX257" s="20">
        <f t="shared" si="82"/>
        <v>-0.60341408792365026</v>
      </c>
      <c r="AY257" s="20">
        <f t="shared" si="83"/>
        <v>-0.75167985948508842</v>
      </c>
      <c r="AZ257" s="22">
        <f t="shared" si="69"/>
        <v>0.43012179875699719</v>
      </c>
      <c r="BA257" s="1">
        <f>+_xlfn.XLOOKUP(A257,[1]Indice!B:B,[1]Indice!AI:AI,"NOOOOOO",-1)</f>
        <v>0.45633834361090853</v>
      </c>
    </row>
    <row r="258" spans="1:53" x14ac:dyDescent="0.25">
      <c r="A258" s="2">
        <v>45747</v>
      </c>
      <c r="B258" s="15">
        <v>6642</v>
      </c>
      <c r="C258" s="19">
        <v>2.310536044362288</v>
      </c>
      <c r="D258" s="15">
        <v>6019</v>
      </c>
      <c r="E258" s="19">
        <v>691.69</v>
      </c>
      <c r="F258" s="18">
        <v>0.21151527418352151</v>
      </c>
      <c r="G258" s="1">
        <v>5.8</v>
      </c>
      <c r="H258" s="1">
        <v>2</v>
      </c>
      <c r="I258" s="16">
        <v>43.5</v>
      </c>
      <c r="J258" s="1">
        <v>748.53899999999999</v>
      </c>
      <c r="K258" s="1">
        <v>10.451225450413881</v>
      </c>
      <c r="L258" s="1">
        <v>79.632000000000005</v>
      </c>
      <c r="M258" s="1">
        <v>-21.851263027733602</v>
      </c>
      <c r="N258" s="1">
        <v>-18.267850890072967</v>
      </c>
      <c r="O258" s="1">
        <v>439792</v>
      </c>
      <c r="P258" s="1">
        <v>-2.5752242383428214</v>
      </c>
      <c r="Q258" s="1">
        <v>-17.217830109335587</v>
      </c>
      <c r="R258" s="1">
        <v>6.1</v>
      </c>
      <c r="S258" s="1">
        <v>0.94500000000000106</v>
      </c>
      <c r="T258" s="3">
        <v>24.5</v>
      </c>
      <c r="V258" s="20">
        <f t="shared" si="71"/>
        <v>6.4667759328074466</v>
      </c>
      <c r="W258" s="20">
        <f t="shared" si="72"/>
        <v>5.1549999999999994</v>
      </c>
      <c r="X258" s="20">
        <f t="shared" si="72"/>
        <v>1.6216666666666653</v>
      </c>
      <c r="Y258" s="20">
        <f t="shared" si="70"/>
        <v>-16.585166666666638</v>
      </c>
      <c r="Z258" s="20">
        <f t="shared" si="73"/>
        <v>11.114765891674535</v>
      </c>
      <c r="AA258" s="19">
        <f>+AVERAGE(M256:M258)*AVERAGE($F$15:F258)</f>
        <v>-7.2776117735260941</v>
      </c>
      <c r="AB258" s="19">
        <f t="shared" si="74"/>
        <v>-14.688250930144003</v>
      </c>
      <c r="AC258" s="19">
        <f t="shared" si="75"/>
        <v>-1.7080314180098144</v>
      </c>
      <c r="AD258" s="21">
        <f t="shared" si="76"/>
        <v>-21.201231637082952</v>
      </c>
      <c r="AE258" s="19"/>
      <c r="AG258" s="20">
        <f>(V258- AVERAGE(V$41:V258))/_xlfn.STDEV.S(V223:V258)</f>
        <v>0.17762057867453596</v>
      </c>
      <c r="AH258" s="20">
        <f>(W258- AVERAGE(W$41:W258))/_xlfn.STDEV.S(W223:W258)</f>
        <v>1.4122470657825656</v>
      </c>
      <c r="AI258" s="20">
        <f>(X258- AVERAGE(X$41:X258))/_xlfn.STDEV.S(X223:X258)</f>
        <v>0.44851300383868503</v>
      </c>
      <c r="AJ258" s="20">
        <f>(Y258- AVERAGE(Y$41:Y258))/_xlfn.STDEV.S(Y223:Y258)</f>
        <v>-0.44860978940702229</v>
      </c>
      <c r="AK258" s="20">
        <f>(Z258- AVERAGE(Z$41:Z258))/_xlfn.STDEV.S(Z223:Z258)</f>
        <v>4.1806922807932878</v>
      </c>
      <c r="AL258" s="20">
        <f>(AA258- AVERAGE(AA$41:AA258))/_xlfn.STDEV.S(AA223:AA258)</f>
        <v>-1.6642644290625426</v>
      </c>
      <c r="AM258" s="20">
        <f>(AB258- AVERAGE(AB$41:AB258))/_xlfn.STDEV.S(AB223:AB258)</f>
        <v>0.4169481838071693</v>
      </c>
      <c r="AN258" s="20">
        <f>(AC258- AVERAGE(AC$41:AC258))/_xlfn.STDEV.S(AC223:AC258)</f>
        <v>-0.59031332693224337</v>
      </c>
      <c r="AO258" s="24">
        <f>(AD258- AVERAGE(AD$41:AD258))/_xlfn.STDEV.S(AD223:AD258)</f>
        <v>-0.6844271313810163</v>
      </c>
      <c r="AP258" s="20"/>
      <c r="AQ258" s="20">
        <f t="shared" si="77"/>
        <v>0.17762057867453596</v>
      </c>
      <c r="AR258" s="20">
        <f t="shared" si="78"/>
        <v>1.4122470657825656</v>
      </c>
      <c r="AS258" s="20">
        <f t="shared" si="79"/>
        <v>0.44851300383868503</v>
      </c>
      <c r="AT258" s="20">
        <f t="shared" si="80"/>
        <v>-0.44860978940702229</v>
      </c>
      <c r="AU258" s="20">
        <f t="shared" si="64"/>
        <v>4.1806922807932878</v>
      </c>
      <c r="AV258" s="20">
        <f t="shared" si="81"/>
        <v>-1.6642644290625426</v>
      </c>
      <c r="AW258" s="20">
        <f t="shared" si="66"/>
        <v>0.4169481838071693</v>
      </c>
      <c r="AX258" s="20">
        <f t="shared" si="82"/>
        <v>-0.59031332693224337</v>
      </c>
      <c r="AY258" s="20">
        <f t="shared" si="83"/>
        <v>-0.6844271313810163</v>
      </c>
      <c r="AZ258" s="22">
        <f t="shared" si="69"/>
        <v>0.36093404845704652</v>
      </c>
      <c r="BA258" s="1">
        <f>+_xlfn.XLOOKUP(A258,[1]Indice!B:B,[1]Indice!AI:AI,"NOOOOOO",-1)</f>
        <v>0.47452584509077089</v>
      </c>
    </row>
    <row r="259" spans="1:53" x14ac:dyDescent="0.25">
      <c r="A259" s="2">
        <v>45777</v>
      </c>
      <c r="B259" s="15">
        <v>6674</v>
      </c>
      <c r="C259" s="19">
        <v>2.5034556903701377</v>
      </c>
      <c r="D259" s="15">
        <v>6460</v>
      </c>
      <c r="E259" s="19">
        <v>691.69</v>
      </c>
      <c r="F259" s="18">
        <v>0.21428819268747559</v>
      </c>
      <c r="G259" s="1">
        <v>7.9</v>
      </c>
      <c r="H259" s="1">
        <v>2.4</v>
      </c>
      <c r="I259" s="16">
        <v>37.299999999999997</v>
      </c>
      <c r="J259" s="1">
        <v>742.11599999999999</v>
      </c>
      <c r="K259" s="1">
        <v>9.0561213243398164</v>
      </c>
      <c r="L259" s="1">
        <v>85.843999999999994</v>
      </c>
      <c r="M259" s="1">
        <v>-8.2333825070019184</v>
      </c>
      <c r="N259" s="1">
        <v>-11.571653098704825</v>
      </c>
      <c r="O259" s="1">
        <v>440408</v>
      </c>
      <c r="P259" s="1">
        <v>-4.4440105014211584</v>
      </c>
      <c r="Q259" s="1">
        <v>-8.5673768677365754</v>
      </c>
      <c r="R259" s="1">
        <v>6.1</v>
      </c>
      <c r="S259" s="1">
        <v>1.1300000000000012</v>
      </c>
      <c r="T259" s="3">
        <v>26.3</v>
      </c>
      <c r="V259" s="20">
        <f t="shared" si="71"/>
        <v>4.0182074551210185</v>
      </c>
      <c r="W259" s="20">
        <f t="shared" si="72"/>
        <v>5.4033333333333324</v>
      </c>
      <c r="X259" s="20">
        <f t="shared" si="72"/>
        <v>1.3033333333333323</v>
      </c>
      <c r="Y259" s="20">
        <f t="shared" si="70"/>
        <v>-33.97383333333331</v>
      </c>
      <c r="Z259" s="20">
        <f t="shared" si="73"/>
        <v>10.250627411596437</v>
      </c>
      <c r="AA259" s="19">
        <f>+AVERAGE(M257:M259)*AVERAGE($F$15:F259)</f>
        <v>-5.033136776285426</v>
      </c>
      <c r="AB259" s="19">
        <f t="shared" si="74"/>
        <v>-14.321835387880602</v>
      </c>
      <c r="AC259" s="19">
        <f t="shared" si="75"/>
        <v>-3.3377404242130058</v>
      </c>
      <c r="AD259" s="21">
        <f t="shared" si="76"/>
        <v>-15.091417008702832</v>
      </c>
      <c r="AE259" s="19"/>
      <c r="AG259" s="20">
        <f>(V259- AVERAGE(V$41:V259))/_xlfn.STDEV.S(V224:V259)</f>
        <v>5.9701802104798987E-2</v>
      </c>
      <c r="AH259" s="20">
        <f>(W259- AVERAGE(W$41:W259))/_xlfn.STDEV.S(W224:W259)</f>
        <v>1.4871478015904362</v>
      </c>
      <c r="AI259" s="20">
        <f>(X259- AVERAGE(X$41:X259))/_xlfn.STDEV.S(X224:X259)</f>
        <v>0.40081797706675565</v>
      </c>
      <c r="AJ259" s="20">
        <f>(Y259- AVERAGE(Y$41:Y259))/_xlfn.STDEV.S(Y224:Y259)</f>
        <v>-0.65507802748839172</v>
      </c>
      <c r="AK259" s="20">
        <f>(Z259- AVERAGE(Z$41:Z259))/_xlfn.STDEV.S(Z224:Z259)</f>
        <v>3.8727255474805249</v>
      </c>
      <c r="AL259" s="20">
        <f>(AA259- AVERAGE(AA$41:AA259))/_xlfn.STDEV.S(AA224:AA259)</f>
        <v>-1.0788542602614661</v>
      </c>
      <c r="AM259" s="20">
        <f>(AB259- AVERAGE(AB$41:AB259))/_xlfn.STDEV.S(AB224:AB259)</f>
        <v>0.41331940070038187</v>
      </c>
      <c r="AN259" s="20">
        <f>(AC259- AVERAGE(AC$41:AC259))/_xlfn.STDEV.S(AC224:AC259)</f>
        <v>-0.89834616763519259</v>
      </c>
      <c r="AO259" s="24">
        <f>(AD259- AVERAGE(AD$41:AD259))/_xlfn.STDEV.S(AD224:AD259)</f>
        <v>-0.58170441563813913</v>
      </c>
      <c r="AP259" s="20"/>
      <c r="AQ259" s="20">
        <f t="shared" si="77"/>
        <v>5.9701802104798987E-2</v>
      </c>
      <c r="AR259" s="20">
        <f t="shared" si="78"/>
        <v>1.4871478015904362</v>
      </c>
      <c r="AS259" s="20">
        <f t="shared" si="79"/>
        <v>0.40081797706675565</v>
      </c>
      <c r="AT259" s="20">
        <f t="shared" si="80"/>
        <v>-0.65507802748839172</v>
      </c>
      <c r="AU259" s="20">
        <f t="shared" si="64"/>
        <v>3.8727255474805249</v>
      </c>
      <c r="AV259" s="20">
        <f t="shared" si="81"/>
        <v>-1.0788542602614661</v>
      </c>
      <c r="AW259" s="20">
        <f t="shared" si="66"/>
        <v>0.41331940070038187</v>
      </c>
      <c r="AX259" s="20">
        <f t="shared" si="82"/>
        <v>-0.89834616763519259</v>
      </c>
      <c r="AY259" s="20">
        <f t="shared" si="83"/>
        <v>-0.58170441563813913</v>
      </c>
      <c r="AZ259" s="22">
        <f t="shared" si="69"/>
        <v>0.33552551754663429</v>
      </c>
      <c r="BA259" s="1">
        <f>+_xlfn.XLOOKUP(A259,[1]Indice!B:B,[1]Indice!AI:AI,"NOOOOOO",-1)</f>
        <v>0.42596586374607576</v>
      </c>
    </row>
    <row r="260" spans="1:53" x14ac:dyDescent="0.25">
      <c r="A260" s="2">
        <v>45808</v>
      </c>
      <c r="B260" s="15">
        <v>7095</v>
      </c>
      <c r="C260" s="19">
        <v>-7.4605451936872296</v>
      </c>
      <c r="D260" s="15">
        <v>6488</v>
      </c>
      <c r="E260" s="19">
        <v>691.69</v>
      </c>
      <c r="F260" s="18">
        <v>0.21559513654961038</v>
      </c>
      <c r="G260" s="1">
        <v>5.3</v>
      </c>
      <c r="H260" s="1">
        <v>0.9</v>
      </c>
      <c r="I260" s="16">
        <v>32.6</v>
      </c>
      <c r="J260" s="1">
        <v>747.82799999999997</v>
      </c>
      <c r="K260" s="1">
        <v>9.4115581565471729</v>
      </c>
      <c r="L260" s="1">
        <v>86.111999999999995</v>
      </c>
      <c r="M260" s="1">
        <v>-6.5706101900876774</v>
      </c>
      <c r="N260" s="1">
        <v>-1.8120040733217824</v>
      </c>
      <c r="O260" s="1">
        <v>436059</v>
      </c>
      <c r="P260" s="1">
        <v>-4.3566662718622968</v>
      </c>
      <c r="Q260" s="1">
        <v>-1.7804401181413576</v>
      </c>
      <c r="R260" s="1">
        <v>6.1</v>
      </c>
      <c r="S260" s="1">
        <v>1.3150000000000011</v>
      </c>
      <c r="T260" s="3">
        <v>20.9</v>
      </c>
      <c r="V260" s="20">
        <f t="shared" si="71"/>
        <v>-2.1971844863182692</v>
      </c>
      <c r="W260" s="20">
        <f t="shared" si="72"/>
        <v>5.0183333333333318</v>
      </c>
      <c r="X260" s="20">
        <f t="shared" si="72"/>
        <v>0.45166666666666577</v>
      </c>
      <c r="Y260" s="20">
        <f t="shared" si="70"/>
        <v>-42.405499999999968</v>
      </c>
      <c r="Z260" s="20">
        <f t="shared" si="73"/>
        <v>9.6396349771002914</v>
      </c>
      <c r="AA260" s="19">
        <f>+AVERAGE(M258:M260)*AVERAGE($F$15:F260)</f>
        <v>-3.212309068115383</v>
      </c>
      <c r="AB260" s="19">
        <f t="shared" si="74"/>
        <v>-10.550502687366524</v>
      </c>
      <c r="AC260" s="19">
        <f t="shared" si="75"/>
        <v>-3.7919670038754254</v>
      </c>
      <c r="AD260" s="21">
        <f t="shared" si="76"/>
        <v>-9.1885490317378409</v>
      </c>
      <c r="AE260" s="19"/>
      <c r="AG260" s="20">
        <f>(V260- AVERAGE(V$41:V260))/_xlfn.STDEV.S(V225:V260)</f>
        <v>-0.26248434320511949</v>
      </c>
      <c r="AH260" s="20">
        <f>(W260- AVERAGE(W$41:W260))/_xlfn.STDEV.S(W225:W260)</f>
        <v>1.4150545259997078</v>
      </c>
      <c r="AI260" s="20">
        <f>(X260- AVERAGE(X$41:X260))/_xlfn.STDEV.S(X225:X260)</f>
        <v>0.1906534459903588</v>
      </c>
      <c r="AJ260" s="20">
        <f>(Y260- AVERAGE(Y$41:Y260))/_xlfn.STDEV.S(Y225:Y260)</f>
        <v>-0.73894946296680475</v>
      </c>
      <c r="AK260" s="20">
        <f>(Z260- AVERAGE(Z$41:Z260))/_xlfn.STDEV.S(Z225:Z260)</f>
        <v>3.6718251074434889</v>
      </c>
      <c r="AL260" s="20">
        <f>(AA260- AVERAGE(AA$41:AA260))/_xlfn.STDEV.S(AA225:AA260)</f>
        <v>-0.61381820230474837</v>
      </c>
      <c r="AM260" s="20">
        <f>(AB260- AVERAGE(AB$41:AB260))/_xlfn.STDEV.S(AB225:AB260)</f>
        <v>0.49665393740071995</v>
      </c>
      <c r="AN260" s="20">
        <f>(AC260- AVERAGE(AC$41:AC260))/_xlfn.STDEV.S(AC225:AC260)</f>
        <v>-1.0602704909525851</v>
      </c>
      <c r="AO260" s="24">
        <f>(AD260- AVERAGE(AD$41:AD260))/_xlfn.STDEV.S(AD225:AD260)</f>
        <v>-0.49463239462621411</v>
      </c>
      <c r="AP260" s="20"/>
      <c r="AQ260" s="20">
        <f t="shared" si="77"/>
        <v>-0.26248434320511949</v>
      </c>
      <c r="AR260" s="20">
        <f t="shared" si="78"/>
        <v>1.4150545259997078</v>
      </c>
      <c r="AS260" s="20">
        <f t="shared" si="79"/>
        <v>0.1906534459903588</v>
      </c>
      <c r="AT260" s="20">
        <f t="shared" si="80"/>
        <v>-0.73894946296680475</v>
      </c>
      <c r="AU260" s="20">
        <f t="shared" si="64"/>
        <v>3.6718251074434889</v>
      </c>
      <c r="AV260" s="20">
        <f t="shared" si="81"/>
        <v>-0.61381820230474837</v>
      </c>
      <c r="AW260" s="20">
        <f t="shared" si="66"/>
        <v>0.49665393740071995</v>
      </c>
      <c r="AX260" s="20">
        <f t="shared" si="82"/>
        <v>-1.0602704909525851</v>
      </c>
      <c r="AY260" s="20">
        <f t="shared" si="83"/>
        <v>-0.49463239462621411</v>
      </c>
      <c r="AZ260" s="22">
        <f t="shared" si="69"/>
        <v>0.28933690253097821</v>
      </c>
      <c r="BA260" s="1">
        <f>+_xlfn.XLOOKUP(A260,[1]Indice!B:B,[1]Indice!AI:AI,"NOOOOOO",-1)</f>
        <v>0.45211000711250965</v>
      </c>
    </row>
    <row r="261" spans="1:53" x14ac:dyDescent="0.25">
      <c r="A261" s="2">
        <v>45838</v>
      </c>
      <c r="B261" s="15">
        <v>7275</v>
      </c>
      <c r="C261" s="19">
        <v>10.781178620374599</v>
      </c>
      <c r="D261" s="15">
        <v>6396</v>
      </c>
      <c r="E261" s="19">
        <v>727.86</v>
      </c>
      <c r="F261" s="18">
        <v>0.20820212678262304</v>
      </c>
      <c r="G261" s="1">
        <v>6.4</v>
      </c>
      <c r="H261" s="1">
        <v>1.5</v>
      </c>
      <c r="I261" s="16">
        <v>29.6</v>
      </c>
      <c r="J261" s="1">
        <v>775.11599999999999</v>
      </c>
      <c r="K261" s="1">
        <v>17.273903274856451</v>
      </c>
      <c r="L261" s="1">
        <v>88.492000000000004</v>
      </c>
      <c r="M261" s="1">
        <v>0.55337764899723307</v>
      </c>
      <c r="N261" s="1">
        <v>-0.8697739938126281</v>
      </c>
      <c r="O261" s="1">
        <v>418951</v>
      </c>
      <c r="P261" s="1">
        <v>-6.5965278381590053</v>
      </c>
      <c r="Q261" s="1">
        <v>1.9993431316200017</v>
      </c>
      <c r="R261" s="1">
        <v>6.5</v>
      </c>
      <c r="S261" s="1">
        <v>1.7383333333333344</v>
      </c>
      <c r="T261" s="3">
        <v>20.75</v>
      </c>
      <c r="V261" s="20">
        <f t="shared" si="71"/>
        <v>0.20302970568583456</v>
      </c>
      <c r="W261" s="20">
        <f t="shared" si="72"/>
        <v>4.7949999999999999</v>
      </c>
      <c r="X261" s="20">
        <f t="shared" si="72"/>
        <v>-0.13833333333333453</v>
      </c>
      <c r="Y261" s="20">
        <f t="shared" si="70"/>
        <v>-46.509666666666639</v>
      </c>
      <c r="Z261" s="20">
        <f t="shared" si="73"/>
        <v>11.913860918581145</v>
      </c>
      <c r="AA261" s="19">
        <f>+AVERAGE(M259:M261)*AVERAGE($F$15:F261)</f>
        <v>-1.247810589697443</v>
      </c>
      <c r="AB261" s="19">
        <f t="shared" si="74"/>
        <v>-4.7511437219464119</v>
      </c>
      <c r="AC261" s="19">
        <f t="shared" si="75"/>
        <v>-5.1324015371474871</v>
      </c>
      <c r="AD261" s="21">
        <f t="shared" si="76"/>
        <v>-2.7828246180859773</v>
      </c>
      <c r="AE261" s="19"/>
      <c r="AG261" s="20">
        <f>(V261- AVERAGE(V$41:V261))/_xlfn.STDEV.S(V226:V261)</f>
        <v>-0.14007916437546791</v>
      </c>
      <c r="AH261" s="20">
        <f>(W261- AVERAGE(W$41:W261))/_xlfn.STDEV.S(W226:W261)</f>
        <v>1.398217778115215</v>
      </c>
      <c r="AI261" s="20">
        <f>(X261- AVERAGE(X$41:X261))/_xlfn.STDEV.S(X226:X261)</f>
        <v>1.8906109256796342E-2</v>
      </c>
      <c r="AJ261" s="20">
        <f>(Y261- AVERAGE(Y$41:Y261))/_xlfn.STDEV.S(Y226:Y261)</f>
        <v>-0.76580146684906159</v>
      </c>
      <c r="AK261" s="20">
        <f>(Z261- AVERAGE(Z$41:Z261))/_xlfn.STDEV.S(Z226:Z261)</f>
        <v>4.6992009970591395</v>
      </c>
      <c r="AL261" s="20">
        <f>(AA261- AVERAGE(AA$41:AA261))/_xlfn.STDEV.S(AA226:AA261)</f>
        <v>-0.11100532958278821</v>
      </c>
      <c r="AM261" s="20">
        <f>(AB261- AVERAGE(AB$41:AB261))/_xlfn.STDEV.S(AB226:AB261)</f>
        <v>0.62424229491046002</v>
      </c>
      <c r="AN261" s="20">
        <f>(AC261- AVERAGE(AC$41:AC261))/_xlfn.STDEV.S(AC226:AC261)</f>
        <v>-1.368746180016746</v>
      </c>
      <c r="AO261" s="24">
        <f>(AD261- AVERAGE(AD$41:AD261))/_xlfn.STDEV.S(AD226:AD261)</f>
        <v>-0.40822517675203995</v>
      </c>
      <c r="AP261" s="20"/>
      <c r="AQ261" s="20">
        <f t="shared" si="77"/>
        <v>-0.14007916437546791</v>
      </c>
      <c r="AR261" s="20">
        <f t="shared" si="78"/>
        <v>1.398217778115215</v>
      </c>
      <c r="AS261" s="20">
        <f t="shared" si="79"/>
        <v>1.8906109256796342E-2</v>
      </c>
      <c r="AT261" s="20">
        <f t="shared" si="80"/>
        <v>-0.76580146684906159</v>
      </c>
      <c r="AU261" s="20">
        <f t="shared" si="64"/>
        <v>4.6992009970591395</v>
      </c>
      <c r="AV261" s="20">
        <f t="shared" si="81"/>
        <v>-0.11100532958278821</v>
      </c>
      <c r="AW261" s="20">
        <f t="shared" si="66"/>
        <v>0.62424229491046002</v>
      </c>
      <c r="AX261" s="20">
        <f t="shared" si="82"/>
        <v>-1.368746180016746</v>
      </c>
      <c r="AY261" s="20">
        <f t="shared" si="83"/>
        <v>-0.40822517675203995</v>
      </c>
      <c r="AZ261" s="22">
        <f t="shared" si="69"/>
        <v>0.43852331797394517</v>
      </c>
      <c r="BA261" s="1">
        <f>+_xlfn.XLOOKUP(A261,[1]Indice!B:B,[1]Indice!AI:AI,"NOOOOOO",-1)</f>
        <v>0.47353583921983422</v>
      </c>
    </row>
    <row r="262" spans="1:53" x14ac:dyDescent="0.25">
      <c r="A262" s="2">
        <v>45869</v>
      </c>
      <c r="B262" s="15">
        <v>7761</v>
      </c>
      <c r="C262" s="19">
        <v>8.0016699137211322</v>
      </c>
      <c r="D262" s="15">
        <v>6854</v>
      </c>
      <c r="E262" s="19">
        <v>727.86</v>
      </c>
      <c r="F262" s="18">
        <v>0.21054048855549143</v>
      </c>
      <c r="G262" s="1">
        <v>2.8</v>
      </c>
      <c r="H262" s="1">
        <v>0.9</v>
      </c>
      <c r="I262" s="16">
        <v>29.8</v>
      </c>
      <c r="J262" s="1">
        <v>805.35400000000004</v>
      </c>
      <c r="K262" s="1">
        <v>19.100146554490639</v>
      </c>
      <c r="L262" s="1">
        <v>97.734999999999999</v>
      </c>
      <c r="M262" s="1">
        <v>12.274554853532461</v>
      </c>
      <c r="N262" s="1">
        <v>-0.69531165431839792</v>
      </c>
      <c r="O262" s="1">
        <v>426691</v>
      </c>
      <c r="P262" s="1">
        <v>-1.4681941304563684</v>
      </c>
      <c r="Q262" s="1">
        <v>1.7343623070674274</v>
      </c>
      <c r="R262" s="1">
        <v>6.5</v>
      </c>
      <c r="S262" s="1">
        <v>2.161666666666668</v>
      </c>
      <c r="T262" s="3">
        <v>21.1</v>
      </c>
      <c r="V262" s="20">
        <f t="shared" si="71"/>
        <v>1.6124344468028324</v>
      </c>
      <c r="W262" s="20">
        <f t="shared" si="72"/>
        <v>2.6716666666666651</v>
      </c>
      <c r="X262" s="20">
        <f t="shared" si="72"/>
        <v>-1.0616666666666681</v>
      </c>
      <c r="Y262" s="20">
        <f t="shared" si="70"/>
        <v>-48.496333333333297</v>
      </c>
      <c r="Z262" s="20">
        <f t="shared" si="73"/>
        <v>15.26186932863142</v>
      </c>
      <c r="AA262" s="19">
        <f>+AVERAGE(M260:M262)*AVERAGE($F$15:F262)</f>
        <v>0.54746432084995078</v>
      </c>
      <c r="AB262" s="19">
        <f t="shared" si="74"/>
        <v>-1.1256965738176028</v>
      </c>
      <c r="AC262" s="19">
        <f t="shared" si="75"/>
        <v>-4.1404627468258903</v>
      </c>
      <c r="AD262" s="21">
        <f t="shared" si="76"/>
        <v>0.65108844018202383</v>
      </c>
      <c r="AE262" s="19"/>
      <c r="AG262" s="20">
        <f>(V262- AVERAGE(V$41:V262))/_xlfn.STDEV.S(V227:V262)</f>
        <v>-6.4697226859858598E-2</v>
      </c>
      <c r="AH262" s="20">
        <f>(W262- AVERAGE(W$41:W262))/_xlfn.STDEV.S(W227:W262)</f>
        <v>0.91045521044205269</v>
      </c>
      <c r="AI262" s="20">
        <f>(X262- AVERAGE(X$41:X262))/_xlfn.STDEV.S(X227:X262)</f>
        <v>-0.33635040436946617</v>
      </c>
      <c r="AJ262" s="20">
        <f>(Y262- AVERAGE(Y$41:Y262))/_xlfn.STDEV.S(Y227:Y262)</f>
        <v>-0.76634009703438188</v>
      </c>
      <c r="AK262" s="20">
        <f>(Z262- AVERAGE(Z$41:Z262))/_xlfn.STDEV.S(Z227:Z262)</f>
        <v>5.9263960916287948</v>
      </c>
      <c r="AL262" s="20">
        <f>(AA262- AVERAGE(AA$41:AA262))/_xlfn.STDEV.S(AA227:AA262)</f>
        <v>0.35411879037830218</v>
      </c>
      <c r="AM262" s="20">
        <f>(AB262- AVERAGE(AB$41:AB262))/_xlfn.STDEV.S(AB227:AB262)</f>
        <v>0.69680792990356366</v>
      </c>
      <c r="AN262" s="20">
        <f>(AC262- AVERAGE(AC$41:AC262))/_xlfn.STDEV.S(AC227:AC262)</f>
        <v>-1.210862604373651</v>
      </c>
      <c r="AO262" s="24">
        <f>(AD262- AVERAGE(AD$41:AD262))/_xlfn.STDEV.S(AD227:AD262)</f>
        <v>-0.36817440731263412</v>
      </c>
      <c r="AP262" s="20"/>
      <c r="AQ262" s="20">
        <f t="shared" si="77"/>
        <v>-6.4697226859858598E-2</v>
      </c>
      <c r="AR262" s="20">
        <f t="shared" si="78"/>
        <v>0.91045521044205269</v>
      </c>
      <c r="AS262" s="20">
        <f t="shared" si="79"/>
        <v>-0.33635040436946617</v>
      </c>
      <c r="AT262" s="20">
        <f t="shared" si="80"/>
        <v>-0.76634009703438188</v>
      </c>
      <c r="AU262" s="20">
        <f t="shared" si="64"/>
        <v>4.8280582173360092</v>
      </c>
      <c r="AV262" s="20">
        <f t="shared" si="81"/>
        <v>0.35411879037830218</v>
      </c>
      <c r="AW262" s="20">
        <f t="shared" si="66"/>
        <v>0.69680792990356366</v>
      </c>
      <c r="AX262" s="20">
        <f t="shared" si="82"/>
        <v>-1.210862604373651</v>
      </c>
      <c r="AY262" s="20">
        <f t="shared" si="83"/>
        <v>-0.36817440731263412</v>
      </c>
      <c r="AZ262" s="22">
        <f t="shared" si="69"/>
        <v>0.44922393423443729</v>
      </c>
      <c r="BA262" s="1">
        <f>+_xlfn.XLOOKUP(A262,[1]Indice!B:B,[1]Indice!AI:AI,"NOOOOOO",-1)</f>
        <v>0.48020639843040608</v>
      </c>
    </row>
    <row r="263" spans="1:53" x14ac:dyDescent="0.25">
      <c r="A263" s="2">
        <v>45900</v>
      </c>
      <c r="B263" s="15">
        <v>7903</v>
      </c>
      <c r="C263" s="19">
        <v>16.94288250961824</v>
      </c>
      <c r="D263" s="15">
        <v>6463</v>
      </c>
      <c r="E263" s="19">
        <v>727.86</v>
      </c>
      <c r="F263" s="18">
        <v>0.21428434039513095</v>
      </c>
      <c r="G263" s="1">
        <v>2.1</v>
      </c>
      <c r="H263" s="1">
        <v>2.8</v>
      </c>
      <c r="I263" s="16">
        <v>27.9</v>
      </c>
      <c r="J263" s="1">
        <v>817.274</v>
      </c>
      <c r="K263" s="1">
        <v>14.891206248436074</v>
      </c>
      <c r="L263" s="1">
        <v>95.716999999999999</v>
      </c>
      <c r="M263" s="1">
        <v>10.772026062099993</v>
      </c>
      <c r="N263" s="1">
        <v>-0.30051338112280224</v>
      </c>
      <c r="O263" s="1">
        <v>420707</v>
      </c>
      <c r="P263" s="1">
        <v>0.57302000908416861</v>
      </c>
      <c r="Q263" s="1">
        <v>34.187082405345201</v>
      </c>
      <c r="R263" s="1">
        <v>6.5</v>
      </c>
      <c r="S263" s="1">
        <v>2.5850000000000026</v>
      </c>
      <c r="T263" s="3">
        <v>20.94</v>
      </c>
      <c r="V263" s="20">
        <f t="shared" si="71"/>
        <v>9.3235770145713204</v>
      </c>
      <c r="W263" s="20">
        <f t="shared" si="72"/>
        <v>1.1816666666666635</v>
      </c>
      <c r="X263" s="20">
        <f t="shared" si="72"/>
        <v>-0.85166666666666946</v>
      </c>
      <c r="Y263" s="20">
        <f t="shared" si="70"/>
        <v>-49.559499999999957</v>
      </c>
      <c r="Z263" s="20">
        <f t="shared" si="73"/>
        <v>17.088418692594388</v>
      </c>
      <c r="AA263" s="19">
        <f>+AVERAGE(M261:M263)*AVERAGE($F$15:F263)</f>
        <v>2.0632800870201571</v>
      </c>
      <c r="AB263" s="19">
        <f t="shared" si="74"/>
        <v>-0.62186634308460942</v>
      </c>
      <c r="AC263" s="19">
        <f t="shared" si="75"/>
        <v>-2.4972339865104014</v>
      </c>
      <c r="AD263" s="21">
        <f t="shared" si="76"/>
        <v>12.640262614677544</v>
      </c>
      <c r="AE263" s="19"/>
      <c r="AG263" s="20">
        <f>(V263- AVERAGE(V$41:V263))/_xlfn.STDEV.S(V228:V263)</f>
        <v>0.35231476018894259</v>
      </c>
      <c r="AH263" s="20">
        <f>(W263- AVERAGE(W$41:W263))/_xlfn.STDEV.S(W228:W263)</f>
        <v>0.54841270874162573</v>
      </c>
      <c r="AI263" s="20">
        <f>(X263- AVERAGE(X$41:X263))/_xlfn.STDEV.S(X228:X263)</f>
        <v>-0.29695693031812864</v>
      </c>
      <c r="AJ263" s="20">
        <f>(Y263- AVERAGE(Y$41:Y263))/_xlfn.STDEV.S(Y228:Y263)</f>
        <v>-0.75621350300159829</v>
      </c>
      <c r="AK263" s="20">
        <f>(Z263- AVERAGE(Z$41:Z263))/_xlfn.STDEV.S(Z228:Z263)</f>
        <v>6.213280607985447</v>
      </c>
      <c r="AL263" s="20">
        <f>(AA263- AVERAGE(AA$41:AA263))/_xlfn.STDEV.S(AA228:AA263)</f>
        <v>0.74812660814902321</v>
      </c>
      <c r="AM263" s="20">
        <f>(AB263- AVERAGE(AB$41:AB263))/_xlfn.STDEV.S(AB228:AB263)</f>
        <v>0.69998464033050301</v>
      </c>
      <c r="AN263" s="20">
        <f>(AC263- AVERAGE(AC$41:AC263))/_xlfn.STDEV.S(AC228:AC263)</f>
        <v>-0.89676322854426638</v>
      </c>
      <c r="AO263" s="24">
        <f>(AD263- AVERAGE(AD$41:AD263))/_xlfn.STDEV.S(AD228:AD263)</f>
        <v>-8.6076221971605207E-2</v>
      </c>
      <c r="AP263" s="20"/>
      <c r="AQ263" s="20">
        <f t="shared" si="77"/>
        <v>0.35231476018894259</v>
      </c>
      <c r="AR263" s="20">
        <f t="shared" si="78"/>
        <v>0.54841270874162573</v>
      </c>
      <c r="AS263" s="20">
        <f t="shared" si="79"/>
        <v>-0.29695693031812864</v>
      </c>
      <c r="AT263" s="20">
        <f t="shared" si="80"/>
        <v>-0.75621350300159829</v>
      </c>
      <c r="AU263" s="20">
        <f t="shared" si="64"/>
        <v>4.8280582173360092</v>
      </c>
      <c r="AV263" s="20">
        <f t="shared" si="81"/>
        <v>0.74812660814902321</v>
      </c>
      <c r="AW263" s="20">
        <f t="shared" si="66"/>
        <v>0.69998464033050301</v>
      </c>
      <c r="AX263" s="20">
        <f t="shared" si="82"/>
        <v>-0.89676322854426638</v>
      </c>
      <c r="AY263" s="20">
        <f t="shared" si="83"/>
        <v>-8.6076221971605207E-2</v>
      </c>
      <c r="AZ263" s="22">
        <f t="shared" si="69"/>
        <v>0.57120967232338948</v>
      </c>
      <c r="BA263" s="1">
        <f>+_xlfn.XLOOKUP(A263,[1]Indice!B:B,[1]Indice!AI:AI,"NOOOOOO",-1)</f>
        <v>0.51661516108375827</v>
      </c>
    </row>
    <row r="264" spans="1:53" x14ac:dyDescent="0.25">
      <c r="A264" s="2">
        <v>45930</v>
      </c>
      <c r="B264" s="15">
        <v>8128</v>
      </c>
      <c r="C264" s="19">
        <v>16.899180209981314</v>
      </c>
      <c r="D264" s="15">
        <v>7191</v>
      </c>
      <c r="E264" s="19">
        <v>668.49</v>
      </c>
      <c r="F264" s="18">
        <v>0.23689808374096846</v>
      </c>
      <c r="G264" s="1">
        <v>4.8</v>
      </c>
      <c r="H264" s="1">
        <v>2.8</v>
      </c>
      <c r="I264" s="16">
        <v>27.4</v>
      </c>
      <c r="J264" s="1">
        <v>833.87400000000002</v>
      </c>
      <c r="K264" s="1">
        <v>13.729993657981044</v>
      </c>
      <c r="L264" s="1">
        <v>96.718999999999994</v>
      </c>
      <c r="M264" s="1">
        <v>12.604053880991462</v>
      </c>
      <c r="N264" s="1">
        <v>-3.0862904026375926</v>
      </c>
      <c r="O264" s="1">
        <v>416546</v>
      </c>
      <c r="P264" s="1">
        <v>-9.2341418604036107E-2</v>
      </c>
      <c r="Q264" s="1">
        <v>47.934089078857703</v>
      </c>
      <c r="R264" s="1">
        <v>3.2</v>
      </c>
      <c r="S264" s="1">
        <v>2.8083333333333358</v>
      </c>
      <c r="T264" s="3">
        <v>21.85</v>
      </c>
      <c r="V264" s="20">
        <f t="shared" si="71"/>
        <v>11.139577544440225</v>
      </c>
      <c r="W264" s="20">
        <f t="shared" si="72"/>
        <v>0.42499999999999716</v>
      </c>
      <c r="X264" s="20">
        <f t="shared" si="72"/>
        <v>-0.64166666666666927</v>
      </c>
      <c r="Y264" s="20">
        <f t="shared" si="70"/>
        <v>-49.815166666666642</v>
      </c>
      <c r="Z264" s="20">
        <f t="shared" si="73"/>
        <v>15.907115486969252</v>
      </c>
      <c r="AA264" s="19">
        <f>+AVERAGE(M262:M264)*AVERAGE($F$15:F264)</f>
        <v>3.1156312864621007</v>
      </c>
      <c r="AB264" s="19">
        <f t="shared" si="74"/>
        <v>-1.3607051460262642</v>
      </c>
      <c r="AC264" s="19">
        <f t="shared" si="75"/>
        <v>-0.32917184665874527</v>
      </c>
      <c r="AD264" s="21">
        <f t="shared" si="76"/>
        <v>27.951844597090112</v>
      </c>
      <c r="AE264" s="19"/>
      <c r="AG264" s="20">
        <f>(V264- AVERAGE(V$41:V264))/_xlfn.STDEV.S(V229:V264)</f>
        <v>0.44635836320303041</v>
      </c>
      <c r="AH264" s="20">
        <f>(W264- AVERAGE(W$41:W264))/_xlfn.STDEV.S(W229:W264)</f>
        <v>0.35587428387683812</v>
      </c>
      <c r="AI264" s="20">
        <f>(X264- AVERAGE(X$41:X264))/_xlfn.STDEV.S(X229:X264)</f>
        <v>-0.23464516358989795</v>
      </c>
      <c r="AJ264" s="20">
        <f>(Y264- AVERAGE(Y$41:Y264))/_xlfn.STDEV.S(Y229:Y264)</f>
        <v>-0.73780886466922257</v>
      </c>
      <c r="AK264" s="20">
        <f>(Z264- AVERAGE(Z$41:Z264))/_xlfn.STDEV.S(Z229:Z264)</f>
        <v>5.5361417560906867</v>
      </c>
      <c r="AL264" s="20">
        <f>(AA264- AVERAGE(AA$41:AA264))/_xlfn.STDEV.S(AA229:AA264)</f>
        <v>1.017416136496939</v>
      </c>
      <c r="AM264" s="20">
        <f>(AB264- AVERAGE(AB$41:AB264))/_xlfn.STDEV.S(AB229:AB264)</f>
        <v>0.6809176672894951</v>
      </c>
      <c r="AN264" s="20">
        <f>(AC264- AVERAGE(AC$41:AC264))/_xlfn.STDEV.S(AC229:AC264)</f>
        <v>-0.47383081466279547</v>
      </c>
      <c r="AO264" s="24">
        <f>(AD264- AVERAGE(AD$41:AD264))/_xlfn.STDEV.S(AD229:AD264)</f>
        <v>0.31419895096334427</v>
      </c>
      <c r="AP264" s="20"/>
      <c r="AQ264" s="20">
        <f t="shared" si="77"/>
        <v>0.44635836320303041</v>
      </c>
      <c r="AR264" s="20">
        <f t="shared" si="78"/>
        <v>0.35587428387683812</v>
      </c>
      <c r="AS264" s="20">
        <f t="shared" si="79"/>
        <v>-0.23464516358989795</v>
      </c>
      <c r="AT264" s="20">
        <f t="shared" si="80"/>
        <v>-0.73780886466922257</v>
      </c>
      <c r="AU264" s="20">
        <f t="shared" si="64"/>
        <v>4.8280582173360092</v>
      </c>
      <c r="AV264" s="20">
        <f t="shared" si="81"/>
        <v>1.017416136496939</v>
      </c>
      <c r="AW264" s="20">
        <f t="shared" si="66"/>
        <v>0.6809176672894951</v>
      </c>
      <c r="AX264" s="20">
        <f t="shared" si="82"/>
        <v>-0.47383081466279547</v>
      </c>
      <c r="AY264" s="20">
        <f t="shared" si="83"/>
        <v>0.31419895096334427</v>
      </c>
      <c r="AZ264" s="22">
        <f t="shared" si="69"/>
        <v>0.68850430847152666</v>
      </c>
      <c r="BA264" s="1">
        <f>+_xlfn.XLOOKUP(A264,[1]Indice!B:B,[1]Indice!AI:AI,"NOOOOOO",-1)</f>
        <v>0.53157767193355343</v>
      </c>
    </row>
    <row r="265" spans="1:53" x14ac:dyDescent="0.25">
      <c r="A265" s="2">
        <v>45961</v>
      </c>
      <c r="B265" s="15">
        <v>7963</v>
      </c>
      <c r="C265" s="19">
        <v>13.239476678043239</v>
      </c>
      <c r="D265" s="15">
        <v>7150</v>
      </c>
      <c r="E265" s="19">
        <v>668.49</v>
      </c>
      <c r="F265" s="18">
        <v>0.23983156068153599</v>
      </c>
      <c r="G265" s="1">
        <v>3.2</v>
      </c>
      <c r="H265" s="1">
        <v>2.6</v>
      </c>
      <c r="I265" s="16">
        <v>30.2</v>
      </c>
      <c r="J265" s="1">
        <v>850.85400000000004</v>
      </c>
      <c r="K265" s="1">
        <v>15.696808749321821</v>
      </c>
      <c r="L265" s="1">
        <v>97.991</v>
      </c>
      <c r="M265" s="1">
        <v>18.192454286679215</v>
      </c>
      <c r="N265" s="1">
        <v>-5.4312081814874125</v>
      </c>
      <c r="O265" s="1">
        <v>421168</v>
      </c>
      <c r="P265" s="1">
        <v>-1.020189937228122</v>
      </c>
      <c r="Q265" s="1">
        <v>50.842418235877119</v>
      </c>
      <c r="R265" s="1">
        <v>3.2</v>
      </c>
      <c r="S265" s="1">
        <v>3.0316666666666676</v>
      </c>
      <c r="T265" s="3">
        <v>20.79</v>
      </c>
      <c r="V265" s="20">
        <f t="shared" si="71"/>
        <v>12.662179799214263</v>
      </c>
      <c r="W265" s="20">
        <f t="shared" si="72"/>
        <v>0.33499999999999952</v>
      </c>
      <c r="X265" s="20">
        <f t="shared" si="72"/>
        <v>-0.29833333333333467</v>
      </c>
      <c r="Y265" s="20">
        <f t="shared" si="70"/>
        <v>-49.159999999999982</v>
      </c>
      <c r="Z265" s="20">
        <f t="shared" si="73"/>
        <v>14.772669551912978</v>
      </c>
      <c r="AA265" s="19">
        <f>+AVERAGE(M263:M265)*AVERAGE($F$15:F265)</f>
        <v>3.6315830842004124</v>
      </c>
      <c r="AB265" s="19">
        <f t="shared" si="74"/>
        <v>-2.9393373217492691</v>
      </c>
      <c r="AC265" s="19">
        <f t="shared" si="75"/>
        <v>-0.17983711558266316</v>
      </c>
      <c r="AD265" s="21">
        <f t="shared" si="76"/>
        <v>44.321196573360005</v>
      </c>
      <c r="AE265" s="19"/>
      <c r="AG265" s="20">
        <f>(V265- AVERAGE(V$41:V265))/_xlfn.STDEV.S(V230:V265)</f>
        <v>0.52280455911865742</v>
      </c>
      <c r="AH265" s="20">
        <f>(W265- AVERAGE(W$41:W265))/_xlfn.STDEV.S(W230:W265)</f>
        <v>0.34192672715593336</v>
      </c>
      <c r="AI265" s="20">
        <f>(X265- AVERAGE(X$41:X265))/_xlfn.STDEV.S(X230:X265)</f>
        <v>-5.8855263431726368E-2</v>
      </c>
      <c r="AJ265" s="20">
        <f>(Y265- AVERAGE(Y$41:Y265))/_xlfn.STDEV.S(Y230:Y265)</f>
        <v>-0.7110599178596666</v>
      </c>
      <c r="AK265" s="20">
        <f>(Z265- AVERAGE(Z$41:Z265))/_xlfn.STDEV.S(Z230:Z265)</f>
        <v>5.0525173262968046</v>
      </c>
      <c r="AL265" s="20">
        <f>(AA265- AVERAGE(AA$41:AA265))/_xlfn.STDEV.S(AA230:AA265)</f>
        <v>1.1423836568990733</v>
      </c>
      <c r="AM265" s="20">
        <f>(AB265- AVERAGE(AB$41:AB265))/_xlfn.STDEV.S(AB230:AB265)</f>
        <v>0.63907702250409237</v>
      </c>
      <c r="AN265" s="20">
        <f>(AC265- AVERAGE(AC$41:AC265))/_xlfn.STDEV.S(AC230:AC265)</f>
        <v>-0.44267003840817759</v>
      </c>
      <c r="AO265" s="24">
        <f>(AD265- AVERAGE(AD$41:AD265))/_xlfn.STDEV.S(AD230:AD265)</f>
        <v>0.76831837170886719</v>
      </c>
      <c r="AP265" s="20"/>
      <c r="AQ265" s="20">
        <f t="shared" si="77"/>
        <v>0.52280455911865742</v>
      </c>
      <c r="AR265" s="20">
        <f t="shared" si="78"/>
        <v>0.34192672715593336</v>
      </c>
      <c r="AS265" s="20">
        <f t="shared" si="79"/>
        <v>-5.8855263431726368E-2</v>
      </c>
      <c r="AT265" s="20">
        <f t="shared" si="80"/>
        <v>-0.7110599178596666</v>
      </c>
      <c r="AU265" s="20">
        <f t="shared" si="64"/>
        <v>4.8280582173360092</v>
      </c>
      <c r="AV265" s="20">
        <f t="shared" si="81"/>
        <v>1.1423836568990733</v>
      </c>
      <c r="AW265" s="20">
        <f t="shared" si="66"/>
        <v>0.63907702250409237</v>
      </c>
      <c r="AX265" s="20">
        <f t="shared" si="82"/>
        <v>-0.44267003840817759</v>
      </c>
      <c r="AY265" s="20">
        <f t="shared" si="83"/>
        <v>0.76831837170886719</v>
      </c>
      <c r="AZ265" s="22">
        <f t="shared" si="69"/>
        <v>0.78110925944700693</v>
      </c>
      <c r="BA265" s="1">
        <f>+_xlfn.XLOOKUP(A265,[1]Indice!B:B,[1]Indice!AI:AI,"NOOOOOO",-1)</f>
        <v>0.45415150794906284</v>
      </c>
    </row>
    <row r="266" spans="1:53" x14ac:dyDescent="0.25">
      <c r="A266" s="2">
        <v>45991</v>
      </c>
      <c r="B266" s="15">
        <v>8133</v>
      </c>
      <c r="C266" s="19">
        <v>24.624578608642356</v>
      </c>
      <c r="D266" s="15">
        <v>5598</v>
      </c>
      <c r="E266" s="19">
        <v>668.49</v>
      </c>
      <c r="F266" s="18">
        <v>0.24275755807865487</v>
      </c>
      <c r="G266" s="1">
        <v>-0.1</v>
      </c>
      <c r="H266" s="1">
        <v>1.9</v>
      </c>
      <c r="I266" s="16">
        <v>29.7</v>
      </c>
      <c r="J266" s="1">
        <v>848.35400000000004</v>
      </c>
      <c r="K266" s="1">
        <v>12.914084014017879</v>
      </c>
      <c r="L266" s="1">
        <v>96.659000000000006</v>
      </c>
      <c r="M266" s="1">
        <v>19.821740693451019</v>
      </c>
      <c r="N266" s="1">
        <v>-3.8792745430375586</v>
      </c>
      <c r="O266" s="1">
        <v>427503</v>
      </c>
      <c r="P266" s="1">
        <v>0.97502214348981209</v>
      </c>
      <c r="Q266" s="1">
        <v>57.683741648106924</v>
      </c>
      <c r="R266" s="1">
        <v>3.2</v>
      </c>
      <c r="S266" s="1">
        <v>3.2550000000000008</v>
      </c>
      <c r="T266" s="3">
        <v>21.04</v>
      </c>
      <c r="V266" s="20">
        <f t="shared" si="71"/>
        <v>14.999411832222302</v>
      </c>
      <c r="W266" s="20">
        <f t="shared" si="72"/>
        <v>-0.62166666666666748</v>
      </c>
      <c r="X266" s="20">
        <f t="shared" si="72"/>
        <v>-0.82166666666666721</v>
      </c>
      <c r="Y266" s="20">
        <f t="shared" si="70"/>
        <v>-48.036499999999975</v>
      </c>
      <c r="Z266" s="20">
        <f t="shared" si="73"/>
        <v>14.113628807106915</v>
      </c>
      <c r="AA266" s="19">
        <f>+AVERAGE(M264:M266)*AVERAGE($F$15:F266)</f>
        <v>4.4209056076515472</v>
      </c>
      <c r="AB266" s="19">
        <f t="shared" si="74"/>
        <v>-4.1322577090541879</v>
      </c>
      <c r="AC266" s="19">
        <f t="shared" si="75"/>
        <v>-4.5836404114115346E-2</v>
      </c>
      <c r="AD266" s="21">
        <f t="shared" si="76"/>
        <v>52.153416320947251</v>
      </c>
      <c r="AE266" s="19"/>
      <c r="AG266" s="20">
        <f>(V266- AVERAGE(V$41:V266))/_xlfn.STDEV.S(V231:V266)</f>
        <v>0.64189493795970376</v>
      </c>
      <c r="AH266" s="20">
        <f>(W266- AVERAGE(W$41:W266))/_xlfn.STDEV.S(W231:W266)</f>
        <v>5.9868852559400589E-2</v>
      </c>
      <c r="AI266" s="20">
        <f>(X266- AVERAGE(X$41:X266))/_xlfn.STDEV.S(X231:X266)</f>
        <v>-0.43268547995751094</v>
      </c>
      <c r="AJ266" s="20">
        <f>(Y266- AVERAGE(Y$41:Y266))/_xlfn.STDEV.S(Y231:Y266)</f>
        <v>-0.6813306826520964</v>
      </c>
      <c r="AK266" s="20">
        <f>(Z266- AVERAGE(Z$41:Z266))/_xlfn.STDEV.S(Z231:Z266)</f>
        <v>4.7335655978295268</v>
      </c>
      <c r="AL266" s="20">
        <f>(AA266- AVERAGE(AA$41:AA266))/_xlfn.STDEV.S(AA231:AA266)</f>
        <v>1.3248214518780153</v>
      </c>
      <c r="AM266" s="20">
        <f>(AB266- AVERAGE(AB$41:AB266))/_xlfn.STDEV.S(AB231:AB266)</f>
        <v>0.60663626599617415</v>
      </c>
      <c r="AN266" s="20">
        <f>(AC266- AVERAGE(AC$41:AC266))/_xlfn.STDEV.S(AC231:AC266)</f>
        <v>-0.41479606370715227</v>
      </c>
      <c r="AO266" s="24">
        <f>(AD266- AVERAGE(AD$41:AD266))/_xlfn.STDEV.S(AD231:AD266)</f>
        <v>1.0380762039522544</v>
      </c>
      <c r="AP266" s="20"/>
      <c r="AQ266" s="20">
        <f t="shared" si="77"/>
        <v>0.64189493795970376</v>
      </c>
      <c r="AR266" s="20">
        <f t="shared" si="78"/>
        <v>5.9868852559400589E-2</v>
      </c>
      <c r="AS266" s="20">
        <f t="shared" si="79"/>
        <v>-0.43268547995751094</v>
      </c>
      <c r="AT266" s="20">
        <f t="shared" si="80"/>
        <v>-0.6813306826520964</v>
      </c>
      <c r="AU266" s="20">
        <f t="shared" si="64"/>
        <v>4.7335655978295268</v>
      </c>
      <c r="AV266" s="20">
        <f t="shared" si="81"/>
        <v>1.3248214518780153</v>
      </c>
      <c r="AW266" s="20">
        <f t="shared" si="66"/>
        <v>0.60663626599617415</v>
      </c>
      <c r="AX266" s="20">
        <f t="shared" si="82"/>
        <v>-0.41479606370715227</v>
      </c>
      <c r="AY266" s="20">
        <f t="shared" si="83"/>
        <v>1.0380762039522544</v>
      </c>
      <c r="AZ266" s="22">
        <f t="shared" si="69"/>
        <v>0.76400567598425728</v>
      </c>
      <c r="BA266" s="1">
        <f>+_xlfn.XLOOKUP(A266,[1]Indice!B:B,[1]Indice!AI:AI,"NOOOOOO",-1)</f>
        <v>0.46164106078323847</v>
      </c>
    </row>
    <row r="267" spans="1:53" x14ac:dyDescent="0.25">
      <c r="A267" s="2">
        <v>46022</v>
      </c>
      <c r="B267" s="15">
        <v>7482</v>
      </c>
      <c r="C267" s="19">
        <v>6.1427152787629558</v>
      </c>
      <c r="D267" s="15">
        <v>5556</v>
      </c>
      <c r="E267" s="19">
        <v>659.68</v>
      </c>
      <c r="F267" s="18">
        <v>0.24694245694882366</v>
      </c>
      <c r="G267" s="1">
        <v>3.5</v>
      </c>
      <c r="H267" s="1">
        <v>1.8</v>
      </c>
      <c r="I267" s="16">
        <v>32</v>
      </c>
      <c r="J267" s="1">
        <v>861.38</v>
      </c>
      <c r="K267" s="1">
        <v>13.650067355127105</v>
      </c>
      <c r="L267" s="1">
        <v>94.302999999999997</v>
      </c>
      <c r="M267" s="1">
        <v>19.146167355241374</v>
      </c>
      <c r="N267" s="1">
        <v>-4.2396624461543686</v>
      </c>
      <c r="O267" s="1">
        <v>422888</v>
      </c>
      <c r="P267" s="1">
        <v>1.7533644048017161</v>
      </c>
      <c r="Q267" s="1">
        <v>19.645381715362873</v>
      </c>
      <c r="R267" s="1">
        <v>2.2000000000000002</v>
      </c>
      <c r="S267" s="1">
        <v>3.3633333333333337</v>
      </c>
      <c r="T267" s="3">
        <v>20.149999999999999</v>
      </c>
      <c r="V267" s="20">
        <f t="shared" si="71"/>
        <v>11.305590188482851</v>
      </c>
      <c r="W267" s="20">
        <f t="shared" si="72"/>
        <v>-1.163333333333334</v>
      </c>
      <c r="X267" s="20">
        <f t="shared" si="72"/>
        <v>-1.2633333333333336</v>
      </c>
      <c r="Y267" s="20">
        <f t="shared" si="70"/>
        <v>-46.008999999999958</v>
      </c>
      <c r="Z267" s="20">
        <f t="shared" si="73"/>
        <v>14.086986706155601</v>
      </c>
      <c r="AA267" s="19">
        <f>+AVERAGE(M265:M267)*AVERAGE($F$15:F267)</f>
        <v>4.9911467965286631</v>
      </c>
      <c r="AB267" s="19">
        <f t="shared" si="74"/>
        <v>-4.5167150568931129</v>
      </c>
      <c r="AC267" s="19">
        <f t="shared" si="75"/>
        <v>0.56939887035446868</v>
      </c>
      <c r="AD267" s="21">
        <f t="shared" si="76"/>
        <v>42.723847199782305</v>
      </c>
      <c r="AE267" s="19"/>
      <c r="AG267" s="20">
        <f>(V267- AVERAGE(V$41:V267))/_xlfn.STDEV.S(V232:V267)</f>
        <v>0.44172266154026713</v>
      </c>
      <c r="AH267" s="20">
        <f>(W267- AVERAGE(W$41:W267))/_xlfn.STDEV.S(W232:W267)</f>
        <v>-0.10472952584025434</v>
      </c>
      <c r="AI267" s="20">
        <f>(X267- AVERAGE(X$41:X267))/_xlfn.STDEV.S(X232:X267)</f>
        <v>-0.78444111563911068</v>
      </c>
      <c r="AJ267" s="20">
        <f>(Y267- AVERAGE(Y$41:Y267))/_xlfn.STDEV.S(Y232:Y267)</f>
        <v>-0.64446034926122875</v>
      </c>
      <c r="AK267" s="20">
        <f>(Z267- AVERAGE(Z$41:Z267))/_xlfn.STDEV.S(Z232:Z267)</f>
        <v>4.6278421060170052</v>
      </c>
      <c r="AL267" s="20">
        <f>(AA267- AVERAGE(AA$41:AA267))/_xlfn.STDEV.S(AA232:AA267)</f>
        <v>1.4365066066015917</v>
      </c>
      <c r="AM267" s="20">
        <f>(AB267- AVERAGE(AB$41:AB267))/_xlfn.STDEV.S(AB232:AB267)</f>
        <v>0.59457770226852757</v>
      </c>
      <c r="AN267" s="20">
        <f>(AC267- AVERAGE(AC$41:AC267))/_xlfn.STDEV.S(AC232:AC267)</f>
        <v>-0.29430424452776044</v>
      </c>
      <c r="AO267" s="24">
        <f>(AD267- AVERAGE(AD$41:AD267))/_xlfn.STDEV.S(AD232:AD267)</f>
        <v>0.84075277358143818</v>
      </c>
      <c r="AP267" s="20"/>
      <c r="AQ267" s="20">
        <f t="shared" si="77"/>
        <v>0.44172266154026713</v>
      </c>
      <c r="AR267" s="20">
        <f t="shared" si="78"/>
        <v>-0.10472952584025434</v>
      </c>
      <c r="AS267" s="20">
        <f t="shared" si="79"/>
        <v>-0.78444111563911068</v>
      </c>
      <c r="AT267" s="20">
        <f t="shared" si="80"/>
        <v>-0.64446034926122875</v>
      </c>
      <c r="AU267" s="20">
        <f t="shared" si="64"/>
        <v>4.6278421060170052</v>
      </c>
      <c r="AV267" s="20">
        <f t="shared" si="81"/>
        <v>1.4365066066015917</v>
      </c>
      <c r="AW267" s="20">
        <f t="shared" si="66"/>
        <v>0.59457770226852757</v>
      </c>
      <c r="AX267" s="20">
        <f t="shared" si="82"/>
        <v>-0.29430424452776044</v>
      </c>
      <c r="AY267" s="20">
        <f t="shared" si="83"/>
        <v>0.84075277358143818</v>
      </c>
      <c r="AZ267" s="22">
        <f t="shared" si="69"/>
        <v>0.67927406830449732</v>
      </c>
      <c r="BA267" s="1">
        <f>+_xlfn.XLOOKUP(A267,[1]Indice!B:B,[1]Indice!AI:AI,"NOOOOOO",-1)</f>
        <v>0.44324205434696184</v>
      </c>
    </row>
    <row r="268" spans="1:53" x14ac:dyDescent="0.25">
      <c r="A268" s="2">
        <v>46053</v>
      </c>
      <c r="B268" s="15">
        <v>7245</v>
      </c>
      <c r="C268" s="19">
        <v>22.485207100591719</v>
      </c>
      <c r="D268" s="15">
        <v>5057</v>
      </c>
      <c r="E268" s="19">
        <v>659.68</v>
      </c>
      <c r="F268" s="18">
        <v>0.2479035289837497</v>
      </c>
      <c r="G268" s="1">
        <v>2</v>
      </c>
      <c r="H268" s="1">
        <v>2.4</v>
      </c>
      <c r="I268" s="16">
        <v>32.799999999999997</v>
      </c>
      <c r="J268" s="1">
        <v>874.85699999999997</v>
      </c>
      <c r="K268" s="1">
        <v>17.02019229225855</v>
      </c>
      <c r="L268" s="1">
        <v>93.069000000000003</v>
      </c>
      <c r="M268" s="1">
        <v>15.056249227345786</v>
      </c>
      <c r="N268" s="1">
        <v>-3.9522952962071978</v>
      </c>
      <c r="O268" s="1">
        <v>420299</v>
      </c>
      <c r="P268" s="1">
        <v>-0.82375704948205453</v>
      </c>
      <c r="Q268" s="1">
        <v>30.421558164354323</v>
      </c>
      <c r="R268" s="1">
        <v>2.2000000000000002</v>
      </c>
      <c r="S268" s="1">
        <v>3.4716666666666667</v>
      </c>
      <c r="T268" s="3">
        <v>20.97</v>
      </c>
      <c r="V268" s="20">
        <f t="shared" si="71"/>
        <v>14.27916699599901</v>
      </c>
      <c r="W268" s="20">
        <f t="shared" si="72"/>
        <v>-1.6716666666666666</v>
      </c>
      <c r="X268" s="20">
        <f t="shared" si="72"/>
        <v>-1.4383333333333335</v>
      </c>
      <c r="Y268" s="20">
        <f t="shared" si="70"/>
        <v>-44.669333333333313</v>
      </c>
      <c r="Z268" s="20">
        <f t="shared" si="73"/>
        <v>14.52811455380118</v>
      </c>
      <c r="AA268" s="19">
        <f>+AVERAGE(M266:M268)*AVERAGE($F$15:F268)</f>
        <v>4.7163024241778846</v>
      </c>
      <c r="AB268" s="19">
        <f t="shared" si="74"/>
        <v>-4.0237440951330408</v>
      </c>
      <c r="AC268" s="19">
        <f t="shared" si="75"/>
        <v>0.63487649960315784</v>
      </c>
      <c r="AD268" s="21">
        <f t="shared" si="76"/>
        <v>35.91689384260804</v>
      </c>
      <c r="AE268" s="19"/>
      <c r="AG268" s="20">
        <f>(V268- AVERAGE(V$41:V268))/_xlfn.STDEV.S(V233:V268)</f>
        <v>0.59288545571502516</v>
      </c>
      <c r="AH268" s="20">
        <f>(W268- AVERAGE(W$41:W268))/_xlfn.STDEV.S(W233:W268)</f>
        <v>-0.25943496798024845</v>
      </c>
      <c r="AI268" s="20">
        <f>(X268- AVERAGE(X$41:X268))/_xlfn.STDEV.S(X233:X268)</f>
        <v>-0.94079041700050026</v>
      </c>
      <c r="AJ268" s="20">
        <f>(Y268- AVERAGE(Y$41:Y268))/_xlfn.STDEV.S(Y233:Y268)</f>
        <v>-0.61676748410448878</v>
      </c>
      <c r="AK268" s="20">
        <f>(Z268- AVERAGE(Z$41:Z268))/_xlfn.STDEV.S(Z233:Z268)</f>
        <v>4.6510942312552084</v>
      </c>
      <c r="AL268" s="20">
        <f>(AA268- AVERAGE(AA$41:AA268))/_xlfn.STDEV.S(AA233:AA268)</f>
        <v>1.3382520945203467</v>
      </c>
      <c r="AM268" s="20">
        <f>(AB268- AVERAGE(AB$41:AB268))/_xlfn.STDEV.S(AB233:AB268)</f>
        <v>0.6048052536133901</v>
      </c>
      <c r="AN268" s="20">
        <f>(AC268- AVERAGE(AC$41:AC268))/_xlfn.STDEV.S(AC233:AC268)</f>
        <v>-0.28066719530475021</v>
      </c>
      <c r="AO268" s="24">
        <f>(AD268- AVERAGE(AD$41:AD268))/_xlfn.STDEV.S(AD233:AD268)</f>
        <v>0.68483018829772824</v>
      </c>
      <c r="AP268" s="20"/>
      <c r="AQ268" s="20">
        <f t="shared" ref="AQ268:AQ275" si="84">+IF(AG268&gt;AG$2,AG$2,IF(AG268&lt;AG$1,AG$1,AG268))</f>
        <v>0.59288545571502516</v>
      </c>
      <c r="AR268" s="20">
        <f t="shared" ref="AR268:AR275" si="85">+IF(AH268&gt;AH$2,AH$2,IF(AH268&lt;AH$1,AH$1,AH268))</f>
        <v>-0.25943496798024845</v>
      </c>
      <c r="AS268" s="20">
        <f t="shared" ref="AS268:AS275" si="86">+IF(AI268&gt;AI$2,AI$2,IF(AI268&lt;AI$1,AI$1,AI268))</f>
        <v>-0.94079041700050026</v>
      </c>
      <c r="AT268" s="20">
        <f t="shared" ref="AT268" si="87">+IF(AJ268&gt;AJ$2,AJ$2,IF(AJ268&lt;AJ$1,AJ$1,AJ268))</f>
        <v>-0.61676748410448878</v>
      </c>
      <c r="AU268" s="20">
        <f t="shared" si="64"/>
        <v>4.6510942312552084</v>
      </c>
      <c r="AV268" s="20">
        <f t="shared" si="81"/>
        <v>1.3382520945203467</v>
      </c>
      <c r="AW268" s="20">
        <f t="shared" si="66"/>
        <v>0.6048052536133901</v>
      </c>
      <c r="AX268" s="20">
        <f t="shared" si="82"/>
        <v>-0.28066719530475021</v>
      </c>
      <c r="AY268" s="20">
        <f t="shared" si="83"/>
        <v>0.68483018829772824</v>
      </c>
      <c r="AZ268" s="22">
        <f t="shared" si="69"/>
        <v>0.64157857322352341</v>
      </c>
      <c r="BA268" s="1">
        <f>+_xlfn.XLOOKUP(A268,[1]Indice!B:B,[1]Indice!AI:AI,"NOOOOOO",-1)</f>
        <v>0.45343729661256993</v>
      </c>
    </row>
    <row r="269" spans="1:53" x14ac:dyDescent="0.25">
      <c r="A269" s="2">
        <v>46081</v>
      </c>
      <c r="B269" s="15">
        <v>5963</v>
      </c>
      <c r="C269" s="19">
        <v>-2.882736156351795</v>
      </c>
      <c r="D269" s="15">
        <v>5167</v>
      </c>
      <c r="E269" s="19">
        <v>659.68</v>
      </c>
      <c r="F269" s="18">
        <v>0.24657864419112296</v>
      </c>
      <c r="G269" s="1">
        <v>-1.5</v>
      </c>
      <c r="H269" s="1">
        <v>-0.7</v>
      </c>
      <c r="I269" s="16">
        <v>33.1</v>
      </c>
      <c r="J269" s="1">
        <v>865.00400000000002</v>
      </c>
      <c r="K269" s="1">
        <v>15.975753805394932</v>
      </c>
      <c r="L269" s="1">
        <v>89.173000000000002</v>
      </c>
      <c r="M269" s="1">
        <v>10.926868103845067</v>
      </c>
      <c r="N269" s="1">
        <v>-3.4712636783386985</v>
      </c>
      <c r="O269" s="1">
        <v>439279</v>
      </c>
      <c r="P269" s="1">
        <v>1.2688605844043632</v>
      </c>
      <c r="Q269" s="1">
        <v>33.326672528175209</v>
      </c>
      <c r="R269" s="1">
        <v>2.2000000000000002</v>
      </c>
      <c r="S269" s="1">
        <v>3.58</v>
      </c>
      <c r="T269" s="3">
        <v>22.3</v>
      </c>
      <c r="V269" s="20">
        <f t="shared" si="71"/>
        <v>5.0017287410009601</v>
      </c>
      <c r="W269" s="20">
        <f t="shared" si="72"/>
        <v>-2.246666666666667</v>
      </c>
      <c r="X269" s="20">
        <f t="shared" si="72"/>
        <v>-2.4133333333333331</v>
      </c>
      <c r="Y269" s="20">
        <f t="shared" si="70"/>
        <v>-43.158499999999968</v>
      </c>
      <c r="Z269" s="20">
        <f t="shared" si="73"/>
        <v>15.548671150926863</v>
      </c>
      <c r="AA269" s="19">
        <f>+AVERAGE(M267:M269)*AVERAGE($F$15:F269)</f>
        <v>3.9388772940829924</v>
      </c>
      <c r="AB269" s="19">
        <f t="shared" si="74"/>
        <v>-3.8877404735667547</v>
      </c>
      <c r="AC269" s="19">
        <f t="shared" si="75"/>
        <v>0.73282264657467489</v>
      </c>
      <c r="AD269" s="21">
        <f t="shared" si="76"/>
        <v>27.797870802630801</v>
      </c>
      <c r="AE269" s="19"/>
      <c r="AG269" s="20">
        <f>(V269- AVERAGE(V$41:V269))/_xlfn.STDEV.S(V234:V269)</f>
        <v>0.10332024408591181</v>
      </c>
      <c r="AH269" s="20">
        <f>(W269- AVERAGE(W$41:W269))/_xlfn.STDEV.S(W234:W269)</f>
        <v>-0.43235000366214948</v>
      </c>
      <c r="AI269" s="20">
        <f>(X269- AVERAGE(X$41:X269))/_xlfn.STDEV.S(X234:X269)</f>
        <v>-1.6576947598937188</v>
      </c>
      <c r="AJ269" s="20">
        <f>(Y269- AVERAGE(Y$41:Y269))/_xlfn.STDEV.S(Y234:Y269)</f>
        <v>-0.58913663090234569</v>
      </c>
      <c r="AK269" s="20">
        <f>(Z269- AVERAGE(Z$41:Z269))/_xlfn.STDEV.S(Z234:Z269)</f>
        <v>4.8130876305379324</v>
      </c>
      <c r="AL269" s="20">
        <f>(AA269- AVERAGE(AA$41:AA269))/_xlfn.STDEV.S(AA234:AA269)</f>
        <v>1.1296623184621215</v>
      </c>
      <c r="AM269" s="20">
        <f>(AB269- AVERAGE(AB$41:AB269))/_xlfn.STDEV.S(AB234:AB269)</f>
        <v>0.60793966765963592</v>
      </c>
      <c r="AN269" s="20">
        <f>(AC269- AVERAGE(AC$41:AC269))/_xlfn.STDEV.S(AC234:AC269)</f>
        <v>-0.27012949107437012</v>
      </c>
      <c r="AO269" s="24">
        <f>(AD269- AVERAGE(AD$41:AD269))/_xlfn.STDEV.S(AD234:AD269)</f>
        <v>0.42503042044715333</v>
      </c>
      <c r="AP269" s="20"/>
      <c r="AQ269" s="20">
        <f t="shared" si="84"/>
        <v>0.10332024408591181</v>
      </c>
      <c r="AR269" s="20">
        <f t="shared" si="85"/>
        <v>-0.43235000366214948</v>
      </c>
      <c r="AS269" s="20">
        <f t="shared" si="86"/>
        <v>-1.6576947598937188</v>
      </c>
      <c r="AT269" s="20">
        <f t="shared" ref="AT269:AT275" si="88">+IF(AJ269&gt;AJ$2,AJ$2,IF(AJ269&lt;AJ$1,AJ$1,AJ269))</f>
        <v>-0.58913663090234569</v>
      </c>
      <c r="AU269" s="20">
        <f t="shared" ref="AU269:AU275" si="89">+IF(AK269&gt;AK$2,AK$2,IF(AK269&lt;AK$1,AK$1,AK269))</f>
        <v>4.8130876305379324</v>
      </c>
      <c r="AV269" s="20">
        <f t="shared" ref="AV269:AV275" si="90">+IF(AL269&gt;AL$2,AL$2,IF(AL269&lt;AL$1,AL$1,AL269))</f>
        <v>1.1296623184621215</v>
      </c>
      <c r="AW269" s="20">
        <f t="shared" ref="AW269:AW275" si="91">+IF(AM269&gt;AM$2,AM$2,IF(AM269&lt;AM$1,AM$1,AM269))</f>
        <v>0.60793966765963592</v>
      </c>
      <c r="AX269" s="20">
        <f t="shared" ref="AX269:AX275" si="92">+IF(AN269&gt;AN$2,AN$2,IF(AN269&lt;AN$1,AN$1,AN269))</f>
        <v>-0.27012949107437012</v>
      </c>
      <c r="AY269" s="20">
        <f t="shared" ref="AY269:AY275" si="93">+IF(AO269&gt;AO$2,AO$2,IF(AO269&lt;AO$1,AO$1,AO269))</f>
        <v>0.42503042044715333</v>
      </c>
      <c r="AZ269" s="22">
        <f t="shared" ref="AZ269:AZ275" si="94">+AVERAGE(AQ269:AY269)</f>
        <v>0.45885882174001896</v>
      </c>
      <c r="BA269" s="1">
        <f>+_xlfn.XLOOKUP(A269,[1]Indice!B:B,[1]Indice!AI:AI,"NOOOOOO",-1)</f>
        <v>0.47107287223157079</v>
      </c>
    </row>
    <row r="270" spans="1:53" x14ac:dyDescent="0.25">
      <c r="A270" s="2">
        <v>46112</v>
      </c>
      <c r="B270" s="15">
        <v>8697</v>
      </c>
      <c r="C270" s="19">
        <v>30.939476061427285</v>
      </c>
      <c r="D270" s="15">
        <v>6116</v>
      </c>
      <c r="E270" s="19">
        <v>689.47</v>
      </c>
      <c r="F270" s="18">
        <v>0.23904593383323422</v>
      </c>
      <c r="G270" s="1">
        <v>6.2</v>
      </c>
      <c r="H270" s="1">
        <v>5</v>
      </c>
      <c r="I270" s="16">
        <v>36.200000000000003</v>
      </c>
      <c r="J270" s="1">
        <v>869.92899999999997</v>
      </c>
      <c r="K270" s="1">
        <v>16.216923901092663</v>
      </c>
      <c r="L270" s="1">
        <v>84.165000000000006</v>
      </c>
      <c r="M270" s="1">
        <v>5.6924352019288804</v>
      </c>
      <c r="N270" s="1">
        <v>-4.1236811957831243</v>
      </c>
      <c r="O270" s="1">
        <v>461636</v>
      </c>
      <c r="P270" s="1">
        <v>4.9668934405355358</v>
      </c>
      <c r="Q270" s="1">
        <v>86.028365912138852</v>
      </c>
      <c r="R270" s="1">
        <v>2.4</v>
      </c>
      <c r="S270" s="1">
        <v>3.5666666666666669</v>
      </c>
      <c r="T270" s="3">
        <v>23.8</v>
      </c>
      <c r="V270" s="20">
        <f t="shared" si="71"/>
        <v>13.280649001889071</v>
      </c>
      <c r="W270" s="20">
        <f t="shared" si="72"/>
        <v>-1.3333333333333335</v>
      </c>
      <c r="X270" s="20">
        <f t="shared" si="72"/>
        <v>-1.3333333333333335</v>
      </c>
      <c r="Y270" s="20">
        <f t="shared" si="70"/>
        <v>-41.436833333333318</v>
      </c>
      <c r="Z270" s="20">
        <f t="shared" si="73"/>
        <v>16.404289999582048</v>
      </c>
      <c r="AA270" s="19">
        <f>+AVERAGE(M268:M270)*AVERAGE($F$15:F270)</f>
        <v>2.7636974362365416</v>
      </c>
      <c r="AB270" s="19">
        <f t="shared" si="74"/>
        <v>-3.8490800567763404</v>
      </c>
      <c r="AC270" s="19">
        <f t="shared" si="75"/>
        <v>1.8039989918192816</v>
      </c>
      <c r="AD270" s="21">
        <f t="shared" si="76"/>
        <v>49.92553220155613</v>
      </c>
      <c r="AE270" s="19"/>
      <c r="AG270" s="20">
        <f>(V270- AVERAGE(V$41:V270))/_xlfn.STDEV.S(V235:V270)</f>
        <v>0.54739268798191709</v>
      </c>
      <c r="AH270" s="20">
        <f>(W270- AVERAGE(W$41:W270))/_xlfn.STDEV.S(W235:W270)</f>
        <v>-0.15306181349839659</v>
      </c>
      <c r="AI270" s="20">
        <f>(X270- AVERAGE(X$41:X270))/_xlfn.STDEV.S(X235:X270)</f>
        <v>-0.83633568216928866</v>
      </c>
      <c r="AJ270" s="20">
        <f>(Y270- AVERAGE(Y$41:Y270))/_xlfn.STDEV.S(Y235:Y270)</f>
        <v>-0.56108688488607328</v>
      </c>
      <c r="AK270" s="20">
        <f>(Z270- AVERAGE(Z$41:Z270))/_xlfn.STDEV.S(Z235:Z270)</f>
        <v>4.8622724276034415</v>
      </c>
      <c r="AL270" s="20">
        <f>(AA270- AVERAGE(AA$41:AA270))/_xlfn.STDEV.S(AA235:AA270)</f>
        <v>0.83634338190569057</v>
      </c>
      <c r="AM270" s="20">
        <f>(AB270- AVERAGE(AB$41:AB270))/_xlfn.STDEV.S(AB235:AB270)</f>
        <v>0.61062813802105154</v>
      </c>
      <c r="AN270" s="20">
        <f>(AC270- AVERAGE(AC$41:AC270))/_xlfn.STDEV.S(AC235:AC270)</f>
        <v>-5.9802072931158641E-2</v>
      </c>
      <c r="AO270" s="24">
        <f>(AD270- AVERAGE(AD$41:AD270))/_xlfn.STDEV.S(AD235:AD270)</f>
        <v>1.2216023236225426</v>
      </c>
      <c r="AP270" s="20"/>
      <c r="AQ270" s="20">
        <f t="shared" si="84"/>
        <v>0.54739268798191709</v>
      </c>
      <c r="AR270" s="20">
        <f t="shared" si="85"/>
        <v>-0.15306181349839659</v>
      </c>
      <c r="AS270" s="20">
        <f t="shared" si="86"/>
        <v>-0.83633568216928866</v>
      </c>
      <c r="AT270" s="20">
        <f t="shared" si="88"/>
        <v>-0.56108688488607328</v>
      </c>
      <c r="AU270" s="20">
        <f t="shared" si="89"/>
        <v>4.8280582173360092</v>
      </c>
      <c r="AV270" s="20">
        <f t="shared" si="90"/>
        <v>0.83634338190569057</v>
      </c>
      <c r="AW270" s="20">
        <f t="shared" si="91"/>
        <v>0.61062813802105154</v>
      </c>
      <c r="AX270" s="20">
        <f t="shared" si="92"/>
        <v>-5.9802072931158641E-2</v>
      </c>
      <c r="AY270" s="20">
        <f t="shared" si="93"/>
        <v>1.2216023236225426</v>
      </c>
      <c r="AZ270" s="22">
        <f t="shared" si="94"/>
        <v>0.71485981059803272</v>
      </c>
      <c r="BA270" s="1">
        <f>+_xlfn.XLOOKUP(A270,[1]Indice!B:B,[1]Indice!AI:AI,"NOOOOOO",-1)</f>
        <v>0.55417103986352634</v>
      </c>
    </row>
    <row r="271" spans="1:53" x14ac:dyDescent="0.25">
      <c r="A271" s="2">
        <v>46142</v>
      </c>
      <c r="B271" s="15">
        <v>8916</v>
      </c>
      <c r="C271" s="19">
        <v>33.59304764758766</v>
      </c>
      <c r="D271" s="15">
        <v>6203</v>
      </c>
      <c r="E271" s="19">
        <v>689.47</v>
      </c>
      <c r="F271" s="18">
        <v>0.24192495685091447</v>
      </c>
      <c r="G271" s="1">
        <v>1.7</v>
      </c>
      <c r="H271" s="1">
        <v>2</v>
      </c>
      <c r="I271" s="16">
        <v>39.9</v>
      </c>
      <c r="J271" s="1">
        <v>884.995</v>
      </c>
      <c r="K271" s="1">
        <v>19.252920028674758</v>
      </c>
      <c r="L271" s="1">
        <v>84.744</v>
      </c>
      <c r="M271" s="1">
        <v>-1.2813941568426412</v>
      </c>
      <c r="N271" s="1">
        <v>-5.5250094197148325</v>
      </c>
      <c r="O271" s="1">
        <v>459495</v>
      </c>
      <c r="P271" s="1">
        <v>4.3339358049808263</v>
      </c>
      <c r="Q271" s="1">
        <v>100.69226404388121</v>
      </c>
      <c r="R271" s="1">
        <v>2.4</v>
      </c>
      <c r="S271" s="1">
        <v>3.5533333333333337</v>
      </c>
      <c r="T271" s="3">
        <v>24.15</v>
      </c>
      <c r="V271" s="20">
        <f t="shared" si="71"/>
        <v>16.996595850887715</v>
      </c>
      <c r="W271" s="20">
        <f t="shared" si="72"/>
        <v>-1.4200000000000004</v>
      </c>
      <c r="X271" s="20">
        <f t="shared" si="72"/>
        <v>-1.4533333333333336</v>
      </c>
      <c r="Y271" s="20">
        <f t="shared" si="70"/>
        <v>-38.750999999999976</v>
      </c>
      <c r="Z271" s="20">
        <f t="shared" si="73"/>
        <v>17.148532578387449</v>
      </c>
      <c r="AA271" s="19">
        <f>+AVERAGE(M269:M271)*AVERAGE($F$15:F271)</f>
        <v>1.3378408253145437</v>
      </c>
      <c r="AB271" s="19">
        <f t="shared" si="74"/>
        <v>-4.3733180979455524</v>
      </c>
      <c r="AC271" s="19">
        <f t="shared" si="75"/>
        <v>3.5232299433069088</v>
      </c>
      <c r="AD271" s="21">
        <f t="shared" si="76"/>
        <v>73.34910082806509</v>
      </c>
      <c r="AE271" s="19"/>
      <c r="AG271" s="20">
        <f>(V271- AVERAGE(V$41:V271))/_xlfn.STDEV.S(V236:V271)</f>
        <v>0.76073427209125322</v>
      </c>
      <c r="AH271" s="20">
        <f>(W271- AVERAGE(W$41:W271))/_xlfn.STDEV.S(W236:W271)</f>
        <v>-0.17898186512877681</v>
      </c>
      <c r="AI271" s="20">
        <f>(X271- AVERAGE(X$41:X271))/_xlfn.STDEV.S(X236:X271)</f>
        <v>-0.93036184703323788</v>
      </c>
      <c r="AJ271" s="20">
        <f>(Y271- AVERAGE(Y$41:Y271))/_xlfn.STDEV.S(Y236:Y271)</f>
        <v>-0.52529000849828211</v>
      </c>
      <c r="AK271" s="20">
        <f>(Z271- AVERAGE(Z$41:Z271))/_xlfn.STDEV.S(Z236:Z271)</f>
        <v>4.8355636053579909</v>
      </c>
      <c r="AL271" s="20">
        <f>(AA271- AVERAGE(AA$41:AA271))/_xlfn.STDEV.S(AA236:AA271)</f>
        <v>0.48661775020093639</v>
      </c>
      <c r="AM271" s="20">
        <f>(AB271- AVERAGE(AB$41:AB271))/_xlfn.STDEV.S(AB236:AB271)</f>
        <v>0.60240879852526252</v>
      </c>
      <c r="AN271" s="20">
        <f>(AC271- AVERAGE(AC$41:AC271))/_xlfn.STDEV.S(AC236:AC271)</f>
        <v>0.37715288761303606</v>
      </c>
      <c r="AO271" s="24">
        <f>(AD271- AVERAGE(AD$41:AD271))/_xlfn.STDEV.S(AD236:AD271)</f>
        <v>1.8555452395832384</v>
      </c>
      <c r="AP271" s="20"/>
      <c r="AQ271" s="20">
        <f t="shared" si="84"/>
        <v>0.76073427209125322</v>
      </c>
      <c r="AR271" s="20">
        <f t="shared" si="85"/>
        <v>-0.17898186512877681</v>
      </c>
      <c r="AS271" s="20">
        <f t="shared" si="86"/>
        <v>-0.93036184703323788</v>
      </c>
      <c r="AT271" s="20">
        <f t="shared" si="88"/>
        <v>-0.52529000849828211</v>
      </c>
      <c r="AU271" s="20">
        <f t="shared" si="89"/>
        <v>4.8280582173360092</v>
      </c>
      <c r="AV271" s="20">
        <f t="shared" si="90"/>
        <v>0.48661775020093639</v>
      </c>
      <c r="AW271" s="20">
        <f t="shared" si="91"/>
        <v>0.60240879852526252</v>
      </c>
      <c r="AX271" s="20">
        <f t="shared" si="92"/>
        <v>0.37715288761303606</v>
      </c>
      <c r="AY271" s="20">
        <f t="shared" si="93"/>
        <v>1.8555452395832384</v>
      </c>
      <c r="AZ271" s="22">
        <f t="shared" si="94"/>
        <v>0.80843149385438218</v>
      </c>
      <c r="BA271" s="1">
        <f>+_xlfn.XLOOKUP(A271,[1]Indice!B:B,[1]Indice!AI:AI,"NOOOOOO",-1)</f>
        <v>0.51998741105211044</v>
      </c>
    </row>
    <row r="272" spans="1:53" x14ac:dyDescent="0.25">
      <c r="A272" s="2">
        <v>46173</v>
      </c>
      <c r="B272" s="15">
        <v>9578</v>
      </c>
      <c r="C272" s="19">
        <v>34.99647639182524</v>
      </c>
      <c r="D272" s="15">
        <v>6128</v>
      </c>
      <c r="E272" s="19">
        <v>689.47</v>
      </c>
      <c r="F272" s="18">
        <v>0.24500413360987425</v>
      </c>
      <c r="G272" s="1">
        <v>0.4</v>
      </c>
      <c r="H272" s="1">
        <v>0.7</v>
      </c>
      <c r="I272" s="16">
        <v>42.1</v>
      </c>
      <c r="J272" s="1">
        <v>884.995</v>
      </c>
      <c r="K272" s="1">
        <v>19.252920028674758</v>
      </c>
      <c r="L272" s="1">
        <v>84.073999999999998</v>
      </c>
      <c r="M272" s="1">
        <v>-2.3666852471200261</v>
      </c>
      <c r="N272" s="1">
        <v>-4.6423469563852793</v>
      </c>
      <c r="O272" s="1">
        <v>433712</v>
      </c>
      <c r="P272" s="1">
        <v>-0.53822991842846779</v>
      </c>
      <c r="Q272" s="1">
        <v>97.662106645207729</v>
      </c>
      <c r="R272" s="1">
        <v>2.4</v>
      </c>
      <c r="S272" s="1">
        <v>3.54</v>
      </c>
      <c r="T272" s="3">
        <v>23.32</v>
      </c>
      <c r="V272" s="20">
        <f t="shared" si="71"/>
        <v>29.636333366946729</v>
      </c>
      <c r="W272" s="20">
        <f t="shared" si="72"/>
        <v>-0.77333333333333298</v>
      </c>
      <c r="X272" s="20">
        <f t="shared" si="72"/>
        <v>-0.97333333333333316</v>
      </c>
      <c r="Y272" s="20">
        <f t="shared" si="70"/>
        <v>-35.418666666666645</v>
      </c>
      <c r="Z272" s="20">
        <f t="shared" si="73"/>
        <v>18.240921319480726</v>
      </c>
      <c r="AA272" s="19">
        <f>+AVERAGE(M270:M272)*AVERAGE($F$15:F272)</f>
        <v>0.17827379991496603</v>
      </c>
      <c r="AB272" s="19">
        <f t="shared" si="74"/>
        <v>-4.7636791906277454</v>
      </c>
      <c r="AC272" s="19">
        <f t="shared" si="75"/>
        <v>2.9208664423626316</v>
      </c>
      <c r="AD272" s="21">
        <f t="shared" si="76"/>
        <v>94.794245533742583</v>
      </c>
      <c r="AE272" s="19"/>
      <c r="AG272" s="20">
        <f>(V272- AVERAGE(V$41:V272))/_xlfn.STDEV.S(V237:V272)</f>
        <v>1.4659205675600921</v>
      </c>
      <c r="AH272" s="20">
        <f>(W272- AVERAGE(W$41:W272))/_xlfn.STDEV.S(W237:W272)</f>
        <v>1.9121870437191085E-2</v>
      </c>
      <c r="AI272" s="20">
        <f>(X272- AVERAGE(X$41:X272))/_xlfn.STDEV.S(X237:X272)</f>
        <v>-0.59021107942230966</v>
      </c>
      <c r="AJ272" s="20">
        <f>(Y272- AVERAGE(Y$41:Y272))/_xlfn.STDEV.S(Y237:Y272)</f>
        <v>-0.48497704824163895</v>
      </c>
      <c r="AK272" s="20">
        <f>(Z272- AVERAGE(Z$41:Z272))/_xlfn.STDEV.S(Z237:Z272)</f>
        <v>4.8592115101009723</v>
      </c>
      <c r="AL272" s="20">
        <f>(AA272- AVERAGE(AA$41:AA272))/_xlfn.STDEV.S(AA237:AA272)</f>
        <v>0.20205014476982394</v>
      </c>
      <c r="AM272" s="20">
        <f>(AB272- AVERAGE(AB$41:AB272))/_xlfn.STDEV.S(AB237:AB272)</f>
        <v>0.60167189680303035</v>
      </c>
      <c r="AN272" s="20">
        <f>(AC272- AVERAGE(AC$41:AC272))/_xlfn.STDEV.S(AC237:AC272)</f>
        <v>0.25711882288787447</v>
      </c>
      <c r="AO272" s="24">
        <f>(AD272- AVERAGE(AD$41:AD272))/_xlfn.STDEV.S(AD237:AD272)</f>
        <v>2.2445658718481316</v>
      </c>
      <c r="AP272" s="20"/>
      <c r="AQ272" s="20">
        <f t="shared" si="84"/>
        <v>1.4659205675600921</v>
      </c>
      <c r="AR272" s="20">
        <f t="shared" si="85"/>
        <v>1.9121870437191085E-2</v>
      </c>
      <c r="AS272" s="20">
        <f t="shared" si="86"/>
        <v>-0.59021107942230966</v>
      </c>
      <c r="AT272" s="20">
        <f t="shared" si="88"/>
        <v>-0.48497704824163895</v>
      </c>
      <c r="AU272" s="20">
        <f t="shared" si="89"/>
        <v>4.8280582173360092</v>
      </c>
      <c r="AV272" s="20">
        <f t="shared" si="90"/>
        <v>0.20205014476982394</v>
      </c>
      <c r="AW272" s="20">
        <f t="shared" si="91"/>
        <v>0.60167189680303035</v>
      </c>
      <c r="AX272" s="20">
        <f t="shared" si="92"/>
        <v>0.25711882288787447</v>
      </c>
      <c r="AY272" s="20">
        <f t="shared" si="93"/>
        <v>2.2445658718481316</v>
      </c>
      <c r="AZ272" s="22">
        <f t="shared" si="94"/>
        <v>0.94925769599757814</v>
      </c>
      <c r="BA272" s="1">
        <f>+_xlfn.XLOOKUP(A272,[1]Indice!B:B,[1]Indice!AI:AI,"NOOOOOO",-1)</f>
        <v>0.5370349972824735</v>
      </c>
    </row>
    <row r="273" spans="1:53" x14ac:dyDescent="0.25">
      <c r="A273" s="2">
        <v>46203</v>
      </c>
      <c r="B273" s="15">
        <v>9112</v>
      </c>
      <c r="C273" s="19">
        <v>25.250859106529198</v>
      </c>
      <c r="D273" s="15">
        <v>6877</v>
      </c>
      <c r="E273" s="19">
        <v>799.77</v>
      </c>
      <c r="F273" s="18">
        <v>0.21411280743213673</v>
      </c>
      <c r="G273" s="1">
        <v>2.7</v>
      </c>
      <c r="H273" s="1">
        <v>1.5</v>
      </c>
      <c r="I273" s="16">
        <v>42.1</v>
      </c>
      <c r="J273" s="1">
        <v>884.995</v>
      </c>
      <c r="K273" s="1">
        <v>19.252920028674758</v>
      </c>
      <c r="L273" s="1">
        <v>85.685000000000002</v>
      </c>
      <c r="M273" s="1">
        <v>-3.172038150341272</v>
      </c>
      <c r="N273" s="1">
        <v>-3.8888415025175815</v>
      </c>
      <c r="O273" s="1">
        <v>408359</v>
      </c>
      <c r="P273" s="1">
        <v>-2.5282192905614287</v>
      </c>
      <c r="Q273" s="1">
        <v>126.70557456228622</v>
      </c>
      <c r="R273" s="1">
        <v>2</v>
      </c>
      <c r="S273" s="1">
        <v>3.261666666666668</v>
      </c>
      <c r="T273" s="3">
        <v>22.3</v>
      </c>
      <c r="V273" s="20">
        <f t="shared" si="71"/>
        <v>28.018461048647367</v>
      </c>
      <c r="W273" s="20">
        <f t="shared" si="72"/>
        <v>-1.6616666666666677</v>
      </c>
      <c r="X273" s="20">
        <f t="shared" si="72"/>
        <v>-1.8616666666666679</v>
      </c>
      <c r="Y273" s="20">
        <f t="shared" si="70"/>
        <v>-33.108666666666672</v>
      </c>
      <c r="Z273" s="20">
        <f t="shared" si="73"/>
        <v>19.252920028674758</v>
      </c>
      <c r="AA273" s="19">
        <f>+AVERAGE(M271:M273)*AVERAGE($F$15:F273)</f>
        <v>-0.59431728574736709</v>
      </c>
      <c r="AB273" s="19">
        <f t="shared" si="74"/>
        <v>-4.6853992928725647</v>
      </c>
      <c r="AC273" s="19">
        <f t="shared" si="75"/>
        <v>0.42249553199697659</v>
      </c>
      <c r="AD273" s="21">
        <f t="shared" si="76"/>
        <v>108.35331508379171</v>
      </c>
      <c r="AE273" s="19"/>
      <c r="AG273" s="20">
        <f>(V273- AVERAGE(V$41:V273))/_xlfn.STDEV.S(V238:V273)</f>
        <v>1.422279860122974</v>
      </c>
      <c r="AH273" s="20">
        <f>(W273- AVERAGE(W$41:W273))/_xlfn.STDEV.S(W238:W273)</f>
        <v>-0.26574356925799109</v>
      </c>
      <c r="AI273" s="20">
        <f>(X273- AVERAGE(X$41:X273))/_xlfn.STDEV.S(X238:X273)</f>
        <v>-1.4119666524314933</v>
      </c>
      <c r="AJ273" s="20">
        <f>(Y273- AVERAGE(Y$41:Y273))/_xlfn.STDEV.S(Y238:Y273)</f>
        <v>-0.45596613411105352</v>
      </c>
      <c r="AK273" s="20">
        <f>(Z273- AVERAGE(Z$41:Z273))/_xlfn.STDEV.S(Z238:Z273)</f>
        <v>4.8432541225106469</v>
      </c>
      <c r="AL273" s="20">
        <f>(AA273- AVERAGE(AA$41:AA273))/_xlfn.STDEV.S(AA238:AA273)</f>
        <v>1.1938052562496458E-2</v>
      </c>
      <c r="AM273" s="20">
        <f>(AB273- AVERAGE(AB$41:AB273))/_xlfn.STDEV.S(AB238:AB273)</f>
        <v>0.61764489452899063</v>
      </c>
      <c r="AN273" s="20">
        <f>(AC273- AVERAGE(AC$41:AC273))/_xlfn.STDEV.S(AC238:AC273)</f>
        <v>-0.60236824962585334</v>
      </c>
      <c r="AO273" s="24">
        <f>(AD273- AVERAGE(AD$41:AD273))/_xlfn.STDEV.S(AD238:AD273)</f>
        <v>2.3434677260139716</v>
      </c>
      <c r="AP273" s="20"/>
      <c r="AQ273" s="20">
        <f t="shared" si="84"/>
        <v>1.422279860122974</v>
      </c>
      <c r="AR273" s="20">
        <f t="shared" si="85"/>
        <v>-0.26574356925799109</v>
      </c>
      <c r="AS273" s="20">
        <f t="shared" si="86"/>
        <v>-1.4119666524314933</v>
      </c>
      <c r="AT273" s="20">
        <f t="shared" si="88"/>
        <v>-0.45596613411105352</v>
      </c>
      <c r="AU273" s="20">
        <f t="shared" si="89"/>
        <v>4.8280582173360092</v>
      </c>
      <c r="AV273" s="20">
        <f t="shared" si="90"/>
        <v>1.1938052562496458E-2</v>
      </c>
      <c r="AW273" s="20">
        <f t="shared" si="91"/>
        <v>0.61764489452899063</v>
      </c>
      <c r="AX273" s="20">
        <f t="shared" si="92"/>
        <v>-0.60236824962585334</v>
      </c>
      <c r="AY273" s="20">
        <f t="shared" si="93"/>
        <v>2.3434677260139716</v>
      </c>
      <c r="AZ273" s="22">
        <f t="shared" si="94"/>
        <v>0.72081601612645008</v>
      </c>
      <c r="BA273" s="1">
        <f>+_xlfn.XLOOKUP(A273,[1]Indice!B:B,[1]Indice!AI:AI,"NOOOOOO",-1)</f>
        <v>0.50361415204873172</v>
      </c>
    </row>
    <row r="274" spans="1:53" x14ac:dyDescent="0.25">
      <c r="A274" s="2">
        <v>46234</v>
      </c>
      <c r="B274" s="15">
        <v>8854</v>
      </c>
      <c r="C274" s="19">
        <v>14.083236696302027</v>
      </c>
      <c r="D274" s="15">
        <v>6739</v>
      </c>
      <c r="E274" s="19">
        <v>799.77</v>
      </c>
      <c r="F274" s="18">
        <v>0.21533565900196305</v>
      </c>
      <c r="G274" s="1">
        <v>2.7</v>
      </c>
      <c r="H274" s="1">
        <v>1.5</v>
      </c>
      <c r="I274" s="16">
        <v>40.9</v>
      </c>
      <c r="J274" s="1">
        <v>884.995</v>
      </c>
      <c r="K274" s="1">
        <v>19.252920028674758</v>
      </c>
      <c r="L274" s="1">
        <v>85.31</v>
      </c>
      <c r="M274" s="1">
        <v>-12.712948278508208</v>
      </c>
      <c r="N274" s="1">
        <v>-4.7781249704589746</v>
      </c>
      <c r="O274" s="1">
        <v>406987</v>
      </c>
      <c r="P274" s="1">
        <v>-4.6178616375784802</v>
      </c>
      <c r="Q274" s="1">
        <v>142.20465524813349</v>
      </c>
      <c r="R274" s="1">
        <v>2</v>
      </c>
      <c r="S274" s="1">
        <v>2.9833333333333347</v>
      </c>
      <c r="T274" s="3">
        <v>21.8</v>
      </c>
      <c r="V274" s="20">
        <f t="shared" si="71"/>
        <v>21.793524064885489</v>
      </c>
      <c r="W274" s="20">
        <f t="shared" si="72"/>
        <v>-1.0500000000000012</v>
      </c>
      <c r="X274" s="20">
        <f t="shared" si="72"/>
        <v>-1.7500000000000013</v>
      </c>
      <c r="Y274" s="20">
        <f t="shared" si="70"/>
        <v>-32.418666666666674</v>
      </c>
      <c r="Z274" s="20">
        <f t="shared" si="73"/>
        <v>19.252920028674758</v>
      </c>
      <c r="AA274" s="19">
        <f>+AVERAGE(M272:M274)*AVERAGE($F$15:F274)</f>
        <v>-1.5894049512849564</v>
      </c>
      <c r="AB274" s="19">
        <f t="shared" si="74"/>
        <v>-4.4364378097872788</v>
      </c>
      <c r="AC274" s="19">
        <f t="shared" si="75"/>
        <v>-2.5614369488561253</v>
      </c>
      <c r="AD274" s="21">
        <f t="shared" si="76"/>
        <v>122.19077881854248</v>
      </c>
      <c r="AE274" s="19"/>
      <c r="AG274" s="20">
        <f>(V274- AVERAGE(V$41:V274))/_xlfn.STDEV.S(V239:V274)</f>
        <v>1.1109874733914331</v>
      </c>
      <c r="AH274" s="20">
        <f>(W274- AVERAGE(W$41:W274))/_xlfn.STDEV.S(W239:W274)</f>
        <v>-6.993948908876646E-2</v>
      </c>
      <c r="AI274" s="20">
        <f>(X274- AVERAGE(X$41:X274))/_xlfn.STDEV.S(X239:X274)</f>
        <v>-1.367713893257845</v>
      </c>
      <c r="AJ274" s="20">
        <f>(Y274- AVERAGE(Y$41:Y274))/_xlfn.STDEV.S(Y239:Y274)</f>
        <v>-0.44330138738481323</v>
      </c>
      <c r="AK274" s="20">
        <f>(Z274- AVERAGE(Z$41:Z274))/_xlfn.STDEV.S(Z239:Z274)</f>
        <v>4.6484021454038089</v>
      </c>
      <c r="AL274" s="20">
        <f>(AA274- AVERAGE(AA$41:AA274))/_xlfn.STDEV.S(AA239:AA274)</f>
        <v>-0.23129127118848619</v>
      </c>
      <c r="AM274" s="20">
        <f>(AB274- AVERAGE(AB$41:AB274))/_xlfn.STDEV.S(AB239:AB274)</f>
        <v>0.64160670609133008</v>
      </c>
      <c r="AN274" s="20">
        <f>(AC274- AVERAGE(AC$41:AC274))/_xlfn.STDEV.S(AC239:AC274)</f>
        <v>-1.9533538620962363</v>
      </c>
      <c r="AO274" s="24">
        <f>(AD274- AVERAGE(AD$41:AD274))/_xlfn.STDEV.S(AD239:AD274)</f>
        <v>2.3947680178190214</v>
      </c>
      <c r="AP274" s="20"/>
      <c r="AQ274" s="20">
        <f t="shared" si="84"/>
        <v>1.1109874733914331</v>
      </c>
      <c r="AR274" s="20">
        <f t="shared" si="85"/>
        <v>-6.993948908876646E-2</v>
      </c>
      <c r="AS274" s="20">
        <f t="shared" si="86"/>
        <v>-1.367713893257845</v>
      </c>
      <c r="AT274" s="20">
        <f t="shared" si="88"/>
        <v>-0.44330138738481323</v>
      </c>
      <c r="AU274" s="20">
        <f t="shared" si="89"/>
        <v>4.6484021454038089</v>
      </c>
      <c r="AV274" s="20">
        <f t="shared" si="90"/>
        <v>-0.23129127118848619</v>
      </c>
      <c r="AW274" s="20">
        <f t="shared" si="91"/>
        <v>0.64160670609133008</v>
      </c>
      <c r="AX274" s="20">
        <f t="shared" si="92"/>
        <v>-1.9533538620962363</v>
      </c>
      <c r="AY274" s="20">
        <f t="shared" si="93"/>
        <v>2.3947680178190214</v>
      </c>
      <c r="AZ274" s="22">
        <f t="shared" si="94"/>
        <v>0.52557382663216068</v>
      </c>
      <c r="BA274" s="1">
        <f>+_xlfn.XLOOKUP(A274,[1]Indice!B:B,[1]Indice!AI:AI,"NOOOOOO",-1)</f>
        <v>0.55227939799998471</v>
      </c>
    </row>
    <row r="275" spans="1:53" x14ac:dyDescent="0.25">
      <c r="A275" s="2">
        <v>46265</v>
      </c>
      <c r="B275" s="15">
        <v>8854</v>
      </c>
      <c r="C275" s="19">
        <v>12.03340503606225</v>
      </c>
      <c r="D275" s="15">
        <v>6739</v>
      </c>
      <c r="E275" s="19">
        <v>799.77</v>
      </c>
      <c r="F275" s="18">
        <v>0.21686985008189855</v>
      </c>
      <c r="G275" s="1">
        <v>2.7</v>
      </c>
      <c r="H275" s="1">
        <v>1.5</v>
      </c>
      <c r="I275" s="16">
        <v>38.200000000000003</v>
      </c>
      <c r="J275" s="1">
        <v>884.995</v>
      </c>
      <c r="K275" s="1">
        <v>19.252920028674758</v>
      </c>
      <c r="L275" s="1">
        <v>85.873999999999995</v>
      </c>
      <c r="M275" s="1">
        <v>-10.28343972335113</v>
      </c>
      <c r="N275" s="1">
        <v>-4.4609538328378884</v>
      </c>
      <c r="O275" s="1">
        <v>424460</v>
      </c>
      <c r="P275" s="1">
        <v>0.89206977777882557</v>
      </c>
      <c r="Q275" s="1">
        <v>170.6617165319939</v>
      </c>
      <c r="R275" s="1">
        <v>2</v>
      </c>
      <c r="S275" s="1">
        <v>2.7050000000000001</v>
      </c>
      <c r="T275" s="3">
        <v>21</v>
      </c>
      <c r="V275" s="20">
        <f t="shared" si="71"/>
        <v>14.417500279631158</v>
      </c>
      <c r="W275" s="20">
        <f t="shared" si="72"/>
        <v>-4.9999999999994493E-3</v>
      </c>
      <c r="X275" s="20">
        <f t="shared" si="72"/>
        <v>-1.2050000000000001</v>
      </c>
      <c r="Y275" s="20">
        <f>+AVERAGE(I273:I275)-AVERAGE(T216:T275)</f>
        <v>-33.340833333333343</v>
      </c>
      <c r="Z275" s="20">
        <f>AVERAGE(K273:K275)</f>
        <v>19.252920028674758</v>
      </c>
      <c r="AA275" s="19">
        <f>+AVERAGE(M273:M275)*AVERAGE($F$15:F275)</f>
        <v>-2.2773341968924021</v>
      </c>
      <c r="AB275" s="19">
        <f t="shared" si="74"/>
        <v>-4.3759734352714821</v>
      </c>
      <c r="AC275" s="19">
        <f t="shared" si="75"/>
        <v>-2.0846703834536946</v>
      </c>
      <c r="AD275" s="21">
        <f t="shared" si="76"/>
        <v>146.52398211413788</v>
      </c>
      <c r="AE275" s="19"/>
      <c r="AG275" s="20">
        <f>(V275- AVERAGE(V$41:V275))/_xlfn.STDEV.S(V240:V275)</f>
        <v>0.70551396268142075</v>
      </c>
      <c r="AH275" s="20">
        <f>(W275- AVERAGE(W$41:W275))/_xlfn.STDEV.S(W240:W275)</f>
        <v>0.277774648628696</v>
      </c>
      <c r="AI275" s="20">
        <f>(X275- AVERAGE(X$41:X275))/_xlfn.STDEV.S(X240:X275)</f>
        <v>-0.87168510454328429</v>
      </c>
      <c r="AJ275" s="20">
        <f>(Y275- AVERAGE(Y$41:Y275))/_xlfn.STDEV.S(Y240:Y275)</f>
        <v>-0.44620616136107077</v>
      </c>
      <c r="AK275" s="20">
        <f>(Z275- AVERAGE(Z$41:Z275))/_xlfn.STDEV.S(Z240:Z275)</f>
        <v>4.5387947019926154</v>
      </c>
      <c r="AL275" s="20">
        <f>(AA275- AVERAGE(AA$41:AA275))/_xlfn.STDEV.S(AA240:AA275)</f>
        <v>-0.39741455770140366</v>
      </c>
      <c r="AM275" s="20">
        <f>(AB275- AVERAGE(AB$41:AB275))/_xlfn.STDEV.S(AB240:AB275)</f>
        <v>0.66543956813754923</v>
      </c>
      <c r="AN275" s="20">
        <f>(AC275- AVERAGE(AC$41:AC275))/_xlfn.STDEV.S(AC240:AC275)</f>
        <v>-1.8835904635297307</v>
      </c>
      <c r="AO275" s="24">
        <f>(AD275- AVERAGE(AD$41:AD275))/_xlfn.STDEV.S(AD240:AD275)</f>
        <v>2.5885617087309787</v>
      </c>
      <c r="AP275" s="20"/>
      <c r="AQ275" s="20">
        <f t="shared" si="84"/>
        <v>0.70551396268142075</v>
      </c>
      <c r="AR275" s="20">
        <f t="shared" si="85"/>
        <v>0.277774648628696</v>
      </c>
      <c r="AS275" s="20">
        <f t="shared" si="86"/>
        <v>-0.87168510454328429</v>
      </c>
      <c r="AT275" s="20">
        <f t="shared" si="88"/>
        <v>-0.44620616136107077</v>
      </c>
      <c r="AU275" s="20">
        <f t="shared" si="89"/>
        <v>4.5387947019926154</v>
      </c>
      <c r="AV275" s="20">
        <f t="shared" si="90"/>
        <v>-0.39741455770140366</v>
      </c>
      <c r="AW275" s="20">
        <f t="shared" si="91"/>
        <v>0.66543956813754923</v>
      </c>
      <c r="AX275" s="20">
        <f t="shared" si="92"/>
        <v>-1.8835904635297307</v>
      </c>
      <c r="AY275" s="20">
        <f t="shared" si="93"/>
        <v>2.5885617087309787</v>
      </c>
      <c r="AZ275" s="22">
        <f t="shared" si="94"/>
        <v>0.5752431447817522</v>
      </c>
      <c r="BA275" s="1">
        <f>+_xlfn.XLOOKUP(A275,[1]Indice!B:B,[1]Indice!AI:AI,"NOOOOOO",-1)</f>
        <v>0.58200247004257377</v>
      </c>
    </row>
    <row r="276" spans="1:53" x14ac:dyDescent="0.25">
      <c r="A276" s="2"/>
    </row>
    <row r="277" spans="1:53" x14ac:dyDescent="0.25">
      <c r="A277" s="2"/>
      <c r="H277" s="20"/>
      <c r="AR277" s="20">
        <f>+MIN(AR76:AR275)</f>
        <v>-2.2135703447017927</v>
      </c>
    </row>
    <row r="278" spans="1:53" x14ac:dyDescent="0.25">
      <c r="A278" s="2"/>
      <c r="G278" s="19"/>
      <c r="H278" s="20"/>
    </row>
    <row r="279" spans="1:53" x14ac:dyDescent="0.25">
      <c r="A279" s="2"/>
      <c r="H279" s="20"/>
    </row>
    <row r="280" spans="1:53" x14ac:dyDescent="0.25">
      <c r="A280" s="2"/>
      <c r="H280" s="20"/>
    </row>
    <row r="281" spans="1:53" x14ac:dyDescent="0.25">
      <c r="A281" s="2"/>
      <c r="H281" s="20"/>
    </row>
    <row r="282" spans="1:53" x14ac:dyDescent="0.25">
      <c r="A282" s="2"/>
      <c r="H282" s="20"/>
    </row>
    <row r="283" spans="1:53" x14ac:dyDescent="0.25">
      <c r="A283" s="2"/>
      <c r="H283" s="20"/>
    </row>
    <row r="284" spans="1:53" x14ac:dyDescent="0.25">
      <c r="A284" s="2"/>
      <c r="H284" s="20"/>
    </row>
    <row r="285" spans="1:53" x14ac:dyDescent="0.25">
      <c r="A285" s="2"/>
      <c r="H285" s="20"/>
    </row>
    <row r="286" spans="1:53" x14ac:dyDescent="0.25">
      <c r="A286" s="2"/>
      <c r="H286" s="20"/>
    </row>
    <row r="287" spans="1:53" x14ac:dyDescent="0.25">
      <c r="A287" s="2"/>
      <c r="H287" s="20"/>
    </row>
    <row r="288" spans="1:53" x14ac:dyDescent="0.25">
      <c r="A288" s="2"/>
      <c r="H288" s="20"/>
    </row>
    <row r="289" spans="1:8" x14ac:dyDescent="0.25">
      <c r="A289" s="2"/>
      <c r="H289" s="20"/>
    </row>
    <row r="290" spans="1:8" x14ac:dyDescent="0.25">
      <c r="A290" s="2"/>
      <c r="H290" s="20"/>
    </row>
    <row r="291" spans="1:8" x14ac:dyDescent="0.25">
      <c r="A291" s="2"/>
      <c r="H291" s="20"/>
    </row>
    <row r="292" spans="1:8" x14ac:dyDescent="0.25">
      <c r="A292" s="2"/>
      <c r="H292" s="20"/>
    </row>
    <row r="293" spans="1:8" x14ac:dyDescent="0.25">
      <c r="A293" s="2"/>
      <c r="H293" s="20"/>
    </row>
    <row r="294" spans="1:8" x14ac:dyDescent="0.25">
      <c r="A294" s="2"/>
      <c r="H294" s="20"/>
    </row>
    <row r="295" spans="1:8" x14ac:dyDescent="0.25">
      <c r="A295" s="2"/>
      <c r="H295" s="20"/>
    </row>
    <row r="296" spans="1:8" x14ac:dyDescent="0.25">
      <c r="A296" s="2"/>
      <c r="H296" s="20"/>
    </row>
    <row r="297" spans="1:8" x14ac:dyDescent="0.25">
      <c r="A297" s="2"/>
      <c r="H297" s="20"/>
    </row>
    <row r="298" spans="1:8" x14ac:dyDescent="0.25">
      <c r="A298" s="2"/>
      <c r="H298" s="20"/>
    </row>
    <row r="299" spans="1:8" x14ac:dyDescent="0.25">
      <c r="A299" s="2"/>
      <c r="H299" s="20"/>
    </row>
    <row r="300" spans="1:8" x14ac:dyDescent="0.25">
      <c r="A300" s="2"/>
      <c r="H300" s="20"/>
    </row>
    <row r="301" spans="1:8" x14ac:dyDescent="0.25">
      <c r="A301" s="2"/>
      <c r="H301" s="20"/>
    </row>
    <row r="302" spans="1:8" x14ac:dyDescent="0.25">
      <c r="A302" s="2"/>
      <c r="H302" s="20"/>
    </row>
    <row r="303" spans="1:8" x14ac:dyDescent="0.25">
      <c r="A303" s="2"/>
      <c r="H303" s="20"/>
    </row>
    <row r="304" spans="1:8" x14ac:dyDescent="0.25">
      <c r="A304" s="2"/>
      <c r="H304" s="20"/>
    </row>
    <row r="305" spans="1:8" x14ac:dyDescent="0.25">
      <c r="A305" s="2"/>
      <c r="H305" s="20"/>
    </row>
    <row r="306" spans="1:8" x14ac:dyDescent="0.25">
      <c r="A306" s="2"/>
      <c r="H306" s="20"/>
    </row>
    <row r="307" spans="1:8" x14ac:dyDescent="0.25">
      <c r="A307" s="2"/>
      <c r="H307" s="20"/>
    </row>
    <row r="308" spans="1:8" x14ac:dyDescent="0.25">
      <c r="A308" s="2"/>
      <c r="H308" s="20"/>
    </row>
    <row r="309" spans="1:8" x14ac:dyDescent="0.25">
      <c r="A309" s="2"/>
      <c r="H309" s="20"/>
    </row>
    <row r="310" spans="1:8" x14ac:dyDescent="0.25">
      <c r="A310" s="2"/>
      <c r="H310" s="20"/>
    </row>
    <row r="311" spans="1:8" x14ac:dyDescent="0.25">
      <c r="A311" s="2"/>
      <c r="H311" s="20"/>
    </row>
    <row r="312" spans="1:8" x14ac:dyDescent="0.25">
      <c r="A312" s="2"/>
      <c r="H312" s="20"/>
    </row>
    <row r="313" spans="1:8" x14ac:dyDescent="0.25">
      <c r="A313" s="2"/>
      <c r="H313" s="20"/>
    </row>
    <row r="314" spans="1:8" x14ac:dyDescent="0.25">
      <c r="A314" s="2"/>
      <c r="H314" s="20"/>
    </row>
    <row r="315" spans="1:8" x14ac:dyDescent="0.25">
      <c r="A315" s="2"/>
      <c r="H315" s="20"/>
    </row>
    <row r="316" spans="1:8" x14ac:dyDescent="0.25">
      <c r="A316" s="2"/>
      <c r="H316" s="20"/>
    </row>
    <row r="317" spans="1:8" x14ac:dyDescent="0.25">
      <c r="A317" s="2"/>
      <c r="H317" s="20"/>
    </row>
    <row r="318" spans="1:8" x14ac:dyDescent="0.25">
      <c r="A318" s="2"/>
      <c r="H318" s="20"/>
    </row>
    <row r="319" spans="1:8" x14ac:dyDescent="0.25">
      <c r="A319" s="2"/>
      <c r="H319" s="20"/>
    </row>
    <row r="320" spans="1:8" x14ac:dyDescent="0.25">
      <c r="A320" s="2"/>
      <c r="H320" s="20"/>
    </row>
    <row r="321" spans="1:8" x14ac:dyDescent="0.25">
      <c r="A321" s="2"/>
      <c r="H321" s="20"/>
    </row>
    <row r="322" spans="1:8" x14ac:dyDescent="0.25">
      <c r="A322" s="2"/>
      <c r="H322" s="20"/>
    </row>
    <row r="323" spans="1:8" x14ac:dyDescent="0.25">
      <c r="A323" s="2"/>
      <c r="H323" s="20"/>
    </row>
    <row r="324" spans="1:8" x14ac:dyDescent="0.25">
      <c r="H324" s="20"/>
    </row>
    <row r="325" spans="1:8" x14ac:dyDescent="0.25">
      <c r="H325" s="20"/>
    </row>
    <row r="326" spans="1:8" x14ac:dyDescent="0.25">
      <c r="H326" s="20"/>
    </row>
    <row r="327" spans="1:8" x14ac:dyDescent="0.25">
      <c r="H327" s="20"/>
    </row>
    <row r="328" spans="1:8" x14ac:dyDescent="0.25">
      <c r="H328" s="20"/>
    </row>
    <row r="329" spans="1:8" x14ac:dyDescent="0.25">
      <c r="H329" s="20"/>
    </row>
    <row r="330" spans="1:8" x14ac:dyDescent="0.25">
      <c r="H330" s="20"/>
    </row>
    <row r="331" spans="1:8" x14ac:dyDescent="0.25">
      <c r="H331" s="20"/>
    </row>
    <row r="332" spans="1:8" x14ac:dyDescent="0.25">
      <c r="H332" s="20"/>
    </row>
    <row r="333" spans="1:8" x14ac:dyDescent="0.25">
      <c r="H333" s="20"/>
    </row>
    <row r="334" spans="1:8" x14ac:dyDescent="0.25">
      <c r="H334" s="20"/>
    </row>
    <row r="335" spans="1:8" x14ac:dyDescent="0.25">
      <c r="H335" s="20"/>
    </row>
    <row r="336" spans="1:8" x14ac:dyDescent="0.25">
      <c r="H336" s="20"/>
    </row>
    <row r="337" spans="8:8" x14ac:dyDescent="0.25">
      <c r="H337" s="20"/>
    </row>
    <row r="338" spans="8:8" x14ac:dyDescent="0.25">
      <c r="H338" s="20"/>
    </row>
    <row r="339" spans="8:8" x14ac:dyDescent="0.25">
      <c r="H339" s="20"/>
    </row>
    <row r="340" spans="8:8" x14ac:dyDescent="0.25">
      <c r="H340" s="20"/>
    </row>
    <row r="341" spans="8:8" x14ac:dyDescent="0.25">
      <c r="H341" s="20"/>
    </row>
    <row r="342" spans="8:8" x14ac:dyDescent="0.25">
      <c r="H342" s="20"/>
    </row>
    <row r="343" spans="8:8" x14ac:dyDescent="0.25">
      <c r="H343" s="20"/>
    </row>
    <row r="344" spans="8:8" x14ac:dyDescent="0.25">
      <c r="H344" s="20"/>
    </row>
    <row r="345" spans="8:8" x14ac:dyDescent="0.25">
      <c r="H345" s="20"/>
    </row>
    <row r="346" spans="8:8" x14ac:dyDescent="0.25">
      <c r="H346" s="20"/>
    </row>
    <row r="347" spans="8:8" x14ac:dyDescent="0.25">
      <c r="H347" s="20"/>
    </row>
    <row r="348" spans="8:8" x14ac:dyDescent="0.25">
      <c r="H348" s="20"/>
    </row>
    <row r="349" spans="8:8" x14ac:dyDescent="0.25">
      <c r="H349" s="20"/>
    </row>
    <row r="350" spans="8:8" x14ac:dyDescent="0.25">
      <c r="H350" s="20"/>
    </row>
    <row r="351" spans="8:8" x14ac:dyDescent="0.25">
      <c r="H351" s="20"/>
    </row>
    <row r="352" spans="8:8" x14ac:dyDescent="0.25">
      <c r="H352" s="20"/>
    </row>
    <row r="353" spans="8:8" x14ac:dyDescent="0.25">
      <c r="H353" s="20"/>
    </row>
    <row r="354" spans="8:8" x14ac:dyDescent="0.25">
      <c r="H354" s="20"/>
    </row>
    <row r="355" spans="8:8" x14ac:dyDescent="0.25">
      <c r="H355" s="20"/>
    </row>
    <row r="356" spans="8:8" x14ac:dyDescent="0.25">
      <c r="H356" s="20"/>
    </row>
    <row r="357" spans="8:8" x14ac:dyDescent="0.25">
      <c r="H357" s="20"/>
    </row>
    <row r="358" spans="8:8" x14ac:dyDescent="0.25">
      <c r="H358" s="20"/>
    </row>
    <row r="359" spans="8:8" x14ac:dyDescent="0.25">
      <c r="H359" s="20"/>
    </row>
    <row r="360" spans="8:8" x14ac:dyDescent="0.25">
      <c r="H360" s="20"/>
    </row>
    <row r="361" spans="8:8" x14ac:dyDescent="0.25">
      <c r="H361" s="20"/>
    </row>
    <row r="362" spans="8:8" x14ac:dyDescent="0.25">
      <c r="H362" s="20"/>
    </row>
    <row r="363" spans="8:8" x14ac:dyDescent="0.25">
      <c r="H363" s="20"/>
    </row>
    <row r="364" spans="8:8" x14ac:dyDescent="0.25">
      <c r="H364" s="20"/>
    </row>
    <row r="365" spans="8:8" x14ac:dyDescent="0.25">
      <c r="H365" s="20"/>
    </row>
    <row r="366" spans="8:8" x14ac:dyDescent="0.25">
      <c r="H366" s="20"/>
    </row>
    <row r="367" spans="8:8" x14ac:dyDescent="0.25">
      <c r="H367" s="20"/>
    </row>
    <row r="368" spans="8:8" x14ac:dyDescent="0.25">
      <c r="H368" s="20"/>
    </row>
    <row r="369" spans="8:8" x14ac:dyDescent="0.25">
      <c r="H369" s="20"/>
    </row>
    <row r="370" spans="8:8" x14ac:dyDescent="0.25">
      <c r="H370" s="20"/>
    </row>
    <row r="371" spans="8:8" x14ac:dyDescent="0.25">
      <c r="H371" s="20"/>
    </row>
    <row r="372" spans="8:8" x14ac:dyDescent="0.25">
      <c r="H372" s="20"/>
    </row>
    <row r="373" spans="8:8" x14ac:dyDescent="0.25">
      <c r="H373" s="20"/>
    </row>
    <row r="374" spans="8:8" x14ac:dyDescent="0.25">
      <c r="H374" s="20"/>
    </row>
    <row r="375" spans="8:8" x14ac:dyDescent="0.25">
      <c r="H375" s="20"/>
    </row>
    <row r="376" spans="8:8" x14ac:dyDescent="0.25">
      <c r="H376" s="20"/>
    </row>
    <row r="377" spans="8:8" x14ac:dyDescent="0.25">
      <c r="H377" s="20"/>
    </row>
    <row r="378" spans="8:8" x14ac:dyDescent="0.25">
      <c r="H378" s="20"/>
    </row>
    <row r="379" spans="8:8" x14ac:dyDescent="0.25">
      <c r="H379" s="20"/>
    </row>
    <row r="380" spans="8:8" x14ac:dyDescent="0.25">
      <c r="H380" s="20"/>
    </row>
    <row r="381" spans="8:8" x14ac:dyDescent="0.25">
      <c r="H381" s="2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ICBC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Llambi, Ruben Orlando</dc:creator>
  <cp:lastModifiedBy>Llambi, Ruben Orlando</cp:lastModifiedBy>
  <dcterms:created xsi:type="dcterms:W3CDTF">2026-09-18T19:47:05Z</dcterms:created>
  <dcterms:modified xsi:type="dcterms:W3CDTF">2026-09-18T19:55:57Z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