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R:\Files\User\PORTFOLI\PORFOLIO\Mercados Equity Global\"/>
    </mc:Choice>
  </mc:AlternateContent>
  <xr:revisionPtr revIDLastSave="0" documentId="13_ncr:1_{FF3CB97C-A0F0-4FD2-AEE1-7140F7F3EA7D}" xr6:coauthVersionLast="47" xr6:coauthVersionMax="47" xr10:uidLastSave="{00000000-0000-0000-0000-000000000000}"/>
  <bookViews>
    <workbookView xWindow="-120" yWindow="-120" windowWidth="19440" windowHeight="14880" activeTab="6" xr2:uid="{C0E02AF4-16A1-49E3-8230-0598218EB52D}"/>
  </bookViews>
  <sheets>
    <sheet name="factores" sheetId="3" r:id="rId1"/>
    <sheet name="Sheet1" sheetId="6" r:id="rId2"/>
    <sheet name="All_factors" sheetId="1" r:id="rId3"/>
    <sheet name="IBOV" sheetId="5" r:id="rId4"/>
    <sheet name="Momo_G" sheetId="4" r:id="rId5"/>
    <sheet name="Momo" sheetId="2" r:id="rId6"/>
    <sheet name="USDBRL" sheetId="7" r:id="rId7"/>
  </sheets>
  <definedNames>
    <definedName name="_xlnm._FilterDatabase" localSheetId="2" hidden="1">All_factors!$A$1:$G$4604</definedName>
    <definedName name="_xlnm._FilterDatabase" localSheetId="5" hidden="1">Momo!$A$1:$B$378</definedName>
    <definedName name="SpreadsheetBuilder_1" hidden="1">IBOV!$A$1:$B$2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124" i="1" l="1"/>
  <c r="BC125" i="1" s="1"/>
  <c r="BC126" i="1" s="1"/>
  <c r="BC127" i="1" s="1"/>
  <c r="BC128" i="1" s="1"/>
  <c r="BC129" i="1" s="1"/>
  <c r="BC130" i="1" s="1"/>
  <c r="BC131" i="1" s="1"/>
  <c r="BC132" i="1" s="1"/>
  <c r="BC133" i="1" s="1"/>
  <c r="BC134" i="1" s="1"/>
  <c r="BC135" i="1" s="1"/>
  <c r="BC136" i="1" s="1"/>
  <c r="BC137" i="1" s="1"/>
  <c r="BC138" i="1" s="1"/>
  <c r="BC139" i="1" s="1"/>
  <c r="BC140" i="1" s="1"/>
  <c r="BC141" i="1" s="1"/>
  <c r="BC142" i="1" s="1"/>
  <c r="BC143" i="1" s="1"/>
  <c r="BC144" i="1" s="1"/>
  <c r="BC145" i="1" s="1"/>
  <c r="BC146" i="1" s="1"/>
  <c r="BC147" i="1" s="1"/>
  <c r="BC148" i="1" s="1"/>
  <c r="BC149" i="1" s="1"/>
  <c r="BC150" i="1" s="1"/>
  <c r="BC151" i="1" s="1"/>
  <c r="BC152" i="1" s="1"/>
  <c r="BC153" i="1" s="1"/>
  <c r="BC154" i="1" s="1"/>
  <c r="BC155" i="1" s="1"/>
  <c r="BC156" i="1" s="1"/>
  <c r="BC157" i="1" s="1"/>
  <c r="BC158" i="1" s="1"/>
  <c r="BC159" i="1" s="1"/>
  <c r="BC160" i="1" s="1"/>
  <c r="BC161" i="1" s="1"/>
  <c r="BC162" i="1" s="1"/>
  <c r="BC163" i="1" s="1"/>
  <c r="BC164" i="1" s="1"/>
  <c r="BC165" i="1" s="1"/>
  <c r="BC166" i="1" s="1"/>
  <c r="BC167" i="1" s="1"/>
  <c r="BC168" i="1" s="1"/>
  <c r="BC169" i="1" s="1"/>
  <c r="BC170" i="1" s="1"/>
  <c r="BC171" i="1" s="1"/>
  <c r="BC172" i="1" s="1"/>
  <c r="BC173" i="1" s="1"/>
  <c r="BC174" i="1" s="1"/>
  <c r="BC175" i="1" s="1"/>
  <c r="BC176" i="1" s="1"/>
  <c r="BC177" i="1" s="1"/>
  <c r="BC178" i="1" s="1"/>
  <c r="BC179" i="1" s="1"/>
  <c r="BC180" i="1" s="1"/>
  <c r="BC181" i="1" s="1"/>
  <c r="BC182" i="1" s="1"/>
  <c r="BC183" i="1" s="1"/>
  <c r="BC184" i="1" s="1"/>
  <c r="BC185" i="1" s="1"/>
  <c r="BC186" i="1" s="1"/>
  <c r="BC187" i="1" s="1"/>
  <c r="BC188" i="1" s="1"/>
  <c r="BC189" i="1" s="1"/>
  <c r="BC190" i="1" s="1"/>
  <c r="BC191" i="1" s="1"/>
  <c r="BC192" i="1" s="1"/>
  <c r="BC193" i="1" s="1"/>
  <c r="BC194" i="1" s="1"/>
  <c r="BC195" i="1" s="1"/>
  <c r="BC196" i="1" s="1"/>
  <c r="BC197" i="1" s="1"/>
  <c r="BC198" i="1" s="1"/>
  <c r="BC199" i="1" s="1"/>
  <c r="BC200" i="1" s="1"/>
  <c r="BC201" i="1" s="1"/>
  <c r="BC202" i="1" s="1"/>
  <c r="BC203" i="1" s="1"/>
  <c r="BC204" i="1" s="1"/>
  <c r="BC205" i="1" s="1"/>
  <c r="BC206" i="1" s="1"/>
  <c r="BC207" i="1" s="1"/>
  <c r="BC208" i="1" s="1"/>
  <c r="BC209" i="1" s="1"/>
  <c r="BC210" i="1" s="1"/>
  <c r="BC211" i="1" s="1"/>
  <c r="BC212" i="1" s="1"/>
  <c r="BC213" i="1" s="1"/>
  <c r="BC214" i="1" s="1"/>
  <c r="BC215" i="1" s="1"/>
  <c r="BC216" i="1" s="1"/>
  <c r="BC217" i="1" s="1"/>
  <c r="BC218" i="1" s="1"/>
  <c r="BC219" i="1" s="1"/>
  <c r="BC220" i="1" s="1"/>
  <c r="BC221" i="1" s="1"/>
  <c r="BC222" i="1" s="1"/>
  <c r="BC223" i="1" s="1"/>
  <c r="BC224" i="1" s="1"/>
  <c r="BC225" i="1" s="1"/>
  <c r="BC226" i="1" s="1"/>
  <c r="BC227" i="1" s="1"/>
  <c r="BC228" i="1" s="1"/>
  <c r="BC229" i="1" s="1"/>
  <c r="BC230" i="1" s="1"/>
  <c r="BC231" i="1" s="1"/>
  <c r="BC232" i="1" s="1"/>
  <c r="BC233" i="1" s="1"/>
  <c r="BC234" i="1" s="1"/>
  <c r="BC235" i="1" s="1"/>
  <c r="BC236" i="1" s="1"/>
  <c r="BC237" i="1" s="1"/>
  <c r="BC238" i="1" s="1"/>
  <c r="BC239" i="1" s="1"/>
  <c r="BC240" i="1" s="1"/>
  <c r="BC241" i="1" s="1"/>
  <c r="BC242" i="1" s="1"/>
  <c r="BC243" i="1" s="1"/>
  <c r="BC244" i="1" s="1"/>
  <c r="BC245" i="1" s="1"/>
  <c r="BC246" i="1" s="1"/>
  <c r="BC247" i="1" s="1"/>
  <c r="BC248" i="1" s="1"/>
  <c r="BC249" i="1" s="1"/>
  <c r="BC250" i="1" s="1"/>
  <c r="BC251" i="1" s="1"/>
  <c r="BC252" i="1" s="1"/>
  <c r="BC253" i="1" s="1"/>
  <c r="BC254" i="1" s="1"/>
  <c r="BC255" i="1" s="1"/>
  <c r="BC256" i="1" s="1"/>
  <c r="BC257" i="1" s="1"/>
  <c r="BC258" i="1" s="1"/>
  <c r="BC259" i="1" s="1"/>
  <c r="BC260" i="1" s="1"/>
  <c r="BC261" i="1" s="1"/>
  <c r="BC262" i="1" s="1"/>
  <c r="BC263" i="1" s="1"/>
  <c r="BC264" i="1" s="1"/>
  <c r="BC265" i="1" s="1"/>
  <c r="BC266" i="1" s="1"/>
  <c r="BC267" i="1" s="1"/>
  <c r="BC268" i="1" s="1"/>
  <c r="BC269" i="1" s="1"/>
  <c r="BC270" i="1" s="1"/>
  <c r="BC271" i="1" s="1"/>
  <c r="BC272" i="1" s="1"/>
  <c r="BC273" i="1" s="1"/>
  <c r="BC274" i="1" s="1"/>
  <c r="BC275" i="1" s="1"/>
  <c r="BC276" i="1" s="1"/>
  <c r="BC277" i="1" s="1"/>
  <c r="BC278" i="1" s="1"/>
  <c r="BC279" i="1" s="1"/>
  <c r="BC280" i="1" s="1"/>
  <c r="BC281" i="1" s="1"/>
  <c r="BC282" i="1" s="1"/>
  <c r="BC283" i="1" s="1"/>
  <c r="BC284" i="1" s="1"/>
  <c r="BC285" i="1" s="1"/>
  <c r="BC286" i="1" s="1"/>
  <c r="BC287" i="1" s="1"/>
  <c r="BC288" i="1" s="1"/>
  <c r="BC289" i="1" s="1"/>
  <c r="BC290" i="1" s="1"/>
  <c r="BC291" i="1" s="1"/>
  <c r="BC292" i="1" s="1"/>
  <c r="BC293" i="1" s="1"/>
  <c r="BC294" i="1" s="1"/>
  <c r="BC295" i="1" s="1"/>
  <c r="BC296" i="1" s="1"/>
  <c r="BC297" i="1" s="1"/>
  <c r="BC298" i="1" s="1"/>
  <c r="BC299" i="1" s="1"/>
  <c r="BC300" i="1" s="1"/>
  <c r="BC301" i="1" s="1"/>
  <c r="BC302" i="1" s="1"/>
  <c r="BC303" i="1" s="1"/>
  <c r="BC304" i="1" s="1"/>
  <c r="BC305" i="1" s="1"/>
  <c r="BC306" i="1" s="1"/>
  <c r="BC307" i="1" s="1"/>
  <c r="BC308" i="1" s="1"/>
  <c r="BC309" i="1" s="1"/>
  <c r="BC310" i="1" s="1"/>
  <c r="BC311" i="1" s="1"/>
  <c r="BC312" i="1" s="1"/>
  <c r="BC313" i="1" s="1"/>
  <c r="BC314" i="1" s="1"/>
  <c r="BC315" i="1" s="1"/>
  <c r="BC316" i="1" s="1"/>
  <c r="BC317" i="1" s="1"/>
  <c r="BC318" i="1" s="1"/>
  <c r="BC319" i="1" s="1"/>
  <c r="BC320" i="1" s="1"/>
  <c r="BC321" i="1" s="1"/>
  <c r="BC322" i="1" s="1"/>
  <c r="BC323" i="1" s="1"/>
  <c r="BC324" i="1" s="1"/>
  <c r="BC325" i="1" s="1"/>
  <c r="BC326" i="1" s="1"/>
  <c r="BC327" i="1" s="1"/>
  <c r="BC328" i="1" s="1"/>
  <c r="BC329" i="1" s="1"/>
  <c r="BC330" i="1" s="1"/>
  <c r="BC331" i="1" s="1"/>
  <c r="BC332" i="1" s="1"/>
  <c r="BC333" i="1" s="1"/>
  <c r="BC334" i="1" s="1"/>
  <c r="BC335" i="1" s="1"/>
  <c r="BC336" i="1" s="1"/>
  <c r="BC337" i="1" s="1"/>
  <c r="BC338" i="1" s="1"/>
  <c r="BC339" i="1" s="1"/>
  <c r="BC340" i="1" s="1"/>
  <c r="BC341" i="1" s="1"/>
  <c r="BC342" i="1" s="1"/>
  <c r="BC343" i="1" s="1"/>
  <c r="BC344" i="1" s="1"/>
  <c r="BC345" i="1" s="1"/>
  <c r="BC346" i="1" s="1"/>
  <c r="BC347" i="1" s="1"/>
  <c r="BC348" i="1" s="1"/>
  <c r="BC349" i="1" s="1"/>
  <c r="BC350" i="1" s="1"/>
  <c r="BC351" i="1" s="1"/>
  <c r="BC352" i="1" s="1"/>
  <c r="BC353" i="1" s="1"/>
  <c r="BC354" i="1" s="1"/>
  <c r="BC355" i="1" s="1"/>
  <c r="BC356" i="1" s="1"/>
  <c r="BC357" i="1" s="1"/>
  <c r="BC358" i="1" s="1"/>
  <c r="BC359" i="1" s="1"/>
  <c r="BC360" i="1" s="1"/>
  <c r="BC361" i="1" s="1"/>
  <c r="BC362" i="1" s="1"/>
  <c r="BC363" i="1" s="1"/>
  <c r="BC364" i="1" s="1"/>
  <c r="BC365" i="1" s="1"/>
  <c r="BC366" i="1" s="1"/>
  <c r="BC367" i="1" s="1"/>
  <c r="BC368" i="1" s="1"/>
  <c r="BC369" i="1" s="1"/>
  <c r="BC370" i="1" s="1"/>
  <c r="BC371" i="1" s="1"/>
  <c r="BC372" i="1" s="1"/>
  <c r="BC373" i="1" s="1"/>
  <c r="BC374" i="1" s="1"/>
  <c r="BC375" i="1" s="1"/>
  <c r="BC376" i="1" s="1"/>
  <c r="BC377" i="1" s="1"/>
  <c r="BC378" i="1" s="1"/>
  <c r="BC379" i="1" s="1"/>
  <c r="BC380" i="1" s="1"/>
  <c r="BC381" i="1" s="1"/>
  <c r="BC382" i="1" s="1"/>
  <c r="BC123" i="1"/>
  <c r="BC121" i="1"/>
  <c r="AN141" i="1"/>
  <c r="AN153" i="1"/>
  <c r="AN156" i="1"/>
  <c r="AN157" i="1"/>
  <c r="AN201" i="1"/>
  <c r="AN204" i="1"/>
  <c r="AN205" i="1"/>
  <c r="AN249" i="1"/>
  <c r="AN252" i="1"/>
  <c r="AN253" i="1"/>
  <c r="AN257" i="1"/>
  <c r="AN297" i="1"/>
  <c r="AN300" i="1"/>
  <c r="AN301" i="1"/>
  <c r="AN308" i="1"/>
  <c r="AN313" i="1"/>
  <c r="AN348" i="1"/>
  <c r="AN349" i="1"/>
  <c r="AN361" i="1"/>
  <c r="AN364" i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AN123" i="1" s="1"/>
  <c r="BD123" i="1" s="1"/>
  <c r="C49" i="5"/>
  <c r="AN124" i="1" s="1"/>
  <c r="C50" i="5"/>
  <c r="AN125" i="1" s="1"/>
  <c r="C51" i="5"/>
  <c r="AN126" i="1" s="1"/>
  <c r="C52" i="5"/>
  <c r="AN127" i="1" s="1"/>
  <c r="C53" i="5"/>
  <c r="AN128" i="1" s="1"/>
  <c r="C54" i="5"/>
  <c r="AN129" i="1" s="1"/>
  <c r="C55" i="5"/>
  <c r="AN130" i="1" s="1"/>
  <c r="C56" i="5"/>
  <c r="AN131" i="1" s="1"/>
  <c r="C57" i="5"/>
  <c r="AN132" i="1" s="1"/>
  <c r="C58" i="5"/>
  <c r="AN133" i="1" s="1"/>
  <c r="C59" i="5"/>
  <c r="AN134" i="1" s="1"/>
  <c r="C60" i="5"/>
  <c r="AN135" i="1" s="1"/>
  <c r="C61" i="5"/>
  <c r="AN136" i="1" s="1"/>
  <c r="C62" i="5"/>
  <c r="AN137" i="1" s="1"/>
  <c r="C63" i="5"/>
  <c r="AN138" i="1" s="1"/>
  <c r="C64" i="5"/>
  <c r="AN139" i="1" s="1"/>
  <c r="C65" i="5"/>
  <c r="AN140" i="1" s="1"/>
  <c r="C66" i="5"/>
  <c r="C67" i="5"/>
  <c r="AN142" i="1" s="1"/>
  <c r="C68" i="5"/>
  <c r="AN143" i="1" s="1"/>
  <c r="C69" i="5"/>
  <c r="AN144" i="1" s="1"/>
  <c r="C70" i="5"/>
  <c r="AN145" i="1" s="1"/>
  <c r="C71" i="5"/>
  <c r="AN146" i="1" s="1"/>
  <c r="C72" i="5"/>
  <c r="AN147" i="1" s="1"/>
  <c r="C73" i="5"/>
  <c r="AN148" i="1" s="1"/>
  <c r="C74" i="5"/>
  <c r="AN149" i="1" s="1"/>
  <c r="C75" i="5"/>
  <c r="AN150" i="1" s="1"/>
  <c r="C76" i="5"/>
  <c r="AN151" i="1" s="1"/>
  <c r="C77" i="5"/>
  <c r="AN152" i="1" s="1"/>
  <c r="C78" i="5"/>
  <c r="C79" i="5"/>
  <c r="AN154" i="1" s="1"/>
  <c r="C80" i="5"/>
  <c r="AN155" i="1" s="1"/>
  <c r="C81" i="5"/>
  <c r="C82" i="5"/>
  <c r="C83" i="5"/>
  <c r="AN158" i="1" s="1"/>
  <c r="C84" i="5"/>
  <c r="AN159" i="1" s="1"/>
  <c r="C85" i="5"/>
  <c r="AN160" i="1" s="1"/>
  <c r="C86" i="5"/>
  <c r="AN161" i="1" s="1"/>
  <c r="C87" i="5"/>
  <c r="AN162" i="1" s="1"/>
  <c r="C88" i="5"/>
  <c r="AN163" i="1" s="1"/>
  <c r="C89" i="5"/>
  <c r="AN164" i="1" s="1"/>
  <c r="C90" i="5"/>
  <c r="AN165" i="1" s="1"/>
  <c r="C91" i="5"/>
  <c r="AN166" i="1" s="1"/>
  <c r="C92" i="5"/>
  <c r="AN167" i="1" s="1"/>
  <c r="C93" i="5"/>
  <c r="AN168" i="1" s="1"/>
  <c r="C94" i="5"/>
  <c r="AN169" i="1" s="1"/>
  <c r="C95" i="5"/>
  <c r="AN170" i="1" s="1"/>
  <c r="C96" i="5"/>
  <c r="AN171" i="1" s="1"/>
  <c r="C97" i="5"/>
  <c r="AN172" i="1" s="1"/>
  <c r="C98" i="5"/>
  <c r="AN173" i="1" s="1"/>
  <c r="C99" i="5"/>
  <c r="AN174" i="1" s="1"/>
  <c r="C100" i="5"/>
  <c r="AN175" i="1" s="1"/>
  <c r="C101" i="5"/>
  <c r="AN176" i="1" s="1"/>
  <c r="C102" i="5"/>
  <c r="AN177" i="1" s="1"/>
  <c r="C103" i="5"/>
  <c r="AN178" i="1" s="1"/>
  <c r="C104" i="5"/>
  <c r="AN179" i="1" s="1"/>
  <c r="C105" i="5"/>
  <c r="AN180" i="1" s="1"/>
  <c r="C106" i="5"/>
  <c r="AN181" i="1" s="1"/>
  <c r="C107" i="5"/>
  <c r="AN182" i="1" s="1"/>
  <c r="C108" i="5"/>
  <c r="AN183" i="1" s="1"/>
  <c r="C109" i="5"/>
  <c r="AN184" i="1" s="1"/>
  <c r="C110" i="5"/>
  <c r="AN185" i="1" s="1"/>
  <c r="C111" i="5"/>
  <c r="AN186" i="1" s="1"/>
  <c r="C112" i="5"/>
  <c r="AN187" i="1" s="1"/>
  <c r="C113" i="5"/>
  <c r="AN188" i="1" s="1"/>
  <c r="C114" i="5"/>
  <c r="AN189" i="1" s="1"/>
  <c r="C115" i="5"/>
  <c r="AN190" i="1" s="1"/>
  <c r="C116" i="5"/>
  <c r="AN191" i="1" s="1"/>
  <c r="C117" i="5"/>
  <c r="AN192" i="1" s="1"/>
  <c r="C118" i="5"/>
  <c r="AN193" i="1" s="1"/>
  <c r="C119" i="5"/>
  <c r="AN194" i="1" s="1"/>
  <c r="C120" i="5"/>
  <c r="AN195" i="1" s="1"/>
  <c r="C121" i="5"/>
  <c r="AN196" i="1" s="1"/>
  <c r="C122" i="5"/>
  <c r="AN197" i="1" s="1"/>
  <c r="C123" i="5"/>
  <c r="AN198" i="1" s="1"/>
  <c r="C124" i="5"/>
  <c r="AN199" i="1" s="1"/>
  <c r="C125" i="5"/>
  <c r="AN200" i="1" s="1"/>
  <c r="C126" i="5"/>
  <c r="C127" i="5"/>
  <c r="AN202" i="1" s="1"/>
  <c r="C128" i="5"/>
  <c r="AN203" i="1" s="1"/>
  <c r="C129" i="5"/>
  <c r="C130" i="5"/>
  <c r="C131" i="5"/>
  <c r="AN206" i="1" s="1"/>
  <c r="C132" i="5"/>
  <c r="AN207" i="1" s="1"/>
  <c r="C133" i="5"/>
  <c r="AN208" i="1" s="1"/>
  <c r="C134" i="5"/>
  <c r="AN209" i="1" s="1"/>
  <c r="C135" i="5"/>
  <c r="AN210" i="1" s="1"/>
  <c r="C136" i="5"/>
  <c r="AN211" i="1" s="1"/>
  <c r="C137" i="5"/>
  <c r="AN212" i="1" s="1"/>
  <c r="C138" i="5"/>
  <c r="AN213" i="1" s="1"/>
  <c r="C139" i="5"/>
  <c r="AN214" i="1" s="1"/>
  <c r="C140" i="5"/>
  <c r="AN215" i="1" s="1"/>
  <c r="C141" i="5"/>
  <c r="AN216" i="1" s="1"/>
  <c r="C142" i="5"/>
  <c r="AN217" i="1" s="1"/>
  <c r="C143" i="5"/>
  <c r="AN218" i="1" s="1"/>
  <c r="C144" i="5"/>
  <c r="AN219" i="1" s="1"/>
  <c r="C145" i="5"/>
  <c r="AN220" i="1" s="1"/>
  <c r="C146" i="5"/>
  <c r="AN221" i="1" s="1"/>
  <c r="C147" i="5"/>
  <c r="AN222" i="1" s="1"/>
  <c r="C148" i="5"/>
  <c r="AN223" i="1" s="1"/>
  <c r="C149" i="5"/>
  <c r="AN224" i="1" s="1"/>
  <c r="C150" i="5"/>
  <c r="AN225" i="1" s="1"/>
  <c r="C151" i="5"/>
  <c r="AN226" i="1" s="1"/>
  <c r="C152" i="5"/>
  <c r="AN227" i="1" s="1"/>
  <c r="C153" i="5"/>
  <c r="AN228" i="1" s="1"/>
  <c r="C154" i="5"/>
  <c r="AN229" i="1" s="1"/>
  <c r="C155" i="5"/>
  <c r="AN230" i="1" s="1"/>
  <c r="C156" i="5"/>
  <c r="AN231" i="1" s="1"/>
  <c r="C157" i="5"/>
  <c r="AN232" i="1" s="1"/>
  <c r="C158" i="5"/>
  <c r="AN233" i="1" s="1"/>
  <c r="C159" i="5"/>
  <c r="AN234" i="1" s="1"/>
  <c r="C160" i="5"/>
  <c r="AN235" i="1" s="1"/>
  <c r="C161" i="5"/>
  <c r="AN236" i="1" s="1"/>
  <c r="C162" i="5"/>
  <c r="AN237" i="1" s="1"/>
  <c r="C163" i="5"/>
  <c r="AN238" i="1" s="1"/>
  <c r="C164" i="5"/>
  <c r="AN239" i="1" s="1"/>
  <c r="C165" i="5"/>
  <c r="AN240" i="1" s="1"/>
  <c r="C166" i="5"/>
  <c r="AN241" i="1" s="1"/>
  <c r="C167" i="5"/>
  <c r="AN242" i="1" s="1"/>
  <c r="C168" i="5"/>
  <c r="AN243" i="1" s="1"/>
  <c r="C169" i="5"/>
  <c r="AN244" i="1" s="1"/>
  <c r="C170" i="5"/>
  <c r="AN245" i="1" s="1"/>
  <c r="C171" i="5"/>
  <c r="AN246" i="1" s="1"/>
  <c r="C172" i="5"/>
  <c r="AN247" i="1" s="1"/>
  <c r="C173" i="5"/>
  <c r="AN248" i="1" s="1"/>
  <c r="C174" i="5"/>
  <c r="C175" i="5"/>
  <c r="AN250" i="1" s="1"/>
  <c r="C176" i="5"/>
  <c r="AN251" i="1" s="1"/>
  <c r="C177" i="5"/>
  <c r="C178" i="5"/>
  <c r="C179" i="5"/>
  <c r="AN254" i="1" s="1"/>
  <c r="C180" i="5"/>
  <c r="AN255" i="1" s="1"/>
  <c r="C181" i="5"/>
  <c r="AN256" i="1" s="1"/>
  <c r="C182" i="5"/>
  <c r="C183" i="5"/>
  <c r="AN258" i="1" s="1"/>
  <c r="C184" i="5"/>
  <c r="AN259" i="1" s="1"/>
  <c r="C185" i="5"/>
  <c r="AN260" i="1" s="1"/>
  <c r="C186" i="5"/>
  <c r="AN261" i="1" s="1"/>
  <c r="C187" i="5"/>
  <c r="AN262" i="1" s="1"/>
  <c r="C188" i="5"/>
  <c r="AN263" i="1" s="1"/>
  <c r="C189" i="5"/>
  <c r="AN264" i="1" s="1"/>
  <c r="C190" i="5"/>
  <c r="AN265" i="1" s="1"/>
  <c r="C191" i="5"/>
  <c r="AN266" i="1" s="1"/>
  <c r="C192" i="5"/>
  <c r="AN267" i="1" s="1"/>
  <c r="C193" i="5"/>
  <c r="AN268" i="1" s="1"/>
  <c r="C194" i="5"/>
  <c r="AN269" i="1" s="1"/>
  <c r="C195" i="5"/>
  <c r="AN270" i="1" s="1"/>
  <c r="C196" i="5"/>
  <c r="AN271" i="1" s="1"/>
  <c r="C197" i="5"/>
  <c r="AN272" i="1" s="1"/>
  <c r="C198" i="5"/>
  <c r="AN273" i="1" s="1"/>
  <c r="C199" i="5"/>
  <c r="AN274" i="1" s="1"/>
  <c r="C200" i="5"/>
  <c r="AN275" i="1" s="1"/>
  <c r="C201" i="5"/>
  <c r="AN276" i="1" s="1"/>
  <c r="C202" i="5"/>
  <c r="AN277" i="1" s="1"/>
  <c r="C203" i="5"/>
  <c r="AN278" i="1" s="1"/>
  <c r="C204" i="5"/>
  <c r="AN279" i="1" s="1"/>
  <c r="C205" i="5"/>
  <c r="AN280" i="1" s="1"/>
  <c r="C206" i="5"/>
  <c r="AN281" i="1" s="1"/>
  <c r="C207" i="5"/>
  <c r="AN282" i="1" s="1"/>
  <c r="C208" i="5"/>
  <c r="AN283" i="1" s="1"/>
  <c r="C209" i="5"/>
  <c r="AN284" i="1" s="1"/>
  <c r="C210" i="5"/>
  <c r="AN285" i="1" s="1"/>
  <c r="C211" i="5"/>
  <c r="AN286" i="1" s="1"/>
  <c r="C212" i="5"/>
  <c r="AN287" i="1" s="1"/>
  <c r="C213" i="5"/>
  <c r="AN288" i="1" s="1"/>
  <c r="C214" i="5"/>
  <c r="AN289" i="1" s="1"/>
  <c r="C215" i="5"/>
  <c r="AN290" i="1" s="1"/>
  <c r="C216" i="5"/>
  <c r="AN291" i="1" s="1"/>
  <c r="C217" i="5"/>
  <c r="AN292" i="1" s="1"/>
  <c r="C218" i="5"/>
  <c r="AN293" i="1" s="1"/>
  <c r="C219" i="5"/>
  <c r="AN294" i="1" s="1"/>
  <c r="C220" i="5"/>
  <c r="AN295" i="1" s="1"/>
  <c r="C221" i="5"/>
  <c r="AN296" i="1" s="1"/>
  <c r="C222" i="5"/>
  <c r="C223" i="5"/>
  <c r="AN298" i="1" s="1"/>
  <c r="C224" i="5"/>
  <c r="AN299" i="1" s="1"/>
  <c r="C225" i="5"/>
  <c r="C226" i="5"/>
  <c r="C227" i="5"/>
  <c r="AN302" i="1" s="1"/>
  <c r="C228" i="5"/>
  <c r="AN303" i="1" s="1"/>
  <c r="C229" i="5"/>
  <c r="AN304" i="1" s="1"/>
  <c r="C230" i="5"/>
  <c r="AN305" i="1" s="1"/>
  <c r="C231" i="5"/>
  <c r="AN306" i="1" s="1"/>
  <c r="C232" i="5"/>
  <c r="AN307" i="1" s="1"/>
  <c r="C233" i="5"/>
  <c r="C234" i="5"/>
  <c r="AN309" i="1" s="1"/>
  <c r="C235" i="5"/>
  <c r="AN310" i="1" s="1"/>
  <c r="C236" i="5"/>
  <c r="AN311" i="1" s="1"/>
  <c r="C237" i="5"/>
  <c r="AN312" i="1" s="1"/>
  <c r="C238" i="5"/>
  <c r="C239" i="5"/>
  <c r="AN314" i="1" s="1"/>
  <c r="C240" i="5"/>
  <c r="AN315" i="1" s="1"/>
  <c r="C241" i="5"/>
  <c r="AN316" i="1" s="1"/>
  <c r="C242" i="5"/>
  <c r="AN317" i="1" s="1"/>
  <c r="C243" i="5"/>
  <c r="AN318" i="1" s="1"/>
  <c r="C244" i="5"/>
  <c r="AN319" i="1" s="1"/>
  <c r="C245" i="5"/>
  <c r="AN320" i="1" s="1"/>
  <c r="C246" i="5"/>
  <c r="AN321" i="1" s="1"/>
  <c r="C247" i="5"/>
  <c r="AN322" i="1" s="1"/>
  <c r="C248" i="5"/>
  <c r="AN323" i="1" s="1"/>
  <c r="C249" i="5"/>
  <c r="AN324" i="1" s="1"/>
  <c r="C250" i="5"/>
  <c r="AN325" i="1" s="1"/>
  <c r="C251" i="5"/>
  <c r="AN326" i="1" s="1"/>
  <c r="C252" i="5"/>
  <c r="AN327" i="1" s="1"/>
  <c r="C253" i="5"/>
  <c r="AN328" i="1" s="1"/>
  <c r="C254" i="5"/>
  <c r="AN329" i="1" s="1"/>
  <c r="C255" i="5"/>
  <c r="AN330" i="1" s="1"/>
  <c r="C256" i="5"/>
  <c r="AN331" i="1" s="1"/>
  <c r="C257" i="5"/>
  <c r="AN332" i="1" s="1"/>
  <c r="C258" i="5"/>
  <c r="AN333" i="1" s="1"/>
  <c r="C259" i="5"/>
  <c r="AN334" i="1" s="1"/>
  <c r="C260" i="5"/>
  <c r="AN335" i="1" s="1"/>
  <c r="C261" i="5"/>
  <c r="AN336" i="1" s="1"/>
  <c r="C262" i="5"/>
  <c r="AN337" i="1" s="1"/>
  <c r="C263" i="5"/>
  <c r="AN338" i="1" s="1"/>
  <c r="C264" i="5"/>
  <c r="AN339" i="1" s="1"/>
  <c r="C265" i="5"/>
  <c r="AN340" i="1" s="1"/>
  <c r="C266" i="5"/>
  <c r="AN341" i="1" s="1"/>
  <c r="C267" i="5"/>
  <c r="AN342" i="1" s="1"/>
  <c r="C268" i="5"/>
  <c r="AN343" i="1" s="1"/>
  <c r="C269" i="5"/>
  <c r="AN344" i="1" s="1"/>
  <c r="C270" i="5"/>
  <c r="AN345" i="1" s="1"/>
  <c r="C271" i="5"/>
  <c r="AN346" i="1" s="1"/>
  <c r="C272" i="5"/>
  <c r="AN347" i="1" s="1"/>
  <c r="C273" i="5"/>
  <c r="C274" i="5"/>
  <c r="C275" i="5"/>
  <c r="AN350" i="1" s="1"/>
  <c r="C276" i="5"/>
  <c r="AN351" i="1" s="1"/>
  <c r="C277" i="5"/>
  <c r="AN352" i="1" s="1"/>
  <c r="C278" i="5"/>
  <c r="AN353" i="1" s="1"/>
  <c r="C279" i="5"/>
  <c r="AN354" i="1" s="1"/>
  <c r="C280" i="5"/>
  <c r="AN355" i="1" s="1"/>
  <c r="C281" i="5"/>
  <c r="AN356" i="1" s="1"/>
  <c r="C282" i="5"/>
  <c r="AN357" i="1" s="1"/>
  <c r="C283" i="5"/>
  <c r="AN358" i="1" s="1"/>
  <c r="C284" i="5"/>
  <c r="AN359" i="1" s="1"/>
  <c r="C285" i="5"/>
  <c r="AN360" i="1" s="1"/>
  <c r="C286" i="5"/>
  <c r="C287" i="5"/>
  <c r="AN362" i="1" s="1"/>
  <c r="C288" i="5"/>
  <c r="AN363" i="1" s="1"/>
  <c r="C289" i="5"/>
  <c r="C290" i="5"/>
  <c r="AN365" i="1" s="1"/>
  <c r="C291" i="5"/>
  <c r="AN366" i="1" s="1"/>
  <c r="C292" i="5"/>
  <c r="AN367" i="1" s="1"/>
  <c r="C293" i="5"/>
  <c r="AN368" i="1" s="1"/>
  <c r="C294" i="5"/>
  <c r="AN369" i="1" s="1"/>
  <c r="C295" i="5"/>
  <c r="AN370" i="1" s="1"/>
  <c r="C296" i="5"/>
  <c r="AN371" i="1" s="1"/>
  <c r="C297" i="5"/>
  <c r="AN372" i="1" s="1"/>
  <c r="C298" i="5"/>
  <c r="AN373" i="1" s="1"/>
  <c r="C299" i="5"/>
  <c r="AN374" i="1" s="1"/>
  <c r="C300" i="5"/>
  <c r="AN375" i="1" s="1"/>
  <c r="C301" i="5"/>
  <c r="AN376" i="1" s="1"/>
  <c r="C302" i="5"/>
  <c r="AN377" i="1" s="1"/>
  <c r="C303" i="5"/>
  <c r="AN378" i="1" s="1"/>
  <c r="C304" i="5"/>
  <c r="AN379" i="1" s="1"/>
  <c r="C305" i="5"/>
  <c r="AN380" i="1" s="1"/>
  <c r="C306" i="5"/>
  <c r="AN381" i="1" s="1"/>
  <c r="C307" i="5"/>
  <c r="AN382" i="1" s="1"/>
  <c r="C308" i="5"/>
  <c r="C309" i="5"/>
  <c r="C310" i="5"/>
  <c r="C311" i="5"/>
  <c r="C312" i="5"/>
  <c r="C313" i="5"/>
  <c r="C314" i="5"/>
  <c r="C315" i="5"/>
  <c r="C3" i="5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N3" i="2"/>
  <c r="N4" i="2" s="1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M3" i="2"/>
  <c r="M4" i="2" s="1"/>
  <c r="M5" i="2" s="1"/>
  <c r="M6" i="2" s="1"/>
  <c r="M7" i="2" s="1"/>
  <c r="M8" i="2" s="1"/>
  <c r="M9" i="2" s="1"/>
  <c r="M10" i="2" s="1"/>
  <c r="M11" i="2" s="1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54" i="2" s="1"/>
  <c r="M55" i="2" s="1"/>
  <c r="M56" i="2" s="1"/>
  <c r="M57" i="2" s="1"/>
  <c r="M58" i="2" s="1"/>
  <c r="M59" i="2" s="1"/>
  <c r="M60" i="2" s="1"/>
  <c r="M61" i="2" s="1"/>
  <c r="M62" i="2" s="1"/>
  <c r="M63" i="2" s="1"/>
  <c r="M64" i="2" s="1"/>
  <c r="M65" i="2" s="1"/>
  <c r="M66" i="2" s="1"/>
  <c r="M67" i="2" s="1"/>
  <c r="M68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M103" i="2" s="1"/>
  <c r="M104" i="2" s="1"/>
  <c r="M105" i="2" s="1"/>
  <c r="M106" i="2" s="1"/>
  <c r="M107" i="2" s="1"/>
  <c r="M108" i="2" s="1"/>
  <c r="M109" i="2" s="1"/>
  <c r="M110" i="2" s="1"/>
  <c r="M111" i="2" s="1"/>
  <c r="M112" i="2" s="1"/>
  <c r="M113" i="2" s="1"/>
  <c r="M114" i="2" s="1"/>
  <c r="M115" i="2" s="1"/>
  <c r="M116" i="2" s="1"/>
  <c r="M117" i="2" s="1"/>
  <c r="M118" i="2" s="1"/>
  <c r="M119" i="2" s="1"/>
  <c r="M120" i="2" s="1"/>
  <c r="M121" i="2" s="1"/>
  <c r="M122" i="2" s="1"/>
  <c r="M123" i="2" s="1"/>
  <c r="M124" i="2" s="1"/>
  <c r="M125" i="2" s="1"/>
  <c r="M126" i="2" s="1"/>
  <c r="M127" i="2" s="1"/>
  <c r="M128" i="2" s="1"/>
  <c r="M129" i="2" s="1"/>
  <c r="M130" i="2" s="1"/>
  <c r="M131" i="2" s="1"/>
  <c r="M132" i="2" s="1"/>
  <c r="M133" i="2" s="1"/>
  <c r="M134" i="2" s="1"/>
  <c r="M135" i="2" s="1"/>
  <c r="M136" i="2" s="1"/>
  <c r="M137" i="2" s="1"/>
  <c r="M138" i="2" s="1"/>
  <c r="M139" i="2" s="1"/>
  <c r="M140" i="2" s="1"/>
  <c r="M141" i="2" s="1"/>
  <c r="M142" i="2" s="1"/>
  <c r="M143" i="2" s="1"/>
  <c r="M144" i="2" s="1"/>
  <c r="M145" i="2" s="1"/>
  <c r="M146" i="2" s="1"/>
  <c r="M147" i="2" s="1"/>
  <c r="M148" i="2" s="1"/>
  <c r="M149" i="2" s="1"/>
  <c r="M150" i="2" s="1"/>
  <c r="M151" i="2" s="1"/>
  <c r="M152" i="2" s="1"/>
  <c r="M153" i="2" s="1"/>
  <c r="M154" i="2" s="1"/>
  <c r="M155" i="2" s="1"/>
  <c r="M156" i="2" s="1"/>
  <c r="M157" i="2" s="1"/>
  <c r="M158" i="2" s="1"/>
  <c r="M159" i="2" s="1"/>
  <c r="M160" i="2" s="1"/>
  <c r="M161" i="2" s="1"/>
  <c r="M162" i="2" s="1"/>
  <c r="M163" i="2" s="1"/>
  <c r="M164" i="2" s="1"/>
  <c r="M165" i="2" s="1"/>
  <c r="M166" i="2" s="1"/>
  <c r="M167" i="2" s="1"/>
  <c r="M168" i="2" s="1"/>
  <c r="M169" i="2" s="1"/>
  <c r="M170" i="2" s="1"/>
  <c r="M171" i="2" s="1"/>
  <c r="M172" i="2" s="1"/>
  <c r="M173" i="2" s="1"/>
  <c r="M174" i="2" s="1"/>
  <c r="M175" i="2" s="1"/>
  <c r="M176" i="2" s="1"/>
  <c r="M177" i="2" s="1"/>
  <c r="M178" i="2" s="1"/>
  <c r="M179" i="2" s="1"/>
  <c r="M180" i="2" s="1"/>
  <c r="M181" i="2" s="1"/>
  <c r="M182" i="2" s="1"/>
  <c r="M183" i="2" s="1"/>
  <c r="M184" i="2" s="1"/>
  <c r="M185" i="2" s="1"/>
  <c r="M186" i="2" s="1"/>
  <c r="M187" i="2" s="1"/>
  <c r="M188" i="2" s="1"/>
  <c r="M189" i="2" s="1"/>
  <c r="M190" i="2" s="1"/>
  <c r="M191" i="2" s="1"/>
  <c r="M192" i="2" s="1"/>
  <c r="M193" i="2" s="1"/>
  <c r="M194" i="2" s="1"/>
  <c r="M195" i="2" s="1"/>
  <c r="M196" i="2" s="1"/>
  <c r="M197" i="2" s="1"/>
  <c r="M198" i="2" s="1"/>
  <c r="M199" i="2" s="1"/>
  <c r="M200" i="2" s="1"/>
  <c r="M201" i="2" s="1"/>
  <c r="M202" i="2" s="1"/>
  <c r="M203" i="2" s="1"/>
  <c r="M204" i="2" s="1"/>
  <c r="M205" i="2" s="1"/>
  <c r="M206" i="2" s="1"/>
  <c r="M207" i="2" s="1"/>
  <c r="M208" i="2" s="1"/>
  <c r="M209" i="2" s="1"/>
  <c r="M210" i="2" s="1"/>
  <c r="M211" i="2" s="1"/>
  <c r="M212" i="2" s="1"/>
  <c r="M213" i="2" s="1"/>
  <c r="M214" i="2" s="1"/>
  <c r="M215" i="2" s="1"/>
  <c r="M216" i="2" s="1"/>
  <c r="M217" i="2" s="1"/>
  <c r="M218" i="2" s="1"/>
  <c r="M219" i="2" s="1"/>
  <c r="M220" i="2" s="1"/>
  <c r="M221" i="2" s="1"/>
  <c r="M222" i="2" s="1"/>
  <c r="M223" i="2" s="1"/>
  <c r="M224" i="2" s="1"/>
  <c r="M225" i="2" s="1"/>
  <c r="M226" i="2" s="1"/>
  <c r="M227" i="2" s="1"/>
  <c r="M228" i="2" s="1"/>
  <c r="M229" i="2" s="1"/>
  <c r="M230" i="2" s="1"/>
  <c r="M231" i="2" s="1"/>
  <c r="M232" i="2" s="1"/>
  <c r="M233" i="2" s="1"/>
  <c r="M234" i="2" s="1"/>
  <c r="M235" i="2" s="1"/>
  <c r="M236" i="2" s="1"/>
  <c r="M237" i="2" s="1"/>
  <c r="M238" i="2" s="1"/>
  <c r="M239" i="2" s="1"/>
  <c r="M240" i="2" s="1"/>
  <c r="M241" i="2" s="1"/>
  <c r="M242" i="2" s="1"/>
  <c r="M243" i="2" s="1"/>
  <c r="M244" i="2" s="1"/>
  <c r="M245" i="2" s="1"/>
  <c r="M246" i="2" s="1"/>
  <c r="M247" i="2" s="1"/>
  <c r="M248" i="2" s="1"/>
  <c r="M249" i="2" s="1"/>
  <c r="M250" i="2" s="1"/>
  <c r="M251" i="2" s="1"/>
  <c r="M252" i="2" s="1"/>
  <c r="M253" i="2" s="1"/>
  <c r="M254" i="2" s="1"/>
  <c r="M255" i="2" s="1"/>
  <c r="M256" i="2" s="1"/>
  <c r="M257" i="2" s="1"/>
  <c r="M258" i="2" s="1"/>
  <c r="M259" i="2" s="1"/>
  <c r="M260" i="2" s="1"/>
  <c r="M261" i="2" s="1"/>
  <c r="M262" i="2" s="1"/>
  <c r="M263" i="2" s="1"/>
  <c r="M264" i="2" s="1"/>
  <c r="M265" i="2" s="1"/>
  <c r="M266" i="2" s="1"/>
  <c r="M267" i="2" s="1"/>
  <c r="M268" i="2" s="1"/>
  <c r="M269" i="2" s="1"/>
  <c r="M270" i="2" s="1"/>
  <c r="M271" i="2" s="1"/>
  <c r="M272" i="2" s="1"/>
  <c r="M273" i="2" s="1"/>
  <c r="M274" i="2" s="1"/>
  <c r="M275" i="2" s="1"/>
  <c r="M276" i="2" s="1"/>
  <c r="M277" i="2" s="1"/>
  <c r="M278" i="2" s="1"/>
  <c r="M279" i="2" s="1"/>
  <c r="M280" i="2" s="1"/>
  <c r="M281" i="2" s="1"/>
  <c r="M282" i="2" s="1"/>
  <c r="M283" i="2" s="1"/>
  <c r="M284" i="2" s="1"/>
  <c r="M285" i="2" s="1"/>
  <c r="M286" i="2" s="1"/>
  <c r="M287" i="2" s="1"/>
  <c r="M288" i="2" s="1"/>
  <c r="M289" i="2" s="1"/>
  <c r="M290" i="2" s="1"/>
  <c r="M291" i="2" s="1"/>
  <c r="M292" i="2" s="1"/>
  <c r="M293" i="2" s="1"/>
  <c r="M294" i="2" s="1"/>
  <c r="M295" i="2" s="1"/>
  <c r="M296" i="2" s="1"/>
  <c r="M297" i="2" s="1"/>
  <c r="M298" i="2" s="1"/>
  <c r="M299" i="2" s="1"/>
  <c r="M300" i="2" s="1"/>
  <c r="M301" i="2" s="1"/>
  <c r="M302" i="2" s="1"/>
  <c r="M303" i="2" s="1"/>
  <c r="M304" i="2" s="1"/>
  <c r="M305" i="2" s="1"/>
  <c r="M306" i="2" s="1"/>
  <c r="M307" i="2" s="1"/>
  <c r="M308" i="2" s="1"/>
  <c r="M309" i="2" s="1"/>
  <c r="M310" i="2" s="1"/>
  <c r="M311" i="2" s="1"/>
  <c r="M312" i="2" s="1"/>
  <c r="M313" i="2" s="1"/>
  <c r="M314" i="2" s="1"/>
  <c r="M315" i="2" s="1"/>
  <c r="M316" i="2" s="1"/>
  <c r="M317" i="2" s="1"/>
  <c r="M318" i="2" s="1"/>
  <c r="M319" i="2" s="1"/>
  <c r="M320" i="2" s="1"/>
  <c r="M321" i="2" s="1"/>
  <c r="M322" i="2" s="1"/>
  <c r="M323" i="2" s="1"/>
  <c r="M324" i="2" s="1"/>
  <c r="M325" i="2" s="1"/>
  <c r="M326" i="2" s="1"/>
  <c r="M327" i="2" s="1"/>
  <c r="M328" i="2" s="1"/>
  <c r="M329" i="2" s="1"/>
  <c r="M330" i="2" s="1"/>
  <c r="M331" i="2" s="1"/>
  <c r="M332" i="2" s="1"/>
  <c r="M333" i="2" s="1"/>
  <c r="M334" i="2" s="1"/>
  <c r="M335" i="2" s="1"/>
  <c r="M336" i="2" s="1"/>
  <c r="M337" i="2" s="1"/>
  <c r="M338" i="2" s="1"/>
  <c r="M339" i="2" s="1"/>
  <c r="M340" i="2" s="1"/>
  <c r="M341" i="2" s="1"/>
  <c r="M342" i="2" s="1"/>
  <c r="M343" i="2" s="1"/>
  <c r="M344" i="2" s="1"/>
  <c r="M345" i="2" s="1"/>
  <c r="M346" i="2" s="1"/>
  <c r="M347" i="2" s="1"/>
  <c r="M348" i="2" s="1"/>
  <c r="M349" i="2" s="1"/>
  <c r="M350" i="2" s="1"/>
  <c r="M351" i="2" s="1"/>
  <c r="M352" i="2" s="1"/>
  <c r="M353" i="2" s="1"/>
  <c r="M354" i="2" s="1"/>
  <c r="M355" i="2" s="1"/>
  <c r="M356" i="2" s="1"/>
  <c r="M357" i="2" s="1"/>
  <c r="M358" i="2" s="1"/>
  <c r="M359" i="2" s="1"/>
  <c r="M360" i="2" s="1"/>
  <c r="M361" i="2" s="1"/>
  <c r="M362" i="2" s="1"/>
  <c r="M363" i="2" s="1"/>
  <c r="M364" i="2" s="1"/>
  <c r="M365" i="2" s="1"/>
  <c r="M366" i="2" s="1"/>
  <c r="M367" i="2" s="1"/>
  <c r="M368" i="2" s="1"/>
  <c r="M369" i="2" s="1"/>
  <c r="M370" i="2" s="1"/>
  <c r="M371" i="2" s="1"/>
  <c r="M372" i="2" s="1"/>
  <c r="M373" i="2" s="1"/>
  <c r="M374" i="2" s="1"/>
  <c r="M375" i="2" s="1"/>
  <c r="M376" i="2" s="1"/>
  <c r="M377" i="2" s="1"/>
  <c r="M378" i="2" s="1"/>
  <c r="L3" i="2"/>
  <c r="L4" i="2" s="1"/>
  <c r="L5" i="2" s="1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103" i="2" s="1"/>
  <c r="L104" i="2" s="1"/>
  <c r="L105" i="2" s="1"/>
  <c r="L106" i="2" s="1"/>
  <c r="L107" i="2" s="1"/>
  <c r="L108" i="2" s="1"/>
  <c r="L109" i="2" s="1"/>
  <c r="L110" i="2" s="1"/>
  <c r="L111" i="2" s="1"/>
  <c r="L112" i="2" s="1"/>
  <c r="L113" i="2" s="1"/>
  <c r="L114" i="2" s="1"/>
  <c r="L115" i="2" s="1"/>
  <c r="L116" i="2" s="1"/>
  <c r="L117" i="2" s="1"/>
  <c r="L118" i="2" s="1"/>
  <c r="L119" i="2" s="1"/>
  <c r="L120" i="2" s="1"/>
  <c r="L121" i="2" s="1"/>
  <c r="L122" i="2" s="1"/>
  <c r="L123" i="2" s="1"/>
  <c r="L124" i="2" s="1"/>
  <c r="L125" i="2" s="1"/>
  <c r="L126" i="2" s="1"/>
  <c r="L127" i="2" s="1"/>
  <c r="L128" i="2" s="1"/>
  <c r="L129" i="2" s="1"/>
  <c r="L130" i="2" s="1"/>
  <c r="L131" i="2" s="1"/>
  <c r="L132" i="2" s="1"/>
  <c r="L133" i="2" s="1"/>
  <c r="L134" i="2" s="1"/>
  <c r="L135" i="2" s="1"/>
  <c r="L136" i="2" s="1"/>
  <c r="L137" i="2" s="1"/>
  <c r="L138" i="2" s="1"/>
  <c r="L139" i="2" s="1"/>
  <c r="L140" i="2" s="1"/>
  <c r="L141" i="2" s="1"/>
  <c r="L142" i="2" s="1"/>
  <c r="L143" i="2" s="1"/>
  <c r="L144" i="2" s="1"/>
  <c r="L145" i="2" s="1"/>
  <c r="L146" i="2" s="1"/>
  <c r="L147" i="2" s="1"/>
  <c r="L148" i="2" s="1"/>
  <c r="L149" i="2" s="1"/>
  <c r="L150" i="2" s="1"/>
  <c r="L151" i="2" s="1"/>
  <c r="L152" i="2" s="1"/>
  <c r="L153" i="2" s="1"/>
  <c r="L154" i="2" s="1"/>
  <c r="L155" i="2" s="1"/>
  <c r="L156" i="2" s="1"/>
  <c r="L157" i="2" s="1"/>
  <c r="L158" i="2" s="1"/>
  <c r="L159" i="2" s="1"/>
  <c r="L160" i="2" s="1"/>
  <c r="L161" i="2" s="1"/>
  <c r="L162" i="2" s="1"/>
  <c r="L163" i="2" s="1"/>
  <c r="L164" i="2" s="1"/>
  <c r="L165" i="2" s="1"/>
  <c r="L166" i="2" s="1"/>
  <c r="L167" i="2" s="1"/>
  <c r="L168" i="2" s="1"/>
  <c r="L169" i="2" s="1"/>
  <c r="L170" i="2" s="1"/>
  <c r="L171" i="2" s="1"/>
  <c r="L172" i="2" s="1"/>
  <c r="L173" i="2" s="1"/>
  <c r="L174" i="2" s="1"/>
  <c r="L175" i="2" s="1"/>
  <c r="L176" i="2" s="1"/>
  <c r="L177" i="2" s="1"/>
  <c r="L178" i="2" s="1"/>
  <c r="L179" i="2" s="1"/>
  <c r="L180" i="2" s="1"/>
  <c r="L181" i="2" s="1"/>
  <c r="L182" i="2" s="1"/>
  <c r="L183" i="2" s="1"/>
  <c r="L184" i="2" s="1"/>
  <c r="L185" i="2" s="1"/>
  <c r="L186" i="2" s="1"/>
  <c r="L187" i="2" s="1"/>
  <c r="L188" i="2" s="1"/>
  <c r="L189" i="2" s="1"/>
  <c r="L190" i="2" s="1"/>
  <c r="L191" i="2" s="1"/>
  <c r="L192" i="2" s="1"/>
  <c r="L193" i="2" s="1"/>
  <c r="L194" i="2" s="1"/>
  <c r="L195" i="2" s="1"/>
  <c r="L196" i="2" s="1"/>
  <c r="L197" i="2" s="1"/>
  <c r="L198" i="2" s="1"/>
  <c r="L199" i="2" s="1"/>
  <c r="L200" i="2" s="1"/>
  <c r="L201" i="2" s="1"/>
  <c r="L202" i="2" s="1"/>
  <c r="L203" i="2" s="1"/>
  <c r="L204" i="2" s="1"/>
  <c r="L205" i="2" s="1"/>
  <c r="L206" i="2" s="1"/>
  <c r="L207" i="2" s="1"/>
  <c r="L208" i="2" s="1"/>
  <c r="L209" i="2" s="1"/>
  <c r="L210" i="2" s="1"/>
  <c r="L211" i="2" s="1"/>
  <c r="L212" i="2" s="1"/>
  <c r="L213" i="2" s="1"/>
  <c r="L214" i="2" s="1"/>
  <c r="L215" i="2" s="1"/>
  <c r="L216" i="2" s="1"/>
  <c r="L217" i="2" s="1"/>
  <c r="L218" i="2" s="1"/>
  <c r="L219" i="2" s="1"/>
  <c r="L220" i="2" s="1"/>
  <c r="L221" i="2" s="1"/>
  <c r="L222" i="2" s="1"/>
  <c r="L223" i="2" s="1"/>
  <c r="L224" i="2" s="1"/>
  <c r="L225" i="2" s="1"/>
  <c r="L226" i="2" s="1"/>
  <c r="L227" i="2" s="1"/>
  <c r="L228" i="2" s="1"/>
  <c r="L229" i="2" s="1"/>
  <c r="L230" i="2" s="1"/>
  <c r="L231" i="2" s="1"/>
  <c r="L232" i="2" s="1"/>
  <c r="L233" i="2" s="1"/>
  <c r="L234" i="2" s="1"/>
  <c r="L235" i="2" s="1"/>
  <c r="L236" i="2" s="1"/>
  <c r="L237" i="2" s="1"/>
  <c r="L238" i="2" s="1"/>
  <c r="L239" i="2" s="1"/>
  <c r="L240" i="2" s="1"/>
  <c r="L241" i="2" s="1"/>
  <c r="L242" i="2" s="1"/>
  <c r="L243" i="2" s="1"/>
  <c r="L244" i="2" s="1"/>
  <c r="L245" i="2" s="1"/>
  <c r="L246" i="2" s="1"/>
  <c r="L247" i="2" s="1"/>
  <c r="L248" i="2" s="1"/>
  <c r="L249" i="2" s="1"/>
  <c r="L250" i="2" s="1"/>
  <c r="L251" i="2" s="1"/>
  <c r="L252" i="2" s="1"/>
  <c r="L253" i="2" s="1"/>
  <c r="L254" i="2" s="1"/>
  <c r="L255" i="2" s="1"/>
  <c r="L256" i="2" s="1"/>
  <c r="L257" i="2" s="1"/>
  <c r="L258" i="2" s="1"/>
  <c r="L259" i="2" s="1"/>
  <c r="L260" i="2" s="1"/>
  <c r="L261" i="2" s="1"/>
  <c r="L262" i="2" s="1"/>
  <c r="L263" i="2" s="1"/>
  <c r="L264" i="2" s="1"/>
  <c r="L265" i="2" s="1"/>
  <c r="L266" i="2" s="1"/>
  <c r="L267" i="2" s="1"/>
  <c r="L268" i="2" s="1"/>
  <c r="L269" i="2" s="1"/>
  <c r="L270" i="2" s="1"/>
  <c r="L271" i="2" s="1"/>
  <c r="L272" i="2" s="1"/>
  <c r="L273" i="2" s="1"/>
  <c r="L274" i="2" s="1"/>
  <c r="L275" i="2" s="1"/>
  <c r="L276" i="2" s="1"/>
  <c r="L277" i="2" s="1"/>
  <c r="L278" i="2" s="1"/>
  <c r="L279" i="2" s="1"/>
  <c r="L280" i="2" s="1"/>
  <c r="L281" i="2" s="1"/>
  <c r="L282" i="2" s="1"/>
  <c r="L283" i="2" s="1"/>
  <c r="L284" i="2" s="1"/>
  <c r="L285" i="2" s="1"/>
  <c r="L286" i="2" s="1"/>
  <c r="L287" i="2" s="1"/>
  <c r="L288" i="2" s="1"/>
  <c r="L289" i="2" s="1"/>
  <c r="L290" i="2" s="1"/>
  <c r="L291" i="2" s="1"/>
  <c r="L292" i="2" s="1"/>
  <c r="L293" i="2" s="1"/>
  <c r="L294" i="2" s="1"/>
  <c r="L295" i="2" s="1"/>
  <c r="L296" i="2" s="1"/>
  <c r="L297" i="2" s="1"/>
  <c r="L298" i="2" s="1"/>
  <c r="L299" i="2" s="1"/>
  <c r="L300" i="2" s="1"/>
  <c r="L301" i="2" s="1"/>
  <c r="L302" i="2" s="1"/>
  <c r="L303" i="2" s="1"/>
  <c r="L304" i="2" s="1"/>
  <c r="L305" i="2" s="1"/>
  <c r="L306" i="2" s="1"/>
  <c r="L307" i="2" s="1"/>
  <c r="L308" i="2" s="1"/>
  <c r="L309" i="2" s="1"/>
  <c r="L310" i="2" s="1"/>
  <c r="L311" i="2" s="1"/>
  <c r="L312" i="2" s="1"/>
  <c r="L313" i="2" s="1"/>
  <c r="L314" i="2" s="1"/>
  <c r="L315" i="2" s="1"/>
  <c r="L316" i="2" s="1"/>
  <c r="L317" i="2" s="1"/>
  <c r="L318" i="2" s="1"/>
  <c r="L319" i="2" s="1"/>
  <c r="L320" i="2" s="1"/>
  <c r="L321" i="2" s="1"/>
  <c r="L322" i="2" s="1"/>
  <c r="L323" i="2" s="1"/>
  <c r="L324" i="2" s="1"/>
  <c r="L325" i="2" s="1"/>
  <c r="L326" i="2" s="1"/>
  <c r="L327" i="2" s="1"/>
  <c r="L328" i="2" s="1"/>
  <c r="L329" i="2" s="1"/>
  <c r="L330" i="2" s="1"/>
  <c r="L331" i="2" s="1"/>
  <c r="L332" i="2" s="1"/>
  <c r="L333" i="2" s="1"/>
  <c r="L334" i="2" s="1"/>
  <c r="L335" i="2" s="1"/>
  <c r="L336" i="2" s="1"/>
  <c r="L337" i="2" s="1"/>
  <c r="L338" i="2" s="1"/>
  <c r="L339" i="2" s="1"/>
  <c r="L340" i="2" s="1"/>
  <c r="L341" i="2" s="1"/>
  <c r="L342" i="2" s="1"/>
  <c r="L343" i="2" s="1"/>
  <c r="L344" i="2" s="1"/>
  <c r="L345" i="2" s="1"/>
  <c r="L346" i="2" s="1"/>
  <c r="L347" i="2" s="1"/>
  <c r="L348" i="2" s="1"/>
  <c r="L349" i="2" s="1"/>
  <c r="L350" i="2" s="1"/>
  <c r="L351" i="2" s="1"/>
  <c r="L352" i="2" s="1"/>
  <c r="L353" i="2" s="1"/>
  <c r="L354" i="2" s="1"/>
  <c r="L355" i="2" s="1"/>
  <c r="L356" i="2" s="1"/>
  <c r="L357" i="2" s="1"/>
  <c r="L358" i="2" s="1"/>
  <c r="L359" i="2" s="1"/>
  <c r="L360" i="2" s="1"/>
  <c r="L361" i="2" s="1"/>
  <c r="L362" i="2" s="1"/>
  <c r="L363" i="2" s="1"/>
  <c r="L364" i="2" s="1"/>
  <c r="L365" i="2" s="1"/>
  <c r="L366" i="2" s="1"/>
  <c r="L367" i="2" s="1"/>
  <c r="L368" i="2" s="1"/>
  <c r="L369" i="2" s="1"/>
  <c r="L370" i="2" s="1"/>
  <c r="L371" i="2" s="1"/>
  <c r="L372" i="2" s="1"/>
  <c r="L373" i="2" s="1"/>
  <c r="L374" i="2" s="1"/>
  <c r="L375" i="2" s="1"/>
  <c r="L376" i="2" s="1"/>
  <c r="L377" i="2" s="1"/>
  <c r="L378" i="2" s="1"/>
  <c r="K3" i="2"/>
  <c r="K4" i="2" s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151" i="2" s="1"/>
  <c r="K152" i="2" s="1"/>
  <c r="K153" i="2" s="1"/>
  <c r="K154" i="2" s="1"/>
  <c r="K155" i="2" s="1"/>
  <c r="K156" i="2" s="1"/>
  <c r="K157" i="2" s="1"/>
  <c r="K158" i="2" s="1"/>
  <c r="K159" i="2" s="1"/>
  <c r="K160" i="2" s="1"/>
  <c r="K161" i="2" s="1"/>
  <c r="K162" i="2" s="1"/>
  <c r="K163" i="2" s="1"/>
  <c r="K164" i="2" s="1"/>
  <c r="K165" i="2" s="1"/>
  <c r="K166" i="2" s="1"/>
  <c r="K167" i="2" s="1"/>
  <c r="K168" i="2" s="1"/>
  <c r="K169" i="2" s="1"/>
  <c r="K170" i="2" s="1"/>
  <c r="K171" i="2" s="1"/>
  <c r="K172" i="2" s="1"/>
  <c r="K173" i="2" s="1"/>
  <c r="K174" i="2" s="1"/>
  <c r="K175" i="2" s="1"/>
  <c r="K176" i="2" s="1"/>
  <c r="K177" i="2" s="1"/>
  <c r="K178" i="2" s="1"/>
  <c r="K179" i="2" s="1"/>
  <c r="K180" i="2" s="1"/>
  <c r="K181" i="2" s="1"/>
  <c r="K182" i="2" s="1"/>
  <c r="K183" i="2" s="1"/>
  <c r="K184" i="2" s="1"/>
  <c r="K185" i="2" s="1"/>
  <c r="K186" i="2" s="1"/>
  <c r="K187" i="2" s="1"/>
  <c r="K188" i="2" s="1"/>
  <c r="K189" i="2" s="1"/>
  <c r="K190" i="2" s="1"/>
  <c r="K191" i="2" s="1"/>
  <c r="K192" i="2" s="1"/>
  <c r="K193" i="2" s="1"/>
  <c r="K194" i="2" s="1"/>
  <c r="K195" i="2" s="1"/>
  <c r="K196" i="2" s="1"/>
  <c r="K197" i="2" s="1"/>
  <c r="K198" i="2" s="1"/>
  <c r="K199" i="2" s="1"/>
  <c r="K200" i="2" s="1"/>
  <c r="K201" i="2" s="1"/>
  <c r="K202" i="2" s="1"/>
  <c r="K203" i="2" s="1"/>
  <c r="K204" i="2" s="1"/>
  <c r="K205" i="2" s="1"/>
  <c r="K206" i="2" s="1"/>
  <c r="K207" i="2" s="1"/>
  <c r="K208" i="2" s="1"/>
  <c r="K209" i="2" s="1"/>
  <c r="K210" i="2" s="1"/>
  <c r="K211" i="2" s="1"/>
  <c r="K212" i="2" s="1"/>
  <c r="K213" i="2" s="1"/>
  <c r="K214" i="2" s="1"/>
  <c r="K215" i="2" s="1"/>
  <c r="K216" i="2" s="1"/>
  <c r="K217" i="2" s="1"/>
  <c r="K218" i="2" s="1"/>
  <c r="K219" i="2" s="1"/>
  <c r="K220" i="2" s="1"/>
  <c r="K221" i="2" s="1"/>
  <c r="K222" i="2" s="1"/>
  <c r="K223" i="2" s="1"/>
  <c r="K224" i="2" s="1"/>
  <c r="K225" i="2" s="1"/>
  <c r="K226" i="2" s="1"/>
  <c r="K227" i="2" s="1"/>
  <c r="K228" i="2" s="1"/>
  <c r="K229" i="2" s="1"/>
  <c r="K230" i="2" s="1"/>
  <c r="K231" i="2" s="1"/>
  <c r="K232" i="2" s="1"/>
  <c r="K233" i="2" s="1"/>
  <c r="K234" i="2" s="1"/>
  <c r="K235" i="2" s="1"/>
  <c r="K236" i="2" s="1"/>
  <c r="K237" i="2" s="1"/>
  <c r="K238" i="2" s="1"/>
  <c r="K239" i="2" s="1"/>
  <c r="K240" i="2" s="1"/>
  <c r="K241" i="2" s="1"/>
  <c r="K242" i="2" s="1"/>
  <c r="K243" i="2" s="1"/>
  <c r="K244" i="2" s="1"/>
  <c r="K245" i="2" s="1"/>
  <c r="K246" i="2" s="1"/>
  <c r="K247" i="2" s="1"/>
  <c r="K248" i="2" s="1"/>
  <c r="K249" i="2" s="1"/>
  <c r="K250" i="2" s="1"/>
  <c r="K251" i="2" s="1"/>
  <c r="K252" i="2" s="1"/>
  <c r="K253" i="2" s="1"/>
  <c r="K254" i="2" s="1"/>
  <c r="K255" i="2" s="1"/>
  <c r="K256" i="2" s="1"/>
  <c r="K257" i="2" s="1"/>
  <c r="K258" i="2" s="1"/>
  <c r="K259" i="2" s="1"/>
  <c r="K260" i="2" s="1"/>
  <c r="K261" i="2" s="1"/>
  <c r="K262" i="2" s="1"/>
  <c r="K263" i="2" s="1"/>
  <c r="K264" i="2" s="1"/>
  <c r="K265" i="2" s="1"/>
  <c r="K266" i="2" s="1"/>
  <c r="K267" i="2" s="1"/>
  <c r="K268" i="2" s="1"/>
  <c r="K269" i="2" s="1"/>
  <c r="K270" i="2" s="1"/>
  <c r="K271" i="2" s="1"/>
  <c r="K272" i="2" s="1"/>
  <c r="K273" i="2" s="1"/>
  <c r="K274" i="2" s="1"/>
  <c r="K275" i="2" s="1"/>
  <c r="K276" i="2" s="1"/>
  <c r="K277" i="2" s="1"/>
  <c r="K278" i="2" s="1"/>
  <c r="K279" i="2" s="1"/>
  <c r="K280" i="2" s="1"/>
  <c r="K281" i="2" s="1"/>
  <c r="K282" i="2" s="1"/>
  <c r="K283" i="2" s="1"/>
  <c r="K284" i="2" s="1"/>
  <c r="K285" i="2" s="1"/>
  <c r="K286" i="2" s="1"/>
  <c r="K287" i="2" s="1"/>
  <c r="K288" i="2" s="1"/>
  <c r="K289" i="2" s="1"/>
  <c r="K290" i="2" s="1"/>
  <c r="K291" i="2" s="1"/>
  <c r="K292" i="2" s="1"/>
  <c r="K293" i="2" s="1"/>
  <c r="K294" i="2" s="1"/>
  <c r="K295" i="2" s="1"/>
  <c r="K296" i="2" s="1"/>
  <c r="K297" i="2" s="1"/>
  <c r="K298" i="2" s="1"/>
  <c r="K299" i="2" s="1"/>
  <c r="K300" i="2" s="1"/>
  <c r="K301" i="2" s="1"/>
  <c r="K302" i="2" s="1"/>
  <c r="K303" i="2" s="1"/>
  <c r="K304" i="2" s="1"/>
  <c r="K305" i="2" s="1"/>
  <c r="K306" i="2" s="1"/>
  <c r="K307" i="2" s="1"/>
  <c r="K308" i="2" s="1"/>
  <c r="K309" i="2" s="1"/>
  <c r="K310" i="2" s="1"/>
  <c r="K311" i="2" s="1"/>
  <c r="K312" i="2" s="1"/>
  <c r="K313" i="2" s="1"/>
  <c r="K314" i="2" s="1"/>
  <c r="K315" i="2" s="1"/>
  <c r="K316" i="2" s="1"/>
  <c r="K317" i="2" s="1"/>
  <c r="K318" i="2" s="1"/>
  <c r="K319" i="2" s="1"/>
  <c r="K320" i="2" s="1"/>
  <c r="K321" i="2" s="1"/>
  <c r="K322" i="2" s="1"/>
  <c r="K323" i="2" s="1"/>
  <c r="K324" i="2" s="1"/>
  <c r="K325" i="2" s="1"/>
  <c r="K326" i="2" s="1"/>
  <c r="K327" i="2" s="1"/>
  <c r="K328" i="2" s="1"/>
  <c r="K329" i="2" s="1"/>
  <c r="K330" i="2" s="1"/>
  <c r="K331" i="2" s="1"/>
  <c r="K332" i="2" s="1"/>
  <c r="K333" i="2" s="1"/>
  <c r="K334" i="2" s="1"/>
  <c r="K335" i="2" s="1"/>
  <c r="K336" i="2" s="1"/>
  <c r="K337" i="2" s="1"/>
  <c r="K338" i="2" s="1"/>
  <c r="K339" i="2" s="1"/>
  <c r="K340" i="2" s="1"/>
  <c r="K341" i="2" s="1"/>
  <c r="K342" i="2" s="1"/>
  <c r="K343" i="2" s="1"/>
  <c r="K344" i="2" s="1"/>
  <c r="K345" i="2" s="1"/>
  <c r="K346" i="2" s="1"/>
  <c r="K347" i="2" s="1"/>
  <c r="K348" i="2" s="1"/>
  <c r="K349" i="2" s="1"/>
  <c r="K350" i="2" s="1"/>
  <c r="K351" i="2" s="1"/>
  <c r="K352" i="2" s="1"/>
  <c r="K353" i="2" s="1"/>
  <c r="K354" i="2" s="1"/>
  <c r="K355" i="2" s="1"/>
  <c r="K356" i="2" s="1"/>
  <c r="K357" i="2" s="1"/>
  <c r="K358" i="2" s="1"/>
  <c r="K359" i="2" s="1"/>
  <c r="K360" i="2" s="1"/>
  <c r="K361" i="2" s="1"/>
  <c r="K362" i="2" s="1"/>
  <c r="K363" i="2" s="1"/>
  <c r="K364" i="2" s="1"/>
  <c r="K365" i="2" s="1"/>
  <c r="K366" i="2" s="1"/>
  <c r="K367" i="2" s="1"/>
  <c r="K368" i="2" s="1"/>
  <c r="K369" i="2" s="1"/>
  <c r="K370" i="2" s="1"/>
  <c r="K371" i="2" s="1"/>
  <c r="K372" i="2" s="1"/>
  <c r="K373" i="2" s="1"/>
  <c r="K374" i="2" s="1"/>
  <c r="K375" i="2" s="1"/>
  <c r="K376" i="2" s="1"/>
  <c r="K377" i="2" s="1"/>
  <c r="K378" i="2" s="1"/>
  <c r="J3" i="2"/>
  <c r="J4" i="2" s="1"/>
  <c r="J5" i="2" s="1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J347" i="2" s="1"/>
  <c r="J348" i="2" s="1"/>
  <c r="J349" i="2" s="1"/>
  <c r="J350" i="2" s="1"/>
  <c r="J351" i="2" s="1"/>
  <c r="J352" i="2" s="1"/>
  <c r="J353" i="2" s="1"/>
  <c r="J354" i="2" s="1"/>
  <c r="J355" i="2" s="1"/>
  <c r="J356" i="2" s="1"/>
  <c r="J357" i="2" s="1"/>
  <c r="J358" i="2" s="1"/>
  <c r="J359" i="2" s="1"/>
  <c r="J360" i="2" s="1"/>
  <c r="J361" i="2" s="1"/>
  <c r="J362" i="2" s="1"/>
  <c r="J363" i="2" s="1"/>
  <c r="J364" i="2" s="1"/>
  <c r="J365" i="2" s="1"/>
  <c r="J366" i="2" s="1"/>
  <c r="J367" i="2" s="1"/>
  <c r="J368" i="2" s="1"/>
  <c r="J369" i="2" s="1"/>
  <c r="J370" i="2" s="1"/>
  <c r="J371" i="2" s="1"/>
  <c r="J372" i="2" s="1"/>
  <c r="J373" i="2" s="1"/>
  <c r="J374" i="2" s="1"/>
  <c r="J375" i="2" s="1"/>
  <c r="J376" i="2" s="1"/>
  <c r="J377" i="2" s="1"/>
  <c r="J378" i="2" s="1"/>
  <c r="I3" i="2"/>
  <c r="I2" i="2"/>
  <c r="N1" i="2"/>
  <c r="M1" i="2"/>
  <c r="L1" i="2"/>
  <c r="K1" i="2"/>
  <c r="J1" i="2"/>
  <c r="I1" i="2"/>
  <c r="AP382" i="1"/>
  <c r="AP381" i="1"/>
  <c r="AP380" i="1"/>
  <c r="AP379" i="1"/>
  <c r="AP378" i="1"/>
  <c r="AP377" i="1"/>
  <c r="AP376" i="1"/>
  <c r="AP375" i="1"/>
  <c r="AP374" i="1"/>
  <c r="AP373" i="1"/>
  <c r="AP372" i="1"/>
  <c r="AP371" i="1"/>
  <c r="AP370" i="1"/>
  <c r="AP369" i="1"/>
  <c r="AP368" i="1"/>
  <c r="AP367" i="1"/>
  <c r="AP366" i="1"/>
  <c r="AP365" i="1"/>
  <c r="AP364" i="1"/>
  <c r="AP363" i="1"/>
  <c r="AP362" i="1"/>
  <c r="AP361" i="1"/>
  <c r="AP360" i="1"/>
  <c r="AP359" i="1"/>
  <c r="AP358" i="1"/>
  <c r="AP357" i="1"/>
  <c r="AP356" i="1"/>
  <c r="AP355" i="1"/>
  <c r="AP354" i="1"/>
  <c r="AP353" i="1"/>
  <c r="AP352" i="1"/>
  <c r="AP351" i="1"/>
  <c r="AP350" i="1"/>
  <c r="AP349" i="1"/>
  <c r="AP348" i="1"/>
  <c r="AP347" i="1"/>
  <c r="AP346" i="1"/>
  <c r="AP345" i="1"/>
  <c r="AP344" i="1"/>
  <c r="AP343" i="1"/>
  <c r="AP342" i="1"/>
  <c r="AP341" i="1"/>
  <c r="AP340" i="1"/>
  <c r="AP339" i="1"/>
  <c r="AP338" i="1"/>
  <c r="AP337" i="1"/>
  <c r="AP336" i="1"/>
  <c r="AP335" i="1"/>
  <c r="AP334" i="1"/>
  <c r="AP333" i="1"/>
  <c r="AP332" i="1"/>
  <c r="AP331" i="1"/>
  <c r="AP330" i="1"/>
  <c r="AP329" i="1"/>
  <c r="AP328" i="1"/>
  <c r="AP327" i="1"/>
  <c r="AP326" i="1"/>
  <c r="AP325" i="1"/>
  <c r="AP324" i="1"/>
  <c r="AP323" i="1"/>
  <c r="AP322" i="1"/>
  <c r="AP321" i="1"/>
  <c r="AP320" i="1"/>
  <c r="AP319" i="1"/>
  <c r="AP318" i="1"/>
  <c r="AP317" i="1"/>
  <c r="AP316" i="1"/>
  <c r="AP315" i="1"/>
  <c r="AP314" i="1"/>
  <c r="AP313" i="1"/>
  <c r="AP312" i="1"/>
  <c r="AP311" i="1"/>
  <c r="AP310" i="1"/>
  <c r="AP309" i="1"/>
  <c r="AP308" i="1"/>
  <c r="AP307" i="1"/>
  <c r="AP306" i="1"/>
  <c r="AP305" i="1"/>
  <c r="AP304" i="1"/>
  <c r="AP303" i="1"/>
  <c r="AP302" i="1"/>
  <c r="AP301" i="1"/>
  <c r="AP300" i="1"/>
  <c r="AP299" i="1"/>
  <c r="AP298" i="1"/>
  <c r="AP297" i="1"/>
  <c r="AP296" i="1"/>
  <c r="AP295" i="1"/>
  <c r="AP294" i="1"/>
  <c r="AP293" i="1"/>
  <c r="AP292" i="1"/>
  <c r="AP291" i="1"/>
  <c r="AP290" i="1"/>
  <c r="AP289" i="1"/>
  <c r="AP288" i="1"/>
  <c r="AP287" i="1"/>
  <c r="AP286" i="1"/>
  <c r="AP285" i="1"/>
  <c r="AP284" i="1"/>
  <c r="AP283" i="1"/>
  <c r="AP282" i="1"/>
  <c r="AP281" i="1"/>
  <c r="AP280" i="1"/>
  <c r="AP279" i="1"/>
  <c r="AP278" i="1"/>
  <c r="AP277" i="1"/>
  <c r="AP276" i="1"/>
  <c r="AP275" i="1"/>
  <c r="AP274" i="1"/>
  <c r="AP273" i="1"/>
  <c r="AP272" i="1"/>
  <c r="AP271" i="1"/>
  <c r="AP270" i="1"/>
  <c r="AP269" i="1"/>
  <c r="AP268" i="1"/>
  <c r="AP267" i="1"/>
  <c r="AP266" i="1"/>
  <c r="AP265" i="1"/>
  <c r="AP264" i="1"/>
  <c r="AP263" i="1"/>
  <c r="AP262" i="1"/>
  <c r="AP261" i="1"/>
  <c r="AP260" i="1"/>
  <c r="AP259" i="1"/>
  <c r="AP258" i="1"/>
  <c r="AP257" i="1"/>
  <c r="AP256" i="1"/>
  <c r="AP255" i="1"/>
  <c r="AP254" i="1"/>
  <c r="AP253" i="1"/>
  <c r="AP252" i="1"/>
  <c r="AP251" i="1"/>
  <c r="AP250" i="1"/>
  <c r="AP249" i="1"/>
  <c r="AP248" i="1"/>
  <c r="AP247" i="1"/>
  <c r="AP246" i="1"/>
  <c r="AP245" i="1"/>
  <c r="AP244" i="1"/>
  <c r="AP243" i="1"/>
  <c r="AP242" i="1"/>
  <c r="AP241" i="1"/>
  <c r="AP240" i="1"/>
  <c r="AP239" i="1"/>
  <c r="AP238" i="1"/>
  <c r="AP237" i="1"/>
  <c r="AP236" i="1"/>
  <c r="AP235" i="1"/>
  <c r="AP234" i="1"/>
  <c r="AP233" i="1"/>
  <c r="AP232" i="1"/>
  <c r="AP231" i="1"/>
  <c r="AP230" i="1"/>
  <c r="AP229" i="1"/>
  <c r="AP228" i="1"/>
  <c r="AP227" i="1"/>
  <c r="AP226" i="1"/>
  <c r="AP225" i="1"/>
  <c r="AP224" i="1"/>
  <c r="AP223" i="1"/>
  <c r="AP222" i="1"/>
  <c r="AP221" i="1"/>
  <c r="AP220" i="1"/>
  <c r="AP219" i="1"/>
  <c r="AP218" i="1"/>
  <c r="AP217" i="1"/>
  <c r="AP216" i="1"/>
  <c r="AP215" i="1"/>
  <c r="AP214" i="1"/>
  <c r="AP213" i="1"/>
  <c r="AP212" i="1"/>
  <c r="AP211" i="1"/>
  <c r="AP210" i="1"/>
  <c r="AP209" i="1"/>
  <c r="AP208" i="1"/>
  <c r="AP207" i="1"/>
  <c r="AP206" i="1"/>
  <c r="AP205" i="1"/>
  <c r="AP204" i="1"/>
  <c r="AP203" i="1"/>
  <c r="AP202" i="1"/>
  <c r="AP201" i="1"/>
  <c r="AP200" i="1"/>
  <c r="AP199" i="1"/>
  <c r="AP198" i="1"/>
  <c r="AP197" i="1"/>
  <c r="AP196" i="1"/>
  <c r="AP195" i="1"/>
  <c r="AP194" i="1"/>
  <c r="AP193" i="1"/>
  <c r="AP192" i="1"/>
  <c r="AP191" i="1"/>
  <c r="AP190" i="1"/>
  <c r="AP189" i="1"/>
  <c r="AP188" i="1"/>
  <c r="AP187" i="1"/>
  <c r="AP186" i="1"/>
  <c r="AP185" i="1"/>
  <c r="AP184" i="1"/>
  <c r="AP183" i="1"/>
  <c r="AP182" i="1"/>
  <c r="AP181" i="1"/>
  <c r="AP180" i="1"/>
  <c r="AP179" i="1"/>
  <c r="AP178" i="1"/>
  <c r="AP177" i="1"/>
  <c r="AP176" i="1"/>
  <c r="AP175" i="1"/>
  <c r="AP174" i="1"/>
  <c r="AP173" i="1"/>
  <c r="AP172" i="1"/>
  <c r="AP171" i="1"/>
  <c r="AP170" i="1"/>
  <c r="AP169" i="1"/>
  <c r="AP168" i="1"/>
  <c r="AP167" i="1"/>
  <c r="AP166" i="1"/>
  <c r="AP165" i="1"/>
  <c r="AP164" i="1"/>
  <c r="AP163" i="1"/>
  <c r="AP162" i="1"/>
  <c r="AP161" i="1"/>
  <c r="AP160" i="1"/>
  <c r="AP159" i="1"/>
  <c r="AP158" i="1"/>
  <c r="AP157" i="1"/>
  <c r="AP156" i="1"/>
  <c r="AP155" i="1"/>
  <c r="AP154" i="1"/>
  <c r="AP153" i="1"/>
  <c r="AP152" i="1"/>
  <c r="AP151" i="1"/>
  <c r="AP150" i="1"/>
  <c r="AP149" i="1"/>
  <c r="AP148" i="1"/>
  <c r="AP147" i="1"/>
  <c r="AP146" i="1"/>
  <c r="AP145" i="1"/>
  <c r="AP144" i="1"/>
  <c r="AP143" i="1"/>
  <c r="AP142" i="1"/>
  <c r="AP141" i="1"/>
  <c r="AP140" i="1"/>
  <c r="AP139" i="1"/>
  <c r="AP138" i="1"/>
  <c r="AP137" i="1"/>
  <c r="AP136" i="1"/>
  <c r="AP135" i="1"/>
  <c r="AP134" i="1"/>
  <c r="AP133" i="1"/>
  <c r="AP132" i="1"/>
  <c r="AP131" i="1"/>
  <c r="AP130" i="1"/>
  <c r="AP129" i="1"/>
  <c r="AP128" i="1"/>
  <c r="AP127" i="1"/>
  <c r="AP126" i="1"/>
  <c r="AP125" i="1"/>
  <c r="AP124" i="1"/>
  <c r="BB123" i="1"/>
  <c r="BB124" i="1" s="1"/>
  <c r="BB125" i="1" s="1"/>
  <c r="BB126" i="1" s="1"/>
  <c r="BB127" i="1" s="1"/>
  <c r="BB128" i="1" s="1"/>
  <c r="BB129" i="1" s="1"/>
  <c r="BB130" i="1" s="1"/>
  <c r="BB131" i="1" s="1"/>
  <c r="BB132" i="1" s="1"/>
  <c r="BB133" i="1" s="1"/>
  <c r="BB134" i="1" s="1"/>
  <c r="BB135" i="1" s="1"/>
  <c r="BB136" i="1" s="1"/>
  <c r="BB137" i="1" s="1"/>
  <c r="BB138" i="1" s="1"/>
  <c r="BB139" i="1" s="1"/>
  <c r="BB140" i="1" s="1"/>
  <c r="BB141" i="1" s="1"/>
  <c r="BB142" i="1" s="1"/>
  <c r="BB143" i="1" s="1"/>
  <c r="BB144" i="1" s="1"/>
  <c r="BB145" i="1" s="1"/>
  <c r="BB146" i="1" s="1"/>
  <c r="BB147" i="1" s="1"/>
  <c r="BB148" i="1" s="1"/>
  <c r="BB149" i="1" s="1"/>
  <c r="BB150" i="1" s="1"/>
  <c r="BB151" i="1" s="1"/>
  <c r="BB152" i="1" s="1"/>
  <c r="BB153" i="1" s="1"/>
  <c r="BB154" i="1" s="1"/>
  <c r="BB155" i="1" s="1"/>
  <c r="BB156" i="1" s="1"/>
  <c r="BB157" i="1" s="1"/>
  <c r="BB158" i="1" s="1"/>
  <c r="BB159" i="1" s="1"/>
  <c r="BB160" i="1" s="1"/>
  <c r="BB161" i="1" s="1"/>
  <c r="BB162" i="1" s="1"/>
  <c r="BB163" i="1" s="1"/>
  <c r="BB164" i="1" s="1"/>
  <c r="BB165" i="1" s="1"/>
  <c r="BB166" i="1" s="1"/>
  <c r="BB167" i="1" s="1"/>
  <c r="BB168" i="1" s="1"/>
  <c r="BB169" i="1" s="1"/>
  <c r="BB170" i="1" s="1"/>
  <c r="BB171" i="1" s="1"/>
  <c r="BB172" i="1" s="1"/>
  <c r="BB173" i="1" s="1"/>
  <c r="BB174" i="1" s="1"/>
  <c r="BB175" i="1" s="1"/>
  <c r="BB176" i="1" s="1"/>
  <c r="BB177" i="1" s="1"/>
  <c r="BB178" i="1" s="1"/>
  <c r="BB179" i="1" s="1"/>
  <c r="BB180" i="1" s="1"/>
  <c r="BB181" i="1" s="1"/>
  <c r="BB182" i="1" s="1"/>
  <c r="BB183" i="1" s="1"/>
  <c r="BB184" i="1" s="1"/>
  <c r="BB185" i="1" s="1"/>
  <c r="BB186" i="1" s="1"/>
  <c r="BB187" i="1" s="1"/>
  <c r="BB188" i="1" s="1"/>
  <c r="BB189" i="1" s="1"/>
  <c r="BB190" i="1" s="1"/>
  <c r="BB191" i="1" s="1"/>
  <c r="BB192" i="1" s="1"/>
  <c r="BB193" i="1" s="1"/>
  <c r="BB194" i="1" s="1"/>
  <c r="BB195" i="1" s="1"/>
  <c r="BB196" i="1" s="1"/>
  <c r="BB197" i="1" s="1"/>
  <c r="BB198" i="1" s="1"/>
  <c r="BB199" i="1" s="1"/>
  <c r="BB200" i="1" s="1"/>
  <c r="BB201" i="1" s="1"/>
  <c r="BB202" i="1" s="1"/>
  <c r="BB203" i="1" s="1"/>
  <c r="BB204" i="1" s="1"/>
  <c r="BB205" i="1" s="1"/>
  <c r="BB206" i="1" s="1"/>
  <c r="BB207" i="1" s="1"/>
  <c r="BB208" i="1" s="1"/>
  <c r="BB209" i="1" s="1"/>
  <c r="BB210" i="1" s="1"/>
  <c r="BB211" i="1" s="1"/>
  <c r="BB212" i="1" s="1"/>
  <c r="BB213" i="1" s="1"/>
  <c r="BB214" i="1" s="1"/>
  <c r="BB215" i="1" s="1"/>
  <c r="BB216" i="1" s="1"/>
  <c r="BB217" i="1" s="1"/>
  <c r="BB218" i="1" s="1"/>
  <c r="BB219" i="1" s="1"/>
  <c r="BB220" i="1" s="1"/>
  <c r="BB221" i="1" s="1"/>
  <c r="BB222" i="1" s="1"/>
  <c r="BB223" i="1" s="1"/>
  <c r="BB224" i="1" s="1"/>
  <c r="BB225" i="1" s="1"/>
  <c r="BB226" i="1" s="1"/>
  <c r="BB227" i="1" s="1"/>
  <c r="BB228" i="1" s="1"/>
  <c r="BB229" i="1" s="1"/>
  <c r="BB230" i="1" s="1"/>
  <c r="BB231" i="1" s="1"/>
  <c r="BB232" i="1" s="1"/>
  <c r="BB233" i="1" s="1"/>
  <c r="BB234" i="1" s="1"/>
  <c r="BB235" i="1" s="1"/>
  <c r="BB236" i="1" s="1"/>
  <c r="BB237" i="1" s="1"/>
  <c r="BB238" i="1" s="1"/>
  <c r="BB239" i="1" s="1"/>
  <c r="BB240" i="1" s="1"/>
  <c r="BB241" i="1" s="1"/>
  <c r="BB242" i="1" s="1"/>
  <c r="BB243" i="1" s="1"/>
  <c r="BB244" i="1" s="1"/>
  <c r="BB245" i="1" s="1"/>
  <c r="BB246" i="1" s="1"/>
  <c r="BB247" i="1" s="1"/>
  <c r="BB248" i="1" s="1"/>
  <c r="BB249" i="1" s="1"/>
  <c r="BB250" i="1" s="1"/>
  <c r="BB251" i="1" s="1"/>
  <c r="BB252" i="1" s="1"/>
  <c r="BB253" i="1" s="1"/>
  <c r="BB254" i="1" s="1"/>
  <c r="BB255" i="1" s="1"/>
  <c r="BB256" i="1" s="1"/>
  <c r="BB257" i="1" s="1"/>
  <c r="BB258" i="1" s="1"/>
  <c r="BB259" i="1" s="1"/>
  <c r="BB260" i="1" s="1"/>
  <c r="BB261" i="1" s="1"/>
  <c r="BB262" i="1" s="1"/>
  <c r="BB263" i="1" s="1"/>
  <c r="BB264" i="1" s="1"/>
  <c r="BB265" i="1" s="1"/>
  <c r="BB266" i="1" s="1"/>
  <c r="BB267" i="1" s="1"/>
  <c r="BB268" i="1" s="1"/>
  <c r="BB269" i="1" s="1"/>
  <c r="BB270" i="1" s="1"/>
  <c r="BB271" i="1" s="1"/>
  <c r="BB272" i="1" s="1"/>
  <c r="BB273" i="1" s="1"/>
  <c r="BB274" i="1" s="1"/>
  <c r="BB275" i="1" s="1"/>
  <c r="BB276" i="1" s="1"/>
  <c r="BB277" i="1" s="1"/>
  <c r="BB278" i="1" s="1"/>
  <c r="BB279" i="1" s="1"/>
  <c r="BB280" i="1" s="1"/>
  <c r="BB281" i="1" s="1"/>
  <c r="BB282" i="1" s="1"/>
  <c r="BB283" i="1" s="1"/>
  <c r="BB284" i="1" s="1"/>
  <c r="BB285" i="1" s="1"/>
  <c r="BB286" i="1" s="1"/>
  <c r="BB287" i="1" s="1"/>
  <c r="BB288" i="1" s="1"/>
  <c r="BB289" i="1" s="1"/>
  <c r="BB290" i="1" s="1"/>
  <c r="BB291" i="1" s="1"/>
  <c r="BB292" i="1" s="1"/>
  <c r="BB293" i="1" s="1"/>
  <c r="BB294" i="1" s="1"/>
  <c r="BB295" i="1" s="1"/>
  <c r="BB296" i="1" s="1"/>
  <c r="BB297" i="1" s="1"/>
  <c r="BB298" i="1" s="1"/>
  <c r="BB299" i="1" s="1"/>
  <c r="BB300" i="1" s="1"/>
  <c r="BB301" i="1" s="1"/>
  <c r="BB302" i="1" s="1"/>
  <c r="BB303" i="1" s="1"/>
  <c r="BB304" i="1" s="1"/>
  <c r="BB305" i="1" s="1"/>
  <c r="BB306" i="1" s="1"/>
  <c r="BB307" i="1" s="1"/>
  <c r="BB308" i="1" s="1"/>
  <c r="BB309" i="1" s="1"/>
  <c r="BB310" i="1" s="1"/>
  <c r="BB311" i="1" s="1"/>
  <c r="BB312" i="1" s="1"/>
  <c r="BB313" i="1" s="1"/>
  <c r="BB314" i="1" s="1"/>
  <c r="BB315" i="1" s="1"/>
  <c r="BB316" i="1" s="1"/>
  <c r="BB317" i="1" s="1"/>
  <c r="BB318" i="1" s="1"/>
  <c r="BB319" i="1" s="1"/>
  <c r="BB320" i="1" s="1"/>
  <c r="BB321" i="1" s="1"/>
  <c r="BB322" i="1" s="1"/>
  <c r="BB323" i="1" s="1"/>
  <c r="BB324" i="1" s="1"/>
  <c r="BB325" i="1" s="1"/>
  <c r="BB326" i="1" s="1"/>
  <c r="BB327" i="1" s="1"/>
  <c r="BB328" i="1" s="1"/>
  <c r="BB329" i="1" s="1"/>
  <c r="BB330" i="1" s="1"/>
  <c r="BB331" i="1" s="1"/>
  <c r="BB332" i="1" s="1"/>
  <c r="BB333" i="1" s="1"/>
  <c r="BB334" i="1" s="1"/>
  <c r="BB335" i="1" s="1"/>
  <c r="BB336" i="1" s="1"/>
  <c r="BB337" i="1" s="1"/>
  <c r="BB338" i="1" s="1"/>
  <c r="BB339" i="1" s="1"/>
  <c r="BB340" i="1" s="1"/>
  <c r="BB341" i="1" s="1"/>
  <c r="BB342" i="1" s="1"/>
  <c r="BB343" i="1" s="1"/>
  <c r="BB344" i="1" s="1"/>
  <c r="BB345" i="1" s="1"/>
  <c r="BB346" i="1" s="1"/>
  <c r="BB347" i="1" s="1"/>
  <c r="BB348" i="1" s="1"/>
  <c r="BB349" i="1" s="1"/>
  <c r="BB350" i="1" s="1"/>
  <c r="BB351" i="1" s="1"/>
  <c r="BB352" i="1" s="1"/>
  <c r="BB353" i="1" s="1"/>
  <c r="BB354" i="1" s="1"/>
  <c r="BB355" i="1" s="1"/>
  <c r="BB356" i="1" s="1"/>
  <c r="BB357" i="1" s="1"/>
  <c r="BB358" i="1" s="1"/>
  <c r="BB359" i="1" s="1"/>
  <c r="BB360" i="1" s="1"/>
  <c r="BB361" i="1" s="1"/>
  <c r="BB362" i="1" s="1"/>
  <c r="BB363" i="1" s="1"/>
  <c r="BB364" i="1" s="1"/>
  <c r="BB365" i="1" s="1"/>
  <c r="BB366" i="1" s="1"/>
  <c r="BB367" i="1" s="1"/>
  <c r="BB368" i="1" s="1"/>
  <c r="BB369" i="1" s="1"/>
  <c r="BB370" i="1" s="1"/>
  <c r="BB371" i="1" s="1"/>
  <c r="BB372" i="1" s="1"/>
  <c r="BB373" i="1" s="1"/>
  <c r="BB374" i="1" s="1"/>
  <c r="BB375" i="1" s="1"/>
  <c r="BB376" i="1" s="1"/>
  <c r="BB377" i="1" s="1"/>
  <c r="BB378" i="1" s="1"/>
  <c r="BB379" i="1" s="1"/>
  <c r="BB380" i="1" s="1"/>
  <c r="BB381" i="1" s="1"/>
  <c r="BB382" i="1" s="1"/>
  <c r="BA123" i="1"/>
  <c r="BA124" i="1" s="1"/>
  <c r="BA125" i="1" s="1"/>
  <c r="BA126" i="1" s="1"/>
  <c r="BA127" i="1" s="1"/>
  <c r="BA128" i="1" s="1"/>
  <c r="BA129" i="1" s="1"/>
  <c r="BA130" i="1" s="1"/>
  <c r="BA131" i="1" s="1"/>
  <c r="BA132" i="1" s="1"/>
  <c r="BA133" i="1" s="1"/>
  <c r="BA134" i="1" s="1"/>
  <c r="BA135" i="1" s="1"/>
  <c r="BA136" i="1" s="1"/>
  <c r="BA137" i="1" s="1"/>
  <c r="BA138" i="1" s="1"/>
  <c r="BA139" i="1" s="1"/>
  <c r="BA140" i="1" s="1"/>
  <c r="BA141" i="1" s="1"/>
  <c r="BA142" i="1" s="1"/>
  <c r="BA143" i="1" s="1"/>
  <c r="BA144" i="1" s="1"/>
  <c r="BA145" i="1" s="1"/>
  <c r="BA146" i="1" s="1"/>
  <c r="BA147" i="1" s="1"/>
  <c r="BA148" i="1" s="1"/>
  <c r="BA149" i="1" s="1"/>
  <c r="BA150" i="1" s="1"/>
  <c r="BA151" i="1" s="1"/>
  <c r="BA152" i="1" s="1"/>
  <c r="BA153" i="1" s="1"/>
  <c r="BA154" i="1" s="1"/>
  <c r="BA155" i="1" s="1"/>
  <c r="BA156" i="1" s="1"/>
  <c r="BA157" i="1" s="1"/>
  <c r="BA158" i="1" s="1"/>
  <c r="BA159" i="1" s="1"/>
  <c r="BA160" i="1" s="1"/>
  <c r="BA161" i="1" s="1"/>
  <c r="BA162" i="1" s="1"/>
  <c r="BA163" i="1" s="1"/>
  <c r="BA164" i="1" s="1"/>
  <c r="BA165" i="1" s="1"/>
  <c r="BA166" i="1" s="1"/>
  <c r="BA167" i="1" s="1"/>
  <c r="BA168" i="1" s="1"/>
  <c r="BA169" i="1" s="1"/>
  <c r="BA170" i="1" s="1"/>
  <c r="BA171" i="1" s="1"/>
  <c r="BA172" i="1" s="1"/>
  <c r="BA173" i="1" s="1"/>
  <c r="BA174" i="1" s="1"/>
  <c r="BA175" i="1" s="1"/>
  <c r="BA176" i="1" s="1"/>
  <c r="BA177" i="1" s="1"/>
  <c r="BA178" i="1" s="1"/>
  <c r="BA179" i="1" s="1"/>
  <c r="BA180" i="1" s="1"/>
  <c r="BA181" i="1" s="1"/>
  <c r="BA182" i="1" s="1"/>
  <c r="BA183" i="1" s="1"/>
  <c r="BA184" i="1" s="1"/>
  <c r="BA185" i="1" s="1"/>
  <c r="BA186" i="1" s="1"/>
  <c r="BA187" i="1" s="1"/>
  <c r="BA188" i="1" s="1"/>
  <c r="BA189" i="1" s="1"/>
  <c r="BA190" i="1" s="1"/>
  <c r="BA191" i="1" s="1"/>
  <c r="BA192" i="1" s="1"/>
  <c r="BA193" i="1" s="1"/>
  <c r="BA194" i="1" s="1"/>
  <c r="BA195" i="1" s="1"/>
  <c r="BA196" i="1" s="1"/>
  <c r="BA197" i="1" s="1"/>
  <c r="BA198" i="1" s="1"/>
  <c r="BA199" i="1" s="1"/>
  <c r="BA200" i="1" s="1"/>
  <c r="BA201" i="1" s="1"/>
  <c r="BA202" i="1" s="1"/>
  <c r="BA203" i="1" s="1"/>
  <c r="BA204" i="1" s="1"/>
  <c r="BA205" i="1" s="1"/>
  <c r="BA206" i="1" s="1"/>
  <c r="BA207" i="1" s="1"/>
  <c r="BA208" i="1" s="1"/>
  <c r="BA209" i="1" s="1"/>
  <c r="BA210" i="1" s="1"/>
  <c r="BA211" i="1" s="1"/>
  <c r="BA212" i="1" s="1"/>
  <c r="BA213" i="1" s="1"/>
  <c r="BA214" i="1" s="1"/>
  <c r="BA215" i="1" s="1"/>
  <c r="BA216" i="1" s="1"/>
  <c r="BA217" i="1" s="1"/>
  <c r="BA218" i="1" s="1"/>
  <c r="BA219" i="1" s="1"/>
  <c r="BA220" i="1" s="1"/>
  <c r="BA221" i="1" s="1"/>
  <c r="BA222" i="1" s="1"/>
  <c r="BA223" i="1" s="1"/>
  <c r="BA224" i="1" s="1"/>
  <c r="BA225" i="1" s="1"/>
  <c r="BA226" i="1" s="1"/>
  <c r="BA227" i="1" s="1"/>
  <c r="BA228" i="1" s="1"/>
  <c r="BA229" i="1" s="1"/>
  <c r="BA230" i="1" s="1"/>
  <c r="BA231" i="1" s="1"/>
  <c r="BA232" i="1" s="1"/>
  <c r="BA233" i="1" s="1"/>
  <c r="BA234" i="1" s="1"/>
  <c r="BA235" i="1" s="1"/>
  <c r="BA236" i="1" s="1"/>
  <c r="BA237" i="1" s="1"/>
  <c r="BA238" i="1" s="1"/>
  <c r="BA239" i="1" s="1"/>
  <c r="BA240" i="1" s="1"/>
  <c r="BA241" i="1" s="1"/>
  <c r="BA242" i="1" s="1"/>
  <c r="BA243" i="1" s="1"/>
  <c r="BA244" i="1" s="1"/>
  <c r="BA245" i="1" s="1"/>
  <c r="BA246" i="1" s="1"/>
  <c r="BA247" i="1" s="1"/>
  <c r="BA248" i="1" s="1"/>
  <c r="BA249" i="1" s="1"/>
  <c r="BA250" i="1" s="1"/>
  <c r="BA251" i="1" s="1"/>
  <c r="BA252" i="1" s="1"/>
  <c r="BA253" i="1" s="1"/>
  <c r="BA254" i="1" s="1"/>
  <c r="BA255" i="1" s="1"/>
  <c r="BA256" i="1" s="1"/>
  <c r="BA257" i="1" s="1"/>
  <c r="BA258" i="1" s="1"/>
  <c r="BA259" i="1" s="1"/>
  <c r="BA260" i="1" s="1"/>
  <c r="BA261" i="1" s="1"/>
  <c r="BA262" i="1" s="1"/>
  <c r="BA263" i="1" s="1"/>
  <c r="BA264" i="1" s="1"/>
  <c r="BA265" i="1" s="1"/>
  <c r="BA266" i="1" s="1"/>
  <c r="BA267" i="1" s="1"/>
  <c r="BA268" i="1" s="1"/>
  <c r="BA269" i="1" s="1"/>
  <c r="BA270" i="1" s="1"/>
  <c r="BA271" i="1" s="1"/>
  <c r="BA272" i="1" s="1"/>
  <c r="BA273" i="1" s="1"/>
  <c r="BA274" i="1" s="1"/>
  <c r="BA275" i="1" s="1"/>
  <c r="BA276" i="1" s="1"/>
  <c r="BA277" i="1" s="1"/>
  <c r="BA278" i="1" s="1"/>
  <c r="BA279" i="1" s="1"/>
  <c r="BA280" i="1" s="1"/>
  <c r="BA281" i="1" s="1"/>
  <c r="BA282" i="1" s="1"/>
  <c r="BA283" i="1" s="1"/>
  <c r="BA284" i="1" s="1"/>
  <c r="BA285" i="1" s="1"/>
  <c r="BA286" i="1" s="1"/>
  <c r="BA287" i="1" s="1"/>
  <c r="BA288" i="1" s="1"/>
  <c r="BA289" i="1" s="1"/>
  <c r="BA290" i="1" s="1"/>
  <c r="BA291" i="1" s="1"/>
  <c r="BA292" i="1" s="1"/>
  <c r="BA293" i="1" s="1"/>
  <c r="BA294" i="1" s="1"/>
  <c r="BA295" i="1" s="1"/>
  <c r="BA296" i="1" s="1"/>
  <c r="BA297" i="1" s="1"/>
  <c r="BA298" i="1" s="1"/>
  <c r="BA299" i="1" s="1"/>
  <c r="BA300" i="1" s="1"/>
  <c r="BA301" i="1" s="1"/>
  <c r="BA302" i="1" s="1"/>
  <c r="BA303" i="1" s="1"/>
  <c r="BA304" i="1" s="1"/>
  <c r="BA305" i="1" s="1"/>
  <c r="BA306" i="1" s="1"/>
  <c r="BA307" i="1" s="1"/>
  <c r="BA308" i="1" s="1"/>
  <c r="BA309" i="1" s="1"/>
  <c r="BA310" i="1" s="1"/>
  <c r="BA311" i="1" s="1"/>
  <c r="BA312" i="1" s="1"/>
  <c r="BA313" i="1" s="1"/>
  <c r="BA314" i="1" s="1"/>
  <c r="BA315" i="1" s="1"/>
  <c r="BA316" i="1" s="1"/>
  <c r="BA317" i="1" s="1"/>
  <c r="BA318" i="1" s="1"/>
  <c r="BA319" i="1" s="1"/>
  <c r="BA320" i="1" s="1"/>
  <c r="BA321" i="1" s="1"/>
  <c r="BA322" i="1" s="1"/>
  <c r="BA323" i="1" s="1"/>
  <c r="BA324" i="1" s="1"/>
  <c r="BA325" i="1" s="1"/>
  <c r="BA326" i="1" s="1"/>
  <c r="BA327" i="1" s="1"/>
  <c r="BA328" i="1" s="1"/>
  <c r="BA329" i="1" s="1"/>
  <c r="BA330" i="1" s="1"/>
  <c r="BA331" i="1" s="1"/>
  <c r="BA332" i="1" s="1"/>
  <c r="BA333" i="1" s="1"/>
  <c r="BA334" i="1" s="1"/>
  <c r="BA335" i="1" s="1"/>
  <c r="BA336" i="1" s="1"/>
  <c r="BA337" i="1" s="1"/>
  <c r="BA338" i="1" s="1"/>
  <c r="BA339" i="1" s="1"/>
  <c r="BA340" i="1" s="1"/>
  <c r="BA341" i="1" s="1"/>
  <c r="BA342" i="1" s="1"/>
  <c r="BA343" i="1" s="1"/>
  <c r="BA344" i="1" s="1"/>
  <c r="BA345" i="1" s="1"/>
  <c r="BA346" i="1" s="1"/>
  <c r="BA347" i="1" s="1"/>
  <c r="BA348" i="1" s="1"/>
  <c r="BA349" i="1" s="1"/>
  <c r="BA350" i="1" s="1"/>
  <c r="BA351" i="1" s="1"/>
  <c r="BA352" i="1" s="1"/>
  <c r="BA353" i="1" s="1"/>
  <c r="BA354" i="1" s="1"/>
  <c r="BA355" i="1" s="1"/>
  <c r="BA356" i="1" s="1"/>
  <c r="BA357" i="1" s="1"/>
  <c r="BA358" i="1" s="1"/>
  <c r="BA359" i="1" s="1"/>
  <c r="BA360" i="1" s="1"/>
  <c r="BA361" i="1" s="1"/>
  <c r="BA362" i="1" s="1"/>
  <c r="BA363" i="1" s="1"/>
  <c r="BA364" i="1" s="1"/>
  <c r="BA365" i="1" s="1"/>
  <c r="BA366" i="1" s="1"/>
  <c r="BA367" i="1" s="1"/>
  <c r="BA368" i="1" s="1"/>
  <c r="BA369" i="1" s="1"/>
  <c r="BA370" i="1" s="1"/>
  <c r="BA371" i="1" s="1"/>
  <c r="BA372" i="1" s="1"/>
  <c r="BA373" i="1" s="1"/>
  <c r="BA374" i="1" s="1"/>
  <c r="BA375" i="1" s="1"/>
  <c r="BA376" i="1" s="1"/>
  <c r="BA377" i="1" s="1"/>
  <c r="BA378" i="1" s="1"/>
  <c r="BA379" i="1" s="1"/>
  <c r="BA380" i="1" s="1"/>
  <c r="BA381" i="1" s="1"/>
  <c r="BA382" i="1" s="1"/>
  <c r="AZ123" i="1"/>
  <c r="AZ124" i="1" s="1"/>
  <c r="AZ125" i="1" s="1"/>
  <c r="AZ126" i="1" s="1"/>
  <c r="AZ127" i="1" s="1"/>
  <c r="AZ128" i="1" s="1"/>
  <c r="AZ129" i="1" s="1"/>
  <c r="AZ130" i="1" s="1"/>
  <c r="AZ131" i="1" s="1"/>
  <c r="AZ132" i="1" s="1"/>
  <c r="AZ133" i="1" s="1"/>
  <c r="AZ134" i="1" s="1"/>
  <c r="AZ135" i="1" s="1"/>
  <c r="AZ136" i="1" s="1"/>
  <c r="AZ137" i="1" s="1"/>
  <c r="AZ138" i="1" s="1"/>
  <c r="AZ139" i="1" s="1"/>
  <c r="AZ140" i="1" s="1"/>
  <c r="AZ141" i="1" s="1"/>
  <c r="AZ142" i="1" s="1"/>
  <c r="AZ143" i="1" s="1"/>
  <c r="AZ144" i="1" s="1"/>
  <c r="AZ145" i="1" s="1"/>
  <c r="AZ146" i="1" s="1"/>
  <c r="AZ147" i="1" s="1"/>
  <c r="AZ148" i="1" s="1"/>
  <c r="AZ149" i="1" s="1"/>
  <c r="AZ150" i="1" s="1"/>
  <c r="AZ151" i="1" s="1"/>
  <c r="AZ152" i="1" s="1"/>
  <c r="AZ153" i="1" s="1"/>
  <c r="AZ154" i="1" s="1"/>
  <c r="AZ155" i="1" s="1"/>
  <c r="AZ156" i="1" s="1"/>
  <c r="AZ157" i="1" s="1"/>
  <c r="AZ158" i="1" s="1"/>
  <c r="AZ159" i="1" s="1"/>
  <c r="AZ160" i="1" s="1"/>
  <c r="AZ161" i="1" s="1"/>
  <c r="AZ162" i="1" s="1"/>
  <c r="AZ163" i="1" s="1"/>
  <c r="AZ164" i="1" s="1"/>
  <c r="AZ165" i="1" s="1"/>
  <c r="AZ166" i="1" s="1"/>
  <c r="AZ167" i="1" s="1"/>
  <c r="AZ168" i="1" s="1"/>
  <c r="AZ169" i="1" s="1"/>
  <c r="AZ170" i="1" s="1"/>
  <c r="AZ171" i="1" s="1"/>
  <c r="AZ172" i="1" s="1"/>
  <c r="AZ173" i="1" s="1"/>
  <c r="AZ174" i="1" s="1"/>
  <c r="AZ175" i="1" s="1"/>
  <c r="AZ176" i="1" s="1"/>
  <c r="AZ177" i="1" s="1"/>
  <c r="AZ178" i="1" s="1"/>
  <c r="AZ179" i="1" s="1"/>
  <c r="AZ180" i="1" s="1"/>
  <c r="AZ181" i="1" s="1"/>
  <c r="AZ182" i="1" s="1"/>
  <c r="AZ183" i="1" s="1"/>
  <c r="AZ184" i="1" s="1"/>
  <c r="AZ185" i="1" s="1"/>
  <c r="AZ186" i="1" s="1"/>
  <c r="AZ187" i="1" s="1"/>
  <c r="AZ188" i="1" s="1"/>
  <c r="AZ189" i="1" s="1"/>
  <c r="AZ190" i="1" s="1"/>
  <c r="AZ191" i="1" s="1"/>
  <c r="AZ192" i="1" s="1"/>
  <c r="AZ193" i="1" s="1"/>
  <c r="AZ194" i="1" s="1"/>
  <c r="AZ195" i="1" s="1"/>
  <c r="AZ196" i="1" s="1"/>
  <c r="AZ197" i="1" s="1"/>
  <c r="AZ198" i="1" s="1"/>
  <c r="AZ199" i="1" s="1"/>
  <c r="AZ200" i="1" s="1"/>
  <c r="AZ201" i="1" s="1"/>
  <c r="AZ202" i="1" s="1"/>
  <c r="AZ203" i="1" s="1"/>
  <c r="AZ204" i="1" s="1"/>
  <c r="AZ205" i="1" s="1"/>
  <c r="AZ206" i="1" s="1"/>
  <c r="AZ207" i="1" s="1"/>
  <c r="AZ208" i="1" s="1"/>
  <c r="AZ209" i="1" s="1"/>
  <c r="AZ210" i="1" s="1"/>
  <c r="AZ211" i="1" s="1"/>
  <c r="AZ212" i="1" s="1"/>
  <c r="AZ213" i="1" s="1"/>
  <c r="AZ214" i="1" s="1"/>
  <c r="AZ215" i="1" s="1"/>
  <c r="AZ216" i="1" s="1"/>
  <c r="AZ217" i="1" s="1"/>
  <c r="AZ218" i="1" s="1"/>
  <c r="AZ219" i="1" s="1"/>
  <c r="AZ220" i="1" s="1"/>
  <c r="AZ221" i="1" s="1"/>
  <c r="AZ222" i="1" s="1"/>
  <c r="AZ223" i="1" s="1"/>
  <c r="AZ224" i="1" s="1"/>
  <c r="AZ225" i="1" s="1"/>
  <c r="AZ226" i="1" s="1"/>
  <c r="AZ227" i="1" s="1"/>
  <c r="AZ228" i="1" s="1"/>
  <c r="AZ229" i="1" s="1"/>
  <c r="AZ230" i="1" s="1"/>
  <c r="AZ231" i="1" s="1"/>
  <c r="AZ232" i="1" s="1"/>
  <c r="AZ233" i="1" s="1"/>
  <c r="AZ234" i="1" s="1"/>
  <c r="AZ235" i="1" s="1"/>
  <c r="AZ236" i="1" s="1"/>
  <c r="AZ237" i="1" s="1"/>
  <c r="AZ238" i="1" s="1"/>
  <c r="AZ239" i="1" s="1"/>
  <c r="AZ240" i="1" s="1"/>
  <c r="AZ241" i="1" s="1"/>
  <c r="AZ242" i="1" s="1"/>
  <c r="AZ243" i="1" s="1"/>
  <c r="AZ244" i="1" s="1"/>
  <c r="AZ245" i="1" s="1"/>
  <c r="AZ246" i="1" s="1"/>
  <c r="AZ247" i="1" s="1"/>
  <c r="AZ248" i="1" s="1"/>
  <c r="AZ249" i="1" s="1"/>
  <c r="AZ250" i="1" s="1"/>
  <c r="AZ251" i="1" s="1"/>
  <c r="AZ252" i="1" s="1"/>
  <c r="AZ253" i="1" s="1"/>
  <c r="AZ254" i="1" s="1"/>
  <c r="AZ255" i="1" s="1"/>
  <c r="AZ256" i="1" s="1"/>
  <c r="AZ257" i="1" s="1"/>
  <c r="AZ258" i="1" s="1"/>
  <c r="AZ259" i="1" s="1"/>
  <c r="AZ260" i="1" s="1"/>
  <c r="AZ261" i="1" s="1"/>
  <c r="AZ262" i="1" s="1"/>
  <c r="AZ263" i="1" s="1"/>
  <c r="AZ264" i="1" s="1"/>
  <c r="AZ265" i="1" s="1"/>
  <c r="AZ266" i="1" s="1"/>
  <c r="AZ267" i="1" s="1"/>
  <c r="AZ268" i="1" s="1"/>
  <c r="AZ269" i="1" s="1"/>
  <c r="AZ270" i="1" s="1"/>
  <c r="AZ271" i="1" s="1"/>
  <c r="AZ272" i="1" s="1"/>
  <c r="AZ273" i="1" s="1"/>
  <c r="AZ274" i="1" s="1"/>
  <c r="AZ275" i="1" s="1"/>
  <c r="AZ276" i="1" s="1"/>
  <c r="AZ277" i="1" s="1"/>
  <c r="AZ278" i="1" s="1"/>
  <c r="AZ279" i="1" s="1"/>
  <c r="AZ280" i="1" s="1"/>
  <c r="AZ281" i="1" s="1"/>
  <c r="AZ282" i="1" s="1"/>
  <c r="AZ283" i="1" s="1"/>
  <c r="AZ284" i="1" s="1"/>
  <c r="AZ285" i="1" s="1"/>
  <c r="AZ286" i="1" s="1"/>
  <c r="AZ287" i="1" s="1"/>
  <c r="AZ288" i="1" s="1"/>
  <c r="AZ289" i="1" s="1"/>
  <c r="AZ290" i="1" s="1"/>
  <c r="AZ291" i="1" s="1"/>
  <c r="AZ292" i="1" s="1"/>
  <c r="AZ293" i="1" s="1"/>
  <c r="AZ294" i="1" s="1"/>
  <c r="AZ295" i="1" s="1"/>
  <c r="AZ296" i="1" s="1"/>
  <c r="AZ297" i="1" s="1"/>
  <c r="AZ298" i="1" s="1"/>
  <c r="AZ299" i="1" s="1"/>
  <c r="AZ300" i="1" s="1"/>
  <c r="AZ301" i="1" s="1"/>
  <c r="AZ302" i="1" s="1"/>
  <c r="AZ303" i="1" s="1"/>
  <c r="AZ304" i="1" s="1"/>
  <c r="AZ305" i="1" s="1"/>
  <c r="AZ306" i="1" s="1"/>
  <c r="AZ307" i="1" s="1"/>
  <c r="AZ308" i="1" s="1"/>
  <c r="AZ309" i="1" s="1"/>
  <c r="AZ310" i="1" s="1"/>
  <c r="AZ311" i="1" s="1"/>
  <c r="AZ312" i="1" s="1"/>
  <c r="AZ313" i="1" s="1"/>
  <c r="AZ314" i="1" s="1"/>
  <c r="AZ315" i="1" s="1"/>
  <c r="AZ316" i="1" s="1"/>
  <c r="AZ317" i="1" s="1"/>
  <c r="AZ318" i="1" s="1"/>
  <c r="AZ319" i="1" s="1"/>
  <c r="AZ320" i="1" s="1"/>
  <c r="AZ321" i="1" s="1"/>
  <c r="AZ322" i="1" s="1"/>
  <c r="AZ323" i="1" s="1"/>
  <c r="AZ324" i="1" s="1"/>
  <c r="AZ325" i="1" s="1"/>
  <c r="AZ326" i="1" s="1"/>
  <c r="AZ327" i="1" s="1"/>
  <c r="AZ328" i="1" s="1"/>
  <c r="AZ329" i="1" s="1"/>
  <c r="AZ330" i="1" s="1"/>
  <c r="AZ331" i="1" s="1"/>
  <c r="AZ332" i="1" s="1"/>
  <c r="AZ333" i="1" s="1"/>
  <c r="AZ334" i="1" s="1"/>
  <c r="AZ335" i="1" s="1"/>
  <c r="AZ336" i="1" s="1"/>
  <c r="AZ337" i="1" s="1"/>
  <c r="AZ338" i="1" s="1"/>
  <c r="AZ339" i="1" s="1"/>
  <c r="AZ340" i="1" s="1"/>
  <c r="AZ341" i="1" s="1"/>
  <c r="AZ342" i="1" s="1"/>
  <c r="AZ343" i="1" s="1"/>
  <c r="AZ344" i="1" s="1"/>
  <c r="AZ345" i="1" s="1"/>
  <c r="AZ346" i="1" s="1"/>
  <c r="AZ347" i="1" s="1"/>
  <c r="AZ348" i="1" s="1"/>
  <c r="AZ349" i="1" s="1"/>
  <c r="AZ350" i="1" s="1"/>
  <c r="AZ351" i="1" s="1"/>
  <c r="AZ352" i="1" s="1"/>
  <c r="AZ353" i="1" s="1"/>
  <c r="AZ354" i="1" s="1"/>
  <c r="AZ355" i="1" s="1"/>
  <c r="AZ356" i="1" s="1"/>
  <c r="AZ357" i="1" s="1"/>
  <c r="AZ358" i="1" s="1"/>
  <c r="AZ359" i="1" s="1"/>
  <c r="AZ360" i="1" s="1"/>
  <c r="AZ361" i="1" s="1"/>
  <c r="AZ362" i="1" s="1"/>
  <c r="AZ363" i="1" s="1"/>
  <c r="AZ364" i="1" s="1"/>
  <c r="AZ365" i="1" s="1"/>
  <c r="AZ366" i="1" s="1"/>
  <c r="AZ367" i="1" s="1"/>
  <c r="AZ368" i="1" s="1"/>
  <c r="AZ369" i="1" s="1"/>
  <c r="AZ370" i="1" s="1"/>
  <c r="AZ371" i="1" s="1"/>
  <c r="AZ372" i="1" s="1"/>
  <c r="AZ373" i="1" s="1"/>
  <c r="AZ374" i="1" s="1"/>
  <c r="AZ375" i="1" s="1"/>
  <c r="AZ376" i="1" s="1"/>
  <c r="AZ377" i="1" s="1"/>
  <c r="AZ378" i="1" s="1"/>
  <c r="AZ379" i="1" s="1"/>
  <c r="AZ380" i="1" s="1"/>
  <c r="AZ381" i="1" s="1"/>
  <c r="AZ382" i="1" s="1"/>
  <c r="AY123" i="1"/>
  <c r="AY124" i="1" s="1"/>
  <c r="AY125" i="1" s="1"/>
  <c r="AY126" i="1" s="1"/>
  <c r="AY127" i="1" s="1"/>
  <c r="AY128" i="1" s="1"/>
  <c r="AY129" i="1" s="1"/>
  <c r="AY130" i="1" s="1"/>
  <c r="AY131" i="1" s="1"/>
  <c r="AY132" i="1" s="1"/>
  <c r="AY133" i="1" s="1"/>
  <c r="AY134" i="1" s="1"/>
  <c r="AY135" i="1" s="1"/>
  <c r="AY136" i="1" s="1"/>
  <c r="AY137" i="1" s="1"/>
  <c r="AY138" i="1" s="1"/>
  <c r="AY139" i="1" s="1"/>
  <c r="AY140" i="1" s="1"/>
  <c r="AY141" i="1" s="1"/>
  <c r="AY142" i="1" s="1"/>
  <c r="AY143" i="1" s="1"/>
  <c r="AY144" i="1" s="1"/>
  <c r="AY145" i="1" s="1"/>
  <c r="AY146" i="1" s="1"/>
  <c r="AY147" i="1" s="1"/>
  <c r="AY148" i="1" s="1"/>
  <c r="AY149" i="1" s="1"/>
  <c r="AY150" i="1" s="1"/>
  <c r="AY151" i="1" s="1"/>
  <c r="AY152" i="1" s="1"/>
  <c r="AY153" i="1" s="1"/>
  <c r="AY154" i="1" s="1"/>
  <c r="AY155" i="1" s="1"/>
  <c r="AY156" i="1" s="1"/>
  <c r="AY157" i="1" s="1"/>
  <c r="AY158" i="1" s="1"/>
  <c r="AY159" i="1" s="1"/>
  <c r="AY160" i="1" s="1"/>
  <c r="AY161" i="1" s="1"/>
  <c r="AY162" i="1" s="1"/>
  <c r="AY163" i="1" s="1"/>
  <c r="AY164" i="1" s="1"/>
  <c r="AY165" i="1" s="1"/>
  <c r="AY166" i="1" s="1"/>
  <c r="AY167" i="1" s="1"/>
  <c r="AY168" i="1" s="1"/>
  <c r="AY169" i="1" s="1"/>
  <c r="AY170" i="1" s="1"/>
  <c r="AY171" i="1" s="1"/>
  <c r="AY172" i="1" s="1"/>
  <c r="AY173" i="1" s="1"/>
  <c r="AY174" i="1" s="1"/>
  <c r="AY175" i="1" s="1"/>
  <c r="AY176" i="1" s="1"/>
  <c r="AY177" i="1" s="1"/>
  <c r="AY178" i="1" s="1"/>
  <c r="AY179" i="1" s="1"/>
  <c r="AY180" i="1" s="1"/>
  <c r="AY181" i="1" s="1"/>
  <c r="AY182" i="1" s="1"/>
  <c r="AY183" i="1" s="1"/>
  <c r="AY184" i="1" s="1"/>
  <c r="AY185" i="1" s="1"/>
  <c r="AY186" i="1" s="1"/>
  <c r="AY187" i="1" s="1"/>
  <c r="AY188" i="1" s="1"/>
  <c r="AY189" i="1" s="1"/>
  <c r="AY190" i="1" s="1"/>
  <c r="AY191" i="1" s="1"/>
  <c r="AY192" i="1" s="1"/>
  <c r="AY193" i="1" s="1"/>
  <c r="AY194" i="1" s="1"/>
  <c r="AY195" i="1" s="1"/>
  <c r="AY196" i="1" s="1"/>
  <c r="AY197" i="1" s="1"/>
  <c r="AY198" i="1" s="1"/>
  <c r="AY199" i="1" s="1"/>
  <c r="AY200" i="1" s="1"/>
  <c r="AY201" i="1" s="1"/>
  <c r="AY202" i="1" s="1"/>
  <c r="AY203" i="1" s="1"/>
  <c r="AY204" i="1" s="1"/>
  <c r="AY205" i="1" s="1"/>
  <c r="AY206" i="1" s="1"/>
  <c r="AY207" i="1" s="1"/>
  <c r="AY208" i="1" s="1"/>
  <c r="AY209" i="1" s="1"/>
  <c r="AY210" i="1" s="1"/>
  <c r="AY211" i="1" s="1"/>
  <c r="AY212" i="1" s="1"/>
  <c r="AY213" i="1" s="1"/>
  <c r="AY214" i="1" s="1"/>
  <c r="AY215" i="1" s="1"/>
  <c r="AY216" i="1" s="1"/>
  <c r="AY217" i="1" s="1"/>
  <c r="AY218" i="1" s="1"/>
  <c r="AY219" i="1" s="1"/>
  <c r="AY220" i="1" s="1"/>
  <c r="AY221" i="1" s="1"/>
  <c r="AY222" i="1" s="1"/>
  <c r="AY223" i="1" s="1"/>
  <c r="AY224" i="1" s="1"/>
  <c r="AY225" i="1" s="1"/>
  <c r="AY226" i="1" s="1"/>
  <c r="AY227" i="1" s="1"/>
  <c r="AY228" i="1" s="1"/>
  <c r="AY229" i="1" s="1"/>
  <c r="AY230" i="1" s="1"/>
  <c r="AY231" i="1" s="1"/>
  <c r="AY232" i="1" s="1"/>
  <c r="AY233" i="1" s="1"/>
  <c r="AY234" i="1" s="1"/>
  <c r="AY235" i="1" s="1"/>
  <c r="AY236" i="1" s="1"/>
  <c r="AY237" i="1" s="1"/>
  <c r="AY238" i="1" s="1"/>
  <c r="AY239" i="1" s="1"/>
  <c r="AY240" i="1" s="1"/>
  <c r="AY241" i="1" s="1"/>
  <c r="AY242" i="1" s="1"/>
  <c r="AY243" i="1" s="1"/>
  <c r="AY244" i="1" s="1"/>
  <c r="AY245" i="1" s="1"/>
  <c r="AY246" i="1" s="1"/>
  <c r="AY247" i="1" s="1"/>
  <c r="AY248" i="1" s="1"/>
  <c r="AY249" i="1" s="1"/>
  <c r="AY250" i="1" s="1"/>
  <c r="AY251" i="1" s="1"/>
  <c r="AY252" i="1" s="1"/>
  <c r="AY253" i="1" s="1"/>
  <c r="AY254" i="1" s="1"/>
  <c r="AY255" i="1" s="1"/>
  <c r="AY256" i="1" s="1"/>
  <c r="AY257" i="1" s="1"/>
  <c r="AY258" i="1" s="1"/>
  <c r="AY259" i="1" s="1"/>
  <c r="AY260" i="1" s="1"/>
  <c r="AY261" i="1" s="1"/>
  <c r="AY262" i="1" s="1"/>
  <c r="AY263" i="1" s="1"/>
  <c r="AY264" i="1" s="1"/>
  <c r="AY265" i="1" s="1"/>
  <c r="AY266" i="1" s="1"/>
  <c r="AY267" i="1" s="1"/>
  <c r="AY268" i="1" s="1"/>
  <c r="AY269" i="1" s="1"/>
  <c r="AY270" i="1" s="1"/>
  <c r="AY271" i="1" s="1"/>
  <c r="AY272" i="1" s="1"/>
  <c r="AY273" i="1" s="1"/>
  <c r="AY274" i="1" s="1"/>
  <c r="AY275" i="1" s="1"/>
  <c r="AY276" i="1" s="1"/>
  <c r="AY277" i="1" s="1"/>
  <c r="AY278" i="1" s="1"/>
  <c r="AY279" i="1" s="1"/>
  <c r="AY280" i="1" s="1"/>
  <c r="AY281" i="1" s="1"/>
  <c r="AY282" i="1" s="1"/>
  <c r="AY283" i="1" s="1"/>
  <c r="AY284" i="1" s="1"/>
  <c r="AY285" i="1" s="1"/>
  <c r="AY286" i="1" s="1"/>
  <c r="AY287" i="1" s="1"/>
  <c r="AY288" i="1" s="1"/>
  <c r="AY289" i="1" s="1"/>
  <c r="AY290" i="1" s="1"/>
  <c r="AY291" i="1" s="1"/>
  <c r="AY292" i="1" s="1"/>
  <c r="AY293" i="1" s="1"/>
  <c r="AY294" i="1" s="1"/>
  <c r="AY295" i="1" s="1"/>
  <c r="AY296" i="1" s="1"/>
  <c r="AY297" i="1" s="1"/>
  <c r="AY298" i="1" s="1"/>
  <c r="AY299" i="1" s="1"/>
  <c r="AY300" i="1" s="1"/>
  <c r="AY301" i="1" s="1"/>
  <c r="AY302" i="1" s="1"/>
  <c r="AY303" i="1" s="1"/>
  <c r="AY304" i="1" s="1"/>
  <c r="AY305" i="1" s="1"/>
  <c r="AY306" i="1" s="1"/>
  <c r="AY307" i="1" s="1"/>
  <c r="AY308" i="1" s="1"/>
  <c r="AY309" i="1" s="1"/>
  <c r="AY310" i="1" s="1"/>
  <c r="AY311" i="1" s="1"/>
  <c r="AY312" i="1" s="1"/>
  <c r="AY313" i="1" s="1"/>
  <c r="AY314" i="1" s="1"/>
  <c r="AY315" i="1" s="1"/>
  <c r="AY316" i="1" s="1"/>
  <c r="AY317" i="1" s="1"/>
  <c r="AY318" i="1" s="1"/>
  <c r="AY319" i="1" s="1"/>
  <c r="AY320" i="1" s="1"/>
  <c r="AY321" i="1" s="1"/>
  <c r="AY322" i="1" s="1"/>
  <c r="AY323" i="1" s="1"/>
  <c r="AY324" i="1" s="1"/>
  <c r="AY325" i="1" s="1"/>
  <c r="AY326" i="1" s="1"/>
  <c r="AY327" i="1" s="1"/>
  <c r="AY328" i="1" s="1"/>
  <c r="AY329" i="1" s="1"/>
  <c r="AY330" i="1" s="1"/>
  <c r="AY331" i="1" s="1"/>
  <c r="AY332" i="1" s="1"/>
  <c r="AY333" i="1" s="1"/>
  <c r="AY334" i="1" s="1"/>
  <c r="AY335" i="1" s="1"/>
  <c r="AY336" i="1" s="1"/>
  <c r="AY337" i="1" s="1"/>
  <c r="AY338" i="1" s="1"/>
  <c r="AY339" i="1" s="1"/>
  <c r="AY340" i="1" s="1"/>
  <c r="AY341" i="1" s="1"/>
  <c r="AY342" i="1" s="1"/>
  <c r="AY343" i="1" s="1"/>
  <c r="AY344" i="1" s="1"/>
  <c r="AY345" i="1" s="1"/>
  <c r="AY346" i="1" s="1"/>
  <c r="AY347" i="1" s="1"/>
  <c r="AY348" i="1" s="1"/>
  <c r="AY349" i="1" s="1"/>
  <c r="AY350" i="1" s="1"/>
  <c r="AY351" i="1" s="1"/>
  <c r="AY352" i="1" s="1"/>
  <c r="AY353" i="1" s="1"/>
  <c r="AY354" i="1" s="1"/>
  <c r="AY355" i="1" s="1"/>
  <c r="AY356" i="1" s="1"/>
  <c r="AY357" i="1" s="1"/>
  <c r="AY358" i="1" s="1"/>
  <c r="AY359" i="1" s="1"/>
  <c r="AY360" i="1" s="1"/>
  <c r="AY361" i="1" s="1"/>
  <c r="AY362" i="1" s="1"/>
  <c r="AY363" i="1" s="1"/>
  <c r="AY364" i="1" s="1"/>
  <c r="AY365" i="1" s="1"/>
  <c r="AY366" i="1" s="1"/>
  <c r="AY367" i="1" s="1"/>
  <c r="AY368" i="1" s="1"/>
  <c r="AY369" i="1" s="1"/>
  <c r="AY370" i="1" s="1"/>
  <c r="AY371" i="1" s="1"/>
  <c r="AY372" i="1" s="1"/>
  <c r="AY373" i="1" s="1"/>
  <c r="AY374" i="1" s="1"/>
  <c r="AY375" i="1" s="1"/>
  <c r="AY376" i="1" s="1"/>
  <c r="AY377" i="1" s="1"/>
  <c r="AY378" i="1" s="1"/>
  <c r="AY379" i="1" s="1"/>
  <c r="AY380" i="1" s="1"/>
  <c r="AY381" i="1" s="1"/>
  <c r="AY382" i="1" s="1"/>
  <c r="AX123" i="1"/>
  <c r="AX124" i="1" s="1"/>
  <c r="AX125" i="1" s="1"/>
  <c r="AX126" i="1" s="1"/>
  <c r="AX127" i="1" s="1"/>
  <c r="AX128" i="1" s="1"/>
  <c r="AX129" i="1" s="1"/>
  <c r="AX130" i="1" s="1"/>
  <c r="AX131" i="1" s="1"/>
  <c r="AX132" i="1" s="1"/>
  <c r="AX133" i="1" s="1"/>
  <c r="AX134" i="1" s="1"/>
  <c r="AX135" i="1" s="1"/>
  <c r="AX136" i="1" s="1"/>
  <c r="AX137" i="1" s="1"/>
  <c r="AX138" i="1" s="1"/>
  <c r="AX139" i="1" s="1"/>
  <c r="AX140" i="1" s="1"/>
  <c r="AX141" i="1" s="1"/>
  <c r="AX142" i="1" s="1"/>
  <c r="AX143" i="1" s="1"/>
  <c r="AX144" i="1" s="1"/>
  <c r="AX145" i="1" s="1"/>
  <c r="AX146" i="1" s="1"/>
  <c r="AX147" i="1" s="1"/>
  <c r="AX148" i="1" s="1"/>
  <c r="AX149" i="1" s="1"/>
  <c r="AX150" i="1" s="1"/>
  <c r="AX151" i="1" s="1"/>
  <c r="AX152" i="1" s="1"/>
  <c r="AX153" i="1" s="1"/>
  <c r="AX154" i="1" s="1"/>
  <c r="AX155" i="1" s="1"/>
  <c r="AX156" i="1" s="1"/>
  <c r="AX157" i="1" s="1"/>
  <c r="AX158" i="1" s="1"/>
  <c r="AX159" i="1" s="1"/>
  <c r="AX160" i="1" s="1"/>
  <c r="AX161" i="1" s="1"/>
  <c r="AX162" i="1" s="1"/>
  <c r="AX163" i="1" s="1"/>
  <c r="AX164" i="1" s="1"/>
  <c r="AX165" i="1" s="1"/>
  <c r="AX166" i="1" s="1"/>
  <c r="AX167" i="1" s="1"/>
  <c r="AX168" i="1" s="1"/>
  <c r="AX169" i="1" s="1"/>
  <c r="AX170" i="1" s="1"/>
  <c r="AX171" i="1" s="1"/>
  <c r="AX172" i="1" s="1"/>
  <c r="AX173" i="1" s="1"/>
  <c r="AX174" i="1" s="1"/>
  <c r="AX175" i="1" s="1"/>
  <c r="AX176" i="1" s="1"/>
  <c r="AX177" i="1" s="1"/>
  <c r="AX178" i="1" s="1"/>
  <c r="AX179" i="1" s="1"/>
  <c r="AX180" i="1" s="1"/>
  <c r="AX181" i="1" s="1"/>
  <c r="AX182" i="1" s="1"/>
  <c r="AX183" i="1" s="1"/>
  <c r="AX184" i="1" s="1"/>
  <c r="AX185" i="1" s="1"/>
  <c r="AX186" i="1" s="1"/>
  <c r="AX187" i="1" s="1"/>
  <c r="AX188" i="1" s="1"/>
  <c r="AX189" i="1" s="1"/>
  <c r="AX190" i="1" s="1"/>
  <c r="AX191" i="1" s="1"/>
  <c r="AX192" i="1" s="1"/>
  <c r="AX193" i="1" s="1"/>
  <c r="AX194" i="1" s="1"/>
  <c r="AX195" i="1" s="1"/>
  <c r="AX196" i="1" s="1"/>
  <c r="AX197" i="1" s="1"/>
  <c r="AX198" i="1" s="1"/>
  <c r="AX199" i="1" s="1"/>
  <c r="AX200" i="1" s="1"/>
  <c r="AX201" i="1" s="1"/>
  <c r="AX202" i="1" s="1"/>
  <c r="AX203" i="1" s="1"/>
  <c r="AX204" i="1" s="1"/>
  <c r="AX205" i="1" s="1"/>
  <c r="AX206" i="1" s="1"/>
  <c r="AX207" i="1" s="1"/>
  <c r="AX208" i="1" s="1"/>
  <c r="AX209" i="1" s="1"/>
  <c r="AX210" i="1" s="1"/>
  <c r="AX211" i="1" s="1"/>
  <c r="AX212" i="1" s="1"/>
  <c r="AX213" i="1" s="1"/>
  <c r="AX214" i="1" s="1"/>
  <c r="AX215" i="1" s="1"/>
  <c r="AX216" i="1" s="1"/>
  <c r="AX217" i="1" s="1"/>
  <c r="AX218" i="1" s="1"/>
  <c r="AX219" i="1" s="1"/>
  <c r="AX220" i="1" s="1"/>
  <c r="AX221" i="1" s="1"/>
  <c r="AX222" i="1" s="1"/>
  <c r="AX223" i="1" s="1"/>
  <c r="AX224" i="1" s="1"/>
  <c r="AX225" i="1" s="1"/>
  <c r="AX226" i="1" s="1"/>
  <c r="AX227" i="1" s="1"/>
  <c r="AX228" i="1" s="1"/>
  <c r="AX229" i="1" s="1"/>
  <c r="AX230" i="1" s="1"/>
  <c r="AX231" i="1" s="1"/>
  <c r="AX232" i="1" s="1"/>
  <c r="AX233" i="1" s="1"/>
  <c r="AX234" i="1" s="1"/>
  <c r="AX235" i="1" s="1"/>
  <c r="AX236" i="1" s="1"/>
  <c r="AX237" i="1" s="1"/>
  <c r="AX238" i="1" s="1"/>
  <c r="AX239" i="1" s="1"/>
  <c r="AX240" i="1" s="1"/>
  <c r="AX241" i="1" s="1"/>
  <c r="AX242" i="1" s="1"/>
  <c r="AX243" i="1" s="1"/>
  <c r="AX244" i="1" s="1"/>
  <c r="AX245" i="1" s="1"/>
  <c r="AX246" i="1" s="1"/>
  <c r="AX247" i="1" s="1"/>
  <c r="AX248" i="1" s="1"/>
  <c r="AX249" i="1" s="1"/>
  <c r="AX250" i="1" s="1"/>
  <c r="AX251" i="1" s="1"/>
  <c r="AX252" i="1" s="1"/>
  <c r="AX253" i="1" s="1"/>
  <c r="AX254" i="1" s="1"/>
  <c r="AX255" i="1" s="1"/>
  <c r="AX256" i="1" s="1"/>
  <c r="AX257" i="1" s="1"/>
  <c r="AX258" i="1" s="1"/>
  <c r="AX259" i="1" s="1"/>
  <c r="AX260" i="1" s="1"/>
  <c r="AX261" i="1" s="1"/>
  <c r="AX262" i="1" s="1"/>
  <c r="AX263" i="1" s="1"/>
  <c r="AX264" i="1" s="1"/>
  <c r="AX265" i="1" s="1"/>
  <c r="AX266" i="1" s="1"/>
  <c r="AX267" i="1" s="1"/>
  <c r="AX268" i="1" s="1"/>
  <c r="AX269" i="1" s="1"/>
  <c r="AX270" i="1" s="1"/>
  <c r="AX271" i="1" s="1"/>
  <c r="AX272" i="1" s="1"/>
  <c r="AX273" i="1" s="1"/>
  <c r="AX274" i="1" s="1"/>
  <c r="AX275" i="1" s="1"/>
  <c r="AX276" i="1" s="1"/>
  <c r="AX277" i="1" s="1"/>
  <c r="AX278" i="1" s="1"/>
  <c r="AX279" i="1" s="1"/>
  <c r="AX280" i="1" s="1"/>
  <c r="AX281" i="1" s="1"/>
  <c r="AX282" i="1" s="1"/>
  <c r="AX283" i="1" s="1"/>
  <c r="AX284" i="1" s="1"/>
  <c r="AX285" i="1" s="1"/>
  <c r="AX286" i="1" s="1"/>
  <c r="AX287" i="1" s="1"/>
  <c r="AX288" i="1" s="1"/>
  <c r="AX289" i="1" s="1"/>
  <c r="AX290" i="1" s="1"/>
  <c r="AX291" i="1" s="1"/>
  <c r="AX292" i="1" s="1"/>
  <c r="AX293" i="1" s="1"/>
  <c r="AX294" i="1" s="1"/>
  <c r="AX295" i="1" s="1"/>
  <c r="AX296" i="1" s="1"/>
  <c r="AX297" i="1" s="1"/>
  <c r="AX298" i="1" s="1"/>
  <c r="AX299" i="1" s="1"/>
  <c r="AX300" i="1" s="1"/>
  <c r="AX301" i="1" s="1"/>
  <c r="AX302" i="1" s="1"/>
  <c r="AX303" i="1" s="1"/>
  <c r="AX304" i="1" s="1"/>
  <c r="AX305" i="1" s="1"/>
  <c r="AX306" i="1" s="1"/>
  <c r="AX307" i="1" s="1"/>
  <c r="AX308" i="1" s="1"/>
  <c r="AX309" i="1" s="1"/>
  <c r="AX310" i="1" s="1"/>
  <c r="AX311" i="1" s="1"/>
  <c r="AX312" i="1" s="1"/>
  <c r="AX313" i="1" s="1"/>
  <c r="AX314" i="1" s="1"/>
  <c r="AX315" i="1" s="1"/>
  <c r="AX316" i="1" s="1"/>
  <c r="AX317" i="1" s="1"/>
  <c r="AX318" i="1" s="1"/>
  <c r="AX319" i="1" s="1"/>
  <c r="AX320" i="1" s="1"/>
  <c r="AX321" i="1" s="1"/>
  <c r="AX322" i="1" s="1"/>
  <c r="AX323" i="1" s="1"/>
  <c r="AX324" i="1" s="1"/>
  <c r="AX325" i="1" s="1"/>
  <c r="AX326" i="1" s="1"/>
  <c r="AX327" i="1" s="1"/>
  <c r="AX328" i="1" s="1"/>
  <c r="AX329" i="1" s="1"/>
  <c r="AX330" i="1" s="1"/>
  <c r="AX331" i="1" s="1"/>
  <c r="AX332" i="1" s="1"/>
  <c r="AX333" i="1" s="1"/>
  <c r="AX334" i="1" s="1"/>
  <c r="AX335" i="1" s="1"/>
  <c r="AX336" i="1" s="1"/>
  <c r="AX337" i="1" s="1"/>
  <c r="AX338" i="1" s="1"/>
  <c r="AX339" i="1" s="1"/>
  <c r="AX340" i="1" s="1"/>
  <c r="AX341" i="1" s="1"/>
  <c r="AX342" i="1" s="1"/>
  <c r="AX343" i="1" s="1"/>
  <c r="AX344" i="1" s="1"/>
  <c r="AX345" i="1" s="1"/>
  <c r="AX346" i="1" s="1"/>
  <c r="AX347" i="1" s="1"/>
  <c r="AX348" i="1" s="1"/>
  <c r="AX349" i="1" s="1"/>
  <c r="AX350" i="1" s="1"/>
  <c r="AX351" i="1" s="1"/>
  <c r="AX352" i="1" s="1"/>
  <c r="AX353" i="1" s="1"/>
  <c r="AX354" i="1" s="1"/>
  <c r="AX355" i="1" s="1"/>
  <c r="AX356" i="1" s="1"/>
  <c r="AX357" i="1" s="1"/>
  <c r="AX358" i="1" s="1"/>
  <c r="AX359" i="1" s="1"/>
  <c r="AX360" i="1" s="1"/>
  <c r="AX361" i="1" s="1"/>
  <c r="AX362" i="1" s="1"/>
  <c r="AX363" i="1" s="1"/>
  <c r="AX364" i="1" s="1"/>
  <c r="AX365" i="1" s="1"/>
  <c r="AX366" i="1" s="1"/>
  <c r="AX367" i="1" s="1"/>
  <c r="AX368" i="1" s="1"/>
  <c r="AX369" i="1" s="1"/>
  <c r="AX370" i="1" s="1"/>
  <c r="AX371" i="1" s="1"/>
  <c r="AX372" i="1" s="1"/>
  <c r="AX373" i="1" s="1"/>
  <c r="AX374" i="1" s="1"/>
  <c r="AX375" i="1" s="1"/>
  <c r="AX376" i="1" s="1"/>
  <c r="AX377" i="1" s="1"/>
  <c r="AX378" i="1" s="1"/>
  <c r="AX379" i="1" s="1"/>
  <c r="AX380" i="1" s="1"/>
  <c r="AX381" i="1" s="1"/>
  <c r="AX382" i="1" s="1"/>
  <c r="AW123" i="1"/>
  <c r="AW124" i="1" s="1"/>
  <c r="AW125" i="1" s="1"/>
  <c r="AW126" i="1" s="1"/>
  <c r="AW127" i="1" s="1"/>
  <c r="AW128" i="1" s="1"/>
  <c r="AW129" i="1" s="1"/>
  <c r="AW130" i="1" s="1"/>
  <c r="AW131" i="1" s="1"/>
  <c r="AW132" i="1" s="1"/>
  <c r="AW133" i="1" s="1"/>
  <c r="AW134" i="1" s="1"/>
  <c r="AW135" i="1" s="1"/>
  <c r="AW136" i="1" s="1"/>
  <c r="AW137" i="1" s="1"/>
  <c r="AW138" i="1" s="1"/>
  <c r="AW139" i="1" s="1"/>
  <c r="AW140" i="1" s="1"/>
  <c r="AW141" i="1" s="1"/>
  <c r="AW142" i="1" s="1"/>
  <c r="AW143" i="1" s="1"/>
  <c r="AW144" i="1" s="1"/>
  <c r="AW145" i="1" s="1"/>
  <c r="AW146" i="1" s="1"/>
  <c r="AW147" i="1" s="1"/>
  <c r="AW148" i="1" s="1"/>
  <c r="AW149" i="1" s="1"/>
  <c r="AW150" i="1" s="1"/>
  <c r="AW151" i="1" s="1"/>
  <c r="AW152" i="1" s="1"/>
  <c r="AW153" i="1" s="1"/>
  <c r="AW154" i="1" s="1"/>
  <c r="AW155" i="1" s="1"/>
  <c r="AW156" i="1" s="1"/>
  <c r="AW157" i="1" s="1"/>
  <c r="AW158" i="1" s="1"/>
  <c r="AW159" i="1" s="1"/>
  <c r="AW160" i="1" s="1"/>
  <c r="AW161" i="1" s="1"/>
  <c r="AW162" i="1" s="1"/>
  <c r="AW163" i="1" s="1"/>
  <c r="AW164" i="1" s="1"/>
  <c r="AW165" i="1" s="1"/>
  <c r="AW166" i="1" s="1"/>
  <c r="AW167" i="1" s="1"/>
  <c r="AW168" i="1" s="1"/>
  <c r="AW169" i="1" s="1"/>
  <c r="AW170" i="1" s="1"/>
  <c r="AW171" i="1" s="1"/>
  <c r="AW172" i="1" s="1"/>
  <c r="AW173" i="1" s="1"/>
  <c r="AW174" i="1" s="1"/>
  <c r="AW175" i="1" s="1"/>
  <c r="AW176" i="1" s="1"/>
  <c r="AW177" i="1" s="1"/>
  <c r="AW178" i="1" s="1"/>
  <c r="AW179" i="1" s="1"/>
  <c r="AW180" i="1" s="1"/>
  <c r="AW181" i="1" s="1"/>
  <c r="AW182" i="1" s="1"/>
  <c r="AW183" i="1" s="1"/>
  <c r="AW184" i="1" s="1"/>
  <c r="AW185" i="1" s="1"/>
  <c r="AW186" i="1" s="1"/>
  <c r="AW187" i="1" s="1"/>
  <c r="AW188" i="1" s="1"/>
  <c r="AW189" i="1" s="1"/>
  <c r="AW190" i="1" s="1"/>
  <c r="AW191" i="1" s="1"/>
  <c r="AW192" i="1" s="1"/>
  <c r="AW193" i="1" s="1"/>
  <c r="AW194" i="1" s="1"/>
  <c r="AW195" i="1" s="1"/>
  <c r="AW196" i="1" s="1"/>
  <c r="AW197" i="1" s="1"/>
  <c r="AW198" i="1" s="1"/>
  <c r="AW199" i="1" s="1"/>
  <c r="AW200" i="1" s="1"/>
  <c r="AW201" i="1" s="1"/>
  <c r="AW202" i="1" s="1"/>
  <c r="AW203" i="1" s="1"/>
  <c r="AW204" i="1" s="1"/>
  <c r="AW205" i="1" s="1"/>
  <c r="AW206" i="1" s="1"/>
  <c r="AW207" i="1" s="1"/>
  <c r="AW208" i="1" s="1"/>
  <c r="AW209" i="1" s="1"/>
  <c r="AW210" i="1" s="1"/>
  <c r="AW211" i="1" s="1"/>
  <c r="AW212" i="1" s="1"/>
  <c r="AW213" i="1" s="1"/>
  <c r="AW214" i="1" s="1"/>
  <c r="AW215" i="1" s="1"/>
  <c r="AW216" i="1" s="1"/>
  <c r="AW217" i="1" s="1"/>
  <c r="AW218" i="1" s="1"/>
  <c r="AW219" i="1" s="1"/>
  <c r="AW220" i="1" s="1"/>
  <c r="AW221" i="1" s="1"/>
  <c r="AW222" i="1" s="1"/>
  <c r="AW223" i="1" s="1"/>
  <c r="AW224" i="1" s="1"/>
  <c r="AW225" i="1" s="1"/>
  <c r="AW226" i="1" s="1"/>
  <c r="AW227" i="1" s="1"/>
  <c r="AW228" i="1" s="1"/>
  <c r="AW229" i="1" s="1"/>
  <c r="AW230" i="1" s="1"/>
  <c r="AW231" i="1" s="1"/>
  <c r="AW232" i="1" s="1"/>
  <c r="AW233" i="1" s="1"/>
  <c r="AW234" i="1" s="1"/>
  <c r="AW235" i="1" s="1"/>
  <c r="AW236" i="1" s="1"/>
  <c r="AW237" i="1" s="1"/>
  <c r="AW238" i="1" s="1"/>
  <c r="AW239" i="1" s="1"/>
  <c r="AW240" i="1" s="1"/>
  <c r="AW241" i="1" s="1"/>
  <c r="AW242" i="1" s="1"/>
  <c r="AW243" i="1" s="1"/>
  <c r="AW244" i="1" s="1"/>
  <c r="AW245" i="1" s="1"/>
  <c r="AW246" i="1" s="1"/>
  <c r="AW247" i="1" s="1"/>
  <c r="AW248" i="1" s="1"/>
  <c r="AW249" i="1" s="1"/>
  <c r="AW250" i="1" s="1"/>
  <c r="AW251" i="1" s="1"/>
  <c r="AW252" i="1" s="1"/>
  <c r="AW253" i="1" s="1"/>
  <c r="AW254" i="1" s="1"/>
  <c r="AW255" i="1" s="1"/>
  <c r="AW256" i="1" s="1"/>
  <c r="AW257" i="1" s="1"/>
  <c r="AW258" i="1" s="1"/>
  <c r="AW259" i="1" s="1"/>
  <c r="AW260" i="1" s="1"/>
  <c r="AW261" i="1" s="1"/>
  <c r="AW262" i="1" s="1"/>
  <c r="AW263" i="1" s="1"/>
  <c r="AW264" i="1" s="1"/>
  <c r="AW265" i="1" s="1"/>
  <c r="AW266" i="1" s="1"/>
  <c r="AW267" i="1" s="1"/>
  <c r="AW268" i="1" s="1"/>
  <c r="AW269" i="1" s="1"/>
  <c r="AW270" i="1" s="1"/>
  <c r="AW271" i="1" s="1"/>
  <c r="AW272" i="1" s="1"/>
  <c r="AW273" i="1" s="1"/>
  <c r="AW274" i="1" s="1"/>
  <c r="AW275" i="1" s="1"/>
  <c r="AW276" i="1" s="1"/>
  <c r="AW277" i="1" s="1"/>
  <c r="AW278" i="1" s="1"/>
  <c r="AW279" i="1" s="1"/>
  <c r="AW280" i="1" s="1"/>
  <c r="AW281" i="1" s="1"/>
  <c r="AW282" i="1" s="1"/>
  <c r="AW283" i="1" s="1"/>
  <c r="AW284" i="1" s="1"/>
  <c r="AW285" i="1" s="1"/>
  <c r="AW286" i="1" s="1"/>
  <c r="AW287" i="1" s="1"/>
  <c r="AW288" i="1" s="1"/>
  <c r="AW289" i="1" s="1"/>
  <c r="AW290" i="1" s="1"/>
  <c r="AW291" i="1" s="1"/>
  <c r="AW292" i="1" s="1"/>
  <c r="AW293" i="1" s="1"/>
  <c r="AW294" i="1" s="1"/>
  <c r="AW295" i="1" s="1"/>
  <c r="AW296" i="1" s="1"/>
  <c r="AW297" i="1" s="1"/>
  <c r="AW298" i="1" s="1"/>
  <c r="AW299" i="1" s="1"/>
  <c r="AW300" i="1" s="1"/>
  <c r="AW301" i="1" s="1"/>
  <c r="AW302" i="1" s="1"/>
  <c r="AW303" i="1" s="1"/>
  <c r="AW304" i="1" s="1"/>
  <c r="AW305" i="1" s="1"/>
  <c r="AW306" i="1" s="1"/>
  <c r="AW307" i="1" s="1"/>
  <c r="AW308" i="1" s="1"/>
  <c r="AW309" i="1" s="1"/>
  <c r="AW310" i="1" s="1"/>
  <c r="AW311" i="1" s="1"/>
  <c r="AW312" i="1" s="1"/>
  <c r="AW313" i="1" s="1"/>
  <c r="AW314" i="1" s="1"/>
  <c r="AW315" i="1" s="1"/>
  <c r="AW316" i="1" s="1"/>
  <c r="AW317" i="1" s="1"/>
  <c r="AW318" i="1" s="1"/>
  <c r="AW319" i="1" s="1"/>
  <c r="AW320" i="1" s="1"/>
  <c r="AW321" i="1" s="1"/>
  <c r="AW322" i="1" s="1"/>
  <c r="AW323" i="1" s="1"/>
  <c r="AW324" i="1" s="1"/>
  <c r="AW325" i="1" s="1"/>
  <c r="AW326" i="1" s="1"/>
  <c r="AW327" i="1" s="1"/>
  <c r="AW328" i="1" s="1"/>
  <c r="AW329" i="1" s="1"/>
  <c r="AW330" i="1" s="1"/>
  <c r="AW331" i="1" s="1"/>
  <c r="AW332" i="1" s="1"/>
  <c r="AW333" i="1" s="1"/>
  <c r="AW334" i="1" s="1"/>
  <c r="AW335" i="1" s="1"/>
  <c r="AW336" i="1" s="1"/>
  <c r="AW337" i="1" s="1"/>
  <c r="AW338" i="1" s="1"/>
  <c r="AW339" i="1" s="1"/>
  <c r="AW340" i="1" s="1"/>
  <c r="AW341" i="1" s="1"/>
  <c r="AW342" i="1" s="1"/>
  <c r="AW343" i="1" s="1"/>
  <c r="AW344" i="1" s="1"/>
  <c r="AW345" i="1" s="1"/>
  <c r="AW346" i="1" s="1"/>
  <c r="AW347" i="1" s="1"/>
  <c r="AW348" i="1" s="1"/>
  <c r="AW349" i="1" s="1"/>
  <c r="AW350" i="1" s="1"/>
  <c r="AW351" i="1" s="1"/>
  <c r="AW352" i="1" s="1"/>
  <c r="AW353" i="1" s="1"/>
  <c r="AW354" i="1" s="1"/>
  <c r="AW355" i="1" s="1"/>
  <c r="AW356" i="1" s="1"/>
  <c r="AW357" i="1" s="1"/>
  <c r="AW358" i="1" s="1"/>
  <c r="AW359" i="1" s="1"/>
  <c r="AW360" i="1" s="1"/>
  <c r="AW361" i="1" s="1"/>
  <c r="AW362" i="1" s="1"/>
  <c r="AW363" i="1" s="1"/>
  <c r="AW364" i="1" s="1"/>
  <c r="AW365" i="1" s="1"/>
  <c r="AW366" i="1" s="1"/>
  <c r="AW367" i="1" s="1"/>
  <c r="AW368" i="1" s="1"/>
  <c r="AW369" i="1" s="1"/>
  <c r="AW370" i="1" s="1"/>
  <c r="AW371" i="1" s="1"/>
  <c r="AW372" i="1" s="1"/>
  <c r="AW373" i="1" s="1"/>
  <c r="AW374" i="1" s="1"/>
  <c r="AW375" i="1" s="1"/>
  <c r="AW376" i="1" s="1"/>
  <c r="AW377" i="1" s="1"/>
  <c r="AW378" i="1" s="1"/>
  <c r="AW379" i="1" s="1"/>
  <c r="AW380" i="1" s="1"/>
  <c r="AW381" i="1" s="1"/>
  <c r="AW382" i="1" s="1"/>
  <c r="AV123" i="1"/>
  <c r="AV124" i="1" s="1"/>
  <c r="AV125" i="1" s="1"/>
  <c r="AV126" i="1" s="1"/>
  <c r="AV127" i="1" s="1"/>
  <c r="AV128" i="1" s="1"/>
  <c r="AV129" i="1" s="1"/>
  <c r="AV130" i="1" s="1"/>
  <c r="AV131" i="1" s="1"/>
  <c r="AV132" i="1" s="1"/>
  <c r="AV133" i="1" s="1"/>
  <c r="AV134" i="1" s="1"/>
  <c r="AV135" i="1" s="1"/>
  <c r="AV136" i="1" s="1"/>
  <c r="AV137" i="1" s="1"/>
  <c r="AV138" i="1" s="1"/>
  <c r="AV139" i="1" s="1"/>
  <c r="AV140" i="1" s="1"/>
  <c r="AV141" i="1" s="1"/>
  <c r="AV142" i="1" s="1"/>
  <c r="AV143" i="1" s="1"/>
  <c r="AV144" i="1" s="1"/>
  <c r="AV145" i="1" s="1"/>
  <c r="AV146" i="1" s="1"/>
  <c r="AV147" i="1" s="1"/>
  <c r="AV148" i="1" s="1"/>
  <c r="AV149" i="1" s="1"/>
  <c r="AV150" i="1" s="1"/>
  <c r="AV151" i="1" s="1"/>
  <c r="AV152" i="1" s="1"/>
  <c r="AV153" i="1" s="1"/>
  <c r="AV154" i="1" s="1"/>
  <c r="AV155" i="1" s="1"/>
  <c r="AV156" i="1" s="1"/>
  <c r="AV157" i="1" s="1"/>
  <c r="AV158" i="1" s="1"/>
  <c r="AV159" i="1" s="1"/>
  <c r="AV160" i="1" s="1"/>
  <c r="AV161" i="1" s="1"/>
  <c r="AV162" i="1" s="1"/>
  <c r="AV163" i="1" s="1"/>
  <c r="AV164" i="1" s="1"/>
  <c r="AV165" i="1" s="1"/>
  <c r="AV166" i="1" s="1"/>
  <c r="AV167" i="1" s="1"/>
  <c r="AV168" i="1" s="1"/>
  <c r="AV169" i="1" s="1"/>
  <c r="AV170" i="1" s="1"/>
  <c r="AV171" i="1" s="1"/>
  <c r="AV172" i="1" s="1"/>
  <c r="AV173" i="1" s="1"/>
  <c r="AV174" i="1" s="1"/>
  <c r="AV175" i="1" s="1"/>
  <c r="AV176" i="1" s="1"/>
  <c r="AV177" i="1" s="1"/>
  <c r="AV178" i="1" s="1"/>
  <c r="AV179" i="1" s="1"/>
  <c r="AV180" i="1" s="1"/>
  <c r="AV181" i="1" s="1"/>
  <c r="AV182" i="1" s="1"/>
  <c r="AV183" i="1" s="1"/>
  <c r="AV184" i="1" s="1"/>
  <c r="AV185" i="1" s="1"/>
  <c r="AV186" i="1" s="1"/>
  <c r="AV187" i="1" s="1"/>
  <c r="AV188" i="1" s="1"/>
  <c r="AV189" i="1" s="1"/>
  <c r="AV190" i="1" s="1"/>
  <c r="AV191" i="1" s="1"/>
  <c r="AV192" i="1" s="1"/>
  <c r="AV193" i="1" s="1"/>
  <c r="AV194" i="1" s="1"/>
  <c r="AV195" i="1" s="1"/>
  <c r="AV196" i="1" s="1"/>
  <c r="AV197" i="1" s="1"/>
  <c r="AV198" i="1" s="1"/>
  <c r="AV199" i="1" s="1"/>
  <c r="AV200" i="1" s="1"/>
  <c r="AV201" i="1" s="1"/>
  <c r="AV202" i="1" s="1"/>
  <c r="AV203" i="1" s="1"/>
  <c r="AV204" i="1" s="1"/>
  <c r="AV205" i="1" s="1"/>
  <c r="AV206" i="1" s="1"/>
  <c r="AV207" i="1" s="1"/>
  <c r="AV208" i="1" s="1"/>
  <c r="AV209" i="1" s="1"/>
  <c r="AV210" i="1" s="1"/>
  <c r="AV211" i="1" s="1"/>
  <c r="AV212" i="1" s="1"/>
  <c r="AV213" i="1" s="1"/>
  <c r="AV214" i="1" s="1"/>
  <c r="AV215" i="1" s="1"/>
  <c r="AV216" i="1" s="1"/>
  <c r="AV217" i="1" s="1"/>
  <c r="AV218" i="1" s="1"/>
  <c r="AV219" i="1" s="1"/>
  <c r="AV220" i="1" s="1"/>
  <c r="AV221" i="1" s="1"/>
  <c r="AV222" i="1" s="1"/>
  <c r="AV223" i="1" s="1"/>
  <c r="AV224" i="1" s="1"/>
  <c r="AV225" i="1" s="1"/>
  <c r="AV226" i="1" s="1"/>
  <c r="AV227" i="1" s="1"/>
  <c r="AV228" i="1" s="1"/>
  <c r="AV229" i="1" s="1"/>
  <c r="AV230" i="1" s="1"/>
  <c r="AV231" i="1" s="1"/>
  <c r="AV232" i="1" s="1"/>
  <c r="AV233" i="1" s="1"/>
  <c r="AV234" i="1" s="1"/>
  <c r="AV235" i="1" s="1"/>
  <c r="AV236" i="1" s="1"/>
  <c r="AV237" i="1" s="1"/>
  <c r="AV238" i="1" s="1"/>
  <c r="AV239" i="1" s="1"/>
  <c r="AV240" i="1" s="1"/>
  <c r="AV241" i="1" s="1"/>
  <c r="AV242" i="1" s="1"/>
  <c r="AV243" i="1" s="1"/>
  <c r="AV244" i="1" s="1"/>
  <c r="AV245" i="1" s="1"/>
  <c r="AV246" i="1" s="1"/>
  <c r="AV247" i="1" s="1"/>
  <c r="AV248" i="1" s="1"/>
  <c r="AV249" i="1" s="1"/>
  <c r="AV250" i="1" s="1"/>
  <c r="AV251" i="1" s="1"/>
  <c r="AV252" i="1" s="1"/>
  <c r="AV253" i="1" s="1"/>
  <c r="AV254" i="1" s="1"/>
  <c r="AV255" i="1" s="1"/>
  <c r="AV256" i="1" s="1"/>
  <c r="AV257" i="1" s="1"/>
  <c r="AV258" i="1" s="1"/>
  <c r="AV259" i="1" s="1"/>
  <c r="AV260" i="1" s="1"/>
  <c r="AV261" i="1" s="1"/>
  <c r="AV262" i="1" s="1"/>
  <c r="AV263" i="1" s="1"/>
  <c r="AV264" i="1" s="1"/>
  <c r="AV265" i="1" s="1"/>
  <c r="AV266" i="1" s="1"/>
  <c r="AV267" i="1" s="1"/>
  <c r="AV268" i="1" s="1"/>
  <c r="AV269" i="1" s="1"/>
  <c r="AV270" i="1" s="1"/>
  <c r="AV271" i="1" s="1"/>
  <c r="AV272" i="1" s="1"/>
  <c r="AV273" i="1" s="1"/>
  <c r="AV274" i="1" s="1"/>
  <c r="AV275" i="1" s="1"/>
  <c r="AV276" i="1" s="1"/>
  <c r="AV277" i="1" s="1"/>
  <c r="AV278" i="1" s="1"/>
  <c r="AV279" i="1" s="1"/>
  <c r="AV280" i="1" s="1"/>
  <c r="AV281" i="1" s="1"/>
  <c r="AV282" i="1" s="1"/>
  <c r="AV283" i="1" s="1"/>
  <c r="AV284" i="1" s="1"/>
  <c r="AV285" i="1" s="1"/>
  <c r="AV286" i="1" s="1"/>
  <c r="AV287" i="1" s="1"/>
  <c r="AV288" i="1" s="1"/>
  <c r="AV289" i="1" s="1"/>
  <c r="AV290" i="1" s="1"/>
  <c r="AV291" i="1" s="1"/>
  <c r="AV292" i="1" s="1"/>
  <c r="AV293" i="1" s="1"/>
  <c r="AV294" i="1" s="1"/>
  <c r="AV295" i="1" s="1"/>
  <c r="AV296" i="1" s="1"/>
  <c r="AV297" i="1" s="1"/>
  <c r="AV298" i="1" s="1"/>
  <c r="AV299" i="1" s="1"/>
  <c r="AV300" i="1" s="1"/>
  <c r="AV301" i="1" s="1"/>
  <c r="AV302" i="1" s="1"/>
  <c r="AV303" i="1" s="1"/>
  <c r="AV304" i="1" s="1"/>
  <c r="AV305" i="1" s="1"/>
  <c r="AV306" i="1" s="1"/>
  <c r="AV307" i="1" s="1"/>
  <c r="AV308" i="1" s="1"/>
  <c r="AV309" i="1" s="1"/>
  <c r="AV310" i="1" s="1"/>
  <c r="AV311" i="1" s="1"/>
  <c r="AV312" i="1" s="1"/>
  <c r="AV313" i="1" s="1"/>
  <c r="AV314" i="1" s="1"/>
  <c r="AV315" i="1" s="1"/>
  <c r="AV316" i="1" s="1"/>
  <c r="AV317" i="1" s="1"/>
  <c r="AV318" i="1" s="1"/>
  <c r="AV319" i="1" s="1"/>
  <c r="AV320" i="1" s="1"/>
  <c r="AV321" i="1" s="1"/>
  <c r="AV322" i="1" s="1"/>
  <c r="AV323" i="1" s="1"/>
  <c r="AV324" i="1" s="1"/>
  <c r="AV325" i="1" s="1"/>
  <c r="AV326" i="1" s="1"/>
  <c r="AV327" i="1" s="1"/>
  <c r="AV328" i="1" s="1"/>
  <c r="AV329" i="1" s="1"/>
  <c r="AV330" i="1" s="1"/>
  <c r="AV331" i="1" s="1"/>
  <c r="AV332" i="1" s="1"/>
  <c r="AV333" i="1" s="1"/>
  <c r="AV334" i="1" s="1"/>
  <c r="AV335" i="1" s="1"/>
  <c r="AV336" i="1" s="1"/>
  <c r="AV337" i="1" s="1"/>
  <c r="AV338" i="1" s="1"/>
  <c r="AV339" i="1" s="1"/>
  <c r="AV340" i="1" s="1"/>
  <c r="AV341" i="1" s="1"/>
  <c r="AV342" i="1" s="1"/>
  <c r="AV343" i="1" s="1"/>
  <c r="AV344" i="1" s="1"/>
  <c r="AV345" i="1" s="1"/>
  <c r="AV346" i="1" s="1"/>
  <c r="AV347" i="1" s="1"/>
  <c r="AV348" i="1" s="1"/>
  <c r="AV349" i="1" s="1"/>
  <c r="AV350" i="1" s="1"/>
  <c r="AV351" i="1" s="1"/>
  <c r="AV352" i="1" s="1"/>
  <c r="AV353" i="1" s="1"/>
  <c r="AV354" i="1" s="1"/>
  <c r="AV355" i="1" s="1"/>
  <c r="AV356" i="1" s="1"/>
  <c r="AV357" i="1" s="1"/>
  <c r="AV358" i="1" s="1"/>
  <c r="AV359" i="1" s="1"/>
  <c r="AV360" i="1" s="1"/>
  <c r="AV361" i="1" s="1"/>
  <c r="AV362" i="1" s="1"/>
  <c r="AV363" i="1" s="1"/>
  <c r="AV364" i="1" s="1"/>
  <c r="AV365" i="1" s="1"/>
  <c r="AV366" i="1" s="1"/>
  <c r="AV367" i="1" s="1"/>
  <c r="AV368" i="1" s="1"/>
  <c r="AV369" i="1" s="1"/>
  <c r="AV370" i="1" s="1"/>
  <c r="AV371" i="1" s="1"/>
  <c r="AV372" i="1" s="1"/>
  <c r="AV373" i="1" s="1"/>
  <c r="AV374" i="1" s="1"/>
  <c r="AV375" i="1" s="1"/>
  <c r="AV376" i="1" s="1"/>
  <c r="AV377" i="1" s="1"/>
  <c r="AV378" i="1" s="1"/>
  <c r="AV379" i="1" s="1"/>
  <c r="AV380" i="1" s="1"/>
  <c r="AV381" i="1" s="1"/>
  <c r="AV382" i="1" s="1"/>
  <c r="AU123" i="1"/>
  <c r="AU124" i="1" s="1"/>
  <c r="AU125" i="1" s="1"/>
  <c r="AU126" i="1" s="1"/>
  <c r="AU127" i="1" s="1"/>
  <c r="AU128" i="1" s="1"/>
  <c r="AU129" i="1" s="1"/>
  <c r="AU130" i="1" s="1"/>
  <c r="AU131" i="1" s="1"/>
  <c r="AU132" i="1" s="1"/>
  <c r="AU133" i="1" s="1"/>
  <c r="AU134" i="1" s="1"/>
  <c r="AU135" i="1" s="1"/>
  <c r="AU136" i="1" s="1"/>
  <c r="AU137" i="1" s="1"/>
  <c r="AU138" i="1" s="1"/>
  <c r="AU139" i="1" s="1"/>
  <c r="AU140" i="1" s="1"/>
  <c r="AU141" i="1" s="1"/>
  <c r="AU142" i="1" s="1"/>
  <c r="AU143" i="1" s="1"/>
  <c r="AU144" i="1" s="1"/>
  <c r="AU145" i="1" s="1"/>
  <c r="AU146" i="1" s="1"/>
  <c r="AU147" i="1" s="1"/>
  <c r="AU148" i="1" s="1"/>
  <c r="AU149" i="1" s="1"/>
  <c r="AU150" i="1" s="1"/>
  <c r="AU151" i="1" s="1"/>
  <c r="AU152" i="1" s="1"/>
  <c r="AU153" i="1" s="1"/>
  <c r="AU154" i="1" s="1"/>
  <c r="AU155" i="1" s="1"/>
  <c r="AU156" i="1" s="1"/>
  <c r="AU157" i="1" s="1"/>
  <c r="AU158" i="1" s="1"/>
  <c r="AU159" i="1" s="1"/>
  <c r="AU160" i="1" s="1"/>
  <c r="AU161" i="1" s="1"/>
  <c r="AU162" i="1" s="1"/>
  <c r="AU163" i="1" s="1"/>
  <c r="AU164" i="1" s="1"/>
  <c r="AU165" i="1" s="1"/>
  <c r="AU166" i="1" s="1"/>
  <c r="AU167" i="1" s="1"/>
  <c r="AU168" i="1" s="1"/>
  <c r="AU169" i="1" s="1"/>
  <c r="AU170" i="1" s="1"/>
  <c r="AU171" i="1" s="1"/>
  <c r="AU172" i="1" s="1"/>
  <c r="AU173" i="1" s="1"/>
  <c r="AU174" i="1" s="1"/>
  <c r="AU175" i="1" s="1"/>
  <c r="AU176" i="1" s="1"/>
  <c r="AU177" i="1" s="1"/>
  <c r="AU178" i="1" s="1"/>
  <c r="AU179" i="1" s="1"/>
  <c r="AU180" i="1" s="1"/>
  <c r="AU181" i="1" s="1"/>
  <c r="AU182" i="1" s="1"/>
  <c r="AU183" i="1" s="1"/>
  <c r="AU184" i="1" s="1"/>
  <c r="AU185" i="1" s="1"/>
  <c r="AU186" i="1" s="1"/>
  <c r="AU187" i="1" s="1"/>
  <c r="AU188" i="1" s="1"/>
  <c r="AU189" i="1" s="1"/>
  <c r="AU190" i="1" s="1"/>
  <c r="AU191" i="1" s="1"/>
  <c r="AU192" i="1" s="1"/>
  <c r="AU193" i="1" s="1"/>
  <c r="AU194" i="1" s="1"/>
  <c r="AU195" i="1" s="1"/>
  <c r="AU196" i="1" s="1"/>
  <c r="AU197" i="1" s="1"/>
  <c r="AU198" i="1" s="1"/>
  <c r="AU199" i="1" s="1"/>
  <c r="AU200" i="1" s="1"/>
  <c r="AU201" i="1" s="1"/>
  <c r="AU202" i="1" s="1"/>
  <c r="AU203" i="1" s="1"/>
  <c r="AU204" i="1" s="1"/>
  <c r="AU205" i="1" s="1"/>
  <c r="AU206" i="1" s="1"/>
  <c r="AU207" i="1" s="1"/>
  <c r="AU208" i="1" s="1"/>
  <c r="AU209" i="1" s="1"/>
  <c r="AU210" i="1" s="1"/>
  <c r="AU211" i="1" s="1"/>
  <c r="AU212" i="1" s="1"/>
  <c r="AU213" i="1" s="1"/>
  <c r="AU214" i="1" s="1"/>
  <c r="AU215" i="1" s="1"/>
  <c r="AU216" i="1" s="1"/>
  <c r="AU217" i="1" s="1"/>
  <c r="AU218" i="1" s="1"/>
  <c r="AU219" i="1" s="1"/>
  <c r="AU220" i="1" s="1"/>
  <c r="AU221" i="1" s="1"/>
  <c r="AU222" i="1" s="1"/>
  <c r="AU223" i="1" s="1"/>
  <c r="AU224" i="1" s="1"/>
  <c r="AU225" i="1" s="1"/>
  <c r="AU226" i="1" s="1"/>
  <c r="AU227" i="1" s="1"/>
  <c r="AU228" i="1" s="1"/>
  <c r="AU229" i="1" s="1"/>
  <c r="AU230" i="1" s="1"/>
  <c r="AU231" i="1" s="1"/>
  <c r="AU232" i="1" s="1"/>
  <c r="AU233" i="1" s="1"/>
  <c r="AU234" i="1" s="1"/>
  <c r="AU235" i="1" s="1"/>
  <c r="AU236" i="1" s="1"/>
  <c r="AU237" i="1" s="1"/>
  <c r="AU238" i="1" s="1"/>
  <c r="AU239" i="1" s="1"/>
  <c r="AU240" i="1" s="1"/>
  <c r="AU241" i="1" s="1"/>
  <c r="AU242" i="1" s="1"/>
  <c r="AU243" i="1" s="1"/>
  <c r="AU244" i="1" s="1"/>
  <c r="AU245" i="1" s="1"/>
  <c r="AU246" i="1" s="1"/>
  <c r="AU247" i="1" s="1"/>
  <c r="AU248" i="1" s="1"/>
  <c r="AU249" i="1" s="1"/>
  <c r="AU250" i="1" s="1"/>
  <c r="AU251" i="1" s="1"/>
  <c r="AU252" i="1" s="1"/>
  <c r="AU253" i="1" s="1"/>
  <c r="AU254" i="1" s="1"/>
  <c r="AU255" i="1" s="1"/>
  <c r="AU256" i="1" s="1"/>
  <c r="AU257" i="1" s="1"/>
  <c r="AU258" i="1" s="1"/>
  <c r="AU259" i="1" s="1"/>
  <c r="AU260" i="1" s="1"/>
  <c r="AU261" i="1" s="1"/>
  <c r="AU262" i="1" s="1"/>
  <c r="AU263" i="1" s="1"/>
  <c r="AU264" i="1" s="1"/>
  <c r="AU265" i="1" s="1"/>
  <c r="AU266" i="1" s="1"/>
  <c r="AU267" i="1" s="1"/>
  <c r="AU268" i="1" s="1"/>
  <c r="AU269" i="1" s="1"/>
  <c r="AU270" i="1" s="1"/>
  <c r="AU271" i="1" s="1"/>
  <c r="AU272" i="1" s="1"/>
  <c r="AU273" i="1" s="1"/>
  <c r="AU274" i="1" s="1"/>
  <c r="AU275" i="1" s="1"/>
  <c r="AU276" i="1" s="1"/>
  <c r="AU277" i="1" s="1"/>
  <c r="AU278" i="1" s="1"/>
  <c r="AU279" i="1" s="1"/>
  <c r="AU280" i="1" s="1"/>
  <c r="AU281" i="1" s="1"/>
  <c r="AU282" i="1" s="1"/>
  <c r="AU283" i="1" s="1"/>
  <c r="AU284" i="1" s="1"/>
  <c r="AU285" i="1" s="1"/>
  <c r="AU286" i="1" s="1"/>
  <c r="AU287" i="1" s="1"/>
  <c r="AU288" i="1" s="1"/>
  <c r="AU289" i="1" s="1"/>
  <c r="AU290" i="1" s="1"/>
  <c r="AU291" i="1" s="1"/>
  <c r="AU292" i="1" s="1"/>
  <c r="AU293" i="1" s="1"/>
  <c r="AU294" i="1" s="1"/>
  <c r="AU295" i="1" s="1"/>
  <c r="AU296" i="1" s="1"/>
  <c r="AU297" i="1" s="1"/>
  <c r="AU298" i="1" s="1"/>
  <c r="AU299" i="1" s="1"/>
  <c r="AU300" i="1" s="1"/>
  <c r="AU301" i="1" s="1"/>
  <c r="AU302" i="1" s="1"/>
  <c r="AU303" i="1" s="1"/>
  <c r="AU304" i="1" s="1"/>
  <c r="AU305" i="1" s="1"/>
  <c r="AU306" i="1" s="1"/>
  <c r="AU307" i="1" s="1"/>
  <c r="AU308" i="1" s="1"/>
  <c r="AU309" i="1" s="1"/>
  <c r="AU310" i="1" s="1"/>
  <c r="AU311" i="1" s="1"/>
  <c r="AU312" i="1" s="1"/>
  <c r="AU313" i="1" s="1"/>
  <c r="AU314" i="1" s="1"/>
  <c r="AU315" i="1" s="1"/>
  <c r="AU316" i="1" s="1"/>
  <c r="AU317" i="1" s="1"/>
  <c r="AU318" i="1" s="1"/>
  <c r="AU319" i="1" s="1"/>
  <c r="AU320" i="1" s="1"/>
  <c r="AU321" i="1" s="1"/>
  <c r="AU322" i="1" s="1"/>
  <c r="AU323" i="1" s="1"/>
  <c r="AU324" i="1" s="1"/>
  <c r="AU325" i="1" s="1"/>
  <c r="AU326" i="1" s="1"/>
  <c r="AU327" i="1" s="1"/>
  <c r="AU328" i="1" s="1"/>
  <c r="AU329" i="1" s="1"/>
  <c r="AU330" i="1" s="1"/>
  <c r="AU331" i="1" s="1"/>
  <c r="AU332" i="1" s="1"/>
  <c r="AU333" i="1" s="1"/>
  <c r="AU334" i="1" s="1"/>
  <c r="AU335" i="1" s="1"/>
  <c r="AU336" i="1" s="1"/>
  <c r="AU337" i="1" s="1"/>
  <c r="AU338" i="1" s="1"/>
  <c r="AU339" i="1" s="1"/>
  <c r="AU340" i="1" s="1"/>
  <c r="AU341" i="1" s="1"/>
  <c r="AU342" i="1" s="1"/>
  <c r="AU343" i="1" s="1"/>
  <c r="AU344" i="1" s="1"/>
  <c r="AU345" i="1" s="1"/>
  <c r="AU346" i="1" s="1"/>
  <c r="AU347" i="1" s="1"/>
  <c r="AU348" i="1" s="1"/>
  <c r="AU349" i="1" s="1"/>
  <c r="AU350" i="1" s="1"/>
  <c r="AU351" i="1" s="1"/>
  <c r="AU352" i="1" s="1"/>
  <c r="AU353" i="1" s="1"/>
  <c r="AU354" i="1" s="1"/>
  <c r="AU355" i="1" s="1"/>
  <c r="AU356" i="1" s="1"/>
  <c r="AU357" i="1" s="1"/>
  <c r="AU358" i="1" s="1"/>
  <c r="AU359" i="1" s="1"/>
  <c r="AU360" i="1" s="1"/>
  <c r="AU361" i="1" s="1"/>
  <c r="AU362" i="1" s="1"/>
  <c r="AU363" i="1" s="1"/>
  <c r="AU364" i="1" s="1"/>
  <c r="AU365" i="1" s="1"/>
  <c r="AU366" i="1" s="1"/>
  <c r="AU367" i="1" s="1"/>
  <c r="AU368" i="1" s="1"/>
  <c r="AU369" i="1" s="1"/>
  <c r="AU370" i="1" s="1"/>
  <c r="AU371" i="1" s="1"/>
  <c r="AU372" i="1" s="1"/>
  <c r="AU373" i="1" s="1"/>
  <c r="AU374" i="1" s="1"/>
  <c r="AU375" i="1" s="1"/>
  <c r="AU376" i="1" s="1"/>
  <c r="AU377" i="1" s="1"/>
  <c r="AU378" i="1" s="1"/>
  <c r="AU379" i="1" s="1"/>
  <c r="AU380" i="1" s="1"/>
  <c r="AU381" i="1" s="1"/>
  <c r="AU382" i="1" s="1"/>
  <c r="AT123" i="1"/>
  <c r="AT124" i="1" s="1"/>
  <c r="AT125" i="1" s="1"/>
  <c r="AT126" i="1" s="1"/>
  <c r="AT127" i="1" s="1"/>
  <c r="AT128" i="1" s="1"/>
  <c r="AT129" i="1" s="1"/>
  <c r="AT130" i="1" s="1"/>
  <c r="AT131" i="1" s="1"/>
  <c r="AT132" i="1" s="1"/>
  <c r="AT133" i="1" s="1"/>
  <c r="AT134" i="1" s="1"/>
  <c r="AT135" i="1" s="1"/>
  <c r="AT136" i="1" s="1"/>
  <c r="AT137" i="1" s="1"/>
  <c r="AT138" i="1" s="1"/>
  <c r="AT139" i="1" s="1"/>
  <c r="AT140" i="1" s="1"/>
  <c r="AT141" i="1" s="1"/>
  <c r="AT142" i="1" s="1"/>
  <c r="AT143" i="1" s="1"/>
  <c r="AT144" i="1" s="1"/>
  <c r="AT145" i="1" s="1"/>
  <c r="AT146" i="1" s="1"/>
  <c r="AT147" i="1" s="1"/>
  <c r="AT148" i="1" s="1"/>
  <c r="AT149" i="1" s="1"/>
  <c r="AT150" i="1" s="1"/>
  <c r="AT151" i="1" s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T176" i="1" s="1"/>
  <c r="AT177" i="1" s="1"/>
  <c r="AT178" i="1" s="1"/>
  <c r="AT179" i="1" s="1"/>
  <c r="AT180" i="1" s="1"/>
  <c r="AT181" i="1" s="1"/>
  <c r="AT182" i="1" s="1"/>
  <c r="AT183" i="1" s="1"/>
  <c r="AT184" i="1" s="1"/>
  <c r="AT185" i="1" s="1"/>
  <c r="AT186" i="1" s="1"/>
  <c r="AT187" i="1" s="1"/>
  <c r="AT188" i="1" s="1"/>
  <c r="AT189" i="1" s="1"/>
  <c r="AT190" i="1" s="1"/>
  <c r="AT191" i="1" s="1"/>
  <c r="AT192" i="1" s="1"/>
  <c r="AT193" i="1" s="1"/>
  <c r="AT194" i="1" s="1"/>
  <c r="AT195" i="1" s="1"/>
  <c r="AT196" i="1" s="1"/>
  <c r="AT197" i="1" s="1"/>
  <c r="AT198" i="1" s="1"/>
  <c r="AT199" i="1" s="1"/>
  <c r="AT200" i="1" s="1"/>
  <c r="AT201" i="1" s="1"/>
  <c r="AT202" i="1" s="1"/>
  <c r="AT203" i="1" s="1"/>
  <c r="AT204" i="1" s="1"/>
  <c r="AT205" i="1" s="1"/>
  <c r="AT206" i="1" s="1"/>
  <c r="AT207" i="1" s="1"/>
  <c r="AT208" i="1" s="1"/>
  <c r="AT209" i="1" s="1"/>
  <c r="AT210" i="1" s="1"/>
  <c r="AT211" i="1" s="1"/>
  <c r="AT212" i="1" s="1"/>
  <c r="AT213" i="1" s="1"/>
  <c r="AT214" i="1" s="1"/>
  <c r="AT215" i="1" s="1"/>
  <c r="AT216" i="1" s="1"/>
  <c r="AT217" i="1" s="1"/>
  <c r="AT218" i="1" s="1"/>
  <c r="AT219" i="1" s="1"/>
  <c r="AT220" i="1" s="1"/>
  <c r="AT221" i="1" s="1"/>
  <c r="AT222" i="1" s="1"/>
  <c r="AT223" i="1" s="1"/>
  <c r="AT224" i="1" s="1"/>
  <c r="AT225" i="1" s="1"/>
  <c r="AT226" i="1" s="1"/>
  <c r="AT227" i="1" s="1"/>
  <c r="AT228" i="1" s="1"/>
  <c r="AT229" i="1" s="1"/>
  <c r="AT230" i="1" s="1"/>
  <c r="AT231" i="1" s="1"/>
  <c r="AT232" i="1" s="1"/>
  <c r="AT233" i="1" s="1"/>
  <c r="AT234" i="1" s="1"/>
  <c r="AT235" i="1" s="1"/>
  <c r="AT236" i="1" s="1"/>
  <c r="AT237" i="1" s="1"/>
  <c r="AT238" i="1" s="1"/>
  <c r="AT239" i="1" s="1"/>
  <c r="AT240" i="1" s="1"/>
  <c r="AT241" i="1" s="1"/>
  <c r="AT242" i="1" s="1"/>
  <c r="AT243" i="1" s="1"/>
  <c r="AT244" i="1" s="1"/>
  <c r="AT245" i="1" s="1"/>
  <c r="AT246" i="1" s="1"/>
  <c r="AT247" i="1" s="1"/>
  <c r="AT248" i="1" s="1"/>
  <c r="AT249" i="1" s="1"/>
  <c r="AT250" i="1" s="1"/>
  <c r="AT251" i="1" s="1"/>
  <c r="AT252" i="1" s="1"/>
  <c r="AT253" i="1" s="1"/>
  <c r="AT254" i="1" s="1"/>
  <c r="AT255" i="1" s="1"/>
  <c r="AT256" i="1" s="1"/>
  <c r="AT257" i="1" s="1"/>
  <c r="AT258" i="1" s="1"/>
  <c r="AT259" i="1" s="1"/>
  <c r="AT260" i="1" s="1"/>
  <c r="AT261" i="1" s="1"/>
  <c r="AT262" i="1" s="1"/>
  <c r="AT263" i="1" s="1"/>
  <c r="AT264" i="1" s="1"/>
  <c r="AT265" i="1" s="1"/>
  <c r="AT266" i="1" s="1"/>
  <c r="AT267" i="1" s="1"/>
  <c r="AT268" i="1" s="1"/>
  <c r="AT269" i="1" s="1"/>
  <c r="AT270" i="1" s="1"/>
  <c r="AT271" i="1" s="1"/>
  <c r="AT272" i="1" s="1"/>
  <c r="AT273" i="1" s="1"/>
  <c r="AT274" i="1" s="1"/>
  <c r="AT275" i="1" s="1"/>
  <c r="AT276" i="1" s="1"/>
  <c r="AT277" i="1" s="1"/>
  <c r="AT278" i="1" s="1"/>
  <c r="AT279" i="1" s="1"/>
  <c r="AT280" i="1" s="1"/>
  <c r="AT281" i="1" s="1"/>
  <c r="AT282" i="1" s="1"/>
  <c r="AT283" i="1" s="1"/>
  <c r="AT284" i="1" s="1"/>
  <c r="AT285" i="1" s="1"/>
  <c r="AT286" i="1" s="1"/>
  <c r="AT287" i="1" s="1"/>
  <c r="AT288" i="1" s="1"/>
  <c r="AT289" i="1" s="1"/>
  <c r="AT290" i="1" s="1"/>
  <c r="AT291" i="1" s="1"/>
  <c r="AT292" i="1" s="1"/>
  <c r="AT293" i="1" s="1"/>
  <c r="AT294" i="1" s="1"/>
  <c r="AT295" i="1" s="1"/>
  <c r="AT296" i="1" s="1"/>
  <c r="AT297" i="1" s="1"/>
  <c r="AT298" i="1" s="1"/>
  <c r="AT299" i="1" s="1"/>
  <c r="AT300" i="1" s="1"/>
  <c r="AT301" i="1" s="1"/>
  <c r="AT302" i="1" s="1"/>
  <c r="AT303" i="1" s="1"/>
  <c r="AT304" i="1" s="1"/>
  <c r="AT305" i="1" s="1"/>
  <c r="AT306" i="1" s="1"/>
  <c r="AT307" i="1" s="1"/>
  <c r="AT308" i="1" s="1"/>
  <c r="AT309" i="1" s="1"/>
  <c r="AT310" i="1" s="1"/>
  <c r="AT311" i="1" s="1"/>
  <c r="AT312" i="1" s="1"/>
  <c r="AT313" i="1" s="1"/>
  <c r="AT314" i="1" s="1"/>
  <c r="AT315" i="1" s="1"/>
  <c r="AT316" i="1" s="1"/>
  <c r="AT317" i="1" s="1"/>
  <c r="AT318" i="1" s="1"/>
  <c r="AT319" i="1" s="1"/>
  <c r="AT320" i="1" s="1"/>
  <c r="AT321" i="1" s="1"/>
  <c r="AT322" i="1" s="1"/>
  <c r="AT323" i="1" s="1"/>
  <c r="AT324" i="1" s="1"/>
  <c r="AT325" i="1" s="1"/>
  <c r="AT326" i="1" s="1"/>
  <c r="AT327" i="1" s="1"/>
  <c r="AT328" i="1" s="1"/>
  <c r="AT329" i="1" s="1"/>
  <c r="AT330" i="1" s="1"/>
  <c r="AT331" i="1" s="1"/>
  <c r="AT332" i="1" s="1"/>
  <c r="AT333" i="1" s="1"/>
  <c r="AT334" i="1" s="1"/>
  <c r="AT335" i="1" s="1"/>
  <c r="AT336" i="1" s="1"/>
  <c r="AT337" i="1" s="1"/>
  <c r="AT338" i="1" s="1"/>
  <c r="AT339" i="1" s="1"/>
  <c r="AT340" i="1" s="1"/>
  <c r="AT341" i="1" s="1"/>
  <c r="AT342" i="1" s="1"/>
  <c r="AT343" i="1" s="1"/>
  <c r="AT344" i="1" s="1"/>
  <c r="AT345" i="1" s="1"/>
  <c r="AT346" i="1" s="1"/>
  <c r="AT347" i="1" s="1"/>
  <c r="AT348" i="1" s="1"/>
  <c r="AT349" i="1" s="1"/>
  <c r="AT350" i="1" s="1"/>
  <c r="AT351" i="1" s="1"/>
  <c r="AT352" i="1" s="1"/>
  <c r="AT353" i="1" s="1"/>
  <c r="AT354" i="1" s="1"/>
  <c r="AT355" i="1" s="1"/>
  <c r="AT356" i="1" s="1"/>
  <c r="AT357" i="1" s="1"/>
  <c r="AT358" i="1" s="1"/>
  <c r="AT359" i="1" s="1"/>
  <c r="AT360" i="1" s="1"/>
  <c r="AT361" i="1" s="1"/>
  <c r="AT362" i="1" s="1"/>
  <c r="AT363" i="1" s="1"/>
  <c r="AT364" i="1" s="1"/>
  <c r="AT365" i="1" s="1"/>
  <c r="AT366" i="1" s="1"/>
  <c r="AT367" i="1" s="1"/>
  <c r="AT368" i="1" s="1"/>
  <c r="AT369" i="1" s="1"/>
  <c r="AT370" i="1" s="1"/>
  <c r="AT371" i="1" s="1"/>
  <c r="AT372" i="1" s="1"/>
  <c r="AT373" i="1" s="1"/>
  <c r="AT374" i="1" s="1"/>
  <c r="AT375" i="1" s="1"/>
  <c r="AT376" i="1" s="1"/>
  <c r="AT377" i="1" s="1"/>
  <c r="AT378" i="1" s="1"/>
  <c r="AT379" i="1" s="1"/>
  <c r="AT380" i="1" s="1"/>
  <c r="AT381" i="1" s="1"/>
  <c r="AT382" i="1" s="1"/>
  <c r="AS123" i="1"/>
  <c r="AS124" i="1" s="1"/>
  <c r="AS125" i="1" s="1"/>
  <c r="AS126" i="1" s="1"/>
  <c r="AS127" i="1" s="1"/>
  <c r="AS128" i="1" s="1"/>
  <c r="AS129" i="1" s="1"/>
  <c r="AS130" i="1" s="1"/>
  <c r="AS131" i="1" s="1"/>
  <c r="AS132" i="1" s="1"/>
  <c r="AS133" i="1" s="1"/>
  <c r="AS134" i="1" s="1"/>
  <c r="AS135" i="1" s="1"/>
  <c r="AS136" i="1" s="1"/>
  <c r="AS137" i="1" s="1"/>
  <c r="AS138" i="1" s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AS151" i="1" s="1"/>
  <c r="AS152" i="1" s="1"/>
  <c r="AS153" i="1" s="1"/>
  <c r="AS154" i="1" s="1"/>
  <c r="AS155" i="1" s="1"/>
  <c r="AS156" i="1" s="1"/>
  <c r="AS157" i="1" s="1"/>
  <c r="AS158" i="1" s="1"/>
  <c r="AS159" i="1" s="1"/>
  <c r="AS160" i="1" s="1"/>
  <c r="AS161" i="1" s="1"/>
  <c r="AS162" i="1" s="1"/>
  <c r="AS163" i="1" s="1"/>
  <c r="AS164" i="1" s="1"/>
  <c r="AS165" i="1" s="1"/>
  <c r="AS166" i="1" s="1"/>
  <c r="AS167" i="1" s="1"/>
  <c r="AS168" i="1" s="1"/>
  <c r="AS169" i="1" s="1"/>
  <c r="AS170" i="1" s="1"/>
  <c r="AS171" i="1" s="1"/>
  <c r="AS172" i="1" s="1"/>
  <c r="AS173" i="1" s="1"/>
  <c r="AS174" i="1" s="1"/>
  <c r="AS175" i="1" s="1"/>
  <c r="AS176" i="1" s="1"/>
  <c r="AS177" i="1" s="1"/>
  <c r="AS178" i="1" s="1"/>
  <c r="AS179" i="1" s="1"/>
  <c r="AS180" i="1" s="1"/>
  <c r="AS181" i="1" s="1"/>
  <c r="AS182" i="1" s="1"/>
  <c r="AS183" i="1" s="1"/>
  <c r="AS184" i="1" s="1"/>
  <c r="AS185" i="1" s="1"/>
  <c r="AS186" i="1" s="1"/>
  <c r="AS187" i="1" s="1"/>
  <c r="AS188" i="1" s="1"/>
  <c r="AS189" i="1" s="1"/>
  <c r="AS190" i="1" s="1"/>
  <c r="AS191" i="1" s="1"/>
  <c r="AS192" i="1" s="1"/>
  <c r="AS193" i="1" s="1"/>
  <c r="AS194" i="1" s="1"/>
  <c r="AS195" i="1" s="1"/>
  <c r="AS196" i="1" s="1"/>
  <c r="AS197" i="1" s="1"/>
  <c r="AS198" i="1" s="1"/>
  <c r="AS199" i="1" s="1"/>
  <c r="AS200" i="1" s="1"/>
  <c r="AS201" i="1" s="1"/>
  <c r="AS202" i="1" s="1"/>
  <c r="AS203" i="1" s="1"/>
  <c r="AS204" i="1" s="1"/>
  <c r="AS205" i="1" s="1"/>
  <c r="AS206" i="1" s="1"/>
  <c r="AS207" i="1" s="1"/>
  <c r="AS208" i="1" s="1"/>
  <c r="AS209" i="1" s="1"/>
  <c r="AS210" i="1" s="1"/>
  <c r="AS211" i="1" s="1"/>
  <c r="AS212" i="1" s="1"/>
  <c r="AS213" i="1" s="1"/>
  <c r="AS214" i="1" s="1"/>
  <c r="AS215" i="1" s="1"/>
  <c r="AS216" i="1" s="1"/>
  <c r="AS217" i="1" s="1"/>
  <c r="AS218" i="1" s="1"/>
  <c r="AS219" i="1" s="1"/>
  <c r="AS220" i="1" s="1"/>
  <c r="AS221" i="1" s="1"/>
  <c r="AS222" i="1" s="1"/>
  <c r="AS223" i="1" s="1"/>
  <c r="AS224" i="1" s="1"/>
  <c r="AS225" i="1" s="1"/>
  <c r="AS226" i="1" s="1"/>
  <c r="AS227" i="1" s="1"/>
  <c r="AS228" i="1" s="1"/>
  <c r="AS229" i="1" s="1"/>
  <c r="AS230" i="1" s="1"/>
  <c r="AS231" i="1" s="1"/>
  <c r="AS232" i="1" s="1"/>
  <c r="AS233" i="1" s="1"/>
  <c r="AS234" i="1" s="1"/>
  <c r="AS235" i="1" s="1"/>
  <c r="AS236" i="1" s="1"/>
  <c r="AS237" i="1" s="1"/>
  <c r="AS238" i="1" s="1"/>
  <c r="AS239" i="1" s="1"/>
  <c r="AS240" i="1" s="1"/>
  <c r="AS241" i="1" s="1"/>
  <c r="AS242" i="1" s="1"/>
  <c r="AS243" i="1" s="1"/>
  <c r="AS244" i="1" s="1"/>
  <c r="AS245" i="1" s="1"/>
  <c r="AS246" i="1" s="1"/>
  <c r="AS247" i="1" s="1"/>
  <c r="AS248" i="1" s="1"/>
  <c r="AS249" i="1" s="1"/>
  <c r="AS250" i="1" s="1"/>
  <c r="AS251" i="1" s="1"/>
  <c r="AS252" i="1" s="1"/>
  <c r="AS253" i="1" s="1"/>
  <c r="AS254" i="1" s="1"/>
  <c r="AS255" i="1" s="1"/>
  <c r="AS256" i="1" s="1"/>
  <c r="AS257" i="1" s="1"/>
  <c r="AS258" i="1" s="1"/>
  <c r="AS259" i="1" s="1"/>
  <c r="AS260" i="1" s="1"/>
  <c r="AS261" i="1" s="1"/>
  <c r="AS262" i="1" s="1"/>
  <c r="AS263" i="1" s="1"/>
  <c r="AS264" i="1" s="1"/>
  <c r="AS265" i="1" s="1"/>
  <c r="AS266" i="1" s="1"/>
  <c r="AS267" i="1" s="1"/>
  <c r="AS268" i="1" s="1"/>
  <c r="AS269" i="1" s="1"/>
  <c r="AS270" i="1" s="1"/>
  <c r="AS271" i="1" s="1"/>
  <c r="AS272" i="1" s="1"/>
  <c r="AS273" i="1" s="1"/>
  <c r="AS274" i="1" s="1"/>
  <c r="AS275" i="1" s="1"/>
  <c r="AS276" i="1" s="1"/>
  <c r="AS277" i="1" s="1"/>
  <c r="AS278" i="1" s="1"/>
  <c r="AS279" i="1" s="1"/>
  <c r="AS280" i="1" s="1"/>
  <c r="AS281" i="1" s="1"/>
  <c r="AS282" i="1" s="1"/>
  <c r="AS283" i="1" s="1"/>
  <c r="AS284" i="1" s="1"/>
  <c r="AS285" i="1" s="1"/>
  <c r="AS286" i="1" s="1"/>
  <c r="AS287" i="1" s="1"/>
  <c r="AS288" i="1" s="1"/>
  <c r="AS289" i="1" s="1"/>
  <c r="AS290" i="1" s="1"/>
  <c r="AS291" i="1" s="1"/>
  <c r="AS292" i="1" s="1"/>
  <c r="AS293" i="1" s="1"/>
  <c r="AS294" i="1" s="1"/>
  <c r="AS295" i="1" s="1"/>
  <c r="AS296" i="1" s="1"/>
  <c r="AS297" i="1" s="1"/>
  <c r="AS298" i="1" s="1"/>
  <c r="AS299" i="1" s="1"/>
  <c r="AS300" i="1" s="1"/>
  <c r="AS301" i="1" s="1"/>
  <c r="AS302" i="1" s="1"/>
  <c r="AS303" i="1" s="1"/>
  <c r="AS304" i="1" s="1"/>
  <c r="AS305" i="1" s="1"/>
  <c r="AS306" i="1" s="1"/>
  <c r="AS307" i="1" s="1"/>
  <c r="AS308" i="1" s="1"/>
  <c r="AS309" i="1" s="1"/>
  <c r="AS310" i="1" s="1"/>
  <c r="AS311" i="1" s="1"/>
  <c r="AS312" i="1" s="1"/>
  <c r="AS313" i="1" s="1"/>
  <c r="AS314" i="1" s="1"/>
  <c r="AS315" i="1" s="1"/>
  <c r="AS316" i="1" s="1"/>
  <c r="AS317" i="1" s="1"/>
  <c r="AS318" i="1" s="1"/>
  <c r="AS319" i="1" s="1"/>
  <c r="AS320" i="1" s="1"/>
  <c r="AS321" i="1" s="1"/>
  <c r="AS322" i="1" s="1"/>
  <c r="AS323" i="1" s="1"/>
  <c r="AS324" i="1" s="1"/>
  <c r="AS325" i="1" s="1"/>
  <c r="AS326" i="1" s="1"/>
  <c r="AS327" i="1" s="1"/>
  <c r="AS328" i="1" s="1"/>
  <c r="AS329" i="1" s="1"/>
  <c r="AS330" i="1" s="1"/>
  <c r="AS331" i="1" s="1"/>
  <c r="AS332" i="1" s="1"/>
  <c r="AS333" i="1" s="1"/>
  <c r="AS334" i="1" s="1"/>
  <c r="AS335" i="1" s="1"/>
  <c r="AS336" i="1" s="1"/>
  <c r="AS337" i="1" s="1"/>
  <c r="AS338" i="1" s="1"/>
  <c r="AS339" i="1" s="1"/>
  <c r="AS340" i="1" s="1"/>
  <c r="AS341" i="1" s="1"/>
  <c r="AS342" i="1" s="1"/>
  <c r="AS343" i="1" s="1"/>
  <c r="AS344" i="1" s="1"/>
  <c r="AS345" i="1" s="1"/>
  <c r="AS346" i="1" s="1"/>
  <c r="AS347" i="1" s="1"/>
  <c r="AS348" i="1" s="1"/>
  <c r="AS349" i="1" s="1"/>
  <c r="AS350" i="1" s="1"/>
  <c r="AS351" i="1" s="1"/>
  <c r="AS352" i="1" s="1"/>
  <c r="AS353" i="1" s="1"/>
  <c r="AS354" i="1" s="1"/>
  <c r="AS355" i="1" s="1"/>
  <c r="AS356" i="1" s="1"/>
  <c r="AS357" i="1" s="1"/>
  <c r="AS358" i="1" s="1"/>
  <c r="AS359" i="1" s="1"/>
  <c r="AS360" i="1" s="1"/>
  <c r="AS361" i="1" s="1"/>
  <c r="AS362" i="1" s="1"/>
  <c r="AS363" i="1" s="1"/>
  <c r="AS364" i="1" s="1"/>
  <c r="AS365" i="1" s="1"/>
  <c r="AS366" i="1" s="1"/>
  <c r="AS367" i="1" s="1"/>
  <c r="AS368" i="1" s="1"/>
  <c r="AS369" i="1" s="1"/>
  <c r="AS370" i="1" s="1"/>
  <c r="AS371" i="1" s="1"/>
  <c r="AS372" i="1" s="1"/>
  <c r="AS373" i="1" s="1"/>
  <c r="AS374" i="1" s="1"/>
  <c r="AS375" i="1" s="1"/>
  <c r="AS376" i="1" s="1"/>
  <c r="AS377" i="1" s="1"/>
  <c r="AS378" i="1" s="1"/>
  <c r="AS379" i="1" s="1"/>
  <c r="AS380" i="1" s="1"/>
  <c r="AS381" i="1" s="1"/>
  <c r="AS382" i="1" s="1"/>
  <c r="AR123" i="1"/>
  <c r="AR124" i="1" s="1"/>
  <c r="AR125" i="1" s="1"/>
  <c r="AR126" i="1" s="1"/>
  <c r="AR127" i="1" s="1"/>
  <c r="AR128" i="1" s="1"/>
  <c r="AR129" i="1" s="1"/>
  <c r="AR130" i="1" s="1"/>
  <c r="AR131" i="1" s="1"/>
  <c r="AR132" i="1" s="1"/>
  <c r="AR133" i="1" s="1"/>
  <c r="AR134" i="1" s="1"/>
  <c r="AR135" i="1" s="1"/>
  <c r="AR136" i="1" s="1"/>
  <c r="AR137" i="1" s="1"/>
  <c r="AR138" i="1" s="1"/>
  <c r="AR139" i="1" s="1"/>
  <c r="AR140" i="1" s="1"/>
  <c r="AR141" i="1" s="1"/>
  <c r="AR142" i="1" s="1"/>
  <c r="AR143" i="1" s="1"/>
  <c r="AR144" i="1" s="1"/>
  <c r="AR145" i="1" s="1"/>
  <c r="AR146" i="1" s="1"/>
  <c r="AR147" i="1" s="1"/>
  <c r="AR148" i="1" s="1"/>
  <c r="AR149" i="1" s="1"/>
  <c r="AR150" i="1" s="1"/>
  <c r="AR151" i="1" s="1"/>
  <c r="AR152" i="1" s="1"/>
  <c r="AR153" i="1" s="1"/>
  <c r="AR154" i="1" s="1"/>
  <c r="AR155" i="1" s="1"/>
  <c r="AR156" i="1" s="1"/>
  <c r="AR157" i="1" s="1"/>
  <c r="AR158" i="1" s="1"/>
  <c r="AR159" i="1" s="1"/>
  <c r="AR160" i="1" s="1"/>
  <c r="AR161" i="1" s="1"/>
  <c r="AR162" i="1" s="1"/>
  <c r="AR163" i="1" s="1"/>
  <c r="AR164" i="1" s="1"/>
  <c r="AR165" i="1" s="1"/>
  <c r="AR166" i="1" s="1"/>
  <c r="AR167" i="1" s="1"/>
  <c r="AR168" i="1" s="1"/>
  <c r="AR169" i="1" s="1"/>
  <c r="AR170" i="1" s="1"/>
  <c r="AR171" i="1" s="1"/>
  <c r="AR172" i="1" s="1"/>
  <c r="AR173" i="1" s="1"/>
  <c r="AR174" i="1" s="1"/>
  <c r="AR175" i="1" s="1"/>
  <c r="AR176" i="1" s="1"/>
  <c r="AR177" i="1" s="1"/>
  <c r="AR178" i="1" s="1"/>
  <c r="AR179" i="1" s="1"/>
  <c r="AR180" i="1" s="1"/>
  <c r="AR181" i="1" s="1"/>
  <c r="AR182" i="1" s="1"/>
  <c r="AR183" i="1" s="1"/>
  <c r="AR184" i="1" s="1"/>
  <c r="AR185" i="1" s="1"/>
  <c r="AR186" i="1" s="1"/>
  <c r="AR187" i="1" s="1"/>
  <c r="AR188" i="1" s="1"/>
  <c r="AR189" i="1" s="1"/>
  <c r="AR190" i="1" s="1"/>
  <c r="AR191" i="1" s="1"/>
  <c r="AR192" i="1" s="1"/>
  <c r="AR193" i="1" s="1"/>
  <c r="AR194" i="1" s="1"/>
  <c r="AR195" i="1" s="1"/>
  <c r="AR196" i="1" s="1"/>
  <c r="AR197" i="1" s="1"/>
  <c r="AR198" i="1" s="1"/>
  <c r="AR199" i="1" s="1"/>
  <c r="AR200" i="1" s="1"/>
  <c r="AR201" i="1" s="1"/>
  <c r="AR202" i="1" s="1"/>
  <c r="AR203" i="1" s="1"/>
  <c r="AR204" i="1" s="1"/>
  <c r="AR205" i="1" s="1"/>
  <c r="AR206" i="1" s="1"/>
  <c r="AR207" i="1" s="1"/>
  <c r="AR208" i="1" s="1"/>
  <c r="AR209" i="1" s="1"/>
  <c r="AR210" i="1" s="1"/>
  <c r="AR211" i="1" s="1"/>
  <c r="AR212" i="1" s="1"/>
  <c r="AR213" i="1" s="1"/>
  <c r="AR214" i="1" s="1"/>
  <c r="AR215" i="1" s="1"/>
  <c r="AR216" i="1" s="1"/>
  <c r="AR217" i="1" s="1"/>
  <c r="AR218" i="1" s="1"/>
  <c r="AR219" i="1" s="1"/>
  <c r="AR220" i="1" s="1"/>
  <c r="AR221" i="1" s="1"/>
  <c r="AR222" i="1" s="1"/>
  <c r="AR223" i="1" s="1"/>
  <c r="AR224" i="1" s="1"/>
  <c r="AR225" i="1" s="1"/>
  <c r="AR226" i="1" s="1"/>
  <c r="AR227" i="1" s="1"/>
  <c r="AR228" i="1" s="1"/>
  <c r="AR229" i="1" s="1"/>
  <c r="AR230" i="1" s="1"/>
  <c r="AR231" i="1" s="1"/>
  <c r="AR232" i="1" s="1"/>
  <c r="AR233" i="1" s="1"/>
  <c r="AR234" i="1" s="1"/>
  <c r="AR235" i="1" s="1"/>
  <c r="AR236" i="1" s="1"/>
  <c r="AR237" i="1" s="1"/>
  <c r="AR238" i="1" s="1"/>
  <c r="AR239" i="1" s="1"/>
  <c r="AR240" i="1" s="1"/>
  <c r="AR241" i="1" s="1"/>
  <c r="AR242" i="1" s="1"/>
  <c r="AR243" i="1" s="1"/>
  <c r="AR244" i="1" s="1"/>
  <c r="AR245" i="1" s="1"/>
  <c r="AR246" i="1" s="1"/>
  <c r="AR247" i="1" s="1"/>
  <c r="AR248" i="1" s="1"/>
  <c r="AR249" i="1" s="1"/>
  <c r="AR250" i="1" s="1"/>
  <c r="AR251" i="1" s="1"/>
  <c r="AR252" i="1" s="1"/>
  <c r="AR253" i="1" s="1"/>
  <c r="AR254" i="1" s="1"/>
  <c r="AR255" i="1" s="1"/>
  <c r="AR256" i="1" s="1"/>
  <c r="AR257" i="1" s="1"/>
  <c r="AR258" i="1" s="1"/>
  <c r="AR259" i="1" s="1"/>
  <c r="AR260" i="1" s="1"/>
  <c r="AR261" i="1" s="1"/>
  <c r="AR262" i="1" s="1"/>
  <c r="AR263" i="1" s="1"/>
  <c r="AR264" i="1" s="1"/>
  <c r="AR265" i="1" s="1"/>
  <c r="AR266" i="1" s="1"/>
  <c r="AR267" i="1" s="1"/>
  <c r="AR268" i="1" s="1"/>
  <c r="AR269" i="1" s="1"/>
  <c r="AR270" i="1" s="1"/>
  <c r="AR271" i="1" s="1"/>
  <c r="AR272" i="1" s="1"/>
  <c r="AR273" i="1" s="1"/>
  <c r="AR274" i="1" s="1"/>
  <c r="AR275" i="1" s="1"/>
  <c r="AR276" i="1" s="1"/>
  <c r="AR277" i="1" s="1"/>
  <c r="AR278" i="1" s="1"/>
  <c r="AR279" i="1" s="1"/>
  <c r="AR280" i="1" s="1"/>
  <c r="AR281" i="1" s="1"/>
  <c r="AR282" i="1" s="1"/>
  <c r="AR283" i="1" s="1"/>
  <c r="AR284" i="1" s="1"/>
  <c r="AR285" i="1" s="1"/>
  <c r="AR286" i="1" s="1"/>
  <c r="AR287" i="1" s="1"/>
  <c r="AR288" i="1" s="1"/>
  <c r="AR289" i="1" s="1"/>
  <c r="AR290" i="1" s="1"/>
  <c r="AR291" i="1" s="1"/>
  <c r="AR292" i="1" s="1"/>
  <c r="AR293" i="1" s="1"/>
  <c r="AR294" i="1" s="1"/>
  <c r="AR295" i="1" s="1"/>
  <c r="AR296" i="1" s="1"/>
  <c r="AR297" i="1" s="1"/>
  <c r="AR298" i="1" s="1"/>
  <c r="AR299" i="1" s="1"/>
  <c r="AR300" i="1" s="1"/>
  <c r="AR301" i="1" s="1"/>
  <c r="AR302" i="1" s="1"/>
  <c r="AR303" i="1" s="1"/>
  <c r="AR304" i="1" s="1"/>
  <c r="AR305" i="1" s="1"/>
  <c r="AR306" i="1" s="1"/>
  <c r="AR307" i="1" s="1"/>
  <c r="AR308" i="1" s="1"/>
  <c r="AR309" i="1" s="1"/>
  <c r="AR310" i="1" s="1"/>
  <c r="AR311" i="1" s="1"/>
  <c r="AR312" i="1" s="1"/>
  <c r="AR313" i="1" s="1"/>
  <c r="AR314" i="1" s="1"/>
  <c r="AR315" i="1" s="1"/>
  <c r="AR316" i="1" s="1"/>
  <c r="AR317" i="1" s="1"/>
  <c r="AR318" i="1" s="1"/>
  <c r="AR319" i="1" s="1"/>
  <c r="AR320" i="1" s="1"/>
  <c r="AR321" i="1" s="1"/>
  <c r="AR322" i="1" s="1"/>
  <c r="AR323" i="1" s="1"/>
  <c r="AR324" i="1" s="1"/>
  <c r="AR325" i="1" s="1"/>
  <c r="AR326" i="1" s="1"/>
  <c r="AR327" i="1" s="1"/>
  <c r="AR328" i="1" s="1"/>
  <c r="AR329" i="1" s="1"/>
  <c r="AR330" i="1" s="1"/>
  <c r="AR331" i="1" s="1"/>
  <c r="AR332" i="1" s="1"/>
  <c r="AR333" i="1" s="1"/>
  <c r="AR334" i="1" s="1"/>
  <c r="AR335" i="1" s="1"/>
  <c r="AR336" i="1" s="1"/>
  <c r="AR337" i="1" s="1"/>
  <c r="AR338" i="1" s="1"/>
  <c r="AR339" i="1" s="1"/>
  <c r="AR340" i="1" s="1"/>
  <c r="AR341" i="1" s="1"/>
  <c r="AR342" i="1" s="1"/>
  <c r="AR343" i="1" s="1"/>
  <c r="AR344" i="1" s="1"/>
  <c r="AR345" i="1" s="1"/>
  <c r="AR346" i="1" s="1"/>
  <c r="AR347" i="1" s="1"/>
  <c r="AR348" i="1" s="1"/>
  <c r="AR349" i="1" s="1"/>
  <c r="AR350" i="1" s="1"/>
  <c r="AR351" i="1" s="1"/>
  <c r="AR352" i="1" s="1"/>
  <c r="AR353" i="1" s="1"/>
  <c r="AR354" i="1" s="1"/>
  <c r="AR355" i="1" s="1"/>
  <c r="AR356" i="1" s="1"/>
  <c r="AR357" i="1" s="1"/>
  <c r="AR358" i="1" s="1"/>
  <c r="AR359" i="1" s="1"/>
  <c r="AR360" i="1" s="1"/>
  <c r="AR361" i="1" s="1"/>
  <c r="AR362" i="1" s="1"/>
  <c r="AR363" i="1" s="1"/>
  <c r="AR364" i="1" s="1"/>
  <c r="AR365" i="1" s="1"/>
  <c r="AR366" i="1" s="1"/>
  <c r="AR367" i="1" s="1"/>
  <c r="AR368" i="1" s="1"/>
  <c r="AR369" i="1" s="1"/>
  <c r="AR370" i="1" s="1"/>
  <c r="AR371" i="1" s="1"/>
  <c r="AR372" i="1" s="1"/>
  <c r="AR373" i="1" s="1"/>
  <c r="AR374" i="1" s="1"/>
  <c r="AR375" i="1" s="1"/>
  <c r="AR376" i="1" s="1"/>
  <c r="AR377" i="1" s="1"/>
  <c r="AR378" i="1" s="1"/>
  <c r="AR379" i="1" s="1"/>
  <c r="AR380" i="1" s="1"/>
  <c r="AR381" i="1" s="1"/>
  <c r="AR382" i="1" s="1"/>
  <c r="AQ123" i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AQ138" i="1" s="1"/>
  <c r="AQ139" i="1" s="1"/>
  <c r="AQ140" i="1" s="1"/>
  <c r="AQ141" i="1" s="1"/>
  <c r="AQ142" i="1" s="1"/>
  <c r="AQ143" i="1" s="1"/>
  <c r="AQ144" i="1" s="1"/>
  <c r="AQ145" i="1" s="1"/>
  <c r="AQ146" i="1" s="1"/>
  <c r="AQ147" i="1" s="1"/>
  <c r="AQ148" i="1" s="1"/>
  <c r="AQ149" i="1" s="1"/>
  <c r="AQ150" i="1" s="1"/>
  <c r="AQ151" i="1" s="1"/>
  <c r="AQ152" i="1" s="1"/>
  <c r="AQ153" i="1" s="1"/>
  <c r="AQ154" i="1" s="1"/>
  <c r="AQ155" i="1" s="1"/>
  <c r="AQ156" i="1" s="1"/>
  <c r="AQ157" i="1" s="1"/>
  <c r="AQ158" i="1" s="1"/>
  <c r="AQ159" i="1" s="1"/>
  <c r="AQ160" i="1" s="1"/>
  <c r="AQ161" i="1" s="1"/>
  <c r="AQ162" i="1" s="1"/>
  <c r="AQ163" i="1" s="1"/>
  <c r="AQ164" i="1" s="1"/>
  <c r="AQ165" i="1" s="1"/>
  <c r="AQ166" i="1" s="1"/>
  <c r="AQ167" i="1" s="1"/>
  <c r="AQ168" i="1" s="1"/>
  <c r="AQ169" i="1" s="1"/>
  <c r="AQ170" i="1" s="1"/>
  <c r="AQ171" i="1" s="1"/>
  <c r="AQ172" i="1" s="1"/>
  <c r="AQ173" i="1" s="1"/>
  <c r="AQ174" i="1" s="1"/>
  <c r="AQ175" i="1" s="1"/>
  <c r="AQ176" i="1" s="1"/>
  <c r="AQ177" i="1" s="1"/>
  <c r="AQ178" i="1" s="1"/>
  <c r="AQ179" i="1" s="1"/>
  <c r="AQ180" i="1" s="1"/>
  <c r="AQ181" i="1" s="1"/>
  <c r="AQ182" i="1" s="1"/>
  <c r="AQ183" i="1" s="1"/>
  <c r="AQ184" i="1" s="1"/>
  <c r="AQ185" i="1" s="1"/>
  <c r="AQ186" i="1" s="1"/>
  <c r="AQ187" i="1" s="1"/>
  <c r="AQ188" i="1" s="1"/>
  <c r="AQ189" i="1" s="1"/>
  <c r="AQ190" i="1" s="1"/>
  <c r="AQ191" i="1" s="1"/>
  <c r="AQ192" i="1" s="1"/>
  <c r="AQ193" i="1" s="1"/>
  <c r="AQ194" i="1" s="1"/>
  <c r="AQ195" i="1" s="1"/>
  <c r="AQ196" i="1" s="1"/>
  <c r="AQ197" i="1" s="1"/>
  <c r="AQ198" i="1" s="1"/>
  <c r="AQ199" i="1" s="1"/>
  <c r="AQ200" i="1" s="1"/>
  <c r="AQ201" i="1" s="1"/>
  <c r="AQ202" i="1" s="1"/>
  <c r="AQ203" i="1" s="1"/>
  <c r="AQ204" i="1" s="1"/>
  <c r="AQ205" i="1" s="1"/>
  <c r="AQ206" i="1" s="1"/>
  <c r="AQ207" i="1" s="1"/>
  <c r="AQ208" i="1" s="1"/>
  <c r="AQ209" i="1" s="1"/>
  <c r="AQ210" i="1" s="1"/>
  <c r="AQ211" i="1" s="1"/>
  <c r="AQ212" i="1" s="1"/>
  <c r="AQ213" i="1" s="1"/>
  <c r="AQ214" i="1" s="1"/>
  <c r="AQ215" i="1" s="1"/>
  <c r="AQ216" i="1" s="1"/>
  <c r="AQ217" i="1" s="1"/>
  <c r="AQ218" i="1" s="1"/>
  <c r="AQ219" i="1" s="1"/>
  <c r="AQ220" i="1" s="1"/>
  <c r="AQ221" i="1" s="1"/>
  <c r="AQ222" i="1" s="1"/>
  <c r="AQ223" i="1" s="1"/>
  <c r="AQ224" i="1" s="1"/>
  <c r="AQ225" i="1" s="1"/>
  <c r="AQ226" i="1" s="1"/>
  <c r="AQ227" i="1" s="1"/>
  <c r="AQ228" i="1" s="1"/>
  <c r="AQ229" i="1" s="1"/>
  <c r="AQ230" i="1" s="1"/>
  <c r="AQ231" i="1" s="1"/>
  <c r="AQ232" i="1" s="1"/>
  <c r="AQ233" i="1" s="1"/>
  <c r="AQ234" i="1" s="1"/>
  <c r="AQ235" i="1" s="1"/>
  <c r="AQ236" i="1" s="1"/>
  <c r="AQ237" i="1" s="1"/>
  <c r="AQ238" i="1" s="1"/>
  <c r="AQ239" i="1" s="1"/>
  <c r="AQ240" i="1" s="1"/>
  <c r="AQ241" i="1" s="1"/>
  <c r="AQ242" i="1" s="1"/>
  <c r="AQ243" i="1" s="1"/>
  <c r="AQ244" i="1" s="1"/>
  <c r="AQ245" i="1" s="1"/>
  <c r="AQ246" i="1" s="1"/>
  <c r="AQ247" i="1" s="1"/>
  <c r="AQ248" i="1" s="1"/>
  <c r="AQ249" i="1" s="1"/>
  <c r="AQ250" i="1" s="1"/>
  <c r="AQ251" i="1" s="1"/>
  <c r="AQ252" i="1" s="1"/>
  <c r="AQ253" i="1" s="1"/>
  <c r="AQ254" i="1" s="1"/>
  <c r="AQ255" i="1" s="1"/>
  <c r="AQ256" i="1" s="1"/>
  <c r="AQ257" i="1" s="1"/>
  <c r="AQ258" i="1" s="1"/>
  <c r="AQ259" i="1" s="1"/>
  <c r="AQ260" i="1" s="1"/>
  <c r="AQ261" i="1" s="1"/>
  <c r="AQ262" i="1" s="1"/>
  <c r="AQ263" i="1" s="1"/>
  <c r="AQ264" i="1" s="1"/>
  <c r="AQ265" i="1" s="1"/>
  <c r="AQ266" i="1" s="1"/>
  <c r="AQ267" i="1" s="1"/>
  <c r="AQ268" i="1" s="1"/>
  <c r="AQ269" i="1" s="1"/>
  <c r="AQ270" i="1" s="1"/>
  <c r="AQ271" i="1" s="1"/>
  <c r="AQ272" i="1" s="1"/>
  <c r="AQ273" i="1" s="1"/>
  <c r="AQ274" i="1" s="1"/>
  <c r="AQ275" i="1" s="1"/>
  <c r="AQ276" i="1" s="1"/>
  <c r="AQ277" i="1" s="1"/>
  <c r="AQ278" i="1" s="1"/>
  <c r="AQ279" i="1" s="1"/>
  <c r="AQ280" i="1" s="1"/>
  <c r="AQ281" i="1" s="1"/>
  <c r="AQ282" i="1" s="1"/>
  <c r="AQ283" i="1" s="1"/>
  <c r="AQ284" i="1" s="1"/>
  <c r="AQ285" i="1" s="1"/>
  <c r="AQ286" i="1" s="1"/>
  <c r="AQ287" i="1" s="1"/>
  <c r="AQ288" i="1" s="1"/>
  <c r="AQ289" i="1" s="1"/>
  <c r="AQ290" i="1" s="1"/>
  <c r="AQ291" i="1" s="1"/>
  <c r="AQ292" i="1" s="1"/>
  <c r="AQ293" i="1" s="1"/>
  <c r="AQ294" i="1" s="1"/>
  <c r="AQ295" i="1" s="1"/>
  <c r="AQ296" i="1" s="1"/>
  <c r="AQ297" i="1" s="1"/>
  <c r="AQ298" i="1" s="1"/>
  <c r="AQ299" i="1" s="1"/>
  <c r="AQ300" i="1" s="1"/>
  <c r="AQ301" i="1" s="1"/>
  <c r="AQ302" i="1" s="1"/>
  <c r="AQ303" i="1" s="1"/>
  <c r="AQ304" i="1" s="1"/>
  <c r="AQ305" i="1" s="1"/>
  <c r="AQ306" i="1" s="1"/>
  <c r="AQ307" i="1" s="1"/>
  <c r="AQ308" i="1" s="1"/>
  <c r="AQ309" i="1" s="1"/>
  <c r="AQ310" i="1" s="1"/>
  <c r="AQ311" i="1" s="1"/>
  <c r="AQ312" i="1" s="1"/>
  <c r="AQ313" i="1" s="1"/>
  <c r="AQ314" i="1" s="1"/>
  <c r="AQ315" i="1" s="1"/>
  <c r="AQ316" i="1" s="1"/>
  <c r="AQ317" i="1" s="1"/>
  <c r="AQ318" i="1" s="1"/>
  <c r="AQ319" i="1" s="1"/>
  <c r="AQ320" i="1" s="1"/>
  <c r="AQ321" i="1" s="1"/>
  <c r="AQ322" i="1" s="1"/>
  <c r="AQ323" i="1" s="1"/>
  <c r="AQ324" i="1" s="1"/>
  <c r="AQ325" i="1" s="1"/>
  <c r="AQ326" i="1" s="1"/>
  <c r="AQ327" i="1" s="1"/>
  <c r="AQ328" i="1" s="1"/>
  <c r="AQ329" i="1" s="1"/>
  <c r="AQ330" i="1" s="1"/>
  <c r="AQ331" i="1" s="1"/>
  <c r="AQ332" i="1" s="1"/>
  <c r="AQ333" i="1" s="1"/>
  <c r="AQ334" i="1" s="1"/>
  <c r="AQ335" i="1" s="1"/>
  <c r="AQ336" i="1" s="1"/>
  <c r="AQ337" i="1" s="1"/>
  <c r="AQ338" i="1" s="1"/>
  <c r="AQ339" i="1" s="1"/>
  <c r="AQ340" i="1" s="1"/>
  <c r="AQ341" i="1" s="1"/>
  <c r="AQ342" i="1" s="1"/>
  <c r="AQ343" i="1" s="1"/>
  <c r="AQ344" i="1" s="1"/>
  <c r="AQ345" i="1" s="1"/>
  <c r="AQ346" i="1" s="1"/>
  <c r="AQ347" i="1" s="1"/>
  <c r="AQ348" i="1" s="1"/>
  <c r="AQ349" i="1" s="1"/>
  <c r="AQ350" i="1" s="1"/>
  <c r="AQ351" i="1" s="1"/>
  <c r="AQ352" i="1" s="1"/>
  <c r="AQ353" i="1" s="1"/>
  <c r="AQ354" i="1" s="1"/>
  <c r="AQ355" i="1" s="1"/>
  <c r="AQ356" i="1" s="1"/>
  <c r="AQ357" i="1" s="1"/>
  <c r="AQ358" i="1" s="1"/>
  <c r="AQ359" i="1" s="1"/>
  <c r="AQ360" i="1" s="1"/>
  <c r="AQ361" i="1" s="1"/>
  <c r="AQ362" i="1" s="1"/>
  <c r="AQ363" i="1" s="1"/>
  <c r="AQ364" i="1" s="1"/>
  <c r="AQ365" i="1" s="1"/>
  <c r="AQ366" i="1" s="1"/>
  <c r="AQ367" i="1" s="1"/>
  <c r="AQ368" i="1" s="1"/>
  <c r="AQ369" i="1" s="1"/>
  <c r="AQ370" i="1" s="1"/>
  <c r="AQ371" i="1" s="1"/>
  <c r="AQ372" i="1" s="1"/>
  <c r="AQ373" i="1" s="1"/>
  <c r="AQ374" i="1" s="1"/>
  <c r="AQ375" i="1" s="1"/>
  <c r="AQ376" i="1" s="1"/>
  <c r="AQ377" i="1" s="1"/>
  <c r="AQ378" i="1" s="1"/>
  <c r="AQ379" i="1" s="1"/>
  <c r="AQ380" i="1" s="1"/>
  <c r="AQ381" i="1" s="1"/>
  <c r="AQ382" i="1" s="1"/>
  <c r="AP123" i="1"/>
  <c r="AP122" i="1"/>
  <c r="AS121" i="1"/>
  <c r="AM121" i="1"/>
  <c r="AL121" i="1"/>
  <c r="BB121" i="1" s="1"/>
  <c r="AK121" i="1"/>
  <c r="BA121" i="1" s="1"/>
  <c r="AJ121" i="1"/>
  <c r="AZ121" i="1" s="1"/>
  <c r="AI121" i="1"/>
  <c r="AY121" i="1" s="1"/>
  <c r="AH121" i="1"/>
  <c r="AX121" i="1" s="1"/>
  <c r="AG121" i="1"/>
  <c r="AW121" i="1" s="1"/>
  <c r="AF121" i="1"/>
  <c r="AV121" i="1" s="1"/>
  <c r="AE121" i="1"/>
  <c r="AU121" i="1" s="1"/>
  <c r="AD121" i="1"/>
  <c r="AT121" i="1" s="1"/>
  <c r="AC121" i="1"/>
  <c r="AB121" i="1"/>
  <c r="AR121" i="1" s="1"/>
  <c r="AA121" i="1"/>
  <c r="AQ121" i="1" s="1"/>
  <c r="A2" i="7"/>
  <c r="A2" i="5"/>
  <c r="BD124" i="1" l="1"/>
  <c r="BD125" i="1" s="1"/>
  <c r="BD126" i="1" s="1"/>
  <c r="BD127" i="1" s="1"/>
  <c r="BD128" i="1"/>
  <c r="BD129" i="1" s="1"/>
  <c r="BD130" i="1" s="1"/>
  <c r="BD131" i="1" s="1"/>
  <c r="BD132" i="1" s="1"/>
  <c r="BD133" i="1" s="1"/>
  <c r="BD134" i="1" s="1"/>
  <c r="BD135" i="1" s="1"/>
  <c r="BD136" i="1" s="1"/>
  <c r="BD137" i="1" s="1"/>
  <c r="BD138" i="1" s="1"/>
  <c r="BD139" i="1" s="1"/>
  <c r="BD140" i="1" s="1"/>
  <c r="BD141" i="1" s="1"/>
  <c r="BD142" i="1" s="1"/>
  <c r="BD143" i="1" s="1"/>
  <c r="BD144" i="1" s="1"/>
  <c r="BD145" i="1" s="1"/>
  <c r="BD146" i="1" s="1"/>
  <c r="BD147" i="1" s="1"/>
  <c r="BD148" i="1" s="1"/>
  <c r="BD149" i="1" s="1"/>
  <c r="BD150" i="1" s="1"/>
  <c r="BD151" i="1" s="1"/>
  <c r="BD152" i="1" s="1"/>
  <c r="BD153" i="1" s="1"/>
  <c r="BD154" i="1" s="1"/>
  <c r="BD155" i="1" s="1"/>
  <c r="BD156" i="1" s="1"/>
  <c r="BD157" i="1" s="1"/>
  <c r="BD158" i="1" s="1"/>
  <c r="BD159" i="1" s="1"/>
  <c r="BD160" i="1" s="1"/>
  <c r="BD161" i="1" s="1"/>
  <c r="BD162" i="1" s="1"/>
  <c r="BD163" i="1" s="1"/>
  <c r="BD164" i="1" s="1"/>
  <c r="BD165" i="1" s="1"/>
  <c r="BD166" i="1" s="1"/>
  <c r="BD167" i="1" s="1"/>
  <c r="BD168" i="1" s="1"/>
  <c r="BD169" i="1" s="1"/>
  <c r="BD170" i="1" s="1"/>
  <c r="BD171" i="1" s="1"/>
  <c r="BD172" i="1" s="1"/>
  <c r="BD173" i="1" s="1"/>
  <c r="BD174" i="1" s="1"/>
  <c r="BD175" i="1" s="1"/>
  <c r="BD176" i="1" s="1"/>
  <c r="BD177" i="1" s="1"/>
  <c r="BD178" i="1" s="1"/>
  <c r="BD179" i="1" s="1"/>
  <c r="BD180" i="1" s="1"/>
  <c r="BD181" i="1" s="1"/>
  <c r="BD182" i="1" s="1"/>
  <c r="BD183" i="1" s="1"/>
  <c r="BD184" i="1" s="1"/>
  <c r="BD185" i="1" s="1"/>
  <c r="BD186" i="1" s="1"/>
  <c r="BD187" i="1" s="1"/>
  <c r="BD188" i="1" s="1"/>
  <c r="BD189" i="1" s="1"/>
  <c r="BD190" i="1" s="1"/>
  <c r="BD191" i="1" s="1"/>
  <c r="BD192" i="1" s="1"/>
  <c r="BD193" i="1" s="1"/>
  <c r="BD194" i="1" s="1"/>
  <c r="BD195" i="1" s="1"/>
  <c r="BD196" i="1" s="1"/>
  <c r="BD197" i="1" s="1"/>
  <c r="BD198" i="1" s="1"/>
  <c r="BD199" i="1" s="1"/>
  <c r="BD200" i="1" s="1"/>
  <c r="BD201" i="1" s="1"/>
  <c r="BD202" i="1" s="1"/>
  <c r="BD203" i="1" s="1"/>
  <c r="BD204" i="1" s="1"/>
  <c r="BD205" i="1" s="1"/>
  <c r="BD206" i="1" s="1"/>
  <c r="BD207" i="1" s="1"/>
  <c r="BD208" i="1" s="1"/>
  <c r="BD209" i="1" s="1"/>
  <c r="BD210" i="1" s="1"/>
  <c r="BD211" i="1" s="1"/>
  <c r="BD212" i="1" s="1"/>
  <c r="BD213" i="1" s="1"/>
  <c r="BD214" i="1" s="1"/>
  <c r="BD215" i="1" s="1"/>
  <c r="BD216" i="1" s="1"/>
  <c r="BD217" i="1" s="1"/>
  <c r="BD218" i="1" s="1"/>
  <c r="BD219" i="1" s="1"/>
  <c r="BD220" i="1" s="1"/>
  <c r="BD221" i="1" s="1"/>
  <c r="BD222" i="1" s="1"/>
  <c r="BD223" i="1" s="1"/>
  <c r="BD224" i="1" s="1"/>
  <c r="BD225" i="1" s="1"/>
  <c r="BD226" i="1" s="1"/>
  <c r="BD227" i="1" s="1"/>
  <c r="BD228" i="1" s="1"/>
  <c r="BD229" i="1" s="1"/>
  <c r="BD230" i="1" s="1"/>
  <c r="BD231" i="1" s="1"/>
  <c r="BD232" i="1" s="1"/>
  <c r="BD233" i="1" s="1"/>
  <c r="BD234" i="1" s="1"/>
  <c r="BD235" i="1" s="1"/>
  <c r="BD236" i="1" s="1"/>
  <c r="BD237" i="1" s="1"/>
  <c r="BD238" i="1" s="1"/>
  <c r="BD239" i="1" s="1"/>
  <c r="BD240" i="1" s="1"/>
  <c r="BD241" i="1" s="1"/>
  <c r="BD242" i="1" s="1"/>
  <c r="BD243" i="1" s="1"/>
  <c r="BD244" i="1" s="1"/>
  <c r="BD245" i="1" s="1"/>
  <c r="BD246" i="1" s="1"/>
  <c r="BD247" i="1" s="1"/>
  <c r="BD248" i="1" s="1"/>
  <c r="BD249" i="1" s="1"/>
  <c r="BD250" i="1" s="1"/>
  <c r="BD251" i="1" s="1"/>
  <c r="BD252" i="1" s="1"/>
  <c r="BD253" i="1" s="1"/>
  <c r="BD254" i="1" s="1"/>
  <c r="BD255" i="1" s="1"/>
  <c r="BD256" i="1" s="1"/>
  <c r="BD257" i="1" s="1"/>
  <c r="BD258" i="1" s="1"/>
  <c r="BD259" i="1" s="1"/>
  <c r="BD260" i="1" s="1"/>
  <c r="BD261" i="1" s="1"/>
  <c r="BD262" i="1" s="1"/>
  <c r="BD263" i="1" s="1"/>
  <c r="BD264" i="1" s="1"/>
  <c r="BD265" i="1" s="1"/>
  <c r="BD266" i="1" s="1"/>
  <c r="BD267" i="1" s="1"/>
  <c r="BD268" i="1" s="1"/>
  <c r="BD269" i="1" s="1"/>
  <c r="BD270" i="1" s="1"/>
  <c r="BD271" i="1" s="1"/>
  <c r="BD272" i="1" s="1"/>
  <c r="BD273" i="1" s="1"/>
  <c r="BD274" i="1" s="1"/>
  <c r="BD275" i="1" s="1"/>
  <c r="BD276" i="1" s="1"/>
  <c r="BD277" i="1" s="1"/>
  <c r="BD278" i="1" s="1"/>
  <c r="BD279" i="1" s="1"/>
  <c r="BD280" i="1" s="1"/>
  <c r="BD281" i="1" s="1"/>
  <c r="BD282" i="1" s="1"/>
  <c r="BD283" i="1" s="1"/>
  <c r="BD284" i="1" s="1"/>
  <c r="BD285" i="1" s="1"/>
  <c r="BD286" i="1" s="1"/>
  <c r="BD287" i="1" s="1"/>
  <c r="BD288" i="1" s="1"/>
  <c r="BD289" i="1" s="1"/>
  <c r="BD290" i="1" s="1"/>
  <c r="BD291" i="1" s="1"/>
  <c r="BD292" i="1" s="1"/>
  <c r="BD293" i="1" s="1"/>
  <c r="BD294" i="1" s="1"/>
  <c r="BD295" i="1" s="1"/>
  <c r="BD296" i="1" s="1"/>
  <c r="BD297" i="1" s="1"/>
  <c r="BD298" i="1" s="1"/>
  <c r="BD299" i="1" s="1"/>
  <c r="BD300" i="1" s="1"/>
  <c r="BD301" i="1" s="1"/>
  <c r="BD302" i="1" s="1"/>
  <c r="BD303" i="1" s="1"/>
  <c r="BD304" i="1" s="1"/>
  <c r="BD305" i="1" s="1"/>
  <c r="BD306" i="1" s="1"/>
  <c r="BD307" i="1" s="1"/>
  <c r="BD308" i="1" s="1"/>
  <c r="BD309" i="1" s="1"/>
  <c r="BD310" i="1" s="1"/>
  <c r="BD311" i="1" s="1"/>
  <c r="BD312" i="1" s="1"/>
  <c r="BD313" i="1" s="1"/>
  <c r="BD314" i="1" s="1"/>
  <c r="BD315" i="1" s="1"/>
  <c r="BD316" i="1" s="1"/>
  <c r="BD317" i="1" s="1"/>
  <c r="BD318" i="1" s="1"/>
  <c r="BD319" i="1" s="1"/>
  <c r="BD320" i="1" s="1"/>
  <c r="BD321" i="1" s="1"/>
  <c r="BD322" i="1" s="1"/>
  <c r="BD323" i="1" s="1"/>
  <c r="BD324" i="1" s="1"/>
  <c r="BD325" i="1" s="1"/>
  <c r="BD326" i="1" s="1"/>
  <c r="BD327" i="1" s="1"/>
  <c r="BD328" i="1" s="1"/>
  <c r="BD329" i="1" s="1"/>
  <c r="BD330" i="1" s="1"/>
  <c r="BD331" i="1" s="1"/>
  <c r="BD332" i="1" s="1"/>
  <c r="BD333" i="1" s="1"/>
  <c r="BD334" i="1" s="1"/>
  <c r="BD335" i="1" s="1"/>
  <c r="BD336" i="1" s="1"/>
  <c r="BD337" i="1" s="1"/>
  <c r="BD338" i="1" s="1"/>
  <c r="BD339" i="1" s="1"/>
  <c r="BD340" i="1" s="1"/>
  <c r="BD341" i="1" s="1"/>
  <c r="BD342" i="1" s="1"/>
  <c r="BD343" i="1" s="1"/>
  <c r="BD344" i="1" s="1"/>
  <c r="BD345" i="1" s="1"/>
  <c r="BD346" i="1" s="1"/>
  <c r="BD347" i="1" s="1"/>
  <c r="BD348" i="1" s="1"/>
  <c r="BD349" i="1" s="1"/>
  <c r="BD350" i="1" s="1"/>
  <c r="BD351" i="1" s="1"/>
  <c r="BD352" i="1" s="1"/>
  <c r="BD353" i="1" s="1"/>
  <c r="BD354" i="1" s="1"/>
  <c r="BD355" i="1" s="1"/>
  <c r="BD356" i="1" s="1"/>
  <c r="BD357" i="1" s="1"/>
  <c r="BD358" i="1" s="1"/>
  <c r="BD359" i="1" s="1"/>
  <c r="BD360" i="1" s="1"/>
  <c r="BD361" i="1" s="1"/>
  <c r="BD362" i="1" s="1"/>
  <c r="BD363" i="1" s="1"/>
  <c r="BD364" i="1" s="1"/>
  <c r="BD365" i="1" s="1"/>
  <c r="BD366" i="1" s="1"/>
  <c r="BD367" i="1" s="1"/>
  <c r="BD368" i="1" s="1"/>
  <c r="BD369" i="1" s="1"/>
  <c r="BD370" i="1" s="1"/>
  <c r="BD371" i="1" s="1"/>
  <c r="BD372" i="1" s="1"/>
  <c r="BD373" i="1" s="1"/>
  <c r="BD374" i="1" s="1"/>
  <c r="BD375" i="1" s="1"/>
  <c r="BD376" i="1" s="1"/>
  <c r="BD377" i="1" s="1"/>
  <c r="BD378" i="1" s="1"/>
  <c r="BD379" i="1" s="1"/>
  <c r="BD380" i="1" s="1"/>
  <c r="BD381" i="1" s="1"/>
  <c r="BD382" i="1" s="1"/>
</calcChain>
</file>

<file path=xl/sharedStrings.xml><?xml version="1.0" encoding="utf-8"?>
<sst xmlns="http://schemas.openxmlformats.org/spreadsheetml/2006/main" count="18449" uniqueCount="36">
  <si>
    <t>location</t>
  </si>
  <si>
    <t>name</t>
  </si>
  <si>
    <t>freq</t>
  </si>
  <si>
    <t>weighting</t>
  </si>
  <si>
    <t>n_factors</t>
  </si>
  <si>
    <t>date</t>
  </si>
  <si>
    <t>ret</t>
  </si>
  <si>
    <t>bra</t>
  </si>
  <si>
    <t>accruals</t>
  </si>
  <si>
    <t>monthly</t>
  </si>
  <si>
    <t>vw_cap</t>
  </si>
  <si>
    <t>debt_issuance</t>
  </si>
  <si>
    <t>investment</t>
  </si>
  <si>
    <t>low_leverage</t>
  </si>
  <si>
    <t>low_risk</t>
  </si>
  <si>
    <t>momentum</t>
  </si>
  <si>
    <t>profit_growth</t>
  </si>
  <si>
    <t>profitability</t>
  </si>
  <si>
    <t>quality</t>
  </si>
  <si>
    <t>seasonality</t>
  </si>
  <si>
    <t>short_term_reversal</t>
  </si>
  <si>
    <t>size</t>
  </si>
  <si>
    <t>value</t>
  </si>
  <si>
    <t>Row Labels</t>
  </si>
  <si>
    <t>Grand Total</t>
  </si>
  <si>
    <t>Column Labels</t>
  </si>
  <si>
    <t>Sum of ret</t>
  </si>
  <si>
    <t>ret_3_1</t>
  </si>
  <si>
    <t>ret_6_1</t>
  </si>
  <si>
    <t>ret_9_1</t>
  </si>
  <si>
    <t>ret_12_1</t>
  </si>
  <si>
    <t>ret_12_7</t>
  </si>
  <si>
    <t>Dates</t>
  </si>
  <si>
    <t>EWZ US Equity</t>
  </si>
  <si>
    <t>EWZ</t>
  </si>
  <si>
    <t>BRL Curncy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</si>
</sst>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11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14" fontId="0" fillId="33" borderId="0" xfId="0" applyNumberFormat="1" applyFill="1" applyAlignment="1">
      <alignment horizontal="left"/>
    </xf>
    <xf numFmtId="10" fontId="0" fillId="0" borderId="0" xfId="0" applyNumberFormat="1"/>
    <xf numFmtId="17" fontId="0" fillId="0" borderId="0" xfId="0" applyNumberFormat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14" formatCode="0.00%"/>
    </dxf>
    <dxf>
      <numFmt numFmtId="14" formatCode="0.00%"/>
    </dxf>
    <dxf>
      <numFmt numFmtId="14" formatCode="0.00%"/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BDH|17118742674848830605</stp>
        <tr r="A2" s="5"/>
      </tp>
    </main>
    <main first="bofaddin.rtdserver">
      <tp t="s">
        <v>#N/A N/A</v>
        <stp/>
        <stp>BDH|5445387483302575781</stp>
        <tr r="A2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5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Retorno de Factores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All_factors!$AQ$121</c:f>
              <c:strCache>
                <c:ptCount val="1"/>
                <c:pt idx="0">
                  <c:v>accruals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All_factors!$AQ$122:$AQ$382</c:f>
              <c:numCache>
                <c:formatCode>General</c:formatCode>
                <c:ptCount val="261"/>
                <c:pt idx="0">
                  <c:v>100</c:v>
                </c:pt>
                <c:pt idx="1">
                  <c:v>96.280395418043383</c:v>
                </c:pt>
                <c:pt idx="2">
                  <c:v>101.92396186427369</c:v>
                </c:pt>
                <c:pt idx="3">
                  <c:v>99.448962939160921</c:v>
                </c:pt>
                <c:pt idx="4">
                  <c:v>99.746390266166102</c:v>
                </c:pt>
                <c:pt idx="5">
                  <c:v>101.1819012814355</c:v>
                </c:pt>
                <c:pt idx="6">
                  <c:v>94.695613345343318</c:v>
                </c:pt>
                <c:pt idx="7">
                  <c:v>99.170885548715361</c:v>
                </c:pt>
                <c:pt idx="8">
                  <c:v>98.160184654030701</c:v>
                </c:pt>
                <c:pt idx="9">
                  <c:v>99.641517242364145</c:v>
                </c:pt>
                <c:pt idx="10">
                  <c:v>103.33357946440428</c:v>
                </c:pt>
                <c:pt idx="11">
                  <c:v>100.74766538209454</c:v>
                </c:pt>
                <c:pt idx="12">
                  <c:v>102.961287112587</c:v>
                </c:pt>
                <c:pt idx="13">
                  <c:v>104.57868307214247</c:v>
                </c:pt>
                <c:pt idx="14">
                  <c:v>106.84617791805896</c:v>
                </c:pt>
                <c:pt idx="15">
                  <c:v>106.72793356041173</c:v>
                </c:pt>
                <c:pt idx="16">
                  <c:v>112.39095925465192</c:v>
                </c:pt>
                <c:pt idx="17">
                  <c:v>111.13090496039682</c:v>
                </c:pt>
                <c:pt idx="18">
                  <c:v>109.69583790558764</c:v>
                </c:pt>
                <c:pt idx="19">
                  <c:v>117.67250276794191</c:v>
                </c:pt>
                <c:pt idx="20">
                  <c:v>99.462671998820852</c:v>
                </c:pt>
                <c:pt idx="21">
                  <c:v>95.949305999750095</c:v>
                </c:pt>
                <c:pt idx="22">
                  <c:v>89.220895542373299</c:v>
                </c:pt>
                <c:pt idx="23">
                  <c:v>85.706989733006765</c:v>
                </c:pt>
                <c:pt idx="24">
                  <c:v>79.659496033330811</c:v>
                </c:pt>
                <c:pt idx="25">
                  <c:v>83.404852065243318</c:v>
                </c:pt>
                <c:pt idx="26">
                  <c:v>84.334801975181421</c:v>
                </c:pt>
                <c:pt idx="27">
                  <c:v>85.129872654048938</c:v>
                </c:pt>
                <c:pt idx="28">
                  <c:v>87.802984231597208</c:v>
                </c:pt>
                <c:pt idx="29">
                  <c:v>89.092663876588304</c:v>
                </c:pt>
                <c:pt idx="30">
                  <c:v>89.087136180504245</c:v>
                </c:pt>
                <c:pt idx="31">
                  <c:v>90.497106270712763</c:v>
                </c:pt>
                <c:pt idx="32">
                  <c:v>89.318189125121648</c:v>
                </c:pt>
                <c:pt idx="33">
                  <c:v>88.29390004163497</c:v>
                </c:pt>
                <c:pt idx="34">
                  <c:v>86.967030179456387</c:v>
                </c:pt>
                <c:pt idx="35">
                  <c:v>87.335252228844851</c:v>
                </c:pt>
                <c:pt idx="36">
                  <c:v>87.316900895752838</c:v>
                </c:pt>
                <c:pt idx="37">
                  <c:v>88.180232215492723</c:v>
                </c:pt>
                <c:pt idx="38">
                  <c:v>88.77785591681311</c:v>
                </c:pt>
                <c:pt idx="39">
                  <c:v>89.330769103099598</c:v>
                </c:pt>
                <c:pt idx="40">
                  <c:v>88.732968968606016</c:v>
                </c:pt>
                <c:pt idx="41">
                  <c:v>85.416603390781717</c:v>
                </c:pt>
                <c:pt idx="42">
                  <c:v>79.358804326884638</c:v>
                </c:pt>
                <c:pt idx="43">
                  <c:v>80.107619223953776</c:v>
                </c:pt>
                <c:pt idx="44">
                  <c:v>75.577741204214547</c:v>
                </c:pt>
                <c:pt idx="45">
                  <c:v>74.448848978804463</c:v>
                </c:pt>
                <c:pt idx="46">
                  <c:v>74.844773196995234</c:v>
                </c:pt>
                <c:pt idx="47">
                  <c:v>75.65463159532564</c:v>
                </c:pt>
                <c:pt idx="48">
                  <c:v>79.049634306269539</c:v>
                </c:pt>
                <c:pt idx="49">
                  <c:v>77.136559962896456</c:v>
                </c:pt>
                <c:pt idx="50">
                  <c:v>77.678177588136947</c:v>
                </c:pt>
                <c:pt idx="51">
                  <c:v>75.014059954340453</c:v>
                </c:pt>
                <c:pt idx="52">
                  <c:v>76.884075523378627</c:v>
                </c:pt>
                <c:pt idx="53">
                  <c:v>75.505727240871423</c:v>
                </c:pt>
                <c:pt idx="54">
                  <c:v>77.264438464019108</c:v>
                </c:pt>
                <c:pt idx="55">
                  <c:v>81.806751165269205</c:v>
                </c:pt>
                <c:pt idx="56">
                  <c:v>85.289275335667341</c:v>
                </c:pt>
                <c:pt idx="57">
                  <c:v>86.911769313827733</c:v>
                </c:pt>
                <c:pt idx="58">
                  <c:v>83.030081526343395</c:v>
                </c:pt>
                <c:pt idx="59">
                  <c:v>86.601530202367414</c:v>
                </c:pt>
                <c:pt idx="60">
                  <c:v>85.517522321753276</c:v>
                </c:pt>
                <c:pt idx="61">
                  <c:v>86.00903934984261</c:v>
                </c:pt>
                <c:pt idx="62">
                  <c:v>87.442164044520268</c:v>
                </c:pt>
                <c:pt idx="63">
                  <c:v>83.223435398241719</c:v>
                </c:pt>
                <c:pt idx="64">
                  <c:v>83.951248105258216</c:v>
                </c:pt>
                <c:pt idx="65">
                  <c:v>84.018577609677962</c:v>
                </c:pt>
                <c:pt idx="66">
                  <c:v>81.602444131341841</c:v>
                </c:pt>
                <c:pt idx="67">
                  <c:v>81.201823970073079</c:v>
                </c:pt>
                <c:pt idx="68">
                  <c:v>81.773340379719627</c:v>
                </c:pt>
                <c:pt idx="69">
                  <c:v>95.048483952645952</c:v>
                </c:pt>
                <c:pt idx="70">
                  <c:v>92.774348429349374</c:v>
                </c:pt>
                <c:pt idx="71">
                  <c:v>89.441377727058168</c:v>
                </c:pt>
                <c:pt idx="72">
                  <c:v>89.886331969155236</c:v>
                </c:pt>
                <c:pt idx="73">
                  <c:v>89.379581501380713</c:v>
                </c:pt>
                <c:pt idx="74">
                  <c:v>90.384426231866328</c:v>
                </c:pt>
                <c:pt idx="75">
                  <c:v>89.007673178851817</c:v>
                </c:pt>
                <c:pt idx="76">
                  <c:v>89.95808200520996</c:v>
                </c:pt>
                <c:pt idx="77">
                  <c:v>88.954025554858063</c:v>
                </c:pt>
                <c:pt idx="78">
                  <c:v>89.778587425662181</c:v>
                </c:pt>
                <c:pt idx="79">
                  <c:v>91.257191058580801</c:v>
                </c:pt>
                <c:pt idx="80">
                  <c:v>94.466127161706524</c:v>
                </c:pt>
                <c:pt idx="81">
                  <c:v>96.555890347292049</c:v>
                </c:pt>
                <c:pt idx="82">
                  <c:v>95.563949668544936</c:v>
                </c:pt>
                <c:pt idx="83">
                  <c:v>95.350473904478207</c:v>
                </c:pt>
                <c:pt idx="84">
                  <c:v>96.567857436191048</c:v>
                </c:pt>
                <c:pt idx="85">
                  <c:v>96.796200772479565</c:v>
                </c:pt>
                <c:pt idx="86">
                  <c:v>97.132712312781436</c:v>
                </c:pt>
                <c:pt idx="87">
                  <c:v>97.142974184782958</c:v>
                </c:pt>
                <c:pt idx="88">
                  <c:v>99.809820041989354</c:v>
                </c:pt>
                <c:pt idx="89">
                  <c:v>105.12723433209487</c:v>
                </c:pt>
                <c:pt idx="90">
                  <c:v>96.762887719775307</c:v>
                </c:pt>
                <c:pt idx="91">
                  <c:v>97.650838079614658</c:v>
                </c:pt>
                <c:pt idx="92">
                  <c:v>100.89808218284122</c:v>
                </c:pt>
                <c:pt idx="93">
                  <c:v>95.213410907469168</c:v>
                </c:pt>
                <c:pt idx="94">
                  <c:v>95.348452493812829</c:v>
                </c:pt>
                <c:pt idx="95">
                  <c:v>96.479834342217231</c:v>
                </c:pt>
                <c:pt idx="96">
                  <c:v>96.030034981649607</c:v>
                </c:pt>
                <c:pt idx="97">
                  <c:v>94.043252378099581</c:v>
                </c:pt>
                <c:pt idx="98">
                  <c:v>92.74193790637193</c:v>
                </c:pt>
                <c:pt idx="99">
                  <c:v>90.732565357858206</c:v>
                </c:pt>
                <c:pt idx="100">
                  <c:v>90.403168977027306</c:v>
                </c:pt>
                <c:pt idx="101">
                  <c:v>89.51859920418606</c:v>
                </c:pt>
                <c:pt idx="102">
                  <c:v>89.034932877246646</c:v>
                </c:pt>
                <c:pt idx="103">
                  <c:v>87.296191342980052</c:v>
                </c:pt>
                <c:pt idx="104">
                  <c:v>89.660096086191615</c:v>
                </c:pt>
                <c:pt idx="105">
                  <c:v>91.455444196453328</c:v>
                </c:pt>
                <c:pt idx="106">
                  <c:v>88.787508743575685</c:v>
                </c:pt>
                <c:pt idx="107">
                  <c:v>88.085912213347214</c:v>
                </c:pt>
                <c:pt idx="108">
                  <c:v>86.656502494691978</c:v>
                </c:pt>
                <c:pt idx="109">
                  <c:v>86.891517221744181</c:v>
                </c:pt>
                <c:pt idx="110">
                  <c:v>87.800740110874642</c:v>
                </c:pt>
                <c:pt idx="111">
                  <c:v>87.555566865077935</c:v>
                </c:pt>
                <c:pt idx="112">
                  <c:v>91.682518394389447</c:v>
                </c:pt>
                <c:pt idx="113">
                  <c:v>89.793617278327261</c:v>
                </c:pt>
                <c:pt idx="114">
                  <c:v>91.362755713119398</c:v>
                </c:pt>
                <c:pt idx="115">
                  <c:v>92.266275640336076</c:v>
                </c:pt>
                <c:pt idx="116">
                  <c:v>92.745772390953022</c:v>
                </c:pt>
                <c:pt idx="117">
                  <c:v>96.84921448006331</c:v>
                </c:pt>
                <c:pt idx="118">
                  <c:v>96.461606295206622</c:v>
                </c:pt>
                <c:pt idx="119">
                  <c:v>94.101647040239158</c:v>
                </c:pt>
                <c:pt idx="120">
                  <c:v>93.469600133358838</c:v>
                </c:pt>
                <c:pt idx="121">
                  <c:v>91.16510539883781</c:v>
                </c:pt>
                <c:pt idx="122">
                  <c:v>89.839138542639745</c:v>
                </c:pt>
                <c:pt idx="123">
                  <c:v>91.684273561826942</c:v>
                </c:pt>
                <c:pt idx="124">
                  <c:v>94.684776082471785</c:v>
                </c:pt>
                <c:pt idx="125">
                  <c:v>94.134238101503854</c:v>
                </c:pt>
                <c:pt idx="126">
                  <c:v>94.403695864329137</c:v>
                </c:pt>
                <c:pt idx="127">
                  <c:v>93.492488232600166</c:v>
                </c:pt>
                <c:pt idx="128">
                  <c:v>94.319728130898199</c:v>
                </c:pt>
                <c:pt idx="129">
                  <c:v>100.54776010825437</c:v>
                </c:pt>
                <c:pt idx="130">
                  <c:v>100.47273324815741</c:v>
                </c:pt>
                <c:pt idx="131">
                  <c:v>98.7882472320847</c:v>
                </c:pt>
                <c:pt idx="132">
                  <c:v>96.344860376460858</c:v>
                </c:pt>
                <c:pt idx="133">
                  <c:v>96.125175273878895</c:v>
                </c:pt>
                <c:pt idx="134">
                  <c:v>96.040778570885337</c:v>
                </c:pt>
                <c:pt idx="135">
                  <c:v>96.868594654381198</c:v>
                </c:pt>
                <c:pt idx="136">
                  <c:v>101.89015888527776</c:v>
                </c:pt>
                <c:pt idx="137">
                  <c:v>109.07310367068187</c:v>
                </c:pt>
                <c:pt idx="138">
                  <c:v>100.83907822583066</c:v>
                </c:pt>
                <c:pt idx="139">
                  <c:v>97.855017643149381</c:v>
                </c:pt>
                <c:pt idx="140">
                  <c:v>98.372266136877926</c:v>
                </c:pt>
                <c:pt idx="141">
                  <c:v>94.374325067531061</c:v>
                </c:pt>
                <c:pt idx="142">
                  <c:v>94.054170036075377</c:v>
                </c:pt>
                <c:pt idx="143">
                  <c:v>85.465962345951425</c:v>
                </c:pt>
                <c:pt idx="144">
                  <c:v>79.843801474969737</c:v>
                </c:pt>
                <c:pt idx="145">
                  <c:v>79.830287552601206</c:v>
                </c:pt>
                <c:pt idx="146">
                  <c:v>77.412880123756707</c:v>
                </c:pt>
                <c:pt idx="147">
                  <c:v>76.168009994161849</c:v>
                </c:pt>
                <c:pt idx="148">
                  <c:v>77.608993331321813</c:v>
                </c:pt>
                <c:pt idx="149">
                  <c:v>74.94703146233141</c:v>
                </c:pt>
                <c:pt idx="150">
                  <c:v>76.371350815964462</c:v>
                </c:pt>
                <c:pt idx="151">
                  <c:v>78.389700687181104</c:v>
                </c:pt>
                <c:pt idx="152">
                  <c:v>80.514518355768615</c:v>
                </c:pt>
                <c:pt idx="153">
                  <c:v>81.889427987574351</c:v>
                </c:pt>
                <c:pt idx="154">
                  <c:v>85.348430812184262</c:v>
                </c:pt>
                <c:pt idx="155">
                  <c:v>83.792522237994874</c:v>
                </c:pt>
                <c:pt idx="156">
                  <c:v>81.472479855184361</c:v>
                </c:pt>
                <c:pt idx="157">
                  <c:v>81.142728489559573</c:v>
                </c:pt>
                <c:pt idx="158">
                  <c:v>79.031780294098695</c:v>
                </c:pt>
                <c:pt idx="159">
                  <c:v>79.560507223789457</c:v>
                </c:pt>
                <c:pt idx="160">
                  <c:v>78.659671849930817</c:v>
                </c:pt>
                <c:pt idx="161">
                  <c:v>77.118679902077957</c:v>
                </c:pt>
                <c:pt idx="162">
                  <c:v>80.436929383083424</c:v>
                </c:pt>
                <c:pt idx="163">
                  <c:v>75.641765621686375</c:v>
                </c:pt>
                <c:pt idx="164">
                  <c:v>74.035999819556395</c:v>
                </c:pt>
                <c:pt idx="165">
                  <c:v>74.489154805373914</c:v>
                </c:pt>
                <c:pt idx="166">
                  <c:v>77.311401279194229</c:v>
                </c:pt>
                <c:pt idx="167">
                  <c:v>81.656005363975694</c:v>
                </c:pt>
                <c:pt idx="168">
                  <c:v>84.185106596746081</c:v>
                </c:pt>
                <c:pt idx="169">
                  <c:v>85.179075962974096</c:v>
                </c:pt>
                <c:pt idx="170">
                  <c:v>85.02201621113953</c:v>
                </c:pt>
                <c:pt idx="171">
                  <c:v>82.846797304466733</c:v>
                </c:pt>
                <c:pt idx="172">
                  <c:v>81.385042645732085</c:v>
                </c:pt>
                <c:pt idx="173">
                  <c:v>80.783169516187456</c:v>
                </c:pt>
                <c:pt idx="174">
                  <c:v>79.20347304005027</c:v>
                </c:pt>
                <c:pt idx="175">
                  <c:v>81.86816239573119</c:v>
                </c:pt>
                <c:pt idx="176">
                  <c:v>79.025768087522081</c:v>
                </c:pt>
                <c:pt idx="177">
                  <c:v>81.079589451075464</c:v>
                </c:pt>
                <c:pt idx="178">
                  <c:v>79.715766605855976</c:v>
                </c:pt>
                <c:pt idx="179">
                  <c:v>79.321400204281602</c:v>
                </c:pt>
                <c:pt idx="180">
                  <c:v>79.130421808267158</c:v>
                </c:pt>
                <c:pt idx="181">
                  <c:v>75.693978475643405</c:v>
                </c:pt>
                <c:pt idx="182">
                  <c:v>75.700144781636098</c:v>
                </c:pt>
                <c:pt idx="183">
                  <c:v>76.393367462253792</c:v>
                </c:pt>
                <c:pt idx="184">
                  <c:v>76.567199581216144</c:v>
                </c:pt>
                <c:pt idx="185">
                  <c:v>78.760849480861808</c:v>
                </c:pt>
                <c:pt idx="186">
                  <c:v>77.402955772096732</c:v>
                </c:pt>
                <c:pt idx="187">
                  <c:v>79.251019222627932</c:v>
                </c:pt>
                <c:pt idx="188">
                  <c:v>77.292053430984822</c:v>
                </c:pt>
                <c:pt idx="189">
                  <c:v>76.393945644524365</c:v>
                </c:pt>
                <c:pt idx="190">
                  <c:v>75.160860818633481</c:v>
                </c:pt>
                <c:pt idx="191">
                  <c:v>79.536592694127307</c:v>
                </c:pt>
                <c:pt idx="192">
                  <c:v>79.835453086520076</c:v>
                </c:pt>
                <c:pt idx="193">
                  <c:v>75.081140093775531</c:v>
                </c:pt>
                <c:pt idx="194">
                  <c:v>71.511140439835614</c:v>
                </c:pt>
                <c:pt idx="195">
                  <c:v>69.247528038433671</c:v>
                </c:pt>
                <c:pt idx="196">
                  <c:v>70.722813712800971</c:v>
                </c:pt>
                <c:pt idx="197">
                  <c:v>70.045256651579351</c:v>
                </c:pt>
                <c:pt idx="198">
                  <c:v>67.168491811556365</c:v>
                </c:pt>
                <c:pt idx="199">
                  <c:v>70.448314415521764</c:v>
                </c:pt>
                <c:pt idx="200">
                  <c:v>71.185114025605145</c:v>
                </c:pt>
                <c:pt idx="201">
                  <c:v>75.405052120126072</c:v>
                </c:pt>
                <c:pt idx="202">
                  <c:v>76.702506590484063</c:v>
                </c:pt>
                <c:pt idx="203">
                  <c:v>80.845560905505181</c:v>
                </c:pt>
                <c:pt idx="204">
                  <c:v>78.828296260220156</c:v>
                </c:pt>
                <c:pt idx="205">
                  <c:v>78.303070296928681</c:v>
                </c:pt>
                <c:pt idx="206">
                  <c:v>76.652561265613343</c:v>
                </c:pt>
                <c:pt idx="207">
                  <c:v>76.276535099526924</c:v>
                </c:pt>
                <c:pt idx="208">
                  <c:v>78.975493053803206</c:v>
                </c:pt>
                <c:pt idx="209">
                  <c:v>78.388401628217537</c:v>
                </c:pt>
                <c:pt idx="210">
                  <c:v>81.513641216844533</c:v>
                </c:pt>
                <c:pt idx="211">
                  <c:v>81.845361960274445</c:v>
                </c:pt>
                <c:pt idx="212">
                  <c:v>82.752483025827303</c:v>
                </c:pt>
                <c:pt idx="213">
                  <c:v>81.679257863216549</c:v>
                </c:pt>
                <c:pt idx="214">
                  <c:v>81.938574044925673</c:v>
                </c:pt>
                <c:pt idx="215">
                  <c:v>80.758502946489742</c:v>
                </c:pt>
                <c:pt idx="216">
                  <c:v>84.425451763209026</c:v>
                </c:pt>
                <c:pt idx="217">
                  <c:v>85.818655233603963</c:v>
                </c:pt>
                <c:pt idx="218">
                  <c:v>86.944258852342173</c:v>
                </c:pt>
                <c:pt idx="219">
                  <c:v>83.284773635543829</c:v>
                </c:pt>
                <c:pt idx="220">
                  <c:v>82.469410743445678</c:v>
                </c:pt>
                <c:pt idx="221">
                  <c:v>79.957704268373021</c:v>
                </c:pt>
                <c:pt idx="222">
                  <c:v>79.045976817285805</c:v>
                </c:pt>
                <c:pt idx="223">
                  <c:v>76.223365388874669</c:v>
                </c:pt>
                <c:pt idx="224">
                  <c:v>76.605644495115754</c:v>
                </c:pt>
                <c:pt idx="225">
                  <c:v>74.298215880646922</c:v>
                </c:pt>
                <c:pt idx="226">
                  <c:v>73.270512324808379</c:v>
                </c:pt>
                <c:pt idx="227">
                  <c:v>76.067469071730187</c:v>
                </c:pt>
                <c:pt idx="228">
                  <c:v>78.672184993948164</c:v>
                </c:pt>
                <c:pt idx="229">
                  <c:v>79.638245886654474</c:v>
                </c:pt>
                <c:pt idx="230">
                  <c:v>82.124354901886718</c:v>
                </c:pt>
                <c:pt idx="231">
                  <c:v>83.391341255371884</c:v>
                </c:pt>
                <c:pt idx="232">
                  <c:v>82.529501300328008</c:v>
                </c:pt>
                <c:pt idx="233">
                  <c:v>83.555764628431632</c:v>
                </c:pt>
                <c:pt idx="234">
                  <c:v>85.080287822037079</c:v>
                </c:pt>
                <c:pt idx="235">
                  <c:v>86.214348418264422</c:v>
                </c:pt>
                <c:pt idx="236">
                  <c:v>84.707816857032853</c:v>
                </c:pt>
                <c:pt idx="237">
                  <c:v>85.514263797712943</c:v>
                </c:pt>
                <c:pt idx="238">
                  <c:v>85.937056111972097</c:v>
                </c:pt>
                <c:pt idx="239">
                  <c:v>86.527645400419217</c:v>
                </c:pt>
                <c:pt idx="240">
                  <c:v>84.57189997842282</c:v>
                </c:pt>
                <c:pt idx="241">
                  <c:v>85.790806430981874</c:v>
                </c:pt>
                <c:pt idx="242">
                  <c:v>85.942482404454822</c:v>
                </c:pt>
                <c:pt idx="243">
                  <c:v>85.416157612918298</c:v>
                </c:pt>
                <c:pt idx="244">
                  <c:v>86.859545646653714</c:v>
                </c:pt>
                <c:pt idx="245">
                  <c:v>87.90331003676404</c:v>
                </c:pt>
                <c:pt idx="246">
                  <c:v>87.200192580057404</c:v>
                </c:pt>
                <c:pt idx="247">
                  <c:v>90.200374577526148</c:v>
                </c:pt>
                <c:pt idx="248">
                  <c:v>91.587839875603805</c:v>
                </c:pt>
                <c:pt idx="249">
                  <c:v>89.294336971808065</c:v>
                </c:pt>
                <c:pt idx="250">
                  <c:v>88.918700392095829</c:v>
                </c:pt>
                <c:pt idx="251">
                  <c:v>90.916685367778499</c:v>
                </c:pt>
                <c:pt idx="252">
                  <c:v>90.184558348922522</c:v>
                </c:pt>
                <c:pt idx="253">
                  <c:v>90.462774033722397</c:v>
                </c:pt>
                <c:pt idx="254">
                  <c:v>91.994851585275384</c:v>
                </c:pt>
                <c:pt idx="255">
                  <c:v>94.851225796355138</c:v>
                </c:pt>
                <c:pt idx="256">
                  <c:v>96.070431880571917</c:v>
                </c:pt>
                <c:pt idx="257">
                  <c:v>94.722109551593206</c:v>
                </c:pt>
                <c:pt idx="258">
                  <c:v>91.295878485135248</c:v>
                </c:pt>
                <c:pt idx="259">
                  <c:v>92.336111503988434</c:v>
                </c:pt>
                <c:pt idx="260">
                  <c:v>86.306469049090722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53-449D-9022-5EA48E21ADF0}"/>
            </c:ext>
          </c:extLst>
        </c:ser>
        <c:ser>
          <c:idx val="1"/>
          <c:order val="1"/>
          <c:tx>
            <c:strRef>
              <c:f>All_factors!$AR$121</c:f>
              <c:strCache>
                <c:ptCount val="1"/>
                <c:pt idx="0">
                  <c:v>debt_issuance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All_factors!$AR$122:$AR$382</c:f>
              <c:numCache>
                <c:formatCode>General</c:formatCode>
                <c:ptCount val="261"/>
                <c:pt idx="0">
                  <c:v>100</c:v>
                </c:pt>
                <c:pt idx="1">
                  <c:v>99.437521159517274</c:v>
                </c:pt>
                <c:pt idx="2">
                  <c:v>104.67965157802475</c:v>
                </c:pt>
                <c:pt idx="3">
                  <c:v>98.764950745749516</c:v>
                </c:pt>
                <c:pt idx="4">
                  <c:v>100.49414021614699</c:v>
                </c:pt>
                <c:pt idx="5">
                  <c:v>104.10210949963188</c:v>
                </c:pt>
                <c:pt idx="6">
                  <c:v>107.27906546226554</c:v>
                </c:pt>
                <c:pt idx="7">
                  <c:v>107.32195355992719</c:v>
                </c:pt>
                <c:pt idx="8">
                  <c:v>108.64935757136377</c:v>
                </c:pt>
                <c:pt idx="9">
                  <c:v>103.3280933770326</c:v>
                </c:pt>
                <c:pt idx="10">
                  <c:v>98.227062675626826</c:v>
                </c:pt>
                <c:pt idx="11">
                  <c:v>100.20936556702121</c:v>
                </c:pt>
                <c:pt idx="12">
                  <c:v>102.38467094251853</c:v>
                </c:pt>
                <c:pt idx="13">
                  <c:v>105.41229911834769</c:v>
                </c:pt>
                <c:pt idx="14">
                  <c:v>102.71542211852865</c:v>
                </c:pt>
                <c:pt idx="15">
                  <c:v>99.869989171389662</c:v>
                </c:pt>
                <c:pt idx="16">
                  <c:v>98.47966176804816</c:v>
                </c:pt>
                <c:pt idx="17">
                  <c:v>96.878740294947249</c:v>
                </c:pt>
                <c:pt idx="18">
                  <c:v>101.64548789820304</c:v>
                </c:pt>
                <c:pt idx="19">
                  <c:v>100.07989099385253</c:v>
                </c:pt>
                <c:pt idx="20">
                  <c:v>96.938265683398242</c:v>
                </c:pt>
                <c:pt idx="21">
                  <c:v>93.88877835404368</c:v>
                </c:pt>
                <c:pt idx="22">
                  <c:v>94.828115373276546</c:v>
                </c:pt>
                <c:pt idx="23">
                  <c:v>92.518230556200692</c:v>
                </c:pt>
                <c:pt idx="24">
                  <c:v>92.585343534588247</c:v>
                </c:pt>
                <c:pt idx="25">
                  <c:v>94.852665249646734</c:v>
                </c:pt>
                <c:pt idx="26">
                  <c:v>93.95342288334794</c:v>
                </c:pt>
                <c:pt idx="27">
                  <c:v>91.247663352162036</c:v>
                </c:pt>
                <c:pt idx="28">
                  <c:v>92.429767181545316</c:v>
                </c:pt>
                <c:pt idx="29">
                  <c:v>90.130452653880724</c:v>
                </c:pt>
                <c:pt idx="30">
                  <c:v>92.016050111587845</c:v>
                </c:pt>
                <c:pt idx="31">
                  <c:v>90.997007120332171</c:v>
                </c:pt>
                <c:pt idx="32">
                  <c:v>91.189485026827001</c:v>
                </c:pt>
                <c:pt idx="33">
                  <c:v>91.884989240098889</c:v>
                </c:pt>
                <c:pt idx="34">
                  <c:v>92.397164115943298</c:v>
                </c:pt>
                <c:pt idx="35">
                  <c:v>93.568344083696601</c:v>
                </c:pt>
                <c:pt idx="36">
                  <c:v>92.094392727105301</c:v>
                </c:pt>
                <c:pt idx="37">
                  <c:v>92.455785612019696</c:v>
                </c:pt>
                <c:pt idx="38">
                  <c:v>93.46671300516833</c:v>
                </c:pt>
                <c:pt idx="39">
                  <c:v>91.225020742197032</c:v>
                </c:pt>
                <c:pt idx="40">
                  <c:v>91.290980735085071</c:v>
                </c:pt>
                <c:pt idx="41">
                  <c:v>89.869942881284572</c:v>
                </c:pt>
                <c:pt idx="42">
                  <c:v>89.329221447427472</c:v>
                </c:pt>
                <c:pt idx="43">
                  <c:v>90.352517404894257</c:v>
                </c:pt>
                <c:pt idx="44">
                  <c:v>91.643947729698752</c:v>
                </c:pt>
                <c:pt idx="45">
                  <c:v>92.646518666587411</c:v>
                </c:pt>
                <c:pt idx="46">
                  <c:v>89.207338549341998</c:v>
                </c:pt>
                <c:pt idx="47">
                  <c:v>90.257776202074822</c:v>
                </c:pt>
                <c:pt idx="48">
                  <c:v>88.601945842185287</c:v>
                </c:pt>
                <c:pt idx="49">
                  <c:v>88.476404901386545</c:v>
                </c:pt>
                <c:pt idx="50">
                  <c:v>89.422469737273346</c:v>
                </c:pt>
                <c:pt idx="51">
                  <c:v>86.007946190398073</c:v>
                </c:pt>
                <c:pt idx="52">
                  <c:v>88.422861047335701</c:v>
                </c:pt>
                <c:pt idx="53">
                  <c:v>91.177582287691109</c:v>
                </c:pt>
                <c:pt idx="54">
                  <c:v>93.336898477293062</c:v>
                </c:pt>
                <c:pt idx="55">
                  <c:v>92.516014467594843</c:v>
                </c:pt>
                <c:pt idx="56">
                  <c:v>95.977904561830726</c:v>
                </c:pt>
                <c:pt idx="57">
                  <c:v>97.532887801391823</c:v>
                </c:pt>
                <c:pt idx="58">
                  <c:v>99.251891798450785</c:v>
                </c:pt>
                <c:pt idx="59">
                  <c:v>103.3673830437194</c:v>
                </c:pt>
                <c:pt idx="60">
                  <c:v>95.080525447941184</c:v>
                </c:pt>
                <c:pt idx="61">
                  <c:v>90.355036523177546</c:v>
                </c:pt>
                <c:pt idx="62">
                  <c:v>91.338108326941381</c:v>
                </c:pt>
                <c:pt idx="63">
                  <c:v>86.439765683682651</c:v>
                </c:pt>
                <c:pt idx="64">
                  <c:v>84.484376186182089</c:v>
                </c:pt>
                <c:pt idx="65">
                  <c:v>85.019701086239067</c:v>
                </c:pt>
                <c:pt idx="66">
                  <c:v>83.964160442365312</c:v>
                </c:pt>
                <c:pt idx="67">
                  <c:v>81.332150333549208</c:v>
                </c:pt>
                <c:pt idx="68">
                  <c:v>81.029276423642912</c:v>
                </c:pt>
                <c:pt idx="69">
                  <c:v>89.64732713812684</c:v>
                </c:pt>
                <c:pt idx="70">
                  <c:v>89.229409990082175</c:v>
                </c:pt>
                <c:pt idx="71">
                  <c:v>94.277872569872656</c:v>
                </c:pt>
                <c:pt idx="72">
                  <c:v>92.881234208191145</c:v>
                </c:pt>
                <c:pt idx="73">
                  <c:v>93.72634506541911</c:v>
                </c:pt>
                <c:pt idx="74">
                  <c:v>94.591121624980502</c:v>
                </c:pt>
                <c:pt idx="75">
                  <c:v>94.206655069134939</c:v>
                </c:pt>
                <c:pt idx="76">
                  <c:v>96.550343723108</c:v>
                </c:pt>
                <c:pt idx="77">
                  <c:v>94.832706178677569</c:v>
                </c:pt>
                <c:pt idx="78">
                  <c:v>94.902830112270564</c:v>
                </c:pt>
                <c:pt idx="79">
                  <c:v>94.155196695215707</c:v>
                </c:pt>
                <c:pt idx="80">
                  <c:v>93.867042038564165</c:v>
                </c:pt>
                <c:pt idx="81">
                  <c:v>94.014614617247148</c:v>
                </c:pt>
                <c:pt idx="82">
                  <c:v>94.224627037455136</c:v>
                </c:pt>
                <c:pt idx="83">
                  <c:v>94.38571499082768</c:v>
                </c:pt>
                <c:pt idx="84">
                  <c:v>94.238657316542245</c:v>
                </c:pt>
                <c:pt idx="85">
                  <c:v>95.044719166722842</c:v>
                </c:pt>
                <c:pt idx="86">
                  <c:v>95.278204854309294</c:v>
                </c:pt>
                <c:pt idx="87">
                  <c:v>97.439792870102892</c:v>
                </c:pt>
                <c:pt idx="88">
                  <c:v>97.064025192376505</c:v>
                </c:pt>
                <c:pt idx="89">
                  <c:v>100.33331988761769</c:v>
                </c:pt>
                <c:pt idx="90">
                  <c:v>102.7844930738179</c:v>
                </c:pt>
                <c:pt idx="91">
                  <c:v>105.02386222988299</c:v>
                </c:pt>
                <c:pt idx="92">
                  <c:v>104.75285786941258</c:v>
                </c:pt>
                <c:pt idx="93">
                  <c:v>102.83550519647312</c:v>
                </c:pt>
                <c:pt idx="94">
                  <c:v>101.46503713987327</c:v>
                </c:pt>
                <c:pt idx="95">
                  <c:v>101.8560402852962</c:v>
                </c:pt>
                <c:pt idx="96">
                  <c:v>102.85826111417481</c:v>
                </c:pt>
                <c:pt idx="97">
                  <c:v>106.08869100805461</c:v>
                </c:pt>
                <c:pt idx="98">
                  <c:v>109.73115392353793</c:v>
                </c:pt>
                <c:pt idx="99">
                  <c:v>108.17290907598584</c:v>
                </c:pt>
                <c:pt idx="100">
                  <c:v>106.98998121398061</c:v>
                </c:pt>
                <c:pt idx="101">
                  <c:v>106.58980483454839</c:v>
                </c:pt>
                <c:pt idx="102">
                  <c:v>107.49397622816996</c:v>
                </c:pt>
                <c:pt idx="103">
                  <c:v>108.90118239109444</c:v>
                </c:pt>
                <c:pt idx="104">
                  <c:v>106.3471227057176</c:v>
                </c:pt>
                <c:pt idx="105">
                  <c:v>108.4498785084629</c:v>
                </c:pt>
                <c:pt idx="106">
                  <c:v>110.84849711474058</c:v>
                </c:pt>
                <c:pt idx="107">
                  <c:v>112.33015217269565</c:v>
                </c:pt>
                <c:pt idx="108">
                  <c:v>112.64430511474649</c:v>
                </c:pt>
                <c:pt idx="109">
                  <c:v>113.96091919722966</c:v>
                </c:pt>
                <c:pt idx="110">
                  <c:v>114.15668497629562</c:v>
                </c:pt>
                <c:pt idx="111">
                  <c:v>115.95043049983776</c:v>
                </c:pt>
                <c:pt idx="112">
                  <c:v>115.32501627359574</c:v>
                </c:pt>
                <c:pt idx="113">
                  <c:v>114.64586046811215</c:v>
                </c:pt>
                <c:pt idx="114">
                  <c:v>118.16971322148406</c:v>
                </c:pt>
                <c:pt idx="115">
                  <c:v>118.58124137974258</c:v>
                </c:pt>
                <c:pt idx="116">
                  <c:v>119.39520663941126</c:v>
                </c:pt>
                <c:pt idx="117">
                  <c:v>117.05856944079315</c:v>
                </c:pt>
                <c:pt idx="118">
                  <c:v>117.73242607377114</c:v>
                </c:pt>
                <c:pt idx="119">
                  <c:v>116.76619490375572</c:v>
                </c:pt>
                <c:pt idx="120">
                  <c:v>115.85562285022439</c:v>
                </c:pt>
                <c:pt idx="121">
                  <c:v>116.26010265561105</c:v>
                </c:pt>
                <c:pt idx="122">
                  <c:v>116.39369329847911</c:v>
                </c:pt>
                <c:pt idx="123">
                  <c:v>115.48655503454215</c:v>
                </c:pt>
                <c:pt idx="124">
                  <c:v>111.73649027924459</c:v>
                </c:pt>
                <c:pt idx="125">
                  <c:v>112.516544262154</c:v>
                </c:pt>
                <c:pt idx="126">
                  <c:v>109.29774148516289</c:v>
                </c:pt>
                <c:pt idx="127">
                  <c:v>109.31451294361722</c:v>
                </c:pt>
                <c:pt idx="128">
                  <c:v>110.28094318734151</c:v>
                </c:pt>
                <c:pt idx="129">
                  <c:v>111.703110616906</c:v>
                </c:pt>
                <c:pt idx="130">
                  <c:v>113.27265822168782</c:v>
                </c:pt>
                <c:pt idx="131">
                  <c:v>114.15363379436354</c:v>
                </c:pt>
                <c:pt idx="132">
                  <c:v>113.64490480940415</c:v>
                </c:pt>
                <c:pt idx="133">
                  <c:v>111.64612229066751</c:v>
                </c:pt>
                <c:pt idx="134">
                  <c:v>109.52910237649954</c:v>
                </c:pt>
                <c:pt idx="135">
                  <c:v>110.96538971755689</c:v>
                </c:pt>
                <c:pt idx="136">
                  <c:v>112.121483402867</c:v>
                </c:pt>
                <c:pt idx="137">
                  <c:v>114.3382724114329</c:v>
                </c:pt>
                <c:pt idx="138">
                  <c:v>113.11770476419831</c:v>
                </c:pt>
                <c:pt idx="139">
                  <c:v>114.33088912204329</c:v>
                </c:pt>
                <c:pt idx="140">
                  <c:v>114.34614291489949</c:v>
                </c:pt>
                <c:pt idx="141">
                  <c:v>116.68889194325804</c:v>
                </c:pt>
                <c:pt idx="142">
                  <c:v>120.27778314259741</c:v>
                </c:pt>
                <c:pt idx="143">
                  <c:v>123.15956306850576</c:v>
                </c:pt>
                <c:pt idx="144">
                  <c:v>129.99192749583776</c:v>
                </c:pt>
                <c:pt idx="145">
                  <c:v>124.60221534110266</c:v>
                </c:pt>
                <c:pt idx="146">
                  <c:v>127.22841721601507</c:v>
                </c:pt>
                <c:pt idx="147">
                  <c:v>130.46006335215577</c:v>
                </c:pt>
                <c:pt idx="148">
                  <c:v>130.50892600205211</c:v>
                </c:pt>
                <c:pt idx="149">
                  <c:v>131.31802053719952</c:v>
                </c:pt>
                <c:pt idx="150">
                  <c:v>135.52722773539676</c:v>
                </c:pt>
                <c:pt idx="151">
                  <c:v>134.55314129585398</c:v>
                </c:pt>
                <c:pt idx="152">
                  <c:v>131.04720043095574</c:v>
                </c:pt>
                <c:pt idx="153">
                  <c:v>135.40273862400065</c:v>
                </c:pt>
                <c:pt idx="154">
                  <c:v>137.2199656657705</c:v>
                </c:pt>
                <c:pt idx="155">
                  <c:v>137.21033765031029</c:v>
                </c:pt>
                <c:pt idx="156">
                  <c:v>139.365847689145</c:v>
                </c:pt>
                <c:pt idx="157">
                  <c:v>138.41675460855171</c:v>
                </c:pt>
                <c:pt idx="158">
                  <c:v>137.59342219267702</c:v>
                </c:pt>
                <c:pt idx="159">
                  <c:v>139.34125730211207</c:v>
                </c:pt>
                <c:pt idx="160">
                  <c:v>138.51390966659383</c:v>
                </c:pt>
                <c:pt idx="161">
                  <c:v>139.26262667699336</c:v>
                </c:pt>
                <c:pt idx="162">
                  <c:v>137.76481540770843</c:v>
                </c:pt>
                <c:pt idx="163">
                  <c:v>137.71326315352323</c:v>
                </c:pt>
                <c:pt idx="164">
                  <c:v>140.49856300583113</c:v>
                </c:pt>
                <c:pt idx="165">
                  <c:v>141.39047768063969</c:v>
                </c:pt>
                <c:pt idx="166">
                  <c:v>141.69163278552583</c:v>
                </c:pt>
                <c:pt idx="167">
                  <c:v>141.49622039901615</c:v>
                </c:pt>
                <c:pt idx="168">
                  <c:v>142.64806937522107</c:v>
                </c:pt>
                <c:pt idx="169">
                  <c:v>142.99858100620295</c:v>
                </c:pt>
                <c:pt idx="170">
                  <c:v>144.15966408651843</c:v>
                </c:pt>
                <c:pt idx="171">
                  <c:v>144.30949460459081</c:v>
                </c:pt>
                <c:pt idx="172">
                  <c:v>145.56949887037163</c:v>
                </c:pt>
                <c:pt idx="173">
                  <c:v>148.46855978940846</c:v>
                </c:pt>
                <c:pt idx="174">
                  <c:v>143.26451817087681</c:v>
                </c:pt>
                <c:pt idx="175">
                  <c:v>138.54750255670638</c:v>
                </c:pt>
                <c:pt idx="176">
                  <c:v>139.00366408178547</c:v>
                </c:pt>
                <c:pt idx="177">
                  <c:v>133.48878808495587</c:v>
                </c:pt>
                <c:pt idx="178">
                  <c:v>132.11434080419264</c:v>
                </c:pt>
                <c:pt idx="179">
                  <c:v>134.10717283566015</c:v>
                </c:pt>
                <c:pt idx="180">
                  <c:v>137.54988132727098</c:v>
                </c:pt>
                <c:pt idx="181">
                  <c:v>141.55645700720882</c:v>
                </c:pt>
                <c:pt idx="182">
                  <c:v>141.19420713427721</c:v>
                </c:pt>
                <c:pt idx="183">
                  <c:v>142.56205133381599</c:v>
                </c:pt>
                <c:pt idx="184">
                  <c:v>144.73978101839606</c:v>
                </c:pt>
                <c:pt idx="185">
                  <c:v>142.73951781842305</c:v>
                </c:pt>
                <c:pt idx="186">
                  <c:v>141.51459753215818</c:v>
                </c:pt>
                <c:pt idx="187">
                  <c:v>139.47269352010758</c:v>
                </c:pt>
                <c:pt idx="188">
                  <c:v>137.58801516477624</c:v>
                </c:pt>
                <c:pt idx="189">
                  <c:v>132.38429689303146</c:v>
                </c:pt>
                <c:pt idx="190">
                  <c:v>130.9955098075279</c:v>
                </c:pt>
                <c:pt idx="191">
                  <c:v>130.74185506897194</c:v>
                </c:pt>
                <c:pt idx="192">
                  <c:v>129.90010449071607</c:v>
                </c:pt>
                <c:pt idx="193">
                  <c:v>134.39720921614958</c:v>
                </c:pt>
                <c:pt idx="194">
                  <c:v>136.22380914368659</c:v>
                </c:pt>
                <c:pt idx="195">
                  <c:v>139.02908506781986</c:v>
                </c:pt>
                <c:pt idx="196">
                  <c:v>135.97099929689114</c:v>
                </c:pt>
                <c:pt idx="197">
                  <c:v>134.60542751763279</c:v>
                </c:pt>
                <c:pt idx="198">
                  <c:v>136.03949402572948</c:v>
                </c:pt>
                <c:pt idx="199">
                  <c:v>135.04944543739938</c:v>
                </c:pt>
                <c:pt idx="200">
                  <c:v>135.21850539216496</c:v>
                </c:pt>
                <c:pt idx="201">
                  <c:v>127.00603736254172</c:v>
                </c:pt>
                <c:pt idx="202">
                  <c:v>126.47537216859115</c:v>
                </c:pt>
                <c:pt idx="203">
                  <c:v>123.89197440868955</c:v>
                </c:pt>
                <c:pt idx="204">
                  <c:v>125.90676541576603</c:v>
                </c:pt>
                <c:pt idx="205">
                  <c:v>122.59323203632513</c:v>
                </c:pt>
                <c:pt idx="206">
                  <c:v>122.84124084635299</c:v>
                </c:pt>
                <c:pt idx="207">
                  <c:v>122.9813524742307</c:v>
                </c:pt>
                <c:pt idx="208">
                  <c:v>122.27283914041304</c:v>
                </c:pt>
                <c:pt idx="209">
                  <c:v>121.22045618626693</c:v>
                </c:pt>
                <c:pt idx="210">
                  <c:v>122.47232140792038</c:v>
                </c:pt>
                <c:pt idx="211">
                  <c:v>119.32573683282577</c:v>
                </c:pt>
                <c:pt idx="212">
                  <c:v>121.41131381058938</c:v>
                </c:pt>
                <c:pt idx="213">
                  <c:v>118.93782500250914</c:v>
                </c:pt>
                <c:pt idx="214">
                  <c:v>120.83746454184624</c:v>
                </c:pt>
                <c:pt idx="215">
                  <c:v>119.3454379960823</c:v>
                </c:pt>
                <c:pt idx="216">
                  <c:v>119.21164940945449</c:v>
                </c:pt>
                <c:pt idx="217">
                  <c:v>122.23577892380746</c:v>
                </c:pt>
                <c:pt idx="218">
                  <c:v>125.03462453082261</c:v>
                </c:pt>
                <c:pt idx="219">
                  <c:v>123.17641420725921</c:v>
                </c:pt>
                <c:pt idx="220">
                  <c:v>119.21275137359895</c:v>
                </c:pt>
                <c:pt idx="221">
                  <c:v>121.45270463153606</c:v>
                </c:pt>
                <c:pt idx="222">
                  <c:v>121.01733958697939</c:v>
                </c:pt>
                <c:pt idx="223">
                  <c:v>127.51102453034929</c:v>
                </c:pt>
                <c:pt idx="224">
                  <c:v>129.85326033881412</c:v>
                </c:pt>
                <c:pt idx="225">
                  <c:v>127.81983571706105</c:v>
                </c:pt>
                <c:pt idx="226">
                  <c:v>129.52580171105777</c:v>
                </c:pt>
                <c:pt idx="227">
                  <c:v>133.2604983540412</c:v>
                </c:pt>
                <c:pt idx="228">
                  <c:v>132.54908103295216</c:v>
                </c:pt>
                <c:pt idx="229">
                  <c:v>132.20325239645146</c:v>
                </c:pt>
                <c:pt idx="230">
                  <c:v>131.08935200522106</c:v>
                </c:pt>
                <c:pt idx="231">
                  <c:v>130.3024797298703</c:v>
                </c:pt>
                <c:pt idx="232">
                  <c:v>129.35435334475315</c:v>
                </c:pt>
                <c:pt idx="233">
                  <c:v>129.89997879156525</c:v>
                </c:pt>
                <c:pt idx="234">
                  <c:v>131.45678460410255</c:v>
                </c:pt>
                <c:pt idx="235">
                  <c:v>132.77473033903829</c:v>
                </c:pt>
                <c:pt idx="236">
                  <c:v>132.23224579488502</c:v>
                </c:pt>
                <c:pt idx="237">
                  <c:v>134.68541664447835</c:v>
                </c:pt>
                <c:pt idx="238">
                  <c:v>137.32499715025011</c:v>
                </c:pt>
                <c:pt idx="239">
                  <c:v>137.14897999742024</c:v>
                </c:pt>
                <c:pt idx="240">
                  <c:v>139.07668013991372</c:v>
                </c:pt>
                <c:pt idx="241">
                  <c:v>137.74096837008707</c:v>
                </c:pt>
                <c:pt idx="242">
                  <c:v>138.56964634064943</c:v>
                </c:pt>
                <c:pt idx="243">
                  <c:v>138.27312575737398</c:v>
                </c:pt>
                <c:pt idx="244">
                  <c:v>143.21117332650837</c:v>
                </c:pt>
                <c:pt idx="245">
                  <c:v>144.83773321416081</c:v>
                </c:pt>
                <c:pt idx="246">
                  <c:v>144.64963834336368</c:v>
                </c:pt>
                <c:pt idx="247">
                  <c:v>143.00775205898009</c:v>
                </c:pt>
                <c:pt idx="248">
                  <c:v>143.04762343875873</c:v>
                </c:pt>
                <c:pt idx="249">
                  <c:v>145.495094378999</c:v>
                </c:pt>
                <c:pt idx="250">
                  <c:v>147.25114653246033</c:v>
                </c:pt>
                <c:pt idx="251">
                  <c:v>150.5420058769833</c:v>
                </c:pt>
                <c:pt idx="252">
                  <c:v>152.90492707410772</c:v>
                </c:pt>
                <c:pt idx="253">
                  <c:v>151.38916279113442</c:v>
                </c:pt>
                <c:pt idx="254">
                  <c:v>149.64229285875837</c:v>
                </c:pt>
                <c:pt idx="255">
                  <c:v>148.03820309617547</c:v>
                </c:pt>
                <c:pt idx="256">
                  <c:v>147.29236122742478</c:v>
                </c:pt>
                <c:pt idx="257">
                  <c:v>149.53166216801378</c:v>
                </c:pt>
                <c:pt idx="258">
                  <c:v>153.64522059473367</c:v>
                </c:pt>
                <c:pt idx="259">
                  <c:v>151.91044682755637</c:v>
                </c:pt>
                <c:pt idx="260">
                  <c:v>152.47463299204261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53-449D-9022-5EA48E21ADF0}"/>
            </c:ext>
          </c:extLst>
        </c:ser>
        <c:ser>
          <c:idx val="2"/>
          <c:order val="2"/>
          <c:tx>
            <c:strRef>
              <c:f>All_factors!$AS$121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All_factors!$AS$122:$AS$382</c:f>
              <c:numCache>
                <c:formatCode>General</c:formatCode>
                <c:ptCount val="261"/>
                <c:pt idx="0">
                  <c:v>100</c:v>
                </c:pt>
                <c:pt idx="1">
                  <c:v>98.452355595247184</c:v>
                </c:pt>
                <c:pt idx="2">
                  <c:v>99.102387227171434</c:v>
                </c:pt>
                <c:pt idx="3">
                  <c:v>94.109091556833206</c:v>
                </c:pt>
                <c:pt idx="4">
                  <c:v>94.238912498543471</c:v>
                </c:pt>
                <c:pt idx="5">
                  <c:v>94.836070390316081</c:v>
                </c:pt>
                <c:pt idx="6">
                  <c:v>95.310941666879529</c:v>
                </c:pt>
                <c:pt idx="7">
                  <c:v>98.277205122695321</c:v>
                </c:pt>
                <c:pt idx="8">
                  <c:v>95.051912446166142</c:v>
                </c:pt>
                <c:pt idx="9">
                  <c:v>95.471938089489086</c:v>
                </c:pt>
                <c:pt idx="10">
                  <c:v>94.616980733316922</c:v>
                </c:pt>
                <c:pt idx="11">
                  <c:v>94.090723842372142</c:v>
                </c:pt>
                <c:pt idx="12">
                  <c:v>95.207878864605149</c:v>
                </c:pt>
                <c:pt idx="13">
                  <c:v>100.44845269992541</c:v>
                </c:pt>
                <c:pt idx="14">
                  <c:v>101.18376885864105</c:v>
                </c:pt>
                <c:pt idx="15">
                  <c:v>93.997361316543447</c:v>
                </c:pt>
                <c:pt idx="16">
                  <c:v>94.951472920820734</c:v>
                </c:pt>
                <c:pt idx="17">
                  <c:v>91.376376043755798</c:v>
                </c:pt>
                <c:pt idx="18">
                  <c:v>94.742784839828246</c:v>
                </c:pt>
                <c:pt idx="19">
                  <c:v>92.232068564946886</c:v>
                </c:pt>
                <c:pt idx="20">
                  <c:v>84.731172867882393</c:v>
                </c:pt>
                <c:pt idx="21">
                  <c:v>84.458319514859298</c:v>
                </c:pt>
                <c:pt idx="22">
                  <c:v>86.774190984571362</c:v>
                </c:pt>
                <c:pt idx="23">
                  <c:v>86.733921996172057</c:v>
                </c:pt>
                <c:pt idx="24">
                  <c:v>86.956302412085137</c:v>
                </c:pt>
                <c:pt idx="25">
                  <c:v>89.716584716581977</c:v>
                </c:pt>
                <c:pt idx="26">
                  <c:v>90.492717602998226</c:v>
                </c:pt>
                <c:pt idx="27">
                  <c:v>87.680743935919566</c:v>
                </c:pt>
                <c:pt idx="28">
                  <c:v>85.236844492621572</c:v>
                </c:pt>
                <c:pt idx="29">
                  <c:v>84.543991439982349</c:v>
                </c:pt>
                <c:pt idx="30">
                  <c:v>86.095106809222216</c:v>
                </c:pt>
                <c:pt idx="31">
                  <c:v>84.676643203264959</c:v>
                </c:pt>
                <c:pt idx="32">
                  <c:v>83.851334907605604</c:v>
                </c:pt>
                <c:pt idx="33">
                  <c:v>86.409513710066804</c:v>
                </c:pt>
                <c:pt idx="34">
                  <c:v>86.41998107227684</c:v>
                </c:pt>
                <c:pt idx="35">
                  <c:v>87.094927902769328</c:v>
                </c:pt>
                <c:pt idx="36">
                  <c:v>87.436843515241151</c:v>
                </c:pt>
                <c:pt idx="37">
                  <c:v>84.990180024896134</c:v>
                </c:pt>
                <c:pt idx="38">
                  <c:v>86.67845402734271</c:v>
                </c:pt>
                <c:pt idx="39">
                  <c:v>88.428860557696737</c:v>
                </c:pt>
                <c:pt idx="40">
                  <c:v>90.401055522286484</c:v>
                </c:pt>
                <c:pt idx="41">
                  <c:v>88.709880269800919</c:v>
                </c:pt>
                <c:pt idx="42">
                  <c:v>87.841142059792134</c:v>
                </c:pt>
                <c:pt idx="43">
                  <c:v>87.124970045608833</c:v>
                </c:pt>
                <c:pt idx="44">
                  <c:v>89.473684694746723</c:v>
                </c:pt>
                <c:pt idx="45">
                  <c:v>93.373773306779469</c:v>
                </c:pt>
                <c:pt idx="46">
                  <c:v>91.755536158550456</c:v>
                </c:pt>
                <c:pt idx="47">
                  <c:v>91.891311269422459</c:v>
                </c:pt>
                <c:pt idx="48">
                  <c:v>91.086090878981224</c:v>
                </c:pt>
                <c:pt idx="49">
                  <c:v>88.505544319757917</c:v>
                </c:pt>
                <c:pt idx="50">
                  <c:v>89.085341043009095</c:v>
                </c:pt>
                <c:pt idx="51">
                  <c:v>90.396368415165554</c:v>
                </c:pt>
                <c:pt idx="52">
                  <c:v>96.099431682880933</c:v>
                </c:pt>
                <c:pt idx="53">
                  <c:v>100.76701463881346</c:v>
                </c:pt>
                <c:pt idx="54">
                  <c:v>107.20369735920413</c:v>
                </c:pt>
                <c:pt idx="55">
                  <c:v>104.19517340665523</c:v>
                </c:pt>
                <c:pt idx="56">
                  <c:v>106.39775332940506</c:v>
                </c:pt>
                <c:pt idx="57">
                  <c:v>109.3144201336506</c:v>
                </c:pt>
                <c:pt idx="58">
                  <c:v>109.35491666400299</c:v>
                </c:pt>
                <c:pt idx="59">
                  <c:v>108.76769414670258</c:v>
                </c:pt>
                <c:pt idx="60">
                  <c:v>97.80364782984978</c:v>
                </c:pt>
                <c:pt idx="61">
                  <c:v>88.872248642610188</c:v>
                </c:pt>
                <c:pt idx="62">
                  <c:v>89.831501475523865</c:v>
                </c:pt>
                <c:pt idx="63">
                  <c:v>86.343633995556104</c:v>
                </c:pt>
                <c:pt idx="64">
                  <c:v>86.881374379843663</c:v>
                </c:pt>
                <c:pt idx="65">
                  <c:v>84.413649388470063</c:v>
                </c:pt>
                <c:pt idx="66">
                  <c:v>82.878031913692169</c:v>
                </c:pt>
                <c:pt idx="67">
                  <c:v>80.037143154872339</c:v>
                </c:pt>
                <c:pt idx="68">
                  <c:v>79.850320202051236</c:v>
                </c:pt>
                <c:pt idx="69">
                  <c:v>91.854089260773165</c:v>
                </c:pt>
                <c:pt idx="70">
                  <c:v>91.003029242870042</c:v>
                </c:pt>
                <c:pt idx="71">
                  <c:v>93.933385748931428</c:v>
                </c:pt>
                <c:pt idx="72">
                  <c:v>93.170115770162752</c:v>
                </c:pt>
                <c:pt idx="73">
                  <c:v>91.907986458338726</c:v>
                </c:pt>
                <c:pt idx="74">
                  <c:v>91.565804475801656</c:v>
                </c:pt>
                <c:pt idx="75">
                  <c:v>92.008577773436528</c:v>
                </c:pt>
                <c:pt idx="76">
                  <c:v>92.895699055554005</c:v>
                </c:pt>
                <c:pt idx="77">
                  <c:v>92.616127343787113</c:v>
                </c:pt>
                <c:pt idx="78">
                  <c:v>93.573079153417964</c:v>
                </c:pt>
                <c:pt idx="79">
                  <c:v>93.934332559773836</c:v>
                </c:pt>
                <c:pt idx="80">
                  <c:v>94.961531250929625</c:v>
                </c:pt>
                <c:pt idx="81">
                  <c:v>97.339409503257869</c:v>
                </c:pt>
                <c:pt idx="82">
                  <c:v>97.377524915664495</c:v>
                </c:pt>
                <c:pt idx="83">
                  <c:v>97.278605330452706</c:v>
                </c:pt>
                <c:pt idx="84">
                  <c:v>96.513759565543211</c:v>
                </c:pt>
                <c:pt idx="85">
                  <c:v>98.503044408988174</c:v>
                </c:pt>
                <c:pt idx="86">
                  <c:v>98.764880595878893</c:v>
                </c:pt>
                <c:pt idx="87">
                  <c:v>100.19369206962737</c:v>
                </c:pt>
                <c:pt idx="88">
                  <c:v>100.0401919326568</c:v>
                </c:pt>
                <c:pt idx="89">
                  <c:v>103.6886982058376</c:v>
                </c:pt>
                <c:pt idx="90">
                  <c:v>103.95973250255744</c:v>
                </c:pt>
                <c:pt idx="91">
                  <c:v>105.93370427026569</c:v>
                </c:pt>
                <c:pt idx="92">
                  <c:v>107.63553354608131</c:v>
                </c:pt>
                <c:pt idx="93">
                  <c:v>103.62911395262026</c:v>
                </c:pt>
                <c:pt idx="94">
                  <c:v>101.77436526171064</c:v>
                </c:pt>
                <c:pt idx="95">
                  <c:v>102.50928359008037</c:v>
                </c:pt>
                <c:pt idx="96">
                  <c:v>104.55272535599873</c:v>
                </c:pt>
                <c:pt idx="97">
                  <c:v>106.83721105231021</c:v>
                </c:pt>
                <c:pt idx="98">
                  <c:v>112.87084740590784</c:v>
                </c:pt>
                <c:pt idx="99">
                  <c:v>111.49513954073282</c:v>
                </c:pt>
                <c:pt idx="100">
                  <c:v>109.3821507196339</c:v>
                </c:pt>
                <c:pt idx="101">
                  <c:v>110.88012924075994</c:v>
                </c:pt>
                <c:pt idx="102">
                  <c:v>112.49307075644997</c:v>
                </c:pt>
                <c:pt idx="103">
                  <c:v>112.76385788199978</c:v>
                </c:pt>
                <c:pt idx="104">
                  <c:v>112.05729415630287</c:v>
                </c:pt>
                <c:pt idx="105">
                  <c:v>116.22733349479979</c:v>
                </c:pt>
                <c:pt idx="106">
                  <c:v>116.35954049876121</c:v>
                </c:pt>
                <c:pt idx="107">
                  <c:v>117.83315636503595</c:v>
                </c:pt>
                <c:pt idx="108">
                  <c:v>115.75868810080857</c:v>
                </c:pt>
                <c:pt idx="109">
                  <c:v>117.56058569015634</c:v>
                </c:pt>
                <c:pt idx="110">
                  <c:v>119.11673826752842</c:v>
                </c:pt>
                <c:pt idx="111">
                  <c:v>121.23956415432467</c:v>
                </c:pt>
                <c:pt idx="112">
                  <c:v>123.58998245768895</c:v>
                </c:pt>
                <c:pt idx="113">
                  <c:v>123.73381221216488</c:v>
                </c:pt>
                <c:pt idx="114">
                  <c:v>127.17802917473959</c:v>
                </c:pt>
                <c:pt idx="115">
                  <c:v>126.62769285265401</c:v>
                </c:pt>
                <c:pt idx="116">
                  <c:v>127.59736106461453</c:v>
                </c:pt>
                <c:pt idx="117">
                  <c:v>125.72133963550648</c:v>
                </c:pt>
                <c:pt idx="118">
                  <c:v>125.21834037648617</c:v>
                </c:pt>
                <c:pt idx="119">
                  <c:v>123.8221934259454</c:v>
                </c:pt>
                <c:pt idx="120">
                  <c:v>123.87116675987244</c:v>
                </c:pt>
                <c:pt idx="121">
                  <c:v>122.55694150459946</c:v>
                </c:pt>
                <c:pt idx="122">
                  <c:v>124.9093570341909</c:v>
                </c:pt>
                <c:pt idx="123">
                  <c:v>124.89579928726938</c:v>
                </c:pt>
                <c:pt idx="124">
                  <c:v>123.14041075213743</c:v>
                </c:pt>
                <c:pt idx="125">
                  <c:v>121.64653758252091</c:v>
                </c:pt>
                <c:pt idx="126">
                  <c:v>118.15057644164771</c:v>
                </c:pt>
                <c:pt idx="127">
                  <c:v>116.73168250051621</c:v>
                </c:pt>
                <c:pt idx="128">
                  <c:v>116.64624407499495</c:v>
                </c:pt>
                <c:pt idx="129">
                  <c:v>117.15826734441335</c:v>
                </c:pt>
                <c:pt idx="130">
                  <c:v>120.55957392878116</c:v>
                </c:pt>
                <c:pt idx="131">
                  <c:v>121.43775116397751</c:v>
                </c:pt>
                <c:pt idx="132">
                  <c:v>118.64058928769364</c:v>
                </c:pt>
                <c:pt idx="133">
                  <c:v>117.23977274119582</c:v>
                </c:pt>
                <c:pt idx="134">
                  <c:v>115.12809071294248</c:v>
                </c:pt>
                <c:pt idx="135">
                  <c:v>117.57690567788444</c:v>
                </c:pt>
                <c:pt idx="136">
                  <c:v>120.17398491149933</c:v>
                </c:pt>
                <c:pt idx="137">
                  <c:v>121.4177137411847</c:v>
                </c:pt>
                <c:pt idx="138">
                  <c:v>120.73504497009935</c:v>
                </c:pt>
                <c:pt idx="139">
                  <c:v>124.73677033269263</c:v>
                </c:pt>
                <c:pt idx="140">
                  <c:v>124.41622837453279</c:v>
                </c:pt>
                <c:pt idx="141">
                  <c:v>123.97876930499086</c:v>
                </c:pt>
                <c:pt idx="142">
                  <c:v>130.24093864902727</c:v>
                </c:pt>
                <c:pt idx="143">
                  <c:v>132.15474643878147</c:v>
                </c:pt>
                <c:pt idx="144">
                  <c:v>136.33768665209521</c:v>
                </c:pt>
                <c:pt idx="145">
                  <c:v>132.1981741838307</c:v>
                </c:pt>
                <c:pt idx="146">
                  <c:v>132.50171060934721</c:v>
                </c:pt>
                <c:pt idx="147">
                  <c:v>137.31479176229061</c:v>
                </c:pt>
                <c:pt idx="148">
                  <c:v>134.93228161406756</c:v>
                </c:pt>
                <c:pt idx="149">
                  <c:v>134.03882903702197</c:v>
                </c:pt>
                <c:pt idx="150">
                  <c:v>138.50338530810234</c:v>
                </c:pt>
                <c:pt idx="151">
                  <c:v>139.52934222917315</c:v>
                </c:pt>
                <c:pt idx="152">
                  <c:v>137.01409823622078</c:v>
                </c:pt>
                <c:pt idx="153">
                  <c:v>139.56663668455317</c:v>
                </c:pt>
                <c:pt idx="154">
                  <c:v>143.25440306511936</c:v>
                </c:pt>
                <c:pt idx="155">
                  <c:v>143.67406406480856</c:v>
                </c:pt>
                <c:pt idx="156">
                  <c:v>141.8795091063246</c:v>
                </c:pt>
                <c:pt idx="157">
                  <c:v>137.08635707506414</c:v>
                </c:pt>
                <c:pt idx="158">
                  <c:v>136.59268975466185</c:v>
                </c:pt>
                <c:pt idx="159">
                  <c:v>139.47776971405722</c:v>
                </c:pt>
                <c:pt idx="160">
                  <c:v>140.43409597737713</c:v>
                </c:pt>
                <c:pt idx="161">
                  <c:v>140.16389266169853</c:v>
                </c:pt>
                <c:pt idx="162">
                  <c:v>137.91880557224587</c:v>
                </c:pt>
                <c:pt idx="163">
                  <c:v>138.53372774887151</c:v>
                </c:pt>
                <c:pt idx="164">
                  <c:v>142.35806460698723</c:v>
                </c:pt>
                <c:pt idx="165">
                  <c:v>141.58110599091546</c:v>
                </c:pt>
                <c:pt idx="166">
                  <c:v>142.60841068353849</c:v>
                </c:pt>
                <c:pt idx="167">
                  <c:v>140.27502213508913</c:v>
                </c:pt>
                <c:pt idx="168">
                  <c:v>143.79984726112153</c:v>
                </c:pt>
                <c:pt idx="169">
                  <c:v>140.91525484821437</c:v>
                </c:pt>
                <c:pt idx="170">
                  <c:v>139.61133592659345</c:v>
                </c:pt>
                <c:pt idx="171">
                  <c:v>139.07268968477513</c:v>
                </c:pt>
                <c:pt idx="172">
                  <c:v>138.73530485465716</c:v>
                </c:pt>
                <c:pt idx="173">
                  <c:v>139.73198031676802</c:v>
                </c:pt>
                <c:pt idx="174">
                  <c:v>137.86336290008254</c:v>
                </c:pt>
                <c:pt idx="175">
                  <c:v>136.40430263165848</c:v>
                </c:pt>
                <c:pt idx="176">
                  <c:v>133.40351201768866</c:v>
                </c:pt>
                <c:pt idx="177">
                  <c:v>137.24071371613508</c:v>
                </c:pt>
                <c:pt idx="178">
                  <c:v>135.66347584935269</c:v>
                </c:pt>
                <c:pt idx="179">
                  <c:v>136.05579533425916</c:v>
                </c:pt>
                <c:pt idx="180">
                  <c:v>138.48910405432787</c:v>
                </c:pt>
                <c:pt idx="181">
                  <c:v>138.67182201944362</c:v>
                </c:pt>
                <c:pt idx="182">
                  <c:v>137.35019728531026</c:v>
                </c:pt>
                <c:pt idx="183">
                  <c:v>136.00577764593075</c:v>
                </c:pt>
                <c:pt idx="184">
                  <c:v>137.30068064345409</c:v>
                </c:pt>
                <c:pt idx="185">
                  <c:v>136.63484307806914</c:v>
                </c:pt>
                <c:pt idx="186">
                  <c:v>132.69272520863845</c:v>
                </c:pt>
                <c:pt idx="187">
                  <c:v>131.48062608511461</c:v>
                </c:pt>
                <c:pt idx="188">
                  <c:v>129.37483733764617</c:v>
                </c:pt>
                <c:pt idx="189">
                  <c:v>124.09857995512326</c:v>
                </c:pt>
                <c:pt idx="190">
                  <c:v>122.84694985678338</c:v>
                </c:pt>
                <c:pt idx="191">
                  <c:v>121.89178549665284</c:v>
                </c:pt>
                <c:pt idx="192">
                  <c:v>116.61862660090156</c:v>
                </c:pt>
                <c:pt idx="193">
                  <c:v>117.04768962440272</c:v>
                </c:pt>
                <c:pt idx="194">
                  <c:v>116.20607278784941</c:v>
                </c:pt>
                <c:pt idx="195">
                  <c:v>112.37570760126427</c:v>
                </c:pt>
                <c:pt idx="196">
                  <c:v>108.15491160209341</c:v>
                </c:pt>
                <c:pt idx="197">
                  <c:v>107.77281339863271</c:v>
                </c:pt>
                <c:pt idx="198">
                  <c:v>106.08033169469107</c:v>
                </c:pt>
                <c:pt idx="199">
                  <c:v>110.03102107332798</c:v>
                </c:pt>
                <c:pt idx="200">
                  <c:v>108.82580580572528</c:v>
                </c:pt>
                <c:pt idx="201">
                  <c:v>100.29171925437592</c:v>
                </c:pt>
                <c:pt idx="202">
                  <c:v>101.47638753117731</c:v>
                </c:pt>
                <c:pt idx="203">
                  <c:v>104.37804418365138</c:v>
                </c:pt>
                <c:pt idx="204">
                  <c:v>108.29680254507015</c:v>
                </c:pt>
                <c:pt idx="205">
                  <c:v>108.70357278900327</c:v>
                </c:pt>
                <c:pt idx="206">
                  <c:v>105.5168158869013</c:v>
                </c:pt>
                <c:pt idx="207">
                  <c:v>105.51361462919184</c:v>
                </c:pt>
                <c:pt idx="208">
                  <c:v>109.44034605679718</c:v>
                </c:pt>
                <c:pt idx="209">
                  <c:v>111.04600075417274</c:v>
                </c:pt>
                <c:pt idx="210">
                  <c:v>115.99978960172973</c:v>
                </c:pt>
                <c:pt idx="211">
                  <c:v>120.81653324481678</c:v>
                </c:pt>
                <c:pt idx="212">
                  <c:v>120.94516263650438</c:v>
                </c:pt>
                <c:pt idx="213">
                  <c:v>121.67170572271962</c:v>
                </c:pt>
                <c:pt idx="214">
                  <c:v>125.69558335156913</c:v>
                </c:pt>
                <c:pt idx="215">
                  <c:v>125.20967725890708</c:v>
                </c:pt>
                <c:pt idx="216">
                  <c:v>129.31082951973403</c:v>
                </c:pt>
                <c:pt idx="217">
                  <c:v>134.38099790525422</c:v>
                </c:pt>
                <c:pt idx="218">
                  <c:v>141.07952699168891</c:v>
                </c:pt>
                <c:pt idx="219">
                  <c:v>138.74779224228857</c:v>
                </c:pt>
                <c:pt idx="220">
                  <c:v>133.29207976208983</c:v>
                </c:pt>
                <c:pt idx="221">
                  <c:v>133.66638758614408</c:v>
                </c:pt>
                <c:pt idx="222">
                  <c:v>132.2778122539226</c:v>
                </c:pt>
                <c:pt idx="223">
                  <c:v>139.61272459277242</c:v>
                </c:pt>
                <c:pt idx="224">
                  <c:v>141.20061226741569</c:v>
                </c:pt>
                <c:pt idx="225">
                  <c:v>141.18865568920961</c:v>
                </c:pt>
                <c:pt idx="226">
                  <c:v>142.01722946881696</c:v>
                </c:pt>
                <c:pt idx="227">
                  <c:v>146.94772402857305</c:v>
                </c:pt>
                <c:pt idx="228">
                  <c:v>147.12923735128297</c:v>
                </c:pt>
                <c:pt idx="229">
                  <c:v>145.27903449815639</c:v>
                </c:pt>
                <c:pt idx="230">
                  <c:v>145.60465848626623</c:v>
                </c:pt>
                <c:pt idx="231">
                  <c:v>142.13145223543611</c:v>
                </c:pt>
                <c:pt idx="232">
                  <c:v>141.53379568240948</c:v>
                </c:pt>
                <c:pt idx="233">
                  <c:v>143.63844120570332</c:v>
                </c:pt>
                <c:pt idx="234">
                  <c:v>148.42854314891625</c:v>
                </c:pt>
                <c:pt idx="235">
                  <c:v>154.89969779595651</c:v>
                </c:pt>
                <c:pt idx="236">
                  <c:v>153.31366244726132</c:v>
                </c:pt>
                <c:pt idx="237">
                  <c:v>156.54124272974815</c:v>
                </c:pt>
                <c:pt idx="238">
                  <c:v>157.01175722962481</c:v>
                </c:pt>
                <c:pt idx="239">
                  <c:v>152.05082238654606</c:v>
                </c:pt>
                <c:pt idx="240">
                  <c:v>154.78162476422068</c:v>
                </c:pt>
                <c:pt idx="241">
                  <c:v>159.1166716100455</c:v>
                </c:pt>
                <c:pt idx="242">
                  <c:v>158.67680905839097</c:v>
                </c:pt>
                <c:pt idx="243">
                  <c:v>153.71225730176741</c:v>
                </c:pt>
                <c:pt idx="244">
                  <c:v>158.61020850562039</c:v>
                </c:pt>
                <c:pt idx="245">
                  <c:v>160.97710761653124</c:v>
                </c:pt>
                <c:pt idx="246">
                  <c:v>162.14306102406286</c:v>
                </c:pt>
                <c:pt idx="247">
                  <c:v>160.00033482472901</c:v>
                </c:pt>
                <c:pt idx="248">
                  <c:v>160.01504717954646</c:v>
                </c:pt>
                <c:pt idx="249">
                  <c:v>157.73710682800902</c:v>
                </c:pt>
                <c:pt idx="250">
                  <c:v>161.33719759433112</c:v>
                </c:pt>
                <c:pt idx="251">
                  <c:v>168.05492472676147</c:v>
                </c:pt>
                <c:pt idx="252">
                  <c:v>172.62553123573321</c:v>
                </c:pt>
                <c:pt idx="253">
                  <c:v>173.78115068845088</c:v>
                </c:pt>
                <c:pt idx="254">
                  <c:v>173.18673541866784</c:v>
                </c:pt>
                <c:pt idx="255">
                  <c:v>175.07807776608314</c:v>
                </c:pt>
                <c:pt idx="256">
                  <c:v>176.59902442709463</c:v>
                </c:pt>
                <c:pt idx="257">
                  <c:v>177.89962752053088</c:v>
                </c:pt>
                <c:pt idx="258">
                  <c:v>175.34364261938285</c:v>
                </c:pt>
                <c:pt idx="259">
                  <c:v>175.96512884903069</c:v>
                </c:pt>
                <c:pt idx="260">
                  <c:v>170.40927608075165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53-449D-9022-5EA48E21ADF0}"/>
            </c:ext>
          </c:extLst>
        </c:ser>
        <c:ser>
          <c:idx val="3"/>
          <c:order val="3"/>
          <c:tx>
            <c:strRef>
              <c:f>All_factors!$AT$121</c:f>
              <c:strCache>
                <c:ptCount val="1"/>
                <c:pt idx="0">
                  <c:v>low_leverage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All_factors!$AT$122:$AT$382</c:f>
              <c:numCache>
                <c:formatCode>General</c:formatCode>
                <c:ptCount val="261"/>
                <c:pt idx="0">
                  <c:v>100</c:v>
                </c:pt>
                <c:pt idx="1">
                  <c:v>99.208343584496006</c:v>
                </c:pt>
                <c:pt idx="2">
                  <c:v>98.447932710990528</c:v>
                </c:pt>
                <c:pt idx="3">
                  <c:v>99.559923461796288</c:v>
                </c:pt>
                <c:pt idx="4">
                  <c:v>100.83559105749751</c:v>
                </c:pt>
                <c:pt idx="5">
                  <c:v>106.50365600790452</c:v>
                </c:pt>
                <c:pt idx="6">
                  <c:v>108.56431105666702</c:v>
                </c:pt>
                <c:pt idx="7">
                  <c:v>104.36014323501757</c:v>
                </c:pt>
                <c:pt idx="8">
                  <c:v>107.33399345899046</c:v>
                </c:pt>
                <c:pt idx="9">
                  <c:v>99.545478843953305</c:v>
                </c:pt>
                <c:pt idx="10">
                  <c:v>98.401252088010537</c:v>
                </c:pt>
                <c:pt idx="11">
                  <c:v>100.75004037967619</c:v>
                </c:pt>
                <c:pt idx="12">
                  <c:v>97.727430795333674</c:v>
                </c:pt>
                <c:pt idx="13">
                  <c:v>95.162876128857107</c:v>
                </c:pt>
                <c:pt idx="14">
                  <c:v>93.786224510211895</c:v>
                </c:pt>
                <c:pt idx="15">
                  <c:v>90.556940097178028</c:v>
                </c:pt>
                <c:pt idx="16">
                  <c:v>82.513469539837502</c:v>
                </c:pt>
                <c:pt idx="17">
                  <c:v>81.280015471169136</c:v>
                </c:pt>
                <c:pt idx="18">
                  <c:v>83.543487241034242</c:v>
                </c:pt>
                <c:pt idx="19">
                  <c:v>85.58867797535784</c:v>
                </c:pt>
                <c:pt idx="20">
                  <c:v>86.442768736740078</c:v>
                </c:pt>
                <c:pt idx="21">
                  <c:v>77.531065341526116</c:v>
                </c:pt>
                <c:pt idx="22">
                  <c:v>80.195937513163344</c:v>
                </c:pt>
                <c:pt idx="23">
                  <c:v>82.499547953056037</c:v>
                </c:pt>
                <c:pt idx="24">
                  <c:v>82.583083143307832</c:v>
                </c:pt>
                <c:pt idx="25">
                  <c:v>81.487757659952436</c:v>
                </c:pt>
                <c:pt idx="26">
                  <c:v>82.201793037048361</c:v>
                </c:pt>
                <c:pt idx="27">
                  <c:v>83.148835991805328</c:v>
                </c:pt>
                <c:pt idx="28">
                  <c:v>86.755235270674447</c:v>
                </c:pt>
                <c:pt idx="29">
                  <c:v>85.501259976682377</c:v>
                </c:pt>
                <c:pt idx="30">
                  <c:v>86.001593084364544</c:v>
                </c:pt>
                <c:pt idx="31">
                  <c:v>89.285402505826426</c:v>
                </c:pt>
                <c:pt idx="32">
                  <c:v>88.418995417555934</c:v>
                </c:pt>
                <c:pt idx="33">
                  <c:v>89.827750060602341</c:v>
                </c:pt>
                <c:pt idx="34">
                  <c:v>86.483567921287602</c:v>
                </c:pt>
                <c:pt idx="35">
                  <c:v>85.276250887925144</c:v>
                </c:pt>
                <c:pt idx="36">
                  <c:v>85.314354218331829</c:v>
                </c:pt>
                <c:pt idx="37">
                  <c:v>86.001740606392815</c:v>
                </c:pt>
                <c:pt idx="38">
                  <c:v>85.376532364125694</c:v>
                </c:pt>
                <c:pt idx="39">
                  <c:v>84.838912285379521</c:v>
                </c:pt>
                <c:pt idx="40">
                  <c:v>85.418300563304101</c:v>
                </c:pt>
                <c:pt idx="41">
                  <c:v>85.622289794898748</c:v>
                </c:pt>
                <c:pt idx="42">
                  <c:v>83.300385894941243</c:v>
                </c:pt>
                <c:pt idx="43">
                  <c:v>83.390873698807326</c:v>
                </c:pt>
                <c:pt idx="44">
                  <c:v>81.439719660366222</c:v>
                </c:pt>
                <c:pt idx="45">
                  <c:v>79.833343254849652</c:v>
                </c:pt>
                <c:pt idx="46">
                  <c:v>79.47717967148337</c:v>
                </c:pt>
                <c:pt idx="47">
                  <c:v>79.036345203279168</c:v>
                </c:pt>
                <c:pt idx="48">
                  <c:v>78.077646159436895</c:v>
                </c:pt>
                <c:pt idx="49">
                  <c:v>78.458668607797321</c:v>
                </c:pt>
                <c:pt idx="50">
                  <c:v>80.093249515229857</c:v>
                </c:pt>
                <c:pt idx="51">
                  <c:v>78.803485829564181</c:v>
                </c:pt>
                <c:pt idx="52">
                  <c:v>78.388949069268222</c:v>
                </c:pt>
                <c:pt idx="53">
                  <c:v>78.35956149042724</c:v>
                </c:pt>
                <c:pt idx="54">
                  <c:v>79.238755699344352</c:v>
                </c:pt>
                <c:pt idx="55">
                  <c:v>80.805428613961766</c:v>
                </c:pt>
                <c:pt idx="56">
                  <c:v>81.362657704161506</c:v>
                </c:pt>
                <c:pt idx="57">
                  <c:v>81.073746920145581</c:v>
                </c:pt>
                <c:pt idx="58">
                  <c:v>81.353488596029081</c:v>
                </c:pt>
                <c:pt idx="59">
                  <c:v>79.208166020479737</c:v>
                </c:pt>
                <c:pt idx="60">
                  <c:v>78.768231437382397</c:v>
                </c:pt>
                <c:pt idx="61">
                  <c:v>78.676628498625433</c:v>
                </c:pt>
                <c:pt idx="62">
                  <c:v>78.748112238000502</c:v>
                </c:pt>
                <c:pt idx="63">
                  <c:v>79.52793943642331</c:v>
                </c:pt>
                <c:pt idx="64">
                  <c:v>78.124358341726477</c:v>
                </c:pt>
                <c:pt idx="65">
                  <c:v>79.621045853695961</c:v>
                </c:pt>
                <c:pt idx="66">
                  <c:v>83.039551037357043</c:v>
                </c:pt>
                <c:pt idx="67">
                  <c:v>82.996768708596932</c:v>
                </c:pt>
                <c:pt idx="68">
                  <c:v>81.645110358245233</c:v>
                </c:pt>
                <c:pt idx="69">
                  <c:v>91.560830257438866</c:v>
                </c:pt>
                <c:pt idx="70">
                  <c:v>89.853575818953047</c:v>
                </c:pt>
                <c:pt idx="71">
                  <c:v>90.03808089625808</c:v>
                </c:pt>
                <c:pt idx="72">
                  <c:v>90.852557443619688</c:v>
                </c:pt>
                <c:pt idx="73">
                  <c:v>91.555638644516733</c:v>
                </c:pt>
                <c:pt idx="74">
                  <c:v>91.517266359123695</c:v>
                </c:pt>
                <c:pt idx="75">
                  <c:v>93.109368079186993</c:v>
                </c:pt>
                <c:pt idx="76">
                  <c:v>96.405267700506883</c:v>
                </c:pt>
                <c:pt idx="77">
                  <c:v>96.791712267909759</c:v>
                </c:pt>
                <c:pt idx="78">
                  <c:v>98.953558534494633</c:v>
                </c:pt>
                <c:pt idx="79">
                  <c:v>100.38718021373796</c:v>
                </c:pt>
                <c:pt idx="80">
                  <c:v>95.805538248790981</c:v>
                </c:pt>
                <c:pt idx="81">
                  <c:v>93.144787131286819</c:v>
                </c:pt>
                <c:pt idx="82">
                  <c:v>94.391117074797265</c:v>
                </c:pt>
                <c:pt idx="83">
                  <c:v>96.301190118188117</c:v>
                </c:pt>
                <c:pt idx="84">
                  <c:v>95.193404173515987</c:v>
                </c:pt>
                <c:pt idx="85">
                  <c:v>94.832527539594182</c:v>
                </c:pt>
                <c:pt idx="86">
                  <c:v>94.219416284177711</c:v>
                </c:pt>
                <c:pt idx="87">
                  <c:v>93.113798348731407</c:v>
                </c:pt>
                <c:pt idx="88">
                  <c:v>93.296010268194451</c:v>
                </c:pt>
                <c:pt idx="89">
                  <c:v>93.312429117996189</c:v>
                </c:pt>
                <c:pt idx="90">
                  <c:v>91.491145546167246</c:v>
                </c:pt>
                <c:pt idx="91">
                  <c:v>89.744599878043473</c:v>
                </c:pt>
                <c:pt idx="92">
                  <c:v>88.259225147396108</c:v>
                </c:pt>
                <c:pt idx="93">
                  <c:v>90.31181910522217</c:v>
                </c:pt>
                <c:pt idx="94">
                  <c:v>91.739961259652034</c:v>
                </c:pt>
                <c:pt idx="95">
                  <c:v>92.916715349731874</c:v>
                </c:pt>
                <c:pt idx="96">
                  <c:v>93.313437702359323</c:v>
                </c:pt>
                <c:pt idx="97">
                  <c:v>94.588475845673372</c:v>
                </c:pt>
                <c:pt idx="98">
                  <c:v>93.061429601346305</c:v>
                </c:pt>
                <c:pt idx="99">
                  <c:v>93.124481005411454</c:v>
                </c:pt>
                <c:pt idx="100">
                  <c:v>91.374197238365127</c:v>
                </c:pt>
                <c:pt idx="101">
                  <c:v>90.996381708791958</c:v>
                </c:pt>
                <c:pt idx="102">
                  <c:v>90.220374237025467</c:v>
                </c:pt>
                <c:pt idx="103">
                  <c:v>90.369719482812997</c:v>
                </c:pt>
                <c:pt idx="104">
                  <c:v>87.982704750410548</c:v>
                </c:pt>
                <c:pt idx="105">
                  <c:v>87.547610648868101</c:v>
                </c:pt>
                <c:pt idx="106">
                  <c:v>87.280678718138034</c:v>
                </c:pt>
                <c:pt idx="107">
                  <c:v>85.20166429199935</c:v>
                </c:pt>
                <c:pt idx="108">
                  <c:v>85.516578092551654</c:v>
                </c:pt>
                <c:pt idx="109">
                  <c:v>86.946823942963107</c:v>
                </c:pt>
                <c:pt idx="110">
                  <c:v>87.385564913804885</c:v>
                </c:pt>
                <c:pt idx="111">
                  <c:v>86.176584451158035</c:v>
                </c:pt>
                <c:pt idx="112">
                  <c:v>83.861417337231742</c:v>
                </c:pt>
                <c:pt idx="113">
                  <c:v>83.263711956488933</c:v>
                </c:pt>
                <c:pt idx="114">
                  <c:v>80.316073067967721</c:v>
                </c:pt>
                <c:pt idx="115">
                  <c:v>81.1040717958562</c:v>
                </c:pt>
                <c:pt idx="116">
                  <c:v>81.134031656937765</c:v>
                </c:pt>
                <c:pt idx="117">
                  <c:v>82.668712268691493</c:v>
                </c:pt>
                <c:pt idx="118">
                  <c:v>84.123253083492202</c:v>
                </c:pt>
                <c:pt idx="119">
                  <c:v>83.952313327340775</c:v>
                </c:pt>
                <c:pt idx="120">
                  <c:v>83.191030608304558</c:v>
                </c:pt>
                <c:pt idx="121">
                  <c:v>84.984666735570414</c:v>
                </c:pt>
                <c:pt idx="122">
                  <c:v>83.646081624321667</c:v>
                </c:pt>
                <c:pt idx="123">
                  <c:v>81.608796346964056</c:v>
                </c:pt>
                <c:pt idx="124">
                  <c:v>81.394603374526298</c:v>
                </c:pt>
                <c:pt idx="125">
                  <c:v>83.908659902693714</c:v>
                </c:pt>
                <c:pt idx="126">
                  <c:v>83.211345465543388</c:v>
                </c:pt>
                <c:pt idx="127">
                  <c:v>85.025673564880378</c:v>
                </c:pt>
                <c:pt idx="128">
                  <c:v>85.704144839028473</c:v>
                </c:pt>
                <c:pt idx="129">
                  <c:v>87.833115979086884</c:v>
                </c:pt>
                <c:pt idx="130">
                  <c:v>84.199087724501069</c:v>
                </c:pt>
                <c:pt idx="131">
                  <c:v>82.957651470972223</c:v>
                </c:pt>
                <c:pt idx="132">
                  <c:v>80.291732719997199</c:v>
                </c:pt>
                <c:pt idx="133">
                  <c:v>81.795097782885691</c:v>
                </c:pt>
                <c:pt idx="134">
                  <c:v>82.645226075791328</c:v>
                </c:pt>
                <c:pt idx="135">
                  <c:v>81.479159244176117</c:v>
                </c:pt>
                <c:pt idx="136">
                  <c:v>82.99126055135541</c:v>
                </c:pt>
                <c:pt idx="137">
                  <c:v>81.101186104892975</c:v>
                </c:pt>
                <c:pt idx="138">
                  <c:v>81.896685696847157</c:v>
                </c:pt>
                <c:pt idx="139">
                  <c:v>81.666142604574361</c:v>
                </c:pt>
                <c:pt idx="140">
                  <c:v>81.299881977064672</c:v>
                </c:pt>
                <c:pt idx="141">
                  <c:v>79.186174857569682</c:v>
                </c:pt>
                <c:pt idx="142">
                  <c:v>79.372650950357752</c:v>
                </c:pt>
                <c:pt idx="143">
                  <c:v>77.66905130961284</c:v>
                </c:pt>
                <c:pt idx="144">
                  <c:v>76.293706163024964</c:v>
                </c:pt>
                <c:pt idx="145">
                  <c:v>76.599850355910476</c:v>
                </c:pt>
                <c:pt idx="146">
                  <c:v>78.602056798217319</c:v>
                </c:pt>
                <c:pt idx="147">
                  <c:v>79.97170234610995</c:v>
                </c:pt>
                <c:pt idx="148">
                  <c:v>79.916347299235611</c:v>
                </c:pt>
                <c:pt idx="149">
                  <c:v>79.675742954397307</c:v>
                </c:pt>
                <c:pt idx="150">
                  <c:v>78.622532948579234</c:v>
                </c:pt>
                <c:pt idx="151">
                  <c:v>76.621493208472586</c:v>
                </c:pt>
                <c:pt idx="152">
                  <c:v>74.493545702736171</c:v>
                </c:pt>
                <c:pt idx="153">
                  <c:v>74.883467283053974</c:v>
                </c:pt>
                <c:pt idx="154">
                  <c:v>73.654655524181962</c:v>
                </c:pt>
                <c:pt idx="155">
                  <c:v>74.940365162843392</c:v>
                </c:pt>
                <c:pt idx="156">
                  <c:v>76.682964843438967</c:v>
                </c:pt>
                <c:pt idx="157">
                  <c:v>78.888154955415018</c:v>
                </c:pt>
                <c:pt idx="158">
                  <c:v>77.758042822498879</c:v>
                </c:pt>
                <c:pt idx="159">
                  <c:v>77.64266803447849</c:v>
                </c:pt>
                <c:pt idx="160">
                  <c:v>78.216461802807174</c:v>
                </c:pt>
                <c:pt idx="161">
                  <c:v>78.643426138974149</c:v>
                </c:pt>
                <c:pt idx="162">
                  <c:v>77.842851213389622</c:v>
                </c:pt>
                <c:pt idx="163">
                  <c:v>80.066600134731104</c:v>
                </c:pt>
                <c:pt idx="164">
                  <c:v>80.496780065846949</c:v>
                </c:pt>
                <c:pt idx="165">
                  <c:v>77.015116909649052</c:v>
                </c:pt>
                <c:pt idx="166">
                  <c:v>77.125034925190292</c:v>
                </c:pt>
                <c:pt idx="167">
                  <c:v>78.978517021373165</c:v>
                </c:pt>
                <c:pt idx="168">
                  <c:v>80.1047423077394</c:v>
                </c:pt>
                <c:pt idx="169">
                  <c:v>81.520345154083628</c:v>
                </c:pt>
                <c:pt idx="170">
                  <c:v>80.793027676333452</c:v>
                </c:pt>
                <c:pt idx="171">
                  <c:v>82.287535103049876</c:v>
                </c:pt>
                <c:pt idx="172">
                  <c:v>82.723938630295123</c:v>
                </c:pt>
                <c:pt idx="173">
                  <c:v>83.355985498414583</c:v>
                </c:pt>
                <c:pt idx="174">
                  <c:v>78.851027970320132</c:v>
                </c:pt>
                <c:pt idx="175">
                  <c:v>80.259315854926498</c:v>
                </c:pt>
                <c:pt idx="176">
                  <c:v>78.084353321128717</c:v>
                </c:pt>
                <c:pt idx="177">
                  <c:v>72.957443279892829</c:v>
                </c:pt>
                <c:pt idx="178">
                  <c:v>73.285907535892818</c:v>
                </c:pt>
                <c:pt idx="179">
                  <c:v>73.801382814492513</c:v>
                </c:pt>
                <c:pt idx="180">
                  <c:v>73.874275735485227</c:v>
                </c:pt>
                <c:pt idx="181">
                  <c:v>72.518844284209962</c:v>
                </c:pt>
                <c:pt idx="182">
                  <c:v>73.109886394985892</c:v>
                </c:pt>
                <c:pt idx="183">
                  <c:v>74.039281058785733</c:v>
                </c:pt>
                <c:pt idx="184">
                  <c:v>73.323473928931605</c:v>
                </c:pt>
                <c:pt idx="185">
                  <c:v>73.55794488078466</c:v>
                </c:pt>
                <c:pt idx="186">
                  <c:v>75.713383534293456</c:v>
                </c:pt>
                <c:pt idx="187">
                  <c:v>77.00810169182364</c:v>
                </c:pt>
                <c:pt idx="188">
                  <c:v>74.883901096342484</c:v>
                </c:pt>
                <c:pt idx="189">
                  <c:v>79.562299517396568</c:v>
                </c:pt>
                <c:pt idx="190">
                  <c:v>79.698747392388299</c:v>
                </c:pt>
                <c:pt idx="191">
                  <c:v>79.927636242270495</c:v>
                </c:pt>
                <c:pt idx="192">
                  <c:v>80.739232084396832</c:v>
                </c:pt>
                <c:pt idx="193">
                  <c:v>81.118894979761052</c:v>
                </c:pt>
                <c:pt idx="194">
                  <c:v>85.381858368945814</c:v>
                </c:pt>
                <c:pt idx="195">
                  <c:v>87.044397565931575</c:v>
                </c:pt>
                <c:pt idx="196">
                  <c:v>88.032539873890585</c:v>
                </c:pt>
                <c:pt idx="197">
                  <c:v>89.090173865173881</c:v>
                </c:pt>
                <c:pt idx="198">
                  <c:v>89.612269219195667</c:v>
                </c:pt>
                <c:pt idx="199">
                  <c:v>87.422009323442225</c:v>
                </c:pt>
                <c:pt idx="200">
                  <c:v>86.991157808763063</c:v>
                </c:pt>
                <c:pt idx="201">
                  <c:v>90.351966252431723</c:v>
                </c:pt>
                <c:pt idx="202">
                  <c:v>89.489332152194436</c:v>
                </c:pt>
                <c:pt idx="203">
                  <c:v>84.05979977864088</c:v>
                </c:pt>
                <c:pt idx="204">
                  <c:v>83.031318120024849</c:v>
                </c:pt>
                <c:pt idx="205">
                  <c:v>82.210115717930549</c:v>
                </c:pt>
                <c:pt idx="206">
                  <c:v>84.384096231173544</c:v>
                </c:pt>
                <c:pt idx="207">
                  <c:v>82.41686329393373</c:v>
                </c:pt>
                <c:pt idx="208">
                  <c:v>82.684925008327468</c:v>
                </c:pt>
                <c:pt idx="209">
                  <c:v>81.436538486816872</c:v>
                </c:pt>
                <c:pt idx="210">
                  <c:v>78.851504072446346</c:v>
                </c:pt>
                <c:pt idx="211">
                  <c:v>73.853615316979841</c:v>
                </c:pt>
                <c:pt idx="212">
                  <c:v>75.040512761993455</c:v>
                </c:pt>
                <c:pt idx="213">
                  <c:v>74.580915383758082</c:v>
                </c:pt>
                <c:pt idx="214">
                  <c:v>74.142697614163907</c:v>
                </c:pt>
                <c:pt idx="215">
                  <c:v>73.563416328074425</c:v>
                </c:pt>
                <c:pt idx="216">
                  <c:v>70.343068564851123</c:v>
                </c:pt>
                <c:pt idx="217">
                  <c:v>66.643689800813007</c:v>
                </c:pt>
                <c:pt idx="218">
                  <c:v>67.217976072674887</c:v>
                </c:pt>
                <c:pt idx="219">
                  <c:v>68.063338797018261</c:v>
                </c:pt>
                <c:pt idx="220">
                  <c:v>68.149695041521156</c:v>
                </c:pt>
                <c:pt idx="221">
                  <c:v>71.421609460416349</c:v>
                </c:pt>
                <c:pt idx="222">
                  <c:v>74.528875775565297</c:v>
                </c:pt>
                <c:pt idx="223">
                  <c:v>74.433156315859932</c:v>
                </c:pt>
                <c:pt idx="224">
                  <c:v>74.929303393728645</c:v>
                </c:pt>
                <c:pt idx="225">
                  <c:v>74.967913613951723</c:v>
                </c:pt>
                <c:pt idx="226">
                  <c:v>75.287560976855275</c:v>
                </c:pt>
                <c:pt idx="227">
                  <c:v>73.946627618392782</c:v>
                </c:pt>
                <c:pt idx="228">
                  <c:v>73.128126031029595</c:v>
                </c:pt>
                <c:pt idx="229">
                  <c:v>73.2661883328974</c:v>
                </c:pt>
                <c:pt idx="230">
                  <c:v>70.883370781674699</c:v>
                </c:pt>
                <c:pt idx="231">
                  <c:v>71.714359005507347</c:v>
                </c:pt>
                <c:pt idx="232">
                  <c:v>72.069749495701757</c:v>
                </c:pt>
                <c:pt idx="233">
                  <c:v>72.350256195680927</c:v>
                </c:pt>
                <c:pt idx="234">
                  <c:v>71.130983437155479</c:v>
                </c:pt>
                <c:pt idx="235">
                  <c:v>68.184977176226255</c:v>
                </c:pt>
                <c:pt idx="236">
                  <c:v>68.756893307175986</c:v>
                </c:pt>
                <c:pt idx="237">
                  <c:v>67.631625330235494</c:v>
                </c:pt>
                <c:pt idx="238">
                  <c:v>68.290551839252942</c:v>
                </c:pt>
                <c:pt idx="239">
                  <c:v>68.967255752371614</c:v>
                </c:pt>
                <c:pt idx="240">
                  <c:v>70.591393251984144</c:v>
                </c:pt>
                <c:pt idx="241">
                  <c:v>68.758342254133183</c:v>
                </c:pt>
                <c:pt idx="242">
                  <c:v>68.430455414233705</c:v>
                </c:pt>
                <c:pt idx="243">
                  <c:v>70.90620843143283</c:v>
                </c:pt>
                <c:pt idx="244">
                  <c:v>70.10245213188638</c:v>
                </c:pt>
                <c:pt idx="245">
                  <c:v>71.740129098725703</c:v>
                </c:pt>
                <c:pt idx="246">
                  <c:v>70.519977833599597</c:v>
                </c:pt>
                <c:pt idx="247">
                  <c:v>69.315372513844153</c:v>
                </c:pt>
                <c:pt idx="248">
                  <c:v>70.012580333305024</c:v>
                </c:pt>
                <c:pt idx="249">
                  <c:v>70.887690030987002</c:v>
                </c:pt>
                <c:pt idx="250">
                  <c:v>71.742586909902002</c:v>
                </c:pt>
                <c:pt idx="251">
                  <c:v>68.827650624423555</c:v>
                </c:pt>
                <c:pt idx="252">
                  <c:v>67.285547694125128</c:v>
                </c:pt>
                <c:pt idx="253">
                  <c:v>66.849072192761497</c:v>
                </c:pt>
                <c:pt idx="254">
                  <c:v>67.544623097953078</c:v>
                </c:pt>
                <c:pt idx="255">
                  <c:v>66.956927654135811</c:v>
                </c:pt>
                <c:pt idx="256">
                  <c:v>65.163770713702945</c:v>
                </c:pt>
                <c:pt idx="257">
                  <c:v>64.527604641470958</c:v>
                </c:pt>
                <c:pt idx="258">
                  <c:v>65.087526104080439</c:v>
                </c:pt>
                <c:pt idx="259">
                  <c:v>64.078936476665348</c:v>
                </c:pt>
                <c:pt idx="260">
                  <c:v>65.487449728034093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53-449D-9022-5EA48E21ADF0}"/>
            </c:ext>
          </c:extLst>
        </c:ser>
        <c:ser>
          <c:idx val="4"/>
          <c:order val="4"/>
          <c:tx>
            <c:strRef>
              <c:f>All_factors!$AU$121</c:f>
              <c:strCache>
                <c:ptCount val="1"/>
                <c:pt idx="0">
                  <c:v>low_risk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All_factors!$AU$122:$AU$382</c:f>
              <c:numCache>
                <c:formatCode>General</c:formatCode>
                <c:ptCount val="261"/>
                <c:pt idx="0">
                  <c:v>100</c:v>
                </c:pt>
                <c:pt idx="1">
                  <c:v>101.34241934219577</c:v>
                </c:pt>
                <c:pt idx="2">
                  <c:v>103.49885271215594</c:v>
                </c:pt>
                <c:pt idx="3">
                  <c:v>106.53181926369403</c:v>
                </c:pt>
                <c:pt idx="4">
                  <c:v>111.08174871131085</c:v>
                </c:pt>
                <c:pt idx="5">
                  <c:v>113.96894069060629</c:v>
                </c:pt>
                <c:pt idx="6">
                  <c:v>116.25712359138019</c:v>
                </c:pt>
                <c:pt idx="7">
                  <c:v>107.17596577054185</c:v>
                </c:pt>
                <c:pt idx="8">
                  <c:v>107.30096192915974</c:v>
                </c:pt>
                <c:pt idx="9">
                  <c:v>108.1893329299818</c:v>
                </c:pt>
                <c:pt idx="10">
                  <c:v>97.983651897059957</c:v>
                </c:pt>
                <c:pt idx="11">
                  <c:v>98.30716019140614</c:v>
                </c:pt>
                <c:pt idx="12">
                  <c:v>100.63937423041826</c:v>
                </c:pt>
                <c:pt idx="13">
                  <c:v>102.78911651505551</c:v>
                </c:pt>
                <c:pt idx="14">
                  <c:v>105.58340708406637</c:v>
                </c:pt>
                <c:pt idx="15">
                  <c:v>102.57816943311148</c:v>
                </c:pt>
                <c:pt idx="16">
                  <c:v>104.80895821242468</c:v>
                </c:pt>
                <c:pt idx="17">
                  <c:v>102.23713057011811</c:v>
                </c:pt>
                <c:pt idx="18">
                  <c:v>103.40165188663401</c:v>
                </c:pt>
                <c:pt idx="19">
                  <c:v>103.67858657696067</c:v>
                </c:pt>
                <c:pt idx="20">
                  <c:v>102.03443983186325</c:v>
                </c:pt>
                <c:pt idx="21">
                  <c:v>101.13395436632177</c:v>
                </c:pt>
                <c:pt idx="22">
                  <c:v>101.81859158457583</c:v>
                </c:pt>
                <c:pt idx="23">
                  <c:v>97.739417821810108</c:v>
                </c:pt>
                <c:pt idx="24">
                  <c:v>98.719067692171123</c:v>
                </c:pt>
                <c:pt idx="25">
                  <c:v>99.638426395475449</c:v>
                </c:pt>
                <c:pt idx="26">
                  <c:v>98.320758962801932</c:v>
                </c:pt>
                <c:pt idx="27">
                  <c:v>97.99258596299407</c:v>
                </c:pt>
                <c:pt idx="28">
                  <c:v>101.87022730683329</c:v>
                </c:pt>
                <c:pt idx="29">
                  <c:v>101.98213736485114</c:v>
                </c:pt>
                <c:pt idx="30">
                  <c:v>98.820261440407549</c:v>
                </c:pt>
                <c:pt idx="31">
                  <c:v>99.119274251099583</c:v>
                </c:pt>
                <c:pt idx="32">
                  <c:v>96.763982909649428</c:v>
                </c:pt>
                <c:pt idx="33">
                  <c:v>97.231725971005361</c:v>
                </c:pt>
                <c:pt idx="34">
                  <c:v>99.492380777973494</c:v>
                </c:pt>
                <c:pt idx="35">
                  <c:v>97.154568027650058</c:v>
                </c:pt>
                <c:pt idx="36">
                  <c:v>96.651502809504009</c:v>
                </c:pt>
                <c:pt idx="37">
                  <c:v>93.714404479155633</c:v>
                </c:pt>
                <c:pt idx="38">
                  <c:v>94.927352170278965</c:v>
                </c:pt>
                <c:pt idx="39">
                  <c:v>92.858811581502223</c:v>
                </c:pt>
                <c:pt idx="40">
                  <c:v>95.467620858849557</c:v>
                </c:pt>
                <c:pt idx="41">
                  <c:v>94.803679086747294</c:v>
                </c:pt>
                <c:pt idx="42">
                  <c:v>94.566166733286224</c:v>
                </c:pt>
                <c:pt idx="43">
                  <c:v>95.111679286524719</c:v>
                </c:pt>
                <c:pt idx="44">
                  <c:v>97.503746102514285</c:v>
                </c:pt>
                <c:pt idx="45">
                  <c:v>99.53691968629299</c:v>
                </c:pt>
                <c:pt idx="46">
                  <c:v>98.651488058678339</c:v>
                </c:pt>
                <c:pt idx="47">
                  <c:v>102.22224957421199</c:v>
                </c:pt>
                <c:pt idx="48">
                  <c:v>98.858376648920043</c:v>
                </c:pt>
                <c:pt idx="49">
                  <c:v>96.606941239474139</c:v>
                </c:pt>
                <c:pt idx="50">
                  <c:v>99.259318108733538</c:v>
                </c:pt>
                <c:pt idx="51">
                  <c:v>97.453804703293059</c:v>
                </c:pt>
                <c:pt idx="52">
                  <c:v>101.48411006933443</c:v>
                </c:pt>
                <c:pt idx="53">
                  <c:v>110.39121001885071</c:v>
                </c:pt>
                <c:pt idx="54">
                  <c:v>120.30718077257001</c:v>
                </c:pt>
                <c:pt idx="55">
                  <c:v>124.38648800552646</c:v>
                </c:pt>
                <c:pt idx="56">
                  <c:v>115.44287201421881</c:v>
                </c:pt>
                <c:pt idx="57">
                  <c:v>110.66053615452408</c:v>
                </c:pt>
                <c:pt idx="58">
                  <c:v>118.08210353276999</c:v>
                </c:pt>
                <c:pt idx="59">
                  <c:v>108.55425524279222</c:v>
                </c:pt>
                <c:pt idx="60">
                  <c:v>94.258414753364363</c:v>
                </c:pt>
                <c:pt idx="61">
                  <c:v>89.528107785816246</c:v>
                </c:pt>
                <c:pt idx="62">
                  <c:v>92.782660342791786</c:v>
                </c:pt>
                <c:pt idx="63">
                  <c:v>87.667294150775547</c:v>
                </c:pt>
                <c:pt idx="64">
                  <c:v>86.215525121298569</c:v>
                </c:pt>
                <c:pt idx="65">
                  <c:v>83.811116528658758</c:v>
                </c:pt>
                <c:pt idx="66">
                  <c:v>83.960513452053704</c:v>
                </c:pt>
                <c:pt idx="67">
                  <c:v>81.510550497713183</c:v>
                </c:pt>
                <c:pt idx="68">
                  <c:v>81.82734992591277</c:v>
                </c:pt>
                <c:pt idx="69">
                  <c:v>84.019150734048424</c:v>
                </c:pt>
                <c:pt idx="70">
                  <c:v>84.275261059637501</c:v>
                </c:pt>
                <c:pt idx="71">
                  <c:v>85.229379458531241</c:v>
                </c:pt>
                <c:pt idx="72">
                  <c:v>87.660445409009611</c:v>
                </c:pt>
                <c:pt idx="73">
                  <c:v>89.518200508688722</c:v>
                </c:pt>
                <c:pt idx="74">
                  <c:v>92.055175495971028</c:v>
                </c:pt>
                <c:pt idx="75">
                  <c:v>89.366003446443415</c:v>
                </c:pt>
                <c:pt idx="76">
                  <c:v>91.939520305385287</c:v>
                </c:pt>
                <c:pt idx="77">
                  <c:v>91.432611320191427</c:v>
                </c:pt>
                <c:pt idx="78">
                  <c:v>92.219708555167799</c:v>
                </c:pt>
                <c:pt idx="79">
                  <c:v>94.630797973873143</c:v>
                </c:pt>
                <c:pt idx="80">
                  <c:v>95.906205806496416</c:v>
                </c:pt>
                <c:pt idx="81">
                  <c:v>98.140945014163847</c:v>
                </c:pt>
                <c:pt idx="82">
                  <c:v>98.648637530693733</c:v>
                </c:pt>
                <c:pt idx="83">
                  <c:v>99.780841394877399</c:v>
                </c:pt>
                <c:pt idx="84">
                  <c:v>100.35610940735252</c:v>
                </c:pt>
                <c:pt idx="85">
                  <c:v>102.2134972116183</c:v>
                </c:pt>
                <c:pt idx="86">
                  <c:v>104.08437850320151</c:v>
                </c:pt>
                <c:pt idx="87">
                  <c:v>105.94835996247359</c:v>
                </c:pt>
                <c:pt idx="88">
                  <c:v>106.41130963171216</c:v>
                </c:pt>
                <c:pt idx="89">
                  <c:v>113.72139056129387</c:v>
                </c:pt>
                <c:pt idx="90">
                  <c:v>112.13873506452974</c:v>
                </c:pt>
                <c:pt idx="91">
                  <c:v>117.25935022733707</c:v>
                </c:pt>
                <c:pt idx="92">
                  <c:v>122.32725230397355</c:v>
                </c:pt>
                <c:pt idx="93">
                  <c:v>114.29415058726775</c:v>
                </c:pt>
                <c:pt idx="94">
                  <c:v>115.1447486081716</c:v>
                </c:pt>
                <c:pt idx="95">
                  <c:v>118.77323770362761</c:v>
                </c:pt>
                <c:pt idx="96">
                  <c:v>125.26363123054584</c:v>
                </c:pt>
                <c:pt idx="97">
                  <c:v>132.26570901839969</c:v>
                </c:pt>
                <c:pt idx="98">
                  <c:v>139.79457797543742</c:v>
                </c:pt>
                <c:pt idx="99">
                  <c:v>136.93388512855421</c:v>
                </c:pt>
                <c:pt idx="100">
                  <c:v>133.4112877309723</c:v>
                </c:pt>
                <c:pt idx="101">
                  <c:v>131.67966975176995</c:v>
                </c:pt>
                <c:pt idx="102">
                  <c:v>136.8426077643972</c:v>
                </c:pt>
                <c:pt idx="103">
                  <c:v>139.53013721880006</c:v>
                </c:pt>
                <c:pt idx="104">
                  <c:v>135.04280219763959</c:v>
                </c:pt>
                <c:pt idx="105">
                  <c:v>137.8851882672632</c:v>
                </c:pt>
                <c:pt idx="106">
                  <c:v>141.76225476282059</c:v>
                </c:pt>
                <c:pt idx="107">
                  <c:v>146.95794917187948</c:v>
                </c:pt>
                <c:pt idx="108">
                  <c:v>150.4031402584813</c:v>
                </c:pt>
                <c:pt idx="109">
                  <c:v>153.39603306437402</c:v>
                </c:pt>
                <c:pt idx="110">
                  <c:v>158.1183877480276</c:v>
                </c:pt>
                <c:pt idx="111">
                  <c:v>158.63013246767048</c:v>
                </c:pt>
                <c:pt idx="112">
                  <c:v>156.00323264724855</c:v>
                </c:pt>
                <c:pt idx="113">
                  <c:v>155.5702553041202</c:v>
                </c:pt>
                <c:pt idx="114">
                  <c:v>155.51730433058825</c:v>
                </c:pt>
                <c:pt idx="115">
                  <c:v>156.57440564680323</c:v>
                </c:pt>
                <c:pt idx="116">
                  <c:v>154.48582766791532</c:v>
                </c:pt>
                <c:pt idx="117">
                  <c:v>154.78349175807037</c:v>
                </c:pt>
                <c:pt idx="118">
                  <c:v>158.14870001536127</c:v>
                </c:pt>
                <c:pt idx="119">
                  <c:v>157.02405235816491</c:v>
                </c:pt>
                <c:pt idx="120">
                  <c:v>160.48369018756179</c:v>
                </c:pt>
                <c:pt idx="121">
                  <c:v>157.8121869810268</c:v>
                </c:pt>
                <c:pt idx="122">
                  <c:v>154.59829306223557</c:v>
                </c:pt>
                <c:pt idx="123">
                  <c:v>150.15171984107778</c:v>
                </c:pt>
                <c:pt idx="124">
                  <c:v>150.92789683521374</c:v>
                </c:pt>
                <c:pt idx="125">
                  <c:v>158.17174241716125</c:v>
                </c:pt>
                <c:pt idx="126">
                  <c:v>155.63328392329768</c:v>
                </c:pt>
                <c:pt idx="127">
                  <c:v>159.07564055801643</c:v>
                </c:pt>
                <c:pt idx="128">
                  <c:v>166.23359484087845</c:v>
                </c:pt>
                <c:pt idx="129">
                  <c:v>178.0524616946422</c:v>
                </c:pt>
                <c:pt idx="130">
                  <c:v>176.6844556525246</c:v>
                </c:pt>
                <c:pt idx="131">
                  <c:v>179.07643689770376</c:v>
                </c:pt>
                <c:pt idx="132">
                  <c:v>170.55794356901475</c:v>
                </c:pt>
                <c:pt idx="133">
                  <c:v>175.95080523184515</c:v>
                </c:pt>
                <c:pt idx="134">
                  <c:v>178.52100597025009</c:v>
                </c:pt>
                <c:pt idx="135">
                  <c:v>189.50298852871131</c:v>
                </c:pt>
                <c:pt idx="136">
                  <c:v>192.64869419879</c:v>
                </c:pt>
                <c:pt idx="137">
                  <c:v>198.8273970496779</c:v>
                </c:pt>
                <c:pt idx="138">
                  <c:v>188.03086576793899</c:v>
                </c:pt>
                <c:pt idx="139">
                  <c:v>186.26185076833852</c:v>
                </c:pt>
                <c:pt idx="140">
                  <c:v>187.93982401954423</c:v>
                </c:pt>
                <c:pt idx="141">
                  <c:v>190.44642385830323</c:v>
                </c:pt>
                <c:pt idx="142">
                  <c:v>183.05873119279951</c:v>
                </c:pt>
                <c:pt idx="143">
                  <c:v>169.16012619726723</c:v>
                </c:pt>
                <c:pt idx="144">
                  <c:v>159.55999485250587</c:v>
                </c:pt>
                <c:pt idx="145">
                  <c:v>167.23630729448686</c:v>
                </c:pt>
                <c:pt idx="146">
                  <c:v>160.23101220028317</c:v>
                </c:pt>
                <c:pt idx="147">
                  <c:v>152.94182089782097</c:v>
                </c:pt>
                <c:pt idx="148">
                  <c:v>153.48395193719753</c:v>
                </c:pt>
                <c:pt idx="149">
                  <c:v>155.70882224970021</c:v>
                </c:pt>
                <c:pt idx="150">
                  <c:v>150.27877739134948</c:v>
                </c:pt>
                <c:pt idx="151">
                  <c:v>149.23704053519307</c:v>
                </c:pt>
                <c:pt idx="152">
                  <c:v>148.6652579445485</c:v>
                </c:pt>
                <c:pt idx="153">
                  <c:v>145.37874833690762</c:v>
                </c:pt>
                <c:pt idx="154">
                  <c:v>142.62158269485363</c:v>
                </c:pt>
                <c:pt idx="155">
                  <c:v>144.28868353135246</c:v>
                </c:pt>
                <c:pt idx="156">
                  <c:v>142.96504687544524</c:v>
                </c:pt>
                <c:pt idx="157">
                  <c:v>147.21531805858424</c:v>
                </c:pt>
                <c:pt idx="158">
                  <c:v>147.97636227096675</c:v>
                </c:pt>
                <c:pt idx="159">
                  <c:v>141.52521215985337</c:v>
                </c:pt>
                <c:pt idx="160">
                  <c:v>136.4923236526318</c:v>
                </c:pt>
                <c:pt idx="161">
                  <c:v>133.63712883478581</c:v>
                </c:pt>
                <c:pt idx="162">
                  <c:v>135.80608798497772</c:v>
                </c:pt>
                <c:pt idx="163">
                  <c:v>135.49368504849593</c:v>
                </c:pt>
                <c:pt idx="164">
                  <c:v>132.97135048131179</c:v>
                </c:pt>
                <c:pt idx="165">
                  <c:v>133.7105894763516</c:v>
                </c:pt>
                <c:pt idx="166">
                  <c:v>133.77310609871503</c:v>
                </c:pt>
                <c:pt idx="167">
                  <c:v>134.53253697740371</c:v>
                </c:pt>
                <c:pt idx="168">
                  <c:v>129.99277023010254</c:v>
                </c:pt>
                <c:pt idx="169">
                  <c:v>132.01151406297799</c:v>
                </c:pt>
                <c:pt idx="170">
                  <c:v>130.91381603347514</c:v>
                </c:pt>
                <c:pt idx="171">
                  <c:v>128.99975484407352</c:v>
                </c:pt>
                <c:pt idx="172">
                  <c:v>132.26030128740874</c:v>
                </c:pt>
                <c:pt idx="173">
                  <c:v>132.24938177350748</c:v>
                </c:pt>
                <c:pt idx="174">
                  <c:v>121.62242412547207</c:v>
                </c:pt>
                <c:pt idx="175">
                  <c:v>123.48704753244836</c:v>
                </c:pt>
                <c:pt idx="176">
                  <c:v>123.30606503305404</c:v>
                </c:pt>
                <c:pt idx="177">
                  <c:v>119.84843804540249</c:v>
                </c:pt>
                <c:pt idx="178">
                  <c:v>118.31365273667257</c:v>
                </c:pt>
                <c:pt idx="179">
                  <c:v>117.30359435269683</c:v>
                </c:pt>
                <c:pt idx="180">
                  <c:v>116.35935650750152</c:v>
                </c:pt>
                <c:pt idx="181">
                  <c:v>116.4828034150154</c:v>
                </c:pt>
                <c:pt idx="182">
                  <c:v>117.21430985563167</c:v>
                </c:pt>
                <c:pt idx="183">
                  <c:v>114.42034391871057</c:v>
                </c:pt>
                <c:pt idx="184">
                  <c:v>112.7007429239124</c:v>
                </c:pt>
                <c:pt idx="185">
                  <c:v>112.82139872535957</c:v>
                </c:pt>
                <c:pt idx="186">
                  <c:v>111.56866899168975</c:v>
                </c:pt>
                <c:pt idx="187">
                  <c:v>110.82244540285961</c:v>
                </c:pt>
                <c:pt idx="188">
                  <c:v>110.88549994332554</c:v>
                </c:pt>
                <c:pt idx="189">
                  <c:v>108.7914439440779</c:v>
                </c:pt>
                <c:pt idx="190">
                  <c:v>109.5369186879479</c:v>
                </c:pt>
                <c:pt idx="191">
                  <c:v>118.98596781095597</c:v>
                </c:pt>
                <c:pt idx="192">
                  <c:v>105.83981405956638</c:v>
                </c:pt>
                <c:pt idx="193">
                  <c:v>102.96152721674335</c:v>
                </c:pt>
                <c:pt idx="194">
                  <c:v>99.216343477192538</c:v>
                </c:pt>
                <c:pt idx="195">
                  <c:v>99.939840452397519</c:v>
                </c:pt>
                <c:pt idx="196">
                  <c:v>99.572991240652399</c:v>
                </c:pt>
                <c:pt idx="197">
                  <c:v>102.70011946182233</c:v>
                </c:pt>
                <c:pt idx="198">
                  <c:v>103.26253111370583</c:v>
                </c:pt>
                <c:pt idx="199">
                  <c:v>103.78455801316825</c:v>
                </c:pt>
                <c:pt idx="200">
                  <c:v>101.70983036273552</c:v>
                </c:pt>
                <c:pt idx="201">
                  <c:v>101.70657846688813</c:v>
                </c:pt>
                <c:pt idx="202">
                  <c:v>102.43161807769282</c:v>
                </c:pt>
                <c:pt idx="203">
                  <c:v>100.91382724134098</c:v>
                </c:pt>
                <c:pt idx="204">
                  <c:v>97.771879962377682</c:v>
                </c:pt>
                <c:pt idx="205">
                  <c:v>97.865175785511354</c:v>
                </c:pt>
                <c:pt idx="206">
                  <c:v>95.674535221421394</c:v>
                </c:pt>
                <c:pt idx="207">
                  <c:v>98.061763702269971</c:v>
                </c:pt>
                <c:pt idx="208">
                  <c:v>103.15070558322377</c:v>
                </c:pt>
                <c:pt idx="209">
                  <c:v>106.97048547288034</c:v>
                </c:pt>
                <c:pt idx="210">
                  <c:v>113.84593789225848</c:v>
                </c:pt>
                <c:pt idx="211">
                  <c:v>114.91039478494275</c:v>
                </c:pt>
                <c:pt idx="212">
                  <c:v>114.14394219155488</c:v>
                </c:pt>
                <c:pt idx="213">
                  <c:v>113.65071808068231</c:v>
                </c:pt>
                <c:pt idx="214">
                  <c:v>119.66718152910497</c:v>
                </c:pt>
                <c:pt idx="215">
                  <c:v>118.98782606517082</c:v>
                </c:pt>
                <c:pt idx="216">
                  <c:v>125.79508589125439</c:v>
                </c:pt>
                <c:pt idx="217">
                  <c:v>127.76437019395981</c:v>
                </c:pt>
                <c:pt idx="218">
                  <c:v>138.12833404641214</c:v>
                </c:pt>
                <c:pt idx="219">
                  <c:v>136.70891745107357</c:v>
                </c:pt>
                <c:pt idx="220">
                  <c:v>126.53517389460995</c:v>
                </c:pt>
                <c:pt idx="221">
                  <c:v>125.3922125766028</c:v>
                </c:pt>
                <c:pt idx="222">
                  <c:v>126.10898660129986</c:v>
                </c:pt>
                <c:pt idx="223">
                  <c:v>135.24831935351696</c:v>
                </c:pt>
                <c:pt idx="224">
                  <c:v>137.24291801512288</c:v>
                </c:pt>
                <c:pt idx="225">
                  <c:v>133.19784678743673</c:v>
                </c:pt>
                <c:pt idx="226">
                  <c:v>140.78832699787799</c:v>
                </c:pt>
                <c:pt idx="227">
                  <c:v>147.2094406763554</c:v>
                </c:pt>
                <c:pt idx="228">
                  <c:v>146.73683280550972</c:v>
                </c:pt>
                <c:pt idx="229">
                  <c:v>131.65003291075541</c:v>
                </c:pt>
                <c:pt idx="230">
                  <c:v>130.34974292816298</c:v>
                </c:pt>
                <c:pt idx="231">
                  <c:v>126.10141057789477</c:v>
                </c:pt>
                <c:pt idx="232">
                  <c:v>130.74533550425627</c:v>
                </c:pt>
                <c:pt idx="233">
                  <c:v>133.80898299461998</c:v>
                </c:pt>
                <c:pt idx="234">
                  <c:v>140.8706220394059</c:v>
                </c:pt>
                <c:pt idx="235">
                  <c:v>135.08763300705627</c:v>
                </c:pt>
                <c:pt idx="236">
                  <c:v>134.73849810984612</c:v>
                </c:pt>
                <c:pt idx="237">
                  <c:v>136.83043888527268</c:v>
                </c:pt>
                <c:pt idx="238">
                  <c:v>137.8323549366163</c:v>
                </c:pt>
                <c:pt idx="239">
                  <c:v>134.46700689964129</c:v>
                </c:pt>
                <c:pt idx="240">
                  <c:v>140.25088712416235</c:v>
                </c:pt>
                <c:pt idx="241">
                  <c:v>140.37028693019963</c:v>
                </c:pt>
                <c:pt idx="242">
                  <c:v>141.33647537072588</c:v>
                </c:pt>
                <c:pt idx="243">
                  <c:v>141.91131615816326</c:v>
                </c:pt>
                <c:pt idx="244">
                  <c:v>144.72851167059812</c:v>
                </c:pt>
                <c:pt idx="245">
                  <c:v>147.69405880379898</c:v>
                </c:pt>
                <c:pt idx="246">
                  <c:v>146.04492185030264</c:v>
                </c:pt>
                <c:pt idx="247">
                  <c:v>147.72157604778329</c:v>
                </c:pt>
                <c:pt idx="248">
                  <c:v>153.86724121441088</c:v>
                </c:pt>
                <c:pt idx="249">
                  <c:v>154.74203912854421</c:v>
                </c:pt>
                <c:pt idx="250">
                  <c:v>160.22299555111266</c:v>
                </c:pt>
                <c:pt idx="251">
                  <c:v>155.45247534064728</c:v>
                </c:pt>
                <c:pt idx="252">
                  <c:v>153.43781629687203</c:v>
                </c:pt>
                <c:pt idx="253">
                  <c:v>147.00851862051772</c:v>
                </c:pt>
                <c:pt idx="254">
                  <c:v>148.28635756335945</c:v>
                </c:pt>
                <c:pt idx="255">
                  <c:v>150.86853289936369</c:v>
                </c:pt>
                <c:pt idx="256">
                  <c:v>153.61111209839686</c:v>
                </c:pt>
                <c:pt idx="257">
                  <c:v>153.82407771136894</c:v>
                </c:pt>
                <c:pt idx="258">
                  <c:v>158.54054502159258</c:v>
                </c:pt>
                <c:pt idx="259">
                  <c:v>159.69786965932329</c:v>
                </c:pt>
                <c:pt idx="260">
                  <c:v>165.89243704446025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53-449D-9022-5EA48E21ADF0}"/>
            </c:ext>
          </c:extLst>
        </c:ser>
        <c:ser>
          <c:idx val="5"/>
          <c:order val="5"/>
          <c:tx>
            <c:strRef>
              <c:f>All_factors!$AV$121</c:f>
              <c:strCache>
                <c:ptCount val="1"/>
                <c:pt idx="0">
                  <c:v>momentum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All_factors!$AV$122:$AV$382</c:f>
              <c:numCache>
                <c:formatCode>General</c:formatCode>
                <c:ptCount val="261"/>
                <c:pt idx="0">
                  <c:v>100</c:v>
                </c:pt>
                <c:pt idx="1">
                  <c:v>101.85868662462336</c:v>
                </c:pt>
                <c:pt idx="2">
                  <c:v>103.76356398045728</c:v>
                </c:pt>
                <c:pt idx="3">
                  <c:v>108.02426662663129</c:v>
                </c:pt>
                <c:pt idx="4">
                  <c:v>120.08368859068469</c:v>
                </c:pt>
                <c:pt idx="5">
                  <c:v>121.40883728399928</c:v>
                </c:pt>
                <c:pt idx="6">
                  <c:v>126.23617379599263</c:v>
                </c:pt>
                <c:pt idx="7">
                  <c:v>138.80556226988733</c:v>
                </c:pt>
                <c:pt idx="8">
                  <c:v>140.84800184171408</c:v>
                </c:pt>
                <c:pt idx="9">
                  <c:v>141.03879594013074</c:v>
                </c:pt>
                <c:pt idx="10">
                  <c:v>142.04174628267319</c:v>
                </c:pt>
                <c:pt idx="11">
                  <c:v>131.24593387761342</c:v>
                </c:pt>
                <c:pt idx="12">
                  <c:v>129.45033513676216</c:v>
                </c:pt>
                <c:pt idx="13">
                  <c:v>123.71764412212174</c:v>
                </c:pt>
                <c:pt idx="14">
                  <c:v>123.46663252218509</c:v>
                </c:pt>
                <c:pt idx="15">
                  <c:v>121.71349899092694</c:v>
                </c:pt>
                <c:pt idx="16">
                  <c:v>128.02715004157426</c:v>
                </c:pt>
                <c:pt idx="17">
                  <c:v>134.65827447775112</c:v>
                </c:pt>
                <c:pt idx="18">
                  <c:v>140.49126217245291</c:v>
                </c:pt>
                <c:pt idx="19">
                  <c:v>133.15132676234896</c:v>
                </c:pt>
                <c:pt idx="20">
                  <c:v>135.53863004129752</c:v>
                </c:pt>
                <c:pt idx="21">
                  <c:v>139.44278701556888</c:v>
                </c:pt>
                <c:pt idx="22">
                  <c:v>133.3173537369145</c:v>
                </c:pt>
                <c:pt idx="23">
                  <c:v>134.50110233751531</c:v>
                </c:pt>
                <c:pt idx="24">
                  <c:v>140.55551983968562</c:v>
                </c:pt>
                <c:pt idx="25">
                  <c:v>134.57701583059034</c:v>
                </c:pt>
                <c:pt idx="26">
                  <c:v>129.68103456253647</c:v>
                </c:pt>
                <c:pt idx="27">
                  <c:v>130.50058452522396</c:v>
                </c:pt>
                <c:pt idx="28">
                  <c:v>127.86671241411523</c:v>
                </c:pt>
                <c:pt idx="29">
                  <c:v>126.85136580277681</c:v>
                </c:pt>
                <c:pt idx="30">
                  <c:v>123.96859637746292</c:v>
                </c:pt>
                <c:pt idx="31">
                  <c:v>117.20628415206356</c:v>
                </c:pt>
                <c:pt idx="32">
                  <c:v>117.35463494940366</c:v>
                </c:pt>
                <c:pt idx="33">
                  <c:v>120.78129404912222</c:v>
                </c:pt>
                <c:pt idx="34">
                  <c:v>118.36253026302768</c:v>
                </c:pt>
                <c:pt idx="35">
                  <c:v>117.08609109494098</c:v>
                </c:pt>
                <c:pt idx="36">
                  <c:v>115.96258604875339</c:v>
                </c:pt>
                <c:pt idx="37">
                  <c:v>114.53532934699773</c:v>
                </c:pt>
                <c:pt idx="38">
                  <c:v>119.99610135169097</c:v>
                </c:pt>
                <c:pt idx="39">
                  <c:v>122.61085975000505</c:v>
                </c:pt>
                <c:pt idx="40">
                  <c:v>124.24574771408868</c:v>
                </c:pt>
                <c:pt idx="41">
                  <c:v>127.23833159651558</c:v>
                </c:pt>
                <c:pt idx="42">
                  <c:v>136.40597272659261</c:v>
                </c:pt>
                <c:pt idx="43">
                  <c:v>143.81149734518058</c:v>
                </c:pt>
                <c:pt idx="44">
                  <c:v>150.07217641053521</c:v>
                </c:pt>
                <c:pt idx="45">
                  <c:v>150.15456007306872</c:v>
                </c:pt>
                <c:pt idx="46">
                  <c:v>148.69930419892185</c:v>
                </c:pt>
                <c:pt idx="47">
                  <c:v>149.77731356111073</c:v>
                </c:pt>
                <c:pt idx="48">
                  <c:v>157.03806880870573</c:v>
                </c:pt>
                <c:pt idx="49">
                  <c:v>151.39654488363178</c:v>
                </c:pt>
                <c:pt idx="50">
                  <c:v>156.18269770279969</c:v>
                </c:pt>
                <c:pt idx="51">
                  <c:v>154.10823876906059</c:v>
                </c:pt>
                <c:pt idx="52">
                  <c:v>151.46729554088768</c:v>
                </c:pt>
                <c:pt idx="53">
                  <c:v>157.83203935331935</c:v>
                </c:pt>
                <c:pt idx="54">
                  <c:v>170.11699907351743</c:v>
                </c:pt>
                <c:pt idx="55">
                  <c:v>190.24775687699378</c:v>
                </c:pt>
                <c:pt idx="56">
                  <c:v>172.42516490647822</c:v>
                </c:pt>
                <c:pt idx="57">
                  <c:v>164.96759393890619</c:v>
                </c:pt>
                <c:pt idx="58">
                  <c:v>180.60495288545954</c:v>
                </c:pt>
                <c:pt idx="59">
                  <c:v>175.20734138267179</c:v>
                </c:pt>
                <c:pt idx="60">
                  <c:v>137.93122989207052</c:v>
                </c:pt>
                <c:pt idx="61">
                  <c:v>125.88853071156697</c:v>
                </c:pt>
                <c:pt idx="62">
                  <c:v>127.4166991213127</c:v>
                </c:pt>
                <c:pt idx="63">
                  <c:v>128.84207171958582</c:v>
                </c:pt>
                <c:pt idx="64">
                  <c:v>126.1292135728965</c:v>
                </c:pt>
                <c:pt idx="65">
                  <c:v>129.55135688810287</c:v>
                </c:pt>
                <c:pt idx="66">
                  <c:v>129.9390512475926</c:v>
                </c:pt>
                <c:pt idx="67">
                  <c:v>134.66860052251639</c:v>
                </c:pt>
                <c:pt idx="68">
                  <c:v>132.84445775771576</c:v>
                </c:pt>
                <c:pt idx="69">
                  <c:v>134.3769186764323</c:v>
                </c:pt>
                <c:pt idx="70">
                  <c:v>134.27849838816778</c:v>
                </c:pt>
                <c:pt idx="71">
                  <c:v>129.18742789179066</c:v>
                </c:pt>
                <c:pt idx="72">
                  <c:v>128.04331862603735</c:v>
                </c:pt>
                <c:pt idx="73">
                  <c:v>128.20970912811202</c:v>
                </c:pt>
                <c:pt idx="74">
                  <c:v>130.8966979849975</c:v>
                </c:pt>
                <c:pt idx="75">
                  <c:v>128.46779049141281</c:v>
                </c:pt>
                <c:pt idx="76">
                  <c:v>133.42326923035679</c:v>
                </c:pt>
                <c:pt idx="77">
                  <c:v>134.72809049412041</c:v>
                </c:pt>
                <c:pt idx="78">
                  <c:v>143.42589470829014</c:v>
                </c:pt>
                <c:pt idx="79">
                  <c:v>146.79542290165972</c:v>
                </c:pt>
                <c:pt idx="80">
                  <c:v>145.21621873643718</c:v>
                </c:pt>
                <c:pt idx="81">
                  <c:v>144.82758389097316</c:v>
                </c:pt>
                <c:pt idx="82">
                  <c:v>146.76625787744058</c:v>
                </c:pt>
                <c:pt idx="83">
                  <c:v>148.27222572718523</c:v>
                </c:pt>
                <c:pt idx="84">
                  <c:v>149.29734938553338</c:v>
                </c:pt>
                <c:pt idx="85">
                  <c:v>152.6190607082552</c:v>
                </c:pt>
                <c:pt idx="86">
                  <c:v>157.25487511115267</c:v>
                </c:pt>
                <c:pt idx="87">
                  <c:v>167.08896319263684</c:v>
                </c:pt>
                <c:pt idx="88">
                  <c:v>169.15556130007252</c:v>
                </c:pt>
                <c:pt idx="89">
                  <c:v>180.48323867133243</c:v>
                </c:pt>
                <c:pt idx="90">
                  <c:v>168.34995539318462</c:v>
                </c:pt>
                <c:pt idx="91">
                  <c:v>176.16024039179769</c:v>
                </c:pt>
                <c:pt idx="92">
                  <c:v>177.71343258353883</c:v>
                </c:pt>
                <c:pt idx="93">
                  <c:v>167.78991716986744</c:v>
                </c:pt>
                <c:pt idx="94">
                  <c:v>169.31878910611394</c:v>
                </c:pt>
                <c:pt idx="95">
                  <c:v>173.52498265214535</c:v>
                </c:pt>
                <c:pt idx="96">
                  <c:v>178.41720575184129</c:v>
                </c:pt>
                <c:pt idx="97">
                  <c:v>185.60301809161948</c:v>
                </c:pt>
                <c:pt idx="98">
                  <c:v>203.29783259581026</c:v>
                </c:pt>
                <c:pt idx="99">
                  <c:v>208.45815385517631</c:v>
                </c:pt>
                <c:pt idx="100">
                  <c:v>199.74207916390452</c:v>
                </c:pt>
                <c:pt idx="101">
                  <c:v>196.98216257232932</c:v>
                </c:pt>
                <c:pt idx="102">
                  <c:v>205.82271356845737</c:v>
                </c:pt>
                <c:pt idx="103">
                  <c:v>210.60598387684342</c:v>
                </c:pt>
                <c:pt idx="104">
                  <c:v>211.16272047379613</c:v>
                </c:pt>
                <c:pt idx="105">
                  <c:v>213.76399138618328</c:v>
                </c:pt>
                <c:pt idx="106">
                  <c:v>218.16203111597349</c:v>
                </c:pt>
                <c:pt idx="107">
                  <c:v>225.30152277705488</c:v>
                </c:pt>
                <c:pt idx="108">
                  <c:v>227.45982608641833</c:v>
                </c:pt>
                <c:pt idx="109">
                  <c:v>232.48398463746213</c:v>
                </c:pt>
                <c:pt idx="110">
                  <c:v>239.10071679714471</c:v>
                </c:pt>
                <c:pt idx="111">
                  <c:v>242.2602609516197</c:v>
                </c:pt>
                <c:pt idx="112">
                  <c:v>254.07479471721254</c:v>
                </c:pt>
                <c:pt idx="113">
                  <c:v>242.98771558759537</c:v>
                </c:pt>
                <c:pt idx="114">
                  <c:v>255.96281147422602</c:v>
                </c:pt>
                <c:pt idx="115">
                  <c:v>259.54911191234862</c:v>
                </c:pt>
                <c:pt idx="116">
                  <c:v>262.47557079570475</c:v>
                </c:pt>
                <c:pt idx="117">
                  <c:v>265.41486380899369</c:v>
                </c:pt>
                <c:pt idx="118">
                  <c:v>265.94940455945857</c:v>
                </c:pt>
                <c:pt idx="119">
                  <c:v>264.93951471429489</c:v>
                </c:pt>
                <c:pt idx="120">
                  <c:v>263.94933897566114</c:v>
                </c:pt>
                <c:pt idx="121">
                  <c:v>266.80593425966089</c:v>
                </c:pt>
                <c:pt idx="122">
                  <c:v>278.71640891130272</c:v>
                </c:pt>
                <c:pt idx="123">
                  <c:v>281.17291708588402</c:v>
                </c:pt>
                <c:pt idx="124">
                  <c:v>277.61866565255036</c:v>
                </c:pt>
                <c:pt idx="125">
                  <c:v>271.21640087446622</c:v>
                </c:pt>
                <c:pt idx="126">
                  <c:v>281.90468597179637</c:v>
                </c:pt>
                <c:pt idx="127">
                  <c:v>292.07021287318889</c:v>
                </c:pt>
                <c:pt idx="128">
                  <c:v>298.60530693877035</c:v>
                </c:pt>
                <c:pt idx="129">
                  <c:v>306.7829937550157</c:v>
                </c:pt>
                <c:pt idx="130">
                  <c:v>304.2955847039475</c:v>
                </c:pt>
                <c:pt idx="131">
                  <c:v>312.36893249829313</c:v>
                </c:pt>
                <c:pt idx="132">
                  <c:v>303.06991648226358</c:v>
                </c:pt>
                <c:pt idx="133">
                  <c:v>309.5702015670239</c:v>
                </c:pt>
                <c:pt idx="134">
                  <c:v>317.14453502547389</c:v>
                </c:pt>
                <c:pt idx="135">
                  <c:v>335.79880507511029</c:v>
                </c:pt>
                <c:pt idx="136">
                  <c:v>346.39035865983203</c:v>
                </c:pt>
                <c:pt idx="137">
                  <c:v>366.89608862039569</c:v>
                </c:pt>
                <c:pt idx="138">
                  <c:v>328.8378211514846</c:v>
                </c:pt>
                <c:pt idx="139">
                  <c:v>324.90549555450531</c:v>
                </c:pt>
                <c:pt idx="140">
                  <c:v>331.57131422720272</c:v>
                </c:pt>
                <c:pt idx="141">
                  <c:v>342.57787409789222</c:v>
                </c:pt>
                <c:pt idx="142">
                  <c:v>338.02596249186092</c:v>
                </c:pt>
                <c:pt idx="143">
                  <c:v>299.62448704259282</c:v>
                </c:pt>
                <c:pt idx="144">
                  <c:v>305.09622924887611</c:v>
                </c:pt>
                <c:pt idx="145">
                  <c:v>293.20426226506481</c:v>
                </c:pt>
                <c:pt idx="146">
                  <c:v>315.91467840600234</c:v>
                </c:pt>
                <c:pt idx="147">
                  <c:v>306.03040990752402</c:v>
                </c:pt>
                <c:pt idx="148">
                  <c:v>290.48864076763715</c:v>
                </c:pt>
                <c:pt idx="149">
                  <c:v>290.83370398349615</c:v>
                </c:pt>
                <c:pt idx="150">
                  <c:v>297.5334221088242</c:v>
                </c:pt>
                <c:pt idx="151">
                  <c:v>293.74942353343255</c:v>
                </c:pt>
                <c:pt idx="152">
                  <c:v>286.24619523789278</c:v>
                </c:pt>
                <c:pt idx="153">
                  <c:v>297.3377101073533</c:v>
                </c:pt>
                <c:pt idx="154">
                  <c:v>303.89258078821325</c:v>
                </c:pt>
                <c:pt idx="155">
                  <c:v>296.83859348581734</c:v>
                </c:pt>
                <c:pt idx="156">
                  <c:v>296.92615633507791</c:v>
                </c:pt>
                <c:pt idx="157">
                  <c:v>297.1812043269116</c:v>
                </c:pt>
                <c:pt idx="158">
                  <c:v>289.40078042735763</c:v>
                </c:pt>
                <c:pt idx="159">
                  <c:v>296.01024016200597</c:v>
                </c:pt>
                <c:pt idx="160">
                  <c:v>303.31736357224611</c:v>
                </c:pt>
                <c:pt idx="161">
                  <c:v>308.45099832164226</c:v>
                </c:pt>
                <c:pt idx="162">
                  <c:v>314.42070269217157</c:v>
                </c:pt>
                <c:pt idx="163">
                  <c:v>310.78510424817802</c:v>
                </c:pt>
                <c:pt idx="164">
                  <c:v>310.70841144380535</c:v>
                </c:pt>
                <c:pt idx="165">
                  <c:v>303.84636729172695</c:v>
                </c:pt>
                <c:pt idx="166">
                  <c:v>315.07642959346487</c:v>
                </c:pt>
                <c:pt idx="167">
                  <c:v>330.94524308039536</c:v>
                </c:pt>
                <c:pt idx="168">
                  <c:v>347.40500080340007</c:v>
                </c:pt>
                <c:pt idx="169">
                  <c:v>363.82524959657655</c:v>
                </c:pt>
                <c:pt idx="170">
                  <c:v>380.31855112269704</c:v>
                </c:pt>
                <c:pt idx="171">
                  <c:v>374.43445642673265</c:v>
                </c:pt>
                <c:pt idx="172">
                  <c:v>389.16321555214176</c:v>
                </c:pt>
                <c:pt idx="173">
                  <c:v>408.25534604296905</c:v>
                </c:pt>
                <c:pt idx="174">
                  <c:v>358.49621223958411</c:v>
                </c:pt>
                <c:pt idx="175">
                  <c:v>359.7021463830967</c:v>
                </c:pt>
                <c:pt idx="176">
                  <c:v>373.55233272791736</c:v>
                </c:pt>
                <c:pt idx="177">
                  <c:v>365.56477313859688</c:v>
                </c:pt>
                <c:pt idx="178">
                  <c:v>363.42017044305396</c:v>
                </c:pt>
                <c:pt idx="179">
                  <c:v>364.64984511200311</c:v>
                </c:pt>
                <c:pt idx="180">
                  <c:v>374.86128594252642</c:v>
                </c:pt>
                <c:pt idx="181">
                  <c:v>396.1741589788802</c:v>
                </c:pt>
                <c:pt idx="182">
                  <c:v>386.85654886352364</c:v>
                </c:pt>
                <c:pt idx="183">
                  <c:v>404.38250208523573</c:v>
                </c:pt>
                <c:pt idx="184">
                  <c:v>425.70583048806463</c:v>
                </c:pt>
                <c:pt idx="185">
                  <c:v>415.28123622474419</c:v>
                </c:pt>
                <c:pt idx="186">
                  <c:v>425.91401337906478</c:v>
                </c:pt>
                <c:pt idx="187">
                  <c:v>418.59068236576041</c:v>
                </c:pt>
                <c:pt idx="188">
                  <c:v>398.29135608854682</c:v>
                </c:pt>
                <c:pt idx="189">
                  <c:v>424.60278818914412</c:v>
                </c:pt>
                <c:pt idx="190">
                  <c:v>437.68788159494454</c:v>
                </c:pt>
                <c:pt idx="191">
                  <c:v>422.7048191979456</c:v>
                </c:pt>
                <c:pt idx="192">
                  <c:v>444.22510019578613</c:v>
                </c:pt>
                <c:pt idx="193">
                  <c:v>443.75531742998743</c:v>
                </c:pt>
                <c:pt idx="194">
                  <c:v>443.67910849026492</c:v>
                </c:pt>
                <c:pt idx="195">
                  <c:v>484.48517517854413</c:v>
                </c:pt>
                <c:pt idx="196">
                  <c:v>488.24085389921368</c:v>
                </c:pt>
                <c:pt idx="197">
                  <c:v>492.74382344085217</c:v>
                </c:pt>
                <c:pt idx="198">
                  <c:v>517.07417203483817</c:v>
                </c:pt>
                <c:pt idx="199">
                  <c:v>486.17410127459385</c:v>
                </c:pt>
                <c:pt idx="200">
                  <c:v>490.48629484410446</c:v>
                </c:pt>
                <c:pt idx="201">
                  <c:v>479.47791329812571</c:v>
                </c:pt>
                <c:pt idx="202">
                  <c:v>496.38730460628733</c:v>
                </c:pt>
                <c:pt idx="203">
                  <c:v>475.90103645913069</c:v>
                </c:pt>
                <c:pt idx="204">
                  <c:v>478.45722059164825</c:v>
                </c:pt>
                <c:pt idx="205">
                  <c:v>473.78757681032658</c:v>
                </c:pt>
                <c:pt idx="206">
                  <c:v>474.48956471082431</c:v>
                </c:pt>
                <c:pt idx="207">
                  <c:v>490.9130548649124</c:v>
                </c:pt>
                <c:pt idx="208">
                  <c:v>490.62379913535227</c:v>
                </c:pt>
                <c:pt idx="209">
                  <c:v>506.53713646900161</c:v>
                </c:pt>
                <c:pt idx="210">
                  <c:v>526.91409713639473</c:v>
                </c:pt>
                <c:pt idx="211">
                  <c:v>531.71960588564639</c:v>
                </c:pt>
                <c:pt idx="212">
                  <c:v>528.29770501293342</c:v>
                </c:pt>
                <c:pt idx="213">
                  <c:v>505.17097451101745</c:v>
                </c:pt>
                <c:pt idx="214">
                  <c:v>520.17836721419712</c:v>
                </c:pt>
                <c:pt idx="215">
                  <c:v>514.97126896214866</c:v>
                </c:pt>
                <c:pt idx="216">
                  <c:v>573.45858717028386</c:v>
                </c:pt>
                <c:pt idx="217">
                  <c:v>614.02136803658925</c:v>
                </c:pt>
                <c:pt idx="218">
                  <c:v>657.18949177148079</c:v>
                </c:pt>
                <c:pt idx="219">
                  <c:v>634.05494776535602</c:v>
                </c:pt>
                <c:pt idx="220">
                  <c:v>594.6195672475036</c:v>
                </c:pt>
                <c:pt idx="221">
                  <c:v>586.8389309746799</c:v>
                </c:pt>
                <c:pt idx="222">
                  <c:v>603.21823903234372</c:v>
                </c:pt>
                <c:pt idx="223">
                  <c:v>589.60636589762805</c:v>
                </c:pt>
                <c:pt idx="224">
                  <c:v>596.66476484068357</c:v>
                </c:pt>
                <c:pt idx="225">
                  <c:v>589.66452930230571</c:v>
                </c:pt>
                <c:pt idx="226">
                  <c:v>617.48756304704796</c:v>
                </c:pt>
                <c:pt idx="227">
                  <c:v>644.99482124306462</c:v>
                </c:pt>
                <c:pt idx="228">
                  <c:v>646.95152587893483</c:v>
                </c:pt>
                <c:pt idx="229">
                  <c:v>587.08173527937765</c:v>
                </c:pt>
                <c:pt idx="230">
                  <c:v>571.71990917835114</c:v>
                </c:pt>
                <c:pt idx="231">
                  <c:v>550.06657392676027</c:v>
                </c:pt>
                <c:pt idx="232">
                  <c:v>555.60053076259942</c:v>
                </c:pt>
                <c:pt idx="233">
                  <c:v>563.18914450285592</c:v>
                </c:pt>
                <c:pt idx="234">
                  <c:v>578.69723319566992</c:v>
                </c:pt>
                <c:pt idx="235">
                  <c:v>570.03715096318592</c:v>
                </c:pt>
                <c:pt idx="236">
                  <c:v>559.30102768344045</c:v>
                </c:pt>
                <c:pt idx="237">
                  <c:v>579.98015902212114</c:v>
                </c:pt>
                <c:pt idx="238">
                  <c:v>581.92900630037229</c:v>
                </c:pt>
                <c:pt idx="239">
                  <c:v>582.37990015564833</c:v>
                </c:pt>
                <c:pt idx="240">
                  <c:v>587.82900652674039</c:v>
                </c:pt>
                <c:pt idx="241">
                  <c:v>575.28745331774257</c:v>
                </c:pt>
                <c:pt idx="242">
                  <c:v>596.0272406690932</c:v>
                </c:pt>
                <c:pt idx="243">
                  <c:v>593.94328663455019</c:v>
                </c:pt>
                <c:pt idx="244">
                  <c:v>609.87175659885804</c:v>
                </c:pt>
                <c:pt idx="245">
                  <c:v>620.50471768530349</c:v>
                </c:pt>
                <c:pt idx="246">
                  <c:v>635.93862837439997</c:v>
                </c:pt>
                <c:pt idx="247">
                  <c:v>669.31259211437168</c:v>
                </c:pt>
                <c:pt idx="248">
                  <c:v>689.16447558451682</c:v>
                </c:pt>
                <c:pt idx="249">
                  <c:v>670.48106405282272</c:v>
                </c:pt>
                <c:pt idx="250">
                  <c:v>677.84247916953552</c:v>
                </c:pt>
                <c:pt idx="251">
                  <c:v>672.12941737530616</c:v>
                </c:pt>
                <c:pt idx="252">
                  <c:v>660.25458124611509</c:v>
                </c:pt>
                <c:pt idx="253">
                  <c:v>655.15195948422377</c:v>
                </c:pt>
                <c:pt idx="254">
                  <c:v>658.5834707826009</c:v>
                </c:pt>
                <c:pt idx="255">
                  <c:v>646.31923638867841</c:v>
                </c:pt>
                <c:pt idx="256">
                  <c:v>655.86675526012789</c:v>
                </c:pt>
                <c:pt idx="257">
                  <c:v>664.51401102944885</c:v>
                </c:pt>
                <c:pt idx="258">
                  <c:v>657.58864921610632</c:v>
                </c:pt>
                <c:pt idx="259">
                  <c:v>682.88020405991028</c:v>
                </c:pt>
                <c:pt idx="260">
                  <c:v>662.94565861666956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53-449D-9022-5EA48E21ADF0}"/>
            </c:ext>
          </c:extLst>
        </c:ser>
        <c:ser>
          <c:idx val="6"/>
          <c:order val="6"/>
          <c:tx>
            <c:strRef>
              <c:f>All_factors!$AW$121</c:f>
              <c:strCache>
                <c:ptCount val="1"/>
                <c:pt idx="0">
                  <c:v>profit_growth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All_factors!$AW$122:$AW$382</c:f>
              <c:numCache>
                <c:formatCode>General</c:formatCode>
                <c:ptCount val="261"/>
                <c:pt idx="0">
                  <c:v>100</c:v>
                </c:pt>
                <c:pt idx="1">
                  <c:v>103.83643602467956</c:v>
                </c:pt>
                <c:pt idx="2">
                  <c:v>104.31350801238949</c:v>
                </c:pt>
                <c:pt idx="3">
                  <c:v>104.12542436739331</c:v>
                </c:pt>
                <c:pt idx="4">
                  <c:v>108.69526056224204</c:v>
                </c:pt>
                <c:pt idx="5">
                  <c:v>107.92893586469221</c:v>
                </c:pt>
                <c:pt idx="6">
                  <c:v>110.82755165765523</c:v>
                </c:pt>
                <c:pt idx="7">
                  <c:v>114.98868828126285</c:v>
                </c:pt>
                <c:pt idx="8">
                  <c:v>118.20481523786148</c:v>
                </c:pt>
                <c:pt idx="9">
                  <c:v>121.75350477508766</c:v>
                </c:pt>
                <c:pt idx="10">
                  <c:v>117.13290552698167</c:v>
                </c:pt>
                <c:pt idx="11">
                  <c:v>116.26841034200201</c:v>
                </c:pt>
                <c:pt idx="12">
                  <c:v>119.84263526446084</c:v>
                </c:pt>
                <c:pt idx="13">
                  <c:v>120.06713889707881</c:v>
                </c:pt>
                <c:pt idx="14">
                  <c:v>117.43437856251876</c:v>
                </c:pt>
                <c:pt idx="15">
                  <c:v>124.49758379778065</c:v>
                </c:pt>
                <c:pt idx="16">
                  <c:v>126.21408291292482</c:v>
                </c:pt>
                <c:pt idx="17">
                  <c:v>126.13492357590614</c:v>
                </c:pt>
                <c:pt idx="18">
                  <c:v>123.41830685247618</c:v>
                </c:pt>
                <c:pt idx="19">
                  <c:v>124.90506106599042</c:v>
                </c:pt>
                <c:pt idx="20">
                  <c:v>127.0112150722786</c:v>
                </c:pt>
                <c:pt idx="21">
                  <c:v>126.24232553985804</c:v>
                </c:pt>
                <c:pt idx="22">
                  <c:v>125.22342911506816</c:v>
                </c:pt>
                <c:pt idx="23">
                  <c:v>124.94472518348432</c:v>
                </c:pt>
                <c:pt idx="24">
                  <c:v>120.23286041834211</c:v>
                </c:pt>
                <c:pt idx="25">
                  <c:v>118.88477175772321</c:v>
                </c:pt>
                <c:pt idx="26">
                  <c:v>116.23256620844096</c:v>
                </c:pt>
                <c:pt idx="27">
                  <c:v>118.6804340055599</c:v>
                </c:pt>
                <c:pt idx="28">
                  <c:v>120.34114285357619</c:v>
                </c:pt>
                <c:pt idx="29">
                  <c:v>121.36046002063551</c:v>
                </c:pt>
                <c:pt idx="30">
                  <c:v>121.82764588953313</c:v>
                </c:pt>
                <c:pt idx="31">
                  <c:v>121.27946644682598</c:v>
                </c:pt>
                <c:pt idx="32">
                  <c:v>123.53197013406563</c:v>
                </c:pt>
                <c:pt idx="33">
                  <c:v>123.81799993590137</c:v>
                </c:pt>
                <c:pt idx="34">
                  <c:v>122.52511069532731</c:v>
                </c:pt>
                <c:pt idx="35">
                  <c:v>123.59316686524629</c:v>
                </c:pt>
                <c:pt idx="36">
                  <c:v>123.00534842636723</c:v>
                </c:pt>
                <c:pt idx="37">
                  <c:v>123.3526880332049</c:v>
                </c:pt>
                <c:pt idx="38">
                  <c:v>121.31249452734029</c:v>
                </c:pt>
                <c:pt idx="39">
                  <c:v>123.76073293229429</c:v>
                </c:pt>
                <c:pt idx="40">
                  <c:v>123.97987555382733</c:v>
                </c:pt>
                <c:pt idx="41">
                  <c:v>124.38193593260674</c:v>
                </c:pt>
                <c:pt idx="42">
                  <c:v>125.84193931302684</c:v>
                </c:pt>
                <c:pt idx="43">
                  <c:v>128.17319528893447</c:v>
                </c:pt>
                <c:pt idx="44">
                  <c:v>128.38099733305904</c:v>
                </c:pt>
                <c:pt idx="45">
                  <c:v>128.69321556416122</c:v>
                </c:pt>
                <c:pt idx="46">
                  <c:v>128.65761797134064</c:v>
                </c:pt>
                <c:pt idx="47">
                  <c:v>128.84298411256154</c:v>
                </c:pt>
                <c:pt idx="48">
                  <c:v>130.85556444652684</c:v>
                </c:pt>
                <c:pt idx="49">
                  <c:v>133.00462784553829</c:v>
                </c:pt>
                <c:pt idx="50">
                  <c:v>130.44488008915192</c:v>
                </c:pt>
                <c:pt idx="51">
                  <c:v>124.69476989302328</c:v>
                </c:pt>
                <c:pt idx="52">
                  <c:v>125.14016322604482</c:v>
                </c:pt>
                <c:pt idx="53">
                  <c:v>125.10767945458204</c:v>
                </c:pt>
                <c:pt idx="54">
                  <c:v>120.36040103740316</c:v>
                </c:pt>
                <c:pt idx="55">
                  <c:v>118.2319543426799</c:v>
                </c:pt>
                <c:pt idx="56">
                  <c:v>121.23203407387115</c:v>
                </c:pt>
                <c:pt idx="57">
                  <c:v>122.98864656935781</c:v>
                </c:pt>
                <c:pt idx="58">
                  <c:v>124.61523055128345</c:v>
                </c:pt>
                <c:pt idx="59">
                  <c:v>126.06739623504535</c:v>
                </c:pt>
                <c:pt idx="60">
                  <c:v>122.66527617049901</c:v>
                </c:pt>
                <c:pt idx="61">
                  <c:v>123.00767270083928</c:v>
                </c:pt>
                <c:pt idx="62">
                  <c:v>124.03014359947544</c:v>
                </c:pt>
                <c:pt idx="63">
                  <c:v>121.13568411868967</c:v>
                </c:pt>
                <c:pt idx="64">
                  <c:v>120.37253131889622</c:v>
                </c:pt>
                <c:pt idx="65">
                  <c:v>120.57192784590781</c:v>
                </c:pt>
                <c:pt idx="66">
                  <c:v>118.54918139204088</c:v>
                </c:pt>
                <c:pt idx="67">
                  <c:v>118.05727940350717</c:v>
                </c:pt>
                <c:pt idx="68">
                  <c:v>118.44757714648887</c:v>
                </c:pt>
                <c:pt idx="69">
                  <c:v>117.96322499759466</c:v>
                </c:pt>
                <c:pt idx="70">
                  <c:v>117.7979801230845</c:v>
                </c:pt>
                <c:pt idx="71">
                  <c:v>118.10562990801937</c:v>
                </c:pt>
                <c:pt idx="72">
                  <c:v>117.02480563177892</c:v>
                </c:pt>
                <c:pt idx="73">
                  <c:v>117.41611746153791</c:v>
                </c:pt>
                <c:pt idx="74">
                  <c:v>117.27786935495074</c:v>
                </c:pt>
                <c:pt idx="75">
                  <c:v>119.6423858890122</c:v>
                </c:pt>
                <c:pt idx="76">
                  <c:v>119.16959923110855</c:v>
                </c:pt>
                <c:pt idx="77">
                  <c:v>117.73180710413094</c:v>
                </c:pt>
                <c:pt idx="78">
                  <c:v>119.2850310165302</c:v>
                </c:pt>
                <c:pt idx="79">
                  <c:v>118.95745539328153</c:v>
                </c:pt>
                <c:pt idx="80">
                  <c:v>117.53049281129393</c:v>
                </c:pt>
                <c:pt idx="81">
                  <c:v>117.35212361841944</c:v>
                </c:pt>
                <c:pt idx="82">
                  <c:v>117.2488022048308</c:v>
                </c:pt>
                <c:pt idx="83">
                  <c:v>120.17950980610127</c:v>
                </c:pt>
                <c:pt idx="84">
                  <c:v>122.00504221165075</c:v>
                </c:pt>
                <c:pt idx="85">
                  <c:v>124.52536681881101</c:v>
                </c:pt>
                <c:pt idx="86">
                  <c:v>125.20472989390198</c:v>
                </c:pt>
                <c:pt idx="87">
                  <c:v>124.36535970093394</c:v>
                </c:pt>
                <c:pt idx="88">
                  <c:v>124.97786749661336</c:v>
                </c:pt>
                <c:pt idx="89">
                  <c:v>126.90555293427275</c:v>
                </c:pt>
                <c:pt idx="90">
                  <c:v>120.90599232282204</c:v>
                </c:pt>
                <c:pt idx="91">
                  <c:v>121.24969731173341</c:v>
                </c:pt>
                <c:pt idx="92">
                  <c:v>122.01232842245795</c:v>
                </c:pt>
                <c:pt idx="93">
                  <c:v>119.17172961261591</c:v>
                </c:pt>
                <c:pt idx="94">
                  <c:v>120.125760267036</c:v>
                </c:pt>
                <c:pt idx="95">
                  <c:v>122.37575180485111</c:v>
                </c:pt>
                <c:pt idx="96">
                  <c:v>122.00560049765862</c:v>
                </c:pt>
                <c:pt idx="97">
                  <c:v>123.37349667951322</c:v>
                </c:pt>
                <c:pt idx="98">
                  <c:v>125.39862299472394</c:v>
                </c:pt>
                <c:pt idx="99">
                  <c:v>124.26765372956632</c:v>
                </c:pt>
                <c:pt idx="100">
                  <c:v>122.85596309259367</c:v>
                </c:pt>
                <c:pt idx="101">
                  <c:v>120.34976255335005</c:v>
                </c:pt>
                <c:pt idx="102">
                  <c:v>119.89457675389741</c:v>
                </c:pt>
                <c:pt idx="103">
                  <c:v>118.11579877101067</c:v>
                </c:pt>
                <c:pt idx="104">
                  <c:v>118.00076643866569</c:v>
                </c:pt>
                <c:pt idx="105">
                  <c:v>120.30389318585675</c:v>
                </c:pt>
                <c:pt idx="106">
                  <c:v>121.75602100260592</c:v>
                </c:pt>
                <c:pt idx="107">
                  <c:v>123.32146842010413</c:v>
                </c:pt>
                <c:pt idx="108">
                  <c:v>123.05702522739381</c:v>
                </c:pt>
                <c:pt idx="109">
                  <c:v>124.23397462557662</c:v>
                </c:pt>
                <c:pt idx="110">
                  <c:v>124.4991936988941</c:v>
                </c:pt>
                <c:pt idx="111">
                  <c:v>124.93722477287228</c:v>
                </c:pt>
                <c:pt idx="112">
                  <c:v>126.81643950866312</c:v>
                </c:pt>
                <c:pt idx="113">
                  <c:v>124.94462026640123</c:v>
                </c:pt>
                <c:pt idx="114">
                  <c:v>126.37513675974867</c:v>
                </c:pt>
                <c:pt idx="115">
                  <c:v>127.84848686472134</c:v>
                </c:pt>
                <c:pt idx="116">
                  <c:v>128.5849349326532</c:v>
                </c:pt>
                <c:pt idx="117">
                  <c:v>127.63454005532829</c:v>
                </c:pt>
                <c:pt idx="118">
                  <c:v>128.65416982153246</c:v>
                </c:pt>
                <c:pt idx="119">
                  <c:v>129.3864738212651</c:v>
                </c:pt>
                <c:pt idx="120">
                  <c:v>129.11929797069425</c:v>
                </c:pt>
                <c:pt idx="121">
                  <c:v>129.23159213998119</c:v>
                </c:pt>
                <c:pt idx="122">
                  <c:v>129.15429039394402</c:v>
                </c:pt>
                <c:pt idx="123">
                  <c:v>130.79070269797936</c:v>
                </c:pt>
                <c:pt idx="124">
                  <c:v>129.2748247061181</c:v>
                </c:pt>
                <c:pt idx="125">
                  <c:v>128.56870430369028</c:v>
                </c:pt>
                <c:pt idx="126">
                  <c:v>130.69018244468165</c:v>
                </c:pt>
                <c:pt idx="127">
                  <c:v>132.79784165336264</c:v>
                </c:pt>
                <c:pt idx="128">
                  <c:v>133.43166039946053</c:v>
                </c:pt>
                <c:pt idx="129">
                  <c:v>129.19813674900934</c:v>
                </c:pt>
                <c:pt idx="130">
                  <c:v>128.2159557021271</c:v>
                </c:pt>
                <c:pt idx="131">
                  <c:v>127.99087010245579</c:v>
                </c:pt>
                <c:pt idx="132">
                  <c:v>130.48104372104996</c:v>
                </c:pt>
                <c:pt idx="133">
                  <c:v>129.86291313946643</c:v>
                </c:pt>
                <c:pt idx="134">
                  <c:v>130.95767987741769</c:v>
                </c:pt>
                <c:pt idx="135">
                  <c:v>131.34350469907602</c:v>
                </c:pt>
                <c:pt idx="136">
                  <c:v>128.52211125162813</c:v>
                </c:pt>
                <c:pt idx="137">
                  <c:v>128.17882807569575</c:v>
                </c:pt>
                <c:pt idx="138">
                  <c:v>124.92514074477278</c:v>
                </c:pt>
                <c:pt idx="139">
                  <c:v>125.79102177517183</c:v>
                </c:pt>
                <c:pt idx="140">
                  <c:v>125.98069781519452</c:v>
                </c:pt>
                <c:pt idx="141">
                  <c:v>126.23551910248082</c:v>
                </c:pt>
                <c:pt idx="142">
                  <c:v>126.33662222274161</c:v>
                </c:pt>
                <c:pt idx="143">
                  <c:v>126.0229741635503</c:v>
                </c:pt>
                <c:pt idx="144">
                  <c:v>122.88363227278275</c:v>
                </c:pt>
                <c:pt idx="145">
                  <c:v>124.93663068711737</c:v>
                </c:pt>
                <c:pt idx="146">
                  <c:v>120.67494925879247</c:v>
                </c:pt>
                <c:pt idx="147">
                  <c:v>116.37761211480785</c:v>
                </c:pt>
                <c:pt idx="148">
                  <c:v>116.45414188501762</c:v>
                </c:pt>
                <c:pt idx="149">
                  <c:v>117.58360360683754</c:v>
                </c:pt>
                <c:pt idx="150">
                  <c:v>120.98068979498913</c:v>
                </c:pt>
                <c:pt idx="151">
                  <c:v>122.1628607081979</c:v>
                </c:pt>
                <c:pt idx="152">
                  <c:v>123.37831858890682</c:v>
                </c:pt>
                <c:pt idx="153">
                  <c:v>122.69272244576976</c:v>
                </c:pt>
                <c:pt idx="154">
                  <c:v>125.07211271319926</c:v>
                </c:pt>
                <c:pt idx="155">
                  <c:v>125.20560466474686</c:v>
                </c:pt>
                <c:pt idx="156">
                  <c:v>125.56393598081907</c:v>
                </c:pt>
                <c:pt idx="157">
                  <c:v>127.04076533763237</c:v>
                </c:pt>
                <c:pt idx="158">
                  <c:v>128.29267947109582</c:v>
                </c:pt>
                <c:pt idx="159">
                  <c:v>130.87159288390305</c:v>
                </c:pt>
                <c:pt idx="160">
                  <c:v>130.1739313947447</c:v>
                </c:pt>
                <c:pt idx="161">
                  <c:v>129.72771144716634</c:v>
                </c:pt>
                <c:pt idx="162">
                  <c:v>129.4557357569295</c:v>
                </c:pt>
                <c:pt idx="163">
                  <c:v>128.75243405370892</c:v>
                </c:pt>
                <c:pt idx="164">
                  <c:v>130.78303078192508</c:v>
                </c:pt>
                <c:pt idx="165">
                  <c:v>128.83894841947401</c:v>
                </c:pt>
                <c:pt idx="166">
                  <c:v>131.36470852333437</c:v>
                </c:pt>
                <c:pt idx="167">
                  <c:v>133.04698152126309</c:v>
                </c:pt>
                <c:pt idx="168">
                  <c:v>137.07009149907142</c:v>
                </c:pt>
                <c:pt idx="169">
                  <c:v>139.59364171170745</c:v>
                </c:pt>
                <c:pt idx="170">
                  <c:v>142.08602493335815</c:v>
                </c:pt>
                <c:pt idx="171">
                  <c:v>143.08362126895921</c:v>
                </c:pt>
                <c:pt idx="172">
                  <c:v>142.60765706075273</c:v>
                </c:pt>
                <c:pt idx="173">
                  <c:v>144.58455911811825</c:v>
                </c:pt>
                <c:pt idx="174">
                  <c:v>140.15142510111414</c:v>
                </c:pt>
                <c:pt idx="175">
                  <c:v>138.8417565542411</c:v>
                </c:pt>
                <c:pt idx="176">
                  <c:v>139.653065008798</c:v>
                </c:pt>
                <c:pt idx="177">
                  <c:v>135.88673520979825</c:v>
                </c:pt>
                <c:pt idx="178">
                  <c:v>138.26568097880835</c:v>
                </c:pt>
                <c:pt idx="179">
                  <c:v>139.55471677850207</c:v>
                </c:pt>
                <c:pt idx="180">
                  <c:v>137.49536954295925</c:v>
                </c:pt>
                <c:pt idx="181">
                  <c:v>140.88850399603203</c:v>
                </c:pt>
                <c:pt idx="182">
                  <c:v>140.83028370347176</c:v>
                </c:pt>
                <c:pt idx="183">
                  <c:v>142.43393188830268</c:v>
                </c:pt>
                <c:pt idx="184">
                  <c:v>146.0057484241089</c:v>
                </c:pt>
                <c:pt idx="185">
                  <c:v>144.20973638980888</c:v>
                </c:pt>
                <c:pt idx="186">
                  <c:v>144.91308078441608</c:v>
                </c:pt>
                <c:pt idx="187">
                  <c:v>143.81895228875339</c:v>
                </c:pt>
                <c:pt idx="188">
                  <c:v>141.09274797828559</c:v>
                </c:pt>
                <c:pt idx="189">
                  <c:v>143.5992701888423</c:v>
                </c:pt>
                <c:pt idx="190">
                  <c:v>142.53799626736549</c:v>
                </c:pt>
                <c:pt idx="191">
                  <c:v>140.48334715496736</c:v>
                </c:pt>
                <c:pt idx="192">
                  <c:v>144.07373196653805</c:v>
                </c:pt>
                <c:pt idx="193">
                  <c:v>142.84751988370135</c:v>
                </c:pt>
                <c:pt idx="194">
                  <c:v>145.83931559468735</c:v>
                </c:pt>
                <c:pt idx="195">
                  <c:v>148.61061216834935</c:v>
                </c:pt>
                <c:pt idx="196">
                  <c:v>147.91512188404579</c:v>
                </c:pt>
                <c:pt idx="197">
                  <c:v>145.3625349253299</c:v>
                </c:pt>
                <c:pt idx="198">
                  <c:v>144.65767484762247</c:v>
                </c:pt>
                <c:pt idx="199">
                  <c:v>141.72810158776446</c:v>
                </c:pt>
                <c:pt idx="200">
                  <c:v>139.26639339307252</c:v>
                </c:pt>
                <c:pt idx="201">
                  <c:v>140.33343956380799</c:v>
                </c:pt>
                <c:pt idx="202">
                  <c:v>142.77751536905564</c:v>
                </c:pt>
                <c:pt idx="203">
                  <c:v>140.62942154287737</c:v>
                </c:pt>
                <c:pt idx="204">
                  <c:v>143.83678723935324</c:v>
                </c:pt>
                <c:pt idx="205">
                  <c:v>140.15872642719324</c:v>
                </c:pt>
                <c:pt idx="206">
                  <c:v>141.77220480802839</c:v>
                </c:pt>
                <c:pt idx="207">
                  <c:v>144.06322755435991</c:v>
                </c:pt>
                <c:pt idx="208">
                  <c:v>141.56372785489702</c:v>
                </c:pt>
                <c:pt idx="209">
                  <c:v>141.33293695037926</c:v>
                </c:pt>
                <c:pt idx="210">
                  <c:v>139.68830341180839</c:v>
                </c:pt>
                <c:pt idx="211">
                  <c:v>138.98613542549887</c:v>
                </c:pt>
                <c:pt idx="212">
                  <c:v>143.25583542471725</c:v>
                </c:pt>
                <c:pt idx="213">
                  <c:v>140.55299282756724</c:v>
                </c:pt>
                <c:pt idx="214">
                  <c:v>143.28502185458856</c:v>
                </c:pt>
                <c:pt idx="215">
                  <c:v>143.30869000986078</c:v>
                </c:pt>
                <c:pt idx="216">
                  <c:v>146.75706692796325</c:v>
                </c:pt>
                <c:pt idx="217">
                  <c:v>148.05232190497011</c:v>
                </c:pt>
                <c:pt idx="218">
                  <c:v>148.16587494322255</c:v>
                </c:pt>
                <c:pt idx="219">
                  <c:v>144.54338806966115</c:v>
                </c:pt>
                <c:pt idx="220">
                  <c:v>141.11225856056774</c:v>
                </c:pt>
                <c:pt idx="221">
                  <c:v>140.34022895866192</c:v>
                </c:pt>
                <c:pt idx="222">
                  <c:v>141.95526790468551</c:v>
                </c:pt>
                <c:pt idx="223">
                  <c:v>139.69094178268693</c:v>
                </c:pt>
                <c:pt idx="224">
                  <c:v>140.36689943203541</c:v>
                </c:pt>
                <c:pt idx="225">
                  <c:v>140.03970873617297</c:v>
                </c:pt>
                <c:pt idx="226">
                  <c:v>142.56149851306932</c:v>
                </c:pt>
                <c:pt idx="227">
                  <c:v>142.38059963439619</c:v>
                </c:pt>
                <c:pt idx="228">
                  <c:v>143.94343454783152</c:v>
                </c:pt>
                <c:pt idx="229">
                  <c:v>145.1772793932316</c:v>
                </c:pt>
                <c:pt idx="230">
                  <c:v>142.84479600976098</c:v>
                </c:pt>
                <c:pt idx="231">
                  <c:v>140.8743434451537</c:v>
                </c:pt>
                <c:pt idx="232">
                  <c:v>142.08817691569692</c:v>
                </c:pt>
                <c:pt idx="233">
                  <c:v>142.93339693811481</c:v>
                </c:pt>
                <c:pt idx="234">
                  <c:v>142.1496526362528</c:v>
                </c:pt>
                <c:pt idx="235">
                  <c:v>135.54976486081617</c:v>
                </c:pt>
                <c:pt idx="236">
                  <c:v>135.77600667033002</c:v>
                </c:pt>
                <c:pt idx="237">
                  <c:v>138.68826757581002</c:v>
                </c:pt>
                <c:pt idx="238">
                  <c:v>139.73651922634807</c:v>
                </c:pt>
                <c:pt idx="239">
                  <c:v>139.58629227331215</c:v>
                </c:pt>
                <c:pt idx="240">
                  <c:v>139.1379058161821</c:v>
                </c:pt>
                <c:pt idx="241">
                  <c:v>136.92986106424573</c:v>
                </c:pt>
                <c:pt idx="242">
                  <c:v>136.02566649034398</c:v>
                </c:pt>
                <c:pt idx="243">
                  <c:v>139.80836878195595</c:v>
                </c:pt>
                <c:pt idx="244">
                  <c:v>140.96216710699372</c:v>
                </c:pt>
                <c:pt idx="245">
                  <c:v>141.87425280720009</c:v>
                </c:pt>
                <c:pt idx="246">
                  <c:v>142.68405650749466</c:v>
                </c:pt>
                <c:pt idx="247">
                  <c:v>141.72027411319868</c:v>
                </c:pt>
                <c:pt idx="248">
                  <c:v>142.01742601000629</c:v>
                </c:pt>
                <c:pt idx="249">
                  <c:v>140.53622240337538</c:v>
                </c:pt>
                <c:pt idx="250">
                  <c:v>140.0726568652295</c:v>
                </c:pt>
                <c:pt idx="251">
                  <c:v>139.52143030343154</c:v>
                </c:pt>
                <c:pt idx="252">
                  <c:v>141.85255731932332</c:v>
                </c:pt>
                <c:pt idx="253">
                  <c:v>144.03544162721516</c:v>
                </c:pt>
                <c:pt idx="254">
                  <c:v>142.83615515651638</c:v>
                </c:pt>
                <c:pt idx="255">
                  <c:v>141.61157458995959</c:v>
                </c:pt>
                <c:pt idx="256">
                  <c:v>141.7169841400956</c:v>
                </c:pt>
                <c:pt idx="257">
                  <c:v>141.48960005485475</c:v>
                </c:pt>
                <c:pt idx="258">
                  <c:v>138.62284959992428</c:v>
                </c:pt>
                <c:pt idx="259">
                  <c:v>139.47355275902717</c:v>
                </c:pt>
                <c:pt idx="260">
                  <c:v>137.2788066991676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53-449D-9022-5EA48E21ADF0}"/>
            </c:ext>
          </c:extLst>
        </c:ser>
        <c:ser>
          <c:idx val="7"/>
          <c:order val="7"/>
          <c:tx>
            <c:strRef>
              <c:f>All_factors!$AX$121</c:f>
              <c:strCache>
                <c:ptCount val="1"/>
                <c:pt idx="0">
                  <c:v>profitability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All_factors!$AX$122:$AX$382</c:f>
              <c:numCache>
                <c:formatCode>General</c:formatCode>
                <c:ptCount val="261"/>
                <c:pt idx="0">
                  <c:v>100</c:v>
                </c:pt>
                <c:pt idx="1">
                  <c:v>108.56772462299872</c:v>
                </c:pt>
                <c:pt idx="2">
                  <c:v>108.01138876107574</c:v>
                </c:pt>
                <c:pt idx="3">
                  <c:v>99.72633316918386</c:v>
                </c:pt>
                <c:pt idx="4">
                  <c:v>94.03943024633034</c:v>
                </c:pt>
                <c:pt idx="5">
                  <c:v>96.452773154108442</c:v>
                </c:pt>
                <c:pt idx="6">
                  <c:v>98.621347595584396</c:v>
                </c:pt>
                <c:pt idx="7">
                  <c:v>99.510540288566162</c:v>
                </c:pt>
                <c:pt idx="8">
                  <c:v>98.115054936206647</c:v>
                </c:pt>
                <c:pt idx="9">
                  <c:v>94.014341155346969</c:v>
                </c:pt>
                <c:pt idx="10">
                  <c:v>96.626488038612891</c:v>
                </c:pt>
                <c:pt idx="11">
                  <c:v>97.962175121375836</c:v>
                </c:pt>
                <c:pt idx="12">
                  <c:v>95.183426929632205</c:v>
                </c:pt>
                <c:pt idx="13">
                  <c:v>92.474791354393034</c:v>
                </c:pt>
                <c:pt idx="14">
                  <c:v>90.079989282522021</c:v>
                </c:pt>
                <c:pt idx="15">
                  <c:v>90.704756283356176</c:v>
                </c:pt>
                <c:pt idx="16">
                  <c:v>89.166919960407469</c:v>
                </c:pt>
                <c:pt idx="17">
                  <c:v>94.696076841732093</c:v>
                </c:pt>
                <c:pt idx="18">
                  <c:v>93.154989437544899</c:v>
                </c:pt>
                <c:pt idx="19">
                  <c:v>90.887109041611893</c:v>
                </c:pt>
                <c:pt idx="20">
                  <c:v>91.539017781521082</c:v>
                </c:pt>
                <c:pt idx="21">
                  <c:v>90.476198489421847</c:v>
                </c:pt>
                <c:pt idx="22">
                  <c:v>88.898339922769367</c:v>
                </c:pt>
                <c:pt idx="23">
                  <c:v>89.211621128880836</c:v>
                </c:pt>
                <c:pt idx="24">
                  <c:v>90.111916560982309</c:v>
                </c:pt>
                <c:pt idx="25">
                  <c:v>89.352621430226421</c:v>
                </c:pt>
                <c:pt idx="26">
                  <c:v>88.8907524599597</c:v>
                </c:pt>
                <c:pt idx="27">
                  <c:v>92.989496360323031</c:v>
                </c:pt>
                <c:pt idx="28">
                  <c:v>92.452248472060944</c:v>
                </c:pt>
                <c:pt idx="29">
                  <c:v>91.438649455578599</c:v>
                </c:pt>
                <c:pt idx="30">
                  <c:v>91.307001218613763</c:v>
                </c:pt>
                <c:pt idx="31">
                  <c:v>92.258285346489245</c:v>
                </c:pt>
                <c:pt idx="32">
                  <c:v>91.685359567170195</c:v>
                </c:pt>
                <c:pt idx="33">
                  <c:v>91.931256548681461</c:v>
                </c:pt>
                <c:pt idx="34">
                  <c:v>88.12761463530623</c:v>
                </c:pt>
                <c:pt idx="35">
                  <c:v>88.838093067056576</c:v>
                </c:pt>
                <c:pt idx="36">
                  <c:v>89.517341689850227</c:v>
                </c:pt>
                <c:pt idx="37">
                  <c:v>90.58746315870718</c:v>
                </c:pt>
                <c:pt idx="38">
                  <c:v>90.216073148312304</c:v>
                </c:pt>
                <c:pt idx="39">
                  <c:v>88.614681920148968</c:v>
                </c:pt>
                <c:pt idx="40">
                  <c:v>89.801557148982837</c:v>
                </c:pt>
                <c:pt idx="41">
                  <c:v>92.002254117272969</c:v>
                </c:pt>
                <c:pt idx="42">
                  <c:v>90.468474119969557</c:v>
                </c:pt>
                <c:pt idx="43">
                  <c:v>92.750627381131821</c:v>
                </c:pt>
                <c:pt idx="44">
                  <c:v>87.10037059192419</c:v>
                </c:pt>
                <c:pt idx="45">
                  <c:v>87.949842959087562</c:v>
                </c:pt>
                <c:pt idx="46">
                  <c:v>86.514388634458356</c:v>
                </c:pt>
                <c:pt idx="47">
                  <c:v>88.769896099645152</c:v>
                </c:pt>
                <c:pt idx="48">
                  <c:v>90.162785594388424</c:v>
                </c:pt>
                <c:pt idx="49">
                  <c:v>86.872799202851738</c:v>
                </c:pt>
                <c:pt idx="50">
                  <c:v>86.88015526455375</c:v>
                </c:pt>
                <c:pt idx="51">
                  <c:v>90.049566344479715</c:v>
                </c:pt>
                <c:pt idx="52">
                  <c:v>94.922244504884148</c:v>
                </c:pt>
                <c:pt idx="53">
                  <c:v>104.52684230502959</c:v>
                </c:pt>
                <c:pt idx="54">
                  <c:v>113.30726016451305</c:v>
                </c:pt>
                <c:pt idx="55">
                  <c:v>111.85217641247178</c:v>
                </c:pt>
                <c:pt idx="56">
                  <c:v>109.89571332958157</c:v>
                </c:pt>
                <c:pt idx="57">
                  <c:v>111.21411632362577</c:v>
                </c:pt>
                <c:pt idx="58">
                  <c:v>112.81562722331516</c:v>
                </c:pt>
                <c:pt idx="59">
                  <c:v>112.58351914855599</c:v>
                </c:pt>
                <c:pt idx="60">
                  <c:v>99.750198657853133</c:v>
                </c:pt>
                <c:pt idx="61">
                  <c:v>95.549782385653629</c:v>
                </c:pt>
                <c:pt idx="62">
                  <c:v>96.605893183023156</c:v>
                </c:pt>
                <c:pt idx="63">
                  <c:v>89.117255757054622</c:v>
                </c:pt>
                <c:pt idx="64">
                  <c:v>87.004693135727081</c:v>
                </c:pt>
                <c:pt idx="65">
                  <c:v>85.711305778930011</c:v>
                </c:pt>
                <c:pt idx="66">
                  <c:v>85.493940903988729</c:v>
                </c:pt>
                <c:pt idx="67">
                  <c:v>82.19328760854016</c:v>
                </c:pt>
                <c:pt idx="68">
                  <c:v>80.616495392231258</c:v>
                </c:pt>
                <c:pt idx="69">
                  <c:v>73.718133769134937</c:v>
                </c:pt>
                <c:pt idx="70">
                  <c:v>74.5895507599475</c:v>
                </c:pt>
                <c:pt idx="71">
                  <c:v>78.947757169195242</c:v>
                </c:pt>
                <c:pt idx="72">
                  <c:v>80.203039497238365</c:v>
                </c:pt>
                <c:pt idx="73">
                  <c:v>81.340011625854729</c:v>
                </c:pt>
                <c:pt idx="74">
                  <c:v>82.807562757300488</c:v>
                </c:pt>
                <c:pt idx="75">
                  <c:v>82.501695632244406</c:v>
                </c:pt>
                <c:pt idx="76">
                  <c:v>81.530693352301228</c:v>
                </c:pt>
                <c:pt idx="77">
                  <c:v>81.31397565406283</c:v>
                </c:pt>
                <c:pt idx="78">
                  <c:v>81.724503510750736</c:v>
                </c:pt>
                <c:pt idx="79">
                  <c:v>82.958081903564661</c:v>
                </c:pt>
                <c:pt idx="80">
                  <c:v>83.194604762297303</c:v>
                </c:pt>
                <c:pt idx="81">
                  <c:v>83.634080675510432</c:v>
                </c:pt>
                <c:pt idx="82">
                  <c:v>83.462081990896124</c:v>
                </c:pt>
                <c:pt idx="83">
                  <c:v>85.456198260889579</c:v>
                </c:pt>
                <c:pt idx="84">
                  <c:v>87.751447398378531</c:v>
                </c:pt>
                <c:pt idx="85">
                  <c:v>90.793991774556332</c:v>
                </c:pt>
                <c:pt idx="86">
                  <c:v>91.969655600496438</c:v>
                </c:pt>
                <c:pt idx="87">
                  <c:v>93.529555744696268</c:v>
                </c:pt>
                <c:pt idx="88">
                  <c:v>99.297975367010011</c:v>
                </c:pt>
                <c:pt idx="89">
                  <c:v>102.06940618770776</c:v>
                </c:pt>
                <c:pt idx="90">
                  <c:v>98.562136468205281</c:v>
                </c:pt>
                <c:pt idx="91">
                  <c:v>102.31623409524013</c:v>
                </c:pt>
                <c:pt idx="92">
                  <c:v>102.48669266969026</c:v>
                </c:pt>
                <c:pt idx="93">
                  <c:v>102.36324257966899</c:v>
                </c:pt>
                <c:pt idx="94">
                  <c:v>102.17163368645107</c:v>
                </c:pt>
                <c:pt idx="95">
                  <c:v>104.675989465906</c:v>
                </c:pt>
                <c:pt idx="96">
                  <c:v>107.5007504868675</c:v>
                </c:pt>
                <c:pt idx="97">
                  <c:v>111.95031971919462</c:v>
                </c:pt>
                <c:pt idx="98">
                  <c:v>116.75720817864175</c:v>
                </c:pt>
                <c:pt idx="99">
                  <c:v>116.09494159461326</c:v>
                </c:pt>
                <c:pt idx="100">
                  <c:v>111.60291089439447</c:v>
                </c:pt>
                <c:pt idx="101">
                  <c:v>109.08748947729151</c:v>
                </c:pt>
                <c:pt idx="102">
                  <c:v>109.92431530791552</c:v>
                </c:pt>
                <c:pt idx="103">
                  <c:v>112.00991206839656</c:v>
                </c:pt>
                <c:pt idx="104">
                  <c:v>109.70302680448083</c:v>
                </c:pt>
                <c:pt idx="105">
                  <c:v>107.98120602965851</c:v>
                </c:pt>
                <c:pt idx="106">
                  <c:v>109.6263676075058</c:v>
                </c:pt>
                <c:pt idx="107">
                  <c:v>111.65948283229416</c:v>
                </c:pt>
                <c:pt idx="108">
                  <c:v>114.65760685380211</c:v>
                </c:pt>
                <c:pt idx="109">
                  <c:v>115.04958230804027</c:v>
                </c:pt>
                <c:pt idx="110">
                  <c:v>117.55435749739803</c:v>
                </c:pt>
                <c:pt idx="111">
                  <c:v>118.74726635051557</c:v>
                </c:pt>
                <c:pt idx="112">
                  <c:v>115.66834468463834</c:v>
                </c:pt>
                <c:pt idx="113">
                  <c:v>118.24137643370788</c:v>
                </c:pt>
                <c:pt idx="114">
                  <c:v>119.54658856806492</c:v>
                </c:pt>
                <c:pt idx="115">
                  <c:v>120.09990522814168</c:v>
                </c:pt>
                <c:pt idx="116">
                  <c:v>118.14547019396345</c:v>
                </c:pt>
                <c:pt idx="117">
                  <c:v>117.15116743779555</c:v>
                </c:pt>
                <c:pt idx="118">
                  <c:v>119.00363524854151</c:v>
                </c:pt>
                <c:pt idx="119">
                  <c:v>121.99236902144585</c:v>
                </c:pt>
                <c:pt idx="120">
                  <c:v>123.72755108420421</c:v>
                </c:pt>
                <c:pt idx="121">
                  <c:v>124.27728138922181</c:v>
                </c:pt>
                <c:pt idx="122">
                  <c:v>124.62617270466227</c:v>
                </c:pt>
                <c:pt idx="123">
                  <c:v>122.25606824263609</c:v>
                </c:pt>
                <c:pt idx="124">
                  <c:v>121.61563566534191</c:v>
                </c:pt>
                <c:pt idx="125">
                  <c:v>122.89430998681584</c:v>
                </c:pt>
                <c:pt idx="126">
                  <c:v>127.04765787625185</c:v>
                </c:pt>
                <c:pt idx="127">
                  <c:v>129.5047899940503</c:v>
                </c:pt>
                <c:pt idx="128">
                  <c:v>129.99094619769454</c:v>
                </c:pt>
                <c:pt idx="129">
                  <c:v>135.18397379570109</c:v>
                </c:pt>
                <c:pt idx="130">
                  <c:v>136.35184964692087</c:v>
                </c:pt>
                <c:pt idx="131">
                  <c:v>135.92894126214139</c:v>
                </c:pt>
                <c:pt idx="132">
                  <c:v>133.86930218811108</c:v>
                </c:pt>
                <c:pt idx="133">
                  <c:v>133.43200301351021</c:v>
                </c:pt>
                <c:pt idx="134">
                  <c:v>137.06448312409518</c:v>
                </c:pt>
                <c:pt idx="135">
                  <c:v>142.23370772949147</c:v>
                </c:pt>
                <c:pt idx="136">
                  <c:v>142.06899068352271</c:v>
                </c:pt>
                <c:pt idx="137">
                  <c:v>137.60334022285099</c:v>
                </c:pt>
                <c:pt idx="138">
                  <c:v>134.97849611009391</c:v>
                </c:pt>
                <c:pt idx="139">
                  <c:v>130.90944720429115</c:v>
                </c:pt>
                <c:pt idx="140">
                  <c:v>130.00997201721805</c:v>
                </c:pt>
                <c:pt idx="141">
                  <c:v>133.34472222657726</c:v>
                </c:pt>
                <c:pt idx="142">
                  <c:v>129.84448503790165</c:v>
                </c:pt>
                <c:pt idx="143">
                  <c:v>133.98501427428104</c:v>
                </c:pt>
                <c:pt idx="144">
                  <c:v>129.25901475045904</c:v>
                </c:pt>
                <c:pt idx="145">
                  <c:v>132.02581925254333</c:v>
                </c:pt>
                <c:pt idx="146">
                  <c:v>131.88943468690556</c:v>
                </c:pt>
                <c:pt idx="147">
                  <c:v>129.71633360878121</c:v>
                </c:pt>
                <c:pt idx="148">
                  <c:v>128.45147157366964</c:v>
                </c:pt>
                <c:pt idx="149">
                  <c:v>129.35448380399095</c:v>
                </c:pt>
                <c:pt idx="150">
                  <c:v>131.25904983155144</c:v>
                </c:pt>
                <c:pt idx="151">
                  <c:v>129.56831471910434</c:v>
                </c:pt>
                <c:pt idx="152">
                  <c:v>129.0244813084428</c:v>
                </c:pt>
                <c:pt idx="153">
                  <c:v>124.75202431523223</c:v>
                </c:pt>
                <c:pt idx="154">
                  <c:v>125.39990482370564</c:v>
                </c:pt>
                <c:pt idx="155">
                  <c:v>130.45162555871576</c:v>
                </c:pt>
                <c:pt idx="156">
                  <c:v>129.62225426376463</c:v>
                </c:pt>
                <c:pt idx="157">
                  <c:v>133.12777958960172</c:v>
                </c:pt>
                <c:pt idx="158">
                  <c:v>134.85159838971367</c:v>
                </c:pt>
                <c:pt idx="159">
                  <c:v>133.92431245877464</c:v>
                </c:pt>
                <c:pt idx="160">
                  <c:v>126.45147690377858</c:v>
                </c:pt>
                <c:pt idx="161">
                  <c:v>125.2138282852914</c:v>
                </c:pt>
                <c:pt idx="162">
                  <c:v>125.12307055846009</c:v>
                </c:pt>
                <c:pt idx="163">
                  <c:v>129.80746254117571</c:v>
                </c:pt>
                <c:pt idx="164">
                  <c:v>132.47990928557002</c:v>
                </c:pt>
                <c:pt idx="165">
                  <c:v>132.06618921168857</c:v>
                </c:pt>
                <c:pt idx="166">
                  <c:v>131.19808210151785</c:v>
                </c:pt>
                <c:pt idx="167">
                  <c:v>131.68465116078275</c:v>
                </c:pt>
                <c:pt idx="168">
                  <c:v>128.70502138354888</c:v>
                </c:pt>
                <c:pt idx="169">
                  <c:v>127.36222446056959</c:v>
                </c:pt>
                <c:pt idx="170">
                  <c:v>125.97339987320936</c:v>
                </c:pt>
                <c:pt idx="171">
                  <c:v>124.84228835414831</c:v>
                </c:pt>
                <c:pt idx="172">
                  <c:v>127.39963361447313</c:v>
                </c:pt>
                <c:pt idx="173">
                  <c:v>126.18064105834254</c:v>
                </c:pt>
                <c:pt idx="174">
                  <c:v>118.25125527393598</c:v>
                </c:pt>
                <c:pt idx="175">
                  <c:v>116.91867197871755</c:v>
                </c:pt>
                <c:pt idx="176">
                  <c:v>115.84793762676775</c:v>
                </c:pt>
                <c:pt idx="177">
                  <c:v>114.81493678444329</c:v>
                </c:pt>
                <c:pt idx="178">
                  <c:v>115.12848278805863</c:v>
                </c:pt>
                <c:pt idx="179">
                  <c:v>113.61259616450072</c:v>
                </c:pt>
                <c:pt idx="180">
                  <c:v>111.62034938067093</c:v>
                </c:pt>
                <c:pt idx="181">
                  <c:v>110.88560972436379</c:v>
                </c:pt>
                <c:pt idx="182">
                  <c:v>109.83322868530648</c:v>
                </c:pt>
                <c:pt idx="183">
                  <c:v>107.36989662864426</c:v>
                </c:pt>
                <c:pt idx="184">
                  <c:v>104.96174926019395</c:v>
                </c:pt>
                <c:pt idx="185">
                  <c:v>104.68167923096335</c:v>
                </c:pt>
                <c:pt idx="186">
                  <c:v>104.5784080910491</c:v>
                </c:pt>
                <c:pt idx="187">
                  <c:v>103.86929742318429</c:v>
                </c:pt>
                <c:pt idx="188">
                  <c:v>101.62058310741322</c:v>
                </c:pt>
                <c:pt idx="189">
                  <c:v>100.08290099879429</c:v>
                </c:pt>
                <c:pt idx="190">
                  <c:v>99.849679930817771</c:v>
                </c:pt>
                <c:pt idx="191">
                  <c:v>103.33239683430278</c:v>
                </c:pt>
                <c:pt idx="192">
                  <c:v>100.18081773331421</c:v>
                </c:pt>
                <c:pt idx="193">
                  <c:v>99.383012432359578</c:v>
                </c:pt>
                <c:pt idx="194">
                  <c:v>96.693574512170031</c:v>
                </c:pt>
                <c:pt idx="195">
                  <c:v>94.535845590602165</c:v>
                </c:pt>
                <c:pt idx="196">
                  <c:v>92.852830237383174</c:v>
                </c:pt>
                <c:pt idx="197">
                  <c:v>94.353663951738298</c:v>
                </c:pt>
                <c:pt idx="198">
                  <c:v>95.951327399006857</c:v>
                </c:pt>
                <c:pt idx="199">
                  <c:v>96.681793635486102</c:v>
                </c:pt>
                <c:pt idx="200">
                  <c:v>95.635031910255279</c:v>
                </c:pt>
                <c:pt idx="201">
                  <c:v>90.23474175765989</c:v>
                </c:pt>
                <c:pt idx="202">
                  <c:v>90.94890898409848</c:v>
                </c:pt>
                <c:pt idx="203">
                  <c:v>92.714902870823877</c:v>
                </c:pt>
                <c:pt idx="204">
                  <c:v>97.862111148698915</c:v>
                </c:pt>
                <c:pt idx="205">
                  <c:v>97.498685152983725</c:v>
                </c:pt>
                <c:pt idx="206">
                  <c:v>95.654793054777542</c:v>
                </c:pt>
                <c:pt idx="207">
                  <c:v>97.169719113098893</c:v>
                </c:pt>
                <c:pt idx="208">
                  <c:v>97.789365952758132</c:v>
                </c:pt>
                <c:pt idx="209">
                  <c:v>100.4501301393901</c:v>
                </c:pt>
                <c:pt idx="210">
                  <c:v>106.11008867672426</c:v>
                </c:pt>
                <c:pt idx="211">
                  <c:v>108.41624210414274</c:v>
                </c:pt>
                <c:pt idx="212">
                  <c:v>112.12693406252046</c:v>
                </c:pt>
                <c:pt idx="213">
                  <c:v>113.5932329133656</c:v>
                </c:pt>
                <c:pt idx="214">
                  <c:v>117.30446644770483</c:v>
                </c:pt>
                <c:pt idx="215">
                  <c:v>118.08208027518238</c:v>
                </c:pt>
                <c:pt idx="216">
                  <c:v>124.24402857359054</c:v>
                </c:pt>
                <c:pt idx="217">
                  <c:v>131.08400346344098</c:v>
                </c:pt>
                <c:pt idx="218">
                  <c:v>136.01855842252834</c:v>
                </c:pt>
                <c:pt idx="219">
                  <c:v>130.40451082840386</c:v>
                </c:pt>
                <c:pt idx="220">
                  <c:v>122.45840349029469</c:v>
                </c:pt>
                <c:pt idx="221">
                  <c:v>124.7707140949821</c:v>
                </c:pt>
                <c:pt idx="222">
                  <c:v>127.3748587532689</c:v>
                </c:pt>
                <c:pt idx="223">
                  <c:v>138.57018351097364</c:v>
                </c:pt>
                <c:pt idx="224">
                  <c:v>143.69356440979794</c:v>
                </c:pt>
                <c:pt idx="225">
                  <c:v>142.28375974470453</c:v>
                </c:pt>
                <c:pt idx="226">
                  <c:v>145.04164902379787</c:v>
                </c:pt>
                <c:pt idx="227">
                  <c:v>149.38017760586635</c:v>
                </c:pt>
                <c:pt idx="228">
                  <c:v>148.16956297700025</c:v>
                </c:pt>
                <c:pt idx="229">
                  <c:v>135.86510899184836</c:v>
                </c:pt>
                <c:pt idx="230">
                  <c:v>130.43289099283581</c:v>
                </c:pt>
                <c:pt idx="231">
                  <c:v>130.44259202702534</c:v>
                </c:pt>
                <c:pt idx="232">
                  <c:v>136.52433757503061</c:v>
                </c:pt>
                <c:pt idx="233">
                  <c:v>140.07690570242818</c:v>
                </c:pt>
                <c:pt idx="234">
                  <c:v>146.37332363689549</c:v>
                </c:pt>
                <c:pt idx="235">
                  <c:v>137.05124071050716</c:v>
                </c:pt>
                <c:pt idx="236">
                  <c:v>136.94227766041593</c:v>
                </c:pt>
                <c:pt idx="237">
                  <c:v>139.46113181520485</c:v>
                </c:pt>
                <c:pt idx="238">
                  <c:v>139.43873962377657</c:v>
                </c:pt>
                <c:pt idx="239">
                  <c:v>136.03816230144204</c:v>
                </c:pt>
                <c:pt idx="240">
                  <c:v>139.3934063904216</c:v>
                </c:pt>
                <c:pt idx="241">
                  <c:v>135.51482190535015</c:v>
                </c:pt>
                <c:pt idx="242">
                  <c:v>136.17005970213805</c:v>
                </c:pt>
                <c:pt idx="243">
                  <c:v>139.67020445692665</c:v>
                </c:pt>
                <c:pt idx="244">
                  <c:v>141.27353471100523</c:v>
                </c:pt>
                <c:pt idx="245">
                  <c:v>142.85269127840215</c:v>
                </c:pt>
                <c:pt idx="246">
                  <c:v>140.72716210435649</c:v>
                </c:pt>
                <c:pt idx="247">
                  <c:v>139.96113392208616</c:v>
                </c:pt>
                <c:pt idx="248">
                  <c:v>144.71030911295475</c:v>
                </c:pt>
                <c:pt idx="249">
                  <c:v>144.23186159232475</c:v>
                </c:pt>
                <c:pt idx="250">
                  <c:v>143.83584307176065</c:v>
                </c:pt>
                <c:pt idx="251">
                  <c:v>144.96840575979002</c:v>
                </c:pt>
                <c:pt idx="252">
                  <c:v>141.01825142112062</c:v>
                </c:pt>
                <c:pt idx="253">
                  <c:v>134.32776639375851</c:v>
                </c:pt>
                <c:pt idx="254">
                  <c:v>135.92023176685967</c:v>
                </c:pt>
                <c:pt idx="255">
                  <c:v>134.65276801000866</c:v>
                </c:pt>
                <c:pt idx="256">
                  <c:v>134.64086360018248</c:v>
                </c:pt>
                <c:pt idx="257">
                  <c:v>135.87117041074424</c:v>
                </c:pt>
                <c:pt idx="258">
                  <c:v>139.71251319646061</c:v>
                </c:pt>
                <c:pt idx="259">
                  <c:v>141.62329769799754</c:v>
                </c:pt>
                <c:pt idx="260">
                  <c:v>143.79538490418435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53-449D-9022-5EA48E21ADF0}"/>
            </c:ext>
          </c:extLst>
        </c:ser>
        <c:ser>
          <c:idx val="8"/>
          <c:order val="8"/>
          <c:tx>
            <c:strRef>
              <c:f>All_factors!$AY$121</c:f>
              <c:strCache>
                <c:ptCount val="1"/>
                <c:pt idx="0">
                  <c:v>quality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All_factors!$AY$122:$AY$382</c:f>
              <c:numCache>
                <c:formatCode>General</c:formatCode>
                <c:ptCount val="261"/>
                <c:pt idx="0">
                  <c:v>100</c:v>
                </c:pt>
                <c:pt idx="1">
                  <c:v>107.46413139326614</c:v>
                </c:pt>
                <c:pt idx="2">
                  <c:v>110.46867275052421</c:v>
                </c:pt>
                <c:pt idx="3">
                  <c:v>111.97242847997832</c:v>
                </c:pt>
                <c:pt idx="4">
                  <c:v>110.47107279521171</c:v>
                </c:pt>
                <c:pt idx="5">
                  <c:v>115.01571560318926</c:v>
                </c:pt>
                <c:pt idx="6">
                  <c:v>115.20329423838567</c:v>
                </c:pt>
                <c:pt idx="7">
                  <c:v>113.0064459755089</c:v>
                </c:pt>
                <c:pt idx="8">
                  <c:v>115.81354850120356</c:v>
                </c:pt>
                <c:pt idx="9">
                  <c:v>110.59272447482476</c:v>
                </c:pt>
                <c:pt idx="10">
                  <c:v>113.79561580117954</c:v>
                </c:pt>
                <c:pt idx="11">
                  <c:v>112.5518610762341</c:v>
                </c:pt>
                <c:pt idx="12">
                  <c:v>113.30931411633571</c:v>
                </c:pt>
                <c:pt idx="13">
                  <c:v>109.02301110869595</c:v>
                </c:pt>
                <c:pt idx="14">
                  <c:v>106.74607795429642</c:v>
                </c:pt>
                <c:pt idx="15">
                  <c:v>107.17380727383097</c:v>
                </c:pt>
                <c:pt idx="16">
                  <c:v>100.90036230278085</c:v>
                </c:pt>
                <c:pt idx="17">
                  <c:v>100.84132699861861</c:v>
                </c:pt>
                <c:pt idx="18">
                  <c:v>101.69730326934553</c:v>
                </c:pt>
                <c:pt idx="19">
                  <c:v>109.06144354725181</c:v>
                </c:pt>
                <c:pt idx="20">
                  <c:v>112.08330639815966</c:v>
                </c:pt>
                <c:pt idx="21">
                  <c:v>104.68777681286288</c:v>
                </c:pt>
                <c:pt idx="22">
                  <c:v>105.00861947744636</c:v>
                </c:pt>
                <c:pt idx="23">
                  <c:v>104.38242638892429</c:v>
                </c:pt>
                <c:pt idx="24">
                  <c:v>104.90170028475538</c:v>
                </c:pt>
                <c:pt idx="25">
                  <c:v>103.55073036873911</c:v>
                </c:pt>
                <c:pt idx="26">
                  <c:v>103.74835003511416</c:v>
                </c:pt>
                <c:pt idx="27">
                  <c:v>109.09567692814912</c:v>
                </c:pt>
                <c:pt idx="28">
                  <c:v>109.98607862728377</c:v>
                </c:pt>
                <c:pt idx="29">
                  <c:v>108.33931864112638</c:v>
                </c:pt>
                <c:pt idx="30">
                  <c:v>108.83663105028934</c:v>
                </c:pt>
                <c:pt idx="31">
                  <c:v>112.70924508156619</c:v>
                </c:pt>
                <c:pt idx="32">
                  <c:v>112.70830021811246</c:v>
                </c:pt>
                <c:pt idx="33">
                  <c:v>112.47955371074153</c:v>
                </c:pt>
                <c:pt idx="34">
                  <c:v>106.77035082031946</c:v>
                </c:pt>
                <c:pt idx="35">
                  <c:v>106.69239132205114</c:v>
                </c:pt>
                <c:pt idx="36">
                  <c:v>108.5025729035054</c:v>
                </c:pt>
                <c:pt idx="37">
                  <c:v>106.8942263742594</c:v>
                </c:pt>
                <c:pt idx="38">
                  <c:v>107.26100363518916</c:v>
                </c:pt>
                <c:pt idx="39">
                  <c:v>104.31724743784781</c:v>
                </c:pt>
                <c:pt idx="40">
                  <c:v>103.16417603263008</c:v>
                </c:pt>
                <c:pt idx="41">
                  <c:v>103.27474630165014</c:v>
                </c:pt>
                <c:pt idx="42">
                  <c:v>100.72476898044513</c:v>
                </c:pt>
                <c:pt idx="43">
                  <c:v>101.08921395887241</c:v>
                </c:pt>
                <c:pt idx="44">
                  <c:v>93.178479451653928</c:v>
                </c:pt>
                <c:pt idx="45">
                  <c:v>92.564863297399739</c:v>
                </c:pt>
                <c:pt idx="46">
                  <c:v>92.658768003579723</c:v>
                </c:pt>
                <c:pt idx="47">
                  <c:v>93.598539297910861</c:v>
                </c:pt>
                <c:pt idx="48">
                  <c:v>92.557972937921861</c:v>
                </c:pt>
                <c:pt idx="49">
                  <c:v>91.920141091183567</c:v>
                </c:pt>
                <c:pt idx="50">
                  <c:v>93.962449708820685</c:v>
                </c:pt>
                <c:pt idx="51">
                  <c:v>95.790072087874819</c:v>
                </c:pt>
                <c:pt idx="52">
                  <c:v>99.625537449985728</c:v>
                </c:pt>
                <c:pt idx="53">
                  <c:v>105.38068786703818</c:v>
                </c:pt>
                <c:pt idx="54">
                  <c:v>111.57376498814024</c:v>
                </c:pt>
                <c:pt idx="55">
                  <c:v>109.2654462896981</c:v>
                </c:pt>
                <c:pt idx="56">
                  <c:v>106.55586609206519</c:v>
                </c:pt>
                <c:pt idx="57">
                  <c:v>106.32069125914767</c:v>
                </c:pt>
                <c:pt idx="58">
                  <c:v>108.99554300632622</c:v>
                </c:pt>
                <c:pt idx="59">
                  <c:v>104.80394031535511</c:v>
                </c:pt>
                <c:pt idx="60">
                  <c:v>99.322922154103978</c:v>
                </c:pt>
                <c:pt idx="61">
                  <c:v>97.219845155431614</c:v>
                </c:pt>
                <c:pt idx="62">
                  <c:v>99.387041649720601</c:v>
                </c:pt>
                <c:pt idx="63">
                  <c:v>93.9176095431081</c:v>
                </c:pt>
                <c:pt idx="64">
                  <c:v>93.137000122088622</c:v>
                </c:pt>
                <c:pt idx="65">
                  <c:v>91.992977131842423</c:v>
                </c:pt>
                <c:pt idx="66">
                  <c:v>93.208878575988308</c:v>
                </c:pt>
                <c:pt idx="67">
                  <c:v>90.912454688744319</c:v>
                </c:pt>
                <c:pt idx="68">
                  <c:v>88.196984346204019</c:v>
                </c:pt>
                <c:pt idx="69">
                  <c:v>87.420617770948155</c:v>
                </c:pt>
                <c:pt idx="70">
                  <c:v>86.85371768922974</c:v>
                </c:pt>
                <c:pt idx="71">
                  <c:v>89.414873817096307</c:v>
                </c:pt>
                <c:pt idx="72">
                  <c:v>92.257889377546448</c:v>
                </c:pt>
                <c:pt idx="73">
                  <c:v>95.136065130019574</c:v>
                </c:pt>
                <c:pt idx="74">
                  <c:v>99.531008421154183</c:v>
                </c:pt>
                <c:pt idx="75">
                  <c:v>99.087732343867785</c:v>
                </c:pt>
                <c:pt idx="76">
                  <c:v>98.791005847530272</c:v>
                </c:pt>
                <c:pt idx="77">
                  <c:v>98.377231991213009</c:v>
                </c:pt>
                <c:pt idx="78">
                  <c:v>101.8528664665875</c:v>
                </c:pt>
                <c:pt idx="79">
                  <c:v>105.44240830865959</c:v>
                </c:pt>
                <c:pt idx="80">
                  <c:v>105.68475620374807</c:v>
                </c:pt>
                <c:pt idx="81">
                  <c:v>104.95029080005969</c:v>
                </c:pt>
                <c:pt idx="82">
                  <c:v>103.69740269371239</c:v>
                </c:pt>
                <c:pt idx="83">
                  <c:v>106.47894903633211</c:v>
                </c:pt>
                <c:pt idx="84">
                  <c:v>111.28583849581018</c:v>
                </c:pt>
                <c:pt idx="85">
                  <c:v>116.13571837115005</c:v>
                </c:pt>
                <c:pt idx="86">
                  <c:v>118.07599836277238</c:v>
                </c:pt>
                <c:pt idx="87">
                  <c:v>121.02974923162535</c:v>
                </c:pt>
                <c:pt idx="88">
                  <c:v>127.93755807141923</c:v>
                </c:pt>
                <c:pt idx="89">
                  <c:v>131.11593245755353</c:v>
                </c:pt>
                <c:pt idx="90">
                  <c:v>126.08631225674046</c:v>
                </c:pt>
                <c:pt idx="91">
                  <c:v>131.83976173041611</c:v>
                </c:pt>
                <c:pt idx="92">
                  <c:v>132.45820731112997</c:v>
                </c:pt>
                <c:pt idx="93">
                  <c:v>129.73787365467905</c:v>
                </c:pt>
                <c:pt idx="94">
                  <c:v>131.43055572767824</c:v>
                </c:pt>
                <c:pt idx="95">
                  <c:v>134.82622018097967</c:v>
                </c:pt>
                <c:pt idx="96">
                  <c:v>141.28204133581573</c:v>
                </c:pt>
                <c:pt idx="97">
                  <c:v>149.64038983505151</c:v>
                </c:pt>
                <c:pt idx="98">
                  <c:v>159.69712206594073</c:v>
                </c:pt>
                <c:pt idx="99">
                  <c:v>157.59894385970404</c:v>
                </c:pt>
                <c:pt idx="100">
                  <c:v>151.9009884064528</c:v>
                </c:pt>
                <c:pt idx="101">
                  <c:v>147.82993491125848</c:v>
                </c:pt>
                <c:pt idx="102">
                  <c:v>151.44093154772199</c:v>
                </c:pt>
                <c:pt idx="103">
                  <c:v>156.83708483020297</c:v>
                </c:pt>
                <c:pt idx="104">
                  <c:v>152.04916636707316</c:v>
                </c:pt>
                <c:pt idx="105">
                  <c:v>151.18742881947486</c:v>
                </c:pt>
                <c:pt idx="106">
                  <c:v>155.3807826005187</c:v>
                </c:pt>
                <c:pt idx="107">
                  <c:v>157.90124040091945</c:v>
                </c:pt>
                <c:pt idx="108">
                  <c:v>165.2955734890084</c:v>
                </c:pt>
                <c:pt idx="109">
                  <c:v>166.91873204080042</c:v>
                </c:pt>
                <c:pt idx="110">
                  <c:v>169.53721139253452</c:v>
                </c:pt>
                <c:pt idx="111">
                  <c:v>169.34368934439942</c:v>
                </c:pt>
                <c:pt idx="112">
                  <c:v>164.84478530513485</c:v>
                </c:pt>
                <c:pt idx="113">
                  <c:v>168.23015202430096</c:v>
                </c:pt>
                <c:pt idx="114">
                  <c:v>168.0480843576116</c:v>
                </c:pt>
                <c:pt idx="115">
                  <c:v>171.57239671093728</c:v>
                </c:pt>
                <c:pt idx="116">
                  <c:v>168.09624465421706</c:v>
                </c:pt>
                <c:pt idx="117">
                  <c:v>168.80517364376229</c:v>
                </c:pt>
                <c:pt idx="118">
                  <c:v>171.71209749649199</c:v>
                </c:pt>
                <c:pt idx="119">
                  <c:v>174.74186334214809</c:v>
                </c:pt>
                <c:pt idx="120">
                  <c:v>178.94843117921764</c:v>
                </c:pt>
                <c:pt idx="121">
                  <c:v>180.38574071600172</c:v>
                </c:pt>
                <c:pt idx="122">
                  <c:v>177.59545608555192</c:v>
                </c:pt>
                <c:pt idx="123">
                  <c:v>172.9689094953321</c:v>
                </c:pt>
                <c:pt idx="124">
                  <c:v>172.73117561693331</c:v>
                </c:pt>
                <c:pt idx="125">
                  <c:v>177.94559244276411</c:v>
                </c:pt>
                <c:pt idx="126">
                  <c:v>184.47389590598851</c:v>
                </c:pt>
                <c:pt idx="127">
                  <c:v>188.63444724135368</c:v>
                </c:pt>
                <c:pt idx="128">
                  <c:v>192.32448673488702</c:v>
                </c:pt>
                <c:pt idx="129">
                  <c:v>203.00290774503671</c:v>
                </c:pt>
                <c:pt idx="130">
                  <c:v>197.55671634768561</c:v>
                </c:pt>
                <c:pt idx="131">
                  <c:v>195.41959663244177</c:v>
                </c:pt>
                <c:pt idx="132">
                  <c:v>192.14868403625508</c:v>
                </c:pt>
                <c:pt idx="133">
                  <c:v>195.91659537194676</c:v>
                </c:pt>
                <c:pt idx="134">
                  <c:v>198.7683437541217</c:v>
                </c:pt>
                <c:pt idx="135">
                  <c:v>206.25780668975881</c:v>
                </c:pt>
                <c:pt idx="136">
                  <c:v>211.8690830249939</c:v>
                </c:pt>
                <c:pt idx="137">
                  <c:v>212.85608790884146</c:v>
                </c:pt>
                <c:pt idx="138">
                  <c:v>205.23525165870598</c:v>
                </c:pt>
                <c:pt idx="139">
                  <c:v>192.90459201648596</c:v>
                </c:pt>
                <c:pt idx="140">
                  <c:v>193.61638330055121</c:v>
                </c:pt>
                <c:pt idx="141">
                  <c:v>193.30588089084614</c:v>
                </c:pt>
                <c:pt idx="142">
                  <c:v>191.40076690508897</c:v>
                </c:pt>
                <c:pt idx="143">
                  <c:v>187.54659430401139</c:v>
                </c:pt>
                <c:pt idx="144">
                  <c:v>175.98990554226842</c:v>
                </c:pt>
                <c:pt idx="145">
                  <c:v>184.27422771695169</c:v>
                </c:pt>
                <c:pt idx="146">
                  <c:v>185.88778603298769</c:v>
                </c:pt>
                <c:pt idx="147">
                  <c:v>180.86043610433504</c:v>
                </c:pt>
                <c:pt idx="148">
                  <c:v>180.79517988722989</c:v>
                </c:pt>
                <c:pt idx="149">
                  <c:v>181.7613262074936</c:v>
                </c:pt>
                <c:pt idx="150">
                  <c:v>177.26112258300998</c:v>
                </c:pt>
                <c:pt idx="151">
                  <c:v>174.40205563059394</c:v>
                </c:pt>
                <c:pt idx="152">
                  <c:v>173.97795439734759</c:v>
                </c:pt>
                <c:pt idx="153">
                  <c:v>168.58062859430476</c:v>
                </c:pt>
                <c:pt idx="154">
                  <c:v>168.45657005746915</c:v>
                </c:pt>
                <c:pt idx="155">
                  <c:v>174.39287528108321</c:v>
                </c:pt>
                <c:pt idx="156">
                  <c:v>179.76314386224396</c:v>
                </c:pt>
                <c:pt idx="157">
                  <c:v>188.54391912697281</c:v>
                </c:pt>
                <c:pt idx="158">
                  <c:v>187.99267821996924</c:v>
                </c:pt>
                <c:pt idx="159">
                  <c:v>187.61254415976725</c:v>
                </c:pt>
                <c:pt idx="160">
                  <c:v>182.44733800745007</c:v>
                </c:pt>
                <c:pt idx="161">
                  <c:v>181.75654449186246</c:v>
                </c:pt>
                <c:pt idx="162">
                  <c:v>182.82752616321866</c:v>
                </c:pt>
                <c:pt idx="163">
                  <c:v>188.28694634349142</c:v>
                </c:pt>
                <c:pt idx="164">
                  <c:v>191.44574987912344</c:v>
                </c:pt>
                <c:pt idx="165">
                  <c:v>185.2795242423862</c:v>
                </c:pt>
                <c:pt idx="166">
                  <c:v>183.39169313418193</c:v>
                </c:pt>
                <c:pt idx="167">
                  <c:v>184.44238718470609</c:v>
                </c:pt>
                <c:pt idx="168">
                  <c:v>180.50396024708522</c:v>
                </c:pt>
                <c:pt idx="169">
                  <c:v>180.52463506908001</c:v>
                </c:pt>
                <c:pt idx="170">
                  <c:v>180.76920793321986</c:v>
                </c:pt>
                <c:pt idx="171">
                  <c:v>179.83067409429796</c:v>
                </c:pt>
                <c:pt idx="172">
                  <c:v>181.95648597210004</c:v>
                </c:pt>
                <c:pt idx="173">
                  <c:v>181.13636935773198</c:v>
                </c:pt>
                <c:pt idx="174">
                  <c:v>165.33981905738588</c:v>
                </c:pt>
                <c:pt idx="175">
                  <c:v>169.3799671571162</c:v>
                </c:pt>
                <c:pt idx="176">
                  <c:v>170.84596594404462</c:v>
                </c:pt>
                <c:pt idx="177">
                  <c:v>165.09883285662536</c:v>
                </c:pt>
                <c:pt idx="178">
                  <c:v>165.12583599473368</c:v>
                </c:pt>
                <c:pt idx="179">
                  <c:v>167.24939856218157</c:v>
                </c:pt>
                <c:pt idx="180">
                  <c:v>170.52691127515541</c:v>
                </c:pt>
                <c:pt idx="181">
                  <c:v>172.01718313824352</c:v>
                </c:pt>
                <c:pt idx="182">
                  <c:v>172.10638961749473</c:v>
                </c:pt>
                <c:pt idx="183">
                  <c:v>172.7207228639667</c:v>
                </c:pt>
                <c:pt idx="184">
                  <c:v>174.8442737012445</c:v>
                </c:pt>
                <c:pt idx="185">
                  <c:v>173.78848390779299</c:v>
                </c:pt>
                <c:pt idx="186">
                  <c:v>176.04923997811028</c:v>
                </c:pt>
                <c:pt idx="187">
                  <c:v>175.48043736431686</c:v>
                </c:pt>
                <c:pt idx="188">
                  <c:v>172.91753908213929</c:v>
                </c:pt>
                <c:pt idx="189">
                  <c:v>176.40727584446395</c:v>
                </c:pt>
                <c:pt idx="190">
                  <c:v>176.39346953475675</c:v>
                </c:pt>
                <c:pt idx="191">
                  <c:v>180.85504883557806</c:v>
                </c:pt>
                <c:pt idx="192">
                  <c:v>180.37442790183621</c:v>
                </c:pt>
                <c:pt idx="193">
                  <c:v>176.4279046498298</c:v>
                </c:pt>
                <c:pt idx="194">
                  <c:v>175.6469792537865</c:v>
                </c:pt>
                <c:pt idx="195">
                  <c:v>172.75947795195418</c:v>
                </c:pt>
                <c:pt idx="196">
                  <c:v>170.57762187798863</c:v>
                </c:pt>
                <c:pt idx="197">
                  <c:v>173.3538099064462</c:v>
                </c:pt>
                <c:pt idx="198">
                  <c:v>174.54020281069296</c:v>
                </c:pt>
                <c:pt idx="199">
                  <c:v>173.9944401919096</c:v>
                </c:pt>
                <c:pt idx="200">
                  <c:v>170.29145407752375</c:v>
                </c:pt>
                <c:pt idx="201">
                  <c:v>167.41527418546184</c:v>
                </c:pt>
                <c:pt idx="202">
                  <c:v>169.76829347744351</c:v>
                </c:pt>
                <c:pt idx="203">
                  <c:v>169.70198795777074</c:v>
                </c:pt>
                <c:pt idx="204">
                  <c:v>173.27894997550976</c:v>
                </c:pt>
                <c:pt idx="205">
                  <c:v>170.39729696181328</c:v>
                </c:pt>
                <c:pt idx="206">
                  <c:v>169.31551882475856</c:v>
                </c:pt>
                <c:pt idx="207">
                  <c:v>170.39156981227694</c:v>
                </c:pt>
                <c:pt idx="208">
                  <c:v>171.02834768492838</c:v>
                </c:pt>
                <c:pt idx="209">
                  <c:v>173.81419105627737</c:v>
                </c:pt>
                <c:pt idx="210">
                  <c:v>180.27320613347069</c:v>
                </c:pt>
                <c:pt idx="211">
                  <c:v>177.44760685115881</c:v>
                </c:pt>
                <c:pt idx="212">
                  <c:v>183.98816624185812</c:v>
                </c:pt>
                <c:pt idx="213">
                  <c:v>182.53882024163565</c:v>
                </c:pt>
                <c:pt idx="214">
                  <c:v>186.04187977220806</c:v>
                </c:pt>
                <c:pt idx="215">
                  <c:v>185.13676623187234</c:v>
                </c:pt>
                <c:pt idx="216">
                  <c:v>190.26276459627053</c:v>
                </c:pt>
                <c:pt idx="217">
                  <c:v>190.14222666841079</c:v>
                </c:pt>
                <c:pt idx="218">
                  <c:v>193.86612011315771</c:v>
                </c:pt>
                <c:pt idx="219">
                  <c:v>186.41411843250557</c:v>
                </c:pt>
                <c:pt idx="220">
                  <c:v>174.99444156764767</c:v>
                </c:pt>
                <c:pt idx="221">
                  <c:v>179.17651261212566</c:v>
                </c:pt>
                <c:pt idx="222">
                  <c:v>179.40047523355756</c:v>
                </c:pt>
                <c:pt idx="223">
                  <c:v>189.55373715746362</c:v>
                </c:pt>
                <c:pt idx="224">
                  <c:v>195.35609104472249</c:v>
                </c:pt>
                <c:pt idx="225">
                  <c:v>192.61466707981873</c:v>
                </c:pt>
                <c:pt idx="226">
                  <c:v>195.98124726778201</c:v>
                </c:pt>
                <c:pt idx="227">
                  <c:v>200.47412244212762</c:v>
                </c:pt>
                <c:pt idx="228">
                  <c:v>197.54062801076302</c:v>
                </c:pt>
                <c:pt idx="229">
                  <c:v>183.48850937490369</c:v>
                </c:pt>
                <c:pt idx="230">
                  <c:v>177.45247622039889</c:v>
                </c:pt>
                <c:pt idx="231">
                  <c:v>175.49826233982452</c:v>
                </c:pt>
                <c:pt idx="232">
                  <c:v>182.68817850367759</c:v>
                </c:pt>
                <c:pt idx="233">
                  <c:v>187.05313501687468</c:v>
                </c:pt>
                <c:pt idx="234">
                  <c:v>194.10222389682087</c:v>
                </c:pt>
                <c:pt idx="235">
                  <c:v>184.81163122506874</c:v>
                </c:pt>
                <c:pt idx="236">
                  <c:v>184.22906660989011</c:v>
                </c:pt>
                <c:pt idx="237">
                  <c:v>185.8447327493239</c:v>
                </c:pt>
                <c:pt idx="238">
                  <c:v>189.88559675539975</c:v>
                </c:pt>
                <c:pt idx="239">
                  <c:v>188.5219890735473</c:v>
                </c:pt>
                <c:pt idx="240">
                  <c:v>192.71786896314612</c:v>
                </c:pt>
                <c:pt idx="241">
                  <c:v>189.14358227146226</c:v>
                </c:pt>
                <c:pt idx="242">
                  <c:v>191.52503309666523</c:v>
                </c:pt>
                <c:pt idx="243">
                  <c:v>198.2735357019032</c:v>
                </c:pt>
                <c:pt idx="244">
                  <c:v>201.71030507645023</c:v>
                </c:pt>
                <c:pt idx="245">
                  <c:v>204.47326670041332</c:v>
                </c:pt>
                <c:pt idx="246">
                  <c:v>203.69014032547702</c:v>
                </c:pt>
                <c:pt idx="247">
                  <c:v>203.83738044763993</c:v>
                </c:pt>
                <c:pt idx="248">
                  <c:v>210.32739565711475</c:v>
                </c:pt>
                <c:pt idx="249">
                  <c:v>209.13001120480905</c:v>
                </c:pt>
                <c:pt idx="250">
                  <c:v>205.66014818638283</c:v>
                </c:pt>
                <c:pt idx="251">
                  <c:v>208.65475623946639</c:v>
                </c:pt>
                <c:pt idx="252">
                  <c:v>203.84166614331156</c:v>
                </c:pt>
                <c:pt idx="253">
                  <c:v>195.98719488168427</c:v>
                </c:pt>
                <c:pt idx="254">
                  <c:v>199.79020566992492</c:v>
                </c:pt>
                <c:pt idx="255">
                  <c:v>199.69169427707428</c:v>
                </c:pt>
                <c:pt idx="256">
                  <c:v>198.44269000724344</c:v>
                </c:pt>
                <c:pt idx="257">
                  <c:v>197.44247470233125</c:v>
                </c:pt>
                <c:pt idx="258">
                  <c:v>202.28273785035626</c:v>
                </c:pt>
                <c:pt idx="259">
                  <c:v>205.62347594029333</c:v>
                </c:pt>
                <c:pt idx="260">
                  <c:v>205.90304443655171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53-449D-9022-5EA48E21ADF0}"/>
            </c:ext>
          </c:extLst>
        </c:ser>
        <c:ser>
          <c:idx val="9"/>
          <c:order val="9"/>
          <c:tx>
            <c:strRef>
              <c:f>All_factors!$AZ$121</c:f>
              <c:strCache>
                <c:ptCount val="1"/>
                <c:pt idx="0">
                  <c:v>seasonality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All_factors!$AZ$122:$AZ$382</c:f>
              <c:numCache>
                <c:formatCode>General</c:formatCode>
                <c:ptCount val="261"/>
                <c:pt idx="0">
                  <c:v>100</c:v>
                </c:pt>
                <c:pt idx="1">
                  <c:v>95.201338452205007</c:v>
                </c:pt>
                <c:pt idx="2">
                  <c:v>98.273025040094396</c:v>
                </c:pt>
                <c:pt idx="3">
                  <c:v>96.660618486529941</c:v>
                </c:pt>
                <c:pt idx="4">
                  <c:v>95.308501607350649</c:v>
                </c:pt>
                <c:pt idx="5">
                  <c:v>99.784044063498882</c:v>
                </c:pt>
                <c:pt idx="6">
                  <c:v>102.205880585792</c:v>
                </c:pt>
                <c:pt idx="7">
                  <c:v>102.58035762173327</c:v>
                </c:pt>
                <c:pt idx="8">
                  <c:v>102.52777867731878</c:v>
                </c:pt>
                <c:pt idx="9">
                  <c:v>99.902719964726387</c:v>
                </c:pt>
                <c:pt idx="10">
                  <c:v>98.003608195141268</c:v>
                </c:pt>
                <c:pt idx="11">
                  <c:v>100.45812739312004</c:v>
                </c:pt>
                <c:pt idx="12">
                  <c:v>104.85082262774937</c:v>
                </c:pt>
                <c:pt idx="13">
                  <c:v>100.04580753661996</c:v>
                </c:pt>
                <c:pt idx="14">
                  <c:v>95.577870801517221</c:v>
                </c:pt>
                <c:pt idx="15">
                  <c:v>103.57011496950905</c:v>
                </c:pt>
                <c:pt idx="16">
                  <c:v>102.01472261494825</c:v>
                </c:pt>
                <c:pt idx="17">
                  <c:v>99.689193744301235</c:v>
                </c:pt>
                <c:pt idx="18">
                  <c:v>101.44316954420319</c:v>
                </c:pt>
                <c:pt idx="19">
                  <c:v>100.04014941038582</c:v>
                </c:pt>
                <c:pt idx="20">
                  <c:v>106.00745438566902</c:v>
                </c:pt>
                <c:pt idx="21">
                  <c:v>106.75685456788051</c:v>
                </c:pt>
                <c:pt idx="22">
                  <c:v>105.70962723574645</c:v>
                </c:pt>
                <c:pt idx="23">
                  <c:v>105.08697346162657</c:v>
                </c:pt>
                <c:pt idx="24">
                  <c:v>103.63637733503811</c:v>
                </c:pt>
                <c:pt idx="25">
                  <c:v>105.18962495737941</c:v>
                </c:pt>
                <c:pt idx="26">
                  <c:v>107.38999877584554</c:v>
                </c:pt>
                <c:pt idx="27">
                  <c:v>107.71888296053724</c:v>
                </c:pt>
                <c:pt idx="28">
                  <c:v>107.88879846619827</c:v>
                </c:pt>
                <c:pt idx="29">
                  <c:v>108.08426032598982</c:v>
                </c:pt>
                <c:pt idx="30">
                  <c:v>108.34318697908661</c:v>
                </c:pt>
                <c:pt idx="31">
                  <c:v>107.03172045407644</c:v>
                </c:pt>
                <c:pt idx="32">
                  <c:v>105.89545864048831</c:v>
                </c:pt>
                <c:pt idx="33">
                  <c:v>107.78662947852938</c:v>
                </c:pt>
                <c:pt idx="34">
                  <c:v>110.41093166147242</c:v>
                </c:pt>
                <c:pt idx="35">
                  <c:v>112.14826195599331</c:v>
                </c:pt>
                <c:pt idx="36">
                  <c:v>112.51227001809941</c:v>
                </c:pt>
                <c:pt idx="37">
                  <c:v>111.34698336010642</c:v>
                </c:pt>
                <c:pt idx="38">
                  <c:v>112.58114166392346</c:v>
                </c:pt>
                <c:pt idx="39">
                  <c:v>115.59923514737208</c:v>
                </c:pt>
                <c:pt idx="40">
                  <c:v>115.1357410818661</c:v>
                </c:pt>
                <c:pt idx="41">
                  <c:v>112.7505989451861</c:v>
                </c:pt>
                <c:pt idx="42">
                  <c:v>113.70299803340446</c:v>
                </c:pt>
                <c:pt idx="43">
                  <c:v>112.77956706839531</c:v>
                </c:pt>
                <c:pt idx="44">
                  <c:v>115.06693445492317</c:v>
                </c:pt>
                <c:pt idx="45">
                  <c:v>115.12771642902368</c:v>
                </c:pt>
                <c:pt idx="46">
                  <c:v>112.83225686672259</c:v>
                </c:pt>
                <c:pt idx="47">
                  <c:v>112.36427652834563</c:v>
                </c:pt>
                <c:pt idx="48">
                  <c:v>110.87520087682624</c:v>
                </c:pt>
                <c:pt idx="49">
                  <c:v>111.64979562432495</c:v>
                </c:pt>
                <c:pt idx="50">
                  <c:v>114.76900087894288</c:v>
                </c:pt>
                <c:pt idx="51">
                  <c:v>112.24241549395148</c:v>
                </c:pt>
                <c:pt idx="52">
                  <c:v>110.82065781621047</c:v>
                </c:pt>
                <c:pt idx="53">
                  <c:v>106.30135115646576</c:v>
                </c:pt>
                <c:pt idx="54">
                  <c:v>106.91975780546699</c:v>
                </c:pt>
                <c:pt idx="55">
                  <c:v>108.98045209682273</c:v>
                </c:pt>
                <c:pt idx="56">
                  <c:v>111.00191835413385</c:v>
                </c:pt>
                <c:pt idx="57">
                  <c:v>111.25281634539255</c:v>
                </c:pt>
                <c:pt idx="58">
                  <c:v>114.6611159681156</c:v>
                </c:pt>
                <c:pt idx="59">
                  <c:v>113.41181739944149</c:v>
                </c:pt>
                <c:pt idx="60">
                  <c:v>111.57828192535278</c:v>
                </c:pt>
                <c:pt idx="61">
                  <c:v>107.94205562431235</c:v>
                </c:pt>
                <c:pt idx="62">
                  <c:v>108.64864193546674</c:v>
                </c:pt>
                <c:pt idx="63">
                  <c:v>107.14619093747545</c:v>
                </c:pt>
                <c:pt idx="64">
                  <c:v>107.48075771730856</c:v>
                </c:pt>
                <c:pt idx="65">
                  <c:v>109.9756848496733</c:v>
                </c:pt>
                <c:pt idx="66">
                  <c:v>107.2277622935535</c:v>
                </c:pt>
                <c:pt idx="67">
                  <c:v>105.9513633515779</c:v>
                </c:pt>
                <c:pt idx="68">
                  <c:v>107.25899668400483</c:v>
                </c:pt>
                <c:pt idx="69">
                  <c:v>108.56924330160824</c:v>
                </c:pt>
                <c:pt idx="70">
                  <c:v>107.81090170155314</c:v>
                </c:pt>
                <c:pt idx="71">
                  <c:v>109.09288678297784</c:v>
                </c:pt>
                <c:pt idx="72">
                  <c:v>110.12651287435693</c:v>
                </c:pt>
                <c:pt idx="73">
                  <c:v>109.690147822567</c:v>
                </c:pt>
                <c:pt idx="74">
                  <c:v>110.84460089552049</c:v>
                </c:pt>
                <c:pt idx="75">
                  <c:v>108.37203507934827</c:v>
                </c:pt>
                <c:pt idx="76">
                  <c:v>109.36245863361999</c:v>
                </c:pt>
                <c:pt idx="77">
                  <c:v>106.99309989764278</c:v>
                </c:pt>
                <c:pt idx="78">
                  <c:v>107.21675626522249</c:v>
                </c:pt>
                <c:pt idx="79">
                  <c:v>106.35048250904731</c:v>
                </c:pt>
                <c:pt idx="80">
                  <c:v>107.73803778427573</c:v>
                </c:pt>
                <c:pt idx="81">
                  <c:v>108.42225908028664</c:v>
                </c:pt>
                <c:pt idx="82">
                  <c:v>108.1028302446267</c:v>
                </c:pt>
                <c:pt idx="83">
                  <c:v>108.33742270025863</c:v>
                </c:pt>
                <c:pt idx="84">
                  <c:v>107.22130719394067</c:v>
                </c:pt>
                <c:pt idx="85">
                  <c:v>107.68927717098532</c:v>
                </c:pt>
                <c:pt idx="86">
                  <c:v>109.00258774124406</c:v>
                </c:pt>
                <c:pt idx="87">
                  <c:v>109.23115553796015</c:v>
                </c:pt>
                <c:pt idx="88">
                  <c:v>107.44636076829356</c:v>
                </c:pt>
                <c:pt idx="89">
                  <c:v>107.72074089597974</c:v>
                </c:pt>
                <c:pt idx="90">
                  <c:v>107.68378030011745</c:v>
                </c:pt>
                <c:pt idx="91">
                  <c:v>107.32189891304026</c:v>
                </c:pt>
                <c:pt idx="92">
                  <c:v>107.55760500431205</c:v>
                </c:pt>
                <c:pt idx="93">
                  <c:v>105.38663278593533</c:v>
                </c:pt>
                <c:pt idx="94">
                  <c:v>106.03523354806494</c:v>
                </c:pt>
                <c:pt idx="95">
                  <c:v>106.10327616177132</c:v>
                </c:pt>
                <c:pt idx="96">
                  <c:v>104.90395491945461</c:v>
                </c:pt>
                <c:pt idx="97">
                  <c:v>104.2493823561272</c:v>
                </c:pt>
                <c:pt idx="98">
                  <c:v>105.19230579082988</c:v>
                </c:pt>
                <c:pt idx="99">
                  <c:v>106.53175959868969</c:v>
                </c:pt>
                <c:pt idx="100">
                  <c:v>106.79710698953231</c:v>
                </c:pt>
                <c:pt idx="101">
                  <c:v>106.86037815483549</c:v>
                </c:pt>
                <c:pt idx="102">
                  <c:v>107.06998740713898</c:v>
                </c:pt>
                <c:pt idx="103">
                  <c:v>107.16570439074589</c:v>
                </c:pt>
                <c:pt idx="104">
                  <c:v>105.21741112531319</c:v>
                </c:pt>
                <c:pt idx="105">
                  <c:v>104.94749289206699</c:v>
                </c:pt>
                <c:pt idx="106">
                  <c:v>104.0676407646293</c:v>
                </c:pt>
                <c:pt idx="107">
                  <c:v>103.86586771653052</c:v>
                </c:pt>
                <c:pt idx="108">
                  <c:v>104.4967812585103</c:v>
                </c:pt>
                <c:pt idx="109">
                  <c:v>104.28487977903899</c:v>
                </c:pt>
                <c:pt idx="110">
                  <c:v>103.83720153355176</c:v>
                </c:pt>
                <c:pt idx="111">
                  <c:v>103.53521118435789</c:v>
                </c:pt>
                <c:pt idx="112">
                  <c:v>103.41323259654104</c:v>
                </c:pt>
                <c:pt idx="113">
                  <c:v>102.34174785236506</c:v>
                </c:pt>
                <c:pt idx="114">
                  <c:v>101.59330567774492</c:v>
                </c:pt>
                <c:pt idx="115">
                  <c:v>100.73989333404029</c:v>
                </c:pt>
                <c:pt idx="116">
                  <c:v>100.27332023866174</c:v>
                </c:pt>
                <c:pt idx="117">
                  <c:v>100.50226333589404</c:v>
                </c:pt>
                <c:pt idx="118">
                  <c:v>98.692157768263613</c:v>
                </c:pt>
                <c:pt idx="119">
                  <c:v>96.912587390769716</c:v>
                </c:pt>
                <c:pt idx="120">
                  <c:v>97.58711570378675</c:v>
                </c:pt>
                <c:pt idx="121">
                  <c:v>97.897466259532649</c:v>
                </c:pt>
                <c:pt idx="122">
                  <c:v>95.786651691111544</c:v>
                </c:pt>
                <c:pt idx="123">
                  <c:v>95.993568891387042</c:v>
                </c:pt>
                <c:pt idx="124">
                  <c:v>97.304222613159496</c:v>
                </c:pt>
                <c:pt idx="125">
                  <c:v>98.945951101728383</c:v>
                </c:pt>
                <c:pt idx="126">
                  <c:v>98.891893297218175</c:v>
                </c:pt>
                <c:pt idx="127">
                  <c:v>97.86696981766859</c:v>
                </c:pt>
                <c:pt idx="128">
                  <c:v>99.261852722689795</c:v>
                </c:pt>
                <c:pt idx="129">
                  <c:v>99.993598454304603</c:v>
                </c:pt>
                <c:pt idx="130">
                  <c:v>100.89299212375161</c:v>
                </c:pt>
                <c:pt idx="131">
                  <c:v>101.61130667648594</c:v>
                </c:pt>
                <c:pt idx="132">
                  <c:v>102.58341992456548</c:v>
                </c:pt>
                <c:pt idx="133">
                  <c:v>101.00432110786512</c:v>
                </c:pt>
                <c:pt idx="134">
                  <c:v>101.23047144859241</c:v>
                </c:pt>
                <c:pt idx="135">
                  <c:v>101.31709412732167</c:v>
                </c:pt>
                <c:pt idx="136">
                  <c:v>101.16513300284525</c:v>
                </c:pt>
                <c:pt idx="137">
                  <c:v>102.73781409160081</c:v>
                </c:pt>
                <c:pt idx="138">
                  <c:v>102.27166781291911</c:v>
                </c:pt>
                <c:pt idx="139">
                  <c:v>100.61533456147315</c:v>
                </c:pt>
                <c:pt idx="140">
                  <c:v>101.13296312094978</c:v>
                </c:pt>
                <c:pt idx="141">
                  <c:v>98.607138980295019</c:v>
                </c:pt>
                <c:pt idx="142">
                  <c:v>99.854535767374855</c:v>
                </c:pt>
                <c:pt idx="143">
                  <c:v>94.615493138092148</c:v>
                </c:pt>
                <c:pt idx="144">
                  <c:v>95.464030103429238</c:v>
                </c:pt>
                <c:pt idx="145">
                  <c:v>94.834785181478665</c:v>
                </c:pt>
                <c:pt idx="146">
                  <c:v>94.685625835667039</c:v>
                </c:pt>
                <c:pt idx="147">
                  <c:v>96.459435479874372</c:v>
                </c:pt>
                <c:pt idx="148">
                  <c:v>97.364425133959088</c:v>
                </c:pt>
                <c:pt idx="149">
                  <c:v>97.190196429751495</c:v>
                </c:pt>
                <c:pt idx="150">
                  <c:v>94.615711680059547</c:v>
                </c:pt>
                <c:pt idx="151">
                  <c:v>96.940531530273617</c:v>
                </c:pt>
                <c:pt idx="152">
                  <c:v>96.427150545508894</c:v>
                </c:pt>
                <c:pt idx="153">
                  <c:v>96.29670817415456</c:v>
                </c:pt>
                <c:pt idx="154">
                  <c:v>96.505126787364134</c:v>
                </c:pt>
                <c:pt idx="155">
                  <c:v>95.559125592266128</c:v>
                </c:pt>
                <c:pt idx="156">
                  <c:v>95.35350072319082</c:v>
                </c:pt>
                <c:pt idx="157">
                  <c:v>97.381472412084904</c:v>
                </c:pt>
                <c:pt idx="158">
                  <c:v>96.852723553228017</c:v>
                </c:pt>
                <c:pt idx="159">
                  <c:v>96.120043923384287</c:v>
                </c:pt>
                <c:pt idx="160">
                  <c:v>96.768885359285449</c:v>
                </c:pt>
                <c:pt idx="161">
                  <c:v>96.80334160347897</c:v>
                </c:pt>
                <c:pt idx="162">
                  <c:v>97.792390000491977</c:v>
                </c:pt>
                <c:pt idx="163">
                  <c:v>97.465279102816382</c:v>
                </c:pt>
                <c:pt idx="164">
                  <c:v>100.37101681291171</c:v>
                </c:pt>
                <c:pt idx="165">
                  <c:v>100.11294110335012</c:v>
                </c:pt>
                <c:pt idx="166">
                  <c:v>100.60150552793162</c:v>
                </c:pt>
                <c:pt idx="167">
                  <c:v>103.48758306002429</c:v>
                </c:pt>
                <c:pt idx="168">
                  <c:v>102.030633410463</c:v>
                </c:pt>
                <c:pt idx="169">
                  <c:v>103.16316648597252</c:v>
                </c:pt>
                <c:pt idx="170">
                  <c:v>104.06220814973682</c:v>
                </c:pt>
                <c:pt idx="171">
                  <c:v>103.54628641309526</c:v>
                </c:pt>
                <c:pt idx="172">
                  <c:v>103.96392886639143</c:v>
                </c:pt>
                <c:pt idx="173">
                  <c:v>104.41378940404596</c:v>
                </c:pt>
                <c:pt idx="174">
                  <c:v>99.148246371284714</c:v>
                </c:pt>
                <c:pt idx="175">
                  <c:v>99.701401073876042</c:v>
                </c:pt>
                <c:pt idx="176">
                  <c:v>99.30902032017454</c:v>
                </c:pt>
                <c:pt idx="177">
                  <c:v>95.322177731336495</c:v>
                </c:pt>
                <c:pt idx="178">
                  <c:v>95.527827437614533</c:v>
                </c:pt>
                <c:pt idx="179">
                  <c:v>97.056478904690749</c:v>
                </c:pt>
                <c:pt idx="180">
                  <c:v>98.771647905726596</c:v>
                </c:pt>
                <c:pt idx="181">
                  <c:v>98.373677770152057</c:v>
                </c:pt>
                <c:pt idx="182">
                  <c:v>96.682075556514661</c:v>
                </c:pt>
                <c:pt idx="183">
                  <c:v>95.883755102776973</c:v>
                </c:pt>
                <c:pt idx="184">
                  <c:v>96.237917641225593</c:v>
                </c:pt>
                <c:pt idx="185">
                  <c:v>97.513982548523032</c:v>
                </c:pt>
                <c:pt idx="186">
                  <c:v>95.062081756492375</c:v>
                </c:pt>
                <c:pt idx="187">
                  <c:v>95.661857149232546</c:v>
                </c:pt>
                <c:pt idx="188">
                  <c:v>94.35982240245842</c:v>
                </c:pt>
                <c:pt idx="189">
                  <c:v>93.965433131618823</c:v>
                </c:pt>
                <c:pt idx="190">
                  <c:v>93.336783267417943</c:v>
                </c:pt>
                <c:pt idx="191">
                  <c:v>95.637869209295076</c:v>
                </c:pt>
                <c:pt idx="192">
                  <c:v>96.507386063592634</c:v>
                </c:pt>
                <c:pt idx="193">
                  <c:v>97.187992349022153</c:v>
                </c:pt>
                <c:pt idx="194">
                  <c:v>95.894525968453095</c:v>
                </c:pt>
                <c:pt idx="195">
                  <c:v>97.711902561827799</c:v>
                </c:pt>
                <c:pt idx="196">
                  <c:v>98.229090066798477</c:v>
                </c:pt>
                <c:pt idx="197">
                  <c:v>98.342805411586227</c:v>
                </c:pt>
                <c:pt idx="198">
                  <c:v>98.24270315741218</c:v>
                </c:pt>
                <c:pt idx="199">
                  <c:v>98.604185944826867</c:v>
                </c:pt>
                <c:pt idx="200">
                  <c:v>98.374413388772666</c:v>
                </c:pt>
                <c:pt idx="201">
                  <c:v>100.61108868419809</c:v>
                </c:pt>
                <c:pt idx="202">
                  <c:v>101.9846299400651</c:v>
                </c:pt>
                <c:pt idx="203">
                  <c:v>101.50716267180931</c:v>
                </c:pt>
                <c:pt idx="204">
                  <c:v>103.29383981432932</c:v>
                </c:pt>
                <c:pt idx="205">
                  <c:v>102.62664000509579</c:v>
                </c:pt>
                <c:pt idx="206">
                  <c:v>101.96547547857857</c:v>
                </c:pt>
                <c:pt idx="207">
                  <c:v>101.2260407626234</c:v>
                </c:pt>
                <c:pt idx="208">
                  <c:v>102.98513111019739</c:v>
                </c:pt>
                <c:pt idx="209">
                  <c:v>102.87583759718686</c:v>
                </c:pt>
                <c:pt idx="210">
                  <c:v>102.78860975189961</c:v>
                </c:pt>
                <c:pt idx="211">
                  <c:v>102.467640459848</c:v>
                </c:pt>
                <c:pt idx="212">
                  <c:v>105.27250838296804</c:v>
                </c:pt>
                <c:pt idx="213">
                  <c:v>103.95436830421419</c:v>
                </c:pt>
                <c:pt idx="214">
                  <c:v>106.01279046836186</c:v>
                </c:pt>
                <c:pt idx="215">
                  <c:v>104.95226224016824</c:v>
                </c:pt>
                <c:pt idx="216">
                  <c:v>103.49719240348021</c:v>
                </c:pt>
                <c:pt idx="217">
                  <c:v>104.44527140347178</c:v>
                </c:pt>
                <c:pt idx="218">
                  <c:v>103.57560386499325</c:v>
                </c:pt>
                <c:pt idx="219">
                  <c:v>103.11308387586074</c:v>
                </c:pt>
                <c:pt idx="220">
                  <c:v>102.9367839889665</c:v>
                </c:pt>
                <c:pt idx="221">
                  <c:v>105.12978824144326</c:v>
                </c:pt>
                <c:pt idx="222">
                  <c:v>104.36775583843841</c:v>
                </c:pt>
                <c:pt idx="223">
                  <c:v>106.6122991687631</c:v>
                </c:pt>
                <c:pt idx="224">
                  <c:v>107.37764521894988</c:v>
                </c:pt>
                <c:pt idx="225">
                  <c:v>108.20227127566871</c:v>
                </c:pt>
                <c:pt idx="226">
                  <c:v>106.65762596090821</c:v>
                </c:pt>
                <c:pt idx="227">
                  <c:v>106.67250748228433</c:v>
                </c:pt>
                <c:pt idx="228">
                  <c:v>106.46733450078014</c:v>
                </c:pt>
                <c:pt idx="229">
                  <c:v>105.37055225387824</c:v>
                </c:pt>
                <c:pt idx="230">
                  <c:v>104.66180482249524</c:v>
                </c:pt>
                <c:pt idx="231">
                  <c:v>106.70710049960701</c:v>
                </c:pt>
                <c:pt idx="232">
                  <c:v>107.26888065880718</c:v>
                </c:pt>
                <c:pt idx="233">
                  <c:v>108.79987106764789</c:v>
                </c:pt>
                <c:pt idx="234">
                  <c:v>110.35866677935277</c:v>
                </c:pt>
                <c:pt idx="235">
                  <c:v>109.77008111899825</c:v>
                </c:pt>
                <c:pt idx="236">
                  <c:v>110.03782171696038</c:v>
                </c:pt>
                <c:pt idx="237">
                  <c:v>109.53591841076327</c:v>
                </c:pt>
                <c:pt idx="238">
                  <c:v>110.00025955093579</c:v>
                </c:pt>
                <c:pt idx="239">
                  <c:v>110.4142051290699</c:v>
                </c:pt>
                <c:pt idx="240">
                  <c:v>110.38206863544866</c:v>
                </c:pt>
                <c:pt idx="241">
                  <c:v>111.34320685020238</c:v>
                </c:pt>
                <c:pt idx="242">
                  <c:v>111.87074544257158</c:v>
                </c:pt>
                <c:pt idx="243">
                  <c:v>111.68289066124881</c:v>
                </c:pt>
                <c:pt idx="244">
                  <c:v>111.96882421666243</c:v>
                </c:pt>
                <c:pt idx="245">
                  <c:v>110.96261612913958</c:v>
                </c:pt>
                <c:pt idx="246">
                  <c:v>111.67401225659137</c:v>
                </c:pt>
                <c:pt idx="247">
                  <c:v>113.81340359595588</c:v>
                </c:pt>
                <c:pt idx="248">
                  <c:v>113.55643269866809</c:v>
                </c:pt>
                <c:pt idx="249">
                  <c:v>112.57136528397524</c:v>
                </c:pt>
                <c:pt idx="250">
                  <c:v>112.73122754549964</c:v>
                </c:pt>
                <c:pt idx="251">
                  <c:v>112.22933942788882</c:v>
                </c:pt>
                <c:pt idx="252">
                  <c:v>111.59609519779545</c:v>
                </c:pt>
                <c:pt idx="253">
                  <c:v>112.07450205146652</c:v>
                </c:pt>
                <c:pt idx="254">
                  <c:v>111.40017620275204</c:v>
                </c:pt>
                <c:pt idx="255">
                  <c:v>110.57953480894528</c:v>
                </c:pt>
                <c:pt idx="256">
                  <c:v>109.40609184539018</c:v>
                </c:pt>
                <c:pt idx="257">
                  <c:v>107.78580809774712</c:v>
                </c:pt>
                <c:pt idx="258">
                  <c:v>108.27718032072787</c:v>
                </c:pt>
                <c:pt idx="259">
                  <c:v>106.33962800959786</c:v>
                </c:pt>
                <c:pt idx="260">
                  <c:v>108.94438804399316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53-449D-9022-5EA48E21ADF0}"/>
            </c:ext>
          </c:extLst>
        </c:ser>
        <c:ser>
          <c:idx val="10"/>
          <c:order val="10"/>
          <c:tx>
            <c:strRef>
              <c:f>All_factors!$BA$121</c:f>
              <c:strCache>
                <c:ptCount val="1"/>
                <c:pt idx="0">
                  <c:v>short_term_reversal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All_factors!$BA$122:$BA$382</c:f>
              <c:numCache>
                <c:formatCode>General</c:formatCode>
                <c:ptCount val="261"/>
                <c:pt idx="0">
                  <c:v>100</c:v>
                </c:pt>
                <c:pt idx="1">
                  <c:v>98.690846293718366</c:v>
                </c:pt>
                <c:pt idx="2">
                  <c:v>103.30797531600363</c:v>
                </c:pt>
                <c:pt idx="3">
                  <c:v>103.84486832143229</c:v>
                </c:pt>
                <c:pt idx="4">
                  <c:v>102.17015027150822</c:v>
                </c:pt>
                <c:pt idx="5">
                  <c:v>99.743091611210019</c:v>
                </c:pt>
                <c:pt idx="6">
                  <c:v>94.603075970980242</c:v>
                </c:pt>
                <c:pt idx="7">
                  <c:v>98.112700811168338</c:v>
                </c:pt>
                <c:pt idx="8">
                  <c:v>93.257769707452795</c:v>
                </c:pt>
                <c:pt idx="9">
                  <c:v>98.506690039940509</c:v>
                </c:pt>
                <c:pt idx="10">
                  <c:v>98.167244163426773</c:v>
                </c:pt>
                <c:pt idx="11">
                  <c:v>103.70249731400176</c:v>
                </c:pt>
                <c:pt idx="12">
                  <c:v>102.41072871876928</c:v>
                </c:pt>
                <c:pt idx="13">
                  <c:v>97.768957408323573</c:v>
                </c:pt>
                <c:pt idx="14">
                  <c:v>96.384417611847255</c:v>
                </c:pt>
                <c:pt idx="15">
                  <c:v>97.050837594022212</c:v>
                </c:pt>
                <c:pt idx="16">
                  <c:v>97.905888898970019</c:v>
                </c:pt>
                <c:pt idx="17">
                  <c:v>103.03360529663969</c:v>
                </c:pt>
                <c:pt idx="18">
                  <c:v>104.03535758356895</c:v>
                </c:pt>
                <c:pt idx="19">
                  <c:v>103.23394159233861</c:v>
                </c:pt>
                <c:pt idx="20">
                  <c:v>119.37658788825782</c:v>
                </c:pt>
                <c:pt idx="21">
                  <c:v>121.64786738239003</c:v>
                </c:pt>
                <c:pt idx="22">
                  <c:v>126.09028200916352</c:v>
                </c:pt>
                <c:pt idx="23">
                  <c:v>128.28525368835082</c:v>
                </c:pt>
                <c:pt idx="24">
                  <c:v>126.3240073031446</c:v>
                </c:pt>
                <c:pt idx="25">
                  <c:v>126.93573198669745</c:v>
                </c:pt>
                <c:pt idx="26">
                  <c:v>125.36737696248086</c:v>
                </c:pt>
                <c:pt idx="27">
                  <c:v>124.9249439593832</c:v>
                </c:pt>
                <c:pt idx="28">
                  <c:v>122.81193413276456</c:v>
                </c:pt>
                <c:pt idx="29">
                  <c:v>121.04406101243859</c:v>
                </c:pt>
                <c:pt idx="30">
                  <c:v>123.18371374942269</c:v>
                </c:pt>
                <c:pt idx="31">
                  <c:v>122.80904275303523</c:v>
                </c:pt>
                <c:pt idx="32">
                  <c:v>122.9015213621023</c:v>
                </c:pt>
                <c:pt idx="33">
                  <c:v>124.71319902517551</c:v>
                </c:pt>
                <c:pt idx="34">
                  <c:v>124.76727400229413</c:v>
                </c:pt>
                <c:pt idx="35">
                  <c:v>123.27963360176547</c:v>
                </c:pt>
                <c:pt idx="36">
                  <c:v>126.51861413794698</c:v>
                </c:pt>
                <c:pt idx="37">
                  <c:v>128.81581108284496</c:v>
                </c:pt>
                <c:pt idx="38">
                  <c:v>130.78955210888762</c:v>
                </c:pt>
                <c:pt idx="39">
                  <c:v>130.98902514052426</c:v>
                </c:pt>
                <c:pt idx="40">
                  <c:v>130.06401878172301</c:v>
                </c:pt>
                <c:pt idx="41">
                  <c:v>128.36334516884773</c:v>
                </c:pt>
                <c:pt idx="42">
                  <c:v>132.26188929034799</c:v>
                </c:pt>
                <c:pt idx="43">
                  <c:v>131.49495055620076</c:v>
                </c:pt>
                <c:pt idx="44">
                  <c:v>130.15109479655712</c:v>
                </c:pt>
                <c:pt idx="45">
                  <c:v>124.34347756867582</c:v>
                </c:pt>
                <c:pt idx="46">
                  <c:v>125.9174814502026</c:v>
                </c:pt>
                <c:pt idx="47">
                  <c:v>130.07218121748696</c:v>
                </c:pt>
                <c:pt idx="48">
                  <c:v>129.74794406427142</c:v>
                </c:pt>
                <c:pt idx="49">
                  <c:v>131.23190429084667</c:v>
                </c:pt>
                <c:pt idx="50">
                  <c:v>132.1364228295825</c:v>
                </c:pt>
                <c:pt idx="51">
                  <c:v>132.29370798765106</c:v>
                </c:pt>
                <c:pt idx="52">
                  <c:v>131.67397766364752</c:v>
                </c:pt>
                <c:pt idx="53">
                  <c:v>133.9198486661889</c:v>
                </c:pt>
                <c:pt idx="54">
                  <c:v>132.21199113625107</c:v>
                </c:pt>
                <c:pt idx="55">
                  <c:v>132.16542794514905</c:v>
                </c:pt>
                <c:pt idx="56">
                  <c:v>132.95473804238193</c:v>
                </c:pt>
                <c:pt idx="57">
                  <c:v>133.43036226462613</c:v>
                </c:pt>
                <c:pt idx="58">
                  <c:v>137.33941449405603</c:v>
                </c:pt>
                <c:pt idx="59">
                  <c:v>138.29933913813258</c:v>
                </c:pt>
                <c:pt idx="60">
                  <c:v>129.9067825882621</c:v>
                </c:pt>
                <c:pt idx="61">
                  <c:v>127.92940970794719</c:v>
                </c:pt>
                <c:pt idx="62">
                  <c:v>129.57904683916379</c:v>
                </c:pt>
                <c:pt idx="63">
                  <c:v>131.05944301453795</c:v>
                </c:pt>
                <c:pt idx="64">
                  <c:v>130.6437471182013</c:v>
                </c:pt>
                <c:pt idx="65">
                  <c:v>129.59534852436417</c:v>
                </c:pt>
                <c:pt idx="66">
                  <c:v>130.695393146962</c:v>
                </c:pt>
                <c:pt idx="67">
                  <c:v>128.51866469008863</c:v>
                </c:pt>
                <c:pt idx="68">
                  <c:v>130.26772964442273</c:v>
                </c:pt>
                <c:pt idx="69">
                  <c:v>123.29631252493645</c:v>
                </c:pt>
                <c:pt idx="70">
                  <c:v>126.16469275236189</c:v>
                </c:pt>
                <c:pt idx="71">
                  <c:v>127.06396657769137</c:v>
                </c:pt>
                <c:pt idx="72">
                  <c:v>130.28044140714883</c:v>
                </c:pt>
                <c:pt idx="73">
                  <c:v>128.45917848573092</c:v>
                </c:pt>
                <c:pt idx="74">
                  <c:v>127.07904143343664</c:v>
                </c:pt>
                <c:pt idx="75">
                  <c:v>125.11501621573005</c:v>
                </c:pt>
                <c:pt idx="76">
                  <c:v>127.94256118606496</c:v>
                </c:pt>
                <c:pt idx="77">
                  <c:v>128.90947350564926</c:v>
                </c:pt>
                <c:pt idx="78">
                  <c:v>123.59634250276692</c:v>
                </c:pt>
                <c:pt idx="79">
                  <c:v>122.43561083691077</c:v>
                </c:pt>
                <c:pt idx="80">
                  <c:v>120.52757516873035</c:v>
                </c:pt>
                <c:pt idx="81">
                  <c:v>118.85897393834013</c:v>
                </c:pt>
                <c:pt idx="82">
                  <c:v>117.66302211516299</c:v>
                </c:pt>
                <c:pt idx="83">
                  <c:v>115.32572590356821</c:v>
                </c:pt>
                <c:pt idx="84">
                  <c:v>113.18703304276362</c:v>
                </c:pt>
                <c:pt idx="85">
                  <c:v>114.56532958866197</c:v>
                </c:pt>
                <c:pt idx="86">
                  <c:v>113.98540231489866</c:v>
                </c:pt>
                <c:pt idx="87">
                  <c:v>116.00574535367393</c:v>
                </c:pt>
                <c:pt idx="88">
                  <c:v>117.22502292417916</c:v>
                </c:pt>
                <c:pt idx="89">
                  <c:v>118.0685287064267</c:v>
                </c:pt>
                <c:pt idx="90">
                  <c:v>124.43508191575386</c:v>
                </c:pt>
                <c:pt idx="91">
                  <c:v>126.41183872885235</c:v>
                </c:pt>
                <c:pt idx="92">
                  <c:v>125.38744214273976</c:v>
                </c:pt>
                <c:pt idx="93">
                  <c:v>130.74875390403432</c:v>
                </c:pt>
                <c:pt idx="94">
                  <c:v>131.6998906004556</c:v>
                </c:pt>
                <c:pt idx="95">
                  <c:v>129.56717046533035</c:v>
                </c:pt>
                <c:pt idx="96">
                  <c:v>127.38584259858321</c:v>
                </c:pt>
                <c:pt idx="97">
                  <c:v>123.62101799908021</c:v>
                </c:pt>
                <c:pt idx="98">
                  <c:v>122.09408632288918</c:v>
                </c:pt>
                <c:pt idx="99">
                  <c:v>124.14380128246434</c:v>
                </c:pt>
                <c:pt idx="100">
                  <c:v>123.62831930674488</c:v>
                </c:pt>
                <c:pt idx="101">
                  <c:v>122.20577302752015</c:v>
                </c:pt>
                <c:pt idx="102">
                  <c:v>121.6778209718313</c:v>
                </c:pt>
                <c:pt idx="103">
                  <c:v>122.43474387647889</c:v>
                </c:pt>
                <c:pt idx="104">
                  <c:v>122.70803432855502</c:v>
                </c:pt>
                <c:pt idx="105">
                  <c:v>124.10715274052055</c:v>
                </c:pt>
                <c:pt idx="106">
                  <c:v>123.12700344385316</c:v>
                </c:pt>
                <c:pt idx="107">
                  <c:v>122.68244610090196</c:v>
                </c:pt>
                <c:pt idx="108">
                  <c:v>125.06297734104309</c:v>
                </c:pt>
                <c:pt idx="109">
                  <c:v>124.48464642503329</c:v>
                </c:pt>
                <c:pt idx="110">
                  <c:v>124.69442068923824</c:v>
                </c:pt>
                <c:pt idx="111">
                  <c:v>124.79658356403321</c:v>
                </c:pt>
                <c:pt idx="112">
                  <c:v>123.9217473916042</c:v>
                </c:pt>
                <c:pt idx="113">
                  <c:v>126.74492967727663</c:v>
                </c:pt>
                <c:pt idx="114">
                  <c:v>123.33347090770567</c:v>
                </c:pt>
                <c:pt idx="115">
                  <c:v>124.79689051152009</c:v>
                </c:pt>
                <c:pt idx="116">
                  <c:v>122.82843780849481</c:v>
                </c:pt>
                <c:pt idx="117">
                  <c:v>123.12498042776292</c:v>
                </c:pt>
                <c:pt idx="118">
                  <c:v>124.76140505097528</c:v>
                </c:pt>
                <c:pt idx="119">
                  <c:v>123.60154720710909</c:v>
                </c:pt>
                <c:pt idx="120">
                  <c:v>120.28409536266977</c:v>
                </c:pt>
                <c:pt idx="121">
                  <c:v>118.0304625026731</c:v>
                </c:pt>
                <c:pt idx="122">
                  <c:v>115.7564555395667</c:v>
                </c:pt>
                <c:pt idx="123">
                  <c:v>112.9198258340148</c:v>
                </c:pt>
                <c:pt idx="124">
                  <c:v>110.24998643461392</c:v>
                </c:pt>
                <c:pt idx="125">
                  <c:v>112.47393792640688</c:v>
                </c:pt>
                <c:pt idx="126">
                  <c:v>110.4679995480499</c:v>
                </c:pt>
                <c:pt idx="127">
                  <c:v>110.72747667268244</c:v>
                </c:pt>
                <c:pt idx="128">
                  <c:v>110.03673995570487</c:v>
                </c:pt>
                <c:pt idx="129">
                  <c:v>107.85645459318</c:v>
                </c:pt>
                <c:pt idx="130">
                  <c:v>110.45160301450834</c:v>
                </c:pt>
                <c:pt idx="131">
                  <c:v>108.75010904717908</c:v>
                </c:pt>
                <c:pt idx="132">
                  <c:v>105.86807938314038</c:v>
                </c:pt>
                <c:pt idx="133">
                  <c:v>106.56035301726277</c:v>
                </c:pt>
                <c:pt idx="134">
                  <c:v>106.61913761082089</c:v>
                </c:pt>
                <c:pt idx="135">
                  <c:v>106.04262320411223</c:v>
                </c:pt>
                <c:pt idx="136">
                  <c:v>105.0133094245452</c:v>
                </c:pt>
                <c:pt idx="137">
                  <c:v>106.05032011085346</c:v>
                </c:pt>
                <c:pt idx="138">
                  <c:v>106.96524068668434</c:v>
                </c:pt>
                <c:pt idx="139">
                  <c:v>103.2039316821849</c:v>
                </c:pt>
                <c:pt idx="140">
                  <c:v>103.1239401767151</c:v>
                </c:pt>
                <c:pt idx="141">
                  <c:v>101.06524262681181</c:v>
                </c:pt>
                <c:pt idx="142">
                  <c:v>105.89939147516773</c:v>
                </c:pt>
                <c:pt idx="143">
                  <c:v>110.93343479748984</c:v>
                </c:pt>
                <c:pt idx="144">
                  <c:v>104.12666661106007</c:v>
                </c:pt>
                <c:pt idx="145">
                  <c:v>108.19793783227733</c:v>
                </c:pt>
                <c:pt idx="146">
                  <c:v>109.5741958977505</c:v>
                </c:pt>
                <c:pt idx="147">
                  <c:v>107.7897227867103</c:v>
                </c:pt>
                <c:pt idx="148">
                  <c:v>108.30193995927894</c:v>
                </c:pt>
                <c:pt idx="149">
                  <c:v>107.99354339994264</c:v>
                </c:pt>
                <c:pt idx="150">
                  <c:v>106.70563936943353</c:v>
                </c:pt>
                <c:pt idx="151">
                  <c:v>107.23491994022832</c:v>
                </c:pt>
                <c:pt idx="152">
                  <c:v>106.61628706882527</c:v>
                </c:pt>
                <c:pt idx="153">
                  <c:v>108.87464769071092</c:v>
                </c:pt>
                <c:pt idx="154">
                  <c:v>107.21380112109523</c:v>
                </c:pt>
                <c:pt idx="155">
                  <c:v>106.04051177753337</c:v>
                </c:pt>
                <c:pt idx="156">
                  <c:v>104.1476757826042</c:v>
                </c:pt>
                <c:pt idx="157">
                  <c:v>103.95980059749843</c:v>
                </c:pt>
                <c:pt idx="158">
                  <c:v>106.15796857619191</c:v>
                </c:pt>
                <c:pt idx="159">
                  <c:v>107.7559915835553</c:v>
                </c:pt>
                <c:pt idx="160">
                  <c:v>106.65448492935757</c:v>
                </c:pt>
                <c:pt idx="161">
                  <c:v>104.66417797483754</c:v>
                </c:pt>
                <c:pt idx="162">
                  <c:v>103.9844300023166</c:v>
                </c:pt>
                <c:pt idx="163">
                  <c:v>101.12615910393488</c:v>
                </c:pt>
                <c:pt idx="164">
                  <c:v>99.678014026524394</c:v>
                </c:pt>
                <c:pt idx="165">
                  <c:v>99.510073257229848</c:v>
                </c:pt>
                <c:pt idx="166">
                  <c:v>97.567966068348838</c:v>
                </c:pt>
                <c:pt idx="167">
                  <c:v>95.184660177504796</c:v>
                </c:pt>
                <c:pt idx="168">
                  <c:v>97.448926996088758</c:v>
                </c:pt>
                <c:pt idx="169">
                  <c:v>96.326075336293471</c:v>
                </c:pt>
                <c:pt idx="170">
                  <c:v>93.485228443459263</c:v>
                </c:pt>
                <c:pt idx="171">
                  <c:v>93.856381454342923</c:v>
                </c:pt>
                <c:pt idx="172">
                  <c:v>96.872410463011036</c:v>
                </c:pt>
                <c:pt idx="173">
                  <c:v>101.35270356923238</c:v>
                </c:pt>
                <c:pt idx="174">
                  <c:v>106.47404225545387</c:v>
                </c:pt>
                <c:pt idx="175">
                  <c:v>104.91032990977783</c:v>
                </c:pt>
                <c:pt idx="176">
                  <c:v>106.68353746240358</c:v>
                </c:pt>
                <c:pt idx="177">
                  <c:v>105.81640901979043</c:v>
                </c:pt>
                <c:pt idx="178">
                  <c:v>105.81544054650276</c:v>
                </c:pt>
                <c:pt idx="179">
                  <c:v>103.75425012666894</c:v>
                </c:pt>
                <c:pt idx="180">
                  <c:v>100.27013091710189</c:v>
                </c:pt>
                <c:pt idx="181">
                  <c:v>98.450493575185078</c:v>
                </c:pt>
                <c:pt idx="182">
                  <c:v>99.769039659541775</c:v>
                </c:pt>
                <c:pt idx="183">
                  <c:v>98.243686666686145</c:v>
                </c:pt>
                <c:pt idx="184">
                  <c:v>95.326055273182419</c:v>
                </c:pt>
                <c:pt idx="185">
                  <c:v>94.409353248652508</c:v>
                </c:pt>
                <c:pt idx="186">
                  <c:v>96.950902960063615</c:v>
                </c:pt>
                <c:pt idx="187">
                  <c:v>94.402355398712743</c:v>
                </c:pt>
                <c:pt idx="188">
                  <c:v>92.814953735507302</c:v>
                </c:pt>
                <c:pt idx="189">
                  <c:v>90.887969327531323</c:v>
                </c:pt>
                <c:pt idx="190">
                  <c:v>90.109775882202626</c:v>
                </c:pt>
                <c:pt idx="191">
                  <c:v>88.223488538323949</c:v>
                </c:pt>
                <c:pt idx="192">
                  <c:v>86.143406976068121</c:v>
                </c:pt>
                <c:pt idx="193">
                  <c:v>86.346193401008691</c:v>
                </c:pt>
                <c:pt idx="194">
                  <c:v>83.662828779644613</c:v>
                </c:pt>
                <c:pt idx="195">
                  <c:v>82.203534945883874</c:v>
                </c:pt>
                <c:pt idx="196">
                  <c:v>83.227358488232127</c:v>
                </c:pt>
                <c:pt idx="197">
                  <c:v>86.077858332564702</c:v>
                </c:pt>
                <c:pt idx="198">
                  <c:v>83.945688300804036</c:v>
                </c:pt>
                <c:pt idx="199">
                  <c:v>83.055200205428136</c:v>
                </c:pt>
                <c:pt idx="200">
                  <c:v>81.295653304832825</c:v>
                </c:pt>
                <c:pt idx="201">
                  <c:v>77.812030900588795</c:v>
                </c:pt>
                <c:pt idx="202">
                  <c:v>76.895887313799122</c:v>
                </c:pt>
                <c:pt idx="203">
                  <c:v>78.005162057350503</c:v>
                </c:pt>
                <c:pt idx="204">
                  <c:v>77.684059744421262</c:v>
                </c:pt>
                <c:pt idx="205">
                  <c:v>77.003181198722629</c:v>
                </c:pt>
                <c:pt idx="206">
                  <c:v>76.301658573708522</c:v>
                </c:pt>
                <c:pt idx="207">
                  <c:v>77.350529622051681</c:v>
                </c:pt>
                <c:pt idx="208">
                  <c:v>77.532457568598787</c:v>
                </c:pt>
                <c:pt idx="209">
                  <c:v>77.319368084669208</c:v>
                </c:pt>
                <c:pt idx="210">
                  <c:v>77.228065218513734</c:v>
                </c:pt>
                <c:pt idx="211">
                  <c:v>75.696553827760681</c:v>
                </c:pt>
                <c:pt idx="212">
                  <c:v>75.63067652801935</c:v>
                </c:pt>
                <c:pt idx="213">
                  <c:v>76.932999202426075</c:v>
                </c:pt>
                <c:pt idx="214">
                  <c:v>77.024964678582265</c:v>
                </c:pt>
                <c:pt idx="215">
                  <c:v>76.149505365019692</c:v>
                </c:pt>
                <c:pt idx="216">
                  <c:v>76.748768029509023</c:v>
                </c:pt>
                <c:pt idx="217">
                  <c:v>74.041683835666532</c:v>
                </c:pt>
                <c:pt idx="218">
                  <c:v>72.848533576587229</c:v>
                </c:pt>
                <c:pt idx="219">
                  <c:v>74.562258188955056</c:v>
                </c:pt>
                <c:pt idx="220">
                  <c:v>71.269560513880222</c:v>
                </c:pt>
                <c:pt idx="221">
                  <c:v>71.367308286979338</c:v>
                </c:pt>
                <c:pt idx="222">
                  <c:v>69.769461620822725</c:v>
                </c:pt>
                <c:pt idx="223">
                  <c:v>70.928188612361609</c:v>
                </c:pt>
                <c:pt idx="224">
                  <c:v>69.705971848154746</c:v>
                </c:pt>
                <c:pt idx="225">
                  <c:v>69.819968998198704</c:v>
                </c:pt>
                <c:pt idx="226">
                  <c:v>70.498716022498783</c:v>
                </c:pt>
                <c:pt idx="227">
                  <c:v>69.325372604758385</c:v>
                </c:pt>
                <c:pt idx="228">
                  <c:v>68.673562129967962</c:v>
                </c:pt>
                <c:pt idx="229">
                  <c:v>66.917164867876068</c:v>
                </c:pt>
                <c:pt idx="230">
                  <c:v>65.663420962390703</c:v>
                </c:pt>
                <c:pt idx="231">
                  <c:v>64.91774504496999</c:v>
                </c:pt>
                <c:pt idx="232">
                  <c:v>65.479625987018238</c:v>
                </c:pt>
                <c:pt idx="233">
                  <c:v>63.229329498123761</c:v>
                </c:pt>
                <c:pt idx="234">
                  <c:v>62.129832392439766</c:v>
                </c:pt>
                <c:pt idx="235">
                  <c:v>64.226795502097289</c:v>
                </c:pt>
                <c:pt idx="236">
                  <c:v>63.88794639437117</c:v>
                </c:pt>
                <c:pt idx="237">
                  <c:v>63.739198868080571</c:v>
                </c:pt>
                <c:pt idx="238">
                  <c:v>63.387849378308644</c:v>
                </c:pt>
                <c:pt idx="239">
                  <c:v>62.374537129169333</c:v>
                </c:pt>
                <c:pt idx="240">
                  <c:v>62.650179680445639</c:v>
                </c:pt>
                <c:pt idx="241">
                  <c:v>61.015594217662901</c:v>
                </c:pt>
                <c:pt idx="242">
                  <c:v>61.194593226096416</c:v>
                </c:pt>
                <c:pt idx="243">
                  <c:v>59.991029405492441</c:v>
                </c:pt>
                <c:pt idx="244">
                  <c:v>61.665804519139527</c:v>
                </c:pt>
                <c:pt idx="245">
                  <c:v>61.75425819822118</c:v>
                </c:pt>
                <c:pt idx="246">
                  <c:v>62.284823177765745</c:v>
                </c:pt>
                <c:pt idx="247">
                  <c:v>60.904271136072175</c:v>
                </c:pt>
                <c:pt idx="248">
                  <c:v>61.892520247847585</c:v>
                </c:pt>
                <c:pt idx="249">
                  <c:v>63.654597678376355</c:v>
                </c:pt>
                <c:pt idx="250">
                  <c:v>62.60731530379131</c:v>
                </c:pt>
                <c:pt idx="251">
                  <c:v>62.41045852156023</c:v>
                </c:pt>
                <c:pt idx="252">
                  <c:v>61.9638390546721</c:v>
                </c:pt>
                <c:pt idx="253">
                  <c:v>60.428230951149935</c:v>
                </c:pt>
                <c:pt idx="254">
                  <c:v>59.398760183089209</c:v>
                </c:pt>
                <c:pt idx="255">
                  <c:v>59.388189515789904</c:v>
                </c:pt>
                <c:pt idx="256">
                  <c:v>59.837265310455535</c:v>
                </c:pt>
                <c:pt idx="257">
                  <c:v>59.488339417052387</c:v>
                </c:pt>
                <c:pt idx="258">
                  <c:v>60.45491232687943</c:v>
                </c:pt>
                <c:pt idx="259">
                  <c:v>59.717713704916825</c:v>
                </c:pt>
                <c:pt idx="260">
                  <c:v>60.383625078366535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F53-449D-9022-5EA48E21ADF0}"/>
            </c:ext>
          </c:extLst>
        </c:ser>
        <c:ser>
          <c:idx val="11"/>
          <c:order val="11"/>
          <c:tx>
            <c:strRef>
              <c:f>All_factors!$BB$121</c:f>
              <c:strCache>
                <c:ptCount val="1"/>
                <c:pt idx="0">
                  <c:v>size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All_factors!$BB$122:$BB$382</c:f>
              <c:numCache>
                <c:formatCode>General</c:formatCode>
                <c:ptCount val="261"/>
                <c:pt idx="0">
                  <c:v>100</c:v>
                </c:pt>
                <c:pt idx="1">
                  <c:v>91.82781447138305</c:v>
                </c:pt>
                <c:pt idx="2">
                  <c:v>93.744855215731164</c:v>
                </c:pt>
                <c:pt idx="3">
                  <c:v>94.799709356932183</c:v>
                </c:pt>
                <c:pt idx="4">
                  <c:v>98.612718398003608</c:v>
                </c:pt>
                <c:pt idx="5">
                  <c:v>101.76187913179059</c:v>
                </c:pt>
                <c:pt idx="6">
                  <c:v>99.234100931142379</c:v>
                </c:pt>
                <c:pt idx="7">
                  <c:v>91.026749684526663</c:v>
                </c:pt>
                <c:pt idx="8">
                  <c:v>90.010204177033572</c:v>
                </c:pt>
                <c:pt idx="9">
                  <c:v>89.791068861658573</c:v>
                </c:pt>
                <c:pt idx="10">
                  <c:v>86.685213094021677</c:v>
                </c:pt>
                <c:pt idx="11">
                  <c:v>90.404200295122777</c:v>
                </c:pt>
                <c:pt idx="12">
                  <c:v>90.046020873563478</c:v>
                </c:pt>
                <c:pt idx="13">
                  <c:v>91.983953895852409</c:v>
                </c:pt>
                <c:pt idx="14">
                  <c:v>93.649692232913821</c:v>
                </c:pt>
                <c:pt idx="15">
                  <c:v>90.118945623837405</c:v>
                </c:pt>
                <c:pt idx="16">
                  <c:v>85.868987335783189</c:v>
                </c:pt>
                <c:pt idx="17">
                  <c:v>82.890867356247469</c:v>
                </c:pt>
                <c:pt idx="18">
                  <c:v>87.28070631136498</c:v>
                </c:pt>
                <c:pt idx="19">
                  <c:v>86.401520290310671</c:v>
                </c:pt>
                <c:pt idx="20">
                  <c:v>91.528584832687201</c:v>
                </c:pt>
                <c:pt idx="21">
                  <c:v>85.9992030409758</c:v>
                </c:pt>
                <c:pt idx="22">
                  <c:v>86.28962025852266</c:v>
                </c:pt>
                <c:pt idx="23">
                  <c:v>82.432485532839294</c:v>
                </c:pt>
                <c:pt idx="24">
                  <c:v>79.313855486834569</c:v>
                </c:pt>
                <c:pt idx="25">
                  <c:v>80.679845702427997</c:v>
                </c:pt>
                <c:pt idx="26">
                  <c:v>81.931918015712654</c:v>
                </c:pt>
                <c:pt idx="27">
                  <c:v>81.898804898171946</c:v>
                </c:pt>
                <c:pt idx="28">
                  <c:v>85.945051272911144</c:v>
                </c:pt>
                <c:pt idx="29">
                  <c:v>88.214292888205733</c:v>
                </c:pt>
                <c:pt idx="30">
                  <c:v>90.361104904514278</c:v>
                </c:pt>
                <c:pt idx="31">
                  <c:v>94.612511394628172</c:v>
                </c:pt>
                <c:pt idx="32">
                  <c:v>95.890478263698895</c:v>
                </c:pt>
                <c:pt idx="33">
                  <c:v>100.34242789516678</c:v>
                </c:pt>
                <c:pt idx="34">
                  <c:v>99.875361659060488</c:v>
                </c:pt>
                <c:pt idx="35">
                  <c:v>97.826238547289648</c:v>
                </c:pt>
                <c:pt idx="36">
                  <c:v>98.397065931603933</c:v>
                </c:pt>
                <c:pt idx="37">
                  <c:v>98.065906131820427</c:v>
                </c:pt>
                <c:pt idx="38">
                  <c:v>102.59478371401998</c:v>
                </c:pt>
                <c:pt idx="39">
                  <c:v>107.58369936765493</c:v>
                </c:pt>
                <c:pt idx="40">
                  <c:v>105.31141200751762</c:v>
                </c:pt>
                <c:pt idx="41">
                  <c:v>100.77890849234063</c:v>
                </c:pt>
                <c:pt idx="42">
                  <c:v>97.105465180302062</c:v>
                </c:pt>
                <c:pt idx="43">
                  <c:v>91.683815347597587</c:v>
                </c:pt>
                <c:pt idx="44">
                  <c:v>95.013288532964381</c:v>
                </c:pt>
                <c:pt idx="45">
                  <c:v>91.96950503783934</c:v>
                </c:pt>
                <c:pt idx="46">
                  <c:v>90.743903536522211</c:v>
                </c:pt>
                <c:pt idx="47">
                  <c:v>87.122089818710336</c:v>
                </c:pt>
                <c:pt idx="48">
                  <c:v>81.091551720133623</c:v>
                </c:pt>
                <c:pt idx="49">
                  <c:v>84.362647626722477</c:v>
                </c:pt>
                <c:pt idx="50">
                  <c:v>86.901982274251466</c:v>
                </c:pt>
                <c:pt idx="51">
                  <c:v>84.483266370731826</c:v>
                </c:pt>
                <c:pt idx="52">
                  <c:v>84.631702301309659</c:v>
                </c:pt>
                <c:pt idx="53">
                  <c:v>80.420186457713129</c:v>
                </c:pt>
                <c:pt idx="54">
                  <c:v>76.762325777886076</c:v>
                </c:pt>
                <c:pt idx="55">
                  <c:v>72.680035351173046</c:v>
                </c:pt>
                <c:pt idx="56">
                  <c:v>74.164788725648961</c:v>
                </c:pt>
                <c:pt idx="57">
                  <c:v>71.720780785240052</c:v>
                </c:pt>
                <c:pt idx="58">
                  <c:v>75.493755177395073</c:v>
                </c:pt>
                <c:pt idx="59">
                  <c:v>72.281522939123235</c:v>
                </c:pt>
                <c:pt idx="60">
                  <c:v>81.29911074121685</c:v>
                </c:pt>
                <c:pt idx="61">
                  <c:v>81.63662978761657</c:v>
                </c:pt>
                <c:pt idx="62">
                  <c:v>84.112738948588174</c:v>
                </c:pt>
                <c:pt idx="63">
                  <c:v>88.983384081397233</c:v>
                </c:pt>
                <c:pt idx="64">
                  <c:v>92.880967960618221</c:v>
                </c:pt>
                <c:pt idx="65">
                  <c:v>93.666603073389112</c:v>
                </c:pt>
                <c:pt idx="66">
                  <c:v>96.448673165285214</c:v>
                </c:pt>
                <c:pt idx="67">
                  <c:v>97.397946952062554</c:v>
                </c:pt>
                <c:pt idx="68">
                  <c:v>99.091555688573919</c:v>
                </c:pt>
                <c:pt idx="69">
                  <c:v>118.99993924115317</c:v>
                </c:pt>
                <c:pt idx="70">
                  <c:v>117.03483922950694</c:v>
                </c:pt>
                <c:pt idx="71">
                  <c:v>111.80269013728761</c:v>
                </c:pt>
                <c:pt idx="72">
                  <c:v>109.95140347081124</c:v>
                </c:pt>
                <c:pt idx="73">
                  <c:v>109.83111509970756</c:v>
                </c:pt>
                <c:pt idx="74">
                  <c:v>111.90607822206609</c:v>
                </c:pt>
                <c:pt idx="75">
                  <c:v>110.35988568876424</c:v>
                </c:pt>
                <c:pt idx="76">
                  <c:v>115.90794962325462</c:v>
                </c:pt>
                <c:pt idx="77">
                  <c:v>111.71791313709318</c:v>
                </c:pt>
                <c:pt idx="78">
                  <c:v>115.41079120440391</c:v>
                </c:pt>
                <c:pt idx="79">
                  <c:v>118.94286575852163</c:v>
                </c:pt>
                <c:pt idx="80">
                  <c:v>120.77036488836983</c:v>
                </c:pt>
                <c:pt idx="81">
                  <c:v>122.9618110531805</c:v>
                </c:pt>
                <c:pt idx="82">
                  <c:v>120.292989573806</c:v>
                </c:pt>
                <c:pt idx="83">
                  <c:v>116.75024268885507</c:v>
                </c:pt>
                <c:pt idx="84">
                  <c:v>120.21553052584845</c:v>
                </c:pt>
                <c:pt idx="85">
                  <c:v>122.86781538793004</c:v>
                </c:pt>
                <c:pt idx="86">
                  <c:v>126.11918449704039</c:v>
                </c:pt>
                <c:pt idx="87">
                  <c:v>125.73717311597004</c:v>
                </c:pt>
                <c:pt idx="88">
                  <c:v>122.88778704156748</c:v>
                </c:pt>
                <c:pt idx="89">
                  <c:v>123.80385639918292</c:v>
                </c:pt>
                <c:pt idx="90">
                  <c:v>123.81736492081001</c:v>
                </c:pt>
                <c:pt idx="91">
                  <c:v>122.35552872726069</c:v>
                </c:pt>
                <c:pt idx="92">
                  <c:v>123.02184980503837</c:v>
                </c:pt>
                <c:pt idx="93">
                  <c:v>120.1850176511624</c:v>
                </c:pt>
                <c:pt idx="94">
                  <c:v>119.75481996525812</c:v>
                </c:pt>
                <c:pt idx="95">
                  <c:v>121.85763031119509</c:v>
                </c:pt>
                <c:pt idx="96">
                  <c:v>121.50096777994813</c:v>
                </c:pt>
                <c:pt idx="97">
                  <c:v>121.74980663503123</c:v>
                </c:pt>
                <c:pt idx="98">
                  <c:v>120.79605821473085</c:v>
                </c:pt>
                <c:pt idx="99">
                  <c:v>121.12129341098176</c:v>
                </c:pt>
                <c:pt idx="100">
                  <c:v>123.8860910017376</c:v>
                </c:pt>
                <c:pt idx="101">
                  <c:v>123.04393835312641</c:v>
                </c:pt>
                <c:pt idx="102">
                  <c:v>122.85128820537746</c:v>
                </c:pt>
                <c:pt idx="103">
                  <c:v>120.75425605742147</c:v>
                </c:pt>
                <c:pt idx="104">
                  <c:v>118.72991511092675</c:v>
                </c:pt>
                <c:pt idx="105">
                  <c:v>118.5907549216047</c:v>
                </c:pt>
                <c:pt idx="106">
                  <c:v>119.36607829794966</c:v>
                </c:pt>
                <c:pt idx="107">
                  <c:v>118.90960323205229</c:v>
                </c:pt>
                <c:pt idx="108">
                  <c:v>116.04468077711344</c:v>
                </c:pt>
                <c:pt idx="109">
                  <c:v>115.85054620521433</c:v>
                </c:pt>
                <c:pt idx="110">
                  <c:v>114.59752330208588</c:v>
                </c:pt>
                <c:pt idx="111">
                  <c:v>111.95853700582741</c:v>
                </c:pt>
                <c:pt idx="112">
                  <c:v>110.8747970554672</c:v>
                </c:pt>
                <c:pt idx="113">
                  <c:v>109.14502114883393</c:v>
                </c:pt>
                <c:pt idx="114">
                  <c:v>104.04660532347044</c:v>
                </c:pt>
                <c:pt idx="115">
                  <c:v>103.45617834527098</c:v>
                </c:pt>
                <c:pt idx="116">
                  <c:v>104.67756853898919</c:v>
                </c:pt>
                <c:pt idx="117">
                  <c:v>106.83414995252542</c:v>
                </c:pt>
                <c:pt idx="118">
                  <c:v>105.33133678225016</c:v>
                </c:pt>
                <c:pt idx="119">
                  <c:v>99.859506301414868</c:v>
                </c:pt>
                <c:pt idx="120">
                  <c:v>98.665245874101601</c:v>
                </c:pt>
                <c:pt idx="121">
                  <c:v>98.25404724878986</c:v>
                </c:pt>
                <c:pt idx="122">
                  <c:v>94.299844673707184</c:v>
                </c:pt>
                <c:pt idx="123">
                  <c:v>94.260869796780895</c:v>
                </c:pt>
                <c:pt idx="124">
                  <c:v>91.234526465012564</c:v>
                </c:pt>
                <c:pt idx="125">
                  <c:v>93.082653646164943</c:v>
                </c:pt>
                <c:pt idx="126">
                  <c:v>86.355405909496312</c:v>
                </c:pt>
                <c:pt idx="127">
                  <c:v>83.609628096549145</c:v>
                </c:pt>
                <c:pt idx="128">
                  <c:v>84.167272394910484</c:v>
                </c:pt>
                <c:pt idx="129">
                  <c:v>79.625898218757811</c:v>
                </c:pt>
                <c:pt idx="130">
                  <c:v>76.825614695950108</c:v>
                </c:pt>
                <c:pt idx="131">
                  <c:v>74.662499105916993</c:v>
                </c:pt>
                <c:pt idx="132">
                  <c:v>76.813499750540444</c:v>
                </c:pt>
                <c:pt idx="133">
                  <c:v>78.505578803377233</c:v>
                </c:pt>
                <c:pt idx="134">
                  <c:v>76.815796446068049</c:v>
                </c:pt>
                <c:pt idx="135">
                  <c:v>74.269934144878576</c:v>
                </c:pt>
                <c:pt idx="136">
                  <c:v>73.856040072291606</c:v>
                </c:pt>
                <c:pt idx="137">
                  <c:v>73.359321997183272</c:v>
                </c:pt>
                <c:pt idx="138">
                  <c:v>75.949354435962476</c:v>
                </c:pt>
                <c:pt idx="139">
                  <c:v>76.07331355919348</c:v>
                </c:pt>
                <c:pt idx="140">
                  <c:v>77.119506991523252</c:v>
                </c:pt>
                <c:pt idx="141">
                  <c:v>74.837082910995292</c:v>
                </c:pt>
                <c:pt idx="142">
                  <c:v>79.528872119512187</c:v>
                </c:pt>
                <c:pt idx="143">
                  <c:v>79.305974741567624</c:v>
                </c:pt>
                <c:pt idx="144">
                  <c:v>78.835031506537092</c:v>
                </c:pt>
                <c:pt idx="145">
                  <c:v>79.809266264107521</c:v>
                </c:pt>
                <c:pt idx="146">
                  <c:v>82.034243444656028</c:v>
                </c:pt>
                <c:pt idx="147">
                  <c:v>84.349567825896841</c:v>
                </c:pt>
                <c:pt idx="148">
                  <c:v>86.972344664875095</c:v>
                </c:pt>
                <c:pt idx="149">
                  <c:v>85.925680269624905</c:v>
                </c:pt>
                <c:pt idx="150">
                  <c:v>85.810035809122198</c:v>
                </c:pt>
                <c:pt idx="151">
                  <c:v>85.806295249668864</c:v>
                </c:pt>
                <c:pt idx="152">
                  <c:v>86.172578785105443</c:v>
                </c:pt>
                <c:pt idx="153">
                  <c:v>89.17570625734588</c:v>
                </c:pt>
                <c:pt idx="154">
                  <c:v>91.662565181167963</c:v>
                </c:pt>
                <c:pt idx="155">
                  <c:v>90.721229603902472</c:v>
                </c:pt>
                <c:pt idx="156">
                  <c:v>92.976538990969871</c:v>
                </c:pt>
                <c:pt idx="157">
                  <c:v>92.358474279606384</c:v>
                </c:pt>
                <c:pt idx="158">
                  <c:v>92.203845959053368</c:v>
                </c:pt>
                <c:pt idx="159">
                  <c:v>95.721725054027203</c:v>
                </c:pt>
                <c:pt idx="160">
                  <c:v>99.154968776836441</c:v>
                </c:pt>
                <c:pt idx="161">
                  <c:v>99.247492295084257</c:v>
                </c:pt>
                <c:pt idx="162">
                  <c:v>98.645975730268702</c:v>
                </c:pt>
                <c:pt idx="163">
                  <c:v>100.96535133750297</c:v>
                </c:pt>
                <c:pt idx="164">
                  <c:v>100.15478833233392</c:v>
                </c:pt>
                <c:pt idx="165">
                  <c:v>95.72861352489987</c:v>
                </c:pt>
                <c:pt idx="166">
                  <c:v>95.75325141544414</c:v>
                </c:pt>
                <c:pt idx="167">
                  <c:v>94.972521903485614</c:v>
                </c:pt>
                <c:pt idx="168">
                  <c:v>100.03042968009069</c:v>
                </c:pt>
                <c:pt idx="169">
                  <c:v>101.16255843593734</c:v>
                </c:pt>
                <c:pt idx="170">
                  <c:v>100.57476724834517</c:v>
                </c:pt>
                <c:pt idx="171">
                  <c:v>101.62340224527978</c:v>
                </c:pt>
                <c:pt idx="172">
                  <c:v>100.42832507217892</c:v>
                </c:pt>
                <c:pt idx="173">
                  <c:v>100.3218663541727</c:v>
                </c:pt>
                <c:pt idx="174">
                  <c:v>101.50082811002457</c:v>
                </c:pt>
                <c:pt idx="175">
                  <c:v>103.30332061303267</c:v>
                </c:pt>
                <c:pt idx="176">
                  <c:v>104.37800518621968</c:v>
                </c:pt>
                <c:pt idx="177">
                  <c:v>100.20014019596692</c:v>
                </c:pt>
                <c:pt idx="178">
                  <c:v>101.02506042437251</c:v>
                </c:pt>
                <c:pt idx="179">
                  <c:v>102.9372048639059</c:v>
                </c:pt>
                <c:pt idx="180">
                  <c:v>102.39274863214456</c:v>
                </c:pt>
                <c:pt idx="181">
                  <c:v>103.15733335133382</c:v>
                </c:pt>
                <c:pt idx="182">
                  <c:v>107.78690594281524</c:v>
                </c:pt>
                <c:pt idx="183">
                  <c:v>110.38894103943669</c:v>
                </c:pt>
                <c:pt idx="184">
                  <c:v>110.33731364032322</c:v>
                </c:pt>
                <c:pt idx="185">
                  <c:v>109.80179871009001</c:v>
                </c:pt>
                <c:pt idx="186">
                  <c:v>111.19953730924684</c:v>
                </c:pt>
                <c:pt idx="187">
                  <c:v>113.80132551992496</c:v>
                </c:pt>
                <c:pt idx="188">
                  <c:v>120.20870526049242</c:v>
                </c:pt>
                <c:pt idx="189">
                  <c:v>122.11471707992403</c:v>
                </c:pt>
                <c:pt idx="190">
                  <c:v>121.24253852734721</c:v>
                </c:pt>
                <c:pt idx="191">
                  <c:v>116.57166711292096</c:v>
                </c:pt>
                <c:pt idx="192">
                  <c:v>114.73227922073553</c:v>
                </c:pt>
                <c:pt idx="193">
                  <c:v>110.5285594717341</c:v>
                </c:pt>
                <c:pt idx="194">
                  <c:v>117.17285080732719</c:v>
                </c:pt>
                <c:pt idx="195">
                  <c:v>114.23948854885704</c:v>
                </c:pt>
                <c:pt idx="196">
                  <c:v>113.89146128964603</c:v>
                </c:pt>
                <c:pt idx="197">
                  <c:v>112.20604957547863</c:v>
                </c:pt>
                <c:pt idx="198">
                  <c:v>110.14870920338312</c:v>
                </c:pt>
                <c:pt idx="199">
                  <c:v>113.34505014467999</c:v>
                </c:pt>
                <c:pt idx="200">
                  <c:v>111.92423433206606</c:v>
                </c:pt>
                <c:pt idx="201">
                  <c:v>115.41317564226881</c:v>
                </c:pt>
                <c:pt idx="202">
                  <c:v>114.54797782863429</c:v>
                </c:pt>
                <c:pt idx="203">
                  <c:v>114.39412060531757</c:v>
                </c:pt>
                <c:pt idx="204">
                  <c:v>113.36949048463593</c:v>
                </c:pt>
                <c:pt idx="205">
                  <c:v>118.31310632208155</c:v>
                </c:pt>
                <c:pt idx="206">
                  <c:v>123.94151242264344</c:v>
                </c:pt>
                <c:pt idx="207">
                  <c:v>120.62088355856562</c:v>
                </c:pt>
                <c:pt idx="208">
                  <c:v>120.79221213561372</c:v>
                </c:pt>
                <c:pt idx="209">
                  <c:v>118.40400628053185</c:v>
                </c:pt>
                <c:pt idx="210">
                  <c:v>113.92080593774759</c:v>
                </c:pt>
                <c:pt idx="211">
                  <c:v>112.95139454924674</c:v>
                </c:pt>
                <c:pt idx="212">
                  <c:v>117.82298805666942</c:v>
                </c:pt>
                <c:pt idx="213">
                  <c:v>116.81911090534834</c:v>
                </c:pt>
                <c:pt idx="214">
                  <c:v>111.58653135646925</c:v>
                </c:pt>
                <c:pt idx="215">
                  <c:v>111.08330717885124</c:v>
                </c:pt>
                <c:pt idx="216">
                  <c:v>109.8237778330769</c:v>
                </c:pt>
                <c:pt idx="217">
                  <c:v>104.02869325170494</c:v>
                </c:pt>
                <c:pt idx="218">
                  <c:v>101.05284782974024</c:v>
                </c:pt>
                <c:pt idx="219">
                  <c:v>103.68705605278809</c:v>
                </c:pt>
                <c:pt idx="220">
                  <c:v>110.38111936049688</c:v>
                </c:pt>
                <c:pt idx="221">
                  <c:v>112.08404171893642</c:v>
                </c:pt>
                <c:pt idx="222">
                  <c:v>109.75392128307014</c:v>
                </c:pt>
                <c:pt idx="223">
                  <c:v>105.7592030985676</c:v>
                </c:pt>
                <c:pt idx="224">
                  <c:v>105.79570472440632</c:v>
                </c:pt>
                <c:pt idx="225">
                  <c:v>103.1478249354881</c:v>
                </c:pt>
                <c:pt idx="226">
                  <c:v>102.4166122472172</c:v>
                </c:pt>
                <c:pt idx="227">
                  <c:v>102.96431858344738</c:v>
                </c:pt>
                <c:pt idx="228">
                  <c:v>102.42895286154577</c:v>
                </c:pt>
                <c:pt idx="229">
                  <c:v>109.0275495463296</c:v>
                </c:pt>
                <c:pt idx="230">
                  <c:v>111.66983871235801</c:v>
                </c:pt>
                <c:pt idx="231">
                  <c:v>113.4581741268713</c:v>
                </c:pt>
                <c:pt idx="232">
                  <c:v>113.6135931179261</c:v>
                </c:pt>
                <c:pt idx="233">
                  <c:v>112.57043004534881</c:v>
                </c:pt>
                <c:pt idx="234">
                  <c:v>108.81413197610405</c:v>
                </c:pt>
                <c:pt idx="235">
                  <c:v>108.32001573926635</c:v>
                </c:pt>
                <c:pt idx="236">
                  <c:v>110.3988437000755</c:v>
                </c:pt>
                <c:pt idx="237">
                  <c:v>107.71824796030018</c:v>
                </c:pt>
                <c:pt idx="238">
                  <c:v>106.43737547875467</c:v>
                </c:pt>
                <c:pt idx="239">
                  <c:v>107.41827481881271</c:v>
                </c:pt>
                <c:pt idx="240">
                  <c:v>106.24021618918127</c:v>
                </c:pt>
                <c:pt idx="241">
                  <c:v>105.02654838516936</c:v>
                </c:pt>
                <c:pt idx="242">
                  <c:v>98.635445408061614</c:v>
                </c:pt>
                <c:pt idx="243">
                  <c:v>96.925254134641079</c:v>
                </c:pt>
                <c:pt idx="244">
                  <c:v>93.836736175741819</c:v>
                </c:pt>
                <c:pt idx="245">
                  <c:v>95.36721260277092</c:v>
                </c:pt>
                <c:pt idx="246">
                  <c:v>92.964446397647663</c:v>
                </c:pt>
                <c:pt idx="247">
                  <c:v>90.898672146017617</c:v>
                </c:pt>
                <c:pt idx="248">
                  <c:v>87.97698939928901</c:v>
                </c:pt>
                <c:pt idx="249">
                  <c:v>90.434986447158707</c:v>
                </c:pt>
                <c:pt idx="250">
                  <c:v>92.969525192270922</c:v>
                </c:pt>
                <c:pt idx="251">
                  <c:v>90.108192033353447</c:v>
                </c:pt>
                <c:pt idx="252">
                  <c:v>89.459795942721172</c:v>
                </c:pt>
                <c:pt idx="253">
                  <c:v>95.332391941739886</c:v>
                </c:pt>
                <c:pt idx="254">
                  <c:v>94.956168739552822</c:v>
                </c:pt>
                <c:pt idx="255">
                  <c:v>96.295398217596812</c:v>
                </c:pt>
                <c:pt idx="256">
                  <c:v>95.816031165929573</c:v>
                </c:pt>
                <c:pt idx="257">
                  <c:v>94.763653248360484</c:v>
                </c:pt>
                <c:pt idx="258">
                  <c:v>94.401151560971016</c:v>
                </c:pt>
                <c:pt idx="259">
                  <c:v>93.275125243634704</c:v>
                </c:pt>
                <c:pt idx="260">
                  <c:v>93.717158889560878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53-449D-9022-5EA48E21ADF0}"/>
            </c:ext>
          </c:extLst>
        </c:ser>
        <c:ser>
          <c:idx val="12"/>
          <c:order val="12"/>
          <c:tx>
            <c:strRef>
              <c:f>All_factors!$BC$121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All_factors!$BC$122:$BC$382</c:f>
              <c:numCache>
                <c:formatCode>General</c:formatCode>
                <c:ptCount val="261"/>
                <c:pt idx="0">
                  <c:v>100</c:v>
                </c:pt>
                <c:pt idx="1">
                  <c:v>104.14139555124784</c:v>
                </c:pt>
                <c:pt idx="2">
                  <c:v>101.3820241225896</c:v>
                </c:pt>
                <c:pt idx="3">
                  <c:v>101.30695624956434</c:v>
                </c:pt>
                <c:pt idx="4">
                  <c:v>99.998593690263306</c:v>
                </c:pt>
                <c:pt idx="5">
                  <c:v>103.2106782712969</c:v>
                </c:pt>
                <c:pt idx="6">
                  <c:v>101.38031935939047</c:v>
                </c:pt>
                <c:pt idx="7">
                  <c:v>102.639200655887</c:v>
                </c:pt>
                <c:pt idx="8">
                  <c:v>100.12466158856006</c:v>
                </c:pt>
                <c:pt idx="9">
                  <c:v>100.88435009375458</c:v>
                </c:pt>
                <c:pt idx="10">
                  <c:v>106.31360280947013</c:v>
                </c:pt>
                <c:pt idx="11">
                  <c:v>106.98348879311295</c:v>
                </c:pt>
                <c:pt idx="12">
                  <c:v>105.66371421717685</c:v>
                </c:pt>
                <c:pt idx="13">
                  <c:v>102.77617034043156</c:v>
                </c:pt>
                <c:pt idx="14">
                  <c:v>103.57345932117271</c:v>
                </c:pt>
                <c:pt idx="15">
                  <c:v>107.92366209543239</c:v>
                </c:pt>
                <c:pt idx="16">
                  <c:v>107.41368344895433</c:v>
                </c:pt>
                <c:pt idx="17">
                  <c:v>109.41903965249831</c:v>
                </c:pt>
                <c:pt idx="18">
                  <c:v>103.99449912670754</c:v>
                </c:pt>
                <c:pt idx="19">
                  <c:v>99.451638006140485</c:v>
                </c:pt>
                <c:pt idx="20">
                  <c:v>95.169048121145721</c:v>
                </c:pt>
                <c:pt idx="21">
                  <c:v>97.77793197734718</c:v>
                </c:pt>
                <c:pt idx="22">
                  <c:v>94.592838457378804</c:v>
                </c:pt>
                <c:pt idx="23">
                  <c:v>93.434960098728638</c:v>
                </c:pt>
                <c:pt idx="24">
                  <c:v>97.026426368243705</c:v>
                </c:pt>
                <c:pt idx="25">
                  <c:v>101.26121728501587</c:v>
                </c:pt>
                <c:pt idx="26">
                  <c:v>102.59469749711556</c:v>
                </c:pt>
                <c:pt idx="27">
                  <c:v>104.25821086441513</c:v>
                </c:pt>
                <c:pt idx="28">
                  <c:v>100.21041512634612</c:v>
                </c:pt>
                <c:pt idx="29">
                  <c:v>100.72153440596855</c:v>
                </c:pt>
                <c:pt idx="30">
                  <c:v>100.1467884719073</c:v>
                </c:pt>
                <c:pt idx="31">
                  <c:v>98.858859076011569</c:v>
                </c:pt>
                <c:pt idx="32">
                  <c:v>99.251184701971539</c:v>
                </c:pt>
                <c:pt idx="33">
                  <c:v>102.49826252747438</c:v>
                </c:pt>
                <c:pt idx="34">
                  <c:v>104.39058147006226</c:v>
                </c:pt>
                <c:pt idx="35">
                  <c:v>109.78056870049265</c:v>
                </c:pt>
                <c:pt idx="36">
                  <c:v>107.46404268885699</c:v>
                </c:pt>
                <c:pt idx="37">
                  <c:v>107.37444444437224</c:v>
                </c:pt>
                <c:pt idx="38">
                  <c:v>110.23529464007581</c:v>
                </c:pt>
                <c:pt idx="39">
                  <c:v>110.44429592669702</c:v>
                </c:pt>
                <c:pt idx="40">
                  <c:v>113.90030841945011</c:v>
                </c:pt>
                <c:pt idx="41">
                  <c:v>110.99393539957165</c:v>
                </c:pt>
                <c:pt idx="42">
                  <c:v>109.07463467167013</c:v>
                </c:pt>
                <c:pt idx="43">
                  <c:v>109.26598453957361</c:v>
                </c:pt>
                <c:pt idx="44">
                  <c:v>107.67290116048488</c:v>
                </c:pt>
                <c:pt idx="45">
                  <c:v>112.63297930954461</c:v>
                </c:pt>
                <c:pt idx="46">
                  <c:v>112.57381746114805</c:v>
                </c:pt>
                <c:pt idx="47">
                  <c:v>112.72219075276577</c:v>
                </c:pt>
                <c:pt idx="48">
                  <c:v>112.09068505108279</c:v>
                </c:pt>
                <c:pt idx="49">
                  <c:v>106.85379982384836</c:v>
                </c:pt>
                <c:pt idx="50">
                  <c:v>109.17451065715234</c:v>
                </c:pt>
                <c:pt idx="51">
                  <c:v>113.18894253145177</c:v>
                </c:pt>
                <c:pt idx="52">
                  <c:v>120.95123132335544</c:v>
                </c:pt>
                <c:pt idx="53">
                  <c:v>129.98113593513654</c:v>
                </c:pt>
                <c:pt idx="54">
                  <c:v>136.14925313129953</c:v>
                </c:pt>
                <c:pt idx="55">
                  <c:v>134.5973514658842</c:v>
                </c:pt>
                <c:pt idx="56">
                  <c:v>137.50055992949092</c:v>
                </c:pt>
                <c:pt idx="57">
                  <c:v>139.54696638842512</c:v>
                </c:pt>
                <c:pt idx="58">
                  <c:v>140.86053088035587</c:v>
                </c:pt>
                <c:pt idx="59">
                  <c:v>143.4448054313722</c:v>
                </c:pt>
                <c:pt idx="60">
                  <c:v>136.3521811247432</c:v>
                </c:pt>
                <c:pt idx="61">
                  <c:v>132.6153718253793</c:v>
                </c:pt>
                <c:pt idx="62">
                  <c:v>132.51922774882672</c:v>
                </c:pt>
                <c:pt idx="63">
                  <c:v>128.12778420656537</c:v>
                </c:pt>
                <c:pt idx="64">
                  <c:v>129.97624975530789</c:v>
                </c:pt>
                <c:pt idx="65">
                  <c:v>125.83958205675626</c:v>
                </c:pt>
                <c:pt idx="66">
                  <c:v>122.16291361297323</c:v>
                </c:pt>
                <c:pt idx="67">
                  <c:v>119.3804080235069</c:v>
                </c:pt>
                <c:pt idx="68">
                  <c:v>120.90451202677673</c:v>
                </c:pt>
                <c:pt idx="69">
                  <c:v>117.89361200281651</c:v>
                </c:pt>
                <c:pt idx="70">
                  <c:v>117.4566785738912</c:v>
                </c:pt>
                <c:pt idx="71">
                  <c:v>121.18738012467996</c:v>
                </c:pt>
                <c:pt idx="72">
                  <c:v>120.68742303800798</c:v>
                </c:pt>
                <c:pt idx="73">
                  <c:v>119.35032815899498</c:v>
                </c:pt>
                <c:pt idx="74">
                  <c:v>118.51755582810816</c:v>
                </c:pt>
                <c:pt idx="75">
                  <c:v>117.27063197643588</c:v>
                </c:pt>
                <c:pt idx="76">
                  <c:v>116.61265991861775</c:v>
                </c:pt>
                <c:pt idx="77">
                  <c:v>115.34237240782058</c:v>
                </c:pt>
                <c:pt idx="78">
                  <c:v>113.42613236039281</c:v>
                </c:pt>
                <c:pt idx="79">
                  <c:v>113.91364364786223</c:v>
                </c:pt>
                <c:pt idx="80">
                  <c:v>116.30507057923997</c:v>
                </c:pt>
                <c:pt idx="81">
                  <c:v>120.5572090946402</c:v>
                </c:pt>
                <c:pt idx="82">
                  <c:v>119.57073278036357</c:v>
                </c:pt>
                <c:pt idx="83">
                  <c:v>118.43640261239244</c:v>
                </c:pt>
                <c:pt idx="84">
                  <c:v>120.20390438778853</c:v>
                </c:pt>
                <c:pt idx="85">
                  <c:v>123.58769075239341</c:v>
                </c:pt>
                <c:pt idx="86">
                  <c:v>125.00661072190165</c:v>
                </c:pt>
                <c:pt idx="87">
                  <c:v>127.14814834718833</c:v>
                </c:pt>
                <c:pt idx="88">
                  <c:v>128.88844349561731</c:v>
                </c:pt>
                <c:pt idx="89">
                  <c:v>131.19009374034053</c:v>
                </c:pt>
                <c:pt idx="90">
                  <c:v>133.01111340311709</c:v>
                </c:pt>
                <c:pt idx="91">
                  <c:v>133.71527538246158</c:v>
                </c:pt>
                <c:pt idx="92">
                  <c:v>135.04084386518494</c:v>
                </c:pt>
                <c:pt idx="93">
                  <c:v>137.20112545568645</c:v>
                </c:pt>
                <c:pt idx="94">
                  <c:v>134.2504197450433</c:v>
                </c:pt>
                <c:pt idx="95">
                  <c:v>133.47694359580262</c:v>
                </c:pt>
                <c:pt idx="96">
                  <c:v>132.3239189261914</c:v>
                </c:pt>
                <c:pt idx="97">
                  <c:v>130.47743702103648</c:v>
                </c:pt>
                <c:pt idx="98">
                  <c:v>133.96711687249149</c:v>
                </c:pt>
                <c:pt idx="99">
                  <c:v>135.11954711246025</c:v>
                </c:pt>
                <c:pt idx="100">
                  <c:v>135.45142618209303</c:v>
                </c:pt>
                <c:pt idx="101">
                  <c:v>137.82041508242679</c:v>
                </c:pt>
                <c:pt idx="102">
                  <c:v>137.7193998026153</c:v>
                </c:pt>
                <c:pt idx="103">
                  <c:v>135.94056078623137</c:v>
                </c:pt>
                <c:pt idx="104">
                  <c:v>137.66766130737429</c:v>
                </c:pt>
                <c:pt idx="105">
                  <c:v>140.783100976181</c:v>
                </c:pt>
                <c:pt idx="106">
                  <c:v>141.63219618240839</c:v>
                </c:pt>
                <c:pt idx="107">
                  <c:v>144.77622524569102</c:v>
                </c:pt>
                <c:pt idx="108">
                  <c:v>144.43395764660636</c:v>
                </c:pt>
                <c:pt idx="109">
                  <c:v>143.21011819783189</c:v>
                </c:pt>
                <c:pt idx="110">
                  <c:v>143.81359574284843</c:v>
                </c:pt>
                <c:pt idx="111">
                  <c:v>145.02925990824053</c:v>
                </c:pt>
                <c:pt idx="112">
                  <c:v>146.43571602294543</c:v>
                </c:pt>
                <c:pt idx="113">
                  <c:v>149.43407093805649</c:v>
                </c:pt>
                <c:pt idx="114">
                  <c:v>154.39007916897424</c:v>
                </c:pt>
                <c:pt idx="115">
                  <c:v>151.99722022761844</c:v>
                </c:pt>
                <c:pt idx="116">
                  <c:v>153.04839909360388</c:v>
                </c:pt>
                <c:pt idx="117">
                  <c:v>152.47338015933593</c:v>
                </c:pt>
                <c:pt idx="118">
                  <c:v>148.21855217952987</c:v>
                </c:pt>
                <c:pt idx="119">
                  <c:v>148.3215514200561</c:v>
                </c:pt>
                <c:pt idx="120">
                  <c:v>147.96837577080322</c:v>
                </c:pt>
                <c:pt idx="121">
                  <c:v>144.23569812995638</c:v>
                </c:pt>
                <c:pt idx="122">
                  <c:v>143.80806685802696</c:v>
                </c:pt>
                <c:pt idx="123">
                  <c:v>143.32343322767375</c:v>
                </c:pt>
                <c:pt idx="124">
                  <c:v>144.62514866973703</c:v>
                </c:pt>
                <c:pt idx="125">
                  <c:v>142.29662560753604</c:v>
                </c:pt>
                <c:pt idx="126">
                  <c:v>138.74051647848171</c:v>
                </c:pt>
                <c:pt idx="127">
                  <c:v>136.53016091125647</c:v>
                </c:pt>
                <c:pt idx="128">
                  <c:v>134.52263446799091</c:v>
                </c:pt>
                <c:pt idx="129">
                  <c:v>133.69832959172248</c:v>
                </c:pt>
                <c:pt idx="130">
                  <c:v>137.55079220288982</c:v>
                </c:pt>
                <c:pt idx="131">
                  <c:v>136.67760107767918</c:v>
                </c:pt>
                <c:pt idx="132">
                  <c:v>138.00520249234162</c:v>
                </c:pt>
                <c:pt idx="133">
                  <c:v>133.96282846843351</c:v>
                </c:pt>
                <c:pt idx="134">
                  <c:v>131.75549933045147</c:v>
                </c:pt>
                <c:pt idx="135">
                  <c:v>128.81166359957001</c:v>
                </c:pt>
                <c:pt idx="136">
                  <c:v>125.8632369410476</c:v>
                </c:pt>
                <c:pt idx="137">
                  <c:v>123.28425720447271</c:v>
                </c:pt>
                <c:pt idx="138">
                  <c:v>129.96575096388798</c:v>
                </c:pt>
                <c:pt idx="139">
                  <c:v>130.00860167530772</c:v>
                </c:pt>
                <c:pt idx="140">
                  <c:v>129.21453315855655</c:v>
                </c:pt>
                <c:pt idx="141">
                  <c:v>124.11862658283685</c:v>
                </c:pt>
                <c:pt idx="142">
                  <c:v>129.33067091155146</c:v>
                </c:pt>
                <c:pt idx="143">
                  <c:v>137.27180122934735</c:v>
                </c:pt>
                <c:pt idx="144">
                  <c:v>135.25938139287186</c:v>
                </c:pt>
                <c:pt idx="145">
                  <c:v>134.56411902640997</c:v>
                </c:pt>
                <c:pt idx="146">
                  <c:v>132.05895735807027</c:v>
                </c:pt>
                <c:pt idx="147">
                  <c:v>136.62240717944803</c:v>
                </c:pt>
                <c:pt idx="148">
                  <c:v>142.59119726187012</c:v>
                </c:pt>
                <c:pt idx="149">
                  <c:v>140.12434528094835</c:v>
                </c:pt>
                <c:pt idx="150">
                  <c:v>144.86864151183264</c:v>
                </c:pt>
                <c:pt idx="151">
                  <c:v>151.19781332691298</c:v>
                </c:pt>
                <c:pt idx="152">
                  <c:v>154.81659269764324</c:v>
                </c:pt>
                <c:pt idx="153">
                  <c:v>156.31919030676383</c:v>
                </c:pt>
                <c:pt idx="154">
                  <c:v>156.12010988817957</c:v>
                </c:pt>
                <c:pt idx="155">
                  <c:v>153.87261638067483</c:v>
                </c:pt>
                <c:pt idx="156">
                  <c:v>149.17658167904253</c:v>
                </c:pt>
                <c:pt idx="157">
                  <c:v>145.66352070690081</c:v>
                </c:pt>
                <c:pt idx="158">
                  <c:v>144.34039354058299</c:v>
                </c:pt>
                <c:pt idx="159">
                  <c:v>144.67674334525771</c:v>
                </c:pt>
                <c:pt idx="160">
                  <c:v>146.22553400398073</c:v>
                </c:pt>
                <c:pt idx="161">
                  <c:v>143.97787430865955</c:v>
                </c:pt>
                <c:pt idx="162">
                  <c:v>143.28122443818668</c:v>
                </c:pt>
                <c:pt idx="163">
                  <c:v>143.51644881778287</c:v>
                </c:pt>
                <c:pt idx="164">
                  <c:v>147.9063204314123</c:v>
                </c:pt>
                <c:pt idx="165">
                  <c:v>150.43956045427021</c:v>
                </c:pt>
                <c:pt idx="166">
                  <c:v>151.90230719605933</c:v>
                </c:pt>
                <c:pt idx="167">
                  <c:v>150.24829736311636</c:v>
                </c:pt>
                <c:pt idx="168">
                  <c:v>150.06339499740506</c:v>
                </c:pt>
                <c:pt idx="169">
                  <c:v>148.80214082670676</c:v>
                </c:pt>
                <c:pt idx="170">
                  <c:v>146.19760498472587</c:v>
                </c:pt>
                <c:pt idx="171">
                  <c:v>146.08433628878984</c:v>
                </c:pt>
                <c:pt idx="172">
                  <c:v>145.85940488686583</c:v>
                </c:pt>
                <c:pt idx="173">
                  <c:v>144.71374426449799</c:v>
                </c:pt>
                <c:pt idx="174">
                  <c:v>150.90166592360893</c:v>
                </c:pt>
                <c:pt idx="175">
                  <c:v>146.97025409424734</c:v>
                </c:pt>
                <c:pt idx="176">
                  <c:v>145.36835667942646</c:v>
                </c:pt>
                <c:pt idx="177">
                  <c:v>151.91975999016398</c:v>
                </c:pt>
                <c:pt idx="178">
                  <c:v>150.58303955453638</c:v>
                </c:pt>
                <c:pt idx="179">
                  <c:v>153.18089118129794</c:v>
                </c:pt>
                <c:pt idx="180">
                  <c:v>153.56273270668891</c:v>
                </c:pt>
                <c:pt idx="181">
                  <c:v>155.59736355185495</c:v>
                </c:pt>
                <c:pt idx="182">
                  <c:v>155.02996520592296</c:v>
                </c:pt>
                <c:pt idx="183">
                  <c:v>151.38567454272848</c:v>
                </c:pt>
                <c:pt idx="184">
                  <c:v>144.32146689368454</c:v>
                </c:pt>
                <c:pt idx="185">
                  <c:v>144.69553116382647</c:v>
                </c:pt>
                <c:pt idx="186">
                  <c:v>141.59947821977505</c:v>
                </c:pt>
                <c:pt idx="187">
                  <c:v>143.45540056764304</c:v>
                </c:pt>
                <c:pt idx="188">
                  <c:v>145.52868927047115</c:v>
                </c:pt>
                <c:pt idx="189">
                  <c:v>139.77401408335348</c:v>
                </c:pt>
                <c:pt idx="190">
                  <c:v>138.18721502748866</c:v>
                </c:pt>
                <c:pt idx="191">
                  <c:v>140.57434385281059</c:v>
                </c:pt>
                <c:pt idx="192">
                  <c:v>135.03672726854268</c:v>
                </c:pt>
                <c:pt idx="193">
                  <c:v>132.23339110388906</c:v>
                </c:pt>
                <c:pt idx="194">
                  <c:v>127.79521278569902</c:v>
                </c:pt>
                <c:pt idx="195">
                  <c:v>121.50911303544055</c:v>
                </c:pt>
                <c:pt idx="196">
                  <c:v>116.24858799874491</c:v>
                </c:pt>
                <c:pt idx="197">
                  <c:v>115.64073225986995</c:v>
                </c:pt>
                <c:pt idx="198">
                  <c:v>112.96418064218543</c:v>
                </c:pt>
                <c:pt idx="199">
                  <c:v>121.13723892052361</c:v>
                </c:pt>
                <c:pt idx="200">
                  <c:v>121.58416881119533</c:v>
                </c:pt>
                <c:pt idx="201">
                  <c:v>111.75806808608624</c:v>
                </c:pt>
                <c:pt idx="202">
                  <c:v>111.36603858637173</c:v>
                </c:pt>
                <c:pt idx="203">
                  <c:v>124.37966789078487</c:v>
                </c:pt>
                <c:pt idx="204">
                  <c:v>127.58596730440169</c:v>
                </c:pt>
                <c:pt idx="205">
                  <c:v>129.91333056626348</c:v>
                </c:pt>
                <c:pt idx="206">
                  <c:v>126.3492307236415</c:v>
                </c:pt>
                <c:pt idx="207">
                  <c:v>128.57931095247093</c:v>
                </c:pt>
                <c:pt idx="208">
                  <c:v>131.79447205437501</c:v>
                </c:pt>
                <c:pt idx="209">
                  <c:v>138.99053848583131</c:v>
                </c:pt>
                <c:pt idx="210">
                  <c:v>151.21087730484112</c:v>
                </c:pt>
                <c:pt idx="211">
                  <c:v>163.82414639094435</c:v>
                </c:pt>
                <c:pt idx="212">
                  <c:v>170.11600109759442</c:v>
                </c:pt>
                <c:pt idx="213">
                  <c:v>170.60471166429727</c:v>
                </c:pt>
                <c:pt idx="214">
                  <c:v>174.92473997995862</c:v>
                </c:pt>
                <c:pt idx="215">
                  <c:v>173.79184008560824</c:v>
                </c:pt>
                <c:pt idx="216">
                  <c:v>188.55110443431965</c:v>
                </c:pt>
                <c:pt idx="217">
                  <c:v>199.91681194830562</c:v>
                </c:pt>
                <c:pt idx="218">
                  <c:v>203.24277199818042</c:v>
                </c:pt>
                <c:pt idx="219">
                  <c:v>191.21931592035793</c:v>
                </c:pt>
                <c:pt idx="220">
                  <c:v>181.13003939267523</c:v>
                </c:pt>
                <c:pt idx="221">
                  <c:v>176.77422225547912</c:v>
                </c:pt>
                <c:pt idx="222">
                  <c:v>163.77287179529242</c:v>
                </c:pt>
                <c:pt idx="223">
                  <c:v>178.60620727215314</c:v>
                </c:pt>
                <c:pt idx="224">
                  <c:v>183.31091861596587</c:v>
                </c:pt>
                <c:pt idx="225">
                  <c:v>180.46628064671879</c:v>
                </c:pt>
                <c:pt idx="226">
                  <c:v>184.97733223048354</c:v>
                </c:pt>
                <c:pt idx="227">
                  <c:v>189.06206654083999</c:v>
                </c:pt>
                <c:pt idx="228">
                  <c:v>186.38614127663621</c:v>
                </c:pt>
                <c:pt idx="229">
                  <c:v>180.66551970628967</c:v>
                </c:pt>
                <c:pt idx="230">
                  <c:v>181.55531735600894</c:v>
                </c:pt>
                <c:pt idx="231">
                  <c:v>182.9623459189898</c:v>
                </c:pt>
                <c:pt idx="232">
                  <c:v>190.00756382093238</c:v>
                </c:pt>
                <c:pt idx="233">
                  <c:v>195.56865035156031</c:v>
                </c:pt>
                <c:pt idx="234">
                  <c:v>206.35969506669312</c:v>
                </c:pt>
                <c:pt idx="235">
                  <c:v>209.98204888064313</c:v>
                </c:pt>
                <c:pt idx="236">
                  <c:v>210.51245650910744</c:v>
                </c:pt>
                <c:pt idx="237">
                  <c:v>214.27165059223208</c:v>
                </c:pt>
                <c:pt idx="238">
                  <c:v>216.62062661677876</c:v>
                </c:pt>
                <c:pt idx="239">
                  <c:v>212.88034891278721</c:v>
                </c:pt>
                <c:pt idx="240">
                  <c:v>215.0085178398574</c:v>
                </c:pt>
                <c:pt idx="241">
                  <c:v>217.45725455222521</c:v>
                </c:pt>
                <c:pt idx="242">
                  <c:v>216.59879085018585</c:v>
                </c:pt>
                <c:pt idx="243">
                  <c:v>209.79999046993851</c:v>
                </c:pt>
                <c:pt idx="244">
                  <c:v>209.45141176718442</c:v>
                </c:pt>
                <c:pt idx="245">
                  <c:v>212.36372271990919</c:v>
                </c:pt>
                <c:pt idx="246">
                  <c:v>212.07148726149148</c:v>
                </c:pt>
                <c:pt idx="247">
                  <c:v>209.36491343197071</c:v>
                </c:pt>
                <c:pt idx="248">
                  <c:v>208.41945704176123</c:v>
                </c:pt>
                <c:pt idx="249">
                  <c:v>209.2842183720638</c:v>
                </c:pt>
                <c:pt idx="250">
                  <c:v>213.63308927480065</c:v>
                </c:pt>
                <c:pt idx="251">
                  <c:v>223.65663047154717</c:v>
                </c:pt>
                <c:pt idx="252">
                  <c:v>220.64861206717464</c:v>
                </c:pt>
                <c:pt idx="253">
                  <c:v>216.10015863507383</c:v>
                </c:pt>
                <c:pt idx="254">
                  <c:v>214.43456972231914</c:v>
                </c:pt>
                <c:pt idx="255">
                  <c:v>221.92822122127214</c:v>
                </c:pt>
                <c:pt idx="256">
                  <c:v>224.48712582931969</c:v>
                </c:pt>
                <c:pt idx="257">
                  <c:v>226.50249421298693</c:v>
                </c:pt>
                <c:pt idx="258">
                  <c:v>224.91534363808452</c:v>
                </c:pt>
                <c:pt idx="259">
                  <c:v>223.03559810125293</c:v>
                </c:pt>
                <c:pt idx="260">
                  <c:v>223.79141171916768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F53-449D-9022-5EA48E21ADF0}"/>
            </c:ext>
          </c:extLst>
        </c:ser>
        <c:ser>
          <c:idx val="13"/>
          <c:order val="13"/>
          <c:tx>
            <c:strRef>
              <c:f>All_factors!$BD$121</c:f>
              <c:strCache>
                <c:ptCount val="1"/>
                <c:pt idx="0">
                  <c:v>EWZ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All_factors!$BD$122:$BD$382</c:f>
              <c:numCache>
                <c:formatCode>General</c:formatCode>
                <c:ptCount val="261"/>
                <c:pt idx="0">
                  <c:v>100</c:v>
                </c:pt>
                <c:pt idx="1">
                  <c:v>98.880053569933878</c:v>
                </c:pt>
                <c:pt idx="2">
                  <c:v>102.86599146229179</c:v>
                </c:pt>
                <c:pt idx="3">
                  <c:v>110.13978404620407</c:v>
                </c:pt>
                <c:pt idx="4">
                  <c:v>119.02067464635475</c:v>
                </c:pt>
                <c:pt idx="5">
                  <c:v>129.64928433916467</c:v>
                </c:pt>
                <c:pt idx="6">
                  <c:v>131.39700343182392</c:v>
                </c:pt>
                <c:pt idx="7">
                  <c:v>145.80229346279404</c:v>
                </c:pt>
                <c:pt idx="8">
                  <c:v>158.86331296559808</c:v>
                </c:pt>
                <c:pt idx="9">
                  <c:v>153.8628944504897</c:v>
                </c:pt>
                <c:pt idx="10">
                  <c:v>179.00560810245253</c:v>
                </c:pt>
                <c:pt idx="11">
                  <c:v>162.72034820457023</c:v>
                </c:pt>
                <c:pt idx="12">
                  <c:v>156.07767640411822</c:v>
                </c:pt>
                <c:pt idx="13">
                  <c:v>169.93387461287355</c:v>
                </c:pt>
                <c:pt idx="14">
                  <c:v>177.29137021846495</c:v>
                </c:pt>
                <c:pt idx="15">
                  <c:v>181.2203900560811</c:v>
                </c:pt>
                <c:pt idx="16">
                  <c:v>200.64953544822973</c:v>
                </c:pt>
                <c:pt idx="17">
                  <c:v>238.00786808403791</c:v>
                </c:pt>
                <c:pt idx="18">
                  <c:v>225.5796434251277</c:v>
                </c:pt>
                <c:pt idx="19">
                  <c:v>241.4380179124467</c:v>
                </c:pt>
                <c:pt idx="20">
                  <c:v>242.53954967774342</c:v>
                </c:pt>
                <c:pt idx="21">
                  <c:v>300.46706286096935</c:v>
                </c:pt>
                <c:pt idx="22">
                  <c:v>299.52289277642933</c:v>
                </c:pt>
                <c:pt idx="23">
                  <c:v>290.36410814430411</c:v>
                </c:pt>
                <c:pt idx="24">
                  <c:v>321.61714237884001</c:v>
                </c:pt>
                <c:pt idx="25">
                  <c:v>268.55947099690309</c:v>
                </c:pt>
                <c:pt idx="26">
                  <c:v>284.33246840210944</c:v>
                </c:pt>
                <c:pt idx="27">
                  <c:v>286.87536620072001</c:v>
                </c:pt>
                <c:pt idx="28">
                  <c:v>284.69573951619668</c:v>
                </c:pt>
                <c:pt idx="29">
                  <c:v>279.60659579810846</c:v>
                </c:pt>
                <c:pt idx="30">
                  <c:v>305.11927680589281</c:v>
                </c:pt>
                <c:pt idx="31">
                  <c:v>322.41734326609208</c:v>
                </c:pt>
                <c:pt idx="32">
                  <c:v>347.58181970369151</c:v>
                </c:pt>
                <c:pt idx="33">
                  <c:v>350.5482547919982</c:v>
                </c:pt>
                <c:pt idx="34">
                  <c:v>339.93973382439123</c:v>
                </c:pt>
                <c:pt idx="35">
                  <c:v>365.16447643759955</c:v>
                </c:pt>
                <c:pt idx="36">
                  <c:v>389.94391897547519</c:v>
                </c:pt>
                <c:pt idx="37">
                  <c:v>439.87444546748156</c:v>
                </c:pt>
                <c:pt idx="38">
                  <c:v>455.67590190005876</c:v>
                </c:pt>
                <c:pt idx="39">
                  <c:v>471.84899974889106</c:v>
                </c:pt>
                <c:pt idx="40">
                  <c:v>456.64016070980176</c:v>
                </c:pt>
                <c:pt idx="41">
                  <c:v>545.66836862810771</c:v>
                </c:pt>
                <c:pt idx="42">
                  <c:v>635.06821796266865</c:v>
                </c:pt>
                <c:pt idx="43">
                  <c:v>600.56918054741789</c:v>
                </c:pt>
                <c:pt idx="44">
                  <c:v>607.62367121453099</c:v>
                </c:pt>
                <c:pt idx="45">
                  <c:v>575.92366284422883</c:v>
                </c:pt>
                <c:pt idx="46">
                  <c:v>628.9311124131583</c:v>
                </c:pt>
                <c:pt idx="47">
                  <c:v>579.98995563739857</c:v>
                </c:pt>
                <c:pt idx="48">
                  <c:v>680.05524399430828</c:v>
                </c:pt>
                <c:pt idx="49">
                  <c:v>747.21854858960421</c:v>
                </c:pt>
                <c:pt idx="50">
                  <c:v>677.11894199380606</c:v>
                </c:pt>
                <c:pt idx="51">
                  <c:v>616.0726542228175</c:v>
                </c:pt>
                <c:pt idx="52">
                  <c:v>556.46773248514285</c:v>
                </c:pt>
                <c:pt idx="53">
                  <c:v>427.01933539800791</c:v>
                </c:pt>
                <c:pt idx="54">
                  <c:v>285.58968778772913</c:v>
                </c:pt>
                <c:pt idx="55">
                  <c:v>266.63095337741692</c:v>
                </c:pt>
                <c:pt idx="56">
                  <c:v>277.54750146480285</c:v>
                </c:pt>
                <c:pt idx="57">
                  <c:v>281.59370553276972</c:v>
                </c:pt>
                <c:pt idx="58">
                  <c:v>271.28149326190669</c:v>
                </c:pt>
                <c:pt idx="59">
                  <c:v>299.0441114924248</c:v>
                </c:pt>
                <c:pt idx="60">
                  <c:v>357.74169247509832</c:v>
                </c:pt>
                <c:pt idx="61">
                  <c:v>437.85720264501543</c:v>
                </c:pt>
                <c:pt idx="62">
                  <c:v>423.68962919561392</c:v>
                </c:pt>
                <c:pt idx="63">
                  <c:v>460.72319410730722</c:v>
                </c:pt>
                <c:pt idx="64">
                  <c:v>465.60308027119771</c:v>
                </c:pt>
                <c:pt idx="65">
                  <c:v>541.02954716665261</c:v>
                </c:pt>
                <c:pt idx="66">
                  <c:v>550.54825479199792</c:v>
                </c:pt>
                <c:pt idx="67">
                  <c:v>611.65815685946245</c:v>
                </c:pt>
                <c:pt idx="68">
                  <c:v>616.12287603582479</c:v>
                </c:pt>
                <c:pt idx="69">
                  <c:v>534.20440277894022</c:v>
                </c:pt>
                <c:pt idx="70">
                  <c:v>564.59362182974803</c:v>
                </c:pt>
                <c:pt idx="71">
                  <c:v>608.11249686113661</c:v>
                </c:pt>
                <c:pt idx="72">
                  <c:v>596.69540470410971</c:v>
                </c:pt>
                <c:pt idx="73">
                  <c:v>524.54172595630689</c:v>
                </c:pt>
                <c:pt idx="74">
                  <c:v>512.70109650958386</c:v>
                </c:pt>
                <c:pt idx="75">
                  <c:v>583.59755587176676</c:v>
                </c:pt>
                <c:pt idx="76">
                  <c:v>561.78957060349865</c:v>
                </c:pt>
                <c:pt idx="77">
                  <c:v>638.05976395747871</c:v>
                </c:pt>
                <c:pt idx="78">
                  <c:v>638.82313551519201</c:v>
                </c:pt>
                <c:pt idx="79">
                  <c:v>620.66292793169828</c:v>
                </c:pt>
                <c:pt idx="80">
                  <c:v>664.21361011132501</c:v>
                </c:pt>
                <c:pt idx="81">
                  <c:v>628.17108897631203</c:v>
                </c:pt>
                <c:pt idx="82">
                  <c:v>637.35331045450744</c:v>
                </c:pt>
                <c:pt idx="83">
                  <c:v>665.15778019586503</c:v>
                </c:pt>
                <c:pt idx="84">
                  <c:v>666.95906922239908</c:v>
                </c:pt>
                <c:pt idx="85">
                  <c:v>645.50598476605023</c:v>
                </c:pt>
                <c:pt idx="86">
                  <c:v>639.11442203063552</c:v>
                </c:pt>
                <c:pt idx="87">
                  <c:v>614.89244161714259</c:v>
                </c:pt>
                <c:pt idx="88">
                  <c:v>570.7156608353564</c:v>
                </c:pt>
                <c:pt idx="89">
                  <c:v>453.17485561228779</c:v>
                </c:pt>
                <c:pt idx="90">
                  <c:v>543.44354231187776</c:v>
                </c:pt>
                <c:pt idx="91">
                  <c:v>514.25462459194807</c:v>
                </c:pt>
                <c:pt idx="92">
                  <c:v>503.86205742027312</c:v>
                </c:pt>
                <c:pt idx="93">
                  <c:v>575.94375156943192</c:v>
                </c:pt>
                <c:pt idx="94">
                  <c:v>607.3742362099274</c:v>
                </c:pt>
                <c:pt idx="95">
                  <c:v>567.69063363187433</c:v>
                </c:pt>
                <c:pt idx="96">
                  <c:v>529.01648949527089</c:v>
                </c:pt>
                <c:pt idx="97">
                  <c:v>456.89126977483897</c:v>
                </c:pt>
                <c:pt idx="98">
                  <c:v>462.91453921486573</c:v>
                </c:pt>
                <c:pt idx="99">
                  <c:v>469.67606930610202</c:v>
                </c:pt>
                <c:pt idx="100">
                  <c:v>472.09341257219398</c:v>
                </c:pt>
                <c:pt idx="101">
                  <c:v>484.09307776010729</c:v>
                </c:pt>
                <c:pt idx="102">
                  <c:v>477.7349962333642</c:v>
                </c:pt>
                <c:pt idx="103">
                  <c:v>461.88499204821306</c:v>
                </c:pt>
                <c:pt idx="104">
                  <c:v>505.67506486984195</c:v>
                </c:pt>
                <c:pt idx="105">
                  <c:v>513.17652967272136</c:v>
                </c:pt>
                <c:pt idx="106">
                  <c:v>498.35272453335585</c:v>
                </c:pt>
                <c:pt idx="107">
                  <c:v>492.47677241148421</c:v>
                </c:pt>
                <c:pt idx="108">
                  <c:v>498.53352306018263</c:v>
                </c:pt>
                <c:pt idx="109">
                  <c:v>460.02511090650387</c:v>
                </c:pt>
                <c:pt idx="110">
                  <c:v>404.21193605089155</c:v>
                </c:pt>
                <c:pt idx="111">
                  <c:v>400.89394827153268</c:v>
                </c:pt>
                <c:pt idx="112">
                  <c:v>390.66376496191526</c:v>
                </c:pt>
                <c:pt idx="113">
                  <c:v>441.53678747802809</c:v>
                </c:pt>
                <c:pt idx="114">
                  <c:v>462.22650037666375</c:v>
                </c:pt>
                <c:pt idx="115">
                  <c:v>432.68937808654903</c:v>
                </c:pt>
                <c:pt idx="116">
                  <c:v>417.27295555369557</c:v>
                </c:pt>
                <c:pt idx="117">
                  <c:v>366.46856951535955</c:v>
                </c:pt>
                <c:pt idx="118">
                  <c:v>382.90449485226424</c:v>
                </c:pt>
                <c:pt idx="119">
                  <c:v>420.58926927262075</c:v>
                </c:pt>
                <c:pt idx="120">
                  <c:v>439.31363522223154</c:v>
                </c:pt>
                <c:pt idx="121">
                  <c:v>434.17761781200306</c:v>
                </c:pt>
                <c:pt idx="122">
                  <c:v>455.11676571524231</c:v>
                </c:pt>
                <c:pt idx="123">
                  <c:v>461.97539131162637</c:v>
                </c:pt>
                <c:pt idx="124">
                  <c:v>511.50581736000674</c:v>
                </c:pt>
                <c:pt idx="125">
                  <c:v>413.8729388130912</c:v>
                </c:pt>
                <c:pt idx="126">
                  <c:v>411.87243659496119</c:v>
                </c:pt>
                <c:pt idx="127">
                  <c:v>398.63229262576391</c:v>
                </c:pt>
                <c:pt idx="128">
                  <c:v>352.70109650958409</c:v>
                </c:pt>
                <c:pt idx="129">
                  <c:v>330.90482966435098</c:v>
                </c:pt>
                <c:pt idx="130">
                  <c:v>341.2237381769483</c:v>
                </c:pt>
                <c:pt idx="131">
                  <c:v>302.54959404034497</c:v>
                </c:pt>
                <c:pt idx="132">
                  <c:v>349.22909517033577</c:v>
                </c:pt>
                <c:pt idx="133">
                  <c:v>311.22959738846583</c:v>
                </c:pt>
                <c:pt idx="134">
                  <c:v>321.86490332301008</c:v>
                </c:pt>
                <c:pt idx="135">
                  <c:v>281.79124466393245</c:v>
                </c:pt>
                <c:pt idx="136">
                  <c:v>244.3692977316482</c:v>
                </c:pt>
                <c:pt idx="137">
                  <c:v>215.590524817946</c:v>
                </c:pt>
                <c:pt idx="138">
                  <c:v>224.62710303841979</c:v>
                </c:pt>
                <c:pt idx="139">
                  <c:v>221.19025696827663</c:v>
                </c:pt>
                <c:pt idx="140">
                  <c:v>205.36871181049642</c:v>
                </c:pt>
                <c:pt idx="141">
                  <c:v>196.92809910437776</c:v>
                </c:pt>
                <c:pt idx="142">
                  <c:v>203.4820457018499</c:v>
                </c:pt>
                <c:pt idx="143">
                  <c:v>261.18021260567514</c:v>
                </c:pt>
                <c:pt idx="144">
                  <c:v>293.05767138193698</c:v>
                </c:pt>
                <c:pt idx="145">
                  <c:v>252.63915627354157</c:v>
                </c:pt>
                <c:pt idx="146">
                  <c:v>301.88499204821306</c:v>
                </c:pt>
                <c:pt idx="147">
                  <c:v>332.54708294969464</c:v>
                </c:pt>
                <c:pt idx="148">
                  <c:v>335.34946011551034</c:v>
                </c:pt>
                <c:pt idx="149">
                  <c:v>337.45040595965526</c:v>
                </c:pt>
                <c:pt idx="150">
                  <c:v>377.76847744203582</c:v>
                </c:pt>
                <c:pt idx="151">
                  <c:v>335.04980329789919</c:v>
                </c:pt>
                <c:pt idx="152">
                  <c:v>337.78521804637165</c:v>
                </c:pt>
                <c:pt idx="153">
                  <c:v>373.54817108897652</c:v>
                </c:pt>
                <c:pt idx="154">
                  <c:v>382.26165564576905</c:v>
                </c:pt>
                <c:pt idx="155">
                  <c:v>379.52624089729665</c:v>
                </c:pt>
                <c:pt idx="156">
                  <c:v>376.58826483636085</c:v>
                </c:pt>
                <c:pt idx="157">
                  <c:v>356.32543734828852</c:v>
                </c:pt>
                <c:pt idx="158">
                  <c:v>348.70176613375764</c:v>
                </c:pt>
                <c:pt idx="159">
                  <c:v>386.08520967606955</c:v>
                </c:pt>
                <c:pt idx="160">
                  <c:v>408.55612287603611</c:v>
                </c:pt>
                <c:pt idx="161">
                  <c:v>425.81736000669656</c:v>
                </c:pt>
                <c:pt idx="162">
                  <c:v>410.29212354566033</c:v>
                </c:pt>
                <c:pt idx="163">
                  <c:v>395.27747551686645</c:v>
                </c:pt>
                <c:pt idx="164">
                  <c:v>417.55921988783831</c:v>
                </c:pt>
                <c:pt idx="165">
                  <c:v>480.94082196367322</c:v>
                </c:pt>
                <c:pt idx="166">
                  <c:v>469.48187829580684</c:v>
                </c:pt>
                <c:pt idx="167">
                  <c:v>463.28952875198837</c:v>
                </c:pt>
                <c:pt idx="168">
                  <c:v>436.65522725370425</c:v>
                </c:pt>
                <c:pt idx="169">
                  <c:v>367.69900393404237</c:v>
                </c:pt>
                <c:pt idx="170">
                  <c:v>336.32878546915572</c:v>
                </c:pt>
                <c:pt idx="171">
                  <c:v>378.82983175692681</c:v>
                </c:pt>
                <c:pt idx="172">
                  <c:v>340.52732903657858</c:v>
                </c:pt>
                <c:pt idx="173">
                  <c:v>353.95831589520418</c:v>
                </c:pt>
                <c:pt idx="174">
                  <c:v>421.32920398426427</c:v>
                </c:pt>
                <c:pt idx="175">
                  <c:v>417.65631539298613</c:v>
                </c:pt>
                <c:pt idx="176">
                  <c:v>407.04612036494564</c:v>
                </c:pt>
                <c:pt idx="177">
                  <c:v>483.44689043274514</c:v>
                </c:pt>
                <c:pt idx="178">
                  <c:v>458.19368879216591</c:v>
                </c:pt>
                <c:pt idx="179">
                  <c:v>436.7757596049222</c:v>
                </c:pt>
                <c:pt idx="180">
                  <c:v>441.03791746882115</c:v>
                </c:pt>
                <c:pt idx="181">
                  <c:v>443.80848748639875</c:v>
                </c:pt>
                <c:pt idx="182">
                  <c:v>471.79710387545043</c:v>
                </c:pt>
                <c:pt idx="183">
                  <c:v>480.21427973549902</c:v>
                </c:pt>
                <c:pt idx="184">
                  <c:v>442.33698836528049</c:v>
                </c:pt>
                <c:pt idx="185">
                  <c:v>454.63965849167209</c:v>
                </c:pt>
                <c:pt idx="186">
                  <c:v>481.29404871515919</c:v>
                </c:pt>
                <c:pt idx="187">
                  <c:v>458.30919896208309</c:v>
                </c:pt>
                <c:pt idx="188">
                  <c:v>519.67188415501869</c:v>
                </c:pt>
                <c:pt idx="189">
                  <c:v>479.25839122792394</c:v>
                </c:pt>
                <c:pt idx="190">
                  <c:v>420.11885829078483</c:v>
                </c:pt>
                <c:pt idx="191">
                  <c:v>258.02963086967475</c:v>
                </c:pt>
                <c:pt idx="192">
                  <c:v>270.18498367791119</c:v>
                </c:pt>
                <c:pt idx="193">
                  <c:v>297.78521804637188</c:v>
                </c:pt>
                <c:pt idx="194">
                  <c:v>318.72771407047844</c:v>
                </c:pt>
                <c:pt idx="195">
                  <c:v>360.61940236042574</c:v>
                </c:pt>
                <c:pt idx="196">
                  <c:v>330.47459613292091</c:v>
                </c:pt>
                <c:pt idx="197">
                  <c:v>306.53720599313681</c:v>
                </c:pt>
                <c:pt idx="198">
                  <c:v>297.67138193688839</c:v>
                </c:pt>
                <c:pt idx="199">
                  <c:v>368.48748639825959</c:v>
                </c:pt>
                <c:pt idx="200">
                  <c:v>413.89972378002915</c:v>
                </c:pt>
                <c:pt idx="201">
                  <c:v>381.7443709717927</c:v>
                </c:pt>
                <c:pt idx="202">
                  <c:v>356.1747719092665</c:v>
                </c:pt>
                <c:pt idx="203">
                  <c:v>373.48120867163368</c:v>
                </c:pt>
                <c:pt idx="204">
                  <c:v>397.04026115342828</c:v>
                </c:pt>
                <c:pt idx="205">
                  <c:v>434.44379342094317</c:v>
                </c:pt>
                <c:pt idx="206">
                  <c:v>459.59655143550759</c:v>
                </c:pt>
                <c:pt idx="207">
                  <c:v>423.99765631539367</c:v>
                </c:pt>
                <c:pt idx="208">
                  <c:v>412.66091905917875</c:v>
                </c:pt>
                <c:pt idx="209">
                  <c:v>364.2537875617316</c:v>
                </c:pt>
                <c:pt idx="210">
                  <c:v>332.39641751067268</c:v>
                </c:pt>
                <c:pt idx="211">
                  <c:v>328.65489244161773</c:v>
                </c:pt>
                <c:pt idx="212">
                  <c:v>342.23319661839855</c:v>
                </c:pt>
                <c:pt idx="213">
                  <c:v>385.51435506821866</c:v>
                </c:pt>
                <c:pt idx="214">
                  <c:v>400.99941407884899</c:v>
                </c:pt>
                <c:pt idx="215">
                  <c:v>460.98434753494683</c:v>
                </c:pt>
                <c:pt idx="216">
                  <c:v>399.53628525989859</c:v>
                </c:pt>
                <c:pt idx="217">
                  <c:v>429.77316481125047</c:v>
                </c:pt>
                <c:pt idx="218">
                  <c:v>349.57729974052131</c:v>
                </c:pt>
                <c:pt idx="219">
                  <c:v>370.38084874864052</c:v>
                </c:pt>
                <c:pt idx="220">
                  <c:v>389.52372980664671</c:v>
                </c:pt>
                <c:pt idx="221">
                  <c:v>378.16522976479519</c:v>
                </c:pt>
                <c:pt idx="222">
                  <c:v>416.96492843391718</c:v>
                </c:pt>
                <c:pt idx="223">
                  <c:v>401.77617812003086</c:v>
                </c:pt>
                <c:pt idx="224">
                  <c:v>383.61262241566993</c:v>
                </c:pt>
                <c:pt idx="225">
                  <c:v>416.11617979409135</c:v>
                </c:pt>
                <c:pt idx="226">
                  <c:v>374.01188582907912</c:v>
                </c:pt>
                <c:pt idx="227">
                  <c:v>375.52021427973625</c:v>
                </c:pt>
                <c:pt idx="228">
                  <c:v>387.72746296141378</c:v>
                </c:pt>
                <c:pt idx="229">
                  <c:v>395.27077927513267</c:v>
                </c:pt>
                <c:pt idx="230">
                  <c:v>455.77634552607446</c:v>
                </c:pt>
                <c:pt idx="231">
                  <c:v>476.01406210764304</c:v>
                </c:pt>
                <c:pt idx="232">
                  <c:v>433.56993387461375</c:v>
                </c:pt>
                <c:pt idx="233">
                  <c:v>431.04042855947188</c:v>
                </c:pt>
                <c:pt idx="234">
                  <c:v>418.39122792332887</c:v>
                </c:pt>
                <c:pt idx="235">
                  <c:v>477.98108311710149</c:v>
                </c:pt>
                <c:pt idx="236">
                  <c:v>508.75198794676589</c:v>
                </c:pt>
                <c:pt idx="237">
                  <c:v>479.06587427806244</c:v>
                </c:pt>
                <c:pt idx="238">
                  <c:v>480.37498953712321</c:v>
                </c:pt>
                <c:pt idx="239">
                  <c:v>471.78873357328297</c:v>
                </c:pt>
                <c:pt idx="240">
                  <c:v>451.56106135431583</c:v>
                </c:pt>
                <c:pt idx="241">
                  <c:v>430.75081610446222</c:v>
                </c:pt>
                <c:pt idx="242">
                  <c:v>410.84791160960998</c:v>
                </c:pt>
                <c:pt idx="243">
                  <c:v>417.46212438269112</c:v>
                </c:pt>
                <c:pt idx="244">
                  <c:v>449.03155603917401</c:v>
                </c:pt>
                <c:pt idx="245">
                  <c:v>443.31798777935978</c:v>
                </c:pt>
                <c:pt idx="246">
                  <c:v>417.61278982171348</c:v>
                </c:pt>
                <c:pt idx="247">
                  <c:v>383.63773332217374</c:v>
                </c:pt>
                <c:pt idx="248">
                  <c:v>354.04034485645008</c:v>
                </c:pt>
                <c:pt idx="249">
                  <c:v>398.39457604419613</c:v>
                </c:pt>
                <c:pt idx="250">
                  <c:v>379.2064953544832</c:v>
                </c:pt>
                <c:pt idx="251">
                  <c:v>406.57236126224251</c:v>
                </c:pt>
                <c:pt idx="252">
                  <c:v>425.29003097011901</c:v>
                </c:pt>
                <c:pt idx="253">
                  <c:v>427.96350548254895</c:v>
                </c:pt>
                <c:pt idx="254">
                  <c:v>462.21980413493048</c:v>
                </c:pt>
                <c:pt idx="255">
                  <c:v>425.37038587093105</c:v>
                </c:pt>
                <c:pt idx="256">
                  <c:v>472.63413409224194</c:v>
                </c:pt>
                <c:pt idx="257">
                  <c:v>496.6652716163066</c:v>
                </c:pt>
                <c:pt idx="258">
                  <c:v>499.388967941744</c:v>
                </c:pt>
                <c:pt idx="259">
                  <c:v>538.48162718674291</c:v>
                </c:pt>
                <c:pt idx="260">
                  <c:v>526.83853687118244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F53-449D-9022-5EA48E21A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553935"/>
        <c:axId val="246553455"/>
      </c:lineChart>
      <c:dateAx>
        <c:axId val="246553935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46553455"/>
        <c:crosses val="autoZero"/>
        <c:auto val="1"/>
        <c:lblOffset val="100"/>
        <c:baseTimeUnit val="months"/>
      </c:dateAx>
      <c:valAx>
        <c:axId val="24655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4655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Momo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Momo!$J$1</c:f>
              <c:strCache>
                <c:ptCount val="1"/>
                <c:pt idx="0">
                  <c:v>ret_3_1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Momo!$I$2:$I$378</c:f>
              <c:numCache>
                <c:formatCode>mmm\-yy</c:formatCode>
                <c:ptCount val="377"/>
                <c:pt idx="0">
                  <c:v>34577</c:v>
                </c:pt>
                <c:pt idx="1">
                  <c:v>34607</c:v>
                </c:pt>
                <c:pt idx="2">
                  <c:v>34638</c:v>
                </c:pt>
                <c:pt idx="3">
                  <c:v>34668</c:v>
                </c:pt>
                <c:pt idx="4">
                  <c:v>34699</c:v>
                </c:pt>
                <c:pt idx="5">
                  <c:v>34730</c:v>
                </c:pt>
                <c:pt idx="6">
                  <c:v>34758</c:v>
                </c:pt>
                <c:pt idx="7">
                  <c:v>34789</c:v>
                </c:pt>
                <c:pt idx="8">
                  <c:v>34819</c:v>
                </c:pt>
                <c:pt idx="9">
                  <c:v>34850</c:v>
                </c:pt>
                <c:pt idx="10">
                  <c:v>34880</c:v>
                </c:pt>
                <c:pt idx="11">
                  <c:v>34911</c:v>
                </c:pt>
                <c:pt idx="12">
                  <c:v>34942</c:v>
                </c:pt>
                <c:pt idx="13">
                  <c:v>34972</c:v>
                </c:pt>
                <c:pt idx="14">
                  <c:v>35003</c:v>
                </c:pt>
                <c:pt idx="15">
                  <c:v>35033</c:v>
                </c:pt>
                <c:pt idx="16">
                  <c:v>35064</c:v>
                </c:pt>
                <c:pt idx="17">
                  <c:v>35095</c:v>
                </c:pt>
                <c:pt idx="18">
                  <c:v>35124</c:v>
                </c:pt>
                <c:pt idx="19">
                  <c:v>35155</c:v>
                </c:pt>
                <c:pt idx="20">
                  <c:v>35185</c:v>
                </c:pt>
                <c:pt idx="21">
                  <c:v>35216</c:v>
                </c:pt>
                <c:pt idx="22">
                  <c:v>35246</c:v>
                </c:pt>
                <c:pt idx="23">
                  <c:v>35277</c:v>
                </c:pt>
                <c:pt idx="24">
                  <c:v>35308</c:v>
                </c:pt>
                <c:pt idx="25">
                  <c:v>35338</c:v>
                </c:pt>
                <c:pt idx="26">
                  <c:v>35369</c:v>
                </c:pt>
                <c:pt idx="27">
                  <c:v>35399</c:v>
                </c:pt>
                <c:pt idx="28">
                  <c:v>35430</c:v>
                </c:pt>
                <c:pt idx="29">
                  <c:v>35461</c:v>
                </c:pt>
                <c:pt idx="30">
                  <c:v>35489</c:v>
                </c:pt>
                <c:pt idx="31">
                  <c:v>35520</c:v>
                </c:pt>
                <c:pt idx="32">
                  <c:v>35550</c:v>
                </c:pt>
                <c:pt idx="33">
                  <c:v>35581</c:v>
                </c:pt>
                <c:pt idx="34">
                  <c:v>35611</c:v>
                </c:pt>
                <c:pt idx="35">
                  <c:v>35642</c:v>
                </c:pt>
                <c:pt idx="36">
                  <c:v>35673</c:v>
                </c:pt>
                <c:pt idx="37">
                  <c:v>35703</c:v>
                </c:pt>
                <c:pt idx="38">
                  <c:v>35734</c:v>
                </c:pt>
                <c:pt idx="39">
                  <c:v>35764</c:v>
                </c:pt>
                <c:pt idx="40">
                  <c:v>35795</c:v>
                </c:pt>
                <c:pt idx="41">
                  <c:v>35826</c:v>
                </c:pt>
                <c:pt idx="42">
                  <c:v>35854</c:v>
                </c:pt>
                <c:pt idx="43">
                  <c:v>35885</c:v>
                </c:pt>
                <c:pt idx="44">
                  <c:v>35915</c:v>
                </c:pt>
                <c:pt idx="45">
                  <c:v>35946</c:v>
                </c:pt>
                <c:pt idx="46">
                  <c:v>35976</c:v>
                </c:pt>
                <c:pt idx="47">
                  <c:v>36007</c:v>
                </c:pt>
                <c:pt idx="48">
                  <c:v>36038</c:v>
                </c:pt>
                <c:pt idx="49">
                  <c:v>36068</c:v>
                </c:pt>
                <c:pt idx="50">
                  <c:v>36099</c:v>
                </c:pt>
                <c:pt idx="51">
                  <c:v>36129</c:v>
                </c:pt>
                <c:pt idx="52">
                  <c:v>36160</c:v>
                </c:pt>
                <c:pt idx="53">
                  <c:v>36191</c:v>
                </c:pt>
                <c:pt idx="54">
                  <c:v>36219</c:v>
                </c:pt>
                <c:pt idx="55">
                  <c:v>36250</c:v>
                </c:pt>
                <c:pt idx="56">
                  <c:v>36280</c:v>
                </c:pt>
                <c:pt idx="57">
                  <c:v>36311</c:v>
                </c:pt>
                <c:pt idx="58">
                  <c:v>36341</c:v>
                </c:pt>
                <c:pt idx="59">
                  <c:v>36372</c:v>
                </c:pt>
                <c:pt idx="60">
                  <c:v>36403</c:v>
                </c:pt>
                <c:pt idx="61">
                  <c:v>36433</c:v>
                </c:pt>
                <c:pt idx="62">
                  <c:v>36464</c:v>
                </c:pt>
                <c:pt idx="63">
                  <c:v>36494</c:v>
                </c:pt>
                <c:pt idx="64">
                  <c:v>36525</c:v>
                </c:pt>
                <c:pt idx="65">
                  <c:v>36556</c:v>
                </c:pt>
                <c:pt idx="66">
                  <c:v>36585</c:v>
                </c:pt>
                <c:pt idx="67">
                  <c:v>36616</c:v>
                </c:pt>
                <c:pt idx="68">
                  <c:v>36646</c:v>
                </c:pt>
                <c:pt idx="69">
                  <c:v>36677</c:v>
                </c:pt>
                <c:pt idx="70">
                  <c:v>36707</c:v>
                </c:pt>
                <c:pt idx="71">
                  <c:v>36738</c:v>
                </c:pt>
                <c:pt idx="72">
                  <c:v>36769</c:v>
                </c:pt>
                <c:pt idx="73">
                  <c:v>36799</c:v>
                </c:pt>
                <c:pt idx="74">
                  <c:v>36830</c:v>
                </c:pt>
                <c:pt idx="75">
                  <c:v>36860</c:v>
                </c:pt>
                <c:pt idx="76">
                  <c:v>36891</c:v>
                </c:pt>
                <c:pt idx="77">
                  <c:v>36922</c:v>
                </c:pt>
                <c:pt idx="78">
                  <c:v>36950</c:v>
                </c:pt>
                <c:pt idx="79">
                  <c:v>36981</c:v>
                </c:pt>
                <c:pt idx="80">
                  <c:v>37011</c:v>
                </c:pt>
                <c:pt idx="81">
                  <c:v>37042</c:v>
                </c:pt>
                <c:pt idx="82">
                  <c:v>37072</c:v>
                </c:pt>
                <c:pt idx="83">
                  <c:v>37103</c:v>
                </c:pt>
                <c:pt idx="84">
                  <c:v>37134</c:v>
                </c:pt>
                <c:pt idx="85">
                  <c:v>37164</c:v>
                </c:pt>
                <c:pt idx="86">
                  <c:v>37195</c:v>
                </c:pt>
                <c:pt idx="87">
                  <c:v>37225</c:v>
                </c:pt>
                <c:pt idx="88">
                  <c:v>37256</c:v>
                </c:pt>
                <c:pt idx="89">
                  <c:v>37287</c:v>
                </c:pt>
                <c:pt idx="90">
                  <c:v>37315</c:v>
                </c:pt>
                <c:pt idx="91">
                  <c:v>37346</c:v>
                </c:pt>
                <c:pt idx="92">
                  <c:v>37376</c:v>
                </c:pt>
                <c:pt idx="93">
                  <c:v>37407</c:v>
                </c:pt>
                <c:pt idx="94">
                  <c:v>37437</c:v>
                </c:pt>
                <c:pt idx="95">
                  <c:v>37468</c:v>
                </c:pt>
                <c:pt idx="96">
                  <c:v>37499</c:v>
                </c:pt>
                <c:pt idx="97">
                  <c:v>37529</c:v>
                </c:pt>
                <c:pt idx="98">
                  <c:v>37560</c:v>
                </c:pt>
                <c:pt idx="99">
                  <c:v>37590</c:v>
                </c:pt>
                <c:pt idx="100">
                  <c:v>37621</c:v>
                </c:pt>
                <c:pt idx="101">
                  <c:v>37652</c:v>
                </c:pt>
                <c:pt idx="102">
                  <c:v>37680</c:v>
                </c:pt>
                <c:pt idx="103">
                  <c:v>37711</c:v>
                </c:pt>
                <c:pt idx="104">
                  <c:v>37741</c:v>
                </c:pt>
                <c:pt idx="105">
                  <c:v>37772</c:v>
                </c:pt>
                <c:pt idx="106">
                  <c:v>37802</c:v>
                </c:pt>
                <c:pt idx="107">
                  <c:v>37833</c:v>
                </c:pt>
                <c:pt idx="108">
                  <c:v>37864</c:v>
                </c:pt>
                <c:pt idx="109">
                  <c:v>37894</c:v>
                </c:pt>
                <c:pt idx="110">
                  <c:v>37925</c:v>
                </c:pt>
                <c:pt idx="111">
                  <c:v>37955</c:v>
                </c:pt>
                <c:pt idx="112">
                  <c:v>37986</c:v>
                </c:pt>
                <c:pt idx="113">
                  <c:v>38017</c:v>
                </c:pt>
                <c:pt idx="114">
                  <c:v>38046</c:v>
                </c:pt>
                <c:pt idx="115">
                  <c:v>38077</c:v>
                </c:pt>
                <c:pt idx="116">
                  <c:v>38107</c:v>
                </c:pt>
                <c:pt idx="117">
                  <c:v>38138</c:v>
                </c:pt>
                <c:pt idx="118">
                  <c:v>38168</c:v>
                </c:pt>
                <c:pt idx="119">
                  <c:v>38199</c:v>
                </c:pt>
                <c:pt idx="120">
                  <c:v>38230</c:v>
                </c:pt>
                <c:pt idx="121">
                  <c:v>38260</c:v>
                </c:pt>
                <c:pt idx="122">
                  <c:v>38291</c:v>
                </c:pt>
                <c:pt idx="123">
                  <c:v>38321</c:v>
                </c:pt>
                <c:pt idx="124">
                  <c:v>38352</c:v>
                </c:pt>
                <c:pt idx="125">
                  <c:v>38383</c:v>
                </c:pt>
                <c:pt idx="126">
                  <c:v>38411</c:v>
                </c:pt>
                <c:pt idx="127">
                  <c:v>38442</c:v>
                </c:pt>
                <c:pt idx="128">
                  <c:v>38472</c:v>
                </c:pt>
                <c:pt idx="129">
                  <c:v>38503</c:v>
                </c:pt>
                <c:pt idx="130">
                  <c:v>38533</c:v>
                </c:pt>
                <c:pt idx="131">
                  <c:v>38564</c:v>
                </c:pt>
                <c:pt idx="132">
                  <c:v>38595</c:v>
                </c:pt>
                <c:pt idx="133">
                  <c:v>38625</c:v>
                </c:pt>
                <c:pt idx="134">
                  <c:v>38656</c:v>
                </c:pt>
                <c:pt idx="135">
                  <c:v>38686</c:v>
                </c:pt>
                <c:pt idx="136">
                  <c:v>38717</c:v>
                </c:pt>
                <c:pt idx="137">
                  <c:v>38748</c:v>
                </c:pt>
                <c:pt idx="138">
                  <c:v>38776</c:v>
                </c:pt>
                <c:pt idx="139">
                  <c:v>38807</c:v>
                </c:pt>
                <c:pt idx="140">
                  <c:v>38837</c:v>
                </c:pt>
                <c:pt idx="141">
                  <c:v>38868</c:v>
                </c:pt>
                <c:pt idx="142">
                  <c:v>38898</c:v>
                </c:pt>
                <c:pt idx="143">
                  <c:v>38929</c:v>
                </c:pt>
                <c:pt idx="144">
                  <c:v>38960</c:v>
                </c:pt>
                <c:pt idx="145">
                  <c:v>38990</c:v>
                </c:pt>
                <c:pt idx="146">
                  <c:v>39021</c:v>
                </c:pt>
                <c:pt idx="147">
                  <c:v>39051</c:v>
                </c:pt>
                <c:pt idx="148">
                  <c:v>39082</c:v>
                </c:pt>
                <c:pt idx="149">
                  <c:v>39113</c:v>
                </c:pt>
                <c:pt idx="150">
                  <c:v>39141</c:v>
                </c:pt>
                <c:pt idx="151">
                  <c:v>39172</c:v>
                </c:pt>
                <c:pt idx="152">
                  <c:v>39202</c:v>
                </c:pt>
                <c:pt idx="153">
                  <c:v>39233</c:v>
                </c:pt>
                <c:pt idx="154">
                  <c:v>39263</c:v>
                </c:pt>
                <c:pt idx="155">
                  <c:v>39294</c:v>
                </c:pt>
                <c:pt idx="156">
                  <c:v>39325</c:v>
                </c:pt>
                <c:pt idx="157">
                  <c:v>39355</c:v>
                </c:pt>
                <c:pt idx="158">
                  <c:v>39386</c:v>
                </c:pt>
                <c:pt idx="159">
                  <c:v>39416</c:v>
                </c:pt>
                <c:pt idx="160">
                  <c:v>39447</c:v>
                </c:pt>
                <c:pt idx="161">
                  <c:v>39478</c:v>
                </c:pt>
                <c:pt idx="162">
                  <c:v>39507</c:v>
                </c:pt>
                <c:pt idx="163">
                  <c:v>39538</c:v>
                </c:pt>
                <c:pt idx="164">
                  <c:v>39568</c:v>
                </c:pt>
                <c:pt idx="165">
                  <c:v>39599</c:v>
                </c:pt>
                <c:pt idx="166">
                  <c:v>39629</c:v>
                </c:pt>
                <c:pt idx="167">
                  <c:v>39660</c:v>
                </c:pt>
                <c:pt idx="168">
                  <c:v>39691</c:v>
                </c:pt>
                <c:pt idx="169">
                  <c:v>39721</c:v>
                </c:pt>
                <c:pt idx="170">
                  <c:v>39752</c:v>
                </c:pt>
                <c:pt idx="171">
                  <c:v>39782</c:v>
                </c:pt>
                <c:pt idx="172">
                  <c:v>39813</c:v>
                </c:pt>
                <c:pt idx="173">
                  <c:v>39844</c:v>
                </c:pt>
                <c:pt idx="174">
                  <c:v>39872</c:v>
                </c:pt>
                <c:pt idx="175">
                  <c:v>39903</c:v>
                </c:pt>
                <c:pt idx="176">
                  <c:v>39933</c:v>
                </c:pt>
                <c:pt idx="177">
                  <c:v>39964</c:v>
                </c:pt>
                <c:pt idx="178">
                  <c:v>39994</c:v>
                </c:pt>
                <c:pt idx="179">
                  <c:v>40025</c:v>
                </c:pt>
                <c:pt idx="180">
                  <c:v>40056</c:v>
                </c:pt>
                <c:pt idx="181">
                  <c:v>40086</c:v>
                </c:pt>
                <c:pt idx="182">
                  <c:v>40117</c:v>
                </c:pt>
                <c:pt idx="183">
                  <c:v>40147</c:v>
                </c:pt>
                <c:pt idx="184">
                  <c:v>40178</c:v>
                </c:pt>
                <c:pt idx="185">
                  <c:v>40209</c:v>
                </c:pt>
                <c:pt idx="186">
                  <c:v>40237</c:v>
                </c:pt>
                <c:pt idx="187">
                  <c:v>40268</c:v>
                </c:pt>
                <c:pt idx="188">
                  <c:v>40298</c:v>
                </c:pt>
                <c:pt idx="189">
                  <c:v>40329</c:v>
                </c:pt>
                <c:pt idx="190">
                  <c:v>40359</c:v>
                </c:pt>
                <c:pt idx="191">
                  <c:v>40390</c:v>
                </c:pt>
                <c:pt idx="192">
                  <c:v>40421</c:v>
                </c:pt>
                <c:pt idx="193">
                  <c:v>40451</c:v>
                </c:pt>
                <c:pt idx="194">
                  <c:v>40482</c:v>
                </c:pt>
                <c:pt idx="195">
                  <c:v>40512</c:v>
                </c:pt>
                <c:pt idx="196">
                  <c:v>40543</c:v>
                </c:pt>
                <c:pt idx="197">
                  <c:v>40574</c:v>
                </c:pt>
                <c:pt idx="198">
                  <c:v>40602</c:v>
                </c:pt>
                <c:pt idx="199">
                  <c:v>40633</c:v>
                </c:pt>
                <c:pt idx="200">
                  <c:v>40663</c:v>
                </c:pt>
                <c:pt idx="201">
                  <c:v>40694</c:v>
                </c:pt>
                <c:pt idx="202">
                  <c:v>40724</c:v>
                </c:pt>
                <c:pt idx="203">
                  <c:v>40755</c:v>
                </c:pt>
                <c:pt idx="204">
                  <c:v>40786</c:v>
                </c:pt>
                <c:pt idx="205">
                  <c:v>40816</c:v>
                </c:pt>
                <c:pt idx="206">
                  <c:v>40847</c:v>
                </c:pt>
                <c:pt idx="207">
                  <c:v>40877</c:v>
                </c:pt>
                <c:pt idx="208">
                  <c:v>40908</c:v>
                </c:pt>
                <c:pt idx="209">
                  <c:v>40939</c:v>
                </c:pt>
                <c:pt idx="210">
                  <c:v>40968</c:v>
                </c:pt>
                <c:pt idx="211">
                  <c:v>40999</c:v>
                </c:pt>
                <c:pt idx="212">
                  <c:v>41029</c:v>
                </c:pt>
                <c:pt idx="213">
                  <c:v>41060</c:v>
                </c:pt>
                <c:pt idx="214">
                  <c:v>41090</c:v>
                </c:pt>
                <c:pt idx="215">
                  <c:v>41121</c:v>
                </c:pt>
                <c:pt idx="216">
                  <c:v>41152</c:v>
                </c:pt>
                <c:pt idx="217">
                  <c:v>41182</c:v>
                </c:pt>
                <c:pt idx="218">
                  <c:v>41213</c:v>
                </c:pt>
                <c:pt idx="219">
                  <c:v>41243</c:v>
                </c:pt>
                <c:pt idx="220">
                  <c:v>41274</c:v>
                </c:pt>
                <c:pt idx="221">
                  <c:v>41305</c:v>
                </c:pt>
                <c:pt idx="222">
                  <c:v>41333</c:v>
                </c:pt>
                <c:pt idx="223">
                  <c:v>41364</c:v>
                </c:pt>
                <c:pt idx="224">
                  <c:v>41394</c:v>
                </c:pt>
                <c:pt idx="225">
                  <c:v>41425</c:v>
                </c:pt>
                <c:pt idx="226">
                  <c:v>41455</c:v>
                </c:pt>
                <c:pt idx="227">
                  <c:v>41486</c:v>
                </c:pt>
                <c:pt idx="228">
                  <c:v>41517</c:v>
                </c:pt>
                <c:pt idx="229">
                  <c:v>41547</c:v>
                </c:pt>
                <c:pt idx="230">
                  <c:v>41578</c:v>
                </c:pt>
                <c:pt idx="231">
                  <c:v>41608</c:v>
                </c:pt>
                <c:pt idx="232">
                  <c:v>41639</c:v>
                </c:pt>
                <c:pt idx="233">
                  <c:v>41670</c:v>
                </c:pt>
                <c:pt idx="234">
                  <c:v>41698</c:v>
                </c:pt>
                <c:pt idx="235">
                  <c:v>41729</c:v>
                </c:pt>
                <c:pt idx="236">
                  <c:v>41759</c:v>
                </c:pt>
                <c:pt idx="237">
                  <c:v>41790</c:v>
                </c:pt>
                <c:pt idx="238">
                  <c:v>41820</c:v>
                </c:pt>
                <c:pt idx="239">
                  <c:v>41851</c:v>
                </c:pt>
                <c:pt idx="240">
                  <c:v>41882</c:v>
                </c:pt>
                <c:pt idx="241">
                  <c:v>41912</c:v>
                </c:pt>
                <c:pt idx="242">
                  <c:v>41943</c:v>
                </c:pt>
                <c:pt idx="243">
                  <c:v>41973</c:v>
                </c:pt>
                <c:pt idx="244">
                  <c:v>42004</c:v>
                </c:pt>
                <c:pt idx="245">
                  <c:v>42035</c:v>
                </c:pt>
                <c:pt idx="246">
                  <c:v>42063</c:v>
                </c:pt>
                <c:pt idx="247">
                  <c:v>42094</c:v>
                </c:pt>
                <c:pt idx="248">
                  <c:v>42124</c:v>
                </c:pt>
                <c:pt idx="249">
                  <c:v>42155</c:v>
                </c:pt>
                <c:pt idx="250">
                  <c:v>42185</c:v>
                </c:pt>
                <c:pt idx="251">
                  <c:v>42216</c:v>
                </c:pt>
                <c:pt idx="252">
                  <c:v>42247</c:v>
                </c:pt>
                <c:pt idx="253">
                  <c:v>42277</c:v>
                </c:pt>
                <c:pt idx="254">
                  <c:v>42308</c:v>
                </c:pt>
                <c:pt idx="255">
                  <c:v>42338</c:v>
                </c:pt>
                <c:pt idx="256">
                  <c:v>42369</c:v>
                </c:pt>
                <c:pt idx="257">
                  <c:v>42400</c:v>
                </c:pt>
                <c:pt idx="258">
                  <c:v>42429</c:v>
                </c:pt>
                <c:pt idx="259">
                  <c:v>42460</c:v>
                </c:pt>
                <c:pt idx="260">
                  <c:v>42490</c:v>
                </c:pt>
                <c:pt idx="261">
                  <c:v>42521</c:v>
                </c:pt>
                <c:pt idx="262">
                  <c:v>42551</c:v>
                </c:pt>
                <c:pt idx="263">
                  <c:v>42582</c:v>
                </c:pt>
                <c:pt idx="264">
                  <c:v>42613</c:v>
                </c:pt>
                <c:pt idx="265">
                  <c:v>42643</c:v>
                </c:pt>
                <c:pt idx="266">
                  <c:v>42674</c:v>
                </c:pt>
                <c:pt idx="267">
                  <c:v>42704</c:v>
                </c:pt>
                <c:pt idx="268">
                  <c:v>42735</c:v>
                </c:pt>
                <c:pt idx="269">
                  <c:v>42766</c:v>
                </c:pt>
                <c:pt idx="270">
                  <c:v>42794</c:v>
                </c:pt>
                <c:pt idx="271">
                  <c:v>42825</c:v>
                </c:pt>
                <c:pt idx="272">
                  <c:v>42855</c:v>
                </c:pt>
                <c:pt idx="273">
                  <c:v>42886</c:v>
                </c:pt>
                <c:pt idx="274">
                  <c:v>42916</c:v>
                </c:pt>
                <c:pt idx="275">
                  <c:v>42947</c:v>
                </c:pt>
                <c:pt idx="276">
                  <c:v>42978</c:v>
                </c:pt>
                <c:pt idx="277">
                  <c:v>43008</c:v>
                </c:pt>
                <c:pt idx="278">
                  <c:v>43039</c:v>
                </c:pt>
                <c:pt idx="279">
                  <c:v>43069</c:v>
                </c:pt>
                <c:pt idx="280">
                  <c:v>43100</c:v>
                </c:pt>
                <c:pt idx="281">
                  <c:v>43131</c:v>
                </c:pt>
                <c:pt idx="282">
                  <c:v>43159</c:v>
                </c:pt>
                <c:pt idx="283">
                  <c:v>43190</c:v>
                </c:pt>
                <c:pt idx="284">
                  <c:v>43220</c:v>
                </c:pt>
                <c:pt idx="285">
                  <c:v>43251</c:v>
                </c:pt>
                <c:pt idx="286">
                  <c:v>43281</c:v>
                </c:pt>
                <c:pt idx="287">
                  <c:v>43312</c:v>
                </c:pt>
                <c:pt idx="288">
                  <c:v>43343</c:v>
                </c:pt>
                <c:pt idx="289">
                  <c:v>43373</c:v>
                </c:pt>
                <c:pt idx="290">
                  <c:v>43404</c:v>
                </c:pt>
                <c:pt idx="291">
                  <c:v>43434</c:v>
                </c:pt>
                <c:pt idx="292">
                  <c:v>43465</c:v>
                </c:pt>
                <c:pt idx="293">
                  <c:v>43496</c:v>
                </c:pt>
                <c:pt idx="294">
                  <c:v>43524</c:v>
                </c:pt>
                <c:pt idx="295">
                  <c:v>43555</c:v>
                </c:pt>
                <c:pt idx="296">
                  <c:v>43585</c:v>
                </c:pt>
                <c:pt idx="297">
                  <c:v>43616</c:v>
                </c:pt>
                <c:pt idx="298">
                  <c:v>43646</c:v>
                </c:pt>
                <c:pt idx="299">
                  <c:v>43677</c:v>
                </c:pt>
                <c:pt idx="300">
                  <c:v>43708</c:v>
                </c:pt>
                <c:pt idx="301">
                  <c:v>43738</c:v>
                </c:pt>
                <c:pt idx="302">
                  <c:v>43769</c:v>
                </c:pt>
                <c:pt idx="303">
                  <c:v>43799</c:v>
                </c:pt>
                <c:pt idx="304">
                  <c:v>43830</c:v>
                </c:pt>
                <c:pt idx="305">
                  <c:v>43861</c:v>
                </c:pt>
                <c:pt idx="306">
                  <c:v>43890</c:v>
                </c:pt>
                <c:pt idx="307">
                  <c:v>43921</c:v>
                </c:pt>
                <c:pt idx="308">
                  <c:v>43951</c:v>
                </c:pt>
                <c:pt idx="309">
                  <c:v>43982</c:v>
                </c:pt>
                <c:pt idx="310">
                  <c:v>44012</c:v>
                </c:pt>
                <c:pt idx="311">
                  <c:v>44043</c:v>
                </c:pt>
                <c:pt idx="312">
                  <c:v>44074</c:v>
                </c:pt>
                <c:pt idx="313">
                  <c:v>44104</c:v>
                </c:pt>
                <c:pt idx="314">
                  <c:v>44135</c:v>
                </c:pt>
                <c:pt idx="315">
                  <c:v>44165</c:v>
                </c:pt>
                <c:pt idx="316">
                  <c:v>44196</c:v>
                </c:pt>
                <c:pt idx="317">
                  <c:v>44227</c:v>
                </c:pt>
                <c:pt idx="318">
                  <c:v>44255</c:v>
                </c:pt>
                <c:pt idx="319">
                  <c:v>44286</c:v>
                </c:pt>
                <c:pt idx="320">
                  <c:v>44316</c:v>
                </c:pt>
                <c:pt idx="321">
                  <c:v>44347</c:v>
                </c:pt>
                <c:pt idx="322">
                  <c:v>44377</c:v>
                </c:pt>
                <c:pt idx="323">
                  <c:v>44408</c:v>
                </c:pt>
                <c:pt idx="324">
                  <c:v>44439</c:v>
                </c:pt>
                <c:pt idx="325">
                  <c:v>44469</c:v>
                </c:pt>
                <c:pt idx="326">
                  <c:v>44500</c:v>
                </c:pt>
                <c:pt idx="327">
                  <c:v>44530</c:v>
                </c:pt>
                <c:pt idx="328">
                  <c:v>44561</c:v>
                </c:pt>
                <c:pt idx="329">
                  <c:v>44592</c:v>
                </c:pt>
                <c:pt idx="330">
                  <c:v>44620</c:v>
                </c:pt>
                <c:pt idx="331">
                  <c:v>44651</c:v>
                </c:pt>
                <c:pt idx="332">
                  <c:v>44681</c:v>
                </c:pt>
                <c:pt idx="333">
                  <c:v>44712</c:v>
                </c:pt>
                <c:pt idx="334">
                  <c:v>44742</c:v>
                </c:pt>
                <c:pt idx="335">
                  <c:v>44773</c:v>
                </c:pt>
                <c:pt idx="336">
                  <c:v>44804</c:v>
                </c:pt>
                <c:pt idx="337">
                  <c:v>44834</c:v>
                </c:pt>
                <c:pt idx="338">
                  <c:v>44865</c:v>
                </c:pt>
                <c:pt idx="339">
                  <c:v>44895</c:v>
                </c:pt>
                <c:pt idx="340">
                  <c:v>44926</c:v>
                </c:pt>
                <c:pt idx="341">
                  <c:v>44957</c:v>
                </c:pt>
                <c:pt idx="342">
                  <c:v>44985</c:v>
                </c:pt>
                <c:pt idx="343">
                  <c:v>45016</c:v>
                </c:pt>
                <c:pt idx="344">
                  <c:v>45046</c:v>
                </c:pt>
                <c:pt idx="345">
                  <c:v>45077</c:v>
                </c:pt>
                <c:pt idx="346">
                  <c:v>45107</c:v>
                </c:pt>
                <c:pt idx="347">
                  <c:v>45138</c:v>
                </c:pt>
                <c:pt idx="348">
                  <c:v>45169</c:v>
                </c:pt>
                <c:pt idx="349">
                  <c:v>45199</c:v>
                </c:pt>
                <c:pt idx="350">
                  <c:v>45230</c:v>
                </c:pt>
                <c:pt idx="351">
                  <c:v>45260</c:v>
                </c:pt>
                <c:pt idx="352">
                  <c:v>45291</c:v>
                </c:pt>
                <c:pt idx="353">
                  <c:v>45322</c:v>
                </c:pt>
                <c:pt idx="354">
                  <c:v>45351</c:v>
                </c:pt>
                <c:pt idx="355">
                  <c:v>45382</c:v>
                </c:pt>
                <c:pt idx="356">
                  <c:v>45412</c:v>
                </c:pt>
                <c:pt idx="357">
                  <c:v>45443</c:v>
                </c:pt>
                <c:pt idx="358">
                  <c:v>45473</c:v>
                </c:pt>
                <c:pt idx="359">
                  <c:v>45504</c:v>
                </c:pt>
                <c:pt idx="360">
                  <c:v>45535</c:v>
                </c:pt>
                <c:pt idx="361">
                  <c:v>45565</c:v>
                </c:pt>
                <c:pt idx="362">
                  <c:v>45596</c:v>
                </c:pt>
                <c:pt idx="363">
                  <c:v>45626</c:v>
                </c:pt>
                <c:pt idx="364">
                  <c:v>45657</c:v>
                </c:pt>
                <c:pt idx="365">
                  <c:v>45688</c:v>
                </c:pt>
                <c:pt idx="366">
                  <c:v>45716</c:v>
                </c:pt>
                <c:pt idx="367">
                  <c:v>45747</c:v>
                </c:pt>
                <c:pt idx="368">
                  <c:v>45777</c:v>
                </c:pt>
                <c:pt idx="369">
                  <c:v>45808</c:v>
                </c:pt>
                <c:pt idx="370">
                  <c:v>45838</c:v>
                </c:pt>
                <c:pt idx="371">
                  <c:v>45869</c:v>
                </c:pt>
                <c:pt idx="372">
                  <c:v>45900</c:v>
                </c:pt>
                <c:pt idx="373">
                  <c:v>45930</c:v>
                </c:pt>
                <c:pt idx="374">
                  <c:v>45961</c:v>
                </c:pt>
                <c:pt idx="375">
                  <c:v>45991</c:v>
                </c:pt>
                <c:pt idx="376">
                  <c:v>46022</c:v>
                </c:pt>
              </c:numCache>
            </c:numRef>
          </c:cat>
          <c:val>
            <c:numRef>
              <c:f>Momo!$J$2:$J$378</c:f>
              <c:numCache>
                <c:formatCode>General</c:formatCode>
                <c:ptCount val="377"/>
                <c:pt idx="0">
                  <c:v>100</c:v>
                </c:pt>
                <c:pt idx="1">
                  <c:v>92.033211595592959</c:v>
                </c:pt>
                <c:pt idx="2">
                  <c:v>91.879064818411777</c:v>
                </c:pt>
                <c:pt idx="3">
                  <c:v>85.143252439257807</c:v>
                </c:pt>
                <c:pt idx="4">
                  <c:v>78.485873491735546</c:v>
                </c:pt>
                <c:pt idx="5">
                  <c:v>82.788030792666376</c:v>
                </c:pt>
                <c:pt idx="6">
                  <c:v>75.435670146583035</c:v>
                </c:pt>
                <c:pt idx="7">
                  <c:v>74.671793529162869</c:v>
                </c:pt>
                <c:pt idx="8">
                  <c:v>83.326163418679371</c:v>
                </c:pt>
                <c:pt idx="9">
                  <c:v>73.590454318716098</c:v>
                </c:pt>
                <c:pt idx="10">
                  <c:v>72.584400775225959</c:v>
                </c:pt>
                <c:pt idx="11">
                  <c:v>74.218397775081399</c:v>
                </c:pt>
                <c:pt idx="12">
                  <c:v>76.187242694488631</c:v>
                </c:pt>
                <c:pt idx="13">
                  <c:v>69.315679712265577</c:v>
                </c:pt>
                <c:pt idx="14">
                  <c:v>70.60746859392907</c:v>
                </c:pt>
                <c:pt idx="15">
                  <c:v>71.134938977873404</c:v>
                </c:pt>
                <c:pt idx="16">
                  <c:v>64.542317572095513</c:v>
                </c:pt>
                <c:pt idx="17">
                  <c:v>71.430634927830042</c:v>
                </c:pt>
                <c:pt idx="18">
                  <c:v>71.357648019590812</c:v>
                </c:pt>
                <c:pt idx="19">
                  <c:v>71.40702867975844</c:v>
                </c:pt>
                <c:pt idx="20">
                  <c:v>72.409439990184154</c:v>
                </c:pt>
                <c:pt idx="21">
                  <c:v>76.077862452035845</c:v>
                </c:pt>
                <c:pt idx="22">
                  <c:v>85.344627413265329</c:v>
                </c:pt>
                <c:pt idx="23">
                  <c:v>83.320926175869403</c:v>
                </c:pt>
                <c:pt idx="24">
                  <c:v>76.695081238425544</c:v>
                </c:pt>
                <c:pt idx="25">
                  <c:v>73.592936474079579</c:v>
                </c:pt>
                <c:pt idx="26">
                  <c:v>75.994506626130487</c:v>
                </c:pt>
                <c:pt idx="27">
                  <c:v>75.982885119011101</c:v>
                </c:pt>
                <c:pt idx="28">
                  <c:v>72.771304562418393</c:v>
                </c:pt>
                <c:pt idx="29">
                  <c:v>79.903909970439969</c:v>
                </c:pt>
                <c:pt idx="30">
                  <c:v>80.869257929539742</c:v>
                </c:pt>
                <c:pt idx="31">
                  <c:v>82.840643485095271</c:v>
                </c:pt>
                <c:pt idx="32">
                  <c:v>90.396108337194221</c:v>
                </c:pt>
                <c:pt idx="33">
                  <c:v>96.247119595732073</c:v>
                </c:pt>
                <c:pt idx="34">
                  <c:v>82.108007220929224</c:v>
                </c:pt>
                <c:pt idx="35">
                  <c:v>77.072206713776595</c:v>
                </c:pt>
                <c:pt idx="36">
                  <c:v>71.453090380690369</c:v>
                </c:pt>
                <c:pt idx="37">
                  <c:v>74.010198911786588</c:v>
                </c:pt>
                <c:pt idx="38">
                  <c:v>82.883179262451435</c:v>
                </c:pt>
                <c:pt idx="39">
                  <c:v>60.32139448672983</c:v>
                </c:pt>
                <c:pt idx="40">
                  <c:v>57.124104513545944</c:v>
                </c:pt>
                <c:pt idx="41">
                  <c:v>52.433024638137901</c:v>
                </c:pt>
                <c:pt idx="42">
                  <c:v>56.847763118502115</c:v>
                </c:pt>
                <c:pt idx="43">
                  <c:v>57.450520899853046</c:v>
                </c:pt>
                <c:pt idx="44">
                  <c:v>64.026636250915118</c:v>
                </c:pt>
                <c:pt idx="45">
                  <c:v>60.241149405280417</c:v>
                </c:pt>
                <c:pt idx="46">
                  <c:v>57.109626267727826</c:v>
                </c:pt>
                <c:pt idx="47">
                  <c:v>53.349720108038774</c:v>
                </c:pt>
                <c:pt idx="48">
                  <c:v>62.089592199661617</c:v>
                </c:pt>
                <c:pt idx="49">
                  <c:v>72.367810772891005</c:v>
                </c:pt>
                <c:pt idx="50">
                  <c:v>83.992759766708204</c:v>
                </c:pt>
                <c:pt idx="51">
                  <c:v>56.833033422823071</c:v>
                </c:pt>
                <c:pt idx="52">
                  <c:v>57.035846389088711</c:v>
                </c:pt>
                <c:pt idx="53">
                  <c:v>43.327134450160074</c:v>
                </c:pt>
                <c:pt idx="54">
                  <c:v>33.373927576731774</c:v>
                </c:pt>
                <c:pt idx="55">
                  <c:v>21.012239306505176</c:v>
                </c:pt>
                <c:pt idx="56">
                  <c:v>19.411827847574791</c:v>
                </c:pt>
                <c:pt idx="57">
                  <c:v>18.54734533558932</c:v>
                </c:pt>
                <c:pt idx="58">
                  <c:v>19.524978372426173</c:v>
                </c:pt>
                <c:pt idx="59">
                  <c:v>20.148391993349442</c:v>
                </c:pt>
                <c:pt idx="60">
                  <c:v>21.192528283694891</c:v>
                </c:pt>
                <c:pt idx="61">
                  <c:v>18.883124623429673</c:v>
                </c:pt>
                <c:pt idx="62">
                  <c:v>18.015031864350142</c:v>
                </c:pt>
                <c:pt idx="63">
                  <c:v>15.697636161201215</c:v>
                </c:pt>
                <c:pt idx="64">
                  <c:v>15.966544289589976</c:v>
                </c:pt>
                <c:pt idx="65">
                  <c:v>16.172050793488548</c:v>
                </c:pt>
                <c:pt idx="66">
                  <c:v>16.953895844408105</c:v>
                </c:pt>
                <c:pt idx="67">
                  <c:v>16.120203284491097</c:v>
                </c:pt>
                <c:pt idx="68">
                  <c:v>14.806922578060943</c:v>
                </c:pt>
                <c:pt idx="69">
                  <c:v>17.271486691058907</c:v>
                </c:pt>
                <c:pt idx="70">
                  <c:v>17.692431702911055</c:v>
                </c:pt>
                <c:pt idx="71">
                  <c:v>16.533624323618017</c:v>
                </c:pt>
                <c:pt idx="72">
                  <c:v>13.6332734130501</c:v>
                </c:pt>
                <c:pt idx="73">
                  <c:v>15.182969493007715</c:v>
                </c:pt>
                <c:pt idx="74">
                  <c:v>14.926078989238528</c:v>
                </c:pt>
                <c:pt idx="75">
                  <c:v>15.469013059978353</c:v>
                </c:pt>
                <c:pt idx="76">
                  <c:v>14.857928756904366</c:v>
                </c:pt>
                <c:pt idx="77">
                  <c:v>15.179955369219469</c:v>
                </c:pt>
                <c:pt idx="78">
                  <c:v>14.886847546276794</c:v>
                </c:pt>
                <c:pt idx="79">
                  <c:v>14.408117736074713</c:v>
                </c:pt>
                <c:pt idx="80">
                  <c:v>14.669272521685594</c:v>
                </c:pt>
                <c:pt idx="81">
                  <c:v>15.712521898561112</c:v>
                </c:pt>
                <c:pt idx="82">
                  <c:v>17.579690706321092</c:v>
                </c:pt>
                <c:pt idx="83">
                  <c:v>16.582398455944411</c:v>
                </c:pt>
                <c:pt idx="84">
                  <c:v>16.867573048230202</c:v>
                </c:pt>
                <c:pt idx="85">
                  <c:v>17.50309530973885</c:v>
                </c:pt>
                <c:pt idx="86">
                  <c:v>16.220717043710881</c:v>
                </c:pt>
                <c:pt idx="87">
                  <c:v>14.651191013563338</c:v>
                </c:pt>
                <c:pt idx="88">
                  <c:v>14.539231942043822</c:v>
                </c:pt>
                <c:pt idx="89">
                  <c:v>13.308188169611602</c:v>
                </c:pt>
                <c:pt idx="90">
                  <c:v>14.618612444689875</c:v>
                </c:pt>
                <c:pt idx="91">
                  <c:v>14.308680369294676</c:v>
                </c:pt>
                <c:pt idx="92">
                  <c:v>15.807510011665249</c:v>
                </c:pt>
                <c:pt idx="93">
                  <c:v>14.755601562004689</c:v>
                </c:pt>
                <c:pt idx="94">
                  <c:v>14.340485990407275</c:v>
                </c:pt>
                <c:pt idx="95">
                  <c:v>14.771626517199305</c:v>
                </c:pt>
                <c:pt idx="96">
                  <c:v>10.31730217676736</c:v>
                </c:pt>
                <c:pt idx="97">
                  <c:v>12.057181693056465</c:v>
                </c:pt>
                <c:pt idx="98">
                  <c:v>12.692342879560579</c:v>
                </c:pt>
                <c:pt idx="99">
                  <c:v>14.240374342408424</c:v>
                </c:pt>
                <c:pt idx="100">
                  <c:v>15.03821477539018</c:v>
                </c:pt>
                <c:pt idx="101">
                  <c:v>15.276598182279894</c:v>
                </c:pt>
                <c:pt idx="102">
                  <c:v>16.64025052500093</c:v>
                </c:pt>
                <c:pt idx="103">
                  <c:v>17.910827429363867</c:v>
                </c:pt>
                <c:pt idx="104">
                  <c:v>14.980813449324263</c:v>
                </c:pt>
                <c:pt idx="105">
                  <c:v>16.340278507390604</c:v>
                </c:pt>
                <c:pt idx="106">
                  <c:v>14.203798968935065</c:v>
                </c:pt>
                <c:pt idx="107">
                  <c:v>13.827444828321577</c:v>
                </c:pt>
                <c:pt idx="108">
                  <c:v>14.188376553487915</c:v>
                </c:pt>
                <c:pt idx="109">
                  <c:v>12.83959461220857</c:v>
                </c:pt>
                <c:pt idx="110">
                  <c:v>13.220807127443218</c:v>
                </c:pt>
                <c:pt idx="111">
                  <c:v>14.442698303313502</c:v>
                </c:pt>
                <c:pt idx="112">
                  <c:v>13.0038330197291</c:v>
                </c:pt>
                <c:pt idx="113">
                  <c:v>9.1564549347935618</c:v>
                </c:pt>
                <c:pt idx="114">
                  <c:v>9.4211392062980401</c:v>
                </c:pt>
                <c:pt idx="115">
                  <c:v>9.5361149976928523</c:v>
                </c:pt>
                <c:pt idx="116">
                  <c:v>9.7137185696369279</c:v>
                </c:pt>
                <c:pt idx="117">
                  <c:v>10.707549627319146</c:v>
                </c:pt>
                <c:pt idx="118">
                  <c:v>11.459623433884934</c:v>
                </c:pt>
                <c:pt idx="119">
                  <c:v>10.816203198083972</c:v>
                </c:pt>
                <c:pt idx="120">
                  <c:v>11.890589922813742</c:v>
                </c:pt>
                <c:pt idx="121">
                  <c:v>11.466991866973466</c:v>
                </c:pt>
                <c:pt idx="122">
                  <c:v>11.245550575315111</c:v>
                </c:pt>
                <c:pt idx="123">
                  <c:v>12.326192749133511</c:v>
                </c:pt>
                <c:pt idx="124">
                  <c:v>12.527155699393724</c:v>
                </c:pt>
                <c:pt idx="125">
                  <c:v>12.186889649448252</c:v>
                </c:pt>
                <c:pt idx="126">
                  <c:v>13.353428761561474</c:v>
                </c:pt>
                <c:pt idx="127">
                  <c:v>12.879035651326479</c:v>
                </c:pt>
                <c:pt idx="128">
                  <c:v>12.909478124379319</c:v>
                </c:pt>
                <c:pt idx="129">
                  <c:v>12.565466103502072</c:v>
                </c:pt>
                <c:pt idx="130">
                  <c:v>13.0004360628079</c:v>
                </c:pt>
                <c:pt idx="131">
                  <c:v>12.405527284102076</c:v>
                </c:pt>
                <c:pt idx="132">
                  <c:v>12.974538482826354</c:v>
                </c:pt>
                <c:pt idx="133">
                  <c:v>12.511051709685203</c:v>
                </c:pt>
                <c:pt idx="134">
                  <c:v>11.610076008396415</c:v>
                </c:pt>
                <c:pt idx="135">
                  <c:v>11.004653946951468</c:v>
                </c:pt>
                <c:pt idx="136">
                  <c:v>11.176349502431652</c:v>
                </c:pt>
                <c:pt idx="137">
                  <c:v>10.130352250230761</c:v>
                </c:pt>
                <c:pt idx="138">
                  <c:v>9.5619551090055737</c:v>
                </c:pt>
                <c:pt idx="139">
                  <c:v>9.7951746517249578</c:v>
                </c:pt>
                <c:pt idx="140">
                  <c:v>10.340257141921262</c:v>
                </c:pt>
                <c:pt idx="141">
                  <c:v>10.026172724285994</c:v>
                </c:pt>
                <c:pt idx="142">
                  <c:v>9.4213301465880051</c:v>
                </c:pt>
                <c:pt idx="143">
                  <c:v>9.5210131107169289</c:v>
                </c:pt>
                <c:pt idx="144">
                  <c:v>9.5166347980044304</c:v>
                </c:pt>
                <c:pt idx="145">
                  <c:v>9.3706983791957867</c:v>
                </c:pt>
                <c:pt idx="146">
                  <c:v>8.8504942504097937</c:v>
                </c:pt>
                <c:pt idx="147">
                  <c:v>8.4048946272596883</c:v>
                </c:pt>
                <c:pt idx="148">
                  <c:v>8.2654703822805651</c:v>
                </c:pt>
                <c:pt idx="149">
                  <c:v>8.7580221650582359</c:v>
                </c:pt>
                <c:pt idx="150">
                  <c:v>8.7315368845633881</c:v>
                </c:pt>
                <c:pt idx="151">
                  <c:v>9.0139791475356752</c:v>
                </c:pt>
                <c:pt idx="152">
                  <c:v>8.4437630954466059</c:v>
                </c:pt>
                <c:pt idx="153">
                  <c:v>8.3716758535552565</c:v>
                </c:pt>
                <c:pt idx="154">
                  <c:v>8.4424854729857515</c:v>
                </c:pt>
                <c:pt idx="155">
                  <c:v>8.2988294257323645</c:v>
                </c:pt>
                <c:pt idx="156">
                  <c:v>8.319399512903729</c:v>
                </c:pt>
                <c:pt idx="157">
                  <c:v>8.2402227766676326</c:v>
                </c:pt>
                <c:pt idx="158">
                  <c:v>8.4846955040626888</c:v>
                </c:pt>
                <c:pt idx="159">
                  <c:v>9.1914553326262798</c:v>
                </c:pt>
                <c:pt idx="160">
                  <c:v>9.7078287030344601</c:v>
                </c:pt>
                <c:pt idx="161">
                  <c:v>9.5054967183788932</c:v>
                </c:pt>
                <c:pt idx="162">
                  <c:v>9.2937431445067311</c:v>
                </c:pt>
                <c:pt idx="163">
                  <c:v>9.4747280347573604</c:v>
                </c:pt>
                <c:pt idx="164">
                  <c:v>10.220750534895807</c:v>
                </c:pt>
                <c:pt idx="165">
                  <c:v>10.058394013351583</c:v>
                </c:pt>
                <c:pt idx="166">
                  <c:v>10.507875432980777</c:v>
                </c:pt>
                <c:pt idx="167">
                  <c:v>10.150374995745873</c:v>
                </c:pt>
                <c:pt idx="168">
                  <c:v>10.012028381522995</c:v>
                </c:pt>
                <c:pt idx="169">
                  <c:v>10.63755010507904</c:v>
                </c:pt>
                <c:pt idx="170">
                  <c:v>11.708700517603933</c:v>
                </c:pt>
                <c:pt idx="171">
                  <c:v>11.944447624841045</c:v>
                </c:pt>
                <c:pt idx="172">
                  <c:v>10.006812511865805</c:v>
                </c:pt>
                <c:pt idx="173">
                  <c:v>9.6026275911863532</c:v>
                </c:pt>
                <c:pt idx="174">
                  <c:v>10.743237649057329</c:v>
                </c:pt>
                <c:pt idx="175">
                  <c:v>11.737451015585524</c:v>
                </c:pt>
                <c:pt idx="176">
                  <c:v>10.931789920647702</c:v>
                </c:pt>
                <c:pt idx="177">
                  <c:v>10.237085408083718</c:v>
                </c:pt>
                <c:pt idx="178">
                  <c:v>9.900144657512584</c:v>
                </c:pt>
                <c:pt idx="179">
                  <c:v>11.212050710621918</c:v>
                </c:pt>
                <c:pt idx="180">
                  <c:v>10.92235031608617</c:v>
                </c:pt>
                <c:pt idx="181">
                  <c:v>11.574375138769302</c:v>
                </c:pt>
                <c:pt idx="182">
                  <c:v>11.476793460393408</c:v>
                </c:pt>
                <c:pt idx="183">
                  <c:v>11.660861570385038</c:v>
                </c:pt>
                <c:pt idx="184">
                  <c:v>11.237773153159985</c:v>
                </c:pt>
                <c:pt idx="185">
                  <c:v>13.050526367008132</c:v>
                </c:pt>
                <c:pt idx="186">
                  <c:v>12.861737926275046</c:v>
                </c:pt>
                <c:pt idx="187">
                  <c:v>12.994690147290235</c:v>
                </c:pt>
                <c:pt idx="188">
                  <c:v>13.012878773594668</c:v>
                </c:pt>
                <c:pt idx="189">
                  <c:v>13.00926301885913</c:v>
                </c:pt>
                <c:pt idx="190">
                  <c:v>12.759874676550568</c:v>
                </c:pt>
                <c:pt idx="191">
                  <c:v>12.492415234441438</c:v>
                </c:pt>
                <c:pt idx="192">
                  <c:v>13.036080524478987</c:v>
                </c:pt>
                <c:pt idx="193">
                  <c:v>13.024620349473846</c:v>
                </c:pt>
                <c:pt idx="194">
                  <c:v>13.674291827303087</c:v>
                </c:pt>
                <c:pt idx="195">
                  <c:v>14.084727406537318</c:v>
                </c:pt>
                <c:pt idx="196">
                  <c:v>13.43946138379401</c:v>
                </c:pt>
                <c:pt idx="197">
                  <c:v>13.455428658319105</c:v>
                </c:pt>
                <c:pt idx="198">
                  <c:v>13.524803685052046</c:v>
                </c:pt>
                <c:pt idx="199">
                  <c:v>13.207107626608446</c:v>
                </c:pt>
                <c:pt idx="200">
                  <c:v>12.913080225214255</c:v>
                </c:pt>
                <c:pt idx="201">
                  <c:v>12.8212489572207</c:v>
                </c:pt>
                <c:pt idx="202">
                  <c:v>13.086354498704749</c:v>
                </c:pt>
                <c:pt idx="203">
                  <c:v>13.564573504684605</c:v>
                </c:pt>
                <c:pt idx="204">
                  <c:v>13.718141691150741</c:v>
                </c:pt>
                <c:pt idx="205">
                  <c:v>14.721266491166602</c:v>
                </c:pt>
                <c:pt idx="206">
                  <c:v>14.106527833206076</c:v>
                </c:pt>
                <c:pt idx="207">
                  <c:v>14.971432269035974</c:v>
                </c:pt>
                <c:pt idx="208">
                  <c:v>15.122058505694694</c:v>
                </c:pt>
                <c:pt idx="209">
                  <c:v>15.269423136482878</c:v>
                </c:pt>
                <c:pt idx="210">
                  <c:v>15.484207183049191</c:v>
                </c:pt>
                <c:pt idx="211">
                  <c:v>15.336006206174725</c:v>
                </c:pt>
                <c:pt idx="212">
                  <c:v>14.734217398123198</c:v>
                </c:pt>
                <c:pt idx="213">
                  <c:v>15.329443781024075</c:v>
                </c:pt>
                <c:pt idx="214">
                  <c:v>17.132385450962044</c:v>
                </c:pt>
                <c:pt idx="215">
                  <c:v>17.696167559191139</c:v>
                </c:pt>
                <c:pt idx="216">
                  <c:v>16.777533913255589</c:v>
                </c:pt>
                <c:pt idx="217">
                  <c:v>16.62796574672074</c:v>
                </c:pt>
                <c:pt idx="218">
                  <c:v>16.33415188199222</c:v>
                </c:pt>
                <c:pt idx="219">
                  <c:v>16.597943380429996</c:v>
                </c:pt>
                <c:pt idx="220">
                  <c:v>16.709061912419955</c:v>
                </c:pt>
                <c:pt idx="221">
                  <c:v>16.705164126516213</c:v>
                </c:pt>
                <c:pt idx="222">
                  <c:v>17.119065068889753</c:v>
                </c:pt>
                <c:pt idx="223">
                  <c:v>18.119298607786284</c:v>
                </c:pt>
                <c:pt idx="224">
                  <c:v>18.076123230721432</c:v>
                </c:pt>
                <c:pt idx="225">
                  <c:v>18.574704733064713</c:v>
                </c:pt>
                <c:pt idx="226">
                  <c:v>19.54493528187442</c:v>
                </c:pt>
                <c:pt idx="227">
                  <c:v>19.327801968333688</c:v>
                </c:pt>
                <c:pt idx="228">
                  <c:v>20.39900297904353</c:v>
                </c:pt>
                <c:pt idx="229">
                  <c:v>19.883825326941558</c:v>
                </c:pt>
                <c:pt idx="230">
                  <c:v>21.353034258788</c:v>
                </c:pt>
                <c:pt idx="231">
                  <c:v>20.479675060539201</c:v>
                </c:pt>
                <c:pt idx="232">
                  <c:v>20.485611451501804</c:v>
                </c:pt>
                <c:pt idx="233">
                  <c:v>20.63323083282804</c:v>
                </c:pt>
                <c:pt idx="234">
                  <c:v>20.98390008851738</c:v>
                </c:pt>
                <c:pt idx="235">
                  <c:v>19.954817693981269</c:v>
                </c:pt>
                <c:pt idx="236">
                  <c:v>20.211240238851634</c:v>
                </c:pt>
                <c:pt idx="237">
                  <c:v>20.391269882580264</c:v>
                </c:pt>
                <c:pt idx="238">
                  <c:v>21.40289463117519</c:v>
                </c:pt>
                <c:pt idx="239">
                  <c:v>20.390411822734261</c:v>
                </c:pt>
                <c:pt idx="240">
                  <c:v>19.745431189992697</c:v>
                </c:pt>
                <c:pt idx="241">
                  <c:v>19.533792672166179</c:v>
                </c:pt>
                <c:pt idx="242">
                  <c:v>20.241933214755623</c:v>
                </c:pt>
                <c:pt idx="243">
                  <c:v>20.470283296564062</c:v>
                </c:pt>
                <c:pt idx="244">
                  <c:v>21.789808476803614</c:v>
                </c:pt>
                <c:pt idx="245">
                  <c:v>22.400034518669955</c:v>
                </c:pt>
                <c:pt idx="246">
                  <c:v>22.529619955313493</c:v>
                </c:pt>
                <c:pt idx="247">
                  <c:v>23.367213132675236</c:v>
                </c:pt>
                <c:pt idx="248">
                  <c:v>21.961315277540585</c:v>
                </c:pt>
                <c:pt idx="249">
                  <c:v>21.558874451007014</c:v>
                </c:pt>
                <c:pt idx="250">
                  <c:v>22.102083705153195</c:v>
                </c:pt>
                <c:pt idx="251">
                  <c:v>21.564361280302819</c:v>
                </c:pt>
                <c:pt idx="252">
                  <c:v>21.702981813169103</c:v>
                </c:pt>
                <c:pt idx="253">
                  <c:v>21.699231297490236</c:v>
                </c:pt>
                <c:pt idx="254">
                  <c:v>19.907303792146532</c:v>
                </c:pt>
                <c:pt idx="255">
                  <c:v>19.436808872792653</c:v>
                </c:pt>
                <c:pt idx="256">
                  <c:v>19.641960389085117</c:v>
                </c:pt>
                <c:pt idx="257">
                  <c:v>20.101760954322408</c:v>
                </c:pt>
                <c:pt idx="258">
                  <c:v>19.296452671788597</c:v>
                </c:pt>
                <c:pt idx="259">
                  <c:v>18.625455227687045</c:v>
                </c:pt>
                <c:pt idx="260">
                  <c:v>19.205827046356628</c:v>
                </c:pt>
                <c:pt idx="261">
                  <c:v>17.437644348867924</c:v>
                </c:pt>
                <c:pt idx="262">
                  <c:v>19.443261833603653</c:v>
                </c:pt>
                <c:pt idx="263">
                  <c:v>17.878483544157199</c:v>
                </c:pt>
                <c:pt idx="264">
                  <c:v>17.666506117662617</c:v>
                </c:pt>
                <c:pt idx="265">
                  <c:v>17.376551321833492</c:v>
                </c:pt>
                <c:pt idx="266">
                  <c:v>16.861653495423013</c:v>
                </c:pt>
                <c:pt idx="267">
                  <c:v>17.486861436662139</c:v>
                </c:pt>
                <c:pt idx="268">
                  <c:v>17.080806091340808</c:v>
                </c:pt>
                <c:pt idx="269">
                  <c:v>17.315425673087294</c:v>
                </c:pt>
                <c:pt idx="270">
                  <c:v>17.007306479804264</c:v>
                </c:pt>
                <c:pt idx="271">
                  <c:v>16.699388993668638</c:v>
                </c:pt>
                <c:pt idx="272">
                  <c:v>16.737133840314108</c:v>
                </c:pt>
                <c:pt idx="273">
                  <c:v>16.271779676364076</c:v>
                </c:pt>
                <c:pt idx="274">
                  <c:v>16.140913660676357</c:v>
                </c:pt>
                <c:pt idx="275">
                  <c:v>15.918241859913357</c:v>
                </c:pt>
                <c:pt idx="276">
                  <c:v>15.364741938729747</c:v>
                </c:pt>
                <c:pt idx="277">
                  <c:v>15.776788782277478</c:v>
                </c:pt>
                <c:pt idx="278">
                  <c:v>15.49019814121775</c:v>
                </c:pt>
                <c:pt idx="279">
                  <c:v>15.25039224811297</c:v>
                </c:pt>
                <c:pt idx="280">
                  <c:v>14.359853269632318</c:v>
                </c:pt>
                <c:pt idx="281">
                  <c:v>14.327109271654386</c:v>
                </c:pt>
                <c:pt idx="282">
                  <c:v>14.567858804536096</c:v>
                </c:pt>
                <c:pt idx="283">
                  <c:v>15.08324468032264</c:v>
                </c:pt>
                <c:pt idx="284">
                  <c:v>15.297058549302184</c:v>
                </c:pt>
                <c:pt idx="285">
                  <c:v>15.813202330387162</c:v>
                </c:pt>
                <c:pt idx="286">
                  <c:v>16.531253605831662</c:v>
                </c:pt>
                <c:pt idx="287">
                  <c:v>16.122632231076327</c:v>
                </c:pt>
                <c:pt idx="288">
                  <c:v>16.982812772701529</c:v>
                </c:pt>
                <c:pt idx="289">
                  <c:v>18.063678564335166</c:v>
                </c:pt>
                <c:pt idx="290">
                  <c:v>16.450113789289706</c:v>
                </c:pt>
                <c:pt idx="291">
                  <c:v>16.563225636223727</c:v>
                </c:pt>
                <c:pt idx="292">
                  <c:v>17.566650709958939</c:v>
                </c:pt>
                <c:pt idx="293">
                  <c:v>17.964055394322155</c:v>
                </c:pt>
                <c:pt idx="294">
                  <c:v>17.387468086904288</c:v>
                </c:pt>
                <c:pt idx="295">
                  <c:v>17.055398153146861</c:v>
                </c:pt>
                <c:pt idx="296">
                  <c:v>16.820592206606467</c:v>
                </c:pt>
                <c:pt idx="297">
                  <c:v>16.599516121692478</c:v>
                </c:pt>
                <c:pt idx="298">
                  <c:v>15.983528677865419</c:v>
                </c:pt>
                <c:pt idx="299">
                  <c:v>17.011383344603207</c:v>
                </c:pt>
                <c:pt idx="300">
                  <c:v>17.553679658788418</c:v>
                </c:pt>
                <c:pt idx="301">
                  <c:v>17.483613218946257</c:v>
                </c:pt>
                <c:pt idx="302">
                  <c:v>18.136161588886171</c:v>
                </c:pt>
                <c:pt idx="303">
                  <c:v>17.929202232187691</c:v>
                </c:pt>
                <c:pt idx="304">
                  <c:v>17.551178608401013</c:v>
                </c:pt>
                <c:pt idx="305">
                  <c:v>18.547597930207907</c:v>
                </c:pt>
                <c:pt idx="306">
                  <c:v>19.062597815962501</c:v>
                </c:pt>
                <c:pt idx="307">
                  <c:v>17.28303167300469</c:v>
                </c:pt>
                <c:pt idx="308">
                  <c:v>18.350772108927689</c:v>
                </c:pt>
                <c:pt idx="309">
                  <c:v>18.210995994337924</c:v>
                </c:pt>
                <c:pt idx="310">
                  <c:v>16.724851924740378</c:v>
                </c:pt>
                <c:pt idx="311">
                  <c:v>17.860074861805121</c:v>
                </c:pt>
                <c:pt idx="312">
                  <c:v>17.622234315476479</c:v>
                </c:pt>
                <c:pt idx="313">
                  <c:v>18.050058672340477</c:v>
                </c:pt>
                <c:pt idx="314">
                  <c:v>19.559147740328999</c:v>
                </c:pt>
                <c:pt idx="315">
                  <c:v>19.03031091703911</c:v>
                </c:pt>
                <c:pt idx="316">
                  <c:v>19.412694206452446</c:v>
                </c:pt>
                <c:pt idx="317">
                  <c:v>18.133496820137559</c:v>
                </c:pt>
                <c:pt idx="318">
                  <c:v>18.021476906019611</c:v>
                </c:pt>
                <c:pt idx="319">
                  <c:v>17.124265874198837</c:v>
                </c:pt>
                <c:pt idx="320">
                  <c:v>17.148320402599722</c:v>
                </c:pt>
                <c:pt idx="321">
                  <c:v>17.449818727851866</c:v>
                </c:pt>
                <c:pt idx="322">
                  <c:v>17.485956571519147</c:v>
                </c:pt>
                <c:pt idx="323">
                  <c:v>17.892604083017094</c:v>
                </c:pt>
                <c:pt idx="324">
                  <c:v>17.841978789127317</c:v>
                </c:pt>
                <c:pt idx="325">
                  <c:v>18.401102829654693</c:v>
                </c:pt>
                <c:pt idx="326">
                  <c:v>19.628954298876415</c:v>
                </c:pt>
                <c:pt idx="327">
                  <c:v>19.843322372138825</c:v>
                </c:pt>
                <c:pt idx="328">
                  <c:v>19.424023894082627</c:v>
                </c:pt>
                <c:pt idx="329">
                  <c:v>19.507004585333661</c:v>
                </c:pt>
                <c:pt idx="330">
                  <c:v>19.149115250048812</c:v>
                </c:pt>
                <c:pt idx="331">
                  <c:v>18.715297425266051</c:v>
                </c:pt>
                <c:pt idx="332">
                  <c:v>19.485328904522216</c:v>
                </c:pt>
                <c:pt idx="333">
                  <c:v>20.526512661230029</c:v>
                </c:pt>
                <c:pt idx="334">
                  <c:v>21.826989931293483</c:v>
                </c:pt>
                <c:pt idx="335">
                  <c:v>21.152594210706479</c:v>
                </c:pt>
                <c:pt idx="336">
                  <c:v>19.537805790601162</c:v>
                </c:pt>
                <c:pt idx="337">
                  <c:v>19.985849087997067</c:v>
                </c:pt>
                <c:pt idx="338">
                  <c:v>20.018030183886122</c:v>
                </c:pt>
                <c:pt idx="339">
                  <c:v>17.913876216069237</c:v>
                </c:pt>
                <c:pt idx="340">
                  <c:v>17.750544341785304</c:v>
                </c:pt>
                <c:pt idx="341">
                  <c:v>17.367659101627169</c:v>
                </c:pt>
                <c:pt idx="342">
                  <c:v>18.567966962153054</c:v>
                </c:pt>
                <c:pt idx="343">
                  <c:v>18.45415636920972</c:v>
                </c:pt>
                <c:pt idx="344">
                  <c:v>18.791252961398119</c:v>
                </c:pt>
                <c:pt idx="345">
                  <c:v>16.903494967890641</c:v>
                </c:pt>
                <c:pt idx="346">
                  <c:v>17.161748379578039</c:v>
                </c:pt>
                <c:pt idx="347">
                  <c:v>17.329309229041431</c:v>
                </c:pt>
                <c:pt idx="348">
                  <c:v>16.435499465463206</c:v>
                </c:pt>
                <c:pt idx="349">
                  <c:v>16.239235899102315</c:v>
                </c:pt>
                <c:pt idx="350">
                  <c:v>17.177143373486658</c:v>
                </c:pt>
                <c:pt idx="351">
                  <c:v>16.114938978712857</c:v>
                </c:pt>
                <c:pt idx="352">
                  <c:v>15.569419272685527</c:v>
                </c:pt>
                <c:pt idx="353">
                  <c:v>16.278930467921167</c:v>
                </c:pt>
                <c:pt idx="354">
                  <c:v>15.950570068852629</c:v>
                </c:pt>
                <c:pt idx="355">
                  <c:v>16.366660586622451</c:v>
                </c:pt>
                <c:pt idx="356">
                  <c:v>16.633550154744707</c:v>
                </c:pt>
                <c:pt idx="357">
                  <c:v>15.507983319211688</c:v>
                </c:pt>
                <c:pt idx="358">
                  <c:v>16.259557349414223</c:v>
                </c:pt>
                <c:pt idx="359">
                  <c:v>16.365211473062391</c:v>
                </c:pt>
                <c:pt idx="360">
                  <c:v>17.118422870320845</c:v>
                </c:pt>
                <c:pt idx="361">
                  <c:v>17.325938849740925</c:v>
                </c:pt>
                <c:pt idx="362">
                  <c:v>17.72694128703192</c:v>
                </c:pt>
                <c:pt idx="363">
                  <c:v>18.557338246933249</c:v>
                </c:pt>
                <c:pt idx="364">
                  <c:v>18.792079035541963</c:v>
                </c:pt>
                <c:pt idx="365">
                  <c:v>17.519433448814748</c:v>
                </c:pt>
                <c:pt idx="366">
                  <c:v>17.824481477357558</c:v>
                </c:pt>
                <c:pt idx="367">
                  <c:v>17.313053219863509</c:v>
                </c:pt>
                <c:pt idx="368">
                  <c:v>17.906482293733117</c:v>
                </c:pt>
                <c:pt idx="369">
                  <c:v>17.306951485290423</c:v>
                </c:pt>
                <c:pt idx="370">
                  <c:v>17.454524655867914</c:v>
                </c:pt>
                <c:pt idx="371">
                  <c:v>16.571408159982212</c:v>
                </c:pt>
                <c:pt idx="372">
                  <c:v>16.473795917410417</c:v>
                </c:pt>
                <c:pt idx="373">
                  <c:v>16.686222312507564</c:v>
                </c:pt>
                <c:pt idx="374">
                  <c:v>16.903949510701128</c:v>
                </c:pt>
                <c:pt idx="375">
                  <c:v>18.037778648091276</c:v>
                </c:pt>
                <c:pt idx="376">
                  <c:v>18.581198676582446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0C-4BD8-ABB0-03D660868422}"/>
            </c:ext>
          </c:extLst>
        </c:ser>
        <c:ser>
          <c:idx val="1"/>
          <c:order val="1"/>
          <c:tx>
            <c:strRef>
              <c:f>Momo!$K$1</c:f>
              <c:strCache>
                <c:ptCount val="1"/>
                <c:pt idx="0">
                  <c:v>ret_6_1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Momo!$I$2:$I$378</c:f>
              <c:numCache>
                <c:formatCode>mmm\-yy</c:formatCode>
                <c:ptCount val="377"/>
                <c:pt idx="0">
                  <c:v>34577</c:v>
                </c:pt>
                <c:pt idx="1">
                  <c:v>34607</c:v>
                </c:pt>
                <c:pt idx="2">
                  <c:v>34638</c:v>
                </c:pt>
                <c:pt idx="3">
                  <c:v>34668</c:v>
                </c:pt>
                <c:pt idx="4">
                  <c:v>34699</c:v>
                </c:pt>
                <c:pt idx="5">
                  <c:v>34730</c:v>
                </c:pt>
                <c:pt idx="6">
                  <c:v>34758</c:v>
                </c:pt>
                <c:pt idx="7">
                  <c:v>34789</c:v>
                </c:pt>
                <c:pt idx="8">
                  <c:v>34819</c:v>
                </c:pt>
                <c:pt idx="9">
                  <c:v>34850</c:v>
                </c:pt>
                <c:pt idx="10">
                  <c:v>34880</c:v>
                </c:pt>
                <c:pt idx="11">
                  <c:v>34911</c:v>
                </c:pt>
                <c:pt idx="12">
                  <c:v>34942</c:v>
                </c:pt>
                <c:pt idx="13">
                  <c:v>34972</c:v>
                </c:pt>
                <c:pt idx="14">
                  <c:v>35003</c:v>
                </c:pt>
                <c:pt idx="15">
                  <c:v>35033</c:v>
                </c:pt>
                <c:pt idx="16">
                  <c:v>35064</c:v>
                </c:pt>
                <c:pt idx="17">
                  <c:v>35095</c:v>
                </c:pt>
                <c:pt idx="18">
                  <c:v>35124</c:v>
                </c:pt>
                <c:pt idx="19">
                  <c:v>35155</c:v>
                </c:pt>
                <c:pt idx="20">
                  <c:v>35185</c:v>
                </c:pt>
                <c:pt idx="21">
                  <c:v>35216</c:v>
                </c:pt>
                <c:pt idx="22">
                  <c:v>35246</c:v>
                </c:pt>
                <c:pt idx="23">
                  <c:v>35277</c:v>
                </c:pt>
                <c:pt idx="24">
                  <c:v>35308</c:v>
                </c:pt>
                <c:pt idx="25">
                  <c:v>35338</c:v>
                </c:pt>
                <c:pt idx="26">
                  <c:v>35369</c:v>
                </c:pt>
                <c:pt idx="27">
                  <c:v>35399</c:v>
                </c:pt>
                <c:pt idx="28">
                  <c:v>35430</c:v>
                </c:pt>
                <c:pt idx="29">
                  <c:v>35461</c:v>
                </c:pt>
                <c:pt idx="30">
                  <c:v>35489</c:v>
                </c:pt>
                <c:pt idx="31">
                  <c:v>35520</c:v>
                </c:pt>
                <c:pt idx="32">
                  <c:v>35550</c:v>
                </c:pt>
                <c:pt idx="33">
                  <c:v>35581</c:v>
                </c:pt>
                <c:pt idx="34">
                  <c:v>35611</c:v>
                </c:pt>
                <c:pt idx="35">
                  <c:v>35642</c:v>
                </c:pt>
                <c:pt idx="36">
                  <c:v>35673</c:v>
                </c:pt>
                <c:pt idx="37">
                  <c:v>35703</c:v>
                </c:pt>
                <c:pt idx="38">
                  <c:v>35734</c:v>
                </c:pt>
                <c:pt idx="39">
                  <c:v>35764</c:v>
                </c:pt>
                <c:pt idx="40">
                  <c:v>35795</c:v>
                </c:pt>
                <c:pt idx="41">
                  <c:v>35826</c:v>
                </c:pt>
                <c:pt idx="42">
                  <c:v>35854</c:v>
                </c:pt>
                <c:pt idx="43">
                  <c:v>35885</c:v>
                </c:pt>
                <c:pt idx="44">
                  <c:v>35915</c:v>
                </c:pt>
                <c:pt idx="45">
                  <c:v>35946</c:v>
                </c:pt>
                <c:pt idx="46">
                  <c:v>35976</c:v>
                </c:pt>
                <c:pt idx="47">
                  <c:v>36007</c:v>
                </c:pt>
                <c:pt idx="48">
                  <c:v>36038</c:v>
                </c:pt>
                <c:pt idx="49">
                  <c:v>36068</c:v>
                </c:pt>
                <c:pt idx="50">
                  <c:v>36099</c:v>
                </c:pt>
                <c:pt idx="51">
                  <c:v>36129</c:v>
                </c:pt>
                <c:pt idx="52">
                  <c:v>36160</c:v>
                </c:pt>
                <c:pt idx="53">
                  <c:v>36191</c:v>
                </c:pt>
                <c:pt idx="54">
                  <c:v>36219</c:v>
                </c:pt>
                <c:pt idx="55">
                  <c:v>36250</c:v>
                </c:pt>
                <c:pt idx="56">
                  <c:v>36280</c:v>
                </c:pt>
                <c:pt idx="57">
                  <c:v>36311</c:v>
                </c:pt>
                <c:pt idx="58">
                  <c:v>36341</c:v>
                </c:pt>
                <c:pt idx="59">
                  <c:v>36372</c:v>
                </c:pt>
                <c:pt idx="60">
                  <c:v>36403</c:v>
                </c:pt>
                <c:pt idx="61">
                  <c:v>36433</c:v>
                </c:pt>
                <c:pt idx="62">
                  <c:v>36464</c:v>
                </c:pt>
                <c:pt idx="63">
                  <c:v>36494</c:v>
                </c:pt>
                <c:pt idx="64">
                  <c:v>36525</c:v>
                </c:pt>
                <c:pt idx="65">
                  <c:v>36556</c:v>
                </c:pt>
                <c:pt idx="66">
                  <c:v>36585</c:v>
                </c:pt>
                <c:pt idx="67">
                  <c:v>36616</c:v>
                </c:pt>
                <c:pt idx="68">
                  <c:v>36646</c:v>
                </c:pt>
                <c:pt idx="69">
                  <c:v>36677</c:v>
                </c:pt>
                <c:pt idx="70">
                  <c:v>36707</c:v>
                </c:pt>
                <c:pt idx="71">
                  <c:v>36738</c:v>
                </c:pt>
                <c:pt idx="72">
                  <c:v>36769</c:v>
                </c:pt>
                <c:pt idx="73">
                  <c:v>36799</c:v>
                </c:pt>
                <c:pt idx="74">
                  <c:v>36830</c:v>
                </c:pt>
                <c:pt idx="75">
                  <c:v>36860</c:v>
                </c:pt>
                <c:pt idx="76">
                  <c:v>36891</c:v>
                </c:pt>
                <c:pt idx="77">
                  <c:v>36922</c:v>
                </c:pt>
                <c:pt idx="78">
                  <c:v>36950</c:v>
                </c:pt>
                <c:pt idx="79">
                  <c:v>36981</c:v>
                </c:pt>
                <c:pt idx="80">
                  <c:v>37011</c:v>
                </c:pt>
                <c:pt idx="81">
                  <c:v>37042</c:v>
                </c:pt>
                <c:pt idx="82">
                  <c:v>37072</c:v>
                </c:pt>
                <c:pt idx="83">
                  <c:v>37103</c:v>
                </c:pt>
                <c:pt idx="84">
                  <c:v>37134</c:v>
                </c:pt>
                <c:pt idx="85">
                  <c:v>37164</c:v>
                </c:pt>
                <c:pt idx="86">
                  <c:v>37195</c:v>
                </c:pt>
                <c:pt idx="87">
                  <c:v>37225</c:v>
                </c:pt>
                <c:pt idx="88">
                  <c:v>37256</c:v>
                </c:pt>
                <c:pt idx="89">
                  <c:v>37287</c:v>
                </c:pt>
                <c:pt idx="90">
                  <c:v>37315</c:v>
                </c:pt>
                <c:pt idx="91">
                  <c:v>37346</c:v>
                </c:pt>
                <c:pt idx="92">
                  <c:v>37376</c:v>
                </c:pt>
                <c:pt idx="93">
                  <c:v>37407</c:v>
                </c:pt>
                <c:pt idx="94">
                  <c:v>37437</c:v>
                </c:pt>
                <c:pt idx="95">
                  <c:v>37468</c:v>
                </c:pt>
                <c:pt idx="96">
                  <c:v>37499</c:v>
                </c:pt>
                <c:pt idx="97">
                  <c:v>37529</c:v>
                </c:pt>
                <c:pt idx="98">
                  <c:v>37560</c:v>
                </c:pt>
                <c:pt idx="99">
                  <c:v>37590</c:v>
                </c:pt>
                <c:pt idx="100">
                  <c:v>37621</c:v>
                </c:pt>
                <c:pt idx="101">
                  <c:v>37652</c:v>
                </c:pt>
                <c:pt idx="102">
                  <c:v>37680</c:v>
                </c:pt>
                <c:pt idx="103">
                  <c:v>37711</c:v>
                </c:pt>
                <c:pt idx="104">
                  <c:v>37741</c:v>
                </c:pt>
                <c:pt idx="105">
                  <c:v>37772</c:v>
                </c:pt>
                <c:pt idx="106">
                  <c:v>37802</c:v>
                </c:pt>
                <c:pt idx="107">
                  <c:v>37833</c:v>
                </c:pt>
                <c:pt idx="108">
                  <c:v>37864</c:v>
                </c:pt>
                <c:pt idx="109">
                  <c:v>37894</c:v>
                </c:pt>
                <c:pt idx="110">
                  <c:v>37925</c:v>
                </c:pt>
                <c:pt idx="111">
                  <c:v>37955</c:v>
                </c:pt>
                <c:pt idx="112">
                  <c:v>37986</c:v>
                </c:pt>
                <c:pt idx="113">
                  <c:v>38017</c:v>
                </c:pt>
                <c:pt idx="114">
                  <c:v>38046</c:v>
                </c:pt>
                <c:pt idx="115">
                  <c:v>38077</c:v>
                </c:pt>
                <c:pt idx="116">
                  <c:v>38107</c:v>
                </c:pt>
                <c:pt idx="117">
                  <c:v>38138</c:v>
                </c:pt>
                <c:pt idx="118">
                  <c:v>38168</c:v>
                </c:pt>
                <c:pt idx="119">
                  <c:v>38199</c:v>
                </c:pt>
                <c:pt idx="120">
                  <c:v>38230</c:v>
                </c:pt>
                <c:pt idx="121">
                  <c:v>38260</c:v>
                </c:pt>
                <c:pt idx="122">
                  <c:v>38291</c:v>
                </c:pt>
                <c:pt idx="123">
                  <c:v>38321</c:v>
                </c:pt>
                <c:pt idx="124">
                  <c:v>38352</c:v>
                </c:pt>
                <c:pt idx="125">
                  <c:v>38383</c:v>
                </c:pt>
                <c:pt idx="126">
                  <c:v>38411</c:v>
                </c:pt>
                <c:pt idx="127">
                  <c:v>38442</c:v>
                </c:pt>
                <c:pt idx="128">
                  <c:v>38472</c:v>
                </c:pt>
                <c:pt idx="129">
                  <c:v>38503</c:v>
                </c:pt>
                <c:pt idx="130">
                  <c:v>38533</c:v>
                </c:pt>
                <c:pt idx="131">
                  <c:v>38564</c:v>
                </c:pt>
                <c:pt idx="132">
                  <c:v>38595</c:v>
                </c:pt>
                <c:pt idx="133">
                  <c:v>38625</c:v>
                </c:pt>
                <c:pt idx="134">
                  <c:v>38656</c:v>
                </c:pt>
                <c:pt idx="135">
                  <c:v>38686</c:v>
                </c:pt>
                <c:pt idx="136">
                  <c:v>38717</c:v>
                </c:pt>
                <c:pt idx="137">
                  <c:v>38748</c:v>
                </c:pt>
                <c:pt idx="138">
                  <c:v>38776</c:v>
                </c:pt>
                <c:pt idx="139">
                  <c:v>38807</c:v>
                </c:pt>
                <c:pt idx="140">
                  <c:v>38837</c:v>
                </c:pt>
                <c:pt idx="141">
                  <c:v>38868</c:v>
                </c:pt>
                <c:pt idx="142">
                  <c:v>38898</c:v>
                </c:pt>
                <c:pt idx="143">
                  <c:v>38929</c:v>
                </c:pt>
                <c:pt idx="144">
                  <c:v>38960</c:v>
                </c:pt>
                <c:pt idx="145">
                  <c:v>38990</c:v>
                </c:pt>
                <c:pt idx="146">
                  <c:v>39021</c:v>
                </c:pt>
                <c:pt idx="147">
                  <c:v>39051</c:v>
                </c:pt>
                <c:pt idx="148">
                  <c:v>39082</c:v>
                </c:pt>
                <c:pt idx="149">
                  <c:v>39113</c:v>
                </c:pt>
                <c:pt idx="150">
                  <c:v>39141</c:v>
                </c:pt>
                <c:pt idx="151">
                  <c:v>39172</c:v>
                </c:pt>
                <c:pt idx="152">
                  <c:v>39202</c:v>
                </c:pt>
                <c:pt idx="153">
                  <c:v>39233</c:v>
                </c:pt>
                <c:pt idx="154">
                  <c:v>39263</c:v>
                </c:pt>
                <c:pt idx="155">
                  <c:v>39294</c:v>
                </c:pt>
                <c:pt idx="156">
                  <c:v>39325</c:v>
                </c:pt>
                <c:pt idx="157">
                  <c:v>39355</c:v>
                </c:pt>
                <c:pt idx="158">
                  <c:v>39386</c:v>
                </c:pt>
                <c:pt idx="159">
                  <c:v>39416</c:v>
                </c:pt>
                <c:pt idx="160">
                  <c:v>39447</c:v>
                </c:pt>
                <c:pt idx="161">
                  <c:v>39478</c:v>
                </c:pt>
                <c:pt idx="162">
                  <c:v>39507</c:v>
                </c:pt>
                <c:pt idx="163">
                  <c:v>39538</c:v>
                </c:pt>
                <c:pt idx="164">
                  <c:v>39568</c:v>
                </c:pt>
                <c:pt idx="165">
                  <c:v>39599</c:v>
                </c:pt>
                <c:pt idx="166">
                  <c:v>39629</c:v>
                </c:pt>
                <c:pt idx="167">
                  <c:v>39660</c:v>
                </c:pt>
                <c:pt idx="168">
                  <c:v>39691</c:v>
                </c:pt>
                <c:pt idx="169">
                  <c:v>39721</c:v>
                </c:pt>
                <c:pt idx="170">
                  <c:v>39752</c:v>
                </c:pt>
                <c:pt idx="171">
                  <c:v>39782</c:v>
                </c:pt>
                <c:pt idx="172">
                  <c:v>39813</c:v>
                </c:pt>
                <c:pt idx="173">
                  <c:v>39844</c:v>
                </c:pt>
                <c:pt idx="174">
                  <c:v>39872</c:v>
                </c:pt>
                <c:pt idx="175">
                  <c:v>39903</c:v>
                </c:pt>
                <c:pt idx="176">
                  <c:v>39933</c:v>
                </c:pt>
                <c:pt idx="177">
                  <c:v>39964</c:v>
                </c:pt>
                <c:pt idx="178">
                  <c:v>39994</c:v>
                </c:pt>
                <c:pt idx="179">
                  <c:v>40025</c:v>
                </c:pt>
                <c:pt idx="180">
                  <c:v>40056</c:v>
                </c:pt>
                <c:pt idx="181">
                  <c:v>40086</c:v>
                </c:pt>
                <c:pt idx="182">
                  <c:v>40117</c:v>
                </c:pt>
                <c:pt idx="183">
                  <c:v>40147</c:v>
                </c:pt>
                <c:pt idx="184">
                  <c:v>40178</c:v>
                </c:pt>
                <c:pt idx="185">
                  <c:v>40209</c:v>
                </c:pt>
                <c:pt idx="186">
                  <c:v>40237</c:v>
                </c:pt>
                <c:pt idx="187">
                  <c:v>40268</c:v>
                </c:pt>
                <c:pt idx="188">
                  <c:v>40298</c:v>
                </c:pt>
                <c:pt idx="189">
                  <c:v>40329</c:v>
                </c:pt>
                <c:pt idx="190">
                  <c:v>40359</c:v>
                </c:pt>
                <c:pt idx="191">
                  <c:v>40390</c:v>
                </c:pt>
                <c:pt idx="192">
                  <c:v>40421</c:v>
                </c:pt>
                <c:pt idx="193">
                  <c:v>40451</c:v>
                </c:pt>
                <c:pt idx="194">
                  <c:v>40482</c:v>
                </c:pt>
                <c:pt idx="195">
                  <c:v>40512</c:v>
                </c:pt>
                <c:pt idx="196">
                  <c:v>40543</c:v>
                </c:pt>
                <c:pt idx="197">
                  <c:v>40574</c:v>
                </c:pt>
                <c:pt idx="198">
                  <c:v>40602</c:v>
                </c:pt>
                <c:pt idx="199">
                  <c:v>40633</c:v>
                </c:pt>
                <c:pt idx="200">
                  <c:v>40663</c:v>
                </c:pt>
                <c:pt idx="201">
                  <c:v>40694</c:v>
                </c:pt>
                <c:pt idx="202">
                  <c:v>40724</c:v>
                </c:pt>
                <c:pt idx="203">
                  <c:v>40755</c:v>
                </c:pt>
                <c:pt idx="204">
                  <c:v>40786</c:v>
                </c:pt>
                <c:pt idx="205">
                  <c:v>40816</c:v>
                </c:pt>
                <c:pt idx="206">
                  <c:v>40847</c:v>
                </c:pt>
                <c:pt idx="207">
                  <c:v>40877</c:v>
                </c:pt>
                <c:pt idx="208">
                  <c:v>40908</c:v>
                </c:pt>
                <c:pt idx="209">
                  <c:v>40939</c:v>
                </c:pt>
                <c:pt idx="210">
                  <c:v>40968</c:v>
                </c:pt>
                <c:pt idx="211">
                  <c:v>40999</c:v>
                </c:pt>
                <c:pt idx="212">
                  <c:v>41029</c:v>
                </c:pt>
                <c:pt idx="213">
                  <c:v>41060</c:v>
                </c:pt>
                <c:pt idx="214">
                  <c:v>41090</c:v>
                </c:pt>
                <c:pt idx="215">
                  <c:v>41121</c:v>
                </c:pt>
                <c:pt idx="216">
                  <c:v>41152</c:v>
                </c:pt>
                <c:pt idx="217">
                  <c:v>41182</c:v>
                </c:pt>
                <c:pt idx="218">
                  <c:v>41213</c:v>
                </c:pt>
                <c:pt idx="219">
                  <c:v>41243</c:v>
                </c:pt>
                <c:pt idx="220">
                  <c:v>41274</c:v>
                </c:pt>
                <c:pt idx="221">
                  <c:v>41305</c:v>
                </c:pt>
                <c:pt idx="222">
                  <c:v>41333</c:v>
                </c:pt>
                <c:pt idx="223">
                  <c:v>41364</c:v>
                </c:pt>
                <c:pt idx="224">
                  <c:v>41394</c:v>
                </c:pt>
                <c:pt idx="225">
                  <c:v>41425</c:v>
                </c:pt>
                <c:pt idx="226">
                  <c:v>41455</c:v>
                </c:pt>
                <c:pt idx="227">
                  <c:v>41486</c:v>
                </c:pt>
                <c:pt idx="228">
                  <c:v>41517</c:v>
                </c:pt>
                <c:pt idx="229">
                  <c:v>41547</c:v>
                </c:pt>
                <c:pt idx="230">
                  <c:v>41578</c:v>
                </c:pt>
                <c:pt idx="231">
                  <c:v>41608</c:v>
                </c:pt>
                <c:pt idx="232">
                  <c:v>41639</c:v>
                </c:pt>
                <c:pt idx="233">
                  <c:v>41670</c:v>
                </c:pt>
                <c:pt idx="234">
                  <c:v>41698</c:v>
                </c:pt>
                <c:pt idx="235">
                  <c:v>41729</c:v>
                </c:pt>
                <c:pt idx="236">
                  <c:v>41759</c:v>
                </c:pt>
                <c:pt idx="237">
                  <c:v>41790</c:v>
                </c:pt>
                <c:pt idx="238">
                  <c:v>41820</c:v>
                </c:pt>
                <c:pt idx="239">
                  <c:v>41851</c:v>
                </c:pt>
                <c:pt idx="240">
                  <c:v>41882</c:v>
                </c:pt>
                <c:pt idx="241">
                  <c:v>41912</c:v>
                </c:pt>
                <c:pt idx="242">
                  <c:v>41943</c:v>
                </c:pt>
                <c:pt idx="243">
                  <c:v>41973</c:v>
                </c:pt>
                <c:pt idx="244">
                  <c:v>42004</c:v>
                </c:pt>
                <c:pt idx="245">
                  <c:v>42035</c:v>
                </c:pt>
                <c:pt idx="246">
                  <c:v>42063</c:v>
                </c:pt>
                <c:pt idx="247">
                  <c:v>42094</c:v>
                </c:pt>
                <c:pt idx="248">
                  <c:v>42124</c:v>
                </c:pt>
                <c:pt idx="249">
                  <c:v>42155</c:v>
                </c:pt>
                <c:pt idx="250">
                  <c:v>42185</c:v>
                </c:pt>
                <c:pt idx="251">
                  <c:v>42216</c:v>
                </c:pt>
                <c:pt idx="252">
                  <c:v>42247</c:v>
                </c:pt>
                <c:pt idx="253">
                  <c:v>42277</c:v>
                </c:pt>
                <c:pt idx="254">
                  <c:v>42308</c:v>
                </c:pt>
                <c:pt idx="255">
                  <c:v>42338</c:v>
                </c:pt>
                <c:pt idx="256">
                  <c:v>42369</c:v>
                </c:pt>
                <c:pt idx="257">
                  <c:v>42400</c:v>
                </c:pt>
                <c:pt idx="258">
                  <c:v>42429</c:v>
                </c:pt>
                <c:pt idx="259">
                  <c:v>42460</c:v>
                </c:pt>
                <c:pt idx="260">
                  <c:v>42490</c:v>
                </c:pt>
                <c:pt idx="261">
                  <c:v>42521</c:v>
                </c:pt>
                <c:pt idx="262">
                  <c:v>42551</c:v>
                </c:pt>
                <c:pt idx="263">
                  <c:v>42582</c:v>
                </c:pt>
                <c:pt idx="264">
                  <c:v>42613</c:v>
                </c:pt>
                <c:pt idx="265">
                  <c:v>42643</c:v>
                </c:pt>
                <c:pt idx="266">
                  <c:v>42674</c:v>
                </c:pt>
                <c:pt idx="267">
                  <c:v>42704</c:v>
                </c:pt>
                <c:pt idx="268">
                  <c:v>42735</c:v>
                </c:pt>
                <c:pt idx="269">
                  <c:v>42766</c:v>
                </c:pt>
                <c:pt idx="270">
                  <c:v>42794</c:v>
                </c:pt>
                <c:pt idx="271">
                  <c:v>42825</c:v>
                </c:pt>
                <c:pt idx="272">
                  <c:v>42855</c:v>
                </c:pt>
                <c:pt idx="273">
                  <c:v>42886</c:v>
                </c:pt>
                <c:pt idx="274">
                  <c:v>42916</c:v>
                </c:pt>
                <c:pt idx="275">
                  <c:v>42947</c:v>
                </c:pt>
                <c:pt idx="276">
                  <c:v>42978</c:v>
                </c:pt>
                <c:pt idx="277">
                  <c:v>43008</c:v>
                </c:pt>
                <c:pt idx="278">
                  <c:v>43039</c:v>
                </c:pt>
                <c:pt idx="279">
                  <c:v>43069</c:v>
                </c:pt>
                <c:pt idx="280">
                  <c:v>43100</c:v>
                </c:pt>
                <c:pt idx="281">
                  <c:v>43131</c:v>
                </c:pt>
                <c:pt idx="282">
                  <c:v>43159</c:v>
                </c:pt>
                <c:pt idx="283">
                  <c:v>43190</c:v>
                </c:pt>
                <c:pt idx="284">
                  <c:v>43220</c:v>
                </c:pt>
                <c:pt idx="285">
                  <c:v>43251</c:v>
                </c:pt>
                <c:pt idx="286">
                  <c:v>43281</c:v>
                </c:pt>
                <c:pt idx="287">
                  <c:v>43312</c:v>
                </c:pt>
                <c:pt idx="288">
                  <c:v>43343</c:v>
                </c:pt>
                <c:pt idx="289">
                  <c:v>43373</c:v>
                </c:pt>
                <c:pt idx="290">
                  <c:v>43404</c:v>
                </c:pt>
                <c:pt idx="291">
                  <c:v>43434</c:v>
                </c:pt>
                <c:pt idx="292">
                  <c:v>43465</c:v>
                </c:pt>
                <c:pt idx="293">
                  <c:v>43496</c:v>
                </c:pt>
                <c:pt idx="294">
                  <c:v>43524</c:v>
                </c:pt>
                <c:pt idx="295">
                  <c:v>43555</c:v>
                </c:pt>
                <c:pt idx="296">
                  <c:v>43585</c:v>
                </c:pt>
                <c:pt idx="297">
                  <c:v>43616</c:v>
                </c:pt>
                <c:pt idx="298">
                  <c:v>43646</c:v>
                </c:pt>
                <c:pt idx="299">
                  <c:v>43677</c:v>
                </c:pt>
                <c:pt idx="300">
                  <c:v>43708</c:v>
                </c:pt>
                <c:pt idx="301">
                  <c:v>43738</c:v>
                </c:pt>
                <c:pt idx="302">
                  <c:v>43769</c:v>
                </c:pt>
                <c:pt idx="303">
                  <c:v>43799</c:v>
                </c:pt>
                <c:pt idx="304">
                  <c:v>43830</c:v>
                </c:pt>
                <c:pt idx="305">
                  <c:v>43861</c:v>
                </c:pt>
                <c:pt idx="306">
                  <c:v>43890</c:v>
                </c:pt>
                <c:pt idx="307">
                  <c:v>43921</c:v>
                </c:pt>
                <c:pt idx="308">
                  <c:v>43951</c:v>
                </c:pt>
                <c:pt idx="309">
                  <c:v>43982</c:v>
                </c:pt>
                <c:pt idx="310">
                  <c:v>44012</c:v>
                </c:pt>
                <c:pt idx="311">
                  <c:v>44043</c:v>
                </c:pt>
                <c:pt idx="312">
                  <c:v>44074</c:v>
                </c:pt>
                <c:pt idx="313">
                  <c:v>44104</c:v>
                </c:pt>
                <c:pt idx="314">
                  <c:v>44135</c:v>
                </c:pt>
                <c:pt idx="315">
                  <c:v>44165</c:v>
                </c:pt>
                <c:pt idx="316">
                  <c:v>44196</c:v>
                </c:pt>
                <c:pt idx="317">
                  <c:v>44227</c:v>
                </c:pt>
                <c:pt idx="318">
                  <c:v>44255</c:v>
                </c:pt>
                <c:pt idx="319">
                  <c:v>44286</c:v>
                </c:pt>
                <c:pt idx="320">
                  <c:v>44316</c:v>
                </c:pt>
                <c:pt idx="321">
                  <c:v>44347</c:v>
                </c:pt>
                <c:pt idx="322">
                  <c:v>44377</c:v>
                </c:pt>
                <c:pt idx="323">
                  <c:v>44408</c:v>
                </c:pt>
                <c:pt idx="324">
                  <c:v>44439</c:v>
                </c:pt>
                <c:pt idx="325">
                  <c:v>44469</c:v>
                </c:pt>
                <c:pt idx="326">
                  <c:v>44500</c:v>
                </c:pt>
                <c:pt idx="327">
                  <c:v>44530</c:v>
                </c:pt>
                <c:pt idx="328">
                  <c:v>44561</c:v>
                </c:pt>
                <c:pt idx="329">
                  <c:v>44592</c:v>
                </c:pt>
                <c:pt idx="330">
                  <c:v>44620</c:v>
                </c:pt>
                <c:pt idx="331">
                  <c:v>44651</c:v>
                </c:pt>
                <c:pt idx="332">
                  <c:v>44681</c:v>
                </c:pt>
                <c:pt idx="333">
                  <c:v>44712</c:v>
                </c:pt>
                <c:pt idx="334">
                  <c:v>44742</c:v>
                </c:pt>
                <c:pt idx="335">
                  <c:v>44773</c:v>
                </c:pt>
                <c:pt idx="336">
                  <c:v>44804</c:v>
                </c:pt>
                <c:pt idx="337">
                  <c:v>44834</c:v>
                </c:pt>
                <c:pt idx="338">
                  <c:v>44865</c:v>
                </c:pt>
                <c:pt idx="339">
                  <c:v>44895</c:v>
                </c:pt>
                <c:pt idx="340">
                  <c:v>44926</c:v>
                </c:pt>
                <c:pt idx="341">
                  <c:v>44957</c:v>
                </c:pt>
                <c:pt idx="342">
                  <c:v>44985</c:v>
                </c:pt>
                <c:pt idx="343">
                  <c:v>45016</c:v>
                </c:pt>
                <c:pt idx="344">
                  <c:v>45046</c:v>
                </c:pt>
                <c:pt idx="345">
                  <c:v>45077</c:v>
                </c:pt>
                <c:pt idx="346">
                  <c:v>45107</c:v>
                </c:pt>
                <c:pt idx="347">
                  <c:v>45138</c:v>
                </c:pt>
                <c:pt idx="348">
                  <c:v>45169</c:v>
                </c:pt>
                <c:pt idx="349">
                  <c:v>45199</c:v>
                </c:pt>
                <c:pt idx="350">
                  <c:v>45230</c:v>
                </c:pt>
                <c:pt idx="351">
                  <c:v>45260</c:v>
                </c:pt>
                <c:pt idx="352">
                  <c:v>45291</c:v>
                </c:pt>
                <c:pt idx="353">
                  <c:v>45322</c:v>
                </c:pt>
                <c:pt idx="354">
                  <c:v>45351</c:v>
                </c:pt>
                <c:pt idx="355">
                  <c:v>45382</c:v>
                </c:pt>
                <c:pt idx="356">
                  <c:v>45412</c:v>
                </c:pt>
                <c:pt idx="357">
                  <c:v>45443</c:v>
                </c:pt>
                <c:pt idx="358">
                  <c:v>45473</c:v>
                </c:pt>
                <c:pt idx="359">
                  <c:v>45504</c:v>
                </c:pt>
                <c:pt idx="360">
                  <c:v>45535</c:v>
                </c:pt>
                <c:pt idx="361">
                  <c:v>45565</c:v>
                </c:pt>
                <c:pt idx="362">
                  <c:v>45596</c:v>
                </c:pt>
                <c:pt idx="363">
                  <c:v>45626</c:v>
                </c:pt>
                <c:pt idx="364">
                  <c:v>45657</c:v>
                </c:pt>
                <c:pt idx="365">
                  <c:v>45688</c:v>
                </c:pt>
                <c:pt idx="366">
                  <c:v>45716</c:v>
                </c:pt>
                <c:pt idx="367">
                  <c:v>45747</c:v>
                </c:pt>
                <c:pt idx="368">
                  <c:v>45777</c:v>
                </c:pt>
                <c:pt idx="369">
                  <c:v>45808</c:v>
                </c:pt>
                <c:pt idx="370">
                  <c:v>45838</c:v>
                </c:pt>
                <c:pt idx="371">
                  <c:v>45869</c:v>
                </c:pt>
                <c:pt idx="372">
                  <c:v>45900</c:v>
                </c:pt>
                <c:pt idx="373">
                  <c:v>45930</c:v>
                </c:pt>
                <c:pt idx="374">
                  <c:v>45961</c:v>
                </c:pt>
                <c:pt idx="375">
                  <c:v>45991</c:v>
                </c:pt>
                <c:pt idx="376">
                  <c:v>46022</c:v>
                </c:pt>
              </c:numCache>
            </c:numRef>
          </c:cat>
          <c:val>
            <c:numRef>
              <c:f>Momo!$K$2:$K$378</c:f>
              <c:numCache>
                <c:formatCode>General</c:formatCode>
                <c:ptCount val="377"/>
                <c:pt idx="0">
                  <c:v>100</c:v>
                </c:pt>
                <c:pt idx="1">
                  <c:v>97.29052415587644</c:v>
                </c:pt>
                <c:pt idx="2">
                  <c:v>97.949877500993296</c:v>
                </c:pt>
                <c:pt idx="3">
                  <c:v>97.937444408187389</c:v>
                </c:pt>
                <c:pt idx="4">
                  <c:v>96.009171908485087</c:v>
                </c:pt>
                <c:pt idx="5">
                  <c:v>103.47444508133286</c:v>
                </c:pt>
                <c:pt idx="6">
                  <c:v>88.427231205934618</c:v>
                </c:pt>
                <c:pt idx="7">
                  <c:v>82.863779734857729</c:v>
                </c:pt>
                <c:pt idx="8">
                  <c:v>72.014294490735622</c:v>
                </c:pt>
                <c:pt idx="9">
                  <c:v>62.928666014726694</c:v>
                </c:pt>
                <c:pt idx="10">
                  <c:v>60.812612747662733</c:v>
                </c:pt>
                <c:pt idx="11">
                  <c:v>59.182354129733042</c:v>
                </c:pt>
                <c:pt idx="12">
                  <c:v>60.823194501034756</c:v>
                </c:pt>
                <c:pt idx="13">
                  <c:v>60.136057751697479</c:v>
                </c:pt>
                <c:pt idx="14">
                  <c:v>62.970720462469863</c:v>
                </c:pt>
                <c:pt idx="15">
                  <c:v>59.489387625126156</c:v>
                </c:pt>
                <c:pt idx="16">
                  <c:v>51.557136847938189</c:v>
                </c:pt>
                <c:pt idx="17">
                  <c:v>51.70408655034413</c:v>
                </c:pt>
                <c:pt idx="18">
                  <c:v>54.20810282104793</c:v>
                </c:pt>
                <c:pt idx="19">
                  <c:v>57.961666304199994</c:v>
                </c:pt>
                <c:pt idx="20">
                  <c:v>63.55487374594788</c:v>
                </c:pt>
                <c:pt idx="21">
                  <c:v>65.204206105620244</c:v>
                </c:pt>
                <c:pt idx="22">
                  <c:v>79.725565905064812</c:v>
                </c:pt>
                <c:pt idx="23">
                  <c:v>81.637512740241576</c:v>
                </c:pt>
                <c:pt idx="24">
                  <c:v>73.462102682107925</c:v>
                </c:pt>
                <c:pt idx="25">
                  <c:v>70.391495571730928</c:v>
                </c:pt>
                <c:pt idx="26">
                  <c:v>69.175705173840242</c:v>
                </c:pt>
                <c:pt idx="27">
                  <c:v>66.046418203301215</c:v>
                </c:pt>
                <c:pt idx="28">
                  <c:v>67.003313482786893</c:v>
                </c:pt>
                <c:pt idx="29">
                  <c:v>67.842228934000445</c:v>
                </c:pt>
                <c:pt idx="30">
                  <c:v>71.383783265995277</c:v>
                </c:pt>
                <c:pt idx="31">
                  <c:v>75.158878431762872</c:v>
                </c:pt>
                <c:pt idx="32">
                  <c:v>83.904909917539968</c:v>
                </c:pt>
                <c:pt idx="33">
                  <c:v>87.41438968600275</c:v>
                </c:pt>
                <c:pt idx="34">
                  <c:v>86.105528815068212</c:v>
                </c:pt>
                <c:pt idx="35">
                  <c:v>89.964725082338262</c:v>
                </c:pt>
                <c:pt idx="36">
                  <c:v>79.015684883946136</c:v>
                </c:pt>
                <c:pt idx="37">
                  <c:v>80.898610620971439</c:v>
                </c:pt>
                <c:pt idx="38">
                  <c:v>82.999200457862088</c:v>
                </c:pt>
                <c:pt idx="39">
                  <c:v>88.606807102500539</c:v>
                </c:pt>
                <c:pt idx="40">
                  <c:v>91.033317442341186</c:v>
                </c:pt>
                <c:pt idx="41">
                  <c:v>94.751367309774309</c:v>
                </c:pt>
                <c:pt idx="42">
                  <c:v>104.95520375461649</c:v>
                </c:pt>
                <c:pt idx="43">
                  <c:v>96.855962052700562</c:v>
                </c:pt>
                <c:pt idx="44">
                  <c:v>101.6539779063075</c:v>
                </c:pt>
                <c:pt idx="45">
                  <c:v>104.88743534101854</c:v>
                </c:pt>
                <c:pt idx="46">
                  <c:v>131.77357819149319</c:v>
                </c:pt>
                <c:pt idx="47">
                  <c:v>111.74209531269074</c:v>
                </c:pt>
                <c:pt idx="48">
                  <c:v>126.00825004924421</c:v>
                </c:pt>
                <c:pt idx="49">
                  <c:v>136.97347196030873</c:v>
                </c:pt>
                <c:pt idx="50">
                  <c:v>122.44911827359772</c:v>
                </c:pt>
                <c:pt idx="51">
                  <c:v>82.055281716794823</c:v>
                </c:pt>
                <c:pt idx="52">
                  <c:v>101.17046112341272</c:v>
                </c:pt>
                <c:pt idx="53">
                  <c:v>121.70930855426002</c:v>
                </c:pt>
                <c:pt idx="54">
                  <c:v>96.279304680955462</c:v>
                </c:pt>
                <c:pt idx="55">
                  <c:v>61.256213778080259</c:v>
                </c:pt>
                <c:pt idx="56">
                  <c:v>62.50359605881382</c:v>
                </c:pt>
                <c:pt idx="57">
                  <c:v>63.300927908487857</c:v>
                </c:pt>
                <c:pt idx="58">
                  <c:v>74.058996762424684</c:v>
                </c:pt>
                <c:pt idx="59">
                  <c:v>77.448711178969049</c:v>
                </c:pt>
                <c:pt idx="60">
                  <c:v>77.692084439664228</c:v>
                </c:pt>
                <c:pt idx="61">
                  <c:v>75.905892331685862</c:v>
                </c:pt>
                <c:pt idx="62">
                  <c:v>73.977934604303513</c:v>
                </c:pt>
                <c:pt idx="63">
                  <c:v>72.626294800125763</c:v>
                </c:pt>
                <c:pt idx="64">
                  <c:v>62.837813823770212</c:v>
                </c:pt>
                <c:pt idx="65">
                  <c:v>67.934150547301655</c:v>
                </c:pt>
                <c:pt idx="66">
                  <c:v>76.990374623540404</c:v>
                </c:pt>
                <c:pt idx="67">
                  <c:v>69.05965764672564</c:v>
                </c:pt>
                <c:pt idx="68">
                  <c:v>64.940785199883109</c:v>
                </c:pt>
                <c:pt idx="69">
                  <c:v>66.272604095249633</c:v>
                </c:pt>
                <c:pt idx="70">
                  <c:v>71.275524023889346</c:v>
                </c:pt>
                <c:pt idx="71">
                  <c:v>72.968598387615245</c:v>
                </c:pt>
                <c:pt idx="72">
                  <c:v>62.402099768031242</c:v>
                </c:pt>
                <c:pt idx="73">
                  <c:v>68.765781811713964</c:v>
                </c:pt>
                <c:pt idx="74">
                  <c:v>70.272513049749008</c:v>
                </c:pt>
                <c:pt idx="75">
                  <c:v>73.727345535732098</c:v>
                </c:pt>
                <c:pt idx="76">
                  <c:v>71.401388351449697</c:v>
                </c:pt>
                <c:pt idx="77">
                  <c:v>70.134308944586877</c:v>
                </c:pt>
                <c:pt idx="78">
                  <c:v>78.410008455040256</c:v>
                </c:pt>
                <c:pt idx="79">
                  <c:v>78.765167020048935</c:v>
                </c:pt>
                <c:pt idx="80">
                  <c:v>88.186250873826381</c:v>
                </c:pt>
                <c:pt idx="81">
                  <c:v>87.780747686598147</c:v>
                </c:pt>
                <c:pt idx="82">
                  <c:v>100.14023422731169</c:v>
                </c:pt>
                <c:pt idx="83">
                  <c:v>104.43468458378607</c:v>
                </c:pt>
                <c:pt idx="84">
                  <c:v>99.517034001785689</c:v>
                </c:pt>
                <c:pt idx="85">
                  <c:v>101.0762129951565</c:v>
                </c:pt>
                <c:pt idx="86">
                  <c:v>90.91610182200094</c:v>
                </c:pt>
                <c:pt idx="87">
                  <c:v>89.202616170393071</c:v>
                </c:pt>
                <c:pt idx="88">
                  <c:v>93.513345044391286</c:v>
                </c:pt>
                <c:pt idx="89">
                  <c:v>91.259869290245376</c:v>
                </c:pt>
                <c:pt idx="90">
                  <c:v>97.496061933362711</c:v>
                </c:pt>
                <c:pt idx="91">
                  <c:v>104.93944675352384</c:v>
                </c:pt>
                <c:pt idx="92">
                  <c:v>119.42098996135351</c:v>
                </c:pt>
                <c:pt idx="93">
                  <c:v>111.20581620013205</c:v>
                </c:pt>
                <c:pt idx="94">
                  <c:v>111.33215098290535</c:v>
                </c:pt>
                <c:pt idx="95">
                  <c:v>114.14020059628807</c:v>
                </c:pt>
                <c:pt idx="96">
                  <c:v>94.533516392388364</c:v>
                </c:pt>
                <c:pt idx="97">
                  <c:v>101.74243802671023</c:v>
                </c:pt>
                <c:pt idx="98">
                  <c:v>118.61155194721286</c:v>
                </c:pt>
                <c:pt idx="99">
                  <c:v>126.30777443269714</c:v>
                </c:pt>
                <c:pt idx="100">
                  <c:v>129.87621703434229</c:v>
                </c:pt>
                <c:pt idx="101">
                  <c:v>130.25336603696337</c:v>
                </c:pt>
                <c:pt idx="102">
                  <c:v>162.49035070794974</c:v>
                </c:pt>
                <c:pt idx="103">
                  <c:v>154.50457417853903</c:v>
                </c:pt>
                <c:pt idx="104">
                  <c:v>139.0087107965212</c:v>
                </c:pt>
                <c:pt idx="105">
                  <c:v>135.40527255155769</c:v>
                </c:pt>
                <c:pt idx="106">
                  <c:v>135.22608903381749</c:v>
                </c:pt>
                <c:pt idx="107">
                  <c:v>148.08456519597487</c:v>
                </c:pt>
                <c:pt idx="108">
                  <c:v>162.01305534483896</c:v>
                </c:pt>
                <c:pt idx="109">
                  <c:v>141.05592390601265</c:v>
                </c:pt>
                <c:pt idx="110">
                  <c:v>146.05848591874005</c:v>
                </c:pt>
                <c:pt idx="111">
                  <c:v>141.7103325110601</c:v>
                </c:pt>
                <c:pt idx="112">
                  <c:v>156.04894676629337</c:v>
                </c:pt>
                <c:pt idx="113">
                  <c:v>95.990853892829293</c:v>
                </c:pt>
                <c:pt idx="114">
                  <c:v>108.90025139807344</c:v>
                </c:pt>
                <c:pt idx="115">
                  <c:v>109.44313661038103</c:v>
                </c:pt>
                <c:pt idx="116">
                  <c:v>105.04814694619265</c:v>
                </c:pt>
                <c:pt idx="117">
                  <c:v>102.90020528613825</c:v>
                </c:pt>
                <c:pt idx="118">
                  <c:v>111.96320352334388</c:v>
                </c:pt>
                <c:pt idx="119">
                  <c:v>119.76778258424652</c:v>
                </c:pt>
                <c:pt idx="120">
                  <c:v>132.28658961192124</c:v>
                </c:pt>
                <c:pt idx="121">
                  <c:v>139.34879533252146</c:v>
                </c:pt>
                <c:pt idx="122">
                  <c:v>149.276450377429</c:v>
                </c:pt>
                <c:pt idx="123">
                  <c:v>168.48272323367621</c:v>
                </c:pt>
                <c:pt idx="124">
                  <c:v>174.69141040759558</c:v>
                </c:pt>
                <c:pt idx="125">
                  <c:v>169.80958423570181</c:v>
                </c:pt>
                <c:pt idx="126">
                  <c:v>173.4665983910771</c:v>
                </c:pt>
                <c:pt idx="127">
                  <c:v>162.61190257906966</c:v>
                </c:pt>
                <c:pt idx="128">
                  <c:v>163.34006769361363</c:v>
                </c:pt>
                <c:pt idx="129">
                  <c:v>158.13226312418638</c:v>
                </c:pt>
                <c:pt idx="130">
                  <c:v>154.06912424118957</c:v>
                </c:pt>
                <c:pt idx="131">
                  <c:v>161.04232580377882</c:v>
                </c:pt>
                <c:pt idx="132">
                  <c:v>167.11074386740944</c:v>
                </c:pt>
                <c:pt idx="133">
                  <c:v>171.61763060848961</c:v>
                </c:pt>
                <c:pt idx="134">
                  <c:v>182.37037833363124</c:v>
                </c:pt>
                <c:pt idx="135">
                  <c:v>174.47924331714503</c:v>
                </c:pt>
                <c:pt idx="136">
                  <c:v>180.09584684520638</c:v>
                </c:pt>
                <c:pt idx="137">
                  <c:v>192.11374208061537</c:v>
                </c:pt>
                <c:pt idx="138">
                  <c:v>179.25614831224732</c:v>
                </c:pt>
                <c:pt idx="139">
                  <c:v>184.12917535912362</c:v>
                </c:pt>
                <c:pt idx="140">
                  <c:v>200.41809620477429</c:v>
                </c:pt>
                <c:pt idx="141">
                  <c:v>190.73533509546277</c:v>
                </c:pt>
                <c:pt idx="142">
                  <c:v>189.69563014706145</c:v>
                </c:pt>
                <c:pt idx="143">
                  <c:v>194.07979376571984</c:v>
                </c:pt>
                <c:pt idx="144">
                  <c:v>188.67455691693559</c:v>
                </c:pt>
                <c:pt idx="145">
                  <c:v>187.58824854344735</c:v>
                </c:pt>
                <c:pt idx="146">
                  <c:v>178.3491914704054</c:v>
                </c:pt>
                <c:pt idx="147">
                  <c:v>174.93552984263246</c:v>
                </c:pt>
                <c:pt idx="148">
                  <c:v>171.39213202506647</c:v>
                </c:pt>
                <c:pt idx="149">
                  <c:v>174.96625738919656</c:v>
                </c:pt>
                <c:pt idx="150">
                  <c:v>168.29464438235721</c:v>
                </c:pt>
                <c:pt idx="151">
                  <c:v>161.21016542535742</c:v>
                </c:pt>
                <c:pt idx="152">
                  <c:v>158.74437694344627</c:v>
                </c:pt>
                <c:pt idx="153">
                  <c:v>160.50952110311539</c:v>
                </c:pt>
                <c:pt idx="154">
                  <c:v>172.38267143412574</c:v>
                </c:pt>
                <c:pt idx="155">
                  <c:v>182.80970562055114</c:v>
                </c:pt>
                <c:pt idx="156">
                  <c:v>196.6325794514284</c:v>
                </c:pt>
                <c:pt idx="157">
                  <c:v>206.5505655328765</c:v>
                </c:pt>
                <c:pt idx="158">
                  <c:v>222.02938886523916</c:v>
                </c:pt>
                <c:pt idx="159">
                  <c:v>234.228096273066</c:v>
                </c:pt>
                <c:pt idx="160">
                  <c:v>244.94457453265892</c:v>
                </c:pt>
                <c:pt idx="161">
                  <c:v>250.15978159144501</c:v>
                </c:pt>
                <c:pt idx="162">
                  <c:v>246.80089785809079</c:v>
                </c:pt>
                <c:pt idx="163">
                  <c:v>249.3975291233225</c:v>
                </c:pt>
                <c:pt idx="164">
                  <c:v>250.29198189800744</c:v>
                </c:pt>
                <c:pt idx="165">
                  <c:v>226.10997056303231</c:v>
                </c:pt>
                <c:pt idx="166">
                  <c:v>242.58933498834637</c:v>
                </c:pt>
                <c:pt idx="167">
                  <c:v>250.95797451481775</c:v>
                </c:pt>
                <c:pt idx="168">
                  <c:v>247.57923694752529</c:v>
                </c:pt>
                <c:pt idx="169">
                  <c:v>258.22355622495576</c:v>
                </c:pt>
                <c:pt idx="170">
                  <c:v>282.53654870194447</c:v>
                </c:pt>
                <c:pt idx="171">
                  <c:v>315.26616548803918</c:v>
                </c:pt>
                <c:pt idx="172">
                  <c:v>285.4596212545211</c:v>
                </c:pt>
                <c:pt idx="173">
                  <c:v>267.77731143111083</c:v>
                </c:pt>
                <c:pt idx="174">
                  <c:v>292.75460652839445</c:v>
                </c:pt>
                <c:pt idx="175">
                  <c:v>284.54880830551139</c:v>
                </c:pt>
                <c:pt idx="176">
                  <c:v>228.91244645541957</c:v>
                </c:pt>
                <c:pt idx="177">
                  <c:v>217.28909847715923</c:v>
                </c:pt>
                <c:pt idx="178">
                  <c:v>211.94704505645745</c:v>
                </c:pt>
                <c:pt idx="179">
                  <c:v>236.56758207061878</c:v>
                </c:pt>
                <c:pt idx="180">
                  <c:v>239.15636817617818</c:v>
                </c:pt>
                <c:pt idx="181">
                  <c:v>254.16448160376103</c:v>
                </c:pt>
                <c:pt idx="182">
                  <c:v>252.05024458494682</c:v>
                </c:pt>
                <c:pt idx="183">
                  <c:v>270.00702073300221</c:v>
                </c:pt>
                <c:pt idx="184">
                  <c:v>260.044233057935</c:v>
                </c:pt>
                <c:pt idx="185">
                  <c:v>253.47134345984958</c:v>
                </c:pt>
                <c:pt idx="186">
                  <c:v>255.31347944207496</c:v>
                </c:pt>
                <c:pt idx="187">
                  <c:v>246.82614150256049</c:v>
                </c:pt>
                <c:pt idx="188">
                  <c:v>245.58670850712812</c:v>
                </c:pt>
                <c:pt idx="189">
                  <c:v>243.13144829693616</c:v>
                </c:pt>
                <c:pt idx="190">
                  <c:v>246.87772749851186</c:v>
                </c:pt>
                <c:pt idx="191">
                  <c:v>230.82781578482707</c:v>
                </c:pt>
                <c:pt idx="192">
                  <c:v>237.93644168164101</c:v>
                </c:pt>
                <c:pt idx="193">
                  <c:v>247.86281120600623</c:v>
                </c:pt>
                <c:pt idx="194">
                  <c:v>266.73862063221736</c:v>
                </c:pt>
                <c:pt idx="195">
                  <c:v>269.39235962233346</c:v>
                </c:pt>
                <c:pt idx="196">
                  <c:v>263.95541702076224</c:v>
                </c:pt>
                <c:pt idx="197">
                  <c:v>263.68884684227243</c:v>
                </c:pt>
                <c:pt idx="198">
                  <c:v>267.64218288463519</c:v>
                </c:pt>
                <c:pt idx="199">
                  <c:v>268.75489889571531</c:v>
                </c:pt>
                <c:pt idx="200">
                  <c:v>271.75831786516073</c:v>
                </c:pt>
                <c:pt idx="201">
                  <c:v>279.00344476624127</c:v>
                </c:pt>
                <c:pt idx="202">
                  <c:v>287.87394030118395</c:v>
                </c:pt>
                <c:pt idx="203">
                  <c:v>312.99315128946773</c:v>
                </c:pt>
                <c:pt idx="204">
                  <c:v>318.88634276024987</c:v>
                </c:pt>
                <c:pt idx="205">
                  <c:v>332.89677404349885</c:v>
                </c:pt>
                <c:pt idx="206">
                  <c:v>320.23855228366313</c:v>
                </c:pt>
                <c:pt idx="207">
                  <c:v>340.11527921068199</c:v>
                </c:pt>
                <c:pt idx="208">
                  <c:v>347.65947902479923</c:v>
                </c:pt>
                <c:pt idx="209">
                  <c:v>320.49378503159807</c:v>
                </c:pt>
                <c:pt idx="210">
                  <c:v>315.12302455592504</c:v>
                </c:pt>
                <c:pt idx="211">
                  <c:v>323.63271180239241</c:v>
                </c:pt>
                <c:pt idx="212">
                  <c:v>326.31546513356295</c:v>
                </c:pt>
                <c:pt idx="213">
                  <c:v>339.98849436985523</c:v>
                </c:pt>
                <c:pt idx="214">
                  <c:v>370.6951621993191</c:v>
                </c:pt>
                <c:pt idx="215">
                  <c:v>389.18404130564363</c:v>
                </c:pt>
                <c:pt idx="216">
                  <c:v>372.00907473881904</c:v>
                </c:pt>
                <c:pt idx="217">
                  <c:v>364.91632341996905</c:v>
                </c:pt>
                <c:pt idx="218">
                  <c:v>388.7882192621351</c:v>
                </c:pt>
                <c:pt idx="219">
                  <c:v>405.48098288373257</c:v>
                </c:pt>
                <c:pt idx="220">
                  <c:v>416.53856705825075</c:v>
                </c:pt>
                <c:pt idx="221">
                  <c:v>421.08512955045984</c:v>
                </c:pt>
                <c:pt idx="222">
                  <c:v>421.38995907945275</c:v>
                </c:pt>
                <c:pt idx="223">
                  <c:v>440.10486751777358</c:v>
                </c:pt>
                <c:pt idx="224">
                  <c:v>447.88704824610784</c:v>
                </c:pt>
                <c:pt idx="225">
                  <c:v>459.78107284220147</c:v>
                </c:pt>
                <c:pt idx="226">
                  <c:v>481.02639376945609</c:v>
                </c:pt>
                <c:pt idx="227">
                  <c:v>491.98555549254172</c:v>
                </c:pt>
                <c:pt idx="228">
                  <c:v>508.77378377958473</c:v>
                </c:pt>
                <c:pt idx="229">
                  <c:v>483.59420217650933</c:v>
                </c:pt>
                <c:pt idx="230">
                  <c:v>514.87831487763003</c:v>
                </c:pt>
                <c:pt idx="231">
                  <c:v>532.60948784985203</c:v>
                </c:pt>
                <c:pt idx="232">
                  <c:v>532.48406108414565</c:v>
                </c:pt>
                <c:pt idx="233">
                  <c:v>536.57338730012373</c:v>
                </c:pt>
                <c:pt idx="234">
                  <c:v>545.97309074808675</c:v>
                </c:pt>
                <c:pt idx="235">
                  <c:v>547.74125392305564</c:v>
                </c:pt>
                <c:pt idx="236">
                  <c:v>544.54221337114666</c:v>
                </c:pt>
                <c:pt idx="237">
                  <c:v>568.91906606222267</c:v>
                </c:pt>
                <c:pt idx="238">
                  <c:v>586.96920167061535</c:v>
                </c:pt>
                <c:pt idx="239">
                  <c:v>581.31462756514406</c:v>
                </c:pt>
                <c:pt idx="240">
                  <c:v>591.08633267550454</c:v>
                </c:pt>
                <c:pt idx="241">
                  <c:v>565.00321636561</c:v>
                </c:pt>
                <c:pt idx="242">
                  <c:v>593.98328536771623</c:v>
                </c:pt>
                <c:pt idx="243">
                  <c:v>611.49070901336256</c:v>
                </c:pt>
                <c:pt idx="244">
                  <c:v>618.30576188413079</c:v>
                </c:pt>
                <c:pt idx="245">
                  <c:v>636.45162429452125</c:v>
                </c:pt>
                <c:pt idx="246">
                  <c:v>612.43258787114019</c:v>
                </c:pt>
                <c:pt idx="247">
                  <c:v>629.0048561715023</c:v>
                </c:pt>
                <c:pt idx="248">
                  <c:v>605.02988390814528</c:v>
                </c:pt>
                <c:pt idx="249">
                  <c:v>633.55705985077202</c:v>
                </c:pt>
                <c:pt idx="250">
                  <c:v>650.51070174500887</c:v>
                </c:pt>
                <c:pt idx="251">
                  <c:v>693.16866381933846</c:v>
                </c:pt>
                <c:pt idx="252">
                  <c:v>696.77851798927463</c:v>
                </c:pt>
                <c:pt idx="253">
                  <c:v>742.43620171724069</c:v>
                </c:pt>
                <c:pt idx="254">
                  <c:v>646.65421845579147</c:v>
                </c:pt>
                <c:pt idx="255">
                  <c:v>633.36876275895463</c:v>
                </c:pt>
                <c:pt idx="256">
                  <c:v>650.93313402315789</c:v>
                </c:pt>
                <c:pt idx="257">
                  <c:v>666.27662155356768</c:v>
                </c:pt>
                <c:pt idx="258">
                  <c:v>690.53758883237833</c:v>
                </c:pt>
                <c:pt idx="259">
                  <c:v>602.21531218984489</c:v>
                </c:pt>
                <c:pt idx="260">
                  <c:v>635.67915507548332</c:v>
                </c:pt>
                <c:pt idx="261">
                  <c:v>585.42242060924286</c:v>
                </c:pt>
                <c:pt idx="262">
                  <c:v>652.20830836394123</c:v>
                </c:pt>
                <c:pt idx="263">
                  <c:v>639.55836375933836</c:v>
                </c:pt>
                <c:pt idx="264">
                  <c:v>596.09440536869056</c:v>
                </c:pt>
                <c:pt idx="265">
                  <c:v>588.88865287046531</c:v>
                </c:pt>
                <c:pt idx="266">
                  <c:v>609.46424059987328</c:v>
                </c:pt>
                <c:pt idx="267">
                  <c:v>593.20442893075449</c:v>
                </c:pt>
                <c:pt idx="268">
                  <c:v>560.97271915412648</c:v>
                </c:pt>
                <c:pt idx="269">
                  <c:v>566.77234491252204</c:v>
                </c:pt>
                <c:pt idx="270">
                  <c:v>564.82626542191065</c:v>
                </c:pt>
                <c:pt idx="271">
                  <c:v>543.14583869088744</c:v>
                </c:pt>
                <c:pt idx="272">
                  <c:v>528.83002808911738</c:v>
                </c:pt>
                <c:pt idx="273">
                  <c:v>525.17733681908089</c:v>
                </c:pt>
                <c:pt idx="274">
                  <c:v>521.9559128416297</c:v>
                </c:pt>
                <c:pt idx="275">
                  <c:v>543.0737974731918</c:v>
                </c:pt>
                <c:pt idx="276">
                  <c:v>538.25007110325032</c:v>
                </c:pt>
                <c:pt idx="277">
                  <c:v>549.17397203836356</c:v>
                </c:pt>
                <c:pt idx="278">
                  <c:v>560.76770537955645</c:v>
                </c:pt>
                <c:pt idx="279">
                  <c:v>565.95693567135231</c:v>
                </c:pt>
                <c:pt idx="280">
                  <c:v>565.80146537032078</c:v>
                </c:pt>
                <c:pt idx="281">
                  <c:v>550.75782579769998</c:v>
                </c:pt>
                <c:pt idx="282">
                  <c:v>585.76233566519852</c:v>
                </c:pt>
                <c:pt idx="283">
                  <c:v>605.64815200443263</c:v>
                </c:pt>
                <c:pt idx="284">
                  <c:v>627.82694815775676</c:v>
                </c:pt>
                <c:pt idx="285">
                  <c:v>663.6725112058167</c:v>
                </c:pt>
                <c:pt idx="286">
                  <c:v>692.67413443568671</c:v>
                </c:pt>
                <c:pt idx="287">
                  <c:v>697.14393848773261</c:v>
                </c:pt>
                <c:pt idx="288">
                  <c:v>735.1188030989756</c:v>
                </c:pt>
                <c:pt idx="289">
                  <c:v>765.89572991464684</c:v>
                </c:pt>
                <c:pt idx="290">
                  <c:v>639.04850953108041</c:v>
                </c:pt>
                <c:pt idx="291">
                  <c:v>646.00824073135198</c:v>
                </c:pt>
                <c:pt idx="292">
                  <c:v>677.75852168544293</c:v>
                </c:pt>
                <c:pt idx="293">
                  <c:v>674.73798051638801</c:v>
                </c:pt>
                <c:pt idx="294">
                  <c:v>661.87368291304983</c:v>
                </c:pt>
                <c:pt idx="295">
                  <c:v>658.68991845133576</c:v>
                </c:pt>
                <c:pt idx="296">
                  <c:v>684.68392336816578</c:v>
                </c:pt>
                <c:pt idx="297">
                  <c:v>704.94180535475789</c:v>
                </c:pt>
                <c:pt idx="298">
                  <c:v>680.24082305429351</c:v>
                </c:pt>
                <c:pt idx="299">
                  <c:v>729.38047442698974</c:v>
                </c:pt>
                <c:pt idx="300">
                  <c:v>786.38553373147602</c:v>
                </c:pt>
                <c:pt idx="301">
                  <c:v>774.44542100111994</c:v>
                </c:pt>
                <c:pt idx="302">
                  <c:v>804.44868261880788</c:v>
                </c:pt>
                <c:pt idx="303">
                  <c:v>807.58010112281943</c:v>
                </c:pt>
                <c:pt idx="304">
                  <c:v>756.56275407663748</c:v>
                </c:pt>
                <c:pt idx="305">
                  <c:v>822.33263231820831</c:v>
                </c:pt>
                <c:pt idx="306">
                  <c:v>849.14525295811745</c:v>
                </c:pt>
                <c:pt idx="307">
                  <c:v>790.43624079424569</c:v>
                </c:pt>
                <c:pt idx="308">
                  <c:v>865.69374314728259</c:v>
                </c:pt>
                <c:pt idx="309">
                  <c:v>889.54860363935359</c:v>
                </c:pt>
                <c:pt idx="310">
                  <c:v>870.34610602758312</c:v>
                </c:pt>
                <c:pt idx="311">
                  <c:v>938.74912881604666</c:v>
                </c:pt>
                <c:pt idx="312">
                  <c:v>964.13118826010418</c:v>
                </c:pt>
                <c:pt idx="313">
                  <c:v>975.17289533084158</c:v>
                </c:pt>
                <c:pt idx="314">
                  <c:v>1022.0686744776319</c:v>
                </c:pt>
                <c:pt idx="315">
                  <c:v>954.59708016072557</c:v>
                </c:pt>
                <c:pt idx="316">
                  <c:v>962.50983426056268</c:v>
                </c:pt>
                <c:pt idx="317">
                  <c:v>909.02377734582285</c:v>
                </c:pt>
                <c:pt idx="318">
                  <c:v>935.69900192257865</c:v>
                </c:pt>
                <c:pt idx="319">
                  <c:v>931.85544666127942</c:v>
                </c:pt>
                <c:pt idx="320">
                  <c:v>910.00096863606973</c:v>
                </c:pt>
                <c:pt idx="321">
                  <c:v>938.41225283175038</c:v>
                </c:pt>
                <c:pt idx="322">
                  <c:v>942.98733287514222</c:v>
                </c:pt>
                <c:pt idx="323">
                  <c:v>987.69723926550591</c:v>
                </c:pt>
                <c:pt idx="324">
                  <c:v>947.40615764400059</c:v>
                </c:pt>
                <c:pt idx="325">
                  <c:v>969.14127168387199</c:v>
                </c:pt>
                <c:pt idx="326">
                  <c:v>989.31336336201548</c:v>
                </c:pt>
                <c:pt idx="327">
                  <c:v>951.8865905544933</c:v>
                </c:pt>
                <c:pt idx="328">
                  <c:v>945.58736157102248</c:v>
                </c:pt>
                <c:pt idx="329">
                  <c:v>895.85715141989238</c:v>
                </c:pt>
                <c:pt idx="330">
                  <c:v>940.64110496512603</c:v>
                </c:pt>
                <c:pt idx="331">
                  <c:v>931.42417730878628</c:v>
                </c:pt>
                <c:pt idx="332">
                  <c:v>1033.0387582949306</c:v>
                </c:pt>
                <c:pt idx="333">
                  <c:v>1114.0904028821933</c:v>
                </c:pt>
                <c:pt idx="334">
                  <c:v>1167.6140345175315</c:v>
                </c:pt>
                <c:pt idx="335">
                  <c:v>1110.5459004474146</c:v>
                </c:pt>
                <c:pt idx="336">
                  <c:v>1030.1317424493084</c:v>
                </c:pt>
                <c:pt idx="337">
                  <c:v>993.40820507031628</c:v>
                </c:pt>
                <c:pt idx="338">
                  <c:v>1022.2650133670345</c:v>
                </c:pt>
                <c:pt idx="339">
                  <c:v>1019.6749827658901</c:v>
                </c:pt>
                <c:pt idx="340">
                  <c:v>1006.8256879653967</c:v>
                </c:pt>
                <c:pt idx="341">
                  <c:v>1034.0397337842903</c:v>
                </c:pt>
                <c:pt idx="342">
                  <c:v>1059.1387370538628</c:v>
                </c:pt>
                <c:pt idx="343">
                  <c:v>1084.2120020102736</c:v>
                </c:pt>
                <c:pt idx="344">
                  <c:v>1047.2531112557135</c:v>
                </c:pt>
                <c:pt idx="345">
                  <c:v>880.58287636442208</c:v>
                </c:pt>
                <c:pt idx="346">
                  <c:v>842.46363954595358</c:v>
                </c:pt>
                <c:pt idx="347">
                  <c:v>795.49324593740243</c:v>
                </c:pt>
                <c:pt idx="348">
                  <c:v>815.72098946449501</c:v>
                </c:pt>
                <c:pt idx="349">
                  <c:v>795.63400173437014</c:v>
                </c:pt>
                <c:pt idx="350">
                  <c:v>768.5271208677201</c:v>
                </c:pt>
                <c:pt idx="351">
                  <c:v>765.76760658703654</c:v>
                </c:pt>
                <c:pt idx="352">
                  <c:v>742.56803534144569</c:v>
                </c:pt>
                <c:pt idx="353">
                  <c:v>779.33393222637301</c:v>
                </c:pt>
                <c:pt idx="354">
                  <c:v>779.39629931360003</c:v>
                </c:pt>
                <c:pt idx="355">
                  <c:v>772.15378514995905</c:v>
                </c:pt>
                <c:pt idx="356">
                  <c:v>786.48783621495238</c:v>
                </c:pt>
                <c:pt idx="357">
                  <c:v>741.7646511678156</c:v>
                </c:pt>
                <c:pt idx="358">
                  <c:v>770.25063482130167</c:v>
                </c:pt>
                <c:pt idx="359">
                  <c:v>783.92290444212642</c:v>
                </c:pt>
                <c:pt idx="360">
                  <c:v>798.90619206078122</c:v>
                </c:pt>
                <c:pt idx="361">
                  <c:v>813.8300159203236</c:v>
                </c:pt>
                <c:pt idx="362">
                  <c:v>821.48036455596991</c:v>
                </c:pt>
                <c:pt idx="363">
                  <c:v>845.2303037092197</c:v>
                </c:pt>
                <c:pt idx="364">
                  <c:v>890.12528459334806</c:v>
                </c:pt>
                <c:pt idx="365">
                  <c:v>874.69504991465726</c:v>
                </c:pt>
                <c:pt idx="366">
                  <c:v>904.25004793046503</c:v>
                </c:pt>
                <c:pt idx="367">
                  <c:v>883.10733824024339</c:v>
                </c:pt>
                <c:pt idx="368">
                  <c:v>832.8566598550766</c:v>
                </c:pt>
                <c:pt idx="369">
                  <c:v>814.0752467236839</c:v>
                </c:pt>
                <c:pt idx="370">
                  <c:v>814.58922466726767</c:v>
                </c:pt>
                <c:pt idx="371">
                  <c:v>780.32162126103287</c:v>
                </c:pt>
                <c:pt idx="372">
                  <c:v>806.34716814997216</c:v>
                </c:pt>
                <c:pt idx="373">
                  <c:v>822.83003421681792</c:v>
                </c:pt>
                <c:pt idx="374">
                  <c:v>789.55106781928362</c:v>
                </c:pt>
                <c:pt idx="375">
                  <c:v>802.9276817633928</c:v>
                </c:pt>
                <c:pt idx="376">
                  <c:v>813.73785033329045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0C-4BD8-ABB0-03D660868422}"/>
            </c:ext>
          </c:extLst>
        </c:ser>
        <c:ser>
          <c:idx val="2"/>
          <c:order val="2"/>
          <c:tx>
            <c:strRef>
              <c:f>Momo!$L$1</c:f>
              <c:strCache>
                <c:ptCount val="1"/>
                <c:pt idx="0">
                  <c:v>ret_9_1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Momo!$I$2:$I$378</c:f>
              <c:numCache>
                <c:formatCode>mmm\-yy</c:formatCode>
                <c:ptCount val="377"/>
                <c:pt idx="0">
                  <c:v>34577</c:v>
                </c:pt>
                <c:pt idx="1">
                  <c:v>34607</c:v>
                </c:pt>
                <c:pt idx="2">
                  <c:v>34638</c:v>
                </c:pt>
                <c:pt idx="3">
                  <c:v>34668</c:v>
                </c:pt>
                <c:pt idx="4">
                  <c:v>34699</c:v>
                </c:pt>
                <c:pt idx="5">
                  <c:v>34730</c:v>
                </c:pt>
                <c:pt idx="6">
                  <c:v>34758</c:v>
                </c:pt>
                <c:pt idx="7">
                  <c:v>34789</c:v>
                </c:pt>
                <c:pt idx="8">
                  <c:v>34819</c:v>
                </c:pt>
                <c:pt idx="9">
                  <c:v>34850</c:v>
                </c:pt>
                <c:pt idx="10">
                  <c:v>34880</c:v>
                </c:pt>
                <c:pt idx="11">
                  <c:v>34911</c:v>
                </c:pt>
                <c:pt idx="12">
                  <c:v>34942</c:v>
                </c:pt>
                <c:pt idx="13">
                  <c:v>34972</c:v>
                </c:pt>
                <c:pt idx="14">
                  <c:v>35003</c:v>
                </c:pt>
                <c:pt idx="15">
                  <c:v>35033</c:v>
                </c:pt>
                <c:pt idx="16">
                  <c:v>35064</c:v>
                </c:pt>
                <c:pt idx="17">
                  <c:v>35095</c:v>
                </c:pt>
                <c:pt idx="18">
                  <c:v>35124</c:v>
                </c:pt>
                <c:pt idx="19">
                  <c:v>35155</c:v>
                </c:pt>
                <c:pt idx="20">
                  <c:v>35185</c:v>
                </c:pt>
                <c:pt idx="21">
                  <c:v>35216</c:v>
                </c:pt>
                <c:pt idx="22">
                  <c:v>35246</c:v>
                </c:pt>
                <c:pt idx="23">
                  <c:v>35277</c:v>
                </c:pt>
                <c:pt idx="24">
                  <c:v>35308</c:v>
                </c:pt>
                <c:pt idx="25">
                  <c:v>35338</c:v>
                </c:pt>
                <c:pt idx="26">
                  <c:v>35369</c:v>
                </c:pt>
                <c:pt idx="27">
                  <c:v>35399</c:v>
                </c:pt>
                <c:pt idx="28">
                  <c:v>35430</c:v>
                </c:pt>
                <c:pt idx="29">
                  <c:v>35461</c:v>
                </c:pt>
                <c:pt idx="30">
                  <c:v>35489</c:v>
                </c:pt>
                <c:pt idx="31">
                  <c:v>35520</c:v>
                </c:pt>
                <c:pt idx="32">
                  <c:v>35550</c:v>
                </c:pt>
                <c:pt idx="33">
                  <c:v>35581</c:v>
                </c:pt>
                <c:pt idx="34">
                  <c:v>35611</c:v>
                </c:pt>
                <c:pt idx="35">
                  <c:v>35642</c:v>
                </c:pt>
                <c:pt idx="36">
                  <c:v>35673</c:v>
                </c:pt>
                <c:pt idx="37">
                  <c:v>35703</c:v>
                </c:pt>
                <c:pt idx="38">
                  <c:v>35734</c:v>
                </c:pt>
                <c:pt idx="39">
                  <c:v>35764</c:v>
                </c:pt>
                <c:pt idx="40">
                  <c:v>35795</c:v>
                </c:pt>
                <c:pt idx="41">
                  <c:v>35826</c:v>
                </c:pt>
                <c:pt idx="42">
                  <c:v>35854</c:v>
                </c:pt>
                <c:pt idx="43">
                  <c:v>35885</c:v>
                </c:pt>
                <c:pt idx="44">
                  <c:v>35915</c:v>
                </c:pt>
                <c:pt idx="45">
                  <c:v>35946</c:v>
                </c:pt>
                <c:pt idx="46">
                  <c:v>35976</c:v>
                </c:pt>
                <c:pt idx="47">
                  <c:v>36007</c:v>
                </c:pt>
                <c:pt idx="48">
                  <c:v>36038</c:v>
                </c:pt>
                <c:pt idx="49">
                  <c:v>36068</c:v>
                </c:pt>
                <c:pt idx="50">
                  <c:v>36099</c:v>
                </c:pt>
                <c:pt idx="51">
                  <c:v>36129</c:v>
                </c:pt>
                <c:pt idx="52">
                  <c:v>36160</c:v>
                </c:pt>
                <c:pt idx="53">
                  <c:v>36191</c:v>
                </c:pt>
                <c:pt idx="54">
                  <c:v>36219</c:v>
                </c:pt>
                <c:pt idx="55">
                  <c:v>36250</c:v>
                </c:pt>
                <c:pt idx="56">
                  <c:v>36280</c:v>
                </c:pt>
                <c:pt idx="57">
                  <c:v>36311</c:v>
                </c:pt>
                <c:pt idx="58">
                  <c:v>36341</c:v>
                </c:pt>
                <c:pt idx="59">
                  <c:v>36372</c:v>
                </c:pt>
                <c:pt idx="60">
                  <c:v>36403</c:v>
                </c:pt>
                <c:pt idx="61">
                  <c:v>36433</c:v>
                </c:pt>
                <c:pt idx="62">
                  <c:v>36464</c:v>
                </c:pt>
                <c:pt idx="63">
                  <c:v>36494</c:v>
                </c:pt>
                <c:pt idx="64">
                  <c:v>36525</c:v>
                </c:pt>
                <c:pt idx="65">
                  <c:v>36556</c:v>
                </c:pt>
                <c:pt idx="66">
                  <c:v>36585</c:v>
                </c:pt>
                <c:pt idx="67">
                  <c:v>36616</c:v>
                </c:pt>
                <c:pt idx="68">
                  <c:v>36646</c:v>
                </c:pt>
                <c:pt idx="69">
                  <c:v>36677</c:v>
                </c:pt>
                <c:pt idx="70">
                  <c:v>36707</c:v>
                </c:pt>
                <c:pt idx="71">
                  <c:v>36738</c:v>
                </c:pt>
                <c:pt idx="72">
                  <c:v>36769</c:v>
                </c:pt>
                <c:pt idx="73">
                  <c:v>36799</c:v>
                </c:pt>
                <c:pt idx="74">
                  <c:v>36830</c:v>
                </c:pt>
                <c:pt idx="75">
                  <c:v>36860</c:v>
                </c:pt>
                <c:pt idx="76">
                  <c:v>36891</c:v>
                </c:pt>
                <c:pt idx="77">
                  <c:v>36922</c:v>
                </c:pt>
                <c:pt idx="78">
                  <c:v>36950</c:v>
                </c:pt>
                <c:pt idx="79">
                  <c:v>36981</c:v>
                </c:pt>
                <c:pt idx="80">
                  <c:v>37011</c:v>
                </c:pt>
                <c:pt idx="81">
                  <c:v>37042</c:v>
                </c:pt>
                <c:pt idx="82">
                  <c:v>37072</c:v>
                </c:pt>
                <c:pt idx="83">
                  <c:v>37103</c:v>
                </c:pt>
                <c:pt idx="84">
                  <c:v>37134</c:v>
                </c:pt>
                <c:pt idx="85">
                  <c:v>37164</c:v>
                </c:pt>
                <c:pt idx="86">
                  <c:v>37195</c:v>
                </c:pt>
                <c:pt idx="87">
                  <c:v>37225</c:v>
                </c:pt>
                <c:pt idx="88">
                  <c:v>37256</c:v>
                </c:pt>
                <c:pt idx="89">
                  <c:v>37287</c:v>
                </c:pt>
                <c:pt idx="90">
                  <c:v>37315</c:v>
                </c:pt>
                <c:pt idx="91">
                  <c:v>37346</c:v>
                </c:pt>
                <c:pt idx="92">
                  <c:v>37376</c:v>
                </c:pt>
                <c:pt idx="93">
                  <c:v>37407</c:v>
                </c:pt>
                <c:pt idx="94">
                  <c:v>37437</c:v>
                </c:pt>
                <c:pt idx="95">
                  <c:v>37468</c:v>
                </c:pt>
                <c:pt idx="96">
                  <c:v>37499</c:v>
                </c:pt>
                <c:pt idx="97">
                  <c:v>37529</c:v>
                </c:pt>
                <c:pt idx="98">
                  <c:v>37560</c:v>
                </c:pt>
                <c:pt idx="99">
                  <c:v>37590</c:v>
                </c:pt>
                <c:pt idx="100">
                  <c:v>37621</c:v>
                </c:pt>
                <c:pt idx="101">
                  <c:v>37652</c:v>
                </c:pt>
                <c:pt idx="102">
                  <c:v>37680</c:v>
                </c:pt>
                <c:pt idx="103">
                  <c:v>37711</c:v>
                </c:pt>
                <c:pt idx="104">
                  <c:v>37741</c:v>
                </c:pt>
                <c:pt idx="105">
                  <c:v>37772</c:v>
                </c:pt>
                <c:pt idx="106">
                  <c:v>37802</c:v>
                </c:pt>
                <c:pt idx="107">
                  <c:v>37833</c:v>
                </c:pt>
                <c:pt idx="108">
                  <c:v>37864</c:v>
                </c:pt>
                <c:pt idx="109">
                  <c:v>37894</c:v>
                </c:pt>
                <c:pt idx="110">
                  <c:v>37925</c:v>
                </c:pt>
                <c:pt idx="111">
                  <c:v>37955</c:v>
                </c:pt>
                <c:pt idx="112">
                  <c:v>37986</c:v>
                </c:pt>
                <c:pt idx="113">
                  <c:v>38017</c:v>
                </c:pt>
                <c:pt idx="114">
                  <c:v>38046</c:v>
                </c:pt>
                <c:pt idx="115">
                  <c:v>38077</c:v>
                </c:pt>
                <c:pt idx="116">
                  <c:v>38107</c:v>
                </c:pt>
                <c:pt idx="117">
                  <c:v>38138</c:v>
                </c:pt>
                <c:pt idx="118">
                  <c:v>38168</c:v>
                </c:pt>
                <c:pt idx="119">
                  <c:v>38199</c:v>
                </c:pt>
                <c:pt idx="120">
                  <c:v>38230</c:v>
                </c:pt>
                <c:pt idx="121">
                  <c:v>38260</c:v>
                </c:pt>
                <c:pt idx="122">
                  <c:v>38291</c:v>
                </c:pt>
                <c:pt idx="123">
                  <c:v>38321</c:v>
                </c:pt>
                <c:pt idx="124">
                  <c:v>38352</c:v>
                </c:pt>
                <c:pt idx="125">
                  <c:v>38383</c:v>
                </c:pt>
                <c:pt idx="126">
                  <c:v>38411</c:v>
                </c:pt>
                <c:pt idx="127">
                  <c:v>38442</c:v>
                </c:pt>
                <c:pt idx="128">
                  <c:v>38472</c:v>
                </c:pt>
                <c:pt idx="129">
                  <c:v>38503</c:v>
                </c:pt>
                <c:pt idx="130">
                  <c:v>38533</c:v>
                </c:pt>
                <c:pt idx="131">
                  <c:v>38564</c:v>
                </c:pt>
                <c:pt idx="132">
                  <c:v>38595</c:v>
                </c:pt>
                <c:pt idx="133">
                  <c:v>38625</c:v>
                </c:pt>
                <c:pt idx="134">
                  <c:v>38656</c:v>
                </c:pt>
                <c:pt idx="135">
                  <c:v>38686</c:v>
                </c:pt>
                <c:pt idx="136">
                  <c:v>38717</c:v>
                </c:pt>
                <c:pt idx="137">
                  <c:v>38748</c:v>
                </c:pt>
                <c:pt idx="138">
                  <c:v>38776</c:v>
                </c:pt>
                <c:pt idx="139">
                  <c:v>38807</c:v>
                </c:pt>
                <c:pt idx="140">
                  <c:v>38837</c:v>
                </c:pt>
                <c:pt idx="141">
                  <c:v>38868</c:v>
                </c:pt>
                <c:pt idx="142">
                  <c:v>38898</c:v>
                </c:pt>
                <c:pt idx="143">
                  <c:v>38929</c:v>
                </c:pt>
                <c:pt idx="144">
                  <c:v>38960</c:v>
                </c:pt>
                <c:pt idx="145">
                  <c:v>38990</c:v>
                </c:pt>
                <c:pt idx="146">
                  <c:v>39021</c:v>
                </c:pt>
                <c:pt idx="147">
                  <c:v>39051</c:v>
                </c:pt>
                <c:pt idx="148">
                  <c:v>39082</c:v>
                </c:pt>
                <c:pt idx="149">
                  <c:v>39113</c:v>
                </c:pt>
                <c:pt idx="150">
                  <c:v>39141</c:v>
                </c:pt>
                <c:pt idx="151">
                  <c:v>39172</c:v>
                </c:pt>
                <c:pt idx="152">
                  <c:v>39202</c:v>
                </c:pt>
                <c:pt idx="153">
                  <c:v>39233</c:v>
                </c:pt>
                <c:pt idx="154">
                  <c:v>39263</c:v>
                </c:pt>
                <c:pt idx="155">
                  <c:v>39294</c:v>
                </c:pt>
                <c:pt idx="156">
                  <c:v>39325</c:v>
                </c:pt>
                <c:pt idx="157">
                  <c:v>39355</c:v>
                </c:pt>
                <c:pt idx="158">
                  <c:v>39386</c:v>
                </c:pt>
                <c:pt idx="159">
                  <c:v>39416</c:v>
                </c:pt>
                <c:pt idx="160">
                  <c:v>39447</c:v>
                </c:pt>
                <c:pt idx="161">
                  <c:v>39478</c:v>
                </c:pt>
                <c:pt idx="162">
                  <c:v>39507</c:v>
                </c:pt>
                <c:pt idx="163">
                  <c:v>39538</c:v>
                </c:pt>
                <c:pt idx="164">
                  <c:v>39568</c:v>
                </c:pt>
                <c:pt idx="165">
                  <c:v>39599</c:v>
                </c:pt>
                <c:pt idx="166">
                  <c:v>39629</c:v>
                </c:pt>
                <c:pt idx="167">
                  <c:v>39660</c:v>
                </c:pt>
                <c:pt idx="168">
                  <c:v>39691</c:v>
                </c:pt>
                <c:pt idx="169">
                  <c:v>39721</c:v>
                </c:pt>
                <c:pt idx="170">
                  <c:v>39752</c:v>
                </c:pt>
                <c:pt idx="171">
                  <c:v>39782</c:v>
                </c:pt>
                <c:pt idx="172">
                  <c:v>39813</c:v>
                </c:pt>
                <c:pt idx="173">
                  <c:v>39844</c:v>
                </c:pt>
                <c:pt idx="174">
                  <c:v>39872</c:v>
                </c:pt>
                <c:pt idx="175">
                  <c:v>39903</c:v>
                </c:pt>
                <c:pt idx="176">
                  <c:v>39933</c:v>
                </c:pt>
                <c:pt idx="177">
                  <c:v>39964</c:v>
                </c:pt>
                <c:pt idx="178">
                  <c:v>39994</c:v>
                </c:pt>
                <c:pt idx="179">
                  <c:v>40025</c:v>
                </c:pt>
                <c:pt idx="180">
                  <c:v>40056</c:v>
                </c:pt>
                <c:pt idx="181">
                  <c:v>40086</c:v>
                </c:pt>
                <c:pt idx="182">
                  <c:v>40117</c:v>
                </c:pt>
                <c:pt idx="183">
                  <c:v>40147</c:v>
                </c:pt>
                <c:pt idx="184">
                  <c:v>40178</c:v>
                </c:pt>
                <c:pt idx="185">
                  <c:v>40209</c:v>
                </c:pt>
                <c:pt idx="186">
                  <c:v>40237</c:v>
                </c:pt>
                <c:pt idx="187">
                  <c:v>40268</c:v>
                </c:pt>
                <c:pt idx="188">
                  <c:v>40298</c:v>
                </c:pt>
                <c:pt idx="189">
                  <c:v>40329</c:v>
                </c:pt>
                <c:pt idx="190">
                  <c:v>40359</c:v>
                </c:pt>
                <c:pt idx="191">
                  <c:v>40390</c:v>
                </c:pt>
                <c:pt idx="192">
                  <c:v>40421</c:v>
                </c:pt>
                <c:pt idx="193">
                  <c:v>40451</c:v>
                </c:pt>
                <c:pt idx="194">
                  <c:v>40482</c:v>
                </c:pt>
                <c:pt idx="195">
                  <c:v>40512</c:v>
                </c:pt>
                <c:pt idx="196">
                  <c:v>40543</c:v>
                </c:pt>
                <c:pt idx="197">
                  <c:v>40574</c:v>
                </c:pt>
                <c:pt idx="198">
                  <c:v>40602</c:v>
                </c:pt>
                <c:pt idx="199">
                  <c:v>40633</c:v>
                </c:pt>
                <c:pt idx="200">
                  <c:v>40663</c:v>
                </c:pt>
                <c:pt idx="201">
                  <c:v>40694</c:v>
                </c:pt>
                <c:pt idx="202">
                  <c:v>40724</c:v>
                </c:pt>
                <c:pt idx="203">
                  <c:v>40755</c:v>
                </c:pt>
                <c:pt idx="204">
                  <c:v>40786</c:v>
                </c:pt>
                <c:pt idx="205">
                  <c:v>40816</c:v>
                </c:pt>
                <c:pt idx="206">
                  <c:v>40847</c:v>
                </c:pt>
                <c:pt idx="207">
                  <c:v>40877</c:v>
                </c:pt>
                <c:pt idx="208">
                  <c:v>40908</c:v>
                </c:pt>
                <c:pt idx="209">
                  <c:v>40939</c:v>
                </c:pt>
                <c:pt idx="210">
                  <c:v>40968</c:v>
                </c:pt>
                <c:pt idx="211">
                  <c:v>40999</c:v>
                </c:pt>
                <c:pt idx="212">
                  <c:v>41029</c:v>
                </c:pt>
                <c:pt idx="213">
                  <c:v>41060</c:v>
                </c:pt>
                <c:pt idx="214">
                  <c:v>41090</c:v>
                </c:pt>
                <c:pt idx="215">
                  <c:v>41121</c:v>
                </c:pt>
                <c:pt idx="216">
                  <c:v>41152</c:v>
                </c:pt>
                <c:pt idx="217">
                  <c:v>41182</c:v>
                </c:pt>
                <c:pt idx="218">
                  <c:v>41213</c:v>
                </c:pt>
                <c:pt idx="219">
                  <c:v>41243</c:v>
                </c:pt>
                <c:pt idx="220">
                  <c:v>41274</c:v>
                </c:pt>
                <c:pt idx="221">
                  <c:v>41305</c:v>
                </c:pt>
                <c:pt idx="222">
                  <c:v>41333</c:v>
                </c:pt>
                <c:pt idx="223">
                  <c:v>41364</c:v>
                </c:pt>
                <c:pt idx="224">
                  <c:v>41394</c:v>
                </c:pt>
                <c:pt idx="225">
                  <c:v>41425</c:v>
                </c:pt>
                <c:pt idx="226">
                  <c:v>41455</c:v>
                </c:pt>
                <c:pt idx="227">
                  <c:v>41486</c:v>
                </c:pt>
                <c:pt idx="228">
                  <c:v>41517</c:v>
                </c:pt>
                <c:pt idx="229">
                  <c:v>41547</c:v>
                </c:pt>
                <c:pt idx="230">
                  <c:v>41578</c:v>
                </c:pt>
                <c:pt idx="231">
                  <c:v>41608</c:v>
                </c:pt>
                <c:pt idx="232">
                  <c:v>41639</c:v>
                </c:pt>
                <c:pt idx="233">
                  <c:v>41670</c:v>
                </c:pt>
                <c:pt idx="234">
                  <c:v>41698</c:v>
                </c:pt>
                <c:pt idx="235">
                  <c:v>41729</c:v>
                </c:pt>
                <c:pt idx="236">
                  <c:v>41759</c:v>
                </c:pt>
                <c:pt idx="237">
                  <c:v>41790</c:v>
                </c:pt>
                <c:pt idx="238">
                  <c:v>41820</c:v>
                </c:pt>
                <c:pt idx="239">
                  <c:v>41851</c:v>
                </c:pt>
                <c:pt idx="240">
                  <c:v>41882</c:v>
                </c:pt>
                <c:pt idx="241">
                  <c:v>41912</c:v>
                </c:pt>
                <c:pt idx="242">
                  <c:v>41943</c:v>
                </c:pt>
                <c:pt idx="243">
                  <c:v>41973</c:v>
                </c:pt>
                <c:pt idx="244">
                  <c:v>42004</c:v>
                </c:pt>
                <c:pt idx="245">
                  <c:v>42035</c:v>
                </c:pt>
                <c:pt idx="246">
                  <c:v>42063</c:v>
                </c:pt>
                <c:pt idx="247">
                  <c:v>42094</c:v>
                </c:pt>
                <c:pt idx="248">
                  <c:v>42124</c:v>
                </c:pt>
                <c:pt idx="249">
                  <c:v>42155</c:v>
                </c:pt>
                <c:pt idx="250">
                  <c:v>42185</c:v>
                </c:pt>
                <c:pt idx="251">
                  <c:v>42216</c:v>
                </c:pt>
                <c:pt idx="252">
                  <c:v>42247</c:v>
                </c:pt>
                <c:pt idx="253">
                  <c:v>42277</c:v>
                </c:pt>
                <c:pt idx="254">
                  <c:v>42308</c:v>
                </c:pt>
                <c:pt idx="255">
                  <c:v>42338</c:v>
                </c:pt>
                <c:pt idx="256">
                  <c:v>42369</c:v>
                </c:pt>
                <c:pt idx="257">
                  <c:v>42400</c:v>
                </c:pt>
                <c:pt idx="258">
                  <c:v>42429</c:v>
                </c:pt>
                <c:pt idx="259">
                  <c:v>42460</c:v>
                </c:pt>
                <c:pt idx="260">
                  <c:v>42490</c:v>
                </c:pt>
                <c:pt idx="261">
                  <c:v>42521</c:v>
                </c:pt>
                <c:pt idx="262">
                  <c:v>42551</c:v>
                </c:pt>
                <c:pt idx="263">
                  <c:v>42582</c:v>
                </c:pt>
                <c:pt idx="264">
                  <c:v>42613</c:v>
                </c:pt>
                <c:pt idx="265">
                  <c:v>42643</c:v>
                </c:pt>
                <c:pt idx="266">
                  <c:v>42674</c:v>
                </c:pt>
                <c:pt idx="267">
                  <c:v>42704</c:v>
                </c:pt>
                <c:pt idx="268">
                  <c:v>42735</c:v>
                </c:pt>
                <c:pt idx="269">
                  <c:v>42766</c:v>
                </c:pt>
                <c:pt idx="270">
                  <c:v>42794</c:v>
                </c:pt>
                <c:pt idx="271">
                  <c:v>42825</c:v>
                </c:pt>
                <c:pt idx="272">
                  <c:v>42855</c:v>
                </c:pt>
                <c:pt idx="273">
                  <c:v>42886</c:v>
                </c:pt>
                <c:pt idx="274">
                  <c:v>42916</c:v>
                </c:pt>
                <c:pt idx="275">
                  <c:v>42947</c:v>
                </c:pt>
                <c:pt idx="276">
                  <c:v>42978</c:v>
                </c:pt>
                <c:pt idx="277">
                  <c:v>43008</c:v>
                </c:pt>
                <c:pt idx="278">
                  <c:v>43039</c:v>
                </c:pt>
                <c:pt idx="279">
                  <c:v>43069</c:v>
                </c:pt>
                <c:pt idx="280">
                  <c:v>43100</c:v>
                </c:pt>
                <c:pt idx="281">
                  <c:v>43131</c:v>
                </c:pt>
                <c:pt idx="282">
                  <c:v>43159</c:v>
                </c:pt>
                <c:pt idx="283">
                  <c:v>43190</c:v>
                </c:pt>
                <c:pt idx="284">
                  <c:v>43220</c:v>
                </c:pt>
                <c:pt idx="285">
                  <c:v>43251</c:v>
                </c:pt>
                <c:pt idx="286">
                  <c:v>43281</c:v>
                </c:pt>
                <c:pt idx="287">
                  <c:v>43312</c:v>
                </c:pt>
                <c:pt idx="288">
                  <c:v>43343</c:v>
                </c:pt>
                <c:pt idx="289">
                  <c:v>43373</c:v>
                </c:pt>
                <c:pt idx="290">
                  <c:v>43404</c:v>
                </c:pt>
                <c:pt idx="291">
                  <c:v>43434</c:v>
                </c:pt>
                <c:pt idx="292">
                  <c:v>43465</c:v>
                </c:pt>
                <c:pt idx="293">
                  <c:v>43496</c:v>
                </c:pt>
                <c:pt idx="294">
                  <c:v>43524</c:v>
                </c:pt>
                <c:pt idx="295">
                  <c:v>43555</c:v>
                </c:pt>
                <c:pt idx="296">
                  <c:v>43585</c:v>
                </c:pt>
                <c:pt idx="297">
                  <c:v>43616</c:v>
                </c:pt>
                <c:pt idx="298">
                  <c:v>43646</c:v>
                </c:pt>
                <c:pt idx="299">
                  <c:v>43677</c:v>
                </c:pt>
                <c:pt idx="300">
                  <c:v>43708</c:v>
                </c:pt>
                <c:pt idx="301">
                  <c:v>43738</c:v>
                </c:pt>
                <c:pt idx="302">
                  <c:v>43769</c:v>
                </c:pt>
                <c:pt idx="303">
                  <c:v>43799</c:v>
                </c:pt>
                <c:pt idx="304">
                  <c:v>43830</c:v>
                </c:pt>
                <c:pt idx="305">
                  <c:v>43861</c:v>
                </c:pt>
                <c:pt idx="306">
                  <c:v>43890</c:v>
                </c:pt>
                <c:pt idx="307">
                  <c:v>43921</c:v>
                </c:pt>
                <c:pt idx="308">
                  <c:v>43951</c:v>
                </c:pt>
                <c:pt idx="309">
                  <c:v>43982</c:v>
                </c:pt>
                <c:pt idx="310">
                  <c:v>44012</c:v>
                </c:pt>
                <c:pt idx="311">
                  <c:v>44043</c:v>
                </c:pt>
                <c:pt idx="312">
                  <c:v>44074</c:v>
                </c:pt>
                <c:pt idx="313">
                  <c:v>44104</c:v>
                </c:pt>
                <c:pt idx="314">
                  <c:v>44135</c:v>
                </c:pt>
                <c:pt idx="315">
                  <c:v>44165</c:v>
                </c:pt>
                <c:pt idx="316">
                  <c:v>44196</c:v>
                </c:pt>
                <c:pt idx="317">
                  <c:v>44227</c:v>
                </c:pt>
                <c:pt idx="318">
                  <c:v>44255</c:v>
                </c:pt>
                <c:pt idx="319">
                  <c:v>44286</c:v>
                </c:pt>
                <c:pt idx="320">
                  <c:v>44316</c:v>
                </c:pt>
                <c:pt idx="321">
                  <c:v>44347</c:v>
                </c:pt>
                <c:pt idx="322">
                  <c:v>44377</c:v>
                </c:pt>
                <c:pt idx="323">
                  <c:v>44408</c:v>
                </c:pt>
                <c:pt idx="324">
                  <c:v>44439</c:v>
                </c:pt>
                <c:pt idx="325">
                  <c:v>44469</c:v>
                </c:pt>
                <c:pt idx="326">
                  <c:v>44500</c:v>
                </c:pt>
                <c:pt idx="327">
                  <c:v>44530</c:v>
                </c:pt>
                <c:pt idx="328">
                  <c:v>44561</c:v>
                </c:pt>
                <c:pt idx="329">
                  <c:v>44592</c:v>
                </c:pt>
                <c:pt idx="330">
                  <c:v>44620</c:v>
                </c:pt>
                <c:pt idx="331">
                  <c:v>44651</c:v>
                </c:pt>
                <c:pt idx="332">
                  <c:v>44681</c:v>
                </c:pt>
                <c:pt idx="333">
                  <c:v>44712</c:v>
                </c:pt>
                <c:pt idx="334">
                  <c:v>44742</c:v>
                </c:pt>
                <c:pt idx="335">
                  <c:v>44773</c:v>
                </c:pt>
                <c:pt idx="336">
                  <c:v>44804</c:v>
                </c:pt>
                <c:pt idx="337">
                  <c:v>44834</c:v>
                </c:pt>
                <c:pt idx="338">
                  <c:v>44865</c:v>
                </c:pt>
                <c:pt idx="339">
                  <c:v>44895</c:v>
                </c:pt>
                <c:pt idx="340">
                  <c:v>44926</c:v>
                </c:pt>
                <c:pt idx="341">
                  <c:v>44957</c:v>
                </c:pt>
                <c:pt idx="342">
                  <c:v>44985</c:v>
                </c:pt>
                <c:pt idx="343">
                  <c:v>45016</c:v>
                </c:pt>
                <c:pt idx="344">
                  <c:v>45046</c:v>
                </c:pt>
                <c:pt idx="345">
                  <c:v>45077</c:v>
                </c:pt>
                <c:pt idx="346">
                  <c:v>45107</c:v>
                </c:pt>
                <c:pt idx="347">
                  <c:v>45138</c:v>
                </c:pt>
                <c:pt idx="348">
                  <c:v>45169</c:v>
                </c:pt>
                <c:pt idx="349">
                  <c:v>45199</c:v>
                </c:pt>
                <c:pt idx="350">
                  <c:v>45230</c:v>
                </c:pt>
                <c:pt idx="351">
                  <c:v>45260</c:v>
                </c:pt>
                <c:pt idx="352">
                  <c:v>45291</c:v>
                </c:pt>
                <c:pt idx="353">
                  <c:v>45322</c:v>
                </c:pt>
                <c:pt idx="354">
                  <c:v>45351</c:v>
                </c:pt>
                <c:pt idx="355">
                  <c:v>45382</c:v>
                </c:pt>
                <c:pt idx="356">
                  <c:v>45412</c:v>
                </c:pt>
                <c:pt idx="357">
                  <c:v>45443</c:v>
                </c:pt>
                <c:pt idx="358">
                  <c:v>45473</c:v>
                </c:pt>
                <c:pt idx="359">
                  <c:v>45504</c:v>
                </c:pt>
                <c:pt idx="360">
                  <c:v>45535</c:v>
                </c:pt>
                <c:pt idx="361">
                  <c:v>45565</c:v>
                </c:pt>
                <c:pt idx="362">
                  <c:v>45596</c:v>
                </c:pt>
                <c:pt idx="363">
                  <c:v>45626</c:v>
                </c:pt>
                <c:pt idx="364">
                  <c:v>45657</c:v>
                </c:pt>
                <c:pt idx="365">
                  <c:v>45688</c:v>
                </c:pt>
                <c:pt idx="366">
                  <c:v>45716</c:v>
                </c:pt>
                <c:pt idx="367">
                  <c:v>45747</c:v>
                </c:pt>
                <c:pt idx="368">
                  <c:v>45777</c:v>
                </c:pt>
                <c:pt idx="369">
                  <c:v>45808</c:v>
                </c:pt>
                <c:pt idx="370">
                  <c:v>45838</c:v>
                </c:pt>
                <c:pt idx="371">
                  <c:v>45869</c:v>
                </c:pt>
                <c:pt idx="372">
                  <c:v>45900</c:v>
                </c:pt>
                <c:pt idx="373">
                  <c:v>45930</c:v>
                </c:pt>
                <c:pt idx="374">
                  <c:v>45961</c:v>
                </c:pt>
                <c:pt idx="375">
                  <c:v>45991</c:v>
                </c:pt>
                <c:pt idx="376">
                  <c:v>46022</c:v>
                </c:pt>
              </c:numCache>
            </c:numRef>
          </c:cat>
          <c:val>
            <c:numRef>
              <c:f>Momo!$L$2:$L$378</c:f>
              <c:numCache>
                <c:formatCode>General</c:formatCode>
                <c:ptCount val="377"/>
                <c:pt idx="0">
                  <c:v>100</c:v>
                </c:pt>
                <c:pt idx="1">
                  <c:v>88.089943230140094</c:v>
                </c:pt>
                <c:pt idx="2">
                  <c:v>82.44553743538826</c:v>
                </c:pt>
                <c:pt idx="3">
                  <c:v>87.806399521212683</c:v>
                </c:pt>
                <c:pt idx="4">
                  <c:v>101.59688828267761</c:v>
                </c:pt>
                <c:pt idx="5">
                  <c:v>114.84513780865632</c:v>
                </c:pt>
                <c:pt idx="6">
                  <c:v>97.028307650219389</c:v>
                </c:pt>
                <c:pt idx="7">
                  <c:v>89.807087446115318</c:v>
                </c:pt>
                <c:pt idx="8">
                  <c:v>78.973005614563391</c:v>
                </c:pt>
                <c:pt idx="9">
                  <c:v>78.258311714541193</c:v>
                </c:pt>
                <c:pt idx="10">
                  <c:v>74.528716271200736</c:v>
                </c:pt>
                <c:pt idx="11">
                  <c:v>80.01127173061316</c:v>
                </c:pt>
                <c:pt idx="12">
                  <c:v>78.910740961286464</c:v>
                </c:pt>
                <c:pt idx="13">
                  <c:v>75.126361640642841</c:v>
                </c:pt>
                <c:pt idx="14">
                  <c:v>74.034755452884454</c:v>
                </c:pt>
                <c:pt idx="15">
                  <c:v>79.07880405011143</c:v>
                </c:pt>
                <c:pt idx="16">
                  <c:v>71.092891563738874</c:v>
                </c:pt>
                <c:pt idx="17">
                  <c:v>78.79830938796222</c:v>
                </c:pt>
                <c:pt idx="18">
                  <c:v>82.060070702666067</c:v>
                </c:pt>
                <c:pt idx="19">
                  <c:v>80.697111866164036</c:v>
                </c:pt>
                <c:pt idx="20">
                  <c:v>90.742146683686485</c:v>
                </c:pt>
                <c:pt idx="21">
                  <c:v>87.558869805255867</c:v>
                </c:pt>
                <c:pt idx="22">
                  <c:v>103.19801650712049</c:v>
                </c:pt>
                <c:pt idx="23">
                  <c:v>97.377787228165658</c:v>
                </c:pt>
                <c:pt idx="24">
                  <c:v>95.019119547335578</c:v>
                </c:pt>
                <c:pt idx="25">
                  <c:v>87.40710024230026</c:v>
                </c:pt>
                <c:pt idx="26">
                  <c:v>82.166425327917267</c:v>
                </c:pt>
                <c:pt idx="27">
                  <c:v>77.811924782629262</c:v>
                </c:pt>
                <c:pt idx="28">
                  <c:v>80.535770706220006</c:v>
                </c:pt>
                <c:pt idx="29">
                  <c:v>81.453448869258452</c:v>
                </c:pt>
                <c:pt idx="30">
                  <c:v>89.388312959451568</c:v>
                </c:pt>
                <c:pt idx="31">
                  <c:v>90.081695532751894</c:v>
                </c:pt>
                <c:pt idx="32">
                  <c:v>96.94149701248223</c:v>
                </c:pt>
                <c:pt idx="33">
                  <c:v>93.734385328030669</c:v>
                </c:pt>
                <c:pt idx="34">
                  <c:v>81.333883512499284</c:v>
                </c:pt>
                <c:pt idx="35">
                  <c:v>84.900153808832911</c:v>
                </c:pt>
                <c:pt idx="36">
                  <c:v>79.512116000341663</c:v>
                </c:pt>
                <c:pt idx="37">
                  <c:v>84.115313543726856</c:v>
                </c:pt>
                <c:pt idx="38">
                  <c:v>89.771977737258823</c:v>
                </c:pt>
                <c:pt idx="39">
                  <c:v>108.35085258944109</c:v>
                </c:pt>
                <c:pt idx="40">
                  <c:v>112.33164219825304</c:v>
                </c:pt>
                <c:pt idx="41">
                  <c:v>93.77704558274759</c:v>
                </c:pt>
                <c:pt idx="42">
                  <c:v>105.21351579098597</c:v>
                </c:pt>
                <c:pt idx="43">
                  <c:v>99.656483176373783</c:v>
                </c:pt>
                <c:pt idx="44">
                  <c:v>105.01692976479353</c:v>
                </c:pt>
                <c:pt idx="45">
                  <c:v>120.61052371447694</c:v>
                </c:pt>
                <c:pt idx="46">
                  <c:v>159.28586076164075</c:v>
                </c:pt>
                <c:pt idx="47">
                  <c:v>151.63200977295762</c:v>
                </c:pt>
                <c:pt idx="48">
                  <c:v>162.31067394504768</c:v>
                </c:pt>
                <c:pt idx="49">
                  <c:v>189.86706883816581</c:v>
                </c:pt>
                <c:pt idx="50">
                  <c:v>169.62569637004623</c:v>
                </c:pt>
                <c:pt idx="51">
                  <c:v>126.9245769866222</c:v>
                </c:pt>
                <c:pt idx="52">
                  <c:v>154.62900998144644</c:v>
                </c:pt>
                <c:pt idx="53">
                  <c:v>193.77236556988439</c:v>
                </c:pt>
                <c:pt idx="54">
                  <c:v>150.70720014278359</c:v>
                </c:pt>
                <c:pt idx="55">
                  <c:v>80.981661949076738</c:v>
                </c:pt>
                <c:pt idx="56">
                  <c:v>70.398953968049398</c:v>
                </c:pt>
                <c:pt idx="57">
                  <c:v>70.73955642497188</c:v>
                </c:pt>
                <c:pt idx="58">
                  <c:v>84.140956783585978</c:v>
                </c:pt>
                <c:pt idx="59">
                  <c:v>87.614331962510533</c:v>
                </c:pt>
                <c:pt idx="60">
                  <c:v>87.394691399716052</c:v>
                </c:pt>
                <c:pt idx="61">
                  <c:v>79.148366876502351</c:v>
                </c:pt>
                <c:pt idx="62">
                  <c:v>74.243721662661187</c:v>
                </c:pt>
                <c:pt idx="63">
                  <c:v>77.611550090359003</c:v>
                </c:pt>
                <c:pt idx="64">
                  <c:v>78.404322366736707</c:v>
                </c:pt>
                <c:pt idx="65">
                  <c:v>77.453874696072617</c:v>
                </c:pt>
                <c:pt idx="66">
                  <c:v>81.762980532113573</c:v>
                </c:pt>
                <c:pt idx="67">
                  <c:v>84.602082047815088</c:v>
                </c:pt>
                <c:pt idx="68">
                  <c:v>74.371665046147243</c:v>
                </c:pt>
                <c:pt idx="69">
                  <c:v>75.188341434406311</c:v>
                </c:pt>
                <c:pt idx="70">
                  <c:v>79.649942977823372</c:v>
                </c:pt>
                <c:pt idx="71">
                  <c:v>74.889848871561355</c:v>
                </c:pt>
                <c:pt idx="72">
                  <c:v>72.457598578536718</c:v>
                </c:pt>
                <c:pt idx="73">
                  <c:v>78.089988613529115</c:v>
                </c:pt>
                <c:pt idx="74">
                  <c:v>71.358543578357427</c:v>
                </c:pt>
                <c:pt idx="75">
                  <c:v>71.378795447868598</c:v>
                </c:pt>
                <c:pt idx="76">
                  <c:v>71.037380692075644</c:v>
                </c:pt>
                <c:pt idx="77">
                  <c:v>63.145139032585071</c:v>
                </c:pt>
                <c:pt idx="78">
                  <c:v>67.422186532160239</c:v>
                </c:pt>
                <c:pt idx="79">
                  <c:v>72.161414226569264</c:v>
                </c:pt>
                <c:pt idx="80">
                  <c:v>65.847036830683322</c:v>
                </c:pt>
                <c:pt idx="81">
                  <c:v>65.207265765625777</c:v>
                </c:pt>
                <c:pt idx="82">
                  <c:v>76.447697013669881</c:v>
                </c:pt>
                <c:pt idx="83">
                  <c:v>76.977884913788316</c:v>
                </c:pt>
                <c:pt idx="84">
                  <c:v>74.832494999442844</c:v>
                </c:pt>
                <c:pt idx="85">
                  <c:v>74.2590481402775</c:v>
                </c:pt>
                <c:pt idx="86">
                  <c:v>71.042838923225958</c:v>
                </c:pt>
                <c:pt idx="87">
                  <c:v>61.466756043821107</c:v>
                </c:pt>
                <c:pt idx="88">
                  <c:v>65.489557391539975</c:v>
                </c:pt>
                <c:pt idx="89">
                  <c:v>63.90346251072264</c:v>
                </c:pt>
                <c:pt idx="90">
                  <c:v>68.988370580986214</c:v>
                </c:pt>
                <c:pt idx="91">
                  <c:v>72.718344924084931</c:v>
                </c:pt>
                <c:pt idx="92">
                  <c:v>78.471850436352042</c:v>
                </c:pt>
                <c:pt idx="93">
                  <c:v>77.356272597052069</c:v>
                </c:pt>
                <c:pt idx="94">
                  <c:v>73.323371320621746</c:v>
                </c:pt>
                <c:pt idx="95">
                  <c:v>74.546172688723473</c:v>
                </c:pt>
                <c:pt idx="96">
                  <c:v>62.391625909402045</c:v>
                </c:pt>
                <c:pt idx="97">
                  <c:v>58.864011456082153</c:v>
                </c:pt>
                <c:pt idx="98">
                  <c:v>80.798510603372932</c:v>
                </c:pt>
                <c:pt idx="99">
                  <c:v>85.259440571998326</c:v>
                </c:pt>
                <c:pt idx="100">
                  <c:v>85.53466919156719</c:v>
                </c:pt>
                <c:pt idx="101">
                  <c:v>88.842890331832109</c:v>
                </c:pt>
                <c:pt idx="102">
                  <c:v>94.025594897775946</c:v>
                </c:pt>
                <c:pt idx="103">
                  <c:v>91.482365832018687</c:v>
                </c:pt>
                <c:pt idx="104">
                  <c:v>76.683590007473995</c:v>
                </c:pt>
                <c:pt idx="105">
                  <c:v>81.448265228205315</c:v>
                </c:pt>
                <c:pt idx="106">
                  <c:v>96.199577015605428</c:v>
                </c:pt>
                <c:pt idx="107">
                  <c:v>104.1051288001121</c:v>
                </c:pt>
                <c:pt idx="108">
                  <c:v>117.42486991418473</c:v>
                </c:pt>
                <c:pt idx="109">
                  <c:v>109.21496123883399</c:v>
                </c:pt>
                <c:pt idx="110">
                  <c:v>117.10891984888352</c:v>
                </c:pt>
                <c:pt idx="111">
                  <c:v>120.69407634572627</c:v>
                </c:pt>
                <c:pt idx="112">
                  <c:v>117.95610332988748</c:v>
                </c:pt>
                <c:pt idx="113">
                  <c:v>101.07730900917988</c:v>
                </c:pt>
                <c:pt idx="114">
                  <c:v>115.32319890053051</c:v>
                </c:pt>
                <c:pt idx="115">
                  <c:v>116.04618362733271</c:v>
                </c:pt>
                <c:pt idx="116">
                  <c:v>107.70531763136275</c:v>
                </c:pt>
                <c:pt idx="117">
                  <c:v>110.80188006784246</c:v>
                </c:pt>
                <c:pt idx="118">
                  <c:v>111.41301961785356</c:v>
                </c:pt>
                <c:pt idx="119">
                  <c:v>115.93832235523392</c:v>
                </c:pt>
                <c:pt idx="120">
                  <c:v>128.95195664092824</c:v>
                </c:pt>
                <c:pt idx="121">
                  <c:v>129.05553144755194</c:v>
                </c:pt>
                <c:pt idx="122">
                  <c:v>131.86335586884999</c:v>
                </c:pt>
                <c:pt idx="123">
                  <c:v>151.70866340161871</c:v>
                </c:pt>
                <c:pt idx="124">
                  <c:v>161.53669675475308</c:v>
                </c:pt>
                <c:pt idx="125">
                  <c:v>149.11680403409662</c:v>
                </c:pt>
                <c:pt idx="126">
                  <c:v>150.80297604499825</c:v>
                </c:pt>
                <c:pt idx="127">
                  <c:v>137.0668226831443</c:v>
                </c:pt>
                <c:pt idx="128">
                  <c:v>134.84757796443174</c:v>
                </c:pt>
                <c:pt idx="129">
                  <c:v>129.83997636743524</c:v>
                </c:pt>
                <c:pt idx="130">
                  <c:v>128.18028491990114</c:v>
                </c:pt>
                <c:pt idx="131">
                  <c:v>125.52463776120875</c:v>
                </c:pt>
                <c:pt idx="132">
                  <c:v>133.81693972003123</c:v>
                </c:pt>
                <c:pt idx="133">
                  <c:v>135.70754314786669</c:v>
                </c:pt>
                <c:pt idx="134">
                  <c:v>145.82421551470529</c:v>
                </c:pt>
                <c:pt idx="135">
                  <c:v>137.5662261821399</c:v>
                </c:pt>
                <c:pt idx="136">
                  <c:v>145.23032769177368</c:v>
                </c:pt>
                <c:pt idx="137">
                  <c:v>153.53771220520849</c:v>
                </c:pt>
                <c:pt idx="138">
                  <c:v>147.51637424350588</c:v>
                </c:pt>
                <c:pt idx="139">
                  <c:v>144.97331041402435</c:v>
                </c:pt>
                <c:pt idx="140">
                  <c:v>150.44275061784055</c:v>
                </c:pt>
                <c:pt idx="141">
                  <c:v>141.38371407992142</c:v>
                </c:pt>
                <c:pt idx="142">
                  <c:v>141.83455014425155</c:v>
                </c:pt>
                <c:pt idx="143">
                  <c:v>141.55319367042603</c:v>
                </c:pt>
                <c:pt idx="144">
                  <c:v>139.37563032230037</c:v>
                </c:pt>
                <c:pt idx="145">
                  <c:v>138.54668343770908</c:v>
                </c:pt>
                <c:pt idx="146">
                  <c:v>139.14548697030298</c:v>
                </c:pt>
                <c:pt idx="147">
                  <c:v>131.99920917487501</c:v>
                </c:pt>
                <c:pt idx="148">
                  <c:v>129.27100322785054</c:v>
                </c:pt>
                <c:pt idx="149">
                  <c:v>131.4439903222588</c:v>
                </c:pt>
                <c:pt idx="150">
                  <c:v>128.63426008672835</c:v>
                </c:pt>
                <c:pt idx="151">
                  <c:v>121.96217327749515</c:v>
                </c:pt>
                <c:pt idx="152">
                  <c:v>123.91977224069441</c:v>
                </c:pt>
                <c:pt idx="153">
                  <c:v>125.86993913468356</c:v>
                </c:pt>
                <c:pt idx="154">
                  <c:v>134.16887962170159</c:v>
                </c:pt>
                <c:pt idx="155">
                  <c:v>141.87392998797333</c:v>
                </c:pt>
                <c:pt idx="156">
                  <c:v>140.45627639074607</c:v>
                </c:pt>
                <c:pt idx="157">
                  <c:v>146.12783626435626</c:v>
                </c:pt>
                <c:pt idx="158">
                  <c:v>158.74390738516189</c:v>
                </c:pt>
                <c:pt idx="159">
                  <c:v>167.10284503577236</c:v>
                </c:pt>
                <c:pt idx="160">
                  <c:v>175.17347116874242</c:v>
                </c:pt>
                <c:pt idx="161">
                  <c:v>173.56838012025614</c:v>
                </c:pt>
                <c:pt idx="162">
                  <c:v>169.87642055363281</c:v>
                </c:pt>
                <c:pt idx="163">
                  <c:v>169.08099538824578</c:v>
                </c:pt>
                <c:pt idx="164">
                  <c:v>177.98763041388349</c:v>
                </c:pt>
                <c:pt idx="165">
                  <c:v>164.64564700299601</c:v>
                </c:pt>
                <c:pt idx="166">
                  <c:v>174.65000715482341</c:v>
                </c:pt>
                <c:pt idx="167">
                  <c:v>177.6667972423019</c:v>
                </c:pt>
                <c:pt idx="168">
                  <c:v>176.29225085301005</c:v>
                </c:pt>
                <c:pt idx="169">
                  <c:v>177.43577112993088</c:v>
                </c:pt>
                <c:pt idx="170">
                  <c:v>195.63127720542349</c:v>
                </c:pt>
                <c:pt idx="171">
                  <c:v>236.2731960406914</c:v>
                </c:pt>
                <c:pt idx="172">
                  <c:v>208.68210945661625</c:v>
                </c:pt>
                <c:pt idx="173">
                  <c:v>193.78700122162172</c:v>
                </c:pt>
                <c:pt idx="174">
                  <c:v>213.61929601467713</c:v>
                </c:pt>
                <c:pt idx="175">
                  <c:v>201.59657156837901</c:v>
                </c:pt>
                <c:pt idx="176">
                  <c:v>146.15486350641248</c:v>
                </c:pt>
                <c:pt idx="177">
                  <c:v>129.47754079617926</c:v>
                </c:pt>
                <c:pt idx="178">
                  <c:v>134.9648883324227</c:v>
                </c:pt>
                <c:pt idx="179">
                  <c:v>133.15791110608168</c:v>
                </c:pt>
                <c:pt idx="180">
                  <c:v>131.38407808295017</c:v>
                </c:pt>
                <c:pt idx="181">
                  <c:v>142.79414119572243</c:v>
                </c:pt>
                <c:pt idx="182">
                  <c:v>142.757451275866</c:v>
                </c:pt>
                <c:pt idx="183">
                  <c:v>152.09442237895803</c:v>
                </c:pt>
                <c:pt idx="184">
                  <c:v>149.1845946446397</c:v>
                </c:pt>
                <c:pt idx="185">
                  <c:v>147.30496860504624</c:v>
                </c:pt>
                <c:pt idx="186">
                  <c:v>150.51112348703947</c:v>
                </c:pt>
                <c:pt idx="187">
                  <c:v>140.10694028260411</c:v>
                </c:pt>
                <c:pt idx="188">
                  <c:v>138.78471905251132</c:v>
                </c:pt>
                <c:pt idx="189">
                  <c:v>136.99080134052622</c:v>
                </c:pt>
                <c:pt idx="190">
                  <c:v>138.1528455158751</c:v>
                </c:pt>
                <c:pt idx="191">
                  <c:v>129.0521737637564</c:v>
                </c:pt>
                <c:pt idx="192">
                  <c:v>137.7135823983553</c:v>
                </c:pt>
                <c:pt idx="193">
                  <c:v>139.4376617255102</c:v>
                </c:pt>
                <c:pt idx="194">
                  <c:v>146.17103477568807</c:v>
                </c:pt>
                <c:pt idx="195">
                  <c:v>147.47886385611423</c:v>
                </c:pt>
                <c:pt idx="196">
                  <c:v>144.97801198155784</c:v>
                </c:pt>
                <c:pt idx="197">
                  <c:v>141.25778603180953</c:v>
                </c:pt>
                <c:pt idx="198">
                  <c:v>139.90349407628645</c:v>
                </c:pt>
                <c:pt idx="199">
                  <c:v>141.16260956778981</c:v>
                </c:pt>
                <c:pt idx="200">
                  <c:v>143.54759354083029</c:v>
                </c:pt>
                <c:pt idx="201">
                  <c:v>146.86607734651182</c:v>
                </c:pt>
                <c:pt idx="202">
                  <c:v>151.71222141225644</c:v>
                </c:pt>
                <c:pt idx="203">
                  <c:v>159.45583434367276</c:v>
                </c:pt>
                <c:pt idx="204">
                  <c:v>158.91109074466951</c:v>
                </c:pt>
                <c:pt idx="205">
                  <c:v>167.79052817563874</c:v>
                </c:pt>
                <c:pt idx="206">
                  <c:v>156.99851458774998</c:v>
                </c:pt>
                <c:pt idx="207">
                  <c:v>167.79966868688786</c:v>
                </c:pt>
                <c:pt idx="208">
                  <c:v>170.26910238302986</c:v>
                </c:pt>
                <c:pt idx="209">
                  <c:v>157.43895087881651</c:v>
                </c:pt>
                <c:pt idx="210">
                  <c:v>159.7805325568159</c:v>
                </c:pt>
                <c:pt idx="211">
                  <c:v>166.4290272784811</c:v>
                </c:pt>
                <c:pt idx="212">
                  <c:v>176.86273312174964</c:v>
                </c:pt>
                <c:pt idx="213">
                  <c:v>186.8686188342464</c:v>
                </c:pt>
                <c:pt idx="214">
                  <c:v>195.66369298662897</c:v>
                </c:pt>
                <c:pt idx="215">
                  <c:v>199.5806324566305</c:v>
                </c:pt>
                <c:pt idx="216">
                  <c:v>188.73656389196006</c:v>
                </c:pt>
                <c:pt idx="217">
                  <c:v>185.705783107717</c:v>
                </c:pt>
                <c:pt idx="218">
                  <c:v>197.10317538693931</c:v>
                </c:pt>
                <c:pt idx="219">
                  <c:v>199.39784219987925</c:v>
                </c:pt>
                <c:pt idx="220">
                  <c:v>195.63317308904604</c:v>
                </c:pt>
                <c:pt idx="221">
                  <c:v>197.22850638279078</c:v>
                </c:pt>
                <c:pt idx="222">
                  <c:v>201.57764422307781</c:v>
                </c:pt>
                <c:pt idx="223">
                  <c:v>206.97784083716593</c:v>
                </c:pt>
                <c:pt idx="224">
                  <c:v>206.58260701111044</c:v>
                </c:pt>
                <c:pt idx="225">
                  <c:v>213.5075269254119</c:v>
                </c:pt>
                <c:pt idx="226">
                  <c:v>220.68168744482728</c:v>
                </c:pt>
                <c:pt idx="227">
                  <c:v>225.27709699885128</c:v>
                </c:pt>
                <c:pt idx="228">
                  <c:v>233.58088374645763</c:v>
                </c:pt>
                <c:pt idx="229">
                  <c:v>224.89969801887204</c:v>
                </c:pt>
                <c:pt idx="230">
                  <c:v>235.49853919606051</c:v>
                </c:pt>
                <c:pt idx="231">
                  <c:v>242.89959837572133</c:v>
                </c:pt>
                <c:pt idx="232">
                  <c:v>244.40191859057796</c:v>
                </c:pt>
                <c:pt idx="233">
                  <c:v>252.50543867573964</c:v>
                </c:pt>
                <c:pt idx="234">
                  <c:v>256.69988177424511</c:v>
                </c:pt>
                <c:pt idx="235">
                  <c:v>256.9245440038282</c:v>
                </c:pt>
                <c:pt idx="236">
                  <c:v>256.82980344262108</c:v>
                </c:pt>
                <c:pt idx="237">
                  <c:v>258.66455595020511</c:v>
                </c:pt>
                <c:pt idx="238">
                  <c:v>271.51250902611207</c:v>
                </c:pt>
                <c:pt idx="239">
                  <c:v>272.69773395011629</c:v>
                </c:pt>
                <c:pt idx="240">
                  <c:v>258.59714091890896</c:v>
                </c:pt>
                <c:pt idx="241">
                  <c:v>256.77181438056317</c:v>
                </c:pt>
                <c:pt idx="242">
                  <c:v>270.41939966221184</c:v>
                </c:pt>
                <c:pt idx="243">
                  <c:v>283.62786843922618</c:v>
                </c:pt>
                <c:pt idx="244">
                  <c:v>284.11516784721312</c:v>
                </c:pt>
                <c:pt idx="245">
                  <c:v>297.62795610096089</c:v>
                </c:pt>
                <c:pt idx="246">
                  <c:v>287.26585696601637</c:v>
                </c:pt>
                <c:pt idx="247">
                  <c:v>295.2005389231453</c:v>
                </c:pt>
                <c:pt idx="248">
                  <c:v>281.5321604565795</c:v>
                </c:pt>
                <c:pt idx="249">
                  <c:v>298.28220724043331</c:v>
                </c:pt>
                <c:pt idx="250">
                  <c:v>305.46637963575415</c:v>
                </c:pt>
                <c:pt idx="251">
                  <c:v>336.4771987543815</c:v>
                </c:pt>
                <c:pt idx="252">
                  <c:v>350.33442811519052</c:v>
                </c:pt>
                <c:pt idx="253">
                  <c:v>378.73115435593098</c:v>
                </c:pt>
                <c:pt idx="254">
                  <c:v>329.6267296582663</c:v>
                </c:pt>
                <c:pt idx="255">
                  <c:v>325.72301100344151</c:v>
                </c:pt>
                <c:pt idx="256">
                  <c:v>337.48583486372314</c:v>
                </c:pt>
                <c:pt idx="257">
                  <c:v>336.34852922590818</c:v>
                </c:pt>
                <c:pt idx="258">
                  <c:v>326.38358874506622</c:v>
                </c:pt>
                <c:pt idx="259">
                  <c:v>259.46307169003825</c:v>
                </c:pt>
                <c:pt idx="260">
                  <c:v>260.33015838052944</c:v>
                </c:pt>
                <c:pt idx="261">
                  <c:v>245.78962413708038</c:v>
                </c:pt>
                <c:pt idx="262">
                  <c:v>272.15131556915105</c:v>
                </c:pt>
                <c:pt idx="263">
                  <c:v>276.00002421652778</c:v>
                </c:pt>
                <c:pt idx="264">
                  <c:v>253.09464371263982</c:v>
                </c:pt>
                <c:pt idx="265">
                  <c:v>256.03894378123306</c:v>
                </c:pt>
                <c:pt idx="266">
                  <c:v>283.82082879972637</c:v>
                </c:pt>
                <c:pt idx="267">
                  <c:v>276.47824518671155</c:v>
                </c:pt>
                <c:pt idx="268">
                  <c:v>268.93102159606269</c:v>
                </c:pt>
                <c:pt idx="269">
                  <c:v>283.32540839270337</c:v>
                </c:pt>
                <c:pt idx="270">
                  <c:v>289.52904001361475</c:v>
                </c:pt>
                <c:pt idx="271">
                  <c:v>280.32362965622411</c:v>
                </c:pt>
                <c:pt idx="272">
                  <c:v>282.6378713614501</c:v>
                </c:pt>
                <c:pt idx="273">
                  <c:v>287.26483751984733</c:v>
                </c:pt>
                <c:pt idx="274">
                  <c:v>282.35288945269247</c:v>
                </c:pt>
                <c:pt idx="275">
                  <c:v>294.42874073818496</c:v>
                </c:pt>
                <c:pt idx="276">
                  <c:v>305.09128149096671</c:v>
                </c:pt>
                <c:pt idx="277">
                  <c:v>310.50857717766945</c:v>
                </c:pt>
                <c:pt idx="278">
                  <c:v>314.70500542136216</c:v>
                </c:pt>
                <c:pt idx="279">
                  <c:v>309.50878575518499</c:v>
                </c:pt>
                <c:pt idx="280">
                  <c:v>307.1233732754223</c:v>
                </c:pt>
                <c:pt idx="281">
                  <c:v>291.21908231661195</c:v>
                </c:pt>
                <c:pt idx="282">
                  <c:v>303.33804205904892</c:v>
                </c:pt>
                <c:pt idx="283">
                  <c:v>319.22816401799997</c:v>
                </c:pt>
                <c:pt idx="284">
                  <c:v>337.14500716784016</c:v>
                </c:pt>
                <c:pt idx="285">
                  <c:v>350.57205868541314</c:v>
                </c:pt>
                <c:pt idx="286">
                  <c:v>367.54611193663106</c:v>
                </c:pt>
                <c:pt idx="287">
                  <c:v>362.66442787884597</c:v>
                </c:pt>
                <c:pt idx="288">
                  <c:v>379.40717604278836</c:v>
                </c:pt>
                <c:pt idx="289">
                  <c:v>397.8163489607324</c:v>
                </c:pt>
                <c:pt idx="290">
                  <c:v>355.1314295339447</c:v>
                </c:pt>
                <c:pt idx="291">
                  <c:v>358.65588497272182</c:v>
                </c:pt>
                <c:pt idx="292">
                  <c:v>372.36083928327236</c:v>
                </c:pt>
                <c:pt idx="293">
                  <c:v>346.34714708155889</c:v>
                </c:pt>
                <c:pt idx="294">
                  <c:v>346.71932146428503</c:v>
                </c:pt>
                <c:pt idx="295">
                  <c:v>349.48966987882051</c:v>
                </c:pt>
                <c:pt idx="296">
                  <c:v>370.52360621573706</c:v>
                </c:pt>
                <c:pt idx="297">
                  <c:v>402.876260114952</c:v>
                </c:pt>
                <c:pt idx="298">
                  <c:v>396.38594351714164</c:v>
                </c:pt>
                <c:pt idx="299">
                  <c:v>408.82356512179052</c:v>
                </c:pt>
                <c:pt idx="300">
                  <c:v>438.94951923561956</c:v>
                </c:pt>
                <c:pt idx="301">
                  <c:v>426.18483717816417</c:v>
                </c:pt>
                <c:pt idx="302">
                  <c:v>443.01313966866644</c:v>
                </c:pt>
                <c:pt idx="303">
                  <c:v>436.27525830593419</c:v>
                </c:pt>
                <c:pt idx="304">
                  <c:v>410.71838564766637</c:v>
                </c:pt>
                <c:pt idx="305">
                  <c:v>448.28936881827389</c:v>
                </c:pt>
                <c:pt idx="306">
                  <c:v>465.26567332387879</c:v>
                </c:pt>
                <c:pt idx="307">
                  <c:v>432.03857471402932</c:v>
                </c:pt>
                <c:pt idx="308">
                  <c:v>483.03084977507967</c:v>
                </c:pt>
                <c:pt idx="309">
                  <c:v>487.27251550444123</c:v>
                </c:pt>
                <c:pt idx="310">
                  <c:v>486.37676992014531</c:v>
                </c:pt>
                <c:pt idx="311">
                  <c:v>534.84132677105197</c:v>
                </c:pt>
                <c:pt idx="312">
                  <c:v>562.8246004685252</c:v>
                </c:pt>
                <c:pt idx="313">
                  <c:v>568.80984484152543</c:v>
                </c:pt>
                <c:pt idx="314">
                  <c:v>596.8328410692327</c:v>
                </c:pt>
                <c:pt idx="315">
                  <c:v>545.06484677355365</c:v>
                </c:pt>
                <c:pt idx="316">
                  <c:v>542.05701938866866</c:v>
                </c:pt>
                <c:pt idx="317">
                  <c:v>511.91397028242096</c:v>
                </c:pt>
                <c:pt idx="318">
                  <c:v>516.20889015977775</c:v>
                </c:pt>
                <c:pt idx="319">
                  <c:v>484.12985057272704</c:v>
                </c:pt>
                <c:pt idx="320">
                  <c:v>480.62826293242176</c:v>
                </c:pt>
                <c:pt idx="321">
                  <c:v>475.97686898822553</c:v>
                </c:pt>
                <c:pt idx="322">
                  <c:v>472.09502712535652</c:v>
                </c:pt>
                <c:pt idx="323">
                  <c:v>493.63648991100831</c:v>
                </c:pt>
                <c:pt idx="324">
                  <c:v>489.44799961633373</c:v>
                </c:pt>
                <c:pt idx="325">
                  <c:v>510.74075161923599</c:v>
                </c:pt>
                <c:pt idx="326">
                  <c:v>517.64081954968447</c:v>
                </c:pt>
                <c:pt idx="327">
                  <c:v>504.18457063734098</c:v>
                </c:pt>
                <c:pt idx="328">
                  <c:v>497.55568263662377</c:v>
                </c:pt>
                <c:pt idx="329">
                  <c:v>470.56382698813951</c:v>
                </c:pt>
                <c:pt idx="330">
                  <c:v>484.72944923848939</c:v>
                </c:pt>
                <c:pt idx="331">
                  <c:v>480.45057847082603</c:v>
                </c:pt>
                <c:pt idx="332">
                  <c:v>547.49381853522914</c:v>
                </c:pt>
                <c:pt idx="333">
                  <c:v>579.74189948806907</c:v>
                </c:pt>
                <c:pt idx="334">
                  <c:v>631.90153669789083</c:v>
                </c:pt>
                <c:pt idx="335">
                  <c:v>595.85029841776077</c:v>
                </c:pt>
                <c:pt idx="336">
                  <c:v>551.51669767593194</c:v>
                </c:pt>
                <c:pt idx="337">
                  <c:v>560.89131668643608</c:v>
                </c:pt>
                <c:pt idx="338">
                  <c:v>580.15277258622393</c:v>
                </c:pt>
                <c:pt idx="339">
                  <c:v>597.36443226676704</c:v>
                </c:pt>
                <c:pt idx="340">
                  <c:v>605.204783140367</c:v>
                </c:pt>
                <c:pt idx="341">
                  <c:v>584.5758641209128</c:v>
                </c:pt>
                <c:pt idx="342">
                  <c:v>624.03566995816789</c:v>
                </c:pt>
                <c:pt idx="343">
                  <c:v>652.35851608655264</c:v>
                </c:pt>
                <c:pt idx="344">
                  <c:v>648.20812676541925</c:v>
                </c:pt>
                <c:pt idx="345">
                  <c:v>562.96054721331495</c:v>
                </c:pt>
                <c:pt idx="346">
                  <c:v>522.39230459036298</c:v>
                </c:pt>
                <c:pt idx="347">
                  <c:v>504.3129617359956</c:v>
                </c:pt>
                <c:pt idx="348">
                  <c:v>524.82055509175609</c:v>
                </c:pt>
                <c:pt idx="349">
                  <c:v>524.47073596938162</c:v>
                </c:pt>
                <c:pt idx="350">
                  <c:v>538.29109835346662</c:v>
                </c:pt>
                <c:pt idx="351">
                  <c:v>524.55161920222906</c:v>
                </c:pt>
                <c:pt idx="352">
                  <c:v>514.92826106691098</c:v>
                </c:pt>
                <c:pt idx="353">
                  <c:v>530.57997023964776</c:v>
                </c:pt>
                <c:pt idx="354">
                  <c:v>530.74769520766586</c:v>
                </c:pt>
                <c:pt idx="355">
                  <c:v>527.75802099985003</c:v>
                </c:pt>
                <c:pt idx="356">
                  <c:v>548.53385587306741</c:v>
                </c:pt>
                <c:pt idx="357">
                  <c:v>551.04592070562717</c:v>
                </c:pt>
                <c:pt idx="358">
                  <c:v>576.07491972880018</c:v>
                </c:pt>
                <c:pt idx="359">
                  <c:v>573.60875378166145</c:v>
                </c:pt>
                <c:pt idx="360">
                  <c:v>601.61977557346017</c:v>
                </c:pt>
                <c:pt idx="361">
                  <c:v>605.36878347277673</c:v>
                </c:pt>
                <c:pt idx="362">
                  <c:v>621.83078551143853</c:v>
                </c:pt>
                <c:pt idx="363">
                  <c:v>665.71568373323271</c:v>
                </c:pt>
                <c:pt idx="364">
                  <c:v>691.63764195938256</c:v>
                </c:pt>
                <c:pt idx="365">
                  <c:v>675.28684564901766</c:v>
                </c:pt>
                <c:pt idx="366">
                  <c:v>684.91291304216168</c:v>
                </c:pt>
                <c:pt idx="367">
                  <c:v>676.24510060327123</c:v>
                </c:pt>
                <c:pt idx="368">
                  <c:v>640.70663508877715</c:v>
                </c:pt>
                <c:pt idx="369">
                  <c:v>622.02198107726008</c:v>
                </c:pt>
                <c:pt idx="370">
                  <c:v>619.01123317262648</c:v>
                </c:pt>
                <c:pt idx="371">
                  <c:v>605.65418837590448</c:v>
                </c:pt>
                <c:pt idx="372">
                  <c:v>616.81747570299365</c:v>
                </c:pt>
                <c:pt idx="373">
                  <c:v>633.20880852888649</c:v>
                </c:pt>
                <c:pt idx="374">
                  <c:v>617.42592820037339</c:v>
                </c:pt>
                <c:pt idx="375">
                  <c:v>661.09727701233226</c:v>
                </c:pt>
                <c:pt idx="376">
                  <c:v>613.34499535384361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0C-4BD8-ABB0-03D660868422}"/>
            </c:ext>
          </c:extLst>
        </c:ser>
        <c:ser>
          <c:idx val="3"/>
          <c:order val="3"/>
          <c:tx>
            <c:strRef>
              <c:f>Momo!$M$1</c:f>
              <c:strCache>
                <c:ptCount val="1"/>
                <c:pt idx="0">
                  <c:v>ret_12_1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Momo!$I$2:$I$378</c:f>
              <c:numCache>
                <c:formatCode>mmm\-yy</c:formatCode>
                <c:ptCount val="377"/>
                <c:pt idx="0">
                  <c:v>34577</c:v>
                </c:pt>
                <c:pt idx="1">
                  <c:v>34607</c:v>
                </c:pt>
                <c:pt idx="2">
                  <c:v>34638</c:v>
                </c:pt>
                <c:pt idx="3">
                  <c:v>34668</c:v>
                </c:pt>
                <c:pt idx="4">
                  <c:v>34699</c:v>
                </c:pt>
                <c:pt idx="5">
                  <c:v>34730</c:v>
                </c:pt>
                <c:pt idx="6">
                  <c:v>34758</c:v>
                </c:pt>
                <c:pt idx="7">
                  <c:v>34789</c:v>
                </c:pt>
                <c:pt idx="8">
                  <c:v>34819</c:v>
                </c:pt>
                <c:pt idx="9">
                  <c:v>34850</c:v>
                </c:pt>
                <c:pt idx="10">
                  <c:v>34880</c:v>
                </c:pt>
                <c:pt idx="11">
                  <c:v>34911</c:v>
                </c:pt>
                <c:pt idx="12">
                  <c:v>34942</c:v>
                </c:pt>
                <c:pt idx="13">
                  <c:v>34972</c:v>
                </c:pt>
                <c:pt idx="14">
                  <c:v>35003</c:v>
                </c:pt>
                <c:pt idx="15">
                  <c:v>35033</c:v>
                </c:pt>
                <c:pt idx="16">
                  <c:v>35064</c:v>
                </c:pt>
                <c:pt idx="17">
                  <c:v>35095</c:v>
                </c:pt>
                <c:pt idx="18">
                  <c:v>35124</c:v>
                </c:pt>
                <c:pt idx="19">
                  <c:v>35155</c:v>
                </c:pt>
                <c:pt idx="20">
                  <c:v>35185</c:v>
                </c:pt>
                <c:pt idx="21">
                  <c:v>35216</c:v>
                </c:pt>
                <c:pt idx="22">
                  <c:v>35246</c:v>
                </c:pt>
                <c:pt idx="23">
                  <c:v>35277</c:v>
                </c:pt>
                <c:pt idx="24">
                  <c:v>35308</c:v>
                </c:pt>
                <c:pt idx="25">
                  <c:v>35338</c:v>
                </c:pt>
                <c:pt idx="26">
                  <c:v>35369</c:v>
                </c:pt>
                <c:pt idx="27">
                  <c:v>35399</c:v>
                </c:pt>
                <c:pt idx="28">
                  <c:v>35430</c:v>
                </c:pt>
                <c:pt idx="29">
                  <c:v>35461</c:v>
                </c:pt>
                <c:pt idx="30">
                  <c:v>35489</c:v>
                </c:pt>
                <c:pt idx="31">
                  <c:v>35520</c:v>
                </c:pt>
                <c:pt idx="32">
                  <c:v>35550</c:v>
                </c:pt>
                <c:pt idx="33">
                  <c:v>35581</c:v>
                </c:pt>
                <c:pt idx="34">
                  <c:v>35611</c:v>
                </c:pt>
                <c:pt idx="35">
                  <c:v>35642</c:v>
                </c:pt>
                <c:pt idx="36">
                  <c:v>35673</c:v>
                </c:pt>
                <c:pt idx="37">
                  <c:v>35703</c:v>
                </c:pt>
                <c:pt idx="38">
                  <c:v>35734</c:v>
                </c:pt>
                <c:pt idx="39">
                  <c:v>35764</c:v>
                </c:pt>
                <c:pt idx="40">
                  <c:v>35795</c:v>
                </c:pt>
                <c:pt idx="41">
                  <c:v>35826</c:v>
                </c:pt>
                <c:pt idx="42">
                  <c:v>35854</c:v>
                </c:pt>
                <c:pt idx="43">
                  <c:v>35885</c:v>
                </c:pt>
                <c:pt idx="44">
                  <c:v>35915</c:v>
                </c:pt>
                <c:pt idx="45">
                  <c:v>35946</c:v>
                </c:pt>
                <c:pt idx="46">
                  <c:v>35976</c:v>
                </c:pt>
                <c:pt idx="47">
                  <c:v>36007</c:v>
                </c:pt>
                <c:pt idx="48">
                  <c:v>36038</c:v>
                </c:pt>
                <c:pt idx="49">
                  <c:v>36068</c:v>
                </c:pt>
                <c:pt idx="50">
                  <c:v>36099</c:v>
                </c:pt>
                <c:pt idx="51">
                  <c:v>36129</c:v>
                </c:pt>
                <c:pt idx="52">
                  <c:v>36160</c:v>
                </c:pt>
                <c:pt idx="53">
                  <c:v>36191</c:v>
                </c:pt>
                <c:pt idx="54">
                  <c:v>36219</c:v>
                </c:pt>
                <c:pt idx="55">
                  <c:v>36250</c:v>
                </c:pt>
                <c:pt idx="56">
                  <c:v>36280</c:v>
                </c:pt>
                <c:pt idx="57">
                  <c:v>36311</c:v>
                </c:pt>
                <c:pt idx="58">
                  <c:v>36341</c:v>
                </c:pt>
                <c:pt idx="59">
                  <c:v>36372</c:v>
                </c:pt>
                <c:pt idx="60">
                  <c:v>36403</c:v>
                </c:pt>
                <c:pt idx="61">
                  <c:v>36433</c:v>
                </c:pt>
                <c:pt idx="62">
                  <c:v>36464</c:v>
                </c:pt>
                <c:pt idx="63">
                  <c:v>36494</c:v>
                </c:pt>
                <c:pt idx="64">
                  <c:v>36525</c:v>
                </c:pt>
                <c:pt idx="65">
                  <c:v>36556</c:v>
                </c:pt>
                <c:pt idx="66">
                  <c:v>36585</c:v>
                </c:pt>
                <c:pt idx="67">
                  <c:v>36616</c:v>
                </c:pt>
                <c:pt idx="68">
                  <c:v>36646</c:v>
                </c:pt>
                <c:pt idx="69">
                  <c:v>36677</c:v>
                </c:pt>
                <c:pt idx="70">
                  <c:v>36707</c:v>
                </c:pt>
                <c:pt idx="71">
                  <c:v>36738</c:v>
                </c:pt>
                <c:pt idx="72">
                  <c:v>36769</c:v>
                </c:pt>
                <c:pt idx="73">
                  <c:v>36799</c:v>
                </c:pt>
                <c:pt idx="74">
                  <c:v>36830</c:v>
                </c:pt>
                <c:pt idx="75">
                  <c:v>36860</c:v>
                </c:pt>
                <c:pt idx="76">
                  <c:v>36891</c:v>
                </c:pt>
                <c:pt idx="77">
                  <c:v>36922</c:v>
                </c:pt>
                <c:pt idx="78">
                  <c:v>36950</c:v>
                </c:pt>
                <c:pt idx="79">
                  <c:v>36981</c:v>
                </c:pt>
                <c:pt idx="80">
                  <c:v>37011</c:v>
                </c:pt>
                <c:pt idx="81">
                  <c:v>37042</c:v>
                </c:pt>
                <c:pt idx="82">
                  <c:v>37072</c:v>
                </c:pt>
                <c:pt idx="83">
                  <c:v>37103</c:v>
                </c:pt>
                <c:pt idx="84">
                  <c:v>37134</c:v>
                </c:pt>
                <c:pt idx="85">
                  <c:v>37164</c:v>
                </c:pt>
                <c:pt idx="86">
                  <c:v>37195</c:v>
                </c:pt>
                <c:pt idx="87">
                  <c:v>37225</c:v>
                </c:pt>
                <c:pt idx="88">
                  <c:v>37256</c:v>
                </c:pt>
                <c:pt idx="89">
                  <c:v>37287</c:v>
                </c:pt>
                <c:pt idx="90">
                  <c:v>37315</c:v>
                </c:pt>
                <c:pt idx="91">
                  <c:v>37346</c:v>
                </c:pt>
                <c:pt idx="92">
                  <c:v>37376</c:v>
                </c:pt>
                <c:pt idx="93">
                  <c:v>37407</c:v>
                </c:pt>
                <c:pt idx="94">
                  <c:v>37437</c:v>
                </c:pt>
                <c:pt idx="95">
                  <c:v>37468</c:v>
                </c:pt>
                <c:pt idx="96">
                  <c:v>37499</c:v>
                </c:pt>
                <c:pt idx="97">
                  <c:v>37529</c:v>
                </c:pt>
                <c:pt idx="98">
                  <c:v>37560</c:v>
                </c:pt>
                <c:pt idx="99">
                  <c:v>37590</c:v>
                </c:pt>
                <c:pt idx="100">
                  <c:v>37621</c:v>
                </c:pt>
                <c:pt idx="101">
                  <c:v>37652</c:v>
                </c:pt>
                <c:pt idx="102">
                  <c:v>37680</c:v>
                </c:pt>
                <c:pt idx="103">
                  <c:v>37711</c:v>
                </c:pt>
                <c:pt idx="104">
                  <c:v>37741</c:v>
                </c:pt>
                <c:pt idx="105">
                  <c:v>37772</c:v>
                </c:pt>
                <c:pt idx="106">
                  <c:v>37802</c:v>
                </c:pt>
                <c:pt idx="107">
                  <c:v>37833</c:v>
                </c:pt>
                <c:pt idx="108">
                  <c:v>37864</c:v>
                </c:pt>
                <c:pt idx="109">
                  <c:v>37894</c:v>
                </c:pt>
                <c:pt idx="110">
                  <c:v>37925</c:v>
                </c:pt>
                <c:pt idx="111">
                  <c:v>37955</c:v>
                </c:pt>
                <c:pt idx="112">
                  <c:v>37986</c:v>
                </c:pt>
                <c:pt idx="113">
                  <c:v>38017</c:v>
                </c:pt>
                <c:pt idx="114">
                  <c:v>38046</c:v>
                </c:pt>
                <c:pt idx="115">
                  <c:v>38077</c:v>
                </c:pt>
                <c:pt idx="116">
                  <c:v>38107</c:v>
                </c:pt>
                <c:pt idx="117">
                  <c:v>38138</c:v>
                </c:pt>
                <c:pt idx="118">
                  <c:v>38168</c:v>
                </c:pt>
                <c:pt idx="119">
                  <c:v>38199</c:v>
                </c:pt>
                <c:pt idx="120">
                  <c:v>38230</c:v>
                </c:pt>
                <c:pt idx="121">
                  <c:v>38260</c:v>
                </c:pt>
                <c:pt idx="122">
                  <c:v>38291</c:v>
                </c:pt>
                <c:pt idx="123">
                  <c:v>38321</c:v>
                </c:pt>
                <c:pt idx="124">
                  <c:v>38352</c:v>
                </c:pt>
                <c:pt idx="125">
                  <c:v>38383</c:v>
                </c:pt>
                <c:pt idx="126">
                  <c:v>38411</c:v>
                </c:pt>
                <c:pt idx="127">
                  <c:v>38442</c:v>
                </c:pt>
                <c:pt idx="128">
                  <c:v>38472</c:v>
                </c:pt>
                <c:pt idx="129">
                  <c:v>38503</c:v>
                </c:pt>
                <c:pt idx="130">
                  <c:v>38533</c:v>
                </c:pt>
                <c:pt idx="131">
                  <c:v>38564</c:v>
                </c:pt>
                <c:pt idx="132">
                  <c:v>38595</c:v>
                </c:pt>
                <c:pt idx="133">
                  <c:v>38625</c:v>
                </c:pt>
                <c:pt idx="134">
                  <c:v>38656</c:v>
                </c:pt>
                <c:pt idx="135">
                  <c:v>38686</c:v>
                </c:pt>
                <c:pt idx="136">
                  <c:v>38717</c:v>
                </c:pt>
                <c:pt idx="137">
                  <c:v>38748</c:v>
                </c:pt>
                <c:pt idx="138">
                  <c:v>38776</c:v>
                </c:pt>
                <c:pt idx="139">
                  <c:v>38807</c:v>
                </c:pt>
                <c:pt idx="140">
                  <c:v>38837</c:v>
                </c:pt>
                <c:pt idx="141">
                  <c:v>38868</c:v>
                </c:pt>
                <c:pt idx="142">
                  <c:v>38898</c:v>
                </c:pt>
                <c:pt idx="143">
                  <c:v>38929</c:v>
                </c:pt>
                <c:pt idx="144">
                  <c:v>38960</c:v>
                </c:pt>
                <c:pt idx="145">
                  <c:v>38990</c:v>
                </c:pt>
                <c:pt idx="146">
                  <c:v>39021</c:v>
                </c:pt>
                <c:pt idx="147">
                  <c:v>39051</c:v>
                </c:pt>
                <c:pt idx="148">
                  <c:v>39082</c:v>
                </c:pt>
                <c:pt idx="149">
                  <c:v>39113</c:v>
                </c:pt>
                <c:pt idx="150">
                  <c:v>39141</c:v>
                </c:pt>
                <c:pt idx="151">
                  <c:v>39172</c:v>
                </c:pt>
                <c:pt idx="152">
                  <c:v>39202</c:v>
                </c:pt>
                <c:pt idx="153">
                  <c:v>39233</c:v>
                </c:pt>
                <c:pt idx="154">
                  <c:v>39263</c:v>
                </c:pt>
                <c:pt idx="155">
                  <c:v>39294</c:v>
                </c:pt>
                <c:pt idx="156">
                  <c:v>39325</c:v>
                </c:pt>
                <c:pt idx="157">
                  <c:v>39355</c:v>
                </c:pt>
                <c:pt idx="158">
                  <c:v>39386</c:v>
                </c:pt>
                <c:pt idx="159">
                  <c:v>39416</c:v>
                </c:pt>
                <c:pt idx="160">
                  <c:v>39447</c:v>
                </c:pt>
                <c:pt idx="161">
                  <c:v>39478</c:v>
                </c:pt>
                <c:pt idx="162">
                  <c:v>39507</c:v>
                </c:pt>
                <c:pt idx="163">
                  <c:v>39538</c:v>
                </c:pt>
                <c:pt idx="164">
                  <c:v>39568</c:v>
                </c:pt>
                <c:pt idx="165">
                  <c:v>39599</c:v>
                </c:pt>
                <c:pt idx="166">
                  <c:v>39629</c:v>
                </c:pt>
                <c:pt idx="167">
                  <c:v>39660</c:v>
                </c:pt>
                <c:pt idx="168">
                  <c:v>39691</c:v>
                </c:pt>
                <c:pt idx="169">
                  <c:v>39721</c:v>
                </c:pt>
                <c:pt idx="170">
                  <c:v>39752</c:v>
                </c:pt>
                <c:pt idx="171">
                  <c:v>39782</c:v>
                </c:pt>
                <c:pt idx="172">
                  <c:v>39813</c:v>
                </c:pt>
                <c:pt idx="173">
                  <c:v>39844</c:v>
                </c:pt>
                <c:pt idx="174">
                  <c:v>39872</c:v>
                </c:pt>
                <c:pt idx="175">
                  <c:v>39903</c:v>
                </c:pt>
                <c:pt idx="176">
                  <c:v>39933</c:v>
                </c:pt>
                <c:pt idx="177">
                  <c:v>39964</c:v>
                </c:pt>
                <c:pt idx="178">
                  <c:v>39994</c:v>
                </c:pt>
                <c:pt idx="179">
                  <c:v>40025</c:v>
                </c:pt>
                <c:pt idx="180">
                  <c:v>40056</c:v>
                </c:pt>
                <c:pt idx="181">
                  <c:v>40086</c:v>
                </c:pt>
                <c:pt idx="182">
                  <c:v>40117</c:v>
                </c:pt>
                <c:pt idx="183">
                  <c:v>40147</c:v>
                </c:pt>
                <c:pt idx="184">
                  <c:v>40178</c:v>
                </c:pt>
                <c:pt idx="185">
                  <c:v>40209</c:v>
                </c:pt>
                <c:pt idx="186">
                  <c:v>40237</c:v>
                </c:pt>
                <c:pt idx="187">
                  <c:v>40268</c:v>
                </c:pt>
                <c:pt idx="188">
                  <c:v>40298</c:v>
                </c:pt>
                <c:pt idx="189">
                  <c:v>40329</c:v>
                </c:pt>
                <c:pt idx="190">
                  <c:v>40359</c:v>
                </c:pt>
                <c:pt idx="191">
                  <c:v>40390</c:v>
                </c:pt>
                <c:pt idx="192">
                  <c:v>40421</c:v>
                </c:pt>
                <c:pt idx="193">
                  <c:v>40451</c:v>
                </c:pt>
                <c:pt idx="194">
                  <c:v>40482</c:v>
                </c:pt>
                <c:pt idx="195">
                  <c:v>40512</c:v>
                </c:pt>
                <c:pt idx="196">
                  <c:v>40543</c:v>
                </c:pt>
                <c:pt idx="197">
                  <c:v>40574</c:v>
                </c:pt>
                <c:pt idx="198">
                  <c:v>40602</c:v>
                </c:pt>
                <c:pt idx="199">
                  <c:v>40633</c:v>
                </c:pt>
                <c:pt idx="200">
                  <c:v>40663</c:v>
                </c:pt>
                <c:pt idx="201">
                  <c:v>40694</c:v>
                </c:pt>
                <c:pt idx="202">
                  <c:v>40724</c:v>
                </c:pt>
                <c:pt idx="203">
                  <c:v>40755</c:v>
                </c:pt>
                <c:pt idx="204">
                  <c:v>40786</c:v>
                </c:pt>
                <c:pt idx="205">
                  <c:v>40816</c:v>
                </c:pt>
                <c:pt idx="206">
                  <c:v>40847</c:v>
                </c:pt>
                <c:pt idx="207">
                  <c:v>40877</c:v>
                </c:pt>
                <c:pt idx="208">
                  <c:v>40908</c:v>
                </c:pt>
                <c:pt idx="209">
                  <c:v>40939</c:v>
                </c:pt>
                <c:pt idx="210">
                  <c:v>40968</c:v>
                </c:pt>
                <c:pt idx="211">
                  <c:v>40999</c:v>
                </c:pt>
                <c:pt idx="212">
                  <c:v>41029</c:v>
                </c:pt>
                <c:pt idx="213">
                  <c:v>41060</c:v>
                </c:pt>
                <c:pt idx="214">
                  <c:v>41090</c:v>
                </c:pt>
                <c:pt idx="215">
                  <c:v>41121</c:v>
                </c:pt>
                <c:pt idx="216">
                  <c:v>41152</c:v>
                </c:pt>
                <c:pt idx="217">
                  <c:v>41182</c:v>
                </c:pt>
                <c:pt idx="218">
                  <c:v>41213</c:v>
                </c:pt>
                <c:pt idx="219">
                  <c:v>41243</c:v>
                </c:pt>
                <c:pt idx="220">
                  <c:v>41274</c:v>
                </c:pt>
                <c:pt idx="221">
                  <c:v>41305</c:v>
                </c:pt>
                <c:pt idx="222">
                  <c:v>41333</c:v>
                </c:pt>
                <c:pt idx="223">
                  <c:v>41364</c:v>
                </c:pt>
                <c:pt idx="224">
                  <c:v>41394</c:v>
                </c:pt>
                <c:pt idx="225">
                  <c:v>41425</c:v>
                </c:pt>
                <c:pt idx="226">
                  <c:v>41455</c:v>
                </c:pt>
                <c:pt idx="227">
                  <c:v>41486</c:v>
                </c:pt>
                <c:pt idx="228">
                  <c:v>41517</c:v>
                </c:pt>
                <c:pt idx="229">
                  <c:v>41547</c:v>
                </c:pt>
                <c:pt idx="230">
                  <c:v>41578</c:v>
                </c:pt>
                <c:pt idx="231">
                  <c:v>41608</c:v>
                </c:pt>
                <c:pt idx="232">
                  <c:v>41639</c:v>
                </c:pt>
                <c:pt idx="233">
                  <c:v>41670</c:v>
                </c:pt>
                <c:pt idx="234">
                  <c:v>41698</c:v>
                </c:pt>
                <c:pt idx="235">
                  <c:v>41729</c:v>
                </c:pt>
                <c:pt idx="236">
                  <c:v>41759</c:v>
                </c:pt>
                <c:pt idx="237">
                  <c:v>41790</c:v>
                </c:pt>
                <c:pt idx="238">
                  <c:v>41820</c:v>
                </c:pt>
                <c:pt idx="239">
                  <c:v>41851</c:v>
                </c:pt>
                <c:pt idx="240">
                  <c:v>41882</c:v>
                </c:pt>
                <c:pt idx="241">
                  <c:v>41912</c:v>
                </c:pt>
                <c:pt idx="242">
                  <c:v>41943</c:v>
                </c:pt>
                <c:pt idx="243">
                  <c:v>41973</c:v>
                </c:pt>
                <c:pt idx="244">
                  <c:v>42004</c:v>
                </c:pt>
                <c:pt idx="245">
                  <c:v>42035</c:v>
                </c:pt>
                <c:pt idx="246">
                  <c:v>42063</c:v>
                </c:pt>
                <c:pt idx="247">
                  <c:v>42094</c:v>
                </c:pt>
                <c:pt idx="248">
                  <c:v>42124</c:v>
                </c:pt>
                <c:pt idx="249">
                  <c:v>42155</c:v>
                </c:pt>
                <c:pt idx="250">
                  <c:v>42185</c:v>
                </c:pt>
                <c:pt idx="251">
                  <c:v>42216</c:v>
                </c:pt>
                <c:pt idx="252">
                  <c:v>42247</c:v>
                </c:pt>
                <c:pt idx="253">
                  <c:v>42277</c:v>
                </c:pt>
                <c:pt idx="254">
                  <c:v>42308</c:v>
                </c:pt>
                <c:pt idx="255">
                  <c:v>42338</c:v>
                </c:pt>
                <c:pt idx="256">
                  <c:v>42369</c:v>
                </c:pt>
                <c:pt idx="257">
                  <c:v>42400</c:v>
                </c:pt>
                <c:pt idx="258">
                  <c:v>42429</c:v>
                </c:pt>
                <c:pt idx="259">
                  <c:v>42460</c:v>
                </c:pt>
                <c:pt idx="260">
                  <c:v>42490</c:v>
                </c:pt>
                <c:pt idx="261">
                  <c:v>42521</c:v>
                </c:pt>
                <c:pt idx="262">
                  <c:v>42551</c:v>
                </c:pt>
                <c:pt idx="263">
                  <c:v>42582</c:v>
                </c:pt>
                <c:pt idx="264">
                  <c:v>42613</c:v>
                </c:pt>
                <c:pt idx="265">
                  <c:v>42643</c:v>
                </c:pt>
                <c:pt idx="266">
                  <c:v>42674</c:v>
                </c:pt>
                <c:pt idx="267">
                  <c:v>42704</c:v>
                </c:pt>
                <c:pt idx="268">
                  <c:v>42735</c:v>
                </c:pt>
                <c:pt idx="269">
                  <c:v>42766</c:v>
                </c:pt>
                <c:pt idx="270">
                  <c:v>42794</c:v>
                </c:pt>
                <c:pt idx="271">
                  <c:v>42825</c:v>
                </c:pt>
                <c:pt idx="272">
                  <c:v>42855</c:v>
                </c:pt>
                <c:pt idx="273">
                  <c:v>42886</c:v>
                </c:pt>
                <c:pt idx="274">
                  <c:v>42916</c:v>
                </c:pt>
                <c:pt idx="275">
                  <c:v>42947</c:v>
                </c:pt>
                <c:pt idx="276">
                  <c:v>42978</c:v>
                </c:pt>
                <c:pt idx="277">
                  <c:v>43008</c:v>
                </c:pt>
                <c:pt idx="278">
                  <c:v>43039</c:v>
                </c:pt>
                <c:pt idx="279">
                  <c:v>43069</c:v>
                </c:pt>
                <c:pt idx="280">
                  <c:v>43100</c:v>
                </c:pt>
                <c:pt idx="281">
                  <c:v>43131</c:v>
                </c:pt>
                <c:pt idx="282">
                  <c:v>43159</c:v>
                </c:pt>
                <c:pt idx="283">
                  <c:v>43190</c:v>
                </c:pt>
                <c:pt idx="284">
                  <c:v>43220</c:v>
                </c:pt>
                <c:pt idx="285">
                  <c:v>43251</c:v>
                </c:pt>
                <c:pt idx="286">
                  <c:v>43281</c:v>
                </c:pt>
                <c:pt idx="287">
                  <c:v>43312</c:v>
                </c:pt>
                <c:pt idx="288">
                  <c:v>43343</c:v>
                </c:pt>
                <c:pt idx="289">
                  <c:v>43373</c:v>
                </c:pt>
                <c:pt idx="290">
                  <c:v>43404</c:v>
                </c:pt>
                <c:pt idx="291">
                  <c:v>43434</c:v>
                </c:pt>
                <c:pt idx="292">
                  <c:v>43465</c:v>
                </c:pt>
                <c:pt idx="293">
                  <c:v>43496</c:v>
                </c:pt>
                <c:pt idx="294">
                  <c:v>43524</c:v>
                </c:pt>
                <c:pt idx="295">
                  <c:v>43555</c:v>
                </c:pt>
                <c:pt idx="296">
                  <c:v>43585</c:v>
                </c:pt>
                <c:pt idx="297">
                  <c:v>43616</c:v>
                </c:pt>
                <c:pt idx="298">
                  <c:v>43646</c:v>
                </c:pt>
                <c:pt idx="299">
                  <c:v>43677</c:v>
                </c:pt>
                <c:pt idx="300">
                  <c:v>43708</c:v>
                </c:pt>
                <c:pt idx="301">
                  <c:v>43738</c:v>
                </c:pt>
                <c:pt idx="302">
                  <c:v>43769</c:v>
                </c:pt>
                <c:pt idx="303">
                  <c:v>43799</c:v>
                </c:pt>
                <c:pt idx="304">
                  <c:v>43830</c:v>
                </c:pt>
                <c:pt idx="305">
                  <c:v>43861</c:v>
                </c:pt>
                <c:pt idx="306">
                  <c:v>43890</c:v>
                </c:pt>
                <c:pt idx="307">
                  <c:v>43921</c:v>
                </c:pt>
                <c:pt idx="308">
                  <c:v>43951</c:v>
                </c:pt>
                <c:pt idx="309">
                  <c:v>43982</c:v>
                </c:pt>
                <c:pt idx="310">
                  <c:v>44012</c:v>
                </c:pt>
                <c:pt idx="311">
                  <c:v>44043</c:v>
                </c:pt>
                <c:pt idx="312">
                  <c:v>44074</c:v>
                </c:pt>
                <c:pt idx="313">
                  <c:v>44104</c:v>
                </c:pt>
                <c:pt idx="314">
                  <c:v>44135</c:v>
                </c:pt>
                <c:pt idx="315">
                  <c:v>44165</c:v>
                </c:pt>
                <c:pt idx="316">
                  <c:v>44196</c:v>
                </c:pt>
                <c:pt idx="317">
                  <c:v>44227</c:v>
                </c:pt>
                <c:pt idx="318">
                  <c:v>44255</c:v>
                </c:pt>
                <c:pt idx="319">
                  <c:v>44286</c:v>
                </c:pt>
                <c:pt idx="320">
                  <c:v>44316</c:v>
                </c:pt>
                <c:pt idx="321">
                  <c:v>44347</c:v>
                </c:pt>
                <c:pt idx="322">
                  <c:v>44377</c:v>
                </c:pt>
                <c:pt idx="323">
                  <c:v>44408</c:v>
                </c:pt>
                <c:pt idx="324">
                  <c:v>44439</c:v>
                </c:pt>
                <c:pt idx="325">
                  <c:v>44469</c:v>
                </c:pt>
                <c:pt idx="326">
                  <c:v>44500</c:v>
                </c:pt>
                <c:pt idx="327">
                  <c:v>44530</c:v>
                </c:pt>
                <c:pt idx="328">
                  <c:v>44561</c:v>
                </c:pt>
                <c:pt idx="329">
                  <c:v>44592</c:v>
                </c:pt>
                <c:pt idx="330">
                  <c:v>44620</c:v>
                </c:pt>
                <c:pt idx="331">
                  <c:v>44651</c:v>
                </c:pt>
                <c:pt idx="332">
                  <c:v>44681</c:v>
                </c:pt>
                <c:pt idx="333">
                  <c:v>44712</c:v>
                </c:pt>
                <c:pt idx="334">
                  <c:v>44742</c:v>
                </c:pt>
                <c:pt idx="335">
                  <c:v>44773</c:v>
                </c:pt>
                <c:pt idx="336">
                  <c:v>44804</c:v>
                </c:pt>
                <c:pt idx="337">
                  <c:v>44834</c:v>
                </c:pt>
                <c:pt idx="338">
                  <c:v>44865</c:v>
                </c:pt>
                <c:pt idx="339">
                  <c:v>44895</c:v>
                </c:pt>
                <c:pt idx="340">
                  <c:v>44926</c:v>
                </c:pt>
                <c:pt idx="341">
                  <c:v>44957</c:v>
                </c:pt>
                <c:pt idx="342">
                  <c:v>44985</c:v>
                </c:pt>
                <c:pt idx="343">
                  <c:v>45016</c:v>
                </c:pt>
                <c:pt idx="344">
                  <c:v>45046</c:v>
                </c:pt>
                <c:pt idx="345">
                  <c:v>45077</c:v>
                </c:pt>
                <c:pt idx="346">
                  <c:v>45107</c:v>
                </c:pt>
                <c:pt idx="347">
                  <c:v>45138</c:v>
                </c:pt>
                <c:pt idx="348">
                  <c:v>45169</c:v>
                </c:pt>
                <c:pt idx="349">
                  <c:v>45199</c:v>
                </c:pt>
                <c:pt idx="350">
                  <c:v>45230</c:v>
                </c:pt>
                <c:pt idx="351">
                  <c:v>45260</c:v>
                </c:pt>
                <c:pt idx="352">
                  <c:v>45291</c:v>
                </c:pt>
                <c:pt idx="353">
                  <c:v>45322</c:v>
                </c:pt>
                <c:pt idx="354">
                  <c:v>45351</c:v>
                </c:pt>
                <c:pt idx="355">
                  <c:v>45382</c:v>
                </c:pt>
                <c:pt idx="356">
                  <c:v>45412</c:v>
                </c:pt>
                <c:pt idx="357">
                  <c:v>45443</c:v>
                </c:pt>
                <c:pt idx="358">
                  <c:v>45473</c:v>
                </c:pt>
                <c:pt idx="359">
                  <c:v>45504</c:v>
                </c:pt>
                <c:pt idx="360">
                  <c:v>45535</c:v>
                </c:pt>
                <c:pt idx="361">
                  <c:v>45565</c:v>
                </c:pt>
                <c:pt idx="362">
                  <c:v>45596</c:v>
                </c:pt>
                <c:pt idx="363">
                  <c:v>45626</c:v>
                </c:pt>
                <c:pt idx="364">
                  <c:v>45657</c:v>
                </c:pt>
                <c:pt idx="365">
                  <c:v>45688</c:v>
                </c:pt>
                <c:pt idx="366">
                  <c:v>45716</c:v>
                </c:pt>
                <c:pt idx="367">
                  <c:v>45747</c:v>
                </c:pt>
                <c:pt idx="368">
                  <c:v>45777</c:v>
                </c:pt>
                <c:pt idx="369">
                  <c:v>45808</c:v>
                </c:pt>
                <c:pt idx="370">
                  <c:v>45838</c:v>
                </c:pt>
                <c:pt idx="371">
                  <c:v>45869</c:v>
                </c:pt>
                <c:pt idx="372">
                  <c:v>45900</c:v>
                </c:pt>
                <c:pt idx="373">
                  <c:v>45930</c:v>
                </c:pt>
                <c:pt idx="374">
                  <c:v>45961</c:v>
                </c:pt>
                <c:pt idx="375">
                  <c:v>45991</c:v>
                </c:pt>
                <c:pt idx="376">
                  <c:v>46022</c:v>
                </c:pt>
              </c:numCache>
            </c:numRef>
          </c:cat>
          <c:val>
            <c:numRef>
              <c:f>Momo!$M$2:$M$378</c:f>
              <c:numCache>
                <c:formatCode>General</c:formatCode>
                <c:ptCount val="377"/>
                <c:pt idx="0">
                  <c:v>100</c:v>
                </c:pt>
                <c:pt idx="1">
                  <c:v>86.590270897528399</c:v>
                </c:pt>
                <c:pt idx="2">
                  <c:v>80.600717698650755</c:v>
                </c:pt>
                <c:pt idx="3">
                  <c:v>81.60226481703063</c:v>
                </c:pt>
                <c:pt idx="4">
                  <c:v>94.377716454517312</c:v>
                </c:pt>
                <c:pt idx="5">
                  <c:v>97.902778787951689</c:v>
                </c:pt>
                <c:pt idx="6">
                  <c:v>97.910563697001848</c:v>
                </c:pt>
                <c:pt idx="7">
                  <c:v>102.39143828620101</c:v>
                </c:pt>
                <c:pt idx="8">
                  <c:v>84.650807103701524</c:v>
                </c:pt>
                <c:pt idx="9">
                  <c:v>82.643619795891809</c:v>
                </c:pt>
                <c:pt idx="10">
                  <c:v>79.476248450107576</c:v>
                </c:pt>
                <c:pt idx="11">
                  <c:v>90.279428214146236</c:v>
                </c:pt>
                <c:pt idx="12">
                  <c:v>89.931202204235518</c:v>
                </c:pt>
                <c:pt idx="13">
                  <c:v>86.368602556829629</c:v>
                </c:pt>
                <c:pt idx="14">
                  <c:v>90.172268611871672</c:v>
                </c:pt>
                <c:pt idx="15">
                  <c:v>95.125871068731371</c:v>
                </c:pt>
                <c:pt idx="16">
                  <c:v>90.153364084725368</c:v>
                </c:pt>
                <c:pt idx="17">
                  <c:v>98.689717539053731</c:v>
                </c:pt>
                <c:pt idx="18">
                  <c:v>98.569331930857743</c:v>
                </c:pt>
                <c:pt idx="19">
                  <c:v>96.995202575530953</c:v>
                </c:pt>
                <c:pt idx="20">
                  <c:v>103.68892409432522</c:v>
                </c:pt>
                <c:pt idx="21">
                  <c:v>105.99680159033593</c:v>
                </c:pt>
                <c:pt idx="22">
                  <c:v>133.63124318186425</c:v>
                </c:pt>
                <c:pt idx="23">
                  <c:v>131.38820577283607</c:v>
                </c:pt>
                <c:pt idx="24">
                  <c:v>128.15301787556012</c:v>
                </c:pt>
                <c:pt idx="25">
                  <c:v>117.88662885075618</c:v>
                </c:pt>
                <c:pt idx="26">
                  <c:v>118.93861786035414</c:v>
                </c:pt>
                <c:pt idx="27">
                  <c:v>117.92271446227288</c:v>
                </c:pt>
                <c:pt idx="28">
                  <c:v>126.68118541877041</c:v>
                </c:pt>
                <c:pt idx="29">
                  <c:v>128.09227501954362</c:v>
                </c:pt>
                <c:pt idx="30">
                  <c:v>145.46823280527443</c:v>
                </c:pt>
                <c:pt idx="31">
                  <c:v>147.55583658329934</c:v>
                </c:pt>
                <c:pt idx="32">
                  <c:v>174.48833387025346</c:v>
                </c:pt>
                <c:pt idx="33">
                  <c:v>179.88360518722462</c:v>
                </c:pt>
                <c:pt idx="34">
                  <c:v>150.08955304905524</c:v>
                </c:pt>
                <c:pt idx="35">
                  <c:v>146.03784596512241</c:v>
                </c:pt>
                <c:pt idx="36">
                  <c:v>129.57234151283174</c:v>
                </c:pt>
                <c:pt idx="37">
                  <c:v>138.47508703417068</c:v>
                </c:pt>
                <c:pt idx="38">
                  <c:v>156.92176851362123</c:v>
                </c:pt>
                <c:pt idx="39">
                  <c:v>167.81549742501647</c:v>
                </c:pt>
                <c:pt idx="40">
                  <c:v>172.78878805495214</c:v>
                </c:pt>
                <c:pt idx="41">
                  <c:v>127.9140851928431</c:v>
                </c:pt>
                <c:pt idx="42">
                  <c:v>135.47939033811855</c:v>
                </c:pt>
                <c:pt idx="43">
                  <c:v>123.32671042335329</c:v>
                </c:pt>
                <c:pt idx="44">
                  <c:v>134.05770522055934</c:v>
                </c:pt>
                <c:pt idx="45">
                  <c:v>137.49512610993463</c:v>
                </c:pt>
                <c:pt idx="46">
                  <c:v>134.539727507826</c:v>
                </c:pt>
                <c:pt idx="47">
                  <c:v>122.96771230504062</c:v>
                </c:pt>
                <c:pt idx="48">
                  <c:v>133.21792738960968</c:v>
                </c:pt>
                <c:pt idx="49">
                  <c:v>138.98068108822559</c:v>
                </c:pt>
                <c:pt idx="50">
                  <c:v>126.54499364351042</c:v>
                </c:pt>
                <c:pt idx="51">
                  <c:v>94.034103905795192</c:v>
                </c:pt>
                <c:pt idx="52">
                  <c:v>115.41192310739721</c:v>
                </c:pt>
                <c:pt idx="53">
                  <c:v>144.35462087749372</c:v>
                </c:pt>
                <c:pt idx="54">
                  <c:v>116.47182008888383</c:v>
                </c:pt>
                <c:pt idx="55">
                  <c:v>73.138720112025965</c:v>
                </c:pt>
                <c:pt idx="56">
                  <c:v>59.351296612556851</c:v>
                </c:pt>
                <c:pt idx="57">
                  <c:v>59.663863002069121</c:v>
                </c:pt>
                <c:pt idx="58">
                  <c:v>73.307144248896037</c:v>
                </c:pt>
                <c:pt idx="59">
                  <c:v>76.0445448463025</c:v>
                </c:pt>
                <c:pt idx="60">
                  <c:v>83.144411445114883</c:v>
                </c:pt>
                <c:pt idx="61">
                  <c:v>78.820980184720526</c:v>
                </c:pt>
                <c:pt idx="62">
                  <c:v>72.746630511074599</c:v>
                </c:pt>
                <c:pt idx="63">
                  <c:v>75.720565956765157</c:v>
                </c:pt>
                <c:pt idx="64">
                  <c:v>74.080440792102308</c:v>
                </c:pt>
                <c:pt idx="65">
                  <c:v>72.799290388891677</c:v>
                </c:pt>
                <c:pt idx="66">
                  <c:v>73.462483886224589</c:v>
                </c:pt>
                <c:pt idx="67">
                  <c:v>76.9912009015097</c:v>
                </c:pt>
                <c:pt idx="68">
                  <c:v>67.292223357579587</c:v>
                </c:pt>
                <c:pt idx="69">
                  <c:v>77.363520970058417</c:v>
                </c:pt>
                <c:pt idx="70">
                  <c:v>81.443527081790094</c:v>
                </c:pt>
                <c:pt idx="71">
                  <c:v>75.789313016029709</c:v>
                </c:pt>
                <c:pt idx="72">
                  <c:v>72.479054284041894</c:v>
                </c:pt>
                <c:pt idx="73">
                  <c:v>73.715060658830893</c:v>
                </c:pt>
                <c:pt idx="74">
                  <c:v>68.445785056522382</c:v>
                </c:pt>
                <c:pt idx="75">
                  <c:v>68.123171392418854</c:v>
                </c:pt>
                <c:pt idx="76">
                  <c:v>68.421837029399626</c:v>
                </c:pt>
                <c:pt idx="77">
                  <c:v>61.856931326355294</c:v>
                </c:pt>
                <c:pt idx="78">
                  <c:v>66.348552441930607</c:v>
                </c:pt>
                <c:pt idx="79">
                  <c:v>76.957971188142409</c:v>
                </c:pt>
                <c:pt idx="80">
                  <c:v>67.924427710954262</c:v>
                </c:pt>
                <c:pt idx="81">
                  <c:v>67.675836662713479</c:v>
                </c:pt>
                <c:pt idx="82">
                  <c:v>77.036571509878826</c:v>
                </c:pt>
                <c:pt idx="83">
                  <c:v>78.901204600514475</c:v>
                </c:pt>
                <c:pt idx="84">
                  <c:v>83.970016349522268</c:v>
                </c:pt>
                <c:pt idx="85">
                  <c:v>93.039993533960214</c:v>
                </c:pt>
                <c:pt idx="86">
                  <c:v>91.254762901458164</c:v>
                </c:pt>
                <c:pt idx="87">
                  <c:v>80.336555684061409</c:v>
                </c:pt>
                <c:pt idx="88">
                  <c:v>88.870347402682754</c:v>
                </c:pt>
                <c:pt idx="89">
                  <c:v>93.402755915366185</c:v>
                </c:pt>
                <c:pt idx="90">
                  <c:v>100.59862563574524</c:v>
                </c:pt>
                <c:pt idx="91">
                  <c:v>107.64861520963949</c:v>
                </c:pt>
                <c:pt idx="92">
                  <c:v>107.12017608582426</c:v>
                </c:pt>
                <c:pt idx="93">
                  <c:v>95.319444311557689</c:v>
                </c:pt>
                <c:pt idx="94">
                  <c:v>87.051746448068897</c:v>
                </c:pt>
                <c:pt idx="95">
                  <c:v>91.349456260932811</c:v>
                </c:pt>
                <c:pt idx="96">
                  <c:v>90.425894910439354</c:v>
                </c:pt>
                <c:pt idx="97">
                  <c:v>80.522644343010853</c:v>
                </c:pt>
                <c:pt idx="98">
                  <c:v>104.43600166039087</c:v>
                </c:pt>
                <c:pt idx="99">
                  <c:v>93.831316171723628</c:v>
                </c:pt>
                <c:pt idx="100">
                  <c:v>105.69833923166546</c:v>
                </c:pt>
                <c:pt idx="101">
                  <c:v>114.8218114836278</c:v>
                </c:pt>
                <c:pt idx="102">
                  <c:v>125.58333744790967</c:v>
                </c:pt>
                <c:pt idx="103">
                  <c:v>137.31486319290718</c:v>
                </c:pt>
                <c:pt idx="104">
                  <c:v>127.68578949946949</c:v>
                </c:pt>
                <c:pt idx="105">
                  <c:v>133.20427272405647</c:v>
                </c:pt>
                <c:pt idx="106">
                  <c:v>156.15779514446535</c:v>
                </c:pt>
                <c:pt idx="107">
                  <c:v>159.94667587175033</c:v>
                </c:pt>
                <c:pt idx="108">
                  <c:v>171.67553020123538</c:v>
                </c:pt>
                <c:pt idx="109">
                  <c:v>155.7922066447565</c:v>
                </c:pt>
                <c:pt idx="110">
                  <c:v>165.43188864213201</c:v>
                </c:pt>
                <c:pt idx="111">
                  <c:v>182.07062745962858</c:v>
                </c:pt>
                <c:pt idx="112">
                  <c:v>168.18851243941148</c:v>
                </c:pt>
                <c:pt idx="113">
                  <c:v>164.07462983214722</c:v>
                </c:pt>
                <c:pt idx="114">
                  <c:v>176.86739992535033</c:v>
                </c:pt>
                <c:pt idx="115">
                  <c:v>180.6610503011874</c:v>
                </c:pt>
                <c:pt idx="116">
                  <c:v>171.88637553055261</c:v>
                </c:pt>
                <c:pt idx="117">
                  <c:v>177.93019507059321</c:v>
                </c:pt>
                <c:pt idx="118">
                  <c:v>178.05694972266431</c:v>
                </c:pt>
                <c:pt idx="119">
                  <c:v>195.61239872122349</c:v>
                </c:pt>
                <c:pt idx="120">
                  <c:v>219.25187740382924</c:v>
                </c:pt>
                <c:pt idx="121">
                  <c:v>221.85093365625269</c:v>
                </c:pt>
                <c:pt idx="122">
                  <c:v>222.37356877971979</c:v>
                </c:pt>
                <c:pt idx="123">
                  <c:v>252.31311800058248</c:v>
                </c:pt>
                <c:pt idx="124">
                  <c:v>270.394760030241</c:v>
                </c:pt>
                <c:pt idx="125">
                  <c:v>265.7446473098401</c:v>
                </c:pt>
                <c:pt idx="126">
                  <c:v>278.79126200986661</c:v>
                </c:pt>
                <c:pt idx="127">
                  <c:v>259.74607410123474</c:v>
                </c:pt>
                <c:pt idx="128">
                  <c:v>257.77618194979601</c:v>
                </c:pt>
                <c:pt idx="129">
                  <c:v>245.89062562649008</c:v>
                </c:pt>
                <c:pt idx="130">
                  <c:v>245.93734216081066</c:v>
                </c:pt>
                <c:pt idx="131">
                  <c:v>252.13330504041568</c:v>
                </c:pt>
                <c:pt idx="132">
                  <c:v>279.23225465562274</c:v>
                </c:pt>
                <c:pt idx="133">
                  <c:v>308.18966847743712</c:v>
                </c:pt>
                <c:pt idx="134">
                  <c:v>313.64526909369727</c:v>
                </c:pt>
                <c:pt idx="135">
                  <c:v>300.94560823452173</c:v>
                </c:pt>
                <c:pt idx="136">
                  <c:v>319.26008752775766</c:v>
                </c:pt>
                <c:pt idx="137">
                  <c:v>336.70487503130687</c:v>
                </c:pt>
                <c:pt idx="138">
                  <c:v>328.77654509429146</c:v>
                </c:pt>
                <c:pt idx="139">
                  <c:v>328.07452353587485</c:v>
                </c:pt>
                <c:pt idx="140">
                  <c:v>331.68347124968784</c:v>
                </c:pt>
                <c:pt idx="141">
                  <c:v>320.32400413945101</c:v>
                </c:pt>
                <c:pt idx="142">
                  <c:v>301.99112699629694</c:v>
                </c:pt>
                <c:pt idx="143">
                  <c:v>303.0406815793321</c:v>
                </c:pt>
                <c:pt idx="144">
                  <c:v>287.53064466038052</c:v>
                </c:pt>
                <c:pt idx="145">
                  <c:v>279.06421194711419</c:v>
                </c:pt>
                <c:pt idx="146">
                  <c:v>273.04844572869928</c:v>
                </c:pt>
                <c:pt idx="147">
                  <c:v>250.54448373465587</c:v>
                </c:pt>
                <c:pt idx="148">
                  <c:v>257.3436979272646</c:v>
                </c:pt>
                <c:pt idx="149">
                  <c:v>267.3353124781525</c:v>
                </c:pt>
                <c:pt idx="150">
                  <c:v>253.06944324349323</c:v>
                </c:pt>
                <c:pt idx="151">
                  <c:v>250.28808891435301</c:v>
                </c:pt>
                <c:pt idx="152">
                  <c:v>252.2156880714189</c:v>
                </c:pt>
                <c:pt idx="153">
                  <c:v>241.59212713087379</c:v>
                </c:pt>
                <c:pt idx="154">
                  <c:v>260.6881985205693</c:v>
                </c:pt>
                <c:pt idx="155">
                  <c:v>270.18018822501324</c:v>
                </c:pt>
                <c:pt idx="156">
                  <c:v>261.87784643375727</c:v>
                </c:pt>
                <c:pt idx="157">
                  <c:v>271.08787906505324</c:v>
                </c:pt>
                <c:pt idx="158">
                  <c:v>285.52724382942921</c:v>
                </c:pt>
                <c:pt idx="159">
                  <c:v>295.31075036468548</c:v>
                </c:pt>
                <c:pt idx="160">
                  <c:v>331.63378082199381</c:v>
                </c:pt>
                <c:pt idx="161">
                  <c:v>333.59476578296443</c:v>
                </c:pt>
                <c:pt idx="162">
                  <c:v>330.46752527153205</c:v>
                </c:pt>
                <c:pt idx="163">
                  <c:v>337.13780732246244</c:v>
                </c:pt>
                <c:pt idx="164">
                  <c:v>358.64348075352757</c:v>
                </c:pt>
                <c:pt idx="165">
                  <c:v>359.96094412595562</c:v>
                </c:pt>
                <c:pt idx="166">
                  <c:v>365.89381263868762</c:v>
                </c:pt>
                <c:pt idx="167">
                  <c:v>358.68432372475837</c:v>
                </c:pt>
                <c:pt idx="168">
                  <c:v>348.07342586882379</c:v>
                </c:pt>
                <c:pt idx="169">
                  <c:v>376.94535345191201</c:v>
                </c:pt>
                <c:pt idx="170">
                  <c:v>401.14695463123763</c:v>
                </c:pt>
                <c:pt idx="171">
                  <c:v>453.34394984945533</c:v>
                </c:pt>
                <c:pt idx="172">
                  <c:v>402.42350294560305</c:v>
                </c:pt>
                <c:pt idx="173">
                  <c:v>385.97252937134573</c:v>
                </c:pt>
                <c:pt idx="174">
                  <c:v>424.30721881092251</c:v>
                </c:pt>
                <c:pt idx="175">
                  <c:v>402.11422936631453</c:v>
                </c:pt>
                <c:pt idx="176">
                  <c:v>283.4113175333581</c:v>
                </c:pt>
                <c:pt idx="177">
                  <c:v>244.50696265731457</c:v>
                </c:pt>
                <c:pt idx="178">
                  <c:v>252.97407037019161</c:v>
                </c:pt>
                <c:pt idx="179">
                  <c:v>219.91382722041405</c:v>
                </c:pt>
                <c:pt idx="180">
                  <c:v>196.95553630561068</c:v>
                </c:pt>
                <c:pt idx="181">
                  <c:v>207.57683268678974</c:v>
                </c:pt>
                <c:pt idx="182">
                  <c:v>210.21257473397137</c:v>
                </c:pt>
                <c:pt idx="183">
                  <c:v>223.96979712814147</c:v>
                </c:pt>
                <c:pt idx="184">
                  <c:v>217.53966918607236</c:v>
                </c:pt>
                <c:pt idx="185">
                  <c:v>218.77542306419926</c:v>
                </c:pt>
                <c:pt idx="186">
                  <c:v>223.88598622366217</c:v>
                </c:pt>
                <c:pt idx="187">
                  <c:v>207.40003302484126</c:v>
                </c:pt>
                <c:pt idx="188">
                  <c:v>204.30578593231797</c:v>
                </c:pt>
                <c:pt idx="189">
                  <c:v>203.02425482675821</c:v>
                </c:pt>
                <c:pt idx="190">
                  <c:v>208.40047958263881</c:v>
                </c:pt>
                <c:pt idx="191">
                  <c:v>212.76646001167961</c:v>
                </c:pt>
                <c:pt idx="192">
                  <c:v>227.30055952370455</c:v>
                </c:pt>
                <c:pt idx="193">
                  <c:v>228.8022539814728</c:v>
                </c:pt>
                <c:pt idx="194">
                  <c:v>243.52817598560654</c:v>
                </c:pt>
                <c:pt idx="195">
                  <c:v>244.97346629103865</c:v>
                </c:pt>
                <c:pt idx="196">
                  <c:v>240.6154787051459</c:v>
                </c:pt>
                <c:pt idx="197">
                  <c:v>236.42692663703261</c:v>
                </c:pt>
                <c:pt idx="198">
                  <c:v>242.63318127068129</c:v>
                </c:pt>
                <c:pt idx="199">
                  <c:v>250.64967654583887</c:v>
                </c:pt>
                <c:pt idx="200">
                  <c:v>254.91486613239283</c:v>
                </c:pt>
                <c:pt idx="201">
                  <c:v>265.5266590475083</c:v>
                </c:pt>
                <c:pt idx="202">
                  <c:v>274.23981724820862</c:v>
                </c:pt>
                <c:pt idx="203">
                  <c:v>285.72646568335142</c:v>
                </c:pt>
                <c:pt idx="204">
                  <c:v>298.69257144682263</c:v>
                </c:pt>
                <c:pt idx="205">
                  <c:v>322.90526996623646</c:v>
                </c:pt>
                <c:pt idx="206">
                  <c:v>288.48832231864088</c:v>
                </c:pt>
                <c:pt idx="207">
                  <c:v>307.24448463727634</c:v>
                </c:pt>
                <c:pt idx="208">
                  <c:v>317.4420310309273</c:v>
                </c:pt>
                <c:pt idx="209">
                  <c:v>283.79022663318233</c:v>
                </c:pt>
                <c:pt idx="210">
                  <c:v>286.72088080151639</c:v>
                </c:pt>
                <c:pt idx="211">
                  <c:v>301.00510515742815</c:v>
                </c:pt>
                <c:pt idx="212">
                  <c:v>320.6502867240518</c:v>
                </c:pt>
                <c:pt idx="213">
                  <c:v>342.39124927617422</c:v>
                </c:pt>
                <c:pt idx="214">
                  <c:v>384.47208245972712</c:v>
                </c:pt>
                <c:pt idx="215">
                  <c:v>383.72669625769748</c:v>
                </c:pt>
                <c:pt idx="216">
                  <c:v>370.63816736550274</c:v>
                </c:pt>
                <c:pt idx="217">
                  <c:v>359.95441482495164</c:v>
                </c:pt>
                <c:pt idx="218">
                  <c:v>375.68930639594504</c:v>
                </c:pt>
                <c:pt idx="219">
                  <c:v>380.19401636847738</c:v>
                </c:pt>
                <c:pt idx="220">
                  <c:v>370.84076406715548</c:v>
                </c:pt>
                <c:pt idx="221">
                  <c:v>370.62986300619622</c:v>
                </c:pt>
                <c:pt idx="222">
                  <c:v>379.61775198432326</c:v>
                </c:pt>
                <c:pt idx="223">
                  <c:v>390.85276432001643</c:v>
                </c:pt>
                <c:pt idx="224">
                  <c:v>394.92831883215501</c:v>
                </c:pt>
                <c:pt idx="225">
                  <c:v>398.50539435111034</c:v>
                </c:pt>
                <c:pt idx="226">
                  <c:v>402.12558434951131</c:v>
                </c:pt>
                <c:pt idx="227">
                  <c:v>406.54904163851762</c:v>
                </c:pt>
                <c:pt idx="228">
                  <c:v>428.28255397828372</c:v>
                </c:pt>
                <c:pt idx="229">
                  <c:v>407.49459636391816</c:v>
                </c:pt>
                <c:pt idx="230">
                  <c:v>429.42770053552221</c:v>
                </c:pt>
                <c:pt idx="231">
                  <c:v>441.32072640483767</c:v>
                </c:pt>
                <c:pt idx="232">
                  <c:v>442.42795093828857</c:v>
                </c:pt>
                <c:pt idx="233">
                  <c:v>445.45475638869328</c:v>
                </c:pt>
                <c:pt idx="234">
                  <c:v>443.74135359958746</c:v>
                </c:pt>
                <c:pt idx="235">
                  <c:v>444.42822094473843</c:v>
                </c:pt>
                <c:pt idx="236">
                  <c:v>444.5541126375</c:v>
                </c:pt>
                <c:pt idx="237">
                  <c:v>441.07889039860441</c:v>
                </c:pt>
                <c:pt idx="238">
                  <c:v>456.38474317700241</c:v>
                </c:pt>
                <c:pt idx="239">
                  <c:v>478.295730798379</c:v>
                </c:pt>
                <c:pt idx="240">
                  <c:v>482.56575206845099</c:v>
                </c:pt>
                <c:pt idx="241">
                  <c:v>477.75505222787916</c:v>
                </c:pt>
                <c:pt idx="242">
                  <c:v>503.28760702750162</c:v>
                </c:pt>
                <c:pt idx="243">
                  <c:v>531.8451322362738</c:v>
                </c:pt>
                <c:pt idx="244">
                  <c:v>543.31037236672</c:v>
                </c:pt>
                <c:pt idx="245">
                  <c:v>550.74629171996526</c:v>
                </c:pt>
                <c:pt idx="246">
                  <c:v>557.70164565413415</c:v>
                </c:pt>
                <c:pt idx="247">
                  <c:v>575.68124903187379</c:v>
                </c:pt>
                <c:pt idx="248">
                  <c:v>557.89829025622919</c:v>
                </c:pt>
                <c:pt idx="249">
                  <c:v>574.59096696642519</c:v>
                </c:pt>
                <c:pt idx="250">
                  <c:v>597.98579906966575</c:v>
                </c:pt>
                <c:pt idx="251">
                  <c:v>653.53037645558072</c:v>
                </c:pt>
                <c:pt idx="252">
                  <c:v>676.2341492376587</c:v>
                </c:pt>
                <c:pt idx="253">
                  <c:v>723.57278100398025</c:v>
                </c:pt>
                <c:pt idx="254">
                  <c:v>621.80961135301948</c:v>
                </c:pt>
                <c:pt idx="255">
                  <c:v>615.39734238625647</c:v>
                </c:pt>
                <c:pt idx="256">
                  <c:v>627.26603495395148</c:v>
                </c:pt>
                <c:pt idx="257">
                  <c:v>650.9783871671101</c:v>
                </c:pt>
                <c:pt idx="258">
                  <c:v>639.71273104530769</c:v>
                </c:pt>
                <c:pt idx="259">
                  <c:v>509.18323813720639</c:v>
                </c:pt>
                <c:pt idx="260">
                  <c:v>501.02339806502823</c:v>
                </c:pt>
                <c:pt idx="261">
                  <c:v>502.66232376470413</c:v>
                </c:pt>
                <c:pt idx="262">
                  <c:v>533.07748622267081</c:v>
                </c:pt>
                <c:pt idx="263">
                  <c:v>515.81354016656076</c:v>
                </c:pt>
                <c:pt idx="264">
                  <c:v>477.55306190916707</c:v>
                </c:pt>
                <c:pt idx="265">
                  <c:v>491.48151805279082</c:v>
                </c:pt>
                <c:pt idx="266">
                  <c:v>533.70759152042433</c:v>
                </c:pt>
                <c:pt idx="267">
                  <c:v>520.13674469700504</c:v>
                </c:pt>
                <c:pt idx="268">
                  <c:v>514.83416437064852</c:v>
                </c:pt>
                <c:pt idx="269">
                  <c:v>550.59490731161361</c:v>
                </c:pt>
                <c:pt idx="270">
                  <c:v>569.83156547115198</c:v>
                </c:pt>
                <c:pt idx="271">
                  <c:v>558.6523534699669</c:v>
                </c:pt>
                <c:pt idx="272">
                  <c:v>566.06057542101894</c:v>
                </c:pt>
                <c:pt idx="273">
                  <c:v>552.71609215497119</c:v>
                </c:pt>
                <c:pt idx="274">
                  <c:v>554.17990770981316</c:v>
                </c:pt>
                <c:pt idx="275">
                  <c:v>581.8349378723201</c:v>
                </c:pt>
                <c:pt idx="276">
                  <c:v>601.89921814372815</c:v>
                </c:pt>
                <c:pt idx="277">
                  <c:v>604.57931065602031</c:v>
                </c:pt>
                <c:pt idx="278">
                  <c:v>624.17177735201983</c:v>
                </c:pt>
                <c:pt idx="279">
                  <c:v>606.63446173373836</c:v>
                </c:pt>
                <c:pt idx="280">
                  <c:v>624.22228950513647</c:v>
                </c:pt>
                <c:pt idx="281">
                  <c:v>599.52393077139698</c:v>
                </c:pt>
                <c:pt idx="282">
                  <c:v>615.92320547111046</c:v>
                </c:pt>
                <c:pt idx="283">
                  <c:v>654.8059955260037</c:v>
                </c:pt>
                <c:pt idx="284">
                  <c:v>704.44353097661462</c:v>
                </c:pt>
                <c:pt idx="285">
                  <c:v>727.43637041857085</c:v>
                </c:pt>
                <c:pt idx="286">
                  <c:v>753.5777029650053</c:v>
                </c:pt>
                <c:pt idx="287">
                  <c:v>750.13519913934169</c:v>
                </c:pt>
                <c:pt idx="288">
                  <c:v>774.42785617688651</c:v>
                </c:pt>
                <c:pt idx="289">
                  <c:v>821.28527243150472</c:v>
                </c:pt>
                <c:pt idx="290">
                  <c:v>709.63314482896567</c:v>
                </c:pt>
                <c:pt idx="291">
                  <c:v>721.18412008985706</c:v>
                </c:pt>
                <c:pt idx="292">
                  <c:v>749.43970165624989</c:v>
                </c:pt>
                <c:pt idx="293">
                  <c:v>688.53872927579732</c:v>
                </c:pt>
                <c:pt idx="294">
                  <c:v>708.57680812392584</c:v>
                </c:pt>
                <c:pt idx="295">
                  <c:v>723.91846341122971</c:v>
                </c:pt>
                <c:pt idx="296">
                  <c:v>730.60255596282002</c:v>
                </c:pt>
                <c:pt idx="297">
                  <c:v>791.52536815465999</c:v>
                </c:pt>
                <c:pt idx="298">
                  <c:v>774.06697239258233</c:v>
                </c:pt>
                <c:pt idx="299">
                  <c:v>805.91063216309021</c:v>
                </c:pt>
                <c:pt idx="300">
                  <c:v>864.30228786856912</c:v>
                </c:pt>
                <c:pt idx="301">
                  <c:v>824.75304295310957</c:v>
                </c:pt>
                <c:pt idx="302">
                  <c:v>854.91819221567562</c:v>
                </c:pt>
                <c:pt idx="303">
                  <c:v>828.67408858225849</c:v>
                </c:pt>
                <c:pt idx="304">
                  <c:v>774.88487175792216</c:v>
                </c:pt>
                <c:pt idx="305">
                  <c:v>841.12411456863299</c:v>
                </c:pt>
                <c:pt idx="306">
                  <c:v>866.25912479184899</c:v>
                </c:pt>
                <c:pt idx="307">
                  <c:v>826.5757866985283</c:v>
                </c:pt>
                <c:pt idx="308">
                  <c:v>933.45506698886288</c:v>
                </c:pt>
                <c:pt idx="309">
                  <c:v>969.49511695026172</c:v>
                </c:pt>
                <c:pt idx="310">
                  <c:v>995.51585531781666</c:v>
                </c:pt>
                <c:pt idx="311">
                  <c:v>1088.8329771977437</c:v>
                </c:pt>
                <c:pt idx="312">
                  <c:v>1134.2424430068891</c:v>
                </c:pt>
                <c:pt idx="313">
                  <c:v>1142.0311445932373</c:v>
                </c:pt>
                <c:pt idx="314">
                  <c:v>1187.2584877879185</c:v>
                </c:pt>
                <c:pt idx="315">
                  <c:v>1102.8663844083169</c:v>
                </c:pt>
                <c:pt idx="316">
                  <c:v>1101.9331992071966</c:v>
                </c:pt>
                <c:pt idx="317">
                  <c:v>1157.3516744435542</c:v>
                </c:pt>
                <c:pt idx="318">
                  <c:v>1241.1074255572169</c:v>
                </c:pt>
                <c:pt idx="319">
                  <c:v>1119.0442704370475</c:v>
                </c:pt>
                <c:pt idx="320">
                  <c:v>1133.8847924211495</c:v>
                </c:pt>
                <c:pt idx="321">
                  <c:v>1079.0448986573401</c:v>
                </c:pt>
                <c:pt idx="322">
                  <c:v>1100.6639853184311</c:v>
                </c:pt>
                <c:pt idx="323">
                  <c:v>1157.1079149707323</c:v>
                </c:pt>
                <c:pt idx="324">
                  <c:v>1176.1414837469622</c:v>
                </c:pt>
                <c:pt idx="325">
                  <c:v>1227.9585532723295</c:v>
                </c:pt>
                <c:pt idx="326">
                  <c:v>1273.9448230244611</c:v>
                </c:pt>
                <c:pt idx="327">
                  <c:v>1259.7362232263617</c:v>
                </c:pt>
                <c:pt idx="328">
                  <c:v>1301.4755272077157</c:v>
                </c:pt>
                <c:pt idx="329">
                  <c:v>1212.4254646877725</c:v>
                </c:pt>
                <c:pt idx="330">
                  <c:v>1263.071550951835</c:v>
                </c:pt>
                <c:pt idx="331">
                  <c:v>1261.2155707495313</c:v>
                </c:pt>
                <c:pt idx="332">
                  <c:v>1442.1233204878254</c:v>
                </c:pt>
                <c:pt idx="333">
                  <c:v>1536.3261977608477</c:v>
                </c:pt>
                <c:pt idx="334">
                  <c:v>1667.5311028835577</c:v>
                </c:pt>
                <c:pt idx="335">
                  <c:v>1596.9085082026406</c:v>
                </c:pt>
                <c:pt idx="336">
                  <c:v>1446.865491878699</c:v>
                </c:pt>
                <c:pt idx="337">
                  <c:v>1436.5453180702873</c:v>
                </c:pt>
                <c:pt idx="338">
                  <c:v>1466.7519962013291</c:v>
                </c:pt>
                <c:pt idx="339">
                  <c:v>1533.9752676559701</c:v>
                </c:pt>
                <c:pt idx="340">
                  <c:v>1577.2229325110809</c:v>
                </c:pt>
                <c:pt idx="341">
                  <c:v>1537.2403339812613</c:v>
                </c:pt>
                <c:pt idx="342">
                  <c:v>1651.9664156490574</c:v>
                </c:pt>
                <c:pt idx="343">
                  <c:v>1755.8258960690548</c:v>
                </c:pt>
                <c:pt idx="344">
                  <c:v>1752.037451541036</c:v>
                </c:pt>
                <c:pt idx="345">
                  <c:v>1597.2095165343426</c:v>
                </c:pt>
                <c:pt idx="346">
                  <c:v>1525.0091009583523</c:v>
                </c:pt>
                <c:pt idx="347">
                  <c:v>1481.8928569517077</c:v>
                </c:pt>
                <c:pt idx="348">
                  <c:v>1518.6894134006841</c:v>
                </c:pt>
                <c:pt idx="349">
                  <c:v>1573.8161438523784</c:v>
                </c:pt>
                <c:pt idx="350">
                  <c:v>1647.6629237940108</c:v>
                </c:pt>
                <c:pt idx="351">
                  <c:v>1564.4279489864448</c:v>
                </c:pt>
                <c:pt idx="352">
                  <c:v>1539.2155969820406</c:v>
                </c:pt>
                <c:pt idx="353">
                  <c:v>1616.9349189527377</c:v>
                </c:pt>
                <c:pt idx="354">
                  <c:v>1640.4443199515406</c:v>
                </c:pt>
                <c:pt idx="355">
                  <c:v>1629.1763674295453</c:v>
                </c:pt>
                <c:pt idx="356">
                  <c:v>1640.8264057231809</c:v>
                </c:pt>
                <c:pt idx="357">
                  <c:v>1598.6610794392734</c:v>
                </c:pt>
                <c:pt idx="358">
                  <c:v>1670.5009264103589</c:v>
                </c:pt>
                <c:pt idx="359">
                  <c:v>1655.1431340586398</c:v>
                </c:pt>
                <c:pt idx="360">
                  <c:v>1686.6081541477033</c:v>
                </c:pt>
                <c:pt idx="361">
                  <c:v>1779.415036133898</c:v>
                </c:pt>
                <c:pt idx="362">
                  <c:v>1834.2891571922494</c:v>
                </c:pt>
                <c:pt idx="363">
                  <c:v>1922.4608801821901</c:v>
                </c:pt>
                <c:pt idx="364">
                  <c:v>2025.7478114339799</c:v>
                </c:pt>
                <c:pt idx="365">
                  <c:v>1978.4673336122639</c:v>
                </c:pt>
                <c:pt idx="366">
                  <c:v>1999.7495836739299</c:v>
                </c:pt>
                <c:pt idx="367">
                  <c:v>1928.8537312173676</c:v>
                </c:pt>
                <c:pt idx="368">
                  <c:v>1835.3459299663036</c:v>
                </c:pt>
                <c:pt idx="369">
                  <c:v>1806.7370523046168</c:v>
                </c:pt>
                <c:pt idx="370">
                  <c:v>1812.9896572912726</c:v>
                </c:pt>
                <c:pt idx="371">
                  <c:v>1757.1995715493663</c:v>
                </c:pt>
                <c:pt idx="372">
                  <c:v>1782.5999612233772</c:v>
                </c:pt>
                <c:pt idx="373">
                  <c:v>1773.9522890146304</c:v>
                </c:pt>
                <c:pt idx="374">
                  <c:v>1737.2407152686749</c:v>
                </c:pt>
                <c:pt idx="375">
                  <c:v>1805.8039514291704</c:v>
                </c:pt>
                <c:pt idx="376">
                  <c:v>1681.3502445172237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0C-4BD8-ABB0-03D660868422}"/>
            </c:ext>
          </c:extLst>
        </c:ser>
        <c:ser>
          <c:idx val="4"/>
          <c:order val="4"/>
          <c:tx>
            <c:strRef>
              <c:f>Momo!$N$1</c:f>
              <c:strCache>
                <c:ptCount val="1"/>
                <c:pt idx="0">
                  <c:v>ret_12_7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Momo!$I$2:$I$378</c:f>
              <c:numCache>
                <c:formatCode>mmm\-yy</c:formatCode>
                <c:ptCount val="377"/>
                <c:pt idx="0">
                  <c:v>34577</c:v>
                </c:pt>
                <c:pt idx="1">
                  <c:v>34607</c:v>
                </c:pt>
                <c:pt idx="2">
                  <c:v>34638</c:v>
                </c:pt>
                <c:pt idx="3">
                  <c:v>34668</c:v>
                </c:pt>
                <c:pt idx="4">
                  <c:v>34699</c:v>
                </c:pt>
                <c:pt idx="5">
                  <c:v>34730</c:v>
                </c:pt>
                <c:pt idx="6">
                  <c:v>34758</c:v>
                </c:pt>
                <c:pt idx="7">
                  <c:v>34789</c:v>
                </c:pt>
                <c:pt idx="8">
                  <c:v>34819</c:v>
                </c:pt>
                <c:pt idx="9">
                  <c:v>34850</c:v>
                </c:pt>
                <c:pt idx="10">
                  <c:v>34880</c:v>
                </c:pt>
                <c:pt idx="11">
                  <c:v>34911</c:v>
                </c:pt>
                <c:pt idx="12">
                  <c:v>34942</c:v>
                </c:pt>
                <c:pt idx="13">
                  <c:v>34972</c:v>
                </c:pt>
                <c:pt idx="14">
                  <c:v>35003</c:v>
                </c:pt>
                <c:pt idx="15">
                  <c:v>35033</c:v>
                </c:pt>
                <c:pt idx="16">
                  <c:v>35064</c:v>
                </c:pt>
                <c:pt idx="17">
                  <c:v>35095</c:v>
                </c:pt>
                <c:pt idx="18">
                  <c:v>35124</c:v>
                </c:pt>
                <c:pt idx="19">
                  <c:v>35155</c:v>
                </c:pt>
                <c:pt idx="20">
                  <c:v>35185</c:v>
                </c:pt>
                <c:pt idx="21">
                  <c:v>35216</c:v>
                </c:pt>
                <c:pt idx="22">
                  <c:v>35246</c:v>
                </c:pt>
                <c:pt idx="23">
                  <c:v>35277</c:v>
                </c:pt>
                <c:pt idx="24">
                  <c:v>35308</c:v>
                </c:pt>
                <c:pt idx="25">
                  <c:v>35338</c:v>
                </c:pt>
                <c:pt idx="26">
                  <c:v>35369</c:v>
                </c:pt>
                <c:pt idx="27">
                  <c:v>35399</c:v>
                </c:pt>
                <c:pt idx="28">
                  <c:v>35430</c:v>
                </c:pt>
                <c:pt idx="29">
                  <c:v>35461</c:v>
                </c:pt>
                <c:pt idx="30">
                  <c:v>35489</c:v>
                </c:pt>
                <c:pt idx="31">
                  <c:v>35520</c:v>
                </c:pt>
                <c:pt idx="32">
                  <c:v>35550</c:v>
                </c:pt>
                <c:pt idx="33">
                  <c:v>35581</c:v>
                </c:pt>
                <c:pt idx="34">
                  <c:v>35611</c:v>
                </c:pt>
                <c:pt idx="35">
                  <c:v>35642</c:v>
                </c:pt>
                <c:pt idx="36">
                  <c:v>35673</c:v>
                </c:pt>
                <c:pt idx="37">
                  <c:v>35703</c:v>
                </c:pt>
                <c:pt idx="38">
                  <c:v>35734</c:v>
                </c:pt>
                <c:pt idx="39">
                  <c:v>35764</c:v>
                </c:pt>
                <c:pt idx="40">
                  <c:v>35795</c:v>
                </c:pt>
                <c:pt idx="41">
                  <c:v>35826</c:v>
                </c:pt>
                <c:pt idx="42">
                  <c:v>35854</c:v>
                </c:pt>
                <c:pt idx="43">
                  <c:v>35885</c:v>
                </c:pt>
                <c:pt idx="44">
                  <c:v>35915</c:v>
                </c:pt>
                <c:pt idx="45">
                  <c:v>35946</c:v>
                </c:pt>
                <c:pt idx="46">
                  <c:v>35976</c:v>
                </c:pt>
                <c:pt idx="47">
                  <c:v>36007</c:v>
                </c:pt>
                <c:pt idx="48">
                  <c:v>36038</c:v>
                </c:pt>
                <c:pt idx="49">
                  <c:v>36068</c:v>
                </c:pt>
                <c:pt idx="50">
                  <c:v>36099</c:v>
                </c:pt>
                <c:pt idx="51">
                  <c:v>36129</c:v>
                </c:pt>
                <c:pt idx="52">
                  <c:v>36160</c:v>
                </c:pt>
                <c:pt idx="53">
                  <c:v>36191</c:v>
                </c:pt>
                <c:pt idx="54">
                  <c:v>36219</c:v>
                </c:pt>
                <c:pt idx="55">
                  <c:v>36250</c:v>
                </c:pt>
                <c:pt idx="56">
                  <c:v>36280</c:v>
                </c:pt>
                <c:pt idx="57">
                  <c:v>36311</c:v>
                </c:pt>
                <c:pt idx="58">
                  <c:v>36341</c:v>
                </c:pt>
                <c:pt idx="59">
                  <c:v>36372</c:v>
                </c:pt>
                <c:pt idx="60">
                  <c:v>36403</c:v>
                </c:pt>
                <c:pt idx="61">
                  <c:v>36433</c:v>
                </c:pt>
                <c:pt idx="62">
                  <c:v>36464</c:v>
                </c:pt>
                <c:pt idx="63">
                  <c:v>36494</c:v>
                </c:pt>
                <c:pt idx="64">
                  <c:v>36525</c:v>
                </c:pt>
                <c:pt idx="65">
                  <c:v>36556</c:v>
                </c:pt>
                <c:pt idx="66">
                  <c:v>36585</c:v>
                </c:pt>
                <c:pt idx="67">
                  <c:v>36616</c:v>
                </c:pt>
                <c:pt idx="68">
                  <c:v>36646</c:v>
                </c:pt>
                <c:pt idx="69">
                  <c:v>36677</c:v>
                </c:pt>
                <c:pt idx="70">
                  <c:v>36707</c:v>
                </c:pt>
                <c:pt idx="71">
                  <c:v>36738</c:v>
                </c:pt>
                <c:pt idx="72">
                  <c:v>36769</c:v>
                </c:pt>
                <c:pt idx="73">
                  <c:v>36799</c:v>
                </c:pt>
                <c:pt idx="74">
                  <c:v>36830</c:v>
                </c:pt>
                <c:pt idx="75">
                  <c:v>36860</c:v>
                </c:pt>
                <c:pt idx="76">
                  <c:v>36891</c:v>
                </c:pt>
                <c:pt idx="77">
                  <c:v>36922</c:v>
                </c:pt>
                <c:pt idx="78">
                  <c:v>36950</c:v>
                </c:pt>
                <c:pt idx="79">
                  <c:v>36981</c:v>
                </c:pt>
                <c:pt idx="80">
                  <c:v>37011</c:v>
                </c:pt>
                <c:pt idx="81">
                  <c:v>37042</c:v>
                </c:pt>
                <c:pt idx="82">
                  <c:v>37072</c:v>
                </c:pt>
                <c:pt idx="83">
                  <c:v>37103</c:v>
                </c:pt>
                <c:pt idx="84">
                  <c:v>37134</c:v>
                </c:pt>
                <c:pt idx="85">
                  <c:v>37164</c:v>
                </c:pt>
                <c:pt idx="86">
                  <c:v>37195</c:v>
                </c:pt>
                <c:pt idx="87">
                  <c:v>37225</c:v>
                </c:pt>
                <c:pt idx="88">
                  <c:v>37256</c:v>
                </c:pt>
                <c:pt idx="89">
                  <c:v>37287</c:v>
                </c:pt>
                <c:pt idx="90">
                  <c:v>37315</c:v>
                </c:pt>
                <c:pt idx="91">
                  <c:v>37346</c:v>
                </c:pt>
                <c:pt idx="92">
                  <c:v>37376</c:v>
                </c:pt>
                <c:pt idx="93">
                  <c:v>37407</c:v>
                </c:pt>
                <c:pt idx="94">
                  <c:v>37437</c:v>
                </c:pt>
                <c:pt idx="95">
                  <c:v>37468</c:v>
                </c:pt>
                <c:pt idx="96">
                  <c:v>37499</c:v>
                </c:pt>
                <c:pt idx="97">
                  <c:v>37529</c:v>
                </c:pt>
                <c:pt idx="98">
                  <c:v>37560</c:v>
                </c:pt>
                <c:pt idx="99">
                  <c:v>37590</c:v>
                </c:pt>
                <c:pt idx="100">
                  <c:v>37621</c:v>
                </c:pt>
                <c:pt idx="101">
                  <c:v>37652</c:v>
                </c:pt>
                <c:pt idx="102">
                  <c:v>37680</c:v>
                </c:pt>
                <c:pt idx="103">
                  <c:v>37711</c:v>
                </c:pt>
                <c:pt idx="104">
                  <c:v>37741</c:v>
                </c:pt>
                <c:pt idx="105">
                  <c:v>37772</c:v>
                </c:pt>
                <c:pt idx="106">
                  <c:v>37802</c:v>
                </c:pt>
                <c:pt idx="107">
                  <c:v>37833</c:v>
                </c:pt>
                <c:pt idx="108">
                  <c:v>37864</c:v>
                </c:pt>
                <c:pt idx="109">
                  <c:v>37894</c:v>
                </c:pt>
                <c:pt idx="110">
                  <c:v>37925</c:v>
                </c:pt>
                <c:pt idx="111">
                  <c:v>37955</c:v>
                </c:pt>
                <c:pt idx="112">
                  <c:v>37986</c:v>
                </c:pt>
                <c:pt idx="113">
                  <c:v>38017</c:v>
                </c:pt>
                <c:pt idx="114">
                  <c:v>38046</c:v>
                </c:pt>
                <c:pt idx="115">
                  <c:v>38077</c:v>
                </c:pt>
                <c:pt idx="116">
                  <c:v>38107</c:v>
                </c:pt>
                <c:pt idx="117">
                  <c:v>38138</c:v>
                </c:pt>
                <c:pt idx="118">
                  <c:v>38168</c:v>
                </c:pt>
                <c:pt idx="119">
                  <c:v>38199</c:v>
                </c:pt>
                <c:pt idx="120">
                  <c:v>38230</c:v>
                </c:pt>
                <c:pt idx="121">
                  <c:v>38260</c:v>
                </c:pt>
                <c:pt idx="122">
                  <c:v>38291</c:v>
                </c:pt>
                <c:pt idx="123">
                  <c:v>38321</c:v>
                </c:pt>
                <c:pt idx="124">
                  <c:v>38352</c:v>
                </c:pt>
                <c:pt idx="125">
                  <c:v>38383</c:v>
                </c:pt>
                <c:pt idx="126">
                  <c:v>38411</c:v>
                </c:pt>
                <c:pt idx="127">
                  <c:v>38442</c:v>
                </c:pt>
                <c:pt idx="128">
                  <c:v>38472</c:v>
                </c:pt>
                <c:pt idx="129">
                  <c:v>38503</c:v>
                </c:pt>
                <c:pt idx="130">
                  <c:v>38533</c:v>
                </c:pt>
                <c:pt idx="131">
                  <c:v>38564</c:v>
                </c:pt>
                <c:pt idx="132">
                  <c:v>38595</c:v>
                </c:pt>
                <c:pt idx="133">
                  <c:v>38625</c:v>
                </c:pt>
                <c:pt idx="134">
                  <c:v>38656</c:v>
                </c:pt>
                <c:pt idx="135">
                  <c:v>38686</c:v>
                </c:pt>
                <c:pt idx="136">
                  <c:v>38717</c:v>
                </c:pt>
                <c:pt idx="137">
                  <c:v>38748</c:v>
                </c:pt>
                <c:pt idx="138">
                  <c:v>38776</c:v>
                </c:pt>
                <c:pt idx="139">
                  <c:v>38807</c:v>
                </c:pt>
                <c:pt idx="140">
                  <c:v>38837</c:v>
                </c:pt>
                <c:pt idx="141">
                  <c:v>38868</c:v>
                </c:pt>
                <c:pt idx="142">
                  <c:v>38898</c:v>
                </c:pt>
                <c:pt idx="143">
                  <c:v>38929</c:v>
                </c:pt>
                <c:pt idx="144">
                  <c:v>38960</c:v>
                </c:pt>
                <c:pt idx="145">
                  <c:v>38990</c:v>
                </c:pt>
                <c:pt idx="146">
                  <c:v>39021</c:v>
                </c:pt>
                <c:pt idx="147">
                  <c:v>39051</c:v>
                </c:pt>
                <c:pt idx="148">
                  <c:v>39082</c:v>
                </c:pt>
                <c:pt idx="149">
                  <c:v>39113</c:v>
                </c:pt>
                <c:pt idx="150">
                  <c:v>39141</c:v>
                </c:pt>
                <c:pt idx="151">
                  <c:v>39172</c:v>
                </c:pt>
                <c:pt idx="152">
                  <c:v>39202</c:v>
                </c:pt>
                <c:pt idx="153">
                  <c:v>39233</c:v>
                </c:pt>
                <c:pt idx="154">
                  <c:v>39263</c:v>
                </c:pt>
                <c:pt idx="155">
                  <c:v>39294</c:v>
                </c:pt>
                <c:pt idx="156">
                  <c:v>39325</c:v>
                </c:pt>
                <c:pt idx="157">
                  <c:v>39355</c:v>
                </c:pt>
                <c:pt idx="158">
                  <c:v>39386</c:v>
                </c:pt>
                <c:pt idx="159">
                  <c:v>39416</c:v>
                </c:pt>
                <c:pt idx="160">
                  <c:v>39447</c:v>
                </c:pt>
                <c:pt idx="161">
                  <c:v>39478</c:v>
                </c:pt>
                <c:pt idx="162">
                  <c:v>39507</c:v>
                </c:pt>
                <c:pt idx="163">
                  <c:v>39538</c:v>
                </c:pt>
                <c:pt idx="164">
                  <c:v>39568</c:v>
                </c:pt>
                <c:pt idx="165">
                  <c:v>39599</c:v>
                </c:pt>
                <c:pt idx="166">
                  <c:v>39629</c:v>
                </c:pt>
                <c:pt idx="167">
                  <c:v>39660</c:v>
                </c:pt>
                <c:pt idx="168">
                  <c:v>39691</c:v>
                </c:pt>
                <c:pt idx="169">
                  <c:v>39721</c:v>
                </c:pt>
                <c:pt idx="170">
                  <c:v>39752</c:v>
                </c:pt>
                <c:pt idx="171">
                  <c:v>39782</c:v>
                </c:pt>
                <c:pt idx="172">
                  <c:v>39813</c:v>
                </c:pt>
                <c:pt idx="173">
                  <c:v>39844</c:v>
                </c:pt>
                <c:pt idx="174">
                  <c:v>39872</c:v>
                </c:pt>
                <c:pt idx="175">
                  <c:v>39903</c:v>
                </c:pt>
                <c:pt idx="176">
                  <c:v>39933</c:v>
                </c:pt>
                <c:pt idx="177">
                  <c:v>39964</c:v>
                </c:pt>
                <c:pt idx="178">
                  <c:v>39994</c:v>
                </c:pt>
                <c:pt idx="179">
                  <c:v>40025</c:v>
                </c:pt>
                <c:pt idx="180">
                  <c:v>40056</c:v>
                </c:pt>
                <c:pt idx="181">
                  <c:v>40086</c:v>
                </c:pt>
                <c:pt idx="182">
                  <c:v>40117</c:v>
                </c:pt>
                <c:pt idx="183">
                  <c:v>40147</c:v>
                </c:pt>
                <c:pt idx="184">
                  <c:v>40178</c:v>
                </c:pt>
                <c:pt idx="185">
                  <c:v>40209</c:v>
                </c:pt>
                <c:pt idx="186">
                  <c:v>40237</c:v>
                </c:pt>
                <c:pt idx="187">
                  <c:v>40268</c:v>
                </c:pt>
                <c:pt idx="188">
                  <c:v>40298</c:v>
                </c:pt>
                <c:pt idx="189">
                  <c:v>40329</c:v>
                </c:pt>
                <c:pt idx="190">
                  <c:v>40359</c:v>
                </c:pt>
                <c:pt idx="191">
                  <c:v>40390</c:v>
                </c:pt>
                <c:pt idx="192">
                  <c:v>40421</c:v>
                </c:pt>
                <c:pt idx="193">
                  <c:v>40451</c:v>
                </c:pt>
                <c:pt idx="194">
                  <c:v>40482</c:v>
                </c:pt>
                <c:pt idx="195">
                  <c:v>40512</c:v>
                </c:pt>
                <c:pt idx="196">
                  <c:v>40543</c:v>
                </c:pt>
                <c:pt idx="197">
                  <c:v>40574</c:v>
                </c:pt>
                <c:pt idx="198">
                  <c:v>40602</c:v>
                </c:pt>
                <c:pt idx="199">
                  <c:v>40633</c:v>
                </c:pt>
                <c:pt idx="200">
                  <c:v>40663</c:v>
                </c:pt>
                <c:pt idx="201">
                  <c:v>40694</c:v>
                </c:pt>
                <c:pt idx="202">
                  <c:v>40724</c:v>
                </c:pt>
                <c:pt idx="203">
                  <c:v>40755</c:v>
                </c:pt>
                <c:pt idx="204">
                  <c:v>40786</c:v>
                </c:pt>
                <c:pt idx="205">
                  <c:v>40816</c:v>
                </c:pt>
                <c:pt idx="206">
                  <c:v>40847</c:v>
                </c:pt>
                <c:pt idx="207">
                  <c:v>40877</c:v>
                </c:pt>
                <c:pt idx="208">
                  <c:v>40908</c:v>
                </c:pt>
                <c:pt idx="209">
                  <c:v>40939</c:v>
                </c:pt>
                <c:pt idx="210">
                  <c:v>40968</c:v>
                </c:pt>
                <c:pt idx="211">
                  <c:v>40999</c:v>
                </c:pt>
                <c:pt idx="212">
                  <c:v>41029</c:v>
                </c:pt>
                <c:pt idx="213">
                  <c:v>41060</c:v>
                </c:pt>
                <c:pt idx="214">
                  <c:v>41090</c:v>
                </c:pt>
                <c:pt idx="215">
                  <c:v>41121</c:v>
                </c:pt>
                <c:pt idx="216">
                  <c:v>41152</c:v>
                </c:pt>
                <c:pt idx="217">
                  <c:v>41182</c:v>
                </c:pt>
                <c:pt idx="218">
                  <c:v>41213</c:v>
                </c:pt>
                <c:pt idx="219">
                  <c:v>41243</c:v>
                </c:pt>
                <c:pt idx="220">
                  <c:v>41274</c:v>
                </c:pt>
                <c:pt idx="221">
                  <c:v>41305</c:v>
                </c:pt>
                <c:pt idx="222">
                  <c:v>41333</c:v>
                </c:pt>
                <c:pt idx="223">
                  <c:v>41364</c:v>
                </c:pt>
                <c:pt idx="224">
                  <c:v>41394</c:v>
                </c:pt>
                <c:pt idx="225">
                  <c:v>41425</c:v>
                </c:pt>
                <c:pt idx="226">
                  <c:v>41455</c:v>
                </c:pt>
                <c:pt idx="227">
                  <c:v>41486</c:v>
                </c:pt>
                <c:pt idx="228">
                  <c:v>41517</c:v>
                </c:pt>
                <c:pt idx="229">
                  <c:v>41547</c:v>
                </c:pt>
                <c:pt idx="230">
                  <c:v>41578</c:v>
                </c:pt>
                <c:pt idx="231">
                  <c:v>41608</c:v>
                </c:pt>
                <c:pt idx="232">
                  <c:v>41639</c:v>
                </c:pt>
                <c:pt idx="233">
                  <c:v>41670</c:v>
                </c:pt>
                <c:pt idx="234">
                  <c:v>41698</c:v>
                </c:pt>
                <c:pt idx="235">
                  <c:v>41729</c:v>
                </c:pt>
                <c:pt idx="236">
                  <c:v>41759</c:v>
                </c:pt>
                <c:pt idx="237">
                  <c:v>41790</c:v>
                </c:pt>
                <c:pt idx="238">
                  <c:v>41820</c:v>
                </c:pt>
                <c:pt idx="239">
                  <c:v>41851</c:v>
                </c:pt>
                <c:pt idx="240">
                  <c:v>41882</c:v>
                </c:pt>
                <c:pt idx="241">
                  <c:v>41912</c:v>
                </c:pt>
                <c:pt idx="242">
                  <c:v>41943</c:v>
                </c:pt>
                <c:pt idx="243">
                  <c:v>41973</c:v>
                </c:pt>
                <c:pt idx="244">
                  <c:v>42004</c:v>
                </c:pt>
                <c:pt idx="245">
                  <c:v>42035</c:v>
                </c:pt>
                <c:pt idx="246">
                  <c:v>42063</c:v>
                </c:pt>
                <c:pt idx="247">
                  <c:v>42094</c:v>
                </c:pt>
                <c:pt idx="248">
                  <c:v>42124</c:v>
                </c:pt>
                <c:pt idx="249">
                  <c:v>42155</c:v>
                </c:pt>
                <c:pt idx="250">
                  <c:v>42185</c:v>
                </c:pt>
                <c:pt idx="251">
                  <c:v>42216</c:v>
                </c:pt>
                <c:pt idx="252">
                  <c:v>42247</c:v>
                </c:pt>
                <c:pt idx="253">
                  <c:v>42277</c:v>
                </c:pt>
                <c:pt idx="254">
                  <c:v>42308</c:v>
                </c:pt>
                <c:pt idx="255">
                  <c:v>42338</c:v>
                </c:pt>
                <c:pt idx="256">
                  <c:v>42369</c:v>
                </c:pt>
                <c:pt idx="257">
                  <c:v>42400</c:v>
                </c:pt>
                <c:pt idx="258">
                  <c:v>42429</c:v>
                </c:pt>
                <c:pt idx="259">
                  <c:v>42460</c:v>
                </c:pt>
                <c:pt idx="260">
                  <c:v>42490</c:v>
                </c:pt>
                <c:pt idx="261">
                  <c:v>42521</c:v>
                </c:pt>
                <c:pt idx="262">
                  <c:v>42551</c:v>
                </c:pt>
                <c:pt idx="263">
                  <c:v>42582</c:v>
                </c:pt>
                <c:pt idx="264">
                  <c:v>42613</c:v>
                </c:pt>
                <c:pt idx="265">
                  <c:v>42643</c:v>
                </c:pt>
                <c:pt idx="266">
                  <c:v>42674</c:v>
                </c:pt>
                <c:pt idx="267">
                  <c:v>42704</c:v>
                </c:pt>
                <c:pt idx="268">
                  <c:v>42735</c:v>
                </c:pt>
                <c:pt idx="269">
                  <c:v>42766</c:v>
                </c:pt>
                <c:pt idx="270">
                  <c:v>42794</c:v>
                </c:pt>
                <c:pt idx="271">
                  <c:v>42825</c:v>
                </c:pt>
                <c:pt idx="272">
                  <c:v>42855</c:v>
                </c:pt>
                <c:pt idx="273">
                  <c:v>42886</c:v>
                </c:pt>
                <c:pt idx="274">
                  <c:v>42916</c:v>
                </c:pt>
                <c:pt idx="275">
                  <c:v>42947</c:v>
                </c:pt>
                <c:pt idx="276">
                  <c:v>42978</c:v>
                </c:pt>
                <c:pt idx="277">
                  <c:v>43008</c:v>
                </c:pt>
                <c:pt idx="278">
                  <c:v>43039</c:v>
                </c:pt>
                <c:pt idx="279">
                  <c:v>43069</c:v>
                </c:pt>
                <c:pt idx="280">
                  <c:v>43100</c:v>
                </c:pt>
                <c:pt idx="281">
                  <c:v>43131</c:v>
                </c:pt>
                <c:pt idx="282">
                  <c:v>43159</c:v>
                </c:pt>
                <c:pt idx="283">
                  <c:v>43190</c:v>
                </c:pt>
                <c:pt idx="284">
                  <c:v>43220</c:v>
                </c:pt>
                <c:pt idx="285">
                  <c:v>43251</c:v>
                </c:pt>
                <c:pt idx="286">
                  <c:v>43281</c:v>
                </c:pt>
                <c:pt idx="287">
                  <c:v>43312</c:v>
                </c:pt>
                <c:pt idx="288">
                  <c:v>43343</c:v>
                </c:pt>
                <c:pt idx="289">
                  <c:v>43373</c:v>
                </c:pt>
                <c:pt idx="290">
                  <c:v>43404</c:v>
                </c:pt>
                <c:pt idx="291">
                  <c:v>43434</c:v>
                </c:pt>
                <c:pt idx="292">
                  <c:v>43465</c:v>
                </c:pt>
                <c:pt idx="293">
                  <c:v>43496</c:v>
                </c:pt>
                <c:pt idx="294">
                  <c:v>43524</c:v>
                </c:pt>
                <c:pt idx="295">
                  <c:v>43555</c:v>
                </c:pt>
                <c:pt idx="296">
                  <c:v>43585</c:v>
                </c:pt>
                <c:pt idx="297">
                  <c:v>43616</c:v>
                </c:pt>
                <c:pt idx="298">
                  <c:v>43646</c:v>
                </c:pt>
                <c:pt idx="299">
                  <c:v>43677</c:v>
                </c:pt>
                <c:pt idx="300">
                  <c:v>43708</c:v>
                </c:pt>
                <c:pt idx="301">
                  <c:v>43738</c:v>
                </c:pt>
                <c:pt idx="302">
                  <c:v>43769</c:v>
                </c:pt>
                <c:pt idx="303">
                  <c:v>43799</c:v>
                </c:pt>
                <c:pt idx="304">
                  <c:v>43830</c:v>
                </c:pt>
                <c:pt idx="305">
                  <c:v>43861</c:v>
                </c:pt>
                <c:pt idx="306">
                  <c:v>43890</c:v>
                </c:pt>
                <c:pt idx="307">
                  <c:v>43921</c:v>
                </c:pt>
                <c:pt idx="308">
                  <c:v>43951</c:v>
                </c:pt>
                <c:pt idx="309">
                  <c:v>43982</c:v>
                </c:pt>
                <c:pt idx="310">
                  <c:v>44012</c:v>
                </c:pt>
                <c:pt idx="311">
                  <c:v>44043</c:v>
                </c:pt>
                <c:pt idx="312">
                  <c:v>44074</c:v>
                </c:pt>
                <c:pt idx="313">
                  <c:v>44104</c:v>
                </c:pt>
                <c:pt idx="314">
                  <c:v>44135</c:v>
                </c:pt>
                <c:pt idx="315">
                  <c:v>44165</c:v>
                </c:pt>
                <c:pt idx="316">
                  <c:v>44196</c:v>
                </c:pt>
                <c:pt idx="317">
                  <c:v>44227</c:v>
                </c:pt>
                <c:pt idx="318">
                  <c:v>44255</c:v>
                </c:pt>
                <c:pt idx="319">
                  <c:v>44286</c:v>
                </c:pt>
                <c:pt idx="320">
                  <c:v>44316</c:v>
                </c:pt>
                <c:pt idx="321">
                  <c:v>44347</c:v>
                </c:pt>
                <c:pt idx="322">
                  <c:v>44377</c:v>
                </c:pt>
                <c:pt idx="323">
                  <c:v>44408</c:v>
                </c:pt>
                <c:pt idx="324">
                  <c:v>44439</c:v>
                </c:pt>
                <c:pt idx="325">
                  <c:v>44469</c:v>
                </c:pt>
                <c:pt idx="326">
                  <c:v>44500</c:v>
                </c:pt>
                <c:pt idx="327">
                  <c:v>44530</c:v>
                </c:pt>
                <c:pt idx="328">
                  <c:v>44561</c:v>
                </c:pt>
                <c:pt idx="329">
                  <c:v>44592</c:v>
                </c:pt>
                <c:pt idx="330">
                  <c:v>44620</c:v>
                </c:pt>
                <c:pt idx="331">
                  <c:v>44651</c:v>
                </c:pt>
                <c:pt idx="332">
                  <c:v>44681</c:v>
                </c:pt>
                <c:pt idx="333">
                  <c:v>44712</c:v>
                </c:pt>
                <c:pt idx="334">
                  <c:v>44742</c:v>
                </c:pt>
                <c:pt idx="335">
                  <c:v>44773</c:v>
                </c:pt>
                <c:pt idx="336">
                  <c:v>44804</c:v>
                </c:pt>
                <c:pt idx="337">
                  <c:v>44834</c:v>
                </c:pt>
                <c:pt idx="338">
                  <c:v>44865</c:v>
                </c:pt>
                <c:pt idx="339">
                  <c:v>44895</c:v>
                </c:pt>
                <c:pt idx="340">
                  <c:v>44926</c:v>
                </c:pt>
                <c:pt idx="341">
                  <c:v>44957</c:v>
                </c:pt>
                <c:pt idx="342">
                  <c:v>44985</c:v>
                </c:pt>
                <c:pt idx="343">
                  <c:v>45016</c:v>
                </c:pt>
                <c:pt idx="344">
                  <c:v>45046</c:v>
                </c:pt>
                <c:pt idx="345">
                  <c:v>45077</c:v>
                </c:pt>
                <c:pt idx="346">
                  <c:v>45107</c:v>
                </c:pt>
                <c:pt idx="347">
                  <c:v>45138</c:v>
                </c:pt>
                <c:pt idx="348">
                  <c:v>45169</c:v>
                </c:pt>
                <c:pt idx="349">
                  <c:v>45199</c:v>
                </c:pt>
                <c:pt idx="350">
                  <c:v>45230</c:v>
                </c:pt>
                <c:pt idx="351">
                  <c:v>45260</c:v>
                </c:pt>
                <c:pt idx="352">
                  <c:v>45291</c:v>
                </c:pt>
                <c:pt idx="353">
                  <c:v>45322</c:v>
                </c:pt>
                <c:pt idx="354">
                  <c:v>45351</c:v>
                </c:pt>
                <c:pt idx="355">
                  <c:v>45382</c:v>
                </c:pt>
                <c:pt idx="356">
                  <c:v>45412</c:v>
                </c:pt>
                <c:pt idx="357">
                  <c:v>45443</c:v>
                </c:pt>
                <c:pt idx="358">
                  <c:v>45473</c:v>
                </c:pt>
                <c:pt idx="359">
                  <c:v>45504</c:v>
                </c:pt>
                <c:pt idx="360">
                  <c:v>45535</c:v>
                </c:pt>
                <c:pt idx="361">
                  <c:v>45565</c:v>
                </c:pt>
                <c:pt idx="362">
                  <c:v>45596</c:v>
                </c:pt>
                <c:pt idx="363">
                  <c:v>45626</c:v>
                </c:pt>
                <c:pt idx="364">
                  <c:v>45657</c:v>
                </c:pt>
                <c:pt idx="365">
                  <c:v>45688</c:v>
                </c:pt>
                <c:pt idx="366">
                  <c:v>45716</c:v>
                </c:pt>
                <c:pt idx="367">
                  <c:v>45747</c:v>
                </c:pt>
                <c:pt idx="368">
                  <c:v>45777</c:v>
                </c:pt>
                <c:pt idx="369">
                  <c:v>45808</c:v>
                </c:pt>
                <c:pt idx="370">
                  <c:v>45838</c:v>
                </c:pt>
                <c:pt idx="371">
                  <c:v>45869</c:v>
                </c:pt>
                <c:pt idx="372">
                  <c:v>45900</c:v>
                </c:pt>
                <c:pt idx="373">
                  <c:v>45930</c:v>
                </c:pt>
                <c:pt idx="374">
                  <c:v>45961</c:v>
                </c:pt>
                <c:pt idx="375">
                  <c:v>45991</c:v>
                </c:pt>
                <c:pt idx="376">
                  <c:v>46022</c:v>
                </c:pt>
              </c:numCache>
            </c:numRef>
          </c:cat>
          <c:val>
            <c:numRef>
              <c:f>Momo!$N$2:$N$378</c:f>
              <c:numCache>
                <c:formatCode>General</c:formatCode>
                <c:ptCount val="377"/>
                <c:pt idx="0">
                  <c:v>100</c:v>
                </c:pt>
                <c:pt idx="1">
                  <c:v>81.516690728798707</c:v>
                </c:pt>
                <c:pt idx="2">
                  <c:v>79.601121475325129</c:v>
                </c:pt>
                <c:pt idx="3">
                  <c:v>77.956812181479094</c:v>
                </c:pt>
                <c:pt idx="4">
                  <c:v>88.57518312485341</c:v>
                </c:pt>
                <c:pt idx="5">
                  <c:v>88.477450636461228</c:v>
                </c:pt>
                <c:pt idx="6">
                  <c:v>91.405813540074945</c:v>
                </c:pt>
                <c:pt idx="7">
                  <c:v>98.174744209730193</c:v>
                </c:pt>
                <c:pt idx="8">
                  <c:v>73.629963648256108</c:v>
                </c:pt>
                <c:pt idx="9">
                  <c:v>87.055796062208032</c:v>
                </c:pt>
                <c:pt idx="10">
                  <c:v>86.702992735742896</c:v>
                </c:pt>
                <c:pt idx="11">
                  <c:v>96.256579565006561</c:v>
                </c:pt>
                <c:pt idx="12">
                  <c:v>98.42935988902849</c:v>
                </c:pt>
                <c:pt idx="13">
                  <c:v>96.390422185539919</c:v>
                </c:pt>
                <c:pt idx="14">
                  <c:v>100.96676032432191</c:v>
                </c:pt>
                <c:pt idx="15">
                  <c:v>106.61144129493213</c:v>
                </c:pt>
                <c:pt idx="16">
                  <c:v>114.03779285730215</c:v>
                </c:pt>
                <c:pt idx="17">
                  <c:v>116.23396127974</c:v>
                </c:pt>
                <c:pt idx="18">
                  <c:v>115.67087482402978</c:v>
                </c:pt>
                <c:pt idx="19">
                  <c:v>132.57842641958783</c:v>
                </c:pt>
                <c:pt idx="20">
                  <c:v>133.31446738413297</c:v>
                </c:pt>
                <c:pt idx="21">
                  <c:v>125.58183847024048</c:v>
                </c:pt>
                <c:pt idx="22">
                  <c:v>145.86208729642973</c:v>
                </c:pt>
                <c:pt idx="23">
                  <c:v>142.33027570788667</c:v>
                </c:pt>
                <c:pt idx="24">
                  <c:v>144.03935157357546</c:v>
                </c:pt>
                <c:pt idx="25">
                  <c:v>148.2199448991924</c:v>
                </c:pt>
                <c:pt idx="26">
                  <c:v>152.0811737174208</c:v>
                </c:pt>
                <c:pt idx="27">
                  <c:v>166.93957029545203</c:v>
                </c:pt>
                <c:pt idx="28">
                  <c:v>158.88996765574723</c:v>
                </c:pt>
                <c:pt idx="29">
                  <c:v>158.20772824274479</c:v>
                </c:pt>
                <c:pt idx="30">
                  <c:v>164.86320971107367</c:v>
                </c:pt>
                <c:pt idx="31">
                  <c:v>169.51236714576018</c:v>
                </c:pt>
                <c:pt idx="32">
                  <c:v>182.99600430413446</c:v>
                </c:pt>
                <c:pt idx="33">
                  <c:v>184.21438996830145</c:v>
                </c:pt>
                <c:pt idx="34">
                  <c:v>196.06644146906496</c:v>
                </c:pt>
                <c:pt idx="35">
                  <c:v>214.88916476702963</c:v>
                </c:pt>
                <c:pt idx="36">
                  <c:v>184.74538361342144</c:v>
                </c:pt>
                <c:pt idx="37">
                  <c:v>197.93481992082673</c:v>
                </c:pt>
                <c:pt idx="38">
                  <c:v>213.15123789252692</c:v>
                </c:pt>
                <c:pt idx="39">
                  <c:v>213.75241561464478</c:v>
                </c:pt>
                <c:pt idx="40">
                  <c:v>221.36597850698271</c:v>
                </c:pt>
                <c:pt idx="41">
                  <c:v>184.20954179029883</c:v>
                </c:pt>
                <c:pt idx="42">
                  <c:v>214.18477250926327</c:v>
                </c:pt>
                <c:pt idx="43">
                  <c:v>205.73900330898471</c:v>
                </c:pt>
                <c:pt idx="44">
                  <c:v>214.30676418227975</c:v>
                </c:pt>
                <c:pt idx="45">
                  <c:v>214.7462773941221</c:v>
                </c:pt>
                <c:pt idx="46">
                  <c:v>229.28790423051657</c:v>
                </c:pt>
                <c:pt idx="47">
                  <c:v>241.23963272747974</c:v>
                </c:pt>
                <c:pt idx="48">
                  <c:v>231.8598824102078</c:v>
                </c:pt>
                <c:pt idx="49">
                  <c:v>231.76716005650127</c:v>
                </c:pt>
                <c:pt idx="50">
                  <c:v>256.05916984222603</c:v>
                </c:pt>
                <c:pt idx="51">
                  <c:v>296.07562973646753</c:v>
                </c:pt>
                <c:pt idx="52">
                  <c:v>370.31214667352691</c:v>
                </c:pt>
                <c:pt idx="53">
                  <c:v>373.36335140034197</c:v>
                </c:pt>
                <c:pt idx="54">
                  <c:v>327.80864719403456</c:v>
                </c:pt>
                <c:pt idx="55">
                  <c:v>251.01316349787459</c:v>
                </c:pt>
                <c:pt idx="56">
                  <c:v>204.90167469420166</c:v>
                </c:pt>
                <c:pt idx="57">
                  <c:v>212.62219836382587</c:v>
                </c:pt>
                <c:pt idx="58">
                  <c:v>221.57803946702109</c:v>
                </c:pt>
                <c:pt idx="59">
                  <c:v>249.87268071106868</c:v>
                </c:pt>
                <c:pt idx="60">
                  <c:v>262.63450971473611</c:v>
                </c:pt>
                <c:pt idx="61">
                  <c:v>248.89936973293609</c:v>
                </c:pt>
                <c:pt idx="62">
                  <c:v>219.91877235777179</c:v>
                </c:pt>
                <c:pt idx="63">
                  <c:v>221.72120344559988</c:v>
                </c:pt>
                <c:pt idx="64">
                  <c:v>220.72904573324934</c:v>
                </c:pt>
                <c:pt idx="65">
                  <c:v>204.41893597744991</c:v>
                </c:pt>
                <c:pt idx="66">
                  <c:v>197.66718741109136</c:v>
                </c:pt>
                <c:pt idx="67">
                  <c:v>216.57014565252223</c:v>
                </c:pt>
                <c:pt idx="68">
                  <c:v>202.89948344136855</c:v>
                </c:pt>
                <c:pt idx="69">
                  <c:v>252.88414830954693</c:v>
                </c:pt>
                <c:pt idx="70">
                  <c:v>228.89815011738182</c:v>
                </c:pt>
                <c:pt idx="71">
                  <c:v>261.42034930734167</c:v>
                </c:pt>
                <c:pt idx="72">
                  <c:v>268.78570672310565</c:v>
                </c:pt>
                <c:pt idx="73">
                  <c:v>288.25937972934241</c:v>
                </c:pt>
                <c:pt idx="74">
                  <c:v>260.99936414040837</c:v>
                </c:pt>
                <c:pt idx="75">
                  <c:v>254.11360197030788</c:v>
                </c:pt>
                <c:pt idx="76">
                  <c:v>266.9007795555641</c:v>
                </c:pt>
                <c:pt idx="77">
                  <c:v>202.10632474137245</c:v>
                </c:pt>
                <c:pt idx="78">
                  <c:v>190.37085430694546</c:v>
                </c:pt>
                <c:pt idx="79">
                  <c:v>206.22638750731861</c:v>
                </c:pt>
                <c:pt idx="80">
                  <c:v>195.75402541055428</c:v>
                </c:pt>
                <c:pt idx="81">
                  <c:v>179.03458545069833</c:v>
                </c:pt>
                <c:pt idx="82">
                  <c:v>197.90513305025709</c:v>
                </c:pt>
                <c:pt idx="83">
                  <c:v>196.29187655021286</c:v>
                </c:pt>
                <c:pt idx="84">
                  <c:v>210.75864239952014</c:v>
                </c:pt>
                <c:pt idx="85">
                  <c:v>207.90376644856408</c:v>
                </c:pt>
                <c:pt idx="86">
                  <c:v>229.77145416516163</c:v>
                </c:pt>
                <c:pt idx="87">
                  <c:v>209.30792794072747</c:v>
                </c:pt>
                <c:pt idx="88">
                  <c:v>219.51842290476807</c:v>
                </c:pt>
                <c:pt idx="89">
                  <c:v>221.91834657106574</c:v>
                </c:pt>
                <c:pt idx="90">
                  <c:v>232.38285144837874</c:v>
                </c:pt>
                <c:pt idx="91">
                  <c:v>240.58184486411363</c:v>
                </c:pt>
                <c:pt idx="92">
                  <c:v>258.96302208149422</c:v>
                </c:pt>
                <c:pt idx="93">
                  <c:v>256.23265637617948</c:v>
                </c:pt>
                <c:pt idx="94">
                  <c:v>243.98496451700197</c:v>
                </c:pt>
                <c:pt idx="95">
                  <c:v>252.11698243850461</c:v>
                </c:pt>
                <c:pt idx="96">
                  <c:v>314.61564053971586</c:v>
                </c:pt>
                <c:pt idx="97">
                  <c:v>301.86284733618436</c:v>
                </c:pt>
                <c:pt idx="98">
                  <c:v>392.23144450703791</c:v>
                </c:pt>
                <c:pt idx="99">
                  <c:v>343.3154269794469</c:v>
                </c:pt>
                <c:pt idx="100">
                  <c:v>374.71229790598824</c:v>
                </c:pt>
                <c:pt idx="101">
                  <c:v>393.81404556957847</c:v>
                </c:pt>
                <c:pt idx="102">
                  <c:v>370.69142795955281</c:v>
                </c:pt>
                <c:pt idx="103">
                  <c:v>415.6503378472413</c:v>
                </c:pt>
                <c:pt idx="104">
                  <c:v>346.13839280500321</c:v>
                </c:pt>
                <c:pt idx="105">
                  <c:v>324.70393157948672</c:v>
                </c:pt>
                <c:pt idx="106">
                  <c:v>400.9198131034853</c:v>
                </c:pt>
                <c:pt idx="107">
                  <c:v>413.48143935991186</c:v>
                </c:pt>
                <c:pt idx="108">
                  <c:v>400.56899252757603</c:v>
                </c:pt>
                <c:pt idx="109">
                  <c:v>390.37197238453177</c:v>
                </c:pt>
                <c:pt idx="110">
                  <c:v>392.40274346843597</c:v>
                </c:pt>
                <c:pt idx="111">
                  <c:v>348.2660145376671</c:v>
                </c:pt>
                <c:pt idx="112">
                  <c:v>325.83702039831189</c:v>
                </c:pt>
                <c:pt idx="113">
                  <c:v>319.81997171433267</c:v>
                </c:pt>
                <c:pt idx="114">
                  <c:v>340.53534783529312</c:v>
                </c:pt>
                <c:pt idx="115">
                  <c:v>350.19286207090681</c:v>
                </c:pt>
                <c:pt idx="116">
                  <c:v>339.9015796644353</c:v>
                </c:pt>
                <c:pt idx="117">
                  <c:v>346.08503125242828</c:v>
                </c:pt>
                <c:pt idx="118">
                  <c:v>344.39696493006704</c:v>
                </c:pt>
                <c:pt idx="119">
                  <c:v>338.69824094673407</c:v>
                </c:pt>
                <c:pt idx="120">
                  <c:v>383.90929809332903</c:v>
                </c:pt>
                <c:pt idx="121">
                  <c:v>384.57708806391565</c:v>
                </c:pt>
                <c:pt idx="122">
                  <c:v>379.97088632306014</c:v>
                </c:pt>
                <c:pt idx="123">
                  <c:v>394.24385955564571</c:v>
                </c:pt>
                <c:pt idx="124">
                  <c:v>420.36829154674012</c:v>
                </c:pt>
                <c:pt idx="125">
                  <c:v>442.54947512573682</c:v>
                </c:pt>
                <c:pt idx="126">
                  <c:v>393.55900976431138</c:v>
                </c:pt>
                <c:pt idx="127">
                  <c:v>406.8248595371457</c:v>
                </c:pt>
                <c:pt idx="128">
                  <c:v>434.12161870278493</c:v>
                </c:pt>
                <c:pt idx="129">
                  <c:v>437.51716122882283</c:v>
                </c:pt>
                <c:pt idx="130">
                  <c:v>429.32967747228332</c:v>
                </c:pt>
                <c:pt idx="131">
                  <c:v>549.93434964758535</c:v>
                </c:pt>
                <c:pt idx="132">
                  <c:v>587.36572159178604</c:v>
                </c:pt>
                <c:pt idx="133">
                  <c:v>610.18876262010383</c:v>
                </c:pt>
                <c:pt idx="134">
                  <c:v>545.21454711023603</c:v>
                </c:pt>
                <c:pt idx="135">
                  <c:v>555.69948545153034</c:v>
                </c:pt>
                <c:pt idx="136">
                  <c:v>470.21744373947837</c:v>
                </c:pt>
                <c:pt idx="137">
                  <c:v>475.29373190049444</c:v>
                </c:pt>
                <c:pt idx="138">
                  <c:v>477.3028713228972</c:v>
                </c:pt>
                <c:pt idx="139">
                  <c:v>478.88126671795948</c:v>
                </c:pt>
                <c:pt idx="140">
                  <c:v>459.54323991373593</c:v>
                </c:pt>
                <c:pt idx="141">
                  <c:v>451.15564911513832</c:v>
                </c:pt>
                <c:pt idx="142">
                  <c:v>416.75954224034331</c:v>
                </c:pt>
                <c:pt idx="143">
                  <c:v>429.80592916241852</c:v>
                </c:pt>
                <c:pt idx="144">
                  <c:v>446.64432643904826</c:v>
                </c:pt>
                <c:pt idx="145">
                  <c:v>449.69158744332515</c:v>
                </c:pt>
                <c:pt idx="146">
                  <c:v>447.27450204020812</c:v>
                </c:pt>
                <c:pt idx="147">
                  <c:v>433.43305435039144</c:v>
                </c:pt>
                <c:pt idx="148">
                  <c:v>450.22081191928805</c:v>
                </c:pt>
                <c:pt idx="149">
                  <c:v>482.07797313743907</c:v>
                </c:pt>
                <c:pt idx="150">
                  <c:v>474.89982389768755</c:v>
                </c:pt>
                <c:pt idx="151">
                  <c:v>496.55257146238665</c:v>
                </c:pt>
                <c:pt idx="152">
                  <c:v>505.3192403017058</c:v>
                </c:pt>
                <c:pt idx="153">
                  <c:v>501.79985255474708</c:v>
                </c:pt>
                <c:pt idx="154">
                  <c:v>509.43427139700998</c:v>
                </c:pt>
                <c:pt idx="155">
                  <c:v>518.86896222670248</c:v>
                </c:pt>
                <c:pt idx="156">
                  <c:v>506.64425802209536</c:v>
                </c:pt>
                <c:pt idx="157">
                  <c:v>501.58497233629635</c:v>
                </c:pt>
                <c:pt idx="158">
                  <c:v>506.78466801034421</c:v>
                </c:pt>
                <c:pt idx="159">
                  <c:v>519.82676438916587</c:v>
                </c:pt>
                <c:pt idx="160">
                  <c:v>591.63493471554955</c:v>
                </c:pt>
                <c:pt idx="161">
                  <c:v>576.67145575400286</c:v>
                </c:pt>
                <c:pt idx="162">
                  <c:v>588.84313794163938</c:v>
                </c:pt>
                <c:pt idx="163">
                  <c:v>598.23476387701055</c:v>
                </c:pt>
                <c:pt idx="164">
                  <c:v>632.48243688046875</c:v>
                </c:pt>
                <c:pt idx="165">
                  <c:v>666.86705888842175</c:v>
                </c:pt>
                <c:pt idx="166">
                  <c:v>673.55266363161627</c:v>
                </c:pt>
                <c:pt idx="167">
                  <c:v>647.02546580685009</c:v>
                </c:pt>
                <c:pt idx="168">
                  <c:v>672.79628826990051</c:v>
                </c:pt>
                <c:pt idx="169">
                  <c:v>696.83321563921561</c:v>
                </c:pt>
                <c:pt idx="170">
                  <c:v>627.14014945491783</c:v>
                </c:pt>
                <c:pt idx="171">
                  <c:v>632.5537560825436</c:v>
                </c:pt>
                <c:pt idx="172">
                  <c:v>581.17715832943213</c:v>
                </c:pt>
                <c:pt idx="173">
                  <c:v>583.41638578991694</c:v>
                </c:pt>
                <c:pt idx="174">
                  <c:v>610.32195263004701</c:v>
                </c:pt>
                <c:pt idx="175">
                  <c:v>580.77294014029826</c:v>
                </c:pt>
                <c:pt idx="176">
                  <c:v>456.03017875738442</c:v>
                </c:pt>
                <c:pt idx="177">
                  <c:v>418.4389624400265</c:v>
                </c:pt>
                <c:pt idx="178">
                  <c:v>427.2600751738413</c:v>
                </c:pt>
                <c:pt idx="179">
                  <c:v>363.37873374742492</c:v>
                </c:pt>
                <c:pt idx="180">
                  <c:v>335.8817068033444</c:v>
                </c:pt>
                <c:pt idx="181">
                  <c:v>339.69889569936072</c:v>
                </c:pt>
                <c:pt idx="182">
                  <c:v>351.74714995230119</c:v>
                </c:pt>
                <c:pt idx="183">
                  <c:v>343.95564111047935</c:v>
                </c:pt>
                <c:pt idx="184">
                  <c:v>333.20837629420669</c:v>
                </c:pt>
                <c:pt idx="185">
                  <c:v>326.4744071989893</c:v>
                </c:pt>
                <c:pt idx="186">
                  <c:v>324.49153693027546</c:v>
                </c:pt>
                <c:pt idx="187">
                  <c:v>301.84122201466954</c:v>
                </c:pt>
                <c:pt idx="188">
                  <c:v>305.64245340263574</c:v>
                </c:pt>
                <c:pt idx="189">
                  <c:v>300.13164229110504</c:v>
                </c:pt>
                <c:pt idx="190">
                  <c:v>302.47445036010919</c:v>
                </c:pt>
                <c:pt idx="191">
                  <c:v>330.70823340117857</c:v>
                </c:pt>
                <c:pt idx="192">
                  <c:v>342.00653635466944</c:v>
                </c:pt>
                <c:pt idx="193">
                  <c:v>335.31413400798107</c:v>
                </c:pt>
                <c:pt idx="194">
                  <c:v>353.51419048628702</c:v>
                </c:pt>
                <c:pt idx="195">
                  <c:v>351.76833839673327</c:v>
                </c:pt>
                <c:pt idx="196">
                  <c:v>346.11522125428996</c:v>
                </c:pt>
                <c:pt idx="197">
                  <c:v>350.61642030999252</c:v>
                </c:pt>
                <c:pt idx="198">
                  <c:v>353.57970320810819</c:v>
                </c:pt>
                <c:pt idx="199">
                  <c:v>370.91383677731056</c:v>
                </c:pt>
                <c:pt idx="200">
                  <c:v>379.95333345546106</c:v>
                </c:pt>
                <c:pt idx="201">
                  <c:v>389.06731726675793</c:v>
                </c:pt>
                <c:pt idx="202">
                  <c:v>385.31057674852775</c:v>
                </c:pt>
                <c:pt idx="203">
                  <c:v>378.66847835309034</c:v>
                </c:pt>
                <c:pt idx="204">
                  <c:v>386.32993021374273</c:v>
                </c:pt>
                <c:pt idx="205">
                  <c:v>407.0702686285465</c:v>
                </c:pt>
                <c:pt idx="206">
                  <c:v>354.2927923005509</c:v>
                </c:pt>
                <c:pt idx="207">
                  <c:v>371.09958853556174</c:v>
                </c:pt>
                <c:pt idx="208">
                  <c:v>380.0644460229064</c:v>
                </c:pt>
                <c:pt idx="209">
                  <c:v>357.83641262165054</c:v>
                </c:pt>
                <c:pt idx="210">
                  <c:v>374.22003222016508</c:v>
                </c:pt>
                <c:pt idx="211">
                  <c:v>388.1696367243988</c:v>
                </c:pt>
                <c:pt idx="212">
                  <c:v>400.36083521026268</c:v>
                </c:pt>
                <c:pt idx="213">
                  <c:v>436.98154275440641</c:v>
                </c:pt>
                <c:pt idx="214">
                  <c:v>455.38974876991108</c:v>
                </c:pt>
                <c:pt idx="215">
                  <c:v>452.84767526964777</c:v>
                </c:pt>
                <c:pt idx="216">
                  <c:v>433.4973717990427</c:v>
                </c:pt>
                <c:pt idx="217">
                  <c:v>421.5505285988171</c:v>
                </c:pt>
                <c:pt idx="218">
                  <c:v>410.31588994363852</c:v>
                </c:pt>
                <c:pt idx="219">
                  <c:v>408.57430138335724</c:v>
                </c:pt>
                <c:pt idx="220">
                  <c:v>399.69335439688757</c:v>
                </c:pt>
                <c:pt idx="221">
                  <c:v>401.72125260973729</c:v>
                </c:pt>
                <c:pt idx="222">
                  <c:v>416.5084727700081</c:v>
                </c:pt>
                <c:pt idx="223">
                  <c:v>422.2541354896008</c:v>
                </c:pt>
                <c:pt idx="224">
                  <c:v>431.33773891990563</c:v>
                </c:pt>
                <c:pt idx="225">
                  <c:v>429.99002850113783</c:v>
                </c:pt>
                <c:pt idx="226">
                  <c:v>414.56617409495811</c:v>
                </c:pt>
                <c:pt idx="227">
                  <c:v>420.44262094602612</c:v>
                </c:pt>
                <c:pt idx="228">
                  <c:v>433.84912632819402</c:v>
                </c:pt>
                <c:pt idx="229">
                  <c:v>430.14254012461078</c:v>
                </c:pt>
                <c:pt idx="230">
                  <c:v>447.9990793714984</c:v>
                </c:pt>
                <c:pt idx="231">
                  <c:v>454.40980889418358</c:v>
                </c:pt>
                <c:pt idx="232">
                  <c:v>439.86465068004912</c:v>
                </c:pt>
                <c:pt idx="233">
                  <c:v>448.33818109524788</c:v>
                </c:pt>
                <c:pt idx="234">
                  <c:v>457.87448519736864</c:v>
                </c:pt>
                <c:pt idx="235">
                  <c:v>468.13997037776193</c:v>
                </c:pt>
                <c:pt idx="236">
                  <c:v>473.29248239961709</c:v>
                </c:pt>
                <c:pt idx="237">
                  <c:v>465.99184053158075</c:v>
                </c:pt>
                <c:pt idx="238">
                  <c:v>481.75665159939064</c:v>
                </c:pt>
                <c:pt idx="239">
                  <c:v>494.70572498655366</c:v>
                </c:pt>
                <c:pt idx="240">
                  <c:v>486.10228176760029</c:v>
                </c:pt>
                <c:pt idx="241">
                  <c:v>500.10844713762231</c:v>
                </c:pt>
                <c:pt idx="242">
                  <c:v>511.20143140499653</c:v>
                </c:pt>
                <c:pt idx="243">
                  <c:v>524.13504620317804</c:v>
                </c:pt>
                <c:pt idx="244">
                  <c:v>526.65657007375819</c:v>
                </c:pt>
                <c:pt idx="245">
                  <c:v>524.99942209236224</c:v>
                </c:pt>
                <c:pt idx="246">
                  <c:v>516.88324921742287</c:v>
                </c:pt>
                <c:pt idx="247">
                  <c:v>490.12235015632933</c:v>
                </c:pt>
                <c:pt idx="248">
                  <c:v>518.01364006002177</c:v>
                </c:pt>
                <c:pt idx="249">
                  <c:v>528.0818614126573</c:v>
                </c:pt>
                <c:pt idx="250">
                  <c:v>551.20857789829131</c:v>
                </c:pt>
                <c:pt idx="251">
                  <c:v>580.42756301289603</c:v>
                </c:pt>
                <c:pt idx="252">
                  <c:v>602.85033455325015</c:v>
                </c:pt>
                <c:pt idx="253">
                  <c:v>615.73688022486499</c:v>
                </c:pt>
                <c:pt idx="254">
                  <c:v>536.98226064599521</c:v>
                </c:pt>
                <c:pt idx="255">
                  <c:v>537.17869700568565</c:v>
                </c:pt>
                <c:pt idx="256">
                  <c:v>530.26790368688899</c:v>
                </c:pt>
                <c:pt idx="257">
                  <c:v>541.69909851355658</c:v>
                </c:pt>
                <c:pt idx="258">
                  <c:v>520.26691640805495</c:v>
                </c:pt>
                <c:pt idx="259">
                  <c:v>462.72856695480249</c:v>
                </c:pt>
                <c:pt idx="260">
                  <c:v>431.80268500214112</c:v>
                </c:pt>
                <c:pt idx="261">
                  <c:v>479.90801202981413</c:v>
                </c:pt>
                <c:pt idx="262">
                  <c:v>439.78679927014787</c:v>
                </c:pt>
                <c:pt idx="263">
                  <c:v>413.84150362229218</c:v>
                </c:pt>
                <c:pt idx="264">
                  <c:v>401.68566030627539</c:v>
                </c:pt>
                <c:pt idx="265">
                  <c:v>416.54147536223007</c:v>
                </c:pt>
                <c:pt idx="266">
                  <c:v>430.4606610014431</c:v>
                </c:pt>
                <c:pt idx="267">
                  <c:v>425.07856504926366</c:v>
                </c:pt>
                <c:pt idx="268">
                  <c:v>418.43731227286037</c:v>
                </c:pt>
                <c:pt idx="269">
                  <c:v>441.72499344028188</c:v>
                </c:pt>
                <c:pt idx="270">
                  <c:v>456.13358234816752</c:v>
                </c:pt>
                <c:pt idx="271">
                  <c:v>448.67819996685677</c:v>
                </c:pt>
                <c:pt idx="272">
                  <c:v>470.3902985878097</c:v>
                </c:pt>
                <c:pt idx="273">
                  <c:v>478.73377161030311</c:v>
                </c:pt>
                <c:pt idx="274">
                  <c:v>465.8475105126995</c:v>
                </c:pt>
                <c:pt idx="275">
                  <c:v>470.47843359175135</c:v>
                </c:pt>
                <c:pt idx="276">
                  <c:v>487.23382915765774</c:v>
                </c:pt>
                <c:pt idx="277">
                  <c:v>492.4017813672782</c:v>
                </c:pt>
                <c:pt idx="278">
                  <c:v>498.1135711991738</c:v>
                </c:pt>
                <c:pt idx="279">
                  <c:v>464.90905828626717</c:v>
                </c:pt>
                <c:pt idx="280">
                  <c:v>473.98687530523273</c:v>
                </c:pt>
                <c:pt idx="281">
                  <c:v>459.72324258271203</c:v>
                </c:pt>
                <c:pt idx="282">
                  <c:v>453.08438383164827</c:v>
                </c:pt>
                <c:pt idx="283">
                  <c:v>474.76995995148502</c:v>
                </c:pt>
                <c:pt idx="284">
                  <c:v>509.37204761530614</c:v>
                </c:pt>
                <c:pt idx="285">
                  <c:v>506.0240011151655</c:v>
                </c:pt>
                <c:pt idx="286">
                  <c:v>516.78728838143661</c:v>
                </c:pt>
                <c:pt idx="287">
                  <c:v>546.87126329768148</c:v>
                </c:pt>
                <c:pt idx="288">
                  <c:v>556.77997132148937</c:v>
                </c:pt>
                <c:pt idx="289">
                  <c:v>556.88324415081934</c:v>
                </c:pt>
                <c:pt idx="290">
                  <c:v>531.8738394856972</c:v>
                </c:pt>
                <c:pt idx="291">
                  <c:v>537.58087652929032</c:v>
                </c:pt>
                <c:pt idx="292">
                  <c:v>540.2697870760129</c:v>
                </c:pt>
                <c:pt idx="293">
                  <c:v>489.93972928762486</c:v>
                </c:pt>
                <c:pt idx="294">
                  <c:v>508.50226184528606</c:v>
                </c:pt>
                <c:pt idx="295">
                  <c:v>534.12855606509743</c:v>
                </c:pt>
                <c:pt idx="296">
                  <c:v>531.97577192834297</c:v>
                </c:pt>
                <c:pt idx="297">
                  <c:v>545.72513766555051</c:v>
                </c:pt>
                <c:pt idx="298">
                  <c:v>559.8788642508157</c:v>
                </c:pt>
                <c:pt idx="299">
                  <c:v>572.2721526334833</c:v>
                </c:pt>
                <c:pt idx="300">
                  <c:v>609.20826908271783</c:v>
                </c:pt>
                <c:pt idx="301">
                  <c:v>591.40928486087944</c:v>
                </c:pt>
                <c:pt idx="302">
                  <c:v>615.87808467950117</c:v>
                </c:pt>
                <c:pt idx="303">
                  <c:v>598.64003273557887</c:v>
                </c:pt>
                <c:pt idx="304">
                  <c:v>571.57419882257807</c:v>
                </c:pt>
                <c:pt idx="305">
                  <c:v>596.94203364595796</c:v>
                </c:pt>
                <c:pt idx="306">
                  <c:v>587.90422130941965</c:v>
                </c:pt>
                <c:pt idx="307">
                  <c:v>559.11749791312968</c:v>
                </c:pt>
                <c:pt idx="308">
                  <c:v>627.38816995592799</c:v>
                </c:pt>
                <c:pt idx="309">
                  <c:v>635.9247978903619</c:v>
                </c:pt>
                <c:pt idx="310">
                  <c:v>678.33582655482269</c:v>
                </c:pt>
                <c:pt idx="311">
                  <c:v>724.15773222283747</c:v>
                </c:pt>
                <c:pt idx="312">
                  <c:v>761.87667132789545</c:v>
                </c:pt>
                <c:pt idx="313">
                  <c:v>743.95853940330335</c:v>
                </c:pt>
                <c:pt idx="314">
                  <c:v>759.67045008441244</c:v>
                </c:pt>
                <c:pt idx="315">
                  <c:v>698.83246630088922</c:v>
                </c:pt>
                <c:pt idx="316">
                  <c:v>661.35318845076824</c:v>
                </c:pt>
                <c:pt idx="317">
                  <c:v>736.12680914017437</c:v>
                </c:pt>
                <c:pt idx="318">
                  <c:v>797.69665259923238</c:v>
                </c:pt>
                <c:pt idx="319">
                  <c:v>726.18061942636439</c:v>
                </c:pt>
                <c:pt idx="320">
                  <c:v>793.08995623737258</c:v>
                </c:pt>
                <c:pt idx="321">
                  <c:v>753.03405604960267</c:v>
                </c:pt>
                <c:pt idx="322">
                  <c:v>774.86652964072346</c:v>
                </c:pt>
                <c:pt idx="323">
                  <c:v>783.74379215914689</c:v>
                </c:pt>
                <c:pt idx="324">
                  <c:v>783.96727498532914</c:v>
                </c:pt>
                <c:pt idx="325">
                  <c:v>788.36300146456426</c:v>
                </c:pt>
                <c:pt idx="326">
                  <c:v>787.66251294928725</c:v>
                </c:pt>
                <c:pt idx="327">
                  <c:v>809.24787979292</c:v>
                </c:pt>
                <c:pt idx="328">
                  <c:v>861.2586261500536</c:v>
                </c:pt>
                <c:pt idx="329">
                  <c:v>818.92848782344231</c:v>
                </c:pt>
                <c:pt idx="330">
                  <c:v>843.28722379361693</c:v>
                </c:pt>
                <c:pt idx="331">
                  <c:v>835.69280017211167</c:v>
                </c:pt>
                <c:pt idx="332">
                  <c:v>881.24221297095028</c:v>
                </c:pt>
                <c:pt idx="333">
                  <c:v>853.6844462093178</c:v>
                </c:pt>
                <c:pt idx="334">
                  <c:v>921.55940340487734</c:v>
                </c:pt>
                <c:pt idx="335">
                  <c:v>910.44858931208125</c:v>
                </c:pt>
                <c:pt idx="336">
                  <c:v>826.43286026288979</c:v>
                </c:pt>
                <c:pt idx="337">
                  <c:v>820.19397798712123</c:v>
                </c:pt>
                <c:pt idx="338">
                  <c:v>805.34132714225098</c:v>
                </c:pt>
                <c:pt idx="339">
                  <c:v>845.85586620123365</c:v>
                </c:pt>
                <c:pt idx="340">
                  <c:v>892.75397138916719</c:v>
                </c:pt>
                <c:pt idx="341">
                  <c:v>886.58793230111644</c:v>
                </c:pt>
                <c:pt idx="342">
                  <c:v>961.24170809858356</c:v>
                </c:pt>
                <c:pt idx="343">
                  <c:v>998.79662846087297</c:v>
                </c:pt>
                <c:pt idx="344">
                  <c:v>1014.1196109226522</c:v>
                </c:pt>
                <c:pt idx="345">
                  <c:v>1011.3465436913766</c:v>
                </c:pt>
                <c:pt idx="346">
                  <c:v>1005.4644557837711</c:v>
                </c:pt>
                <c:pt idx="347">
                  <c:v>1011.4020709529794</c:v>
                </c:pt>
                <c:pt idx="348">
                  <c:v>1050.0655573914103</c:v>
                </c:pt>
                <c:pt idx="349">
                  <c:v>1070.8896096919</c:v>
                </c:pt>
                <c:pt idx="350">
                  <c:v>1147.1727529465836</c:v>
                </c:pt>
                <c:pt idx="351">
                  <c:v>1076.0713100090311</c:v>
                </c:pt>
                <c:pt idx="352">
                  <c:v>1066.6740794764967</c:v>
                </c:pt>
                <c:pt idx="353">
                  <c:v>1087.4499315192838</c:v>
                </c:pt>
                <c:pt idx="354">
                  <c:v>1095.7516355680946</c:v>
                </c:pt>
                <c:pt idx="355">
                  <c:v>1110.5008635755846</c:v>
                </c:pt>
                <c:pt idx="356">
                  <c:v>1092.0895027752335</c:v>
                </c:pt>
                <c:pt idx="357">
                  <c:v>1050.6203078557012</c:v>
                </c:pt>
                <c:pt idx="358">
                  <c:v>1075.0307889674195</c:v>
                </c:pt>
                <c:pt idx="359">
                  <c:v>1045.6277077282534</c:v>
                </c:pt>
                <c:pt idx="360">
                  <c:v>1066.3213522700482</c:v>
                </c:pt>
                <c:pt idx="361">
                  <c:v>1071.3728273648915</c:v>
                </c:pt>
                <c:pt idx="362">
                  <c:v>1099.5842315560305</c:v>
                </c:pt>
                <c:pt idx="363">
                  <c:v>1122.6414132358757</c:v>
                </c:pt>
                <c:pt idx="364">
                  <c:v>1196.6984489361998</c:v>
                </c:pt>
                <c:pt idx="365">
                  <c:v>1202.4634595334962</c:v>
                </c:pt>
                <c:pt idx="366">
                  <c:v>1149.2234883840333</c:v>
                </c:pt>
                <c:pt idx="367">
                  <c:v>1089.3425816252923</c:v>
                </c:pt>
                <c:pt idx="368">
                  <c:v>1086.1720239971985</c:v>
                </c:pt>
                <c:pt idx="369">
                  <c:v>1081.4054180111948</c:v>
                </c:pt>
                <c:pt idx="370">
                  <c:v>1111.3859236422791</c:v>
                </c:pt>
                <c:pt idx="371">
                  <c:v>1146.9914669625948</c:v>
                </c:pt>
                <c:pt idx="372">
                  <c:v>1093.5618688111435</c:v>
                </c:pt>
                <c:pt idx="373">
                  <c:v>1074.7409793044569</c:v>
                </c:pt>
                <c:pt idx="374">
                  <c:v>1065.8646410198878</c:v>
                </c:pt>
                <c:pt idx="375">
                  <c:v>1058.5533278164128</c:v>
                </c:pt>
                <c:pt idx="376">
                  <c:v>984.44656108098741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0C-4BD8-ABB0-03D660868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3903151"/>
        <c:axId val="1153898831"/>
      </c:lineChart>
      <c:dateAx>
        <c:axId val="1153903151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53898831"/>
        <c:crosses val="autoZero"/>
        <c:auto val="1"/>
        <c:lblOffset val="100"/>
        <c:baseTimeUnit val="months"/>
      </c:dateAx>
      <c:valAx>
        <c:axId val="11538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53903151"/>
        <c:crosses val="autoZero"/>
        <c:crossBetween val="between"/>
        <c:majorUnit val="3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CE8BBF3-0B5F-4494-BE33-CF7B0AA76AE4}">
  <sheetPr/>
  <sheetViews>
    <sheetView zoomScale="9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0A4ED6F-515B-491C-ACA3-AC6B81E6B197}">
  <sheetPr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E0B084-5F1C-7F85-FF3C-0207BFFFE5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F2D7D6-CD23-02DA-3D1C-9B275D6CC78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lambi, Ruben Orlando" refreshedDate="46288.607224189815" createdVersion="8" refreshedVersion="8" minRefreshableVersion="3" recordCount="4603" xr:uid="{02B6EBEC-4162-4307-87E8-07E58684A3EB}">
  <cacheSource type="worksheet">
    <worksheetSource ref="A1:G4604" sheet="All_factors"/>
  </cacheSource>
  <cacheFields count="7">
    <cacheField name="location" numFmtId="0">
      <sharedItems/>
    </cacheField>
    <cacheField name="name" numFmtId="0">
      <sharedItems count="13">
        <s v="accruals"/>
        <s v="debt_issuance"/>
        <s v="investment"/>
        <s v="low_leverage"/>
        <s v="low_risk"/>
        <s v="momentum"/>
        <s v="profit_growth"/>
        <s v="profitability"/>
        <s v="quality"/>
        <s v="seasonality"/>
        <s v="short_term_reversal"/>
        <s v="size"/>
        <s v="value"/>
      </sharedItems>
    </cacheField>
    <cacheField name="freq" numFmtId="0">
      <sharedItems/>
    </cacheField>
    <cacheField name="weighting" numFmtId="0">
      <sharedItems/>
    </cacheField>
    <cacheField name="n_factors" numFmtId="0">
      <sharedItems containsSemiMixedTypes="0" containsString="0" containsNumber="1" containsInteger="1" minValue="1" maxValue="22"/>
    </cacheField>
    <cacheField name="date" numFmtId="14">
      <sharedItems containsSemiMixedTypes="0" containsNonDate="0" containsDate="1" containsString="0" minDate="1994-08-31T00:00:00" maxDate="2026-01-01T00:00:00" count="377">
        <d v="1998-05-31T00:00:00"/>
        <d v="1998-06-30T00:00:00"/>
        <d v="1998-12-31T00:00:00"/>
        <d v="1999-01-31T00:00:00"/>
        <d v="1999-05-31T00:00:00"/>
        <d v="1999-06-30T00:00:00"/>
        <d v="1999-07-31T00:00:00"/>
        <d v="1999-08-31T00:00:00"/>
        <d v="1999-09-30T00:00:00"/>
        <d v="1999-10-31T00:00:00"/>
        <d v="1999-12-31T00:00:00"/>
        <d v="2000-01-31T00:00:00"/>
        <d v="2000-02-29T00:00:00"/>
        <d v="2000-03-31T00:00:00"/>
        <d v="2000-04-30T00:00:00"/>
        <d v="2000-05-31T00:00:00"/>
        <d v="2000-06-30T00:00:00"/>
        <d v="2000-07-31T00:00:00"/>
        <d v="2000-08-31T00:00:00"/>
        <d v="2000-09-30T00:00:00"/>
        <d v="2000-10-31T00:00:00"/>
        <d v="2000-11-30T00:00:00"/>
        <d v="2000-12-31T00:00:00"/>
        <d v="2001-01-31T00:00:00"/>
        <d v="2001-02-28T00:00:00"/>
        <d v="2001-03-31T00:00:00"/>
        <d v="2001-04-30T00:00:00"/>
        <d v="2001-05-31T00:00:00"/>
        <d v="2003-12-31T00:00:00"/>
        <d v="2004-05-31T00:00:00"/>
        <d v="2004-06-30T00:00:00"/>
        <d v="2004-07-31T00:00:00"/>
        <d v="2004-08-31T00:00:00"/>
        <d v="2004-09-30T00:00:00"/>
        <d v="2004-10-31T00:00:00"/>
        <d v="2004-11-30T00:00:00"/>
        <d v="2004-12-31T00:00:00"/>
        <d v="2005-01-31T00:00:00"/>
        <d v="2005-02-28T00:00:00"/>
        <d v="2005-03-31T00:00:00"/>
        <d v="2005-04-30T00:00:00"/>
        <d v="2005-05-31T00:00:00"/>
        <d v="2005-06-30T00:00:00"/>
        <d v="2005-07-31T00:00:00"/>
        <d v="2005-08-31T00:00:00"/>
        <d v="2005-09-30T00:00:00"/>
        <d v="2005-10-31T00:00:00"/>
        <d v="2005-11-30T00:00:00"/>
        <d v="2005-12-31T00:00:00"/>
        <d v="2006-01-31T00:00:00"/>
        <d v="2006-02-28T00:00:00"/>
        <d v="2006-03-31T00:00:00"/>
        <d v="2006-04-30T00:00:00"/>
        <d v="2006-05-31T00:00:00"/>
        <d v="2006-06-30T00:00:00"/>
        <d v="2006-07-31T00:00:00"/>
        <d v="2006-08-31T00:00:00"/>
        <d v="2006-09-30T00:00:00"/>
        <d v="2006-10-31T00:00:00"/>
        <d v="2006-11-30T00:00:00"/>
        <d v="2006-12-31T00:00:00"/>
        <d v="2007-01-31T00:00:00"/>
        <d v="2007-02-28T00:00:00"/>
        <d v="2007-03-31T00:00:00"/>
        <d v="2007-04-30T00:00:00"/>
        <d v="2007-05-31T00:00:00"/>
        <d v="2007-06-30T00:00:00"/>
        <d v="2007-07-31T00:00:00"/>
        <d v="2007-08-31T00:00:00"/>
        <d v="2007-09-30T00:00:00"/>
        <d v="2007-10-31T00:00:00"/>
        <d v="2007-11-30T00:00:00"/>
        <d v="2007-12-31T00:00:00"/>
        <d v="2008-01-31T00:00:00"/>
        <d v="2008-02-29T00:00:00"/>
        <d v="2008-03-31T00:00:00"/>
        <d v="2008-04-30T00:00:00"/>
        <d v="2008-05-31T00:00:00"/>
        <d v="2008-06-30T00:00:00"/>
        <d v="2008-07-31T00:00:00"/>
        <d v="2008-08-31T00:00:00"/>
        <d v="2008-09-30T00:00:00"/>
        <d v="2008-10-31T00:00:00"/>
        <d v="2008-11-30T00:00:00"/>
        <d v="2008-12-31T00:00:00"/>
        <d v="2009-01-31T00:00:00"/>
        <d v="2009-02-28T00:00:00"/>
        <d v="2009-03-31T00:00:00"/>
        <d v="2009-04-30T00:00:00"/>
        <d v="2009-05-31T00:00:00"/>
        <d v="2009-06-30T00:00:00"/>
        <d v="2009-07-31T00:00:00"/>
        <d v="2009-08-31T00:00:00"/>
        <d v="2009-09-30T00:00:00"/>
        <d v="2009-10-31T00:00:00"/>
        <d v="2009-11-30T00:00:00"/>
        <d v="2009-12-31T00:00:00"/>
        <d v="2010-01-31T00:00:00"/>
        <d v="2010-02-28T00:00:00"/>
        <d v="2010-03-31T00:00:00"/>
        <d v="2010-04-30T00:00:00"/>
        <d v="2010-05-31T00:00:00"/>
        <d v="2010-06-30T00:00:00"/>
        <d v="2010-07-31T00:00:00"/>
        <d v="2010-08-31T00:00:00"/>
        <d v="2010-09-30T00:00:00"/>
        <d v="2010-10-31T00:00:00"/>
        <d v="2010-11-30T00:00:00"/>
        <d v="2010-12-31T00:00:00"/>
        <d v="2011-01-31T00:00:00"/>
        <d v="2011-02-28T00:00:00"/>
        <d v="2011-03-31T00:00:00"/>
        <d v="2011-04-30T00:00:00"/>
        <d v="2011-05-31T00:00:00"/>
        <d v="2011-06-30T00:00:00"/>
        <d v="2011-07-31T00:00:00"/>
        <d v="2011-08-31T00:00:00"/>
        <d v="2011-09-30T00:00:00"/>
        <d v="2011-10-31T00:00:00"/>
        <d v="2011-11-30T00:00:00"/>
        <d v="2011-12-31T00:00:00"/>
        <d v="2012-01-31T00:00:00"/>
        <d v="2012-02-29T00:00:00"/>
        <d v="2012-03-31T00:00:00"/>
        <d v="2012-04-30T00:00:00"/>
        <d v="2012-05-31T00:00:00"/>
        <d v="2012-06-30T00:00:00"/>
        <d v="2012-07-31T00:00:00"/>
        <d v="2012-08-31T00:00:00"/>
        <d v="2012-09-30T00:00:00"/>
        <d v="2012-10-31T00:00:00"/>
        <d v="2012-11-30T00:00:00"/>
        <d v="2012-12-31T00:00:00"/>
        <d v="2013-01-31T00:00:00"/>
        <d v="2013-02-28T00:00:00"/>
        <d v="2013-03-31T00:00:00"/>
        <d v="2013-04-30T00:00:00"/>
        <d v="2013-05-31T00:00:00"/>
        <d v="2013-06-30T00:00:00"/>
        <d v="2013-07-31T00:00:00"/>
        <d v="2013-08-31T00:00:00"/>
        <d v="2013-09-30T00:00:00"/>
        <d v="2013-10-31T00:00:00"/>
        <d v="2013-11-30T00:00:00"/>
        <d v="2013-12-31T00:00:00"/>
        <d v="2014-01-31T00:00:00"/>
        <d v="2014-02-28T00:00:00"/>
        <d v="2014-03-31T00:00:00"/>
        <d v="2014-04-30T00:00:00"/>
        <d v="2014-05-31T00:00:00"/>
        <d v="2014-06-30T00:00:00"/>
        <d v="2014-07-31T00:00:00"/>
        <d v="2014-08-31T00:00:00"/>
        <d v="2014-09-30T00:00:00"/>
        <d v="2014-10-31T00:00:00"/>
        <d v="2014-11-30T00:00:00"/>
        <d v="2014-12-31T00:00:00"/>
        <d v="2015-01-31T00:00:00"/>
        <d v="2015-02-28T00:00:00"/>
        <d v="2015-03-31T00:00:00"/>
        <d v="2015-04-30T00:00:00"/>
        <d v="2015-05-31T00:00:00"/>
        <d v="2015-06-30T00:00:00"/>
        <d v="2015-07-31T00:00:00"/>
        <d v="2015-08-31T00:00:00"/>
        <d v="2015-09-30T00:00:00"/>
        <d v="2015-10-31T00:00:00"/>
        <d v="2015-11-30T00:00:00"/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1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11-30T00:00:00"/>
        <d v="2018-12-31T00:00:00"/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d v="2019-09-30T00:00:00"/>
        <d v="2019-10-31T00:00:00"/>
        <d v="2019-11-30T00:00:00"/>
        <d v="2019-12-31T00:00:00"/>
        <d v="2020-01-31T00:00:00"/>
        <d v="2020-02-29T00:00:00"/>
        <d v="2020-03-31T00:00:00"/>
        <d v="2020-04-30T00:00:00"/>
        <d v="2020-05-31T00:00:00"/>
        <d v="2020-06-30T00:00:00"/>
        <d v="2020-07-31T00:00:00"/>
        <d v="2020-08-31T00:00:00"/>
        <d v="2020-09-30T00:00:00"/>
        <d v="2020-10-31T00:00:00"/>
        <d v="2020-11-30T00:00:00"/>
        <d v="2020-12-31T00:00:00"/>
        <d v="2021-01-31T00:00:00"/>
        <d v="2021-02-28T00:00:00"/>
        <d v="2021-03-31T00:00:00"/>
        <d v="2021-04-30T00:00:00"/>
        <d v="2021-05-31T00:00:00"/>
        <d v="2021-06-30T00:00:00"/>
        <d v="2021-07-31T00:00:00"/>
        <d v="2021-08-31T00:00:00"/>
        <d v="2021-09-30T00:00:00"/>
        <d v="2021-10-31T00:00:00"/>
        <d v="2021-11-30T00:00:00"/>
        <d v="2021-12-31T00:00:00"/>
        <d v="2022-01-31T00:00:00"/>
        <d v="2022-02-28T00:00:00"/>
        <d v="2022-03-31T00:00:00"/>
        <d v="2022-04-30T00:00:00"/>
        <d v="2022-05-31T00:00:00"/>
        <d v="2022-06-30T00:00:00"/>
        <d v="2022-07-31T00:00:00"/>
        <d v="2022-08-31T00:00:00"/>
        <d v="2022-09-30T00:00:00"/>
        <d v="2022-10-31T00:00:00"/>
        <d v="2022-11-30T00:00:00"/>
        <d v="2022-12-31T00:00:00"/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  <d v="2023-12-31T00:00:00"/>
        <d v="2024-01-31T00:00:00"/>
        <d v="2024-02-29T00:00:00"/>
        <d v="2024-03-31T00:00:00"/>
        <d v="2024-04-30T00:00:00"/>
        <d v="2024-05-31T00:00:00"/>
        <d v="2024-06-30T00:00:00"/>
        <d v="2024-07-31T00:00:00"/>
        <d v="2024-08-31T00:00:00"/>
        <d v="2024-09-30T00:00:00"/>
        <d v="2024-10-31T00:00:00"/>
        <d v="2024-11-30T00:00:00"/>
        <d v="2024-12-31T00:00:00"/>
        <d v="2025-01-31T00:00:00"/>
        <d v="2025-02-28T00:00:00"/>
        <d v="2025-03-31T00:00:00"/>
        <d v="2025-04-30T00:00:00"/>
        <d v="2025-05-31T00:00:00"/>
        <d v="2025-06-30T00:00:00"/>
        <d v="2025-07-31T00:00:00"/>
        <d v="2025-08-31T00:00:00"/>
        <d v="2025-09-30T00:00:00"/>
        <d v="2025-10-31T00:00:00"/>
        <d v="2025-11-30T00:00:00"/>
        <d v="2025-12-31T00:00:00"/>
        <d v="1998-07-31T00:00:00"/>
        <d v="1998-08-31T00:00:00"/>
        <d v="1998-09-30T00:00:00"/>
        <d v="1998-10-31T00:00:00"/>
        <d v="1998-11-30T00:00:00"/>
        <d v="1999-11-30T00:00:00"/>
        <d v="2001-06-30T00:00:00"/>
        <d v="2001-07-31T00:00:00"/>
        <d v="2001-08-31T00:00:00"/>
        <d v="2001-09-30T00:00:00"/>
        <d v="2002-01-31T00:00:00"/>
        <d v="2002-02-28T00:00:00"/>
        <d v="2002-03-31T00:00:00"/>
        <d v="2002-04-30T00:00:00"/>
        <d v="2002-05-31T00:00:00"/>
        <d v="2002-06-30T00:00:00"/>
        <d v="2003-09-30T00:00:00"/>
        <d v="2003-10-31T00:00:00"/>
        <d v="2003-11-30T00:00:00"/>
        <d v="2004-01-31T00:00:00"/>
        <d v="2004-02-29T00:00:00"/>
        <d v="2004-03-31T00:00:00"/>
        <d v="2004-04-30T00:00:00"/>
        <d v="1994-08-31T00:00:00"/>
        <d v="1994-09-30T00:00:00"/>
        <d v="1994-10-31T00:00:00"/>
        <d v="1994-11-30T00:00:00"/>
        <d v="1994-12-31T00:00:00"/>
        <d v="1995-01-31T00:00:00"/>
        <d v="1995-02-28T00:00:00"/>
        <d v="1995-03-31T00:00:00"/>
        <d v="1995-04-30T00:00:00"/>
        <d v="1995-05-31T00:00:00"/>
        <d v="1995-06-30T00:00:00"/>
        <d v="1995-07-31T00:00:00"/>
        <d v="1995-08-31T00:00:00"/>
        <d v="1995-09-30T00:00:00"/>
        <d v="1995-10-31T00:00:00"/>
        <d v="1995-11-30T00:00:00"/>
        <d v="1995-12-31T00:00:00"/>
        <d v="1996-01-31T00:00:00"/>
        <d v="1996-02-29T00:00:00"/>
        <d v="1996-03-31T00:00:00"/>
        <d v="1996-04-30T00:00:00"/>
        <d v="1996-05-31T00:00:00"/>
        <d v="1996-06-30T00:00:00"/>
        <d v="1996-07-31T00:00:00"/>
        <d v="1996-08-31T00:00:00"/>
        <d v="1996-09-30T00:00:00"/>
        <d v="1996-10-31T00:00:00"/>
        <d v="1996-11-30T00:00:00"/>
        <d v="1996-12-31T00:00:00"/>
        <d v="1997-01-31T00:00:00"/>
        <d v="1997-02-28T00:00:00"/>
        <d v="1997-03-31T00:00:00"/>
        <d v="1997-04-30T00:00:00"/>
        <d v="1997-05-31T00:00:00"/>
        <d v="1997-06-30T00:00:00"/>
        <d v="1997-07-31T00:00:00"/>
        <d v="1997-08-31T00:00:00"/>
        <d v="1997-09-30T00:00:00"/>
        <d v="1997-10-31T00:00:00"/>
        <d v="1997-11-30T00:00:00"/>
        <d v="1997-12-31T00:00:00"/>
        <d v="1998-01-31T00:00:00"/>
        <d v="1998-02-28T00:00:00"/>
        <d v="1998-03-31T00:00:00"/>
        <d v="1998-04-30T00:00:00"/>
        <d v="1999-02-28T00:00:00"/>
        <d v="1999-03-31T00:00:00"/>
        <d v="1999-04-30T00:00:00"/>
        <d v="2001-10-31T00:00:00"/>
        <d v="2001-11-30T00:00:00"/>
        <d v="2001-12-31T00:00:00"/>
        <d v="2002-07-31T00:00:00"/>
        <d v="2002-08-31T00:00:00"/>
        <d v="2002-09-30T00:00:00"/>
        <d v="2002-10-31T00:00:00"/>
        <d v="2002-11-30T00:00:00"/>
        <d v="2002-12-31T00:00:00"/>
        <d v="2003-01-31T00:00:00"/>
        <d v="2003-02-28T00:00:00"/>
        <d v="2003-03-31T00:00:00"/>
        <d v="2003-04-30T00:00:00"/>
        <d v="2003-05-31T00:00:00"/>
        <d v="2003-06-30T00:00:00"/>
        <d v="2003-07-31T00:00:00"/>
        <d v="2003-08-31T00:00:00"/>
      </sharedItems>
    </cacheField>
    <cacheField name="ret" numFmtId="0">
      <sharedItems containsSemiMixedTypes="0" containsString="0" containsNumber="1" minValue="-0.56377913876714503" maxValue="0.923033144346790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3">
  <r>
    <s v="bra"/>
    <x v="0"/>
    <s v="monthly"/>
    <s v="vw_cap"/>
    <n v="5"/>
    <x v="0"/>
    <n v="-3.18956827125845E-2"/>
  </r>
  <r>
    <s v="bra"/>
    <x v="0"/>
    <s v="monthly"/>
    <s v="vw_cap"/>
    <n v="5"/>
    <x v="1"/>
    <n v="1.7790563686087502E-2"/>
  </r>
  <r>
    <s v="bra"/>
    <x v="0"/>
    <s v="monthly"/>
    <s v="vw_cap"/>
    <n v="5"/>
    <x v="2"/>
    <n v="-0.19111833509883699"/>
  </r>
  <r>
    <s v="bra"/>
    <x v="0"/>
    <s v="monthly"/>
    <s v="vw_cap"/>
    <n v="5"/>
    <x v="3"/>
    <n v="-3.62809023250594E-2"/>
  </r>
  <r>
    <s v="bra"/>
    <x v="0"/>
    <s v="monthly"/>
    <s v="vw_cap"/>
    <n v="5"/>
    <x v="4"/>
    <n v="2.5794774135495101E-2"/>
  </r>
  <r>
    <s v="bra"/>
    <x v="0"/>
    <s v="monthly"/>
    <s v="vw_cap"/>
    <n v="5"/>
    <x v="5"/>
    <n v="4.9916790118599903E-2"/>
  </r>
  <r>
    <s v="bra"/>
    <x v="0"/>
    <s v="monthly"/>
    <s v="vw_cap"/>
    <n v="5"/>
    <x v="6"/>
    <n v="3.9611600013678701E-2"/>
  </r>
  <r>
    <s v="bra"/>
    <x v="0"/>
    <s v="monthly"/>
    <s v="vw_cap"/>
    <n v="5"/>
    <x v="7"/>
    <n v="-1.97490714185195E-2"/>
  </r>
  <r>
    <s v="bra"/>
    <x v="0"/>
    <s v="monthly"/>
    <s v="vw_cap"/>
    <n v="5"/>
    <x v="8"/>
    <n v="-6.7063941624771195E-2"/>
  </r>
  <r>
    <s v="bra"/>
    <x v="0"/>
    <s v="monthly"/>
    <s v="vw_cap"/>
    <n v="5"/>
    <x v="9"/>
    <n v="-8.4597592297291996E-2"/>
  </r>
  <r>
    <s v="bra"/>
    <x v="0"/>
    <s v="monthly"/>
    <s v="vw_cap"/>
    <n v="5"/>
    <x v="10"/>
    <n v="-5.6469982081052202E-2"/>
  </r>
  <r>
    <s v="bra"/>
    <x v="0"/>
    <s v="monthly"/>
    <s v="vw_cap"/>
    <n v="5"/>
    <x v="11"/>
    <n v="-0.15648457306691399"/>
  </r>
  <r>
    <s v="bra"/>
    <x v="0"/>
    <s v="monthly"/>
    <s v="vw_cap"/>
    <n v="5"/>
    <x v="12"/>
    <n v="-5.1257579421693497E-2"/>
  </r>
  <r>
    <s v="bra"/>
    <x v="0"/>
    <s v="monthly"/>
    <s v="vw_cap"/>
    <n v="5"/>
    <x v="13"/>
    <n v="5.2244006778903798E-2"/>
  </r>
  <r>
    <s v="bra"/>
    <x v="0"/>
    <s v="monthly"/>
    <s v="vw_cap"/>
    <n v="5"/>
    <x v="14"/>
    <n v="1.8978509551734898E-2"/>
  </r>
  <r>
    <s v="bra"/>
    <x v="0"/>
    <s v="monthly"/>
    <s v="vw_cap"/>
    <n v="5"/>
    <x v="15"/>
    <n v="-8.3038703859756494E-2"/>
  </r>
  <r>
    <s v="bra"/>
    <x v="0"/>
    <s v="monthly"/>
    <s v="vw_cap"/>
    <n v="5"/>
    <x v="16"/>
    <n v="1.7930023365628399E-2"/>
  </r>
  <r>
    <s v="bra"/>
    <x v="0"/>
    <s v="monthly"/>
    <s v="vw_cap"/>
    <n v="5"/>
    <x v="17"/>
    <n v="2.5949871534165201E-2"/>
  </r>
  <r>
    <s v="bra"/>
    <x v="0"/>
    <s v="monthly"/>
    <s v="vw_cap"/>
    <n v="5"/>
    <x v="18"/>
    <n v="9.2080348521277097E-2"/>
  </r>
  <r>
    <s v="bra"/>
    <x v="0"/>
    <s v="monthly"/>
    <s v="vw_cap"/>
    <n v="5"/>
    <x v="19"/>
    <n v="-3.5608930096813499E-2"/>
  </r>
  <r>
    <s v="bra"/>
    <x v="0"/>
    <s v="monthly"/>
    <s v="vw_cap"/>
    <n v="5"/>
    <x v="20"/>
    <n v="2.2864581292520399E-2"/>
  </r>
  <r>
    <s v="bra"/>
    <x v="0"/>
    <s v="monthly"/>
    <s v="vw_cap"/>
    <n v="5"/>
    <x v="21"/>
    <n v="-1.47102814481031E-2"/>
  </r>
  <r>
    <s v="bra"/>
    <x v="0"/>
    <s v="monthly"/>
    <s v="vw_cap"/>
    <n v="5"/>
    <x v="22"/>
    <n v="3.7567491323113301E-2"/>
  </r>
  <r>
    <s v="bra"/>
    <x v="0"/>
    <s v="monthly"/>
    <s v="vw_cap"/>
    <n v="5"/>
    <x v="23"/>
    <n v="6.4850986179409098E-2"/>
  </r>
  <r>
    <s v="bra"/>
    <x v="0"/>
    <s v="monthly"/>
    <s v="vw_cap"/>
    <n v="5"/>
    <x v="24"/>
    <n v="6.8774790982841602E-2"/>
  </r>
  <r>
    <s v="bra"/>
    <x v="0"/>
    <s v="monthly"/>
    <s v="vw_cap"/>
    <n v="5"/>
    <x v="25"/>
    <n v="-6.7250555251312003E-2"/>
  </r>
  <r>
    <s v="bra"/>
    <x v="0"/>
    <s v="monthly"/>
    <s v="vw_cap"/>
    <n v="5"/>
    <x v="26"/>
    <n v="-1.55065340341772E-2"/>
  </r>
  <r>
    <s v="bra"/>
    <x v="0"/>
    <s v="monthly"/>
    <s v="vw_cap"/>
    <n v="5"/>
    <x v="27"/>
    <n v="-3.6234250006686899E-3"/>
  </r>
  <r>
    <s v="bra"/>
    <x v="0"/>
    <s v="monthly"/>
    <s v="vw_cap"/>
    <n v="5"/>
    <x v="28"/>
    <n v="6.5204857573599395E-2"/>
  </r>
  <r>
    <s v="bra"/>
    <x v="0"/>
    <s v="monthly"/>
    <s v="vw_cap"/>
    <n v="5"/>
    <x v="29"/>
    <n v="-3.7196045819566197E-2"/>
  </r>
  <r>
    <s v="bra"/>
    <x v="0"/>
    <s v="monthly"/>
    <s v="vw_cap"/>
    <n v="5"/>
    <x v="30"/>
    <n v="5.8615945870665702E-2"/>
  </r>
  <r>
    <s v="bra"/>
    <x v="0"/>
    <s v="monthly"/>
    <s v="vw_cap"/>
    <n v="5"/>
    <x v="31"/>
    <n v="-2.4282797487882101E-2"/>
  </r>
  <r>
    <s v="bra"/>
    <x v="0"/>
    <s v="monthly"/>
    <s v="vw_cap"/>
    <n v="5"/>
    <x v="32"/>
    <n v="2.9907534298486602E-3"/>
  </r>
  <r>
    <s v="bra"/>
    <x v="0"/>
    <s v="monthly"/>
    <s v="vw_cap"/>
    <n v="5"/>
    <x v="33"/>
    <n v="1.43916086731444E-2"/>
  </r>
  <r>
    <s v="bra"/>
    <x v="0"/>
    <s v="monthly"/>
    <s v="vw_cap"/>
    <n v="5"/>
    <x v="34"/>
    <n v="-6.4105218956606605E-2"/>
  </r>
  <r>
    <s v="bra"/>
    <x v="0"/>
    <s v="monthly"/>
    <s v="vw_cap"/>
    <n v="5"/>
    <x v="35"/>
    <n v="4.7259551369621303E-2"/>
  </r>
  <r>
    <s v="bra"/>
    <x v="0"/>
    <s v="monthly"/>
    <s v="vw_cap"/>
    <n v="5"/>
    <x v="36"/>
    <n v="-1.01915082142548E-2"/>
  </r>
  <r>
    <s v="bra"/>
    <x v="0"/>
    <s v="monthly"/>
    <s v="vw_cap"/>
    <n v="5"/>
    <x v="37"/>
    <n v="1.50909719002103E-2"/>
  </r>
  <r>
    <s v="bra"/>
    <x v="0"/>
    <s v="monthly"/>
    <s v="vw_cap"/>
    <n v="5"/>
    <x v="38"/>
    <n v="3.7053452458574103E-2"/>
  </r>
  <r>
    <s v="bra"/>
    <x v="0"/>
    <s v="monthly"/>
    <s v="vw_cap"/>
    <n v="5"/>
    <x v="39"/>
    <n v="-2.5024915382908301E-2"/>
  </r>
  <r>
    <s v="bra"/>
    <x v="0"/>
    <s v="monthly"/>
    <s v="vw_cap"/>
    <n v="5"/>
    <x v="40"/>
    <n v="2.1971940710458202E-2"/>
  </r>
  <r>
    <s v="bra"/>
    <x v="0"/>
    <s v="monthly"/>
    <s v="vw_cap"/>
    <n v="5"/>
    <x v="41"/>
    <n v="1.5708777589258999E-2"/>
  </r>
  <r>
    <s v="bra"/>
    <x v="0"/>
    <s v="monthly"/>
    <s v="vw_cap"/>
    <n v="5"/>
    <x v="42"/>
    <n v="2.16821897092765E-2"/>
  </r>
  <r>
    <s v="bra"/>
    <x v="0"/>
    <s v="monthly"/>
    <s v="vw_cap"/>
    <n v="5"/>
    <x v="43"/>
    <n v="-1.10667840395659E-3"/>
  </r>
  <r>
    <s v="bra"/>
    <x v="0"/>
    <s v="monthly"/>
    <s v="vw_cap"/>
    <n v="5"/>
    <x v="44"/>
    <n v="5.3060389209491403E-2"/>
  </r>
  <r>
    <s v="bra"/>
    <x v="0"/>
    <s v="monthly"/>
    <s v="vw_cap"/>
    <n v="5"/>
    <x v="45"/>
    <n v="-1.12113492278334E-2"/>
  </r>
  <r>
    <s v="bra"/>
    <x v="0"/>
    <s v="monthly"/>
    <s v="vw_cap"/>
    <n v="5"/>
    <x v="46"/>
    <n v="-1.29133030575121E-2"/>
  </r>
  <r>
    <s v="bra"/>
    <x v="0"/>
    <s v="monthly"/>
    <s v="vw_cap"/>
    <n v="5"/>
    <x v="47"/>
    <n v="7.27162034098284E-2"/>
  </r>
  <r>
    <s v="bra"/>
    <x v="0"/>
    <s v="monthly"/>
    <s v="vw_cap"/>
    <n v="5"/>
    <x v="48"/>
    <n v="-0.15475009318899299"/>
  </r>
  <r>
    <s v="bra"/>
    <x v="0"/>
    <s v="monthly"/>
    <s v="vw_cap"/>
    <n v="5"/>
    <x v="49"/>
    <n v="-3.5323462847573699E-2"/>
  </r>
  <r>
    <s v="bra"/>
    <x v="0"/>
    <s v="monthly"/>
    <s v="vw_cap"/>
    <n v="5"/>
    <x v="50"/>
    <n v="-7.0124639123437901E-2"/>
  </r>
  <r>
    <s v="bra"/>
    <x v="0"/>
    <s v="monthly"/>
    <s v="vw_cap"/>
    <n v="5"/>
    <x v="51"/>
    <n v="-3.9384336909033799E-2"/>
  </r>
  <r>
    <s v="bra"/>
    <x v="0"/>
    <s v="monthly"/>
    <s v="vw_cap"/>
    <n v="5"/>
    <x v="52"/>
    <n v="-7.0560099223120801E-2"/>
  </r>
  <r>
    <s v="bra"/>
    <x v="0"/>
    <s v="monthly"/>
    <s v="vw_cap"/>
    <n v="5"/>
    <x v="53"/>
    <n v="4.7017069130658201E-2"/>
  </r>
  <r>
    <s v="bra"/>
    <x v="0"/>
    <s v="monthly"/>
    <s v="vw_cap"/>
    <n v="5"/>
    <x v="54"/>
    <n v="1.11498298589469E-2"/>
  </r>
  <r>
    <s v="bra"/>
    <x v="0"/>
    <s v="monthly"/>
    <s v="vw_cap"/>
    <n v="5"/>
    <x v="55"/>
    <n v="9.4275513814747695E-3"/>
  </r>
  <r>
    <s v="bra"/>
    <x v="0"/>
    <s v="monthly"/>
    <s v="vw_cap"/>
    <n v="5"/>
    <x v="56"/>
    <n v="3.14003944116217E-2"/>
  </r>
  <r>
    <s v="bra"/>
    <x v="0"/>
    <s v="monthly"/>
    <s v="vw_cap"/>
    <n v="5"/>
    <x v="57"/>
    <n v="1.46883349840287E-2"/>
  </r>
  <r>
    <s v="bra"/>
    <x v="0"/>
    <s v="monthly"/>
    <s v="vw_cap"/>
    <n v="5"/>
    <x v="58"/>
    <n v="-6.2044346229343797E-5"/>
  </r>
  <r>
    <s v="bra"/>
    <x v="0"/>
    <s v="monthly"/>
    <s v="vw_cap"/>
    <n v="5"/>
    <x v="59"/>
    <n v="1.5826865141918001E-2"/>
  </r>
  <r>
    <s v="bra"/>
    <x v="0"/>
    <s v="monthly"/>
    <s v="vw_cap"/>
    <n v="5"/>
    <x v="60"/>
    <n v="-1.30271253322123E-2"/>
  </r>
  <r>
    <s v="bra"/>
    <x v="0"/>
    <s v="monthly"/>
    <s v="vw_cap"/>
    <n v="5"/>
    <x v="61"/>
    <n v="-1.14678666632146E-2"/>
  </r>
  <r>
    <s v="bra"/>
    <x v="0"/>
    <s v="monthly"/>
    <s v="vw_cap"/>
    <n v="5"/>
    <x v="62"/>
    <n v="-1.50278769150859E-2"/>
  </r>
  <r>
    <s v="bra"/>
    <x v="0"/>
    <s v="monthly"/>
    <s v="vw_cap"/>
    <n v="5"/>
    <x v="63"/>
    <n v="4.2340418964363002E-3"/>
  </r>
  <r>
    <s v="bra"/>
    <x v="0"/>
    <s v="monthly"/>
    <s v="vw_cap"/>
    <n v="5"/>
    <x v="64"/>
    <n v="-2.10125151341196E-4"/>
  </r>
  <r>
    <s v="bra"/>
    <x v="0"/>
    <s v="monthly"/>
    <s v="vw_cap"/>
    <n v="5"/>
    <x v="65"/>
    <n v="9.8873335045482104E-3"/>
  </r>
  <r>
    <s v="bra"/>
    <x v="0"/>
    <s v="monthly"/>
    <s v="vw_cap"/>
    <n v="5"/>
    <x v="66"/>
    <n v="6.77729788531207E-3"/>
  </r>
  <r>
    <s v="bra"/>
    <x v="0"/>
    <s v="monthly"/>
    <s v="vw_cap"/>
    <n v="5"/>
    <x v="67"/>
    <n v="6.2280529370362901E-3"/>
  </r>
  <r>
    <s v="bra"/>
    <x v="0"/>
    <s v="monthly"/>
    <s v="vw_cap"/>
    <n v="5"/>
    <x v="68"/>
    <n v="-6.6919846374952803E-3"/>
  </r>
  <r>
    <s v="bra"/>
    <x v="0"/>
    <s v="monthly"/>
    <s v="vw_cap"/>
    <n v="5"/>
    <x v="69"/>
    <n v="-3.7374671628508598E-2"/>
  </r>
  <r>
    <s v="bra"/>
    <x v="0"/>
    <s v="monthly"/>
    <s v="vw_cap"/>
    <n v="5"/>
    <x v="70"/>
    <n v="-7.0920626943951307E-2"/>
  </r>
  <r>
    <s v="bra"/>
    <x v="0"/>
    <s v="monthly"/>
    <s v="vw_cap"/>
    <n v="5"/>
    <x v="71"/>
    <n v="9.4358137502263302E-3"/>
  </r>
  <r>
    <s v="bra"/>
    <x v="0"/>
    <s v="monthly"/>
    <s v="vw_cap"/>
    <n v="5"/>
    <x v="72"/>
    <n v="-5.6547405398170998E-2"/>
  </r>
  <r>
    <s v="bra"/>
    <x v="0"/>
    <s v="monthly"/>
    <s v="vw_cap"/>
    <n v="5"/>
    <x v="73"/>
    <n v="-1.49368346741108E-2"/>
  </r>
  <r>
    <s v="bra"/>
    <x v="0"/>
    <s v="monthly"/>
    <s v="vw_cap"/>
    <n v="5"/>
    <x v="74"/>
    <n v="5.31807037478164E-3"/>
  </r>
  <r>
    <s v="bra"/>
    <x v="0"/>
    <s v="monthly"/>
    <s v="vw_cap"/>
    <n v="5"/>
    <x v="75"/>
    <n v="1.0820507080685699E-2"/>
  </r>
  <r>
    <s v="bra"/>
    <x v="0"/>
    <s v="monthly"/>
    <s v="vw_cap"/>
    <n v="5"/>
    <x v="76"/>
    <n v="4.4875014779051203E-2"/>
  </r>
  <r>
    <s v="bra"/>
    <x v="0"/>
    <s v="monthly"/>
    <s v="vw_cap"/>
    <n v="5"/>
    <x v="77"/>
    <n v="-2.4200925913977999E-2"/>
  </r>
  <r>
    <s v="bra"/>
    <x v="0"/>
    <s v="monthly"/>
    <s v="vw_cap"/>
    <n v="5"/>
    <x v="78"/>
    <n v="7.0215423853618002E-3"/>
  </r>
  <r>
    <s v="bra"/>
    <x v="0"/>
    <s v="monthly"/>
    <s v="vw_cap"/>
    <n v="5"/>
    <x v="79"/>
    <n v="-3.4296860669441903E-2"/>
  </r>
  <r>
    <s v="bra"/>
    <x v="0"/>
    <s v="monthly"/>
    <s v="vw_cap"/>
    <n v="5"/>
    <x v="80"/>
    <n v="2.4928867603972098E-2"/>
  </r>
  <r>
    <s v="bra"/>
    <x v="0"/>
    <s v="monthly"/>
    <s v="vw_cap"/>
    <n v="5"/>
    <x v="81"/>
    <n v="-1.79276173007775E-2"/>
  </r>
  <r>
    <s v="bra"/>
    <x v="0"/>
    <s v="monthly"/>
    <s v="vw_cap"/>
    <n v="5"/>
    <x v="82"/>
    <n v="2.32924214813163E-2"/>
  </r>
  <r>
    <s v="bra"/>
    <x v="0"/>
    <s v="monthly"/>
    <s v="vw_cap"/>
    <n v="5"/>
    <x v="83"/>
    <n v="5.8789176386305902E-2"/>
  </r>
  <r>
    <s v="bra"/>
    <x v="0"/>
    <s v="monthly"/>
    <s v="vw_cap"/>
    <n v="5"/>
    <x v="84"/>
    <n v="4.2570131691974801E-2"/>
  </r>
  <r>
    <s v="bra"/>
    <x v="0"/>
    <s v="monthly"/>
    <s v="vw_cap"/>
    <n v="5"/>
    <x v="85"/>
    <n v="1.9023423188611301E-2"/>
  </r>
  <r>
    <s v="bra"/>
    <x v="0"/>
    <s v="monthly"/>
    <s v="vw_cap"/>
    <n v="5"/>
    <x v="86"/>
    <n v="-4.4662395186870901E-2"/>
  </r>
  <r>
    <s v="bra"/>
    <x v="0"/>
    <s v="monthly"/>
    <s v="vw_cap"/>
    <n v="5"/>
    <x v="87"/>
    <n v="4.3013912673214597E-2"/>
  </r>
  <r>
    <s v="bra"/>
    <x v="0"/>
    <s v="monthly"/>
    <s v="vw_cap"/>
    <n v="5"/>
    <x v="88"/>
    <n v="-1.2517190840405101E-2"/>
  </r>
  <r>
    <s v="bra"/>
    <x v="0"/>
    <s v="monthly"/>
    <s v="vw_cap"/>
    <n v="5"/>
    <x v="89"/>
    <n v="5.7475592690821899E-3"/>
  </r>
  <r>
    <s v="bra"/>
    <x v="0"/>
    <s v="monthly"/>
    <s v="vw_cap"/>
    <n v="5"/>
    <x v="90"/>
    <n v="1.6662489262883301E-2"/>
  </r>
  <r>
    <s v="bra"/>
    <x v="0"/>
    <s v="monthly"/>
    <s v="vw_cap"/>
    <n v="5"/>
    <x v="91"/>
    <n v="-4.8245931380776701E-2"/>
  </r>
  <r>
    <s v="bra"/>
    <x v="0"/>
    <s v="monthly"/>
    <s v="vw_cap"/>
    <n v="5"/>
    <x v="92"/>
    <n v="8.7452855500828302E-3"/>
  </r>
  <r>
    <s v="bra"/>
    <x v="0"/>
    <s v="monthly"/>
    <s v="vw_cap"/>
    <n v="5"/>
    <x v="93"/>
    <n v="8.0200718797320502E-4"/>
  </r>
  <r>
    <s v="bra"/>
    <x v="0"/>
    <s v="monthly"/>
    <s v="vw_cap"/>
    <n v="5"/>
    <x v="94"/>
    <n v="-2.8757133803914901E-2"/>
  </r>
  <r>
    <s v="bra"/>
    <x v="0"/>
    <s v="monthly"/>
    <s v="vw_cap"/>
    <n v="5"/>
    <x v="95"/>
    <n v="-4.9094137502051702E-3"/>
  </r>
  <r>
    <s v="bra"/>
    <x v="0"/>
    <s v="monthly"/>
    <s v="vw_cap"/>
    <n v="5"/>
    <x v="96"/>
    <n v="7.0382213317914796E-3"/>
  </r>
  <r>
    <s v="bra"/>
    <x v="0"/>
    <s v="monthly"/>
    <s v="vw_cap"/>
    <n v="5"/>
    <x v="97"/>
    <n v="0.162340727568207"/>
  </r>
  <r>
    <s v="bra"/>
    <x v="0"/>
    <s v="monthly"/>
    <s v="vw_cap"/>
    <n v="5"/>
    <x v="98"/>
    <n v="-2.39260578257048E-2"/>
  </r>
  <r>
    <s v="bra"/>
    <x v="0"/>
    <s v="monthly"/>
    <s v="vw_cap"/>
    <n v="5"/>
    <x v="99"/>
    <n v="-3.59255630324299E-2"/>
  </r>
  <r>
    <s v="bra"/>
    <x v="0"/>
    <s v="monthly"/>
    <s v="vw_cap"/>
    <n v="5"/>
    <x v="100"/>
    <n v="4.9748142683456202E-3"/>
  </r>
  <r>
    <s v="bra"/>
    <x v="0"/>
    <s v="monthly"/>
    <s v="vw_cap"/>
    <n v="5"/>
    <x v="101"/>
    <n v="-5.6376810208298199E-3"/>
  </r>
  <r>
    <s v="bra"/>
    <x v="0"/>
    <s v="monthly"/>
    <s v="vw_cap"/>
    <n v="5"/>
    <x v="102"/>
    <n v="1.12424416584463E-2"/>
  </r>
  <r>
    <s v="bra"/>
    <x v="0"/>
    <s v="monthly"/>
    <s v="vw_cap"/>
    <n v="5"/>
    <x v="103"/>
    <n v="-1.5232193314837999E-2"/>
  </r>
  <r>
    <s v="bra"/>
    <x v="0"/>
    <s v="monthly"/>
    <s v="vw_cap"/>
    <n v="5"/>
    <x v="104"/>
    <n v="1.06778302635593E-2"/>
  </r>
  <r>
    <s v="bra"/>
    <x v="0"/>
    <s v="monthly"/>
    <s v="vw_cap"/>
    <n v="5"/>
    <x v="105"/>
    <n v="-1.11613812563695E-2"/>
  </r>
  <r>
    <s v="bra"/>
    <x v="0"/>
    <s v="monthly"/>
    <s v="vw_cap"/>
    <n v="5"/>
    <x v="106"/>
    <n v="9.2695284520386192E-3"/>
  </r>
  <r>
    <s v="bra"/>
    <x v="0"/>
    <s v="monthly"/>
    <s v="vw_cap"/>
    <n v="5"/>
    <x v="107"/>
    <n v="1.6469446393806701E-2"/>
  </r>
  <r>
    <s v="bra"/>
    <x v="0"/>
    <s v="monthly"/>
    <s v="vw_cap"/>
    <n v="5"/>
    <x v="108"/>
    <n v="3.5163651936928497E-2"/>
  </r>
  <r>
    <s v="bra"/>
    <x v="0"/>
    <s v="monthly"/>
    <s v="vw_cap"/>
    <n v="5"/>
    <x v="109"/>
    <n v="2.2121825551377601E-2"/>
  </r>
  <r>
    <s v="bra"/>
    <x v="0"/>
    <s v="monthly"/>
    <s v="vw_cap"/>
    <n v="5"/>
    <x v="110"/>
    <n v="-1.02732280255435E-2"/>
  </r>
  <r>
    <s v="bra"/>
    <x v="0"/>
    <s v="monthly"/>
    <s v="vw_cap"/>
    <n v="5"/>
    <x v="111"/>
    <n v="-2.23385246012907E-3"/>
  </r>
  <r>
    <s v="bra"/>
    <x v="0"/>
    <s v="monthly"/>
    <s v="vw_cap"/>
    <n v="5"/>
    <x v="112"/>
    <n v="1.2767461784536201E-2"/>
  </r>
  <r>
    <s v="bra"/>
    <x v="0"/>
    <s v="monthly"/>
    <s v="vw_cap"/>
    <n v="5"/>
    <x v="113"/>
    <n v="2.3645894436397298E-3"/>
  </r>
  <r>
    <s v="bra"/>
    <x v="0"/>
    <s v="monthly"/>
    <s v="vw_cap"/>
    <n v="5"/>
    <x v="114"/>
    <n v="3.4764953336635499E-3"/>
  </r>
  <r>
    <s v="bra"/>
    <x v="0"/>
    <s v="monthly"/>
    <s v="vw_cap"/>
    <n v="5"/>
    <x v="115"/>
    <n v="1.05647950697354E-4"/>
  </r>
  <r>
    <s v="bra"/>
    <x v="0"/>
    <s v="monthly"/>
    <s v="vw_cap"/>
    <n v="5"/>
    <x v="116"/>
    <n v="2.7452791924340102E-2"/>
  </r>
  <r>
    <s v="bra"/>
    <x v="0"/>
    <s v="monthly"/>
    <s v="vw_cap"/>
    <n v="5"/>
    <x v="117"/>
    <n v="5.3275462152606999E-2"/>
  </r>
  <r>
    <s v="bra"/>
    <x v="0"/>
    <s v="monthly"/>
    <s v="vw_cap"/>
    <n v="5"/>
    <x v="118"/>
    <n v="-7.9564031770271396E-2"/>
  </r>
  <r>
    <s v="bra"/>
    <x v="0"/>
    <s v="monthly"/>
    <s v="vw_cap"/>
    <n v="5"/>
    <x v="119"/>
    <n v="9.1765591205882294E-3"/>
  </r>
  <r>
    <s v="bra"/>
    <x v="0"/>
    <s v="monthly"/>
    <s v="vw_cap"/>
    <n v="5"/>
    <x v="120"/>
    <n v="3.3253622468442899E-2"/>
  </r>
  <r>
    <s v="bra"/>
    <x v="0"/>
    <s v="monthly"/>
    <s v="vw_cap"/>
    <n v="5"/>
    <x v="121"/>
    <n v="-5.6340726725317203E-2"/>
  </r>
  <r>
    <s v="bra"/>
    <x v="0"/>
    <s v="monthly"/>
    <s v="vw_cap"/>
    <n v="5"/>
    <x v="122"/>
    <n v="1.4183042604669501E-3"/>
  </r>
  <r>
    <s v="bra"/>
    <x v="0"/>
    <s v="monthly"/>
    <s v="vw_cap"/>
    <n v="5"/>
    <x v="123"/>
    <n v="1.18657599448488E-2"/>
  </r>
  <r>
    <s v="bra"/>
    <x v="0"/>
    <s v="monthly"/>
    <s v="vw_cap"/>
    <n v="5"/>
    <x v="124"/>
    <n v="-4.6621075132878796E-3"/>
  </r>
  <r>
    <s v="bra"/>
    <x v="0"/>
    <s v="monthly"/>
    <s v="vw_cap"/>
    <n v="5"/>
    <x v="125"/>
    <n v="-2.0689179212833499E-2"/>
  </r>
  <r>
    <s v="bra"/>
    <x v="0"/>
    <s v="monthly"/>
    <s v="vw_cap"/>
    <n v="5"/>
    <x v="126"/>
    <n v="-1.38374039478743E-2"/>
  </r>
  <r>
    <s v="bra"/>
    <x v="0"/>
    <s v="monthly"/>
    <s v="vw_cap"/>
    <n v="5"/>
    <x v="127"/>
    <n v="-2.16662773484666E-2"/>
  </r>
  <r>
    <s v="bra"/>
    <x v="0"/>
    <s v="monthly"/>
    <s v="vw_cap"/>
    <n v="5"/>
    <x v="128"/>
    <n v="-3.6304096498509298E-3"/>
  </r>
  <r>
    <s v="bra"/>
    <x v="0"/>
    <s v="monthly"/>
    <s v="vw_cap"/>
    <n v="5"/>
    <x v="129"/>
    <n v="-9.7847208549296707E-3"/>
  </r>
  <r>
    <s v="bra"/>
    <x v="0"/>
    <s v="monthly"/>
    <s v="vw_cap"/>
    <n v="5"/>
    <x v="130"/>
    <n v="-5.4029702345565703E-3"/>
  </r>
  <r>
    <s v="bra"/>
    <x v="0"/>
    <s v="monthly"/>
    <s v="vw_cap"/>
    <n v="5"/>
    <x v="131"/>
    <n v="-1.9528756613584702E-2"/>
  </r>
  <r>
    <s v="bra"/>
    <x v="0"/>
    <s v="monthly"/>
    <s v="vw_cap"/>
    <n v="5"/>
    <x v="132"/>
    <n v="2.7079128044933301E-2"/>
  </r>
  <r>
    <s v="bra"/>
    <x v="0"/>
    <s v="monthly"/>
    <s v="vw_cap"/>
    <n v="5"/>
    <x v="133"/>
    <n v="2.0023936942202301E-2"/>
  </r>
  <r>
    <s v="bra"/>
    <x v="0"/>
    <s v="monthly"/>
    <s v="vw_cap"/>
    <n v="5"/>
    <x v="134"/>
    <n v="-2.9171969764279101E-2"/>
  </r>
  <r>
    <s v="bra"/>
    <x v="0"/>
    <s v="monthly"/>
    <s v="vw_cap"/>
    <n v="5"/>
    <x v="135"/>
    <n v="-7.9019733761732103E-3"/>
  </r>
  <r>
    <s v="bra"/>
    <x v="0"/>
    <s v="monthly"/>
    <s v="vw_cap"/>
    <n v="5"/>
    <x v="136"/>
    <n v="-1.6227449801429698E-2"/>
  </r>
  <r>
    <s v="bra"/>
    <x v="0"/>
    <s v="monthly"/>
    <s v="vw_cap"/>
    <n v="5"/>
    <x v="137"/>
    <n v="2.7120264525629899E-3"/>
  </r>
  <r>
    <s v="bra"/>
    <x v="0"/>
    <s v="monthly"/>
    <s v="vw_cap"/>
    <n v="5"/>
    <x v="138"/>
    <n v="1.0463885523026999E-2"/>
  </r>
  <r>
    <s v="bra"/>
    <x v="0"/>
    <s v="monthly"/>
    <s v="vw_cap"/>
    <n v="5"/>
    <x v="139"/>
    <n v="-2.7923824501604202E-3"/>
  </r>
  <r>
    <s v="bra"/>
    <x v="0"/>
    <s v="monthly"/>
    <s v="vw_cap"/>
    <n v="5"/>
    <x v="140"/>
    <n v="4.71352271143545E-2"/>
  </r>
  <r>
    <s v="bra"/>
    <x v="0"/>
    <s v="monthly"/>
    <s v="vw_cap"/>
    <n v="5"/>
    <x v="141"/>
    <n v="-2.0602631222854599E-2"/>
  </r>
  <r>
    <s v="bra"/>
    <x v="0"/>
    <s v="monthly"/>
    <s v="vw_cap"/>
    <n v="5"/>
    <x v="142"/>
    <n v="1.7474944014432399E-2"/>
  </r>
  <r>
    <s v="bra"/>
    <x v="0"/>
    <s v="monthly"/>
    <s v="vw_cap"/>
    <n v="5"/>
    <x v="143"/>
    <n v="9.8893681584401594E-3"/>
  </r>
  <r>
    <s v="bra"/>
    <x v="0"/>
    <s v="monthly"/>
    <s v="vw_cap"/>
    <n v="5"/>
    <x v="144"/>
    <n v="5.1968798706698597E-3"/>
  </r>
  <r>
    <s v="bra"/>
    <x v="0"/>
    <s v="monthly"/>
    <s v="vw_cap"/>
    <n v="5"/>
    <x v="145"/>
    <n v="4.4243979896064302E-2"/>
  </r>
  <r>
    <s v="bra"/>
    <x v="0"/>
    <s v="monthly"/>
    <s v="vw_cap"/>
    <n v="5"/>
    <x v="146"/>
    <n v="-4.0021820201389304E-3"/>
  </r>
  <r>
    <s v="bra"/>
    <x v="0"/>
    <s v="monthly"/>
    <s v="vw_cap"/>
    <n v="5"/>
    <x v="147"/>
    <n v="-2.4465270127735101E-2"/>
  </r>
  <r>
    <s v="bra"/>
    <x v="0"/>
    <s v="monthly"/>
    <s v="vw_cap"/>
    <n v="5"/>
    <x v="148"/>
    <n v="-6.7166402157663504E-3"/>
  </r>
  <r>
    <s v="bra"/>
    <x v="0"/>
    <s v="monthly"/>
    <s v="vw_cap"/>
    <n v="5"/>
    <x v="149"/>
    <n v="-2.4655018650267799E-2"/>
  </r>
  <r>
    <s v="bra"/>
    <x v="0"/>
    <s v="monthly"/>
    <s v="vw_cap"/>
    <n v="5"/>
    <x v="150"/>
    <n v="-1.45446752943146E-2"/>
  </r>
  <r>
    <s v="bra"/>
    <x v="0"/>
    <s v="monthly"/>
    <s v="vw_cap"/>
    <n v="5"/>
    <x v="151"/>
    <n v="2.0538209171623599E-2"/>
  </r>
  <r>
    <s v="bra"/>
    <x v="0"/>
    <s v="monthly"/>
    <s v="vw_cap"/>
    <n v="5"/>
    <x v="152"/>
    <n v="3.2726468826973602E-2"/>
  </r>
  <r>
    <s v="bra"/>
    <x v="0"/>
    <s v="monthly"/>
    <s v="vw_cap"/>
    <n v="5"/>
    <x v="153"/>
    <n v="-5.8144297715654004E-3"/>
  </r>
  <r>
    <s v="bra"/>
    <x v="0"/>
    <s v="monthly"/>
    <s v="vw_cap"/>
    <n v="5"/>
    <x v="154"/>
    <n v="2.8624841318066799E-3"/>
  </r>
  <r>
    <s v="bra"/>
    <x v="0"/>
    <s v="monthly"/>
    <s v="vw_cap"/>
    <n v="5"/>
    <x v="155"/>
    <n v="-9.6522453213960906E-3"/>
  </r>
  <r>
    <s v="bra"/>
    <x v="0"/>
    <s v="monthly"/>
    <s v="vw_cap"/>
    <n v="5"/>
    <x v="156"/>
    <n v="8.8481964052548497E-3"/>
  </r>
  <r>
    <s v="bra"/>
    <x v="0"/>
    <s v="monthly"/>
    <s v="vw_cap"/>
    <n v="5"/>
    <x v="157"/>
    <n v="6.6031063710370499E-2"/>
  </r>
  <r>
    <s v="bra"/>
    <x v="0"/>
    <s v="monthly"/>
    <s v="vw_cap"/>
    <n v="5"/>
    <x v="158"/>
    <n v="-7.4618131737764896E-4"/>
  </r>
  <r>
    <s v="bra"/>
    <x v="0"/>
    <s v="monthly"/>
    <s v="vw_cap"/>
    <n v="5"/>
    <x v="159"/>
    <n v="-1.6765603578358001E-2"/>
  </r>
  <r>
    <s v="bra"/>
    <x v="0"/>
    <s v="monthly"/>
    <s v="vw_cap"/>
    <n v="5"/>
    <x v="160"/>
    <n v="-2.4733578376824099E-2"/>
  </r>
  <r>
    <s v="bra"/>
    <x v="0"/>
    <s v="monthly"/>
    <s v="vw_cap"/>
    <n v="5"/>
    <x v="161"/>
    <n v="-2.2801953495345099E-3"/>
  </r>
  <r>
    <s v="bra"/>
    <x v="0"/>
    <s v="monthly"/>
    <s v="vw_cap"/>
    <n v="5"/>
    <x v="162"/>
    <n v="-8.7798750694699696E-4"/>
  </r>
  <r>
    <s v="bra"/>
    <x v="0"/>
    <s v="monthly"/>
    <s v="vw_cap"/>
    <n v="5"/>
    <x v="163"/>
    <n v="8.6194228723882604E-3"/>
  </r>
  <r>
    <s v="bra"/>
    <x v="0"/>
    <s v="monthly"/>
    <s v="vw_cap"/>
    <n v="5"/>
    <x v="164"/>
    <n v="5.1838929312570899E-2"/>
  </r>
  <r>
    <s v="bra"/>
    <x v="0"/>
    <s v="monthly"/>
    <s v="vw_cap"/>
    <n v="5"/>
    <x v="165"/>
    <n v="7.0496943610537405E-2"/>
  </r>
  <r>
    <s v="bra"/>
    <x v="0"/>
    <s v="monthly"/>
    <s v="vw_cap"/>
    <n v="5"/>
    <x v="166"/>
    <n v="-7.5490887925145495E-2"/>
  </r>
  <r>
    <s v="bra"/>
    <x v="0"/>
    <s v="monthly"/>
    <s v="vw_cap"/>
    <n v="5"/>
    <x v="167"/>
    <n v="-2.9592303253689299E-2"/>
  </r>
  <r>
    <s v="bra"/>
    <x v="0"/>
    <s v="monthly"/>
    <s v="vw_cap"/>
    <n v="5"/>
    <x v="168"/>
    <n v="5.2858658266744301E-3"/>
  </r>
  <r>
    <s v="bra"/>
    <x v="0"/>
    <s v="monthly"/>
    <s v="vw_cap"/>
    <n v="5"/>
    <x v="169"/>
    <n v="-4.0640936987097698E-2"/>
  </r>
  <r>
    <s v="bra"/>
    <x v="0"/>
    <s v="monthly"/>
    <s v="vw_cap"/>
    <n v="5"/>
    <x v="170"/>
    <n v="-3.3923954552956301E-3"/>
  </r>
  <r>
    <s v="bra"/>
    <x v="0"/>
    <s v="monthly"/>
    <s v="vw_cap"/>
    <n v="5"/>
    <x v="171"/>
    <n v="-9.1311291002087999E-2"/>
  </r>
  <r>
    <s v="bra"/>
    <x v="0"/>
    <s v="monthly"/>
    <s v="vw_cap"/>
    <n v="5"/>
    <x v="172"/>
    <n v="-6.5782455572478596E-2"/>
  </r>
  <r>
    <s v="bra"/>
    <x v="0"/>
    <s v="monthly"/>
    <s v="vw_cap"/>
    <n v="5"/>
    <x v="173"/>
    <n v="-1.6925449588923099E-4"/>
  </r>
  <r>
    <s v="bra"/>
    <x v="0"/>
    <s v="monthly"/>
    <s v="vw_cap"/>
    <n v="5"/>
    <x v="174"/>
    <n v="-3.0281832910242699E-2"/>
  </r>
  <r>
    <s v="bra"/>
    <x v="0"/>
    <s v="monthly"/>
    <s v="vw_cap"/>
    <n v="5"/>
    <x v="175"/>
    <n v="-1.6080917382284999E-2"/>
  </r>
  <r>
    <s v="bra"/>
    <x v="0"/>
    <s v="monthly"/>
    <s v="vw_cap"/>
    <n v="5"/>
    <x v="176"/>
    <n v="1.8918484771630498E-2"/>
  </r>
  <r>
    <s v="bra"/>
    <x v="0"/>
    <s v="monthly"/>
    <s v="vw_cap"/>
    <n v="5"/>
    <x v="177"/>
    <n v="-3.4299657226916601E-2"/>
  </r>
  <r>
    <s v="bra"/>
    <x v="0"/>
    <s v="monthly"/>
    <s v="vw_cap"/>
    <n v="5"/>
    <x v="178"/>
    <n v="1.9004346481006601E-2"/>
  </r>
  <r>
    <s v="bra"/>
    <x v="0"/>
    <s v="monthly"/>
    <s v="vw_cap"/>
    <n v="5"/>
    <x v="179"/>
    <n v="2.6428102287732898E-2"/>
  </r>
  <r>
    <s v="bra"/>
    <x v="0"/>
    <s v="monthly"/>
    <s v="vw_cap"/>
    <n v="5"/>
    <x v="180"/>
    <n v="2.7105827040553698E-2"/>
  </r>
  <r>
    <s v="bra"/>
    <x v="0"/>
    <s v="monthly"/>
    <s v="vw_cap"/>
    <n v="5"/>
    <x v="181"/>
    <n v="1.7076542962480901E-2"/>
  </r>
  <r>
    <s v="bra"/>
    <x v="0"/>
    <s v="monthly"/>
    <s v="vw_cap"/>
    <n v="5"/>
    <x v="182"/>
    <n v="4.2239919237618301E-2"/>
  </r>
  <r>
    <s v="bra"/>
    <x v="0"/>
    <s v="monthly"/>
    <s v="vw_cap"/>
    <n v="5"/>
    <x v="183"/>
    <n v="-1.8230078273064901E-2"/>
  </r>
  <r>
    <s v="bra"/>
    <x v="0"/>
    <s v="monthly"/>
    <s v="vw_cap"/>
    <n v="5"/>
    <x v="184"/>
    <n v="-2.7687940652041901E-2"/>
  </r>
  <r>
    <s v="bra"/>
    <x v="0"/>
    <s v="monthly"/>
    <s v="vw_cap"/>
    <n v="5"/>
    <x v="185"/>
    <n v="-4.0473957121583597E-3"/>
  </r>
  <r>
    <s v="bra"/>
    <x v="0"/>
    <s v="monthly"/>
    <s v="vw_cap"/>
    <n v="5"/>
    <x v="186"/>
    <n v="-2.6015247881792401E-2"/>
  </r>
  <r>
    <s v="bra"/>
    <x v="0"/>
    <s v="monthly"/>
    <s v="vw_cap"/>
    <n v="5"/>
    <x v="187"/>
    <n v="6.6900546555223699E-3"/>
  </r>
  <r>
    <s v="bra"/>
    <x v="0"/>
    <s v="monthly"/>
    <s v="vw_cap"/>
    <n v="5"/>
    <x v="188"/>
    <n v="-1.1322644931419899E-2"/>
  </r>
  <r>
    <s v="bra"/>
    <x v="0"/>
    <s v="monthly"/>
    <s v="vw_cap"/>
    <n v="5"/>
    <x v="189"/>
    <n v="-1.95906226356093E-2"/>
  </r>
  <r>
    <s v="bra"/>
    <x v="0"/>
    <s v="monthly"/>
    <s v="vw_cap"/>
    <n v="5"/>
    <x v="190"/>
    <n v="4.3027830419540801E-2"/>
  </r>
  <r>
    <s v="bra"/>
    <x v="0"/>
    <s v="monthly"/>
    <s v="vw_cap"/>
    <n v="5"/>
    <x v="191"/>
    <n v="-5.9613958391672703E-2"/>
  </r>
  <r>
    <s v="bra"/>
    <x v="0"/>
    <s v="monthly"/>
    <s v="vw_cap"/>
    <n v="5"/>
    <x v="192"/>
    <n v="-2.1228560556889101E-2"/>
  </r>
  <r>
    <s v="bra"/>
    <x v="0"/>
    <s v="monthly"/>
    <s v="vw_cap"/>
    <n v="5"/>
    <x v="193"/>
    <n v="6.1207383829752502E-3"/>
  </r>
  <r>
    <s v="bra"/>
    <x v="0"/>
    <s v="monthly"/>
    <s v="vw_cap"/>
    <n v="5"/>
    <x v="194"/>
    <n v="3.7888018479929203E-2"/>
  </r>
  <r>
    <s v="bra"/>
    <x v="0"/>
    <s v="monthly"/>
    <s v="vw_cap"/>
    <n v="5"/>
    <x v="195"/>
    <n v="5.6196162699105899E-2"/>
  </r>
  <r>
    <s v="bra"/>
    <x v="0"/>
    <s v="monthly"/>
    <s v="vw_cap"/>
    <n v="5"/>
    <x v="196"/>
    <n v="3.0972629894116199E-2"/>
  </r>
  <r>
    <s v="bra"/>
    <x v="0"/>
    <s v="monthly"/>
    <s v="vw_cap"/>
    <n v="5"/>
    <x v="197"/>
    <n v="1.18069502600883E-2"/>
  </r>
  <r>
    <s v="bra"/>
    <x v="0"/>
    <s v="monthly"/>
    <s v="vw_cap"/>
    <n v="5"/>
    <x v="198"/>
    <n v="-1.8438771500976601E-3"/>
  </r>
  <r>
    <s v="bra"/>
    <x v="0"/>
    <s v="monthly"/>
    <s v="vw_cap"/>
    <n v="5"/>
    <x v="199"/>
    <n v="-2.5584183998541801E-2"/>
  </r>
  <r>
    <s v="bra"/>
    <x v="0"/>
    <s v="monthly"/>
    <s v="vw_cap"/>
    <n v="5"/>
    <x v="200"/>
    <n v="-1.7644069611558E-2"/>
  </r>
  <r>
    <s v="bra"/>
    <x v="0"/>
    <s v="monthly"/>
    <s v="vw_cap"/>
    <n v="5"/>
    <x v="201"/>
    <n v="-7.3953777005999798E-3"/>
  </r>
  <r>
    <s v="bra"/>
    <x v="0"/>
    <s v="monthly"/>
    <s v="vw_cap"/>
    <n v="5"/>
    <x v="202"/>
    <n v="-1.9554772183340102E-2"/>
  </r>
  <r>
    <s v="bra"/>
    <x v="0"/>
    <s v="monthly"/>
    <s v="vw_cap"/>
    <n v="5"/>
    <x v="203"/>
    <n v="3.3643592299715003E-2"/>
  </r>
  <r>
    <s v="bra"/>
    <x v="0"/>
    <s v="monthly"/>
    <s v="vw_cap"/>
    <n v="5"/>
    <x v="204"/>
    <n v="-3.4719165851917498E-2"/>
  </r>
  <r>
    <s v="bra"/>
    <x v="0"/>
    <s v="monthly"/>
    <s v="vw_cap"/>
    <n v="5"/>
    <x v="205"/>
    <n v="2.59892616453756E-2"/>
  </r>
  <r>
    <s v="bra"/>
    <x v="0"/>
    <s v="monthly"/>
    <s v="vw_cap"/>
    <n v="5"/>
    <x v="206"/>
    <n v="-1.6820791205935302E-2"/>
  </r>
  <r>
    <s v="bra"/>
    <x v="0"/>
    <s v="monthly"/>
    <s v="vw_cap"/>
    <n v="5"/>
    <x v="207"/>
    <n v="-4.9471568594989497E-3"/>
  </r>
  <r>
    <s v="bra"/>
    <x v="0"/>
    <s v="monthly"/>
    <s v="vw_cap"/>
    <n v="5"/>
    <x v="208"/>
    <n v="-2.40765285941253E-3"/>
  </r>
  <r>
    <s v="bra"/>
    <x v="0"/>
    <s v="monthly"/>
    <s v="vw_cap"/>
    <n v="5"/>
    <x v="209"/>
    <n v="-4.34275876975641E-2"/>
  </r>
  <r>
    <s v="bra"/>
    <x v="0"/>
    <s v="monthly"/>
    <s v="vw_cap"/>
    <n v="5"/>
    <x v="210"/>
    <n v="8.14636265244431E-5"/>
  </r>
  <r>
    <s v="bra"/>
    <x v="0"/>
    <s v="monthly"/>
    <s v="vw_cap"/>
    <n v="5"/>
    <x v="211"/>
    <n v="9.1574815691219703E-3"/>
  </r>
  <r>
    <s v="bra"/>
    <x v="0"/>
    <s v="monthly"/>
    <s v="vw_cap"/>
    <n v="5"/>
    <x v="212"/>
    <n v="2.27548705780296E-3"/>
  </r>
  <r>
    <s v="bra"/>
    <x v="0"/>
    <s v="monthly"/>
    <s v="vw_cap"/>
    <n v="5"/>
    <x v="213"/>
    <n v="2.8649995189112501E-2"/>
  </r>
  <r>
    <s v="bra"/>
    <x v="0"/>
    <s v="monthly"/>
    <s v="vw_cap"/>
    <n v="5"/>
    <x v="214"/>
    <n v="-1.7240719440120199E-2"/>
  </r>
  <r>
    <s v="bra"/>
    <x v="0"/>
    <s v="monthly"/>
    <s v="vw_cap"/>
    <n v="5"/>
    <x v="215"/>
    <n v="2.3875876988116499E-2"/>
  </r>
  <r>
    <s v="bra"/>
    <x v="0"/>
    <s v="monthly"/>
    <s v="vw_cap"/>
    <n v="5"/>
    <x v="216"/>
    <n v="-2.4718493350099201E-2"/>
  </r>
  <r>
    <s v="bra"/>
    <x v="0"/>
    <s v="monthly"/>
    <s v="vw_cap"/>
    <n v="5"/>
    <x v="217"/>
    <n v="-1.16196652384504E-2"/>
  </r>
  <r>
    <s v="bra"/>
    <x v="0"/>
    <s v="monthly"/>
    <s v="vw_cap"/>
    <n v="5"/>
    <x v="218"/>
    <n v="-1.61411328540178E-2"/>
  </r>
  <r>
    <s v="bra"/>
    <x v="0"/>
    <s v="monthly"/>
    <s v="vw_cap"/>
    <n v="5"/>
    <x v="219"/>
    <n v="5.8218224589692398E-2"/>
  </r>
  <r>
    <s v="bra"/>
    <x v="0"/>
    <s v="monthly"/>
    <s v="vw_cap"/>
    <n v="5"/>
    <x v="220"/>
    <n v="3.75752068663656E-3"/>
  </r>
  <r>
    <s v="bra"/>
    <x v="0"/>
    <s v="monthly"/>
    <s v="vw_cap"/>
    <n v="5"/>
    <x v="221"/>
    <n v="-5.9551399897388502E-2"/>
  </r>
  <r>
    <s v="bra"/>
    <x v="0"/>
    <s v="monthly"/>
    <s v="vw_cap"/>
    <n v="5"/>
    <x v="222"/>
    <n v="-4.75485541306516E-2"/>
  </r>
  <r>
    <s v="bra"/>
    <x v="0"/>
    <s v="monthly"/>
    <s v="vw_cap"/>
    <n v="5"/>
    <x v="223"/>
    <n v="-3.1653982686884803E-2"/>
  </r>
  <r>
    <s v="bra"/>
    <x v="0"/>
    <s v="monthly"/>
    <s v="vw_cap"/>
    <n v="5"/>
    <x v="224"/>
    <n v="2.1304524741280102E-2"/>
  </r>
  <r>
    <s v="bra"/>
    <x v="0"/>
    <s v="monthly"/>
    <s v="vw_cap"/>
    <n v="5"/>
    <x v="225"/>
    <n v="-9.5804596232995191E-3"/>
  </r>
  <r>
    <s v="bra"/>
    <x v="0"/>
    <s v="monthly"/>
    <s v="vw_cap"/>
    <n v="6"/>
    <x v="226"/>
    <n v="-4.1070087790992901E-2"/>
  </r>
  <r>
    <s v="bra"/>
    <x v="0"/>
    <s v="monthly"/>
    <s v="vw_cap"/>
    <n v="6"/>
    <x v="227"/>
    <n v="4.8829778896436499E-2"/>
  </r>
  <r>
    <s v="bra"/>
    <x v="0"/>
    <s v="monthly"/>
    <s v="vw_cap"/>
    <n v="6"/>
    <x v="228"/>
    <n v="1.0458725892823499E-2"/>
  </r>
  <r>
    <s v="bra"/>
    <x v="0"/>
    <s v="monthly"/>
    <s v="vw_cap"/>
    <n v="6"/>
    <x v="229"/>
    <n v="5.9281187538774302E-2"/>
  </r>
  <r>
    <s v="bra"/>
    <x v="0"/>
    <s v="monthly"/>
    <s v="vw_cap"/>
    <n v="6"/>
    <x v="230"/>
    <n v="1.72064660639853E-2"/>
  </r>
  <r>
    <s v="bra"/>
    <x v="0"/>
    <s v="monthly"/>
    <s v="vw_cap"/>
    <n v="6"/>
    <x v="231"/>
    <n v="5.4014588299453499E-2"/>
  </r>
  <r>
    <s v="bra"/>
    <x v="0"/>
    <s v="monthly"/>
    <s v="vw_cap"/>
    <n v="6"/>
    <x v="232"/>
    <n v="-2.4952076807814701E-2"/>
  </r>
  <r>
    <s v="bra"/>
    <x v="0"/>
    <s v="monthly"/>
    <s v="vw_cap"/>
    <n v="6"/>
    <x v="233"/>
    <n v="-6.6629115204728901E-3"/>
  </r>
  <r>
    <s v="bra"/>
    <x v="0"/>
    <s v="monthly"/>
    <s v="vw_cap"/>
    <n v="6"/>
    <x v="234"/>
    <n v="-2.1078471445072799E-2"/>
  </r>
  <r>
    <s v="bra"/>
    <x v="0"/>
    <s v="monthly"/>
    <s v="vw_cap"/>
    <n v="6"/>
    <x v="235"/>
    <n v="-4.9055916707523598E-3"/>
  </r>
  <r>
    <s v="bra"/>
    <x v="0"/>
    <s v="monthly"/>
    <s v="vw_cap"/>
    <n v="6"/>
    <x v="236"/>
    <n v="3.5383856263982501E-2"/>
  </r>
  <r>
    <s v="bra"/>
    <x v="0"/>
    <s v="monthly"/>
    <s v="vw_cap"/>
    <n v="6"/>
    <x v="237"/>
    <n v="-7.4338431187216097E-3"/>
  </r>
  <r>
    <s v="bra"/>
    <x v="0"/>
    <s v="monthly"/>
    <s v="vw_cap"/>
    <n v="6"/>
    <x v="238"/>
    <n v="3.9868647959547199E-2"/>
  </r>
  <r>
    <s v="bra"/>
    <x v="0"/>
    <s v="monthly"/>
    <s v="vw_cap"/>
    <n v="6"/>
    <x v="239"/>
    <n v="4.06951202863658E-3"/>
  </r>
  <r>
    <s v="bra"/>
    <x v="0"/>
    <s v="monthly"/>
    <s v="vw_cap"/>
    <n v="6"/>
    <x v="240"/>
    <n v="1.1083353336419501E-2"/>
  </r>
  <r>
    <s v="bra"/>
    <x v="0"/>
    <s v="monthly"/>
    <s v="vw_cap"/>
    <n v="6"/>
    <x v="241"/>
    <n v="-1.2969099214531101E-2"/>
  </r>
  <r>
    <s v="bra"/>
    <x v="0"/>
    <s v="monthly"/>
    <s v="vw_cap"/>
    <n v="6"/>
    <x v="242"/>
    <n v="3.17481069849323E-3"/>
  </r>
  <r>
    <s v="bra"/>
    <x v="0"/>
    <s v="monthly"/>
    <s v="vw_cap"/>
    <n v="6"/>
    <x v="243"/>
    <n v="-1.44018993763416E-2"/>
  </r>
  <r>
    <s v="bra"/>
    <x v="0"/>
    <s v="monthly"/>
    <s v="vw_cap"/>
    <n v="6"/>
    <x v="244"/>
    <n v="4.5406349584625E-2"/>
  </r>
  <r>
    <s v="bra"/>
    <x v="0"/>
    <s v="monthly"/>
    <s v="vw_cap"/>
    <n v="6"/>
    <x v="245"/>
    <n v="1.65021737082615E-2"/>
  </r>
  <r>
    <s v="bra"/>
    <x v="0"/>
    <s v="monthly"/>
    <s v="vw_cap"/>
    <n v="6"/>
    <x v="246"/>
    <n v="1.31160715076955E-2"/>
  </r>
  <r>
    <s v="bra"/>
    <x v="0"/>
    <s v="monthly"/>
    <s v="vw_cap"/>
    <n v="6"/>
    <x v="247"/>
    <n v="-4.2090015661796203E-2"/>
  </r>
  <r>
    <s v="bra"/>
    <x v="0"/>
    <s v="monthly"/>
    <s v="vw_cap"/>
    <n v="6"/>
    <x v="248"/>
    <n v="-9.7900595331650297E-3"/>
  </r>
  <r>
    <s v="bra"/>
    <x v="0"/>
    <s v="monthly"/>
    <s v="vw_cap"/>
    <n v="6"/>
    <x v="249"/>
    <n v="-3.0456219493144299E-2"/>
  </r>
  <r>
    <s v="bra"/>
    <x v="0"/>
    <s v="monthly"/>
    <s v="vw_cap"/>
    <n v="6"/>
    <x v="250"/>
    <n v="-1.1402621666413299E-2"/>
  </r>
  <r>
    <s v="bra"/>
    <x v="0"/>
    <s v="monthly"/>
    <s v="vw_cap"/>
    <n v="6"/>
    <x v="251"/>
    <n v="-3.5708476788585797E-2"/>
  </r>
  <r>
    <s v="bra"/>
    <x v="0"/>
    <s v="monthly"/>
    <s v="vw_cap"/>
    <n v="6"/>
    <x v="252"/>
    <n v="5.01524833351013E-3"/>
  </r>
  <r>
    <s v="bra"/>
    <x v="0"/>
    <s v="monthly"/>
    <s v="vw_cap"/>
    <n v="6"/>
    <x v="253"/>
    <n v="-3.0120869417343599E-2"/>
  </r>
  <r>
    <s v="bra"/>
    <x v="0"/>
    <s v="monthly"/>
    <s v="vw_cap"/>
    <n v="6"/>
    <x v="254"/>
    <n v="-1.38321431229176E-2"/>
  </r>
  <r>
    <s v="bra"/>
    <x v="0"/>
    <s v="monthly"/>
    <s v="vw_cap"/>
    <n v="6"/>
    <x v="255"/>
    <n v="3.8173020198396898E-2"/>
  </r>
  <r>
    <s v="bra"/>
    <x v="0"/>
    <s v="monthly"/>
    <s v="vw_cap"/>
    <n v="6"/>
    <x v="256"/>
    <n v="3.4242179396842799E-2"/>
  </r>
  <r>
    <s v="bra"/>
    <x v="0"/>
    <s v="monthly"/>
    <s v="vw_cap"/>
    <n v="6"/>
    <x v="257"/>
    <n v="1.2279573686438399E-2"/>
  </r>
  <r>
    <s v="bra"/>
    <x v="0"/>
    <s v="monthly"/>
    <s v="vw_cap"/>
    <n v="6"/>
    <x v="258"/>
    <n v="3.12175260460987E-2"/>
  </r>
  <r>
    <s v="bra"/>
    <x v="0"/>
    <s v="monthly"/>
    <s v="vw_cap"/>
    <n v="6"/>
    <x v="259"/>
    <n v="1.5427656692083999E-2"/>
  </r>
  <r>
    <s v="bra"/>
    <x v="0"/>
    <s v="monthly"/>
    <s v="vw_cap"/>
    <n v="6"/>
    <x v="260"/>
    <n v="-1.03348853978094E-2"/>
  </r>
  <r>
    <s v="bra"/>
    <x v="0"/>
    <s v="monthly"/>
    <s v="vw_cap"/>
    <n v="6"/>
    <x v="261"/>
    <n v="1.2435108802717899E-2"/>
  </r>
  <r>
    <s v="bra"/>
    <x v="0"/>
    <s v="monthly"/>
    <s v="vw_cap"/>
    <n v="6"/>
    <x v="262"/>
    <n v="1.82455776736044E-2"/>
  </r>
  <r>
    <s v="bra"/>
    <x v="0"/>
    <s v="monthly"/>
    <s v="vw_cap"/>
    <n v="6"/>
    <x v="263"/>
    <n v="1.3329299009889E-2"/>
  </r>
  <r>
    <s v="bra"/>
    <x v="0"/>
    <s v="monthly"/>
    <s v="vw_cap"/>
    <n v="6"/>
    <x v="264"/>
    <n v="-1.7474255606766399E-2"/>
  </r>
  <r>
    <s v="bra"/>
    <x v="0"/>
    <s v="monthly"/>
    <s v="vw_cap"/>
    <n v="6"/>
    <x v="265"/>
    <n v="9.5203367363508404E-3"/>
  </r>
  <r>
    <s v="bra"/>
    <x v="0"/>
    <s v="monthly"/>
    <s v="vw_cap"/>
    <n v="6"/>
    <x v="266"/>
    <n v="4.9441145311065497E-3"/>
  </r>
  <r>
    <s v="bra"/>
    <x v="0"/>
    <s v="monthly"/>
    <s v="vw_cap"/>
    <n v="6"/>
    <x v="267"/>
    <n v="6.8723472174518196E-3"/>
  </r>
  <r>
    <s v="bra"/>
    <x v="0"/>
    <s v="monthly"/>
    <s v="vw_cap"/>
    <n v="6"/>
    <x v="268"/>
    <n v="-2.26025498896439E-2"/>
  </r>
  <r>
    <s v="bra"/>
    <x v="0"/>
    <s v="monthly"/>
    <s v="vw_cap"/>
    <n v="6"/>
    <x v="269"/>
    <n v="1.44126648788788E-2"/>
  </r>
  <r>
    <s v="bra"/>
    <x v="0"/>
    <s v="monthly"/>
    <s v="vw_cap"/>
    <n v="6"/>
    <x v="270"/>
    <n v="1.7679746791397599E-3"/>
  </r>
  <r>
    <s v="bra"/>
    <x v="0"/>
    <s v="monthly"/>
    <s v="vw_cap"/>
    <n v="6"/>
    <x v="271"/>
    <n v="-6.1241516047858902E-3"/>
  </r>
  <r>
    <s v="bra"/>
    <x v="0"/>
    <s v="monthly"/>
    <s v="vw_cap"/>
    <n v="6"/>
    <x v="272"/>
    <n v="1.6898302078588501E-2"/>
  </r>
  <r>
    <s v="bra"/>
    <x v="0"/>
    <s v="monthly"/>
    <s v="vw_cap"/>
    <n v="6"/>
    <x v="273"/>
    <n v="1.2016691802146699E-2"/>
  </r>
  <r>
    <s v="bra"/>
    <x v="0"/>
    <s v="monthly"/>
    <s v="vw_cap"/>
    <n v="6"/>
    <x v="274"/>
    <n v="-7.9987597328537597E-3"/>
  </r>
  <r>
    <s v="bra"/>
    <x v="0"/>
    <s v="monthly"/>
    <s v="vw_cap"/>
    <n v="6"/>
    <x v="275"/>
    <n v="3.4405680867210499E-2"/>
  </r>
  <r>
    <s v="bra"/>
    <x v="0"/>
    <s v="monthly"/>
    <s v="vw_cap"/>
    <n v="6"/>
    <x v="276"/>
    <n v="1.5382034770655501E-2"/>
  </r>
  <r>
    <s v="bra"/>
    <x v="0"/>
    <s v="monthly"/>
    <s v="vw_cap"/>
    <n v="6"/>
    <x v="277"/>
    <n v="-2.50415656369973E-2"/>
  </r>
  <r>
    <s v="bra"/>
    <x v="0"/>
    <s v="monthly"/>
    <s v="vw_cap"/>
    <n v="6"/>
    <x v="278"/>
    <n v="-4.2067234323138704E-3"/>
  </r>
  <r>
    <s v="bra"/>
    <x v="0"/>
    <s v="monthly"/>
    <s v="vw_cap"/>
    <n v="6"/>
    <x v="279"/>
    <n v="2.2469795069792499E-2"/>
  </r>
  <r>
    <s v="bra"/>
    <x v="0"/>
    <s v="monthly"/>
    <s v="vw_cap"/>
    <n v="6"/>
    <x v="280"/>
    <n v="-8.0527244904975703E-3"/>
  </r>
  <r>
    <s v="bra"/>
    <x v="0"/>
    <s v="monthly"/>
    <s v="vw_cap"/>
    <n v="6"/>
    <x v="281"/>
    <n v="3.0849592202189802E-3"/>
  </r>
  <r>
    <s v="bra"/>
    <x v="0"/>
    <s v="monthly"/>
    <s v="vw_cap"/>
    <n v="6"/>
    <x v="282"/>
    <n v="1.6936000116267301E-2"/>
  </r>
  <r>
    <s v="bra"/>
    <x v="0"/>
    <s v="monthly"/>
    <s v="vw_cap"/>
    <n v="6"/>
    <x v="283"/>
    <n v="3.1049283322469499E-2"/>
  </r>
  <r>
    <s v="bra"/>
    <x v="0"/>
    <s v="monthly"/>
    <s v="vw_cap"/>
    <n v="6"/>
    <x v="284"/>
    <n v="1.2853877996626101E-2"/>
  </r>
  <r>
    <s v="bra"/>
    <x v="0"/>
    <s v="monthly"/>
    <s v="vw_cap"/>
    <n v="6"/>
    <x v="285"/>
    <n v="-1.4034727465937299E-2"/>
  </r>
  <r>
    <s v="bra"/>
    <x v="0"/>
    <s v="monthly"/>
    <s v="vw_cap"/>
    <n v="6"/>
    <x v="286"/>
    <n v="-3.617139739262E-2"/>
  </r>
  <r>
    <s v="bra"/>
    <x v="0"/>
    <s v="monthly"/>
    <s v="vw_cap"/>
    <n v="6"/>
    <x v="287"/>
    <n v="1.1394085210785901E-2"/>
  </r>
  <r>
    <s v="bra"/>
    <x v="0"/>
    <s v="monthly"/>
    <s v="vw_cap"/>
    <n v="6"/>
    <x v="288"/>
    <n v="-6.5301022066943507E-2"/>
  </r>
  <r>
    <s v="bra"/>
    <x v="1"/>
    <s v="monthly"/>
    <s v="vw_cap"/>
    <n v="4"/>
    <x v="0"/>
    <n v="2.8390387454216098E-2"/>
  </r>
  <r>
    <s v="bra"/>
    <x v="1"/>
    <s v="monthly"/>
    <s v="vw_cap"/>
    <n v="4"/>
    <x v="1"/>
    <n v="-4.0877465332792198E-2"/>
  </r>
  <r>
    <s v="bra"/>
    <x v="1"/>
    <s v="monthly"/>
    <s v="vw_cap"/>
    <n v="2"/>
    <x v="289"/>
    <n v="1.7335302175848E-2"/>
  </r>
  <r>
    <s v="bra"/>
    <x v="1"/>
    <s v="monthly"/>
    <s v="vw_cap"/>
    <n v="2"/>
    <x v="290"/>
    <n v="-7.54710083371158E-2"/>
  </r>
  <r>
    <s v="bra"/>
    <x v="1"/>
    <s v="monthly"/>
    <s v="vw_cap"/>
    <n v="2"/>
    <x v="291"/>
    <n v="-0.20236442952816699"/>
  </r>
  <r>
    <s v="bra"/>
    <x v="1"/>
    <s v="monthly"/>
    <s v="vw_cap"/>
    <n v="2"/>
    <x v="292"/>
    <n v="0.174310289150236"/>
  </r>
  <r>
    <s v="bra"/>
    <x v="1"/>
    <s v="monthly"/>
    <s v="vw_cap"/>
    <n v="2"/>
    <x v="293"/>
    <n v="0.17261227823601299"/>
  </r>
  <r>
    <s v="bra"/>
    <x v="1"/>
    <s v="monthly"/>
    <s v="vw_cap"/>
    <n v="4"/>
    <x v="2"/>
    <n v="-2.48572265598529E-2"/>
  </r>
  <r>
    <s v="bra"/>
    <x v="1"/>
    <s v="monthly"/>
    <s v="vw_cap"/>
    <n v="4"/>
    <x v="3"/>
    <n v="3.8167257216758503E-2"/>
  </r>
  <r>
    <s v="bra"/>
    <x v="1"/>
    <s v="monthly"/>
    <s v="vw_cap"/>
    <n v="4"/>
    <x v="4"/>
    <n v="1.5469954651317799E-2"/>
  </r>
  <r>
    <s v="bra"/>
    <x v="1"/>
    <s v="monthly"/>
    <s v="vw_cap"/>
    <n v="4"/>
    <x v="5"/>
    <n v="0.110427214469908"/>
  </r>
  <r>
    <s v="bra"/>
    <x v="1"/>
    <s v="monthly"/>
    <s v="vw_cap"/>
    <n v="4"/>
    <x v="6"/>
    <n v="1.9767958327147599E-2"/>
  </r>
  <r>
    <s v="bra"/>
    <x v="1"/>
    <s v="monthly"/>
    <s v="vw_cap"/>
    <n v="4"/>
    <x v="7"/>
    <n v="7.2547591085254201E-2"/>
  </r>
  <r>
    <s v="bra"/>
    <x v="1"/>
    <s v="monthly"/>
    <s v="vw_cap"/>
    <n v="4"/>
    <x v="8"/>
    <n v="-0.10659359419084601"/>
  </r>
  <r>
    <s v="bra"/>
    <x v="1"/>
    <s v="monthly"/>
    <s v="vw_cap"/>
    <n v="4"/>
    <x v="9"/>
    <n v="-0.102295333851335"/>
  </r>
  <r>
    <s v="bra"/>
    <x v="1"/>
    <s v="monthly"/>
    <s v="vw_cap"/>
    <n v="2"/>
    <x v="294"/>
    <n v="0.137215737523743"/>
  </r>
  <r>
    <s v="bra"/>
    <x v="1"/>
    <s v="monthly"/>
    <s v="vw_cap"/>
    <n v="4"/>
    <x v="10"/>
    <n v="-3.5008426325093697E-2"/>
  </r>
  <r>
    <s v="bra"/>
    <x v="1"/>
    <s v="monthly"/>
    <s v="vw_cap"/>
    <n v="4"/>
    <x v="11"/>
    <n v="-0.16395568050579701"/>
  </r>
  <r>
    <s v="bra"/>
    <x v="1"/>
    <s v="monthly"/>
    <s v="vw_cap"/>
    <n v="4"/>
    <x v="12"/>
    <n v="-1.8554320765753099E-2"/>
  </r>
  <r>
    <s v="bra"/>
    <x v="1"/>
    <s v="monthly"/>
    <s v="vw_cap"/>
    <n v="4"/>
    <x v="13"/>
    <n v="9.7880226191768796E-2"/>
  </r>
  <r>
    <s v="bra"/>
    <x v="1"/>
    <s v="monthly"/>
    <s v="vw_cap"/>
    <n v="4"/>
    <x v="14"/>
    <n v="-1.29868621859214E-2"/>
  </r>
  <r>
    <s v="bra"/>
    <x v="1"/>
    <s v="monthly"/>
    <s v="vw_cap"/>
    <n v="4"/>
    <x v="15"/>
    <n v="-0.14969715430899699"/>
  </r>
  <r>
    <s v="bra"/>
    <x v="1"/>
    <s v="monthly"/>
    <s v="vw_cap"/>
    <n v="4"/>
    <x v="16"/>
    <n v="6.4597026965672003E-2"/>
  </r>
  <r>
    <s v="bra"/>
    <x v="1"/>
    <s v="monthly"/>
    <s v="vw_cap"/>
    <n v="4"/>
    <x v="17"/>
    <n v="5.7379087095220299E-2"/>
  </r>
  <r>
    <s v="bra"/>
    <x v="1"/>
    <s v="monthly"/>
    <s v="vw_cap"/>
    <n v="4"/>
    <x v="18"/>
    <n v="-6.9916753135925699E-2"/>
  </r>
  <r>
    <s v="bra"/>
    <x v="1"/>
    <s v="monthly"/>
    <s v="vw_cap"/>
    <n v="4"/>
    <x v="19"/>
    <n v="6.6782329127160603E-2"/>
  </r>
  <r>
    <s v="bra"/>
    <x v="1"/>
    <s v="monthly"/>
    <s v="vw_cap"/>
    <n v="4"/>
    <x v="20"/>
    <n v="-6.1767990436836099E-3"/>
  </r>
  <r>
    <s v="bra"/>
    <x v="1"/>
    <s v="monthly"/>
    <s v="vw_cap"/>
    <n v="4"/>
    <x v="21"/>
    <n v="-2.17964998087475E-2"/>
  </r>
  <r>
    <s v="bra"/>
    <x v="1"/>
    <s v="monthly"/>
    <s v="vw_cap"/>
    <n v="4"/>
    <x v="22"/>
    <n v="-4.4923427682353897E-2"/>
  </r>
  <r>
    <s v="bra"/>
    <x v="1"/>
    <s v="monthly"/>
    <s v="vw_cap"/>
    <n v="4"/>
    <x v="23"/>
    <n v="-3.4383889258348798E-3"/>
  </r>
  <r>
    <s v="bra"/>
    <x v="1"/>
    <s v="monthly"/>
    <s v="vw_cap"/>
    <n v="5"/>
    <x v="24"/>
    <n v="1.29556749386265E-2"/>
  </r>
  <r>
    <s v="bra"/>
    <x v="1"/>
    <s v="monthly"/>
    <s v="vw_cap"/>
    <n v="5"/>
    <x v="25"/>
    <n v="-2.9746169907188001E-2"/>
  </r>
  <r>
    <s v="bra"/>
    <x v="1"/>
    <s v="monthly"/>
    <s v="vw_cap"/>
    <n v="5"/>
    <x v="26"/>
    <n v="3.9403308520909099E-2"/>
  </r>
  <r>
    <s v="bra"/>
    <x v="1"/>
    <s v="monthly"/>
    <s v="vw_cap"/>
    <n v="6"/>
    <x v="27"/>
    <n v="1.81437497000582E-2"/>
  </r>
  <r>
    <s v="bra"/>
    <x v="1"/>
    <s v="monthly"/>
    <s v="vw_cap"/>
    <n v="3"/>
    <x v="295"/>
    <n v="-4.0034133918606697E-2"/>
  </r>
  <r>
    <s v="bra"/>
    <x v="1"/>
    <s v="monthly"/>
    <s v="vw_cap"/>
    <n v="3"/>
    <x v="296"/>
    <n v="6.2704866503422996E-3"/>
  </r>
  <r>
    <s v="bra"/>
    <x v="1"/>
    <s v="monthly"/>
    <s v="vw_cap"/>
    <n v="3"/>
    <x v="297"/>
    <n v="-2.7156318602990299E-2"/>
  </r>
  <r>
    <s v="bra"/>
    <x v="1"/>
    <s v="monthly"/>
    <s v="vw_cap"/>
    <n v="3"/>
    <x v="298"/>
    <n v="-5.95105289835903E-2"/>
  </r>
  <r>
    <s v="bra"/>
    <x v="1"/>
    <s v="monthly"/>
    <s v="vw_cap"/>
    <n v="3"/>
    <x v="299"/>
    <n v="-2.3167870656097701E-3"/>
  </r>
  <r>
    <s v="bra"/>
    <x v="1"/>
    <s v="monthly"/>
    <s v="vw_cap"/>
    <n v="3"/>
    <x v="300"/>
    <n v="7.3164346564504504E-2"/>
  </r>
  <r>
    <s v="bra"/>
    <x v="1"/>
    <s v="monthly"/>
    <s v="vw_cap"/>
    <n v="3"/>
    <x v="301"/>
    <n v="0.118455319510871"/>
  </r>
  <r>
    <s v="bra"/>
    <x v="1"/>
    <s v="monthly"/>
    <s v="vw_cap"/>
    <n v="3"/>
    <x v="302"/>
    <n v="0.205413684684393"/>
  </r>
  <r>
    <s v="bra"/>
    <x v="1"/>
    <s v="monthly"/>
    <s v="vw_cap"/>
    <n v="3"/>
    <x v="303"/>
    <n v="-9.1156265629049202E-2"/>
  </r>
  <r>
    <s v="bra"/>
    <x v="1"/>
    <s v="monthly"/>
    <s v="vw_cap"/>
    <n v="3"/>
    <x v="304"/>
    <n v="4.3552314746701003E-3"/>
  </r>
  <r>
    <s v="bra"/>
    <x v="1"/>
    <s v="monthly"/>
    <s v="vw_cap"/>
    <n v="2"/>
    <x v="305"/>
    <n v="6.7290312209734193E-2"/>
  </r>
  <r>
    <s v="bra"/>
    <x v="1"/>
    <s v="monthly"/>
    <s v="vw_cap"/>
    <n v="2"/>
    <x v="306"/>
    <n v="-2.55452445218914E-2"/>
  </r>
  <r>
    <s v="bra"/>
    <x v="1"/>
    <s v="monthly"/>
    <s v="vw_cap"/>
    <n v="2"/>
    <x v="307"/>
    <n v="1.83878776055133E-2"/>
  </r>
  <r>
    <s v="bra"/>
    <x v="1"/>
    <s v="monthly"/>
    <s v="vw_cap"/>
    <n v="5"/>
    <x v="28"/>
    <n v="-8.3525984224309697E-3"/>
  </r>
  <r>
    <s v="bra"/>
    <x v="1"/>
    <s v="monthly"/>
    <s v="vw_cap"/>
    <n v="2"/>
    <x v="308"/>
    <n v="9.5841169075660995E-2"/>
  </r>
  <r>
    <s v="bra"/>
    <x v="1"/>
    <s v="monthly"/>
    <s v="vw_cap"/>
    <n v="2"/>
    <x v="309"/>
    <n v="1.15056824111954E-2"/>
  </r>
  <r>
    <s v="bra"/>
    <x v="1"/>
    <s v="monthly"/>
    <s v="vw_cap"/>
    <n v="2"/>
    <x v="310"/>
    <n v="1.90132565508776E-2"/>
  </r>
  <r>
    <s v="bra"/>
    <x v="1"/>
    <s v="monthly"/>
    <s v="vw_cap"/>
    <n v="2"/>
    <x v="311"/>
    <n v="-3.6816177747304002E-2"/>
  </r>
  <r>
    <s v="bra"/>
    <x v="1"/>
    <s v="monthly"/>
    <s v="vw_cap"/>
    <n v="6"/>
    <x v="29"/>
    <n v="-5.6247884048272797E-3"/>
  </r>
  <r>
    <s v="bra"/>
    <x v="1"/>
    <s v="monthly"/>
    <s v="vw_cap"/>
    <n v="5"/>
    <x v="30"/>
    <n v="5.2717830828647401E-2"/>
  </r>
  <r>
    <s v="bra"/>
    <x v="1"/>
    <s v="monthly"/>
    <s v="vw_cap"/>
    <n v="5"/>
    <x v="31"/>
    <n v="-5.6502870836044099E-2"/>
  </r>
  <r>
    <s v="bra"/>
    <x v="1"/>
    <s v="monthly"/>
    <s v="vw_cap"/>
    <n v="5"/>
    <x v="32"/>
    <n v="1.7508128717128799E-2"/>
  </r>
  <r>
    <s v="bra"/>
    <x v="1"/>
    <s v="monthly"/>
    <s v="vw_cap"/>
    <n v="6"/>
    <x v="33"/>
    <n v="3.5902285205134603E-2"/>
  </r>
  <r>
    <s v="bra"/>
    <x v="1"/>
    <s v="monthly"/>
    <s v="vw_cap"/>
    <n v="6"/>
    <x v="34"/>
    <n v="3.0517690543484102E-2"/>
  </r>
  <r>
    <s v="bra"/>
    <x v="1"/>
    <s v="monthly"/>
    <s v="vw_cap"/>
    <n v="6"/>
    <x v="35"/>
    <n v="3.99780679267221E-4"/>
  </r>
  <r>
    <s v="bra"/>
    <x v="1"/>
    <s v="monthly"/>
    <s v="vw_cap"/>
    <n v="6"/>
    <x v="36"/>
    <n v="1.2368429453675301E-2"/>
  </r>
  <r>
    <s v="bra"/>
    <x v="1"/>
    <s v="monthly"/>
    <s v="vw_cap"/>
    <n v="6"/>
    <x v="37"/>
    <n v="-4.89764901816011E-2"/>
  </r>
  <r>
    <s v="bra"/>
    <x v="1"/>
    <s v="monthly"/>
    <s v="vw_cap"/>
    <n v="6"/>
    <x v="38"/>
    <n v="-4.9367316619234297E-2"/>
  </r>
  <r>
    <s v="bra"/>
    <x v="1"/>
    <s v="monthly"/>
    <s v="vw_cap"/>
    <n v="7"/>
    <x v="39"/>
    <n v="2.01808222438708E-2"/>
  </r>
  <r>
    <s v="bra"/>
    <x v="1"/>
    <s v="monthly"/>
    <s v="vw_cap"/>
    <n v="6"/>
    <x v="40"/>
    <n v="2.1707605503623901E-2"/>
  </r>
  <r>
    <s v="bra"/>
    <x v="1"/>
    <s v="monthly"/>
    <s v="vw_cap"/>
    <n v="7"/>
    <x v="41"/>
    <n v="2.9571108135210598E-2"/>
  </r>
  <r>
    <s v="bra"/>
    <x v="1"/>
    <s v="monthly"/>
    <s v="vw_cap"/>
    <n v="7"/>
    <x v="42"/>
    <n v="-2.5584082904701801E-2"/>
  </r>
  <r>
    <s v="bra"/>
    <x v="1"/>
    <s v="monthly"/>
    <s v="vw_cap"/>
    <n v="7"/>
    <x v="43"/>
    <n v="-2.7702100506927702E-2"/>
  </r>
  <r>
    <s v="bra"/>
    <x v="1"/>
    <s v="monthly"/>
    <s v="vw_cap"/>
    <n v="7"/>
    <x v="44"/>
    <n v="-1.39213733262303E-2"/>
  </r>
  <r>
    <s v="bra"/>
    <x v="1"/>
    <s v="monthly"/>
    <s v="vw_cap"/>
    <n v="7"/>
    <x v="45"/>
    <n v="-1.6256366485819199E-2"/>
  </r>
  <r>
    <s v="bra"/>
    <x v="1"/>
    <s v="monthly"/>
    <s v="vw_cap"/>
    <n v="7"/>
    <x v="46"/>
    <n v="4.92032368375502E-2"/>
  </r>
  <r>
    <s v="bra"/>
    <x v="1"/>
    <s v="monthly"/>
    <s v="vw_cap"/>
    <n v="7"/>
    <x v="47"/>
    <n v="-1.54025224013725E-2"/>
  </r>
  <r>
    <s v="bra"/>
    <x v="1"/>
    <s v="monthly"/>
    <s v="vw_cap"/>
    <n v="7"/>
    <x v="48"/>
    <n v="-3.1391174383346002E-2"/>
  </r>
  <r>
    <s v="bra"/>
    <x v="1"/>
    <s v="monthly"/>
    <s v="vw_cap"/>
    <n v="7"/>
    <x v="49"/>
    <n v="-3.14580347384616E-2"/>
  </r>
  <r>
    <s v="bra"/>
    <x v="1"/>
    <s v="monthly"/>
    <s v="vw_cap"/>
    <n v="7"/>
    <x v="50"/>
    <n v="1.0004784764487301E-2"/>
  </r>
  <r>
    <s v="bra"/>
    <x v="1"/>
    <s v="monthly"/>
    <s v="vw_cap"/>
    <n v="7"/>
    <x v="51"/>
    <n v="-2.43586494151374E-2"/>
  </r>
  <r>
    <s v="bra"/>
    <x v="1"/>
    <s v="monthly"/>
    <s v="vw_cap"/>
    <n v="7"/>
    <x v="52"/>
    <n v="7.2540274477905103E-4"/>
  </r>
  <r>
    <s v="bra"/>
    <x v="1"/>
    <s v="monthly"/>
    <s v="vw_cap"/>
    <n v="7"/>
    <x v="53"/>
    <n v="2.4488991761546501E-2"/>
  </r>
  <r>
    <s v="bra"/>
    <x v="1"/>
    <s v="monthly"/>
    <s v="vw_cap"/>
    <n v="7"/>
    <x v="54"/>
    <n v="-9.4804122154294491E-3"/>
  </r>
  <r>
    <s v="bra"/>
    <x v="1"/>
    <s v="monthly"/>
    <s v="vw_cap"/>
    <n v="7"/>
    <x v="55"/>
    <n v="-2.8798945777051201E-2"/>
  </r>
  <r>
    <s v="bra"/>
    <x v="1"/>
    <s v="monthly"/>
    <s v="vw_cap"/>
    <n v="7"/>
    <x v="56"/>
    <n v="1.29548942510567E-2"/>
  </r>
  <r>
    <s v="bra"/>
    <x v="1"/>
    <s v="monthly"/>
    <s v="vw_cap"/>
    <n v="7"/>
    <x v="57"/>
    <n v="-2.4876342305919698E-2"/>
  </r>
  <r>
    <s v="bra"/>
    <x v="1"/>
    <s v="monthly"/>
    <s v="vw_cap"/>
    <n v="7"/>
    <x v="58"/>
    <n v="2.0920758768939101E-2"/>
  </r>
  <r>
    <s v="bra"/>
    <x v="1"/>
    <s v="monthly"/>
    <s v="vw_cap"/>
    <n v="7"/>
    <x v="59"/>
    <n v="-1.1074622199278E-2"/>
  </r>
  <r>
    <s v="bra"/>
    <x v="1"/>
    <s v="monthly"/>
    <s v="vw_cap"/>
    <n v="7"/>
    <x v="60"/>
    <n v="2.1152113963519301E-3"/>
  </r>
  <r>
    <s v="bra"/>
    <x v="1"/>
    <s v="monthly"/>
    <s v="vw_cap"/>
    <n v="7"/>
    <x v="61"/>
    <n v="7.6270220526772001E-3"/>
  </r>
  <r>
    <s v="bra"/>
    <x v="1"/>
    <s v="monthly"/>
    <s v="vw_cap"/>
    <n v="7"/>
    <x v="62"/>
    <n v="5.5740864757144598E-3"/>
  </r>
  <r>
    <s v="bra"/>
    <x v="1"/>
    <s v="monthly"/>
    <s v="vw_cap"/>
    <n v="7"/>
    <x v="63"/>
    <n v="1.26754969046849E-2"/>
  </r>
  <r>
    <s v="bra"/>
    <x v="1"/>
    <s v="monthly"/>
    <s v="vw_cap"/>
    <n v="7"/>
    <x v="64"/>
    <n v="-1.5752671173413599E-2"/>
  </r>
  <r>
    <s v="bra"/>
    <x v="1"/>
    <s v="monthly"/>
    <s v="vw_cap"/>
    <n v="7"/>
    <x v="65"/>
    <n v="3.9241573152588001E-3"/>
  </r>
  <r>
    <s v="bra"/>
    <x v="1"/>
    <s v="monthly"/>
    <s v="vw_cap"/>
    <n v="7"/>
    <x v="66"/>
    <n v="1.09341712523094E-2"/>
  </r>
  <r>
    <s v="bra"/>
    <x v="1"/>
    <s v="monthly"/>
    <s v="vw_cap"/>
    <n v="7"/>
    <x v="67"/>
    <n v="-2.39838568287658E-2"/>
  </r>
  <r>
    <s v="bra"/>
    <x v="1"/>
    <s v="monthly"/>
    <s v="vw_cap"/>
    <n v="7"/>
    <x v="68"/>
    <n v="7.23047167886408E-4"/>
  </r>
  <r>
    <s v="bra"/>
    <x v="1"/>
    <s v="monthly"/>
    <s v="vw_cap"/>
    <n v="7"/>
    <x v="69"/>
    <n v="-1.5566026811829101E-2"/>
  </r>
  <r>
    <s v="bra"/>
    <x v="1"/>
    <s v="monthly"/>
    <s v="vw_cap"/>
    <n v="7"/>
    <x v="70"/>
    <n v="-6.0167105543994298E-3"/>
  </r>
  <r>
    <s v="bra"/>
    <x v="1"/>
    <s v="monthly"/>
    <s v="vw_cap"/>
    <n v="7"/>
    <x v="71"/>
    <n v="1.14553327666583E-2"/>
  </r>
  <r>
    <s v="bra"/>
    <x v="1"/>
    <s v="monthly"/>
    <s v="vw_cap"/>
    <n v="7"/>
    <x v="72"/>
    <n v="1.42932412056352E-2"/>
  </r>
  <r>
    <s v="bra"/>
    <x v="1"/>
    <s v="monthly"/>
    <s v="vw_cap"/>
    <n v="7"/>
    <x v="73"/>
    <n v="1.09398488577306E-2"/>
  </r>
  <r>
    <s v="bra"/>
    <x v="1"/>
    <s v="monthly"/>
    <s v="vw_cap"/>
    <n v="7"/>
    <x v="74"/>
    <n v="-3.7121525630360599E-2"/>
  </r>
  <r>
    <s v="bra"/>
    <x v="1"/>
    <s v="monthly"/>
    <s v="vw_cap"/>
    <n v="7"/>
    <x v="75"/>
    <n v="1.1775238111736801E-2"/>
  </r>
  <r>
    <s v="bra"/>
    <x v="1"/>
    <s v="monthly"/>
    <s v="vw_cap"/>
    <n v="7"/>
    <x v="76"/>
    <n v="-1.83455700945074E-2"/>
  </r>
  <r>
    <s v="bra"/>
    <x v="1"/>
    <s v="monthly"/>
    <s v="vw_cap"/>
    <n v="7"/>
    <x v="77"/>
    <n v="-1.4169095227587599E-3"/>
  </r>
  <r>
    <s v="bra"/>
    <x v="1"/>
    <s v="monthly"/>
    <s v="vw_cap"/>
    <n v="7"/>
    <x v="78"/>
    <n v="1.06928489798072E-2"/>
  </r>
  <r>
    <s v="bra"/>
    <x v="1"/>
    <s v="monthly"/>
    <s v="vw_cap"/>
    <n v="7"/>
    <x v="79"/>
    <n v="-3.8184178505774602E-2"/>
  </r>
  <r>
    <s v="bra"/>
    <x v="1"/>
    <s v="monthly"/>
    <s v="vw_cap"/>
    <n v="7"/>
    <x v="80"/>
    <n v="2.80778109919247E-2"/>
  </r>
  <r>
    <s v="bra"/>
    <x v="1"/>
    <s v="monthly"/>
    <s v="vw_cap"/>
    <n v="7"/>
    <x v="81"/>
    <n v="3.1153948285847902E-2"/>
  </r>
  <r>
    <s v="bra"/>
    <x v="1"/>
    <s v="monthly"/>
    <s v="vw_cap"/>
    <n v="7"/>
    <x v="82"/>
    <n v="2.36825339674911E-2"/>
  </r>
  <r>
    <s v="bra"/>
    <x v="1"/>
    <s v="monthly"/>
    <s v="vw_cap"/>
    <n v="7"/>
    <x v="83"/>
    <n v="-8.7948498727748094E-3"/>
  </r>
  <r>
    <s v="bra"/>
    <x v="1"/>
    <s v="monthly"/>
    <s v="vw_cap"/>
    <n v="7"/>
    <x v="84"/>
    <n v="3.7419360465948903E-2"/>
  </r>
  <r>
    <s v="bra"/>
    <x v="1"/>
    <s v="monthly"/>
    <s v="vw_cap"/>
    <n v="7"/>
    <x v="85"/>
    <n v="1.62014710225242E-2"/>
  </r>
  <r>
    <s v="bra"/>
    <x v="1"/>
    <s v="monthly"/>
    <s v="vw_cap"/>
    <n v="7"/>
    <x v="86"/>
    <n v="1.76248651691665E-2"/>
  </r>
  <r>
    <s v="bra"/>
    <x v="1"/>
    <s v="monthly"/>
    <s v="vw_cap"/>
    <n v="7"/>
    <x v="87"/>
    <n v="4.1465116389175397E-2"/>
  </r>
  <r>
    <s v="bra"/>
    <x v="1"/>
    <s v="monthly"/>
    <s v="vw_cap"/>
    <n v="7"/>
    <x v="88"/>
    <n v="-8.0168979341126198E-2"/>
  </r>
  <r>
    <s v="bra"/>
    <x v="1"/>
    <s v="monthly"/>
    <s v="vw_cap"/>
    <n v="7"/>
    <x v="89"/>
    <n v="-4.96998612754928E-2"/>
  </r>
  <r>
    <s v="bra"/>
    <x v="1"/>
    <s v="monthly"/>
    <s v="vw_cap"/>
    <n v="7"/>
    <x v="90"/>
    <n v="1.0880099677804501E-2"/>
  </r>
  <r>
    <s v="bra"/>
    <x v="1"/>
    <s v="monthly"/>
    <s v="vw_cap"/>
    <n v="7"/>
    <x v="91"/>
    <n v="-5.3628685036100097E-2"/>
  </r>
  <r>
    <s v="bra"/>
    <x v="1"/>
    <s v="monthly"/>
    <s v="vw_cap"/>
    <n v="7"/>
    <x v="92"/>
    <n v="-2.2621411361249E-2"/>
  </r>
  <r>
    <s v="bra"/>
    <x v="1"/>
    <s v="monthly"/>
    <s v="vw_cap"/>
    <n v="7"/>
    <x v="93"/>
    <n v="6.3363774963225601E-3"/>
  </r>
  <r>
    <s v="bra"/>
    <x v="1"/>
    <s v="monthly"/>
    <s v="vw_cap"/>
    <n v="7"/>
    <x v="94"/>
    <n v="-1.24152476471668E-2"/>
  </r>
  <r>
    <s v="bra"/>
    <x v="1"/>
    <s v="monthly"/>
    <s v="vw_cap"/>
    <n v="7"/>
    <x v="95"/>
    <n v="-3.1346828157982502E-2"/>
  </r>
  <r>
    <s v="bra"/>
    <x v="1"/>
    <s v="monthly"/>
    <s v="vw_cap"/>
    <n v="7"/>
    <x v="96"/>
    <n v="-3.72391371264843E-3"/>
  </r>
  <r>
    <s v="bra"/>
    <x v="1"/>
    <s v="monthly"/>
    <s v="vw_cap"/>
    <n v="7"/>
    <x v="97"/>
    <n v="0.106357246354101"/>
  </r>
  <r>
    <s v="bra"/>
    <x v="1"/>
    <s v="monthly"/>
    <s v="vw_cap"/>
    <n v="7"/>
    <x v="98"/>
    <n v="-4.6617915043996897E-3"/>
  </r>
  <r>
    <s v="bra"/>
    <x v="1"/>
    <s v="monthly"/>
    <s v="vw_cap"/>
    <n v="7"/>
    <x v="99"/>
    <n v="5.6578459729271197E-2"/>
  </r>
  <r>
    <s v="bra"/>
    <x v="1"/>
    <s v="monthly"/>
    <s v="vw_cap"/>
    <n v="7"/>
    <x v="100"/>
    <n v="-1.48140631901341E-2"/>
  </r>
  <r>
    <s v="bra"/>
    <x v="1"/>
    <s v="monthly"/>
    <s v="vw_cap"/>
    <n v="7"/>
    <x v="101"/>
    <n v="9.0988331973890901E-3"/>
  </r>
  <r>
    <s v="bra"/>
    <x v="1"/>
    <s v="monthly"/>
    <s v="vw_cap"/>
    <n v="7"/>
    <x v="102"/>
    <n v="9.2266113541265397E-3"/>
  </r>
  <r>
    <s v="bra"/>
    <x v="1"/>
    <s v="monthly"/>
    <s v="vw_cap"/>
    <n v="7"/>
    <x v="103"/>
    <n v="-4.0645099586601799E-3"/>
  </r>
  <r>
    <s v="bra"/>
    <x v="1"/>
    <s v="monthly"/>
    <s v="vw_cap"/>
    <n v="7"/>
    <x v="104"/>
    <n v="2.48781644168675E-2"/>
  </r>
  <r>
    <s v="bra"/>
    <x v="1"/>
    <s v="monthly"/>
    <s v="vw_cap"/>
    <n v="7"/>
    <x v="105"/>
    <n v="-1.7790071771845401E-2"/>
  </r>
  <r>
    <s v="bra"/>
    <x v="1"/>
    <s v="monthly"/>
    <s v="vw_cap"/>
    <n v="7"/>
    <x v="106"/>
    <n v="7.3944882961441295E-4"/>
  </r>
  <r>
    <s v="bra"/>
    <x v="1"/>
    <s v="monthly"/>
    <s v="vw_cap"/>
    <n v="7"/>
    <x v="107"/>
    <n v="-7.8778832640756004E-3"/>
  </r>
  <r>
    <s v="bra"/>
    <x v="1"/>
    <s v="monthly"/>
    <s v="vw_cap"/>
    <n v="7"/>
    <x v="108"/>
    <n v="-3.0604222259161002E-3"/>
  </r>
  <r>
    <s v="bra"/>
    <x v="1"/>
    <s v="monthly"/>
    <s v="vw_cap"/>
    <n v="7"/>
    <x v="109"/>
    <n v="1.5721447643184301E-3"/>
  </r>
  <r>
    <s v="bra"/>
    <x v="1"/>
    <s v="monthly"/>
    <s v="vw_cap"/>
    <n v="7"/>
    <x v="110"/>
    <n v="2.23382737953023E-3"/>
  </r>
  <r>
    <s v="bra"/>
    <x v="1"/>
    <s v="monthly"/>
    <s v="vw_cap"/>
    <n v="7"/>
    <x v="111"/>
    <n v="1.7096162482926299E-3"/>
  </r>
  <r>
    <s v="bra"/>
    <x v="1"/>
    <s v="monthly"/>
    <s v="vw_cap"/>
    <n v="7"/>
    <x v="112"/>
    <n v="-1.5580501170088801E-3"/>
  </r>
  <r>
    <s v="bra"/>
    <x v="1"/>
    <s v="monthly"/>
    <s v="vw_cap"/>
    <n v="7"/>
    <x v="113"/>
    <n v="8.5534097485394991E-3"/>
  </r>
  <r>
    <s v="bra"/>
    <x v="1"/>
    <s v="monthly"/>
    <s v="vw_cap"/>
    <n v="7"/>
    <x v="114"/>
    <n v="2.45658769507099E-3"/>
  </r>
  <r>
    <s v="bra"/>
    <x v="1"/>
    <s v="monthly"/>
    <s v="vw_cap"/>
    <n v="7"/>
    <x v="115"/>
    <n v="2.26871194634586E-2"/>
  </r>
  <r>
    <s v="bra"/>
    <x v="1"/>
    <s v="monthly"/>
    <s v="vw_cap"/>
    <n v="7"/>
    <x v="116"/>
    <n v="-3.8564088311160401E-3"/>
  </r>
  <r>
    <s v="bra"/>
    <x v="1"/>
    <s v="monthly"/>
    <s v="vw_cap"/>
    <n v="7"/>
    <x v="117"/>
    <n v="3.36818372075708E-2"/>
  </r>
  <r>
    <s v="bra"/>
    <x v="1"/>
    <s v="monthly"/>
    <s v="vw_cap"/>
    <n v="7"/>
    <x v="118"/>
    <n v="2.4430300810794999E-2"/>
  </r>
  <r>
    <s v="bra"/>
    <x v="1"/>
    <s v="monthly"/>
    <s v="vw_cap"/>
    <n v="7"/>
    <x v="119"/>
    <n v="2.1787033132097299E-2"/>
  </r>
  <r>
    <s v="bra"/>
    <x v="1"/>
    <s v="monthly"/>
    <s v="vw_cap"/>
    <n v="7"/>
    <x v="120"/>
    <n v="-2.5804074875595598E-3"/>
  </r>
  <r>
    <s v="bra"/>
    <x v="1"/>
    <s v="monthly"/>
    <s v="vw_cap"/>
    <n v="7"/>
    <x v="121"/>
    <n v="-1.8303583424231398E-2"/>
  </r>
  <r>
    <s v="bra"/>
    <x v="1"/>
    <s v="monthly"/>
    <s v="vw_cap"/>
    <n v="7"/>
    <x v="122"/>
    <n v="-1.33267985019521E-2"/>
  </r>
  <r>
    <s v="bra"/>
    <x v="1"/>
    <s v="monthly"/>
    <s v="vw_cap"/>
    <n v="7"/>
    <x v="123"/>
    <n v="3.8535751471111498E-3"/>
  </r>
  <r>
    <s v="bra"/>
    <x v="1"/>
    <s v="monthly"/>
    <s v="vw_cap"/>
    <n v="7"/>
    <x v="124"/>
    <n v="9.83958168873845E-3"/>
  </r>
  <r>
    <s v="bra"/>
    <x v="1"/>
    <s v="monthly"/>
    <s v="vw_cap"/>
    <n v="7"/>
    <x v="125"/>
    <n v="3.1406615850660402E-2"/>
  </r>
  <r>
    <s v="bra"/>
    <x v="1"/>
    <s v="monthly"/>
    <s v="vw_cap"/>
    <n v="7"/>
    <x v="126"/>
    <n v="3.43341300648791E-2"/>
  </r>
  <r>
    <s v="bra"/>
    <x v="1"/>
    <s v="monthly"/>
    <s v="vw_cap"/>
    <n v="7"/>
    <x v="127"/>
    <n v="-1.4200569226109599E-2"/>
  </r>
  <r>
    <s v="bra"/>
    <x v="1"/>
    <s v="monthly"/>
    <s v="vw_cap"/>
    <n v="7"/>
    <x v="128"/>
    <n v="-1.09355278702385E-2"/>
  </r>
  <r>
    <s v="bra"/>
    <x v="1"/>
    <s v="monthly"/>
    <s v="vw_cap"/>
    <n v="7"/>
    <x v="129"/>
    <n v="-3.74031638188507E-3"/>
  </r>
  <r>
    <s v="bra"/>
    <x v="1"/>
    <s v="monthly"/>
    <s v="vw_cap"/>
    <n v="7"/>
    <x v="130"/>
    <n v="8.4827192903209198E-3"/>
  </r>
  <r>
    <s v="bra"/>
    <x v="1"/>
    <s v="monthly"/>
    <s v="vw_cap"/>
    <n v="7"/>
    <x v="131"/>
    <n v="1.3091023444304401E-2"/>
  </r>
  <r>
    <s v="bra"/>
    <x v="1"/>
    <s v="monthly"/>
    <s v="vw_cap"/>
    <n v="7"/>
    <x v="132"/>
    <n v="-2.3453002339354798E-2"/>
  </r>
  <r>
    <s v="bra"/>
    <x v="1"/>
    <s v="monthly"/>
    <s v="vw_cap"/>
    <n v="7"/>
    <x v="133"/>
    <n v="1.9772568822233501E-2"/>
  </r>
  <r>
    <s v="bra"/>
    <x v="1"/>
    <s v="monthly"/>
    <s v="vw_cap"/>
    <n v="7"/>
    <x v="134"/>
    <n v="2.2117300999009399E-2"/>
  </r>
  <r>
    <s v="bra"/>
    <x v="1"/>
    <s v="monthly"/>
    <s v="vw_cap"/>
    <n v="7"/>
    <x v="135"/>
    <n v="1.3366487562040501E-2"/>
  </r>
  <r>
    <s v="bra"/>
    <x v="1"/>
    <s v="monthly"/>
    <s v="vw_cap"/>
    <n v="7"/>
    <x v="136"/>
    <n v="2.79669292682752E-3"/>
  </r>
  <r>
    <s v="bra"/>
    <x v="1"/>
    <s v="monthly"/>
    <s v="vw_cap"/>
    <n v="7"/>
    <x v="137"/>
    <n v="1.16882436368354E-2"/>
  </r>
  <r>
    <s v="bra"/>
    <x v="1"/>
    <s v="monthly"/>
    <s v="vw_cap"/>
    <n v="7"/>
    <x v="138"/>
    <n v="1.71783257317508E-3"/>
  </r>
  <r>
    <s v="bra"/>
    <x v="1"/>
    <s v="monthly"/>
    <s v="vw_cap"/>
    <n v="7"/>
    <x v="139"/>
    <n v="1.5713013424615601E-2"/>
  </r>
  <r>
    <s v="bra"/>
    <x v="1"/>
    <s v="monthly"/>
    <s v="vw_cap"/>
    <n v="7"/>
    <x v="140"/>
    <n v="-5.3938068495821903E-3"/>
  </r>
  <r>
    <s v="bra"/>
    <x v="1"/>
    <s v="monthly"/>
    <s v="vw_cap"/>
    <n v="7"/>
    <x v="141"/>
    <n v="-5.8890588306736097E-3"/>
  </r>
  <r>
    <s v="bra"/>
    <x v="1"/>
    <s v="monthly"/>
    <s v="vw_cap"/>
    <n v="7"/>
    <x v="142"/>
    <n v="3.0736851195356001E-2"/>
  </r>
  <r>
    <s v="bra"/>
    <x v="1"/>
    <s v="monthly"/>
    <s v="vw_cap"/>
    <n v="7"/>
    <x v="143"/>
    <n v="3.4825180415491599E-3"/>
  </r>
  <r>
    <s v="bra"/>
    <x v="1"/>
    <s v="monthly"/>
    <s v="vw_cap"/>
    <n v="7"/>
    <x v="144"/>
    <n v="6.8641991785366001E-3"/>
  </r>
  <r>
    <s v="bra"/>
    <x v="1"/>
    <s v="monthly"/>
    <s v="vw_cap"/>
    <n v="7"/>
    <x v="145"/>
    <n v="-1.9570611454068201E-2"/>
  </r>
  <r>
    <s v="bra"/>
    <x v="1"/>
    <s v="monthly"/>
    <s v="vw_cap"/>
    <n v="7"/>
    <x v="146"/>
    <n v="5.7565766965810899E-3"/>
  </r>
  <r>
    <s v="bra"/>
    <x v="1"/>
    <s v="monthly"/>
    <s v="vw_cap"/>
    <n v="7"/>
    <x v="147"/>
    <n v="-8.2070097613548294E-3"/>
  </r>
  <r>
    <s v="bra"/>
    <x v="1"/>
    <s v="monthly"/>
    <s v="vw_cap"/>
    <n v="7"/>
    <x v="148"/>
    <n v="-7.79825063479946E-3"/>
  </r>
  <r>
    <s v="bra"/>
    <x v="1"/>
    <s v="monthly"/>
    <s v="vw_cap"/>
    <n v="7"/>
    <x v="149"/>
    <n v="3.4912401783863001E-3"/>
  </r>
  <r>
    <s v="bra"/>
    <x v="1"/>
    <s v="monthly"/>
    <s v="vw_cap"/>
    <n v="7"/>
    <x v="150"/>
    <n v="1.1490669612065701E-3"/>
  </r>
  <r>
    <s v="bra"/>
    <x v="1"/>
    <s v="monthly"/>
    <s v="vw_cap"/>
    <n v="7"/>
    <x v="151"/>
    <n v="-7.7937063274613402E-3"/>
  </r>
  <r>
    <s v="bra"/>
    <x v="1"/>
    <s v="monthly"/>
    <s v="vw_cap"/>
    <n v="7"/>
    <x v="152"/>
    <n v="-3.2471873060685802E-2"/>
  </r>
  <r>
    <s v="bra"/>
    <x v="1"/>
    <s v="monthly"/>
    <s v="vw_cap"/>
    <n v="7"/>
    <x v="153"/>
    <n v="6.9811928131976904E-3"/>
  </r>
  <r>
    <s v="bra"/>
    <x v="1"/>
    <s v="monthly"/>
    <s v="vw_cap"/>
    <n v="7"/>
    <x v="154"/>
    <n v="-2.86073732365222E-2"/>
  </r>
  <r>
    <s v="bra"/>
    <x v="1"/>
    <s v="monthly"/>
    <s v="vw_cap"/>
    <n v="7"/>
    <x v="155"/>
    <n v="1.5344743840493499E-4"/>
  </r>
  <r>
    <s v="bra"/>
    <x v="1"/>
    <s v="monthly"/>
    <s v="vw_cap"/>
    <n v="7"/>
    <x v="156"/>
    <n v="8.8408228486801608E-3"/>
  </r>
  <r>
    <s v="bra"/>
    <x v="1"/>
    <s v="monthly"/>
    <s v="vw_cap"/>
    <n v="7"/>
    <x v="157"/>
    <n v="1.28958584181545E-2"/>
  </r>
  <r>
    <s v="bra"/>
    <x v="1"/>
    <s v="monthly"/>
    <s v="vw_cap"/>
    <n v="7"/>
    <x v="158"/>
    <n v="1.4051064434227699E-2"/>
  </r>
  <r>
    <s v="bra"/>
    <x v="1"/>
    <s v="monthly"/>
    <s v="vw_cap"/>
    <n v="7"/>
    <x v="159"/>
    <n v="7.7774776941453103E-3"/>
  </r>
  <r>
    <s v="bra"/>
    <x v="1"/>
    <s v="monthly"/>
    <s v="vw_cap"/>
    <n v="7"/>
    <x v="160"/>
    <n v="-4.4565290481757402E-3"/>
  </r>
  <r>
    <s v="bra"/>
    <x v="1"/>
    <s v="monthly"/>
    <s v="vw_cap"/>
    <n v="7"/>
    <x v="161"/>
    <n v="-1.7587964212639799E-2"/>
  </r>
  <r>
    <s v="bra"/>
    <x v="1"/>
    <s v="monthly"/>
    <s v="vw_cap"/>
    <n v="7"/>
    <x v="162"/>
    <n v="-1.8961875887246401E-2"/>
  </r>
  <r>
    <s v="bra"/>
    <x v="1"/>
    <s v="monthly"/>
    <s v="vw_cap"/>
    <n v="7"/>
    <x v="163"/>
    <n v="1.31132941829489E-2"/>
  </r>
  <r>
    <s v="bra"/>
    <x v="1"/>
    <s v="monthly"/>
    <s v="vw_cap"/>
    <n v="7"/>
    <x v="164"/>
    <n v="1.04185069619703E-2"/>
  </r>
  <r>
    <s v="bra"/>
    <x v="1"/>
    <s v="monthly"/>
    <s v="vw_cap"/>
    <n v="7"/>
    <x v="165"/>
    <n v="1.9771313590284001E-2"/>
  </r>
  <r>
    <s v="bra"/>
    <x v="1"/>
    <s v="monthly"/>
    <s v="vw_cap"/>
    <n v="7"/>
    <x v="166"/>
    <n v="-1.0675057629369499E-2"/>
  </r>
  <r>
    <s v="bra"/>
    <x v="1"/>
    <s v="monthly"/>
    <s v="vw_cap"/>
    <n v="7"/>
    <x v="167"/>
    <n v="1.0724973251304301E-2"/>
  </r>
  <r>
    <s v="bra"/>
    <x v="1"/>
    <s v="monthly"/>
    <s v="vw_cap"/>
    <n v="7"/>
    <x v="168"/>
    <n v="1.33417950068635E-4"/>
  </r>
  <r>
    <s v="bra"/>
    <x v="1"/>
    <s v="monthly"/>
    <s v="vw_cap"/>
    <n v="7"/>
    <x v="169"/>
    <n v="2.04882208410136E-2"/>
  </r>
  <r>
    <s v="bra"/>
    <x v="1"/>
    <s v="monthly"/>
    <s v="vw_cap"/>
    <n v="7"/>
    <x v="170"/>
    <n v="3.0756065462379599E-2"/>
  </r>
  <r>
    <s v="bra"/>
    <x v="1"/>
    <s v="monthly"/>
    <s v="vw_cap"/>
    <n v="7"/>
    <x v="171"/>
    <n v="2.3959370139802101E-2"/>
  </r>
  <r>
    <s v="bra"/>
    <x v="1"/>
    <s v="monthly"/>
    <s v="vw_cap"/>
    <n v="7"/>
    <x v="172"/>
    <n v="5.5475711809172303E-2"/>
  </r>
  <r>
    <s v="bra"/>
    <x v="1"/>
    <s v="monthly"/>
    <s v="vw_cap"/>
    <n v="7"/>
    <x v="173"/>
    <n v="-4.1461898892972901E-2"/>
  </r>
  <r>
    <s v="bra"/>
    <x v="1"/>
    <s v="monthly"/>
    <s v="vw_cap"/>
    <n v="7"/>
    <x v="174"/>
    <n v="2.10766868608484E-2"/>
  </r>
  <r>
    <s v="bra"/>
    <x v="1"/>
    <s v="monthly"/>
    <s v="vw_cap"/>
    <n v="7"/>
    <x v="175"/>
    <n v="2.5400348498038901E-2"/>
  </r>
  <r>
    <s v="bra"/>
    <x v="1"/>
    <s v="monthly"/>
    <s v="vw_cap"/>
    <n v="7"/>
    <x v="176"/>
    <n v="3.74541056019836E-4"/>
  </r>
  <r>
    <s v="bra"/>
    <x v="1"/>
    <s v="monthly"/>
    <s v="vw_cap"/>
    <n v="7"/>
    <x v="177"/>
    <n v="6.1995340850072101E-3"/>
  </r>
  <r>
    <s v="bra"/>
    <x v="1"/>
    <s v="monthly"/>
    <s v="vw_cap"/>
    <n v="7"/>
    <x v="178"/>
    <n v="3.2053538280413497E-2"/>
  </r>
  <r>
    <s v="bra"/>
    <x v="1"/>
    <s v="monthly"/>
    <s v="vw_cap"/>
    <n v="7"/>
    <x v="179"/>
    <n v="-7.1873855594876898E-3"/>
  </r>
  <r>
    <s v="bra"/>
    <x v="1"/>
    <s v="monthly"/>
    <s v="vw_cap"/>
    <n v="7"/>
    <x v="180"/>
    <n v="-2.6056179968250701E-2"/>
  </r>
  <r>
    <s v="bra"/>
    <x v="1"/>
    <s v="monthly"/>
    <s v="vw_cap"/>
    <n v="7"/>
    <x v="181"/>
    <n v="3.32364077883502E-2"/>
  </r>
  <r>
    <s v="bra"/>
    <x v="1"/>
    <s v="monthly"/>
    <s v="vw_cap"/>
    <n v="7"/>
    <x v="182"/>
    <n v="1.34209031533409E-2"/>
  </r>
  <r>
    <s v="bra"/>
    <x v="1"/>
    <s v="monthly"/>
    <s v="vw_cap"/>
    <n v="7"/>
    <x v="183"/>
    <n v="-7.0164829246910506E-5"/>
  </r>
  <r>
    <s v="bra"/>
    <x v="1"/>
    <s v="monthly"/>
    <s v="vw_cap"/>
    <n v="7"/>
    <x v="184"/>
    <n v="1.5709530897942602E-2"/>
  </r>
  <r>
    <s v="bra"/>
    <x v="1"/>
    <s v="monthly"/>
    <s v="vw_cap"/>
    <n v="7"/>
    <x v="185"/>
    <n v="-6.81008364911782E-3"/>
  </r>
  <r>
    <s v="bra"/>
    <x v="1"/>
    <s v="monthly"/>
    <s v="vw_cap"/>
    <n v="7"/>
    <x v="186"/>
    <n v="-5.9482135540824101E-3"/>
  </r>
  <r>
    <s v="bra"/>
    <x v="1"/>
    <s v="monthly"/>
    <s v="vw_cap"/>
    <n v="7"/>
    <x v="187"/>
    <n v="1.27028972866704E-2"/>
  </r>
  <r>
    <s v="bra"/>
    <x v="1"/>
    <s v="monthly"/>
    <s v="vw_cap"/>
    <n v="7"/>
    <x v="188"/>
    <n v="-5.9375640175574297E-3"/>
  </r>
  <r>
    <s v="bra"/>
    <x v="1"/>
    <s v="monthly"/>
    <s v="vw_cap"/>
    <n v="7"/>
    <x v="189"/>
    <n v="5.4053561277831296E-3"/>
  </r>
  <r>
    <s v="bra"/>
    <x v="1"/>
    <s v="monthly"/>
    <s v="vw_cap"/>
    <n v="7"/>
    <x v="190"/>
    <n v="-1.0755299573366401E-2"/>
  </r>
  <r>
    <s v="bra"/>
    <x v="1"/>
    <s v="monthly"/>
    <s v="vw_cap"/>
    <n v="7"/>
    <x v="191"/>
    <n v="-3.74204792657776E-4"/>
  </r>
  <r>
    <s v="bra"/>
    <x v="1"/>
    <s v="monthly"/>
    <s v="vw_cap"/>
    <n v="7"/>
    <x v="192"/>
    <n v="2.0225356574426999E-2"/>
  </r>
  <r>
    <s v="bra"/>
    <x v="1"/>
    <s v="monthly"/>
    <s v="vw_cap"/>
    <n v="7"/>
    <x v="193"/>
    <n v="6.3482120793758503E-3"/>
  </r>
  <r>
    <s v="bra"/>
    <x v="1"/>
    <s v="monthly"/>
    <s v="vw_cap"/>
    <n v="7"/>
    <x v="194"/>
    <n v="2.1299532318320201E-3"/>
  </r>
  <r>
    <s v="bra"/>
    <x v="1"/>
    <s v="monthly"/>
    <s v="vw_cap"/>
    <n v="7"/>
    <x v="195"/>
    <n v="-1.3791385042859199E-3"/>
  </r>
  <r>
    <s v="bra"/>
    <x v="1"/>
    <s v="monthly"/>
    <s v="vw_cap"/>
    <n v="7"/>
    <x v="196"/>
    <n v="8.1404928905996696E-3"/>
  </r>
  <r>
    <s v="bra"/>
    <x v="1"/>
    <s v="monthly"/>
    <s v="vw_cap"/>
    <n v="7"/>
    <x v="197"/>
    <n v="2.4571775315087902E-3"/>
  </r>
  <r>
    <s v="bra"/>
    <x v="1"/>
    <s v="monthly"/>
    <s v="vw_cap"/>
    <n v="7"/>
    <x v="198"/>
    <n v="8.1195426706024299E-3"/>
  </r>
  <r>
    <s v="bra"/>
    <x v="1"/>
    <s v="monthly"/>
    <s v="vw_cap"/>
    <n v="7"/>
    <x v="199"/>
    <n v="1.0393373140940099E-3"/>
  </r>
  <r>
    <s v="bra"/>
    <x v="1"/>
    <s v="monthly"/>
    <s v="vw_cap"/>
    <n v="7"/>
    <x v="200"/>
    <n v="8.73126379683648E-3"/>
  </r>
  <r>
    <s v="bra"/>
    <x v="1"/>
    <s v="monthly"/>
    <s v="vw_cap"/>
    <n v="7"/>
    <x v="201"/>
    <n v="1.99153046588312E-2"/>
  </r>
  <r>
    <s v="bra"/>
    <x v="1"/>
    <s v="monthly"/>
    <s v="vw_cap"/>
    <n v="7"/>
    <x v="202"/>
    <n v="-3.5051472351541497E-2"/>
  </r>
  <r>
    <s v="bra"/>
    <x v="1"/>
    <s v="monthly"/>
    <s v="vw_cap"/>
    <n v="7"/>
    <x v="203"/>
    <n v="-3.2925218849682497E-2"/>
  </r>
  <r>
    <s v="bra"/>
    <x v="1"/>
    <s v="monthly"/>
    <s v="vw_cap"/>
    <n v="7"/>
    <x v="204"/>
    <n v="3.2924557762589899E-3"/>
  </r>
  <r>
    <s v="bra"/>
    <x v="1"/>
    <s v="monthly"/>
    <s v="vw_cap"/>
    <n v="7"/>
    <x v="205"/>
    <n v="-3.96743210566365E-2"/>
  </r>
  <r>
    <s v="bra"/>
    <x v="1"/>
    <s v="monthly"/>
    <s v="vw_cap"/>
    <n v="7"/>
    <x v="206"/>
    <n v="-1.02963499817564E-2"/>
  </r>
  <r>
    <s v="bra"/>
    <x v="1"/>
    <s v="monthly"/>
    <s v="vw_cap"/>
    <n v="7"/>
    <x v="207"/>
    <n v="1.50841461974298E-2"/>
  </r>
  <r>
    <s v="bra"/>
    <x v="1"/>
    <s v="monthly"/>
    <s v="vw_cap"/>
    <n v="7"/>
    <x v="208"/>
    <n v="2.56713225610209E-2"/>
  </r>
  <r>
    <s v="bra"/>
    <x v="1"/>
    <s v="monthly"/>
    <s v="vw_cap"/>
    <n v="7"/>
    <x v="209"/>
    <n v="2.9128165297395099E-2"/>
  </r>
  <r>
    <s v="bra"/>
    <x v="1"/>
    <s v="monthly"/>
    <s v="vw_cap"/>
    <n v="7"/>
    <x v="210"/>
    <n v="-2.5590487399184498E-3"/>
  </r>
  <r>
    <s v="bra"/>
    <x v="1"/>
    <s v="monthly"/>
    <s v="vw_cap"/>
    <n v="7"/>
    <x v="211"/>
    <n v="9.6876793127775394E-3"/>
  </r>
  <r>
    <s v="bra"/>
    <x v="1"/>
    <s v="monthly"/>
    <s v="vw_cap"/>
    <n v="7"/>
    <x v="212"/>
    <n v="1.5275661820275101E-2"/>
  </r>
  <r>
    <s v="bra"/>
    <x v="1"/>
    <s v="monthly"/>
    <s v="vw_cap"/>
    <n v="7"/>
    <x v="213"/>
    <n v="-1.38197196783018E-2"/>
  </r>
  <r>
    <s v="bra"/>
    <x v="1"/>
    <s v="monthly"/>
    <s v="vw_cap"/>
    <n v="7"/>
    <x v="214"/>
    <n v="-8.5815078051690794E-3"/>
  </r>
  <r>
    <s v="bra"/>
    <x v="1"/>
    <s v="monthly"/>
    <s v="vw_cap"/>
    <n v="7"/>
    <x v="215"/>
    <n v="-1.44289285180391E-2"/>
  </r>
  <r>
    <s v="bra"/>
    <x v="1"/>
    <s v="monthly"/>
    <s v="vw_cap"/>
    <n v="7"/>
    <x v="216"/>
    <n v="-1.3512884190909E-2"/>
  </r>
  <r>
    <s v="bra"/>
    <x v="1"/>
    <s v="monthly"/>
    <s v="vw_cap"/>
    <n v="7"/>
    <x v="217"/>
    <n v="-3.7821014174183598E-2"/>
  </r>
  <r>
    <s v="bra"/>
    <x v="1"/>
    <s v="monthly"/>
    <s v="vw_cap"/>
    <n v="7"/>
    <x v="218"/>
    <n v="-1.04905726592763E-2"/>
  </r>
  <r>
    <s v="bra"/>
    <x v="1"/>
    <s v="monthly"/>
    <s v="vw_cap"/>
    <n v="7"/>
    <x v="219"/>
    <n v="-1.93636208545361E-3"/>
  </r>
  <r>
    <s v="bra"/>
    <x v="1"/>
    <s v="monthly"/>
    <s v="vw_cap"/>
    <n v="7"/>
    <x v="220"/>
    <n v="-6.4382639959621804E-3"/>
  </r>
  <r>
    <s v="bra"/>
    <x v="1"/>
    <s v="monthly"/>
    <s v="vw_cap"/>
    <n v="7"/>
    <x v="221"/>
    <n v="3.4619715996879102E-2"/>
  </r>
  <r>
    <s v="bra"/>
    <x v="1"/>
    <s v="monthly"/>
    <s v="vw_cap"/>
    <n v="7"/>
    <x v="222"/>
    <n v="1.35910554853809E-2"/>
  </r>
  <r>
    <s v="bra"/>
    <x v="1"/>
    <s v="monthly"/>
    <s v="vw_cap"/>
    <n v="7"/>
    <x v="223"/>
    <n v="2.05931396410616E-2"/>
  </r>
  <r>
    <s v="bra"/>
    <x v="1"/>
    <s v="monthly"/>
    <s v="vw_cap"/>
    <n v="7"/>
    <x v="224"/>
    <n v="-2.1996014498958699E-2"/>
  </r>
  <r>
    <s v="bra"/>
    <x v="1"/>
    <s v="monthly"/>
    <s v="vw_cap"/>
    <n v="7"/>
    <x v="225"/>
    <n v="-1.0043110562691601E-2"/>
  </r>
  <r>
    <s v="bra"/>
    <x v="1"/>
    <s v="monthly"/>
    <s v="vw_cap"/>
    <n v="7"/>
    <x v="226"/>
    <n v="1.06538535224283E-2"/>
  </r>
  <r>
    <s v="bra"/>
    <x v="1"/>
    <s v="monthly"/>
    <s v="vw_cap"/>
    <n v="7"/>
    <x v="227"/>
    <n v="-7.2776556206748796E-3"/>
  </r>
  <r>
    <s v="bra"/>
    <x v="1"/>
    <s v="monthly"/>
    <s v="vw_cap"/>
    <n v="7"/>
    <x v="228"/>
    <n v="1.25183746010958E-3"/>
  </r>
  <r>
    <s v="bra"/>
    <x v="1"/>
    <s v="monthly"/>
    <s v="vw_cap"/>
    <n v="7"/>
    <x v="229"/>
    <n v="-6.0734793701536401E-2"/>
  </r>
  <r>
    <s v="bra"/>
    <x v="1"/>
    <s v="monthly"/>
    <s v="vw_cap"/>
    <n v="7"/>
    <x v="230"/>
    <n v="-4.1782674664179297E-3"/>
  </r>
  <r>
    <s v="bra"/>
    <x v="1"/>
    <s v="monthly"/>
    <s v="vw_cap"/>
    <n v="7"/>
    <x v="231"/>
    <n v="-2.0426093361938801E-2"/>
  </r>
  <r>
    <s v="bra"/>
    <x v="1"/>
    <s v="monthly"/>
    <s v="vw_cap"/>
    <n v="7"/>
    <x v="232"/>
    <n v="1.6262482026722501E-2"/>
  </r>
  <r>
    <s v="bra"/>
    <x v="1"/>
    <s v="monthly"/>
    <s v="vw_cap"/>
    <n v="7"/>
    <x v="233"/>
    <n v="-2.63173576773181E-2"/>
  </r>
  <r>
    <s v="bra"/>
    <x v="1"/>
    <s v="monthly"/>
    <s v="vw_cap"/>
    <n v="7"/>
    <x v="234"/>
    <n v="2.0230220372553999E-3"/>
  </r>
  <r>
    <s v="bra"/>
    <x v="1"/>
    <s v="monthly"/>
    <s v="vw_cap"/>
    <n v="7"/>
    <x v="235"/>
    <n v="1.1405911151040999E-3"/>
  </r>
  <r>
    <s v="bra"/>
    <x v="1"/>
    <s v="monthly"/>
    <s v="vw_cap"/>
    <n v="7"/>
    <x v="236"/>
    <n v="-5.7611444301373001E-3"/>
  </r>
  <r>
    <s v="bra"/>
    <x v="1"/>
    <s v="monthly"/>
    <s v="vw_cap"/>
    <n v="7"/>
    <x v="237"/>
    <n v="-8.6068415646879601E-3"/>
  </r>
  <r>
    <s v="bra"/>
    <x v="1"/>
    <s v="monthly"/>
    <s v="vw_cap"/>
    <n v="7"/>
    <x v="238"/>
    <n v="1.03271779453614E-2"/>
  </r>
  <r>
    <s v="bra"/>
    <x v="1"/>
    <s v="monthly"/>
    <s v="vw_cap"/>
    <n v="7"/>
    <x v="239"/>
    <n v="-2.5692209790114301E-2"/>
  </r>
  <r>
    <s v="bra"/>
    <x v="1"/>
    <s v="monthly"/>
    <s v="vw_cap"/>
    <n v="7"/>
    <x v="240"/>
    <n v="1.7478014660705501E-2"/>
  </r>
  <r>
    <s v="bra"/>
    <x v="1"/>
    <s v="monthly"/>
    <s v="vw_cap"/>
    <n v="7"/>
    <x v="241"/>
    <n v="-2.03728032458248E-2"/>
  </r>
  <r>
    <s v="bra"/>
    <x v="1"/>
    <s v="monthly"/>
    <s v="vw_cap"/>
    <n v="7"/>
    <x v="242"/>
    <n v="1.59717023520232E-2"/>
  </r>
  <r>
    <s v="bra"/>
    <x v="1"/>
    <s v="monthly"/>
    <s v="vw_cap"/>
    <n v="7"/>
    <x v="243"/>
    <n v="-1.23473837474243E-2"/>
  </r>
  <r>
    <s v="bra"/>
    <x v="1"/>
    <s v="monthly"/>
    <s v="vw_cap"/>
    <n v="7"/>
    <x v="244"/>
    <n v="-1.1210196960540801E-3"/>
  </r>
  <r>
    <s v="bra"/>
    <x v="1"/>
    <s v="monthly"/>
    <s v="vw_cap"/>
    <n v="7"/>
    <x v="245"/>
    <n v="2.5367734859250399E-2"/>
  </r>
  <r>
    <s v="bra"/>
    <x v="1"/>
    <s v="monthly"/>
    <s v="vw_cap"/>
    <n v="7"/>
    <x v="246"/>
    <n v="2.28971061636522E-2"/>
  </r>
  <r>
    <s v="bra"/>
    <x v="1"/>
    <s v="monthly"/>
    <s v="vw_cap"/>
    <n v="7"/>
    <x v="247"/>
    <n v="-1.4861565990509499E-2"/>
  </r>
  <r>
    <s v="bra"/>
    <x v="1"/>
    <s v="monthly"/>
    <s v="vw_cap"/>
    <n v="7"/>
    <x v="248"/>
    <n v="-3.2178748335626402E-2"/>
  </r>
  <r>
    <s v="bra"/>
    <x v="1"/>
    <s v="monthly"/>
    <s v="vw_cap"/>
    <n v="7"/>
    <x v="249"/>
    <n v="1.8789544173151099E-2"/>
  </r>
  <r>
    <s v="bra"/>
    <x v="1"/>
    <s v="monthly"/>
    <s v="vw_cap"/>
    <n v="7"/>
    <x v="250"/>
    <n v="-3.5846467633429599E-3"/>
  </r>
  <r>
    <s v="bra"/>
    <x v="1"/>
    <s v="monthly"/>
    <s v="vw_cap"/>
    <n v="7"/>
    <x v="251"/>
    <n v="5.3659128233459898E-2"/>
  </r>
  <r>
    <s v="bra"/>
    <x v="1"/>
    <s v="monthly"/>
    <s v="vw_cap"/>
    <n v="7"/>
    <x v="252"/>
    <n v="1.8368888628193501E-2"/>
  </r>
  <r>
    <s v="bra"/>
    <x v="1"/>
    <s v="monthly"/>
    <s v="vw_cap"/>
    <n v="7"/>
    <x v="253"/>
    <n v="-1.5659403671863501E-2"/>
  </r>
  <r>
    <s v="bra"/>
    <x v="1"/>
    <s v="monthly"/>
    <s v="vw_cap"/>
    <n v="7"/>
    <x v="254"/>
    <n v="1.33466451777719E-2"/>
  </r>
  <r>
    <s v="bra"/>
    <x v="1"/>
    <s v="monthly"/>
    <s v="vw_cap"/>
    <n v="7"/>
    <x v="255"/>
    <n v="2.8833611478542999E-2"/>
  </r>
  <r>
    <s v="bra"/>
    <x v="1"/>
    <s v="monthly"/>
    <s v="vw_cap"/>
    <n v="7"/>
    <x v="256"/>
    <n v="-5.3385461549077199E-3"/>
  </r>
  <r>
    <s v="bra"/>
    <x v="1"/>
    <s v="monthly"/>
    <s v="vw_cap"/>
    <n v="7"/>
    <x v="257"/>
    <n v="-2.6090609893759499E-3"/>
  </r>
  <r>
    <s v="bra"/>
    <x v="1"/>
    <s v="monthly"/>
    <s v="vw_cap"/>
    <n v="7"/>
    <x v="258"/>
    <n v="-8.4256655644903405E-3"/>
  </r>
  <r>
    <s v="bra"/>
    <x v="1"/>
    <s v="monthly"/>
    <s v="vw_cap"/>
    <n v="7"/>
    <x v="259"/>
    <n v="-6.00256438310436E-3"/>
  </r>
  <r>
    <s v="bra"/>
    <x v="1"/>
    <s v="monthly"/>
    <s v="vw_cap"/>
    <n v="7"/>
    <x v="260"/>
    <n v="-7.2763495144735502E-3"/>
  </r>
  <r>
    <s v="bra"/>
    <x v="1"/>
    <s v="monthly"/>
    <s v="vw_cap"/>
    <n v="7"/>
    <x v="261"/>
    <n v="4.2180679096117503E-3"/>
  </r>
  <r>
    <s v="bra"/>
    <x v="1"/>
    <s v="monthly"/>
    <s v="vw_cap"/>
    <n v="7"/>
    <x v="262"/>
    <n v="1.19846502441339E-2"/>
  </r>
  <r>
    <s v="bra"/>
    <x v="1"/>
    <s v="monthly"/>
    <s v="vw_cap"/>
    <n v="7"/>
    <x v="263"/>
    <n v="1.00256958125431E-2"/>
  </r>
  <r>
    <s v="bra"/>
    <x v="1"/>
    <s v="monthly"/>
    <s v="vw_cap"/>
    <n v="7"/>
    <x v="264"/>
    <n v="-4.0857514285138098E-3"/>
  </r>
  <r>
    <s v="bra"/>
    <x v="1"/>
    <s v="monthly"/>
    <s v="vw_cap"/>
    <n v="7"/>
    <x v="265"/>
    <n v="1.85519865812354E-2"/>
  </r>
  <r>
    <s v="bra"/>
    <x v="1"/>
    <s v="monthly"/>
    <s v="vw_cap"/>
    <n v="7"/>
    <x v="266"/>
    <n v="1.95981166449468E-2"/>
  </r>
  <r>
    <s v="bra"/>
    <x v="1"/>
    <s v="monthly"/>
    <s v="vw_cap"/>
    <n v="7"/>
    <x v="267"/>
    <n v="-1.28175610036448E-3"/>
  </r>
  <r>
    <s v="bra"/>
    <x v="1"/>
    <s v="monthly"/>
    <s v="vw_cap"/>
    <n v="7"/>
    <x v="268"/>
    <n v="1.40555193522383E-2"/>
  </r>
  <r>
    <s v="bra"/>
    <x v="1"/>
    <s v="monthly"/>
    <s v="vw_cap"/>
    <n v="7"/>
    <x v="269"/>
    <n v="-9.6041390151311301E-3"/>
  </r>
  <r>
    <s v="bra"/>
    <x v="1"/>
    <s v="monthly"/>
    <s v="vw_cap"/>
    <n v="7"/>
    <x v="270"/>
    <n v="6.0162054933128196E-3"/>
  </r>
  <r>
    <s v="bra"/>
    <x v="1"/>
    <s v="monthly"/>
    <s v="vw_cap"/>
    <n v="7"/>
    <x v="271"/>
    <n v="-2.1398667825601098E-3"/>
  </r>
  <r>
    <s v="bra"/>
    <x v="1"/>
    <s v="monthly"/>
    <s v="vw_cap"/>
    <n v="7"/>
    <x v="272"/>
    <n v="3.5712272663880502E-2"/>
  </r>
  <r>
    <s v="bra"/>
    <x v="1"/>
    <s v="monthly"/>
    <s v="vw_cap"/>
    <n v="7"/>
    <x v="273"/>
    <n v="1.13577722315285E-2"/>
  </r>
  <r>
    <s v="bra"/>
    <x v="1"/>
    <s v="monthly"/>
    <s v="vw_cap"/>
    <n v="7"/>
    <x v="274"/>
    <n v="-1.29865931082356E-3"/>
  </r>
  <r>
    <s v="bra"/>
    <x v="1"/>
    <s v="monthly"/>
    <s v="vw_cap"/>
    <n v="7"/>
    <x v="275"/>
    <n v="-1.13507804318608E-2"/>
  </r>
  <r>
    <s v="bra"/>
    <x v="1"/>
    <s v="monthly"/>
    <s v="vw_cap"/>
    <n v="7"/>
    <x v="276"/>
    <n v="2.78805723498167E-4"/>
  </r>
  <r>
    <s v="bra"/>
    <x v="1"/>
    <s v="monthly"/>
    <s v="vw_cap"/>
    <n v="7"/>
    <x v="277"/>
    <n v="1.71094834112227E-2"/>
  </r>
  <r>
    <s v="bra"/>
    <x v="1"/>
    <s v="monthly"/>
    <s v="vw_cap"/>
    <n v="7"/>
    <x v="278"/>
    <n v="1.20694938956981E-2"/>
  </r>
  <r>
    <s v="bra"/>
    <x v="1"/>
    <s v="monthly"/>
    <s v="vw_cap"/>
    <n v="7"/>
    <x v="279"/>
    <n v="2.2348616102608999E-2"/>
  </r>
  <r>
    <s v="bra"/>
    <x v="1"/>
    <s v="monthly"/>
    <s v="vw_cap"/>
    <n v="7"/>
    <x v="280"/>
    <n v="1.5696092152879201E-2"/>
  </r>
  <r>
    <s v="bra"/>
    <x v="1"/>
    <s v="monthly"/>
    <s v="vw_cap"/>
    <n v="7"/>
    <x v="281"/>
    <n v="-9.9131160256114795E-3"/>
  </r>
  <r>
    <s v="bra"/>
    <x v="1"/>
    <s v="monthly"/>
    <s v="vw_cap"/>
    <n v="7"/>
    <x v="282"/>
    <n v="-1.15389364745093E-2"/>
  </r>
  <r>
    <s v="bra"/>
    <x v="1"/>
    <s v="monthly"/>
    <s v="vw_cap"/>
    <n v="7"/>
    <x v="283"/>
    <n v="-1.0719494682542401E-2"/>
  </r>
  <r>
    <s v="bra"/>
    <x v="1"/>
    <s v="monthly"/>
    <s v="vw_cap"/>
    <n v="7"/>
    <x v="284"/>
    <n v="-5.0381715878173696E-3"/>
  </r>
  <r>
    <s v="bra"/>
    <x v="1"/>
    <s v="monthly"/>
    <s v="vw_cap"/>
    <n v="7"/>
    <x v="285"/>
    <n v="1.5203103011781001E-2"/>
  </r>
  <r>
    <s v="bra"/>
    <x v="1"/>
    <s v="monthly"/>
    <s v="vw_cap"/>
    <n v="7"/>
    <x v="286"/>
    <n v="2.7509614800495699E-2"/>
  </r>
  <r>
    <s v="bra"/>
    <x v="1"/>
    <s v="monthly"/>
    <s v="vw_cap"/>
    <n v="7"/>
    <x v="287"/>
    <n v="-1.1290775986798E-2"/>
  </r>
  <r>
    <s v="bra"/>
    <x v="1"/>
    <s v="monthly"/>
    <s v="vw_cap"/>
    <n v="7"/>
    <x v="288"/>
    <n v="3.71393920739822E-3"/>
  </r>
  <r>
    <s v="bra"/>
    <x v="2"/>
    <s v="monthly"/>
    <s v="vw_cap"/>
    <n v="11"/>
    <x v="0"/>
    <n v="1.16205066536139E-2"/>
  </r>
  <r>
    <s v="bra"/>
    <x v="2"/>
    <s v="monthly"/>
    <s v="vw_cap"/>
    <n v="11"/>
    <x v="1"/>
    <n v="2.0026753943103201E-2"/>
  </r>
  <r>
    <s v="bra"/>
    <x v="2"/>
    <s v="monthly"/>
    <s v="vw_cap"/>
    <n v="5"/>
    <x v="289"/>
    <n v="6.7332758260613607E-2"/>
  </r>
  <r>
    <s v="bra"/>
    <x v="2"/>
    <s v="monthly"/>
    <s v="vw_cap"/>
    <n v="5"/>
    <x v="290"/>
    <n v="-7.9637763127923394E-2"/>
  </r>
  <r>
    <s v="bra"/>
    <x v="2"/>
    <s v="monthly"/>
    <s v="vw_cap"/>
    <n v="5"/>
    <x v="291"/>
    <n v="-3.8870208747539901E-2"/>
  </r>
  <r>
    <s v="bra"/>
    <x v="2"/>
    <s v="monthly"/>
    <s v="vw_cap"/>
    <n v="5"/>
    <x v="292"/>
    <n v="0.14656121365020999"/>
  </r>
  <r>
    <s v="bra"/>
    <x v="2"/>
    <s v="monthly"/>
    <s v="vw_cap"/>
    <n v="5"/>
    <x v="293"/>
    <n v="7.2383855772240296E-2"/>
  </r>
  <r>
    <s v="bra"/>
    <x v="2"/>
    <s v="monthly"/>
    <s v="vw_cap"/>
    <n v="12"/>
    <x v="2"/>
    <n v="-0.16772182715593001"/>
  </r>
  <r>
    <s v="bra"/>
    <x v="2"/>
    <s v="monthly"/>
    <s v="vw_cap"/>
    <n v="12"/>
    <x v="3"/>
    <n v="-5.03440675461794E-2"/>
  </r>
  <r>
    <s v="bra"/>
    <x v="2"/>
    <s v="monthly"/>
    <s v="vw_cap"/>
    <n v="12"/>
    <x v="4"/>
    <n v="1.03199574847653E-2"/>
  </r>
  <r>
    <s v="bra"/>
    <x v="2"/>
    <s v="monthly"/>
    <s v="vw_cap"/>
    <n v="12"/>
    <x v="5"/>
    <n v="5.3193548392026897E-2"/>
  </r>
  <r>
    <s v="bra"/>
    <x v="2"/>
    <s v="monthly"/>
    <s v="vw_cap"/>
    <n v="12"/>
    <x v="6"/>
    <n v="4.2333075490102396E-3"/>
  </r>
  <r>
    <s v="bra"/>
    <x v="2"/>
    <s v="monthly"/>
    <s v="vw_cap"/>
    <n v="12"/>
    <x v="7"/>
    <n v="5.0514319524396903E-2"/>
  </r>
  <r>
    <s v="bra"/>
    <x v="2"/>
    <s v="monthly"/>
    <s v="vw_cap"/>
    <n v="12"/>
    <x v="8"/>
    <n v="-8.8127995422896996E-2"/>
  </r>
  <r>
    <s v="bra"/>
    <x v="2"/>
    <s v="monthly"/>
    <s v="vw_cap"/>
    <n v="13"/>
    <x v="9"/>
    <n v="-6.2691473664072003E-2"/>
  </r>
  <r>
    <s v="bra"/>
    <x v="2"/>
    <s v="monthly"/>
    <s v="vw_cap"/>
    <n v="5"/>
    <x v="294"/>
    <n v="4.8465697842107899E-2"/>
  </r>
  <r>
    <s v="bra"/>
    <x v="2"/>
    <s v="monthly"/>
    <s v="vw_cap"/>
    <n v="13"/>
    <x v="10"/>
    <n v="3.5258991503222502E-2"/>
  </r>
  <r>
    <s v="bra"/>
    <x v="2"/>
    <s v="monthly"/>
    <s v="vw_cap"/>
    <n v="16"/>
    <x v="11"/>
    <n v="-9.3491416604873895E-2"/>
  </r>
  <r>
    <s v="bra"/>
    <x v="2"/>
    <s v="monthly"/>
    <s v="vw_cap"/>
    <n v="16"/>
    <x v="12"/>
    <n v="-6.3894364687049898E-3"/>
  </r>
  <r>
    <s v="bra"/>
    <x v="2"/>
    <s v="monthly"/>
    <s v="vw_cap"/>
    <n v="16"/>
    <x v="13"/>
    <n v="4.59970026561769E-2"/>
  </r>
  <r>
    <s v="bra"/>
    <x v="2"/>
    <s v="monthly"/>
    <s v="vw_cap"/>
    <n v="16"/>
    <x v="14"/>
    <n v="4.2964596125733299E-4"/>
  </r>
  <r>
    <s v="bra"/>
    <x v="2"/>
    <s v="monthly"/>
    <s v="vw_cap"/>
    <n v="17"/>
    <x v="15"/>
    <n v="-0.15504847365208699"/>
  </r>
  <r>
    <s v="bra"/>
    <x v="2"/>
    <s v="monthly"/>
    <s v="vw_cap"/>
    <n v="14"/>
    <x v="16"/>
    <n v="6.6077674627222902E-2"/>
  </r>
  <r>
    <s v="bra"/>
    <x v="2"/>
    <s v="monthly"/>
    <s v="vw_cap"/>
    <n v="17"/>
    <x v="17"/>
    <n v="3.0372895386463199E-2"/>
  </r>
  <r>
    <s v="bra"/>
    <x v="2"/>
    <s v="monthly"/>
    <s v="vw_cap"/>
    <n v="17"/>
    <x v="18"/>
    <n v="8.2548802119339501E-2"/>
  </r>
  <r>
    <s v="bra"/>
    <x v="2"/>
    <s v="monthly"/>
    <s v="vw_cap"/>
    <n v="17"/>
    <x v="19"/>
    <n v="-1.9843295868449001E-2"/>
  </r>
  <r>
    <s v="bra"/>
    <x v="2"/>
    <s v="monthly"/>
    <s v="vw_cap"/>
    <n v="17"/>
    <x v="20"/>
    <n v="3.6872718255854101E-2"/>
  </r>
  <r>
    <s v="bra"/>
    <x v="2"/>
    <s v="monthly"/>
    <s v="vw_cap"/>
    <n v="17"/>
    <x v="21"/>
    <n v="-2.7345530432037201E-2"/>
  </r>
  <r>
    <s v="bra"/>
    <x v="2"/>
    <s v="monthly"/>
    <s v="vw_cap"/>
    <n v="17"/>
    <x v="22"/>
    <n v="1.1741293058193899E-2"/>
  </r>
  <r>
    <s v="bra"/>
    <x v="2"/>
    <s v="monthly"/>
    <s v="vw_cap"/>
    <n v="17"/>
    <x v="23"/>
    <n v="2.52292018127146E-2"/>
  </r>
  <r>
    <s v="bra"/>
    <x v="2"/>
    <s v="monthly"/>
    <s v="vw_cap"/>
    <n v="18"/>
    <x v="24"/>
    <n v="6.5743133742104401E-2"/>
  </r>
  <r>
    <s v="bra"/>
    <x v="2"/>
    <s v="monthly"/>
    <s v="vw_cap"/>
    <n v="18"/>
    <x v="25"/>
    <n v="-7.3395601812455802E-2"/>
  </r>
  <r>
    <s v="bra"/>
    <x v="2"/>
    <s v="monthly"/>
    <s v="vw_cap"/>
    <n v="17"/>
    <x v="26"/>
    <n v="-5.0901330635782602E-2"/>
  </r>
  <r>
    <s v="bra"/>
    <x v="2"/>
    <s v="monthly"/>
    <s v="vw_cap"/>
    <n v="18"/>
    <x v="27"/>
    <n v="-1.1797124575915201E-3"/>
  </r>
  <r>
    <s v="bra"/>
    <x v="2"/>
    <s v="monthly"/>
    <s v="vw_cap"/>
    <n v="6"/>
    <x v="295"/>
    <n v="8.3462817658041405E-4"/>
  </r>
  <r>
    <s v="bra"/>
    <x v="2"/>
    <s v="monthly"/>
    <s v="vw_cap"/>
    <n v="6"/>
    <x v="296"/>
    <n v="2.71227290540083E-2"/>
  </r>
  <r>
    <s v="bra"/>
    <x v="2"/>
    <s v="monthly"/>
    <s v="vw_cap"/>
    <n v="6"/>
    <x v="297"/>
    <n v="0.10065299019578899"/>
  </r>
  <r>
    <s v="bra"/>
    <x v="2"/>
    <s v="monthly"/>
    <s v="vw_cap"/>
    <n v="6"/>
    <x v="298"/>
    <n v="4.2898802901001697E-2"/>
  </r>
  <r>
    <s v="bra"/>
    <x v="2"/>
    <s v="monthly"/>
    <s v="vw_cap"/>
    <n v="6"/>
    <x v="299"/>
    <n v="3.9217664933438999E-2"/>
  </r>
  <r>
    <s v="bra"/>
    <x v="2"/>
    <s v="monthly"/>
    <s v="vw_cap"/>
    <n v="6"/>
    <x v="300"/>
    <n v="2.7174611135134901E-2"/>
  </r>
  <r>
    <s v="bra"/>
    <x v="2"/>
    <s v="monthly"/>
    <s v="vw_cap"/>
    <n v="7"/>
    <x v="301"/>
    <n v="4.8710314181321997E-2"/>
  </r>
  <r>
    <s v="bra"/>
    <x v="2"/>
    <s v="monthly"/>
    <s v="vw_cap"/>
    <n v="6"/>
    <x v="302"/>
    <n v="6.0737519881275098E-2"/>
  </r>
  <r>
    <s v="bra"/>
    <x v="2"/>
    <s v="monthly"/>
    <s v="vw_cap"/>
    <n v="5"/>
    <x v="303"/>
    <n v="-9.0820346941935901E-2"/>
  </r>
  <r>
    <s v="bra"/>
    <x v="2"/>
    <s v="monthly"/>
    <s v="vw_cap"/>
    <n v="5"/>
    <x v="304"/>
    <n v="2.9913362125932399E-2"/>
  </r>
  <r>
    <s v="bra"/>
    <x v="2"/>
    <s v="monthly"/>
    <s v="vw_cap"/>
    <n v="5"/>
    <x v="305"/>
    <n v="-9.3941279610322108E-3"/>
  </r>
  <r>
    <s v="bra"/>
    <x v="2"/>
    <s v="monthly"/>
    <s v="vw_cap"/>
    <n v="5"/>
    <x v="306"/>
    <n v="-8.2961643921203698E-2"/>
  </r>
  <r>
    <s v="bra"/>
    <x v="2"/>
    <s v="monthly"/>
    <s v="vw_cap"/>
    <n v="6"/>
    <x v="307"/>
    <n v="-6.3182852388746394E-2"/>
  </r>
  <r>
    <s v="bra"/>
    <x v="2"/>
    <s v="monthly"/>
    <s v="vw_cap"/>
    <n v="14"/>
    <x v="28"/>
    <n v="1.6083089897297401E-2"/>
  </r>
  <r>
    <s v="bra"/>
    <x v="2"/>
    <s v="monthly"/>
    <s v="vw_cap"/>
    <n v="6"/>
    <x v="308"/>
    <n v="0.17249432711514201"/>
  </r>
  <r>
    <s v="bra"/>
    <x v="2"/>
    <s v="monthly"/>
    <s v="vw_cap"/>
    <n v="6"/>
    <x v="309"/>
    <n v="-6.0372520724478199E-2"/>
  </r>
  <r>
    <s v="bra"/>
    <x v="2"/>
    <s v="monthly"/>
    <s v="vw_cap"/>
    <n v="6"/>
    <x v="310"/>
    <n v="3.1900719634638799E-3"/>
  </r>
  <r>
    <s v="bra"/>
    <x v="2"/>
    <s v="monthly"/>
    <s v="vw_cap"/>
    <n v="6"/>
    <x v="311"/>
    <n v="-1.2036001717888699E-2"/>
  </r>
  <r>
    <s v="bra"/>
    <x v="2"/>
    <s v="monthly"/>
    <s v="vw_cap"/>
    <n v="16"/>
    <x v="29"/>
    <n v="-1.54764440475281E-2"/>
  </r>
  <r>
    <s v="bra"/>
    <x v="2"/>
    <s v="monthly"/>
    <s v="vw_cap"/>
    <n v="15"/>
    <x v="30"/>
    <n v="6.60249953385212E-3"/>
  </r>
  <r>
    <s v="bra"/>
    <x v="2"/>
    <s v="monthly"/>
    <s v="vw_cap"/>
    <n v="17"/>
    <x v="31"/>
    <n v="-5.0385220881633698E-2"/>
  </r>
  <r>
    <s v="bra"/>
    <x v="2"/>
    <s v="monthly"/>
    <s v="vw_cap"/>
    <n v="19"/>
    <x v="32"/>
    <n v="1.37947290280514E-3"/>
  </r>
  <r>
    <s v="bra"/>
    <x v="2"/>
    <s v="monthly"/>
    <s v="vw_cap"/>
    <n v="20"/>
    <x v="33"/>
    <n v="6.3366381884111698E-3"/>
  </r>
  <r>
    <s v="bra"/>
    <x v="2"/>
    <s v="monthly"/>
    <s v="vw_cap"/>
    <n v="20"/>
    <x v="34"/>
    <n v="5.0072854622615704E-3"/>
  </r>
  <r>
    <s v="bra"/>
    <x v="2"/>
    <s v="monthly"/>
    <s v="vw_cap"/>
    <n v="20"/>
    <x v="35"/>
    <n v="3.1121961486679499E-2"/>
  </r>
  <r>
    <s v="bra"/>
    <x v="2"/>
    <s v="monthly"/>
    <s v="vw_cap"/>
    <n v="20"/>
    <x v="36"/>
    <n v="-3.2818319085311097E-2"/>
  </r>
  <r>
    <s v="bra"/>
    <x v="2"/>
    <s v="monthly"/>
    <s v="vw_cap"/>
    <n v="20"/>
    <x v="37"/>
    <n v="4.4189078632250797E-3"/>
  </r>
  <r>
    <s v="bra"/>
    <x v="2"/>
    <s v="monthly"/>
    <s v="vw_cap"/>
    <n v="20"/>
    <x v="38"/>
    <n v="-8.9550644229175191E-3"/>
  </r>
  <r>
    <s v="bra"/>
    <x v="2"/>
    <s v="monthly"/>
    <s v="vw_cap"/>
    <n v="20"/>
    <x v="39"/>
    <n v="-5.5619708731571502E-3"/>
  </r>
  <r>
    <s v="bra"/>
    <x v="2"/>
    <s v="monthly"/>
    <s v="vw_cap"/>
    <n v="20"/>
    <x v="40"/>
    <n v="1.1873168540020299E-2"/>
  </r>
  <r>
    <s v="bra"/>
    <x v="2"/>
    <s v="monthly"/>
    <s v="vw_cap"/>
    <n v="20"/>
    <x v="41"/>
    <n v="5.5043489024399497E-2"/>
  </r>
  <r>
    <s v="bra"/>
    <x v="2"/>
    <s v="monthly"/>
    <s v="vw_cap"/>
    <n v="20"/>
    <x v="42"/>
    <n v="7.32033335458408E-3"/>
  </r>
  <r>
    <s v="bra"/>
    <x v="2"/>
    <s v="monthly"/>
    <s v="vw_cap"/>
    <n v="20"/>
    <x v="43"/>
    <n v="-7.1023323435771404E-2"/>
  </r>
  <r>
    <s v="bra"/>
    <x v="2"/>
    <s v="monthly"/>
    <s v="vw_cap"/>
    <n v="21"/>
    <x v="44"/>
    <n v="1.0150408382893199E-2"/>
  </r>
  <r>
    <s v="bra"/>
    <x v="2"/>
    <s v="monthly"/>
    <s v="vw_cap"/>
    <n v="21"/>
    <x v="45"/>
    <n v="-3.7651831689290198E-2"/>
  </r>
  <r>
    <s v="bra"/>
    <x v="2"/>
    <s v="monthly"/>
    <s v="vw_cap"/>
    <n v="21"/>
    <x v="46"/>
    <n v="3.6841128329059898E-2"/>
  </r>
  <r>
    <s v="bra"/>
    <x v="2"/>
    <s v="monthly"/>
    <s v="vw_cap"/>
    <n v="22"/>
    <x v="47"/>
    <n v="-2.6500342787326402E-2"/>
  </r>
  <r>
    <s v="bra"/>
    <x v="2"/>
    <s v="monthly"/>
    <s v="vw_cap"/>
    <n v="22"/>
    <x v="48"/>
    <n v="-8.1326330567795896E-2"/>
  </r>
  <r>
    <s v="bra"/>
    <x v="2"/>
    <s v="monthly"/>
    <s v="vw_cap"/>
    <n v="22"/>
    <x v="49"/>
    <n v="-3.2202239599415199E-3"/>
  </r>
  <r>
    <s v="bra"/>
    <x v="2"/>
    <s v="monthly"/>
    <s v="vw_cap"/>
    <n v="21"/>
    <x v="50"/>
    <n v="2.7420288291488199E-2"/>
  </r>
  <r>
    <s v="bra"/>
    <x v="2"/>
    <s v="monthly"/>
    <s v="vw_cap"/>
    <n v="21"/>
    <x v="51"/>
    <n v="-4.6406642277380399E-4"/>
  </r>
  <r>
    <s v="bra"/>
    <x v="2"/>
    <s v="monthly"/>
    <s v="vw_cap"/>
    <n v="21"/>
    <x v="52"/>
    <n v="2.5639382008217E-3"/>
  </r>
  <r>
    <s v="bra"/>
    <x v="2"/>
    <s v="monthly"/>
    <s v="vw_cap"/>
    <n v="22"/>
    <x v="53"/>
    <n v="3.1743326566668999E-2"/>
  </r>
  <r>
    <s v="bra"/>
    <x v="2"/>
    <s v="monthly"/>
    <s v="vw_cap"/>
    <n v="22"/>
    <x v="54"/>
    <n v="8.6509410592041196E-3"/>
  </r>
  <r>
    <s v="bra"/>
    <x v="2"/>
    <s v="monthly"/>
    <s v="vw_cap"/>
    <n v="22"/>
    <x v="55"/>
    <n v="-3.1074032712942901E-2"/>
  </r>
  <r>
    <s v="bra"/>
    <x v="2"/>
    <s v="monthly"/>
    <s v="vw_cap"/>
    <n v="22"/>
    <x v="56"/>
    <n v="-2.78727042403299E-2"/>
  </r>
  <r>
    <s v="bra"/>
    <x v="2"/>
    <s v="monthly"/>
    <s v="vw_cap"/>
    <n v="22"/>
    <x v="57"/>
    <n v="-8.1285629091912108E-3"/>
  </r>
  <r>
    <s v="bra"/>
    <x v="2"/>
    <s v="monthly"/>
    <s v="vw_cap"/>
    <n v="22"/>
    <x v="58"/>
    <n v="1.8346843374919201E-2"/>
  </r>
  <r>
    <s v="bra"/>
    <x v="2"/>
    <s v="monthly"/>
    <s v="vw_cap"/>
    <n v="22"/>
    <x v="59"/>
    <n v="-1.6475542670507701E-2"/>
  </r>
  <r>
    <s v="bra"/>
    <x v="2"/>
    <s v="monthly"/>
    <s v="vw_cap"/>
    <n v="22"/>
    <x v="60"/>
    <n v="-9.7465873048156997E-3"/>
  </r>
  <r>
    <s v="bra"/>
    <x v="2"/>
    <s v="monthly"/>
    <s v="vw_cap"/>
    <n v="22"/>
    <x v="61"/>
    <n v="3.0508504191137899E-2"/>
  </r>
  <r>
    <s v="bra"/>
    <x v="2"/>
    <s v="monthly"/>
    <s v="vw_cap"/>
    <n v="22"/>
    <x v="62"/>
    <n v="1.2113668692964699E-4"/>
  </r>
  <r>
    <s v="bra"/>
    <x v="2"/>
    <s v="monthly"/>
    <s v="vw_cap"/>
    <n v="22"/>
    <x v="63"/>
    <n v="7.8100784346157902E-3"/>
  </r>
  <r>
    <s v="bra"/>
    <x v="2"/>
    <s v="monthly"/>
    <s v="vw_cap"/>
    <n v="22"/>
    <x v="64"/>
    <n v="3.9257809921322898E-3"/>
  </r>
  <r>
    <s v="bra"/>
    <x v="2"/>
    <s v="monthly"/>
    <s v="vw_cap"/>
    <n v="22"/>
    <x v="65"/>
    <n v="-2.79820655913607E-2"/>
  </r>
  <r>
    <s v="bra"/>
    <x v="2"/>
    <s v="monthly"/>
    <s v="vw_cap"/>
    <n v="22"/>
    <x v="66"/>
    <n v="1.9864341997534601E-2"/>
  </r>
  <r>
    <s v="bra"/>
    <x v="2"/>
    <s v="monthly"/>
    <s v="vw_cap"/>
    <n v="22"/>
    <x v="67"/>
    <n v="2.0194251847199099E-2"/>
  </r>
  <r>
    <s v="bra"/>
    <x v="2"/>
    <s v="monthly"/>
    <s v="vw_cap"/>
    <n v="22"/>
    <x v="68"/>
    <n v="2.2302616500446199E-2"/>
  </r>
  <r>
    <s v="bra"/>
    <x v="2"/>
    <s v="monthly"/>
    <s v="vw_cap"/>
    <n v="22"/>
    <x v="69"/>
    <n v="-1.8707472415171501E-2"/>
  </r>
  <r>
    <s v="bra"/>
    <x v="2"/>
    <s v="monthly"/>
    <s v="vw_cap"/>
    <n v="22"/>
    <x v="70"/>
    <n v="-9.7930265193303702E-3"/>
  </r>
  <r>
    <s v="bra"/>
    <x v="2"/>
    <s v="monthly"/>
    <s v="vw_cap"/>
    <n v="22"/>
    <x v="71"/>
    <n v="-8.1530362355239899E-3"/>
  </r>
  <r>
    <s v="bra"/>
    <x v="2"/>
    <s v="monthly"/>
    <s v="vw_cap"/>
    <n v="22"/>
    <x v="72"/>
    <n v="2.6957996632978602E-2"/>
  </r>
  <r>
    <s v="bra"/>
    <x v="2"/>
    <s v="monthly"/>
    <s v="vw_cap"/>
    <n v="22"/>
    <x v="73"/>
    <n v="4.3589225427996002E-2"/>
  </r>
  <r>
    <s v="bra"/>
    <x v="2"/>
    <s v="monthly"/>
    <s v="vw_cap"/>
    <n v="22"/>
    <x v="74"/>
    <n v="-1.73307459998676E-2"/>
  </r>
  <r>
    <s v="bra"/>
    <x v="2"/>
    <s v="monthly"/>
    <s v="vw_cap"/>
    <n v="22"/>
    <x v="75"/>
    <n v="1.47974843324317E-3"/>
  </r>
  <r>
    <s v="bra"/>
    <x v="2"/>
    <s v="monthly"/>
    <s v="vw_cap"/>
    <n v="22"/>
    <x v="76"/>
    <n v="-8.7627478519743396E-3"/>
  </r>
  <r>
    <s v="bra"/>
    <x v="2"/>
    <s v="monthly"/>
    <s v="vw_cap"/>
    <n v="22"/>
    <x v="77"/>
    <n v="-2.83308519920112E-2"/>
  </r>
  <r>
    <s v="bra"/>
    <x v="2"/>
    <s v="monthly"/>
    <s v="vw_cap"/>
    <n v="22"/>
    <x v="78"/>
    <n v="6.5509650012032898E-3"/>
  </r>
  <r>
    <s v="bra"/>
    <x v="2"/>
    <s v="monthly"/>
    <s v="vw_cap"/>
    <n v="22"/>
    <x v="79"/>
    <n v="1.47165331221386E-2"/>
  </r>
  <r>
    <s v="bra"/>
    <x v="2"/>
    <s v="monthly"/>
    <s v="vw_cap"/>
    <n v="22"/>
    <x v="80"/>
    <n v="6.3089517507194395E-2"/>
  </r>
  <r>
    <s v="bra"/>
    <x v="2"/>
    <s v="monthly"/>
    <s v="vw_cap"/>
    <n v="22"/>
    <x v="81"/>
    <n v="4.8570349212210998E-2"/>
  </r>
  <r>
    <s v="bra"/>
    <x v="2"/>
    <s v="monthly"/>
    <s v="vw_cap"/>
    <n v="22"/>
    <x v="82"/>
    <n v="6.3876882166869195E-2"/>
  </r>
  <r>
    <s v="bra"/>
    <x v="2"/>
    <s v="monthly"/>
    <s v="vw_cap"/>
    <n v="22"/>
    <x v="83"/>
    <n v="-2.8063621187134302E-2"/>
  </r>
  <r>
    <s v="bra"/>
    <x v="2"/>
    <s v="monthly"/>
    <s v="vw_cap"/>
    <n v="22"/>
    <x v="84"/>
    <n v="2.1138982265076201E-2"/>
  </r>
  <r>
    <s v="bra"/>
    <x v="2"/>
    <s v="monthly"/>
    <s v="vw_cap"/>
    <n v="22"/>
    <x v="85"/>
    <n v="2.7412860826258299E-2"/>
  </r>
  <r>
    <s v="bra"/>
    <x v="2"/>
    <s v="monthly"/>
    <s v="vw_cap"/>
    <n v="22"/>
    <x v="86"/>
    <n v="3.70459179153795E-4"/>
  </r>
  <r>
    <s v="bra"/>
    <x v="2"/>
    <s v="monthly"/>
    <s v="vw_cap"/>
    <n v="22"/>
    <x v="87"/>
    <n v="-5.3698775986877403E-3"/>
  </r>
  <r>
    <s v="bra"/>
    <x v="2"/>
    <s v="monthly"/>
    <s v="vw_cap"/>
    <n v="22"/>
    <x v="88"/>
    <n v="-0.10080241567008701"/>
  </r>
  <r>
    <s v="bra"/>
    <x v="2"/>
    <s v="monthly"/>
    <s v="vw_cap"/>
    <n v="21"/>
    <x v="89"/>
    <n v="-9.13196939522916E-2"/>
  </r>
  <r>
    <s v="bra"/>
    <x v="2"/>
    <s v="monthly"/>
    <s v="vw_cap"/>
    <n v="21"/>
    <x v="90"/>
    <n v="1.07936149649056E-2"/>
  </r>
  <r>
    <s v="bra"/>
    <x v="2"/>
    <s v="monthly"/>
    <s v="vw_cap"/>
    <n v="21"/>
    <x v="91"/>
    <n v="-3.88267748248435E-2"/>
  </r>
  <r>
    <s v="bra"/>
    <x v="2"/>
    <s v="monthly"/>
    <s v="vw_cap"/>
    <n v="21"/>
    <x v="92"/>
    <n v="6.2279100311579899E-3"/>
  </r>
  <r>
    <s v="bra"/>
    <x v="2"/>
    <s v="monthly"/>
    <s v="vw_cap"/>
    <n v="21"/>
    <x v="93"/>
    <n v="-2.8403383452300701E-2"/>
  </r>
  <r>
    <s v="bra"/>
    <x v="2"/>
    <s v="monthly"/>
    <s v="vw_cap"/>
    <n v="21"/>
    <x v="94"/>
    <n v="-1.8191577853849401E-2"/>
  </r>
  <r>
    <s v="bra"/>
    <x v="2"/>
    <s v="monthly"/>
    <s v="vw_cap"/>
    <n v="21"/>
    <x v="95"/>
    <n v="-3.4277946679263302E-2"/>
  </r>
  <r>
    <s v="bra"/>
    <x v="2"/>
    <s v="monthly"/>
    <s v="vw_cap"/>
    <n v="21"/>
    <x v="96"/>
    <n v="-2.3342031643933101E-3"/>
  </r>
  <r>
    <s v="bra"/>
    <x v="2"/>
    <s v="monthly"/>
    <s v="vw_cap"/>
    <n v="22"/>
    <x v="97"/>
    <n v="0.15032837724817999"/>
  </r>
  <r>
    <s v="bra"/>
    <x v="2"/>
    <s v="monthly"/>
    <s v="vw_cap"/>
    <n v="22"/>
    <x v="98"/>
    <n v="-9.2653470820114395E-3"/>
  </r>
  <r>
    <s v="bra"/>
    <x v="2"/>
    <s v="monthly"/>
    <s v="vw_cap"/>
    <n v="22"/>
    <x v="99"/>
    <n v="3.2200647939320898E-2"/>
  </r>
  <r>
    <s v="bra"/>
    <x v="2"/>
    <s v="monthly"/>
    <s v="vw_cap"/>
    <n v="22"/>
    <x v="100"/>
    <n v="-8.1256517337591795E-3"/>
  </r>
  <r>
    <s v="bra"/>
    <x v="2"/>
    <s v="monthly"/>
    <s v="vw_cap"/>
    <n v="21"/>
    <x v="101"/>
    <n v="-1.35465036336062E-2"/>
  </r>
  <r>
    <s v="bra"/>
    <x v="2"/>
    <s v="monthly"/>
    <s v="vw_cap"/>
    <n v="21"/>
    <x v="102"/>
    <n v="-3.7230930164288299E-3"/>
  </r>
  <r>
    <s v="bra"/>
    <x v="2"/>
    <s v="monthly"/>
    <s v="vw_cap"/>
    <n v="21"/>
    <x v="103"/>
    <n v="4.8355748105930497E-3"/>
  </r>
  <r>
    <s v="bra"/>
    <x v="2"/>
    <s v="monthly"/>
    <s v="vw_cap"/>
    <n v="21"/>
    <x v="104"/>
    <n v="9.6417236695250496E-3"/>
  </r>
  <r>
    <s v="bra"/>
    <x v="2"/>
    <s v="monthly"/>
    <s v="vw_cap"/>
    <n v="21"/>
    <x v="105"/>
    <n v="-3.0095226647651901E-3"/>
  </r>
  <r>
    <s v="bra"/>
    <x v="2"/>
    <s v="monthly"/>
    <s v="vw_cap"/>
    <n v="21"/>
    <x v="106"/>
    <n v="1.03324532894654E-2"/>
  </r>
  <r>
    <s v="bra"/>
    <x v="2"/>
    <s v="monthly"/>
    <s v="vw_cap"/>
    <n v="21"/>
    <x v="107"/>
    <n v="3.8606553254872402E-3"/>
  </r>
  <r>
    <s v="bra"/>
    <x v="2"/>
    <s v="monthly"/>
    <s v="vw_cap"/>
    <n v="21"/>
    <x v="108"/>
    <n v="1.09352849289917E-2"/>
  </r>
  <r>
    <s v="bra"/>
    <x v="2"/>
    <s v="monthly"/>
    <s v="vw_cap"/>
    <n v="21"/>
    <x v="109"/>
    <n v="2.50404371223211E-2"/>
  </r>
  <r>
    <s v="bra"/>
    <x v="2"/>
    <s v="monthly"/>
    <s v="vw_cap"/>
    <n v="21"/>
    <x v="110"/>
    <n v="3.9157225836016201E-4"/>
  </r>
  <r>
    <s v="bra"/>
    <x v="2"/>
    <s v="monthly"/>
    <s v="vw_cap"/>
    <n v="21"/>
    <x v="111"/>
    <n v="-1.0158358953716599E-3"/>
  </r>
  <r>
    <s v="bra"/>
    <x v="2"/>
    <s v="monthly"/>
    <s v="vw_cap"/>
    <n v="21"/>
    <x v="112"/>
    <n v="-7.8624252713259592E-3"/>
  </r>
  <r>
    <s v="bra"/>
    <x v="2"/>
    <s v="monthly"/>
    <s v="vw_cap"/>
    <n v="21"/>
    <x v="113"/>
    <n v="2.0611411806976801E-2"/>
  </r>
  <r>
    <s v="bra"/>
    <x v="2"/>
    <s v="monthly"/>
    <s v="vw_cap"/>
    <n v="21"/>
    <x v="114"/>
    <n v="2.6581532424883501E-3"/>
  </r>
  <r>
    <s v="bra"/>
    <x v="2"/>
    <s v="monthly"/>
    <s v="vw_cap"/>
    <n v="21"/>
    <x v="115"/>
    <n v="1.44667969538162E-2"/>
  </r>
  <r>
    <s v="bra"/>
    <x v="2"/>
    <s v="monthly"/>
    <s v="vw_cap"/>
    <n v="22"/>
    <x v="116"/>
    <n v="-1.5320339414571799E-3"/>
  </r>
  <r>
    <s v="bra"/>
    <x v="2"/>
    <s v="monthly"/>
    <s v="vw_cap"/>
    <n v="22"/>
    <x v="117"/>
    <n v="3.6470404571363101E-2"/>
  </r>
  <r>
    <s v="bra"/>
    <x v="2"/>
    <s v="monthly"/>
    <s v="vw_cap"/>
    <n v="22"/>
    <x v="118"/>
    <n v="2.61392322798585E-3"/>
  </r>
  <r>
    <s v="bra"/>
    <x v="2"/>
    <s v="monthly"/>
    <s v="vw_cap"/>
    <n v="22"/>
    <x v="119"/>
    <n v="1.89878496239849E-2"/>
  </r>
  <r>
    <s v="bra"/>
    <x v="2"/>
    <s v="monthly"/>
    <s v="vw_cap"/>
    <n v="22"/>
    <x v="120"/>
    <n v="1.6065040749200999E-2"/>
  </r>
  <r>
    <s v="bra"/>
    <x v="2"/>
    <s v="monthly"/>
    <s v="vw_cap"/>
    <n v="22"/>
    <x v="121"/>
    <n v="-3.7222090711761198E-2"/>
  </r>
  <r>
    <s v="bra"/>
    <x v="2"/>
    <s v="monthly"/>
    <s v="vw_cap"/>
    <n v="22"/>
    <x v="122"/>
    <n v="-1.7897949911620501E-2"/>
  </r>
  <r>
    <s v="bra"/>
    <x v="2"/>
    <s v="monthly"/>
    <s v="vw_cap"/>
    <n v="22"/>
    <x v="123"/>
    <n v="7.2210553854097298E-3"/>
  </r>
  <r>
    <s v="bra"/>
    <x v="2"/>
    <s v="monthly"/>
    <s v="vw_cap"/>
    <n v="22"/>
    <x v="124"/>
    <n v="1.9934211754808199E-2"/>
  </r>
  <r>
    <s v="bra"/>
    <x v="2"/>
    <s v="monthly"/>
    <s v="vw_cap"/>
    <n v="22"/>
    <x v="125"/>
    <n v="2.1850082707388901E-2"/>
  </r>
  <r>
    <s v="bra"/>
    <x v="2"/>
    <s v="monthly"/>
    <s v="vw_cap"/>
    <n v="22"/>
    <x v="126"/>
    <n v="5.6475045484324797E-2"/>
  </r>
  <r>
    <s v="bra"/>
    <x v="2"/>
    <s v="monthly"/>
    <s v="vw_cap"/>
    <n v="22"/>
    <x v="127"/>
    <n v="-1.2188336464133E-2"/>
  </r>
  <r>
    <s v="bra"/>
    <x v="2"/>
    <s v="monthly"/>
    <s v="vw_cap"/>
    <n v="22"/>
    <x v="128"/>
    <n v="-1.8951398507618199E-2"/>
  </r>
  <r>
    <s v="bra"/>
    <x v="2"/>
    <s v="monthly"/>
    <s v="vw_cap"/>
    <n v="22"/>
    <x v="129"/>
    <n v="1.3694908275899999E-2"/>
  </r>
  <r>
    <s v="bra"/>
    <x v="2"/>
    <s v="monthly"/>
    <s v="vw_cap"/>
    <n v="22"/>
    <x v="130"/>
    <n v="1.45467138858375E-2"/>
  </r>
  <r>
    <s v="bra"/>
    <x v="2"/>
    <s v="monthly"/>
    <s v="vw_cap"/>
    <n v="22"/>
    <x v="131"/>
    <n v="2.40714493549638E-3"/>
  </r>
  <r>
    <s v="bra"/>
    <x v="2"/>
    <s v="monthly"/>
    <s v="vw_cap"/>
    <n v="22"/>
    <x v="132"/>
    <n v="-6.2658704567937597E-3"/>
  </r>
  <r>
    <s v="bra"/>
    <x v="2"/>
    <s v="monthly"/>
    <s v="vw_cap"/>
    <n v="22"/>
    <x v="133"/>
    <n v="3.7213457364768603E-2"/>
  </r>
  <r>
    <s v="bra"/>
    <x v="2"/>
    <s v="monthly"/>
    <s v="vw_cap"/>
    <n v="22"/>
    <x v="134"/>
    <n v="1.13748633807667E-3"/>
  </r>
  <r>
    <s v="bra"/>
    <x v="2"/>
    <s v="monthly"/>
    <s v="vw_cap"/>
    <n v="22"/>
    <x v="135"/>
    <n v="1.2664332120583099E-2"/>
  </r>
  <r>
    <s v="bra"/>
    <x v="2"/>
    <s v="monthly"/>
    <s v="vw_cap"/>
    <n v="22"/>
    <x v="136"/>
    <n v="-1.7605131935877798E-2"/>
  </r>
  <r>
    <s v="bra"/>
    <x v="2"/>
    <s v="monthly"/>
    <s v="vw_cap"/>
    <n v="22"/>
    <x v="137"/>
    <n v="1.5565981430081499E-2"/>
  </r>
  <r>
    <s v="bra"/>
    <x v="2"/>
    <s v="monthly"/>
    <s v="vw_cap"/>
    <n v="22"/>
    <x v="138"/>
    <n v="1.3237026408438201E-2"/>
  </r>
  <r>
    <s v="bra"/>
    <x v="2"/>
    <s v="monthly"/>
    <s v="vw_cap"/>
    <n v="22"/>
    <x v="139"/>
    <n v="1.7821390324074399E-2"/>
  </r>
  <r>
    <s v="bra"/>
    <x v="2"/>
    <s v="monthly"/>
    <s v="vw_cap"/>
    <n v="22"/>
    <x v="140"/>
    <n v="1.9386561802321099E-2"/>
  </r>
  <r>
    <s v="bra"/>
    <x v="2"/>
    <s v="monthly"/>
    <s v="vw_cap"/>
    <n v="22"/>
    <x v="141"/>
    <n v="1.16376547367151E-3"/>
  </r>
  <r>
    <s v="bra"/>
    <x v="2"/>
    <s v="monthly"/>
    <s v="vw_cap"/>
    <n v="22"/>
    <x v="142"/>
    <n v="2.78356974621373E-2"/>
  </r>
  <r>
    <s v="bra"/>
    <x v="2"/>
    <s v="monthly"/>
    <s v="vw_cap"/>
    <n v="22"/>
    <x v="143"/>
    <n v="-4.3272908509176802E-3"/>
  </r>
  <r>
    <s v="bra"/>
    <x v="2"/>
    <s v="monthly"/>
    <s v="vw_cap"/>
    <n v="22"/>
    <x v="144"/>
    <n v="7.6576315189509202E-3"/>
  </r>
  <r>
    <s v="bra"/>
    <x v="2"/>
    <s v="monthly"/>
    <s v="vw_cap"/>
    <n v="22"/>
    <x v="145"/>
    <n v="-1.4702666367512499E-2"/>
  </r>
  <r>
    <s v="bra"/>
    <x v="2"/>
    <s v="monthly"/>
    <s v="vw_cap"/>
    <n v="22"/>
    <x v="146"/>
    <n v="-4.0009059756969502E-3"/>
  </r>
  <r>
    <s v="bra"/>
    <x v="2"/>
    <s v="monthly"/>
    <s v="vw_cap"/>
    <n v="22"/>
    <x v="147"/>
    <n v="-1.1149700166469699E-2"/>
  </r>
  <r>
    <s v="bra"/>
    <x v="2"/>
    <s v="monthly"/>
    <s v="vw_cap"/>
    <n v="22"/>
    <x v="148"/>
    <n v="3.9551337746504301E-4"/>
  </r>
  <r>
    <s v="bra"/>
    <x v="2"/>
    <s v="monthly"/>
    <s v="vw_cap"/>
    <n v="22"/>
    <x v="149"/>
    <n v="-1.06096139210559E-2"/>
  </r>
  <r>
    <s v="bra"/>
    <x v="2"/>
    <s v="monthly"/>
    <s v="vw_cap"/>
    <n v="22"/>
    <x v="150"/>
    <n v="1.91944699395355E-2"/>
  </r>
  <r>
    <s v="bra"/>
    <x v="2"/>
    <s v="monthly"/>
    <s v="vw_cap"/>
    <n v="22"/>
    <x v="151"/>
    <n v="-1.08540682967516E-4"/>
  </r>
  <r>
    <s v="bra"/>
    <x v="2"/>
    <s v="monthly"/>
    <s v="vw_cap"/>
    <n v="22"/>
    <x v="152"/>
    <n v="-1.40548244628663E-2"/>
  </r>
  <r>
    <s v="bra"/>
    <x v="2"/>
    <s v="monthly"/>
    <s v="vw_cap"/>
    <n v="22"/>
    <x v="153"/>
    <n v="-1.21314616419743E-2"/>
  </r>
  <r>
    <s v="bra"/>
    <x v="2"/>
    <s v="monthly"/>
    <s v="vw_cap"/>
    <n v="22"/>
    <x v="154"/>
    <n v="-2.87386818428896E-2"/>
  </r>
  <r>
    <s v="bra"/>
    <x v="2"/>
    <s v="monthly"/>
    <s v="vw_cap"/>
    <n v="22"/>
    <x v="155"/>
    <n v="-1.20092003260963E-2"/>
  </r>
  <r>
    <s v="bra"/>
    <x v="2"/>
    <s v="monthly"/>
    <s v="vw_cap"/>
    <n v="22"/>
    <x v="156"/>
    <n v="-7.3192147745213595E-4"/>
  </r>
  <r>
    <s v="bra"/>
    <x v="2"/>
    <s v="monthly"/>
    <s v="vw_cap"/>
    <n v="22"/>
    <x v="157"/>
    <n v="4.3895392730279098E-3"/>
  </r>
  <r>
    <s v="bra"/>
    <x v="2"/>
    <s v="monthly"/>
    <s v="vw_cap"/>
    <n v="22"/>
    <x v="158"/>
    <n v="2.9031724874941201E-2"/>
  </r>
  <r>
    <s v="bra"/>
    <x v="2"/>
    <s v="monthly"/>
    <s v="vw_cap"/>
    <n v="22"/>
    <x v="159"/>
    <n v="7.2841766653482303E-3"/>
  </r>
  <r>
    <s v="bra"/>
    <x v="2"/>
    <s v="monthly"/>
    <s v="vw_cap"/>
    <n v="22"/>
    <x v="160"/>
    <n v="-2.30337094476235E-2"/>
  </r>
  <r>
    <s v="bra"/>
    <x v="2"/>
    <s v="monthly"/>
    <s v="vw_cap"/>
    <n v="22"/>
    <x v="161"/>
    <n v="-1.1807228494971201E-2"/>
  </r>
  <r>
    <s v="bra"/>
    <x v="2"/>
    <s v="monthly"/>
    <s v="vw_cap"/>
    <n v="22"/>
    <x v="162"/>
    <n v="-1.8011652350391601E-2"/>
  </r>
  <r>
    <s v="bra"/>
    <x v="2"/>
    <s v="monthly"/>
    <s v="vw_cap"/>
    <n v="22"/>
    <x v="163"/>
    <n v="2.1270351569086399E-2"/>
  </r>
  <r>
    <s v="bra"/>
    <x v="2"/>
    <s v="monthly"/>
    <s v="vw_cap"/>
    <n v="22"/>
    <x v="164"/>
    <n v="2.20883448041224E-2"/>
  </r>
  <r>
    <s v="bra"/>
    <x v="2"/>
    <s v="monthly"/>
    <s v="vw_cap"/>
    <n v="22"/>
    <x v="165"/>
    <n v="1.0349401583057199E-2"/>
  </r>
  <r>
    <s v="bra"/>
    <x v="2"/>
    <s v="monthly"/>
    <s v="vw_cap"/>
    <n v="22"/>
    <x v="166"/>
    <n v="-5.6224808559691098E-3"/>
  </r>
  <r>
    <s v="bra"/>
    <x v="2"/>
    <s v="monthly"/>
    <s v="vw_cap"/>
    <n v="22"/>
    <x v="167"/>
    <n v="3.31446877216496E-2"/>
  </r>
  <r>
    <s v="bra"/>
    <x v="2"/>
    <s v="monthly"/>
    <s v="vw_cap"/>
    <n v="22"/>
    <x v="168"/>
    <n v="-2.5697471347454399E-3"/>
  </r>
  <r>
    <s v="bra"/>
    <x v="2"/>
    <s v="monthly"/>
    <s v="vw_cap"/>
    <n v="22"/>
    <x v="169"/>
    <n v="-3.51609332043919E-3"/>
  </r>
  <r>
    <s v="bra"/>
    <x v="2"/>
    <s v="monthly"/>
    <s v="vw_cap"/>
    <n v="22"/>
    <x v="170"/>
    <n v="5.0510013763980302E-2"/>
  </r>
  <r>
    <s v="bra"/>
    <x v="2"/>
    <s v="monthly"/>
    <s v="vw_cap"/>
    <n v="22"/>
    <x v="171"/>
    <n v="1.4694364226839099E-2"/>
  </r>
  <r>
    <s v="bra"/>
    <x v="2"/>
    <s v="monthly"/>
    <s v="vw_cap"/>
    <n v="22"/>
    <x v="172"/>
    <n v="3.1651834883217198E-2"/>
  </r>
  <r>
    <s v="bra"/>
    <x v="2"/>
    <s v="monthly"/>
    <s v="vw_cap"/>
    <n v="22"/>
    <x v="173"/>
    <n v="-3.0362202630206399E-2"/>
  </r>
  <r>
    <s v="bra"/>
    <x v="2"/>
    <s v="monthly"/>
    <s v="vw_cap"/>
    <n v="22"/>
    <x v="174"/>
    <n v="2.2960712384304301E-3"/>
  </r>
  <r>
    <s v="bra"/>
    <x v="2"/>
    <s v="monthly"/>
    <s v="vw_cap"/>
    <n v="22"/>
    <x v="175"/>
    <n v="3.6324671816001901E-2"/>
  </r>
  <r>
    <s v="bra"/>
    <x v="2"/>
    <s v="monthly"/>
    <s v="vw_cap"/>
    <n v="22"/>
    <x v="176"/>
    <n v="-1.7350717411038101E-2"/>
  </r>
  <r>
    <s v="bra"/>
    <x v="2"/>
    <s v="monthly"/>
    <s v="vw_cap"/>
    <n v="22"/>
    <x v="177"/>
    <n v="-6.6214886931285303E-3"/>
  </r>
  <r>
    <s v="bra"/>
    <x v="2"/>
    <s v="monthly"/>
    <s v="vw_cap"/>
    <n v="22"/>
    <x v="178"/>
    <n v="3.33079325084766E-2"/>
  </r>
  <r>
    <s v="bra"/>
    <x v="2"/>
    <s v="monthly"/>
    <s v="vw_cap"/>
    <n v="22"/>
    <x v="179"/>
    <n v="7.4074501412983301E-3"/>
  </r>
  <r>
    <s v="bra"/>
    <x v="2"/>
    <s v="monthly"/>
    <s v="vw_cap"/>
    <n v="22"/>
    <x v="180"/>
    <n v="-1.8026631192893799E-2"/>
  </r>
  <r>
    <s v="bra"/>
    <x v="2"/>
    <s v="monthly"/>
    <s v="vw_cap"/>
    <n v="22"/>
    <x v="181"/>
    <n v="1.8629750377451602E-2"/>
  </r>
  <r>
    <s v="bra"/>
    <x v="2"/>
    <s v="monthly"/>
    <s v="vw_cap"/>
    <n v="22"/>
    <x v="182"/>
    <n v="2.64229795040576E-2"/>
  </r>
  <r>
    <s v="bra"/>
    <x v="2"/>
    <s v="monthly"/>
    <s v="vw_cap"/>
    <n v="22"/>
    <x v="183"/>
    <n v="2.92948063521958E-3"/>
  </r>
  <r>
    <s v="bra"/>
    <x v="2"/>
    <s v="monthly"/>
    <s v="vw_cap"/>
    <n v="22"/>
    <x v="184"/>
    <n v="-1.2490458665347299E-2"/>
  </r>
  <r>
    <s v="bra"/>
    <x v="2"/>
    <s v="monthly"/>
    <s v="vw_cap"/>
    <n v="22"/>
    <x v="185"/>
    <n v="-3.3783257790020102E-2"/>
  </r>
  <r>
    <s v="bra"/>
    <x v="2"/>
    <s v="monthly"/>
    <s v="vw_cap"/>
    <n v="22"/>
    <x v="186"/>
    <n v="-3.6011411415067598E-3"/>
  </r>
  <r>
    <s v="bra"/>
    <x v="2"/>
    <s v="monthly"/>
    <s v="vw_cap"/>
    <n v="22"/>
    <x v="187"/>
    <n v="2.1121774266085198E-2"/>
  </r>
  <r>
    <s v="bra"/>
    <x v="2"/>
    <s v="monthly"/>
    <s v="vw_cap"/>
    <n v="22"/>
    <x v="188"/>
    <n v="6.8564780271469497E-3"/>
  </r>
  <r>
    <s v="bra"/>
    <x v="2"/>
    <s v="monthly"/>
    <s v="vw_cap"/>
    <n v="22"/>
    <x v="189"/>
    <n v="-1.9240577852413501E-3"/>
  </r>
  <r>
    <s v="bra"/>
    <x v="2"/>
    <s v="monthly"/>
    <s v="vw_cap"/>
    <n v="22"/>
    <x v="190"/>
    <n v="-1.6017585177028601E-2"/>
  </r>
  <r>
    <s v="bra"/>
    <x v="2"/>
    <s v="monthly"/>
    <s v="vw_cap"/>
    <n v="22"/>
    <x v="191"/>
    <n v="4.4585810765560997E-3"/>
  </r>
  <r>
    <s v="bra"/>
    <x v="2"/>
    <s v="monthly"/>
    <s v="vw_cap"/>
    <n v="22"/>
    <x v="192"/>
    <n v="2.7605817877422199E-2"/>
  </r>
  <r>
    <s v="bra"/>
    <x v="2"/>
    <s v="monthly"/>
    <s v="vw_cap"/>
    <n v="22"/>
    <x v="193"/>
    <n v="-5.45777731817817E-3"/>
  </r>
  <r>
    <s v="bra"/>
    <x v="2"/>
    <s v="monthly"/>
    <s v="vw_cap"/>
    <n v="22"/>
    <x v="194"/>
    <n v="7.2559448199884099E-3"/>
  </r>
  <r>
    <s v="bra"/>
    <x v="2"/>
    <s v="monthly"/>
    <s v="vw_cap"/>
    <n v="22"/>
    <x v="195"/>
    <n v="-1.6362208492929301E-2"/>
  </r>
  <r>
    <s v="bra"/>
    <x v="2"/>
    <s v="monthly"/>
    <s v="vw_cap"/>
    <n v="22"/>
    <x v="196"/>
    <n v="2.51279598632883E-2"/>
  </r>
  <r>
    <s v="bra"/>
    <x v="2"/>
    <s v="monthly"/>
    <s v="vw_cap"/>
    <n v="22"/>
    <x v="197"/>
    <n v="-2.0059773830420801E-2"/>
  </r>
  <r>
    <s v="bra"/>
    <x v="2"/>
    <s v="monthly"/>
    <s v="vw_cap"/>
    <n v="22"/>
    <x v="198"/>
    <n v="-9.2532133800945302E-3"/>
  </r>
  <r>
    <s v="bra"/>
    <x v="2"/>
    <s v="monthly"/>
    <s v="vw_cap"/>
    <n v="22"/>
    <x v="199"/>
    <n v="-3.8581841384394198E-3"/>
  </r>
  <r>
    <s v="bra"/>
    <x v="2"/>
    <s v="monthly"/>
    <s v="vw_cap"/>
    <n v="22"/>
    <x v="200"/>
    <n v="-2.42596034406689E-3"/>
  </r>
  <r>
    <s v="bra"/>
    <x v="2"/>
    <s v="monthly"/>
    <s v="vw_cap"/>
    <n v="22"/>
    <x v="201"/>
    <n v="7.1840074388779297E-3"/>
  </r>
  <r>
    <s v="bra"/>
    <x v="2"/>
    <s v="monthly"/>
    <s v="vw_cap"/>
    <n v="22"/>
    <x v="202"/>
    <n v="-1.3372868633575501E-2"/>
  </r>
  <r>
    <s v="bra"/>
    <x v="2"/>
    <s v="monthly"/>
    <s v="vw_cap"/>
    <n v="22"/>
    <x v="203"/>
    <n v="-1.05833793527981E-2"/>
  </r>
  <r>
    <s v="bra"/>
    <x v="2"/>
    <s v="monthly"/>
    <s v="vw_cap"/>
    <n v="22"/>
    <x v="204"/>
    <n v="-2.1999237238674699E-2"/>
  </r>
  <r>
    <s v="bra"/>
    <x v="2"/>
    <s v="monthly"/>
    <s v="vw_cap"/>
    <n v="22"/>
    <x v="205"/>
    <n v="2.87638731575343E-2"/>
  </r>
  <r>
    <s v="bra"/>
    <x v="2"/>
    <s v="monthly"/>
    <s v="vw_cap"/>
    <n v="22"/>
    <x v="206"/>
    <n v="-1.1492492454131999E-2"/>
  </r>
  <r>
    <s v="bra"/>
    <x v="2"/>
    <s v="monthly"/>
    <s v="vw_cap"/>
    <n v="22"/>
    <x v="207"/>
    <n v="2.8918578301952401E-3"/>
  </r>
  <r>
    <s v="bra"/>
    <x v="2"/>
    <s v="monthly"/>
    <s v="vw_cap"/>
    <n v="22"/>
    <x v="208"/>
    <n v="1.7884638534438099E-2"/>
  </r>
  <r>
    <s v="bra"/>
    <x v="2"/>
    <s v="monthly"/>
    <s v="vw_cap"/>
    <n v="22"/>
    <x v="209"/>
    <n v="1.31936708207788E-3"/>
  </r>
  <r>
    <s v="bra"/>
    <x v="2"/>
    <s v="monthly"/>
    <s v="vw_cap"/>
    <n v="22"/>
    <x v="210"/>
    <n v="-9.5305932732898894E-3"/>
  </r>
  <r>
    <s v="bra"/>
    <x v="2"/>
    <s v="monthly"/>
    <s v="vw_cap"/>
    <n v="22"/>
    <x v="211"/>
    <n v="-9.7882614364712198E-3"/>
  </r>
  <r>
    <s v="bra"/>
    <x v="2"/>
    <s v="monthly"/>
    <s v="vw_cap"/>
    <n v="22"/>
    <x v="212"/>
    <n v="9.5209410948291096E-3"/>
  </r>
  <r>
    <s v="bra"/>
    <x v="2"/>
    <s v="monthly"/>
    <s v="vw_cap"/>
    <n v="22"/>
    <x v="213"/>
    <n v="-4.8494848114701604E-3"/>
  </r>
  <r>
    <s v="bra"/>
    <x v="2"/>
    <s v="monthly"/>
    <s v="vw_cap"/>
    <n v="22"/>
    <x v="214"/>
    <n v="-2.8851483125561701E-2"/>
  </r>
  <r>
    <s v="bra"/>
    <x v="2"/>
    <s v="monthly"/>
    <s v="vw_cap"/>
    <n v="22"/>
    <x v="215"/>
    <n v="-9.1346313192226993E-3"/>
  </r>
  <r>
    <s v="bra"/>
    <x v="2"/>
    <s v="monthly"/>
    <s v="vw_cap"/>
    <n v="22"/>
    <x v="216"/>
    <n v="-1.6015962276489701E-2"/>
  </r>
  <r>
    <s v="bra"/>
    <x v="2"/>
    <s v="monthly"/>
    <s v="vw_cap"/>
    <n v="22"/>
    <x v="217"/>
    <n v="-4.0782717034478597E-2"/>
  </r>
  <r>
    <s v="bra"/>
    <x v="2"/>
    <s v="monthly"/>
    <s v="vw_cap"/>
    <n v="22"/>
    <x v="218"/>
    <n v="-1.0085772929815001E-2"/>
  </r>
  <r>
    <s v="bra"/>
    <x v="2"/>
    <s v="monthly"/>
    <s v="vw_cap"/>
    <n v="22"/>
    <x v="219"/>
    <n v="-7.7752387116170303E-3"/>
  </r>
  <r>
    <s v="bra"/>
    <x v="2"/>
    <s v="monthly"/>
    <s v="vw_cap"/>
    <n v="22"/>
    <x v="220"/>
    <n v="-4.3260986573177097E-2"/>
  </r>
  <r>
    <s v="bra"/>
    <x v="2"/>
    <s v="monthly"/>
    <s v="vw_cap"/>
    <n v="22"/>
    <x v="221"/>
    <n v="3.6791980492919801E-3"/>
  </r>
  <r>
    <s v="bra"/>
    <x v="2"/>
    <s v="monthly"/>
    <s v="vw_cap"/>
    <n v="22"/>
    <x v="222"/>
    <n v="-7.1903754722027801E-3"/>
  </r>
  <r>
    <s v="bra"/>
    <x v="2"/>
    <s v="monthly"/>
    <s v="vw_cap"/>
    <n v="22"/>
    <x v="223"/>
    <n v="-3.2961833187306999E-2"/>
  </r>
  <r>
    <s v="bra"/>
    <x v="2"/>
    <s v="monthly"/>
    <s v="vw_cap"/>
    <n v="22"/>
    <x v="224"/>
    <n v="-3.7559683398366198E-2"/>
  </r>
  <r>
    <s v="bra"/>
    <x v="2"/>
    <s v="monthly"/>
    <s v="vw_cap"/>
    <n v="22"/>
    <x v="225"/>
    <n v="-3.5328788845619798E-3"/>
  </r>
  <r>
    <s v="bra"/>
    <x v="2"/>
    <s v="monthly"/>
    <s v="vw_cap"/>
    <n v="22"/>
    <x v="226"/>
    <n v="-1.57041618435016E-2"/>
  </r>
  <r>
    <s v="bra"/>
    <x v="2"/>
    <s v="monthly"/>
    <s v="vw_cap"/>
    <n v="22"/>
    <x v="227"/>
    <n v="3.72424304819046E-2"/>
  </r>
  <r>
    <s v="bra"/>
    <x v="2"/>
    <s v="monthly"/>
    <s v="vw_cap"/>
    <n v="22"/>
    <x v="228"/>
    <n v="-1.09534134632769E-2"/>
  </r>
  <r>
    <s v="bra"/>
    <x v="2"/>
    <s v="monthly"/>
    <s v="vw_cap"/>
    <n v="22"/>
    <x v="229"/>
    <n v="-7.8419695477231904E-2"/>
  </r>
  <r>
    <s v="bra"/>
    <x v="2"/>
    <s v="monthly"/>
    <s v="vw_cap"/>
    <n v="22"/>
    <x v="230"/>
    <n v="1.18122242355487E-2"/>
  </r>
  <r>
    <s v="bra"/>
    <x v="2"/>
    <s v="monthly"/>
    <s v="vw_cap"/>
    <n v="22"/>
    <x v="231"/>
    <n v="2.8594402334065801E-2"/>
  </r>
  <r>
    <s v="bra"/>
    <x v="2"/>
    <s v="monthly"/>
    <s v="vw_cap"/>
    <n v="22"/>
    <x v="232"/>
    <n v="3.7543895290122399E-2"/>
  </r>
  <r>
    <s v="bra"/>
    <x v="2"/>
    <s v="monthly"/>
    <s v="vw_cap"/>
    <n v="22"/>
    <x v="233"/>
    <n v="3.7560688254285801E-3"/>
  </r>
  <r>
    <s v="bra"/>
    <x v="2"/>
    <s v="monthly"/>
    <s v="vw_cap"/>
    <n v="22"/>
    <x v="234"/>
    <n v="-2.93160272504343E-2"/>
  </r>
  <r>
    <s v="bra"/>
    <x v="2"/>
    <s v="monthly"/>
    <s v="vw_cap"/>
    <n v="22"/>
    <x v="235"/>
    <n v="-3.0338839194104601E-5"/>
  </r>
  <r>
    <s v="bra"/>
    <x v="2"/>
    <s v="monthly"/>
    <s v="vw_cap"/>
    <n v="22"/>
    <x v="236"/>
    <n v="3.7215400509262503E-2"/>
  </r>
  <r>
    <s v="bra"/>
    <x v="2"/>
    <s v="monthly"/>
    <s v="vw_cap"/>
    <n v="22"/>
    <x v="237"/>
    <n v="1.4671506032539999E-2"/>
  </r>
  <r>
    <s v="bra"/>
    <x v="2"/>
    <s v="monthly"/>
    <s v="vw_cap"/>
    <n v="22"/>
    <x v="238"/>
    <n v="4.4610240926401402E-2"/>
  </r>
  <r>
    <s v="bra"/>
    <x v="2"/>
    <s v="monthly"/>
    <s v="vw_cap"/>
    <n v="22"/>
    <x v="239"/>
    <n v="4.1523727410409203E-2"/>
  </r>
  <r>
    <s v="bra"/>
    <x v="2"/>
    <s v="monthly"/>
    <s v="vw_cap"/>
    <n v="22"/>
    <x v="240"/>
    <n v="1.06466712984518E-3"/>
  </r>
  <r>
    <s v="bra"/>
    <x v="2"/>
    <s v="monthly"/>
    <s v="vw_cap"/>
    <n v="22"/>
    <x v="241"/>
    <n v="6.0072107918763299E-3"/>
  </r>
  <r>
    <s v="bra"/>
    <x v="2"/>
    <s v="monthly"/>
    <s v="vw_cap"/>
    <n v="22"/>
    <x v="242"/>
    <n v="3.3071597089463001E-2"/>
  </r>
  <r>
    <s v="bra"/>
    <x v="2"/>
    <s v="monthly"/>
    <s v="vw_cap"/>
    <n v="22"/>
    <x v="243"/>
    <n v="-3.8657372017836598E-3"/>
  </r>
  <r>
    <s v="bra"/>
    <x v="2"/>
    <s v="monthly"/>
    <s v="vw_cap"/>
    <n v="22"/>
    <x v="244"/>
    <n v="3.2754275473026201E-2"/>
  </r>
  <r>
    <s v="bra"/>
    <x v="2"/>
    <s v="monthly"/>
    <s v="vw_cap"/>
    <n v="22"/>
    <x v="245"/>
    <n v="3.9209155214230899E-2"/>
  </r>
  <r>
    <s v="bra"/>
    <x v="2"/>
    <s v="monthly"/>
    <s v="vw_cap"/>
    <n v="22"/>
    <x v="246"/>
    <n v="4.9847293820198597E-2"/>
  </r>
  <r>
    <s v="bra"/>
    <x v="2"/>
    <s v="monthly"/>
    <s v="vw_cap"/>
    <n v="22"/>
    <x v="247"/>
    <n v="-1.6527803850219201E-2"/>
  </r>
  <r>
    <s v="bra"/>
    <x v="2"/>
    <s v="monthly"/>
    <s v="vw_cap"/>
    <n v="22"/>
    <x v="248"/>
    <n v="-3.9321075975549097E-2"/>
  </r>
  <r>
    <s v="bra"/>
    <x v="2"/>
    <s v="monthly"/>
    <s v="vw_cap"/>
    <n v="22"/>
    <x v="249"/>
    <n v="2.80817753554709E-3"/>
  </r>
  <r>
    <s v="bra"/>
    <x v="2"/>
    <s v="monthly"/>
    <s v="vw_cap"/>
    <n v="22"/>
    <x v="250"/>
    <n v="-1.03883658210378E-2"/>
  </r>
  <r>
    <s v="bra"/>
    <x v="2"/>
    <s v="monthly"/>
    <s v="vw_cap"/>
    <n v="22"/>
    <x v="251"/>
    <n v="5.5450813812747503E-2"/>
  </r>
  <r>
    <s v="bra"/>
    <x v="2"/>
    <s v="monthly"/>
    <s v="vw_cap"/>
    <n v="22"/>
    <x v="252"/>
    <n v="1.1373516842930099E-2"/>
  </r>
  <r>
    <s v="bra"/>
    <x v="2"/>
    <s v="monthly"/>
    <s v="vw_cap"/>
    <n v="22"/>
    <x v="253"/>
    <n v="-8.4677948728936398E-5"/>
  </r>
  <r>
    <s v="bra"/>
    <x v="2"/>
    <s v="monthly"/>
    <s v="vw_cap"/>
    <n v="22"/>
    <x v="254"/>
    <n v="5.8685577503567697E-3"/>
  </r>
  <r>
    <s v="bra"/>
    <x v="2"/>
    <s v="monthly"/>
    <s v="vw_cap"/>
    <n v="22"/>
    <x v="255"/>
    <n v="3.4717580241478398E-2"/>
  </r>
  <r>
    <s v="bra"/>
    <x v="2"/>
    <s v="monthly"/>
    <s v="vw_cap"/>
    <n v="22"/>
    <x v="256"/>
    <n v="1.2352237770937699E-3"/>
  </r>
  <r>
    <s v="bra"/>
    <x v="2"/>
    <s v="monthly"/>
    <s v="vw_cap"/>
    <n v="22"/>
    <x v="257"/>
    <n v="-1.25753581438681E-2"/>
  </r>
  <r>
    <s v="bra"/>
    <x v="2"/>
    <s v="monthly"/>
    <s v="vw_cap"/>
    <n v="22"/>
    <x v="258"/>
    <n v="2.2413694394010598E-3"/>
  </r>
  <r>
    <s v="bra"/>
    <x v="2"/>
    <s v="monthly"/>
    <s v="vw_cap"/>
    <n v="22"/>
    <x v="259"/>
    <n v="-2.38536753352416E-2"/>
  </r>
  <r>
    <s v="bra"/>
    <x v="2"/>
    <s v="monthly"/>
    <s v="vw_cap"/>
    <n v="22"/>
    <x v="260"/>
    <n v="-4.2049563529164896E-3"/>
  </r>
  <r>
    <s v="bra"/>
    <x v="2"/>
    <s v="monthly"/>
    <s v="vw_cap"/>
    <n v="22"/>
    <x v="261"/>
    <n v="1.48702683563756E-2"/>
  </r>
  <r>
    <s v="bra"/>
    <x v="2"/>
    <s v="monthly"/>
    <s v="vw_cap"/>
    <n v="22"/>
    <x v="262"/>
    <n v="3.3348328643813901E-2"/>
  </r>
  <r>
    <s v="bra"/>
    <x v="2"/>
    <s v="monthly"/>
    <s v="vw_cap"/>
    <n v="22"/>
    <x v="263"/>
    <n v="4.3597777824632103E-2"/>
  </r>
  <r>
    <s v="bra"/>
    <x v="2"/>
    <s v="monthly"/>
    <s v="vw_cap"/>
    <n v="22"/>
    <x v="264"/>
    <n v="-1.02391119625321E-2"/>
  </r>
  <r>
    <s v="bra"/>
    <x v="2"/>
    <s v="monthly"/>
    <s v="vw_cap"/>
    <n v="22"/>
    <x v="265"/>
    <n v="2.1052137369668999E-2"/>
  </r>
  <r>
    <s v="bra"/>
    <x v="2"/>
    <s v="monthly"/>
    <s v="vw_cap"/>
    <n v="22"/>
    <x v="266"/>
    <n v="3.0056903322847502E-3"/>
  </r>
  <r>
    <s v="bra"/>
    <x v="2"/>
    <s v="monthly"/>
    <s v="vw_cap"/>
    <n v="22"/>
    <x v="267"/>
    <n v="-3.1595944982792203E-2"/>
  </r>
  <r>
    <s v="bra"/>
    <x v="2"/>
    <s v="monthly"/>
    <s v="vw_cap"/>
    <n v="22"/>
    <x v="268"/>
    <n v="1.7959800116913002E-2"/>
  </r>
  <r>
    <s v="bra"/>
    <x v="2"/>
    <s v="monthly"/>
    <s v="vw_cap"/>
    <n v="22"/>
    <x v="269"/>
    <n v="2.8007503167306901E-2"/>
  </r>
  <r>
    <s v="bra"/>
    <x v="2"/>
    <s v="monthly"/>
    <s v="vw_cap"/>
    <n v="22"/>
    <x v="270"/>
    <n v="-2.7644026688323801E-3"/>
  </r>
  <r>
    <s v="bra"/>
    <x v="2"/>
    <s v="monthly"/>
    <s v="vw_cap"/>
    <n v="22"/>
    <x v="271"/>
    <n v="-3.1287191783625302E-2"/>
  </r>
  <r>
    <s v="bra"/>
    <x v="2"/>
    <s v="monthly"/>
    <s v="vw_cap"/>
    <n v="22"/>
    <x v="272"/>
    <n v="3.18644153031813E-2"/>
  </r>
  <r>
    <s v="bra"/>
    <x v="2"/>
    <s v="monthly"/>
    <s v="vw_cap"/>
    <n v="22"/>
    <x v="273"/>
    <n v="1.49227413116159E-2"/>
  </r>
  <r>
    <s v="bra"/>
    <x v="2"/>
    <s v="monthly"/>
    <s v="vw_cap"/>
    <n v="22"/>
    <x v="274"/>
    <n v="7.2429765001684396E-3"/>
  </r>
  <r>
    <s v="bra"/>
    <x v="2"/>
    <s v="monthly"/>
    <s v="vw_cap"/>
    <n v="22"/>
    <x v="275"/>
    <n v="-1.32150348328249E-2"/>
  </r>
  <r>
    <s v="bra"/>
    <x v="2"/>
    <s v="monthly"/>
    <s v="vw_cap"/>
    <n v="22"/>
    <x v="276"/>
    <n v="9.1952025185098205E-5"/>
  </r>
  <r>
    <s v="bra"/>
    <x v="2"/>
    <s v="monthly"/>
    <s v="vw_cap"/>
    <n v="22"/>
    <x v="277"/>
    <n v="-1.42357883942093E-2"/>
  </r>
  <r>
    <s v="bra"/>
    <x v="2"/>
    <s v="monthly"/>
    <s v="vw_cap"/>
    <n v="22"/>
    <x v="278"/>
    <n v="2.2823359948192099E-2"/>
  </r>
  <r>
    <s v="bra"/>
    <x v="2"/>
    <s v="monthly"/>
    <s v="vw_cap"/>
    <n v="22"/>
    <x v="279"/>
    <n v="4.16378072298089E-2"/>
  </r>
  <r>
    <s v="bra"/>
    <x v="2"/>
    <s v="monthly"/>
    <s v="vw_cap"/>
    <n v="22"/>
    <x v="280"/>
    <n v="2.7197099498292202E-2"/>
  </r>
  <r>
    <s v="bra"/>
    <x v="2"/>
    <s v="monthly"/>
    <s v="vw_cap"/>
    <n v="22"/>
    <x v="281"/>
    <n v="6.6943715940811803E-3"/>
  </r>
  <r>
    <s v="bra"/>
    <x v="2"/>
    <s v="monthly"/>
    <s v="vw_cap"/>
    <n v="22"/>
    <x v="282"/>
    <n v="-3.42048183838236E-3"/>
  </r>
  <r>
    <s v="bra"/>
    <x v="2"/>
    <s v="monthly"/>
    <s v="vw_cap"/>
    <n v="22"/>
    <x v="283"/>
    <n v="1.09208268337821E-2"/>
  </r>
  <r>
    <s v="bra"/>
    <x v="2"/>
    <s v="monthly"/>
    <s v="vw_cap"/>
    <n v="22"/>
    <x v="284"/>
    <n v="8.6872478863036194E-3"/>
  </r>
  <r>
    <s v="bra"/>
    <x v="2"/>
    <s v="monthly"/>
    <s v="vw_cap"/>
    <n v="22"/>
    <x v="285"/>
    <n v="7.3647241124662702E-3"/>
  </r>
  <r>
    <s v="bra"/>
    <x v="2"/>
    <s v="monthly"/>
    <s v="vw_cap"/>
    <n v="22"/>
    <x v="286"/>
    <n v="-1.43675674692071E-2"/>
  </r>
  <r>
    <s v="bra"/>
    <x v="2"/>
    <s v="monthly"/>
    <s v="vw_cap"/>
    <n v="22"/>
    <x v="287"/>
    <n v="3.5443898641761302E-3"/>
  </r>
  <r>
    <s v="bra"/>
    <x v="2"/>
    <s v="monthly"/>
    <s v="vw_cap"/>
    <n v="22"/>
    <x v="288"/>
    <n v="-3.1573601000489698E-2"/>
  </r>
  <r>
    <s v="bra"/>
    <x v="3"/>
    <s v="monthly"/>
    <s v="vw_cap"/>
    <n v="1"/>
    <x v="312"/>
    <n v="0.16546080969259599"/>
  </r>
  <r>
    <s v="bra"/>
    <x v="3"/>
    <s v="monthly"/>
    <s v="vw_cap"/>
    <n v="1"/>
    <x v="313"/>
    <n v="1.8357256581183298E-2"/>
  </r>
  <r>
    <s v="bra"/>
    <x v="3"/>
    <s v="monthly"/>
    <s v="vw_cap"/>
    <n v="2"/>
    <x v="314"/>
    <n v="-4.6947135917029099E-2"/>
  </r>
  <r>
    <s v="bra"/>
    <x v="3"/>
    <s v="monthly"/>
    <s v="vw_cap"/>
    <n v="1"/>
    <x v="315"/>
    <n v="-1.1795994299744299E-2"/>
  </r>
  <r>
    <s v="bra"/>
    <x v="3"/>
    <s v="monthly"/>
    <s v="vw_cap"/>
    <n v="1"/>
    <x v="316"/>
    <n v="4.8756712939353401E-2"/>
  </r>
  <r>
    <s v="bra"/>
    <x v="3"/>
    <s v="monthly"/>
    <s v="vw_cap"/>
    <n v="1"/>
    <x v="317"/>
    <n v="2.9423900029358501E-2"/>
  </r>
  <r>
    <s v="bra"/>
    <x v="3"/>
    <s v="monthly"/>
    <s v="vw_cap"/>
    <n v="1"/>
    <x v="318"/>
    <n v="0.22937944205255001"/>
  </r>
  <r>
    <s v="bra"/>
    <x v="3"/>
    <s v="monthly"/>
    <s v="vw_cap"/>
    <n v="1"/>
    <x v="319"/>
    <n v="0.118049379061967"/>
  </r>
  <r>
    <s v="bra"/>
    <x v="3"/>
    <s v="monthly"/>
    <s v="vw_cap"/>
    <n v="1"/>
    <x v="320"/>
    <n v="-0.24181510140599999"/>
  </r>
  <r>
    <s v="bra"/>
    <x v="3"/>
    <s v="monthly"/>
    <s v="vw_cap"/>
    <n v="1"/>
    <x v="321"/>
    <n v="4.5477709044928899E-3"/>
  </r>
  <r>
    <s v="bra"/>
    <x v="3"/>
    <s v="monthly"/>
    <s v="vw_cap"/>
    <n v="1"/>
    <x v="322"/>
    <n v="-6.2764441708291693E-2"/>
  </r>
  <r>
    <s v="bra"/>
    <x v="3"/>
    <s v="monthly"/>
    <s v="vw_cap"/>
    <n v="2"/>
    <x v="323"/>
    <n v="-0.129865142269944"/>
  </r>
  <r>
    <s v="bra"/>
    <x v="3"/>
    <s v="monthly"/>
    <s v="vw_cap"/>
    <n v="1"/>
    <x v="324"/>
    <n v="8.3455228348730693E-3"/>
  </r>
  <r>
    <s v="bra"/>
    <x v="3"/>
    <s v="monthly"/>
    <s v="vw_cap"/>
    <n v="2"/>
    <x v="325"/>
    <n v="-0.16668090007330699"/>
  </r>
  <r>
    <s v="bra"/>
    <x v="3"/>
    <s v="monthly"/>
    <s v="vw_cap"/>
    <n v="1"/>
    <x v="326"/>
    <n v="-0.19784674670396901"/>
  </r>
  <r>
    <s v="bra"/>
    <x v="3"/>
    <s v="monthly"/>
    <s v="vw_cap"/>
    <n v="1"/>
    <x v="327"/>
    <n v="0.70449624428954905"/>
  </r>
  <r>
    <s v="bra"/>
    <x v="3"/>
    <s v="monthly"/>
    <s v="vw_cap"/>
    <n v="1"/>
    <x v="328"/>
    <n v="-0.15461503619450701"/>
  </r>
  <r>
    <s v="bra"/>
    <x v="3"/>
    <s v="monthly"/>
    <s v="vw_cap"/>
    <n v="2"/>
    <x v="329"/>
    <n v="6.3752729597937194E-2"/>
  </r>
  <r>
    <s v="bra"/>
    <x v="3"/>
    <s v="monthly"/>
    <s v="vw_cap"/>
    <n v="1"/>
    <x v="330"/>
    <n v="0.40196476431594202"/>
  </r>
  <r>
    <s v="bra"/>
    <x v="3"/>
    <s v="monthly"/>
    <s v="vw_cap"/>
    <n v="2"/>
    <x v="331"/>
    <n v="-8.0779664020886502E-2"/>
  </r>
  <r>
    <s v="bra"/>
    <x v="3"/>
    <s v="monthly"/>
    <s v="vw_cap"/>
    <n v="2"/>
    <x v="332"/>
    <n v="1.2043078736889401E-2"/>
  </r>
  <r>
    <s v="bra"/>
    <x v="3"/>
    <s v="monthly"/>
    <s v="vw_cap"/>
    <n v="2"/>
    <x v="333"/>
    <n v="-0.104451499853655"/>
  </r>
  <r>
    <s v="bra"/>
    <x v="3"/>
    <s v="monthly"/>
    <s v="vw_cap"/>
    <n v="2"/>
    <x v="334"/>
    <n v="-0.24091661946794299"/>
  </r>
  <r>
    <s v="bra"/>
    <x v="3"/>
    <s v="monthly"/>
    <s v="vw_cap"/>
    <n v="2"/>
    <x v="335"/>
    <n v="-0.14026359793531201"/>
  </r>
  <r>
    <s v="bra"/>
    <x v="3"/>
    <s v="monthly"/>
    <s v="vw_cap"/>
    <n v="2"/>
    <x v="336"/>
    <n v="-0.105171651255697"/>
  </r>
  <r>
    <s v="bra"/>
    <x v="3"/>
    <s v="monthly"/>
    <s v="vw_cap"/>
    <n v="2"/>
    <x v="337"/>
    <n v="2.30962830187698E-2"/>
  </r>
  <r>
    <s v="bra"/>
    <x v="3"/>
    <s v="monthly"/>
    <s v="vw_cap"/>
    <n v="2"/>
    <x v="338"/>
    <n v="-0.21037044004541799"/>
  </r>
  <r>
    <s v="bra"/>
    <x v="3"/>
    <s v="monthly"/>
    <s v="vw_cap"/>
    <n v="2"/>
    <x v="339"/>
    <n v="0.25318209873408798"/>
  </r>
  <r>
    <s v="bra"/>
    <x v="3"/>
    <s v="monthly"/>
    <s v="vw_cap"/>
    <n v="2"/>
    <x v="340"/>
    <n v="4.0334368412650798E-2"/>
  </r>
  <r>
    <s v="bra"/>
    <x v="3"/>
    <s v="monthly"/>
    <s v="vw_cap"/>
    <n v="1"/>
    <x v="341"/>
    <n v="-2.5930112719941799E-2"/>
  </r>
  <r>
    <s v="bra"/>
    <x v="3"/>
    <s v="monthly"/>
    <s v="vw_cap"/>
    <n v="2"/>
    <x v="342"/>
    <n v="-0.22524759776657799"/>
  </r>
  <r>
    <s v="bra"/>
    <x v="3"/>
    <s v="monthly"/>
    <s v="vw_cap"/>
    <n v="2"/>
    <x v="343"/>
    <n v="-2.2072595108937401E-2"/>
  </r>
  <r>
    <s v="bra"/>
    <x v="3"/>
    <s v="monthly"/>
    <s v="vw_cap"/>
    <n v="2"/>
    <x v="344"/>
    <n v="-1.9824186078979698E-2"/>
  </r>
  <r>
    <s v="bra"/>
    <x v="3"/>
    <s v="monthly"/>
    <s v="vw_cap"/>
    <n v="6"/>
    <x v="345"/>
    <n v="1.3823416138073899E-2"/>
  </r>
  <r>
    <s v="bra"/>
    <x v="3"/>
    <s v="monthly"/>
    <s v="vw_cap"/>
    <n v="4"/>
    <x v="346"/>
    <n v="-3.71895612005817E-2"/>
  </r>
  <r>
    <s v="bra"/>
    <x v="3"/>
    <s v="monthly"/>
    <s v="vw_cap"/>
    <n v="4"/>
    <x v="347"/>
    <n v="-2.4597641090607299E-2"/>
  </r>
  <r>
    <s v="bra"/>
    <x v="3"/>
    <s v="monthly"/>
    <s v="vw_cap"/>
    <n v="4"/>
    <x v="348"/>
    <n v="-2.97062590631175E-2"/>
  </r>
  <r>
    <s v="bra"/>
    <x v="3"/>
    <s v="monthly"/>
    <s v="vw_cap"/>
    <n v="5"/>
    <x v="349"/>
    <n v="2.6061992723962601E-2"/>
  </r>
  <r>
    <s v="bra"/>
    <x v="3"/>
    <s v="monthly"/>
    <s v="vw_cap"/>
    <n v="5"/>
    <x v="350"/>
    <n v="1.9234961438399499E-2"/>
  </r>
  <r>
    <s v="bra"/>
    <x v="3"/>
    <s v="monthly"/>
    <s v="vw_cap"/>
    <n v="5"/>
    <x v="351"/>
    <n v="-8.4617307395309302E-2"/>
  </r>
  <r>
    <s v="bra"/>
    <x v="3"/>
    <s v="monthly"/>
    <s v="vw_cap"/>
    <n v="5"/>
    <x v="352"/>
    <n v="-4.5991391775876099E-2"/>
  </r>
  <r>
    <s v="bra"/>
    <x v="3"/>
    <s v="monthly"/>
    <s v="vw_cap"/>
    <n v="5"/>
    <x v="353"/>
    <n v="-3.3976421802427198E-3"/>
  </r>
  <r>
    <s v="bra"/>
    <x v="3"/>
    <s v="monthly"/>
    <s v="vw_cap"/>
    <n v="5"/>
    <x v="354"/>
    <n v="2.1532395708296299E-2"/>
  </r>
  <r>
    <s v="bra"/>
    <x v="3"/>
    <s v="monthly"/>
    <s v="vw_cap"/>
    <n v="5"/>
    <x v="355"/>
    <n v="5.8533454332795699E-2"/>
  </r>
  <r>
    <s v="bra"/>
    <x v="3"/>
    <s v="monthly"/>
    <s v="vw_cap"/>
    <n v="5"/>
    <x v="356"/>
    <n v="-3.7487453237522499E-2"/>
  </r>
  <r>
    <s v="bra"/>
    <x v="3"/>
    <s v="monthly"/>
    <s v="vw_cap"/>
    <n v="7"/>
    <x v="0"/>
    <n v="4.0094952115533097E-3"/>
  </r>
  <r>
    <s v="bra"/>
    <x v="3"/>
    <s v="monthly"/>
    <s v="vw_cap"/>
    <n v="7"/>
    <x v="1"/>
    <n v="7.7865106501298298E-2"/>
  </r>
  <r>
    <s v="bra"/>
    <x v="3"/>
    <s v="monthly"/>
    <s v="vw_cap"/>
    <n v="7"/>
    <x v="289"/>
    <n v="-5.1137177067767201E-2"/>
  </r>
  <r>
    <s v="bra"/>
    <x v="3"/>
    <s v="monthly"/>
    <s v="vw_cap"/>
    <n v="7"/>
    <x v="290"/>
    <n v="4.84471987947689E-2"/>
  </r>
  <r>
    <s v="bra"/>
    <x v="3"/>
    <s v="monthly"/>
    <s v="vw_cap"/>
    <n v="7"/>
    <x v="291"/>
    <n v="-1.41427256123355E-2"/>
  </r>
  <r>
    <s v="bra"/>
    <x v="3"/>
    <s v="monthly"/>
    <s v="vw_cap"/>
    <n v="7"/>
    <x v="292"/>
    <n v="-5.4134262787007503E-2"/>
  </r>
  <r>
    <s v="bra"/>
    <x v="3"/>
    <s v="monthly"/>
    <s v="vw_cap"/>
    <n v="7"/>
    <x v="293"/>
    <n v="-0.14348758154980901"/>
  </r>
  <r>
    <s v="bra"/>
    <x v="3"/>
    <s v="monthly"/>
    <s v="vw_cap"/>
    <n v="8"/>
    <x v="2"/>
    <n v="5.5351466597871303E-2"/>
  </r>
  <r>
    <s v="bra"/>
    <x v="3"/>
    <s v="monthly"/>
    <s v="vw_cap"/>
    <n v="8"/>
    <x v="3"/>
    <n v="0.14255577170623401"/>
  </r>
  <r>
    <s v="bra"/>
    <x v="3"/>
    <s v="monthly"/>
    <s v="vw_cap"/>
    <n v="3"/>
    <x v="357"/>
    <n v="0.11023237563200899"/>
  </r>
  <r>
    <s v="bra"/>
    <x v="3"/>
    <s v="monthly"/>
    <s v="vw_cap"/>
    <n v="6"/>
    <x v="358"/>
    <n v="-0.133408509330673"/>
  </r>
  <r>
    <s v="bra"/>
    <x v="3"/>
    <s v="monthly"/>
    <s v="vw_cap"/>
    <n v="6"/>
    <x v="359"/>
    <n v="-0.116063943056724"/>
  </r>
  <r>
    <s v="bra"/>
    <x v="3"/>
    <s v="monthly"/>
    <s v="vw_cap"/>
    <n v="7"/>
    <x v="4"/>
    <n v="4.3697059310324297E-2"/>
  </r>
  <r>
    <s v="bra"/>
    <x v="3"/>
    <s v="monthly"/>
    <s v="vw_cap"/>
    <n v="7"/>
    <x v="5"/>
    <n v="-7.22859093661432E-3"/>
  </r>
  <r>
    <s v="bra"/>
    <x v="3"/>
    <s v="monthly"/>
    <s v="vw_cap"/>
    <n v="7"/>
    <x v="6"/>
    <n v="7.1017464527555604E-3"/>
  </r>
  <r>
    <s v="bra"/>
    <x v="3"/>
    <s v="monthly"/>
    <s v="vw_cap"/>
    <n v="7"/>
    <x v="7"/>
    <n v="-2.3395142036350298E-2"/>
  </r>
  <r>
    <s v="bra"/>
    <x v="3"/>
    <s v="monthly"/>
    <s v="vw_cap"/>
    <n v="7"/>
    <x v="8"/>
    <n v="-4.7685936207891397E-2"/>
  </r>
  <r>
    <s v="bra"/>
    <x v="3"/>
    <s v="monthly"/>
    <s v="vw_cap"/>
    <n v="7"/>
    <x v="9"/>
    <n v="-3.82684487844017E-2"/>
  </r>
  <r>
    <s v="bra"/>
    <x v="3"/>
    <s v="monthly"/>
    <s v="vw_cap"/>
    <n v="4"/>
    <x v="294"/>
    <n v="-3.2330632096572798E-3"/>
  </r>
  <r>
    <s v="bra"/>
    <x v="3"/>
    <s v="monthly"/>
    <s v="vw_cap"/>
    <n v="7"/>
    <x v="10"/>
    <n v="0.14272603596962399"/>
  </r>
  <r>
    <s v="bra"/>
    <x v="3"/>
    <s v="monthly"/>
    <s v="vw_cap"/>
    <n v="8"/>
    <x v="11"/>
    <n v="-7.9107184271702297E-2"/>
  </r>
  <r>
    <s v="bra"/>
    <x v="3"/>
    <s v="monthly"/>
    <s v="vw_cap"/>
    <n v="8"/>
    <x v="12"/>
    <n v="-2.17604357981569E-2"/>
  </r>
  <r>
    <s v="bra"/>
    <x v="3"/>
    <s v="monthly"/>
    <s v="vw_cap"/>
    <n v="8"/>
    <x v="13"/>
    <n v="5.1424689153900298E-2"/>
  </r>
  <r>
    <s v="bra"/>
    <x v="3"/>
    <s v="monthly"/>
    <s v="vw_cap"/>
    <n v="8"/>
    <x v="14"/>
    <n v="-2.6564100223750199E-3"/>
  </r>
  <r>
    <s v="bra"/>
    <x v="3"/>
    <s v="monthly"/>
    <s v="vw_cap"/>
    <n v="8"/>
    <x v="15"/>
    <n v="-1.9080427838248499E-2"/>
  </r>
  <r>
    <s v="bra"/>
    <x v="3"/>
    <s v="monthly"/>
    <s v="vw_cap"/>
    <n v="8"/>
    <x v="16"/>
    <n v="3.7899040142853001E-3"/>
  </r>
  <r>
    <s v="bra"/>
    <x v="3"/>
    <s v="monthly"/>
    <s v="vw_cap"/>
    <n v="8"/>
    <x v="17"/>
    <n v="-5.8549106716274002E-2"/>
  </r>
  <r>
    <s v="bra"/>
    <x v="3"/>
    <s v="monthly"/>
    <s v="vw_cap"/>
    <n v="8"/>
    <x v="18"/>
    <n v="1.9786172899075301E-2"/>
  </r>
  <r>
    <s v="bra"/>
    <x v="3"/>
    <s v="monthly"/>
    <s v="vw_cap"/>
    <n v="8"/>
    <x v="19"/>
    <n v="-2.6729304087555701E-2"/>
  </r>
  <r>
    <s v="bra"/>
    <x v="3"/>
    <s v="monthly"/>
    <s v="vw_cap"/>
    <n v="8"/>
    <x v="20"/>
    <n v="6.7043630845192104E-2"/>
  </r>
  <r>
    <s v="bra"/>
    <x v="3"/>
    <s v="monthly"/>
    <s v="vw_cap"/>
    <n v="8"/>
    <x v="21"/>
    <n v="-4.7876114926691297E-2"/>
  </r>
  <r>
    <s v="bra"/>
    <x v="3"/>
    <s v="monthly"/>
    <s v="vw_cap"/>
    <n v="8"/>
    <x v="22"/>
    <n v="9.7247298788003308E-3"/>
  </r>
  <r>
    <s v="bra"/>
    <x v="3"/>
    <s v="monthly"/>
    <s v="vw_cap"/>
    <n v="8"/>
    <x v="23"/>
    <n v="3.2671544564426502E-2"/>
  </r>
  <r>
    <s v="bra"/>
    <x v="3"/>
    <s v="monthly"/>
    <s v="vw_cap"/>
    <n v="8"/>
    <x v="24"/>
    <n v="4.2916452385520797E-2"/>
  </r>
  <r>
    <s v="bra"/>
    <x v="3"/>
    <s v="monthly"/>
    <s v="vw_cap"/>
    <n v="8"/>
    <x v="25"/>
    <n v="7.2855780102878704E-3"/>
  </r>
  <r>
    <s v="bra"/>
    <x v="3"/>
    <s v="monthly"/>
    <s v="vw_cap"/>
    <n v="6"/>
    <x v="26"/>
    <n v="6.9159298816114601E-2"/>
  </r>
  <r>
    <s v="bra"/>
    <x v="3"/>
    <s v="monthly"/>
    <s v="vw_cap"/>
    <n v="8"/>
    <x v="27"/>
    <n v="2.9727908316005199E-2"/>
  </r>
  <r>
    <s v="bra"/>
    <x v="3"/>
    <s v="monthly"/>
    <s v="vw_cap"/>
    <n v="5"/>
    <x v="295"/>
    <n v="-5.9018103150980897E-2"/>
  </r>
  <r>
    <s v="bra"/>
    <x v="3"/>
    <s v="monthly"/>
    <s v="vw_cap"/>
    <n v="5"/>
    <x v="296"/>
    <n v="5.5314298251109298E-2"/>
  </r>
  <r>
    <s v="bra"/>
    <x v="3"/>
    <s v="monthly"/>
    <s v="vw_cap"/>
    <n v="5"/>
    <x v="297"/>
    <n v="1.53294096933142E-3"/>
  </r>
  <r>
    <s v="bra"/>
    <x v="3"/>
    <s v="monthly"/>
    <s v="vw_cap"/>
    <n v="5"/>
    <x v="298"/>
    <n v="2.6055533133774698E-2"/>
  </r>
  <r>
    <s v="bra"/>
    <x v="3"/>
    <s v="monthly"/>
    <s v="vw_cap"/>
    <n v="1"/>
    <x v="360"/>
    <n v="-7.8587343325896994E-2"/>
  </r>
  <r>
    <s v="bra"/>
    <x v="3"/>
    <s v="monthly"/>
    <s v="vw_cap"/>
    <n v="2"/>
    <x v="361"/>
    <n v="-5.4244315683000897E-3"/>
  </r>
  <r>
    <s v="bra"/>
    <x v="3"/>
    <s v="monthly"/>
    <s v="vw_cap"/>
    <n v="1"/>
    <x v="362"/>
    <n v="0.21515772635434"/>
  </r>
  <r>
    <s v="bra"/>
    <x v="3"/>
    <s v="monthly"/>
    <s v="vw_cap"/>
    <n v="5"/>
    <x v="299"/>
    <n v="3.6418097462276103E-2"/>
  </r>
  <r>
    <s v="bra"/>
    <x v="3"/>
    <s v="monthly"/>
    <s v="vw_cap"/>
    <n v="5"/>
    <x v="300"/>
    <n v="8.0536006028855602E-4"/>
  </r>
  <r>
    <s v="bra"/>
    <x v="3"/>
    <s v="monthly"/>
    <s v="vw_cap"/>
    <n v="5"/>
    <x v="301"/>
    <n v="-9.9884387711251191E-3"/>
  </r>
  <r>
    <s v="bra"/>
    <x v="3"/>
    <s v="monthly"/>
    <s v="vw_cap"/>
    <n v="5"/>
    <x v="302"/>
    <n v="3.3446872309819103E-2"/>
  </r>
  <r>
    <s v="bra"/>
    <x v="3"/>
    <s v="monthly"/>
    <s v="vw_cap"/>
    <n v="5"/>
    <x v="303"/>
    <n v="-3.5849949692536798E-2"/>
  </r>
  <r>
    <s v="bra"/>
    <x v="3"/>
    <s v="monthly"/>
    <s v="vw_cap"/>
    <n v="5"/>
    <x v="304"/>
    <n v="7.1070983259407397E-3"/>
  </r>
  <r>
    <s v="bra"/>
    <x v="3"/>
    <s v="monthly"/>
    <s v="vw_cap"/>
    <n v="4"/>
    <x v="363"/>
    <n v="8.2256376981594201E-3"/>
  </r>
  <r>
    <s v="bra"/>
    <x v="3"/>
    <s v="monthly"/>
    <s v="vw_cap"/>
    <n v="1"/>
    <x v="364"/>
    <n v="-0.164105867070099"/>
  </r>
  <r>
    <s v="bra"/>
    <x v="3"/>
    <s v="monthly"/>
    <s v="vw_cap"/>
    <n v="4"/>
    <x v="365"/>
    <n v="7.0888572936745803E-2"/>
  </r>
  <r>
    <s v="bra"/>
    <x v="3"/>
    <s v="monthly"/>
    <s v="vw_cap"/>
    <n v="1"/>
    <x v="366"/>
    <n v="-0.56377913876714503"/>
  </r>
  <r>
    <s v="bra"/>
    <x v="3"/>
    <s v="monthly"/>
    <s v="vw_cap"/>
    <n v="1"/>
    <x v="367"/>
    <n v="0.20644781963475001"/>
  </r>
  <r>
    <s v="bra"/>
    <x v="3"/>
    <s v="monthly"/>
    <s v="vw_cap"/>
    <n v="1"/>
    <x v="368"/>
    <n v="-0.19973559262419499"/>
  </r>
  <r>
    <s v="bra"/>
    <x v="3"/>
    <s v="monthly"/>
    <s v="vw_cap"/>
    <n v="2"/>
    <x v="369"/>
    <n v="7.06094345604385E-2"/>
  </r>
  <r>
    <s v="bra"/>
    <x v="3"/>
    <s v="monthly"/>
    <s v="vw_cap"/>
    <n v="1"/>
    <x v="370"/>
    <n v="-0.123223100872093"/>
  </r>
  <r>
    <s v="bra"/>
    <x v="3"/>
    <s v="monthly"/>
    <s v="vw_cap"/>
    <n v="1"/>
    <x v="371"/>
    <n v="0.13002633717341999"/>
  </r>
  <r>
    <s v="bra"/>
    <x v="3"/>
    <s v="monthly"/>
    <s v="vw_cap"/>
    <n v="1"/>
    <x v="372"/>
    <n v="0.92303314434679096"/>
  </r>
  <r>
    <s v="bra"/>
    <x v="3"/>
    <s v="monthly"/>
    <s v="vw_cap"/>
    <n v="1"/>
    <x v="373"/>
    <n v="-9.1197047247126503E-2"/>
  </r>
  <r>
    <s v="bra"/>
    <x v="3"/>
    <s v="monthly"/>
    <s v="vw_cap"/>
    <n v="2"/>
    <x v="374"/>
    <n v="0.19647263908009899"/>
  </r>
  <r>
    <s v="bra"/>
    <x v="3"/>
    <s v="monthly"/>
    <s v="vw_cap"/>
    <n v="1"/>
    <x v="375"/>
    <n v="-0.163160829083595"/>
  </r>
  <r>
    <s v="bra"/>
    <x v="3"/>
    <s v="monthly"/>
    <s v="vw_cap"/>
    <n v="1"/>
    <x v="376"/>
    <n v="0.30065187816224698"/>
  </r>
  <r>
    <s v="bra"/>
    <x v="3"/>
    <s v="monthly"/>
    <s v="vw_cap"/>
    <n v="5"/>
    <x v="305"/>
    <n v="-4.3093304729111402E-2"/>
  </r>
  <r>
    <s v="bra"/>
    <x v="3"/>
    <s v="monthly"/>
    <s v="vw_cap"/>
    <n v="5"/>
    <x v="306"/>
    <n v="2.0568074470399201E-2"/>
  </r>
  <r>
    <s v="bra"/>
    <x v="3"/>
    <s v="monthly"/>
    <s v="vw_cap"/>
    <n v="5"/>
    <x v="307"/>
    <n v="-6.4098273878663195E-2"/>
  </r>
  <r>
    <s v="bra"/>
    <x v="3"/>
    <s v="monthly"/>
    <s v="vw_cap"/>
    <n v="6"/>
    <x v="28"/>
    <n v="4.0232852278214498E-3"/>
  </r>
  <r>
    <s v="bra"/>
    <x v="3"/>
    <s v="monthly"/>
    <s v="vw_cap"/>
    <n v="5"/>
    <x v="308"/>
    <n v="-9.5592909099183904E-3"/>
  </r>
  <r>
    <s v="bra"/>
    <x v="3"/>
    <s v="monthly"/>
    <s v="vw_cap"/>
    <n v="5"/>
    <x v="309"/>
    <n v="-2.4988080461760001E-2"/>
  </r>
  <r>
    <s v="bra"/>
    <x v="3"/>
    <s v="monthly"/>
    <s v="vw_cap"/>
    <n v="5"/>
    <x v="310"/>
    <n v="-2.0045795828006599E-2"/>
  </r>
  <r>
    <s v="bra"/>
    <x v="3"/>
    <s v="monthly"/>
    <s v="vw_cap"/>
    <n v="5"/>
    <x v="311"/>
    <n v="-2.95159105395825E-2"/>
  </r>
  <r>
    <s v="bra"/>
    <x v="3"/>
    <s v="monthly"/>
    <s v="vw_cap"/>
    <n v="9"/>
    <x v="29"/>
    <n v="-7.9165641550399696E-3"/>
  </r>
  <r>
    <s v="bra"/>
    <x v="3"/>
    <s v="monthly"/>
    <s v="vw_cap"/>
    <n v="8"/>
    <x v="30"/>
    <n v="-7.6647875171691601E-3"/>
  </r>
  <r>
    <s v="bra"/>
    <x v="3"/>
    <s v="monthly"/>
    <s v="vw_cap"/>
    <n v="8"/>
    <x v="31"/>
    <n v="1.1295216874387601E-2"/>
  </r>
  <r>
    <s v="bra"/>
    <x v="3"/>
    <s v="monthly"/>
    <s v="vw_cap"/>
    <n v="8"/>
    <x v="32"/>
    <n v="1.2813063242166099E-2"/>
  </r>
  <r>
    <s v="bra"/>
    <x v="3"/>
    <s v="monthly"/>
    <s v="vw_cap"/>
    <n v="9"/>
    <x v="33"/>
    <n v="5.6210955784203501E-2"/>
  </r>
  <r>
    <s v="bra"/>
    <x v="3"/>
    <s v="monthly"/>
    <s v="vw_cap"/>
    <n v="9"/>
    <x v="34"/>
    <n v="1.9348209498174999E-2"/>
  </r>
  <r>
    <s v="bra"/>
    <x v="3"/>
    <s v="monthly"/>
    <s v="vw_cap"/>
    <n v="9"/>
    <x v="35"/>
    <n v="-3.8725137024588199E-2"/>
  </r>
  <r>
    <s v="bra"/>
    <x v="3"/>
    <s v="monthly"/>
    <s v="vw_cap"/>
    <n v="9"/>
    <x v="36"/>
    <n v="2.84960343267814E-2"/>
  </r>
  <r>
    <s v="bra"/>
    <x v="3"/>
    <s v="monthly"/>
    <s v="vw_cap"/>
    <n v="9"/>
    <x v="37"/>
    <n v="-7.2563354479240103E-2"/>
  </r>
  <r>
    <s v="bra"/>
    <x v="3"/>
    <s v="monthly"/>
    <s v="vw_cap"/>
    <n v="9"/>
    <x v="38"/>
    <n v="-1.1494512550755299E-2"/>
  </r>
  <r>
    <s v="bra"/>
    <x v="3"/>
    <s v="monthly"/>
    <s v="vw_cap"/>
    <n v="9"/>
    <x v="39"/>
    <n v="2.3869495985324299E-2"/>
  </r>
  <r>
    <s v="bra"/>
    <x v="3"/>
    <s v="monthly"/>
    <s v="vw_cap"/>
    <n v="9"/>
    <x v="40"/>
    <n v="-3.0001075661625801E-2"/>
  </r>
  <r>
    <s v="bra"/>
    <x v="3"/>
    <s v="monthly"/>
    <s v="vw_cap"/>
    <n v="9"/>
    <x v="41"/>
    <n v="-2.6241912282002001E-2"/>
  </r>
  <r>
    <s v="bra"/>
    <x v="3"/>
    <s v="monthly"/>
    <s v="vw_cap"/>
    <n v="9"/>
    <x v="42"/>
    <n v="-1.44662674631768E-2"/>
  </r>
  <r>
    <s v="bra"/>
    <x v="3"/>
    <s v="monthly"/>
    <s v="vw_cap"/>
    <n v="9"/>
    <x v="43"/>
    <n v="-3.4432395907804503E-2"/>
  </r>
  <r>
    <s v="bra"/>
    <x v="3"/>
    <s v="monthly"/>
    <s v="vw_cap"/>
    <n v="9"/>
    <x v="44"/>
    <n v="-8.8822243206417503E-2"/>
  </r>
  <r>
    <s v="bra"/>
    <x v="3"/>
    <s v="monthly"/>
    <s v="vw_cap"/>
    <n v="9"/>
    <x v="45"/>
    <n v="-1.49485178062092E-2"/>
  </r>
  <r>
    <s v="bra"/>
    <x v="3"/>
    <s v="monthly"/>
    <s v="vw_cap"/>
    <n v="9"/>
    <x v="46"/>
    <n v="2.7847826513615399E-2"/>
  </r>
  <r>
    <s v="bra"/>
    <x v="3"/>
    <s v="monthly"/>
    <s v="vw_cap"/>
    <n v="9"/>
    <x v="47"/>
    <n v="2.4480552606368298E-2"/>
  </r>
  <r>
    <s v="bra"/>
    <x v="3"/>
    <s v="monthly"/>
    <s v="vw_cap"/>
    <n v="9"/>
    <x v="48"/>
    <n v="9.9790157014476195E-3"/>
  </r>
  <r>
    <s v="bra"/>
    <x v="3"/>
    <s v="monthly"/>
    <s v="vw_cap"/>
    <n v="9"/>
    <x v="49"/>
    <n v="-0.103093682970225"/>
  </r>
  <r>
    <s v="bra"/>
    <x v="3"/>
    <s v="monthly"/>
    <s v="vw_cap"/>
    <n v="9"/>
    <x v="50"/>
    <n v="3.4371669728751997E-2"/>
  </r>
  <r>
    <s v="bra"/>
    <x v="3"/>
    <s v="monthly"/>
    <s v="vw_cap"/>
    <n v="9"/>
    <x v="51"/>
    <n v="2.8724777230948701E-2"/>
  </r>
  <r>
    <s v="bra"/>
    <x v="3"/>
    <s v="monthly"/>
    <s v="vw_cap"/>
    <n v="9"/>
    <x v="52"/>
    <n v="1.01255330876875E-3"/>
  </r>
  <r>
    <s v="bra"/>
    <x v="3"/>
    <s v="monthly"/>
    <s v="vw_cap"/>
    <n v="9"/>
    <x v="53"/>
    <n v="-1.32633154595919E-2"/>
  </r>
  <r>
    <s v="bra"/>
    <x v="3"/>
    <s v="monthly"/>
    <s v="vw_cap"/>
    <n v="9"/>
    <x v="54"/>
    <n v="8.7624865084101108E-3"/>
  </r>
  <r>
    <s v="bra"/>
    <x v="3"/>
    <s v="monthly"/>
    <s v="vw_cap"/>
    <n v="9"/>
    <x v="55"/>
    <n v="1.15209525214387E-2"/>
  </r>
  <r>
    <s v="bra"/>
    <x v="3"/>
    <s v="monthly"/>
    <s v="vw_cap"/>
    <n v="9"/>
    <x v="56"/>
    <n v="4.3372817380444698E-2"/>
  </r>
  <r>
    <s v="bra"/>
    <x v="3"/>
    <s v="monthly"/>
    <s v="vw_cap"/>
    <n v="9"/>
    <x v="57"/>
    <n v="-1.44541743225029E-2"/>
  </r>
  <r>
    <s v="bra"/>
    <x v="3"/>
    <s v="monthly"/>
    <s v="vw_cap"/>
    <n v="9"/>
    <x v="58"/>
    <n v="5.85176297774567E-3"/>
  </r>
  <r>
    <s v="bra"/>
    <x v="3"/>
    <s v="monthly"/>
    <s v="vw_cap"/>
    <n v="9"/>
    <x v="59"/>
    <n v="3.8183123168899699E-2"/>
  </r>
  <r>
    <s v="bra"/>
    <x v="3"/>
    <s v="monthly"/>
    <s v="vw_cap"/>
    <n v="9"/>
    <x v="60"/>
    <n v="-9.7037932736423593E-3"/>
  </r>
  <r>
    <s v="bra"/>
    <x v="3"/>
    <s v="monthly"/>
    <s v="vw_cap"/>
    <n v="9"/>
    <x v="61"/>
    <n v="1.5932714869622801E-2"/>
  </r>
  <r>
    <s v="bra"/>
    <x v="3"/>
    <s v="monthly"/>
    <s v="vw_cap"/>
    <n v="9"/>
    <x v="62"/>
    <n v="-3.7228831146929299E-2"/>
  </r>
  <r>
    <s v="bra"/>
    <x v="3"/>
    <s v="monthly"/>
    <s v="vw_cap"/>
    <n v="9"/>
    <x v="63"/>
    <n v="-1.39600742936656E-2"/>
  </r>
  <r>
    <s v="bra"/>
    <x v="3"/>
    <s v="monthly"/>
    <s v="vw_cap"/>
    <n v="9"/>
    <x v="64"/>
    <n v="4.4682229823592802E-4"/>
  </r>
  <r>
    <s v="bra"/>
    <x v="3"/>
    <s v="monthly"/>
    <s v="vw_cap"/>
    <n v="9"/>
    <x v="65"/>
    <n v="8.0571012270908796E-3"/>
  </r>
  <r>
    <s v="bra"/>
    <x v="3"/>
    <s v="monthly"/>
    <s v="vw_cap"/>
    <n v="9"/>
    <x v="66"/>
    <n v="-7.2697161459619897E-3"/>
  </r>
  <r>
    <s v="bra"/>
    <x v="3"/>
    <s v="monthly"/>
    <s v="vw_cap"/>
    <n v="9"/>
    <x v="67"/>
    <n v="-6.29704748903655E-3"/>
  </r>
  <r>
    <s v="bra"/>
    <x v="3"/>
    <s v="monthly"/>
    <s v="vw_cap"/>
    <n v="9"/>
    <x v="68"/>
    <n v="6.8292751794793802E-3"/>
  </r>
  <r>
    <s v="bra"/>
    <x v="3"/>
    <s v="monthly"/>
    <s v="vw_cap"/>
    <n v="9"/>
    <x v="69"/>
    <n v="2.3881209325098602E-3"/>
  </r>
  <r>
    <s v="bra"/>
    <x v="3"/>
    <s v="monthly"/>
    <s v="vw_cap"/>
    <n v="9"/>
    <x v="70"/>
    <n v="-2.7117984178178799E-2"/>
  </r>
  <r>
    <s v="bra"/>
    <x v="3"/>
    <s v="monthly"/>
    <s v="vw_cap"/>
    <n v="9"/>
    <x v="71"/>
    <n v="1.0862831293508401E-3"/>
  </r>
  <r>
    <s v="bra"/>
    <x v="3"/>
    <s v="monthly"/>
    <s v="vw_cap"/>
    <n v="9"/>
    <x v="72"/>
    <n v="-2.3397692719809099E-2"/>
  </r>
  <r>
    <s v="bra"/>
    <x v="3"/>
    <s v="monthly"/>
    <s v="vw_cap"/>
    <n v="9"/>
    <x v="73"/>
    <n v="-1.9724729066059599E-2"/>
  </r>
  <r>
    <s v="bra"/>
    <x v="3"/>
    <s v="monthly"/>
    <s v="vw_cap"/>
    <n v="9"/>
    <x v="74"/>
    <n v="-4.4613386944012097E-3"/>
  </r>
  <r>
    <s v="bra"/>
    <x v="3"/>
    <s v="monthly"/>
    <s v="vw_cap"/>
    <n v="9"/>
    <x v="75"/>
    <n v="-5.5466798145880503E-3"/>
  </r>
  <r>
    <s v="bra"/>
    <x v="3"/>
    <s v="monthly"/>
    <s v="vw_cap"/>
    <n v="9"/>
    <x v="76"/>
    <n v="-1.2129850404602099E-2"/>
  </r>
  <r>
    <s v="bra"/>
    <x v="3"/>
    <s v="monthly"/>
    <s v="vw_cap"/>
    <n v="10"/>
    <x v="77"/>
    <n v="4.8800452767539301E-3"/>
  </r>
  <r>
    <s v="bra"/>
    <x v="3"/>
    <s v="monthly"/>
    <s v="vw_cap"/>
    <n v="10"/>
    <x v="78"/>
    <n v="2.0833655941876202E-2"/>
  </r>
  <r>
    <s v="bra"/>
    <x v="3"/>
    <s v="monthly"/>
    <s v="vw_cap"/>
    <n v="10"/>
    <x v="79"/>
    <n v="-1.6103275787560899E-2"/>
  </r>
  <r>
    <s v="bra"/>
    <x v="3"/>
    <s v="monthly"/>
    <s v="vw_cap"/>
    <n v="10"/>
    <x v="80"/>
    <n v="-5.2603860848557298E-3"/>
  </r>
  <r>
    <s v="bra"/>
    <x v="3"/>
    <s v="monthly"/>
    <s v="vw_cap"/>
    <n v="10"/>
    <x v="81"/>
    <n v="-3.7489441037160098E-4"/>
  </r>
  <r>
    <s v="bra"/>
    <x v="3"/>
    <s v="monthly"/>
    <s v="vw_cap"/>
    <n v="10"/>
    <x v="82"/>
    <n v="1.12199990938505E-2"/>
  </r>
  <r>
    <s v="bra"/>
    <x v="3"/>
    <s v="monthly"/>
    <s v="vw_cap"/>
    <n v="10"/>
    <x v="83"/>
    <n v="1.97715486669407E-2"/>
  </r>
  <r>
    <s v="bra"/>
    <x v="3"/>
    <s v="monthly"/>
    <s v="vw_cap"/>
    <n v="10"/>
    <x v="84"/>
    <n v="6.8959363220735797E-3"/>
  </r>
  <r>
    <s v="bra"/>
    <x v="3"/>
    <s v="monthly"/>
    <s v="vw_cap"/>
    <n v="10"/>
    <x v="85"/>
    <n v="-3.5509015089750301E-3"/>
  </r>
  <r>
    <s v="bra"/>
    <x v="3"/>
    <s v="monthly"/>
    <s v="vw_cap"/>
    <n v="10"/>
    <x v="86"/>
    <n v="3.4504594460033401E-3"/>
  </r>
  <r>
    <s v="bra"/>
    <x v="3"/>
    <s v="monthly"/>
    <s v="vw_cap"/>
    <n v="10"/>
    <x v="87"/>
    <n v="-2.63703820521109E-2"/>
  </r>
  <r>
    <s v="bra"/>
    <x v="3"/>
    <s v="monthly"/>
    <s v="vw_cap"/>
    <n v="10"/>
    <x v="88"/>
    <n v="-5.5541569158866202E-3"/>
  </r>
  <r>
    <s v="bra"/>
    <x v="3"/>
    <s v="monthly"/>
    <s v="vw_cap"/>
    <n v="10"/>
    <x v="89"/>
    <n v="-1.1629426874943799E-3"/>
  </r>
  <r>
    <s v="bra"/>
    <x v="3"/>
    <s v="monthly"/>
    <s v="vw_cap"/>
    <n v="10"/>
    <x v="90"/>
    <n v="9.0857654603629704E-4"/>
  </r>
  <r>
    <s v="bra"/>
    <x v="3"/>
    <s v="monthly"/>
    <s v="vw_cap"/>
    <n v="10"/>
    <x v="91"/>
    <n v="9.9028049849110792E-3"/>
  </r>
  <r>
    <s v="bra"/>
    <x v="3"/>
    <s v="monthly"/>
    <s v="vw_cap"/>
    <n v="10"/>
    <x v="92"/>
    <n v="-1.7648905587688401E-2"/>
  </r>
  <r>
    <s v="bra"/>
    <x v="3"/>
    <s v="monthly"/>
    <s v="vw_cap"/>
    <n v="10"/>
    <x v="93"/>
    <n v="1.9157757500199501E-2"/>
  </r>
  <r>
    <s v="bra"/>
    <x v="3"/>
    <s v="monthly"/>
    <s v="vw_cap"/>
    <n v="10"/>
    <x v="94"/>
    <n v="4.2934693296325301E-2"/>
  </r>
  <r>
    <s v="bra"/>
    <x v="3"/>
    <s v="monthly"/>
    <s v="vw_cap"/>
    <n v="10"/>
    <x v="95"/>
    <n v="-5.1520423973458202E-4"/>
  </r>
  <r>
    <s v="bra"/>
    <x v="3"/>
    <s v="monthly"/>
    <s v="vw_cap"/>
    <n v="10"/>
    <x v="96"/>
    <n v="-1.6285674386883602E-2"/>
  </r>
  <r>
    <s v="bra"/>
    <x v="3"/>
    <s v="monthly"/>
    <s v="vw_cap"/>
    <n v="10"/>
    <x v="97"/>
    <n v="0.121449035412961"/>
  </r>
  <r>
    <s v="bra"/>
    <x v="3"/>
    <s v="monthly"/>
    <s v="vw_cap"/>
    <n v="10"/>
    <x v="98"/>
    <n v="-1.8646122295806901E-2"/>
  </r>
  <r>
    <s v="bra"/>
    <x v="3"/>
    <s v="monthly"/>
    <s v="vw_cap"/>
    <n v="10"/>
    <x v="99"/>
    <n v="2.0533971589153802E-3"/>
  </r>
  <r>
    <s v="bra"/>
    <x v="3"/>
    <s v="monthly"/>
    <s v="vw_cap"/>
    <n v="10"/>
    <x v="100"/>
    <n v="9.0459118992111502E-3"/>
  </r>
  <r>
    <s v="bra"/>
    <x v="3"/>
    <s v="monthly"/>
    <s v="vw_cap"/>
    <n v="10"/>
    <x v="101"/>
    <n v="7.73870566421162E-3"/>
  </r>
  <r>
    <s v="bra"/>
    <x v="3"/>
    <s v="monthly"/>
    <s v="vw_cap"/>
    <n v="10"/>
    <x v="102"/>
    <n v="-4.19114387285565E-4"/>
  </r>
  <r>
    <s v="bra"/>
    <x v="3"/>
    <s v="monthly"/>
    <s v="vw_cap"/>
    <n v="10"/>
    <x v="103"/>
    <n v="1.73967359756542E-2"/>
  </r>
  <r>
    <s v="bra"/>
    <x v="3"/>
    <s v="monthly"/>
    <s v="vw_cap"/>
    <n v="10"/>
    <x v="104"/>
    <n v="3.53981526167894E-2"/>
  </r>
  <r>
    <s v="bra"/>
    <x v="3"/>
    <s v="monthly"/>
    <s v="vw_cap"/>
    <n v="10"/>
    <x v="105"/>
    <n v="4.0085420290871697E-3"/>
  </r>
  <r>
    <s v="bra"/>
    <x v="3"/>
    <s v="monthly"/>
    <s v="vw_cap"/>
    <n v="10"/>
    <x v="106"/>
    <n v="2.2335034848863001E-2"/>
  </r>
  <r>
    <s v="bra"/>
    <x v="3"/>
    <s v="monthly"/>
    <s v="vw_cap"/>
    <n v="10"/>
    <x v="107"/>
    <n v="1.4487823383770099E-2"/>
  </r>
  <r>
    <s v="bra"/>
    <x v="3"/>
    <s v="monthly"/>
    <s v="vw_cap"/>
    <n v="10"/>
    <x v="108"/>
    <n v="-4.5639711716098E-2"/>
  </r>
  <r>
    <s v="bra"/>
    <x v="3"/>
    <s v="monthly"/>
    <s v="vw_cap"/>
    <n v="10"/>
    <x v="109"/>
    <n v="-2.7772414477695899E-2"/>
  </r>
  <r>
    <s v="bra"/>
    <x v="3"/>
    <s v="monthly"/>
    <s v="vw_cap"/>
    <n v="10"/>
    <x v="110"/>
    <n v="1.3380565696647801E-2"/>
  </r>
  <r>
    <s v="bra"/>
    <x v="3"/>
    <s v="monthly"/>
    <s v="vw_cap"/>
    <n v="10"/>
    <x v="111"/>
    <n v="2.02357287696605E-2"/>
  </r>
  <r>
    <s v="bra"/>
    <x v="3"/>
    <s v="monthly"/>
    <s v="vw_cap"/>
    <n v="10"/>
    <x v="112"/>
    <n v="-1.15033463585712E-2"/>
  </r>
  <r>
    <s v="bra"/>
    <x v="3"/>
    <s v="monthly"/>
    <s v="vw_cap"/>
    <n v="10"/>
    <x v="113"/>
    <n v="-3.7909835986536101E-3"/>
  </r>
  <r>
    <s v="bra"/>
    <x v="3"/>
    <s v="monthly"/>
    <s v="vw_cap"/>
    <n v="10"/>
    <x v="114"/>
    <n v="-6.46519998278522E-3"/>
  </r>
  <r>
    <s v="bra"/>
    <x v="3"/>
    <s v="monthly"/>
    <s v="vw_cap"/>
    <n v="10"/>
    <x v="115"/>
    <n v="-1.1734502070269799E-2"/>
  </r>
  <r>
    <s v="bra"/>
    <x v="3"/>
    <s v="monthly"/>
    <s v="vw_cap"/>
    <n v="10"/>
    <x v="116"/>
    <n v="1.9568734461956699E-3"/>
  </r>
  <r>
    <s v="bra"/>
    <x v="3"/>
    <s v="monthly"/>
    <s v="vw_cap"/>
    <n v="10"/>
    <x v="117"/>
    <n v="1.7598662316360499E-4"/>
  </r>
  <r>
    <s v="bra"/>
    <x v="3"/>
    <s v="monthly"/>
    <s v="vw_cap"/>
    <n v="10"/>
    <x v="118"/>
    <n v="-1.9518124102480199E-2"/>
  </r>
  <r>
    <s v="bra"/>
    <x v="3"/>
    <s v="monthly"/>
    <s v="vw_cap"/>
    <n v="10"/>
    <x v="119"/>
    <n v="-1.90897781167517E-2"/>
  </r>
  <r>
    <s v="bra"/>
    <x v="3"/>
    <s v="monthly"/>
    <s v="vw_cap"/>
    <n v="10"/>
    <x v="120"/>
    <n v="-1.6551132131246701E-2"/>
  </r>
  <r>
    <s v="bra"/>
    <x v="3"/>
    <s v="monthly"/>
    <s v="vw_cap"/>
    <n v="10"/>
    <x v="121"/>
    <n v="2.3256423953395999E-2"/>
  </r>
  <r>
    <s v="bra"/>
    <x v="3"/>
    <s v="monthly"/>
    <s v="vw_cap"/>
    <n v="10"/>
    <x v="122"/>
    <n v="1.5813457956881001E-2"/>
  </r>
  <r>
    <s v="bra"/>
    <x v="3"/>
    <s v="monthly"/>
    <s v="vw_cap"/>
    <n v="10"/>
    <x v="123"/>
    <n v="1.28270611184287E-2"/>
  </r>
  <r>
    <s v="bra"/>
    <x v="3"/>
    <s v="monthly"/>
    <s v="vw_cap"/>
    <n v="10"/>
    <x v="124"/>
    <n v="4.2696553696954303E-3"/>
  </r>
  <r>
    <s v="bra"/>
    <x v="3"/>
    <s v="monthly"/>
    <s v="vw_cap"/>
    <n v="11"/>
    <x v="125"/>
    <n v="1.3664035692061999E-2"/>
  </r>
  <r>
    <s v="bra"/>
    <x v="3"/>
    <s v="monthly"/>
    <s v="vw_cap"/>
    <n v="11"/>
    <x v="126"/>
    <n v="-1.6144104561094001E-2"/>
  </r>
  <r>
    <s v="bra"/>
    <x v="3"/>
    <s v="monthly"/>
    <s v="vw_cap"/>
    <n v="11"/>
    <x v="127"/>
    <n v="6.7752455915671603E-4"/>
  </r>
  <r>
    <s v="bra"/>
    <x v="3"/>
    <s v="monthly"/>
    <s v="vw_cap"/>
    <n v="11"/>
    <x v="128"/>
    <n v="-1.8795098218529899E-2"/>
  </r>
  <r>
    <s v="bra"/>
    <x v="3"/>
    <s v="monthly"/>
    <s v="vw_cap"/>
    <n v="11"/>
    <x v="129"/>
    <n v="-4.1348164032301198E-3"/>
  </r>
  <r>
    <s v="bra"/>
    <x v="3"/>
    <s v="monthly"/>
    <s v="vw_cap"/>
    <n v="11"/>
    <x v="130"/>
    <n v="-8.5278937161465795E-3"/>
  </r>
  <r>
    <s v="bra"/>
    <x v="3"/>
    <s v="monthly"/>
    <s v="vw_cap"/>
    <n v="11"/>
    <x v="131"/>
    <n v="1.6553383540082701E-3"/>
  </r>
  <r>
    <s v="bra"/>
    <x v="3"/>
    <s v="monthly"/>
    <s v="vw_cap"/>
    <n v="11"/>
    <x v="132"/>
    <n v="-2.64138778571337E-2"/>
  </r>
  <r>
    <s v="bra"/>
    <x v="3"/>
    <s v="monthly"/>
    <s v="vw_cap"/>
    <n v="11"/>
    <x v="133"/>
    <n v="-4.9452230728382696E-3"/>
  </r>
  <r>
    <s v="bra"/>
    <x v="3"/>
    <s v="monthly"/>
    <s v="vw_cap"/>
    <n v="11"/>
    <x v="134"/>
    <n v="-3.0489916144104201E-3"/>
  </r>
  <r>
    <s v="bra"/>
    <x v="3"/>
    <s v="monthly"/>
    <s v="vw_cap"/>
    <n v="11"/>
    <x v="135"/>
    <n v="-2.38198700637124E-2"/>
  </r>
  <r>
    <s v="bra"/>
    <x v="3"/>
    <s v="monthly"/>
    <s v="vw_cap"/>
    <n v="11"/>
    <x v="136"/>
    <n v="3.6960991685918601E-3"/>
  </r>
  <r>
    <s v="bra"/>
    <x v="3"/>
    <s v="monthly"/>
    <s v="vw_cap"/>
    <n v="11"/>
    <x v="137"/>
    <n v="1.6724778777555301E-2"/>
  </r>
  <r>
    <s v="bra"/>
    <x v="3"/>
    <s v="monthly"/>
    <s v="vw_cap"/>
    <n v="11"/>
    <x v="138"/>
    <n v="5.0460839274542998E-3"/>
  </r>
  <r>
    <s v="bra"/>
    <x v="3"/>
    <s v="monthly"/>
    <s v="vw_cap"/>
    <n v="11"/>
    <x v="139"/>
    <n v="-1.38350134125625E-2"/>
  </r>
  <r>
    <s v="bra"/>
    <x v="3"/>
    <s v="monthly"/>
    <s v="vw_cap"/>
    <n v="11"/>
    <x v="140"/>
    <n v="-2.6865384938044901E-2"/>
  </r>
  <r>
    <s v="bra"/>
    <x v="3"/>
    <s v="monthly"/>
    <s v="vw_cap"/>
    <n v="11"/>
    <x v="141"/>
    <n v="-7.1272988189462396E-3"/>
  </r>
  <r>
    <s v="bra"/>
    <x v="3"/>
    <s v="monthly"/>
    <s v="vw_cap"/>
    <n v="11"/>
    <x v="142"/>
    <n v="-3.5401242861494799E-2"/>
  </r>
  <r>
    <s v="bra"/>
    <x v="3"/>
    <s v="monthly"/>
    <s v="vw_cap"/>
    <n v="11"/>
    <x v="143"/>
    <n v="9.8112208153109705E-3"/>
  </r>
  <r>
    <s v="bra"/>
    <x v="3"/>
    <s v="monthly"/>
    <s v="vw_cap"/>
    <n v="11"/>
    <x v="144"/>
    <n v="3.6940020911604298E-4"/>
  </r>
  <r>
    <s v="bra"/>
    <x v="3"/>
    <s v="monthly"/>
    <s v="vw_cap"/>
    <n v="11"/>
    <x v="145"/>
    <n v="1.8915374725156999E-2"/>
  </r>
  <r>
    <s v="bra"/>
    <x v="3"/>
    <s v="monthly"/>
    <s v="vw_cap"/>
    <n v="11"/>
    <x v="146"/>
    <n v="1.75948164049433E-2"/>
  </r>
  <r>
    <s v="bra"/>
    <x v="3"/>
    <s v="monthly"/>
    <s v="vw_cap"/>
    <n v="11"/>
    <x v="147"/>
    <n v="-2.0320155234816398E-3"/>
  </r>
  <r>
    <s v="bra"/>
    <x v="3"/>
    <s v="monthly"/>
    <s v="vw_cap"/>
    <n v="11"/>
    <x v="148"/>
    <n v="-9.0680374234344708E-3"/>
  </r>
  <r>
    <s v="bra"/>
    <x v="3"/>
    <s v="monthly"/>
    <s v="vw_cap"/>
    <n v="11"/>
    <x v="149"/>
    <n v="2.15604508581098E-2"/>
  </r>
  <r>
    <s v="bra"/>
    <x v="3"/>
    <s v="monthly"/>
    <s v="vw_cap"/>
    <n v="11"/>
    <x v="150"/>
    <n v="-1.5750901458656701E-2"/>
  </r>
  <r>
    <s v="bra"/>
    <x v="3"/>
    <s v="monthly"/>
    <s v="vw_cap"/>
    <n v="11"/>
    <x v="151"/>
    <n v="-2.4356015700862699E-2"/>
  </r>
  <r>
    <s v="bra"/>
    <x v="3"/>
    <s v="monthly"/>
    <s v="vw_cap"/>
    <n v="11"/>
    <x v="152"/>
    <n v="-2.6246309469766999E-3"/>
  </r>
  <r>
    <s v="bra"/>
    <x v="3"/>
    <s v="monthly"/>
    <s v="vw_cap"/>
    <n v="11"/>
    <x v="153"/>
    <n v="3.0887263085481599E-2"/>
  </r>
  <r>
    <s v="bra"/>
    <x v="3"/>
    <s v="monthly"/>
    <s v="vw_cap"/>
    <n v="11"/>
    <x v="154"/>
    <n v="-8.3103989261534492E-3"/>
  </r>
  <r>
    <s v="bra"/>
    <x v="3"/>
    <s v="monthly"/>
    <s v="vw_cap"/>
    <n v="11"/>
    <x v="155"/>
    <n v="2.18038548612133E-2"/>
  </r>
  <r>
    <s v="bra"/>
    <x v="3"/>
    <s v="monthly"/>
    <s v="vw_cap"/>
    <n v="11"/>
    <x v="156"/>
    <n v="7.97960481466067E-3"/>
  </r>
  <r>
    <s v="bra"/>
    <x v="3"/>
    <s v="monthly"/>
    <s v="vw_cap"/>
    <n v="11"/>
    <x v="157"/>
    <n v="2.4840935570351899E-2"/>
  </r>
  <r>
    <s v="bra"/>
    <x v="3"/>
    <s v="monthly"/>
    <s v="vw_cap"/>
    <n v="11"/>
    <x v="158"/>
    <n v="-4.1374238111409799E-2"/>
  </r>
  <r>
    <s v="bra"/>
    <x v="3"/>
    <s v="monthly"/>
    <s v="vw_cap"/>
    <n v="11"/>
    <x v="159"/>
    <n v="-1.47440582443224E-2"/>
  </r>
  <r>
    <s v="bra"/>
    <x v="3"/>
    <s v="monthly"/>
    <s v="vw_cap"/>
    <n v="11"/>
    <x v="160"/>
    <n v="-3.2135899506603803E-2"/>
  </r>
  <r>
    <s v="bra"/>
    <x v="3"/>
    <s v="monthly"/>
    <s v="vw_cap"/>
    <n v="11"/>
    <x v="161"/>
    <n v="1.8723784030557598E-2"/>
  </r>
  <r>
    <s v="bra"/>
    <x v="3"/>
    <s v="monthly"/>
    <s v="vw_cap"/>
    <n v="11"/>
    <x v="162"/>
    <n v="1.0393389285531501E-2"/>
  </r>
  <r>
    <s v="bra"/>
    <x v="3"/>
    <s v="monthly"/>
    <s v="vw_cap"/>
    <n v="11"/>
    <x v="163"/>
    <n v="-1.41093065744153E-2"/>
  </r>
  <r>
    <s v="bra"/>
    <x v="3"/>
    <s v="monthly"/>
    <s v="vw_cap"/>
    <n v="11"/>
    <x v="164"/>
    <n v="1.85581358620533E-2"/>
  </r>
  <r>
    <s v="bra"/>
    <x v="3"/>
    <s v="monthly"/>
    <s v="vw_cap"/>
    <n v="11"/>
    <x v="165"/>
    <n v="-2.27743793009728E-2"/>
  </r>
  <r>
    <s v="bra"/>
    <x v="3"/>
    <s v="monthly"/>
    <s v="vw_cap"/>
    <n v="11"/>
    <x v="166"/>
    <n v="9.8087294423206597E-3"/>
  </r>
  <r>
    <s v="bra"/>
    <x v="3"/>
    <s v="monthly"/>
    <s v="vw_cap"/>
    <n v="11"/>
    <x v="167"/>
    <n v="-2.8150478900476001E-3"/>
  </r>
  <r>
    <s v="bra"/>
    <x v="3"/>
    <s v="monthly"/>
    <s v="vw_cap"/>
    <n v="11"/>
    <x v="168"/>
    <n v="-4.4848527900124904E-3"/>
  </r>
  <r>
    <s v="bra"/>
    <x v="3"/>
    <s v="monthly"/>
    <s v="vw_cap"/>
    <n v="11"/>
    <x v="169"/>
    <n v="-2.5998895300872401E-2"/>
  </r>
  <r>
    <s v="bra"/>
    <x v="3"/>
    <s v="monthly"/>
    <s v="vw_cap"/>
    <n v="11"/>
    <x v="170"/>
    <n v="2.3549071933765E-3"/>
  </r>
  <r>
    <s v="bra"/>
    <x v="3"/>
    <s v="monthly"/>
    <s v="vw_cap"/>
    <n v="11"/>
    <x v="171"/>
    <n v="-2.1463307831439401E-2"/>
  </r>
  <r>
    <s v="bra"/>
    <x v="3"/>
    <s v="monthly"/>
    <s v="vw_cap"/>
    <n v="11"/>
    <x v="172"/>
    <n v="-1.7707762917115202E-2"/>
  </r>
  <r>
    <s v="bra"/>
    <x v="3"/>
    <s v="monthly"/>
    <s v="vw_cap"/>
    <n v="11"/>
    <x v="173"/>
    <n v="4.0127057431360797E-3"/>
  </r>
  <r>
    <s v="bra"/>
    <x v="3"/>
    <s v="monthly"/>
    <s v="vw_cap"/>
    <n v="11"/>
    <x v="174"/>
    <n v="2.6138516367902501E-2"/>
  </r>
  <r>
    <s v="bra"/>
    <x v="3"/>
    <s v="monthly"/>
    <s v="vw_cap"/>
    <n v="11"/>
    <x v="175"/>
    <n v="1.7425059898988501E-2"/>
  </r>
  <r>
    <s v="bra"/>
    <x v="3"/>
    <s v="monthly"/>
    <s v="vw_cap"/>
    <n v="11"/>
    <x v="176"/>
    <n v="-6.9218292533992801E-4"/>
  </r>
  <r>
    <s v="bra"/>
    <x v="3"/>
    <s v="monthly"/>
    <s v="vw_cap"/>
    <n v="11"/>
    <x v="177"/>
    <n v="-3.0107024778971399E-3"/>
  </r>
  <r>
    <s v="bra"/>
    <x v="3"/>
    <s v="monthly"/>
    <s v="vw_cap"/>
    <n v="11"/>
    <x v="178"/>
    <n v="-1.32187032936847E-2"/>
  </r>
  <r>
    <s v="bra"/>
    <x v="3"/>
    <s v="monthly"/>
    <s v="vw_cap"/>
    <n v="11"/>
    <x v="179"/>
    <n v="-2.5451224541638302E-2"/>
  </r>
  <r>
    <s v="bra"/>
    <x v="3"/>
    <s v="monthly"/>
    <s v="vw_cap"/>
    <n v="11"/>
    <x v="180"/>
    <n v="-2.77722009403637E-2"/>
  </r>
  <r>
    <s v="bra"/>
    <x v="3"/>
    <s v="monthly"/>
    <s v="vw_cap"/>
    <n v="11"/>
    <x v="181"/>
    <n v="5.2343001885529197E-3"/>
  </r>
  <r>
    <s v="bra"/>
    <x v="3"/>
    <s v="monthly"/>
    <s v="vw_cap"/>
    <n v="11"/>
    <x v="182"/>
    <n v="-1.6409653605210298E-2"/>
  </r>
  <r>
    <s v="bra"/>
    <x v="3"/>
    <s v="monthly"/>
    <s v="vw_cap"/>
    <n v="11"/>
    <x v="183"/>
    <n v="1.7455918156311399E-2"/>
  </r>
  <r>
    <s v="bra"/>
    <x v="3"/>
    <s v="monthly"/>
    <s v="vw_cap"/>
    <n v="11"/>
    <x v="184"/>
    <n v="2.3253151713485E-2"/>
  </r>
  <r>
    <s v="bra"/>
    <x v="3"/>
    <s v="monthly"/>
    <s v="vw_cap"/>
    <n v="11"/>
    <x v="185"/>
    <n v="2.87572359321044E-2"/>
  </r>
  <r>
    <s v="bra"/>
    <x v="3"/>
    <s v="monthly"/>
    <s v="vw_cap"/>
    <n v="11"/>
    <x v="186"/>
    <n v="-1.43254983407184E-2"/>
  </r>
  <r>
    <s v="bra"/>
    <x v="3"/>
    <s v="monthly"/>
    <s v="vw_cap"/>
    <n v="11"/>
    <x v="187"/>
    <n v="-1.4837666154195099E-3"/>
  </r>
  <r>
    <s v="bra"/>
    <x v="3"/>
    <s v="monthly"/>
    <s v="vw_cap"/>
    <n v="11"/>
    <x v="188"/>
    <n v="7.3901861290221402E-3"/>
  </r>
  <r>
    <s v="bra"/>
    <x v="3"/>
    <s v="monthly"/>
    <s v="vw_cap"/>
    <n v="11"/>
    <x v="189"/>
    <n v="5.4587528804793499E-3"/>
  </r>
  <r>
    <s v="bra"/>
    <x v="3"/>
    <s v="monthly"/>
    <s v="vw_cap"/>
    <n v="11"/>
    <x v="190"/>
    <n v="-1.0179807326423001E-2"/>
  </r>
  <r>
    <s v="bra"/>
    <x v="3"/>
    <s v="monthly"/>
    <s v="vw_cap"/>
    <n v="11"/>
    <x v="191"/>
    <n v="2.8567156606912301E-2"/>
  </r>
  <r>
    <s v="bra"/>
    <x v="3"/>
    <s v="monthly"/>
    <s v="vw_cap"/>
    <n v="11"/>
    <x v="192"/>
    <n v="5.3727762936351797E-3"/>
  </r>
  <r>
    <s v="bra"/>
    <x v="3"/>
    <s v="monthly"/>
    <s v="vw_cap"/>
    <n v="11"/>
    <x v="193"/>
    <n v="-4.3252204042818501E-2"/>
  </r>
  <r>
    <s v="bra"/>
    <x v="3"/>
    <s v="monthly"/>
    <s v="vw_cap"/>
    <n v="11"/>
    <x v="194"/>
    <n v="1.4272264972368901E-3"/>
  </r>
  <r>
    <s v="bra"/>
    <x v="3"/>
    <s v="monthly"/>
    <s v="vw_cap"/>
    <n v="11"/>
    <x v="195"/>
    <n v="2.4032171887905199E-2"/>
  </r>
  <r>
    <s v="bra"/>
    <x v="3"/>
    <s v="monthly"/>
    <s v="vw_cap"/>
    <n v="11"/>
    <x v="196"/>
    <n v="1.42598940679203E-2"/>
  </r>
  <r>
    <s v="bra"/>
    <x v="3"/>
    <s v="monthly"/>
    <s v="vw_cap"/>
    <n v="11"/>
    <x v="197"/>
    <n v="1.76718981368904E-2"/>
  </r>
  <r>
    <s v="bra"/>
    <x v="3"/>
    <s v="monthly"/>
    <s v="vw_cap"/>
    <n v="11"/>
    <x v="198"/>
    <n v="-8.9219136201577603E-3"/>
  </r>
  <r>
    <s v="bra"/>
    <x v="3"/>
    <s v="monthly"/>
    <s v="vw_cap"/>
    <n v="11"/>
    <x v="199"/>
    <n v="1.8497975254790501E-2"/>
  </r>
  <r>
    <s v="bra"/>
    <x v="3"/>
    <s v="monthly"/>
    <s v="vw_cap"/>
    <n v="11"/>
    <x v="200"/>
    <n v="5.3033977345260802E-3"/>
  </r>
  <r>
    <s v="bra"/>
    <x v="3"/>
    <s v="monthly"/>
    <s v="vw_cap"/>
    <n v="11"/>
    <x v="201"/>
    <n v="7.6404349041474199E-3"/>
  </r>
  <r>
    <s v="bra"/>
    <x v="3"/>
    <s v="monthly"/>
    <s v="vw_cap"/>
    <n v="11"/>
    <x v="202"/>
    <n v="-5.4044799556477299E-2"/>
  </r>
  <r>
    <s v="bra"/>
    <x v="3"/>
    <s v="monthly"/>
    <s v="vw_cap"/>
    <n v="11"/>
    <x v="203"/>
    <n v="1.7860108115983798E-2"/>
  </r>
  <r>
    <s v="bra"/>
    <x v="3"/>
    <s v="monthly"/>
    <s v="vw_cap"/>
    <n v="11"/>
    <x v="204"/>
    <n v="-2.7099191048789401E-2"/>
  </r>
  <r>
    <s v="bra"/>
    <x v="3"/>
    <s v="monthly"/>
    <s v="vw_cap"/>
    <n v="11"/>
    <x v="205"/>
    <n v="-6.5658609224194101E-2"/>
  </r>
  <r>
    <s v="bra"/>
    <x v="3"/>
    <s v="monthly"/>
    <s v="vw_cap"/>
    <n v="11"/>
    <x v="206"/>
    <n v="4.5021349602380398E-3"/>
  </r>
  <r>
    <s v="bra"/>
    <x v="3"/>
    <s v="monthly"/>
    <s v="vw_cap"/>
    <n v="11"/>
    <x v="207"/>
    <n v="7.0337571837700398E-3"/>
  </r>
  <r>
    <s v="bra"/>
    <x v="3"/>
    <s v="monthly"/>
    <s v="vw_cap"/>
    <n v="11"/>
    <x v="208"/>
    <n v="9.8769044986504306E-4"/>
  </r>
  <r>
    <s v="bra"/>
    <x v="3"/>
    <s v="monthly"/>
    <s v="vw_cap"/>
    <n v="11"/>
    <x v="209"/>
    <n v="-1.8347813738689302E-2"/>
  </r>
  <r>
    <s v="bra"/>
    <x v="3"/>
    <s v="monthly"/>
    <s v="vw_cap"/>
    <n v="11"/>
    <x v="210"/>
    <n v="8.1501865702597997E-3"/>
  </r>
  <r>
    <s v="bra"/>
    <x v="3"/>
    <s v="monthly"/>
    <s v="vw_cap"/>
    <n v="11"/>
    <x v="211"/>
    <n v="1.2712298016422201E-2"/>
  </r>
  <r>
    <s v="bra"/>
    <x v="3"/>
    <s v="monthly"/>
    <s v="vw_cap"/>
    <n v="11"/>
    <x v="212"/>
    <n v="-9.6679373383676097E-3"/>
  </r>
  <r>
    <s v="bra"/>
    <x v="3"/>
    <s v="monthly"/>
    <s v="vw_cap"/>
    <n v="11"/>
    <x v="213"/>
    <n v="3.19776108917472E-3"/>
  </r>
  <r>
    <s v="bra"/>
    <x v="3"/>
    <s v="monthly"/>
    <s v="vw_cap"/>
    <n v="11"/>
    <x v="214"/>
    <n v="2.9302594804709599E-2"/>
  </r>
  <r>
    <s v="bra"/>
    <x v="3"/>
    <s v="monthly"/>
    <s v="vw_cap"/>
    <n v="11"/>
    <x v="215"/>
    <n v="1.7100254896728499E-2"/>
  </r>
  <r>
    <s v="bra"/>
    <x v="3"/>
    <s v="monthly"/>
    <s v="vw_cap"/>
    <n v="11"/>
    <x v="216"/>
    <n v="-2.7584118408501099E-2"/>
  </r>
  <r>
    <s v="bra"/>
    <x v="3"/>
    <s v="monthly"/>
    <s v="vw_cap"/>
    <n v="11"/>
    <x v="217"/>
    <n v="6.2475356552739697E-2"/>
  </r>
  <r>
    <s v="bra"/>
    <x v="3"/>
    <s v="monthly"/>
    <s v="vw_cap"/>
    <n v="11"/>
    <x v="218"/>
    <n v="1.7149815404957499E-3"/>
  </r>
  <r>
    <s v="bra"/>
    <x v="3"/>
    <s v="monthly"/>
    <s v="vw_cap"/>
    <n v="11"/>
    <x v="219"/>
    <n v="2.8719253108871398E-3"/>
  </r>
  <r>
    <s v="bra"/>
    <x v="3"/>
    <s v="monthly"/>
    <s v="vw_cap"/>
    <n v="11"/>
    <x v="220"/>
    <n v="1.01541329167585E-2"/>
  </r>
  <r>
    <s v="bra"/>
    <x v="3"/>
    <s v="monthly"/>
    <s v="vw_cap"/>
    <n v="11"/>
    <x v="221"/>
    <n v="4.7023347332230897E-3"/>
  </r>
  <r>
    <s v="bra"/>
    <x v="3"/>
    <s v="monthly"/>
    <s v="vw_cap"/>
    <n v="11"/>
    <x v="222"/>
    <n v="5.2552039697389398E-2"/>
  </r>
  <r>
    <s v="bra"/>
    <x v="3"/>
    <s v="monthly"/>
    <s v="vw_cap"/>
    <n v="11"/>
    <x v="223"/>
    <n v="1.9471808517000502E-2"/>
  </r>
  <r>
    <s v="bra"/>
    <x v="3"/>
    <s v="monthly"/>
    <s v="vw_cap"/>
    <n v="11"/>
    <x v="224"/>
    <n v="1.13521643619919E-2"/>
  </r>
  <r>
    <s v="bra"/>
    <x v="3"/>
    <s v="monthly"/>
    <s v="vw_cap"/>
    <n v="11"/>
    <x v="225"/>
    <n v="1.20141256039913E-2"/>
  </r>
  <r>
    <s v="bra"/>
    <x v="3"/>
    <s v="monthly"/>
    <s v="vw_cap"/>
    <n v="11"/>
    <x v="226"/>
    <n v="5.8603023360567297E-3"/>
  </r>
  <r>
    <s v="bra"/>
    <x v="3"/>
    <s v="monthly"/>
    <s v="vw_cap"/>
    <n v="11"/>
    <x v="227"/>
    <n v="-2.4441518051462E-2"/>
  </r>
  <r>
    <s v="bra"/>
    <x v="3"/>
    <s v="monthly"/>
    <s v="vw_cap"/>
    <n v="11"/>
    <x v="228"/>
    <n v="-4.9284101110638502E-3"/>
  </r>
  <r>
    <s v="bra"/>
    <x v="3"/>
    <s v="monthly"/>
    <s v="vw_cap"/>
    <n v="11"/>
    <x v="229"/>
    <n v="3.8633908644564598E-2"/>
  </r>
  <r>
    <s v="bra"/>
    <x v="3"/>
    <s v="monthly"/>
    <s v="vw_cap"/>
    <n v="11"/>
    <x v="230"/>
    <n v="-9.5474856388537196E-3"/>
  </r>
  <r>
    <s v="bra"/>
    <x v="3"/>
    <s v="monthly"/>
    <s v="vw_cap"/>
    <n v="11"/>
    <x v="231"/>
    <n v="-6.0672397960458098E-2"/>
  </r>
  <r>
    <s v="bra"/>
    <x v="3"/>
    <s v="monthly"/>
    <s v="vw_cap"/>
    <n v="11"/>
    <x v="232"/>
    <n v="-1.22351190619582E-2"/>
  </r>
  <r>
    <s v="bra"/>
    <x v="3"/>
    <s v="monthly"/>
    <s v="vw_cap"/>
    <n v="11"/>
    <x v="233"/>
    <n v="-9.8902729799763608E-3"/>
  </r>
  <r>
    <s v="bra"/>
    <x v="3"/>
    <s v="monthly"/>
    <s v="vw_cap"/>
    <n v="11"/>
    <x v="234"/>
    <n v="2.6444197216582001E-2"/>
  </r>
  <r>
    <s v="bra"/>
    <x v="3"/>
    <s v="monthly"/>
    <s v="vw_cap"/>
    <n v="11"/>
    <x v="235"/>
    <n v="-2.3312840038607601E-2"/>
  </r>
  <r>
    <s v="bra"/>
    <x v="3"/>
    <s v="monthly"/>
    <s v="vw_cap"/>
    <n v="11"/>
    <x v="236"/>
    <n v="3.2525105139917399E-3"/>
  </r>
  <r>
    <s v="bra"/>
    <x v="3"/>
    <s v="monthly"/>
    <s v="vw_cap"/>
    <n v="11"/>
    <x v="237"/>
    <n v="-1.50981151810305E-2"/>
  </r>
  <r>
    <s v="bra"/>
    <x v="3"/>
    <s v="monthly"/>
    <s v="vw_cap"/>
    <n v="11"/>
    <x v="238"/>
    <n v="-3.1742930905505097E-2"/>
  </r>
  <r>
    <s v="bra"/>
    <x v="3"/>
    <s v="monthly"/>
    <s v="vw_cap"/>
    <n v="11"/>
    <x v="239"/>
    <n v="-6.3383556398297694E-2"/>
  </r>
  <r>
    <s v="bra"/>
    <x v="3"/>
    <s v="monthly"/>
    <s v="vw_cap"/>
    <n v="11"/>
    <x v="240"/>
    <n v="1.6070945747468899E-2"/>
  </r>
  <r>
    <s v="bra"/>
    <x v="3"/>
    <s v="monthly"/>
    <s v="vw_cap"/>
    <n v="11"/>
    <x v="241"/>
    <n v="-6.1246566863566903E-3"/>
  </r>
  <r>
    <s v="bra"/>
    <x v="3"/>
    <s v="monthly"/>
    <s v="vw_cap"/>
    <n v="11"/>
    <x v="242"/>
    <n v="-5.8757360021571003E-3"/>
  </r>
  <r>
    <s v="bra"/>
    <x v="3"/>
    <s v="monthly"/>
    <s v="vw_cap"/>
    <n v="11"/>
    <x v="243"/>
    <n v="-7.8130592051565903E-3"/>
  </r>
  <r>
    <s v="bra"/>
    <x v="3"/>
    <s v="monthly"/>
    <s v="vw_cap"/>
    <n v="11"/>
    <x v="244"/>
    <n v="-4.3776484616502201E-2"/>
  </r>
  <r>
    <s v="bra"/>
    <x v="3"/>
    <s v="monthly"/>
    <s v="vw_cap"/>
    <n v="11"/>
    <x v="245"/>
    <n v="-5.2590522982766397E-2"/>
  </r>
  <r>
    <s v="bra"/>
    <x v="3"/>
    <s v="monthly"/>
    <s v="vw_cap"/>
    <n v="11"/>
    <x v="246"/>
    <n v="8.6172640437276998E-3"/>
  </r>
  <r>
    <s v="bra"/>
    <x v="3"/>
    <s v="monthly"/>
    <s v="vw_cap"/>
    <n v="11"/>
    <x v="247"/>
    <n v="1.25764382347571E-2"/>
  </r>
  <r>
    <s v="bra"/>
    <x v="3"/>
    <s v="monthly"/>
    <s v="vw_cap"/>
    <n v="11"/>
    <x v="248"/>
    <n v="1.2687629791484E-3"/>
  </r>
  <r>
    <s v="bra"/>
    <x v="3"/>
    <s v="monthly"/>
    <s v="vw_cap"/>
    <n v="11"/>
    <x v="249"/>
    <n v="4.8010697874755502E-2"/>
  </r>
  <r>
    <s v="bra"/>
    <x v="3"/>
    <s v="monthly"/>
    <s v="vw_cap"/>
    <n v="11"/>
    <x v="250"/>
    <n v="4.3505968832459302E-2"/>
  </r>
  <r>
    <s v="bra"/>
    <x v="3"/>
    <s v="monthly"/>
    <s v="vw_cap"/>
    <n v="11"/>
    <x v="251"/>
    <n v="-1.2843271645959901E-3"/>
  </r>
  <r>
    <s v="bra"/>
    <x v="3"/>
    <s v="monthly"/>
    <s v="vw_cap"/>
    <n v="11"/>
    <x v="252"/>
    <n v="6.6656729665378004E-3"/>
  </r>
  <r>
    <s v="bra"/>
    <x v="3"/>
    <s v="monthly"/>
    <s v="vw_cap"/>
    <n v="11"/>
    <x v="253"/>
    <n v="5.1528865843289797E-4"/>
  </r>
  <r>
    <s v="bra"/>
    <x v="3"/>
    <s v="monthly"/>
    <s v="vw_cap"/>
    <n v="11"/>
    <x v="254"/>
    <n v="4.2637889664314003E-3"/>
  </r>
  <r>
    <s v="bra"/>
    <x v="3"/>
    <s v="monthly"/>
    <s v="vw_cap"/>
    <n v="11"/>
    <x v="255"/>
    <n v="-1.7810822147296401E-2"/>
  </r>
  <r>
    <s v="bra"/>
    <x v="3"/>
    <s v="monthly"/>
    <s v="vw_cap"/>
    <n v="11"/>
    <x v="256"/>
    <n v="-1.10688156272267E-2"/>
  </r>
  <r>
    <s v="bra"/>
    <x v="3"/>
    <s v="monthly"/>
    <s v="vw_cap"/>
    <n v="11"/>
    <x v="257"/>
    <n v="1.88795077025814E-3"/>
  </r>
  <r>
    <s v="bra"/>
    <x v="3"/>
    <s v="monthly"/>
    <s v="vw_cap"/>
    <n v="11"/>
    <x v="258"/>
    <n v="-3.2522744876476398E-2"/>
  </r>
  <r>
    <s v="bra"/>
    <x v="3"/>
    <s v="monthly"/>
    <s v="vw_cap"/>
    <n v="11"/>
    <x v="259"/>
    <n v="1.17233169736262E-2"/>
  </r>
  <r>
    <s v="bra"/>
    <x v="3"/>
    <s v="monthly"/>
    <s v="vw_cap"/>
    <n v="11"/>
    <x v="260"/>
    <n v="4.9556392209698999E-3"/>
  </r>
  <r>
    <s v="bra"/>
    <x v="3"/>
    <s v="monthly"/>
    <s v="vw_cap"/>
    <n v="11"/>
    <x v="261"/>
    <n v="3.8921558898427E-3"/>
  </r>
  <r>
    <s v="bra"/>
    <x v="3"/>
    <s v="monthly"/>
    <s v="vw_cap"/>
    <n v="11"/>
    <x v="262"/>
    <n v="-1.6852362695548202E-2"/>
  </r>
  <r>
    <s v="bra"/>
    <x v="3"/>
    <s v="monthly"/>
    <s v="vw_cap"/>
    <n v="11"/>
    <x v="263"/>
    <n v="-4.14166389746604E-2"/>
  </r>
  <r>
    <s v="bra"/>
    <x v="3"/>
    <s v="monthly"/>
    <s v="vw_cap"/>
    <n v="11"/>
    <x v="264"/>
    <n v="8.3877146350228304E-3"/>
  </r>
  <r>
    <s v="bra"/>
    <x v="3"/>
    <s v="monthly"/>
    <s v="vw_cap"/>
    <n v="11"/>
    <x v="265"/>
    <n v="-1.6365893262705902E-2"/>
  </r>
  <r>
    <s v="bra"/>
    <x v="3"/>
    <s v="monthly"/>
    <s v="vw_cap"/>
    <n v="11"/>
    <x v="266"/>
    <n v="9.74287555267234E-3"/>
  </r>
  <r>
    <s v="bra"/>
    <x v="3"/>
    <s v="monthly"/>
    <s v="vw_cap"/>
    <n v="11"/>
    <x v="267"/>
    <n v="9.9091879461092203E-3"/>
  </r>
  <r>
    <s v="bra"/>
    <x v="3"/>
    <s v="monthly"/>
    <s v="vw_cap"/>
    <n v="11"/>
    <x v="268"/>
    <n v="2.3549400101463201E-2"/>
  </r>
  <r>
    <s v="bra"/>
    <x v="3"/>
    <s v="monthly"/>
    <s v="vw_cap"/>
    <n v="11"/>
    <x v="269"/>
    <n v="-2.5967060762034699E-2"/>
  </r>
  <r>
    <s v="bra"/>
    <x v="3"/>
    <s v="monthly"/>
    <s v="vw_cap"/>
    <n v="11"/>
    <x v="270"/>
    <n v="-4.7686844846782598E-3"/>
  </r>
  <r>
    <s v="bra"/>
    <x v="3"/>
    <s v="monthly"/>
    <s v="vw_cap"/>
    <n v="11"/>
    <x v="271"/>
    <n v="3.6179110634475799E-2"/>
  </r>
  <r>
    <s v="bra"/>
    <x v="3"/>
    <s v="monthly"/>
    <s v="vw_cap"/>
    <n v="11"/>
    <x v="272"/>
    <n v="-1.1335485528374999E-2"/>
  </r>
  <r>
    <s v="bra"/>
    <x v="3"/>
    <s v="monthly"/>
    <s v="vw_cap"/>
    <n v="11"/>
    <x v="273"/>
    <n v="2.3361193753369799E-2"/>
  </r>
  <r>
    <s v="bra"/>
    <x v="3"/>
    <s v="monthly"/>
    <s v="vw_cap"/>
    <n v="11"/>
    <x v="274"/>
    <n v="-1.70079323867257E-2"/>
  </r>
  <r>
    <s v="bra"/>
    <x v="3"/>
    <s v="monthly"/>
    <s v="vw_cap"/>
    <n v="11"/>
    <x v="275"/>
    <n v="-1.7081759761721101E-2"/>
  </r>
  <r>
    <s v="bra"/>
    <x v="3"/>
    <s v="monthly"/>
    <s v="vw_cap"/>
    <n v="11"/>
    <x v="276"/>
    <n v="1.0058487665512201E-2"/>
  </r>
  <r>
    <s v="bra"/>
    <x v="3"/>
    <s v="monthly"/>
    <s v="vw_cap"/>
    <n v="11"/>
    <x v="277"/>
    <n v="1.24993207437276E-2"/>
  </r>
  <r>
    <s v="bra"/>
    <x v="3"/>
    <s v="monthly"/>
    <s v="vw_cap"/>
    <n v="11"/>
    <x v="278"/>
    <n v="1.20598777945973E-2"/>
  </r>
  <r>
    <s v="bra"/>
    <x v="3"/>
    <s v="monthly"/>
    <s v="vw_cap"/>
    <n v="11"/>
    <x v="279"/>
    <n v="-4.0630487567156801E-2"/>
  </r>
  <r>
    <s v="bra"/>
    <x v="3"/>
    <s v="monthly"/>
    <s v="vw_cap"/>
    <n v="11"/>
    <x v="280"/>
    <n v="-2.2405282125832301E-2"/>
  </r>
  <r>
    <s v="bra"/>
    <x v="3"/>
    <s v="monthly"/>
    <s v="vw_cap"/>
    <n v="11"/>
    <x v="281"/>
    <n v="-6.4869131087082997E-3"/>
  </r>
  <r>
    <s v="bra"/>
    <x v="3"/>
    <s v="monthly"/>
    <s v="vw_cap"/>
    <n v="11"/>
    <x v="282"/>
    <n v="1.04047951957498E-2"/>
  </r>
  <r>
    <s v="bra"/>
    <x v="3"/>
    <s v="monthly"/>
    <s v="vw_cap"/>
    <n v="11"/>
    <x v="283"/>
    <n v="-8.7008471860890307E-3"/>
  </r>
  <r>
    <s v="bra"/>
    <x v="3"/>
    <s v="monthly"/>
    <s v="vw_cap"/>
    <n v="11"/>
    <x v="284"/>
    <n v="-2.6780752989375101E-2"/>
  </r>
  <r>
    <s v="bra"/>
    <x v="3"/>
    <s v="monthly"/>
    <s v="vw_cap"/>
    <n v="11"/>
    <x v="285"/>
    <n v="-9.7625730565374901E-3"/>
  </r>
  <r>
    <s v="bra"/>
    <x v="3"/>
    <s v="monthly"/>
    <s v="vw_cap"/>
    <n v="11"/>
    <x v="286"/>
    <n v="8.6772392330464292E-3"/>
  </r>
  <r>
    <s v="bra"/>
    <x v="3"/>
    <s v="monthly"/>
    <s v="vw_cap"/>
    <n v="11"/>
    <x v="287"/>
    <n v="-1.5495897413619199E-2"/>
  </r>
  <r>
    <s v="bra"/>
    <x v="3"/>
    <s v="monthly"/>
    <s v="vw_cap"/>
    <n v="11"/>
    <x v="288"/>
    <n v="2.19809086856751E-2"/>
  </r>
  <r>
    <s v="bra"/>
    <x v="4"/>
    <s v="monthly"/>
    <s v="vw_cap"/>
    <n v="2"/>
    <x v="313"/>
    <n v="0.130411330424895"/>
  </r>
  <r>
    <s v="bra"/>
    <x v="4"/>
    <s v="monthly"/>
    <s v="vw_cap"/>
    <n v="2"/>
    <x v="314"/>
    <n v="1.08868173483724E-2"/>
  </r>
  <r>
    <s v="bra"/>
    <x v="4"/>
    <s v="monthly"/>
    <s v="vw_cap"/>
    <n v="2"/>
    <x v="315"/>
    <n v="-4.1691176801321103E-2"/>
  </r>
  <r>
    <s v="bra"/>
    <x v="4"/>
    <s v="monthly"/>
    <s v="vw_cap"/>
    <n v="2"/>
    <x v="316"/>
    <n v="-4.06883493002042E-2"/>
  </r>
  <r>
    <s v="bra"/>
    <x v="4"/>
    <s v="monthly"/>
    <s v="vw_cap"/>
    <n v="2"/>
    <x v="317"/>
    <n v="-3.1835711547151299E-2"/>
  </r>
  <r>
    <s v="bra"/>
    <x v="4"/>
    <s v="monthly"/>
    <s v="vw_cap"/>
    <n v="7"/>
    <x v="318"/>
    <n v="2.0588606330711801E-2"/>
  </r>
  <r>
    <s v="bra"/>
    <x v="4"/>
    <s v="monthly"/>
    <s v="vw_cap"/>
    <n v="2"/>
    <x v="319"/>
    <n v="-5.0686071457849598E-2"/>
  </r>
  <r>
    <s v="bra"/>
    <x v="4"/>
    <s v="monthly"/>
    <s v="vw_cap"/>
    <n v="2"/>
    <x v="320"/>
    <n v="-0.122954255930443"/>
  </r>
  <r>
    <s v="bra"/>
    <x v="4"/>
    <s v="monthly"/>
    <s v="vw_cap"/>
    <n v="5"/>
    <x v="323"/>
    <n v="4.6900840954570797E-2"/>
  </r>
  <r>
    <s v="bra"/>
    <x v="4"/>
    <s v="monthly"/>
    <s v="vw_cap"/>
    <n v="6"/>
    <x v="324"/>
    <n v="-9.8095849256584801E-3"/>
  </r>
  <r>
    <s v="bra"/>
    <x v="4"/>
    <s v="monthly"/>
    <s v="vw_cap"/>
    <n v="5"/>
    <x v="325"/>
    <n v="9.6714637701450692E-3"/>
  </r>
  <r>
    <s v="bra"/>
    <x v="4"/>
    <s v="monthly"/>
    <s v="vw_cap"/>
    <n v="9"/>
    <x v="326"/>
    <n v="-6.4903185991593299E-3"/>
  </r>
  <r>
    <s v="bra"/>
    <x v="4"/>
    <s v="monthly"/>
    <s v="vw_cap"/>
    <n v="2"/>
    <x v="327"/>
    <n v="4.9512414831929304E-4"/>
  </r>
  <r>
    <s v="bra"/>
    <x v="4"/>
    <s v="monthly"/>
    <s v="vw_cap"/>
    <n v="2"/>
    <x v="328"/>
    <n v="-5.76474858253002E-3"/>
  </r>
  <r>
    <s v="bra"/>
    <x v="4"/>
    <s v="monthly"/>
    <s v="vw_cap"/>
    <n v="5"/>
    <x v="331"/>
    <n v="5.0752696146169597E-2"/>
  </r>
  <r>
    <s v="bra"/>
    <x v="4"/>
    <s v="monthly"/>
    <s v="vw_cap"/>
    <n v="6"/>
    <x v="332"/>
    <n v="9.7958936512133804E-2"/>
  </r>
  <r>
    <s v="bra"/>
    <x v="4"/>
    <s v="monthly"/>
    <s v="vw_cap"/>
    <n v="1"/>
    <x v="334"/>
    <n v="-4.7405592638380803E-2"/>
  </r>
  <r>
    <s v="bra"/>
    <x v="4"/>
    <s v="monthly"/>
    <s v="vw_cap"/>
    <n v="7"/>
    <x v="335"/>
    <n v="-1.37601441825274E-2"/>
  </r>
  <r>
    <s v="bra"/>
    <x v="4"/>
    <s v="monthly"/>
    <s v="vw_cap"/>
    <n v="9"/>
    <x v="336"/>
    <n v="2.3962401037058399E-2"/>
  </r>
  <r>
    <s v="bra"/>
    <x v="4"/>
    <s v="monthly"/>
    <s v="vw_cap"/>
    <n v="5"/>
    <x v="337"/>
    <n v="8.6610155562406796E-3"/>
  </r>
  <r>
    <s v="bra"/>
    <x v="4"/>
    <s v="monthly"/>
    <s v="vw_cap"/>
    <n v="10"/>
    <x v="338"/>
    <n v="-8.4009071482303004E-3"/>
  </r>
  <r>
    <s v="bra"/>
    <x v="4"/>
    <s v="monthly"/>
    <s v="vw_cap"/>
    <n v="5"/>
    <x v="339"/>
    <n v="-9.6047917395337606E-2"/>
  </r>
  <r>
    <s v="bra"/>
    <x v="4"/>
    <s v="monthly"/>
    <s v="vw_cap"/>
    <n v="10"/>
    <x v="340"/>
    <n v="-8.2897046733125507E-2"/>
  </r>
  <r>
    <s v="bra"/>
    <x v="4"/>
    <s v="monthly"/>
    <s v="vw_cap"/>
    <n v="5"/>
    <x v="341"/>
    <n v="-6.9684026223239506E-2"/>
  </r>
  <r>
    <s v="bra"/>
    <x v="4"/>
    <s v="monthly"/>
    <s v="vw_cap"/>
    <n v="12"/>
    <x v="342"/>
    <n v="3.7026866356381298E-2"/>
  </r>
  <r>
    <s v="bra"/>
    <x v="4"/>
    <s v="monthly"/>
    <s v="vw_cap"/>
    <n v="12"/>
    <x v="343"/>
    <n v="-4.2097200006227298E-2"/>
  </r>
  <r>
    <s v="bra"/>
    <x v="4"/>
    <s v="monthly"/>
    <s v="vw_cap"/>
    <n v="12"/>
    <x v="344"/>
    <n v="1.8288399515587401E-3"/>
  </r>
  <r>
    <s v="bra"/>
    <x v="4"/>
    <s v="monthly"/>
    <s v="vw_cap"/>
    <n v="12"/>
    <x v="345"/>
    <n v="1.47959124300776E-2"/>
  </r>
  <r>
    <s v="bra"/>
    <x v="4"/>
    <s v="monthly"/>
    <s v="vw_cap"/>
    <n v="10"/>
    <x v="346"/>
    <n v="-3.9057163406282201E-2"/>
  </r>
  <r>
    <s v="bra"/>
    <x v="4"/>
    <s v="monthly"/>
    <s v="vw_cap"/>
    <n v="10"/>
    <x v="347"/>
    <n v="-4.57609683002453E-2"/>
  </r>
  <r>
    <s v="bra"/>
    <x v="4"/>
    <s v="monthly"/>
    <s v="vw_cap"/>
    <n v="9"/>
    <x v="348"/>
    <n v="2.3228764957554601E-2"/>
  </r>
  <r>
    <s v="bra"/>
    <x v="4"/>
    <s v="monthly"/>
    <s v="vw_cap"/>
    <n v="2"/>
    <x v="349"/>
    <n v="-2.5724382132671498E-3"/>
  </r>
  <r>
    <s v="bra"/>
    <x v="4"/>
    <s v="monthly"/>
    <s v="vw_cap"/>
    <n v="8"/>
    <x v="350"/>
    <n v="2.7473543334245201E-2"/>
  </r>
  <r>
    <s v="bra"/>
    <x v="4"/>
    <s v="monthly"/>
    <s v="vw_cap"/>
    <n v="10"/>
    <x v="351"/>
    <n v="-5.28281885835113E-2"/>
  </r>
  <r>
    <s v="bra"/>
    <x v="4"/>
    <s v="monthly"/>
    <s v="vw_cap"/>
    <n v="10"/>
    <x v="352"/>
    <n v="1.7896161415583998E-2"/>
  </r>
  <r>
    <s v="bra"/>
    <x v="4"/>
    <s v="monthly"/>
    <s v="vw_cap"/>
    <n v="10"/>
    <x v="353"/>
    <n v="0.107610641971953"/>
  </r>
  <r>
    <s v="bra"/>
    <x v="4"/>
    <s v="monthly"/>
    <s v="vw_cap"/>
    <n v="10"/>
    <x v="354"/>
    <n v="-9.0394393665790204E-3"/>
  </r>
  <r>
    <s v="bra"/>
    <x v="4"/>
    <s v="monthly"/>
    <s v="vw_cap"/>
    <n v="11"/>
    <x v="355"/>
    <n v="-3.1073789324783701E-2"/>
  </r>
  <r>
    <s v="bra"/>
    <x v="4"/>
    <s v="monthly"/>
    <s v="vw_cap"/>
    <n v="11"/>
    <x v="356"/>
    <n v="4.5555303494435498E-2"/>
  </r>
  <r>
    <s v="bra"/>
    <x v="4"/>
    <s v="monthly"/>
    <s v="vw_cap"/>
    <n v="11"/>
    <x v="0"/>
    <n v="8.2515309810487995E-3"/>
  </r>
  <r>
    <s v="bra"/>
    <x v="4"/>
    <s v="monthly"/>
    <s v="vw_cap"/>
    <n v="11"/>
    <x v="1"/>
    <n v="6.5126195296924705E-2"/>
  </r>
  <r>
    <s v="bra"/>
    <x v="4"/>
    <s v="monthly"/>
    <s v="vw_cap"/>
    <n v="5"/>
    <x v="289"/>
    <n v="-4.4600555208003302E-2"/>
  </r>
  <r>
    <s v="bra"/>
    <x v="4"/>
    <s v="monthly"/>
    <s v="vw_cap"/>
    <n v="11"/>
    <x v="290"/>
    <n v="6.8917103872854393E-2"/>
  </r>
  <r>
    <s v="bra"/>
    <x v="4"/>
    <s v="monthly"/>
    <s v="vw_cap"/>
    <n v="5"/>
    <x v="291"/>
    <n v="5.3824890943105601E-2"/>
  </r>
  <r>
    <s v="bra"/>
    <x v="4"/>
    <s v="monthly"/>
    <s v="vw_cap"/>
    <n v="10"/>
    <x v="292"/>
    <n v="-6.5674832018894305E-2"/>
  </r>
  <r>
    <s v="bra"/>
    <x v="4"/>
    <s v="monthly"/>
    <s v="vw_cap"/>
    <n v="11"/>
    <x v="293"/>
    <n v="-0.168251572219724"/>
  </r>
  <r>
    <s v="bra"/>
    <x v="4"/>
    <s v="monthly"/>
    <s v="vw_cap"/>
    <n v="12"/>
    <x v="2"/>
    <n v="9.2709311362261806E-2"/>
  </r>
  <r>
    <s v="bra"/>
    <x v="4"/>
    <s v="monthly"/>
    <s v="vw_cap"/>
    <n v="12"/>
    <x v="3"/>
    <n v="0.17540542887247701"/>
  </r>
  <r>
    <s v="bra"/>
    <x v="4"/>
    <s v="monthly"/>
    <s v="vw_cap"/>
    <n v="1"/>
    <x v="357"/>
    <n v="3.84711179636315E-2"/>
  </r>
  <r>
    <s v="bra"/>
    <x v="4"/>
    <s v="monthly"/>
    <s v="vw_cap"/>
    <n v="11"/>
    <x v="358"/>
    <n v="-0.246762946746693"/>
  </r>
  <r>
    <s v="bra"/>
    <x v="4"/>
    <s v="monthly"/>
    <s v="vw_cap"/>
    <n v="11"/>
    <x v="359"/>
    <n v="-6.1430991649458797E-2"/>
  </r>
  <r>
    <s v="bra"/>
    <x v="4"/>
    <s v="monthly"/>
    <s v="vw_cap"/>
    <n v="11"/>
    <x v="4"/>
    <n v="1.8132081169511201E-2"/>
  </r>
  <r>
    <s v="bra"/>
    <x v="4"/>
    <s v="monthly"/>
    <s v="vw_cap"/>
    <n v="11"/>
    <x v="5"/>
    <n v="-1.09672904701549E-2"/>
  </r>
  <r>
    <s v="bra"/>
    <x v="4"/>
    <s v="monthly"/>
    <s v="vw_cap"/>
    <n v="11"/>
    <x v="6"/>
    <n v="-1.7802334603820001E-3"/>
  </r>
  <r>
    <s v="bra"/>
    <x v="4"/>
    <s v="monthly"/>
    <s v="vw_cap"/>
    <n v="11"/>
    <x v="7"/>
    <n v="-3.8015696057138698E-2"/>
  </r>
  <r>
    <s v="bra"/>
    <x v="4"/>
    <s v="monthly"/>
    <s v="vw_cap"/>
    <n v="11"/>
    <x v="8"/>
    <n v="-4.2027802979897798E-2"/>
  </r>
  <r>
    <s v="bra"/>
    <x v="4"/>
    <s v="monthly"/>
    <s v="vw_cap"/>
    <n v="11"/>
    <x v="9"/>
    <n v="-3.9092855352090498E-2"/>
  </r>
  <r>
    <s v="bra"/>
    <x v="4"/>
    <s v="monthly"/>
    <s v="vw_cap"/>
    <n v="11"/>
    <x v="294"/>
    <n v="-1.8319849395687701E-2"/>
  </r>
  <r>
    <s v="bra"/>
    <x v="4"/>
    <s v="monthly"/>
    <s v="vw_cap"/>
    <n v="12"/>
    <x v="10"/>
    <n v="4.3393797805899401E-2"/>
  </r>
  <r>
    <s v="bra"/>
    <x v="4"/>
    <s v="monthly"/>
    <s v="vw_cap"/>
    <n v="12"/>
    <x v="11"/>
    <n v="-1.0405931376836699E-2"/>
  </r>
  <r>
    <s v="bra"/>
    <x v="4"/>
    <s v="monthly"/>
    <s v="vw_cap"/>
    <n v="12"/>
    <x v="12"/>
    <n v="-7.8157074865445694E-2"/>
  </r>
  <r>
    <s v="bra"/>
    <x v="4"/>
    <s v="monthly"/>
    <s v="vw_cap"/>
    <n v="12"/>
    <x v="13"/>
    <n v="-1.6049771697238199E-2"/>
  </r>
  <r>
    <s v="bra"/>
    <x v="4"/>
    <s v="monthly"/>
    <s v="vw_cap"/>
    <n v="12"/>
    <x v="14"/>
    <n v="4.57493909167953E-2"/>
  </r>
  <r>
    <s v="bra"/>
    <x v="4"/>
    <s v="monthly"/>
    <s v="vw_cap"/>
    <n v="12"/>
    <x v="15"/>
    <n v="-5.3198228010245797E-2"/>
  </r>
  <r>
    <s v="bra"/>
    <x v="4"/>
    <s v="monthly"/>
    <s v="vw_cap"/>
    <n v="12"/>
    <x v="16"/>
    <n v="9.3810679016958401E-2"/>
  </r>
  <r>
    <s v="bra"/>
    <x v="4"/>
    <s v="monthly"/>
    <s v="vw_cap"/>
    <n v="12"/>
    <x v="17"/>
    <n v="-2.1678302281648999E-2"/>
  </r>
  <r>
    <s v="bra"/>
    <x v="4"/>
    <s v="monthly"/>
    <s v="vw_cap"/>
    <n v="12"/>
    <x v="18"/>
    <n v="-1.07916643933671E-2"/>
  </r>
  <r>
    <s v="bra"/>
    <x v="4"/>
    <s v="monthly"/>
    <s v="vw_cap"/>
    <n v="12"/>
    <x v="19"/>
    <n v="1.50013488886748E-2"/>
  </r>
  <r>
    <s v="bra"/>
    <x v="4"/>
    <s v="monthly"/>
    <s v="vw_cap"/>
    <n v="12"/>
    <x v="20"/>
    <n v="2.1603506465024298E-2"/>
  </r>
  <r>
    <s v="bra"/>
    <x v="4"/>
    <s v="monthly"/>
    <s v="vw_cap"/>
    <n v="12"/>
    <x v="21"/>
    <n v="1.2490750730799799E-2"/>
  </r>
  <r>
    <s v="bra"/>
    <x v="4"/>
    <s v="monthly"/>
    <s v="vw_cap"/>
    <n v="12"/>
    <x v="22"/>
    <n v="-4.8305869808704903E-3"/>
  </r>
  <r>
    <s v="bra"/>
    <x v="4"/>
    <s v="monthly"/>
    <s v="vw_cap"/>
    <n v="12"/>
    <x v="23"/>
    <n v="4.4746469720635902E-2"/>
  </r>
  <r>
    <s v="bra"/>
    <x v="4"/>
    <s v="monthly"/>
    <s v="vw_cap"/>
    <n v="12"/>
    <x v="24"/>
    <n v="-4.0297907262009998E-2"/>
  </r>
  <r>
    <s v="bra"/>
    <x v="4"/>
    <s v="monthly"/>
    <s v="vw_cap"/>
    <n v="12"/>
    <x v="25"/>
    <n v="2.0893975088350199E-3"/>
  </r>
  <r>
    <s v="bra"/>
    <x v="4"/>
    <s v="monthly"/>
    <s v="vw_cap"/>
    <n v="12"/>
    <x v="26"/>
    <n v="7.7005923609261798E-2"/>
  </r>
  <r>
    <s v="bra"/>
    <x v="4"/>
    <s v="monthly"/>
    <s v="vw_cap"/>
    <n v="12"/>
    <x v="27"/>
    <n v="3.95547185220173E-2"/>
  </r>
  <r>
    <s v="bra"/>
    <x v="4"/>
    <s v="monthly"/>
    <s v="vw_cap"/>
    <n v="11"/>
    <x v="295"/>
    <n v="-2.1518255604820201E-2"/>
  </r>
  <r>
    <s v="bra"/>
    <x v="4"/>
    <s v="monthly"/>
    <s v="vw_cap"/>
    <n v="11"/>
    <x v="296"/>
    <n v="2.8394817154276501E-2"/>
  </r>
  <r>
    <s v="bra"/>
    <x v="4"/>
    <s v="monthly"/>
    <s v="vw_cap"/>
    <n v="11"/>
    <x v="297"/>
    <n v="1.53285812633364E-2"/>
  </r>
  <r>
    <s v="bra"/>
    <x v="4"/>
    <s v="monthly"/>
    <s v="vw_cap"/>
    <n v="11"/>
    <x v="298"/>
    <n v="6.2584505862999396E-3"/>
  </r>
  <r>
    <s v="bra"/>
    <x v="4"/>
    <s v="monthly"/>
    <s v="vw_cap"/>
    <n v="5"/>
    <x v="360"/>
    <n v="-3.8539676198376401E-2"/>
  </r>
  <r>
    <s v="bra"/>
    <x v="4"/>
    <s v="monthly"/>
    <s v="vw_cap"/>
    <n v="5"/>
    <x v="361"/>
    <n v="-2.4876907366383198E-2"/>
  </r>
  <r>
    <s v="bra"/>
    <x v="4"/>
    <s v="monthly"/>
    <s v="vw_cap"/>
    <n v="5"/>
    <x v="362"/>
    <n v="-3.0134602289929899E-2"/>
  </r>
  <r>
    <s v="bra"/>
    <x v="4"/>
    <s v="monthly"/>
    <s v="vw_cap"/>
    <n v="5"/>
    <x v="299"/>
    <n v="2.2628424342308602E-3"/>
  </r>
  <r>
    <s v="bra"/>
    <x v="4"/>
    <s v="monthly"/>
    <s v="vw_cap"/>
    <n v="11"/>
    <x v="300"/>
    <n v="2.6439767154903399E-2"/>
  </r>
  <r>
    <s v="bra"/>
    <x v="4"/>
    <s v="monthly"/>
    <s v="vw_cap"/>
    <n v="6"/>
    <x v="301"/>
    <n v="6.1792554475388402E-2"/>
  </r>
  <r>
    <s v="bra"/>
    <x v="4"/>
    <s v="monthly"/>
    <s v="vw_cap"/>
    <n v="5"/>
    <x v="302"/>
    <n v="-4.8033715494102097E-2"/>
  </r>
  <r>
    <s v="bra"/>
    <x v="4"/>
    <s v="monthly"/>
    <s v="vw_cap"/>
    <n v="11"/>
    <x v="303"/>
    <n v="-1.6693370376604798E-2"/>
  </r>
  <r>
    <s v="bra"/>
    <x v="4"/>
    <s v="monthly"/>
    <s v="vw_cap"/>
    <n v="11"/>
    <x v="304"/>
    <n v="2.1655641527062999E-3"/>
  </r>
  <r>
    <s v="bra"/>
    <x v="4"/>
    <s v="monthly"/>
    <s v="vw_cap"/>
    <n v="6"/>
    <x v="363"/>
    <n v="1.2908297241145599E-2"/>
  </r>
  <r>
    <s v="bra"/>
    <x v="4"/>
    <s v="monthly"/>
    <s v="vw_cap"/>
    <n v="1"/>
    <x v="364"/>
    <n v="-2.5344523260546498E-2"/>
  </r>
  <r>
    <s v="bra"/>
    <x v="4"/>
    <s v="monthly"/>
    <s v="vw_cap"/>
    <n v="6"/>
    <x v="365"/>
    <n v="-2.8768578253185399E-2"/>
  </r>
  <r>
    <s v="bra"/>
    <x v="4"/>
    <s v="monthly"/>
    <s v="vw_cap"/>
    <n v="5"/>
    <x v="369"/>
    <n v="-1.9400398531232401E-2"/>
  </r>
  <r>
    <s v="bra"/>
    <x v="4"/>
    <s v="monthly"/>
    <s v="vw_cap"/>
    <n v="6"/>
    <x v="373"/>
    <n v="2.9850754990845801E-2"/>
  </r>
  <r>
    <s v="bra"/>
    <x v="4"/>
    <s v="monthly"/>
    <s v="vw_cap"/>
    <n v="6"/>
    <x v="374"/>
    <n v="-1.3653973467958099E-2"/>
  </r>
  <r>
    <s v="bra"/>
    <x v="4"/>
    <s v="monthly"/>
    <s v="vw_cap"/>
    <n v="6"/>
    <x v="375"/>
    <n v="-4.2878488769498298E-2"/>
  </r>
  <r>
    <s v="bra"/>
    <x v="4"/>
    <s v="monthly"/>
    <s v="vw_cap"/>
    <n v="12"/>
    <x v="305"/>
    <n v="1.41479810704342E-3"/>
  </r>
  <r>
    <s v="bra"/>
    <x v="4"/>
    <s v="monthly"/>
    <s v="vw_cap"/>
    <n v="11"/>
    <x v="306"/>
    <n v="-5.5808288076802999E-2"/>
  </r>
  <r>
    <s v="bra"/>
    <x v="4"/>
    <s v="monthly"/>
    <s v="vw_cap"/>
    <n v="11"/>
    <x v="307"/>
    <n v="2.6227377497237501E-2"/>
  </r>
  <r>
    <s v="bra"/>
    <x v="4"/>
    <s v="monthly"/>
    <s v="vw_cap"/>
    <n v="12"/>
    <x v="28"/>
    <n v="-6.9301157121120893E-2"/>
  </r>
  <r>
    <s v="bra"/>
    <x v="4"/>
    <s v="monthly"/>
    <s v="vw_cap"/>
    <n v="11"/>
    <x v="308"/>
    <n v="3.4731936173990302E-4"/>
  </r>
  <r>
    <s v="bra"/>
    <x v="4"/>
    <s v="monthly"/>
    <s v="vw_cap"/>
    <n v="12"/>
    <x v="309"/>
    <n v="1.6066339555729101E-2"/>
  </r>
  <r>
    <s v="bra"/>
    <x v="4"/>
    <s v="monthly"/>
    <s v="vw_cap"/>
    <n v="12"/>
    <x v="310"/>
    <n v="1.57311637322868E-2"/>
  </r>
  <r>
    <s v="bra"/>
    <x v="4"/>
    <s v="monthly"/>
    <s v="vw_cap"/>
    <n v="12"/>
    <x v="311"/>
    <n v="4.18213703760794E-2"/>
  </r>
  <r>
    <s v="bra"/>
    <x v="4"/>
    <s v="monthly"/>
    <s v="vw_cap"/>
    <n v="14"/>
    <x v="29"/>
    <n v="1.3424193421957701E-2"/>
  </r>
  <r>
    <s v="bra"/>
    <x v="4"/>
    <s v="monthly"/>
    <s v="vw_cap"/>
    <n v="13"/>
    <x v="30"/>
    <n v="2.1278684522802901E-2"/>
  </r>
  <r>
    <s v="bra"/>
    <x v="4"/>
    <s v="monthly"/>
    <s v="vw_cap"/>
    <n v="13"/>
    <x v="31"/>
    <n v="2.9304349488522199E-2"/>
  </r>
  <r>
    <s v="bra"/>
    <x v="4"/>
    <s v="monthly"/>
    <s v="vw_cap"/>
    <n v="13"/>
    <x v="32"/>
    <n v="4.270958178565E-2"/>
  </r>
  <r>
    <s v="bra"/>
    <x v="4"/>
    <s v="monthly"/>
    <s v="vw_cap"/>
    <n v="14"/>
    <x v="33"/>
    <n v="2.5991596394461899E-2"/>
  </r>
  <r>
    <s v="bra"/>
    <x v="4"/>
    <s v="monthly"/>
    <s v="vw_cap"/>
    <n v="14"/>
    <x v="34"/>
    <n v="2.0077249879734201E-2"/>
  </r>
  <r>
    <s v="bra"/>
    <x v="4"/>
    <s v="monthly"/>
    <s v="vw_cap"/>
    <n v="14"/>
    <x v="35"/>
    <n v="-7.8112700024789303E-2"/>
  </r>
  <r>
    <s v="bra"/>
    <x v="4"/>
    <s v="monthly"/>
    <s v="vw_cap"/>
    <n v="14"/>
    <x v="36"/>
    <n v="1.16627042004463E-3"/>
  </r>
  <r>
    <s v="bra"/>
    <x v="4"/>
    <s v="monthly"/>
    <s v="vw_cap"/>
    <n v="14"/>
    <x v="37"/>
    <n v="8.2792454499017506E-3"/>
  </r>
  <r>
    <s v="bra"/>
    <x v="4"/>
    <s v="monthly"/>
    <s v="vw_cap"/>
    <n v="14"/>
    <x v="38"/>
    <n v="-9.4331675374380794E-2"/>
  </r>
  <r>
    <s v="bra"/>
    <x v="4"/>
    <s v="monthly"/>
    <s v="vw_cap"/>
    <n v="14"/>
    <x v="39"/>
    <n v="3.3016558179119302E-3"/>
  </r>
  <r>
    <s v="bra"/>
    <x v="4"/>
    <s v="monthly"/>
    <s v="vw_cap"/>
    <n v="14"/>
    <x v="40"/>
    <n v="2.37237453962789E-2"/>
  </r>
  <r>
    <s v="bra"/>
    <x v="4"/>
    <s v="monthly"/>
    <s v="vw_cap"/>
    <n v="14"/>
    <x v="41"/>
    <n v="2.13608470946503E-2"/>
  </r>
  <r>
    <s v="bra"/>
    <x v="4"/>
    <s v="monthly"/>
    <s v="vw_cap"/>
    <n v="14"/>
    <x v="42"/>
    <n v="2.71846929300298E-2"/>
  </r>
  <r>
    <s v="bra"/>
    <x v="4"/>
    <s v="monthly"/>
    <s v="vw_cap"/>
    <n v="14"/>
    <x v="43"/>
    <n v="-2.8463162289904999E-2"/>
  </r>
  <r>
    <s v="bra"/>
    <x v="4"/>
    <s v="monthly"/>
    <s v="vw_cap"/>
    <n v="14"/>
    <x v="44"/>
    <n v="2.1747207925833002E-2"/>
  </r>
  <r>
    <s v="bra"/>
    <x v="4"/>
    <s v="monthly"/>
    <s v="vw_cap"/>
    <n v="14"/>
    <x v="45"/>
    <n v="-2.4538242590810298E-2"/>
  </r>
  <r>
    <s v="bra"/>
    <x v="4"/>
    <s v="monthly"/>
    <s v="vw_cap"/>
    <n v="14"/>
    <x v="46"/>
    <n v="1.1390395153131099E-2"/>
  </r>
  <r>
    <s v="bra"/>
    <x v="4"/>
    <s v="monthly"/>
    <s v="vw_cap"/>
    <n v="15"/>
    <x v="47"/>
    <n v="2.67824241947577E-3"/>
  </r>
  <r>
    <s v="bra"/>
    <x v="4"/>
    <s v="monthly"/>
    <s v="vw_cap"/>
    <n v="14"/>
    <x v="48"/>
    <n v="-1.5858113033562299E-2"/>
  </r>
  <r>
    <s v="bra"/>
    <x v="4"/>
    <s v="monthly"/>
    <s v="vw_cap"/>
    <n v="14"/>
    <x v="49"/>
    <n v="-8.8253090527605008E-3"/>
  </r>
  <r>
    <s v="bra"/>
    <x v="4"/>
    <s v="monthly"/>
    <s v="vw_cap"/>
    <n v="15"/>
    <x v="50"/>
    <n v="6.7696079179717702E-3"/>
  </r>
  <r>
    <s v="bra"/>
    <x v="4"/>
    <s v="monthly"/>
    <s v="vw_cap"/>
    <n v="16"/>
    <x v="51"/>
    <n v="-4.0063152507637499E-2"/>
  </r>
  <r>
    <s v="bra"/>
    <x v="4"/>
    <s v="monthly"/>
    <s v="vw_cap"/>
    <n v="16"/>
    <x v="52"/>
    <n v="1.00230786328911E-2"/>
  </r>
  <r>
    <s v="bra"/>
    <x v="4"/>
    <s v="monthly"/>
    <s v="vw_cap"/>
    <n v="17"/>
    <x v="53"/>
    <n v="9.3128787051665295E-3"/>
  </r>
  <r>
    <s v="bra"/>
    <x v="4"/>
    <s v="monthly"/>
    <s v="vw_cap"/>
    <n v="17"/>
    <x v="54"/>
    <n v="-1.32244905940562E-2"/>
  </r>
  <r>
    <s v="bra"/>
    <x v="4"/>
    <s v="monthly"/>
    <s v="vw_cap"/>
    <n v="17"/>
    <x v="55"/>
    <n v="-3.3377793588027001E-3"/>
  </r>
  <r>
    <s v="bra"/>
    <x v="4"/>
    <s v="monthly"/>
    <s v="vw_cap"/>
    <n v="17"/>
    <x v="56"/>
    <n v="3.9570762478944803E-2"/>
  </r>
  <r>
    <s v="bra"/>
    <x v="4"/>
    <s v="monthly"/>
    <s v="vw_cap"/>
    <n v="16"/>
    <x v="57"/>
    <n v="1.09855510266791E-3"/>
  </r>
  <r>
    <s v="bra"/>
    <x v="4"/>
    <s v="monthly"/>
    <s v="vw_cap"/>
    <n v="16"/>
    <x v="58"/>
    <n v="-3.1004213150894001E-2"/>
  </r>
  <r>
    <s v="bra"/>
    <x v="4"/>
    <s v="monthly"/>
    <s v="vw_cap"/>
    <n v="16"/>
    <x v="59"/>
    <n v="3.02582493036969E-3"/>
  </r>
  <r>
    <s v="bra"/>
    <x v="4"/>
    <s v="monthly"/>
    <s v="vw_cap"/>
    <n v="17"/>
    <x v="60"/>
    <n v="-2.3762193168237699E-2"/>
  </r>
  <r>
    <s v="bra"/>
    <x v="4"/>
    <s v="monthly"/>
    <s v="vw_cap"/>
    <n v="17"/>
    <x v="61"/>
    <n v="4.8338549870634998E-3"/>
  </r>
  <r>
    <s v="bra"/>
    <x v="4"/>
    <s v="monthly"/>
    <s v="vw_cap"/>
    <n v="17"/>
    <x v="62"/>
    <n v="2.3250176672193E-2"/>
  </r>
  <r>
    <s v="bra"/>
    <x v="4"/>
    <s v="monthly"/>
    <s v="vw_cap"/>
    <n v="16"/>
    <x v="63"/>
    <n v="-2.3497404846914701E-2"/>
  </r>
  <r>
    <s v="bra"/>
    <x v="4"/>
    <s v="monthly"/>
    <s v="vw_cap"/>
    <n v="16"/>
    <x v="64"/>
    <n v="-5.17798831654398E-3"/>
  </r>
  <r>
    <s v="bra"/>
    <x v="4"/>
    <s v="monthly"/>
    <s v="vw_cap"/>
    <n v="16"/>
    <x v="65"/>
    <n v="-3.0388542805560699E-2"/>
  </r>
  <r>
    <s v="bra"/>
    <x v="4"/>
    <s v="monthly"/>
    <s v="vw_cap"/>
    <n v="17"/>
    <x v="66"/>
    <n v="1.29430229841893E-2"/>
  </r>
  <r>
    <s v="bra"/>
    <x v="4"/>
    <s v="monthly"/>
    <s v="vw_cap"/>
    <n v="16"/>
    <x v="67"/>
    <n v="-2.1790775171588402E-2"/>
  </r>
  <r>
    <s v="bra"/>
    <x v="4"/>
    <s v="monthly"/>
    <s v="vw_cap"/>
    <n v="17"/>
    <x v="68"/>
    <n v="2.8094364260278799E-2"/>
  </r>
  <r>
    <s v="bra"/>
    <x v="4"/>
    <s v="monthly"/>
    <s v="vw_cap"/>
    <n v="17"/>
    <x v="69"/>
    <n v="-6.95462782176087E-3"/>
  </r>
  <r>
    <s v="bra"/>
    <x v="4"/>
    <s v="monthly"/>
    <s v="vw_cap"/>
    <n v="17"/>
    <x v="70"/>
    <n v="-2.5053073440720001E-3"/>
  </r>
  <r>
    <s v="bra"/>
    <x v="4"/>
    <s v="monthly"/>
    <s v="vw_cap"/>
    <n v="17"/>
    <x v="71"/>
    <n v="5.7685805831281601E-3"/>
  </r>
  <r>
    <s v="bra"/>
    <x v="4"/>
    <s v="monthly"/>
    <s v="vw_cap"/>
    <n v="17"/>
    <x v="72"/>
    <n v="2.5150084973091999E-2"/>
  </r>
  <r>
    <s v="bra"/>
    <x v="4"/>
    <s v="monthly"/>
    <s v="vw_cap"/>
    <n v="17"/>
    <x v="73"/>
    <n v="2.0852261221235999E-2"/>
  </r>
  <r>
    <s v="bra"/>
    <x v="4"/>
    <s v="monthly"/>
    <s v="vw_cap"/>
    <n v="17"/>
    <x v="74"/>
    <n v="-8.8955096300471596E-3"/>
  </r>
  <r>
    <s v="bra"/>
    <x v="4"/>
    <s v="monthly"/>
    <s v="vw_cap"/>
    <n v="17"/>
    <x v="75"/>
    <n v="3.6195718744858101E-2"/>
  </r>
  <r>
    <s v="bra"/>
    <x v="4"/>
    <s v="monthly"/>
    <s v="vw_cap"/>
    <n v="17"/>
    <x v="76"/>
    <n v="-3.2907443724859702E-2"/>
  </r>
  <r>
    <s v="bra"/>
    <x v="4"/>
    <s v="monthly"/>
    <s v="vw_cap"/>
    <n v="17"/>
    <x v="77"/>
    <n v="-2.2774351408191999E-2"/>
  </r>
  <r>
    <s v="bra"/>
    <x v="4"/>
    <s v="monthly"/>
    <s v="vw_cap"/>
    <n v="17"/>
    <x v="78"/>
    <n v="2.7455344670157401E-2"/>
  </r>
  <r>
    <s v="bra"/>
    <x v="4"/>
    <s v="monthly"/>
    <s v="vw_cap"/>
    <n v="17"/>
    <x v="79"/>
    <n v="-1.81898630762568E-2"/>
  </r>
  <r>
    <s v="bra"/>
    <x v="4"/>
    <s v="monthly"/>
    <s v="vw_cap"/>
    <n v="17"/>
    <x v="80"/>
    <n v="4.1356059707591701E-2"/>
  </r>
  <r>
    <s v="bra"/>
    <x v="4"/>
    <s v="monthly"/>
    <s v="vw_cap"/>
    <n v="17"/>
    <x v="81"/>
    <n v="8.7768419543028997E-2"/>
  </r>
  <r>
    <s v="bra"/>
    <x v="4"/>
    <s v="monthly"/>
    <s v="vw_cap"/>
    <n v="17"/>
    <x v="82"/>
    <n v="8.9825727537781397E-2"/>
  </r>
  <r>
    <s v="bra"/>
    <x v="4"/>
    <s v="monthly"/>
    <s v="vw_cap"/>
    <n v="17"/>
    <x v="83"/>
    <n v="3.3907429355094103E-2"/>
  </r>
  <r>
    <s v="bra"/>
    <x v="4"/>
    <s v="monthly"/>
    <s v="vw_cap"/>
    <n v="17"/>
    <x v="84"/>
    <n v="-7.1901829006622398E-2"/>
  </r>
  <r>
    <s v="bra"/>
    <x v="4"/>
    <s v="monthly"/>
    <s v="vw_cap"/>
    <n v="16"/>
    <x v="85"/>
    <n v="-4.1425995180592E-2"/>
  </r>
  <r>
    <s v="bra"/>
    <x v="4"/>
    <s v="monthly"/>
    <s v="vw_cap"/>
    <n v="17"/>
    <x v="86"/>
    <n v="6.7066071032609004E-2"/>
  </r>
  <r>
    <s v="bra"/>
    <x v="4"/>
    <s v="monthly"/>
    <s v="vw_cap"/>
    <n v="17"/>
    <x v="87"/>
    <n v="-8.0688334683448604E-2"/>
  </r>
  <r>
    <s v="bra"/>
    <x v="4"/>
    <s v="monthly"/>
    <s v="vw_cap"/>
    <n v="17"/>
    <x v="88"/>
    <n v="-0.13169304563376"/>
  </r>
  <r>
    <s v="bra"/>
    <x v="4"/>
    <s v="monthly"/>
    <s v="vw_cap"/>
    <n v="17"/>
    <x v="89"/>
    <n v="-5.0184452814376203E-2"/>
  </r>
  <r>
    <s v="bra"/>
    <x v="4"/>
    <s v="monthly"/>
    <s v="vw_cap"/>
    <n v="17"/>
    <x v="90"/>
    <n v="3.6352299154603099E-2"/>
  </r>
  <r>
    <s v="bra"/>
    <x v="4"/>
    <s v="monthly"/>
    <s v="vw_cap"/>
    <n v="17"/>
    <x v="91"/>
    <n v="-5.5132782064204397E-2"/>
  </r>
  <r>
    <s v="bra"/>
    <x v="4"/>
    <s v="monthly"/>
    <s v="vw_cap"/>
    <n v="17"/>
    <x v="92"/>
    <n v="-1.6559984467869299E-2"/>
  </r>
  <r>
    <s v="bra"/>
    <x v="4"/>
    <s v="monthly"/>
    <s v="vw_cap"/>
    <n v="17"/>
    <x v="93"/>
    <n v="-2.78883482906007E-2"/>
  </r>
  <r>
    <s v="bra"/>
    <x v="4"/>
    <s v="monthly"/>
    <s v="vw_cap"/>
    <n v="17"/>
    <x v="94"/>
    <n v="1.78254305136065E-3"/>
  </r>
  <r>
    <s v="bra"/>
    <x v="4"/>
    <s v="monthly"/>
    <s v="vw_cap"/>
    <n v="17"/>
    <x v="95"/>
    <n v="-2.91799424945107E-2"/>
  </r>
  <r>
    <s v="bra"/>
    <x v="4"/>
    <s v="monthly"/>
    <s v="vw_cap"/>
    <n v="17"/>
    <x v="96"/>
    <n v="3.8866064118714201E-3"/>
  </r>
  <r>
    <s v="bra"/>
    <x v="4"/>
    <s v="monthly"/>
    <s v="vw_cap"/>
    <n v="17"/>
    <x v="97"/>
    <n v="2.6785675084432501E-2"/>
  </r>
  <r>
    <s v="bra"/>
    <x v="4"/>
    <s v="monthly"/>
    <s v="vw_cap"/>
    <n v="17"/>
    <x v="98"/>
    <n v="3.0482374952796299E-3"/>
  </r>
  <r>
    <s v="bra"/>
    <x v="4"/>
    <s v="monthly"/>
    <s v="vw_cap"/>
    <n v="17"/>
    <x v="99"/>
    <n v="1.1321452902039101E-2"/>
  </r>
  <r>
    <s v="bra"/>
    <x v="4"/>
    <s v="monthly"/>
    <s v="vw_cap"/>
    <n v="17"/>
    <x v="100"/>
    <n v="2.85238020729837E-2"/>
  </r>
  <r>
    <s v="bra"/>
    <x v="4"/>
    <s v="monthly"/>
    <s v="vw_cap"/>
    <n v="17"/>
    <x v="101"/>
    <n v="2.1192626743009601E-2"/>
  </r>
  <r>
    <s v="bra"/>
    <x v="4"/>
    <s v="monthly"/>
    <s v="vw_cap"/>
    <n v="17"/>
    <x v="102"/>
    <n v="2.834032602159E-2"/>
  </r>
  <r>
    <s v="bra"/>
    <x v="4"/>
    <s v="monthly"/>
    <s v="vw_cap"/>
    <n v="17"/>
    <x v="103"/>
    <n v="-2.9212611187138599E-2"/>
  </r>
  <r>
    <s v="bra"/>
    <x v="4"/>
    <s v="monthly"/>
    <s v="vw_cap"/>
    <n v="17"/>
    <x v="104"/>
    <n v="2.8797493002852701E-2"/>
  </r>
  <r>
    <s v="bra"/>
    <x v="4"/>
    <s v="monthly"/>
    <s v="vw_cap"/>
    <n v="17"/>
    <x v="105"/>
    <n v="-5.5135047856472797E-3"/>
  </r>
  <r>
    <s v="bra"/>
    <x v="4"/>
    <s v="monthly"/>
    <s v="vw_cap"/>
    <n v="18"/>
    <x v="106"/>
    <n v="8.6084956298579998E-3"/>
  </r>
  <r>
    <s v="bra"/>
    <x v="4"/>
    <s v="monthly"/>
    <s v="vw_cap"/>
    <n v="18"/>
    <x v="107"/>
    <n v="2.6145055720524099E-2"/>
  </r>
  <r>
    <s v="bra"/>
    <x v="4"/>
    <s v="monthly"/>
    <s v="vw_cap"/>
    <n v="18"/>
    <x v="108"/>
    <n v="1.3477724587881001E-2"/>
  </r>
  <r>
    <s v="bra"/>
    <x v="4"/>
    <s v="monthly"/>
    <s v="vw_cap"/>
    <n v="18"/>
    <x v="109"/>
    <n v="2.3301299315044498E-2"/>
  </r>
  <r>
    <s v="bra"/>
    <x v="4"/>
    <s v="monthly"/>
    <s v="vw_cap"/>
    <n v="18"/>
    <x v="110"/>
    <n v="5.1730958618405399E-3"/>
  </r>
  <r>
    <s v="bra"/>
    <x v="4"/>
    <s v="monthly"/>
    <s v="vw_cap"/>
    <n v="18"/>
    <x v="111"/>
    <n v="1.1477136355090499E-2"/>
  </r>
  <r>
    <s v="bra"/>
    <x v="4"/>
    <s v="monthly"/>
    <s v="vw_cap"/>
    <n v="18"/>
    <x v="112"/>
    <n v="5.7653153093642599E-3"/>
  </r>
  <r>
    <s v="bra"/>
    <x v="4"/>
    <s v="monthly"/>
    <s v="vw_cap"/>
    <n v="18"/>
    <x v="113"/>
    <n v="1.85079694224345E-2"/>
  </r>
  <r>
    <s v="bra"/>
    <x v="4"/>
    <s v="monthly"/>
    <s v="vw_cap"/>
    <n v="18"/>
    <x v="114"/>
    <n v="1.83036618706999E-2"/>
  </r>
  <r>
    <s v="bra"/>
    <x v="4"/>
    <s v="monthly"/>
    <s v="vw_cap"/>
    <n v="18"/>
    <x v="115"/>
    <n v="1.79083690182648E-2"/>
  </r>
  <r>
    <s v="bra"/>
    <x v="4"/>
    <s v="monthly"/>
    <s v="vw_cap"/>
    <n v="18"/>
    <x v="116"/>
    <n v="4.3695784380479502E-3"/>
  </r>
  <r>
    <s v="bra"/>
    <x v="4"/>
    <s v="monthly"/>
    <s v="vw_cap"/>
    <n v="18"/>
    <x v="117"/>
    <n v="6.8696466145203805E-2"/>
  </r>
  <r>
    <s v="bra"/>
    <x v="4"/>
    <s v="monthly"/>
    <s v="vw_cap"/>
    <n v="18"/>
    <x v="118"/>
    <n v="-1.39169551915662E-2"/>
  </r>
  <r>
    <s v="bra"/>
    <x v="4"/>
    <s v="monthly"/>
    <s v="vw_cap"/>
    <n v="18"/>
    <x v="119"/>
    <n v="4.5663214944066298E-2"/>
  </r>
  <r>
    <s v="bra"/>
    <x v="4"/>
    <s v="monthly"/>
    <s v="vw_cap"/>
    <n v="18"/>
    <x v="120"/>
    <n v="4.32195988363493E-2"/>
  </r>
  <r>
    <s v="bra"/>
    <x v="4"/>
    <s v="monthly"/>
    <s v="vw_cap"/>
    <n v="18"/>
    <x v="121"/>
    <n v="-6.5668945925019095E-2"/>
  </r>
  <r>
    <s v="bra"/>
    <x v="4"/>
    <s v="monthly"/>
    <s v="vw_cap"/>
    <n v="18"/>
    <x v="122"/>
    <n v="7.4421833185100896E-3"/>
  </r>
  <r>
    <s v="bra"/>
    <x v="4"/>
    <s v="monthly"/>
    <s v="vw_cap"/>
    <n v="18"/>
    <x v="123"/>
    <n v="3.1512414932646997E-2"/>
  </r>
  <r>
    <s v="bra"/>
    <x v="4"/>
    <s v="monthly"/>
    <s v="vw_cap"/>
    <n v="18"/>
    <x v="124"/>
    <n v="5.4645252183101699E-2"/>
  </r>
  <r>
    <s v="bra"/>
    <x v="4"/>
    <s v="monthly"/>
    <s v="vw_cap"/>
    <n v="18"/>
    <x v="125"/>
    <n v="5.5898729096928598E-2"/>
  </r>
  <r>
    <s v="bra"/>
    <x v="4"/>
    <s v="monthly"/>
    <s v="vw_cap"/>
    <n v="18"/>
    <x v="126"/>
    <n v="5.6922304449979401E-2"/>
  </r>
  <r>
    <s v="bra"/>
    <x v="4"/>
    <s v="monthly"/>
    <s v="vw_cap"/>
    <n v="18"/>
    <x v="127"/>
    <n v="-2.0463546500250201E-2"/>
  </r>
  <r>
    <s v="bra"/>
    <x v="4"/>
    <s v="monthly"/>
    <s v="vw_cap"/>
    <n v="18"/>
    <x v="128"/>
    <n v="-2.5724804304463202E-2"/>
  </r>
  <r>
    <s v="bra"/>
    <x v="4"/>
    <s v="monthly"/>
    <s v="vw_cap"/>
    <n v="18"/>
    <x v="129"/>
    <n v="-1.29795462486969E-2"/>
  </r>
  <r>
    <s v="bra"/>
    <x v="4"/>
    <s v="monthly"/>
    <s v="vw_cap"/>
    <n v="18"/>
    <x v="130"/>
    <n v="3.92083153182258E-2"/>
  </r>
  <r>
    <s v="bra"/>
    <x v="4"/>
    <s v="monthly"/>
    <s v="vw_cap"/>
    <n v="18"/>
    <x v="131"/>
    <n v="1.9639566201705198E-2"/>
  </r>
  <r>
    <s v="bra"/>
    <x v="4"/>
    <s v="monthly"/>
    <s v="vw_cap"/>
    <n v="18"/>
    <x v="132"/>
    <n v="-3.2160328303295398E-2"/>
  </r>
  <r>
    <s v="bra"/>
    <x v="4"/>
    <s v="monthly"/>
    <s v="vw_cap"/>
    <n v="18"/>
    <x v="133"/>
    <n v="2.1048038276514001E-2"/>
  </r>
  <r>
    <s v="bra"/>
    <x v="4"/>
    <s v="monthly"/>
    <s v="vw_cap"/>
    <n v="18"/>
    <x v="134"/>
    <n v="2.8118078121940501E-2"/>
  </r>
  <r>
    <s v="bra"/>
    <x v="4"/>
    <s v="monthly"/>
    <s v="vw_cap"/>
    <n v="18"/>
    <x v="135"/>
    <n v="3.6650760230582599E-2"/>
  </r>
  <r>
    <s v="bra"/>
    <x v="4"/>
    <s v="monthly"/>
    <s v="vw_cap"/>
    <n v="18"/>
    <x v="136"/>
    <n v="2.34433802731717E-2"/>
  </r>
  <r>
    <s v="bra"/>
    <x v="4"/>
    <s v="monthly"/>
    <s v="vw_cap"/>
    <n v="18"/>
    <x v="137"/>
    <n v="1.9899137749046801E-2"/>
  </r>
  <r>
    <s v="bra"/>
    <x v="4"/>
    <s v="monthly"/>
    <s v="vw_cap"/>
    <n v="18"/>
    <x v="138"/>
    <n v="3.07853768400373E-2"/>
  </r>
  <r>
    <s v="bra"/>
    <x v="4"/>
    <s v="monthly"/>
    <s v="vw_cap"/>
    <n v="18"/>
    <x v="139"/>
    <n v="3.2364655808304098E-3"/>
  </r>
  <r>
    <s v="bra"/>
    <x v="4"/>
    <s v="monthly"/>
    <s v="vw_cap"/>
    <n v="18"/>
    <x v="140"/>
    <n v="-1.6559904348294699E-2"/>
  </r>
  <r>
    <s v="bra"/>
    <x v="4"/>
    <s v="monthly"/>
    <s v="vw_cap"/>
    <n v="18"/>
    <x v="141"/>
    <n v="-2.77543827638101E-3"/>
  </r>
  <r>
    <s v="bra"/>
    <x v="4"/>
    <s v="monthly"/>
    <s v="vw_cap"/>
    <n v="18"/>
    <x v="142"/>
    <n v="-3.4036695143570403E-4"/>
  </r>
  <r>
    <s v="bra"/>
    <x v="4"/>
    <s v="monthly"/>
    <s v="vw_cap"/>
    <n v="18"/>
    <x v="143"/>
    <n v="6.7973227851728796E-3"/>
  </r>
  <r>
    <s v="bra"/>
    <x v="4"/>
    <s v="monthly"/>
    <s v="vw_cap"/>
    <n v="18"/>
    <x v="144"/>
    <n v="-1.3339204260492499E-2"/>
  </r>
  <r>
    <s v="bra"/>
    <x v="4"/>
    <s v="monthly"/>
    <s v="vw_cap"/>
    <n v="18"/>
    <x v="145"/>
    <n v="1.92680516166773E-3"/>
  </r>
  <r>
    <s v="bra"/>
    <x v="4"/>
    <s v="monthly"/>
    <s v="vw_cap"/>
    <n v="18"/>
    <x v="146"/>
    <n v="2.1741389983311599E-2"/>
  </r>
  <r>
    <s v="bra"/>
    <x v="4"/>
    <s v="monthly"/>
    <s v="vw_cap"/>
    <n v="18"/>
    <x v="147"/>
    <n v="-7.1113303940350397E-3"/>
  </r>
  <r>
    <s v="bra"/>
    <x v="4"/>
    <s v="monthly"/>
    <s v="vw_cap"/>
    <n v="18"/>
    <x v="148"/>
    <n v="2.2032534362987799E-2"/>
  </r>
  <r>
    <s v="bra"/>
    <x v="4"/>
    <s v="monthly"/>
    <s v="vw_cap"/>
    <n v="18"/>
    <x v="149"/>
    <n v="-1.6646571395590001E-2"/>
  </r>
  <r>
    <s v="bra"/>
    <x v="4"/>
    <s v="monthly"/>
    <s v="vw_cap"/>
    <n v="18"/>
    <x v="150"/>
    <n v="-2.0365308790617102E-2"/>
  </r>
  <r>
    <s v="bra"/>
    <x v="4"/>
    <s v="monthly"/>
    <s v="vw_cap"/>
    <n v="18"/>
    <x v="151"/>
    <n v="-2.8762110713394198E-2"/>
  </r>
  <r>
    <s v="bra"/>
    <x v="4"/>
    <s v="monthly"/>
    <s v="vw_cap"/>
    <n v="18"/>
    <x v="152"/>
    <n v="5.1692847405110298E-3"/>
  </r>
  <r>
    <s v="bra"/>
    <x v="4"/>
    <s v="monthly"/>
    <s v="vw_cap"/>
    <n v="18"/>
    <x v="153"/>
    <n v="4.7995405315005998E-2"/>
  </r>
  <r>
    <s v="bra"/>
    <x v="4"/>
    <s v="monthly"/>
    <s v="vw_cap"/>
    <n v="18"/>
    <x v="154"/>
    <n v="-1.6048748373578899E-2"/>
  </r>
  <r>
    <s v="bra"/>
    <x v="4"/>
    <s v="monthly"/>
    <s v="vw_cap"/>
    <n v="18"/>
    <x v="155"/>
    <n v="2.21183833428285E-2"/>
  </r>
  <r>
    <s v="bra"/>
    <x v="4"/>
    <s v="monthly"/>
    <s v="vw_cap"/>
    <n v="18"/>
    <x v="156"/>
    <n v="4.4997174034647001E-2"/>
  </r>
  <r>
    <s v="bra"/>
    <x v="4"/>
    <s v="monthly"/>
    <s v="vw_cap"/>
    <n v="18"/>
    <x v="157"/>
    <n v="7.1097944221665696E-2"/>
  </r>
  <r>
    <s v="bra"/>
    <x v="4"/>
    <s v="monthly"/>
    <s v="vw_cap"/>
    <n v="18"/>
    <x v="158"/>
    <n v="-7.68316275493973E-3"/>
  </r>
  <r>
    <s v="bra"/>
    <x v="4"/>
    <s v="monthly"/>
    <s v="vw_cap"/>
    <n v="18"/>
    <x v="159"/>
    <n v="1.3538153293368001E-2"/>
  </r>
  <r>
    <s v="bra"/>
    <x v="4"/>
    <s v="monthly"/>
    <s v="vw_cap"/>
    <n v="18"/>
    <x v="160"/>
    <n v="-4.7569035191129899E-2"/>
  </r>
  <r>
    <s v="bra"/>
    <x v="4"/>
    <s v="monthly"/>
    <s v="vw_cap"/>
    <n v="18"/>
    <x v="161"/>
    <n v="3.1618941633452601E-2"/>
  </r>
  <r>
    <s v="bra"/>
    <x v="4"/>
    <s v="monthly"/>
    <s v="vw_cap"/>
    <n v="18"/>
    <x v="162"/>
    <n v="1.46074963113597E-2"/>
  </r>
  <r>
    <s v="bra"/>
    <x v="4"/>
    <s v="monthly"/>
    <s v="vw_cap"/>
    <n v="18"/>
    <x v="163"/>
    <n v="6.1516472522518399E-2"/>
  </r>
  <r>
    <s v="bra"/>
    <x v="4"/>
    <s v="monthly"/>
    <s v="vw_cap"/>
    <n v="18"/>
    <x v="164"/>
    <n v="1.65997681329553E-2"/>
  </r>
  <r>
    <s v="bra"/>
    <x v="4"/>
    <s v="monthly"/>
    <s v="vw_cap"/>
    <n v="18"/>
    <x v="165"/>
    <n v="3.2072383758346201E-2"/>
  </r>
  <r>
    <s v="bra"/>
    <x v="4"/>
    <s v="monthly"/>
    <s v="vw_cap"/>
    <n v="18"/>
    <x v="166"/>
    <n v="-5.4301024114103098E-2"/>
  </r>
  <r>
    <s v="bra"/>
    <x v="4"/>
    <s v="monthly"/>
    <s v="vw_cap"/>
    <n v="18"/>
    <x v="167"/>
    <n v="-9.4081096333605996E-3"/>
  </r>
  <r>
    <s v="bra"/>
    <x v="4"/>
    <s v="monthly"/>
    <s v="vw_cap"/>
    <n v="18"/>
    <x v="168"/>
    <n v="9.0086791486501203E-3"/>
  </r>
  <r>
    <s v="bra"/>
    <x v="4"/>
    <s v="monthly"/>
    <s v="vw_cap"/>
    <n v="18"/>
    <x v="169"/>
    <n v="1.3337246918451701E-2"/>
  </r>
  <r>
    <s v="bra"/>
    <x v="4"/>
    <s v="monthly"/>
    <s v="vw_cap"/>
    <n v="18"/>
    <x v="170"/>
    <n v="-3.8791448617593101E-2"/>
  </r>
  <r>
    <s v="bra"/>
    <x v="4"/>
    <s v="monthly"/>
    <s v="vw_cap"/>
    <n v="18"/>
    <x v="171"/>
    <n v="-7.59242943779289E-2"/>
  </r>
  <r>
    <s v="bra"/>
    <x v="4"/>
    <s v="monthly"/>
    <s v="vw_cap"/>
    <n v="18"/>
    <x v="172"/>
    <n v="-5.6751739080438499E-2"/>
  </r>
  <r>
    <s v="bra"/>
    <x v="4"/>
    <s v="monthly"/>
    <s v="vw_cap"/>
    <n v="18"/>
    <x v="173"/>
    <n v="4.8109254760736402E-2"/>
  </r>
  <r>
    <s v="bra"/>
    <x v="4"/>
    <s v="monthly"/>
    <s v="vw_cap"/>
    <n v="18"/>
    <x v="174"/>
    <n v="-4.1888601868420999E-2"/>
  </r>
  <r>
    <s v="bra"/>
    <x v="4"/>
    <s v="monthly"/>
    <s v="vw_cap"/>
    <n v="18"/>
    <x v="175"/>
    <n v="-4.5491763438097597E-2"/>
  </r>
  <r>
    <s v="bra"/>
    <x v="4"/>
    <s v="monthly"/>
    <s v="vw_cap"/>
    <n v="18"/>
    <x v="176"/>
    <n v="3.5446880140047599E-3"/>
  </r>
  <r>
    <s v="bra"/>
    <x v="4"/>
    <s v="monthly"/>
    <s v="vw_cap"/>
    <n v="18"/>
    <x v="177"/>
    <n v="1.4495784636905E-2"/>
  </r>
  <r>
    <s v="bra"/>
    <x v="4"/>
    <s v="monthly"/>
    <s v="vw_cap"/>
    <n v="18"/>
    <x v="178"/>
    <n v="-3.48730712871421E-2"/>
  </r>
  <r>
    <s v="bra"/>
    <x v="4"/>
    <s v="monthly"/>
    <s v="vw_cap"/>
    <n v="18"/>
    <x v="179"/>
    <n v="-6.9320290878036404E-3"/>
  </r>
  <r>
    <s v="bra"/>
    <x v="4"/>
    <s v="monthly"/>
    <s v="vw_cap"/>
    <n v="18"/>
    <x v="180"/>
    <n v="-3.8313718135527001E-3"/>
  </r>
  <r>
    <s v="bra"/>
    <x v="4"/>
    <s v="monthly"/>
    <s v="vw_cap"/>
    <n v="18"/>
    <x v="181"/>
    <n v="-2.21067763449261E-2"/>
  </r>
  <r>
    <s v="bra"/>
    <x v="4"/>
    <s v="monthly"/>
    <s v="vw_cap"/>
    <n v="18"/>
    <x v="182"/>
    <n v="-1.8965396755682599E-2"/>
  </r>
  <r>
    <s v="bra"/>
    <x v="4"/>
    <s v="monthly"/>
    <s v="vw_cap"/>
    <n v="18"/>
    <x v="183"/>
    <n v="1.1688980061774301E-2"/>
  </r>
  <r>
    <s v="bra"/>
    <x v="4"/>
    <s v="monthly"/>
    <s v="vw_cap"/>
    <n v="18"/>
    <x v="184"/>
    <n v="-9.1735306159309599E-3"/>
  </r>
  <r>
    <s v="bra"/>
    <x v="4"/>
    <s v="monthly"/>
    <s v="vw_cap"/>
    <n v="18"/>
    <x v="185"/>
    <n v="2.9729442797594801E-2"/>
  </r>
  <r>
    <s v="bra"/>
    <x v="4"/>
    <s v="monthly"/>
    <s v="vw_cap"/>
    <n v="18"/>
    <x v="186"/>
    <n v="5.1695993488914396E-3"/>
  </r>
  <r>
    <s v="bra"/>
    <x v="4"/>
    <s v="monthly"/>
    <s v="vw_cap"/>
    <n v="18"/>
    <x v="187"/>
    <n v="-4.3595814980911397E-2"/>
  </r>
  <r>
    <s v="bra"/>
    <x v="4"/>
    <s v="monthly"/>
    <s v="vw_cap"/>
    <n v="18"/>
    <x v="188"/>
    <n v="-3.5561780338734902E-2"/>
  </r>
  <r>
    <s v="bra"/>
    <x v="4"/>
    <s v="monthly"/>
    <s v="vw_cap"/>
    <n v="18"/>
    <x v="189"/>
    <n v="-2.0918354537742101E-2"/>
  </r>
  <r>
    <s v="bra"/>
    <x v="4"/>
    <s v="monthly"/>
    <s v="vw_cap"/>
    <n v="18"/>
    <x v="190"/>
    <n v="1.62302136322711E-2"/>
  </r>
  <r>
    <s v="bra"/>
    <x v="4"/>
    <s v="monthly"/>
    <s v="vw_cap"/>
    <n v="18"/>
    <x v="191"/>
    <n v="-2.3003603234365701E-3"/>
  </r>
  <r>
    <s v="bra"/>
    <x v="4"/>
    <s v="monthly"/>
    <s v="vw_cap"/>
    <n v="18"/>
    <x v="192"/>
    <n v="-1.8615882845620001E-2"/>
  </r>
  <r>
    <s v="bra"/>
    <x v="4"/>
    <s v="monthly"/>
    <s v="vw_cap"/>
    <n v="18"/>
    <x v="193"/>
    <n v="5.55938547938348E-3"/>
  </r>
  <r>
    <s v="bra"/>
    <x v="4"/>
    <s v="monthly"/>
    <s v="vw_cap"/>
    <n v="18"/>
    <x v="194"/>
    <n v="4.67551766903958E-4"/>
  </r>
  <r>
    <s v="bra"/>
    <x v="4"/>
    <s v="monthly"/>
    <s v="vw_cap"/>
    <n v="18"/>
    <x v="195"/>
    <n v="5.67700714169169E-3"/>
  </r>
  <r>
    <s v="bra"/>
    <x v="4"/>
    <s v="monthly"/>
    <s v="vw_cap"/>
    <n v="18"/>
    <x v="196"/>
    <n v="-3.37447494063364E-2"/>
  </r>
  <r>
    <s v="bra"/>
    <x v="4"/>
    <s v="monthly"/>
    <s v="vw_cap"/>
    <n v="18"/>
    <x v="197"/>
    <n v="1.5529662375084701E-2"/>
  </r>
  <r>
    <s v="bra"/>
    <x v="4"/>
    <s v="monthly"/>
    <s v="vw_cap"/>
    <n v="18"/>
    <x v="198"/>
    <n v="-8.3151688494321196E-3"/>
  </r>
  <r>
    <s v="bra"/>
    <x v="4"/>
    <s v="monthly"/>
    <s v="vw_cap"/>
    <n v="18"/>
    <x v="199"/>
    <n v="-1.46207730199553E-2"/>
  </r>
  <r>
    <s v="bra"/>
    <x v="4"/>
    <s v="monthly"/>
    <s v="vw_cap"/>
    <n v="18"/>
    <x v="200"/>
    <n v="2.5275601858905501E-2"/>
  </r>
  <r>
    <s v="bra"/>
    <x v="4"/>
    <s v="monthly"/>
    <s v="vw_cap"/>
    <n v="18"/>
    <x v="201"/>
    <n v="-8.2560781995631602E-5"/>
  </r>
  <r>
    <s v="bra"/>
    <x v="4"/>
    <s v="monthly"/>
    <s v="vw_cap"/>
    <n v="18"/>
    <x v="202"/>
    <n v="-8.03554429179512E-2"/>
  </r>
  <r>
    <s v="bra"/>
    <x v="4"/>
    <s v="monthly"/>
    <s v="vw_cap"/>
    <n v="18"/>
    <x v="203"/>
    <n v="1.53312468517536E-2"/>
  </r>
  <r>
    <s v="bra"/>
    <x v="4"/>
    <s v="monthly"/>
    <s v="vw_cap"/>
    <n v="18"/>
    <x v="204"/>
    <n v="-1.4655990487323399E-3"/>
  </r>
  <r>
    <s v="bra"/>
    <x v="4"/>
    <s v="monthly"/>
    <s v="vw_cap"/>
    <n v="18"/>
    <x v="205"/>
    <n v="-2.8041013122304101E-2"/>
  </r>
  <r>
    <s v="bra"/>
    <x v="4"/>
    <s v="monthly"/>
    <s v="vw_cap"/>
    <n v="18"/>
    <x v="206"/>
    <n v="-1.2806051824793E-2"/>
  </r>
  <r>
    <s v="bra"/>
    <x v="4"/>
    <s v="monthly"/>
    <s v="vw_cap"/>
    <n v="18"/>
    <x v="207"/>
    <n v="-8.5371245043358406E-3"/>
  </r>
  <r>
    <s v="bra"/>
    <x v="4"/>
    <s v="monthly"/>
    <s v="vw_cap"/>
    <n v="18"/>
    <x v="208"/>
    <n v="-8.0495218446271898E-3"/>
  </r>
  <r>
    <s v="bra"/>
    <x v="4"/>
    <s v="monthly"/>
    <s v="vw_cap"/>
    <n v="18"/>
    <x v="209"/>
    <n v="1.0609108817641699E-3"/>
  </r>
  <r>
    <s v="bra"/>
    <x v="4"/>
    <s v="monthly"/>
    <s v="vw_cap"/>
    <n v="18"/>
    <x v="210"/>
    <n v="6.2799522261668102E-3"/>
  </r>
  <r>
    <s v="bra"/>
    <x v="4"/>
    <s v="monthly"/>
    <s v="vw_cap"/>
    <n v="18"/>
    <x v="211"/>
    <n v="-2.3836389433699E-2"/>
  </r>
  <r>
    <s v="bra"/>
    <x v="4"/>
    <s v="monthly"/>
    <s v="vw_cap"/>
    <n v="18"/>
    <x v="212"/>
    <n v="-1.5028804633028E-2"/>
  </r>
  <r>
    <s v="bra"/>
    <x v="4"/>
    <s v="monthly"/>
    <s v="vw_cap"/>
    <n v="18"/>
    <x v="213"/>
    <n v="1.07058567953393E-3"/>
  </r>
  <r>
    <s v="bra"/>
    <x v="4"/>
    <s v="monthly"/>
    <s v="vw_cap"/>
    <n v="18"/>
    <x v="214"/>
    <n v="-1.11036536315184E-2"/>
  </r>
  <r>
    <s v="bra"/>
    <x v="4"/>
    <s v="monthly"/>
    <s v="vw_cap"/>
    <n v="18"/>
    <x v="215"/>
    <n v="-6.6884690439904396E-3"/>
  </r>
  <r>
    <s v="bra"/>
    <x v="4"/>
    <s v="monthly"/>
    <s v="vw_cap"/>
    <n v="18"/>
    <x v="216"/>
    <n v="5.6896904085360501E-4"/>
  </r>
  <r>
    <s v="bra"/>
    <x v="4"/>
    <s v="monthly"/>
    <s v="vw_cap"/>
    <n v="18"/>
    <x v="217"/>
    <n v="-1.8884849690157201E-2"/>
  </r>
  <r>
    <s v="bra"/>
    <x v="4"/>
    <s v="monthly"/>
    <s v="vw_cap"/>
    <n v="18"/>
    <x v="218"/>
    <n v="6.8523287939188E-3"/>
  </r>
  <r>
    <s v="bra"/>
    <x v="4"/>
    <s v="monthly"/>
    <s v="vw_cap"/>
    <n v="18"/>
    <x v="219"/>
    <n v="8.6263601680514806E-2"/>
  </r>
  <r>
    <s v="bra"/>
    <x v="4"/>
    <s v="monthly"/>
    <s v="vw_cap"/>
    <n v="18"/>
    <x v="220"/>
    <n v="-0.110484908374037"/>
  </r>
  <r>
    <s v="bra"/>
    <x v="4"/>
    <s v="monthly"/>
    <s v="vw_cap"/>
    <n v="18"/>
    <x v="221"/>
    <n v="-2.7194745837356898E-2"/>
  </r>
  <r>
    <s v="bra"/>
    <x v="4"/>
    <s v="monthly"/>
    <s v="vw_cap"/>
    <n v="18"/>
    <x v="222"/>
    <n v="-3.6374593897260797E-2"/>
  </r>
  <r>
    <s v="bra"/>
    <x v="4"/>
    <s v="monthly"/>
    <s v="vw_cap"/>
    <n v="18"/>
    <x v="223"/>
    <n v="7.29211488600449E-3"/>
  </r>
  <r>
    <s v="bra"/>
    <x v="4"/>
    <s v="monthly"/>
    <s v="vw_cap"/>
    <n v="18"/>
    <x v="224"/>
    <n v="-3.6707003942021499E-3"/>
  </r>
  <r>
    <s v="bra"/>
    <x v="4"/>
    <s v="monthly"/>
    <s v="vw_cap"/>
    <n v="18"/>
    <x v="225"/>
    <n v="3.1405385960658297E-2"/>
  </r>
  <r>
    <s v="bra"/>
    <x v="4"/>
    <s v="monthly"/>
    <s v="vw_cap"/>
    <n v="18"/>
    <x v="226"/>
    <n v="5.4762511945526896E-3"/>
  </r>
  <r>
    <s v="bra"/>
    <x v="4"/>
    <s v="monthly"/>
    <s v="vw_cap"/>
    <n v="18"/>
    <x v="227"/>
    <n v="5.0553370504505101E-3"/>
  </r>
  <r>
    <s v="bra"/>
    <x v="4"/>
    <s v="monthly"/>
    <s v="vw_cap"/>
    <n v="18"/>
    <x v="228"/>
    <n v="-1.9990716250576499E-2"/>
  </r>
  <r>
    <s v="bra"/>
    <x v="4"/>
    <s v="monthly"/>
    <s v="vw_cap"/>
    <n v="18"/>
    <x v="229"/>
    <n v="-3.1972286609807703E-5"/>
  </r>
  <r>
    <s v="bra"/>
    <x v="4"/>
    <s v="monthly"/>
    <s v="vw_cap"/>
    <n v="18"/>
    <x v="230"/>
    <n v="7.1287385903041301E-3"/>
  </r>
  <r>
    <s v="bra"/>
    <x v="4"/>
    <s v="monthly"/>
    <s v="vw_cap"/>
    <n v="18"/>
    <x v="231"/>
    <n v="-1.48176009013215E-2"/>
  </r>
  <r>
    <s v="bra"/>
    <x v="4"/>
    <s v="monthly"/>
    <s v="vw_cap"/>
    <n v="18"/>
    <x v="232"/>
    <n v="-3.1134953106566401E-2"/>
  </r>
  <r>
    <s v="bra"/>
    <x v="4"/>
    <s v="monthly"/>
    <s v="vw_cap"/>
    <n v="18"/>
    <x v="233"/>
    <n v="9.5421938464895805E-4"/>
  </r>
  <r>
    <s v="bra"/>
    <x v="4"/>
    <s v="monthly"/>
    <s v="vw_cap"/>
    <n v="18"/>
    <x v="234"/>
    <n v="-2.2384270467067299E-2"/>
  </r>
  <r>
    <s v="bra"/>
    <x v="4"/>
    <s v="monthly"/>
    <s v="vw_cap"/>
    <n v="18"/>
    <x v="235"/>
    <n v="2.49515555557576E-2"/>
  </r>
  <r>
    <s v="bra"/>
    <x v="4"/>
    <s v="monthly"/>
    <s v="vw_cap"/>
    <n v="18"/>
    <x v="236"/>
    <n v="5.1895271804457702E-2"/>
  </r>
  <r>
    <s v="bra"/>
    <x v="4"/>
    <s v="monthly"/>
    <s v="vw_cap"/>
    <n v="18"/>
    <x v="237"/>
    <n v="3.7031059245394203E-2"/>
  </r>
  <r>
    <s v="bra"/>
    <x v="4"/>
    <s v="monthly"/>
    <s v="vw_cap"/>
    <n v="18"/>
    <x v="238"/>
    <n v="6.4274293876334904E-2"/>
  </r>
  <r>
    <s v="bra"/>
    <x v="4"/>
    <s v="monthly"/>
    <s v="vw_cap"/>
    <n v="18"/>
    <x v="239"/>
    <n v="9.3499769283963592E-3"/>
  </r>
  <r>
    <s v="bra"/>
    <x v="4"/>
    <s v="monthly"/>
    <s v="vw_cap"/>
    <n v="18"/>
    <x v="240"/>
    <n v="-6.6700022641319598E-3"/>
  </r>
  <r>
    <s v="bra"/>
    <x v="4"/>
    <s v="monthly"/>
    <s v="vw_cap"/>
    <n v="18"/>
    <x v="241"/>
    <n v="-4.3210712842285098E-3"/>
  </r>
  <r>
    <s v="bra"/>
    <x v="4"/>
    <s v="monthly"/>
    <s v="vw_cap"/>
    <n v="18"/>
    <x v="242"/>
    <n v="5.2938191240916699E-2"/>
  </r>
  <r>
    <s v="bra"/>
    <x v="4"/>
    <s v="monthly"/>
    <s v="vw_cap"/>
    <n v="18"/>
    <x v="243"/>
    <n v="-5.6770407329172498E-3"/>
  </r>
  <r>
    <s v="bra"/>
    <x v="4"/>
    <s v="monthly"/>
    <s v="vw_cap"/>
    <n v="18"/>
    <x v="244"/>
    <n v="5.7209716751654503E-2"/>
  </r>
  <r>
    <s v="bra"/>
    <x v="4"/>
    <s v="monthly"/>
    <s v="vw_cap"/>
    <n v="18"/>
    <x v="245"/>
    <n v="1.5654699774264501E-2"/>
  </r>
  <r>
    <s v="bra"/>
    <x v="4"/>
    <s v="monthly"/>
    <s v="vw_cap"/>
    <n v="18"/>
    <x v="246"/>
    <n v="8.11177939257927E-2"/>
  </r>
  <r>
    <s v="bra"/>
    <x v="4"/>
    <s v="monthly"/>
    <s v="vw_cap"/>
    <n v="18"/>
    <x v="247"/>
    <n v="-1.02760711995674E-2"/>
  </r>
  <r>
    <s v="bra"/>
    <x v="4"/>
    <s v="monthly"/>
    <s v="vw_cap"/>
    <n v="18"/>
    <x v="248"/>
    <n v="-7.4419019228242206E-2"/>
  </r>
  <r>
    <s v="bra"/>
    <x v="4"/>
    <s v="monthly"/>
    <s v="vw_cap"/>
    <n v="18"/>
    <x v="249"/>
    <n v="-9.0327557376190092E-3"/>
  </r>
  <r>
    <s v="bra"/>
    <x v="4"/>
    <s v="monthly"/>
    <s v="vw_cap"/>
    <n v="18"/>
    <x v="250"/>
    <n v="5.7162562966913098E-3"/>
  </r>
  <r>
    <s v="bra"/>
    <x v="4"/>
    <s v="monthly"/>
    <s v="vw_cap"/>
    <n v="18"/>
    <x v="251"/>
    <n v="7.2471700855955501E-2"/>
  </r>
  <r>
    <s v="bra"/>
    <x v="4"/>
    <s v="monthly"/>
    <s v="vw_cap"/>
    <n v="18"/>
    <x v="252"/>
    <n v="1.47476779832832E-2"/>
  </r>
  <r>
    <s v="bra"/>
    <x v="4"/>
    <s v="monthly"/>
    <s v="vw_cap"/>
    <n v="18"/>
    <x v="253"/>
    <n v="-2.94738066356212E-2"/>
  </r>
  <r>
    <s v="bra"/>
    <x v="4"/>
    <s v="monthly"/>
    <s v="vw_cap"/>
    <n v="18"/>
    <x v="254"/>
    <n v="5.6986508367169598E-2"/>
  </r>
  <r>
    <s v="bra"/>
    <x v="4"/>
    <s v="monthly"/>
    <s v="vw_cap"/>
    <n v="18"/>
    <x v="255"/>
    <n v="4.5608281704875901E-2"/>
  </r>
  <r>
    <s v="bra"/>
    <x v="4"/>
    <s v="monthly"/>
    <s v="vw_cap"/>
    <n v="18"/>
    <x v="256"/>
    <n v="-3.2104453944956902E-3"/>
  </r>
  <r>
    <s v="bra"/>
    <x v="4"/>
    <s v="monthly"/>
    <s v="vw_cap"/>
    <n v="18"/>
    <x v="257"/>
    <n v="-0.102815357305353"/>
  </r>
  <r>
    <s v="bra"/>
    <x v="4"/>
    <s v="monthly"/>
    <s v="vw_cap"/>
    <n v="18"/>
    <x v="258"/>
    <n v="-9.8768678886232298E-3"/>
  </r>
  <r>
    <s v="bra"/>
    <x v="4"/>
    <s v="monthly"/>
    <s v="vw_cap"/>
    <n v="18"/>
    <x v="259"/>
    <n v="-3.2591796921375697E-2"/>
  </r>
  <r>
    <s v="bra"/>
    <x v="4"/>
    <s v="monthly"/>
    <s v="vw_cap"/>
    <n v="18"/>
    <x v="260"/>
    <n v="3.6826907051074602E-2"/>
  </r>
  <r>
    <s v="bra"/>
    <x v="4"/>
    <s v="monthly"/>
    <s v="vw_cap"/>
    <n v="18"/>
    <x v="261"/>
    <n v="2.3432174299357501E-2"/>
  </r>
  <r>
    <s v="bra"/>
    <x v="4"/>
    <s v="monthly"/>
    <s v="vw_cap"/>
    <n v="18"/>
    <x v="262"/>
    <n v="5.27740282210339E-2"/>
  </r>
  <r>
    <s v="bra"/>
    <x v="4"/>
    <s v="monthly"/>
    <s v="vw_cap"/>
    <n v="18"/>
    <x v="263"/>
    <n v="-4.1051774661234601E-2"/>
  </r>
  <r>
    <s v="bra"/>
    <x v="4"/>
    <s v="monthly"/>
    <s v="vw_cap"/>
    <n v="18"/>
    <x v="264"/>
    <n v="-2.5845067341724701E-3"/>
  </r>
  <r>
    <s v="bra"/>
    <x v="4"/>
    <s v="monthly"/>
    <s v="vw_cap"/>
    <n v="18"/>
    <x v="265"/>
    <n v="1.55259321186815E-2"/>
  </r>
  <r>
    <s v="bra"/>
    <x v="4"/>
    <s v="monthly"/>
    <s v="vw_cap"/>
    <n v="18"/>
    <x v="266"/>
    <n v="7.3223184804931396E-3"/>
  </r>
  <r>
    <s v="bra"/>
    <x v="4"/>
    <s v="monthly"/>
    <s v="vw_cap"/>
    <n v="18"/>
    <x v="267"/>
    <n v="-2.44162412992407E-2"/>
  </r>
  <r>
    <s v="bra"/>
    <x v="4"/>
    <s v="monthly"/>
    <s v="vw_cap"/>
    <n v="18"/>
    <x v="268"/>
    <n v="4.3013378209852099E-2"/>
  </r>
  <r>
    <s v="bra"/>
    <x v="4"/>
    <s v="monthly"/>
    <s v="vw_cap"/>
    <n v="18"/>
    <x v="269"/>
    <n v="8.5133013049378805E-4"/>
  </r>
  <r>
    <s v="bra"/>
    <x v="4"/>
    <s v="monthly"/>
    <s v="vw_cap"/>
    <n v="18"/>
    <x v="270"/>
    <n v="6.8831407390844796E-3"/>
  </r>
  <r>
    <s v="bra"/>
    <x v="4"/>
    <s v="monthly"/>
    <s v="vw_cap"/>
    <n v="18"/>
    <x v="271"/>
    <n v="4.0671793033579201E-3"/>
  </r>
  <r>
    <s v="bra"/>
    <x v="4"/>
    <s v="monthly"/>
    <s v="vw_cap"/>
    <n v="18"/>
    <x v="272"/>
    <n v="1.9851803145106602E-2"/>
  </r>
  <r>
    <s v="bra"/>
    <x v="4"/>
    <s v="monthly"/>
    <s v="vw_cap"/>
    <n v="18"/>
    <x v="273"/>
    <n v="2.0490414079227401E-2"/>
  </r>
  <r>
    <s v="bra"/>
    <x v="4"/>
    <s v="monthly"/>
    <s v="vw_cap"/>
    <n v="18"/>
    <x v="274"/>
    <n v="-1.11658990676605E-2"/>
  </r>
  <r>
    <s v="bra"/>
    <x v="4"/>
    <s v="monthly"/>
    <s v="vw_cap"/>
    <n v="18"/>
    <x v="275"/>
    <n v="1.14804005249785E-2"/>
  </r>
  <r>
    <s v="bra"/>
    <x v="4"/>
    <s v="monthly"/>
    <s v="vw_cap"/>
    <n v="18"/>
    <x v="276"/>
    <n v="4.1603030045114398E-2"/>
  </r>
  <r>
    <s v="bra"/>
    <x v="4"/>
    <s v="monthly"/>
    <s v="vw_cap"/>
    <n v="17"/>
    <x v="277"/>
    <n v="5.6854071550832396E-3"/>
  </r>
  <r>
    <s v="bra"/>
    <x v="4"/>
    <s v="monthly"/>
    <s v="vw_cap"/>
    <n v="17"/>
    <x v="278"/>
    <n v="3.5419957326628101E-2"/>
  </r>
  <r>
    <s v="bra"/>
    <x v="4"/>
    <s v="monthly"/>
    <s v="vw_cap"/>
    <n v="16"/>
    <x v="279"/>
    <n v="-2.9774254276400298E-2"/>
  </r>
  <r>
    <s v="bra"/>
    <x v="4"/>
    <s v="monthly"/>
    <s v="vw_cap"/>
    <n v="17"/>
    <x v="280"/>
    <n v="-1.2959967600132899E-2"/>
  </r>
  <r>
    <s v="bra"/>
    <x v="4"/>
    <s v="monthly"/>
    <s v="vw_cap"/>
    <n v="17"/>
    <x v="281"/>
    <n v="-4.1901650007289397E-2"/>
  </r>
  <r>
    <s v="bra"/>
    <x v="4"/>
    <s v="monthly"/>
    <s v="vw_cap"/>
    <n v="18"/>
    <x v="282"/>
    <n v="8.6922782083144502E-3"/>
  </r>
  <r>
    <s v="bra"/>
    <x v="4"/>
    <s v="monthly"/>
    <s v="vw_cap"/>
    <n v="18"/>
    <x v="283"/>
    <n v="1.74134382854534E-2"/>
  </r>
  <r>
    <s v="bra"/>
    <x v="4"/>
    <s v="monthly"/>
    <s v="vw_cap"/>
    <n v="18"/>
    <x v="284"/>
    <n v="1.81786032271062E-2"/>
  </r>
  <r>
    <s v="bra"/>
    <x v="4"/>
    <s v="monthly"/>
    <s v="vw_cap"/>
    <n v="18"/>
    <x v="285"/>
    <n v="1.38639457824955E-3"/>
  </r>
  <r>
    <s v="bra"/>
    <x v="4"/>
    <s v="monthly"/>
    <s v="vw_cap"/>
    <n v="18"/>
    <x v="286"/>
    <n v="3.0661437275596601E-2"/>
  </r>
  <r>
    <s v="bra"/>
    <x v="4"/>
    <s v="monthly"/>
    <s v="vw_cap"/>
    <n v="17"/>
    <x v="287"/>
    <n v="7.2998653913613201E-3"/>
  </r>
  <r>
    <s v="bra"/>
    <x v="4"/>
    <s v="monthly"/>
    <s v="vw_cap"/>
    <n v="17"/>
    <x v="288"/>
    <n v="3.8789292545677499E-2"/>
  </r>
  <r>
    <s v="bra"/>
    <x v="5"/>
    <s v="monthly"/>
    <s v="vw_cap"/>
    <n v="2"/>
    <x v="312"/>
    <n v="7.7600370143212499E-2"/>
  </r>
  <r>
    <s v="bra"/>
    <x v="5"/>
    <s v="monthly"/>
    <s v="vw_cap"/>
    <n v="5"/>
    <x v="313"/>
    <n v="-6.24960341790535E-2"/>
  </r>
  <r>
    <s v="bra"/>
    <x v="5"/>
    <s v="monthly"/>
    <s v="vw_cap"/>
    <n v="5"/>
    <x v="314"/>
    <n v="-3.6445179000933102E-2"/>
  </r>
  <r>
    <s v="bra"/>
    <x v="5"/>
    <s v="monthly"/>
    <s v="vw_cap"/>
    <n v="6"/>
    <x v="315"/>
    <n v="1.3445286692980399E-3"/>
  </r>
  <r>
    <s v="bra"/>
    <x v="5"/>
    <s v="monthly"/>
    <s v="vw_cap"/>
    <n v="6"/>
    <x v="316"/>
    <n v="5.9017873784089299E-2"/>
  </r>
  <r>
    <s v="bra"/>
    <x v="5"/>
    <s v="monthly"/>
    <s v="vw_cap"/>
    <n v="6"/>
    <x v="317"/>
    <n v="8.8315499702154202E-2"/>
  </r>
  <r>
    <s v="bra"/>
    <x v="5"/>
    <s v="monthly"/>
    <s v="vw_cap"/>
    <n v="6"/>
    <x v="318"/>
    <n v="-8.1537476955812399E-2"/>
  </r>
  <r>
    <s v="bra"/>
    <x v="5"/>
    <s v="monthly"/>
    <s v="vw_cap"/>
    <n v="6"/>
    <x v="319"/>
    <n v="-1.7655659235593899E-2"/>
  </r>
  <r>
    <s v="bra"/>
    <x v="5"/>
    <s v="monthly"/>
    <s v="vw_cap"/>
    <n v="6"/>
    <x v="320"/>
    <n v="-6.9489660844356899E-2"/>
  </r>
  <r>
    <s v="bra"/>
    <x v="5"/>
    <s v="monthly"/>
    <s v="vw_cap"/>
    <n v="5"/>
    <x v="321"/>
    <n v="-6.9661245712129893E-2"/>
  </r>
  <r>
    <s v="bra"/>
    <x v="5"/>
    <s v="monthly"/>
    <s v="vw_cap"/>
    <n v="5"/>
    <x v="322"/>
    <n v="-3.73228616185085E-2"/>
  </r>
  <r>
    <s v="bra"/>
    <x v="5"/>
    <s v="monthly"/>
    <s v="vw_cap"/>
    <n v="5"/>
    <x v="323"/>
    <n v="2.4352422364070599E-2"/>
  </r>
  <r>
    <s v="bra"/>
    <x v="5"/>
    <s v="monthly"/>
    <s v="vw_cap"/>
    <n v="6"/>
    <x v="324"/>
    <n v="1.81402829616061E-3"/>
  </r>
  <r>
    <s v="bra"/>
    <x v="5"/>
    <s v="monthly"/>
    <s v="vw_cap"/>
    <n v="5"/>
    <x v="325"/>
    <n v="-5.1220589682625502E-2"/>
  </r>
  <r>
    <s v="bra"/>
    <x v="5"/>
    <s v="monthly"/>
    <s v="vw_cap"/>
    <n v="6"/>
    <x v="326"/>
    <n v="2.6141584854924401E-2"/>
  </r>
  <r>
    <s v="bra"/>
    <x v="5"/>
    <s v="monthly"/>
    <s v="vw_cap"/>
    <n v="6"/>
    <x v="327"/>
    <n v="4.1245045972655801E-3"/>
  </r>
  <r>
    <s v="bra"/>
    <x v="5"/>
    <s v="monthly"/>
    <s v="vw_cap"/>
    <n v="6"/>
    <x v="328"/>
    <n v="-5.9687877069752503E-2"/>
  </r>
  <r>
    <s v="bra"/>
    <x v="5"/>
    <s v="monthly"/>
    <s v="vw_cap"/>
    <n v="5"/>
    <x v="329"/>
    <n v="7.9635403801213506E-2"/>
  </r>
  <r>
    <s v="bra"/>
    <x v="5"/>
    <s v="monthly"/>
    <s v="vw_cap"/>
    <n v="5"/>
    <x v="330"/>
    <n v="2.5143110902878001E-2"/>
  </r>
  <r>
    <s v="bra"/>
    <x v="5"/>
    <s v="monthly"/>
    <s v="vw_cap"/>
    <n v="5"/>
    <x v="331"/>
    <n v="-9.5335397212564007E-3"/>
  </r>
  <r>
    <s v="bra"/>
    <x v="5"/>
    <s v="monthly"/>
    <s v="vw_cap"/>
    <n v="5"/>
    <x v="332"/>
    <n v="7.3170109712517098E-2"/>
  </r>
  <r>
    <s v="bra"/>
    <x v="5"/>
    <s v="monthly"/>
    <s v="vw_cap"/>
    <n v="5"/>
    <x v="333"/>
    <n v="1.3899618155034901E-2"/>
  </r>
  <r>
    <s v="bra"/>
    <x v="5"/>
    <s v="monthly"/>
    <s v="vw_cap"/>
    <n v="5"/>
    <x v="334"/>
    <n v="0.17837117334246699"/>
  </r>
  <r>
    <s v="bra"/>
    <x v="5"/>
    <s v="monthly"/>
    <s v="vw_cap"/>
    <n v="5"/>
    <x v="335"/>
    <n v="-2.3581917727839002E-2"/>
  </r>
  <r>
    <s v="bra"/>
    <x v="5"/>
    <s v="monthly"/>
    <s v="vw_cap"/>
    <n v="6"/>
    <x v="336"/>
    <n v="-7.6911941047952098E-2"/>
  </r>
  <r>
    <s v="bra"/>
    <x v="5"/>
    <s v="monthly"/>
    <s v="vw_cap"/>
    <n v="6"/>
    <x v="337"/>
    <n v="-4.7393531329724403E-2"/>
  </r>
  <r>
    <s v="bra"/>
    <x v="5"/>
    <s v="monthly"/>
    <s v="vw_cap"/>
    <n v="6"/>
    <x v="338"/>
    <n v="-6.2735035668568199E-3"/>
  </r>
  <r>
    <s v="bra"/>
    <x v="5"/>
    <s v="monthly"/>
    <s v="vw_cap"/>
    <n v="6"/>
    <x v="339"/>
    <n v="-9.3464246562700096E-3"/>
  </r>
  <r>
    <s v="bra"/>
    <x v="5"/>
    <s v="monthly"/>
    <s v="vw_cap"/>
    <n v="6"/>
    <x v="340"/>
    <n v="3.2304562437410101E-3"/>
  </r>
  <r>
    <s v="bra"/>
    <x v="5"/>
    <s v="monthly"/>
    <s v="vw_cap"/>
    <n v="6"/>
    <x v="341"/>
    <n v="2.54763110898709E-2"/>
  </r>
  <r>
    <s v="bra"/>
    <x v="5"/>
    <s v="monthly"/>
    <s v="vw_cap"/>
    <n v="6"/>
    <x v="342"/>
    <n v="8.6172404032334199E-2"/>
  </r>
  <r>
    <s v="bra"/>
    <x v="5"/>
    <s v="monthly"/>
    <s v="vw_cap"/>
    <n v="6"/>
    <x v="343"/>
    <n v="2.50464697460226E-2"/>
  </r>
  <r>
    <s v="bra"/>
    <x v="5"/>
    <s v="monthly"/>
    <s v="vw_cap"/>
    <n v="6"/>
    <x v="344"/>
    <n v="0.124740843395441"/>
  </r>
  <r>
    <s v="bra"/>
    <x v="5"/>
    <s v="monthly"/>
    <s v="vw_cap"/>
    <n v="6"/>
    <x v="345"/>
    <n v="-1.8272862008821601E-2"/>
  </r>
  <r>
    <s v="bra"/>
    <x v="5"/>
    <s v="monthly"/>
    <s v="vw_cap"/>
    <n v="6"/>
    <x v="346"/>
    <n v="-8.2586740971654804E-2"/>
  </r>
  <r>
    <s v="bra"/>
    <x v="5"/>
    <s v="monthly"/>
    <s v="vw_cap"/>
    <n v="6"/>
    <x v="347"/>
    <n v="2.1655992315955902E-3"/>
  </r>
  <r>
    <s v="bra"/>
    <x v="5"/>
    <s v="monthly"/>
    <s v="vw_cap"/>
    <n v="6"/>
    <x v="348"/>
    <n v="-8.6171350571380007E-2"/>
  </r>
  <r>
    <s v="bra"/>
    <x v="5"/>
    <s v="monthly"/>
    <s v="vw_cap"/>
    <n v="6"/>
    <x v="349"/>
    <n v="3.3173597287668999E-2"/>
  </r>
  <r>
    <s v="bra"/>
    <x v="5"/>
    <s v="monthly"/>
    <s v="vw_cap"/>
    <n v="6"/>
    <x v="350"/>
    <n v="9.2348227162043398E-2"/>
  </r>
  <r>
    <s v="bra"/>
    <x v="5"/>
    <s v="monthly"/>
    <s v="vw_cap"/>
    <n v="6"/>
    <x v="351"/>
    <n v="2.4441563592054998E-3"/>
  </r>
  <r>
    <s v="bra"/>
    <x v="5"/>
    <s v="monthly"/>
    <s v="vw_cap"/>
    <n v="6"/>
    <x v="352"/>
    <n v="9.6243045954432296E-3"/>
  </r>
  <r>
    <s v="bra"/>
    <x v="5"/>
    <s v="monthly"/>
    <s v="vw_cap"/>
    <n v="6"/>
    <x v="353"/>
    <n v="-0.13793352679644699"/>
  </r>
  <r>
    <s v="bra"/>
    <x v="5"/>
    <s v="monthly"/>
    <s v="vw_cap"/>
    <n v="6"/>
    <x v="354"/>
    <n v="3.5652992796898798E-2"/>
  </r>
  <r>
    <s v="bra"/>
    <x v="5"/>
    <s v="monthly"/>
    <s v="vw_cap"/>
    <n v="6"/>
    <x v="355"/>
    <n v="-6.2786608660989299E-2"/>
  </r>
  <r>
    <s v="bra"/>
    <x v="5"/>
    <s v="monthly"/>
    <s v="vw_cap"/>
    <n v="6"/>
    <x v="356"/>
    <n v="8.4186230390378203E-2"/>
  </r>
  <r>
    <s v="bra"/>
    <x v="5"/>
    <s v="monthly"/>
    <s v="vw_cap"/>
    <n v="6"/>
    <x v="0"/>
    <n v="4.4638035680462401E-2"/>
  </r>
  <r>
    <s v="bra"/>
    <x v="5"/>
    <s v="monthly"/>
    <s v="vw_cap"/>
    <n v="6"/>
    <x v="1"/>
    <n v="0.185700033018496"/>
  </r>
  <r>
    <s v="bra"/>
    <x v="5"/>
    <s v="monthly"/>
    <s v="vw_cap"/>
    <n v="6"/>
    <x v="289"/>
    <n v="-9.2594859528172604E-2"/>
  </r>
  <r>
    <s v="bra"/>
    <x v="5"/>
    <s v="monthly"/>
    <s v="vw_cap"/>
    <n v="6"/>
    <x v="290"/>
    <n v="7.3891118146489798E-2"/>
  </r>
  <r>
    <s v="bra"/>
    <x v="5"/>
    <s v="monthly"/>
    <s v="vw_cap"/>
    <n v="6"/>
    <x v="291"/>
    <n v="0.113265056479447"/>
  </r>
  <r>
    <s v="bra"/>
    <x v="5"/>
    <s v="monthly"/>
    <s v="vw_cap"/>
    <n v="6"/>
    <x v="292"/>
    <n v="-5.9757629517962603E-2"/>
  </r>
  <r>
    <s v="bra"/>
    <x v="5"/>
    <s v="monthly"/>
    <s v="vw_cap"/>
    <n v="6"/>
    <x v="293"/>
    <n v="-0.28172355899547502"/>
  </r>
  <r>
    <s v="bra"/>
    <x v="5"/>
    <s v="monthly"/>
    <s v="vw_cap"/>
    <n v="6"/>
    <x v="2"/>
    <n v="0.192296218234975"/>
  </r>
  <r>
    <s v="bra"/>
    <x v="5"/>
    <s v="monthly"/>
    <s v="vw_cap"/>
    <n v="6"/>
    <x v="3"/>
    <n v="0.15065184250727801"/>
  </r>
  <r>
    <s v="bra"/>
    <x v="5"/>
    <s v="monthly"/>
    <s v="vw_cap"/>
    <n v="5"/>
    <x v="357"/>
    <n v="-0.21567579224439701"/>
  </r>
  <r>
    <s v="bra"/>
    <x v="5"/>
    <s v="monthly"/>
    <s v="vw_cap"/>
    <n v="6"/>
    <x v="358"/>
    <n v="-0.40904910379245302"/>
  </r>
  <r>
    <s v="bra"/>
    <x v="5"/>
    <s v="monthly"/>
    <s v="vw_cap"/>
    <n v="6"/>
    <x v="359"/>
    <n v="-9.2560804678756506E-2"/>
  </r>
  <r>
    <s v="bra"/>
    <x v="5"/>
    <s v="monthly"/>
    <s v="vw_cap"/>
    <n v="6"/>
    <x v="4"/>
    <n v="-1.8859715219806E-3"/>
  </r>
  <r>
    <s v="bra"/>
    <x v="5"/>
    <s v="monthly"/>
    <s v="vw_cap"/>
    <n v="6"/>
    <x v="5"/>
    <n v="0.17755866962437"/>
  </r>
  <r>
    <s v="bra"/>
    <x v="5"/>
    <s v="monthly"/>
    <s v="vw_cap"/>
    <n v="6"/>
    <x v="6"/>
    <n v="1.7215513137682301E-2"/>
  </r>
  <r>
    <s v="bra"/>
    <x v="5"/>
    <s v="monthly"/>
    <s v="vw_cap"/>
    <n v="6"/>
    <x v="7"/>
    <n v="4.4790660591901101E-2"/>
  </r>
  <r>
    <s v="bra"/>
    <x v="5"/>
    <s v="monthly"/>
    <s v="vw_cap"/>
    <n v="6"/>
    <x v="8"/>
    <n v="-6.9886499402834104E-2"/>
  </r>
  <r>
    <s v="bra"/>
    <x v="5"/>
    <s v="monthly"/>
    <s v="vw_cap"/>
    <n v="6"/>
    <x v="9"/>
    <n v="-4.1841634622499901E-2"/>
  </r>
  <r>
    <s v="bra"/>
    <x v="5"/>
    <s v="monthly"/>
    <s v="vw_cap"/>
    <n v="6"/>
    <x v="294"/>
    <n v="2.8130362362812598E-2"/>
  </r>
  <r>
    <s v="bra"/>
    <x v="5"/>
    <s v="monthly"/>
    <s v="vw_cap"/>
    <n v="6"/>
    <x v="10"/>
    <n v="-1.4068388454721199E-2"/>
  </r>
  <r>
    <s v="bra"/>
    <x v="5"/>
    <s v="monthly"/>
    <s v="vw_cap"/>
    <n v="6"/>
    <x v="11"/>
    <n v="1.6074161073276302E-2"/>
  </r>
  <r>
    <s v="bra"/>
    <x v="5"/>
    <s v="monthly"/>
    <s v="vw_cap"/>
    <n v="6"/>
    <x v="12"/>
    <n v="4.77648569550349E-2"/>
  </r>
  <r>
    <s v="bra"/>
    <x v="5"/>
    <s v="monthly"/>
    <s v="vw_cap"/>
    <n v="6"/>
    <x v="13"/>
    <n v="-1.7232529263925701E-2"/>
  </r>
  <r>
    <s v="bra"/>
    <x v="5"/>
    <s v="monthly"/>
    <s v="vw_cap"/>
    <n v="6"/>
    <x v="14"/>
    <n v="-7.3981648043595499E-2"/>
  </r>
  <r>
    <s v="bra"/>
    <x v="5"/>
    <s v="monthly"/>
    <s v="vw_cap"/>
    <n v="6"/>
    <x v="15"/>
    <n v="9.2794470128321704E-2"/>
  </r>
  <r>
    <s v="bra"/>
    <x v="5"/>
    <s v="monthly"/>
    <s v="vw_cap"/>
    <n v="6"/>
    <x v="16"/>
    <n v="5.0450317158688002E-2"/>
  </r>
  <r>
    <s v="bra"/>
    <x v="5"/>
    <s v="monthly"/>
    <s v="vw_cap"/>
    <n v="6"/>
    <x v="17"/>
    <n v="-7.4850067549593604E-3"/>
  </r>
  <r>
    <s v="bra"/>
    <x v="5"/>
    <s v="monthly"/>
    <s v="vw_cap"/>
    <n v="6"/>
    <x v="18"/>
    <n v="-9.7980215032503606E-2"/>
  </r>
  <r>
    <s v="bra"/>
    <x v="5"/>
    <s v="monthly"/>
    <s v="vw_cap"/>
    <n v="6"/>
    <x v="19"/>
    <n v="5.88649422866203E-2"/>
  </r>
  <r>
    <s v="bra"/>
    <x v="5"/>
    <s v="monthly"/>
    <s v="vw_cap"/>
    <n v="6"/>
    <x v="20"/>
    <n v="-3.2956256489236599E-2"/>
  </r>
  <r>
    <s v="bra"/>
    <x v="5"/>
    <s v="monthly"/>
    <s v="vw_cap"/>
    <n v="6"/>
    <x v="21"/>
    <n v="2.0222554031203301E-2"/>
  </r>
  <r>
    <s v="bra"/>
    <x v="5"/>
    <s v="monthly"/>
    <s v="vw_cap"/>
    <n v="6"/>
    <x v="22"/>
    <n v="-1.57057884646934E-2"/>
  </r>
  <r>
    <s v="bra"/>
    <x v="5"/>
    <s v="monthly"/>
    <s v="vw_cap"/>
    <n v="6"/>
    <x v="23"/>
    <n v="-5.6000032026946402E-2"/>
  </r>
  <r>
    <s v="bra"/>
    <x v="5"/>
    <s v="monthly"/>
    <s v="vw_cap"/>
    <n v="6"/>
    <x v="24"/>
    <n v="7.2729909938500495E-2"/>
  </r>
  <r>
    <s v="bra"/>
    <x v="5"/>
    <s v="monthly"/>
    <s v="vw_cap"/>
    <n v="6"/>
    <x v="25"/>
    <n v="6.3056191875203005E-2"/>
  </r>
  <r>
    <s v="bra"/>
    <x v="5"/>
    <s v="monthly"/>
    <s v="vw_cap"/>
    <n v="6"/>
    <x v="26"/>
    <n v="-1.8419046801356E-2"/>
  </r>
  <r>
    <s v="bra"/>
    <x v="5"/>
    <s v="monthly"/>
    <s v="vw_cap"/>
    <n v="6"/>
    <x v="27"/>
    <n v="7.6504687287303101E-3"/>
  </r>
  <r>
    <s v="bra"/>
    <x v="5"/>
    <s v="monthly"/>
    <s v="vw_cap"/>
    <n v="6"/>
    <x v="295"/>
    <n v="0.13364026145281199"/>
  </r>
  <r>
    <s v="bra"/>
    <x v="5"/>
    <s v="monthly"/>
    <s v="vw_cap"/>
    <n v="6"/>
    <x v="296"/>
    <n v="1.38341479404999E-2"/>
  </r>
  <r>
    <s v="bra"/>
    <x v="5"/>
    <s v="monthly"/>
    <s v="vw_cap"/>
    <n v="6"/>
    <x v="297"/>
    <n v="6.5226394404657396E-3"/>
  </r>
  <r>
    <s v="bra"/>
    <x v="5"/>
    <s v="monthly"/>
    <s v="vw_cap"/>
    <n v="6"/>
    <x v="298"/>
    <n v="6.2547742465816195E-2"/>
  </r>
  <r>
    <s v="bra"/>
    <x v="5"/>
    <s v="monthly"/>
    <s v="vw_cap"/>
    <n v="6"/>
    <x v="360"/>
    <n v="-5.8828802242717797E-2"/>
  </r>
  <r>
    <s v="bra"/>
    <x v="5"/>
    <s v="monthly"/>
    <s v="vw_cap"/>
    <n v="6"/>
    <x v="361"/>
    <n v="-0.100074354569509"/>
  </r>
  <r>
    <s v="bra"/>
    <x v="5"/>
    <s v="monthly"/>
    <s v="vw_cap"/>
    <n v="6"/>
    <x v="362"/>
    <n v="3.8239729380083902E-2"/>
  </r>
  <r>
    <s v="bra"/>
    <x v="5"/>
    <s v="monthly"/>
    <s v="vw_cap"/>
    <n v="6"/>
    <x v="299"/>
    <n v="-1.4988766399112299E-2"/>
  </r>
  <r>
    <s v="bra"/>
    <x v="5"/>
    <s v="monthly"/>
    <s v="vw_cap"/>
    <n v="6"/>
    <x v="300"/>
    <n v="6.7042055890338598E-2"/>
  </r>
  <r>
    <s v="bra"/>
    <x v="5"/>
    <s v="monthly"/>
    <s v="vw_cap"/>
    <n v="6"/>
    <x v="301"/>
    <n v="5.5149928138603602E-2"/>
  </r>
  <r>
    <s v="bra"/>
    <x v="5"/>
    <s v="monthly"/>
    <s v="vw_cap"/>
    <n v="6"/>
    <x v="302"/>
    <n v="8.8473631847169804E-2"/>
  </r>
  <r>
    <s v="bra"/>
    <x v="5"/>
    <s v="monthly"/>
    <s v="vw_cap"/>
    <n v="6"/>
    <x v="303"/>
    <n v="-5.95893321000713E-2"/>
  </r>
  <r>
    <s v="bra"/>
    <x v="5"/>
    <s v="monthly"/>
    <s v="vw_cap"/>
    <n v="6"/>
    <x v="304"/>
    <n v="-3.2500590699607403E-2"/>
  </r>
  <r>
    <s v="bra"/>
    <x v="5"/>
    <s v="monthly"/>
    <s v="vw_cap"/>
    <n v="6"/>
    <x v="363"/>
    <n v="2.5664614786767001E-2"/>
  </r>
  <r>
    <s v="bra"/>
    <x v="5"/>
    <s v="monthly"/>
    <s v="vw_cap"/>
    <n v="5"/>
    <x v="364"/>
    <n v="-0.13330970560750199"/>
  </r>
  <r>
    <s v="bra"/>
    <x v="5"/>
    <s v="monthly"/>
    <s v="vw_cap"/>
    <n v="6"/>
    <x v="365"/>
    <n v="2.40677969854497E-2"/>
  </r>
  <r>
    <s v="bra"/>
    <x v="5"/>
    <s v="monthly"/>
    <s v="vw_cap"/>
    <n v="5"/>
    <x v="366"/>
    <n v="0.24621079833792001"/>
  </r>
  <r>
    <s v="bra"/>
    <x v="5"/>
    <s v="monthly"/>
    <s v="vw_cap"/>
    <n v="5"/>
    <x v="367"/>
    <n v="-1.9844254358374401E-3"/>
  </r>
  <r>
    <s v="bra"/>
    <x v="5"/>
    <s v="monthly"/>
    <s v="vw_cap"/>
    <n v="5"/>
    <x v="368"/>
    <n v="3.6609427419051502E-2"/>
  </r>
  <r>
    <s v="bra"/>
    <x v="5"/>
    <s v="monthly"/>
    <s v="vw_cap"/>
    <n v="6"/>
    <x v="369"/>
    <n v="4.6367127834443397E-2"/>
  </r>
  <r>
    <s v="bra"/>
    <x v="5"/>
    <s v="monthly"/>
    <s v="vw_cap"/>
    <n v="5"/>
    <x v="370"/>
    <n v="0.11616748903271799"/>
  </r>
  <r>
    <s v="bra"/>
    <x v="5"/>
    <s v="monthly"/>
    <s v="vw_cap"/>
    <n v="5"/>
    <x v="371"/>
    <n v="1.7434420906389001E-2"/>
  </r>
  <r>
    <s v="bra"/>
    <x v="5"/>
    <s v="monthly"/>
    <s v="vw_cap"/>
    <n v="5"/>
    <x v="372"/>
    <n v="-0.11624887948428"/>
  </r>
  <r>
    <s v="bra"/>
    <x v="5"/>
    <s v="monthly"/>
    <s v="vw_cap"/>
    <n v="6"/>
    <x v="373"/>
    <n v="3.9414640739009299E-2"/>
  </r>
  <r>
    <s v="bra"/>
    <x v="5"/>
    <s v="monthly"/>
    <s v="vw_cap"/>
    <n v="6"/>
    <x v="374"/>
    <n v="2.32659958499305E-3"/>
  </r>
  <r>
    <s v="bra"/>
    <x v="5"/>
    <s v="monthly"/>
    <s v="vw_cap"/>
    <n v="6"/>
    <x v="375"/>
    <n v="4.62009617540447E-2"/>
  </r>
  <r>
    <s v="bra"/>
    <x v="5"/>
    <s v="monthly"/>
    <s v="vw_cap"/>
    <n v="5"/>
    <x v="376"/>
    <n v="9.1497243836908201E-2"/>
  </r>
  <r>
    <s v="bra"/>
    <x v="5"/>
    <s v="monthly"/>
    <s v="vw_cap"/>
    <n v="6"/>
    <x v="305"/>
    <n v="-8.8646056198412801E-2"/>
  </r>
  <r>
    <s v="bra"/>
    <x v="5"/>
    <s v="monthly"/>
    <s v="vw_cap"/>
    <n v="6"/>
    <x v="306"/>
    <n v="6.0513063665356699E-2"/>
  </r>
  <r>
    <s v="bra"/>
    <x v="5"/>
    <s v="monthly"/>
    <s v="vw_cap"/>
    <n v="6"/>
    <x v="307"/>
    <n v="7.4221653994812703E-2"/>
  </r>
  <r>
    <s v="bra"/>
    <x v="5"/>
    <s v="monthly"/>
    <s v="vw_cap"/>
    <n v="6"/>
    <x v="28"/>
    <n v="-6.3427592858945003E-2"/>
  </r>
  <r>
    <s v="bra"/>
    <x v="5"/>
    <s v="monthly"/>
    <s v="vw_cap"/>
    <n v="6"/>
    <x v="308"/>
    <n v="-0.14380576957889801"/>
  </r>
  <r>
    <s v="bra"/>
    <x v="5"/>
    <s v="monthly"/>
    <s v="vw_cap"/>
    <n v="6"/>
    <x v="309"/>
    <n v="6.9609988856134994E-2"/>
  </r>
  <r>
    <s v="bra"/>
    <x v="5"/>
    <s v="monthly"/>
    <s v="vw_cap"/>
    <n v="6"/>
    <x v="310"/>
    <n v="1.1692676526899299E-2"/>
  </r>
  <r>
    <s v="bra"/>
    <x v="5"/>
    <s v="monthly"/>
    <s v="vw_cap"/>
    <n v="6"/>
    <x v="311"/>
    <n v="-5.4052326641893703E-2"/>
  </r>
  <r>
    <s v="bra"/>
    <x v="5"/>
    <s v="monthly"/>
    <s v="vw_cap"/>
    <n v="6"/>
    <x v="29"/>
    <n v="1.85868662462336E-2"/>
  </r>
  <r>
    <s v="bra"/>
    <x v="5"/>
    <s v="monthly"/>
    <s v="vw_cap"/>
    <n v="6"/>
    <x v="30"/>
    <n v="1.8701177277632701E-2"/>
  </r>
  <r>
    <s v="bra"/>
    <x v="5"/>
    <s v="monthly"/>
    <s v="vw_cap"/>
    <n v="6"/>
    <x v="31"/>
    <n v="4.1061645174181503E-2"/>
  </r>
  <r>
    <s v="bra"/>
    <x v="5"/>
    <s v="monthly"/>
    <s v="vw_cap"/>
    <n v="6"/>
    <x v="32"/>
    <n v="0.11163623082705"/>
  </r>
  <r>
    <s v="bra"/>
    <x v="5"/>
    <s v="monthly"/>
    <s v="vw_cap"/>
    <n v="6"/>
    <x v="33"/>
    <n v="1.1035209768009899E-2"/>
  </r>
  <r>
    <s v="bra"/>
    <x v="5"/>
    <s v="monthly"/>
    <s v="vw_cap"/>
    <n v="6"/>
    <x v="34"/>
    <n v="3.9760997798712602E-2"/>
  </r>
  <r>
    <s v="bra"/>
    <x v="5"/>
    <s v="monthly"/>
    <s v="vw_cap"/>
    <n v="6"/>
    <x v="35"/>
    <n v="9.9570417067676706E-2"/>
  </r>
  <r>
    <s v="bra"/>
    <x v="5"/>
    <s v="monthly"/>
    <s v="vw_cap"/>
    <n v="6"/>
    <x v="36"/>
    <n v="1.47143928415167E-2"/>
  </r>
  <r>
    <s v="bra"/>
    <x v="5"/>
    <s v="monthly"/>
    <s v="vw_cap"/>
    <n v="6"/>
    <x v="37"/>
    <n v="1.35460990515922E-3"/>
  </r>
  <r>
    <s v="bra"/>
    <x v="5"/>
    <s v="monthly"/>
    <s v="vw_cap"/>
    <n v="6"/>
    <x v="38"/>
    <n v="7.1111663699129296E-3"/>
  </r>
  <r>
    <s v="bra"/>
    <x v="5"/>
    <s v="monthly"/>
    <s v="vw_cap"/>
    <n v="6"/>
    <x v="39"/>
    <n v="-7.6004503518108904E-2"/>
  </r>
  <r>
    <s v="bra"/>
    <x v="5"/>
    <s v="monthly"/>
    <s v="vw_cap"/>
    <n v="6"/>
    <x v="40"/>
    <n v="-1.36811761538126E-2"/>
  </r>
  <r>
    <s v="bra"/>
    <x v="5"/>
    <s v="monthly"/>
    <s v="vw_cap"/>
    <n v="6"/>
    <x v="41"/>
    <n v="-4.42848680815228E-2"/>
  </r>
  <r>
    <s v="bra"/>
    <x v="5"/>
    <s v="monthly"/>
    <s v="vw_cap"/>
    <n v="6"/>
    <x v="42"/>
    <n v="-2.0289070465072602E-3"/>
  </r>
  <r>
    <s v="bra"/>
    <x v="5"/>
    <s v="monthly"/>
    <s v="vw_cap"/>
    <n v="6"/>
    <x v="43"/>
    <n v="-1.41992495903146E-2"/>
  </r>
  <r>
    <s v="bra"/>
    <x v="5"/>
    <s v="monthly"/>
    <s v="vw_cap"/>
    <n v="6"/>
    <x v="44"/>
    <n v="5.1873055191010299E-2"/>
  </r>
  <r>
    <s v="bra"/>
    <x v="5"/>
    <s v="monthly"/>
    <s v="vw_cap"/>
    <n v="6"/>
    <x v="45"/>
    <n v="5.1794673504983499E-2"/>
  </r>
  <r>
    <s v="bra"/>
    <x v="5"/>
    <s v="monthly"/>
    <s v="vw_cap"/>
    <n v="6"/>
    <x v="46"/>
    <n v="4.3316964496418801E-2"/>
  </r>
  <r>
    <s v="bra"/>
    <x v="5"/>
    <s v="monthly"/>
    <s v="vw_cap"/>
    <n v="6"/>
    <x v="47"/>
    <n v="-5.2244782320299603E-2"/>
  </r>
  <r>
    <s v="bra"/>
    <x v="5"/>
    <s v="monthly"/>
    <s v="vw_cap"/>
    <n v="6"/>
    <x v="48"/>
    <n v="1.79292489004594E-2"/>
  </r>
  <r>
    <s v="bra"/>
    <x v="5"/>
    <s v="monthly"/>
    <s v="vw_cap"/>
    <n v="6"/>
    <x v="49"/>
    <n v="2.88047545786893E-2"/>
  </r>
  <r>
    <s v="bra"/>
    <x v="5"/>
    <s v="monthly"/>
    <s v="vw_cap"/>
    <n v="6"/>
    <x v="50"/>
    <n v="-4.3927932091392299E-2"/>
  </r>
  <r>
    <s v="bra"/>
    <x v="5"/>
    <s v="monthly"/>
    <s v="vw_cap"/>
    <n v="6"/>
    <x v="51"/>
    <n v="8.8791786471909308E-3"/>
  </r>
  <r>
    <s v="bra"/>
    <x v="5"/>
    <s v="monthly"/>
    <s v="vw_cap"/>
    <n v="6"/>
    <x v="52"/>
    <n v="4.5013887596083997E-2"/>
  </r>
  <r>
    <s v="bra"/>
    <x v="5"/>
    <s v="monthly"/>
    <s v="vw_cap"/>
    <n v="6"/>
    <x v="53"/>
    <n v="-4.2534821940214303E-2"/>
  </r>
  <r>
    <s v="bra"/>
    <x v="5"/>
    <s v="monthly"/>
    <s v="vw_cap"/>
    <n v="6"/>
    <x v="54"/>
    <n v="-3.6380515928641902E-2"/>
  </r>
  <r>
    <s v="bra"/>
    <x v="5"/>
    <s v="monthly"/>
    <s v="vw_cap"/>
    <n v="6"/>
    <x v="55"/>
    <n v="6.3197364630236796E-3"/>
  </r>
  <r>
    <s v="bra"/>
    <x v="5"/>
    <s v="monthly"/>
    <s v="vw_cap"/>
    <n v="6"/>
    <x v="56"/>
    <n v="-2.01828376531113E-2"/>
  </r>
  <r>
    <s v="bra"/>
    <x v="5"/>
    <s v="monthly"/>
    <s v="vw_cap"/>
    <n v="6"/>
    <x v="57"/>
    <n v="-7.9406640881644099E-3"/>
  </r>
  <r>
    <s v="bra"/>
    <x v="5"/>
    <s v="monthly"/>
    <s v="vw_cap"/>
    <n v="6"/>
    <x v="58"/>
    <n v="-2.2725568676934101E-2"/>
  </r>
  <r>
    <s v="bra"/>
    <x v="5"/>
    <s v="monthly"/>
    <s v="vw_cap"/>
    <n v="6"/>
    <x v="59"/>
    <n v="-5.4548590715742903E-2"/>
  </r>
  <r>
    <s v="bra"/>
    <x v="5"/>
    <s v="monthly"/>
    <s v="vw_cap"/>
    <n v="6"/>
    <x v="60"/>
    <n v="1.26572391927053E-3"/>
  </r>
  <r>
    <s v="bra"/>
    <x v="5"/>
    <s v="monthly"/>
    <s v="vw_cap"/>
    <n v="6"/>
    <x v="61"/>
    <n v="2.91991799147596E-2"/>
  </r>
  <r>
    <s v="bra"/>
    <x v="5"/>
    <s v="monthly"/>
    <s v="vw_cap"/>
    <n v="6"/>
    <x v="62"/>
    <n v="-2.0025980058723601E-2"/>
  </r>
  <r>
    <s v="bra"/>
    <x v="5"/>
    <s v="monthly"/>
    <s v="vw_cap"/>
    <n v="6"/>
    <x v="63"/>
    <n v="-1.0784149048268601E-2"/>
  </r>
  <r>
    <s v="bra"/>
    <x v="5"/>
    <s v="monthly"/>
    <s v="vw_cap"/>
    <n v="6"/>
    <x v="64"/>
    <n v="-9.5955466245481007E-3"/>
  </r>
  <r>
    <s v="bra"/>
    <x v="5"/>
    <s v="monthly"/>
    <s v="vw_cap"/>
    <n v="6"/>
    <x v="65"/>
    <n v="-1.23079068032823E-2"/>
  </r>
  <r>
    <s v="bra"/>
    <x v="5"/>
    <s v="monthly"/>
    <s v="vw_cap"/>
    <n v="6"/>
    <x v="66"/>
    <n v="4.7677620833910798E-2"/>
  </r>
  <r>
    <s v="bra"/>
    <x v="5"/>
    <s v="monthly"/>
    <s v="vw_cap"/>
    <n v="6"/>
    <x v="67"/>
    <n v="2.1790361260576398E-2"/>
  </r>
  <r>
    <s v="bra"/>
    <x v="5"/>
    <s v="monthly"/>
    <s v="vw_cap"/>
    <n v="6"/>
    <x v="68"/>
    <n v="1.33339572646098E-2"/>
  </r>
  <r>
    <s v="bra"/>
    <x v="5"/>
    <s v="monthly"/>
    <s v="vw_cap"/>
    <n v="6"/>
    <x v="69"/>
    <n v="2.4086006462879998E-2"/>
  </r>
  <r>
    <s v="bra"/>
    <x v="5"/>
    <s v="monthly"/>
    <s v="vw_cap"/>
    <n v="6"/>
    <x v="70"/>
    <n v="7.2050937913493596E-2"/>
  </r>
  <r>
    <s v="bra"/>
    <x v="5"/>
    <s v="monthly"/>
    <s v="vw_cap"/>
    <n v="6"/>
    <x v="71"/>
    <n v="5.42903252002854E-2"/>
  </r>
  <r>
    <s v="bra"/>
    <x v="5"/>
    <s v="monthly"/>
    <s v="vw_cap"/>
    <n v="8"/>
    <x v="72"/>
    <n v="4.35339258746993E-2"/>
  </r>
  <r>
    <s v="bra"/>
    <x v="5"/>
    <s v="monthly"/>
    <s v="vw_cap"/>
    <n v="8"/>
    <x v="73"/>
    <n v="5.4896027034462801E-4"/>
  </r>
  <r>
    <s v="bra"/>
    <x v="5"/>
    <s v="monthly"/>
    <s v="vw_cap"/>
    <n v="8"/>
    <x v="74"/>
    <n v="-9.6917194751774197E-3"/>
  </r>
  <r>
    <s v="bra"/>
    <x v="5"/>
    <s v="monthly"/>
    <s v="vw_cap"/>
    <n v="8"/>
    <x v="75"/>
    <n v="7.2495925115210096E-3"/>
  </r>
  <r>
    <s v="bra"/>
    <x v="5"/>
    <s v="monthly"/>
    <s v="vw_cap"/>
    <n v="8"/>
    <x v="76"/>
    <n v="4.8477002791430898E-2"/>
  </r>
  <r>
    <s v="bra"/>
    <x v="5"/>
    <s v="monthly"/>
    <s v="vw_cap"/>
    <n v="8"/>
    <x v="77"/>
    <n v="-3.5924562546334603E-2"/>
  </r>
  <r>
    <s v="bra"/>
    <x v="5"/>
    <s v="monthly"/>
    <s v="vw_cap"/>
    <n v="8"/>
    <x v="78"/>
    <n v="3.1613355660439303E-2"/>
  </r>
  <r>
    <s v="bra"/>
    <x v="5"/>
    <s v="monthly"/>
    <s v="vw_cap"/>
    <n v="8"/>
    <x v="79"/>
    <n v="-1.3282258305504301E-2"/>
  </r>
  <r>
    <s v="bra"/>
    <x v="5"/>
    <s v="monthly"/>
    <s v="vw_cap"/>
    <n v="8"/>
    <x v="80"/>
    <n v="-1.71369373192987E-2"/>
  </r>
  <r>
    <s v="bra"/>
    <x v="5"/>
    <s v="monthly"/>
    <s v="vw_cap"/>
    <n v="8"/>
    <x v="81"/>
    <n v="4.20205813387192E-2"/>
  </r>
  <r>
    <s v="bra"/>
    <x v="5"/>
    <s v="monthly"/>
    <s v="vw_cap"/>
    <n v="8"/>
    <x v="82"/>
    <n v="7.7835652194148397E-2"/>
  </r>
  <r>
    <s v="bra"/>
    <x v="5"/>
    <s v="monthly"/>
    <s v="vw_cap"/>
    <n v="8"/>
    <x v="83"/>
    <n v="0.118334780845603"/>
  </r>
  <r>
    <s v="bra"/>
    <x v="5"/>
    <s v="monthly"/>
    <s v="vw_cap"/>
    <n v="8"/>
    <x v="84"/>
    <n v="-9.3680957205918097E-2"/>
  </r>
  <r>
    <s v="bra"/>
    <x v="5"/>
    <s v="monthly"/>
    <s v="vw_cap"/>
    <n v="8"/>
    <x v="85"/>
    <n v="-4.3251058925284698E-2"/>
  </r>
  <r>
    <s v="bra"/>
    <x v="5"/>
    <s v="monthly"/>
    <s v="vw_cap"/>
    <n v="8"/>
    <x v="86"/>
    <n v="9.4790489290547994E-2"/>
  </r>
  <r>
    <s v="bra"/>
    <x v="5"/>
    <s v="monthly"/>
    <s v="vw_cap"/>
    <n v="8"/>
    <x v="87"/>
    <n v="-2.9886287261517899E-2"/>
  </r>
  <r>
    <s v="bra"/>
    <x v="5"/>
    <s v="monthly"/>
    <s v="vw_cap"/>
    <n v="8"/>
    <x v="88"/>
    <n v="-0.212754278424819"/>
  </r>
  <r>
    <s v="bra"/>
    <x v="5"/>
    <s v="monthly"/>
    <s v="vw_cap"/>
    <n v="8"/>
    <x v="89"/>
    <n v="-8.7309445365830504E-2"/>
  </r>
  <r>
    <s v="bra"/>
    <x v="5"/>
    <s v="monthly"/>
    <s v="vw_cap"/>
    <n v="8"/>
    <x v="90"/>
    <n v="1.21390598580187E-2"/>
  </r>
  <r>
    <s v="bra"/>
    <x v="5"/>
    <s v="monthly"/>
    <s v="vw_cap"/>
    <n v="8"/>
    <x v="91"/>
    <n v="1.1186701649805E-2"/>
  </r>
  <r>
    <s v="bra"/>
    <x v="5"/>
    <s v="monthly"/>
    <s v="vw_cap"/>
    <n v="8"/>
    <x v="92"/>
    <n v="-2.10556855418596E-2"/>
  </r>
  <r>
    <s v="bra"/>
    <x v="5"/>
    <s v="monthly"/>
    <s v="vw_cap"/>
    <n v="8"/>
    <x v="93"/>
    <n v="2.71320435469816E-2"/>
  </r>
  <r>
    <s v="bra"/>
    <x v="5"/>
    <s v="monthly"/>
    <s v="vw_cap"/>
    <n v="8"/>
    <x v="94"/>
    <n v="2.9925920407348301E-3"/>
  </r>
  <r>
    <s v="bra"/>
    <x v="5"/>
    <s v="monthly"/>
    <s v="vw_cap"/>
    <n v="8"/>
    <x v="95"/>
    <n v="3.6398213081545998E-2"/>
  </r>
  <r>
    <s v="bra"/>
    <x v="5"/>
    <s v="monthly"/>
    <s v="vw_cap"/>
    <n v="8"/>
    <x v="96"/>
    <n v="-1.3545420073594799E-2"/>
  </r>
  <r>
    <s v="bra"/>
    <x v="5"/>
    <s v="monthly"/>
    <s v="vw_cap"/>
    <n v="8"/>
    <x v="97"/>
    <n v="1.15357535013727E-2"/>
  </r>
  <r>
    <s v="bra"/>
    <x v="5"/>
    <s v="monthly"/>
    <s v="vw_cap"/>
    <n v="8"/>
    <x v="98"/>
    <n v="-7.3241959433168E-4"/>
  </r>
  <r>
    <s v="bra"/>
    <x v="5"/>
    <s v="monthly"/>
    <s v="vw_cap"/>
    <n v="8"/>
    <x v="99"/>
    <n v="-3.7914264439121402E-2"/>
  </r>
  <r>
    <s v="bra"/>
    <x v="5"/>
    <s v="monthly"/>
    <s v="vw_cap"/>
    <n v="8"/>
    <x v="100"/>
    <n v="-8.8561966471818795E-3"/>
  </r>
  <r>
    <s v="bra"/>
    <x v="5"/>
    <s v="monthly"/>
    <s v="vw_cap"/>
    <n v="8"/>
    <x v="101"/>
    <n v="1.2994860166084001E-3"/>
  </r>
  <r>
    <s v="bra"/>
    <x v="5"/>
    <s v="monthly"/>
    <s v="vw_cap"/>
    <n v="8"/>
    <x v="102"/>
    <n v="2.0957764237656301E-2"/>
  </r>
  <r>
    <s v="bra"/>
    <x v="5"/>
    <s v="monthly"/>
    <s v="vw_cap"/>
    <n v="8"/>
    <x v="103"/>
    <n v="-1.8555911119034301E-2"/>
  </r>
  <r>
    <s v="bra"/>
    <x v="5"/>
    <s v="monthly"/>
    <s v="vw_cap"/>
    <n v="8"/>
    <x v="104"/>
    <n v="3.8573705673526297E-2"/>
  </r>
  <r>
    <s v="bra"/>
    <x v="5"/>
    <s v="monthly"/>
    <s v="vw_cap"/>
    <n v="8"/>
    <x v="105"/>
    <n v="9.7795629749622501E-3"/>
  </r>
  <r>
    <s v="bra"/>
    <x v="5"/>
    <s v="monthly"/>
    <s v="vw_cap"/>
    <n v="8"/>
    <x v="106"/>
    <n v="6.4558208924881205E-2"/>
  </r>
  <r>
    <s v="bra"/>
    <x v="5"/>
    <s v="monthly"/>
    <s v="vw_cap"/>
    <n v="8"/>
    <x v="107"/>
    <n v="2.3493164886457599E-2"/>
  </r>
  <r>
    <s v="bra"/>
    <x v="5"/>
    <s v="monthly"/>
    <s v="vw_cap"/>
    <n v="8"/>
    <x v="108"/>
    <n v="-1.0757856982233501E-2"/>
  </r>
  <r>
    <s v="bra"/>
    <x v="5"/>
    <s v="monthly"/>
    <s v="vw_cap"/>
    <n v="8"/>
    <x v="109"/>
    <n v="-2.6762495873095499E-3"/>
  </r>
  <r>
    <s v="bra"/>
    <x v="5"/>
    <s v="monthly"/>
    <s v="vw_cap"/>
    <n v="8"/>
    <x v="110"/>
    <n v="1.3386082501568501E-2"/>
  </r>
  <r>
    <s v="bra"/>
    <x v="5"/>
    <s v="monthly"/>
    <s v="vw_cap"/>
    <n v="8"/>
    <x v="111"/>
    <n v="1.02609950783254E-2"/>
  </r>
  <r>
    <s v="bra"/>
    <x v="5"/>
    <s v="monthly"/>
    <s v="vw_cap"/>
    <n v="8"/>
    <x v="112"/>
    <n v="6.9137942276141897E-3"/>
  </r>
  <r>
    <s v="bra"/>
    <x v="5"/>
    <s v="monthly"/>
    <s v="vw_cap"/>
    <n v="8"/>
    <x v="113"/>
    <n v="2.2248963805406301E-2"/>
  </r>
  <r>
    <s v="bra"/>
    <x v="5"/>
    <s v="monthly"/>
    <s v="vw_cap"/>
    <n v="8"/>
    <x v="114"/>
    <n v="3.0375068365538101E-2"/>
  </r>
  <r>
    <s v="bra"/>
    <x v="5"/>
    <s v="monthly"/>
    <s v="vw_cap"/>
    <n v="8"/>
    <x v="115"/>
    <n v="6.2535982267850995E-2"/>
  </r>
  <r>
    <s v="bra"/>
    <x v="5"/>
    <s v="monthly"/>
    <s v="vw_cap"/>
    <n v="8"/>
    <x v="116"/>
    <n v="1.23682502299874E-2"/>
  </r>
  <r>
    <s v="bra"/>
    <x v="5"/>
    <s v="monthly"/>
    <s v="vw_cap"/>
    <n v="8"/>
    <x v="117"/>
    <n v="6.6966035785044301E-2"/>
  </r>
  <r>
    <s v="bra"/>
    <x v="5"/>
    <s v="monthly"/>
    <s v="vw_cap"/>
    <n v="8"/>
    <x v="118"/>
    <n v="-6.7226648676462497E-2"/>
  </r>
  <r>
    <s v="bra"/>
    <x v="5"/>
    <s v="monthly"/>
    <s v="vw_cap"/>
    <n v="8"/>
    <x v="119"/>
    <n v="4.6393151577450803E-2"/>
  </r>
  <r>
    <s v="bra"/>
    <x v="5"/>
    <s v="monthly"/>
    <s v="vw_cap"/>
    <n v="8"/>
    <x v="120"/>
    <n v="8.8169282029060894E-3"/>
  </r>
  <r>
    <s v="bra"/>
    <x v="5"/>
    <s v="monthly"/>
    <s v="vw_cap"/>
    <n v="8"/>
    <x v="121"/>
    <n v="-5.5839985021990897E-2"/>
  </r>
  <r>
    <s v="bra"/>
    <x v="5"/>
    <s v="monthly"/>
    <s v="vw_cap"/>
    <n v="8"/>
    <x v="122"/>
    <n v="9.1118224624827104E-3"/>
  </r>
  <r>
    <s v="bra"/>
    <x v="5"/>
    <s v="monthly"/>
    <s v="vw_cap"/>
    <n v="8"/>
    <x v="123"/>
    <n v="2.4841859360306199E-2"/>
  </r>
  <r>
    <s v="bra"/>
    <x v="5"/>
    <s v="monthly"/>
    <s v="vw_cap"/>
    <n v="8"/>
    <x v="124"/>
    <n v="2.8193191694495499E-2"/>
  </r>
  <r>
    <s v="bra"/>
    <x v="5"/>
    <s v="monthly"/>
    <s v="vw_cap"/>
    <n v="8"/>
    <x v="125"/>
    <n v="4.0275332804913799E-2"/>
  </r>
  <r>
    <s v="bra"/>
    <x v="5"/>
    <s v="monthly"/>
    <s v="vw_cap"/>
    <n v="8"/>
    <x v="126"/>
    <n v="9.5336889917684797E-2"/>
  </r>
  <r>
    <s v="bra"/>
    <x v="5"/>
    <s v="monthly"/>
    <s v="vw_cap"/>
    <n v="8"/>
    <x v="127"/>
    <n v="2.5383060869250101E-2"/>
  </r>
  <r>
    <s v="bra"/>
    <x v="5"/>
    <s v="monthly"/>
    <s v="vw_cap"/>
    <n v="8"/>
    <x v="128"/>
    <n v="-4.1812107274667602E-2"/>
  </r>
  <r>
    <s v="bra"/>
    <x v="5"/>
    <s v="monthly"/>
    <s v="vw_cap"/>
    <n v="8"/>
    <x v="129"/>
    <n v="-1.3817401937177501E-2"/>
  </r>
  <r>
    <s v="bra"/>
    <x v="5"/>
    <s v="monthly"/>
    <s v="vw_cap"/>
    <n v="8"/>
    <x v="130"/>
    <n v="4.4879957051349402E-2"/>
  </r>
  <r>
    <s v="bra"/>
    <x v="5"/>
    <s v="monthly"/>
    <s v="vw_cap"/>
    <n v="8"/>
    <x v="131"/>
    <n v="2.3239759234809199E-2"/>
  </r>
  <r>
    <s v="bra"/>
    <x v="5"/>
    <s v="monthly"/>
    <s v="vw_cap"/>
    <n v="8"/>
    <x v="132"/>
    <n v="2.64349847380526E-3"/>
  </r>
  <r>
    <s v="bra"/>
    <x v="5"/>
    <s v="monthly"/>
    <s v="vw_cap"/>
    <n v="8"/>
    <x v="133"/>
    <n v="1.23187980650682E-2"/>
  </r>
  <r>
    <s v="bra"/>
    <x v="5"/>
    <s v="monthly"/>
    <s v="vw_cap"/>
    <n v="8"/>
    <x v="134"/>
    <n v="2.0574277740935201E-2"/>
  </r>
  <r>
    <s v="bra"/>
    <x v="5"/>
    <s v="monthly"/>
    <s v="vw_cap"/>
    <n v="8"/>
    <x v="135"/>
    <n v="3.27256380249141E-2"/>
  </r>
  <r>
    <s v="bra"/>
    <x v="5"/>
    <s v="monthly"/>
    <s v="vw_cap"/>
    <n v="8"/>
    <x v="136"/>
    <n v="9.5796214901715405E-3"/>
  </r>
  <r>
    <s v="bra"/>
    <x v="5"/>
    <s v="monthly"/>
    <s v="vw_cap"/>
    <n v="8"/>
    <x v="137"/>
    <n v="2.2088113920983001E-2"/>
  </r>
  <r>
    <s v="bra"/>
    <x v="5"/>
    <s v="monthly"/>
    <s v="vw_cap"/>
    <n v="8"/>
    <x v="138"/>
    <n v="2.8461023541044302E-2"/>
  </r>
  <r>
    <s v="bra"/>
    <x v="5"/>
    <s v="monthly"/>
    <s v="vw_cap"/>
    <n v="8"/>
    <x v="139"/>
    <n v="1.3214281399062401E-2"/>
  </r>
  <r>
    <s v="bra"/>
    <x v="5"/>
    <s v="monthly"/>
    <s v="vw_cap"/>
    <n v="8"/>
    <x v="140"/>
    <n v="4.8767939567076903E-2"/>
  </r>
  <r>
    <s v="bra"/>
    <x v="5"/>
    <s v="monthly"/>
    <s v="vw_cap"/>
    <n v="8"/>
    <x v="141"/>
    <n v="-4.36370681395499E-2"/>
  </r>
  <r>
    <s v="bra"/>
    <x v="5"/>
    <s v="monthly"/>
    <s v="vw_cap"/>
    <n v="8"/>
    <x v="142"/>
    <n v="5.3398155767892003E-2"/>
  </r>
  <r>
    <s v="bra"/>
    <x v="5"/>
    <s v="monthly"/>
    <s v="vw_cap"/>
    <n v="8"/>
    <x v="143"/>
    <n v="1.4011021434978101E-2"/>
  </r>
  <r>
    <s v="bra"/>
    <x v="5"/>
    <s v="monthly"/>
    <s v="vw_cap"/>
    <n v="8"/>
    <x v="144"/>
    <n v="1.1275164310115E-2"/>
  </r>
  <r>
    <s v="bra"/>
    <x v="5"/>
    <s v="monthly"/>
    <s v="vw_cap"/>
    <n v="8"/>
    <x v="145"/>
    <n v="1.11983488763484E-2"/>
  </r>
  <r>
    <s v="bra"/>
    <x v="5"/>
    <s v="monthly"/>
    <s v="vw_cap"/>
    <n v="8"/>
    <x v="146"/>
    <n v="2.0139819706916501E-3"/>
  </r>
  <r>
    <s v="bra"/>
    <x v="5"/>
    <s v="monthly"/>
    <s v="vw_cap"/>
    <n v="8"/>
    <x v="147"/>
    <n v="-3.7973006438445701E-3"/>
  </r>
  <r>
    <s v="bra"/>
    <x v="5"/>
    <s v="monthly"/>
    <s v="vw_cap"/>
    <n v="8"/>
    <x v="148"/>
    <n v="-3.7373652612806398E-3"/>
  </r>
  <r>
    <s v="bra"/>
    <x v="5"/>
    <s v="monthly"/>
    <s v="vw_cap"/>
    <n v="8"/>
    <x v="149"/>
    <n v="1.08225134985587E-2"/>
  </r>
  <r>
    <s v="bra"/>
    <x v="5"/>
    <s v="monthly"/>
    <s v="vw_cap"/>
    <n v="8"/>
    <x v="150"/>
    <n v="4.4640966044069898E-2"/>
  </r>
  <r>
    <s v="bra"/>
    <x v="5"/>
    <s v="monthly"/>
    <s v="vw_cap"/>
    <n v="8"/>
    <x v="151"/>
    <n v="8.8136474783695601E-3"/>
  </r>
  <r>
    <s v="bra"/>
    <x v="5"/>
    <s v="monthly"/>
    <s v="vw_cap"/>
    <n v="8"/>
    <x v="152"/>
    <n v="-1.2640802927146699E-2"/>
  </r>
  <r>
    <s v="bra"/>
    <x v="5"/>
    <s v="monthly"/>
    <s v="vw_cap"/>
    <n v="8"/>
    <x v="153"/>
    <n v="-2.3061362833926999E-2"/>
  </r>
  <r>
    <s v="bra"/>
    <x v="5"/>
    <s v="monthly"/>
    <s v="vw_cap"/>
    <n v="8"/>
    <x v="154"/>
    <n v="3.9408697493472103E-2"/>
  </r>
  <r>
    <s v="bra"/>
    <x v="5"/>
    <s v="monthly"/>
    <s v="vw_cap"/>
    <n v="8"/>
    <x v="155"/>
    <n v="3.6060155815961101E-2"/>
  </r>
  <r>
    <s v="bra"/>
    <x v="5"/>
    <s v="monthly"/>
    <s v="vw_cap"/>
    <n v="8"/>
    <x v="156"/>
    <n v="2.23750789280894E-2"/>
  </r>
  <r>
    <s v="bra"/>
    <x v="5"/>
    <s v="monthly"/>
    <s v="vw_cap"/>
    <n v="8"/>
    <x v="157"/>
    <n v="2.7386274209527699E-2"/>
  </r>
  <r>
    <s v="bra"/>
    <x v="5"/>
    <s v="monthly"/>
    <s v="vw_cap"/>
    <n v="8"/>
    <x v="158"/>
    <n v="-8.1080408683100597E-3"/>
  </r>
  <r>
    <s v="bra"/>
    <x v="5"/>
    <s v="monthly"/>
    <s v="vw_cap"/>
    <n v="8"/>
    <x v="159"/>
    <n v="2.6531268280479001E-2"/>
  </r>
  <r>
    <s v="bra"/>
    <x v="5"/>
    <s v="monthly"/>
    <s v="vw_cap"/>
    <n v="8"/>
    <x v="160"/>
    <n v="-2.9769336987699201E-2"/>
  </r>
  <r>
    <s v="bra"/>
    <x v="5"/>
    <s v="monthly"/>
    <s v="vw_cap"/>
    <n v="8"/>
    <x v="161"/>
    <n v="2.14481369850535E-2"/>
  </r>
  <r>
    <s v="bra"/>
    <x v="5"/>
    <s v="monthly"/>
    <s v="vw_cap"/>
    <n v="8"/>
    <x v="162"/>
    <n v="2.44672562801884E-2"/>
  </r>
  <r>
    <s v="bra"/>
    <x v="5"/>
    <s v="monthly"/>
    <s v="vw_cap"/>
    <n v="8"/>
    <x v="163"/>
    <n v="5.88194592353233E-2"/>
  </r>
  <r>
    <s v="bra"/>
    <x v="5"/>
    <s v="monthly"/>
    <s v="vw_cap"/>
    <n v="8"/>
    <x v="164"/>
    <n v="3.1541367701867502E-2"/>
  </r>
  <r>
    <s v="bra"/>
    <x v="5"/>
    <s v="monthly"/>
    <s v="vw_cap"/>
    <n v="8"/>
    <x v="165"/>
    <n v="5.9198327689891098E-2"/>
  </r>
  <r>
    <s v="bra"/>
    <x v="5"/>
    <s v="monthly"/>
    <s v="vw_cap"/>
    <n v="8"/>
    <x v="166"/>
    <n v="-0.10373037121223599"/>
  </r>
  <r>
    <s v="bra"/>
    <x v="5"/>
    <s v="monthly"/>
    <s v="vw_cap"/>
    <n v="8"/>
    <x v="167"/>
    <n v="-1.19582521962028E-2"/>
  </r>
  <r>
    <s v="bra"/>
    <x v="5"/>
    <s v="monthly"/>
    <s v="vw_cap"/>
    <n v="8"/>
    <x v="168"/>
    <n v="2.05161770542573E-2"/>
  </r>
  <r>
    <s v="bra"/>
    <x v="5"/>
    <s v="monthly"/>
    <s v="vw_cap"/>
    <n v="8"/>
    <x v="169"/>
    <n v="3.3195151083387803E-2"/>
  </r>
  <r>
    <s v="bra"/>
    <x v="5"/>
    <s v="monthly"/>
    <s v="vw_cap"/>
    <n v="8"/>
    <x v="170"/>
    <n v="-1.32872317513727E-2"/>
  </r>
  <r>
    <s v="bra"/>
    <x v="5"/>
    <s v="monthly"/>
    <s v="vw_cap"/>
    <n v="8"/>
    <x v="171"/>
    <n v="-0.11360510644265299"/>
  </r>
  <r>
    <s v="bra"/>
    <x v="5"/>
    <s v="monthly"/>
    <s v="vw_cap"/>
    <n v="8"/>
    <x v="172"/>
    <n v="1.8261999412302499E-2"/>
  </r>
  <r>
    <s v="bra"/>
    <x v="5"/>
    <s v="monthly"/>
    <s v="vw_cap"/>
    <n v="8"/>
    <x v="173"/>
    <n v="-3.8977757978485801E-2"/>
  </r>
  <r>
    <s v="bra"/>
    <x v="5"/>
    <s v="monthly"/>
    <s v="vw_cap"/>
    <n v="8"/>
    <x v="174"/>
    <n v="7.7455954990199596E-2"/>
  </r>
  <r>
    <s v="bra"/>
    <x v="5"/>
    <s v="monthly"/>
    <s v="vw_cap"/>
    <n v="8"/>
    <x v="175"/>
    <n v="-3.1287778549420199E-2"/>
  </r>
  <r>
    <s v="bra"/>
    <x v="5"/>
    <s v="monthly"/>
    <s v="vw_cap"/>
    <n v="8"/>
    <x v="176"/>
    <n v="-5.07850482721088E-2"/>
  </r>
  <r>
    <s v="bra"/>
    <x v="5"/>
    <s v="monthly"/>
    <s v="vw_cap"/>
    <n v="8"/>
    <x v="177"/>
    <n v="1.18787163225095E-3"/>
  </r>
  <r>
    <s v="bra"/>
    <x v="5"/>
    <s v="monthly"/>
    <s v="vw_cap"/>
    <n v="8"/>
    <x v="178"/>
    <n v="2.30362507287265E-2"/>
  </r>
  <r>
    <s v="bra"/>
    <x v="5"/>
    <s v="monthly"/>
    <s v="vw_cap"/>
    <n v="8"/>
    <x v="179"/>
    <n v="-1.2717894173272499E-2"/>
  </r>
  <r>
    <s v="bra"/>
    <x v="5"/>
    <s v="monthly"/>
    <s v="vw_cap"/>
    <n v="8"/>
    <x v="180"/>
    <n v="-2.5542954962380699E-2"/>
  </r>
  <r>
    <s v="bra"/>
    <x v="5"/>
    <s v="monthly"/>
    <s v="vw_cap"/>
    <n v="8"/>
    <x v="181"/>
    <n v="3.8748165229733997E-2"/>
  </r>
  <r>
    <s v="bra"/>
    <x v="5"/>
    <s v="monthly"/>
    <s v="vw_cap"/>
    <n v="8"/>
    <x v="182"/>
    <n v="2.2045204688276299E-2"/>
  </r>
  <r>
    <s v="bra"/>
    <x v="5"/>
    <s v="monthly"/>
    <s v="vw_cap"/>
    <n v="8"/>
    <x v="183"/>
    <n v="-2.32121076602128E-2"/>
  </r>
  <r>
    <s v="bra"/>
    <x v="5"/>
    <s v="monthly"/>
    <s v="vw_cap"/>
    <n v="8"/>
    <x v="184"/>
    <n v="2.9498471958209398E-4"/>
  </r>
  <r>
    <s v="bra"/>
    <x v="5"/>
    <s v="monthly"/>
    <s v="vw_cap"/>
    <n v="8"/>
    <x v="185"/>
    <n v="8.58961012332931E-4"/>
  </r>
  <r>
    <s v="bra"/>
    <x v="5"/>
    <s v="monthly"/>
    <s v="vw_cap"/>
    <n v="8"/>
    <x v="186"/>
    <n v="-2.6180740189057101E-2"/>
  </r>
  <r>
    <s v="bra"/>
    <x v="5"/>
    <s v="monthly"/>
    <s v="vw_cap"/>
    <n v="8"/>
    <x v="187"/>
    <n v="2.2838430929205299E-2"/>
  </r>
  <r>
    <s v="bra"/>
    <x v="5"/>
    <s v="monthly"/>
    <s v="vw_cap"/>
    <n v="8"/>
    <x v="188"/>
    <n v="2.4685373743289898E-2"/>
  </r>
  <r>
    <s v="bra"/>
    <x v="5"/>
    <s v="monthly"/>
    <s v="vw_cap"/>
    <n v="8"/>
    <x v="189"/>
    <n v="1.6924961660407498E-2"/>
  </r>
  <r>
    <s v="bra"/>
    <x v="5"/>
    <s v="monthly"/>
    <s v="vw_cap"/>
    <n v="8"/>
    <x v="190"/>
    <n v="1.9353817633957899E-2"/>
  </r>
  <r>
    <s v="bra"/>
    <x v="5"/>
    <s v="monthly"/>
    <s v="vw_cap"/>
    <n v="8"/>
    <x v="191"/>
    <n v="-1.1562846889102399E-2"/>
  </r>
  <r>
    <s v="bra"/>
    <x v="5"/>
    <s v="monthly"/>
    <s v="vw_cap"/>
    <n v="8"/>
    <x v="192"/>
    <n v="-2.4677117186220802E-4"/>
  </r>
  <r>
    <s v="bra"/>
    <x v="5"/>
    <s v="monthly"/>
    <s v="vw_cap"/>
    <n v="8"/>
    <x v="193"/>
    <n v="-2.2085157335109601E-2"/>
  </r>
  <r>
    <s v="bra"/>
    <x v="5"/>
    <s v="monthly"/>
    <s v="vw_cap"/>
    <n v="8"/>
    <x v="194"/>
    <n v="3.6959672751182802E-2"/>
  </r>
  <r>
    <s v="bra"/>
    <x v="5"/>
    <s v="monthly"/>
    <s v="vw_cap"/>
    <n v="8"/>
    <x v="195"/>
    <n v="5.0364965438403797E-2"/>
  </r>
  <r>
    <s v="bra"/>
    <x v="5"/>
    <s v="monthly"/>
    <s v="vw_cap"/>
    <n v="8"/>
    <x v="196"/>
    <n v="4.97355924194572E-2"/>
  </r>
  <r>
    <s v="bra"/>
    <x v="5"/>
    <s v="monthly"/>
    <s v="vw_cap"/>
    <n v="8"/>
    <x v="197"/>
    <n v="4.7265435889533802E-2"/>
  </r>
  <r>
    <s v="bra"/>
    <x v="5"/>
    <s v="monthly"/>
    <s v="vw_cap"/>
    <n v="8"/>
    <x v="198"/>
    <n v="4.5333031570538099E-2"/>
  </r>
  <r>
    <s v="bra"/>
    <x v="5"/>
    <s v="monthly"/>
    <s v="vw_cap"/>
    <n v="8"/>
    <x v="199"/>
    <n v="-1.54714900932247E-2"/>
  </r>
  <r>
    <s v="bra"/>
    <x v="5"/>
    <s v="monthly"/>
    <s v="vw_cap"/>
    <n v="8"/>
    <x v="200"/>
    <n v="3.9336014281290098E-2"/>
  </r>
  <r>
    <s v="bra"/>
    <x v="5"/>
    <s v="monthly"/>
    <s v="vw_cap"/>
    <n v="8"/>
    <x v="201"/>
    <n v="4.9059442742396799E-2"/>
  </r>
  <r>
    <s v="bra"/>
    <x v="5"/>
    <s v="monthly"/>
    <s v="vw_cap"/>
    <n v="8"/>
    <x v="202"/>
    <n v="-0.121882381420543"/>
  </r>
  <r>
    <s v="bra"/>
    <x v="5"/>
    <s v="monthly"/>
    <s v="vw_cap"/>
    <n v="8"/>
    <x v="203"/>
    <n v="3.3638685775198001E-3"/>
  </r>
  <r>
    <s v="bra"/>
    <x v="5"/>
    <s v="monthly"/>
    <s v="vw_cap"/>
    <n v="8"/>
    <x v="204"/>
    <n v="3.8504597440098799E-2"/>
  </r>
  <r>
    <s v="bra"/>
    <x v="5"/>
    <s v="monthly"/>
    <s v="vw_cap"/>
    <n v="8"/>
    <x v="205"/>
    <n v="-2.1382705686751401E-2"/>
  </r>
  <r>
    <s v="bra"/>
    <x v="5"/>
    <s v="monthly"/>
    <s v="vw_cap"/>
    <n v="8"/>
    <x v="206"/>
    <n v="-5.8665463773497403E-3"/>
  </r>
  <r>
    <s v="bra"/>
    <x v="5"/>
    <s v="monthly"/>
    <s v="vw_cap"/>
    <n v="8"/>
    <x v="207"/>
    <n v="3.3836170057650401E-3"/>
  </r>
  <r>
    <s v="bra"/>
    <x v="5"/>
    <s v="monthly"/>
    <s v="vw_cap"/>
    <n v="8"/>
    <x v="208"/>
    <n v="2.80034146933116E-2"/>
  </r>
  <r>
    <s v="bra"/>
    <x v="5"/>
    <s v="monthly"/>
    <s v="vw_cap"/>
    <n v="8"/>
    <x v="209"/>
    <n v="5.6855359130421002E-2"/>
  </r>
  <r>
    <s v="bra"/>
    <x v="5"/>
    <s v="monthly"/>
    <s v="vw_cap"/>
    <n v="8"/>
    <x v="210"/>
    <n v="-2.3518974936104602E-2"/>
  </r>
  <r>
    <s v="bra"/>
    <x v="5"/>
    <s v="monthly"/>
    <s v="vw_cap"/>
    <n v="8"/>
    <x v="211"/>
    <n v="4.5303493693459401E-2"/>
  </r>
  <r>
    <s v="bra"/>
    <x v="5"/>
    <s v="monthly"/>
    <s v="vw_cap"/>
    <n v="8"/>
    <x v="212"/>
    <n v="5.2730591192430898E-2"/>
  </r>
  <r>
    <s v="bra"/>
    <x v="5"/>
    <s v="monthly"/>
    <s v="vw_cap"/>
    <n v="8"/>
    <x v="213"/>
    <n v="-2.4487788319386701E-2"/>
  </r>
  <r>
    <s v="bra"/>
    <x v="5"/>
    <s v="monthly"/>
    <s v="vw_cap"/>
    <n v="8"/>
    <x v="214"/>
    <n v="2.5603798647349098E-2"/>
  </r>
  <r>
    <s v="bra"/>
    <x v="5"/>
    <s v="monthly"/>
    <s v="vw_cap"/>
    <n v="8"/>
    <x v="215"/>
    <n v="-1.7194388499226498E-2"/>
  </r>
  <r>
    <s v="bra"/>
    <x v="5"/>
    <s v="monthly"/>
    <s v="vw_cap"/>
    <n v="8"/>
    <x v="216"/>
    <n v="-4.8494453250816097E-2"/>
  </r>
  <r>
    <s v="bra"/>
    <x v="5"/>
    <s v="monthly"/>
    <s v="vw_cap"/>
    <n v="8"/>
    <x v="217"/>
    <n v="6.6060766065803897E-2"/>
  </r>
  <r>
    <s v="bra"/>
    <x v="5"/>
    <s v="monthly"/>
    <s v="vw_cap"/>
    <n v="8"/>
    <x v="218"/>
    <n v="3.0817257375077602E-2"/>
  </r>
  <r>
    <s v="bra"/>
    <x v="5"/>
    <s v="monthly"/>
    <s v="vw_cap"/>
    <n v="8"/>
    <x v="219"/>
    <n v="-3.4232298921323401E-2"/>
  </r>
  <r>
    <s v="bra"/>
    <x v="5"/>
    <s v="monthly"/>
    <s v="vw_cap"/>
    <n v="8"/>
    <x v="220"/>
    <n v="5.0910895784613497E-2"/>
  </r>
  <r>
    <s v="bra"/>
    <x v="5"/>
    <s v="monthly"/>
    <s v="vw_cap"/>
    <n v="8"/>
    <x v="221"/>
    <n v="-1.05753314162498E-3"/>
  </r>
  <r>
    <s v="bra"/>
    <x v="5"/>
    <s v="monthly"/>
    <s v="vw_cap"/>
    <n v="8"/>
    <x v="222"/>
    <n v="-1.71736397805636E-4"/>
  </r>
  <r>
    <s v="bra"/>
    <x v="5"/>
    <s v="monthly"/>
    <s v="vw_cap"/>
    <n v="8"/>
    <x v="223"/>
    <n v="9.1972026420474404E-2"/>
  </r>
  <r>
    <s v="bra"/>
    <x v="5"/>
    <s v="monthly"/>
    <s v="vw_cap"/>
    <n v="8"/>
    <x v="224"/>
    <n v="7.7518960601538397E-3"/>
  </r>
  <r>
    <s v="bra"/>
    <x v="5"/>
    <s v="monthly"/>
    <s v="vw_cap"/>
    <n v="8"/>
    <x v="225"/>
    <n v="9.2228446384127992E-3"/>
  </r>
  <r>
    <s v="bra"/>
    <x v="5"/>
    <s v="monthly"/>
    <s v="vw_cap"/>
    <n v="8"/>
    <x v="226"/>
    <n v="4.9377277677650301E-2"/>
  </r>
  <r>
    <s v="bra"/>
    <x v="5"/>
    <s v="monthly"/>
    <s v="vw_cap"/>
    <n v="8"/>
    <x v="227"/>
    <n v="-5.9759455086769303E-2"/>
  </r>
  <r>
    <s v="bra"/>
    <x v="5"/>
    <s v="monthly"/>
    <s v="vw_cap"/>
    <n v="8"/>
    <x v="228"/>
    <n v="8.8696488731205593E-3"/>
  </r>
  <r>
    <s v="bra"/>
    <x v="5"/>
    <s v="monthly"/>
    <s v="vw_cap"/>
    <n v="8"/>
    <x v="229"/>
    <n v="-2.24438106868565E-2"/>
  </r>
  <r>
    <s v="bra"/>
    <x v="5"/>
    <s v="monthly"/>
    <s v="vw_cap"/>
    <n v="8"/>
    <x v="230"/>
    <n v="3.5266256983244697E-2"/>
  </r>
  <r>
    <s v="bra"/>
    <x v="5"/>
    <s v="monthly"/>
    <s v="vw_cap"/>
    <n v="8"/>
    <x v="231"/>
    <n v="-4.12707334717302E-2"/>
  </r>
  <r>
    <s v="bra"/>
    <x v="5"/>
    <s v="monthly"/>
    <s v="vw_cap"/>
    <n v="8"/>
    <x v="232"/>
    <n v="5.3712514507983601E-3"/>
  </r>
  <r>
    <s v="bra"/>
    <x v="5"/>
    <s v="monthly"/>
    <s v="vw_cap"/>
    <n v="8"/>
    <x v="233"/>
    <n v="-9.7597937294106596E-3"/>
  </r>
  <r>
    <s v="bra"/>
    <x v="5"/>
    <s v="monthly"/>
    <s v="vw_cap"/>
    <n v="8"/>
    <x v="234"/>
    <n v="1.4816511340878E-3"/>
  </r>
  <r>
    <s v="bra"/>
    <x v="5"/>
    <s v="monthly"/>
    <s v="vw_cap"/>
    <n v="8"/>
    <x v="235"/>
    <n v="3.4612963857481999E-2"/>
  </r>
  <r>
    <s v="bra"/>
    <x v="5"/>
    <s v="monthly"/>
    <s v="vw_cap"/>
    <n v="8"/>
    <x v="236"/>
    <n v="-5.8921987650068397E-4"/>
  </r>
  <r>
    <s v="bra"/>
    <x v="5"/>
    <s v="monthly"/>
    <s v="vw_cap"/>
    <n v="8"/>
    <x v="237"/>
    <n v="3.2434907074818102E-2"/>
  </r>
  <r>
    <s v="bra"/>
    <x v="5"/>
    <s v="monthly"/>
    <s v="vw_cap"/>
    <n v="8"/>
    <x v="238"/>
    <n v="4.0227969876874201E-2"/>
  </r>
  <r>
    <s v="bra"/>
    <x v="5"/>
    <s v="monthly"/>
    <s v="vw_cap"/>
    <n v="8"/>
    <x v="239"/>
    <n v="9.1200990358162697E-3"/>
  </r>
  <r>
    <s v="bra"/>
    <x v="5"/>
    <s v="monthly"/>
    <s v="vw_cap"/>
    <n v="8"/>
    <x v="240"/>
    <n v="-6.4355363895475396E-3"/>
  </r>
  <r>
    <s v="bra"/>
    <x v="5"/>
    <s v="monthly"/>
    <s v="vw_cap"/>
    <n v="8"/>
    <x v="241"/>
    <n v="-4.3775943530456503E-2"/>
  </r>
  <r>
    <s v="bra"/>
    <x v="5"/>
    <s v="monthly"/>
    <s v="vw_cap"/>
    <n v="8"/>
    <x v="242"/>
    <n v="2.9707551423963401E-2"/>
  </r>
  <r>
    <s v="bra"/>
    <x v="5"/>
    <s v="monthly"/>
    <s v="vw_cap"/>
    <n v="8"/>
    <x v="243"/>
    <n v="-1.00102168414556E-2"/>
  </r>
  <r>
    <s v="bra"/>
    <x v="5"/>
    <s v="monthly"/>
    <s v="vw_cap"/>
    <n v="8"/>
    <x v="244"/>
    <n v="0.113573944282383"/>
  </r>
  <r>
    <s v="bra"/>
    <x v="5"/>
    <s v="monthly"/>
    <s v="vw_cap"/>
    <n v="8"/>
    <x v="245"/>
    <n v="7.0733583512039302E-2"/>
  </r>
  <r>
    <s v="bra"/>
    <x v="5"/>
    <s v="monthly"/>
    <s v="vw_cap"/>
    <n v="8"/>
    <x v="246"/>
    <n v="7.0303943774671904E-2"/>
  </r>
  <r>
    <s v="bra"/>
    <x v="5"/>
    <s v="monthly"/>
    <s v="vw_cap"/>
    <n v="8"/>
    <x v="247"/>
    <n v="-3.5202242725708703E-2"/>
  </r>
  <r>
    <s v="bra"/>
    <x v="5"/>
    <s v="monthly"/>
    <s v="vw_cap"/>
    <n v="8"/>
    <x v="248"/>
    <n v="-6.2195525256662998E-2"/>
  </r>
  <r>
    <s v="bra"/>
    <x v="5"/>
    <s v="monthly"/>
    <s v="vw_cap"/>
    <n v="8"/>
    <x v="249"/>
    <n v="-1.3085065984021101E-2"/>
  </r>
  <r>
    <s v="bra"/>
    <x v="5"/>
    <s v="monthly"/>
    <s v="vw_cap"/>
    <n v="8"/>
    <x v="250"/>
    <n v="2.7911079502615E-2"/>
  </r>
  <r>
    <s v="bra"/>
    <x v="5"/>
    <s v="monthly"/>
    <s v="vw_cap"/>
    <n v="8"/>
    <x v="251"/>
    <n v="-2.2565420363534199E-2"/>
  </r>
  <r>
    <s v="bra"/>
    <x v="5"/>
    <s v="monthly"/>
    <s v="vw_cap"/>
    <n v="8"/>
    <x v="252"/>
    <n v="1.19713750585269E-2"/>
  </r>
  <r>
    <s v="bra"/>
    <x v="5"/>
    <s v="monthly"/>
    <s v="vw_cap"/>
    <n v="8"/>
    <x v="253"/>
    <n v="-1.1732275728142E-2"/>
  </r>
  <r>
    <s v="bra"/>
    <x v="5"/>
    <s v="monthly"/>
    <s v="vw_cap"/>
    <n v="8"/>
    <x v="254"/>
    <n v="4.7184513163209402E-2"/>
  </r>
  <r>
    <s v="bra"/>
    <x v="5"/>
    <s v="monthly"/>
    <s v="vw_cap"/>
    <n v="8"/>
    <x v="255"/>
    <n v="4.4547064333214502E-2"/>
  </r>
  <r>
    <s v="bra"/>
    <x v="5"/>
    <s v="monthly"/>
    <s v="vw_cap"/>
    <n v="8"/>
    <x v="256"/>
    <n v="3.0336749558689201E-3"/>
  </r>
  <r>
    <s v="bra"/>
    <x v="5"/>
    <s v="monthly"/>
    <s v="vw_cap"/>
    <n v="8"/>
    <x v="257"/>
    <n v="-9.2541385567055101E-2"/>
  </r>
  <r>
    <s v="bra"/>
    <x v="5"/>
    <s v="monthly"/>
    <s v="vw_cap"/>
    <n v="8"/>
    <x v="258"/>
    <n v="-2.6166418026471499E-2"/>
  </r>
  <r>
    <s v="bra"/>
    <x v="5"/>
    <s v="monthly"/>
    <s v="vw_cap"/>
    <n v="8"/>
    <x v="259"/>
    <n v="-3.7874026956154203E-2"/>
  </r>
  <r>
    <s v="bra"/>
    <x v="5"/>
    <s v="monthly"/>
    <s v="vw_cap"/>
    <n v="8"/>
    <x v="260"/>
    <n v="1.00605219407059E-2"/>
  </r>
  <r>
    <s v="bra"/>
    <x v="5"/>
    <s v="monthly"/>
    <s v="vw_cap"/>
    <n v="8"/>
    <x v="261"/>
    <n v="1.3658399011679499E-2"/>
  </r>
  <r>
    <s v="bra"/>
    <x v="5"/>
    <s v="monthly"/>
    <s v="vw_cap"/>
    <n v="8"/>
    <x v="262"/>
    <n v="2.7536199595081901E-2"/>
  </r>
  <r>
    <s v="bra"/>
    <x v="5"/>
    <s v="monthly"/>
    <s v="vw_cap"/>
    <n v="8"/>
    <x v="263"/>
    <n v="-1.49647894196097E-2"/>
  </r>
  <r>
    <s v="bra"/>
    <x v="5"/>
    <s v="monthly"/>
    <s v="vw_cap"/>
    <n v="8"/>
    <x v="264"/>
    <n v="-1.88340764485346E-2"/>
  </r>
  <r>
    <s v="bra"/>
    <x v="5"/>
    <s v="monthly"/>
    <s v="vw_cap"/>
    <n v="8"/>
    <x v="265"/>
    <n v="3.6973168857442E-2"/>
  </r>
  <r>
    <s v="bra"/>
    <x v="5"/>
    <s v="monthly"/>
    <s v="vw_cap"/>
    <n v="8"/>
    <x v="266"/>
    <n v="3.3601964617842998E-3"/>
  </r>
  <r>
    <s v="bra"/>
    <x v="5"/>
    <s v="monthly"/>
    <s v="vw_cap"/>
    <n v="8"/>
    <x v="267"/>
    <n v="7.7482622518285505E-4"/>
  </r>
  <r>
    <s v="bra"/>
    <x v="5"/>
    <s v="monthly"/>
    <s v="vw_cap"/>
    <n v="8"/>
    <x v="268"/>
    <n v="9.3566181965340396E-3"/>
  </r>
  <r>
    <s v="bra"/>
    <x v="5"/>
    <s v="monthly"/>
    <s v="vw_cap"/>
    <n v="8"/>
    <x v="269"/>
    <n v="-2.13353765631626E-2"/>
  </r>
  <r>
    <s v="bra"/>
    <x v="5"/>
    <s v="monthly"/>
    <s v="vw_cap"/>
    <n v="8"/>
    <x v="270"/>
    <n v="3.6051172734155902E-2"/>
  </r>
  <r>
    <s v="bra"/>
    <x v="5"/>
    <s v="monthly"/>
    <s v="vw_cap"/>
    <n v="8"/>
    <x v="271"/>
    <n v="-3.4964073658841199E-3"/>
  </r>
  <r>
    <s v="bra"/>
    <x v="5"/>
    <s v="monthly"/>
    <s v="vw_cap"/>
    <n v="8"/>
    <x v="272"/>
    <n v="2.6818166519842299E-2"/>
  </r>
  <r>
    <s v="bra"/>
    <x v="5"/>
    <s v="monthly"/>
    <s v="vw_cap"/>
    <n v="8"/>
    <x v="273"/>
    <n v="1.7434749144219198E-2"/>
  </r>
  <r>
    <s v="bra"/>
    <x v="5"/>
    <s v="monthly"/>
    <s v="vw_cap"/>
    <n v="8"/>
    <x v="274"/>
    <n v="2.4873156076347502E-2"/>
  </r>
  <r>
    <s v="bra"/>
    <x v="5"/>
    <s v="monthly"/>
    <s v="vw_cap"/>
    <n v="8"/>
    <x v="275"/>
    <n v="5.2479849864259603E-2"/>
  </r>
  <r>
    <s v="bra"/>
    <x v="5"/>
    <s v="monthly"/>
    <s v="vw_cap"/>
    <n v="8"/>
    <x v="276"/>
    <n v="2.96601075551748E-2"/>
  </r>
  <r>
    <s v="bra"/>
    <x v="5"/>
    <s v="monthly"/>
    <s v="vw_cap"/>
    <n v="8"/>
    <x v="277"/>
    <n v="-2.7110235935837598E-2"/>
  </r>
  <r>
    <s v="bra"/>
    <x v="5"/>
    <s v="monthly"/>
    <s v="vw_cap"/>
    <n v="8"/>
    <x v="278"/>
    <n v="1.09793035350105E-2"/>
  </r>
  <r>
    <s v="bra"/>
    <x v="5"/>
    <s v="monthly"/>
    <s v="vw_cap"/>
    <n v="8"/>
    <x v="279"/>
    <n v="-8.4283029904363097E-3"/>
  </r>
  <r>
    <s v="bra"/>
    <x v="5"/>
    <s v="monthly"/>
    <s v="vw_cap"/>
    <n v="8"/>
    <x v="280"/>
    <n v="-1.7667484597776999E-2"/>
  </r>
  <r>
    <s v="bra"/>
    <x v="5"/>
    <s v="monthly"/>
    <s v="vw_cap"/>
    <n v="7"/>
    <x v="281"/>
    <n v="-7.72826407695806E-3"/>
  </r>
  <r>
    <s v="bra"/>
    <x v="5"/>
    <s v="monthly"/>
    <s v="vw_cap"/>
    <n v="7"/>
    <x v="282"/>
    <n v="5.2377333971169804E-3"/>
  </r>
  <r>
    <s v="bra"/>
    <x v="5"/>
    <s v="monthly"/>
    <s v="vw_cap"/>
    <n v="7"/>
    <x v="283"/>
    <n v="-1.8622141213700299E-2"/>
  </r>
  <r>
    <s v="bra"/>
    <x v="5"/>
    <s v="monthly"/>
    <s v="vw_cap"/>
    <n v="8"/>
    <x v="284"/>
    <n v="1.4772140969834599E-2"/>
  </r>
  <r>
    <s v="bra"/>
    <x v="5"/>
    <s v="monthly"/>
    <s v="vw_cap"/>
    <n v="8"/>
    <x v="285"/>
    <n v="1.31844703210964E-2"/>
  </r>
  <r>
    <s v="bra"/>
    <x v="5"/>
    <s v="monthly"/>
    <s v="vw_cap"/>
    <n v="8"/>
    <x v="286"/>
    <n v="-1.04216941981613E-2"/>
  </r>
  <r>
    <s v="bra"/>
    <x v="5"/>
    <s v="monthly"/>
    <s v="vw_cap"/>
    <n v="8"/>
    <x v="287"/>
    <n v="3.8461057492329503E-2"/>
  </r>
  <r>
    <s v="bra"/>
    <x v="5"/>
    <s v="monthly"/>
    <s v="vw_cap"/>
    <n v="8"/>
    <x v="288"/>
    <n v="-2.9191863118486001E-2"/>
  </r>
  <r>
    <s v="bra"/>
    <x v="6"/>
    <s v="monthly"/>
    <s v="vw_cap"/>
    <n v="2"/>
    <x v="313"/>
    <n v="-0.14459538784593501"/>
  </r>
  <r>
    <s v="bra"/>
    <x v="6"/>
    <s v="monthly"/>
    <s v="vw_cap"/>
    <n v="1"/>
    <x v="314"/>
    <n v="-2.3499104739746701E-2"/>
  </r>
  <r>
    <s v="bra"/>
    <x v="6"/>
    <s v="monthly"/>
    <s v="vw_cap"/>
    <n v="2"/>
    <x v="315"/>
    <n v="-4.0268344920569098E-2"/>
  </r>
  <r>
    <s v="bra"/>
    <x v="6"/>
    <s v="monthly"/>
    <s v="vw_cap"/>
    <n v="2"/>
    <x v="316"/>
    <n v="0.17533699905121999"/>
  </r>
  <r>
    <s v="bra"/>
    <x v="6"/>
    <s v="monthly"/>
    <s v="vw_cap"/>
    <n v="2"/>
    <x v="317"/>
    <n v="-3.0375852872597801E-2"/>
  </r>
  <r>
    <s v="bra"/>
    <x v="6"/>
    <s v="monthly"/>
    <s v="vw_cap"/>
    <n v="2"/>
    <x v="318"/>
    <n v="6.6452300493323499E-2"/>
  </r>
  <r>
    <s v="bra"/>
    <x v="6"/>
    <s v="monthly"/>
    <s v="vw_cap"/>
    <n v="2"/>
    <x v="319"/>
    <n v="6.5460698879632795E-2"/>
  </r>
  <r>
    <s v="bra"/>
    <x v="6"/>
    <s v="monthly"/>
    <s v="vw_cap"/>
    <n v="2"/>
    <x v="320"/>
    <n v="-0.27609377037261001"/>
  </r>
  <r>
    <s v="bra"/>
    <x v="6"/>
    <s v="monthly"/>
    <s v="vw_cap"/>
    <n v="2"/>
    <x v="321"/>
    <n v="0.10670406780198601"/>
  </r>
  <r>
    <s v="bra"/>
    <x v="6"/>
    <s v="monthly"/>
    <s v="vw_cap"/>
    <n v="2"/>
    <x v="322"/>
    <n v="4.2018247301080103E-3"/>
  </r>
  <r>
    <s v="bra"/>
    <x v="6"/>
    <s v="monthly"/>
    <s v="vw_cap"/>
    <n v="2"/>
    <x v="323"/>
    <n v="6.5524325139450904E-2"/>
  </r>
  <r>
    <s v="bra"/>
    <x v="6"/>
    <s v="monthly"/>
    <s v="vw_cap"/>
    <n v="2"/>
    <x v="324"/>
    <n v="2.8736831716238299E-2"/>
  </r>
  <r>
    <s v="bra"/>
    <x v="6"/>
    <s v="monthly"/>
    <s v="vw_cap"/>
    <n v="2"/>
    <x v="325"/>
    <n v="-1.3933774140335701E-2"/>
  </r>
  <r>
    <s v="bra"/>
    <x v="6"/>
    <s v="monthly"/>
    <s v="vw_cap"/>
    <n v="2"/>
    <x v="326"/>
    <n v="4.5302439312119198E-2"/>
  </r>
  <r>
    <s v="bra"/>
    <x v="6"/>
    <s v="monthly"/>
    <s v="vw_cap"/>
    <n v="2"/>
    <x v="327"/>
    <n v="7.9457841754928295E-3"/>
  </r>
  <r>
    <s v="bra"/>
    <x v="6"/>
    <s v="monthly"/>
    <s v="vw_cap"/>
    <n v="2"/>
    <x v="328"/>
    <n v="6.37307219854336E-2"/>
  </r>
  <r>
    <s v="bra"/>
    <x v="6"/>
    <s v="monthly"/>
    <s v="vw_cap"/>
    <n v="2"/>
    <x v="329"/>
    <n v="-9.8635156105871896E-2"/>
  </r>
  <r>
    <s v="bra"/>
    <x v="6"/>
    <s v="monthly"/>
    <s v="vw_cap"/>
    <n v="2"/>
    <x v="330"/>
    <n v="-1.9362813226120001E-2"/>
  </r>
  <r>
    <s v="bra"/>
    <x v="6"/>
    <s v="monthly"/>
    <s v="vw_cap"/>
    <n v="2"/>
    <x v="331"/>
    <n v="0.115735685880325"/>
  </r>
  <r>
    <s v="bra"/>
    <x v="6"/>
    <s v="monthly"/>
    <s v="vw_cap"/>
    <n v="2"/>
    <x v="332"/>
    <n v="-6.4944439801773196E-2"/>
  </r>
  <r>
    <s v="bra"/>
    <x v="6"/>
    <s v="monthly"/>
    <s v="vw_cap"/>
    <n v="2"/>
    <x v="333"/>
    <n v="-1.1599594419435E-2"/>
  </r>
  <r>
    <s v="bra"/>
    <x v="6"/>
    <s v="monthly"/>
    <s v="vw_cap"/>
    <n v="2"/>
    <x v="334"/>
    <n v="0.15834713816460899"/>
  </r>
  <r>
    <s v="bra"/>
    <x v="6"/>
    <s v="monthly"/>
    <s v="vw_cap"/>
    <n v="2"/>
    <x v="335"/>
    <n v="1.1333416236355E-2"/>
  </r>
  <r>
    <s v="bra"/>
    <x v="6"/>
    <s v="monthly"/>
    <s v="vw_cap"/>
    <n v="2"/>
    <x v="336"/>
    <n v="-1.09439902596567E-2"/>
  </r>
  <r>
    <s v="bra"/>
    <x v="6"/>
    <s v="monthly"/>
    <s v="vw_cap"/>
    <n v="2"/>
    <x v="337"/>
    <n v="4.9788032969934101E-2"/>
  </r>
  <r>
    <s v="bra"/>
    <x v="6"/>
    <s v="monthly"/>
    <s v="vw_cap"/>
    <n v="2"/>
    <x v="338"/>
    <n v="-5.17857223785382E-2"/>
  </r>
  <r>
    <s v="bra"/>
    <x v="6"/>
    <s v="monthly"/>
    <s v="vw_cap"/>
    <n v="2"/>
    <x v="339"/>
    <n v="4.3362007063191599E-2"/>
  </r>
  <r>
    <s v="bra"/>
    <x v="6"/>
    <s v="monthly"/>
    <s v="vw_cap"/>
    <n v="2"/>
    <x v="340"/>
    <n v="4.9794785559041203E-3"/>
  </r>
  <r>
    <s v="bra"/>
    <x v="6"/>
    <s v="monthly"/>
    <s v="vw_cap"/>
    <n v="2"/>
    <x v="341"/>
    <n v="1.16581136355897E-2"/>
  </r>
  <r>
    <s v="bra"/>
    <x v="6"/>
    <s v="monthly"/>
    <s v="vw_cap"/>
    <n v="2"/>
    <x v="342"/>
    <n v="-5.8056202081627498E-2"/>
  </r>
  <r>
    <s v="bra"/>
    <x v="6"/>
    <s v="monthly"/>
    <s v="vw_cap"/>
    <n v="2"/>
    <x v="343"/>
    <n v="1.0996982004175501E-2"/>
  </r>
  <r>
    <s v="bra"/>
    <x v="6"/>
    <s v="monthly"/>
    <s v="vw_cap"/>
    <n v="2"/>
    <x v="344"/>
    <n v="0.106266568471989"/>
  </r>
  <r>
    <s v="bra"/>
    <x v="6"/>
    <s v="monthly"/>
    <s v="vw_cap"/>
    <n v="2"/>
    <x v="345"/>
    <n v="-3.8001020511157002E-2"/>
  </r>
  <r>
    <s v="bra"/>
    <x v="6"/>
    <s v="monthly"/>
    <s v="vw_cap"/>
    <n v="2"/>
    <x v="346"/>
    <n v="-9.2649215815562794E-3"/>
  </r>
  <r>
    <s v="bra"/>
    <x v="6"/>
    <s v="monthly"/>
    <s v="vw_cap"/>
    <n v="2"/>
    <x v="347"/>
    <n v="4.1412729122643398E-2"/>
  </r>
  <r>
    <s v="bra"/>
    <x v="6"/>
    <s v="monthly"/>
    <s v="vw_cap"/>
    <n v="2"/>
    <x v="348"/>
    <n v="-0.13820375946852001"/>
  </r>
  <r>
    <s v="bra"/>
    <x v="6"/>
    <s v="monthly"/>
    <s v="vw_cap"/>
    <n v="2"/>
    <x v="349"/>
    <n v="4.1584464493474499E-2"/>
  </r>
  <r>
    <s v="bra"/>
    <x v="6"/>
    <s v="monthly"/>
    <s v="vw_cap"/>
    <n v="2"/>
    <x v="350"/>
    <n v="4.6547528919181902E-2"/>
  </r>
  <r>
    <s v="bra"/>
    <x v="6"/>
    <s v="monthly"/>
    <s v="vw_cap"/>
    <n v="2"/>
    <x v="351"/>
    <n v="4.6863829548777298E-4"/>
  </r>
  <r>
    <s v="bra"/>
    <x v="6"/>
    <s v="monthly"/>
    <s v="vw_cap"/>
    <n v="2"/>
    <x v="352"/>
    <n v="2.91065851387226E-2"/>
  </r>
  <r>
    <s v="bra"/>
    <x v="6"/>
    <s v="monthly"/>
    <s v="vw_cap"/>
    <n v="2"/>
    <x v="353"/>
    <n v="-0.13359924592130001"/>
  </r>
  <r>
    <s v="bra"/>
    <x v="6"/>
    <s v="monthly"/>
    <s v="vw_cap"/>
    <n v="2"/>
    <x v="354"/>
    <n v="0.14215368079820601"/>
  </r>
  <r>
    <s v="bra"/>
    <x v="6"/>
    <s v="monthly"/>
    <s v="vw_cap"/>
    <n v="2"/>
    <x v="355"/>
    <n v="-0.11553796858357999"/>
  </r>
  <r>
    <s v="bra"/>
    <x v="6"/>
    <s v="monthly"/>
    <s v="vw_cap"/>
    <n v="2"/>
    <x v="356"/>
    <n v="-0.11453879943492901"/>
  </r>
  <r>
    <s v="bra"/>
    <x v="6"/>
    <s v="monthly"/>
    <s v="vw_cap"/>
    <n v="4"/>
    <x v="0"/>
    <n v="1.09891448532495E-2"/>
  </r>
  <r>
    <s v="bra"/>
    <x v="6"/>
    <s v="monthly"/>
    <s v="vw_cap"/>
    <n v="4"/>
    <x v="1"/>
    <n v="-1.27902793922142E-4"/>
  </r>
  <r>
    <s v="bra"/>
    <x v="6"/>
    <s v="monthly"/>
    <s v="vw_cap"/>
    <n v="3"/>
    <x v="289"/>
    <n v="7.4495184924199404E-2"/>
  </r>
  <r>
    <s v="bra"/>
    <x v="6"/>
    <s v="monthly"/>
    <s v="vw_cap"/>
    <n v="3"/>
    <x v="290"/>
    <n v="-2.44457257586514E-2"/>
  </r>
  <r>
    <s v="bra"/>
    <x v="6"/>
    <s v="monthly"/>
    <s v="vw_cap"/>
    <n v="3"/>
    <x v="291"/>
    <n v="-1.5732137501977599E-2"/>
  </r>
  <r>
    <s v="bra"/>
    <x v="6"/>
    <s v="monthly"/>
    <s v="vw_cap"/>
    <n v="3"/>
    <x v="292"/>
    <n v="-8.3272526179343602E-3"/>
  </r>
  <r>
    <s v="bra"/>
    <x v="6"/>
    <s v="monthly"/>
    <s v="vw_cap"/>
    <n v="3"/>
    <x v="293"/>
    <n v="0.206537965957523"/>
  </r>
  <r>
    <s v="bra"/>
    <x v="6"/>
    <s v="monthly"/>
    <s v="vw_cap"/>
    <n v="4"/>
    <x v="2"/>
    <n v="-1.9294510840505399E-2"/>
  </r>
  <r>
    <s v="bra"/>
    <x v="6"/>
    <s v="monthly"/>
    <s v="vw_cap"/>
    <n v="4"/>
    <x v="3"/>
    <n v="-2.6509903079303902E-2"/>
  </r>
  <r>
    <s v="bra"/>
    <x v="6"/>
    <s v="monthly"/>
    <s v="vw_cap"/>
    <n v="2"/>
    <x v="357"/>
    <n v="2.4593831925510999E-3"/>
  </r>
  <r>
    <s v="bra"/>
    <x v="6"/>
    <s v="monthly"/>
    <s v="vw_cap"/>
    <n v="2"/>
    <x v="358"/>
    <n v="-1.21060386440243E-2"/>
  </r>
  <r>
    <s v="bra"/>
    <x v="6"/>
    <s v="monthly"/>
    <s v="vw_cap"/>
    <n v="2"/>
    <x v="359"/>
    <n v="-0.105438623008394"/>
  </r>
  <r>
    <s v="bra"/>
    <x v="6"/>
    <s v="monthly"/>
    <s v="vw_cap"/>
    <n v="4"/>
    <x v="4"/>
    <n v="1.0109693219470599E-2"/>
  </r>
  <r>
    <s v="bra"/>
    <x v="6"/>
    <s v="monthly"/>
    <s v="vw_cap"/>
    <n v="4"/>
    <x v="5"/>
    <n v="5.8014903602426497E-2"/>
  </r>
  <r>
    <s v="bra"/>
    <x v="6"/>
    <s v="monthly"/>
    <s v="vw_cap"/>
    <n v="4"/>
    <x v="6"/>
    <n v="3.9826082043416103E-2"/>
  </r>
  <r>
    <s v="bra"/>
    <x v="6"/>
    <s v="monthly"/>
    <s v="vw_cap"/>
    <n v="4"/>
    <x v="7"/>
    <n v="4.75853204331282E-2"/>
  </r>
  <r>
    <s v="bra"/>
    <x v="6"/>
    <s v="monthly"/>
    <s v="vw_cap"/>
    <n v="4"/>
    <x v="8"/>
    <n v="-2.8564729519224102E-2"/>
  </r>
  <r>
    <s v="bra"/>
    <x v="6"/>
    <s v="monthly"/>
    <s v="vw_cap"/>
    <n v="4"/>
    <x v="9"/>
    <n v="-4.4864878197985E-2"/>
  </r>
  <r>
    <s v="bra"/>
    <x v="6"/>
    <s v="monthly"/>
    <s v="vw_cap"/>
    <n v="3"/>
    <x v="294"/>
    <n v="0.131335388500921"/>
  </r>
  <r>
    <s v="bra"/>
    <x v="6"/>
    <s v="monthly"/>
    <s v="vw_cap"/>
    <n v="4"/>
    <x v="10"/>
    <n v="-1.71641384329244E-2"/>
  </r>
  <r>
    <s v="bra"/>
    <x v="6"/>
    <s v="monthly"/>
    <s v="vw_cap"/>
    <n v="4"/>
    <x v="11"/>
    <n v="-8.2902862131807198E-2"/>
  </r>
  <r>
    <s v="bra"/>
    <x v="6"/>
    <s v="monthly"/>
    <s v="vw_cap"/>
    <n v="4"/>
    <x v="12"/>
    <n v="-2.32634047172855E-2"/>
  </r>
  <r>
    <s v="bra"/>
    <x v="6"/>
    <s v="monthly"/>
    <s v="vw_cap"/>
    <n v="4"/>
    <x v="13"/>
    <n v="4.8664774983759103E-2"/>
  </r>
  <r>
    <s v="bra"/>
    <x v="6"/>
    <s v="monthly"/>
    <s v="vw_cap"/>
    <n v="4"/>
    <x v="14"/>
    <n v="-5.5961259302518898E-2"/>
  </r>
  <r>
    <s v="bra"/>
    <x v="6"/>
    <s v="monthly"/>
    <s v="vw_cap"/>
    <n v="6"/>
    <x v="15"/>
    <n v="0.15598361823806201"/>
  </r>
  <r>
    <s v="bra"/>
    <x v="6"/>
    <s v="monthly"/>
    <s v="vw_cap"/>
    <n v="6"/>
    <x v="16"/>
    <n v="1.75987953235455E-2"/>
  </r>
  <r>
    <s v="bra"/>
    <x v="6"/>
    <s v="monthly"/>
    <s v="vw_cap"/>
    <n v="6"/>
    <x v="17"/>
    <n v="7.1715344003711601E-2"/>
  </r>
  <r>
    <s v="bra"/>
    <x v="6"/>
    <s v="monthly"/>
    <s v="vw_cap"/>
    <n v="6"/>
    <x v="18"/>
    <n v="2.6848270856120699E-2"/>
  </r>
  <r>
    <s v="bra"/>
    <x v="6"/>
    <s v="monthly"/>
    <s v="vw_cap"/>
    <n v="6"/>
    <x v="19"/>
    <n v="3.40410564942146E-2"/>
  </r>
  <r>
    <s v="bra"/>
    <x v="6"/>
    <s v="monthly"/>
    <s v="vw_cap"/>
    <n v="6"/>
    <x v="20"/>
    <n v="-7.2225875203302703E-2"/>
  </r>
  <r>
    <s v="bra"/>
    <x v="6"/>
    <s v="monthly"/>
    <s v="vw_cap"/>
    <n v="6"/>
    <x v="21"/>
    <n v="-1.2256828067876101E-3"/>
  </r>
  <r>
    <s v="bra"/>
    <x v="6"/>
    <s v="monthly"/>
    <s v="vw_cap"/>
    <n v="7"/>
    <x v="22"/>
    <n v="2.4019517551380501E-2"/>
  </r>
  <r>
    <s v="bra"/>
    <x v="6"/>
    <s v="monthly"/>
    <s v="vw_cap"/>
    <n v="7"/>
    <x v="23"/>
    <n v="-9.6545018325701296E-2"/>
  </r>
  <r>
    <s v="bra"/>
    <x v="6"/>
    <s v="monthly"/>
    <s v="vw_cap"/>
    <n v="7"/>
    <x v="24"/>
    <n v="-2.3207173280333799E-2"/>
  </r>
  <r>
    <s v="bra"/>
    <x v="6"/>
    <s v="monthly"/>
    <s v="vw_cap"/>
    <n v="7"/>
    <x v="25"/>
    <n v="3.4602020786033802E-3"/>
  </r>
  <r>
    <s v="bra"/>
    <x v="6"/>
    <s v="monthly"/>
    <s v="vw_cap"/>
    <n v="6"/>
    <x v="26"/>
    <n v="2.24134976541784E-2"/>
  </r>
  <r>
    <s v="bra"/>
    <x v="6"/>
    <s v="monthly"/>
    <s v="vw_cap"/>
    <n v="7"/>
    <x v="27"/>
    <n v="-2.3793573141730098E-2"/>
  </r>
  <r>
    <s v="bra"/>
    <x v="6"/>
    <s v="monthly"/>
    <s v="vw_cap"/>
    <n v="4"/>
    <x v="295"/>
    <n v="5.3697948610892401E-2"/>
  </r>
  <r>
    <s v="bra"/>
    <x v="6"/>
    <s v="monthly"/>
    <s v="vw_cap"/>
    <n v="4"/>
    <x v="296"/>
    <n v="1.7362771593552598E-2"/>
  </r>
  <r>
    <s v="bra"/>
    <x v="6"/>
    <s v="monthly"/>
    <s v="vw_cap"/>
    <n v="4"/>
    <x v="297"/>
    <n v="4.8973893804033601E-3"/>
  </r>
  <r>
    <s v="bra"/>
    <x v="6"/>
    <s v="monthly"/>
    <s v="vw_cap"/>
    <n v="4"/>
    <x v="298"/>
    <n v="-1.88521365828558E-2"/>
  </r>
  <r>
    <s v="bra"/>
    <x v="6"/>
    <s v="monthly"/>
    <s v="vw_cap"/>
    <n v="2"/>
    <x v="360"/>
    <n v="4.81459321727013E-2"/>
  </r>
  <r>
    <s v="bra"/>
    <x v="6"/>
    <s v="monthly"/>
    <s v="vw_cap"/>
    <n v="2"/>
    <x v="361"/>
    <n v="-2.23301208697545E-2"/>
  </r>
  <r>
    <s v="bra"/>
    <x v="6"/>
    <s v="monthly"/>
    <s v="vw_cap"/>
    <n v="2"/>
    <x v="362"/>
    <n v="-2.3215597042678299E-2"/>
  </r>
  <r>
    <s v="bra"/>
    <x v="6"/>
    <s v="monthly"/>
    <s v="vw_cap"/>
    <n v="4"/>
    <x v="299"/>
    <n v="-1.48257392103827E-2"/>
  </r>
  <r>
    <s v="bra"/>
    <x v="6"/>
    <s v="monthly"/>
    <s v="vw_cap"/>
    <n v="4"/>
    <x v="300"/>
    <n v="5.0803349588271297E-2"/>
  </r>
  <r>
    <s v="bra"/>
    <x v="6"/>
    <s v="monthly"/>
    <s v="vw_cap"/>
    <n v="4"/>
    <x v="301"/>
    <n v="1.51662313639442E-3"/>
  </r>
  <r>
    <s v="bra"/>
    <x v="6"/>
    <s v="monthly"/>
    <s v="vw_cap"/>
    <n v="4"/>
    <x v="302"/>
    <n v="7.17452099121932E-2"/>
  </r>
  <r>
    <s v="bra"/>
    <x v="6"/>
    <s v="monthly"/>
    <s v="vw_cap"/>
    <n v="4"/>
    <x v="303"/>
    <n v="-2.1826541250733099E-2"/>
  </r>
  <r>
    <s v="bra"/>
    <x v="6"/>
    <s v="monthly"/>
    <s v="vw_cap"/>
    <n v="4"/>
    <x v="304"/>
    <n v="-2.87069387217346E-2"/>
  </r>
  <r>
    <s v="bra"/>
    <x v="6"/>
    <s v="monthly"/>
    <s v="vw_cap"/>
    <n v="2"/>
    <x v="363"/>
    <n v="1.6931866226677601E-2"/>
  </r>
  <r>
    <s v="bra"/>
    <x v="6"/>
    <s v="monthly"/>
    <s v="vw_cap"/>
    <n v="2"/>
    <x v="364"/>
    <n v="0.29724614537941002"/>
  </r>
  <r>
    <s v="bra"/>
    <x v="6"/>
    <s v="monthly"/>
    <s v="vw_cap"/>
    <n v="2"/>
    <x v="365"/>
    <n v="-1.90290232635961E-4"/>
  </r>
  <r>
    <s v="bra"/>
    <x v="6"/>
    <s v="monthly"/>
    <s v="vw_cap"/>
    <n v="2"/>
    <x v="366"/>
    <n v="0.13511533897535499"/>
  </r>
  <r>
    <s v="bra"/>
    <x v="6"/>
    <s v="monthly"/>
    <s v="vw_cap"/>
    <n v="2"/>
    <x v="367"/>
    <n v="-5.3678348899975099E-3"/>
  </r>
  <r>
    <s v="bra"/>
    <x v="6"/>
    <s v="monthly"/>
    <s v="vw_cap"/>
    <n v="2"/>
    <x v="368"/>
    <n v="1.70330777871096E-2"/>
  </r>
  <r>
    <s v="bra"/>
    <x v="6"/>
    <s v="monthly"/>
    <s v="vw_cap"/>
    <n v="2"/>
    <x v="369"/>
    <n v="5.5690477131167801E-2"/>
  </r>
  <r>
    <s v="bra"/>
    <x v="6"/>
    <s v="monthly"/>
    <s v="vw_cap"/>
    <n v="2"/>
    <x v="370"/>
    <n v="1.11883904256858E-2"/>
  </r>
  <r>
    <s v="bra"/>
    <x v="6"/>
    <s v="monthly"/>
    <s v="vw_cap"/>
    <n v="2"/>
    <x v="371"/>
    <n v="9.2675066101047199E-2"/>
  </r>
  <r>
    <s v="bra"/>
    <x v="6"/>
    <s v="monthly"/>
    <s v="vw_cap"/>
    <n v="2"/>
    <x v="372"/>
    <n v="-4.4605508662707398E-2"/>
  </r>
  <r>
    <s v="bra"/>
    <x v="6"/>
    <s v="monthly"/>
    <s v="vw_cap"/>
    <n v="2"/>
    <x v="373"/>
    <n v="-6.0892609934445402E-3"/>
  </r>
  <r>
    <s v="bra"/>
    <x v="6"/>
    <s v="monthly"/>
    <s v="vw_cap"/>
    <n v="2"/>
    <x v="374"/>
    <n v="0.22551893455795999"/>
  </r>
  <r>
    <s v="bra"/>
    <x v="6"/>
    <s v="monthly"/>
    <s v="vw_cap"/>
    <n v="2"/>
    <x v="375"/>
    <n v="-9.7551404299255698E-3"/>
  </r>
  <r>
    <s v="bra"/>
    <x v="6"/>
    <s v="monthly"/>
    <s v="vw_cap"/>
    <n v="2"/>
    <x v="376"/>
    <n v="-4.5847039318147299E-2"/>
  </r>
  <r>
    <s v="bra"/>
    <x v="6"/>
    <s v="monthly"/>
    <s v="vw_cap"/>
    <n v="4"/>
    <x v="305"/>
    <n v="-1.9073520804489E-2"/>
  </r>
  <r>
    <s v="bra"/>
    <x v="6"/>
    <s v="monthly"/>
    <s v="vw_cap"/>
    <n v="4"/>
    <x v="306"/>
    <n v="3.8311782147889301E-2"/>
  </r>
  <r>
    <s v="bra"/>
    <x v="6"/>
    <s v="monthly"/>
    <s v="vw_cap"/>
    <n v="4"/>
    <x v="307"/>
    <n v="-2.3489580616350501E-2"/>
  </r>
  <r>
    <s v="bra"/>
    <x v="6"/>
    <s v="monthly"/>
    <s v="vw_cap"/>
    <n v="4"/>
    <x v="28"/>
    <n v="-3.7426596390954497E-2"/>
  </r>
  <r>
    <s v="bra"/>
    <x v="6"/>
    <s v="monthly"/>
    <s v="vw_cap"/>
    <n v="4"/>
    <x v="308"/>
    <n v="4.1741217851294699E-2"/>
  </r>
  <r>
    <s v="bra"/>
    <x v="6"/>
    <s v="monthly"/>
    <s v="vw_cap"/>
    <n v="4"/>
    <x v="309"/>
    <n v="7.1489011768104196E-2"/>
  </r>
  <r>
    <s v="bra"/>
    <x v="6"/>
    <s v="monthly"/>
    <s v="vw_cap"/>
    <n v="4"/>
    <x v="310"/>
    <n v="8.5727840208040893E-3"/>
  </r>
  <r>
    <s v="bra"/>
    <x v="6"/>
    <s v="monthly"/>
    <s v="vw_cap"/>
    <n v="4"/>
    <x v="311"/>
    <n v="5.2724926573236601E-3"/>
  </r>
  <r>
    <s v="bra"/>
    <x v="6"/>
    <s v="monthly"/>
    <s v="vw_cap"/>
    <n v="7"/>
    <x v="29"/>
    <n v="3.8364360246795598E-2"/>
  </r>
  <r>
    <s v="bra"/>
    <x v="6"/>
    <s v="monthly"/>
    <s v="vw_cap"/>
    <n v="5"/>
    <x v="30"/>
    <n v="4.5944564930614096E-3"/>
  </r>
  <r>
    <s v="bra"/>
    <x v="6"/>
    <s v="monthly"/>
    <s v="vw_cap"/>
    <n v="5"/>
    <x v="31"/>
    <n v="-1.8030612581243701E-3"/>
  </r>
  <r>
    <s v="bra"/>
    <x v="6"/>
    <s v="monthly"/>
    <s v="vw_cap"/>
    <n v="7"/>
    <x v="32"/>
    <n v="4.3887803796358503E-2"/>
  </r>
  <r>
    <s v="bra"/>
    <x v="6"/>
    <s v="monthly"/>
    <s v="vw_cap"/>
    <n v="7"/>
    <x v="33"/>
    <n v="-7.0502126181575704E-3"/>
  </r>
  <r>
    <s v="bra"/>
    <x v="6"/>
    <s v="monthly"/>
    <s v="vw_cap"/>
    <n v="7"/>
    <x v="34"/>
    <n v="2.6856706866793801E-2"/>
  </r>
  <r>
    <s v="bra"/>
    <x v="6"/>
    <s v="monthly"/>
    <s v="vw_cap"/>
    <n v="7"/>
    <x v="35"/>
    <n v="3.7546048445257697E-2"/>
  </r>
  <r>
    <s v="bra"/>
    <x v="6"/>
    <s v="monthly"/>
    <s v="vw_cap"/>
    <n v="7"/>
    <x v="36"/>
    <n v="2.79690724772159E-2"/>
  </r>
  <r>
    <s v="bra"/>
    <x v="6"/>
    <s v="monthly"/>
    <s v="vw_cap"/>
    <n v="7"/>
    <x v="37"/>
    <n v="3.0021531103324499E-2"/>
  </r>
  <r>
    <s v="bra"/>
    <x v="6"/>
    <s v="monthly"/>
    <s v="vw_cap"/>
    <n v="7"/>
    <x v="38"/>
    <n v="-3.7950441399132701E-2"/>
  </r>
  <r>
    <s v="bra"/>
    <x v="6"/>
    <s v="monthly"/>
    <s v="vw_cap"/>
    <n v="7"/>
    <x v="39"/>
    <n v="-7.3804639361610899E-3"/>
  </r>
  <r>
    <s v="bra"/>
    <x v="6"/>
    <s v="monthly"/>
    <s v="vw_cap"/>
    <n v="7"/>
    <x v="40"/>
    <n v="3.0741152407135201E-2"/>
  </r>
  <r>
    <s v="bra"/>
    <x v="6"/>
    <s v="monthly"/>
    <s v="vw_cap"/>
    <n v="7"/>
    <x v="41"/>
    <n v="1.87332022633309E-3"/>
  </r>
  <r>
    <s v="bra"/>
    <x v="6"/>
    <s v="monthly"/>
    <s v="vw_cap"/>
    <n v="7"/>
    <x v="42"/>
    <n v="-2.19274012751885E-2"/>
  </r>
  <r>
    <s v="bra"/>
    <x v="6"/>
    <s v="monthly"/>
    <s v="vw_cap"/>
    <n v="7"/>
    <x v="43"/>
    <n v="6.0145975324437301E-2"/>
  </r>
  <r>
    <s v="bra"/>
    <x v="6"/>
    <s v="monthly"/>
    <s v="vw_cap"/>
    <n v="9"/>
    <x v="44"/>
    <n v="1.37874090627514E-2"/>
  </r>
  <r>
    <s v="bra"/>
    <x v="6"/>
    <s v="monthly"/>
    <s v="vw_cap"/>
    <n v="9"/>
    <x v="45"/>
    <n v="-6.2718307808242802E-4"/>
  </r>
  <r>
    <s v="bra"/>
    <x v="6"/>
    <s v="monthly"/>
    <s v="vw_cap"/>
    <n v="9"/>
    <x v="46"/>
    <n v="-2.1537387476951501E-2"/>
  </r>
  <r>
    <s v="bra"/>
    <x v="6"/>
    <s v="monthly"/>
    <s v="vw_cap"/>
    <n v="10"/>
    <x v="47"/>
    <n v="1.2046464186965301E-2"/>
  </r>
  <r>
    <s v="bra"/>
    <x v="6"/>
    <s v="monthly"/>
    <s v="vw_cap"/>
    <n v="10"/>
    <x v="48"/>
    <n v="1.6862038962339902E-2"/>
  </r>
  <r>
    <s v="bra"/>
    <x v="6"/>
    <s v="monthly"/>
    <s v="vw_cap"/>
    <n v="10"/>
    <x v="49"/>
    <n v="-6.0537136975109896E-3"/>
  </r>
  <r>
    <s v="bra"/>
    <x v="6"/>
    <s v="monthly"/>
    <s v="vw_cap"/>
    <n v="9"/>
    <x v="50"/>
    <n v="-8.0709573467751192E-3"/>
  </r>
  <r>
    <s v="bra"/>
    <x v="6"/>
    <s v="monthly"/>
    <s v="vw_cap"/>
    <n v="11"/>
    <x v="51"/>
    <n v="-2.22565324678765E-3"/>
  </r>
  <r>
    <s v="bra"/>
    <x v="6"/>
    <s v="monthly"/>
    <s v="vw_cap"/>
    <n v="10"/>
    <x v="52"/>
    <n v="-3.7711594132707298E-2"/>
  </r>
  <r>
    <s v="bra"/>
    <x v="6"/>
    <s v="monthly"/>
    <s v="vw_cap"/>
    <n v="12"/>
    <x v="53"/>
    <n v="-1.12123146361844E-2"/>
  </r>
  <r>
    <s v="bra"/>
    <x v="6"/>
    <s v="monthly"/>
    <s v="vw_cap"/>
    <n v="12"/>
    <x v="54"/>
    <n v="-2.2309043539127299E-2"/>
  </r>
  <r>
    <s v="bra"/>
    <x v="6"/>
    <s v="monthly"/>
    <s v="vw_cap"/>
    <n v="12"/>
    <x v="55"/>
    <n v="2.10600856280602E-2"/>
  </r>
  <r>
    <s v="bra"/>
    <x v="6"/>
    <s v="monthly"/>
    <s v="vw_cap"/>
    <n v="12"/>
    <x v="56"/>
    <n v="1.39931140455593E-2"/>
  </r>
  <r>
    <s v="bra"/>
    <x v="6"/>
    <s v="monthly"/>
    <s v="vw_cap"/>
    <n v="12"/>
    <x v="57"/>
    <n v="8.4702300716852103E-3"/>
  </r>
  <r>
    <s v="bra"/>
    <x v="6"/>
    <s v="monthly"/>
    <s v="vw_cap"/>
    <n v="12"/>
    <x v="58"/>
    <n v="3.8495723303800301E-3"/>
  </r>
  <r>
    <s v="bra"/>
    <x v="6"/>
    <s v="monthly"/>
    <s v="vw_cap"/>
    <n v="12"/>
    <x v="59"/>
    <n v="-4.4996309228875998E-3"/>
  </r>
  <r>
    <s v="bra"/>
    <x v="6"/>
    <s v="monthly"/>
    <s v="vw_cap"/>
    <n v="12"/>
    <x v="60"/>
    <n v="1.85728363855166E-2"/>
  </r>
  <r>
    <s v="bra"/>
    <x v="6"/>
    <s v="monthly"/>
    <s v="vw_cap"/>
    <n v="12"/>
    <x v="61"/>
    <n v="2.3154313941995599E-3"/>
  </r>
  <r>
    <s v="bra"/>
    <x v="6"/>
    <s v="monthly"/>
    <s v="vw_cap"/>
    <n v="12"/>
    <x v="62"/>
    <n v="-1.0441852083246101E-2"/>
  </r>
  <r>
    <s v="bra"/>
    <x v="6"/>
    <s v="monthly"/>
    <s v="vw_cap"/>
    <n v="12"/>
    <x v="63"/>
    <n v="8.7170390123117395E-3"/>
  </r>
  <r>
    <s v="bra"/>
    <x v="6"/>
    <s v="monthly"/>
    <s v="vw_cap"/>
    <n v="12"/>
    <x v="64"/>
    <n v="-4.7560755484155901E-3"/>
  </r>
  <r>
    <s v="bra"/>
    <x v="6"/>
    <s v="monthly"/>
    <s v="vw_cap"/>
    <n v="12"/>
    <x v="65"/>
    <n v="2.82377645591218E-3"/>
  </r>
  <r>
    <s v="bra"/>
    <x v="6"/>
    <s v="monthly"/>
    <s v="vw_cap"/>
    <n v="12"/>
    <x v="66"/>
    <n v="-1.65395139611016E-2"/>
  </r>
  <r>
    <s v="bra"/>
    <x v="6"/>
    <s v="monthly"/>
    <s v="vw_cap"/>
    <n v="12"/>
    <x v="67"/>
    <n v="2.0181255150121601E-2"/>
  </r>
  <r>
    <s v="bra"/>
    <x v="6"/>
    <s v="monthly"/>
    <s v="vw_cap"/>
    <n v="12"/>
    <x v="68"/>
    <n v="1.7706958931225599E-3"/>
  </r>
  <r>
    <s v="bra"/>
    <x v="6"/>
    <s v="monthly"/>
    <s v="vw_cap"/>
    <n v="12"/>
    <x v="69"/>
    <n v="3.2429487203740502E-3"/>
  </r>
  <r>
    <s v="bra"/>
    <x v="6"/>
    <s v="monthly"/>
    <s v="vw_cap"/>
    <n v="12"/>
    <x v="70"/>
    <n v="1.17380660581708E-2"/>
  </r>
  <r>
    <s v="bra"/>
    <x v="6"/>
    <s v="monthly"/>
    <s v="vw_cap"/>
    <n v="12"/>
    <x v="71"/>
    <n v="1.8525270578584298E-2"/>
  </r>
  <r>
    <s v="bra"/>
    <x v="6"/>
    <s v="monthly"/>
    <s v="vw_cap"/>
    <n v="12"/>
    <x v="72"/>
    <n v="1.6212597622782699E-3"/>
  </r>
  <r>
    <s v="bra"/>
    <x v="6"/>
    <s v="monthly"/>
    <s v="vw_cap"/>
    <n v="12"/>
    <x v="73"/>
    <n v="2.4319660821157602E-3"/>
  </r>
  <r>
    <s v="bra"/>
    <x v="6"/>
    <s v="monthly"/>
    <s v="vw_cap"/>
    <n v="12"/>
    <x v="74"/>
    <n v="-2.76608154241308E-4"/>
  </r>
  <r>
    <s v="bra"/>
    <x v="6"/>
    <s v="monthly"/>
    <s v="vw_cap"/>
    <n v="12"/>
    <x v="75"/>
    <n v="1.4407708159357099E-3"/>
  </r>
  <r>
    <s v="bra"/>
    <x v="6"/>
    <s v="monthly"/>
    <s v="vw_cap"/>
    <n v="12"/>
    <x v="76"/>
    <n v="1.56204107490016E-2"/>
  </r>
  <r>
    <s v="bra"/>
    <x v="6"/>
    <s v="monthly"/>
    <s v="vw_cap"/>
    <n v="12"/>
    <x v="77"/>
    <n v="1.64231716710041E-2"/>
  </r>
  <r>
    <s v="bra"/>
    <x v="6"/>
    <s v="monthly"/>
    <s v="vw_cap"/>
    <n v="12"/>
    <x v="78"/>
    <n v="-1.9245554067179399E-2"/>
  </r>
  <r>
    <s v="bra"/>
    <x v="6"/>
    <s v="monthly"/>
    <s v="vw_cap"/>
    <n v="12"/>
    <x v="79"/>
    <n v="-4.4080765701181697E-2"/>
  </r>
  <r>
    <s v="bra"/>
    <x v="6"/>
    <s v="monthly"/>
    <s v="vw_cap"/>
    <n v="12"/>
    <x v="80"/>
    <n v="3.5718685988486601E-3"/>
  </r>
  <r>
    <s v="bra"/>
    <x v="6"/>
    <s v="monthly"/>
    <s v="vw_cap"/>
    <n v="12"/>
    <x v="81"/>
    <n v="-2.5957910414498199E-4"/>
  </r>
  <r>
    <s v="bra"/>
    <x v="6"/>
    <s v="monthly"/>
    <s v="vw_cap"/>
    <n v="12"/>
    <x v="82"/>
    <n v="-3.7945539697283703E-2"/>
  </r>
  <r>
    <s v="bra"/>
    <x v="6"/>
    <s v="monthly"/>
    <s v="vw_cap"/>
    <n v="12"/>
    <x v="83"/>
    <n v="-1.76839448554332E-2"/>
  </r>
  <r>
    <s v="bra"/>
    <x v="6"/>
    <s v="monthly"/>
    <s v="vw_cap"/>
    <n v="12"/>
    <x v="84"/>
    <n v="2.5374525422255299E-2"/>
  </r>
  <r>
    <s v="bra"/>
    <x v="6"/>
    <s v="monthly"/>
    <s v="vw_cap"/>
    <n v="12"/>
    <x v="85"/>
    <n v="1.4489672708257E-2"/>
  </r>
  <r>
    <s v="bra"/>
    <x v="6"/>
    <s v="monthly"/>
    <s v="vw_cap"/>
    <n v="12"/>
    <x v="86"/>
    <n v="1.32254807845888E-2"/>
  </r>
  <r>
    <s v="bra"/>
    <x v="6"/>
    <s v="monthly"/>
    <s v="vw_cap"/>
    <n v="12"/>
    <x v="87"/>
    <n v="1.16531958199466E-2"/>
  </r>
  <r>
    <s v="bra"/>
    <x v="6"/>
    <s v="monthly"/>
    <s v="vw_cap"/>
    <n v="12"/>
    <x v="88"/>
    <n v="-2.69865180542261E-2"/>
  </r>
  <r>
    <s v="bra"/>
    <x v="6"/>
    <s v="monthly"/>
    <s v="vw_cap"/>
    <n v="11"/>
    <x v="89"/>
    <n v="2.7913077036109098E-3"/>
  </r>
  <r>
    <s v="bra"/>
    <x v="6"/>
    <s v="monthly"/>
    <s v="vw_cap"/>
    <n v="11"/>
    <x v="90"/>
    <n v="8.3122530179305099E-3"/>
  </r>
  <r>
    <s v="bra"/>
    <x v="6"/>
    <s v="monthly"/>
    <s v="vw_cap"/>
    <n v="11"/>
    <x v="91"/>
    <n v="-2.3336742156267298E-2"/>
  </r>
  <r>
    <s v="bra"/>
    <x v="6"/>
    <s v="monthly"/>
    <s v="vw_cap"/>
    <n v="11"/>
    <x v="92"/>
    <n v="-6.2999834057627102E-3"/>
  </r>
  <r>
    <s v="bra"/>
    <x v="6"/>
    <s v="monthly"/>
    <s v="vw_cap"/>
    <n v="11"/>
    <x v="93"/>
    <n v="1.6564952554111599E-3"/>
  </r>
  <r>
    <s v="bra"/>
    <x v="6"/>
    <s v="monthly"/>
    <s v="vw_cap"/>
    <n v="11"/>
    <x v="94"/>
    <n v="-1.6776263679320301E-2"/>
  </r>
  <r>
    <s v="bra"/>
    <x v="6"/>
    <s v="monthly"/>
    <s v="vw_cap"/>
    <n v="11"/>
    <x v="95"/>
    <n v="-4.1493495168642199E-3"/>
  </r>
  <r>
    <s v="bra"/>
    <x v="6"/>
    <s v="monthly"/>
    <s v="vw_cap"/>
    <n v="11"/>
    <x v="96"/>
    <n v="3.3060031956834699E-3"/>
  </r>
  <r>
    <s v="bra"/>
    <x v="6"/>
    <s v="monthly"/>
    <s v="vw_cap"/>
    <n v="12"/>
    <x v="97"/>
    <n v="-4.0891689012362798E-3"/>
  </r>
  <r>
    <s v="bra"/>
    <x v="6"/>
    <s v="monthly"/>
    <s v="vw_cap"/>
    <n v="12"/>
    <x v="98"/>
    <n v="-1.40081686062358E-3"/>
  </r>
  <r>
    <s v="bra"/>
    <x v="6"/>
    <s v="monthly"/>
    <s v="vw_cap"/>
    <n v="12"/>
    <x v="99"/>
    <n v="2.61167283694863E-3"/>
  </r>
  <r>
    <s v="bra"/>
    <x v="6"/>
    <s v="monthly"/>
    <s v="vw_cap"/>
    <n v="12"/>
    <x v="100"/>
    <n v="-9.1513357752902903E-3"/>
  </r>
  <r>
    <s v="bra"/>
    <x v="6"/>
    <s v="monthly"/>
    <s v="vw_cap"/>
    <n v="11"/>
    <x v="101"/>
    <n v="3.34383661349767E-3"/>
  </r>
  <r>
    <s v="bra"/>
    <x v="6"/>
    <s v="monthly"/>
    <s v="vw_cap"/>
    <n v="11"/>
    <x v="102"/>
    <n v="-1.1774201836681399E-3"/>
  </r>
  <r>
    <s v="bra"/>
    <x v="6"/>
    <s v="monthly"/>
    <s v="vw_cap"/>
    <n v="11"/>
    <x v="103"/>
    <n v="2.01616600562981E-2"/>
  </r>
  <r>
    <s v="bra"/>
    <x v="6"/>
    <s v="monthly"/>
    <s v="vw_cap"/>
    <n v="11"/>
    <x v="104"/>
    <n v="-3.9516652429702802E-3"/>
  </r>
  <r>
    <s v="bra"/>
    <x v="6"/>
    <s v="monthly"/>
    <s v="vw_cap"/>
    <n v="11"/>
    <x v="105"/>
    <n v="-1.2065091569111199E-2"/>
  </r>
  <r>
    <s v="bra"/>
    <x v="6"/>
    <s v="monthly"/>
    <s v="vw_cap"/>
    <n v="11"/>
    <x v="106"/>
    <n v="1.31928996131476E-2"/>
  </r>
  <r>
    <s v="bra"/>
    <x v="6"/>
    <s v="monthly"/>
    <s v="vw_cap"/>
    <n v="11"/>
    <x v="107"/>
    <n v="-2.7461586794009698E-3"/>
  </r>
  <r>
    <s v="bra"/>
    <x v="6"/>
    <s v="monthly"/>
    <s v="vw_cap"/>
    <n v="11"/>
    <x v="108"/>
    <n v="-1.19955708305123E-2"/>
  </r>
  <r>
    <s v="bra"/>
    <x v="6"/>
    <s v="monthly"/>
    <s v="vw_cap"/>
    <n v="11"/>
    <x v="109"/>
    <n v="-1.51764183581594E-3"/>
  </r>
  <r>
    <s v="bra"/>
    <x v="6"/>
    <s v="monthly"/>
    <s v="vw_cap"/>
    <n v="11"/>
    <x v="110"/>
    <n v="-8.8043923196999899E-4"/>
  </r>
  <r>
    <s v="bra"/>
    <x v="6"/>
    <s v="monthly"/>
    <s v="vw_cap"/>
    <n v="11"/>
    <x v="111"/>
    <n v="2.49956293468192E-2"/>
  </r>
  <r>
    <s v="bra"/>
    <x v="6"/>
    <s v="monthly"/>
    <s v="vw_cap"/>
    <n v="11"/>
    <x v="112"/>
    <n v="1.5190047026276E-2"/>
  </r>
  <r>
    <s v="bra"/>
    <x v="6"/>
    <s v="monthly"/>
    <s v="vw_cap"/>
    <n v="11"/>
    <x v="113"/>
    <n v="2.0657544651212799E-2"/>
  </r>
  <r>
    <s v="bra"/>
    <x v="6"/>
    <s v="monthly"/>
    <s v="vw_cap"/>
    <n v="11"/>
    <x v="114"/>
    <n v="5.4556199467331997E-3"/>
  </r>
  <r>
    <s v="bra"/>
    <x v="6"/>
    <s v="monthly"/>
    <s v="vw_cap"/>
    <n v="11"/>
    <x v="115"/>
    <n v="-6.7039815003740403E-3"/>
  </r>
  <r>
    <s v="bra"/>
    <x v="6"/>
    <s v="monthly"/>
    <s v="vw_cap"/>
    <n v="12"/>
    <x v="116"/>
    <n v="4.9250675361076496E-3"/>
  </r>
  <r>
    <s v="bra"/>
    <x v="6"/>
    <s v="monthly"/>
    <s v="vw_cap"/>
    <n v="12"/>
    <x v="117"/>
    <n v="1.54242145131146E-2"/>
  </r>
  <r>
    <s v="bra"/>
    <x v="6"/>
    <s v="monthly"/>
    <s v="vw_cap"/>
    <n v="12"/>
    <x v="118"/>
    <n v="-4.7275792687795297E-2"/>
  </r>
  <r>
    <s v="bra"/>
    <x v="6"/>
    <s v="monthly"/>
    <s v="vw_cap"/>
    <n v="12"/>
    <x v="119"/>
    <n v="2.84274569281621E-3"/>
  </r>
  <r>
    <s v="bra"/>
    <x v="6"/>
    <s v="monthly"/>
    <s v="vw_cap"/>
    <n v="12"/>
    <x v="120"/>
    <n v="6.2897568211145102E-3"/>
  </r>
  <r>
    <s v="bra"/>
    <x v="6"/>
    <s v="monthly"/>
    <s v="vw_cap"/>
    <n v="12"/>
    <x v="121"/>
    <n v="-2.3281244170725999E-2"/>
  </r>
  <r>
    <s v="bra"/>
    <x v="6"/>
    <s v="monthly"/>
    <s v="vw_cap"/>
    <n v="12"/>
    <x v="122"/>
    <n v="8.0055115212417094E-3"/>
  </r>
  <r>
    <s v="bra"/>
    <x v="6"/>
    <s v="monthly"/>
    <s v="vw_cap"/>
    <n v="12"/>
    <x v="123"/>
    <n v="1.8730300085622199E-2"/>
  </r>
  <r>
    <s v="bra"/>
    <x v="6"/>
    <s v="monthly"/>
    <s v="vw_cap"/>
    <n v="12"/>
    <x v="124"/>
    <n v="-3.0247112008165802E-3"/>
  </r>
  <r>
    <s v="bra"/>
    <x v="6"/>
    <s v="monthly"/>
    <s v="vw_cap"/>
    <n v="12"/>
    <x v="125"/>
    <n v="1.12117491022952E-2"/>
  </r>
  <r>
    <s v="bra"/>
    <x v="6"/>
    <s v="monthly"/>
    <s v="vw_cap"/>
    <n v="12"/>
    <x v="126"/>
    <n v="1.6414597703033301E-2"/>
  </r>
  <r>
    <s v="bra"/>
    <x v="6"/>
    <s v="monthly"/>
    <s v="vw_cap"/>
    <n v="12"/>
    <x v="127"/>
    <n v="-9.0189926982308603E-3"/>
  </r>
  <r>
    <s v="bra"/>
    <x v="6"/>
    <s v="monthly"/>
    <s v="vw_cap"/>
    <n v="12"/>
    <x v="128"/>
    <n v="-1.13600812005738E-2"/>
  </r>
  <r>
    <s v="bra"/>
    <x v="6"/>
    <s v="monthly"/>
    <s v="vw_cap"/>
    <n v="12"/>
    <x v="129"/>
    <n v="-2.03995026057853E-2"/>
  </r>
  <r>
    <s v="bra"/>
    <x v="6"/>
    <s v="monthly"/>
    <s v="vw_cap"/>
    <n v="12"/>
    <x v="130"/>
    <n v="-3.7821910886683499E-3"/>
  </r>
  <r>
    <s v="bra"/>
    <x v="6"/>
    <s v="monthly"/>
    <s v="vw_cap"/>
    <n v="12"/>
    <x v="131"/>
    <n v="-1.48361838462299E-2"/>
  </r>
  <r>
    <s v="bra"/>
    <x v="6"/>
    <s v="monthly"/>
    <s v="vw_cap"/>
    <n v="12"/>
    <x v="132"/>
    <n v="-9.7389454706218201E-4"/>
  </r>
  <r>
    <s v="bra"/>
    <x v="6"/>
    <s v="monthly"/>
    <s v="vw_cap"/>
    <n v="12"/>
    <x v="133"/>
    <n v="1.9517896507800999E-2"/>
  </r>
  <r>
    <s v="bra"/>
    <x v="6"/>
    <s v="monthly"/>
    <s v="vw_cap"/>
    <n v="12"/>
    <x v="134"/>
    <n v="1.20704972906053E-2"/>
  </r>
  <r>
    <s v="bra"/>
    <x v="6"/>
    <s v="monthly"/>
    <s v="vw_cap"/>
    <n v="12"/>
    <x v="135"/>
    <n v="1.2857248492579401E-2"/>
  </r>
  <r>
    <s v="bra"/>
    <x v="6"/>
    <s v="monthly"/>
    <s v="vw_cap"/>
    <n v="12"/>
    <x v="136"/>
    <n v="-2.1443402847707502E-3"/>
  </r>
  <r>
    <s v="bra"/>
    <x v="6"/>
    <s v="monthly"/>
    <s v="vw_cap"/>
    <n v="12"/>
    <x v="137"/>
    <n v="9.5642601144302897E-3"/>
  </r>
  <r>
    <s v="bra"/>
    <x v="6"/>
    <s v="monthly"/>
    <s v="vw_cap"/>
    <n v="12"/>
    <x v="138"/>
    <n v="2.1348352905621701E-3"/>
  </r>
  <r>
    <s v="bra"/>
    <x v="6"/>
    <s v="monthly"/>
    <s v="vw_cap"/>
    <n v="12"/>
    <x v="139"/>
    <n v="3.5183446652480698E-3"/>
  </r>
  <r>
    <s v="bra"/>
    <x v="6"/>
    <s v="monthly"/>
    <s v="vw_cap"/>
    <n v="12"/>
    <x v="140"/>
    <n v="1.5041271640274899E-2"/>
  </r>
  <r>
    <s v="bra"/>
    <x v="6"/>
    <s v="monthly"/>
    <s v="vw_cap"/>
    <n v="12"/>
    <x v="141"/>
    <n v="-1.4760067776023801E-2"/>
  </r>
  <r>
    <s v="bra"/>
    <x v="6"/>
    <s v="monthly"/>
    <s v="vw_cap"/>
    <n v="12"/>
    <x v="142"/>
    <n v="1.14492043778864E-2"/>
  </r>
  <r>
    <s v="bra"/>
    <x v="6"/>
    <s v="monthly"/>
    <s v="vw_cap"/>
    <n v="12"/>
    <x v="143"/>
    <n v="1.1658544099332299E-2"/>
  </r>
  <r>
    <s v="bra"/>
    <x v="6"/>
    <s v="monthly"/>
    <s v="vw_cap"/>
    <n v="12"/>
    <x v="144"/>
    <n v="5.7603189994034996E-3"/>
  </r>
  <r>
    <s v="bra"/>
    <x v="6"/>
    <s v="monthly"/>
    <s v="vw_cap"/>
    <n v="12"/>
    <x v="145"/>
    <n v="-7.3911837169936797E-3"/>
  </r>
  <r>
    <s v="bra"/>
    <x v="6"/>
    <s v="monthly"/>
    <s v="vw_cap"/>
    <n v="12"/>
    <x v="146"/>
    <n v="7.9886664359207198E-3"/>
  </r>
  <r>
    <s v="bra"/>
    <x v="6"/>
    <s v="monthly"/>
    <s v="vw_cap"/>
    <n v="12"/>
    <x v="147"/>
    <n v="5.6920347062864602E-3"/>
  </r>
  <r>
    <s v="bra"/>
    <x v="6"/>
    <s v="monthly"/>
    <s v="vw_cap"/>
    <n v="12"/>
    <x v="148"/>
    <n v="-2.0649442146473901E-3"/>
  </r>
  <r>
    <s v="bra"/>
    <x v="6"/>
    <s v="monthly"/>
    <s v="vw_cap"/>
    <n v="12"/>
    <x v="149"/>
    <n v="8.6969315239327795E-4"/>
  </r>
  <r>
    <s v="bra"/>
    <x v="6"/>
    <s v="monthly"/>
    <s v="vw_cap"/>
    <n v="12"/>
    <x v="150"/>
    <n v="-5.9816446394500003E-4"/>
  </r>
  <r>
    <s v="bra"/>
    <x v="6"/>
    <s v="monthly"/>
    <s v="vw_cap"/>
    <n v="12"/>
    <x v="151"/>
    <n v="1.26702124957985E-2"/>
  </r>
  <r>
    <s v="bra"/>
    <x v="6"/>
    <s v="monthly"/>
    <s v="vw_cap"/>
    <n v="12"/>
    <x v="152"/>
    <n v="-1.15901051113833E-2"/>
  </r>
  <r>
    <s v="bra"/>
    <x v="6"/>
    <s v="monthly"/>
    <s v="vw_cap"/>
    <n v="12"/>
    <x v="153"/>
    <n v="-5.4621648417086796E-3"/>
  </r>
  <r>
    <s v="bra"/>
    <x v="6"/>
    <s v="monthly"/>
    <s v="vw_cap"/>
    <n v="12"/>
    <x v="154"/>
    <n v="1.65007351709811E-2"/>
  </r>
  <r>
    <s v="bra"/>
    <x v="6"/>
    <s v="monthly"/>
    <s v="vw_cap"/>
    <n v="12"/>
    <x v="155"/>
    <n v="1.6127142599813401E-2"/>
  </r>
  <r>
    <s v="bra"/>
    <x v="6"/>
    <s v="monthly"/>
    <s v="vw_cap"/>
    <n v="12"/>
    <x v="156"/>
    <n v="4.7728090924273603E-3"/>
  </r>
  <r>
    <s v="bra"/>
    <x v="6"/>
    <s v="monthly"/>
    <s v="vw_cap"/>
    <n v="12"/>
    <x v="157"/>
    <n v="-3.1728029448011799E-2"/>
  </r>
  <r>
    <s v="bra"/>
    <x v="6"/>
    <s v="monthly"/>
    <s v="vw_cap"/>
    <n v="12"/>
    <x v="158"/>
    <n v="-7.6021301204234901E-3"/>
  </r>
  <r>
    <s v="bra"/>
    <x v="6"/>
    <s v="monthly"/>
    <s v="vw_cap"/>
    <n v="12"/>
    <x v="159"/>
    <n v="-1.7555194159629001E-3"/>
  </r>
  <r>
    <s v="bra"/>
    <x v="6"/>
    <s v="monthly"/>
    <s v="vw_cap"/>
    <n v="12"/>
    <x v="160"/>
    <n v="1.9455869130358999E-2"/>
  </r>
  <r>
    <s v="bra"/>
    <x v="6"/>
    <s v="monthly"/>
    <s v="vw_cap"/>
    <n v="12"/>
    <x v="161"/>
    <n v="-4.7373209468267001E-3"/>
  </r>
  <r>
    <s v="bra"/>
    <x v="6"/>
    <s v="monthly"/>
    <s v="vw_cap"/>
    <n v="12"/>
    <x v="162"/>
    <n v="8.4301723370051995E-3"/>
  </r>
  <r>
    <s v="bra"/>
    <x v="6"/>
    <s v="monthly"/>
    <s v="vw_cap"/>
    <n v="12"/>
    <x v="163"/>
    <n v="2.9461794223865499E-3"/>
  </r>
  <r>
    <s v="bra"/>
    <x v="6"/>
    <s v="monthly"/>
    <s v="vw_cap"/>
    <n v="12"/>
    <x v="164"/>
    <n v="-2.14810275842117E-2"/>
  </r>
  <r>
    <s v="bra"/>
    <x v="6"/>
    <s v="monthly"/>
    <s v="vw_cap"/>
    <n v="12"/>
    <x v="165"/>
    <n v="-2.6710047990130799E-3"/>
  </r>
  <r>
    <s v="bra"/>
    <x v="6"/>
    <s v="monthly"/>
    <s v="vw_cap"/>
    <n v="12"/>
    <x v="166"/>
    <n v="-2.53839684741189E-2"/>
  </r>
  <r>
    <s v="bra"/>
    <x v="6"/>
    <s v="monthly"/>
    <s v="vw_cap"/>
    <n v="12"/>
    <x v="167"/>
    <n v="6.9311991584471598E-3"/>
  </r>
  <r>
    <s v="bra"/>
    <x v="6"/>
    <s v="monthly"/>
    <s v="vw_cap"/>
    <n v="12"/>
    <x v="168"/>
    <n v="1.5078662796912401E-3"/>
  </r>
  <r>
    <s v="bra"/>
    <x v="6"/>
    <s v="monthly"/>
    <s v="vw_cap"/>
    <n v="12"/>
    <x v="169"/>
    <n v="2.0227010304397601E-3"/>
  </r>
  <r>
    <s v="bra"/>
    <x v="6"/>
    <s v="monthly"/>
    <s v="vw_cap"/>
    <n v="12"/>
    <x v="170"/>
    <n v="8.00908658510695E-4"/>
  </r>
  <r>
    <s v="bra"/>
    <x v="6"/>
    <s v="monthly"/>
    <s v="vw_cap"/>
    <n v="12"/>
    <x v="171"/>
    <n v="-2.48263768393552E-3"/>
  </r>
  <r>
    <s v="bra"/>
    <x v="6"/>
    <s v="monthly"/>
    <s v="vw_cap"/>
    <n v="12"/>
    <x v="172"/>
    <n v="-2.4910869717242001E-2"/>
  </r>
  <r>
    <s v="bra"/>
    <x v="6"/>
    <s v="monthly"/>
    <s v="vw_cap"/>
    <n v="12"/>
    <x v="173"/>
    <n v="1.6706850020329001E-2"/>
  </r>
  <r>
    <s v="bra"/>
    <x v="6"/>
    <s v="monthly"/>
    <s v="vw_cap"/>
    <n v="12"/>
    <x v="174"/>
    <n v="-3.4110744021883903E-2"/>
  </r>
  <r>
    <s v="bra"/>
    <x v="6"/>
    <s v="monthly"/>
    <s v="vw_cap"/>
    <n v="12"/>
    <x v="175"/>
    <n v="-3.56108469104785E-2"/>
  </r>
  <r>
    <s v="bra"/>
    <x v="6"/>
    <s v="monthly"/>
    <s v="vw_cap"/>
    <n v="12"/>
    <x v="176"/>
    <n v="6.5759873242876002E-4"/>
  </r>
  <r>
    <s v="bra"/>
    <x v="6"/>
    <s v="monthly"/>
    <s v="vw_cap"/>
    <n v="12"/>
    <x v="177"/>
    <n v="9.6987681463070897E-3"/>
  </r>
  <r>
    <s v="bra"/>
    <x v="6"/>
    <s v="monthly"/>
    <s v="vw_cap"/>
    <n v="12"/>
    <x v="178"/>
    <n v="2.8890815419387601E-2"/>
  </r>
  <r>
    <s v="bra"/>
    <x v="6"/>
    <s v="monthly"/>
    <s v="vw_cap"/>
    <n v="12"/>
    <x v="179"/>
    <n v="9.7715669766144791E-3"/>
  </r>
  <r>
    <s v="bra"/>
    <x v="6"/>
    <s v="monthly"/>
    <s v="vw_cap"/>
    <n v="12"/>
    <x v="180"/>
    <n v="9.9494877056965705E-3"/>
  </r>
  <r>
    <s v="bra"/>
    <x v="6"/>
    <s v="monthly"/>
    <s v="vw_cap"/>
    <n v="12"/>
    <x v="181"/>
    <n v="-5.5568608081087998E-3"/>
  </r>
  <r>
    <s v="bra"/>
    <x v="6"/>
    <s v="monthly"/>
    <s v="vw_cap"/>
    <n v="12"/>
    <x v="182"/>
    <n v="1.9393083958025099E-2"/>
  </r>
  <r>
    <s v="bra"/>
    <x v="6"/>
    <s v="monthly"/>
    <s v="vw_cap"/>
    <n v="12"/>
    <x v="183"/>
    <n v="1.06731987372528E-3"/>
  </r>
  <r>
    <s v="bra"/>
    <x v="6"/>
    <s v="monthly"/>
    <s v="vw_cap"/>
    <n v="12"/>
    <x v="184"/>
    <n v="2.8619430977684501E-3"/>
  </r>
  <r>
    <s v="bra"/>
    <x v="6"/>
    <s v="monthly"/>
    <s v="vw_cap"/>
    <n v="12"/>
    <x v="185"/>
    <n v="1.1761572662383601E-2"/>
  </r>
  <r>
    <s v="bra"/>
    <x v="6"/>
    <s v="monthly"/>
    <s v="vw_cap"/>
    <n v="12"/>
    <x v="186"/>
    <n v="9.8544284595285803E-3"/>
  </r>
  <r>
    <s v="bra"/>
    <x v="6"/>
    <s v="monthly"/>
    <s v="vw_cap"/>
    <n v="12"/>
    <x v="187"/>
    <n v="2.01017971051752E-2"/>
  </r>
  <r>
    <s v="bra"/>
    <x v="6"/>
    <s v="monthly"/>
    <s v="vw_cap"/>
    <n v="12"/>
    <x v="188"/>
    <n v="-5.3308855939215296E-3"/>
  </r>
  <r>
    <s v="bra"/>
    <x v="6"/>
    <s v="monthly"/>
    <s v="vw_cap"/>
    <n v="12"/>
    <x v="189"/>
    <n v="-3.42787486555368E-3"/>
  </r>
  <r>
    <s v="bra"/>
    <x v="6"/>
    <s v="monthly"/>
    <s v="vw_cap"/>
    <n v="12"/>
    <x v="190"/>
    <n v="-2.0965118955915299E-3"/>
  </r>
  <r>
    <s v="bra"/>
    <x v="6"/>
    <s v="monthly"/>
    <s v="vw_cap"/>
    <n v="12"/>
    <x v="191"/>
    <n v="-5.4327581478592901E-3"/>
  </r>
  <r>
    <s v="bra"/>
    <x v="6"/>
    <s v="monthly"/>
    <s v="vw_cap"/>
    <n v="12"/>
    <x v="192"/>
    <n v="1.5771326912305799E-2"/>
  </r>
  <r>
    <s v="bra"/>
    <x v="6"/>
    <s v="monthly"/>
    <s v="vw_cap"/>
    <n v="12"/>
    <x v="193"/>
    <n v="-1.48649434932636E-2"/>
  </r>
  <r>
    <s v="bra"/>
    <x v="6"/>
    <s v="monthly"/>
    <s v="vw_cap"/>
    <n v="12"/>
    <x v="194"/>
    <n v="1.9604010548401898E-2"/>
  </r>
  <r>
    <s v="bra"/>
    <x v="6"/>
    <s v="monthly"/>
    <s v="vw_cap"/>
    <n v="12"/>
    <x v="195"/>
    <n v="1.2806125913413799E-2"/>
  </r>
  <r>
    <s v="bra"/>
    <x v="6"/>
    <s v="monthly"/>
    <s v="vw_cap"/>
    <n v="12"/>
    <x v="196"/>
    <n v="3.023826569989E-2"/>
  </r>
  <r>
    <s v="bra"/>
    <x v="6"/>
    <s v="monthly"/>
    <s v="vw_cap"/>
    <n v="12"/>
    <x v="197"/>
    <n v="1.8410655344555198E-2"/>
  </r>
  <r>
    <s v="bra"/>
    <x v="6"/>
    <s v="monthly"/>
    <s v="vw_cap"/>
    <n v="12"/>
    <x v="198"/>
    <n v="1.7854561218468901E-2"/>
  </r>
  <r>
    <s v="bra"/>
    <x v="6"/>
    <s v="monthly"/>
    <s v="vw_cap"/>
    <n v="12"/>
    <x v="199"/>
    <n v="7.0210728751752098E-3"/>
  </r>
  <r>
    <s v="bra"/>
    <x v="6"/>
    <s v="monthly"/>
    <s v="vw_cap"/>
    <n v="12"/>
    <x v="200"/>
    <n v="-3.3264758327006599E-3"/>
  </r>
  <r>
    <s v="bra"/>
    <x v="6"/>
    <s v="monthly"/>
    <s v="vw_cap"/>
    <n v="12"/>
    <x v="201"/>
    <n v="1.3862523921302E-2"/>
  </r>
  <r>
    <s v="bra"/>
    <x v="6"/>
    <s v="monthly"/>
    <s v="vw_cap"/>
    <n v="12"/>
    <x v="202"/>
    <n v="-3.0661185703671601E-2"/>
  </r>
  <r>
    <s v="bra"/>
    <x v="6"/>
    <s v="monthly"/>
    <s v="vw_cap"/>
    <n v="12"/>
    <x v="203"/>
    <n v="-9.3446680683278906E-3"/>
  </r>
  <r>
    <s v="bra"/>
    <x v="6"/>
    <s v="monthly"/>
    <s v="vw_cap"/>
    <n v="12"/>
    <x v="204"/>
    <n v="5.8434038483224197E-3"/>
  </r>
  <r>
    <s v="bra"/>
    <x v="6"/>
    <s v="monthly"/>
    <s v="vw_cap"/>
    <n v="12"/>
    <x v="205"/>
    <n v="-2.6969188243469399E-2"/>
  </r>
  <r>
    <s v="bra"/>
    <x v="6"/>
    <s v="monthly"/>
    <s v="vw_cap"/>
    <n v="12"/>
    <x v="206"/>
    <n v="1.75068285019668E-2"/>
  </r>
  <r>
    <s v="bra"/>
    <x v="6"/>
    <s v="monthly"/>
    <s v="vw_cap"/>
    <n v="12"/>
    <x v="207"/>
    <n v="9.3228904712174699E-3"/>
  </r>
  <r>
    <s v="bra"/>
    <x v="6"/>
    <s v="monthly"/>
    <s v="vw_cap"/>
    <n v="12"/>
    <x v="208"/>
    <n v="-1.47565577364995E-2"/>
  </r>
  <r>
    <s v="bra"/>
    <x v="6"/>
    <s v="monthly"/>
    <s v="vw_cap"/>
    <n v="12"/>
    <x v="209"/>
    <n v="2.4678172540295099E-2"/>
  </r>
  <r>
    <s v="bra"/>
    <x v="6"/>
    <s v="monthly"/>
    <s v="vw_cap"/>
    <n v="12"/>
    <x v="210"/>
    <n v="-4.1323664393447701E-4"/>
  </r>
  <r>
    <s v="bra"/>
    <x v="6"/>
    <s v="monthly"/>
    <s v="vw_cap"/>
    <n v="12"/>
    <x v="211"/>
    <n v="1.13870975947724E-2"/>
  </r>
  <r>
    <s v="bra"/>
    <x v="6"/>
    <s v="monthly"/>
    <s v="vw_cap"/>
    <n v="12"/>
    <x v="212"/>
    <n v="2.50770057980793E-2"/>
  </r>
  <r>
    <s v="bra"/>
    <x v="6"/>
    <s v="monthly"/>
    <s v="vw_cap"/>
    <n v="12"/>
    <x v="213"/>
    <n v="-1.23009679665699E-2"/>
  </r>
  <r>
    <s v="bra"/>
    <x v="6"/>
    <s v="monthly"/>
    <s v="vw_cap"/>
    <n v="12"/>
    <x v="214"/>
    <n v="4.8772323715094599E-3"/>
  </r>
  <r>
    <s v="bra"/>
    <x v="6"/>
    <s v="monthly"/>
    <s v="vw_cap"/>
    <n v="12"/>
    <x v="215"/>
    <n v="-7.5502397005167803E-3"/>
  </r>
  <r>
    <s v="bra"/>
    <x v="6"/>
    <s v="monthly"/>
    <s v="vw_cap"/>
    <n v="12"/>
    <x v="216"/>
    <n v="-1.8955807055208201E-2"/>
  </r>
  <r>
    <s v="bra"/>
    <x v="6"/>
    <s v="monthly"/>
    <s v="vw_cap"/>
    <n v="12"/>
    <x v="217"/>
    <n v="1.7765067634393599E-2"/>
  </r>
  <r>
    <s v="bra"/>
    <x v="6"/>
    <s v="monthly"/>
    <s v="vw_cap"/>
    <n v="12"/>
    <x v="218"/>
    <n v="-7.3905244788582299E-3"/>
  </r>
  <r>
    <s v="bra"/>
    <x v="6"/>
    <s v="monthly"/>
    <s v="vw_cap"/>
    <n v="12"/>
    <x v="219"/>
    <n v="-1.44147467075664E-2"/>
  </r>
  <r>
    <s v="bra"/>
    <x v="6"/>
    <s v="monthly"/>
    <s v="vw_cap"/>
    <n v="12"/>
    <x v="220"/>
    <n v="2.5557369498109401E-2"/>
  </r>
  <r>
    <s v="bra"/>
    <x v="6"/>
    <s v="monthly"/>
    <s v="vw_cap"/>
    <n v="12"/>
    <x v="221"/>
    <n v="-8.5110038179721202E-3"/>
  </r>
  <r>
    <s v="bra"/>
    <x v="6"/>
    <s v="monthly"/>
    <s v="vw_cap"/>
    <n v="12"/>
    <x v="222"/>
    <n v="2.0943980780497699E-2"/>
  </r>
  <r>
    <s v="bra"/>
    <x v="6"/>
    <s v="monthly"/>
    <s v="vw_cap"/>
    <n v="12"/>
    <x v="223"/>
    <n v="1.90023970035894E-2"/>
  </r>
  <r>
    <s v="bra"/>
    <x v="6"/>
    <s v="monthly"/>
    <s v="vw_cap"/>
    <n v="12"/>
    <x v="224"/>
    <n v="-4.6799503356846003E-3"/>
  </r>
  <r>
    <s v="bra"/>
    <x v="6"/>
    <s v="monthly"/>
    <s v="vw_cap"/>
    <n v="12"/>
    <x v="225"/>
    <n v="-1.7257106144407001E-2"/>
  </r>
  <r>
    <s v="bra"/>
    <x v="6"/>
    <s v="monthly"/>
    <s v="vw_cap"/>
    <n v="12"/>
    <x v="226"/>
    <n v="-4.84898036532928E-3"/>
  </r>
  <r>
    <s v="bra"/>
    <x v="6"/>
    <s v="monthly"/>
    <s v="vw_cap"/>
    <n v="12"/>
    <x v="227"/>
    <n v="-2.02517651617443E-2"/>
  </r>
  <r>
    <s v="bra"/>
    <x v="6"/>
    <s v="monthly"/>
    <s v="vw_cap"/>
    <n v="12"/>
    <x v="228"/>
    <n v="-1.7369231416449402E-2"/>
  </r>
  <r>
    <s v="bra"/>
    <x v="6"/>
    <s v="monthly"/>
    <s v="vw_cap"/>
    <n v="12"/>
    <x v="229"/>
    <n v="7.6619071172740498E-3"/>
  </r>
  <r>
    <s v="bra"/>
    <x v="6"/>
    <s v="monthly"/>
    <s v="vw_cap"/>
    <n v="12"/>
    <x v="230"/>
    <n v="1.74162039556961E-2"/>
  </r>
  <r>
    <s v="bra"/>
    <x v="6"/>
    <s v="monthly"/>
    <s v="vw_cap"/>
    <n v="12"/>
    <x v="231"/>
    <n v="-1.50450427759988E-2"/>
  </r>
  <r>
    <s v="bra"/>
    <x v="6"/>
    <s v="monthly"/>
    <s v="vw_cap"/>
    <n v="12"/>
    <x v="232"/>
    <n v="2.2807216735211699E-2"/>
  </r>
  <r>
    <s v="bra"/>
    <x v="6"/>
    <s v="monthly"/>
    <s v="vw_cap"/>
    <n v="12"/>
    <x v="233"/>
    <n v="-2.55710717873548E-2"/>
  </r>
  <r>
    <s v="bra"/>
    <x v="6"/>
    <s v="monthly"/>
    <s v="vw_cap"/>
    <n v="12"/>
    <x v="234"/>
    <n v="1.1511793963633801E-2"/>
  </r>
  <r>
    <s v="bra"/>
    <x v="6"/>
    <s v="monthly"/>
    <s v="vw_cap"/>
    <n v="12"/>
    <x v="235"/>
    <n v="1.6159886554869898E-2"/>
  </r>
  <r>
    <s v="bra"/>
    <x v="6"/>
    <s v="monthly"/>
    <s v="vw_cap"/>
    <n v="12"/>
    <x v="236"/>
    <n v="-1.7350018751452301E-2"/>
  </r>
  <r>
    <s v="bra"/>
    <x v="6"/>
    <s v="monthly"/>
    <s v="vw_cap"/>
    <n v="12"/>
    <x v="237"/>
    <n v="-1.6302968847664199E-3"/>
  </r>
  <r>
    <s v="bra"/>
    <x v="6"/>
    <s v="monthly"/>
    <s v="vw_cap"/>
    <n v="12"/>
    <x v="238"/>
    <n v="-1.16365906918661E-2"/>
  </r>
  <r>
    <s v="bra"/>
    <x v="6"/>
    <s v="monthly"/>
    <s v="vw_cap"/>
    <n v="12"/>
    <x v="239"/>
    <n v="-5.0266770313581403E-3"/>
  </r>
  <r>
    <s v="bra"/>
    <x v="6"/>
    <s v="monthly"/>
    <s v="vw_cap"/>
    <n v="12"/>
    <x v="240"/>
    <n v="3.07203303850914E-2"/>
  </r>
  <r>
    <s v="bra"/>
    <x v="6"/>
    <s v="monthly"/>
    <s v="vw_cap"/>
    <n v="12"/>
    <x v="241"/>
    <n v="-1.88672425743549E-2"/>
  </r>
  <r>
    <s v="bra"/>
    <x v="6"/>
    <s v="monthly"/>
    <s v="vw_cap"/>
    <n v="12"/>
    <x v="242"/>
    <n v="1.94377150714466E-2"/>
  </r>
  <r>
    <s v="bra"/>
    <x v="6"/>
    <s v="monthly"/>
    <s v="vw_cap"/>
    <n v="12"/>
    <x v="243"/>
    <n v="1.6518234052579199E-4"/>
  </r>
  <r>
    <s v="bra"/>
    <x v="6"/>
    <s v="monthly"/>
    <s v="vw_cap"/>
    <n v="12"/>
    <x v="244"/>
    <n v="2.4062580698108401E-2"/>
  </r>
  <r>
    <s v="bra"/>
    <x v="6"/>
    <s v="monthly"/>
    <s v="vw_cap"/>
    <n v="12"/>
    <x v="245"/>
    <n v="8.8258439891185803E-3"/>
  </r>
  <r>
    <s v="bra"/>
    <x v="6"/>
    <s v="monthly"/>
    <s v="vw_cap"/>
    <n v="12"/>
    <x v="246"/>
    <n v="7.6697911111003403E-4"/>
  </r>
  <r>
    <s v="bra"/>
    <x v="6"/>
    <s v="monthly"/>
    <s v="vw_cap"/>
    <n v="12"/>
    <x v="247"/>
    <n v="-2.44488609468918E-2"/>
  </r>
  <r>
    <s v="bra"/>
    <x v="6"/>
    <s v="monthly"/>
    <s v="vw_cap"/>
    <n v="12"/>
    <x v="248"/>
    <n v="-2.37377133254951E-2"/>
  </r>
  <r>
    <s v="bra"/>
    <x v="6"/>
    <s v="monthly"/>
    <s v="vw_cap"/>
    <n v="12"/>
    <x v="249"/>
    <n v="-5.4710314311527102E-3"/>
  </r>
  <r>
    <s v="bra"/>
    <x v="6"/>
    <s v="monthly"/>
    <s v="vw_cap"/>
    <n v="12"/>
    <x v="250"/>
    <n v="1.15080255890086E-2"/>
  </r>
  <r>
    <s v="bra"/>
    <x v="6"/>
    <s v="monthly"/>
    <s v="vw_cap"/>
    <n v="12"/>
    <x v="251"/>
    <n v="-1.5950983400763601E-2"/>
  </r>
  <r>
    <s v="bra"/>
    <x v="6"/>
    <s v="monthly"/>
    <s v="vw_cap"/>
    <n v="12"/>
    <x v="252"/>
    <n v="4.83895119269823E-3"/>
  </r>
  <r>
    <s v="bra"/>
    <x v="6"/>
    <s v="monthly"/>
    <s v="vw_cap"/>
    <n v="12"/>
    <x v="253"/>
    <n v="-2.3309676083630602E-3"/>
  </r>
  <r>
    <s v="bra"/>
    <x v="6"/>
    <s v="monthly"/>
    <s v="vw_cap"/>
    <n v="12"/>
    <x v="254"/>
    <n v="1.8007676534426701E-2"/>
  </r>
  <r>
    <s v="bra"/>
    <x v="6"/>
    <s v="monthly"/>
    <s v="vw_cap"/>
    <n v="12"/>
    <x v="255"/>
    <n v="-1.26891819011391E-3"/>
  </r>
  <r>
    <s v="bra"/>
    <x v="6"/>
    <s v="monthly"/>
    <s v="vw_cap"/>
    <n v="12"/>
    <x v="256"/>
    <n v="1.0976459696393799E-2"/>
  </r>
  <r>
    <s v="bra"/>
    <x v="6"/>
    <s v="monthly"/>
    <s v="vw_cap"/>
    <n v="12"/>
    <x v="257"/>
    <n v="8.5717340931593007E-3"/>
  </r>
  <r>
    <s v="bra"/>
    <x v="6"/>
    <s v="monthly"/>
    <s v="vw_cap"/>
    <n v="12"/>
    <x v="258"/>
    <n v="-1.60664491938355E-2"/>
  </r>
  <r>
    <s v="bra"/>
    <x v="6"/>
    <s v="monthly"/>
    <s v="vw_cap"/>
    <n v="12"/>
    <x v="259"/>
    <n v="-1.37943601702694E-2"/>
  </r>
  <r>
    <s v="bra"/>
    <x v="6"/>
    <s v="monthly"/>
    <s v="vw_cap"/>
    <n v="12"/>
    <x v="260"/>
    <n v="8.6164268159717207E-3"/>
  </r>
  <r>
    <s v="bra"/>
    <x v="6"/>
    <s v="monthly"/>
    <s v="vw_cap"/>
    <n v="12"/>
    <x v="261"/>
    <n v="5.9485598363286799E-3"/>
  </r>
  <r>
    <s v="bra"/>
    <x v="6"/>
    <s v="monthly"/>
    <s v="vw_cap"/>
    <n v="12"/>
    <x v="262"/>
    <n v="-5.4832832539574196E-3"/>
  </r>
  <r>
    <s v="bra"/>
    <x v="6"/>
    <s v="monthly"/>
    <s v="vw_cap"/>
    <n v="12"/>
    <x v="263"/>
    <n v="-4.6429151623219998E-2"/>
  </r>
  <r>
    <s v="bra"/>
    <x v="6"/>
    <s v="monthly"/>
    <s v="vw_cap"/>
    <n v="12"/>
    <x v="264"/>
    <n v="1.6690682550881901E-3"/>
  </r>
  <r>
    <s v="bra"/>
    <x v="6"/>
    <s v="monthly"/>
    <s v="vw_cap"/>
    <n v="12"/>
    <x v="265"/>
    <n v="2.14490098574713E-2"/>
  </r>
  <r>
    <s v="bra"/>
    <x v="6"/>
    <s v="monthly"/>
    <s v="vw_cap"/>
    <n v="12"/>
    <x v="266"/>
    <n v="7.5583296904698002E-3"/>
  </r>
  <r>
    <s v="bra"/>
    <x v="6"/>
    <s v="monthly"/>
    <s v="vw_cap"/>
    <n v="12"/>
    <x v="267"/>
    <n v="-1.07507295778961E-3"/>
  </r>
  <r>
    <s v="bra"/>
    <x v="6"/>
    <s v="monthly"/>
    <s v="vw_cap"/>
    <n v="12"/>
    <x v="268"/>
    <n v="-3.21225279235955E-3"/>
  </r>
  <r>
    <s v="bra"/>
    <x v="6"/>
    <s v="monthly"/>
    <s v="vw_cap"/>
    <n v="12"/>
    <x v="269"/>
    <n v="-1.5869469494915699E-2"/>
  </r>
  <r>
    <s v="bra"/>
    <x v="6"/>
    <s v="monthly"/>
    <s v="vw_cap"/>
    <n v="12"/>
    <x v="270"/>
    <n v="-6.6033410599717597E-3"/>
  </r>
  <r>
    <s v="bra"/>
    <x v="6"/>
    <s v="monthly"/>
    <s v="vw_cap"/>
    <n v="12"/>
    <x v="271"/>
    <n v="2.78087392564292E-2"/>
  </r>
  <r>
    <s v="bra"/>
    <x v="6"/>
    <s v="monthly"/>
    <s v="vw_cap"/>
    <n v="12"/>
    <x v="272"/>
    <n v="8.2527128747006892E-3"/>
  </r>
  <r>
    <s v="bra"/>
    <x v="6"/>
    <s v="monthly"/>
    <s v="vw_cap"/>
    <n v="12"/>
    <x v="273"/>
    <n v="6.4704290443696596E-3"/>
  </r>
  <r>
    <s v="bra"/>
    <x v="6"/>
    <s v="monthly"/>
    <s v="vw_cap"/>
    <n v="12"/>
    <x v="274"/>
    <n v="5.7078975520318499E-3"/>
  </r>
  <r>
    <s v="bra"/>
    <x v="6"/>
    <s v="monthly"/>
    <s v="vw_cap"/>
    <n v="12"/>
    <x v="275"/>
    <n v="-6.7546607370624597E-3"/>
  </r>
  <r>
    <s v="bra"/>
    <x v="6"/>
    <s v="monthly"/>
    <s v="vw_cap"/>
    <n v="12"/>
    <x v="276"/>
    <n v="2.09674937948725E-3"/>
  </r>
  <r>
    <s v="bra"/>
    <x v="6"/>
    <s v="monthly"/>
    <s v="vw_cap"/>
    <n v="12"/>
    <x v="277"/>
    <n v="-1.04297313945582E-2"/>
  </r>
  <r>
    <s v="bra"/>
    <x v="6"/>
    <s v="monthly"/>
    <s v="vw_cap"/>
    <n v="12"/>
    <x v="278"/>
    <n v="-3.29854844692867E-3"/>
  </r>
  <r>
    <s v="bra"/>
    <x v="6"/>
    <s v="monthly"/>
    <s v="vw_cap"/>
    <n v="12"/>
    <x v="279"/>
    <n v="-3.9352902567437497E-3"/>
  </r>
  <r>
    <s v="bra"/>
    <x v="6"/>
    <s v="monthly"/>
    <s v="vw_cap"/>
    <n v="12"/>
    <x v="280"/>
    <n v="1.6708021203782401E-2"/>
  </r>
  <r>
    <s v="bra"/>
    <x v="6"/>
    <s v="monthly"/>
    <s v="vw_cap"/>
    <n v="12"/>
    <x v="281"/>
    <n v="1.5388402924439101E-2"/>
  </r>
  <r>
    <s v="bra"/>
    <x v="6"/>
    <s v="monthly"/>
    <s v="vw_cap"/>
    <n v="12"/>
    <x v="282"/>
    <n v="-8.3263289725781005E-3"/>
  </r>
  <r>
    <s v="bra"/>
    <x v="6"/>
    <s v="monthly"/>
    <s v="vw_cap"/>
    <n v="12"/>
    <x v="283"/>
    <n v="-8.5733235063274807E-3"/>
  </r>
  <r>
    <s v="bra"/>
    <x v="6"/>
    <s v="monthly"/>
    <s v="vw_cap"/>
    <n v="12"/>
    <x v="284"/>
    <n v="7.4435688213507403E-4"/>
  </r>
  <r>
    <s v="bra"/>
    <x v="6"/>
    <s v="monthly"/>
    <s v="vw_cap"/>
    <n v="12"/>
    <x v="285"/>
    <n v="-1.6044942433723201E-3"/>
  </r>
  <r>
    <s v="bra"/>
    <x v="6"/>
    <s v="monthly"/>
    <s v="vw_cap"/>
    <n v="12"/>
    <x v="286"/>
    <n v="-2.0261209684804E-2"/>
  </r>
  <r>
    <s v="bra"/>
    <x v="6"/>
    <s v="monthly"/>
    <s v="vw_cap"/>
    <n v="12"/>
    <x v="287"/>
    <n v="6.1368177148145801E-3"/>
  </r>
  <r>
    <s v="bra"/>
    <x v="6"/>
    <s v="monthly"/>
    <s v="vw_cap"/>
    <n v="12"/>
    <x v="288"/>
    <n v="-1.5735929977000799E-2"/>
  </r>
  <r>
    <s v="bra"/>
    <x v="7"/>
    <s v="monthly"/>
    <s v="vw_cap"/>
    <n v="2"/>
    <x v="326"/>
    <n v="-0.123222788912016"/>
  </r>
  <r>
    <s v="bra"/>
    <x v="7"/>
    <s v="monthly"/>
    <s v="vw_cap"/>
    <n v="2"/>
    <x v="335"/>
    <n v="-9.1733293976244898E-2"/>
  </r>
  <r>
    <s v="bra"/>
    <x v="7"/>
    <s v="monthly"/>
    <s v="vw_cap"/>
    <n v="2"/>
    <x v="336"/>
    <n v="8.8525652105658298E-2"/>
  </r>
  <r>
    <s v="bra"/>
    <x v="7"/>
    <s v="monthly"/>
    <s v="vw_cap"/>
    <n v="2"/>
    <x v="337"/>
    <n v="5.6065317671583702E-2"/>
  </r>
  <r>
    <s v="bra"/>
    <x v="7"/>
    <s v="monthly"/>
    <s v="vw_cap"/>
    <n v="2"/>
    <x v="338"/>
    <n v="1.7645713088533001E-2"/>
  </r>
  <r>
    <s v="bra"/>
    <x v="7"/>
    <s v="monthly"/>
    <s v="vw_cap"/>
    <n v="2"/>
    <x v="339"/>
    <n v="2.3533425985735799E-2"/>
  </r>
  <r>
    <s v="bra"/>
    <x v="7"/>
    <s v="monthly"/>
    <s v="vw_cap"/>
    <n v="2"/>
    <x v="340"/>
    <n v="-5.62777405162748E-2"/>
  </r>
  <r>
    <s v="bra"/>
    <x v="7"/>
    <s v="monthly"/>
    <s v="vw_cap"/>
    <n v="2"/>
    <x v="341"/>
    <n v="4.1592756014129803E-2"/>
  </r>
  <r>
    <s v="bra"/>
    <x v="7"/>
    <s v="monthly"/>
    <s v="vw_cap"/>
    <n v="2"/>
    <x v="342"/>
    <n v="0.11600542818551"/>
  </r>
  <r>
    <s v="bra"/>
    <x v="7"/>
    <s v="monthly"/>
    <s v="vw_cap"/>
    <n v="2"/>
    <x v="343"/>
    <n v="-1.0107646754453901E-3"/>
  </r>
  <r>
    <s v="bra"/>
    <x v="7"/>
    <s v="monthly"/>
    <s v="vw_cap"/>
    <n v="2"/>
    <x v="344"/>
    <n v="9.3508666021418593E-2"/>
  </r>
  <r>
    <s v="bra"/>
    <x v="7"/>
    <s v="monthly"/>
    <s v="vw_cap"/>
    <n v="6"/>
    <x v="345"/>
    <n v="3.8863812269759303E-2"/>
  </r>
  <r>
    <s v="bra"/>
    <x v="7"/>
    <s v="monthly"/>
    <s v="vw_cap"/>
    <n v="4"/>
    <x v="346"/>
    <n v="2.76540352999335E-3"/>
  </r>
  <r>
    <s v="bra"/>
    <x v="7"/>
    <s v="monthly"/>
    <s v="vw_cap"/>
    <n v="4"/>
    <x v="347"/>
    <n v="-8.6216723756257999E-3"/>
  </r>
  <r>
    <s v="bra"/>
    <x v="7"/>
    <s v="monthly"/>
    <s v="vw_cap"/>
    <n v="4"/>
    <x v="348"/>
    <n v="-1.6389774210665699E-2"/>
  </r>
  <r>
    <s v="bra"/>
    <x v="7"/>
    <s v="monthly"/>
    <s v="vw_cap"/>
    <n v="4"/>
    <x v="349"/>
    <n v="3.5016052749196002E-3"/>
  </r>
  <r>
    <s v="bra"/>
    <x v="7"/>
    <s v="monthly"/>
    <s v="vw_cap"/>
    <n v="4"/>
    <x v="350"/>
    <n v="1.3284780040595801E-2"/>
  </r>
  <r>
    <s v="bra"/>
    <x v="7"/>
    <s v="monthly"/>
    <s v="vw_cap"/>
    <n v="6"/>
    <x v="351"/>
    <n v="1.3178203180613199E-2"/>
  </r>
  <r>
    <s v="bra"/>
    <x v="7"/>
    <s v="monthly"/>
    <s v="vw_cap"/>
    <n v="6"/>
    <x v="352"/>
    <n v="3.01906586017854E-3"/>
  </r>
  <r>
    <s v="bra"/>
    <x v="7"/>
    <s v="monthly"/>
    <s v="vw_cap"/>
    <n v="6"/>
    <x v="353"/>
    <n v="2.4619831563290701E-2"/>
  </r>
  <r>
    <s v="bra"/>
    <x v="7"/>
    <s v="monthly"/>
    <s v="vw_cap"/>
    <n v="6"/>
    <x v="354"/>
    <n v="2.29777517176998E-4"/>
  </r>
  <r>
    <s v="bra"/>
    <x v="7"/>
    <s v="monthly"/>
    <s v="vw_cap"/>
    <n v="6"/>
    <x v="355"/>
    <n v="-3.11001540516119E-2"/>
  </r>
  <r>
    <s v="bra"/>
    <x v="7"/>
    <s v="monthly"/>
    <s v="vw_cap"/>
    <n v="6"/>
    <x v="356"/>
    <n v="-4.1948606913133499E-2"/>
  </r>
  <r>
    <s v="bra"/>
    <x v="7"/>
    <s v="monthly"/>
    <s v="vw_cap"/>
    <n v="8"/>
    <x v="0"/>
    <n v="-5.41846363054054E-3"/>
  </r>
  <r>
    <s v="bra"/>
    <x v="7"/>
    <s v="monthly"/>
    <s v="vw_cap"/>
    <n v="8"/>
    <x v="1"/>
    <n v="-3.6828903711927603E-2"/>
  </r>
  <r>
    <s v="bra"/>
    <x v="7"/>
    <s v="monthly"/>
    <s v="vw_cap"/>
    <n v="7"/>
    <x v="289"/>
    <n v="2.8188189120756799E-2"/>
  </r>
  <r>
    <s v="bra"/>
    <x v="7"/>
    <s v="monthly"/>
    <s v="vw_cap"/>
    <n v="7"/>
    <x v="290"/>
    <n v="-3.8429981983406601E-2"/>
  </r>
  <r>
    <s v="bra"/>
    <x v="7"/>
    <s v="monthly"/>
    <s v="vw_cap"/>
    <n v="7"/>
    <x v="291"/>
    <n v="-2.4371162682570099E-2"/>
  </r>
  <r>
    <s v="bra"/>
    <x v="7"/>
    <s v="monthly"/>
    <s v="vw_cap"/>
    <n v="7"/>
    <x v="292"/>
    <n v="2.6619399869978601E-2"/>
  </r>
  <r>
    <s v="bra"/>
    <x v="7"/>
    <s v="monthly"/>
    <s v="vw_cap"/>
    <n v="7"/>
    <x v="293"/>
    <n v="-3.6204701846040202E-2"/>
  </r>
  <r>
    <s v="bra"/>
    <x v="7"/>
    <s v="monthly"/>
    <s v="vw_cap"/>
    <n v="9"/>
    <x v="2"/>
    <n v="-0.10147622939763599"/>
  </r>
  <r>
    <s v="bra"/>
    <x v="7"/>
    <s v="monthly"/>
    <s v="vw_cap"/>
    <n v="9"/>
    <x v="3"/>
    <n v="6.3389186744482504E-2"/>
  </r>
  <r>
    <s v="bra"/>
    <x v="7"/>
    <s v="monthly"/>
    <s v="vw_cap"/>
    <n v="3"/>
    <x v="357"/>
    <n v="8.1389699653171402E-2"/>
  </r>
  <r>
    <s v="bra"/>
    <x v="7"/>
    <s v="monthly"/>
    <s v="vw_cap"/>
    <n v="7"/>
    <x v="358"/>
    <n v="-0.227142348187168"/>
  </r>
  <r>
    <s v="bra"/>
    <x v="7"/>
    <s v="monthly"/>
    <s v="vw_cap"/>
    <n v="7"/>
    <x v="359"/>
    <n v="-6.84757131575367E-2"/>
  </r>
  <r>
    <s v="bra"/>
    <x v="7"/>
    <s v="monthly"/>
    <s v="vw_cap"/>
    <n v="8"/>
    <x v="4"/>
    <n v="1.12360869961483E-2"/>
  </r>
  <r>
    <s v="bra"/>
    <x v="7"/>
    <s v="monthly"/>
    <s v="vw_cap"/>
    <n v="8"/>
    <x v="5"/>
    <n v="-8.1196569552048195E-2"/>
  </r>
  <r>
    <s v="bra"/>
    <x v="7"/>
    <s v="monthly"/>
    <s v="vw_cap"/>
    <n v="8"/>
    <x v="6"/>
    <n v="-1.79646573000443E-2"/>
  </r>
  <r>
    <s v="bra"/>
    <x v="7"/>
    <s v="monthly"/>
    <s v="vw_cap"/>
    <n v="8"/>
    <x v="7"/>
    <n v="-4.46704786811183E-2"/>
  </r>
  <r>
    <s v="bra"/>
    <x v="7"/>
    <s v="monthly"/>
    <s v="vw_cap"/>
    <n v="8"/>
    <x v="8"/>
    <n v="7.8906767295121496E-3"/>
  </r>
  <r>
    <s v="bra"/>
    <x v="7"/>
    <s v="monthly"/>
    <s v="vw_cap"/>
    <n v="9"/>
    <x v="9"/>
    <n v="-3.54355578316638E-2"/>
  </r>
  <r>
    <s v="bra"/>
    <x v="7"/>
    <s v="monthly"/>
    <s v="vw_cap"/>
    <n v="8"/>
    <x v="294"/>
    <n v="-1.6080359931675201E-2"/>
  </r>
  <r>
    <s v="bra"/>
    <x v="7"/>
    <s v="monthly"/>
    <s v="vw_cap"/>
    <n v="8"/>
    <x v="10"/>
    <n v="-6.0627233953073102E-2"/>
  </r>
  <r>
    <s v="bra"/>
    <x v="7"/>
    <s v="monthly"/>
    <s v="vw_cap"/>
    <n v="9"/>
    <x v="11"/>
    <n v="-1.2045171484438901E-2"/>
  </r>
  <r>
    <s v="bra"/>
    <x v="7"/>
    <s v="monthly"/>
    <s v="vw_cap"/>
    <n v="9"/>
    <x v="12"/>
    <n v="-3.3147782868920103E-2"/>
  </r>
  <r>
    <s v="bra"/>
    <x v="7"/>
    <s v="monthly"/>
    <s v="vw_cap"/>
    <n v="9"/>
    <x v="13"/>
    <n v="-3.6166321676823897E-2"/>
  </r>
  <r>
    <s v="bra"/>
    <x v="7"/>
    <s v="monthly"/>
    <s v="vw_cap"/>
    <n v="9"/>
    <x v="14"/>
    <n v="1.8049249797691298E-2"/>
  </r>
  <r>
    <s v="bra"/>
    <x v="7"/>
    <s v="monthly"/>
    <s v="vw_cap"/>
    <n v="9"/>
    <x v="15"/>
    <n v="-8.2732218866090806E-2"/>
  </r>
  <r>
    <s v="bra"/>
    <x v="7"/>
    <s v="monthly"/>
    <s v="vw_cap"/>
    <n v="8"/>
    <x v="16"/>
    <n v="7.99484101532138E-2"/>
  </r>
  <r>
    <s v="bra"/>
    <x v="7"/>
    <s v="monthly"/>
    <s v="vw_cap"/>
    <n v="9"/>
    <x v="17"/>
    <n v="-0.10453441256099801"/>
  </r>
  <r>
    <s v="bra"/>
    <x v="7"/>
    <s v="monthly"/>
    <s v="vw_cap"/>
    <n v="9"/>
    <x v="18"/>
    <n v="0.11254695143531999"/>
  </r>
  <r>
    <s v="bra"/>
    <x v="7"/>
    <s v="monthly"/>
    <s v="vw_cap"/>
    <n v="9"/>
    <x v="19"/>
    <n v="-4.7432735416506798E-2"/>
  </r>
  <r>
    <s v="bra"/>
    <x v="7"/>
    <s v="monthly"/>
    <s v="vw_cap"/>
    <n v="9"/>
    <x v="20"/>
    <n v="4.5075992595308298E-2"/>
  </r>
  <r>
    <s v="bra"/>
    <x v="7"/>
    <s v="monthly"/>
    <s v="vw_cap"/>
    <n v="9"/>
    <x v="21"/>
    <n v="-5.3231976993325198E-3"/>
  </r>
  <r>
    <s v="bra"/>
    <x v="7"/>
    <s v="monthly"/>
    <s v="vw_cap"/>
    <n v="10"/>
    <x v="22"/>
    <n v="4.3345363153324899E-2"/>
  </r>
  <r>
    <s v="bra"/>
    <x v="7"/>
    <s v="monthly"/>
    <s v="vw_cap"/>
    <n v="10"/>
    <x v="23"/>
    <n v="0.13358679752705099"/>
  </r>
  <r>
    <s v="bra"/>
    <x v="7"/>
    <s v="monthly"/>
    <s v="vw_cap"/>
    <n v="10"/>
    <x v="24"/>
    <n v="5.0456543978014898E-2"/>
  </r>
  <r>
    <s v="bra"/>
    <x v="7"/>
    <s v="monthly"/>
    <s v="vw_cap"/>
    <n v="10"/>
    <x v="25"/>
    <n v="5.3696133783942203E-2"/>
  </r>
  <r>
    <s v="bra"/>
    <x v="7"/>
    <s v="monthly"/>
    <s v="vw_cap"/>
    <n v="9"/>
    <x v="26"/>
    <n v="0.102509785776214"/>
  </r>
  <r>
    <s v="bra"/>
    <x v="7"/>
    <s v="monthly"/>
    <s v="vw_cap"/>
    <n v="10"/>
    <x v="27"/>
    <n v="4.997047898741E-2"/>
  </r>
  <r>
    <s v="bra"/>
    <x v="7"/>
    <s v="monthly"/>
    <s v="vw_cap"/>
    <n v="8"/>
    <x v="295"/>
    <n v="-4.4715152962694599E-4"/>
  </r>
  <r>
    <s v="bra"/>
    <x v="7"/>
    <s v="monthly"/>
    <s v="vw_cap"/>
    <n v="8"/>
    <x v="296"/>
    <n v="-4.0434872805206398E-2"/>
  </r>
  <r>
    <s v="bra"/>
    <x v="7"/>
    <s v="monthly"/>
    <s v="vw_cap"/>
    <n v="8"/>
    <x v="297"/>
    <n v="1.2591267394002101E-3"/>
  </r>
  <r>
    <s v="bra"/>
    <x v="7"/>
    <s v="monthly"/>
    <s v="vw_cap"/>
    <n v="8"/>
    <x v="298"/>
    <n v="-6.03204786046488E-2"/>
  </r>
  <r>
    <s v="bra"/>
    <x v="7"/>
    <s v="monthly"/>
    <s v="vw_cap"/>
    <n v="2"/>
    <x v="360"/>
    <n v="5.7339717295087501E-2"/>
  </r>
  <r>
    <s v="bra"/>
    <x v="7"/>
    <s v="monthly"/>
    <s v="vw_cap"/>
    <n v="2"/>
    <x v="361"/>
    <n v="4.6405404277485903E-3"/>
  </r>
  <r>
    <s v="bra"/>
    <x v="7"/>
    <s v="monthly"/>
    <s v="vw_cap"/>
    <n v="2"/>
    <x v="362"/>
    <n v="-1.86295029419032E-3"/>
  </r>
  <r>
    <s v="bra"/>
    <x v="7"/>
    <s v="monthly"/>
    <s v="vw_cap"/>
    <n v="8"/>
    <x v="299"/>
    <n v="-1.9607759748889099E-2"/>
  </r>
  <r>
    <s v="bra"/>
    <x v="7"/>
    <s v="monthly"/>
    <s v="vw_cap"/>
    <n v="8"/>
    <x v="300"/>
    <n v="2.3518427090022699E-2"/>
  </r>
  <r>
    <s v="bra"/>
    <x v="7"/>
    <s v="monthly"/>
    <s v="vw_cap"/>
    <n v="8"/>
    <x v="301"/>
    <n v="1.8616585639262599E-2"/>
  </r>
  <r>
    <s v="bra"/>
    <x v="7"/>
    <s v="monthly"/>
    <s v="vw_cap"/>
    <n v="8"/>
    <x v="302"/>
    <n v="0.101808624027978"/>
  </r>
  <r>
    <s v="bra"/>
    <x v="7"/>
    <s v="monthly"/>
    <s v="vw_cap"/>
    <n v="7"/>
    <x v="303"/>
    <n v="1.4225335410433901E-2"/>
  </r>
  <r>
    <s v="bra"/>
    <x v="7"/>
    <s v="monthly"/>
    <s v="vw_cap"/>
    <n v="7"/>
    <x v="304"/>
    <n v="3.1113884352931401E-2"/>
  </r>
  <r>
    <s v="bra"/>
    <x v="7"/>
    <s v="monthly"/>
    <s v="vw_cap"/>
    <n v="5"/>
    <x v="363"/>
    <n v="-7.6426392088971796E-3"/>
  </r>
  <r>
    <s v="bra"/>
    <x v="7"/>
    <s v="monthly"/>
    <s v="vw_cap"/>
    <n v="5"/>
    <x v="365"/>
    <n v="-8.6543573111112597E-3"/>
  </r>
  <r>
    <s v="bra"/>
    <x v="7"/>
    <s v="monthly"/>
    <s v="vw_cap"/>
    <n v="2"/>
    <x v="369"/>
    <n v="-6.4592986912216599E-2"/>
  </r>
  <r>
    <s v="bra"/>
    <x v="7"/>
    <s v="monthly"/>
    <s v="vw_cap"/>
    <n v="2"/>
    <x v="373"/>
    <n v="0.14597343094197099"/>
  </r>
  <r>
    <s v="bra"/>
    <x v="7"/>
    <s v="monthly"/>
    <s v="vw_cap"/>
    <n v="2"/>
    <x v="374"/>
    <n v="-0.21071636642377001"/>
  </r>
  <r>
    <s v="bra"/>
    <x v="7"/>
    <s v="monthly"/>
    <s v="vw_cap"/>
    <n v="2"/>
    <x v="375"/>
    <n v="0.124691302614667"/>
  </r>
  <r>
    <s v="bra"/>
    <x v="7"/>
    <s v="monthly"/>
    <s v="vw_cap"/>
    <n v="6"/>
    <x v="305"/>
    <n v="-5.9737688160272299E-2"/>
  </r>
  <r>
    <s v="bra"/>
    <x v="7"/>
    <s v="monthly"/>
    <s v="vw_cap"/>
    <n v="6"/>
    <x v="306"/>
    <n v="7.1233163148106002E-2"/>
  </r>
  <r>
    <s v="bra"/>
    <x v="7"/>
    <s v="monthly"/>
    <s v="vw_cap"/>
    <n v="6"/>
    <x v="307"/>
    <n v="6.4221030499252693E-2"/>
  </r>
  <r>
    <s v="bra"/>
    <x v="7"/>
    <s v="monthly"/>
    <s v="vw_cap"/>
    <n v="8"/>
    <x v="28"/>
    <n v="-6.7001054064949897E-2"/>
  </r>
  <r>
    <s v="bra"/>
    <x v="7"/>
    <s v="monthly"/>
    <s v="vw_cap"/>
    <n v="6"/>
    <x v="308"/>
    <n v="-0.122061730969312"/>
  </r>
  <r>
    <s v="bra"/>
    <x v="7"/>
    <s v="monthly"/>
    <s v="vw_cap"/>
    <n v="6"/>
    <x v="309"/>
    <n v="7.9724626198512297E-2"/>
  </r>
  <r>
    <s v="bra"/>
    <x v="7"/>
    <s v="monthly"/>
    <s v="vw_cap"/>
    <n v="6"/>
    <x v="310"/>
    <n v="-2.34216848778722E-2"/>
  </r>
  <r>
    <s v="bra"/>
    <x v="7"/>
    <s v="monthly"/>
    <s v="vw_cap"/>
    <n v="6"/>
    <x v="311"/>
    <n v="-3.7272363016272299E-2"/>
  </r>
  <r>
    <s v="bra"/>
    <x v="7"/>
    <s v="monthly"/>
    <s v="vw_cap"/>
    <n v="10"/>
    <x v="29"/>
    <n v="8.5677246229987306E-2"/>
  </r>
  <r>
    <s v="bra"/>
    <x v="7"/>
    <s v="monthly"/>
    <s v="vw_cap"/>
    <n v="7"/>
    <x v="30"/>
    <n v="-5.1243209144785397E-3"/>
  </r>
  <r>
    <s v="bra"/>
    <x v="7"/>
    <s v="monthly"/>
    <s v="vw_cap"/>
    <n v="7"/>
    <x v="31"/>
    <n v="-7.6705389005030294E-2"/>
  </r>
  <r>
    <s v="bra"/>
    <x v="7"/>
    <s v="monthly"/>
    <s v="vw_cap"/>
    <n v="10"/>
    <x v="32"/>
    <n v="-5.70250879795791E-2"/>
  </r>
  <r>
    <s v="bra"/>
    <x v="7"/>
    <s v="monthly"/>
    <s v="vw_cap"/>
    <n v="10"/>
    <x v="33"/>
    <n v="2.5663095804137701E-2"/>
  </r>
  <r>
    <s v="bra"/>
    <x v="7"/>
    <s v="monthly"/>
    <s v="vw_cap"/>
    <n v="10"/>
    <x v="34"/>
    <n v="2.2483277261619899E-2"/>
  </r>
  <r>
    <s v="bra"/>
    <x v="7"/>
    <s v="monthly"/>
    <s v="vw_cap"/>
    <n v="11"/>
    <x v="35"/>
    <n v="9.0162293931336495E-3"/>
  </r>
  <r>
    <s v="bra"/>
    <x v="7"/>
    <s v="monthly"/>
    <s v="vw_cap"/>
    <n v="11"/>
    <x v="36"/>
    <n v="-1.4023492871336101E-2"/>
  </r>
  <r>
    <s v="bra"/>
    <x v="7"/>
    <s v="monthly"/>
    <s v="vw_cap"/>
    <n v="11"/>
    <x v="37"/>
    <n v="-4.1794949648919097E-2"/>
  </r>
  <r>
    <s v="bra"/>
    <x v="7"/>
    <s v="monthly"/>
    <s v="vw_cap"/>
    <n v="11"/>
    <x v="38"/>
    <n v="2.7784557666044402E-2"/>
  </r>
  <r>
    <s v="bra"/>
    <x v="7"/>
    <s v="monthly"/>
    <s v="vw_cap"/>
    <n v="11"/>
    <x v="39"/>
    <n v="1.38231980678963E-2"/>
  </r>
  <r>
    <s v="bra"/>
    <x v="7"/>
    <s v="monthly"/>
    <s v="vw_cap"/>
    <n v="11"/>
    <x v="40"/>
    <n v="-2.83655215730024E-2"/>
  </r>
  <r>
    <s v="bra"/>
    <x v="7"/>
    <s v="monthly"/>
    <s v="vw_cap"/>
    <n v="11"/>
    <x v="41"/>
    <n v="-2.84570083533725E-2"/>
  </r>
  <r>
    <s v="bra"/>
    <x v="7"/>
    <s v="monthly"/>
    <s v="vw_cap"/>
    <n v="11"/>
    <x v="42"/>
    <n v="-2.5896809679660199E-2"/>
  </r>
  <r>
    <s v="bra"/>
    <x v="7"/>
    <s v="monthly"/>
    <s v="vw_cap"/>
    <n v="11"/>
    <x v="43"/>
    <n v="6.9356913317859701E-3"/>
  </r>
  <r>
    <s v="bra"/>
    <x v="7"/>
    <s v="monthly"/>
    <s v="vw_cap"/>
    <n v="11"/>
    <x v="44"/>
    <n v="-1.69543074251211E-2"/>
  </r>
  <r>
    <s v="bra"/>
    <x v="7"/>
    <s v="monthly"/>
    <s v="vw_cap"/>
    <n v="11"/>
    <x v="45"/>
    <n v="6.2009059904499501E-2"/>
  </r>
  <r>
    <s v="bra"/>
    <x v="7"/>
    <s v="monthly"/>
    <s v="vw_cap"/>
    <n v="11"/>
    <x v="46"/>
    <n v="-1.62740364288043E-2"/>
  </r>
  <r>
    <s v="bra"/>
    <x v="7"/>
    <s v="monthly"/>
    <s v="vw_cap"/>
    <n v="11"/>
    <x v="47"/>
    <n v="-2.4345238077167E-2"/>
  </r>
  <r>
    <s v="bra"/>
    <x v="7"/>
    <s v="monthly"/>
    <s v="vw_cap"/>
    <n v="11"/>
    <x v="48"/>
    <n v="7.17273050912773E-3"/>
  </r>
  <r>
    <s v="bra"/>
    <x v="7"/>
    <s v="monthly"/>
    <s v="vw_cap"/>
    <n v="11"/>
    <x v="49"/>
    <n v="-1.1610560369305099E-2"/>
  </r>
  <r>
    <s v="bra"/>
    <x v="7"/>
    <s v="monthly"/>
    <s v="vw_cap"/>
    <n v="11"/>
    <x v="50"/>
    <n v="-1.7439487876327701E-2"/>
  </r>
  <r>
    <s v="bra"/>
    <x v="7"/>
    <s v="monthly"/>
    <s v="vw_cap"/>
    <n v="11"/>
    <x v="51"/>
    <n v="3.5240388783822499E-3"/>
  </r>
  <r>
    <s v="bra"/>
    <x v="7"/>
    <s v="monthly"/>
    <s v="vw_cap"/>
    <n v="11"/>
    <x v="52"/>
    <n v="1.00916833559258E-2"/>
  </r>
  <r>
    <s v="bra"/>
    <x v="7"/>
    <s v="monthly"/>
    <s v="vw_cap"/>
    <n v="11"/>
    <x v="53"/>
    <n v="-8.42613451953436E-3"/>
  </r>
  <r>
    <s v="bra"/>
    <x v="7"/>
    <s v="monthly"/>
    <s v="vw_cap"/>
    <n v="11"/>
    <x v="54"/>
    <n v="-5.1690589808536403E-3"/>
  </r>
  <r>
    <s v="bra"/>
    <x v="7"/>
    <s v="monthly"/>
    <s v="vw_cap"/>
    <n v="11"/>
    <x v="55"/>
    <n v="4.6109902176939999E-2"/>
  </r>
  <r>
    <s v="bra"/>
    <x v="7"/>
    <s v="monthly"/>
    <s v="vw_cap"/>
    <n v="11"/>
    <x v="56"/>
    <n v="-5.7775115393712204E-3"/>
  </r>
  <r>
    <s v="bra"/>
    <x v="7"/>
    <s v="monthly"/>
    <s v="vw_cap"/>
    <n v="11"/>
    <x v="57"/>
    <n v="-1.09634869160445E-2"/>
  </r>
  <r>
    <s v="bra"/>
    <x v="7"/>
    <s v="monthly"/>
    <s v="vw_cap"/>
    <n v="11"/>
    <x v="58"/>
    <n v="-1.43974389110806E-3"/>
  </r>
  <r>
    <s v="bra"/>
    <x v="7"/>
    <s v="monthly"/>
    <s v="vw_cap"/>
    <n v="11"/>
    <x v="59"/>
    <n v="1.0418523390094201E-2"/>
  </r>
  <r>
    <s v="bra"/>
    <x v="7"/>
    <s v="monthly"/>
    <s v="vw_cap"/>
    <n v="11"/>
    <x v="60"/>
    <n v="-6.2100198065393603E-3"/>
  </r>
  <r>
    <s v="bra"/>
    <x v="7"/>
    <s v="monthly"/>
    <s v="vw_cap"/>
    <n v="11"/>
    <x v="61"/>
    <n v="2.6819656123083699E-3"/>
  </r>
  <r>
    <s v="bra"/>
    <x v="7"/>
    <s v="monthly"/>
    <s v="vw_cap"/>
    <n v="11"/>
    <x v="62"/>
    <n v="-4.1374849601463301E-2"/>
  </r>
  <r>
    <s v="bra"/>
    <x v="7"/>
    <s v="monthly"/>
    <s v="vw_cap"/>
    <n v="11"/>
    <x v="63"/>
    <n v="8.06192740709555E-3"/>
  </r>
  <r>
    <s v="bra"/>
    <x v="7"/>
    <s v="monthly"/>
    <s v="vw_cap"/>
    <n v="11"/>
    <x v="64"/>
    <n v="7.6459162881956297E-3"/>
  </r>
  <r>
    <s v="bra"/>
    <x v="7"/>
    <s v="monthly"/>
    <s v="vw_cap"/>
    <n v="11"/>
    <x v="65"/>
    <n v="1.19543481593163E-2"/>
  </r>
  <r>
    <s v="bra"/>
    <x v="7"/>
    <s v="monthly"/>
    <s v="vw_cap"/>
    <n v="11"/>
    <x v="66"/>
    <n v="-4.0997947999073803E-3"/>
  </r>
  <r>
    <s v="bra"/>
    <x v="7"/>
    <s v="monthly"/>
    <s v="vw_cap"/>
    <n v="11"/>
    <x v="67"/>
    <n v="-1.7750619953616299E-2"/>
  </r>
  <r>
    <s v="bra"/>
    <x v="7"/>
    <s v="monthly"/>
    <s v="vw_cap"/>
    <n v="11"/>
    <x v="68"/>
    <n v="1.33936634778351E-2"/>
  </r>
  <r>
    <s v="bra"/>
    <x v="7"/>
    <s v="monthly"/>
    <s v="vw_cap"/>
    <n v="11"/>
    <x v="69"/>
    <n v="2.45062228112497E-2"/>
  </r>
  <r>
    <s v="bra"/>
    <x v="7"/>
    <s v="monthly"/>
    <s v="vw_cap"/>
    <n v="11"/>
    <x v="70"/>
    <n v="-1.66711132462945E-2"/>
  </r>
  <r>
    <s v="bra"/>
    <x v="7"/>
    <s v="monthly"/>
    <s v="vw_cap"/>
    <n v="11"/>
    <x v="71"/>
    <n v="2.5225950623815298E-2"/>
  </r>
  <r>
    <s v="bra"/>
    <x v="7"/>
    <s v="monthly"/>
    <s v="vw_cap"/>
    <n v="11"/>
    <x v="72"/>
    <n v="-6.0918798597334997E-2"/>
  </r>
  <r>
    <s v="bra"/>
    <x v="7"/>
    <s v="monthly"/>
    <s v="vw_cap"/>
    <n v="11"/>
    <x v="73"/>
    <n v="9.7527985402411296E-3"/>
  </r>
  <r>
    <s v="bra"/>
    <x v="7"/>
    <s v="monthly"/>
    <s v="vw_cap"/>
    <n v="11"/>
    <x v="74"/>
    <n v="-1.6321283544496499E-2"/>
  </r>
  <r>
    <s v="bra"/>
    <x v="7"/>
    <s v="monthly"/>
    <s v="vw_cap"/>
    <n v="11"/>
    <x v="75"/>
    <n v="2.6070894111230401E-2"/>
  </r>
  <r>
    <s v="bra"/>
    <x v="7"/>
    <s v="monthly"/>
    <s v="vw_cap"/>
    <n v="11"/>
    <x v="76"/>
    <n v="1.56910118851523E-2"/>
  </r>
  <r>
    <s v="bra"/>
    <x v="7"/>
    <s v="monthly"/>
    <s v="vw_cap"/>
    <n v="11"/>
    <x v="77"/>
    <n v="-3.6489404911880297E-2"/>
  </r>
  <r>
    <s v="bra"/>
    <x v="7"/>
    <s v="monthly"/>
    <s v="vw_cap"/>
    <n v="11"/>
    <x v="78"/>
    <n v="8.4676236630000303E-5"/>
  </r>
  <r>
    <s v="bra"/>
    <x v="7"/>
    <s v="monthly"/>
    <s v="vw_cap"/>
    <n v="11"/>
    <x v="79"/>
    <n v="3.6480264915215402E-2"/>
  </r>
  <r>
    <s v="bra"/>
    <x v="7"/>
    <s v="monthly"/>
    <s v="vw_cap"/>
    <n v="11"/>
    <x v="80"/>
    <n v="5.4111067473265502E-2"/>
  </r>
  <r>
    <s v="bra"/>
    <x v="7"/>
    <s v="monthly"/>
    <s v="vw_cap"/>
    <n v="11"/>
    <x v="81"/>
    <n v="0.10118384631803801"/>
  </r>
  <r>
    <s v="bra"/>
    <x v="7"/>
    <s v="monthly"/>
    <s v="vw_cap"/>
    <n v="11"/>
    <x v="82"/>
    <n v="8.4001560420820007E-2"/>
  </r>
  <r>
    <s v="bra"/>
    <x v="7"/>
    <s v="monthly"/>
    <s v="vw_cap"/>
    <n v="11"/>
    <x v="83"/>
    <n v="-1.28419286630761E-2"/>
  </r>
  <r>
    <s v="bra"/>
    <x v="7"/>
    <s v="monthly"/>
    <s v="vw_cap"/>
    <n v="11"/>
    <x v="84"/>
    <n v="-1.7491506608467301E-2"/>
  </r>
  <r>
    <s v="bra"/>
    <x v="7"/>
    <s v="monthly"/>
    <s v="vw_cap"/>
    <n v="11"/>
    <x v="85"/>
    <n v="1.1996855510553701E-2"/>
  </r>
  <r>
    <s v="bra"/>
    <x v="7"/>
    <s v="monthly"/>
    <s v="vw_cap"/>
    <n v="11"/>
    <x v="86"/>
    <n v="1.44002483913921E-2"/>
  </r>
  <r>
    <s v="bra"/>
    <x v="7"/>
    <s v="monthly"/>
    <s v="vw_cap"/>
    <n v="11"/>
    <x v="87"/>
    <n v="-2.0574106661635201E-3"/>
  </r>
  <r>
    <s v="bra"/>
    <x v="7"/>
    <s v="monthly"/>
    <s v="vw_cap"/>
    <n v="11"/>
    <x v="88"/>
    <n v="-0.113989335097698"/>
  </r>
  <r>
    <s v="bra"/>
    <x v="7"/>
    <s v="monthly"/>
    <s v="vw_cap"/>
    <n v="11"/>
    <x v="89"/>
    <n v="-4.2109352449583498E-2"/>
  </r>
  <r>
    <s v="bra"/>
    <x v="7"/>
    <s v="monthly"/>
    <s v="vw_cap"/>
    <n v="11"/>
    <x v="90"/>
    <n v="1.1052990085387E-2"/>
  </r>
  <r>
    <s v="bra"/>
    <x v="7"/>
    <s v="monthly"/>
    <s v="vw_cap"/>
    <n v="11"/>
    <x v="91"/>
    <n v="-7.7517397533720403E-2"/>
  </r>
  <r>
    <s v="bra"/>
    <x v="7"/>
    <s v="monthly"/>
    <s v="vw_cap"/>
    <n v="11"/>
    <x v="92"/>
    <n v="-2.3705427230464399E-2"/>
  </r>
  <r>
    <s v="bra"/>
    <x v="7"/>
    <s v="monthly"/>
    <s v="vw_cap"/>
    <n v="11"/>
    <x v="93"/>
    <n v="-1.4865719424806099E-2"/>
  </r>
  <r>
    <s v="bra"/>
    <x v="7"/>
    <s v="monthly"/>
    <s v="vw_cap"/>
    <n v="11"/>
    <x v="94"/>
    <n v="-2.5360117077427402E-3"/>
  </r>
  <r>
    <s v="bra"/>
    <x v="7"/>
    <s v="monthly"/>
    <s v="vw_cap"/>
    <n v="11"/>
    <x v="95"/>
    <n v="-3.8606868048757598E-2"/>
  </r>
  <r>
    <s v="bra"/>
    <x v="7"/>
    <s v="monthly"/>
    <s v="vw_cap"/>
    <n v="11"/>
    <x v="96"/>
    <n v="-1.9183953607241601E-2"/>
  </r>
  <r>
    <s v="bra"/>
    <x v="7"/>
    <s v="monthly"/>
    <s v="vw_cap"/>
    <n v="11"/>
    <x v="97"/>
    <n v="-8.5570100629319704E-2"/>
  </r>
  <r>
    <s v="bra"/>
    <x v="7"/>
    <s v="monthly"/>
    <s v="vw_cap"/>
    <n v="11"/>
    <x v="98"/>
    <n v="1.18209312452428E-2"/>
  </r>
  <r>
    <s v="bra"/>
    <x v="7"/>
    <s v="monthly"/>
    <s v="vw_cap"/>
    <n v="11"/>
    <x v="99"/>
    <n v="5.8429181632609802E-2"/>
  </r>
  <r>
    <s v="bra"/>
    <x v="7"/>
    <s v="monthly"/>
    <s v="vw_cap"/>
    <n v="11"/>
    <x v="100"/>
    <n v="1.5900164527193499E-2"/>
  </r>
  <r>
    <s v="bra"/>
    <x v="7"/>
    <s v="monthly"/>
    <s v="vw_cap"/>
    <n v="11"/>
    <x v="101"/>
    <n v="1.4176172570810301E-2"/>
  </r>
  <r>
    <s v="bra"/>
    <x v="7"/>
    <s v="monthly"/>
    <s v="vw_cap"/>
    <n v="11"/>
    <x v="102"/>
    <n v="1.8042180006023902E-2"/>
  </r>
  <r>
    <s v="bra"/>
    <x v="7"/>
    <s v="monthly"/>
    <s v="vw_cap"/>
    <n v="11"/>
    <x v="103"/>
    <n v="-3.6937100292704899E-3"/>
  </r>
  <r>
    <s v="bra"/>
    <x v="7"/>
    <s v="monthly"/>
    <s v="vw_cap"/>
    <n v="11"/>
    <x v="104"/>
    <n v="-1.1769482705803601E-2"/>
  </r>
  <r>
    <s v="bra"/>
    <x v="7"/>
    <s v="monthly"/>
    <s v="vw_cap"/>
    <n v="11"/>
    <x v="105"/>
    <n v="-2.6581118021643201E-3"/>
  </r>
  <r>
    <s v="bra"/>
    <x v="7"/>
    <s v="monthly"/>
    <s v="vw_cap"/>
    <n v="11"/>
    <x v="106"/>
    <n v="5.0486752539861497E-3"/>
  </r>
  <r>
    <s v="bra"/>
    <x v="7"/>
    <s v="monthly"/>
    <s v="vw_cap"/>
    <n v="11"/>
    <x v="107"/>
    <n v="1.5094351630434299E-2"/>
  </r>
  <r>
    <s v="bra"/>
    <x v="7"/>
    <s v="monthly"/>
    <s v="vw_cap"/>
    <n v="11"/>
    <x v="108"/>
    <n v="2.8511129151657199E-3"/>
  </r>
  <r>
    <s v="bra"/>
    <x v="7"/>
    <s v="monthly"/>
    <s v="vw_cap"/>
    <n v="11"/>
    <x v="109"/>
    <n v="5.2825049709508904E-3"/>
  </r>
  <r>
    <s v="bra"/>
    <x v="7"/>
    <s v="monthly"/>
    <s v="vw_cap"/>
    <n v="11"/>
    <x v="110"/>
    <n v="-2.0565621481707899E-3"/>
  </r>
  <r>
    <s v="bra"/>
    <x v="7"/>
    <s v="monthly"/>
    <s v="vw_cap"/>
    <n v="11"/>
    <x v="111"/>
    <n v="2.3892481740522199E-2"/>
  </r>
  <r>
    <s v="bra"/>
    <x v="7"/>
    <s v="monthly"/>
    <s v="vw_cap"/>
    <n v="11"/>
    <x v="112"/>
    <n v="2.68587789323575E-2"/>
  </r>
  <r>
    <s v="bra"/>
    <x v="7"/>
    <s v="monthly"/>
    <s v="vw_cap"/>
    <n v="11"/>
    <x v="113"/>
    <n v="3.4672298479193203E-2"/>
  </r>
  <r>
    <s v="bra"/>
    <x v="7"/>
    <s v="monthly"/>
    <s v="vw_cap"/>
    <n v="11"/>
    <x v="114"/>
    <n v="1.2948696306461499E-2"/>
  </r>
  <r>
    <s v="bra"/>
    <x v="7"/>
    <s v="monthly"/>
    <s v="vw_cap"/>
    <n v="11"/>
    <x v="115"/>
    <n v="1.6961030614008499E-2"/>
  </r>
  <r>
    <s v="bra"/>
    <x v="7"/>
    <s v="monthly"/>
    <s v="vw_cap"/>
    <n v="11"/>
    <x v="116"/>
    <n v="6.1674831836682202E-2"/>
  </r>
  <r>
    <s v="bra"/>
    <x v="7"/>
    <s v="monthly"/>
    <s v="vw_cap"/>
    <n v="11"/>
    <x v="117"/>
    <n v="2.7910245002019499E-2"/>
  </r>
  <r>
    <s v="bra"/>
    <x v="7"/>
    <s v="monthly"/>
    <s v="vw_cap"/>
    <n v="11"/>
    <x v="118"/>
    <n v="-3.4361615791636199E-2"/>
  </r>
  <r>
    <s v="bra"/>
    <x v="7"/>
    <s v="monthly"/>
    <s v="vw_cap"/>
    <n v="11"/>
    <x v="119"/>
    <n v="3.8088638919123501E-2"/>
  </r>
  <r>
    <s v="bra"/>
    <x v="7"/>
    <s v="monthly"/>
    <s v="vw_cap"/>
    <n v="11"/>
    <x v="120"/>
    <n v="1.6659973459485201E-3"/>
  </r>
  <r>
    <s v="bra"/>
    <x v="7"/>
    <s v="monthly"/>
    <s v="vw_cap"/>
    <n v="11"/>
    <x v="121"/>
    <n v="-1.20454750568576E-3"/>
  </r>
  <r>
    <s v="bra"/>
    <x v="7"/>
    <s v="monthly"/>
    <s v="vw_cap"/>
    <n v="11"/>
    <x v="122"/>
    <n v="-1.87185251648113E-3"/>
  </r>
  <r>
    <s v="bra"/>
    <x v="7"/>
    <s v="monthly"/>
    <s v="vw_cap"/>
    <n v="11"/>
    <x v="123"/>
    <n v="2.45112629513238E-2"/>
  </r>
  <r>
    <s v="bra"/>
    <x v="7"/>
    <s v="monthly"/>
    <s v="vw_cap"/>
    <n v="11"/>
    <x v="124"/>
    <n v="2.6985758963201E-2"/>
  </r>
  <r>
    <s v="bra"/>
    <x v="7"/>
    <s v="monthly"/>
    <s v="vw_cap"/>
    <n v="11"/>
    <x v="125"/>
    <n v="4.1391052733819697E-2"/>
  </r>
  <r>
    <s v="bra"/>
    <x v="7"/>
    <s v="monthly"/>
    <s v="vw_cap"/>
    <n v="11"/>
    <x v="126"/>
    <n v="4.2937693000826303E-2"/>
  </r>
  <r>
    <s v="bra"/>
    <x v="7"/>
    <s v="monthly"/>
    <s v="vw_cap"/>
    <n v="11"/>
    <x v="127"/>
    <n v="-5.6721687196836703E-3"/>
  </r>
  <r>
    <s v="bra"/>
    <x v="7"/>
    <s v="monthly"/>
    <s v="vw_cap"/>
    <n v="11"/>
    <x v="128"/>
    <n v="-3.8692734054721498E-2"/>
  </r>
  <r>
    <s v="bra"/>
    <x v="7"/>
    <s v="monthly"/>
    <s v="vw_cap"/>
    <n v="11"/>
    <x v="129"/>
    <n v="-2.2539030540907699E-2"/>
  </r>
  <r>
    <s v="bra"/>
    <x v="7"/>
    <s v="monthly"/>
    <s v="vw_cap"/>
    <n v="11"/>
    <x v="130"/>
    <n v="7.6711439105783099E-3"/>
  </r>
  <r>
    <s v="bra"/>
    <x v="7"/>
    <s v="monthly"/>
    <s v="vw_cap"/>
    <n v="11"/>
    <x v="131"/>
    <n v="1.8973024800190402E-2"/>
  </r>
  <r>
    <s v="bra"/>
    <x v="7"/>
    <s v="monthly"/>
    <s v="vw_cap"/>
    <n v="11"/>
    <x v="132"/>
    <n v="-2.0595367153820099E-2"/>
  </r>
  <r>
    <s v="bra"/>
    <x v="7"/>
    <s v="monthly"/>
    <s v="vw_cap"/>
    <n v="11"/>
    <x v="133"/>
    <n v="-1.5695289592064302E-2"/>
  </r>
  <r>
    <s v="bra"/>
    <x v="7"/>
    <s v="monthly"/>
    <s v="vw_cap"/>
    <n v="11"/>
    <x v="134"/>
    <n v="1.52356288500373E-2"/>
  </r>
  <r>
    <s v="bra"/>
    <x v="7"/>
    <s v="monthly"/>
    <s v="vw_cap"/>
    <n v="11"/>
    <x v="135"/>
    <n v="1.8545859624461002E-2"/>
  </r>
  <r>
    <s v="bra"/>
    <x v="7"/>
    <s v="monthly"/>
    <s v="vw_cap"/>
    <n v="11"/>
    <x v="136"/>
    <n v="2.6850599209839999E-2"/>
  </r>
  <r>
    <s v="bra"/>
    <x v="7"/>
    <s v="monthly"/>
    <s v="vw_cap"/>
    <n v="11"/>
    <x v="137"/>
    <n v="3.4186606976540999E-3"/>
  </r>
  <r>
    <s v="bra"/>
    <x v="7"/>
    <s v="monthly"/>
    <s v="vw_cap"/>
    <n v="11"/>
    <x v="138"/>
    <n v="2.17712671276921E-2"/>
  </r>
  <r>
    <s v="bra"/>
    <x v="7"/>
    <s v="monthly"/>
    <s v="vw_cap"/>
    <n v="11"/>
    <x v="139"/>
    <n v="1.01477212628544E-2"/>
  </r>
  <r>
    <s v="bra"/>
    <x v="7"/>
    <s v="monthly"/>
    <s v="vw_cap"/>
    <n v="11"/>
    <x v="140"/>
    <n v="-2.5928358273014401E-2"/>
  </r>
  <r>
    <s v="bra"/>
    <x v="7"/>
    <s v="monthly"/>
    <s v="vw_cap"/>
    <n v="11"/>
    <x v="141"/>
    <n v="2.2244908545070999E-2"/>
  </r>
  <r>
    <s v="bra"/>
    <x v="7"/>
    <s v="monthly"/>
    <s v="vw_cap"/>
    <n v="11"/>
    <x v="142"/>
    <n v="1.10385397542187E-2"/>
  </r>
  <r>
    <s v="bra"/>
    <x v="7"/>
    <s v="monthly"/>
    <s v="vw_cap"/>
    <n v="11"/>
    <x v="143"/>
    <n v="4.6284604747355998E-3"/>
  </r>
  <r>
    <s v="bra"/>
    <x v="7"/>
    <s v="monthly"/>
    <s v="vw_cap"/>
    <n v="11"/>
    <x v="144"/>
    <n v="-1.62734102950838E-2"/>
  </r>
  <r>
    <s v="bra"/>
    <x v="7"/>
    <s v="monthly"/>
    <s v="vw_cap"/>
    <n v="11"/>
    <x v="145"/>
    <n v="-8.4159194130382399E-3"/>
  </r>
  <r>
    <s v="bra"/>
    <x v="7"/>
    <s v="monthly"/>
    <s v="vw_cap"/>
    <n v="11"/>
    <x v="146"/>
    <n v="1.5812627831725001E-2"/>
  </r>
  <r>
    <s v="bra"/>
    <x v="7"/>
    <s v="monthly"/>
    <s v="vw_cap"/>
    <n v="11"/>
    <x v="147"/>
    <n v="2.51146426465234E-2"/>
  </r>
  <r>
    <s v="bra"/>
    <x v="7"/>
    <s v="monthly"/>
    <s v="vw_cap"/>
    <n v="11"/>
    <x v="148"/>
    <n v="1.4223693470968701E-2"/>
  </r>
  <r>
    <s v="bra"/>
    <x v="7"/>
    <s v="monthly"/>
    <s v="vw_cap"/>
    <n v="11"/>
    <x v="149"/>
    <n v="4.4430710880512397E-3"/>
  </r>
  <r>
    <s v="bra"/>
    <x v="7"/>
    <s v="monthly"/>
    <s v="vw_cap"/>
    <n v="11"/>
    <x v="150"/>
    <n v="2.8073619855568501E-3"/>
  </r>
  <r>
    <s v="bra"/>
    <x v="7"/>
    <s v="monthly"/>
    <s v="vw_cap"/>
    <n v="11"/>
    <x v="151"/>
    <n v="-1.90177104101786E-2"/>
  </r>
  <r>
    <s v="bra"/>
    <x v="7"/>
    <s v="monthly"/>
    <s v="vw_cap"/>
    <n v="11"/>
    <x v="152"/>
    <n v="-5.23845226253432E-3"/>
  </r>
  <r>
    <s v="bra"/>
    <x v="7"/>
    <s v="monthly"/>
    <s v="vw_cap"/>
    <n v="11"/>
    <x v="153"/>
    <n v="1.05140619006634E-2"/>
  </r>
  <r>
    <s v="bra"/>
    <x v="7"/>
    <s v="monthly"/>
    <s v="vw_cap"/>
    <n v="11"/>
    <x v="154"/>
    <n v="3.3796095928945703E-2"/>
  </r>
  <r>
    <s v="bra"/>
    <x v="7"/>
    <s v="monthly"/>
    <s v="vw_cap"/>
    <n v="11"/>
    <x v="155"/>
    <n v="1.9340239394194499E-2"/>
  </r>
  <r>
    <s v="bra"/>
    <x v="7"/>
    <s v="monthly"/>
    <s v="vw_cap"/>
    <n v="11"/>
    <x v="156"/>
    <n v="3.7539631056624501E-3"/>
  </r>
  <r>
    <s v="bra"/>
    <x v="7"/>
    <s v="monthly"/>
    <s v="vw_cap"/>
    <n v="11"/>
    <x v="157"/>
    <n v="3.9949148382294498E-2"/>
  </r>
  <r>
    <s v="bra"/>
    <x v="7"/>
    <s v="monthly"/>
    <s v="vw_cap"/>
    <n v="11"/>
    <x v="158"/>
    <n v="8.6391590543473899E-3"/>
  </r>
  <r>
    <s v="bra"/>
    <x v="7"/>
    <s v="monthly"/>
    <s v="vw_cap"/>
    <n v="11"/>
    <x v="159"/>
    <n v="-3.1015962443822899E-3"/>
  </r>
  <r>
    <s v="bra"/>
    <x v="7"/>
    <s v="monthly"/>
    <s v="vw_cap"/>
    <n v="11"/>
    <x v="160"/>
    <n v="-1.5152321903679499E-2"/>
  </r>
  <r>
    <s v="bra"/>
    <x v="7"/>
    <s v="monthly"/>
    <s v="vw_cap"/>
    <n v="11"/>
    <x v="161"/>
    <n v="-3.26661278913955E-3"/>
  </r>
  <r>
    <s v="bra"/>
    <x v="7"/>
    <s v="monthly"/>
    <s v="vw_cap"/>
    <n v="11"/>
    <x v="162"/>
    <n v="2.7223454857506501E-2"/>
  </r>
  <r>
    <s v="bra"/>
    <x v="7"/>
    <s v="monthly"/>
    <s v="vw_cap"/>
    <n v="11"/>
    <x v="163"/>
    <n v="3.7713815334029399E-2"/>
  </r>
  <r>
    <s v="bra"/>
    <x v="7"/>
    <s v="monthly"/>
    <s v="vw_cap"/>
    <n v="11"/>
    <x v="164"/>
    <n v="-1.15807320640219E-3"/>
  </r>
  <r>
    <s v="bra"/>
    <x v="7"/>
    <s v="monthly"/>
    <s v="vw_cap"/>
    <n v="11"/>
    <x v="165"/>
    <n v="-3.1432970975485801E-2"/>
  </r>
  <r>
    <s v="bra"/>
    <x v="7"/>
    <s v="monthly"/>
    <s v="vw_cap"/>
    <n v="11"/>
    <x v="166"/>
    <n v="-1.90754389283436E-2"/>
  </r>
  <r>
    <s v="bra"/>
    <x v="7"/>
    <s v="monthly"/>
    <s v="vw_cap"/>
    <n v="11"/>
    <x v="167"/>
    <n v="-3.0145904889056399E-2"/>
  </r>
  <r>
    <s v="bra"/>
    <x v="7"/>
    <s v="monthly"/>
    <s v="vw_cap"/>
    <n v="11"/>
    <x v="168"/>
    <n v="-6.8709723116424501E-3"/>
  </r>
  <r>
    <s v="bra"/>
    <x v="7"/>
    <s v="monthly"/>
    <s v="vw_cap"/>
    <n v="11"/>
    <x v="169"/>
    <n v="2.5649957134961699E-2"/>
  </r>
  <r>
    <s v="bra"/>
    <x v="7"/>
    <s v="monthly"/>
    <s v="vw_cap"/>
    <n v="11"/>
    <x v="170"/>
    <n v="-2.62495367662775E-2"/>
  </r>
  <r>
    <s v="bra"/>
    <x v="7"/>
    <s v="monthly"/>
    <s v="vw_cap"/>
    <n v="11"/>
    <x v="171"/>
    <n v="3.18883719641289E-2"/>
  </r>
  <r>
    <s v="bra"/>
    <x v="7"/>
    <s v="monthly"/>
    <s v="vw_cap"/>
    <n v="11"/>
    <x v="172"/>
    <n v="-3.52725978305857E-2"/>
  </r>
  <r>
    <s v="bra"/>
    <x v="7"/>
    <s v="monthly"/>
    <s v="vw_cap"/>
    <n v="11"/>
    <x v="173"/>
    <n v="2.1405118300071701E-2"/>
  </r>
  <r>
    <s v="bra"/>
    <x v="7"/>
    <s v="monthly"/>
    <s v="vw_cap"/>
    <n v="11"/>
    <x v="174"/>
    <n v="-1.0330143483290701E-3"/>
  </r>
  <r>
    <s v="bra"/>
    <x v="7"/>
    <s v="monthly"/>
    <s v="vw_cap"/>
    <n v="11"/>
    <x v="175"/>
    <n v="-1.6476688093198001E-2"/>
  </r>
  <r>
    <s v="bra"/>
    <x v="7"/>
    <s v="monthly"/>
    <s v="vw_cap"/>
    <n v="11"/>
    <x v="176"/>
    <n v="-9.7509850912556699E-3"/>
  </r>
  <r>
    <s v="bra"/>
    <x v="7"/>
    <s v="monthly"/>
    <s v="vw_cap"/>
    <n v="11"/>
    <x v="177"/>
    <n v="7.0299874283915702E-3"/>
  </r>
  <r>
    <s v="bra"/>
    <x v="7"/>
    <s v="monthly"/>
    <s v="vw_cap"/>
    <n v="11"/>
    <x v="178"/>
    <n v="1.47236181657719E-2"/>
  </r>
  <r>
    <s v="bra"/>
    <x v="7"/>
    <s v="monthly"/>
    <s v="vw_cap"/>
    <n v="11"/>
    <x v="179"/>
    <n v="-1.28809031805188E-2"/>
  </r>
  <r>
    <s v="bra"/>
    <x v="7"/>
    <s v="monthly"/>
    <s v="vw_cap"/>
    <n v="11"/>
    <x v="180"/>
    <n v="-4.1972716233943204E-3"/>
  </r>
  <r>
    <s v="bra"/>
    <x v="7"/>
    <s v="monthly"/>
    <s v="vw_cap"/>
    <n v="11"/>
    <x v="181"/>
    <n v="-3.3113537445633598E-2"/>
  </r>
  <r>
    <s v="bra"/>
    <x v="7"/>
    <s v="monthly"/>
    <s v="vw_cap"/>
    <n v="11"/>
    <x v="182"/>
    <n v="5.19334665733584E-3"/>
  </r>
  <r>
    <s v="bra"/>
    <x v="7"/>
    <s v="monthly"/>
    <s v="vw_cap"/>
    <n v="11"/>
    <x v="183"/>
    <n v="4.02848849216602E-2"/>
  </r>
  <r>
    <s v="bra"/>
    <x v="7"/>
    <s v="monthly"/>
    <s v="vw_cap"/>
    <n v="11"/>
    <x v="184"/>
    <n v="-6.35769229704108E-3"/>
  </r>
  <r>
    <s v="bra"/>
    <x v="7"/>
    <s v="monthly"/>
    <s v="vw_cap"/>
    <n v="11"/>
    <x v="185"/>
    <n v="2.7044162638182399E-2"/>
  </r>
  <r>
    <s v="bra"/>
    <x v="7"/>
    <s v="monthly"/>
    <s v="vw_cap"/>
    <n v="11"/>
    <x v="186"/>
    <n v="1.2948603254903299E-2"/>
  </r>
  <r>
    <s v="bra"/>
    <x v="7"/>
    <s v="monthly"/>
    <s v="vw_cap"/>
    <n v="11"/>
    <x v="187"/>
    <n v="-6.8763436400599903E-3"/>
  </r>
  <r>
    <s v="bra"/>
    <x v="7"/>
    <s v="monthly"/>
    <s v="vw_cap"/>
    <n v="11"/>
    <x v="188"/>
    <n v="-5.5798946567647202E-2"/>
  </r>
  <r>
    <s v="bra"/>
    <x v="7"/>
    <s v="monthly"/>
    <s v="vw_cap"/>
    <n v="11"/>
    <x v="189"/>
    <n v="-9.7875378666313108E-3"/>
  </r>
  <r>
    <s v="bra"/>
    <x v="7"/>
    <s v="monthly"/>
    <s v="vw_cap"/>
    <n v="11"/>
    <x v="190"/>
    <n v="-7.2482191523229301E-4"/>
  </r>
  <r>
    <s v="bra"/>
    <x v="7"/>
    <s v="monthly"/>
    <s v="vw_cap"/>
    <n v="11"/>
    <x v="191"/>
    <n v="3.7438275465969797E-2"/>
  </r>
  <r>
    <s v="bra"/>
    <x v="7"/>
    <s v="monthly"/>
    <s v="vw_cap"/>
    <n v="11"/>
    <x v="192"/>
    <n v="2.0587774324196399E-2"/>
  </r>
  <r>
    <s v="bra"/>
    <x v="7"/>
    <s v="monthly"/>
    <s v="vw_cap"/>
    <n v="11"/>
    <x v="193"/>
    <n v="-3.12288916947885E-3"/>
  </r>
  <r>
    <s v="bra"/>
    <x v="7"/>
    <s v="monthly"/>
    <s v="vw_cap"/>
    <n v="11"/>
    <x v="194"/>
    <n v="-6.5732729576927201E-3"/>
  </r>
  <r>
    <s v="bra"/>
    <x v="7"/>
    <s v="monthly"/>
    <s v="vw_cap"/>
    <n v="11"/>
    <x v="195"/>
    <n v="3.70865984830774E-3"/>
  </r>
  <r>
    <s v="bra"/>
    <x v="7"/>
    <s v="monthly"/>
    <s v="vw_cap"/>
    <n v="11"/>
    <x v="196"/>
    <n v="-2.2627008926012399E-2"/>
  </r>
  <r>
    <s v="bra"/>
    <x v="7"/>
    <s v="monthly"/>
    <s v="vw_cap"/>
    <n v="11"/>
    <x v="197"/>
    <n v="-1.04331354639045E-2"/>
  </r>
  <r>
    <s v="bra"/>
    <x v="7"/>
    <s v="monthly"/>
    <s v="vw_cap"/>
    <n v="11"/>
    <x v="198"/>
    <n v="-1.09045252094369E-2"/>
  </r>
  <r>
    <s v="bra"/>
    <x v="7"/>
    <s v="monthly"/>
    <s v="vw_cap"/>
    <n v="11"/>
    <x v="199"/>
    <n v="-8.9789711177082308E-3"/>
  </r>
  <r>
    <s v="bra"/>
    <x v="7"/>
    <s v="monthly"/>
    <s v="vw_cap"/>
    <n v="11"/>
    <x v="200"/>
    <n v="2.04846073717443E-2"/>
  </r>
  <r>
    <s v="bra"/>
    <x v="7"/>
    <s v="monthly"/>
    <s v="vw_cap"/>
    <n v="11"/>
    <x v="201"/>
    <n v="-9.5682579419294599E-3"/>
  </r>
  <r>
    <s v="bra"/>
    <x v="7"/>
    <s v="monthly"/>
    <s v="vw_cap"/>
    <n v="11"/>
    <x v="202"/>
    <n v="-6.2841539858243603E-2"/>
  </r>
  <r>
    <s v="bra"/>
    <x v="7"/>
    <s v="monthly"/>
    <s v="vw_cap"/>
    <n v="11"/>
    <x v="203"/>
    <n v="-1.1269083716121399E-2"/>
  </r>
  <r>
    <s v="bra"/>
    <x v="7"/>
    <s v="monthly"/>
    <s v="vw_cap"/>
    <n v="11"/>
    <x v="204"/>
    <n v="-9.1579414462106198E-3"/>
  </r>
  <r>
    <s v="bra"/>
    <x v="7"/>
    <s v="monthly"/>
    <s v="vw_cap"/>
    <n v="11"/>
    <x v="205"/>
    <n v="-8.9168686425175198E-3"/>
  </r>
  <r>
    <s v="bra"/>
    <x v="7"/>
    <s v="monthly"/>
    <s v="vw_cap"/>
    <n v="11"/>
    <x v="206"/>
    <n v="2.73088164655797E-3"/>
  </r>
  <r>
    <s v="bra"/>
    <x v="7"/>
    <s v="monthly"/>
    <s v="vw_cap"/>
    <n v="11"/>
    <x v="207"/>
    <n v="-1.3166912191039E-2"/>
  </r>
  <r>
    <s v="bra"/>
    <x v="7"/>
    <s v="monthly"/>
    <s v="vw_cap"/>
    <n v="11"/>
    <x v="208"/>
    <n v="-1.75354393006317E-2"/>
  </r>
  <r>
    <s v="bra"/>
    <x v="7"/>
    <s v="monthly"/>
    <s v="vw_cap"/>
    <n v="11"/>
    <x v="209"/>
    <n v="-6.58248841169079E-3"/>
  </r>
  <r>
    <s v="bra"/>
    <x v="7"/>
    <s v="monthly"/>
    <s v="vw_cap"/>
    <n v="11"/>
    <x v="210"/>
    <n v="-9.4906908269998501E-3"/>
  </r>
  <r>
    <s v="bra"/>
    <x v="7"/>
    <s v="monthly"/>
    <s v="vw_cap"/>
    <n v="11"/>
    <x v="211"/>
    <n v="-2.2427930837944799E-2"/>
  </r>
  <r>
    <s v="bra"/>
    <x v="7"/>
    <s v="monthly"/>
    <s v="vw_cap"/>
    <n v="11"/>
    <x v="212"/>
    <n v="-2.2428515292133099E-2"/>
  </r>
  <r>
    <s v="bra"/>
    <x v="7"/>
    <s v="monthly"/>
    <s v="vw_cap"/>
    <n v="11"/>
    <x v="213"/>
    <n v="-2.6683056561521402E-3"/>
  </r>
  <r>
    <s v="bra"/>
    <x v="7"/>
    <s v="monthly"/>
    <s v="vw_cap"/>
    <n v="11"/>
    <x v="214"/>
    <n v="-9.865254423976821E-4"/>
  </r>
  <r>
    <s v="bra"/>
    <x v="7"/>
    <s v="monthly"/>
    <s v="vw_cap"/>
    <n v="11"/>
    <x v="215"/>
    <n v="-6.78066037539441E-3"/>
  </r>
  <r>
    <s v="bra"/>
    <x v="7"/>
    <s v="monthly"/>
    <s v="vw_cap"/>
    <n v="11"/>
    <x v="216"/>
    <n v="-2.1649461116593001E-2"/>
  </r>
  <r>
    <s v="bra"/>
    <x v="7"/>
    <s v="monthly"/>
    <s v="vw_cap"/>
    <n v="11"/>
    <x v="217"/>
    <n v="-1.51316009178337E-2"/>
  </r>
  <r>
    <s v="bra"/>
    <x v="7"/>
    <s v="monthly"/>
    <s v="vw_cap"/>
    <n v="11"/>
    <x v="218"/>
    <n v="-2.3302788553193699E-3"/>
  </r>
  <r>
    <s v="bra"/>
    <x v="7"/>
    <s v="monthly"/>
    <s v="vw_cap"/>
    <n v="11"/>
    <x v="219"/>
    <n v="3.4879600073811703E-2"/>
  </r>
  <r>
    <s v="bra"/>
    <x v="7"/>
    <s v="monthly"/>
    <s v="vw_cap"/>
    <n v="11"/>
    <x v="220"/>
    <n v="-3.04994290032993E-2"/>
  </r>
  <r>
    <s v="bra"/>
    <x v="7"/>
    <s v="monthly"/>
    <s v="vw_cap"/>
    <n v="11"/>
    <x v="221"/>
    <n v="-7.9636533121383805E-3"/>
  </r>
  <r>
    <s v="bra"/>
    <x v="7"/>
    <s v="monthly"/>
    <s v="vw_cap"/>
    <n v="11"/>
    <x v="222"/>
    <n v="-2.7061344332060599E-2"/>
  </r>
  <r>
    <s v="bra"/>
    <x v="7"/>
    <s v="monthly"/>
    <s v="vw_cap"/>
    <n v="11"/>
    <x v="223"/>
    <n v="-2.2315122100448299E-2"/>
  </r>
  <r>
    <s v="bra"/>
    <x v="7"/>
    <s v="monthly"/>
    <s v="vw_cap"/>
    <n v="11"/>
    <x v="224"/>
    <n v="-1.78029332969366E-2"/>
  </r>
  <r>
    <s v="bra"/>
    <x v="7"/>
    <s v="monthly"/>
    <s v="vw_cap"/>
    <n v="11"/>
    <x v="225"/>
    <n v="1.6163575310716501E-2"/>
  </r>
  <r>
    <s v="bra"/>
    <x v="7"/>
    <s v="monthly"/>
    <s v="vw_cap"/>
    <n v="11"/>
    <x v="226"/>
    <n v="1.6932712311901001E-2"/>
  </r>
  <r>
    <s v="bra"/>
    <x v="7"/>
    <s v="monthly"/>
    <s v="vw_cap"/>
    <n v="11"/>
    <x v="227"/>
    <n v="7.6128830760375504E-3"/>
  </r>
  <r>
    <s v="bra"/>
    <x v="7"/>
    <s v="monthly"/>
    <s v="vw_cap"/>
    <n v="11"/>
    <x v="228"/>
    <n v="-1.0826875318194601E-2"/>
  </r>
  <r>
    <s v="bra"/>
    <x v="7"/>
    <s v="monthly"/>
    <s v="vw_cap"/>
    <n v="11"/>
    <x v="229"/>
    <n v="-5.6467698548614102E-2"/>
  </r>
  <r>
    <s v="bra"/>
    <x v="7"/>
    <s v="monthly"/>
    <s v="vw_cap"/>
    <n v="11"/>
    <x v="230"/>
    <n v="7.9145483494218894E-3"/>
  </r>
  <r>
    <s v="bra"/>
    <x v="7"/>
    <s v="monthly"/>
    <s v="vw_cap"/>
    <n v="11"/>
    <x v="231"/>
    <n v="1.9417427943354101E-2"/>
  </r>
  <r>
    <s v="bra"/>
    <x v="7"/>
    <s v="monthly"/>
    <s v="vw_cap"/>
    <n v="11"/>
    <x v="232"/>
    <n v="5.5516514805030198E-2"/>
  </r>
  <r>
    <s v="bra"/>
    <x v="7"/>
    <s v="monthly"/>
    <s v="vw_cap"/>
    <n v="11"/>
    <x v="233"/>
    <n v="-3.7136537465758302E-3"/>
  </r>
  <r>
    <s v="bra"/>
    <x v="7"/>
    <s v="monthly"/>
    <s v="vw_cap"/>
    <n v="11"/>
    <x v="234"/>
    <n v="-1.8911968867200101E-2"/>
  </r>
  <r>
    <s v="bra"/>
    <x v="7"/>
    <s v="monthly"/>
    <s v="vw_cap"/>
    <n v="11"/>
    <x v="235"/>
    <n v="1.5837429677505201E-2"/>
  </r>
  <r>
    <s v="bra"/>
    <x v="7"/>
    <s v="monthly"/>
    <s v="vw_cap"/>
    <n v="11"/>
    <x v="236"/>
    <n v="6.3769541099323E-3"/>
  </r>
  <r>
    <s v="bra"/>
    <x v="7"/>
    <s v="monthly"/>
    <s v="vw_cap"/>
    <n v="11"/>
    <x v="237"/>
    <n v="2.7209136297267501E-2"/>
  </r>
  <r>
    <s v="bra"/>
    <x v="7"/>
    <s v="monthly"/>
    <s v="vw_cap"/>
    <n v="11"/>
    <x v="238"/>
    <n v="5.63459552464501E-2"/>
  </r>
  <r>
    <s v="bra"/>
    <x v="7"/>
    <s v="monthly"/>
    <s v="vw_cap"/>
    <n v="11"/>
    <x v="239"/>
    <n v="2.17335924998085E-2"/>
  </r>
  <r>
    <s v="bra"/>
    <x v="7"/>
    <s v="monthly"/>
    <s v="vw_cap"/>
    <n v="11"/>
    <x v="240"/>
    <n v="3.4226347329151197E-2"/>
  </r>
  <r>
    <s v="bra"/>
    <x v="7"/>
    <s v="monthly"/>
    <s v="vw_cap"/>
    <n v="11"/>
    <x v="241"/>
    <n v="1.30771331893152E-2"/>
  </r>
  <r>
    <s v="bra"/>
    <x v="7"/>
    <s v="monthly"/>
    <s v="vw_cap"/>
    <n v="11"/>
    <x v="242"/>
    <n v="3.2671255489045502E-2"/>
  </r>
  <r>
    <s v="bra"/>
    <x v="7"/>
    <s v="monthly"/>
    <s v="vw_cap"/>
    <n v="11"/>
    <x v="243"/>
    <n v="6.6290214774064396E-3"/>
  </r>
  <r>
    <s v="bra"/>
    <x v="7"/>
    <s v="monthly"/>
    <s v="vw_cap"/>
    <n v="11"/>
    <x v="244"/>
    <n v="5.2183602152402503E-2"/>
  </r>
  <r>
    <s v="bra"/>
    <x v="7"/>
    <s v="monthly"/>
    <s v="vw_cap"/>
    <n v="11"/>
    <x v="245"/>
    <n v="5.5052745539388701E-2"/>
  </r>
  <r>
    <s v="bra"/>
    <x v="7"/>
    <s v="monthly"/>
    <s v="vw_cap"/>
    <n v="11"/>
    <x v="246"/>
    <n v="3.7644219193103998E-2"/>
  </r>
  <r>
    <s v="bra"/>
    <x v="7"/>
    <s v="monthly"/>
    <s v="vw_cap"/>
    <n v="11"/>
    <x v="247"/>
    <n v="-4.1274129495513401E-2"/>
  </r>
  <r>
    <s v="bra"/>
    <x v="7"/>
    <s v="monthly"/>
    <s v="vw_cap"/>
    <n v="11"/>
    <x v="248"/>
    <n v="-6.0934298113086503E-2"/>
  </r>
  <r>
    <s v="bra"/>
    <x v="7"/>
    <s v="monthly"/>
    <s v="vw_cap"/>
    <n v="11"/>
    <x v="249"/>
    <n v="1.88824167127957E-2"/>
  </r>
  <r>
    <s v="bra"/>
    <x v="7"/>
    <s v="monthly"/>
    <s v="vw_cap"/>
    <n v="11"/>
    <x v="250"/>
    <n v="2.08714414850939E-2"/>
  </r>
  <r>
    <s v="bra"/>
    <x v="7"/>
    <s v="monthly"/>
    <s v="vw_cap"/>
    <n v="11"/>
    <x v="251"/>
    <n v="8.7892735405427205E-2"/>
  </r>
  <r>
    <s v="bra"/>
    <x v="7"/>
    <s v="monthly"/>
    <s v="vw_cap"/>
    <n v="11"/>
    <x v="252"/>
    <n v="3.6973184050222402E-2"/>
  </r>
  <r>
    <s v="bra"/>
    <x v="7"/>
    <s v="monthly"/>
    <s v="vw_cap"/>
    <n v="11"/>
    <x v="253"/>
    <n v="-9.8111886282729495E-3"/>
  </r>
  <r>
    <s v="bra"/>
    <x v="7"/>
    <s v="monthly"/>
    <s v="vw_cap"/>
    <n v="11"/>
    <x v="254"/>
    <n v="1.9383022236984401E-2"/>
  </r>
  <r>
    <s v="bra"/>
    <x v="7"/>
    <s v="monthly"/>
    <s v="vw_cap"/>
    <n v="11"/>
    <x v="255"/>
    <n v="2.9912294925415799E-2"/>
  </r>
  <r>
    <s v="bra"/>
    <x v="7"/>
    <s v="monthly"/>
    <s v="vw_cap"/>
    <n v="11"/>
    <x v="256"/>
    <n v="-8.1042521723348002E-3"/>
  </r>
  <r>
    <s v="bra"/>
    <x v="7"/>
    <s v="monthly"/>
    <s v="vw_cap"/>
    <n v="11"/>
    <x v="257"/>
    <n v="-8.3043060517509107E-2"/>
  </r>
  <r>
    <s v="bra"/>
    <x v="7"/>
    <s v="monthly"/>
    <s v="vw_cap"/>
    <n v="11"/>
    <x v="258"/>
    <n v="-3.9982435809465103E-2"/>
  </r>
  <r>
    <s v="bra"/>
    <x v="7"/>
    <s v="monthly"/>
    <s v="vw_cap"/>
    <n v="11"/>
    <x v="259"/>
    <n v="7.4375674077940796E-5"/>
  </r>
  <r>
    <s v="bra"/>
    <x v="7"/>
    <s v="monthly"/>
    <s v="vw_cap"/>
    <n v="11"/>
    <x v="260"/>
    <n v="4.6623924390779198E-2"/>
  </r>
  <r>
    <s v="bra"/>
    <x v="7"/>
    <s v="monthly"/>
    <s v="vw_cap"/>
    <n v="11"/>
    <x v="261"/>
    <n v="2.60215005653857E-2"/>
  </r>
  <r>
    <s v="bra"/>
    <x v="7"/>
    <s v="monthly"/>
    <s v="vw_cap"/>
    <n v="11"/>
    <x v="262"/>
    <n v="4.4949721746731598E-2"/>
  </r>
  <r>
    <s v="bra"/>
    <x v="7"/>
    <s v="monthly"/>
    <s v="vw_cap"/>
    <n v="11"/>
    <x v="263"/>
    <n v="-6.3687034595957995E-2"/>
  </r>
  <r>
    <s v="bra"/>
    <x v="7"/>
    <s v="monthly"/>
    <s v="vw_cap"/>
    <n v="11"/>
    <x v="264"/>
    <n v="-7.9505336490447696E-4"/>
  </r>
  <r>
    <s v="bra"/>
    <x v="7"/>
    <s v="monthly"/>
    <s v="vw_cap"/>
    <n v="11"/>
    <x v="265"/>
    <n v="1.8393546520637599E-2"/>
  </r>
  <r>
    <s v="bra"/>
    <x v="7"/>
    <s v="monthly"/>
    <s v="vw_cap"/>
    <n v="11"/>
    <x v="266"/>
    <n v="-1.6056223792853901E-4"/>
  </r>
  <r>
    <s v="bra"/>
    <x v="7"/>
    <s v="monthly"/>
    <s v="vw_cap"/>
    <n v="11"/>
    <x v="267"/>
    <n v="-2.4387608002694999E-2"/>
  </r>
  <r>
    <s v="bra"/>
    <x v="7"/>
    <s v="monthly"/>
    <s v="vw_cap"/>
    <n v="11"/>
    <x v="268"/>
    <n v="2.4663991575722698E-2"/>
  </r>
  <r>
    <s v="bra"/>
    <x v="7"/>
    <s v="monthly"/>
    <s v="vw_cap"/>
    <n v="11"/>
    <x v="269"/>
    <n v="-2.7824734221703899E-2"/>
  </r>
  <r>
    <s v="bra"/>
    <x v="7"/>
    <s v="monthly"/>
    <s v="vw_cap"/>
    <n v="11"/>
    <x v="270"/>
    <n v="4.8351743932893198E-3"/>
  </r>
  <r>
    <s v="bra"/>
    <x v="7"/>
    <s v="monthly"/>
    <s v="vw_cap"/>
    <n v="11"/>
    <x v="271"/>
    <n v="2.5704216936123299E-2"/>
  </r>
  <r>
    <s v="bra"/>
    <x v="7"/>
    <s v="monthly"/>
    <s v="vw_cap"/>
    <n v="11"/>
    <x v="272"/>
    <n v="1.14794007806655E-2"/>
  </r>
  <r>
    <s v="bra"/>
    <x v="7"/>
    <s v="monthly"/>
    <s v="vw_cap"/>
    <n v="11"/>
    <x v="273"/>
    <n v="1.1178007052965001E-2"/>
  </r>
  <r>
    <s v="bra"/>
    <x v="7"/>
    <s v="monthly"/>
    <s v="vw_cap"/>
    <n v="11"/>
    <x v="274"/>
    <n v="-1.48791678688312E-2"/>
  </r>
  <r>
    <s v="bra"/>
    <x v="7"/>
    <s v="monthly"/>
    <s v="vw_cap"/>
    <n v="11"/>
    <x v="275"/>
    <n v="-5.4433569953060302E-3"/>
  </r>
  <r>
    <s v="bra"/>
    <x v="7"/>
    <s v="monthly"/>
    <s v="vw_cap"/>
    <n v="11"/>
    <x v="276"/>
    <n v="3.3932099989361003E-2"/>
  </r>
  <r>
    <s v="bra"/>
    <x v="7"/>
    <s v="monthly"/>
    <s v="vw_cap"/>
    <n v="11"/>
    <x v="277"/>
    <n v="-3.30624351203992E-3"/>
  </r>
  <r>
    <s v="bra"/>
    <x v="7"/>
    <s v="monthly"/>
    <s v="vw_cap"/>
    <n v="11"/>
    <x v="278"/>
    <n v="-2.7457076140599999E-3"/>
  </r>
  <r>
    <s v="bra"/>
    <x v="7"/>
    <s v="monthly"/>
    <s v="vw_cap"/>
    <n v="11"/>
    <x v="279"/>
    <n v="7.8739948530375196E-3"/>
  </r>
  <r>
    <s v="bra"/>
    <x v="7"/>
    <s v="monthly"/>
    <s v="vw_cap"/>
    <n v="11"/>
    <x v="280"/>
    <n v="-2.7248380900420002E-2"/>
  </r>
  <r>
    <s v="bra"/>
    <x v="7"/>
    <s v="monthly"/>
    <s v="vw_cap"/>
    <n v="11"/>
    <x v="281"/>
    <n v="-4.7444107127540602E-2"/>
  </r>
  <r>
    <s v="bra"/>
    <x v="7"/>
    <s v="monthly"/>
    <s v="vw_cap"/>
    <n v="11"/>
    <x v="282"/>
    <n v="1.18550722300639E-2"/>
  </r>
  <r>
    <s v="bra"/>
    <x v="7"/>
    <s v="monthly"/>
    <s v="vw_cap"/>
    <n v="11"/>
    <x v="283"/>
    <n v="-9.3250558829613191E-3"/>
  </r>
  <r>
    <s v="bra"/>
    <x v="7"/>
    <s v="monthly"/>
    <s v="vw_cap"/>
    <n v="11"/>
    <x v="284"/>
    <n v="-8.8408207288399198E-5"/>
  </r>
  <r>
    <s v="bra"/>
    <x v="7"/>
    <s v="monthly"/>
    <s v="vw_cap"/>
    <n v="11"/>
    <x v="285"/>
    <n v="9.1376925077899691E-3"/>
  </r>
  <r>
    <s v="bra"/>
    <x v="7"/>
    <s v="monthly"/>
    <s v="vw_cap"/>
    <n v="11"/>
    <x v="286"/>
    <n v="2.8271948891761298E-2"/>
  </r>
  <r>
    <s v="bra"/>
    <x v="7"/>
    <s v="monthly"/>
    <s v="vw_cap"/>
    <n v="11"/>
    <x v="287"/>
    <n v="1.3676545198568001E-2"/>
  </r>
  <r>
    <s v="bra"/>
    <x v="7"/>
    <s v="monthly"/>
    <s v="vw_cap"/>
    <n v="11"/>
    <x v="288"/>
    <n v="1.5337075477642299E-2"/>
  </r>
  <r>
    <s v="bra"/>
    <x v="8"/>
    <s v="monthly"/>
    <s v="vw_cap"/>
    <n v="1"/>
    <x v="313"/>
    <n v="-0.13409729102471599"/>
  </r>
  <r>
    <s v="bra"/>
    <x v="8"/>
    <s v="monthly"/>
    <s v="vw_cap"/>
    <n v="1"/>
    <x v="314"/>
    <n v="-6.9171202916846503E-2"/>
  </r>
  <r>
    <s v="bra"/>
    <x v="8"/>
    <s v="monthly"/>
    <s v="vw_cap"/>
    <n v="1"/>
    <x v="315"/>
    <n v="1.24260322609588E-2"/>
  </r>
  <r>
    <s v="bra"/>
    <x v="8"/>
    <s v="monthly"/>
    <s v="vw_cap"/>
    <n v="1"/>
    <x v="316"/>
    <n v="0.15655756204967999"/>
  </r>
  <r>
    <s v="bra"/>
    <x v="8"/>
    <s v="monthly"/>
    <s v="vw_cap"/>
    <n v="1"/>
    <x v="317"/>
    <n v="3.7350578779188598E-2"/>
  </r>
  <r>
    <s v="bra"/>
    <x v="8"/>
    <s v="monthly"/>
    <s v="vw_cap"/>
    <n v="1"/>
    <x v="318"/>
    <n v="7.9516732278059305E-5"/>
  </r>
  <r>
    <s v="bra"/>
    <x v="8"/>
    <s v="monthly"/>
    <s v="vw_cap"/>
    <n v="1"/>
    <x v="319"/>
    <n v="4.5764975912771497E-2"/>
  </r>
  <r>
    <s v="bra"/>
    <x v="8"/>
    <s v="monthly"/>
    <s v="vw_cap"/>
    <n v="1"/>
    <x v="320"/>
    <n v="-0.173262837981741"/>
  </r>
  <r>
    <s v="bra"/>
    <x v="8"/>
    <s v="monthly"/>
    <s v="vw_cap"/>
    <n v="1"/>
    <x v="321"/>
    <n v="-2.37113782666101E-2"/>
  </r>
  <r>
    <s v="bra"/>
    <x v="8"/>
    <s v="monthly"/>
    <s v="vw_cap"/>
    <n v="1"/>
    <x v="322"/>
    <n v="-3.8325660875053701E-2"/>
  </r>
  <r>
    <s v="bra"/>
    <x v="8"/>
    <s v="monthly"/>
    <s v="vw_cap"/>
    <n v="1"/>
    <x v="323"/>
    <n v="0.13592966420427499"/>
  </r>
  <r>
    <s v="bra"/>
    <x v="8"/>
    <s v="monthly"/>
    <s v="vw_cap"/>
    <n v="1"/>
    <x v="324"/>
    <n v="-3.8572022087325101E-3"/>
  </r>
  <r>
    <s v="bra"/>
    <x v="8"/>
    <s v="monthly"/>
    <s v="vw_cap"/>
    <n v="1"/>
    <x v="325"/>
    <n v="-3.9614722811279202E-2"/>
  </r>
  <r>
    <s v="bra"/>
    <x v="8"/>
    <s v="monthly"/>
    <s v="vw_cap"/>
    <n v="1"/>
    <x v="326"/>
    <n v="4.4039916618301998E-2"/>
  </r>
  <r>
    <s v="bra"/>
    <x v="8"/>
    <s v="monthly"/>
    <s v="vw_cap"/>
    <n v="1"/>
    <x v="327"/>
    <n v="5.4934876687881502E-2"/>
  </r>
  <r>
    <s v="bra"/>
    <x v="8"/>
    <s v="monthly"/>
    <s v="vw_cap"/>
    <n v="1"/>
    <x v="328"/>
    <n v="-5.2272919324052397E-2"/>
  </r>
  <r>
    <s v="bra"/>
    <x v="8"/>
    <s v="monthly"/>
    <s v="vw_cap"/>
    <n v="1"/>
    <x v="329"/>
    <n v="9.4687020733979194E-2"/>
  </r>
  <r>
    <s v="bra"/>
    <x v="8"/>
    <s v="monthly"/>
    <s v="vw_cap"/>
    <n v="1"/>
    <x v="330"/>
    <n v="-1.2198394239841201E-3"/>
  </r>
  <r>
    <s v="bra"/>
    <x v="8"/>
    <s v="monthly"/>
    <s v="vw_cap"/>
    <n v="1"/>
    <x v="331"/>
    <n v="-1.5969767923667898E-2"/>
  </r>
  <r>
    <s v="bra"/>
    <x v="8"/>
    <s v="monthly"/>
    <s v="vw_cap"/>
    <n v="1"/>
    <x v="332"/>
    <n v="6.9010851475688306E-2"/>
  </r>
  <r>
    <s v="bra"/>
    <x v="8"/>
    <s v="monthly"/>
    <s v="vw_cap"/>
    <n v="1"/>
    <x v="333"/>
    <n v="2.2257705113337401E-2"/>
  </r>
  <r>
    <s v="bra"/>
    <x v="8"/>
    <s v="monthly"/>
    <s v="vw_cap"/>
    <n v="1"/>
    <x v="334"/>
    <n v="0.26071014574884899"/>
  </r>
  <r>
    <s v="bra"/>
    <x v="8"/>
    <s v="monthly"/>
    <s v="vw_cap"/>
    <n v="1"/>
    <x v="335"/>
    <n v="-1.67852768231418E-2"/>
  </r>
  <r>
    <s v="bra"/>
    <x v="8"/>
    <s v="monthly"/>
    <s v="vw_cap"/>
    <n v="1"/>
    <x v="336"/>
    <n v="-2.4623122587345801E-2"/>
  </r>
  <r>
    <s v="bra"/>
    <x v="8"/>
    <s v="monthly"/>
    <s v="vw_cap"/>
    <n v="1"/>
    <x v="337"/>
    <n v="-8.0110396110787394E-2"/>
  </r>
  <r>
    <s v="bra"/>
    <x v="8"/>
    <s v="monthly"/>
    <s v="vw_cap"/>
    <n v="1"/>
    <x v="338"/>
    <n v="8.9237347768235005E-3"/>
  </r>
  <r>
    <s v="bra"/>
    <x v="8"/>
    <s v="monthly"/>
    <s v="vw_cap"/>
    <n v="1"/>
    <x v="339"/>
    <n v="-8.54140914327799E-3"/>
  </r>
  <r>
    <s v="bra"/>
    <x v="8"/>
    <s v="monthly"/>
    <s v="vw_cap"/>
    <n v="1"/>
    <x v="340"/>
    <n v="7.4272976130477605E-2"/>
  </r>
  <r>
    <s v="bra"/>
    <x v="8"/>
    <s v="monthly"/>
    <s v="vw_cap"/>
    <n v="1"/>
    <x v="341"/>
    <n v="1.11389042982868E-2"/>
  </r>
  <r>
    <s v="bra"/>
    <x v="8"/>
    <s v="monthly"/>
    <s v="vw_cap"/>
    <n v="1"/>
    <x v="342"/>
    <n v="0.13565187895272901"/>
  </r>
  <r>
    <s v="bra"/>
    <x v="8"/>
    <s v="monthly"/>
    <s v="vw_cap"/>
    <n v="1"/>
    <x v="343"/>
    <n v="1.43509255441317E-2"/>
  </r>
  <r>
    <s v="bra"/>
    <x v="8"/>
    <s v="monthly"/>
    <s v="vw_cap"/>
    <n v="1"/>
    <x v="344"/>
    <n v="0.18252410687767001"/>
  </r>
  <r>
    <s v="bra"/>
    <x v="8"/>
    <s v="monthly"/>
    <s v="vw_cap"/>
    <n v="7"/>
    <x v="345"/>
    <n v="1.52592061483752E-2"/>
  </r>
  <r>
    <s v="bra"/>
    <x v="8"/>
    <s v="monthly"/>
    <s v="vw_cap"/>
    <n v="4"/>
    <x v="346"/>
    <n v="-3.5368360220598603E-2"/>
  </r>
  <r>
    <s v="bra"/>
    <x v="8"/>
    <s v="monthly"/>
    <s v="vw_cap"/>
    <n v="4"/>
    <x v="347"/>
    <n v="-1.0579070427704999E-2"/>
  </r>
  <r>
    <s v="bra"/>
    <x v="8"/>
    <s v="monthly"/>
    <s v="vw_cap"/>
    <n v="4"/>
    <x v="348"/>
    <n v="-4.4453869678948901E-3"/>
  </r>
  <r>
    <s v="bra"/>
    <x v="8"/>
    <s v="monthly"/>
    <s v="vw_cap"/>
    <n v="7"/>
    <x v="349"/>
    <n v="1.6958352592037301E-2"/>
  </r>
  <r>
    <s v="bra"/>
    <x v="8"/>
    <s v="monthly"/>
    <s v="vw_cap"/>
    <n v="7"/>
    <x v="350"/>
    <n v="5.8598798300192503E-2"/>
  </r>
  <r>
    <s v="bra"/>
    <x v="8"/>
    <s v="monthly"/>
    <s v="vw_cap"/>
    <n v="7"/>
    <x v="351"/>
    <n v="-0.120876300774181"/>
  </r>
  <r>
    <s v="bra"/>
    <x v="8"/>
    <s v="monthly"/>
    <s v="vw_cap"/>
    <n v="7"/>
    <x v="352"/>
    <n v="2.7281139298800101E-3"/>
  </r>
  <r>
    <s v="bra"/>
    <x v="8"/>
    <s v="monthly"/>
    <s v="vw_cap"/>
    <n v="7"/>
    <x v="353"/>
    <n v="5.7524111559738501E-2"/>
  </r>
  <r>
    <s v="bra"/>
    <x v="8"/>
    <s v="monthly"/>
    <s v="vw_cap"/>
    <n v="7"/>
    <x v="354"/>
    <n v="-3.7449298400989699E-2"/>
  </r>
  <r>
    <s v="bra"/>
    <x v="8"/>
    <s v="monthly"/>
    <s v="vw_cap"/>
    <n v="7"/>
    <x v="355"/>
    <n v="-5.3047238472256598E-2"/>
  </r>
  <r>
    <s v="bra"/>
    <x v="8"/>
    <s v="monthly"/>
    <s v="vw_cap"/>
    <n v="7"/>
    <x v="356"/>
    <n v="-2.61292474891647E-2"/>
  </r>
  <r>
    <s v="bra"/>
    <x v="8"/>
    <s v="monthly"/>
    <s v="vw_cap"/>
    <n v="12"/>
    <x v="0"/>
    <n v="6.1338045943603099E-2"/>
  </r>
  <r>
    <s v="bra"/>
    <x v="8"/>
    <s v="monthly"/>
    <s v="vw_cap"/>
    <n v="12"/>
    <x v="1"/>
    <n v="0.27716459651520098"/>
  </r>
  <r>
    <s v="bra"/>
    <x v="8"/>
    <s v="monthly"/>
    <s v="vw_cap"/>
    <n v="8"/>
    <x v="289"/>
    <n v="4.8517544941385798E-2"/>
  </r>
  <r>
    <s v="bra"/>
    <x v="8"/>
    <s v="monthly"/>
    <s v="vw_cap"/>
    <n v="8"/>
    <x v="290"/>
    <n v="-8.5659930150779797E-3"/>
  </r>
  <r>
    <s v="bra"/>
    <x v="8"/>
    <s v="monthly"/>
    <s v="vw_cap"/>
    <n v="8"/>
    <x v="291"/>
    <n v="4.3563413345292297E-2"/>
  </r>
  <r>
    <s v="bra"/>
    <x v="8"/>
    <s v="monthly"/>
    <s v="vw_cap"/>
    <n v="8"/>
    <x v="292"/>
    <n v="-3.6780939961233002E-2"/>
  </r>
  <r>
    <s v="bra"/>
    <x v="8"/>
    <s v="monthly"/>
    <s v="vw_cap"/>
    <n v="8"/>
    <x v="293"/>
    <n v="-0.153028776996431"/>
  </r>
  <r>
    <s v="bra"/>
    <x v="8"/>
    <s v="monthly"/>
    <s v="vw_cap"/>
    <n v="12"/>
    <x v="2"/>
    <n v="-0.10235926468357801"/>
  </r>
  <r>
    <s v="bra"/>
    <x v="8"/>
    <s v="monthly"/>
    <s v="vw_cap"/>
    <n v="12"/>
    <x v="3"/>
    <n v="0.17797993089064101"/>
  </r>
  <r>
    <s v="bra"/>
    <x v="8"/>
    <s v="monthly"/>
    <s v="vw_cap"/>
    <n v="4"/>
    <x v="357"/>
    <n v="0.10967151733229701"/>
  </r>
  <r>
    <s v="bra"/>
    <x v="8"/>
    <s v="monthly"/>
    <s v="vw_cap"/>
    <n v="6"/>
    <x v="358"/>
    <n v="-0.36373963852170699"/>
  </r>
  <r>
    <s v="bra"/>
    <x v="8"/>
    <s v="monthly"/>
    <s v="vw_cap"/>
    <n v="6"/>
    <x v="359"/>
    <n v="-0.18022715639647499"/>
  </r>
  <r>
    <s v="bra"/>
    <x v="8"/>
    <s v="monthly"/>
    <s v="vw_cap"/>
    <n v="10"/>
    <x v="4"/>
    <n v="4.1334496971501796E-3"/>
  </r>
  <r>
    <s v="bra"/>
    <x v="8"/>
    <s v="monthly"/>
    <s v="vw_cap"/>
    <n v="10"/>
    <x v="5"/>
    <n v="-1.71231359971553E-2"/>
  </r>
  <r>
    <s v="bra"/>
    <x v="8"/>
    <s v="monthly"/>
    <s v="vw_cap"/>
    <n v="10"/>
    <x v="6"/>
    <n v="1.08984139657515E-2"/>
  </r>
  <r>
    <s v="bra"/>
    <x v="8"/>
    <s v="monthly"/>
    <s v="vw_cap"/>
    <n v="10"/>
    <x v="7"/>
    <n v="-5.5357967341657002E-2"/>
  </r>
  <r>
    <s v="bra"/>
    <x v="8"/>
    <s v="monthly"/>
    <s v="vw_cap"/>
    <n v="10"/>
    <x v="8"/>
    <n v="-1.8551695936307601E-2"/>
  </r>
  <r>
    <s v="bra"/>
    <x v="8"/>
    <s v="monthly"/>
    <s v="vw_cap"/>
    <n v="10"/>
    <x v="9"/>
    <n v="-5.8622177814710998E-2"/>
  </r>
  <r>
    <s v="bra"/>
    <x v="8"/>
    <s v="monthly"/>
    <s v="vw_cap"/>
    <n v="7"/>
    <x v="294"/>
    <n v="1.22106542912731E-3"/>
  </r>
  <r>
    <s v="bra"/>
    <x v="8"/>
    <s v="monthly"/>
    <s v="vw_cap"/>
    <n v="12"/>
    <x v="10"/>
    <n v="-8.9743325524098902E-2"/>
  </r>
  <r>
    <s v="bra"/>
    <x v="8"/>
    <s v="monthly"/>
    <s v="vw_cap"/>
    <n v="12"/>
    <x v="11"/>
    <n v="-3.4460320985602602E-2"/>
  </r>
  <r>
    <s v="bra"/>
    <x v="8"/>
    <s v="monthly"/>
    <s v="vw_cap"/>
    <n v="12"/>
    <x v="12"/>
    <n v="-2.86824694003615E-2"/>
  </r>
  <r>
    <s v="bra"/>
    <x v="8"/>
    <s v="monthly"/>
    <s v="vw_cap"/>
    <n v="12"/>
    <x v="13"/>
    <n v="3.2657421963960397E-2"/>
  </r>
  <r>
    <s v="bra"/>
    <x v="8"/>
    <s v="monthly"/>
    <s v="vw_cap"/>
    <n v="12"/>
    <x v="14"/>
    <n v="6.7885056380652301E-2"/>
  </r>
  <r>
    <s v="bra"/>
    <x v="8"/>
    <s v="monthly"/>
    <s v="vw_cap"/>
    <n v="10"/>
    <x v="15"/>
    <n v="-6.3276913122058895E-2"/>
  </r>
  <r>
    <s v="bra"/>
    <x v="8"/>
    <s v="monthly"/>
    <s v="vw_cap"/>
    <n v="10"/>
    <x v="16"/>
    <n v="6.8952580682391795E-2"/>
  </r>
  <r>
    <s v="bra"/>
    <x v="8"/>
    <s v="monthly"/>
    <s v="vw_cap"/>
    <n v="10"/>
    <x v="17"/>
    <n v="-0.107573835044914"/>
  </r>
  <r>
    <s v="bra"/>
    <x v="8"/>
    <s v="monthly"/>
    <s v="vw_cap"/>
    <n v="10"/>
    <x v="18"/>
    <n v="-1.81695132570991E-3"/>
  </r>
  <r>
    <s v="bra"/>
    <x v="8"/>
    <s v="monthly"/>
    <s v="vw_cap"/>
    <n v="10"/>
    <x v="19"/>
    <n v="-2.5209552084026601E-2"/>
  </r>
  <r>
    <s v="bra"/>
    <x v="8"/>
    <s v="monthly"/>
    <s v="vw_cap"/>
    <n v="12"/>
    <x v="20"/>
    <n v="5.7961702910177597E-2"/>
  </r>
  <r>
    <s v="bra"/>
    <x v="8"/>
    <s v="monthly"/>
    <s v="vw_cap"/>
    <n v="10"/>
    <x v="21"/>
    <n v="-1.9197856419672098E-2"/>
  </r>
  <r>
    <s v="bra"/>
    <x v="8"/>
    <s v="monthly"/>
    <s v="vw_cap"/>
    <n v="13"/>
    <x v="22"/>
    <n v="1.67359194162237E-2"/>
  </r>
  <r>
    <s v="bra"/>
    <x v="8"/>
    <s v="monthly"/>
    <s v="vw_cap"/>
    <n v="13"/>
    <x v="23"/>
    <n v="5.27743684019353E-2"/>
  </r>
  <r>
    <s v="bra"/>
    <x v="8"/>
    <s v="monthly"/>
    <s v="vw_cap"/>
    <n v="13"/>
    <x v="24"/>
    <n v="1.43552718365948E-2"/>
  </r>
  <r>
    <s v="bra"/>
    <x v="8"/>
    <s v="monthly"/>
    <s v="vw_cap"/>
    <n v="13"/>
    <x v="25"/>
    <n v="6.2518791781998803E-2"/>
  </r>
  <r>
    <s v="bra"/>
    <x v="8"/>
    <s v="monthly"/>
    <s v="vw_cap"/>
    <n v="10"/>
    <x v="26"/>
    <n v="5.5973163609290701E-2"/>
  </r>
  <r>
    <s v="bra"/>
    <x v="8"/>
    <s v="monthly"/>
    <s v="vw_cap"/>
    <n v="13"/>
    <x v="27"/>
    <n v="8.85185209726949E-2"/>
  </r>
  <r>
    <s v="bra"/>
    <x v="8"/>
    <s v="monthly"/>
    <s v="vw_cap"/>
    <n v="7"/>
    <x v="295"/>
    <n v="-5.4379610156872503E-2"/>
  </r>
  <r>
    <s v="bra"/>
    <x v="8"/>
    <s v="monthly"/>
    <s v="vw_cap"/>
    <n v="7"/>
    <x v="296"/>
    <n v="-2.6734997636540199E-2"/>
  </r>
  <r>
    <s v="bra"/>
    <x v="8"/>
    <s v="monthly"/>
    <s v="vw_cap"/>
    <n v="7"/>
    <x v="297"/>
    <n v="-3.1647860178388297E-2"/>
  </r>
  <r>
    <s v="bra"/>
    <x v="8"/>
    <s v="monthly"/>
    <s v="vw_cap"/>
    <n v="7"/>
    <x v="298"/>
    <n v="-2.3788586896273299E-2"/>
  </r>
  <r>
    <s v="bra"/>
    <x v="8"/>
    <s v="monthly"/>
    <s v="vw_cap"/>
    <n v="1"/>
    <x v="360"/>
    <n v="-2.2377506640302799E-2"/>
  </r>
  <r>
    <s v="bra"/>
    <x v="8"/>
    <s v="monthly"/>
    <s v="vw_cap"/>
    <n v="1"/>
    <x v="361"/>
    <n v="-0.12016536972620701"/>
  </r>
  <r>
    <s v="bra"/>
    <x v="8"/>
    <s v="monthly"/>
    <s v="vw_cap"/>
    <n v="1"/>
    <x v="362"/>
    <n v="0.102775111043096"/>
  </r>
  <r>
    <s v="bra"/>
    <x v="8"/>
    <s v="monthly"/>
    <s v="vw_cap"/>
    <n v="7"/>
    <x v="299"/>
    <n v="3.3178634862612397E-2"/>
  </r>
  <r>
    <s v="bra"/>
    <x v="8"/>
    <s v="monthly"/>
    <s v="vw_cap"/>
    <n v="7"/>
    <x v="300"/>
    <n v="-1.34247147548911E-2"/>
  </r>
  <r>
    <s v="bra"/>
    <x v="8"/>
    <s v="monthly"/>
    <s v="vw_cap"/>
    <n v="7"/>
    <x v="301"/>
    <n v="-1.1730928127901699E-2"/>
  </r>
  <r>
    <s v="bra"/>
    <x v="8"/>
    <s v="monthly"/>
    <s v="vw_cap"/>
    <n v="7"/>
    <x v="302"/>
    <n v="-1.9389204061696599E-2"/>
  </r>
  <r>
    <s v="bra"/>
    <x v="8"/>
    <s v="monthly"/>
    <s v="vw_cap"/>
    <n v="7"/>
    <x v="303"/>
    <n v="1.9722135724015599E-2"/>
  </r>
  <r>
    <s v="bra"/>
    <x v="8"/>
    <s v="monthly"/>
    <s v="vw_cap"/>
    <n v="7"/>
    <x v="304"/>
    <n v="0.113525441374102"/>
  </r>
  <r>
    <s v="bra"/>
    <x v="8"/>
    <s v="monthly"/>
    <s v="vw_cap"/>
    <n v="5"/>
    <x v="363"/>
    <n v="3.1767179360699199E-2"/>
  </r>
  <r>
    <s v="bra"/>
    <x v="8"/>
    <s v="monthly"/>
    <s v="vw_cap"/>
    <n v="1"/>
    <x v="364"/>
    <n v="-5.2182416208867898E-2"/>
  </r>
  <r>
    <s v="bra"/>
    <x v="8"/>
    <s v="monthly"/>
    <s v="vw_cap"/>
    <n v="5"/>
    <x v="365"/>
    <n v="7.2518487194050907E-2"/>
  </r>
  <r>
    <s v="bra"/>
    <x v="8"/>
    <s v="monthly"/>
    <s v="vw_cap"/>
    <n v="1"/>
    <x v="366"/>
    <n v="0.111061382989378"/>
  </r>
  <r>
    <s v="bra"/>
    <x v="8"/>
    <s v="monthly"/>
    <s v="vw_cap"/>
    <n v="1"/>
    <x v="367"/>
    <n v="7.95681819344424E-2"/>
  </r>
  <r>
    <s v="bra"/>
    <x v="8"/>
    <s v="monthly"/>
    <s v="vw_cap"/>
    <n v="1"/>
    <x v="368"/>
    <n v="0.119669264414658"/>
  </r>
  <r>
    <s v="bra"/>
    <x v="8"/>
    <s v="monthly"/>
    <s v="vw_cap"/>
    <n v="1"/>
    <x v="369"/>
    <n v="-1.8931729437419299E-3"/>
  </r>
  <r>
    <s v="bra"/>
    <x v="8"/>
    <s v="monthly"/>
    <s v="vw_cap"/>
    <n v="1"/>
    <x v="370"/>
    <n v="2.8252089796230801E-2"/>
  </r>
  <r>
    <s v="bra"/>
    <x v="8"/>
    <s v="monthly"/>
    <s v="vw_cap"/>
    <n v="1"/>
    <x v="371"/>
    <n v="6.9295108435649497E-2"/>
  </r>
  <r>
    <s v="bra"/>
    <x v="8"/>
    <s v="monthly"/>
    <s v="vw_cap"/>
    <n v="1"/>
    <x v="372"/>
    <n v="-0.27244777754441601"/>
  </r>
  <r>
    <s v="bra"/>
    <x v="8"/>
    <s v="monthly"/>
    <s v="vw_cap"/>
    <n v="1"/>
    <x v="373"/>
    <n v="3.9311150849002897E-3"/>
  </r>
  <r>
    <s v="bra"/>
    <x v="8"/>
    <s v="monthly"/>
    <s v="vw_cap"/>
    <n v="1"/>
    <x v="374"/>
    <n v="0.135267969433053"/>
  </r>
  <r>
    <s v="bra"/>
    <x v="8"/>
    <s v="monthly"/>
    <s v="vw_cap"/>
    <n v="1"/>
    <x v="375"/>
    <n v="3.8372335973039802E-2"/>
  </r>
  <r>
    <s v="bra"/>
    <x v="8"/>
    <s v="monthly"/>
    <s v="vw_cap"/>
    <n v="1"/>
    <x v="376"/>
    <n v="2.13539807810622E-4"/>
  </r>
  <r>
    <s v="bra"/>
    <x v="8"/>
    <s v="monthly"/>
    <s v="vw_cap"/>
    <n v="7"/>
    <x v="305"/>
    <n v="-3.5022494203014398E-2"/>
  </r>
  <r>
    <s v="bra"/>
    <x v="8"/>
    <s v="monthly"/>
    <s v="vw_cap"/>
    <n v="7"/>
    <x v="306"/>
    <n v="2.2989560206046498E-2"/>
  </r>
  <r>
    <s v="bra"/>
    <x v="8"/>
    <s v="monthly"/>
    <s v="vw_cap"/>
    <n v="7"/>
    <x v="307"/>
    <n v="-2.3288371563178398E-2"/>
  </r>
  <r>
    <s v="bra"/>
    <x v="8"/>
    <s v="monthly"/>
    <s v="vw_cap"/>
    <n v="10"/>
    <x v="28"/>
    <n v="-3.5207604437708803E-2"/>
  </r>
  <r>
    <s v="bra"/>
    <x v="8"/>
    <s v="monthly"/>
    <s v="vw_cap"/>
    <n v="7"/>
    <x v="308"/>
    <n v="-3.1546504831631302E-2"/>
  </r>
  <r>
    <s v="bra"/>
    <x v="8"/>
    <s v="monthly"/>
    <s v="vw_cap"/>
    <n v="7"/>
    <x v="309"/>
    <n v="4.5387205131878897E-2"/>
  </r>
  <r>
    <s v="bra"/>
    <x v="8"/>
    <s v="monthly"/>
    <s v="vw_cap"/>
    <n v="7"/>
    <x v="310"/>
    <n v="-2.9552719295364599E-2"/>
  </r>
  <r>
    <s v="bra"/>
    <x v="8"/>
    <s v="monthly"/>
    <s v="vw_cap"/>
    <n v="7"/>
    <x v="311"/>
    <n v="-1.9674510446988001E-2"/>
  </r>
  <r>
    <s v="bra"/>
    <x v="8"/>
    <s v="monthly"/>
    <s v="vw_cap"/>
    <n v="15"/>
    <x v="29"/>
    <n v="7.4641313932661296E-2"/>
  </r>
  <r>
    <s v="bra"/>
    <x v="8"/>
    <s v="monthly"/>
    <s v="vw_cap"/>
    <n v="12"/>
    <x v="30"/>
    <n v="2.79585506187447E-2"/>
  </r>
  <r>
    <s v="bra"/>
    <x v="8"/>
    <s v="monthly"/>
    <s v="vw_cap"/>
    <n v="12"/>
    <x v="31"/>
    <n v="1.3612508342977E-2"/>
  </r>
  <r>
    <s v="bra"/>
    <x v="8"/>
    <s v="monthly"/>
    <s v="vw_cap"/>
    <n v="13"/>
    <x v="32"/>
    <n v="-1.3408262240512701E-2"/>
  </r>
  <r>
    <s v="bra"/>
    <x v="8"/>
    <s v="monthly"/>
    <s v="vw_cap"/>
    <n v="15"/>
    <x v="33"/>
    <n v="4.1138758708375203E-2"/>
  </r>
  <r>
    <s v="bra"/>
    <x v="8"/>
    <s v="monthly"/>
    <s v="vw_cap"/>
    <n v="15"/>
    <x v="34"/>
    <n v="1.63089569292911E-3"/>
  </r>
  <r>
    <s v="bra"/>
    <x v="8"/>
    <s v="monthly"/>
    <s v="vw_cap"/>
    <n v="16"/>
    <x v="35"/>
    <n v="-1.90693180902528E-2"/>
  </r>
  <r>
    <s v="bra"/>
    <x v="8"/>
    <s v="monthly"/>
    <s v="vw_cap"/>
    <n v="16"/>
    <x v="36"/>
    <n v="2.48401982865918E-2"/>
  </r>
  <r>
    <s v="bra"/>
    <x v="8"/>
    <s v="monthly"/>
    <s v="vw_cap"/>
    <n v="16"/>
    <x v="37"/>
    <n v="-4.5079561881523199E-2"/>
  </r>
  <r>
    <s v="bra"/>
    <x v="8"/>
    <s v="monthly"/>
    <s v="vw_cap"/>
    <n v="16"/>
    <x v="38"/>
    <n v="2.8961139546606299E-2"/>
  </r>
  <r>
    <s v="bra"/>
    <x v="8"/>
    <s v="monthly"/>
    <s v="vw_cap"/>
    <n v="16"/>
    <x v="39"/>
    <n v="-1.0929724455452599E-2"/>
  </r>
  <r>
    <s v="bra"/>
    <x v="8"/>
    <s v="monthly"/>
    <s v="vw_cap"/>
    <n v="16"/>
    <x v="40"/>
    <n v="6.7298135531367702E-3"/>
  </r>
  <r>
    <s v="bra"/>
    <x v="8"/>
    <s v="monthly"/>
    <s v="vw_cap"/>
    <n v="16"/>
    <x v="41"/>
    <n v="-3.7828337776707098E-2"/>
  </r>
  <r>
    <s v="bra"/>
    <x v="8"/>
    <s v="monthly"/>
    <s v="vw_cap"/>
    <n v="16"/>
    <x v="42"/>
    <n v="-2.08848859634727E-2"/>
  </r>
  <r>
    <s v="bra"/>
    <x v="8"/>
    <s v="monthly"/>
    <s v="vw_cap"/>
    <n v="16"/>
    <x v="43"/>
    <n v="4.0069792514314598E-3"/>
  </r>
  <r>
    <s v="bra"/>
    <x v="8"/>
    <s v="monthly"/>
    <s v="vw_cap"/>
    <n v="16"/>
    <x v="44"/>
    <n v="-5.8535244110731001E-2"/>
  </r>
  <r>
    <s v="bra"/>
    <x v="8"/>
    <s v="monthly"/>
    <s v="vw_cap"/>
    <n v="16"/>
    <x v="45"/>
    <n v="-5.8508515544354297E-4"/>
  </r>
  <r>
    <s v="bra"/>
    <x v="8"/>
    <s v="monthly"/>
    <s v="vw_cap"/>
    <n v="16"/>
    <x v="46"/>
    <n v="8.4883479442771793E-3"/>
  </r>
  <r>
    <s v="bra"/>
    <x v="8"/>
    <s v="monthly"/>
    <s v="vw_cap"/>
    <n v="16"/>
    <x v="47"/>
    <n v="7.2412345668619704E-2"/>
  </r>
  <r>
    <s v="bra"/>
    <x v="8"/>
    <s v="monthly"/>
    <s v="vw_cap"/>
    <n v="16"/>
    <x v="48"/>
    <n v="2.77078933912938E-2"/>
  </r>
  <r>
    <s v="bra"/>
    <x v="8"/>
    <s v="monthly"/>
    <s v="vw_cap"/>
    <n v="16"/>
    <x v="49"/>
    <n v="-6.5982435948358301E-2"/>
  </r>
  <r>
    <s v="bra"/>
    <x v="8"/>
    <s v="monthly"/>
    <s v="vw_cap"/>
    <n v="16"/>
    <x v="50"/>
    <n v="3.0647576474665799E-3"/>
  </r>
  <r>
    <s v="bra"/>
    <x v="8"/>
    <s v="monthly"/>
    <s v="vw_cap"/>
    <n v="17"/>
    <x v="51"/>
    <n v="-5.9632541751161901E-3"/>
  </r>
  <r>
    <s v="bra"/>
    <x v="8"/>
    <s v="monthly"/>
    <s v="vw_cap"/>
    <n v="17"/>
    <x v="52"/>
    <n v="4.9747252846595001E-3"/>
  </r>
  <r>
    <s v="bra"/>
    <x v="8"/>
    <s v="monthly"/>
    <s v="vw_cap"/>
    <n v="17"/>
    <x v="53"/>
    <n v="-1.2878436787478799E-2"/>
  </r>
  <r>
    <s v="bra"/>
    <x v="8"/>
    <s v="monthly"/>
    <s v="vw_cap"/>
    <n v="17"/>
    <x v="54"/>
    <n v="1.9084333415258601E-3"/>
  </r>
  <r>
    <s v="bra"/>
    <x v="8"/>
    <s v="monthly"/>
    <s v="vw_cap"/>
    <n v="17"/>
    <x v="55"/>
    <n v="5.1541319849666298E-2"/>
  </r>
  <r>
    <s v="bra"/>
    <x v="8"/>
    <s v="monthly"/>
    <s v="vw_cap"/>
    <n v="17"/>
    <x v="56"/>
    <n v="8.1616588686743707E-3"/>
  </r>
  <r>
    <s v="bra"/>
    <x v="8"/>
    <s v="monthly"/>
    <s v="vw_cap"/>
    <n v="17"/>
    <x v="57"/>
    <n v="-1.4972440209800099E-2"/>
  </r>
  <r>
    <s v="bra"/>
    <x v="8"/>
    <s v="monthly"/>
    <s v="vw_cap"/>
    <n v="17"/>
    <x v="58"/>
    <n v="4.5903224738777703E-3"/>
  </r>
  <r>
    <s v="bra"/>
    <x v="8"/>
    <s v="monthly"/>
    <s v="vw_cap"/>
    <n v="17"/>
    <x v="59"/>
    <n v="3.5581899163044398E-2"/>
  </r>
  <r>
    <s v="bra"/>
    <x v="8"/>
    <s v="monthly"/>
    <s v="vw_cap"/>
    <n v="17"/>
    <x v="60"/>
    <n v="-8.3831938813132503E-6"/>
  </r>
  <r>
    <s v="bra"/>
    <x v="8"/>
    <s v="monthly"/>
    <s v="vw_cap"/>
    <n v="17"/>
    <x v="61"/>
    <n v="-2.029544469469E-3"/>
  </r>
  <r>
    <s v="bra"/>
    <x v="8"/>
    <s v="monthly"/>
    <s v="vw_cap"/>
    <n v="17"/>
    <x v="62"/>
    <n v="-5.0757695083891899E-2"/>
  </r>
  <r>
    <s v="bra"/>
    <x v="8"/>
    <s v="monthly"/>
    <s v="vw_cap"/>
    <n v="17"/>
    <x v="63"/>
    <n v="-7.3016055177640299E-4"/>
  </r>
  <r>
    <s v="bra"/>
    <x v="8"/>
    <s v="monthly"/>
    <s v="vw_cap"/>
    <n v="17"/>
    <x v="64"/>
    <n v="1.6966360571956898E-2"/>
  </r>
  <r>
    <s v="bra"/>
    <x v="8"/>
    <s v="monthly"/>
    <s v="vw_cap"/>
    <n v="17"/>
    <x v="65"/>
    <n v="-1.4823118809139601E-2"/>
  </r>
  <r>
    <s v="bra"/>
    <x v="8"/>
    <s v="monthly"/>
    <s v="vw_cap"/>
    <n v="17"/>
    <x v="66"/>
    <n v="3.43121675857007E-3"/>
  </r>
  <r>
    <s v="bra"/>
    <x v="8"/>
    <s v="monthly"/>
    <s v="vw_cap"/>
    <n v="17"/>
    <x v="67"/>
    <n v="-2.7444794450679402E-2"/>
  </r>
  <r>
    <s v="bra"/>
    <x v="8"/>
    <s v="monthly"/>
    <s v="vw_cap"/>
    <n v="17"/>
    <x v="68"/>
    <n v="-1.10535068125214E-2"/>
  </r>
  <r>
    <s v="bra"/>
    <x v="8"/>
    <s v="monthly"/>
    <s v="vw_cap"/>
    <n v="17"/>
    <x v="69"/>
    <n v="1.07178938728772E-3"/>
  </r>
  <r>
    <s v="bra"/>
    <x v="8"/>
    <s v="monthly"/>
    <s v="vw_cap"/>
    <n v="17"/>
    <x v="70"/>
    <n v="-2.4691199083238601E-2"/>
  </r>
  <r>
    <s v="bra"/>
    <x v="8"/>
    <s v="monthly"/>
    <s v="vw_cap"/>
    <n v="17"/>
    <x v="71"/>
    <n v="3.6182260045495101E-3"/>
  </r>
  <r>
    <s v="bra"/>
    <x v="8"/>
    <s v="monthly"/>
    <s v="vw_cap"/>
    <n v="17"/>
    <x v="72"/>
    <n v="-7.82549808967445E-2"/>
  </r>
  <r>
    <s v="bra"/>
    <x v="8"/>
    <s v="monthly"/>
    <s v="vw_cap"/>
    <n v="17"/>
    <x v="73"/>
    <n v="-6.5853849286365302E-3"/>
  </r>
  <r>
    <s v="bra"/>
    <x v="8"/>
    <s v="monthly"/>
    <s v="vw_cap"/>
    <n v="17"/>
    <x v="74"/>
    <n v="1.0144746379440999E-3"/>
  </r>
  <r>
    <s v="bra"/>
    <x v="8"/>
    <s v="monthly"/>
    <s v="vw_cap"/>
    <n v="17"/>
    <x v="75"/>
    <n v="1.0142281346702401E-2"/>
  </r>
  <r>
    <s v="bra"/>
    <x v="8"/>
    <s v="monthly"/>
    <s v="vw_cap"/>
    <n v="17"/>
    <x v="76"/>
    <n v="-1.11173354605142E-2"/>
  </r>
  <r>
    <s v="bra"/>
    <x v="8"/>
    <s v="monthly"/>
    <s v="vw_cap"/>
    <n v="17"/>
    <x v="77"/>
    <n v="-6.89116049641762E-3"/>
  </r>
  <r>
    <s v="bra"/>
    <x v="8"/>
    <s v="monthly"/>
    <s v="vw_cap"/>
    <n v="17"/>
    <x v="78"/>
    <n v="2.22182928941674E-2"/>
  </r>
  <r>
    <s v="bra"/>
    <x v="8"/>
    <s v="monthly"/>
    <s v="vw_cap"/>
    <n v="17"/>
    <x v="79"/>
    <n v="1.9450561205223298E-2"/>
  </r>
  <r>
    <s v="bra"/>
    <x v="8"/>
    <s v="monthly"/>
    <s v="vw_cap"/>
    <n v="17"/>
    <x v="80"/>
    <n v="4.0040322326852097E-2"/>
  </r>
  <r>
    <s v="bra"/>
    <x v="8"/>
    <s v="monthly"/>
    <s v="vw_cap"/>
    <n v="17"/>
    <x v="81"/>
    <n v="5.7767823033744399E-2"/>
  </r>
  <r>
    <s v="bra"/>
    <x v="8"/>
    <s v="monthly"/>
    <s v="vw_cap"/>
    <n v="17"/>
    <x v="82"/>
    <n v="5.87686154498826E-2"/>
  </r>
  <r>
    <s v="bra"/>
    <x v="8"/>
    <s v="monthly"/>
    <s v="vw_cap"/>
    <n v="17"/>
    <x v="83"/>
    <n v="-2.0688722825545E-2"/>
  </r>
  <r>
    <s v="bra"/>
    <x v="8"/>
    <s v="monthly"/>
    <s v="vw_cap"/>
    <n v="17"/>
    <x v="84"/>
    <n v="-2.4798143325648801E-2"/>
  </r>
  <r>
    <s v="bra"/>
    <x v="8"/>
    <s v="monthly"/>
    <s v="vw_cap"/>
    <n v="17"/>
    <x v="85"/>
    <n v="-2.20705665058676E-3"/>
  </r>
  <r>
    <s v="bra"/>
    <x v="8"/>
    <s v="monthly"/>
    <s v="vw_cap"/>
    <n v="17"/>
    <x v="86"/>
    <n v="2.5158336684049699E-2"/>
  </r>
  <r>
    <s v="bra"/>
    <x v="8"/>
    <s v="monthly"/>
    <s v="vw_cap"/>
    <n v="17"/>
    <x v="87"/>
    <n v="-3.8456643045741999E-2"/>
  </r>
  <r>
    <s v="bra"/>
    <x v="8"/>
    <s v="monthly"/>
    <s v="vw_cap"/>
    <n v="17"/>
    <x v="88"/>
    <n v="-5.2297825298922303E-2"/>
  </r>
  <r>
    <s v="bra"/>
    <x v="8"/>
    <s v="monthly"/>
    <s v="vw_cap"/>
    <n v="17"/>
    <x v="89"/>
    <n v="-2.1174135366349298E-2"/>
  </r>
  <r>
    <s v="bra"/>
    <x v="8"/>
    <s v="monthly"/>
    <s v="vw_cap"/>
    <n v="17"/>
    <x v="90"/>
    <n v="2.2291708969749399E-2"/>
  </r>
  <r>
    <s v="bra"/>
    <x v="8"/>
    <s v="monthly"/>
    <s v="vw_cap"/>
    <n v="17"/>
    <x v="91"/>
    <n v="-5.50316421117448E-2"/>
  </r>
  <r>
    <s v="bra"/>
    <x v="8"/>
    <s v="monthly"/>
    <s v="vw_cap"/>
    <n v="17"/>
    <x v="92"/>
    <n v="-8.3116406477656297E-3"/>
  </r>
  <r>
    <s v="bra"/>
    <x v="8"/>
    <s v="monthly"/>
    <s v="vw_cap"/>
    <n v="17"/>
    <x v="93"/>
    <n v="-1.2283227812218E-2"/>
  </r>
  <r>
    <s v="bra"/>
    <x v="8"/>
    <s v="monthly"/>
    <s v="vw_cap"/>
    <n v="17"/>
    <x v="94"/>
    <n v="1.3217328996791599E-2"/>
  </r>
  <r>
    <s v="bra"/>
    <x v="8"/>
    <s v="monthly"/>
    <s v="vw_cap"/>
    <n v="17"/>
    <x v="95"/>
    <n v="-2.46373942303343E-2"/>
  </r>
  <r>
    <s v="bra"/>
    <x v="8"/>
    <s v="monthly"/>
    <s v="vw_cap"/>
    <n v="17"/>
    <x v="96"/>
    <n v="-2.98690685653271E-2"/>
  </r>
  <r>
    <s v="bra"/>
    <x v="8"/>
    <s v="monthly"/>
    <s v="vw_cap"/>
    <n v="17"/>
    <x v="97"/>
    <n v="-8.8026430950104498E-3"/>
  </r>
  <r>
    <s v="bra"/>
    <x v="8"/>
    <s v="monthly"/>
    <s v="vw_cap"/>
    <n v="17"/>
    <x v="98"/>
    <n v="-6.4847411991957897E-3"/>
  </r>
  <r>
    <s v="bra"/>
    <x v="8"/>
    <s v="monthly"/>
    <s v="vw_cap"/>
    <n v="17"/>
    <x v="99"/>
    <n v="2.9488157743927702E-2"/>
  </r>
  <r>
    <s v="bra"/>
    <x v="8"/>
    <s v="monthly"/>
    <s v="vw_cap"/>
    <n v="17"/>
    <x v="100"/>
    <n v="3.17957789244964E-2"/>
  </r>
  <r>
    <s v="bra"/>
    <x v="8"/>
    <s v="monthly"/>
    <s v="vw_cap"/>
    <n v="17"/>
    <x v="101"/>
    <n v="3.1197069127549298E-2"/>
  </r>
  <r>
    <s v="bra"/>
    <x v="8"/>
    <s v="monthly"/>
    <s v="vw_cap"/>
    <n v="17"/>
    <x v="102"/>
    <n v="4.6196395500782597E-2"/>
  </r>
  <r>
    <s v="bra"/>
    <x v="8"/>
    <s v="monthly"/>
    <s v="vw_cap"/>
    <n v="17"/>
    <x v="103"/>
    <n v="-4.4536480069680999E-3"/>
  </r>
  <r>
    <s v="bra"/>
    <x v="8"/>
    <s v="monthly"/>
    <s v="vw_cap"/>
    <n v="17"/>
    <x v="104"/>
    <n v="-2.9945835808186899E-3"/>
  </r>
  <r>
    <s v="bra"/>
    <x v="8"/>
    <s v="monthly"/>
    <s v="vw_cap"/>
    <n v="17"/>
    <x v="105"/>
    <n v="-4.1883757814538099E-3"/>
  </r>
  <r>
    <s v="bra"/>
    <x v="8"/>
    <s v="monthly"/>
    <s v="vw_cap"/>
    <n v="17"/>
    <x v="106"/>
    <n v="3.5329663226191702E-2"/>
  </r>
  <r>
    <s v="bra"/>
    <x v="8"/>
    <s v="monthly"/>
    <s v="vw_cap"/>
    <n v="17"/>
    <x v="107"/>
    <n v="3.5242423375974698E-2"/>
  </r>
  <r>
    <s v="bra"/>
    <x v="8"/>
    <s v="monthly"/>
    <s v="vw_cap"/>
    <n v="17"/>
    <x v="108"/>
    <n v="2.2983911215215601E-3"/>
  </r>
  <r>
    <s v="bra"/>
    <x v="8"/>
    <s v="monthly"/>
    <s v="vw_cap"/>
    <n v="17"/>
    <x v="109"/>
    <n v="-6.9495869609844099E-3"/>
  </r>
  <r>
    <s v="bra"/>
    <x v="8"/>
    <s v="monthly"/>
    <s v="vw_cap"/>
    <n v="17"/>
    <x v="110"/>
    <n v="-1.1937919340634999E-2"/>
  </r>
  <r>
    <s v="bra"/>
    <x v="8"/>
    <s v="monthly"/>
    <s v="vw_cap"/>
    <n v="17"/>
    <x v="111"/>
    <n v="2.6823683818151901E-2"/>
  </r>
  <r>
    <s v="bra"/>
    <x v="8"/>
    <s v="monthly"/>
    <s v="vw_cap"/>
    <n v="17"/>
    <x v="112"/>
    <n v="4.51440355392492E-2"/>
  </r>
  <r>
    <s v="bra"/>
    <x v="8"/>
    <s v="monthly"/>
    <s v="vw_cap"/>
    <n v="17"/>
    <x v="113"/>
    <n v="4.3580386695136003E-2"/>
  </r>
  <r>
    <s v="bra"/>
    <x v="8"/>
    <s v="monthly"/>
    <s v="vw_cap"/>
    <n v="17"/>
    <x v="114"/>
    <n v="1.6707004691024801E-2"/>
  </r>
  <r>
    <s v="bra"/>
    <x v="8"/>
    <s v="monthly"/>
    <s v="vw_cap"/>
    <n v="17"/>
    <x v="115"/>
    <n v="2.5015675580213701E-2"/>
  </r>
  <r>
    <s v="bra"/>
    <x v="8"/>
    <s v="monthly"/>
    <s v="vw_cap"/>
    <n v="17"/>
    <x v="116"/>
    <n v="5.7075296641107699E-2"/>
  </r>
  <r>
    <s v="bra"/>
    <x v="8"/>
    <s v="monthly"/>
    <s v="vw_cap"/>
    <n v="17"/>
    <x v="117"/>
    <n v="2.48431690744014E-2"/>
  </r>
  <r>
    <s v="bra"/>
    <x v="8"/>
    <s v="monthly"/>
    <s v="vw_cap"/>
    <n v="17"/>
    <x v="118"/>
    <n v="-3.8360099390982297E-2"/>
  </r>
  <r>
    <s v="bra"/>
    <x v="8"/>
    <s v="monthly"/>
    <s v="vw_cap"/>
    <n v="17"/>
    <x v="119"/>
    <n v="4.56310393309017E-2"/>
  </r>
  <r>
    <s v="bra"/>
    <x v="8"/>
    <s v="monthly"/>
    <s v="vw_cap"/>
    <n v="17"/>
    <x v="120"/>
    <n v="4.6908881857541601E-3"/>
  </r>
  <r>
    <s v="bra"/>
    <x v="8"/>
    <s v="monthly"/>
    <s v="vw_cap"/>
    <n v="17"/>
    <x v="121"/>
    <n v="-2.0537297851700099E-2"/>
  </r>
  <r>
    <s v="bra"/>
    <x v="8"/>
    <s v="monthly"/>
    <s v="vw_cap"/>
    <n v="17"/>
    <x v="122"/>
    <n v="1.3046938610267201E-2"/>
  </r>
  <r>
    <s v="bra"/>
    <x v="8"/>
    <s v="monthly"/>
    <s v="vw_cap"/>
    <n v="17"/>
    <x v="123"/>
    <n v="2.5836187289180999E-2"/>
  </r>
  <r>
    <s v="bra"/>
    <x v="8"/>
    <s v="monthly"/>
    <s v="vw_cap"/>
    <n v="17"/>
    <x v="124"/>
    <n v="4.78825346150792E-2"/>
  </r>
  <r>
    <s v="bra"/>
    <x v="8"/>
    <s v="monthly"/>
    <s v="vw_cap"/>
    <n v="17"/>
    <x v="125"/>
    <n v="5.9160728569660703E-2"/>
  </r>
  <r>
    <s v="bra"/>
    <x v="8"/>
    <s v="monthly"/>
    <s v="vw_cap"/>
    <n v="17"/>
    <x v="126"/>
    <n v="6.7206001280635294E-2"/>
  </r>
  <r>
    <s v="bra"/>
    <x v="8"/>
    <s v="monthly"/>
    <s v="vw_cap"/>
    <n v="17"/>
    <x v="127"/>
    <n v="-1.3138484771005E-2"/>
  </r>
  <r>
    <s v="bra"/>
    <x v="8"/>
    <s v="monthly"/>
    <s v="vw_cap"/>
    <n v="17"/>
    <x v="128"/>
    <n v="-3.6154781965566998E-2"/>
  </r>
  <r>
    <s v="bra"/>
    <x v="8"/>
    <s v="monthly"/>
    <s v="vw_cap"/>
    <n v="17"/>
    <x v="129"/>
    <n v="-2.68007044450632E-2"/>
  </r>
  <r>
    <s v="bra"/>
    <x v="8"/>
    <s v="monthly"/>
    <s v="vw_cap"/>
    <n v="17"/>
    <x v="130"/>
    <n v="2.44266943540981E-2"/>
  </r>
  <r>
    <s v="bra"/>
    <x v="8"/>
    <s v="monthly"/>
    <s v="vw_cap"/>
    <n v="17"/>
    <x v="131"/>
    <n v="3.5632066095555803E-2"/>
  </r>
  <r>
    <s v="bra"/>
    <x v="8"/>
    <s v="monthly"/>
    <s v="vw_cap"/>
    <n v="17"/>
    <x v="132"/>
    <n v="-3.0527974096900501E-2"/>
  </r>
  <r>
    <s v="bra"/>
    <x v="8"/>
    <s v="monthly"/>
    <s v="vw_cap"/>
    <n v="17"/>
    <x v="133"/>
    <n v="-5.6674927471677501E-3"/>
  </r>
  <r>
    <s v="bra"/>
    <x v="8"/>
    <s v="monthly"/>
    <s v="vw_cap"/>
    <n v="17"/>
    <x v="134"/>
    <n v="2.7736127360502301E-2"/>
  </r>
  <r>
    <s v="bra"/>
    <x v="8"/>
    <s v="monthly"/>
    <s v="vw_cap"/>
    <n v="17"/>
    <x v="135"/>
    <n v="1.6221168140727001E-2"/>
  </r>
  <r>
    <s v="bra"/>
    <x v="8"/>
    <s v="monthly"/>
    <s v="vw_cap"/>
    <n v="17"/>
    <x v="136"/>
    <n v="4.6828847381530099E-2"/>
  </r>
  <r>
    <s v="bra"/>
    <x v="8"/>
    <s v="monthly"/>
    <s v="vw_cap"/>
    <n v="17"/>
    <x v="137"/>
    <n v="9.8197339319552497E-3"/>
  </r>
  <r>
    <s v="bra"/>
    <x v="8"/>
    <s v="monthly"/>
    <s v="vw_cap"/>
    <n v="17"/>
    <x v="138"/>
    <n v="1.5687150984911899E-2"/>
  </r>
  <r>
    <s v="bra"/>
    <x v="8"/>
    <s v="monthly"/>
    <s v="vw_cap"/>
    <n v="17"/>
    <x v="139"/>
    <n v="-1.1414724032886799E-3"/>
  </r>
  <r>
    <s v="bra"/>
    <x v="8"/>
    <s v="monthly"/>
    <s v="vw_cap"/>
    <n v="17"/>
    <x v="140"/>
    <n v="-2.6566706185992099E-2"/>
  </r>
  <r>
    <s v="bra"/>
    <x v="8"/>
    <s v="monthly"/>
    <s v="vw_cap"/>
    <n v="17"/>
    <x v="141"/>
    <n v="2.0536692822279299E-2"/>
  </r>
  <r>
    <s v="bra"/>
    <x v="8"/>
    <s v="monthly"/>
    <s v="vw_cap"/>
    <n v="17"/>
    <x v="142"/>
    <n v="-1.08225347536424E-3"/>
  </r>
  <r>
    <s v="bra"/>
    <x v="8"/>
    <s v="monthly"/>
    <s v="vw_cap"/>
    <n v="17"/>
    <x v="143"/>
    <n v="2.09720471780316E-2"/>
  </r>
  <r>
    <s v="bra"/>
    <x v="8"/>
    <s v="monthly"/>
    <s v="vw_cap"/>
    <n v="17"/>
    <x v="144"/>
    <n v="-2.0260555446904398E-2"/>
  </r>
  <r>
    <s v="bra"/>
    <x v="8"/>
    <s v="monthly"/>
    <s v="vw_cap"/>
    <n v="17"/>
    <x v="145"/>
    <n v="4.2173993297918598E-3"/>
  </r>
  <r>
    <s v="bra"/>
    <x v="8"/>
    <s v="monthly"/>
    <s v="vw_cap"/>
    <n v="17"/>
    <x v="146"/>
    <n v="1.7220585068466899E-2"/>
  </r>
  <r>
    <s v="bra"/>
    <x v="8"/>
    <s v="monthly"/>
    <s v="vw_cap"/>
    <n v="17"/>
    <x v="147"/>
    <n v="1.76444519042579E-2"/>
  </r>
  <r>
    <s v="bra"/>
    <x v="8"/>
    <s v="monthly"/>
    <s v="vw_cap"/>
    <n v="17"/>
    <x v="148"/>
    <n v="2.40730398349535E-2"/>
  </r>
  <r>
    <s v="bra"/>
    <x v="8"/>
    <s v="monthly"/>
    <s v="vw_cap"/>
    <n v="17"/>
    <x v="149"/>
    <n v="8.0319761805824307E-3"/>
  </r>
  <r>
    <s v="bra"/>
    <x v="8"/>
    <s v="monthly"/>
    <s v="vw_cap"/>
    <n v="17"/>
    <x v="150"/>
    <n v="-1.54684323681815E-2"/>
  </r>
  <r>
    <s v="bra"/>
    <x v="8"/>
    <s v="monthly"/>
    <s v="vw_cap"/>
    <n v="17"/>
    <x v="151"/>
    <n v="-2.6051041463533299E-2"/>
  </r>
  <r>
    <s v="bra"/>
    <x v="8"/>
    <s v="monthly"/>
    <s v="vw_cap"/>
    <n v="17"/>
    <x v="152"/>
    <n v="-1.37443127260508E-3"/>
  </r>
  <r>
    <s v="bra"/>
    <x v="8"/>
    <s v="monthly"/>
    <s v="vw_cap"/>
    <n v="17"/>
    <x v="153"/>
    <n v="3.01880468722961E-2"/>
  </r>
  <r>
    <s v="bra"/>
    <x v="8"/>
    <s v="monthly"/>
    <s v="vw_cap"/>
    <n v="17"/>
    <x v="154"/>
    <n v="3.6687075940496999E-2"/>
  </r>
  <r>
    <s v="bra"/>
    <x v="8"/>
    <s v="monthly"/>
    <s v="vw_cap"/>
    <n v="17"/>
    <x v="155"/>
    <n v="2.2553604752216402E-2"/>
  </r>
  <r>
    <s v="bra"/>
    <x v="8"/>
    <s v="monthly"/>
    <s v="vw_cap"/>
    <n v="17"/>
    <x v="156"/>
    <n v="1.9561853879276E-2"/>
  </r>
  <r>
    <s v="bra"/>
    <x v="8"/>
    <s v="monthly"/>
    <s v="vw_cap"/>
    <n v="17"/>
    <x v="157"/>
    <n v="5.5522940377683398E-2"/>
  </r>
  <r>
    <s v="bra"/>
    <x v="8"/>
    <s v="monthly"/>
    <s v="vw_cap"/>
    <n v="17"/>
    <x v="158"/>
    <n v="-2.6828144768208401E-2"/>
  </r>
  <r>
    <s v="bra"/>
    <x v="8"/>
    <s v="monthly"/>
    <s v="vw_cap"/>
    <n v="17"/>
    <x v="159"/>
    <n v="-1.0817752768691799E-2"/>
  </r>
  <r>
    <s v="bra"/>
    <x v="8"/>
    <s v="monthly"/>
    <s v="vw_cap"/>
    <n v="17"/>
    <x v="160"/>
    <n v="-1.6737894523131399E-2"/>
  </r>
  <r>
    <s v="bra"/>
    <x v="8"/>
    <s v="monthly"/>
    <s v="vw_cap"/>
    <n v="17"/>
    <x v="161"/>
    <n v="1.9609352801920499E-2"/>
  </r>
  <r>
    <s v="bra"/>
    <x v="8"/>
    <s v="monthly"/>
    <s v="vw_cap"/>
    <n v="17"/>
    <x v="162"/>
    <n v="1.45559306844881E-2"/>
  </r>
  <r>
    <s v="bra"/>
    <x v="8"/>
    <s v="monthly"/>
    <s v="vw_cap"/>
    <n v="17"/>
    <x v="163"/>
    <n v="3.7679354741223997E-2"/>
  </r>
  <r>
    <s v="bra"/>
    <x v="8"/>
    <s v="monthly"/>
    <s v="vw_cap"/>
    <n v="17"/>
    <x v="164"/>
    <n v="2.7205158560011499E-2"/>
  </r>
  <r>
    <s v="bra"/>
    <x v="8"/>
    <s v="monthly"/>
    <s v="vw_cap"/>
    <n v="17"/>
    <x v="165"/>
    <n v="4.6585602285875603E-3"/>
  </r>
  <r>
    <s v="bra"/>
    <x v="8"/>
    <s v="monthly"/>
    <s v="vw_cap"/>
    <n v="17"/>
    <x v="166"/>
    <n v="-3.5802763853290502E-2"/>
  </r>
  <r>
    <s v="bra"/>
    <x v="8"/>
    <s v="monthly"/>
    <s v="vw_cap"/>
    <n v="17"/>
    <x v="167"/>
    <n v="-6.0080612577829297E-2"/>
  </r>
  <r>
    <s v="bra"/>
    <x v="8"/>
    <s v="monthly"/>
    <s v="vw_cap"/>
    <n v="17"/>
    <x v="168"/>
    <n v="3.68986179450003E-3"/>
  </r>
  <r>
    <s v="bra"/>
    <x v="8"/>
    <s v="monthly"/>
    <s v="vw_cap"/>
    <n v="17"/>
    <x v="169"/>
    <n v="-1.6036990486651399E-3"/>
  </r>
  <r>
    <s v="bra"/>
    <x v="8"/>
    <s v="monthly"/>
    <s v="vw_cap"/>
    <n v="17"/>
    <x v="170"/>
    <n v="-9.8554372840468796E-3"/>
  </r>
  <r>
    <s v="bra"/>
    <x v="8"/>
    <s v="monthly"/>
    <s v="vw_cap"/>
    <n v="17"/>
    <x v="171"/>
    <n v="-2.0136662268384599E-2"/>
  </r>
  <r>
    <s v="bra"/>
    <x v="8"/>
    <s v="monthly"/>
    <s v="vw_cap"/>
    <n v="17"/>
    <x v="172"/>
    <n v="-6.1620360554293402E-2"/>
  </r>
  <r>
    <s v="bra"/>
    <x v="8"/>
    <s v="monthly"/>
    <s v="vw_cap"/>
    <n v="17"/>
    <x v="173"/>
    <n v="4.7072712205607499E-2"/>
  </r>
  <r>
    <s v="bra"/>
    <x v="8"/>
    <s v="monthly"/>
    <s v="vw_cap"/>
    <n v="17"/>
    <x v="174"/>
    <n v="8.7562885815723E-3"/>
  </r>
  <r>
    <s v="bra"/>
    <x v="8"/>
    <s v="monthly"/>
    <s v="vw_cap"/>
    <n v="17"/>
    <x v="175"/>
    <n v="-2.7045079377945199E-2"/>
  </r>
  <r>
    <s v="bra"/>
    <x v="8"/>
    <s v="monthly"/>
    <s v="vw_cap"/>
    <n v="17"/>
    <x v="176"/>
    <n v="-3.6080979627575401E-4"/>
  </r>
  <r>
    <s v="bra"/>
    <x v="8"/>
    <s v="monthly"/>
    <s v="vw_cap"/>
    <n v="17"/>
    <x v="177"/>
    <n v="5.3438721146565997E-3"/>
  </r>
  <r>
    <s v="bra"/>
    <x v="8"/>
    <s v="monthly"/>
    <s v="vw_cap"/>
    <n v="17"/>
    <x v="178"/>
    <n v="-2.4758862175919199E-2"/>
  </r>
  <r>
    <s v="bra"/>
    <x v="8"/>
    <s v="monthly"/>
    <s v="vw_cap"/>
    <n v="17"/>
    <x v="179"/>
    <n v="-1.61291258385051E-2"/>
  </r>
  <r>
    <s v="bra"/>
    <x v="8"/>
    <s v="monthly"/>
    <s v="vw_cap"/>
    <n v="17"/>
    <x v="180"/>
    <n v="-2.4317444637501598E-3"/>
  </r>
  <r>
    <s v="bra"/>
    <x v="8"/>
    <s v="monthly"/>
    <s v="vw_cap"/>
    <n v="17"/>
    <x v="181"/>
    <n v="-3.1023044395130001E-2"/>
  </r>
  <r>
    <s v="bra"/>
    <x v="8"/>
    <s v="monthly"/>
    <s v="vw_cap"/>
    <n v="17"/>
    <x v="182"/>
    <n v="-7.3590030995887297E-4"/>
  </r>
  <r>
    <s v="bra"/>
    <x v="8"/>
    <s v="monthly"/>
    <s v="vw_cap"/>
    <n v="17"/>
    <x v="183"/>
    <n v="3.5239380818384597E-2"/>
  </r>
  <r>
    <s v="bra"/>
    <x v="8"/>
    <s v="monthly"/>
    <s v="vw_cap"/>
    <n v="17"/>
    <x v="184"/>
    <n v="3.0794082456092501E-2"/>
  </r>
  <r>
    <s v="bra"/>
    <x v="8"/>
    <s v="monthly"/>
    <s v="vw_cap"/>
    <n v="17"/>
    <x v="185"/>
    <n v="4.8846360138526002E-2"/>
  </r>
  <r>
    <s v="bra"/>
    <x v="8"/>
    <s v="monthly"/>
    <s v="vw_cap"/>
    <n v="17"/>
    <x v="186"/>
    <n v="-2.9236737496283198E-3"/>
  </r>
  <r>
    <s v="bra"/>
    <x v="8"/>
    <s v="monthly"/>
    <s v="vw_cap"/>
    <n v="17"/>
    <x v="187"/>
    <n v="-2.0220684326715099E-3"/>
  </r>
  <r>
    <s v="bra"/>
    <x v="8"/>
    <s v="monthly"/>
    <s v="vw_cap"/>
    <n v="17"/>
    <x v="188"/>
    <n v="-2.75312409170177E-2"/>
  </r>
  <r>
    <s v="bra"/>
    <x v="8"/>
    <s v="monthly"/>
    <s v="vw_cap"/>
    <n v="17"/>
    <x v="189"/>
    <n v="-3.7862625080306899E-3"/>
  </r>
  <r>
    <s v="bra"/>
    <x v="8"/>
    <s v="monthly"/>
    <s v="vw_cap"/>
    <n v="17"/>
    <x v="190"/>
    <n v="5.8923967461547702E-3"/>
  </r>
  <r>
    <s v="bra"/>
    <x v="8"/>
    <s v="monthly"/>
    <s v="vw_cap"/>
    <n v="17"/>
    <x v="191"/>
    <n v="2.9861040592973301E-2"/>
  </r>
  <r>
    <s v="bra"/>
    <x v="8"/>
    <s v="monthly"/>
    <s v="vw_cap"/>
    <n v="17"/>
    <x v="192"/>
    <n v="1.67765402592987E-2"/>
  </r>
  <r>
    <s v="bra"/>
    <x v="8"/>
    <s v="monthly"/>
    <s v="vw_cap"/>
    <n v="17"/>
    <x v="193"/>
    <n v="-3.2208736107385602E-2"/>
  </r>
  <r>
    <s v="bra"/>
    <x v="8"/>
    <s v="monthly"/>
    <s v="vw_cap"/>
    <n v="17"/>
    <x v="194"/>
    <n v="-1.01890973431827E-2"/>
  </r>
  <r>
    <s v="bra"/>
    <x v="8"/>
    <s v="monthly"/>
    <s v="vw_cap"/>
    <n v="17"/>
    <x v="195"/>
    <n v="5.7292346919737801E-3"/>
  </r>
  <r>
    <s v="bra"/>
    <x v="8"/>
    <s v="monthly"/>
    <s v="vw_cap"/>
    <n v="17"/>
    <x v="196"/>
    <n v="-2.1353155300884399E-2"/>
  </r>
  <r>
    <s v="bra"/>
    <x v="8"/>
    <s v="monthly"/>
    <s v="vw_cap"/>
    <n v="17"/>
    <x v="197"/>
    <n v="1.14539437065299E-4"/>
  </r>
  <r>
    <s v="bra"/>
    <x v="8"/>
    <s v="monthly"/>
    <s v="vw_cap"/>
    <n v="17"/>
    <x v="198"/>
    <n v="1.3547894116847899E-3"/>
  </r>
  <r>
    <s v="bra"/>
    <x v="8"/>
    <s v="monthly"/>
    <s v="vw_cap"/>
    <n v="17"/>
    <x v="199"/>
    <n v="-5.1918899775707699E-3"/>
  </r>
  <r>
    <s v="bra"/>
    <x v="8"/>
    <s v="monthly"/>
    <s v="vw_cap"/>
    <n v="17"/>
    <x v="200"/>
    <n v="1.18211861714278E-2"/>
  </r>
  <r>
    <s v="bra"/>
    <x v="8"/>
    <s v="monthly"/>
    <s v="vw_cap"/>
    <n v="17"/>
    <x v="201"/>
    <n v="-4.50721286458466E-3"/>
  </r>
  <r>
    <s v="bra"/>
    <x v="8"/>
    <s v="monthly"/>
    <s v="vw_cap"/>
    <n v="17"/>
    <x v="202"/>
    <n v="-8.7208054110596497E-2"/>
  </r>
  <r>
    <s v="bra"/>
    <x v="8"/>
    <s v="monthly"/>
    <s v="vw_cap"/>
    <n v="17"/>
    <x v="203"/>
    <n v="2.4435421078621601E-2"/>
  </r>
  <r>
    <s v="bra"/>
    <x v="8"/>
    <s v="monthly"/>
    <s v="vw_cap"/>
    <n v="17"/>
    <x v="204"/>
    <n v="8.6550895689367306E-3"/>
  </r>
  <r>
    <s v="bra"/>
    <x v="8"/>
    <s v="monthly"/>
    <s v="vw_cap"/>
    <n v="17"/>
    <x v="205"/>
    <n v="-3.3639267135529199E-2"/>
  </r>
  <r>
    <s v="bra"/>
    <x v="8"/>
    <s v="monthly"/>
    <s v="vw_cap"/>
    <n v="17"/>
    <x v="206"/>
    <n v="1.6355741370853899E-4"/>
  </r>
  <r>
    <s v="bra"/>
    <x v="8"/>
    <s v="monthly"/>
    <s v="vw_cap"/>
    <n v="17"/>
    <x v="207"/>
    <n v="1.28602683805073E-2"/>
  </r>
  <r>
    <s v="bra"/>
    <x v="8"/>
    <s v="monthly"/>
    <s v="vw_cap"/>
    <n v="17"/>
    <x v="208"/>
    <n v="1.9596559037880799E-2"/>
  </r>
  <r>
    <s v="bra"/>
    <x v="8"/>
    <s v="monthly"/>
    <s v="vw_cap"/>
    <n v="17"/>
    <x v="209"/>
    <n v="8.7392180620891793E-3"/>
  </r>
  <r>
    <s v="bra"/>
    <x v="8"/>
    <s v="monthly"/>
    <s v="vw_cap"/>
    <n v="17"/>
    <x v="210"/>
    <n v="5.1859051301584604E-4"/>
  </r>
  <r>
    <s v="bra"/>
    <x v="8"/>
    <s v="monthly"/>
    <s v="vw_cap"/>
    <n v="17"/>
    <x v="211"/>
    <n v="3.5694970293510498E-3"/>
  </r>
  <r>
    <s v="bra"/>
    <x v="8"/>
    <s v="monthly"/>
    <s v="vw_cap"/>
    <n v="17"/>
    <x v="212"/>
    <n v="1.2294707908038899E-2"/>
  </r>
  <r>
    <s v="bra"/>
    <x v="8"/>
    <s v="monthly"/>
    <s v="vw_cap"/>
    <n v="17"/>
    <x v="213"/>
    <n v="-6.0384579437558596E-3"/>
  </r>
  <r>
    <s v="bra"/>
    <x v="8"/>
    <s v="monthly"/>
    <s v="vw_cap"/>
    <n v="17"/>
    <x v="214"/>
    <n v="1.30086644378392E-2"/>
  </r>
  <r>
    <s v="bra"/>
    <x v="8"/>
    <s v="monthly"/>
    <s v="vw_cap"/>
    <n v="17"/>
    <x v="215"/>
    <n v="-3.230929107471E-3"/>
  </r>
  <r>
    <s v="bra"/>
    <x v="8"/>
    <s v="monthly"/>
    <s v="vw_cap"/>
    <n v="17"/>
    <x v="216"/>
    <n v="-1.46050370096623E-2"/>
  </r>
  <r>
    <s v="bra"/>
    <x v="8"/>
    <s v="monthly"/>
    <s v="vw_cap"/>
    <n v="17"/>
    <x v="217"/>
    <n v="2.0181508370108101E-2"/>
  </r>
  <r>
    <s v="bra"/>
    <x v="8"/>
    <s v="monthly"/>
    <s v="vw_cap"/>
    <n v="17"/>
    <x v="218"/>
    <n v="-7.8263833740019006E-5"/>
  </r>
  <r>
    <s v="bra"/>
    <x v="8"/>
    <s v="monthly"/>
    <s v="vw_cap"/>
    <n v="17"/>
    <x v="219"/>
    <n v="2.5293336043498999E-2"/>
  </r>
  <r>
    <s v="bra"/>
    <x v="8"/>
    <s v="monthly"/>
    <s v="vw_cap"/>
    <n v="17"/>
    <x v="220"/>
    <n v="-2.6574924882456401E-3"/>
  </r>
  <r>
    <s v="bra"/>
    <x v="8"/>
    <s v="monthly"/>
    <s v="vw_cap"/>
    <n v="17"/>
    <x v="221"/>
    <n v="-2.1879616184585799E-2"/>
  </r>
  <r>
    <s v="bra"/>
    <x v="8"/>
    <s v="monthly"/>
    <s v="vw_cap"/>
    <n v="17"/>
    <x v="222"/>
    <n v="-4.4263145197652402E-3"/>
  </r>
  <r>
    <s v="bra"/>
    <x v="8"/>
    <s v="monthly"/>
    <s v="vw_cap"/>
    <n v="17"/>
    <x v="223"/>
    <n v="-1.6439231201695E-2"/>
  </r>
  <r>
    <s v="bra"/>
    <x v="8"/>
    <s v="monthly"/>
    <s v="vw_cap"/>
    <n v="17"/>
    <x v="224"/>
    <n v="-1.2629443546780901E-2"/>
  </r>
  <r>
    <s v="bra"/>
    <x v="8"/>
    <s v="monthly"/>
    <s v="vw_cap"/>
    <n v="17"/>
    <x v="225"/>
    <n v="1.6275218272437601E-2"/>
  </r>
  <r>
    <s v="bra"/>
    <x v="8"/>
    <s v="monthly"/>
    <s v="vw_cap"/>
    <n v="17"/>
    <x v="226"/>
    <n v="6.84376596561115E-3"/>
  </r>
  <r>
    <s v="bra"/>
    <x v="8"/>
    <s v="monthly"/>
    <s v="vw_cap"/>
    <n v="17"/>
    <x v="227"/>
    <n v="-3.1268590845817301E-3"/>
  </r>
  <r>
    <s v="bra"/>
    <x v="8"/>
    <s v="monthly"/>
    <s v="vw_cap"/>
    <n v="17"/>
    <x v="228"/>
    <n v="-2.1282209421758399E-2"/>
  </r>
  <r>
    <s v="bra"/>
    <x v="8"/>
    <s v="monthly"/>
    <s v="vw_cap"/>
    <n v="17"/>
    <x v="229"/>
    <n v="-1.6889748858169702E-2"/>
  </r>
  <r>
    <s v="bra"/>
    <x v="8"/>
    <s v="monthly"/>
    <s v="vw_cap"/>
    <n v="17"/>
    <x v="230"/>
    <n v="1.4054985743863499E-2"/>
  </r>
  <r>
    <s v="bra"/>
    <x v="8"/>
    <s v="monthly"/>
    <s v="vw_cap"/>
    <n v="17"/>
    <x v="231"/>
    <n v="-3.9056480049718398E-4"/>
  </r>
  <r>
    <s v="bra"/>
    <x v="8"/>
    <s v="monthly"/>
    <s v="vw_cap"/>
    <n v="17"/>
    <x v="232"/>
    <n v="2.1077902862452799E-2"/>
  </r>
  <r>
    <s v="bra"/>
    <x v="8"/>
    <s v="monthly"/>
    <s v="vw_cap"/>
    <n v="17"/>
    <x v="233"/>
    <n v="-1.6630138941306799E-2"/>
  </r>
  <r>
    <s v="bra"/>
    <x v="8"/>
    <s v="monthly"/>
    <s v="vw_cap"/>
    <n v="17"/>
    <x v="234"/>
    <n v="-6.3485639522624596E-3"/>
  </r>
  <r>
    <s v="bra"/>
    <x v="8"/>
    <s v="monthly"/>
    <s v="vw_cap"/>
    <n v="17"/>
    <x v="235"/>
    <n v="6.3553004177491204E-3"/>
  </r>
  <r>
    <s v="bra"/>
    <x v="8"/>
    <s v="monthly"/>
    <s v="vw_cap"/>
    <n v="17"/>
    <x v="236"/>
    <n v="3.7371442340310701E-3"/>
  </r>
  <r>
    <s v="bra"/>
    <x v="8"/>
    <s v="monthly"/>
    <s v="vw_cap"/>
    <n v="17"/>
    <x v="237"/>
    <n v="1.6288781415821799E-2"/>
  </r>
  <r>
    <s v="bra"/>
    <x v="8"/>
    <s v="monthly"/>
    <s v="vw_cap"/>
    <n v="17"/>
    <x v="238"/>
    <n v="3.71604587516218E-2"/>
  </r>
  <r>
    <s v="bra"/>
    <x v="8"/>
    <s v="monthly"/>
    <s v="vw_cap"/>
    <n v="17"/>
    <x v="239"/>
    <n v="-1.56739836324865E-2"/>
  </r>
  <r>
    <s v="bra"/>
    <x v="8"/>
    <s v="monthly"/>
    <s v="vw_cap"/>
    <n v="17"/>
    <x v="240"/>
    <n v="3.6859101718883597E-2"/>
  </r>
  <r>
    <s v="bra"/>
    <x v="8"/>
    <s v="monthly"/>
    <s v="vw_cap"/>
    <n v="17"/>
    <x v="241"/>
    <n v="-7.8773870614986894E-3"/>
  </r>
  <r>
    <s v="bra"/>
    <x v="8"/>
    <s v="monthly"/>
    <s v="vw_cap"/>
    <n v="17"/>
    <x v="242"/>
    <n v="1.9190764605223402E-2"/>
  </r>
  <r>
    <s v="bra"/>
    <x v="8"/>
    <s v="monthly"/>
    <s v="vw_cap"/>
    <n v="17"/>
    <x v="243"/>
    <n v="-4.86510640208517E-3"/>
  </r>
  <r>
    <s v="bra"/>
    <x v="8"/>
    <s v="monthly"/>
    <s v="vw_cap"/>
    <n v="17"/>
    <x v="244"/>
    <n v="2.76876304406127E-2"/>
  </r>
  <r>
    <s v="bra"/>
    <x v="8"/>
    <s v="monthly"/>
    <s v="vw_cap"/>
    <n v="17"/>
    <x v="245"/>
    <n v="-6.3353398714411703E-4"/>
  </r>
  <r>
    <s v="bra"/>
    <x v="8"/>
    <s v="monthly"/>
    <s v="vw_cap"/>
    <n v="17"/>
    <x v="246"/>
    <n v="1.95847787732128E-2"/>
  </r>
  <r>
    <s v="bra"/>
    <x v="8"/>
    <s v="monthly"/>
    <s v="vw_cap"/>
    <n v="17"/>
    <x v="247"/>
    <n v="-3.8438906583071197E-2"/>
  </r>
  <r>
    <s v="bra"/>
    <x v="8"/>
    <s v="monthly"/>
    <s v="vw_cap"/>
    <n v="17"/>
    <x v="248"/>
    <n v="-6.1259720888536602E-2"/>
  </r>
  <r>
    <s v="bra"/>
    <x v="8"/>
    <s v="monthly"/>
    <s v="vw_cap"/>
    <n v="17"/>
    <x v="249"/>
    <n v="2.3898307894889999E-2"/>
  </r>
  <r>
    <s v="bra"/>
    <x v="8"/>
    <s v="monthly"/>
    <s v="vw_cap"/>
    <n v="17"/>
    <x v="250"/>
    <n v="1.2499552433901601E-3"/>
  </r>
  <r>
    <s v="bra"/>
    <x v="8"/>
    <s v="monthly"/>
    <s v="vw_cap"/>
    <n v="17"/>
    <x v="251"/>
    <n v="5.6595512975580103E-2"/>
  </r>
  <r>
    <s v="bra"/>
    <x v="8"/>
    <s v="monthly"/>
    <s v="vw_cap"/>
    <n v="17"/>
    <x v="252"/>
    <n v="3.0610601374948601E-2"/>
  </r>
  <r>
    <s v="bra"/>
    <x v="8"/>
    <s v="monthly"/>
    <s v="vw_cap"/>
    <n v="17"/>
    <x v="253"/>
    <n v="-1.40329587382877E-2"/>
  </r>
  <r>
    <s v="bra"/>
    <x v="8"/>
    <s v="monthly"/>
    <s v="vw_cap"/>
    <n v="17"/>
    <x v="254"/>
    <n v="1.7478316885225598E-2"/>
  </r>
  <r>
    <s v="bra"/>
    <x v="8"/>
    <s v="monthly"/>
    <s v="vw_cap"/>
    <n v="17"/>
    <x v="255"/>
    <n v="2.2925025924581101E-2"/>
  </r>
  <r>
    <s v="bra"/>
    <x v="8"/>
    <s v="monthly"/>
    <s v="vw_cap"/>
    <n v="17"/>
    <x v="256"/>
    <n v="-1.46327835015786E-2"/>
  </r>
  <r>
    <s v="bra"/>
    <x v="8"/>
    <s v="monthly"/>
    <s v="vw_cap"/>
    <n v="17"/>
    <x v="257"/>
    <n v="-7.1135334423932703E-2"/>
  </r>
  <r>
    <s v="bra"/>
    <x v="8"/>
    <s v="monthly"/>
    <s v="vw_cap"/>
    <n v="17"/>
    <x v="258"/>
    <n v="-3.28959735684154E-2"/>
  </r>
  <r>
    <s v="bra"/>
    <x v="8"/>
    <s v="monthly"/>
    <s v="vw_cap"/>
    <n v="17"/>
    <x v="259"/>
    <n v="-1.1012604175481999E-2"/>
  </r>
  <r>
    <s v="bra"/>
    <x v="8"/>
    <s v="monthly"/>
    <s v="vw_cap"/>
    <n v="17"/>
    <x v="260"/>
    <n v="4.0968588907911399E-2"/>
  </r>
  <r>
    <s v="bra"/>
    <x v="8"/>
    <s v="monthly"/>
    <s v="vw_cap"/>
    <n v="17"/>
    <x v="261"/>
    <n v="2.3892933571009401E-2"/>
  </r>
  <r>
    <s v="bra"/>
    <x v="8"/>
    <s v="monthly"/>
    <s v="vw_cap"/>
    <n v="17"/>
    <x v="262"/>
    <n v="3.7684954487986998E-2"/>
  </r>
  <r>
    <s v="bra"/>
    <x v="8"/>
    <s v="monthly"/>
    <s v="vw_cap"/>
    <n v="17"/>
    <x v="263"/>
    <n v="-4.7864431871170801E-2"/>
  </r>
  <r>
    <s v="bra"/>
    <x v="8"/>
    <s v="monthly"/>
    <s v="vw_cap"/>
    <n v="17"/>
    <x v="264"/>
    <n v="-3.1522075278323501E-3"/>
  </r>
  <r>
    <s v="bra"/>
    <x v="8"/>
    <s v="monthly"/>
    <s v="vw_cap"/>
    <n v="17"/>
    <x v="265"/>
    <n v="8.7698763781667508E-3"/>
  </r>
  <r>
    <s v="bra"/>
    <x v="8"/>
    <s v="monthly"/>
    <s v="vw_cap"/>
    <n v="17"/>
    <x v="266"/>
    <n v="2.1743225897751701E-2"/>
  </r>
  <r>
    <s v="bra"/>
    <x v="8"/>
    <s v="monthly"/>
    <s v="vw_cap"/>
    <n v="17"/>
    <x v="267"/>
    <n v="-7.1812065009278E-3"/>
  </r>
  <r>
    <s v="bra"/>
    <x v="8"/>
    <s v="monthly"/>
    <s v="vw_cap"/>
    <n v="17"/>
    <x v="268"/>
    <n v="2.2256713448752501E-2"/>
  </r>
  <r>
    <s v="bra"/>
    <x v="8"/>
    <s v="monthly"/>
    <s v="vw_cap"/>
    <n v="17"/>
    <x v="269"/>
    <n v="-1.8546732126678799E-2"/>
  </r>
  <r>
    <s v="bra"/>
    <x v="8"/>
    <s v="monthly"/>
    <s v="vw_cap"/>
    <n v="17"/>
    <x v="270"/>
    <n v="1.25907038272388E-2"/>
  </r>
  <r>
    <s v="bra"/>
    <x v="8"/>
    <s v="monthly"/>
    <s v="vw_cap"/>
    <n v="17"/>
    <x v="271"/>
    <n v="3.5235616442013097E-2"/>
  </r>
  <r>
    <s v="bra"/>
    <x v="8"/>
    <s v="monthly"/>
    <s v="vw_cap"/>
    <n v="17"/>
    <x v="272"/>
    <n v="1.7333475001495301E-2"/>
  </r>
  <r>
    <s v="bra"/>
    <x v="8"/>
    <s v="monthly"/>
    <s v="vw_cap"/>
    <n v="17"/>
    <x v="273"/>
    <n v="1.36976721289272E-2"/>
  </r>
  <r>
    <s v="bra"/>
    <x v="8"/>
    <s v="monthly"/>
    <s v="vw_cap"/>
    <n v="17"/>
    <x v="274"/>
    <n v="-3.8299694995516799E-3"/>
  </r>
  <r>
    <s v="bra"/>
    <x v="8"/>
    <s v="monthly"/>
    <s v="vw_cap"/>
    <n v="17"/>
    <x v="275"/>
    <n v="7.2286327618821197E-4"/>
  </r>
  <r>
    <s v="bra"/>
    <x v="8"/>
    <s v="monthly"/>
    <s v="vw_cap"/>
    <n v="17"/>
    <x v="276"/>
    <n v="3.1839180798057302E-2"/>
  </r>
  <r>
    <s v="bra"/>
    <x v="8"/>
    <s v="monthly"/>
    <s v="vw_cap"/>
    <n v="17"/>
    <x v="277"/>
    <n v="-5.6929552546627904E-3"/>
  </r>
  <r>
    <s v="bra"/>
    <x v="8"/>
    <s v="monthly"/>
    <s v="vw_cap"/>
    <n v="17"/>
    <x v="278"/>
    <n v="-1.6591894192689801E-2"/>
  </r>
  <r>
    <s v="bra"/>
    <x v="8"/>
    <s v="monthly"/>
    <s v="vw_cap"/>
    <n v="17"/>
    <x v="279"/>
    <n v="1.4560954465372001E-2"/>
  </r>
  <r>
    <s v="bra"/>
    <x v="8"/>
    <s v="monthly"/>
    <s v="vw_cap"/>
    <n v="17"/>
    <x v="280"/>
    <n v="-2.30672436272241E-2"/>
  </r>
  <r>
    <s v="bra"/>
    <x v="8"/>
    <s v="monthly"/>
    <s v="vw_cap"/>
    <n v="17"/>
    <x v="281"/>
    <n v="-3.8532216745643999E-2"/>
  </r>
  <r>
    <s v="bra"/>
    <x v="8"/>
    <s v="monthly"/>
    <s v="vw_cap"/>
    <n v="17"/>
    <x v="282"/>
    <n v="1.94043839983347E-2"/>
  </r>
  <r>
    <s v="bra"/>
    <x v="8"/>
    <s v="monthly"/>
    <s v="vw_cap"/>
    <n v="17"/>
    <x v="283"/>
    <n v="-4.9307418509496402E-4"/>
  </r>
  <r>
    <s v="bra"/>
    <x v="8"/>
    <s v="monthly"/>
    <s v="vw_cap"/>
    <n v="17"/>
    <x v="284"/>
    <n v="-6.2546630912843496E-3"/>
  </r>
  <r>
    <s v="bra"/>
    <x v="8"/>
    <s v="monthly"/>
    <s v="vw_cap"/>
    <n v="17"/>
    <x v="285"/>
    <n v="-5.0403232534071904E-3"/>
  </r>
  <r>
    <s v="bra"/>
    <x v="8"/>
    <s v="monthly"/>
    <s v="vw_cap"/>
    <n v="17"/>
    <x v="286"/>
    <n v="2.45148018698726E-2"/>
  </r>
  <r>
    <s v="bra"/>
    <x v="8"/>
    <s v="monthly"/>
    <s v="vw_cap"/>
    <n v="17"/>
    <x v="287"/>
    <n v="1.6515191189514399E-2"/>
  </r>
  <r>
    <s v="bra"/>
    <x v="8"/>
    <s v="monthly"/>
    <s v="vw_cap"/>
    <n v="17"/>
    <x v="288"/>
    <n v="1.35961370645994E-3"/>
  </r>
  <r>
    <s v="bra"/>
    <x v="9"/>
    <s v="monthly"/>
    <s v="vw_cap"/>
    <n v="1"/>
    <x v="318"/>
    <n v="6.0411685939815697E-2"/>
  </r>
  <r>
    <s v="bra"/>
    <x v="9"/>
    <s v="monthly"/>
    <s v="vw_cap"/>
    <n v="1"/>
    <x v="323"/>
    <n v="4.94719658412534E-2"/>
  </r>
  <r>
    <s v="bra"/>
    <x v="9"/>
    <s v="monthly"/>
    <s v="vw_cap"/>
    <n v="1"/>
    <x v="324"/>
    <n v="1.39583632477505E-2"/>
  </r>
  <r>
    <s v="bra"/>
    <x v="9"/>
    <s v="monthly"/>
    <s v="vw_cap"/>
    <n v="1"/>
    <x v="325"/>
    <n v="6.4206512626793305E-2"/>
  </r>
  <r>
    <s v="bra"/>
    <x v="9"/>
    <s v="monthly"/>
    <s v="vw_cap"/>
    <n v="1"/>
    <x v="326"/>
    <n v="8.8661393037126994E-3"/>
  </r>
  <r>
    <s v="bra"/>
    <x v="9"/>
    <s v="monthly"/>
    <s v="vw_cap"/>
    <n v="1"/>
    <x v="331"/>
    <n v="0.19911924858539801"/>
  </r>
  <r>
    <s v="bra"/>
    <x v="9"/>
    <s v="monthly"/>
    <s v="vw_cap"/>
    <n v="1"/>
    <x v="332"/>
    <n v="-7.3223431186932699E-3"/>
  </r>
  <r>
    <s v="bra"/>
    <x v="9"/>
    <s v="monthly"/>
    <s v="vw_cap"/>
    <n v="1"/>
    <x v="335"/>
    <n v="7.2686145258418502E-2"/>
  </r>
  <r>
    <s v="bra"/>
    <x v="9"/>
    <s v="monthly"/>
    <s v="vw_cap"/>
    <n v="1"/>
    <x v="336"/>
    <n v="-9.6228697589219297E-3"/>
  </r>
  <r>
    <s v="bra"/>
    <x v="9"/>
    <s v="monthly"/>
    <s v="vw_cap"/>
    <n v="1"/>
    <x v="338"/>
    <n v="7.4988022591425896E-2"/>
  </r>
  <r>
    <s v="bra"/>
    <x v="9"/>
    <s v="monthly"/>
    <s v="vw_cap"/>
    <n v="1"/>
    <x v="340"/>
    <n v="1.2690218549047399E-2"/>
  </r>
  <r>
    <s v="bra"/>
    <x v="9"/>
    <s v="monthly"/>
    <s v="vw_cap"/>
    <n v="1"/>
    <x v="342"/>
    <n v="-5.1767921632132299E-2"/>
  </r>
  <r>
    <s v="bra"/>
    <x v="9"/>
    <s v="monthly"/>
    <s v="vw_cap"/>
    <n v="1"/>
    <x v="343"/>
    <n v="2.53463293318874E-2"/>
  </r>
  <r>
    <s v="bra"/>
    <x v="9"/>
    <s v="monthly"/>
    <s v="vw_cap"/>
    <n v="1"/>
    <x v="344"/>
    <n v="5.9149197568497E-2"/>
  </r>
  <r>
    <s v="bra"/>
    <x v="9"/>
    <s v="monthly"/>
    <s v="vw_cap"/>
    <n v="2"/>
    <x v="345"/>
    <n v="-0.12470225009316301"/>
  </r>
  <r>
    <s v="bra"/>
    <x v="9"/>
    <s v="monthly"/>
    <s v="vw_cap"/>
    <n v="1"/>
    <x v="346"/>
    <n v="3.31960478838524E-2"/>
  </r>
  <r>
    <s v="bra"/>
    <x v="9"/>
    <s v="monthly"/>
    <s v="vw_cap"/>
    <n v="1"/>
    <x v="347"/>
    <n v="-5.0853581975606098E-2"/>
  </r>
  <r>
    <s v="bra"/>
    <x v="9"/>
    <s v="monthly"/>
    <s v="vw_cap"/>
    <n v="1"/>
    <x v="348"/>
    <n v="0.186853249796889"/>
  </r>
  <r>
    <s v="bra"/>
    <x v="9"/>
    <s v="monthly"/>
    <s v="vw_cap"/>
    <n v="1"/>
    <x v="349"/>
    <n v="-9.5319236353896594E-2"/>
  </r>
  <r>
    <s v="bra"/>
    <x v="9"/>
    <s v="monthly"/>
    <s v="vw_cap"/>
    <n v="2"/>
    <x v="350"/>
    <n v="-7.5585745622605394E-2"/>
  </r>
  <r>
    <s v="bra"/>
    <x v="9"/>
    <s v="monthly"/>
    <s v="vw_cap"/>
    <n v="2"/>
    <x v="351"/>
    <n v="-9.8172561148798507E-2"/>
  </r>
  <r>
    <s v="bra"/>
    <x v="9"/>
    <s v="monthly"/>
    <s v="vw_cap"/>
    <n v="2"/>
    <x v="352"/>
    <n v="2.09487030733406E-2"/>
  </r>
  <r>
    <s v="bra"/>
    <x v="9"/>
    <s v="monthly"/>
    <s v="vw_cap"/>
    <n v="2"/>
    <x v="353"/>
    <n v="2.3769877734708001E-2"/>
  </r>
  <r>
    <s v="bra"/>
    <x v="9"/>
    <s v="monthly"/>
    <s v="vw_cap"/>
    <n v="2"/>
    <x v="354"/>
    <n v="3.0616149728853601E-2"/>
  </r>
  <r>
    <s v="bra"/>
    <x v="9"/>
    <s v="monthly"/>
    <s v="vw_cap"/>
    <n v="2"/>
    <x v="355"/>
    <n v="5.4239093761806099E-2"/>
  </r>
  <r>
    <s v="bra"/>
    <x v="9"/>
    <s v="monthly"/>
    <s v="vw_cap"/>
    <n v="2"/>
    <x v="356"/>
    <n v="4.3752495906446698E-2"/>
  </r>
  <r>
    <s v="bra"/>
    <x v="9"/>
    <s v="monthly"/>
    <s v="vw_cap"/>
    <n v="4"/>
    <x v="0"/>
    <n v="-2.2579646447644E-2"/>
  </r>
  <r>
    <s v="bra"/>
    <x v="9"/>
    <s v="monthly"/>
    <s v="vw_cap"/>
    <n v="4"/>
    <x v="1"/>
    <n v="-0.157215691594672"/>
  </r>
  <r>
    <s v="bra"/>
    <x v="9"/>
    <s v="monthly"/>
    <s v="vw_cap"/>
    <n v="2"/>
    <x v="289"/>
    <n v="5.4226723389041102E-2"/>
  </r>
  <r>
    <s v="bra"/>
    <x v="9"/>
    <s v="monthly"/>
    <s v="vw_cap"/>
    <n v="3"/>
    <x v="290"/>
    <n v="-3.3703920508931201E-2"/>
  </r>
  <r>
    <s v="bra"/>
    <x v="9"/>
    <s v="monthly"/>
    <s v="vw_cap"/>
    <n v="2"/>
    <x v="291"/>
    <n v="-0.11600110560218101"/>
  </r>
  <r>
    <s v="bra"/>
    <x v="9"/>
    <s v="monthly"/>
    <s v="vw_cap"/>
    <n v="3"/>
    <x v="292"/>
    <n v="3.8169774304081701E-2"/>
  </r>
  <r>
    <s v="bra"/>
    <x v="9"/>
    <s v="monthly"/>
    <s v="vw_cap"/>
    <n v="3"/>
    <x v="293"/>
    <n v="-2.4561636306185399E-3"/>
  </r>
  <r>
    <s v="bra"/>
    <x v="9"/>
    <s v="monthly"/>
    <s v="vw_cap"/>
    <n v="5"/>
    <x v="2"/>
    <n v="-0.149215036907034"/>
  </r>
  <r>
    <s v="bra"/>
    <x v="9"/>
    <s v="monthly"/>
    <s v="vw_cap"/>
    <n v="5"/>
    <x v="3"/>
    <n v="7.6652088395383596E-3"/>
  </r>
  <r>
    <s v="bra"/>
    <x v="9"/>
    <s v="monthly"/>
    <s v="vw_cap"/>
    <n v="2"/>
    <x v="357"/>
    <n v="8.1595314483831893E-2"/>
  </r>
  <r>
    <s v="bra"/>
    <x v="9"/>
    <s v="monthly"/>
    <s v="vw_cap"/>
    <n v="3"/>
    <x v="358"/>
    <n v="-0.265420698883296"/>
  </r>
  <r>
    <s v="bra"/>
    <x v="9"/>
    <s v="monthly"/>
    <s v="vw_cap"/>
    <n v="3"/>
    <x v="359"/>
    <n v="-0.127675420968728"/>
  </r>
  <r>
    <s v="bra"/>
    <x v="9"/>
    <s v="monthly"/>
    <s v="vw_cap"/>
    <n v="4"/>
    <x v="4"/>
    <n v="-1.13129776289342E-2"/>
  </r>
  <r>
    <s v="bra"/>
    <x v="9"/>
    <s v="monthly"/>
    <s v="vw_cap"/>
    <n v="4"/>
    <x v="5"/>
    <n v="5.7127521661347998E-2"/>
  </r>
  <r>
    <s v="bra"/>
    <x v="9"/>
    <s v="monthly"/>
    <s v="vw_cap"/>
    <n v="4"/>
    <x v="6"/>
    <n v="-3.9828697105423098E-4"/>
  </r>
  <r>
    <s v="bra"/>
    <x v="9"/>
    <s v="monthly"/>
    <s v="vw_cap"/>
    <n v="4"/>
    <x v="7"/>
    <n v="1.9264969004825501E-2"/>
  </r>
  <r>
    <s v="bra"/>
    <x v="9"/>
    <s v="monthly"/>
    <s v="vw_cap"/>
    <n v="4"/>
    <x v="8"/>
    <n v="-1.2278569732708701E-2"/>
  </r>
  <r>
    <s v="bra"/>
    <x v="9"/>
    <s v="monthly"/>
    <s v="vw_cap"/>
    <n v="5"/>
    <x v="9"/>
    <n v="1.8322552345128602E-2"/>
  </r>
  <r>
    <s v="bra"/>
    <x v="9"/>
    <s v="monthly"/>
    <s v="vw_cap"/>
    <n v="2"/>
    <x v="294"/>
    <n v="7.0456304591535998E-2"/>
  </r>
  <r>
    <s v="bra"/>
    <x v="9"/>
    <s v="monthly"/>
    <s v="vw_cap"/>
    <n v="5"/>
    <x v="10"/>
    <n v="-4.4989336444610298E-2"/>
  </r>
  <r>
    <s v="bra"/>
    <x v="9"/>
    <s v="monthly"/>
    <s v="vw_cap"/>
    <n v="5"/>
    <x v="11"/>
    <n v="3.5657586497785103E-2"/>
  </r>
  <r>
    <s v="bra"/>
    <x v="9"/>
    <s v="monthly"/>
    <s v="vw_cap"/>
    <n v="6"/>
    <x v="12"/>
    <n v="-1.2122958819411301E-2"/>
  </r>
  <r>
    <s v="bra"/>
    <x v="9"/>
    <s v="monthly"/>
    <s v="vw_cap"/>
    <n v="6"/>
    <x v="13"/>
    <n v="3.4095526951168097E-2"/>
  </r>
  <r>
    <s v="bra"/>
    <x v="9"/>
    <s v="monthly"/>
    <s v="vw_cap"/>
    <n v="6"/>
    <x v="14"/>
    <n v="1.2153919911380101E-2"/>
  </r>
  <r>
    <s v="bra"/>
    <x v="9"/>
    <s v="monthly"/>
    <s v="vw_cap"/>
    <n v="5"/>
    <x v="15"/>
    <n v="1.5656695426660001E-2"/>
  </r>
  <r>
    <s v="bra"/>
    <x v="9"/>
    <s v="monthly"/>
    <s v="vw_cap"/>
    <n v="3"/>
    <x v="16"/>
    <n v="1.84251218493694E-2"/>
  </r>
  <r>
    <s v="bra"/>
    <x v="9"/>
    <s v="monthly"/>
    <s v="vw_cap"/>
    <n v="3"/>
    <x v="17"/>
    <n v="4.1957860466758597E-2"/>
  </r>
  <r>
    <s v="bra"/>
    <x v="9"/>
    <s v="monthly"/>
    <s v="vw_cap"/>
    <n v="4"/>
    <x v="18"/>
    <n v="-6.0513197106092098E-2"/>
  </r>
  <r>
    <s v="bra"/>
    <x v="9"/>
    <s v="monthly"/>
    <s v="vw_cap"/>
    <n v="3"/>
    <x v="19"/>
    <n v="3.8403756965367998E-2"/>
  </r>
  <r>
    <s v="bra"/>
    <x v="9"/>
    <s v="monthly"/>
    <s v="vw_cap"/>
    <n v="4"/>
    <x v="20"/>
    <n v="-5.50843291189239E-2"/>
  </r>
  <r>
    <s v="bra"/>
    <x v="9"/>
    <s v="monthly"/>
    <s v="vw_cap"/>
    <n v="4"/>
    <x v="21"/>
    <n v="1.32634056574314E-2"/>
  </r>
  <r>
    <s v="bra"/>
    <x v="9"/>
    <s v="monthly"/>
    <s v="vw_cap"/>
    <n v="4"/>
    <x v="22"/>
    <n v="-3.8696360756219697E-2"/>
  </r>
  <r>
    <s v="bra"/>
    <x v="9"/>
    <s v="monthly"/>
    <s v="vw_cap"/>
    <n v="4"/>
    <x v="23"/>
    <n v="-8.48941927925254E-2"/>
  </r>
  <r>
    <s v="bra"/>
    <x v="9"/>
    <s v="monthly"/>
    <s v="vw_cap"/>
    <n v="6"/>
    <x v="24"/>
    <n v="-5.0144348119332001E-2"/>
  </r>
  <r>
    <s v="bra"/>
    <x v="9"/>
    <s v="monthly"/>
    <s v="vw_cap"/>
    <n v="4"/>
    <x v="25"/>
    <n v="1.3237056283118699E-2"/>
  </r>
  <r>
    <s v="bra"/>
    <x v="9"/>
    <s v="monthly"/>
    <s v="vw_cap"/>
    <n v="3"/>
    <x v="26"/>
    <n v="0.118488509194299"/>
  </r>
  <r>
    <s v="bra"/>
    <x v="9"/>
    <s v="monthly"/>
    <s v="vw_cap"/>
    <n v="6"/>
    <x v="27"/>
    <n v="1.41884311530074E-2"/>
  </r>
  <r>
    <s v="bra"/>
    <x v="9"/>
    <s v="monthly"/>
    <s v="vw_cap"/>
    <n v="2"/>
    <x v="295"/>
    <n v="-8.1017043790169704E-2"/>
  </r>
  <r>
    <s v="bra"/>
    <x v="9"/>
    <s v="monthly"/>
    <s v="vw_cap"/>
    <n v="2"/>
    <x v="296"/>
    <n v="5.8766847310227001E-2"/>
  </r>
  <r>
    <s v="bra"/>
    <x v="9"/>
    <s v="monthly"/>
    <s v="vw_cap"/>
    <n v="2"/>
    <x v="297"/>
    <n v="2.1934518945916401E-2"/>
  </r>
  <r>
    <s v="bra"/>
    <x v="9"/>
    <s v="monthly"/>
    <s v="vw_cap"/>
    <n v="2"/>
    <x v="298"/>
    <n v="3.2722485531208899E-2"/>
  </r>
  <r>
    <s v="bra"/>
    <x v="9"/>
    <s v="monthly"/>
    <s v="vw_cap"/>
    <n v="1"/>
    <x v="299"/>
    <n v="-5.7136818080577396E-3"/>
  </r>
  <r>
    <s v="bra"/>
    <x v="9"/>
    <s v="monthly"/>
    <s v="vw_cap"/>
    <n v="2"/>
    <x v="300"/>
    <n v="4.4823893706664501E-2"/>
  </r>
  <r>
    <s v="bra"/>
    <x v="9"/>
    <s v="monthly"/>
    <s v="vw_cap"/>
    <n v="1"/>
    <x v="301"/>
    <n v="0.146375572441899"/>
  </r>
  <r>
    <s v="bra"/>
    <x v="9"/>
    <s v="monthly"/>
    <s v="vw_cap"/>
    <n v="1"/>
    <x v="302"/>
    <n v="0.18413643362065299"/>
  </r>
  <r>
    <s v="bra"/>
    <x v="9"/>
    <s v="monthly"/>
    <s v="vw_cap"/>
    <n v="2"/>
    <x v="303"/>
    <n v="4.18722492556063E-2"/>
  </r>
  <r>
    <s v="bra"/>
    <x v="9"/>
    <s v="monthly"/>
    <s v="vw_cap"/>
    <n v="2"/>
    <x v="304"/>
    <n v="4.7194367968031802E-2"/>
  </r>
  <r>
    <s v="bra"/>
    <x v="9"/>
    <s v="monthly"/>
    <s v="vw_cap"/>
    <n v="1"/>
    <x v="363"/>
    <n v="-3.5610014242734203E-2"/>
  </r>
  <r>
    <s v="bra"/>
    <x v="9"/>
    <s v="monthly"/>
    <s v="vw_cap"/>
    <n v="1"/>
    <x v="365"/>
    <n v="6.67387879957098E-3"/>
  </r>
  <r>
    <s v="bra"/>
    <x v="9"/>
    <s v="monthly"/>
    <s v="vw_cap"/>
    <n v="3"/>
    <x v="305"/>
    <n v="1.9568775298123502E-2"/>
  </r>
  <r>
    <s v="bra"/>
    <x v="9"/>
    <s v="monthly"/>
    <s v="vw_cap"/>
    <n v="3"/>
    <x v="306"/>
    <n v="-2.1445544174281701E-2"/>
  </r>
  <r>
    <s v="bra"/>
    <x v="9"/>
    <s v="monthly"/>
    <s v="vw_cap"/>
    <n v="3"/>
    <x v="307"/>
    <n v="-5.2722399676957497E-3"/>
  </r>
  <r>
    <s v="bra"/>
    <x v="9"/>
    <s v="monthly"/>
    <s v="vw_cap"/>
    <n v="5"/>
    <x v="28"/>
    <n v="-1.0553807022189499E-3"/>
  </r>
  <r>
    <s v="bra"/>
    <x v="9"/>
    <s v="monthly"/>
    <s v="vw_cap"/>
    <n v="3"/>
    <x v="308"/>
    <n v="3.16653640916814E-2"/>
  </r>
  <r>
    <s v="bra"/>
    <x v="9"/>
    <s v="monthly"/>
    <s v="vw_cap"/>
    <n v="3"/>
    <x v="309"/>
    <n v="0.12589635084987899"/>
  </r>
  <r>
    <s v="bra"/>
    <x v="9"/>
    <s v="monthly"/>
    <s v="vw_cap"/>
    <n v="3"/>
    <x v="310"/>
    <n v="1.02346926782492E-2"/>
  </r>
  <r>
    <s v="bra"/>
    <x v="9"/>
    <s v="monthly"/>
    <s v="vw_cap"/>
    <n v="3"/>
    <x v="311"/>
    <n v="-6.4392847387170493E-2"/>
  </r>
  <r>
    <s v="bra"/>
    <x v="9"/>
    <s v="monthly"/>
    <s v="vw_cap"/>
    <n v="6"/>
    <x v="29"/>
    <n v="-4.7986615477949898E-2"/>
  </r>
  <r>
    <s v="bra"/>
    <x v="9"/>
    <s v="monthly"/>
    <s v="vw_cap"/>
    <n v="6"/>
    <x v="30"/>
    <n v="3.2265161791097202E-2"/>
  </r>
  <r>
    <s v="bra"/>
    <x v="9"/>
    <s v="monthly"/>
    <s v="vw_cap"/>
    <n v="7"/>
    <x v="31"/>
    <n v="-1.64074175279189E-2"/>
  </r>
  <r>
    <s v="bra"/>
    <x v="9"/>
    <s v="monthly"/>
    <s v="vw_cap"/>
    <n v="8"/>
    <x v="32"/>
    <n v="-1.3988291202251301E-2"/>
  </r>
  <r>
    <s v="bra"/>
    <x v="9"/>
    <s v="monthly"/>
    <s v="vw_cap"/>
    <n v="8"/>
    <x v="33"/>
    <n v="4.6958480939994801E-2"/>
  </r>
  <r>
    <s v="bra"/>
    <x v="9"/>
    <s v="monthly"/>
    <s v="vw_cap"/>
    <n v="8"/>
    <x v="34"/>
    <n v="2.4270779411906401E-2"/>
  </r>
  <r>
    <s v="bra"/>
    <x v="9"/>
    <s v="monthly"/>
    <s v="vw_cap"/>
    <n v="8"/>
    <x v="35"/>
    <n v="3.6639480409048799E-3"/>
  </r>
  <r>
    <s v="bra"/>
    <x v="9"/>
    <s v="monthly"/>
    <s v="vw_cap"/>
    <n v="8"/>
    <x v="36"/>
    <n v="-5.1256347349054002E-4"/>
  </r>
  <r>
    <s v="bra"/>
    <x v="9"/>
    <s v="monthly"/>
    <s v="vw_cap"/>
    <n v="8"/>
    <x v="37"/>
    <n v="-2.5603390090544399E-2"/>
  </r>
  <r>
    <s v="bra"/>
    <x v="9"/>
    <s v="monthly"/>
    <s v="vw_cap"/>
    <n v="8"/>
    <x v="38"/>
    <n v="-1.9009610251409102E-2"/>
  </r>
  <r>
    <s v="bra"/>
    <x v="9"/>
    <s v="monthly"/>
    <s v="vw_cap"/>
    <n v="8"/>
    <x v="39"/>
    <n v="2.5045192143246599E-2"/>
  </r>
  <r>
    <s v="bra"/>
    <x v="9"/>
    <s v="monthly"/>
    <s v="vw_cap"/>
    <n v="8"/>
    <x v="40"/>
    <n v="4.37266286822122E-2"/>
  </r>
  <r>
    <s v="bra"/>
    <x v="9"/>
    <s v="monthly"/>
    <s v="vw_cap"/>
    <n v="8"/>
    <x v="41"/>
    <n v="-4.5827156818679299E-2"/>
  </r>
  <r>
    <s v="bra"/>
    <x v="9"/>
    <s v="monthly"/>
    <s v="vw_cap"/>
    <n v="8"/>
    <x v="42"/>
    <n v="-4.4658910204381397E-2"/>
  </r>
  <r>
    <s v="bra"/>
    <x v="9"/>
    <s v="monthly"/>
    <s v="vw_cap"/>
    <n v="8"/>
    <x v="43"/>
    <n v="8.3620236577450199E-2"/>
  </r>
  <r>
    <s v="bra"/>
    <x v="9"/>
    <s v="monthly"/>
    <s v="vw_cap"/>
    <n v="8"/>
    <x v="44"/>
    <n v="-1.50177718255764E-2"/>
  </r>
  <r>
    <s v="bra"/>
    <x v="9"/>
    <s v="monthly"/>
    <s v="vw_cap"/>
    <n v="8"/>
    <x v="45"/>
    <n v="-2.2796012291526401E-2"/>
  </r>
  <r>
    <s v="bra"/>
    <x v="9"/>
    <s v="monthly"/>
    <s v="vw_cap"/>
    <n v="8"/>
    <x v="46"/>
    <n v="1.7594442627360599E-2"/>
  </r>
  <r>
    <s v="bra"/>
    <x v="9"/>
    <s v="monthly"/>
    <s v="vw_cap"/>
    <n v="8"/>
    <x v="47"/>
    <n v="-1.38306022980287E-2"/>
  </r>
  <r>
    <s v="bra"/>
    <x v="9"/>
    <s v="monthly"/>
    <s v="vw_cap"/>
    <n v="8"/>
    <x v="48"/>
    <n v="5.96491009904839E-2"/>
  </r>
  <r>
    <s v="bra"/>
    <x v="9"/>
    <s v="monthly"/>
    <s v="vw_cap"/>
    <n v="8"/>
    <x v="49"/>
    <n v="7.0693158943810402E-3"/>
  </r>
  <r>
    <s v="bra"/>
    <x v="9"/>
    <s v="monthly"/>
    <s v="vw_cap"/>
    <n v="8"/>
    <x v="50"/>
    <n v="-9.8094622249120401E-3"/>
  </r>
  <r>
    <s v="bra"/>
    <x v="9"/>
    <s v="monthly"/>
    <s v="vw_cap"/>
    <n v="8"/>
    <x v="51"/>
    <n v="-5.8902276963977897E-3"/>
  </r>
  <r>
    <s v="bra"/>
    <x v="9"/>
    <s v="monthly"/>
    <s v="vw_cap"/>
    <n v="8"/>
    <x v="52"/>
    <n v="-1.3803767287276201E-2"/>
  </r>
  <r>
    <s v="bra"/>
    <x v="9"/>
    <s v="monthly"/>
    <s v="vw_cap"/>
    <n v="8"/>
    <x v="53"/>
    <n v="1.4987475076631999E-2"/>
  </r>
  <r>
    <s v="bra"/>
    <x v="9"/>
    <s v="monthly"/>
    <s v="vw_cap"/>
    <n v="8"/>
    <x v="54"/>
    <n v="2.0918163928787498E-2"/>
  </r>
  <r>
    <s v="bra"/>
    <x v="9"/>
    <s v="monthly"/>
    <s v="vw_cap"/>
    <n v="8"/>
    <x v="55"/>
    <n v="3.0625215424221102E-3"/>
  </r>
  <r>
    <s v="bra"/>
    <x v="9"/>
    <s v="monthly"/>
    <s v="vw_cap"/>
    <n v="8"/>
    <x v="56"/>
    <n v="1.57739758333055E-3"/>
  </r>
  <r>
    <s v="bra"/>
    <x v="9"/>
    <s v="monthly"/>
    <s v="vw_cap"/>
    <n v="8"/>
    <x v="57"/>
    <n v="1.8116974381987699E-3"/>
  </r>
  <r>
    <s v="bra"/>
    <x v="9"/>
    <s v="monthly"/>
    <s v="vw_cap"/>
    <n v="8"/>
    <x v="58"/>
    <n v="2.3955999913016601E-3"/>
  </r>
  <r>
    <s v="bra"/>
    <x v="9"/>
    <s v="monthly"/>
    <s v="vw_cap"/>
    <n v="8"/>
    <x v="59"/>
    <n v="-1.2104743838330399E-2"/>
  </r>
  <r>
    <s v="bra"/>
    <x v="9"/>
    <s v="monthly"/>
    <s v="vw_cap"/>
    <n v="8"/>
    <x v="60"/>
    <n v="-1.0616122106302601E-2"/>
  </r>
  <r>
    <s v="bra"/>
    <x v="9"/>
    <s v="monthly"/>
    <s v="vw_cap"/>
    <n v="8"/>
    <x v="61"/>
    <n v="1.7858847417258301E-2"/>
  </r>
  <r>
    <s v="bra"/>
    <x v="9"/>
    <s v="monthly"/>
    <s v="vw_cap"/>
    <n v="8"/>
    <x v="62"/>
    <n v="2.4347195896554E-2"/>
  </r>
  <r>
    <s v="bra"/>
    <x v="9"/>
    <s v="monthly"/>
    <s v="vw_cap"/>
    <n v="8"/>
    <x v="63"/>
    <n v="1.5735129378743499E-2"/>
  </r>
  <r>
    <s v="bra"/>
    <x v="9"/>
    <s v="monthly"/>
    <s v="vw_cap"/>
    <n v="8"/>
    <x v="64"/>
    <n v="3.24577533131052E-3"/>
  </r>
  <r>
    <s v="bra"/>
    <x v="9"/>
    <s v="monthly"/>
    <s v="vw_cap"/>
    <n v="8"/>
    <x v="65"/>
    <n v="-1.03569740243046E-2"/>
  </r>
  <r>
    <s v="bra"/>
    <x v="9"/>
    <s v="monthly"/>
    <s v="vw_cap"/>
    <n v="8"/>
    <x v="66"/>
    <n v="1.10838952845777E-2"/>
  </r>
  <r>
    <s v="bra"/>
    <x v="9"/>
    <s v="monthly"/>
    <s v="vw_cap"/>
    <n v="8"/>
    <x v="67"/>
    <n v="2.6808161996244501E-2"/>
  </r>
  <r>
    <s v="bra"/>
    <x v="9"/>
    <s v="monthly"/>
    <s v="vw_cap"/>
    <n v="8"/>
    <x v="68"/>
    <n v="-4.0094907627640898E-3"/>
  </r>
  <r>
    <s v="bra"/>
    <x v="9"/>
    <s v="monthly"/>
    <s v="vw_cap"/>
    <n v="8"/>
    <x v="69"/>
    <n v="-2.0715914226704601E-2"/>
  </r>
  <r>
    <s v="bra"/>
    <x v="9"/>
    <s v="monthly"/>
    <s v="vw_cap"/>
    <n v="8"/>
    <x v="70"/>
    <n v="8.4469536936241305E-3"/>
  </r>
  <r>
    <s v="bra"/>
    <x v="9"/>
    <s v="monthly"/>
    <s v="vw_cap"/>
    <n v="8"/>
    <x v="71"/>
    <n v="-8.1214302259458096E-3"/>
  </r>
  <r>
    <s v="bra"/>
    <x v="9"/>
    <s v="monthly"/>
    <s v="vw_cap"/>
    <n v="8"/>
    <x v="72"/>
    <n v="2.0281753565702901E-2"/>
  </r>
  <r>
    <s v="bra"/>
    <x v="9"/>
    <s v="monthly"/>
    <s v="vw_cap"/>
    <n v="8"/>
    <x v="73"/>
    <n v="5.2823145405268596E-4"/>
  </r>
  <r>
    <s v="bra"/>
    <x v="9"/>
    <s v="monthly"/>
    <s v="vw_cap"/>
    <n v="8"/>
    <x v="74"/>
    <n v="-1.9938374819726799E-2"/>
  </r>
  <r>
    <s v="bra"/>
    <x v="9"/>
    <s v="monthly"/>
    <s v="vw_cap"/>
    <n v="8"/>
    <x v="75"/>
    <n v="-4.1475758029882303E-3"/>
  </r>
  <r>
    <s v="bra"/>
    <x v="9"/>
    <s v="monthly"/>
    <s v="vw_cap"/>
    <n v="8"/>
    <x v="76"/>
    <n v="-1.32522158957144E-2"/>
  </r>
  <r>
    <s v="bra"/>
    <x v="9"/>
    <s v="monthly"/>
    <s v="vw_cap"/>
    <n v="8"/>
    <x v="77"/>
    <n v="6.9861857419247601E-3"/>
  </r>
  <r>
    <s v="bra"/>
    <x v="9"/>
    <s v="monthly"/>
    <s v="vw_cap"/>
    <n v="8"/>
    <x v="78"/>
    <n v="2.7937402278041899E-2"/>
  </r>
  <r>
    <s v="bra"/>
    <x v="9"/>
    <s v="monthly"/>
    <s v="vw_cap"/>
    <n v="8"/>
    <x v="79"/>
    <n v="-2.2014528014027101E-2"/>
  </r>
  <r>
    <s v="bra"/>
    <x v="9"/>
    <s v="monthly"/>
    <s v="vw_cap"/>
    <n v="8"/>
    <x v="80"/>
    <n v="-1.2666848548155399E-2"/>
  </r>
  <r>
    <s v="bra"/>
    <x v="9"/>
    <s v="monthly"/>
    <s v="vw_cap"/>
    <n v="8"/>
    <x v="81"/>
    <n v="-4.0780363055051699E-2"/>
  </r>
  <r>
    <s v="bra"/>
    <x v="9"/>
    <s v="monthly"/>
    <s v="vw_cap"/>
    <n v="8"/>
    <x v="82"/>
    <n v="5.8174862527476702E-3"/>
  </r>
  <r>
    <s v="bra"/>
    <x v="9"/>
    <s v="monthly"/>
    <s v="vw_cap"/>
    <n v="8"/>
    <x v="83"/>
    <n v="1.9273278705934201E-2"/>
  </r>
  <r>
    <s v="bra"/>
    <x v="9"/>
    <s v="monthly"/>
    <s v="vw_cap"/>
    <n v="8"/>
    <x v="84"/>
    <n v="1.8548888524660901E-2"/>
  </r>
  <r>
    <s v="bra"/>
    <x v="9"/>
    <s v="monthly"/>
    <s v="vw_cap"/>
    <n v="8"/>
    <x v="85"/>
    <n v="2.2603031999704299E-3"/>
  </r>
  <r>
    <s v="bra"/>
    <x v="9"/>
    <s v="monthly"/>
    <s v="vw_cap"/>
    <n v="8"/>
    <x v="86"/>
    <n v="3.0635625548046701E-2"/>
  </r>
  <r>
    <s v="bra"/>
    <x v="9"/>
    <s v="monthly"/>
    <s v="vw_cap"/>
    <n v="8"/>
    <x v="87"/>
    <n v="-1.08955730818241E-2"/>
  </r>
  <r>
    <s v="bra"/>
    <x v="9"/>
    <s v="monthly"/>
    <s v="vw_cap"/>
    <n v="8"/>
    <x v="88"/>
    <n v="-1.6167058390669502E-2"/>
  </r>
  <r>
    <s v="bra"/>
    <x v="9"/>
    <s v="monthly"/>
    <s v="vw_cap"/>
    <n v="8"/>
    <x v="89"/>
    <n v="-3.25890149793946E-2"/>
  </r>
  <r>
    <s v="bra"/>
    <x v="9"/>
    <s v="monthly"/>
    <s v="vw_cap"/>
    <n v="8"/>
    <x v="90"/>
    <n v="6.5459779051607603E-3"/>
  </r>
  <r>
    <s v="bra"/>
    <x v="9"/>
    <s v="monthly"/>
    <s v="vw_cap"/>
    <n v="8"/>
    <x v="91"/>
    <n v="-1.38285299404266E-2"/>
  </r>
  <r>
    <s v="bra"/>
    <x v="9"/>
    <s v="monthly"/>
    <s v="vw_cap"/>
    <n v="9"/>
    <x v="92"/>
    <n v="3.1225261197417998E-3"/>
  </r>
  <r>
    <s v="bra"/>
    <x v="9"/>
    <s v="monthly"/>
    <s v="vw_cap"/>
    <n v="8"/>
    <x v="93"/>
    <n v="2.32127795277252E-2"/>
  </r>
  <r>
    <s v="bra"/>
    <x v="9"/>
    <s v="monthly"/>
    <s v="vw_cap"/>
    <n v="8"/>
    <x v="94"/>
    <n v="-2.4986637363304101E-2"/>
  </r>
  <r>
    <s v="bra"/>
    <x v="9"/>
    <s v="monthly"/>
    <s v="vw_cap"/>
    <n v="9"/>
    <x v="95"/>
    <n v="-1.19036237880378E-2"/>
  </r>
  <r>
    <s v="bra"/>
    <x v="9"/>
    <s v="monthly"/>
    <s v="vw_cap"/>
    <n v="9"/>
    <x v="96"/>
    <n v="1.23418263914908E-2"/>
  </r>
  <r>
    <s v="bra"/>
    <x v="9"/>
    <s v="monthly"/>
    <s v="vw_cap"/>
    <n v="9"/>
    <x v="97"/>
    <n v="1.2215726961007501E-2"/>
  </r>
  <r>
    <s v="bra"/>
    <x v="9"/>
    <s v="monthly"/>
    <s v="vw_cap"/>
    <n v="8"/>
    <x v="98"/>
    <n v="-6.9848658514494299E-3"/>
  </r>
  <r>
    <s v="bra"/>
    <x v="9"/>
    <s v="monthly"/>
    <s v="vw_cap"/>
    <n v="9"/>
    <x v="99"/>
    <n v="1.18910524000026E-2"/>
  </r>
  <r>
    <s v="bra"/>
    <x v="9"/>
    <s v="monthly"/>
    <s v="vw_cap"/>
    <n v="9"/>
    <x v="100"/>
    <n v="9.4747340716661004E-3"/>
  </r>
  <r>
    <s v="bra"/>
    <x v="9"/>
    <s v="monthly"/>
    <s v="vw_cap"/>
    <n v="9"/>
    <x v="101"/>
    <n v="-3.9623977950504104E-3"/>
  </r>
  <r>
    <s v="bra"/>
    <x v="9"/>
    <s v="monthly"/>
    <s v="vw_cap"/>
    <n v="8"/>
    <x v="102"/>
    <n v="1.0524674238026501E-2"/>
  </r>
  <r>
    <s v="bra"/>
    <x v="9"/>
    <s v="monthly"/>
    <s v="vw_cap"/>
    <n v="8"/>
    <x v="103"/>
    <n v="-2.2306596768775399E-2"/>
  </r>
  <r>
    <s v="bra"/>
    <x v="9"/>
    <s v="monthly"/>
    <s v="vw_cap"/>
    <n v="9"/>
    <x v="104"/>
    <n v="9.1391063529125804E-3"/>
  </r>
  <r>
    <s v="bra"/>
    <x v="9"/>
    <s v="monthly"/>
    <s v="vw_cap"/>
    <n v="9"/>
    <x v="105"/>
    <n v="-2.16651926591639E-2"/>
  </r>
  <r>
    <s v="bra"/>
    <x v="9"/>
    <s v="monthly"/>
    <s v="vw_cap"/>
    <n v="9"/>
    <x v="106"/>
    <n v="2.09038122826306E-3"/>
  </r>
  <r>
    <s v="bra"/>
    <x v="9"/>
    <s v="monthly"/>
    <s v="vw_cap"/>
    <n v="9"/>
    <x v="107"/>
    <n v="-8.0796489872559593E-3"/>
  </r>
  <r>
    <s v="bra"/>
    <x v="9"/>
    <s v="monthly"/>
    <s v="vw_cap"/>
    <n v="9"/>
    <x v="108"/>
    <n v="1.30470049828912E-2"/>
  </r>
  <r>
    <s v="bra"/>
    <x v="9"/>
    <s v="monthly"/>
    <s v="vw_cap"/>
    <n v="9"/>
    <x v="109"/>
    <n v="6.3507866866938604E-3"/>
  </r>
  <r>
    <s v="bra"/>
    <x v="9"/>
    <s v="monthly"/>
    <s v="vw_cap"/>
    <n v="9"/>
    <x v="110"/>
    <n v="-2.9461555069000998E-3"/>
  </r>
  <r>
    <s v="bra"/>
    <x v="9"/>
    <s v="monthly"/>
    <s v="vw_cap"/>
    <n v="9"/>
    <x v="111"/>
    <n v="2.17008615871648E-3"/>
  </r>
  <r>
    <s v="bra"/>
    <x v="9"/>
    <s v="monthly"/>
    <s v="vw_cap"/>
    <n v="9"/>
    <x v="112"/>
    <n v="-1.03022157856382E-2"/>
  </r>
  <r>
    <s v="bra"/>
    <x v="9"/>
    <s v="monthly"/>
    <s v="vw_cap"/>
    <n v="9"/>
    <x v="113"/>
    <n v="4.3645240791383199E-3"/>
  </r>
  <r>
    <s v="bra"/>
    <x v="9"/>
    <s v="monthly"/>
    <s v="vw_cap"/>
    <n v="9"/>
    <x v="114"/>
    <n v="1.21953699083104E-2"/>
  </r>
  <r>
    <s v="bra"/>
    <x v="9"/>
    <s v="monthly"/>
    <s v="vw_cap"/>
    <n v="9"/>
    <x v="115"/>
    <n v="2.0969024814224799E-3"/>
  </r>
  <r>
    <s v="bra"/>
    <x v="9"/>
    <s v="monthly"/>
    <s v="vw_cap"/>
    <n v="9"/>
    <x v="116"/>
    <n v="-1.63396126396038E-2"/>
  </r>
  <r>
    <s v="bra"/>
    <x v="9"/>
    <s v="monthly"/>
    <s v="vw_cap"/>
    <n v="9"/>
    <x v="117"/>
    <n v="2.55364747325307E-3"/>
  </r>
  <r>
    <s v="bra"/>
    <x v="9"/>
    <s v="monthly"/>
    <s v="vw_cap"/>
    <n v="9"/>
    <x v="118"/>
    <n v="-3.4311494290585999E-4"/>
  </r>
  <r>
    <s v="bra"/>
    <x v="9"/>
    <s v="monthly"/>
    <s v="vw_cap"/>
    <n v="9"/>
    <x v="119"/>
    <n v="-3.3605932673297502E-3"/>
  </r>
  <r>
    <s v="bra"/>
    <x v="9"/>
    <s v="monthly"/>
    <s v="vw_cap"/>
    <n v="9"/>
    <x v="120"/>
    <n v="2.1962534548776798E-3"/>
  </r>
  <r>
    <s v="bra"/>
    <x v="9"/>
    <s v="monthly"/>
    <s v="vw_cap"/>
    <n v="9"/>
    <x v="121"/>
    <n v="-2.0184274448000999E-2"/>
  </r>
  <r>
    <s v="bra"/>
    <x v="9"/>
    <s v="monthly"/>
    <s v="vw_cap"/>
    <n v="9"/>
    <x v="122"/>
    <n v="6.1544879552899098E-3"/>
  </r>
  <r>
    <s v="bra"/>
    <x v="9"/>
    <s v="monthly"/>
    <s v="vw_cap"/>
    <n v="9"/>
    <x v="123"/>
    <n v="6.4169815475090405E-4"/>
  </r>
  <r>
    <s v="bra"/>
    <x v="9"/>
    <s v="monthly"/>
    <s v="vw_cap"/>
    <n v="9"/>
    <x v="124"/>
    <n v="-1.1303338461370001E-2"/>
  </r>
  <r>
    <s v="bra"/>
    <x v="9"/>
    <s v="monthly"/>
    <s v="vw_cap"/>
    <n v="9"/>
    <x v="125"/>
    <n v="-6.2397319894181404E-3"/>
  </r>
  <r>
    <s v="bra"/>
    <x v="9"/>
    <s v="monthly"/>
    <s v="vw_cap"/>
    <n v="9"/>
    <x v="126"/>
    <n v="9.0448826975447795E-3"/>
  </r>
  <r>
    <s v="bra"/>
    <x v="9"/>
    <s v="monthly"/>
    <s v="vw_cap"/>
    <n v="9"/>
    <x v="127"/>
    <n v="1.27333819502279E-2"/>
  </r>
  <r>
    <s v="bra"/>
    <x v="9"/>
    <s v="monthly"/>
    <s v="vw_cap"/>
    <n v="9"/>
    <x v="128"/>
    <n v="2.4907820150741099E-3"/>
  </r>
  <r>
    <s v="bra"/>
    <x v="9"/>
    <s v="monthly"/>
    <s v="vw_cap"/>
    <n v="9"/>
    <x v="129"/>
    <n v="5.9244268956996004E-4"/>
  </r>
  <r>
    <s v="bra"/>
    <x v="9"/>
    <s v="monthly"/>
    <s v="vw_cap"/>
    <n v="9"/>
    <x v="130"/>
    <n v="1.9615245231471802E-3"/>
  </r>
  <r>
    <s v="bra"/>
    <x v="9"/>
    <s v="monthly"/>
    <s v="vw_cap"/>
    <n v="9"/>
    <x v="131"/>
    <n v="8.9396651596614204E-4"/>
  </r>
  <r>
    <s v="bra"/>
    <x v="9"/>
    <s v="monthly"/>
    <s v="vw_cap"/>
    <n v="9"/>
    <x v="132"/>
    <n v="-1.8180193715042099E-2"/>
  </r>
  <r>
    <s v="bra"/>
    <x v="9"/>
    <s v="monthly"/>
    <s v="vw_cap"/>
    <n v="9"/>
    <x v="133"/>
    <n v="-2.5653380971779401E-3"/>
  </r>
  <r>
    <s v="bra"/>
    <x v="9"/>
    <s v="monthly"/>
    <s v="vw_cap"/>
    <n v="9"/>
    <x v="134"/>
    <n v="-8.3837365066220006E-3"/>
  </r>
  <r>
    <s v="bra"/>
    <x v="9"/>
    <s v="monthly"/>
    <s v="vw_cap"/>
    <n v="9"/>
    <x v="135"/>
    <n v="-1.93886444062997E-3"/>
  </r>
  <r>
    <s v="bra"/>
    <x v="9"/>
    <s v="monthly"/>
    <s v="vw_cap"/>
    <n v="9"/>
    <x v="136"/>
    <n v="6.0743106070383903E-3"/>
  </r>
  <r>
    <s v="bra"/>
    <x v="9"/>
    <s v="monthly"/>
    <s v="vw_cap"/>
    <n v="9"/>
    <x v="137"/>
    <n v="-2.0278278136346699E-3"/>
  </r>
  <r>
    <s v="bra"/>
    <x v="9"/>
    <s v="monthly"/>
    <s v="vw_cap"/>
    <n v="9"/>
    <x v="138"/>
    <n v="-4.29283944552442E-3"/>
  </r>
  <r>
    <s v="bra"/>
    <x v="9"/>
    <s v="monthly"/>
    <s v="vw_cap"/>
    <n v="9"/>
    <x v="139"/>
    <n v="-2.9083059321113498E-3"/>
  </r>
  <r>
    <s v="bra"/>
    <x v="9"/>
    <s v="monthly"/>
    <s v="vw_cap"/>
    <n v="9"/>
    <x v="140"/>
    <n v="-1.1781362728826401E-3"/>
  </r>
  <r>
    <s v="bra"/>
    <x v="9"/>
    <s v="monthly"/>
    <s v="vw_cap"/>
    <n v="9"/>
    <x v="141"/>
    <n v="-1.03611957316555E-2"/>
  </r>
  <r>
    <s v="bra"/>
    <x v="9"/>
    <s v="monthly"/>
    <s v="vw_cap"/>
    <n v="9"/>
    <x v="142"/>
    <n v="-7.3131658421527503E-3"/>
  </r>
  <r>
    <s v="bra"/>
    <x v="9"/>
    <s v="monthly"/>
    <s v="vw_cap"/>
    <n v="9"/>
    <x v="143"/>
    <n v="-8.4002812784895794E-3"/>
  </r>
  <r>
    <s v="bra"/>
    <x v="9"/>
    <s v="monthly"/>
    <s v="vw_cap"/>
    <n v="9"/>
    <x v="144"/>
    <n v="-4.6314630672821501E-3"/>
  </r>
  <r>
    <s v="bra"/>
    <x v="9"/>
    <s v="monthly"/>
    <s v="vw_cap"/>
    <n v="9"/>
    <x v="145"/>
    <n v="2.2831905504614499E-3"/>
  </r>
  <r>
    <s v="bra"/>
    <x v="9"/>
    <s v="monthly"/>
    <s v="vw_cap"/>
    <n v="9"/>
    <x v="146"/>
    <n v="-1.8010595060737902E-2"/>
  </r>
  <r>
    <s v="bra"/>
    <x v="9"/>
    <s v="monthly"/>
    <s v="vw_cap"/>
    <n v="9"/>
    <x v="147"/>
    <n v="-1.8031527709349002E-2"/>
  </r>
  <r>
    <s v="bra"/>
    <x v="9"/>
    <s v="monthly"/>
    <s v="vw_cap"/>
    <n v="10"/>
    <x v="148"/>
    <n v="6.9601723695313896E-3"/>
  </r>
  <r>
    <s v="bra"/>
    <x v="9"/>
    <s v="monthly"/>
    <s v="vw_cap"/>
    <n v="9"/>
    <x v="149"/>
    <n v="3.18024109543247E-3"/>
  </r>
  <r>
    <s v="bra"/>
    <x v="9"/>
    <s v="monthly"/>
    <s v="vw_cap"/>
    <n v="9"/>
    <x v="150"/>
    <n v="-2.1561483142221501E-2"/>
  </r>
  <r>
    <s v="bra"/>
    <x v="9"/>
    <s v="monthly"/>
    <s v="vw_cap"/>
    <n v="9"/>
    <x v="151"/>
    <n v="2.1601882582007702E-3"/>
  </r>
  <r>
    <s v="bra"/>
    <x v="9"/>
    <s v="monthly"/>
    <s v="vw_cap"/>
    <n v="10"/>
    <x v="152"/>
    <n v="1.3653557596711699E-2"/>
  </r>
  <r>
    <s v="bra"/>
    <x v="9"/>
    <s v="monthly"/>
    <s v="vw_cap"/>
    <n v="10"/>
    <x v="153"/>
    <n v="1.6872119672500799E-2"/>
  </r>
  <r>
    <s v="bra"/>
    <x v="9"/>
    <s v="monthly"/>
    <s v="vw_cap"/>
    <n v="10"/>
    <x v="154"/>
    <n v="-5.4633670108073602E-4"/>
  </r>
  <r>
    <s v="bra"/>
    <x v="9"/>
    <s v="monthly"/>
    <s v="vw_cap"/>
    <n v="10"/>
    <x v="155"/>
    <n v="-1.03640798590962E-2"/>
  </r>
  <r>
    <s v="bra"/>
    <x v="9"/>
    <s v="monthly"/>
    <s v="vw_cap"/>
    <n v="10"/>
    <x v="156"/>
    <n v="1.42528465693782E-2"/>
  </r>
  <r>
    <s v="bra"/>
    <x v="9"/>
    <s v="monthly"/>
    <s v="vw_cap"/>
    <n v="10"/>
    <x v="157"/>
    <n v="7.3718725929798404E-3"/>
  </r>
  <r>
    <s v="bra"/>
    <x v="9"/>
    <s v="monthly"/>
    <s v="vw_cap"/>
    <n v="10"/>
    <x v="158"/>
    <n v="8.9945124822968202E-3"/>
  </r>
  <r>
    <s v="bra"/>
    <x v="9"/>
    <s v="monthly"/>
    <s v="vw_cap"/>
    <n v="10"/>
    <x v="159"/>
    <n v="7.1195683427969702E-3"/>
  </r>
  <r>
    <s v="bra"/>
    <x v="9"/>
    <s v="monthly"/>
    <s v="vw_cap"/>
    <n v="10"/>
    <x v="160"/>
    <n v="9.5669791076950401E-3"/>
  </r>
  <r>
    <s v="bra"/>
    <x v="9"/>
    <s v="monthly"/>
    <s v="vw_cap"/>
    <n v="10"/>
    <x v="161"/>
    <n v="-1.5393314220383199E-2"/>
  </r>
  <r>
    <s v="bra"/>
    <x v="9"/>
    <s v="monthly"/>
    <s v="vw_cap"/>
    <n v="9"/>
    <x v="162"/>
    <n v="2.2390164920348E-3"/>
  </r>
  <r>
    <s v="bra"/>
    <x v="9"/>
    <s v="monthly"/>
    <s v="vw_cap"/>
    <n v="9"/>
    <x v="163"/>
    <n v="8.5569767175521796E-4"/>
  </r>
  <r>
    <s v="bra"/>
    <x v="9"/>
    <s v="monthly"/>
    <s v="vw_cap"/>
    <n v="10"/>
    <x v="164"/>
    <n v="-1.49985671998695E-3"/>
  </r>
  <r>
    <s v="bra"/>
    <x v="9"/>
    <s v="monthly"/>
    <s v="vw_cap"/>
    <n v="10"/>
    <x v="165"/>
    <n v="1.55456830043541E-2"/>
  </r>
  <r>
    <s v="bra"/>
    <x v="9"/>
    <s v="monthly"/>
    <s v="vw_cap"/>
    <n v="11"/>
    <x v="166"/>
    <n v="-4.5372415483366799E-3"/>
  </r>
  <r>
    <s v="bra"/>
    <x v="9"/>
    <s v="monthly"/>
    <s v="vw_cap"/>
    <n v="11"/>
    <x v="167"/>
    <n v="-1.6195426229635899E-2"/>
  </r>
  <r>
    <s v="bra"/>
    <x v="9"/>
    <s v="monthly"/>
    <s v="vw_cap"/>
    <n v="10"/>
    <x v="168"/>
    <n v="5.1446289149927301E-3"/>
  </r>
  <r>
    <s v="bra"/>
    <x v="9"/>
    <s v="monthly"/>
    <s v="vw_cap"/>
    <n v="10"/>
    <x v="169"/>
    <n v="-2.497528068701E-2"/>
  </r>
  <r>
    <s v="bra"/>
    <x v="9"/>
    <s v="monthly"/>
    <s v="vw_cap"/>
    <n v="9"/>
    <x v="170"/>
    <n v="1.2650167117505599E-2"/>
  </r>
  <r>
    <s v="bra"/>
    <x v="9"/>
    <s v="monthly"/>
    <s v="vw_cap"/>
    <n v="9"/>
    <x v="171"/>
    <n v="-5.2466746643214997E-2"/>
  </r>
  <r>
    <s v="bra"/>
    <x v="9"/>
    <s v="monthly"/>
    <s v="vw_cap"/>
    <n v="9"/>
    <x v="172"/>
    <n v="8.96826658292239E-3"/>
  </r>
  <r>
    <s v="bra"/>
    <x v="9"/>
    <s v="monthly"/>
    <s v="vw_cap"/>
    <n v="9"/>
    <x v="173"/>
    <n v="-6.5914347138794401E-3"/>
  </r>
  <r>
    <s v="bra"/>
    <x v="9"/>
    <s v="monthly"/>
    <s v="vw_cap"/>
    <n v="9"/>
    <x v="174"/>
    <n v="-1.5728336973209599E-3"/>
  </r>
  <r>
    <s v="bra"/>
    <x v="9"/>
    <s v="monthly"/>
    <s v="vw_cap"/>
    <n v="9"/>
    <x v="175"/>
    <n v="1.8733673971653299E-2"/>
  </r>
  <r>
    <s v="bra"/>
    <x v="9"/>
    <s v="monthly"/>
    <s v="vw_cap"/>
    <n v="10"/>
    <x v="176"/>
    <n v="9.3820749580640298E-3"/>
  </r>
  <r>
    <s v="bra"/>
    <x v="9"/>
    <s v="monthly"/>
    <s v="vw_cap"/>
    <n v="10"/>
    <x v="177"/>
    <n v="-1.7894493185563699E-3"/>
  </r>
  <r>
    <s v="bra"/>
    <x v="9"/>
    <s v="monthly"/>
    <s v="vw_cap"/>
    <n v="9"/>
    <x v="178"/>
    <n v="-2.6489140306993501E-2"/>
  </r>
  <r>
    <s v="bra"/>
    <x v="9"/>
    <s v="monthly"/>
    <s v="vw_cap"/>
    <n v="10"/>
    <x v="179"/>
    <n v="2.4571181772382399E-2"/>
  </r>
  <r>
    <s v="bra"/>
    <x v="9"/>
    <s v="monthly"/>
    <s v="vw_cap"/>
    <n v="10"/>
    <x v="180"/>
    <n v="-5.2958342260006697E-3"/>
  </r>
  <r>
    <s v="bra"/>
    <x v="9"/>
    <s v="monthly"/>
    <s v="vw_cap"/>
    <n v="10"/>
    <x v="181"/>
    <n v="-1.3527556359012301E-3"/>
  </r>
  <r>
    <s v="bra"/>
    <x v="9"/>
    <s v="monthly"/>
    <s v="vw_cap"/>
    <n v="10"/>
    <x v="182"/>
    <n v="2.1643378798852399E-3"/>
  </r>
  <r>
    <s v="bra"/>
    <x v="9"/>
    <s v="monthly"/>
    <s v="vw_cap"/>
    <n v="10"/>
    <x v="183"/>
    <n v="-9.8026004067368194E-3"/>
  </r>
  <r>
    <s v="bra"/>
    <x v="9"/>
    <s v="monthly"/>
    <s v="vw_cap"/>
    <n v="10"/>
    <x v="184"/>
    <n v="-2.1518077713757601E-3"/>
  </r>
  <r>
    <s v="bra"/>
    <x v="9"/>
    <s v="monthly"/>
    <s v="vw_cap"/>
    <n v="10"/>
    <x v="185"/>
    <n v="2.1267931156310999E-2"/>
  </r>
  <r>
    <s v="bra"/>
    <x v="9"/>
    <s v="monthly"/>
    <s v="vw_cap"/>
    <n v="9"/>
    <x v="186"/>
    <n v="-5.4296658877718597E-3"/>
  </r>
  <r>
    <s v="bra"/>
    <x v="9"/>
    <s v="monthly"/>
    <s v="vw_cap"/>
    <n v="9"/>
    <x v="187"/>
    <n v="-7.5648841143953196E-3"/>
  </r>
  <r>
    <s v="bra"/>
    <x v="9"/>
    <s v="monthly"/>
    <s v="vw_cap"/>
    <n v="11"/>
    <x v="188"/>
    <n v="6.7503239638377803E-3"/>
  </r>
  <r>
    <s v="bra"/>
    <x v="9"/>
    <s v="monthly"/>
    <s v="vw_cap"/>
    <n v="11"/>
    <x v="189"/>
    <n v="3.5606738742103298E-4"/>
  </r>
  <r>
    <s v="bra"/>
    <x v="9"/>
    <s v="monthly"/>
    <s v="vw_cap"/>
    <n v="11"/>
    <x v="190"/>
    <n v="1.02170894168541E-2"/>
  </r>
  <r>
    <s v="bra"/>
    <x v="9"/>
    <s v="monthly"/>
    <s v="vw_cap"/>
    <n v="11"/>
    <x v="191"/>
    <n v="-3.3449524822325798E-3"/>
  </r>
  <r>
    <s v="bra"/>
    <x v="9"/>
    <s v="monthly"/>
    <s v="vw_cap"/>
    <n v="11"/>
    <x v="192"/>
    <n v="2.9813054831865402E-2"/>
  </r>
  <r>
    <s v="bra"/>
    <x v="9"/>
    <s v="monthly"/>
    <s v="vw_cap"/>
    <n v="11"/>
    <x v="193"/>
    <n v="-2.5712174465923701E-3"/>
  </r>
  <r>
    <s v="bra"/>
    <x v="9"/>
    <s v="monthly"/>
    <s v="vw_cap"/>
    <n v="11"/>
    <x v="194"/>
    <n v="4.8801325702452899E-3"/>
  </r>
  <r>
    <s v="bra"/>
    <x v="9"/>
    <s v="monthly"/>
    <s v="vw_cap"/>
    <n v="11"/>
    <x v="195"/>
    <n v="2.86882141270874E-2"/>
  </r>
  <r>
    <s v="bra"/>
    <x v="9"/>
    <s v="monthly"/>
    <s v="vw_cap"/>
    <n v="11"/>
    <x v="196"/>
    <n v="-1.407849721175E-2"/>
  </r>
  <r>
    <s v="bra"/>
    <x v="9"/>
    <s v="monthly"/>
    <s v="vw_cap"/>
    <n v="11"/>
    <x v="197"/>
    <n v="1.10999318308005E-2"/>
  </r>
  <r>
    <s v="bra"/>
    <x v="9"/>
    <s v="monthly"/>
    <s v="vw_cap"/>
    <n v="11"/>
    <x v="198"/>
    <n v="8.7147544456822393E-3"/>
  </r>
  <r>
    <s v="bra"/>
    <x v="9"/>
    <s v="monthly"/>
    <s v="vw_cap"/>
    <n v="11"/>
    <x v="199"/>
    <n v="-4.9578203827771502E-3"/>
  </r>
  <r>
    <s v="bra"/>
    <x v="9"/>
    <s v="monthly"/>
    <s v="vw_cap"/>
    <n v="11"/>
    <x v="200"/>
    <n v="4.0333890066322504E-3"/>
  </r>
  <r>
    <s v="bra"/>
    <x v="9"/>
    <s v="monthly"/>
    <s v="vw_cap"/>
    <n v="11"/>
    <x v="201"/>
    <n v="4.3270828888416603E-3"/>
  </r>
  <r>
    <s v="bra"/>
    <x v="9"/>
    <s v="monthly"/>
    <s v="vw_cap"/>
    <n v="11"/>
    <x v="202"/>
    <n v="-5.0429575085962797E-2"/>
  </r>
  <r>
    <s v="bra"/>
    <x v="9"/>
    <s v="monthly"/>
    <s v="vw_cap"/>
    <n v="11"/>
    <x v="203"/>
    <n v="5.5790669309461402E-3"/>
  </r>
  <r>
    <s v="bra"/>
    <x v="9"/>
    <s v="monthly"/>
    <s v="vw_cap"/>
    <n v="11"/>
    <x v="204"/>
    <n v="-3.9355590741473601E-3"/>
  </r>
  <r>
    <s v="bra"/>
    <x v="9"/>
    <s v="monthly"/>
    <s v="vw_cap"/>
    <n v="11"/>
    <x v="205"/>
    <n v="-4.0145825384082699E-2"/>
  </r>
  <r>
    <s v="bra"/>
    <x v="9"/>
    <s v="monthly"/>
    <s v="vw_cap"/>
    <n v="11"/>
    <x v="206"/>
    <n v="2.1574172052347298E-3"/>
  </r>
  <r>
    <s v="bra"/>
    <x v="9"/>
    <s v="monthly"/>
    <s v="vw_cap"/>
    <n v="11"/>
    <x v="207"/>
    <n v="1.6002158827222501E-2"/>
  </r>
  <r>
    <s v="bra"/>
    <x v="9"/>
    <s v="monthly"/>
    <s v="vw_cap"/>
    <n v="11"/>
    <x v="208"/>
    <n v="1.76718650871329E-2"/>
  </r>
  <r>
    <s v="bra"/>
    <x v="9"/>
    <s v="monthly"/>
    <s v="vw_cap"/>
    <n v="11"/>
    <x v="209"/>
    <n v="-4.0291940451817297E-3"/>
  </r>
  <r>
    <s v="bra"/>
    <x v="9"/>
    <s v="monthly"/>
    <s v="vw_cap"/>
    <n v="11"/>
    <x v="210"/>
    <n v="-1.71956792912611E-2"/>
  </r>
  <r>
    <s v="bra"/>
    <x v="9"/>
    <s v="monthly"/>
    <s v="vw_cap"/>
    <n v="11"/>
    <x v="211"/>
    <n v="-8.2571712402991996E-3"/>
  </r>
  <r>
    <s v="bra"/>
    <x v="9"/>
    <s v="monthly"/>
    <s v="vw_cap"/>
    <n v="12"/>
    <x v="212"/>
    <n v="3.6936657108286499E-3"/>
  </r>
  <r>
    <s v="bra"/>
    <x v="9"/>
    <s v="monthly"/>
    <s v="vw_cap"/>
    <n v="12"/>
    <x v="213"/>
    <n v="1.32594816946747E-2"/>
  </r>
  <r>
    <s v="bra"/>
    <x v="9"/>
    <s v="monthly"/>
    <s v="vw_cap"/>
    <n v="12"/>
    <x v="214"/>
    <n v="-2.5144094497531098E-2"/>
  </r>
  <r>
    <s v="bra"/>
    <x v="9"/>
    <s v="monthly"/>
    <s v="vw_cap"/>
    <n v="12"/>
    <x v="215"/>
    <n v="6.3093021071906202E-3"/>
  </r>
  <r>
    <s v="bra"/>
    <x v="9"/>
    <s v="monthly"/>
    <s v="vw_cap"/>
    <n v="12"/>
    <x v="216"/>
    <n v="-1.36108035697336E-2"/>
  </r>
  <r>
    <s v="bra"/>
    <x v="9"/>
    <s v="monthly"/>
    <s v="vw_cap"/>
    <n v="12"/>
    <x v="217"/>
    <n v="-4.17963133882836E-3"/>
  </r>
  <r>
    <s v="bra"/>
    <x v="9"/>
    <s v="monthly"/>
    <s v="vw_cap"/>
    <n v="12"/>
    <x v="218"/>
    <n v="-6.69022472679205E-3"/>
  </r>
  <r>
    <s v="bra"/>
    <x v="9"/>
    <s v="monthly"/>
    <s v="vw_cap"/>
    <n v="12"/>
    <x v="219"/>
    <n v="2.4653580949799001E-2"/>
  </r>
  <r>
    <s v="bra"/>
    <x v="9"/>
    <s v="monthly"/>
    <s v="vw_cap"/>
    <n v="12"/>
    <x v="220"/>
    <n v="9.0917631424295205E-3"/>
  </r>
  <r>
    <s v="bra"/>
    <x v="9"/>
    <s v="monthly"/>
    <s v="vw_cap"/>
    <n v="12"/>
    <x v="221"/>
    <n v="7.0523750895194696E-3"/>
  </r>
  <r>
    <s v="bra"/>
    <x v="9"/>
    <s v="monthly"/>
    <s v="vw_cap"/>
    <n v="12"/>
    <x v="222"/>
    <n v="-1.33089114128827E-2"/>
  </r>
  <r>
    <s v="bra"/>
    <x v="9"/>
    <s v="monthly"/>
    <s v="vw_cap"/>
    <n v="12"/>
    <x v="223"/>
    <n v="1.8951828324096202E-2"/>
  </r>
  <r>
    <s v="bra"/>
    <x v="9"/>
    <s v="monthly"/>
    <s v="vw_cap"/>
    <n v="12"/>
    <x v="224"/>
    <n v="5.2929836735440602E-3"/>
  </r>
  <r>
    <s v="bra"/>
    <x v="9"/>
    <s v="monthly"/>
    <s v="vw_cap"/>
    <n v="12"/>
    <x v="225"/>
    <n v="1.1576544658045201E-3"/>
  </r>
  <r>
    <s v="bra"/>
    <x v="9"/>
    <s v="monthly"/>
    <s v="vw_cap"/>
    <n v="12"/>
    <x v="226"/>
    <n v="-1.01789097590922E-3"/>
  </r>
  <r>
    <s v="bra"/>
    <x v="9"/>
    <s v="monthly"/>
    <s v="vw_cap"/>
    <n v="12"/>
    <x v="227"/>
    <n v="3.67948738987238E-3"/>
  </r>
  <r>
    <s v="bra"/>
    <x v="9"/>
    <s v="monthly"/>
    <s v="vw_cap"/>
    <n v="12"/>
    <x v="228"/>
    <n v="-2.3302515390448901E-3"/>
  </r>
  <r>
    <s v="bra"/>
    <x v="9"/>
    <s v="monthly"/>
    <s v="vw_cap"/>
    <n v="12"/>
    <x v="229"/>
    <n v="2.27363520490452E-2"/>
  </r>
  <r>
    <s v="bra"/>
    <x v="9"/>
    <s v="monthly"/>
    <s v="vw_cap"/>
    <n v="12"/>
    <x v="230"/>
    <n v="1.36519868120933E-2"/>
  </r>
  <r>
    <s v="bra"/>
    <x v="9"/>
    <s v="monthly"/>
    <s v="vw_cap"/>
    <n v="12"/>
    <x v="231"/>
    <n v="-4.6817571288575999E-3"/>
  </r>
  <r>
    <s v="bra"/>
    <x v="9"/>
    <s v="monthly"/>
    <s v="vw_cap"/>
    <n v="12"/>
    <x v="232"/>
    <n v="1.7601488362911401E-2"/>
  </r>
  <r>
    <s v="bra"/>
    <x v="9"/>
    <s v="monthly"/>
    <s v="vw_cap"/>
    <n v="12"/>
    <x v="233"/>
    <n v="-6.4592410392800099E-3"/>
  </r>
  <r>
    <s v="bra"/>
    <x v="9"/>
    <s v="monthly"/>
    <s v="vw_cap"/>
    <n v="12"/>
    <x v="234"/>
    <n v="-6.4424259284372801E-3"/>
  </r>
  <r>
    <s v="bra"/>
    <x v="9"/>
    <s v="monthly"/>
    <s v="vw_cap"/>
    <n v="12"/>
    <x v="235"/>
    <n v="-7.2518145233434203E-3"/>
  </r>
  <r>
    <s v="bra"/>
    <x v="9"/>
    <s v="monthly"/>
    <s v="vw_cap"/>
    <n v="12"/>
    <x v="236"/>
    <n v="1.7377844024336401E-2"/>
  </r>
  <r>
    <s v="bra"/>
    <x v="9"/>
    <s v="monthly"/>
    <s v="vw_cap"/>
    <n v="12"/>
    <x v="237"/>
    <n v="-1.06125526891437E-3"/>
  </r>
  <r>
    <s v="bra"/>
    <x v="9"/>
    <s v="monthly"/>
    <s v="vw_cap"/>
    <n v="12"/>
    <x v="238"/>
    <n v="-8.4789438729813299E-4"/>
  </r>
  <r>
    <s v="bra"/>
    <x v="9"/>
    <s v="monthly"/>
    <s v="vw_cap"/>
    <n v="12"/>
    <x v="239"/>
    <n v="-3.1226153639624101E-3"/>
  </r>
  <r>
    <s v="bra"/>
    <x v="9"/>
    <s v="monthly"/>
    <s v="vw_cap"/>
    <n v="12"/>
    <x v="240"/>
    <n v="2.7373206902516201E-2"/>
  </r>
  <r>
    <s v="bra"/>
    <x v="9"/>
    <s v="monthly"/>
    <s v="vw_cap"/>
    <n v="12"/>
    <x v="241"/>
    <n v="-1.2521218492853099E-2"/>
  </r>
  <r>
    <s v="bra"/>
    <x v="9"/>
    <s v="monthly"/>
    <s v="vw_cap"/>
    <n v="12"/>
    <x v="242"/>
    <n v="1.9801208912393699E-2"/>
  </r>
  <r>
    <s v="bra"/>
    <x v="9"/>
    <s v="monthly"/>
    <s v="vw_cap"/>
    <n v="12"/>
    <x v="243"/>
    <n v="-1.0003776181234599E-2"/>
  </r>
  <r>
    <s v="bra"/>
    <x v="9"/>
    <s v="monthly"/>
    <s v="vw_cap"/>
    <n v="12"/>
    <x v="244"/>
    <n v="-1.3864111221903E-2"/>
  </r>
  <r>
    <s v="bra"/>
    <x v="9"/>
    <s v="monthly"/>
    <s v="vw_cap"/>
    <n v="12"/>
    <x v="245"/>
    <n v="9.16043206559191E-3"/>
  </r>
  <r>
    <s v="bra"/>
    <x v="9"/>
    <s v="monthly"/>
    <s v="vw_cap"/>
    <n v="12"/>
    <x v="246"/>
    <n v="-8.3265381648441796E-3"/>
  </r>
  <r>
    <s v="bra"/>
    <x v="9"/>
    <s v="monthly"/>
    <s v="vw_cap"/>
    <n v="12"/>
    <x v="247"/>
    <n v="-4.4655302201800102E-3"/>
  </r>
  <r>
    <s v="bra"/>
    <x v="9"/>
    <s v="monthly"/>
    <s v="vw_cap"/>
    <n v="12"/>
    <x v="248"/>
    <n v="-1.7097722254771899E-3"/>
  </r>
  <r>
    <s v="bra"/>
    <x v="9"/>
    <s v="monthly"/>
    <s v="vw_cap"/>
    <n v="12"/>
    <x v="249"/>
    <n v="2.13043789352486E-2"/>
  </r>
  <r>
    <s v="bra"/>
    <x v="9"/>
    <s v="monthly"/>
    <s v="vw_cap"/>
    <n v="12"/>
    <x v="250"/>
    <n v="-7.24849175244932E-3"/>
  </r>
  <r>
    <s v="bra"/>
    <x v="9"/>
    <s v="monthly"/>
    <s v="vw_cap"/>
    <n v="12"/>
    <x v="251"/>
    <n v="2.1506099391456202E-2"/>
  </r>
  <r>
    <s v="bra"/>
    <x v="9"/>
    <s v="monthly"/>
    <s v="vw_cap"/>
    <n v="12"/>
    <x v="252"/>
    <n v="7.1787782099630897E-3"/>
  </r>
  <r>
    <s v="bra"/>
    <x v="9"/>
    <s v="monthly"/>
    <s v="vw_cap"/>
    <n v="12"/>
    <x v="253"/>
    <n v="7.6796809525610001E-3"/>
  </r>
  <r>
    <s v="bra"/>
    <x v="9"/>
    <s v="monthly"/>
    <s v="vw_cap"/>
    <n v="12"/>
    <x v="254"/>
    <n v="-1.4275535037755201E-2"/>
  </r>
  <r>
    <s v="bra"/>
    <x v="9"/>
    <s v="monthly"/>
    <s v="vw_cap"/>
    <n v="12"/>
    <x v="255"/>
    <n v="1.39526088660395E-4"/>
  </r>
  <r>
    <s v="bra"/>
    <x v="9"/>
    <s v="monthly"/>
    <s v="vw_cap"/>
    <n v="12"/>
    <x v="256"/>
    <n v="-1.9233913812167201E-3"/>
  </r>
  <r>
    <s v="bra"/>
    <x v="9"/>
    <s v="monthly"/>
    <s v="vw_cap"/>
    <n v="12"/>
    <x v="257"/>
    <n v="-1.0301584538061801E-2"/>
  </r>
  <r>
    <s v="bra"/>
    <x v="9"/>
    <s v="monthly"/>
    <s v="vw_cap"/>
    <n v="12"/>
    <x v="258"/>
    <n v="-6.7262381777724702E-3"/>
  </r>
  <r>
    <s v="bra"/>
    <x v="9"/>
    <s v="monthly"/>
    <s v="vw_cap"/>
    <n v="12"/>
    <x v="259"/>
    <n v="1.95419492390808E-2"/>
  </r>
  <r>
    <s v="bra"/>
    <x v="9"/>
    <s v="monthly"/>
    <s v="vw_cap"/>
    <n v="12"/>
    <x v="260"/>
    <n v="5.2646933200312003E-3"/>
  </r>
  <r>
    <s v="bra"/>
    <x v="9"/>
    <s v="monthly"/>
    <s v="vw_cap"/>
    <n v="12"/>
    <x v="261"/>
    <n v="1.4272456274717399E-2"/>
  </r>
  <r>
    <s v="bra"/>
    <x v="9"/>
    <s v="monthly"/>
    <s v="vw_cap"/>
    <n v="12"/>
    <x v="262"/>
    <n v="1.4327183446161299E-2"/>
  </r>
  <r>
    <s v="bra"/>
    <x v="9"/>
    <s v="monthly"/>
    <s v="vw_cap"/>
    <n v="12"/>
    <x v="263"/>
    <n v="-5.33338864569029E-3"/>
  </r>
  <r>
    <s v="bra"/>
    <x v="9"/>
    <s v="monthly"/>
    <s v="vw_cap"/>
    <n v="12"/>
    <x v="264"/>
    <n v="2.4391035811650598E-3"/>
  </r>
  <r>
    <s v="bra"/>
    <x v="9"/>
    <s v="monthly"/>
    <s v="vw_cap"/>
    <n v="12"/>
    <x v="265"/>
    <n v="-4.5611890381481602E-3"/>
  </r>
  <r>
    <s v="bra"/>
    <x v="9"/>
    <s v="monthly"/>
    <s v="vw_cap"/>
    <n v="12"/>
    <x v="266"/>
    <n v="4.2391678173658003E-3"/>
  </r>
  <r>
    <s v="bra"/>
    <x v="9"/>
    <s v="monthly"/>
    <s v="vw_cap"/>
    <n v="12"/>
    <x v="267"/>
    <n v="3.76313274008621E-3"/>
  </r>
  <r>
    <s v="bra"/>
    <x v="9"/>
    <s v="monthly"/>
    <s v="vw_cap"/>
    <n v="12"/>
    <x v="268"/>
    <n v="-2.91053977915891E-4"/>
  </r>
  <r>
    <s v="bra"/>
    <x v="9"/>
    <s v="monthly"/>
    <s v="vw_cap"/>
    <n v="12"/>
    <x v="269"/>
    <n v="8.7073763577306795E-3"/>
  </r>
  <r>
    <s v="bra"/>
    <x v="9"/>
    <s v="monthly"/>
    <s v="vw_cap"/>
    <n v="12"/>
    <x v="270"/>
    <n v="4.7379504084064904E-3"/>
  </r>
  <r>
    <s v="bra"/>
    <x v="9"/>
    <s v="monthly"/>
    <s v="vw_cap"/>
    <n v="12"/>
    <x v="271"/>
    <n v="-1.67921274305985E-3"/>
  </r>
  <r>
    <s v="bra"/>
    <x v="9"/>
    <s v="monthly"/>
    <s v="vw_cap"/>
    <n v="12"/>
    <x v="272"/>
    <n v="2.5602270295893999E-3"/>
  </r>
  <r>
    <s v="bra"/>
    <x v="9"/>
    <s v="monthly"/>
    <s v="vw_cap"/>
    <n v="12"/>
    <x v="273"/>
    <n v="-8.9865022211522306E-3"/>
  </r>
  <r>
    <s v="bra"/>
    <x v="9"/>
    <s v="monthly"/>
    <s v="vw_cap"/>
    <n v="12"/>
    <x v="274"/>
    <n v="6.4111333372301703E-3"/>
  </r>
  <r>
    <s v="bra"/>
    <x v="9"/>
    <s v="monthly"/>
    <s v="vw_cap"/>
    <n v="12"/>
    <x v="275"/>
    <n v="1.9157468207096101E-2"/>
  </r>
  <r>
    <s v="bra"/>
    <x v="9"/>
    <s v="monthly"/>
    <s v="vw_cap"/>
    <n v="12"/>
    <x v="276"/>
    <n v="-2.25782631191705E-3"/>
  </r>
  <r>
    <s v="bra"/>
    <x v="9"/>
    <s v="monthly"/>
    <s v="vw_cap"/>
    <n v="12"/>
    <x v="277"/>
    <n v="-8.6746949625197203E-3"/>
  </r>
  <r>
    <s v="bra"/>
    <x v="9"/>
    <s v="monthly"/>
    <s v="vw_cap"/>
    <n v="12"/>
    <x v="278"/>
    <n v="1.42009703019161E-3"/>
  </r>
  <r>
    <s v="bra"/>
    <x v="9"/>
    <s v="monthly"/>
    <s v="vw_cap"/>
    <n v="12"/>
    <x v="279"/>
    <n v="-4.4520771088760501E-3"/>
  </r>
  <r>
    <s v="bra"/>
    <x v="9"/>
    <s v="monthly"/>
    <s v="vw_cap"/>
    <n v="12"/>
    <x v="280"/>
    <n v="-5.6424125217296901E-3"/>
  </r>
  <r>
    <s v="bra"/>
    <x v="9"/>
    <s v="monthly"/>
    <s v="vw_cap"/>
    <n v="12"/>
    <x v="281"/>
    <n v="4.2869497613077798E-3"/>
  </r>
  <r>
    <s v="bra"/>
    <x v="9"/>
    <s v="monthly"/>
    <s v="vw_cap"/>
    <n v="12"/>
    <x v="282"/>
    <n v="-6.0167641735746399E-3"/>
  </r>
  <r>
    <s v="bra"/>
    <x v="9"/>
    <s v="monthly"/>
    <s v="vw_cap"/>
    <n v="12"/>
    <x v="283"/>
    <n v="-7.3666076821382398E-3"/>
  </r>
  <r>
    <s v="bra"/>
    <x v="9"/>
    <s v="monthly"/>
    <s v="vw_cap"/>
    <n v="12"/>
    <x v="284"/>
    <n v="-1.06117552907283E-2"/>
  </r>
  <r>
    <s v="bra"/>
    <x v="9"/>
    <s v="monthly"/>
    <s v="vw_cap"/>
    <n v="12"/>
    <x v="285"/>
    <n v="-1.48098128752537E-2"/>
  </r>
  <r>
    <s v="bra"/>
    <x v="9"/>
    <s v="monthly"/>
    <s v="vw_cap"/>
    <n v="12"/>
    <x v="286"/>
    <n v="4.5587840519331598E-3"/>
  </r>
  <r>
    <s v="bra"/>
    <x v="9"/>
    <s v="monthly"/>
    <s v="vw_cap"/>
    <n v="12"/>
    <x v="287"/>
    <n v="-1.7894373545661001E-2"/>
  </r>
  <r>
    <s v="bra"/>
    <x v="9"/>
    <s v="monthly"/>
    <s v="vw_cap"/>
    <n v="12"/>
    <x v="288"/>
    <n v="2.4494725843504001E-2"/>
  </r>
  <r>
    <s v="bra"/>
    <x v="10"/>
    <s v="monthly"/>
    <s v="vw_cap"/>
    <n v="1"/>
    <x v="312"/>
    <n v="0.197270881405189"/>
  </r>
  <r>
    <s v="bra"/>
    <x v="10"/>
    <s v="monthly"/>
    <s v="vw_cap"/>
    <n v="1"/>
    <x v="313"/>
    <n v="3.3680865805557798E-2"/>
  </r>
  <r>
    <s v="bra"/>
    <x v="10"/>
    <s v="monthly"/>
    <s v="vw_cap"/>
    <n v="1"/>
    <x v="314"/>
    <n v="-9.4663240593359496E-2"/>
  </r>
  <r>
    <s v="bra"/>
    <x v="10"/>
    <s v="monthly"/>
    <s v="vw_cap"/>
    <n v="1"/>
    <x v="315"/>
    <n v="6.8936540559868406E-2"/>
  </r>
  <r>
    <s v="bra"/>
    <x v="10"/>
    <s v="monthly"/>
    <s v="vw_cap"/>
    <n v="1"/>
    <x v="316"/>
    <n v="-8.5178495761885797E-2"/>
  </r>
  <r>
    <s v="bra"/>
    <x v="10"/>
    <s v="monthly"/>
    <s v="vw_cap"/>
    <n v="1"/>
    <x v="317"/>
    <n v="-6.2482607622935199E-2"/>
  </r>
  <r>
    <s v="bra"/>
    <x v="10"/>
    <s v="monthly"/>
    <s v="vw_cap"/>
    <n v="4"/>
    <x v="318"/>
    <n v="-6.7180500712975794E-2"/>
  </r>
  <r>
    <s v="bra"/>
    <x v="10"/>
    <s v="monthly"/>
    <s v="vw_cap"/>
    <n v="1"/>
    <x v="319"/>
    <n v="8.8143494462421201E-2"/>
  </r>
  <r>
    <s v="bra"/>
    <x v="10"/>
    <s v="monthly"/>
    <s v="vw_cap"/>
    <n v="1"/>
    <x v="320"/>
    <n v="-0.19271749112695499"/>
  </r>
  <r>
    <s v="bra"/>
    <x v="10"/>
    <s v="monthly"/>
    <s v="vw_cap"/>
    <n v="1"/>
    <x v="321"/>
    <n v="-2.1152548653204602E-2"/>
  </r>
  <r>
    <s v="bra"/>
    <x v="10"/>
    <s v="monthly"/>
    <s v="vw_cap"/>
    <n v="1"/>
    <x v="322"/>
    <n v="-0.12505124376830001"/>
  </r>
  <r>
    <s v="bra"/>
    <x v="10"/>
    <s v="monthly"/>
    <s v="vw_cap"/>
    <n v="3"/>
    <x v="323"/>
    <n v="-1.0173848154936001E-2"/>
  </r>
  <r>
    <s v="bra"/>
    <x v="10"/>
    <s v="monthly"/>
    <s v="vw_cap"/>
    <n v="3"/>
    <x v="324"/>
    <n v="1.9776930078755701E-2"/>
  </r>
  <r>
    <s v="bra"/>
    <x v="10"/>
    <s v="monthly"/>
    <s v="vw_cap"/>
    <n v="3"/>
    <x v="325"/>
    <n v="6.1012961330159099E-2"/>
  </r>
  <r>
    <s v="bra"/>
    <x v="10"/>
    <s v="monthly"/>
    <s v="vw_cap"/>
    <n v="4"/>
    <x v="326"/>
    <n v="7.12968059409978E-3"/>
  </r>
  <r>
    <s v="bra"/>
    <x v="10"/>
    <s v="monthly"/>
    <s v="vw_cap"/>
    <n v="1"/>
    <x v="327"/>
    <n v="4.6189628255051803E-2"/>
  </r>
  <r>
    <s v="bra"/>
    <x v="10"/>
    <s v="monthly"/>
    <s v="vw_cap"/>
    <n v="1"/>
    <x v="328"/>
    <n v="-6.8722777151412298E-2"/>
  </r>
  <r>
    <s v="bra"/>
    <x v="10"/>
    <s v="monthly"/>
    <s v="vw_cap"/>
    <n v="1"/>
    <x v="329"/>
    <n v="0.13451890503445299"/>
  </r>
  <r>
    <s v="bra"/>
    <x v="10"/>
    <s v="monthly"/>
    <s v="vw_cap"/>
    <n v="1"/>
    <x v="330"/>
    <n v="-3.87720603719841E-2"/>
  </r>
  <r>
    <s v="bra"/>
    <x v="10"/>
    <s v="monthly"/>
    <s v="vw_cap"/>
    <n v="3"/>
    <x v="331"/>
    <n v="8.0729045401147198E-2"/>
  </r>
  <r>
    <s v="bra"/>
    <x v="10"/>
    <s v="monthly"/>
    <s v="vw_cap"/>
    <n v="3"/>
    <x v="332"/>
    <n v="9.47908582795461E-2"/>
  </r>
  <r>
    <s v="bra"/>
    <x v="10"/>
    <s v="monthly"/>
    <s v="vw_cap"/>
    <n v="1"/>
    <x v="333"/>
    <n v="4.7409276154604003E-3"/>
  </r>
  <r>
    <s v="bra"/>
    <x v="10"/>
    <s v="monthly"/>
    <s v="vw_cap"/>
    <n v="1"/>
    <x v="334"/>
    <n v="6.0978008343044699E-4"/>
  </r>
  <r>
    <s v="bra"/>
    <x v="10"/>
    <s v="monthly"/>
    <s v="vw_cap"/>
    <n v="3"/>
    <x v="335"/>
    <n v="2.9173226441957498E-2"/>
  </r>
  <r>
    <s v="bra"/>
    <x v="10"/>
    <s v="monthly"/>
    <s v="vw_cap"/>
    <n v="3"/>
    <x v="336"/>
    <n v="6.9237578701727101E-2"/>
  </r>
  <r>
    <s v="bra"/>
    <x v="10"/>
    <s v="monthly"/>
    <s v="vw_cap"/>
    <n v="1"/>
    <x v="337"/>
    <n v="-7.3227084482566304E-2"/>
  </r>
  <r>
    <s v="bra"/>
    <x v="10"/>
    <s v="monthly"/>
    <s v="vw_cap"/>
    <n v="3"/>
    <x v="338"/>
    <n v="7.0523647166851403E-3"/>
  </r>
  <r>
    <s v="bra"/>
    <x v="10"/>
    <s v="monthly"/>
    <s v="vw_cap"/>
    <n v="1"/>
    <x v="339"/>
    <n v="-3.4291610864727803E-2"/>
  </r>
  <r>
    <s v="bra"/>
    <x v="10"/>
    <s v="monthly"/>
    <s v="vw_cap"/>
    <n v="4"/>
    <x v="340"/>
    <n v="-3.2150994256971502E-2"/>
  </r>
  <r>
    <s v="bra"/>
    <x v="10"/>
    <s v="monthly"/>
    <s v="vw_cap"/>
    <n v="1"/>
    <x v="341"/>
    <n v="-4.1030778800731998E-2"/>
  </r>
  <r>
    <s v="bra"/>
    <x v="10"/>
    <s v="monthly"/>
    <s v="vw_cap"/>
    <n v="4"/>
    <x v="342"/>
    <n v="-3.76093287472066E-2"/>
  </r>
  <r>
    <s v="bra"/>
    <x v="10"/>
    <s v="monthly"/>
    <s v="vw_cap"/>
    <n v="4"/>
    <x v="343"/>
    <n v="-3.38654887141253E-2"/>
  </r>
  <r>
    <s v="bra"/>
    <x v="10"/>
    <s v="monthly"/>
    <s v="vw_cap"/>
    <n v="4"/>
    <x v="344"/>
    <n v="2.4028137000010202E-2"/>
  </r>
  <r>
    <s v="bra"/>
    <x v="10"/>
    <s v="monthly"/>
    <s v="vw_cap"/>
    <n v="4"/>
    <x v="345"/>
    <n v="3.7403769272646499E-2"/>
  </r>
  <r>
    <s v="bra"/>
    <x v="10"/>
    <s v="monthly"/>
    <s v="vw_cap"/>
    <n v="4"/>
    <x v="346"/>
    <n v="-0.146751174018489"/>
  </r>
  <r>
    <s v="bra"/>
    <x v="10"/>
    <s v="monthly"/>
    <s v="vw_cap"/>
    <n v="4"/>
    <x v="347"/>
    <n v="9.1099854373331898E-3"/>
  </r>
  <r>
    <s v="bra"/>
    <x v="10"/>
    <s v="monthly"/>
    <s v="vw_cap"/>
    <n v="4"/>
    <x v="348"/>
    <n v="-1.6261316164374599E-2"/>
  </r>
  <r>
    <s v="bra"/>
    <x v="10"/>
    <s v="monthly"/>
    <s v="vw_cap"/>
    <n v="1"/>
    <x v="349"/>
    <n v="7.8470174076135504E-2"/>
  </r>
  <r>
    <s v="bra"/>
    <x v="10"/>
    <s v="monthly"/>
    <s v="vw_cap"/>
    <n v="4"/>
    <x v="350"/>
    <n v="5.1047529692579202E-3"/>
  </r>
  <r>
    <s v="bra"/>
    <x v="10"/>
    <s v="monthly"/>
    <s v="vw_cap"/>
    <n v="3"/>
    <x v="351"/>
    <n v="0.12981450811600501"/>
  </r>
  <r>
    <s v="bra"/>
    <x v="10"/>
    <s v="monthly"/>
    <s v="vw_cap"/>
    <n v="3"/>
    <x v="352"/>
    <n v="1.68525497581581E-2"/>
  </r>
  <r>
    <s v="bra"/>
    <x v="10"/>
    <s v="monthly"/>
    <s v="vw_cap"/>
    <n v="3"/>
    <x v="353"/>
    <n v="0.13359902931602299"/>
  </r>
  <r>
    <s v="bra"/>
    <x v="10"/>
    <s v="monthly"/>
    <s v="vw_cap"/>
    <n v="3"/>
    <x v="354"/>
    <n v="8.2172869314642003E-2"/>
  </r>
  <r>
    <s v="bra"/>
    <x v="10"/>
    <s v="monthly"/>
    <s v="vw_cap"/>
    <n v="4"/>
    <x v="355"/>
    <n v="4.5845522688000503E-2"/>
  </r>
  <r>
    <s v="bra"/>
    <x v="10"/>
    <s v="monthly"/>
    <s v="vw_cap"/>
    <n v="4"/>
    <x v="356"/>
    <n v="-5.5623319152261499E-2"/>
  </r>
  <r>
    <s v="bra"/>
    <x v="10"/>
    <s v="monthly"/>
    <s v="vw_cap"/>
    <n v="4"/>
    <x v="0"/>
    <n v="-6.8724369245702396E-2"/>
  </r>
  <r>
    <s v="bra"/>
    <x v="10"/>
    <s v="monthly"/>
    <s v="vw_cap"/>
    <n v="4"/>
    <x v="1"/>
    <n v="-0.21126855979174999"/>
  </r>
  <r>
    <s v="bra"/>
    <x v="10"/>
    <s v="monthly"/>
    <s v="vw_cap"/>
    <n v="1"/>
    <x v="289"/>
    <n v="7.6881916037960796E-2"/>
  </r>
  <r>
    <s v="bra"/>
    <x v="10"/>
    <s v="monthly"/>
    <s v="vw_cap"/>
    <n v="4"/>
    <x v="290"/>
    <n v="4.63662419440172E-2"/>
  </r>
  <r>
    <s v="bra"/>
    <x v="10"/>
    <s v="monthly"/>
    <s v="vw_cap"/>
    <n v="1"/>
    <x v="291"/>
    <n v="-0.146330071547882"/>
  </r>
  <r>
    <s v="bra"/>
    <x v="10"/>
    <s v="monthly"/>
    <s v="vw_cap"/>
    <n v="4"/>
    <x v="292"/>
    <n v="2.4849797578711901E-2"/>
  </r>
  <r>
    <s v="bra"/>
    <x v="10"/>
    <s v="monthly"/>
    <s v="vw_cap"/>
    <n v="4"/>
    <x v="293"/>
    <n v="-0.114380453371467"/>
  </r>
  <r>
    <s v="bra"/>
    <x v="10"/>
    <s v="monthly"/>
    <s v="vw_cap"/>
    <n v="4"/>
    <x v="2"/>
    <n v="0.11346363603526"/>
  </r>
  <r>
    <s v="bra"/>
    <x v="10"/>
    <s v="monthly"/>
    <s v="vw_cap"/>
    <n v="4"/>
    <x v="3"/>
    <n v="-0.13316125687419"/>
  </r>
  <r>
    <s v="bra"/>
    <x v="10"/>
    <s v="monthly"/>
    <s v="vw_cap"/>
    <n v="1"/>
    <x v="357"/>
    <n v="0.178981603719128"/>
  </r>
  <r>
    <s v="bra"/>
    <x v="10"/>
    <s v="monthly"/>
    <s v="vw_cap"/>
    <n v="4"/>
    <x v="358"/>
    <n v="0.17216355910308001"/>
  </r>
  <r>
    <s v="bra"/>
    <x v="10"/>
    <s v="monthly"/>
    <s v="vw_cap"/>
    <n v="4"/>
    <x v="359"/>
    <n v="-2.26101244423891E-2"/>
  </r>
  <r>
    <s v="bra"/>
    <x v="10"/>
    <s v="monthly"/>
    <s v="vw_cap"/>
    <n v="4"/>
    <x v="4"/>
    <n v="1.6213855745458299E-3"/>
  </r>
  <r>
    <s v="bra"/>
    <x v="10"/>
    <s v="monthly"/>
    <s v="vw_cap"/>
    <n v="4"/>
    <x v="5"/>
    <n v="0.19556755831092101"/>
  </r>
  <r>
    <s v="bra"/>
    <x v="10"/>
    <s v="monthly"/>
    <s v="vw_cap"/>
    <n v="4"/>
    <x v="6"/>
    <n v="5.3461940724304699E-2"/>
  </r>
  <r>
    <s v="bra"/>
    <x v="10"/>
    <s v="monthly"/>
    <s v="vw_cap"/>
    <n v="4"/>
    <x v="7"/>
    <n v="-5.8599557647621002E-2"/>
  </r>
  <r>
    <s v="bra"/>
    <x v="10"/>
    <s v="monthly"/>
    <s v="vw_cap"/>
    <n v="3"/>
    <x v="8"/>
    <n v="7.5243146382945297E-2"/>
  </r>
  <r>
    <s v="bra"/>
    <x v="10"/>
    <s v="monthly"/>
    <s v="vw_cap"/>
    <n v="4"/>
    <x v="9"/>
    <n v="-1.7860018989236101E-2"/>
  </r>
  <r>
    <s v="bra"/>
    <x v="10"/>
    <s v="monthly"/>
    <s v="vw_cap"/>
    <n v="3"/>
    <x v="294"/>
    <n v="-1.9104233588339601E-2"/>
  </r>
  <r>
    <s v="bra"/>
    <x v="10"/>
    <s v="monthly"/>
    <s v="vw_cap"/>
    <n v="4"/>
    <x v="10"/>
    <n v="3.80299170943302E-2"/>
  </r>
  <r>
    <s v="bra"/>
    <x v="10"/>
    <s v="monthly"/>
    <s v="vw_cap"/>
    <n v="4"/>
    <x v="11"/>
    <n v="-1.05268532474013E-2"/>
  </r>
  <r>
    <s v="bra"/>
    <x v="10"/>
    <s v="monthly"/>
    <s v="vw_cap"/>
    <n v="4"/>
    <x v="12"/>
    <n v="-0.11709120312636601"/>
  </r>
  <r>
    <s v="bra"/>
    <x v="10"/>
    <s v="monthly"/>
    <s v="vw_cap"/>
    <n v="4"/>
    <x v="13"/>
    <n v="1.24261462910987E-2"/>
  </r>
  <r>
    <s v="bra"/>
    <x v="10"/>
    <s v="monthly"/>
    <s v="vw_cap"/>
    <n v="4"/>
    <x v="14"/>
    <n v="6.0118132734579499E-2"/>
  </r>
  <r>
    <s v="bra"/>
    <x v="10"/>
    <s v="monthly"/>
    <s v="vw_cap"/>
    <n v="4"/>
    <x v="15"/>
    <n v="8.7929042283747594E-2"/>
  </r>
  <r>
    <s v="bra"/>
    <x v="10"/>
    <s v="monthly"/>
    <s v="vw_cap"/>
    <n v="4"/>
    <x v="16"/>
    <n v="0.14037731730296699"/>
  </r>
  <r>
    <s v="bra"/>
    <x v="10"/>
    <s v="monthly"/>
    <s v="vw_cap"/>
    <n v="4"/>
    <x v="17"/>
    <n v="3.0699251846599301E-2"/>
  </r>
  <r>
    <s v="bra"/>
    <x v="10"/>
    <s v="monthly"/>
    <s v="vw_cap"/>
    <n v="4"/>
    <x v="18"/>
    <n v="-0.114203712857033"/>
  </r>
  <r>
    <s v="bra"/>
    <x v="10"/>
    <s v="monthly"/>
    <s v="vw_cap"/>
    <n v="4"/>
    <x v="19"/>
    <n v="6.7431236839294001E-2"/>
  </r>
  <r>
    <s v="bra"/>
    <x v="10"/>
    <s v="monthly"/>
    <s v="vw_cap"/>
    <n v="4"/>
    <x v="20"/>
    <n v="2.14382591522311E-2"/>
  </r>
  <r>
    <s v="bra"/>
    <x v="10"/>
    <s v="monthly"/>
    <s v="vw_cap"/>
    <n v="4"/>
    <x v="21"/>
    <n v="3.7656829127278697E-2"/>
  </r>
  <r>
    <s v="bra"/>
    <x v="10"/>
    <s v="monthly"/>
    <s v="vw_cap"/>
    <n v="4"/>
    <x v="22"/>
    <n v="4.4439457646947698E-2"/>
  </r>
  <r>
    <s v="bra"/>
    <x v="10"/>
    <s v="monthly"/>
    <s v="vw_cap"/>
    <n v="4"/>
    <x v="23"/>
    <n v="-3.1706991315931597E-2"/>
  </r>
  <r>
    <s v="bra"/>
    <x v="10"/>
    <s v="monthly"/>
    <s v="vw_cap"/>
    <n v="4"/>
    <x v="24"/>
    <n v="-5.2842616634423502E-2"/>
  </r>
  <r>
    <s v="bra"/>
    <x v="10"/>
    <s v="monthly"/>
    <s v="vw_cap"/>
    <n v="3"/>
    <x v="25"/>
    <n v="5.8835887131649701E-2"/>
  </r>
  <r>
    <s v="bra"/>
    <x v="10"/>
    <s v="monthly"/>
    <s v="vw_cap"/>
    <n v="4"/>
    <x v="26"/>
    <n v="8.37327240347195E-2"/>
  </r>
  <r>
    <s v="bra"/>
    <x v="10"/>
    <s v="monthly"/>
    <s v="vw_cap"/>
    <n v="4"/>
    <x v="27"/>
    <n v="1.9590376618511499E-2"/>
  </r>
  <r>
    <s v="bra"/>
    <x v="10"/>
    <s v="monthly"/>
    <s v="vw_cap"/>
    <n v="3"/>
    <x v="295"/>
    <n v="-7.5542244376831297E-2"/>
  </r>
  <r>
    <s v="bra"/>
    <x v="10"/>
    <s v="monthly"/>
    <s v="vw_cap"/>
    <n v="4"/>
    <x v="296"/>
    <n v="9.0993974839133504E-2"/>
  </r>
  <r>
    <s v="bra"/>
    <x v="10"/>
    <s v="monthly"/>
    <s v="vw_cap"/>
    <n v="4"/>
    <x v="297"/>
    <n v="3.72314043113788E-2"/>
  </r>
  <r>
    <s v="bra"/>
    <x v="10"/>
    <s v="monthly"/>
    <s v="vw_cap"/>
    <n v="4"/>
    <x v="298"/>
    <n v="-5.8619517936239998E-2"/>
  </r>
  <r>
    <s v="bra"/>
    <x v="10"/>
    <s v="monthly"/>
    <s v="vw_cap"/>
    <n v="1"/>
    <x v="360"/>
    <n v="3.1098766890635201E-2"/>
  </r>
  <r>
    <s v="bra"/>
    <x v="10"/>
    <s v="monthly"/>
    <s v="vw_cap"/>
    <n v="1"/>
    <x v="361"/>
    <n v="1.7135757454218001E-2"/>
  </r>
  <r>
    <s v="bra"/>
    <x v="10"/>
    <s v="monthly"/>
    <s v="vw_cap"/>
    <n v="1"/>
    <x v="362"/>
    <n v="0.21831930457552901"/>
  </r>
  <r>
    <s v="bra"/>
    <x v="10"/>
    <s v="monthly"/>
    <s v="vw_cap"/>
    <n v="1"/>
    <x v="299"/>
    <n v="6.97975285932384E-2"/>
  </r>
  <r>
    <s v="bra"/>
    <x v="10"/>
    <s v="monthly"/>
    <s v="vw_cap"/>
    <n v="4"/>
    <x v="300"/>
    <n v="4.24371207110706E-2"/>
  </r>
  <r>
    <s v="bra"/>
    <x v="10"/>
    <s v="monthly"/>
    <s v="vw_cap"/>
    <n v="1"/>
    <x v="301"/>
    <n v="-6.3975864488213699E-2"/>
  </r>
  <r>
    <s v="bra"/>
    <x v="10"/>
    <s v="monthly"/>
    <s v="vw_cap"/>
    <n v="1"/>
    <x v="302"/>
    <n v="-6.6454422784153902E-3"/>
  </r>
  <r>
    <s v="bra"/>
    <x v="10"/>
    <s v="monthly"/>
    <s v="vw_cap"/>
    <n v="4"/>
    <x v="303"/>
    <n v="5.5382436104240401E-2"/>
  </r>
  <r>
    <s v="bra"/>
    <x v="10"/>
    <s v="monthly"/>
    <s v="vw_cap"/>
    <n v="4"/>
    <x v="304"/>
    <n v="4.1661974504693298E-2"/>
  </r>
  <r>
    <s v="bra"/>
    <x v="10"/>
    <s v="monthly"/>
    <s v="vw_cap"/>
    <n v="1"/>
    <x v="363"/>
    <n v="-4.36274719315611E-2"/>
  </r>
  <r>
    <s v="bra"/>
    <x v="10"/>
    <s v="monthly"/>
    <s v="vw_cap"/>
    <n v="1"/>
    <x v="364"/>
    <n v="7.3534247824516397E-2"/>
  </r>
  <r>
    <s v="bra"/>
    <x v="10"/>
    <s v="monthly"/>
    <s v="vw_cap"/>
    <n v="1"/>
    <x v="365"/>
    <n v="9.6477310252940596E-2"/>
  </r>
  <r>
    <s v="bra"/>
    <x v="10"/>
    <s v="monthly"/>
    <s v="vw_cap"/>
    <n v="1"/>
    <x v="366"/>
    <n v="0.30326734448277998"/>
  </r>
  <r>
    <s v="bra"/>
    <x v="10"/>
    <s v="monthly"/>
    <s v="vw_cap"/>
    <n v="1"/>
    <x v="367"/>
    <n v="0.168374128167702"/>
  </r>
  <r>
    <s v="bra"/>
    <x v="10"/>
    <s v="monthly"/>
    <s v="vw_cap"/>
    <n v="1"/>
    <x v="368"/>
    <n v="0.184477363582735"/>
  </r>
  <r>
    <s v="bra"/>
    <x v="10"/>
    <s v="monthly"/>
    <s v="vw_cap"/>
    <n v="1"/>
    <x v="369"/>
    <n v="-4.4703388735177499E-2"/>
  </r>
  <r>
    <s v="bra"/>
    <x v="10"/>
    <s v="monthly"/>
    <s v="vw_cap"/>
    <n v="1"/>
    <x v="370"/>
    <n v="-0.23752040025690699"/>
  </r>
  <r>
    <s v="bra"/>
    <x v="10"/>
    <s v="monthly"/>
    <s v="vw_cap"/>
    <n v="1"/>
    <x v="371"/>
    <n v="6.23103959403737E-2"/>
  </r>
  <r>
    <s v="bra"/>
    <x v="10"/>
    <s v="monthly"/>
    <s v="vw_cap"/>
    <n v="1"/>
    <x v="372"/>
    <n v="-0.14520943822818"/>
  </r>
  <r>
    <s v="bra"/>
    <x v="10"/>
    <s v="monthly"/>
    <s v="vw_cap"/>
    <n v="1"/>
    <x v="373"/>
    <n v="-1.0195238791358001E-2"/>
  </r>
  <r>
    <s v="bra"/>
    <x v="10"/>
    <s v="monthly"/>
    <s v="vw_cap"/>
    <n v="1"/>
    <x v="374"/>
    <n v="0.23622085266867801"/>
  </r>
  <r>
    <s v="bra"/>
    <x v="10"/>
    <s v="monthly"/>
    <s v="vw_cap"/>
    <n v="1"/>
    <x v="375"/>
    <n v="1.54824107119402E-2"/>
  </r>
  <r>
    <s v="bra"/>
    <x v="10"/>
    <s v="monthly"/>
    <s v="vw_cap"/>
    <n v="1"/>
    <x v="376"/>
    <n v="-6.3675155273728898E-2"/>
  </r>
  <r>
    <s v="bra"/>
    <x v="10"/>
    <s v="monthly"/>
    <s v="vw_cap"/>
    <n v="3"/>
    <x v="305"/>
    <n v="1.21530621548059E-2"/>
  </r>
  <r>
    <s v="bra"/>
    <x v="10"/>
    <s v="monthly"/>
    <s v="vw_cap"/>
    <n v="4"/>
    <x v="306"/>
    <n v="-9.6118615493854295E-4"/>
  </r>
  <r>
    <s v="bra"/>
    <x v="10"/>
    <s v="monthly"/>
    <s v="vw_cap"/>
    <n v="4"/>
    <x v="307"/>
    <n v="-2.0195417764041601E-2"/>
  </r>
  <r>
    <s v="bra"/>
    <x v="10"/>
    <s v="monthly"/>
    <s v="vw_cap"/>
    <n v="4"/>
    <x v="28"/>
    <n v="2.26817887067725E-2"/>
  </r>
  <r>
    <s v="bra"/>
    <x v="10"/>
    <s v="monthly"/>
    <s v="vw_cap"/>
    <n v="4"/>
    <x v="308"/>
    <n v="-9.2335613298619904E-2"/>
  </r>
  <r>
    <s v="bra"/>
    <x v="10"/>
    <s v="monthly"/>
    <s v="vw_cap"/>
    <n v="4"/>
    <x v="309"/>
    <n v="0.105202487534393"/>
  </r>
  <r>
    <s v="bra"/>
    <x v="10"/>
    <s v="monthly"/>
    <s v="vw_cap"/>
    <n v="4"/>
    <x v="310"/>
    <n v="5.5360050753171398E-3"/>
  </r>
  <r>
    <s v="bra"/>
    <x v="10"/>
    <s v="monthly"/>
    <s v="vw_cap"/>
    <n v="4"/>
    <x v="311"/>
    <n v="3.5623172821269498E-2"/>
  </r>
  <r>
    <s v="bra"/>
    <x v="10"/>
    <s v="monthly"/>
    <s v="vw_cap"/>
    <n v="4"/>
    <x v="29"/>
    <n v="-1.30915370628164E-2"/>
  </r>
  <r>
    <s v="bra"/>
    <x v="10"/>
    <s v="monthly"/>
    <s v="vw_cap"/>
    <n v="4"/>
    <x v="30"/>
    <n v="4.6783761571402703E-2"/>
  </r>
  <r>
    <s v="bra"/>
    <x v="10"/>
    <s v="monthly"/>
    <s v="vw_cap"/>
    <n v="4"/>
    <x v="31"/>
    <n v="5.1970141103469198E-3"/>
  </r>
  <r>
    <s v="bra"/>
    <x v="10"/>
    <s v="monthly"/>
    <s v="vw_cap"/>
    <n v="4"/>
    <x v="32"/>
    <n v="-1.6127114194418299E-2"/>
  </r>
  <r>
    <s v="bra"/>
    <x v="10"/>
    <s v="monthly"/>
    <s v="vw_cap"/>
    <n v="4"/>
    <x v="33"/>
    <n v="-2.3755065974244999E-2"/>
  </r>
  <r>
    <s v="bra"/>
    <x v="10"/>
    <s v="monthly"/>
    <s v="vw_cap"/>
    <n v="4"/>
    <x v="34"/>
    <n v="-5.1532547840657597E-2"/>
  </r>
  <r>
    <s v="bra"/>
    <x v="10"/>
    <s v="monthly"/>
    <s v="vw_cap"/>
    <n v="4"/>
    <x v="35"/>
    <n v="3.7098422056220201E-2"/>
  </r>
  <r>
    <s v="bra"/>
    <x v="10"/>
    <s v="monthly"/>
    <s v="vw_cap"/>
    <n v="4"/>
    <x v="36"/>
    <n v="-4.9483207205349801E-2"/>
  </r>
  <r>
    <s v="bra"/>
    <x v="10"/>
    <s v="monthly"/>
    <s v="vw_cap"/>
    <n v="4"/>
    <x v="37"/>
    <n v="5.6284000238837298E-2"/>
  </r>
  <r>
    <s v="bra"/>
    <x v="10"/>
    <s v="monthly"/>
    <s v="vw_cap"/>
    <n v="4"/>
    <x v="38"/>
    <n v="-3.4459169867154102E-3"/>
  </r>
  <r>
    <s v="bra"/>
    <x v="10"/>
    <s v="monthly"/>
    <s v="vw_cap"/>
    <n v="4"/>
    <x v="39"/>
    <n v="5.6385948263557403E-2"/>
  </r>
  <r>
    <s v="bra"/>
    <x v="10"/>
    <s v="monthly"/>
    <s v="vw_cap"/>
    <n v="4"/>
    <x v="40"/>
    <n v="-1.2456484932287799E-2"/>
  </r>
  <r>
    <s v="bra"/>
    <x v="10"/>
    <s v="monthly"/>
    <s v="vw_cap"/>
    <n v="4"/>
    <x v="41"/>
    <n v="-4.5325049128324198E-2"/>
  </r>
  <r>
    <s v="bra"/>
    <x v="10"/>
    <s v="monthly"/>
    <s v="vw_cap"/>
    <n v="4"/>
    <x v="42"/>
    <n v="-1.41613435713947E-2"/>
  </r>
  <r>
    <s v="bra"/>
    <x v="10"/>
    <s v="monthly"/>
    <s v="vw_cap"/>
    <n v="4"/>
    <x v="43"/>
    <n v="6.9141879848123398E-3"/>
  </r>
  <r>
    <s v="bra"/>
    <x v="10"/>
    <s v="monthly"/>
    <s v="vw_cap"/>
    <n v="4"/>
    <x v="44"/>
    <n v="8.81034441479649E-3"/>
  </r>
  <r>
    <s v="bra"/>
    <x v="10"/>
    <s v="monthly"/>
    <s v="vw_cap"/>
    <n v="4"/>
    <x v="45"/>
    <n v="5.2373932307187503E-2"/>
  </r>
  <r>
    <s v="bra"/>
    <x v="10"/>
    <s v="monthly"/>
    <s v="vw_cap"/>
    <n v="4"/>
    <x v="46"/>
    <n v="9.7225782213983692E-3"/>
  </r>
  <r>
    <s v="bra"/>
    <x v="10"/>
    <s v="monthly"/>
    <s v="vw_cap"/>
    <n v="5"/>
    <x v="47"/>
    <n v="-7.7033040482085702E-3"/>
  </r>
  <r>
    <s v="bra"/>
    <x v="10"/>
    <s v="monthly"/>
    <s v="vw_cap"/>
    <n v="4"/>
    <x v="48"/>
    <n v="0.156369562635369"/>
  </r>
  <r>
    <s v="bra"/>
    <x v="10"/>
    <s v="monthly"/>
    <s v="vw_cap"/>
    <n v="4"/>
    <x v="49"/>
    <n v="1.90261720016511E-2"/>
  </r>
  <r>
    <s v="bra"/>
    <x v="10"/>
    <s v="monthly"/>
    <s v="vw_cap"/>
    <n v="5"/>
    <x v="50"/>
    <n v="3.6518639597759001E-2"/>
  </r>
  <r>
    <s v="bra"/>
    <x v="10"/>
    <s v="monthly"/>
    <s v="vw_cap"/>
    <n v="6"/>
    <x v="51"/>
    <n v="1.7407936949715201E-2"/>
  </r>
  <r>
    <s v="bra"/>
    <x v="10"/>
    <s v="monthly"/>
    <s v="vw_cap"/>
    <n v="6"/>
    <x v="52"/>
    <n v="-1.52881670247991E-2"/>
  </r>
  <r>
    <s v="bra"/>
    <x v="10"/>
    <s v="monthly"/>
    <s v="vw_cap"/>
    <n v="6"/>
    <x v="53"/>
    <n v="4.8425053686339901E-3"/>
  </r>
  <r>
    <s v="bra"/>
    <x v="10"/>
    <s v="monthly"/>
    <s v="vw_cap"/>
    <n v="6"/>
    <x v="54"/>
    <n v="-1.2355504629546999E-2"/>
  </r>
  <r>
    <s v="bra"/>
    <x v="10"/>
    <s v="monthly"/>
    <s v="vw_cap"/>
    <n v="6"/>
    <x v="55"/>
    <n v="-3.5290919680809798E-3"/>
  </r>
  <r>
    <s v="bra"/>
    <x v="10"/>
    <s v="monthly"/>
    <s v="vw_cap"/>
    <n v="6"/>
    <x v="56"/>
    <n v="-1.69142347368644E-2"/>
  </r>
  <r>
    <s v="bra"/>
    <x v="10"/>
    <s v="monthly"/>
    <s v="vw_cap"/>
    <n v="5"/>
    <x v="57"/>
    <n v="-1.43949619620421E-2"/>
  </r>
  <r>
    <s v="bra"/>
    <x v="10"/>
    <s v="monthly"/>
    <s v="vw_cap"/>
    <n v="5"/>
    <x v="58"/>
    <n v="1.7676643687328401E-2"/>
  </r>
  <r>
    <s v="bra"/>
    <x v="10"/>
    <s v="monthly"/>
    <s v="vw_cap"/>
    <n v="5"/>
    <x v="59"/>
    <n v="-3.0415627600708702E-3"/>
  </r>
  <r>
    <s v="bra"/>
    <x v="10"/>
    <s v="monthly"/>
    <s v="vw_cap"/>
    <n v="6"/>
    <x v="60"/>
    <n v="7.5302768423198203E-4"/>
  </r>
  <r>
    <s v="bra"/>
    <x v="10"/>
    <s v="monthly"/>
    <s v="vw_cap"/>
    <n v="6"/>
    <x v="61"/>
    <n v="1.47408888270431E-2"/>
  </r>
  <r>
    <s v="bra"/>
    <x v="10"/>
    <s v="monthly"/>
    <s v="vw_cap"/>
    <n v="6"/>
    <x v="62"/>
    <n v="4.3359465991813699E-4"/>
  </r>
  <r>
    <s v="bra"/>
    <x v="10"/>
    <s v="monthly"/>
    <s v="vw_cap"/>
    <n v="5"/>
    <x v="63"/>
    <n v="-1.19233221405584E-2"/>
  </r>
  <r>
    <s v="bra"/>
    <x v="10"/>
    <s v="monthly"/>
    <s v="vw_cap"/>
    <n v="5"/>
    <x v="64"/>
    <n v="2.62734438897223E-2"/>
  </r>
  <r>
    <s v="bra"/>
    <x v="10"/>
    <s v="monthly"/>
    <s v="vw_cap"/>
    <n v="5"/>
    <x v="65"/>
    <n v="1.81569878910725E-2"/>
  </r>
  <r>
    <s v="bra"/>
    <x v="10"/>
    <s v="monthly"/>
    <s v="vw_cap"/>
    <n v="6"/>
    <x v="66"/>
    <n v="1.5322195384643401E-2"/>
  </r>
  <r>
    <s v="bra"/>
    <x v="10"/>
    <s v="monthly"/>
    <s v="vw_cap"/>
    <n v="5"/>
    <x v="67"/>
    <n v="1.5251450014187201E-3"/>
  </r>
  <r>
    <s v="bra"/>
    <x v="10"/>
    <s v="monthly"/>
    <s v="vw_cap"/>
    <n v="6"/>
    <x v="68"/>
    <n v="-7.0617088554474801E-3"/>
  </r>
  <r>
    <s v="bra"/>
    <x v="10"/>
    <s v="monthly"/>
    <s v="vw_cap"/>
    <n v="6"/>
    <x v="69"/>
    <n v="-1.3075665574576701E-2"/>
  </r>
  <r>
    <s v="bra"/>
    <x v="10"/>
    <s v="monthly"/>
    <s v="vw_cap"/>
    <n v="6"/>
    <x v="70"/>
    <n v="3.0371163328379799E-2"/>
  </r>
  <r>
    <s v="bra"/>
    <x v="10"/>
    <s v="monthly"/>
    <s v="vw_cap"/>
    <n v="6"/>
    <x v="71"/>
    <n v="-5.7986373721277502E-3"/>
  </r>
  <r>
    <s v="bra"/>
    <x v="10"/>
    <s v="monthly"/>
    <s v="vw_cap"/>
    <n v="6"/>
    <x v="72"/>
    <n v="-1.0219827863802799E-2"/>
  </r>
  <r>
    <s v="bra"/>
    <x v="10"/>
    <s v="monthly"/>
    <s v="vw_cap"/>
    <n v="6"/>
    <x v="73"/>
    <n v="-4.4622115833595898E-2"/>
  </r>
  <r>
    <s v="bra"/>
    <x v="10"/>
    <s v="monthly"/>
    <s v="vw_cap"/>
    <n v="6"/>
    <x v="74"/>
    <n v="1.26585158490315E-2"/>
  </r>
  <r>
    <s v="bra"/>
    <x v="10"/>
    <s v="monthly"/>
    <s v="vw_cap"/>
    <n v="6"/>
    <x v="75"/>
    <n v="3.2995416676336903E-2"/>
  </r>
  <r>
    <s v="bra"/>
    <x v="10"/>
    <s v="monthly"/>
    <s v="vw_cap"/>
    <n v="6"/>
    <x v="76"/>
    <n v="-2.49274787414686E-3"/>
  </r>
  <r>
    <s v="bra"/>
    <x v="10"/>
    <s v="monthly"/>
    <s v="vw_cap"/>
    <n v="6"/>
    <x v="77"/>
    <n v="1.1437254264623799E-2"/>
  </r>
  <r>
    <s v="bra"/>
    <x v="10"/>
    <s v="monthly"/>
    <s v="vw_cap"/>
    <n v="6"/>
    <x v="78"/>
    <n v="6.8925201049523099E-3"/>
  </r>
  <r>
    <s v="bra"/>
    <x v="10"/>
    <s v="monthly"/>
    <s v="vw_cap"/>
    <n v="6"/>
    <x v="79"/>
    <n v="1.19032402043602E-3"/>
  </r>
  <r>
    <s v="bra"/>
    <x v="10"/>
    <s v="monthly"/>
    <s v="vw_cap"/>
    <n v="6"/>
    <x v="80"/>
    <n v="-4.6845033934750499E-3"/>
  </r>
  <r>
    <s v="bra"/>
    <x v="10"/>
    <s v="monthly"/>
    <s v="vw_cap"/>
    <n v="6"/>
    <x v="81"/>
    <n v="1.7056301042855299E-2"/>
  </r>
  <r>
    <s v="bra"/>
    <x v="10"/>
    <s v="monthly"/>
    <s v="vw_cap"/>
    <n v="6"/>
    <x v="82"/>
    <n v="-1.2752833481725699E-2"/>
  </r>
  <r>
    <s v="bra"/>
    <x v="10"/>
    <s v="monthly"/>
    <s v="vw_cap"/>
    <n v="6"/>
    <x v="83"/>
    <n v="-3.5218583958885003E-4"/>
  </r>
  <r>
    <s v="bra"/>
    <x v="10"/>
    <s v="monthly"/>
    <s v="vw_cap"/>
    <n v="6"/>
    <x v="84"/>
    <n v="5.9721374152434401E-3"/>
  </r>
  <r>
    <s v="bra"/>
    <x v="10"/>
    <s v="monthly"/>
    <s v="vw_cap"/>
    <n v="5"/>
    <x v="85"/>
    <n v="3.5773393957014101E-3"/>
  </r>
  <r>
    <s v="bra"/>
    <x v="10"/>
    <s v="monthly"/>
    <s v="vw_cap"/>
    <n v="6"/>
    <x v="86"/>
    <n v="2.92965721076082E-2"/>
  </r>
  <r>
    <s v="bra"/>
    <x v="10"/>
    <s v="monthly"/>
    <s v="vw_cap"/>
    <n v="6"/>
    <x v="87"/>
    <n v="6.9894330597869798E-3"/>
  </r>
  <r>
    <s v="bra"/>
    <x v="10"/>
    <s v="monthly"/>
    <s v="vw_cap"/>
    <n v="6"/>
    <x v="88"/>
    <n v="-6.0683996049236598E-2"/>
  </r>
  <r>
    <s v="bra"/>
    <x v="10"/>
    <s v="monthly"/>
    <s v="vw_cap"/>
    <n v="6"/>
    <x v="89"/>
    <n v="-1.5221475283412901E-2"/>
  </r>
  <r>
    <s v="bra"/>
    <x v="10"/>
    <s v="monthly"/>
    <s v="vw_cap"/>
    <n v="6"/>
    <x v="90"/>
    <n v="1.28949014537206E-2"/>
  </r>
  <r>
    <s v="bra"/>
    <x v="10"/>
    <s v="monthly"/>
    <s v="vw_cap"/>
    <n v="6"/>
    <x v="91"/>
    <n v="1.14246570837309E-2"/>
  </r>
  <r>
    <s v="bra"/>
    <x v="10"/>
    <s v="monthly"/>
    <s v="vw_cap"/>
    <n v="6"/>
    <x v="92"/>
    <n v="-3.1718118647165098E-3"/>
  </r>
  <r>
    <s v="bra"/>
    <x v="10"/>
    <s v="monthly"/>
    <s v="vw_cap"/>
    <n v="6"/>
    <x v="93"/>
    <n v="-8.0248662256187202E-3"/>
  </r>
  <r>
    <s v="bra"/>
    <x v="10"/>
    <s v="monthly"/>
    <s v="vw_cap"/>
    <n v="6"/>
    <x v="94"/>
    <n v="8.4883032849827501E-3"/>
  </r>
  <r>
    <s v="bra"/>
    <x v="10"/>
    <s v="monthly"/>
    <s v="vw_cap"/>
    <n v="6"/>
    <x v="95"/>
    <n v="-1.6654974628109099E-2"/>
  </r>
  <r>
    <s v="bra"/>
    <x v="10"/>
    <s v="monthly"/>
    <s v="vw_cap"/>
    <n v="6"/>
    <x v="96"/>
    <n v="1.3609423647155099E-2"/>
  </r>
  <r>
    <s v="bra"/>
    <x v="10"/>
    <s v="monthly"/>
    <s v="vw_cap"/>
    <n v="6"/>
    <x v="97"/>
    <n v="-5.3516071390169902E-2"/>
  </r>
  <r>
    <s v="bra"/>
    <x v="10"/>
    <s v="monthly"/>
    <s v="vw_cap"/>
    <n v="6"/>
    <x v="98"/>
    <n v="2.3264120140213399E-2"/>
  </r>
  <r>
    <s v="bra"/>
    <x v="10"/>
    <s v="monthly"/>
    <s v="vw_cap"/>
    <n v="6"/>
    <x v="99"/>
    <n v="7.12777723871281E-3"/>
  </r>
  <r>
    <s v="bra"/>
    <x v="10"/>
    <s v="monthly"/>
    <s v="vw_cap"/>
    <n v="6"/>
    <x v="100"/>
    <n v="2.5313823549580401E-2"/>
  </r>
  <r>
    <s v="bra"/>
    <x v="10"/>
    <s v="monthly"/>
    <s v="vw_cap"/>
    <n v="6"/>
    <x v="101"/>
    <n v="-1.39795574972466E-2"/>
  </r>
  <r>
    <s v="bra"/>
    <x v="10"/>
    <s v="monthly"/>
    <s v="vw_cap"/>
    <n v="6"/>
    <x v="102"/>
    <n v="-1.0743779218918E-2"/>
  </r>
  <r>
    <s v="bra"/>
    <x v="10"/>
    <s v="monthly"/>
    <s v="vw_cap"/>
    <n v="6"/>
    <x v="103"/>
    <n v="-1.5455146620187101E-2"/>
  </r>
  <r>
    <s v="bra"/>
    <x v="10"/>
    <s v="monthly"/>
    <s v="vw_cap"/>
    <n v="6"/>
    <x v="104"/>
    <n v="2.2599565230919199E-2"/>
  </r>
  <r>
    <s v="bra"/>
    <x v="10"/>
    <s v="monthly"/>
    <s v="vw_cap"/>
    <n v="6"/>
    <x v="105"/>
    <n v="7.5573938071955898E-3"/>
  </r>
  <r>
    <s v="bra"/>
    <x v="10"/>
    <s v="monthly"/>
    <s v="vw_cap"/>
    <n v="6"/>
    <x v="106"/>
    <n v="-4.1215985593560801E-2"/>
  </r>
  <r>
    <s v="bra"/>
    <x v="10"/>
    <s v="monthly"/>
    <s v="vw_cap"/>
    <n v="6"/>
    <x v="107"/>
    <n v="-9.3913107973252596E-3"/>
  </r>
  <r>
    <s v="bra"/>
    <x v="10"/>
    <s v="monthly"/>
    <s v="vw_cap"/>
    <n v="6"/>
    <x v="108"/>
    <n v="-1.55839927218724E-2"/>
  </r>
  <r>
    <s v="bra"/>
    <x v="10"/>
    <s v="monthly"/>
    <s v="vw_cap"/>
    <n v="6"/>
    <x v="109"/>
    <n v="-1.38441450270139E-2"/>
  </r>
  <r>
    <s v="bra"/>
    <x v="10"/>
    <s v="monthly"/>
    <s v="vw_cap"/>
    <n v="6"/>
    <x v="110"/>
    <n v="-1.00619396546159E-2"/>
  </r>
  <r>
    <s v="bra"/>
    <x v="10"/>
    <s v="monthly"/>
    <s v="vw_cap"/>
    <n v="6"/>
    <x v="111"/>
    <n v="-1.9864322448790502E-2"/>
  </r>
  <r>
    <s v="bra"/>
    <x v="10"/>
    <s v="monthly"/>
    <s v="vw_cap"/>
    <n v="6"/>
    <x v="112"/>
    <n v="-1.8544802940090699E-2"/>
  </r>
  <r>
    <s v="bra"/>
    <x v="10"/>
    <s v="monthly"/>
    <s v="vw_cap"/>
    <n v="6"/>
    <x v="113"/>
    <n v="1.21771594222954E-2"/>
  </r>
  <r>
    <s v="bra"/>
    <x v="10"/>
    <s v="monthly"/>
    <s v="vw_cap"/>
    <n v="6"/>
    <x v="114"/>
    <n v="-5.0619788364027404E-3"/>
  </r>
  <r>
    <s v="bra"/>
    <x v="10"/>
    <s v="monthly"/>
    <s v="vw_cap"/>
    <n v="6"/>
    <x v="115"/>
    <n v="1.77245769874445E-2"/>
  </r>
  <r>
    <s v="bra"/>
    <x v="10"/>
    <s v="monthly"/>
    <s v="vw_cap"/>
    <n v="6"/>
    <x v="116"/>
    <n v="1.05104929655677E-2"/>
  </r>
  <r>
    <s v="bra"/>
    <x v="10"/>
    <s v="monthly"/>
    <s v="vw_cap"/>
    <n v="6"/>
    <x v="117"/>
    <n v="7.1956120050676604E-3"/>
  </r>
  <r>
    <s v="bra"/>
    <x v="10"/>
    <s v="monthly"/>
    <s v="vw_cap"/>
    <n v="6"/>
    <x v="118"/>
    <n v="5.3922525156194397E-2"/>
  </r>
  <r>
    <s v="bra"/>
    <x v="10"/>
    <s v="monthly"/>
    <s v="vw_cap"/>
    <n v="6"/>
    <x v="119"/>
    <n v="1.5885848127916199E-2"/>
  </r>
  <r>
    <s v="bra"/>
    <x v="10"/>
    <s v="monthly"/>
    <s v="vw_cap"/>
    <n v="6"/>
    <x v="120"/>
    <n v="-8.1036443770892801E-3"/>
  </r>
  <r>
    <s v="bra"/>
    <x v="10"/>
    <s v="monthly"/>
    <s v="vw_cap"/>
    <n v="6"/>
    <x v="121"/>
    <n v="4.27579641922297E-2"/>
  </r>
  <r>
    <s v="bra"/>
    <x v="10"/>
    <s v="monthly"/>
    <s v="vw_cap"/>
    <n v="6"/>
    <x v="122"/>
    <n v="7.2745373705005402E-3"/>
  </r>
  <r>
    <s v="bra"/>
    <x v="10"/>
    <s v="monthly"/>
    <s v="vw_cap"/>
    <n v="6"/>
    <x v="123"/>
    <n v="-1.61937882059097E-2"/>
  </r>
  <r>
    <s v="bra"/>
    <x v="10"/>
    <s v="monthly"/>
    <s v="vw_cap"/>
    <n v="6"/>
    <x v="124"/>
    <n v="-1.6835498212340899E-2"/>
  </r>
  <r>
    <s v="bra"/>
    <x v="10"/>
    <s v="monthly"/>
    <s v="vw_cap"/>
    <n v="6"/>
    <x v="125"/>
    <n v="-2.9554497758174501E-2"/>
  </r>
  <r>
    <s v="bra"/>
    <x v="10"/>
    <s v="monthly"/>
    <s v="vw_cap"/>
    <n v="6"/>
    <x v="126"/>
    <n v="-1.23517157592278E-2"/>
  </r>
  <r>
    <s v="bra"/>
    <x v="10"/>
    <s v="monthly"/>
    <s v="vw_cap"/>
    <n v="6"/>
    <x v="127"/>
    <n v="1.67879954001579E-2"/>
  </r>
  <r>
    <s v="bra"/>
    <x v="10"/>
    <s v="monthly"/>
    <s v="vw_cap"/>
    <n v="6"/>
    <x v="128"/>
    <n v="-4.1522973390075097E-3"/>
  </r>
  <r>
    <s v="bra"/>
    <x v="10"/>
    <s v="monthly"/>
    <s v="vw_cap"/>
    <n v="6"/>
    <x v="129"/>
    <n v="-1.1506637695972601E-2"/>
  </r>
  <r>
    <s v="bra"/>
    <x v="10"/>
    <s v="monthly"/>
    <s v="vw_cap"/>
    <n v="6"/>
    <x v="130"/>
    <n v="-4.3201891580847496E-3"/>
  </r>
  <r>
    <s v="bra"/>
    <x v="10"/>
    <s v="monthly"/>
    <s v="vw_cap"/>
    <n v="6"/>
    <x v="131"/>
    <n v="6.2207138375926299E-3"/>
  </r>
  <r>
    <s v="bra"/>
    <x v="10"/>
    <s v="monthly"/>
    <s v="vw_cap"/>
    <n v="6"/>
    <x v="132"/>
    <n v="2.2321315291992799E-3"/>
  </r>
  <r>
    <s v="bra"/>
    <x v="10"/>
    <s v="monthly"/>
    <s v="vw_cap"/>
    <n v="6"/>
    <x v="133"/>
    <n v="1.1402011446286799E-2"/>
  </r>
  <r>
    <s v="bra"/>
    <x v="10"/>
    <s v="monthly"/>
    <s v="vw_cap"/>
    <n v="6"/>
    <x v="134"/>
    <n v="-7.8976052147183302E-3"/>
  </r>
  <r>
    <s v="bra"/>
    <x v="10"/>
    <s v="monthly"/>
    <s v="vw_cap"/>
    <n v="6"/>
    <x v="135"/>
    <n v="-3.6105592641497999E-3"/>
  </r>
  <r>
    <s v="bra"/>
    <x v="10"/>
    <s v="monthly"/>
    <s v="vw_cap"/>
    <n v="6"/>
    <x v="136"/>
    <n v="1.94040086075822E-2"/>
  </r>
  <r>
    <s v="bra"/>
    <x v="10"/>
    <s v="monthly"/>
    <s v="vw_cap"/>
    <n v="6"/>
    <x v="137"/>
    <n v="-4.6243175103108597E-3"/>
  </r>
  <r>
    <s v="bra"/>
    <x v="10"/>
    <s v="monthly"/>
    <s v="vw_cap"/>
    <n v="6"/>
    <x v="138"/>
    <n v="1.6851416638862099E-3"/>
  </r>
  <r>
    <s v="bra"/>
    <x v="10"/>
    <s v="monthly"/>
    <s v="vw_cap"/>
    <n v="6"/>
    <x v="139"/>
    <n v="8.1930590182198503E-4"/>
  </r>
  <r>
    <s v="bra"/>
    <x v="10"/>
    <s v="monthly"/>
    <s v="vw_cap"/>
    <n v="6"/>
    <x v="140"/>
    <n v="-7.01009713122582E-3"/>
  </r>
  <r>
    <s v="bra"/>
    <x v="10"/>
    <s v="monthly"/>
    <s v="vw_cap"/>
    <n v="6"/>
    <x v="141"/>
    <n v="2.2781976086496899E-2"/>
  </r>
  <r>
    <s v="bra"/>
    <x v="10"/>
    <s v="monthly"/>
    <s v="vw_cap"/>
    <n v="6"/>
    <x v="142"/>
    <n v="-2.69159387934284E-2"/>
  </r>
  <r>
    <s v="bra"/>
    <x v="10"/>
    <s v="monthly"/>
    <s v="vw_cap"/>
    <n v="6"/>
    <x v="143"/>
    <n v="1.1865551119610801E-2"/>
  </r>
  <r>
    <s v="bra"/>
    <x v="10"/>
    <s v="monthly"/>
    <s v="vw_cap"/>
    <n v="6"/>
    <x v="144"/>
    <n v="-1.5773251200065501E-2"/>
  </r>
  <r>
    <s v="bra"/>
    <x v="10"/>
    <s v="monthly"/>
    <s v="vw_cap"/>
    <n v="6"/>
    <x v="145"/>
    <n v="2.41428308101139E-3"/>
  </r>
  <r>
    <s v="bra"/>
    <x v="10"/>
    <s v="monthly"/>
    <s v="vw_cap"/>
    <n v="6"/>
    <x v="146"/>
    <n v="1.3290760473845999E-2"/>
  </r>
  <r>
    <s v="bra"/>
    <x v="10"/>
    <s v="monthly"/>
    <s v="vw_cap"/>
    <n v="6"/>
    <x v="147"/>
    <n v="-9.2966077401284292E-3"/>
  </r>
  <r>
    <s v="bra"/>
    <x v="10"/>
    <s v="monthly"/>
    <s v="vw_cap"/>
    <n v="6"/>
    <x v="148"/>
    <n v="-2.68398893007426E-2"/>
  </r>
  <r>
    <s v="bra"/>
    <x v="10"/>
    <s v="monthly"/>
    <s v="vw_cap"/>
    <n v="6"/>
    <x v="149"/>
    <n v="-1.8735917273199901E-2"/>
  </r>
  <r>
    <s v="bra"/>
    <x v="10"/>
    <s v="monthly"/>
    <s v="vw_cap"/>
    <n v="6"/>
    <x v="150"/>
    <n v="-1.9266271730951599E-2"/>
  </r>
  <r>
    <s v="bra"/>
    <x v="10"/>
    <s v="monthly"/>
    <s v="vw_cap"/>
    <n v="6"/>
    <x v="151"/>
    <n v="-2.4505153447639101E-2"/>
  </r>
  <r>
    <s v="bra"/>
    <x v="10"/>
    <s v="monthly"/>
    <s v="vw_cap"/>
    <n v="6"/>
    <x v="152"/>
    <n v="-2.3643672664934699E-2"/>
  </r>
  <r>
    <s v="bra"/>
    <x v="10"/>
    <s v="monthly"/>
    <s v="vw_cap"/>
    <n v="6"/>
    <x v="153"/>
    <n v="2.0171898099161499E-2"/>
  </r>
  <r>
    <s v="bra"/>
    <x v="10"/>
    <s v="monthly"/>
    <s v="vw_cap"/>
    <n v="6"/>
    <x v="154"/>
    <n v="-1.78346949999162E-2"/>
  </r>
  <r>
    <s v="bra"/>
    <x v="10"/>
    <s v="monthly"/>
    <s v="vw_cap"/>
    <n v="6"/>
    <x v="155"/>
    <n v="2.3488895036944801E-3"/>
  </r>
  <r>
    <s v="bra"/>
    <x v="10"/>
    <s v="monthly"/>
    <s v="vw_cap"/>
    <n v="6"/>
    <x v="156"/>
    <n v="-6.2381690410901903E-3"/>
  </r>
  <r>
    <s v="bra"/>
    <x v="10"/>
    <s v="monthly"/>
    <s v="vw_cap"/>
    <n v="6"/>
    <x v="157"/>
    <n v="-1.9814158102126101E-2"/>
  </r>
  <r>
    <s v="bra"/>
    <x v="10"/>
    <s v="monthly"/>
    <s v="vw_cap"/>
    <n v="6"/>
    <x v="158"/>
    <n v="2.4061132281020099E-2"/>
  </r>
  <r>
    <s v="bra"/>
    <x v="10"/>
    <s v="monthly"/>
    <s v="vw_cap"/>
    <n v="6"/>
    <x v="159"/>
    <n v="-1.5404882508638199E-2"/>
  </r>
  <r>
    <s v="bra"/>
    <x v="10"/>
    <s v="monthly"/>
    <s v="vw_cap"/>
    <n v="6"/>
    <x v="160"/>
    <n v="-2.6501395624241499E-2"/>
  </r>
  <r>
    <s v="bra"/>
    <x v="10"/>
    <s v="monthly"/>
    <s v="vw_cap"/>
    <n v="6"/>
    <x v="161"/>
    <n v="6.5390213759997902E-3"/>
  </r>
  <r>
    <s v="bra"/>
    <x v="10"/>
    <s v="monthly"/>
    <s v="vw_cap"/>
    <n v="6"/>
    <x v="162"/>
    <n v="5.5165539427770799E-4"/>
  </r>
  <r>
    <s v="bra"/>
    <x v="10"/>
    <s v="monthly"/>
    <s v="vw_cap"/>
    <n v="6"/>
    <x v="163"/>
    <n v="-5.40723194379082E-3"/>
  </r>
  <r>
    <s v="bra"/>
    <x v="10"/>
    <s v="monthly"/>
    <s v="vw_cap"/>
    <n v="6"/>
    <x v="164"/>
    <n v="-9.7066042735080398E-3"/>
  </r>
  <r>
    <s v="bra"/>
    <x v="10"/>
    <s v="monthly"/>
    <s v="vw_cap"/>
    <n v="6"/>
    <x v="165"/>
    <n v="9.87504052572853E-3"/>
  </r>
  <r>
    <s v="bra"/>
    <x v="10"/>
    <s v="monthly"/>
    <s v="vw_cap"/>
    <n v="6"/>
    <x v="166"/>
    <n v="8.62723068515521E-3"/>
  </r>
  <r>
    <s v="bra"/>
    <x v="10"/>
    <s v="monthly"/>
    <s v="vw_cap"/>
    <n v="6"/>
    <x v="167"/>
    <n v="-3.5163843696821302E-2"/>
  </r>
  <r>
    <s v="bra"/>
    <x v="10"/>
    <s v="monthly"/>
    <s v="vw_cap"/>
    <n v="6"/>
    <x v="168"/>
    <n v="-7.7508195827405597E-4"/>
  </r>
  <r>
    <s v="bra"/>
    <x v="10"/>
    <s v="monthly"/>
    <s v="vw_cap"/>
    <n v="6"/>
    <x v="169"/>
    <n v="-1.9963332921293101E-2"/>
  </r>
  <r>
    <s v="bra"/>
    <x v="10"/>
    <s v="monthly"/>
    <s v="vw_cap"/>
    <n v="6"/>
    <x v="170"/>
    <n v="4.7831962034724999E-2"/>
  </r>
  <r>
    <s v="bra"/>
    <x v="10"/>
    <s v="monthly"/>
    <s v="vw_cap"/>
    <n v="6"/>
    <x v="171"/>
    <n v="4.7536093004864201E-2"/>
  </r>
  <r>
    <s v="bra"/>
    <x v="10"/>
    <s v="monthly"/>
    <s v="vw_cap"/>
    <n v="6"/>
    <x v="172"/>
    <n v="-6.1359032097542003E-2"/>
  </r>
  <r>
    <s v="bra"/>
    <x v="10"/>
    <s v="monthly"/>
    <s v="vw_cap"/>
    <n v="6"/>
    <x v="173"/>
    <n v="3.9099217844210103E-2"/>
  </r>
  <r>
    <s v="bra"/>
    <x v="10"/>
    <s v="monthly"/>
    <s v="vw_cap"/>
    <n v="6"/>
    <x v="174"/>
    <n v="1.27198178915995E-2"/>
  </r>
  <r>
    <s v="bra"/>
    <x v="10"/>
    <s v="monthly"/>
    <s v="vw_cap"/>
    <n v="6"/>
    <x v="175"/>
    <n v="-1.6285523214839601E-2"/>
  </r>
  <r>
    <s v="bra"/>
    <x v="10"/>
    <s v="monthly"/>
    <s v="vw_cap"/>
    <n v="6"/>
    <x v="176"/>
    <n v="4.7520038026461998E-3"/>
  </r>
  <r>
    <s v="bra"/>
    <x v="10"/>
    <s v="monthly"/>
    <s v="vw_cap"/>
    <n v="6"/>
    <x v="177"/>
    <n v="-2.8475626517148302E-3"/>
  </r>
  <r>
    <s v="bra"/>
    <x v="10"/>
    <s v="monthly"/>
    <s v="vw_cap"/>
    <n v="6"/>
    <x v="178"/>
    <n v="-1.19257502806395E-2"/>
  </r>
  <r>
    <s v="bra"/>
    <x v="10"/>
    <s v="monthly"/>
    <s v="vw_cap"/>
    <n v="6"/>
    <x v="179"/>
    <n v="4.9601930499881802E-3"/>
  </r>
  <r>
    <s v="bra"/>
    <x v="10"/>
    <s v="monthly"/>
    <s v="vw_cap"/>
    <n v="6"/>
    <x v="180"/>
    <n v="-5.7689498136229899E-3"/>
  </r>
  <r>
    <s v="bra"/>
    <x v="10"/>
    <s v="monthly"/>
    <s v="vw_cap"/>
    <n v="6"/>
    <x v="181"/>
    <n v="2.1182135337612901E-2"/>
  </r>
  <r>
    <s v="bra"/>
    <x v="10"/>
    <s v="monthly"/>
    <s v="vw_cap"/>
    <n v="6"/>
    <x v="182"/>
    <n v="-1.5254667682909799E-2"/>
  </r>
  <r>
    <s v="bra"/>
    <x v="10"/>
    <s v="monthly"/>
    <s v="vw_cap"/>
    <n v="6"/>
    <x v="183"/>
    <n v="-1.0943454399463501E-2"/>
  </r>
  <r>
    <s v="bra"/>
    <x v="10"/>
    <s v="monthly"/>
    <s v="vw_cap"/>
    <n v="6"/>
    <x v="184"/>
    <n v="-1.7850121271578E-2"/>
  </r>
  <r>
    <s v="bra"/>
    <x v="10"/>
    <s v="monthly"/>
    <s v="vw_cap"/>
    <n v="6"/>
    <x v="185"/>
    <n v="-1.80393065609963E-3"/>
  </r>
  <r>
    <s v="bra"/>
    <x v="10"/>
    <s v="monthly"/>
    <s v="vw_cap"/>
    <n v="6"/>
    <x v="186"/>
    <n v="2.1144403568107501E-2"/>
  </r>
  <r>
    <s v="bra"/>
    <x v="10"/>
    <s v="monthly"/>
    <s v="vw_cap"/>
    <n v="6"/>
    <x v="187"/>
    <n v="1.50532553400969E-2"/>
  </r>
  <r>
    <s v="bra"/>
    <x v="10"/>
    <s v="monthly"/>
    <s v="vw_cap"/>
    <n v="6"/>
    <x v="188"/>
    <n v="-1.022223115402E-2"/>
  </r>
  <r>
    <s v="bra"/>
    <x v="10"/>
    <s v="monthly"/>
    <s v="vw_cap"/>
    <n v="6"/>
    <x v="189"/>
    <n v="-1.8661258885065202E-2"/>
  </r>
  <r>
    <s v="bra"/>
    <x v="10"/>
    <s v="monthly"/>
    <s v="vw_cap"/>
    <n v="6"/>
    <x v="190"/>
    <n v="-6.4945618039857801E-3"/>
  </r>
  <r>
    <s v="bra"/>
    <x v="10"/>
    <s v="monthly"/>
    <s v="vw_cap"/>
    <n v="6"/>
    <x v="191"/>
    <n v="-2.7487489216587901E-2"/>
  </r>
  <r>
    <s v="bra"/>
    <x v="10"/>
    <s v="monthly"/>
    <s v="vw_cap"/>
    <n v="6"/>
    <x v="192"/>
    <n v="-1.43201827325621E-2"/>
  </r>
  <r>
    <s v="bra"/>
    <x v="10"/>
    <s v="monthly"/>
    <s v="vw_cap"/>
    <n v="6"/>
    <x v="193"/>
    <n v="-1.68483261765084E-3"/>
  </r>
  <r>
    <s v="bra"/>
    <x v="10"/>
    <s v="monthly"/>
    <s v="vw_cap"/>
    <n v="6"/>
    <x v="194"/>
    <n v="-1.95166893693338E-2"/>
  </r>
  <r>
    <s v="bra"/>
    <x v="10"/>
    <s v="monthly"/>
    <s v="vw_cap"/>
    <n v="6"/>
    <x v="195"/>
    <n v="-2.4427135123166101E-2"/>
  </r>
  <r>
    <s v="bra"/>
    <x v="10"/>
    <s v="monthly"/>
    <s v="vw_cap"/>
    <n v="6"/>
    <x v="196"/>
    <n v="2.3788148367199499E-2"/>
  </r>
  <r>
    <s v="bra"/>
    <x v="10"/>
    <s v="monthly"/>
    <s v="vw_cap"/>
    <n v="6"/>
    <x v="197"/>
    <n v="-1.1522463042003E-2"/>
  </r>
  <r>
    <s v="bra"/>
    <x v="10"/>
    <s v="monthly"/>
    <s v="vw_cap"/>
    <n v="6"/>
    <x v="198"/>
    <n v="-2.9491982133770599E-2"/>
  </r>
  <r>
    <s v="bra"/>
    <x v="10"/>
    <s v="monthly"/>
    <s v="vw_cap"/>
    <n v="6"/>
    <x v="199"/>
    <n v="3.9701781453969198E-3"/>
  </r>
  <r>
    <s v="bra"/>
    <x v="10"/>
    <s v="monthly"/>
    <s v="vw_cap"/>
    <n v="6"/>
    <x v="200"/>
    <n v="3.2134511920590997E-2"/>
  </r>
  <r>
    <s v="bra"/>
    <x v="10"/>
    <s v="monthly"/>
    <s v="vw_cap"/>
    <n v="6"/>
    <x v="201"/>
    <n v="4.6249423182589899E-2"/>
  </r>
  <r>
    <s v="bra"/>
    <x v="10"/>
    <s v="monthly"/>
    <s v="vw_cap"/>
    <n v="6"/>
    <x v="202"/>
    <n v="5.0529867540466601E-2"/>
  </r>
  <r>
    <s v="bra"/>
    <x v="10"/>
    <s v="monthly"/>
    <s v="vw_cap"/>
    <n v="6"/>
    <x v="203"/>
    <n v="-1.46863245966032E-2"/>
  </r>
  <r>
    <s v="bra"/>
    <x v="10"/>
    <s v="monthly"/>
    <s v="vw_cap"/>
    <n v="6"/>
    <x v="204"/>
    <n v="1.6902125407009E-2"/>
  </r>
  <r>
    <s v="bra"/>
    <x v="10"/>
    <s v="monthly"/>
    <s v="vw_cap"/>
    <n v="6"/>
    <x v="205"/>
    <n v="-8.1280435879691401E-3"/>
  </r>
  <r>
    <s v="bra"/>
    <x v="10"/>
    <s v="monthly"/>
    <s v="vw_cap"/>
    <n v="6"/>
    <x v="206"/>
    <n v="-9.1523923051392998E-6"/>
  </r>
  <r>
    <s v="bra"/>
    <x v="10"/>
    <s v="monthly"/>
    <s v="vw_cap"/>
    <n v="6"/>
    <x v="207"/>
    <n v="-1.9479108239671201E-2"/>
  </r>
  <r>
    <s v="bra"/>
    <x v="10"/>
    <s v="monthly"/>
    <s v="vw_cap"/>
    <n v="6"/>
    <x v="208"/>
    <n v="-3.3580496271848503E-2"/>
  </r>
  <r>
    <s v="bra"/>
    <x v="10"/>
    <s v="monthly"/>
    <s v="vw_cap"/>
    <n v="6"/>
    <x v="209"/>
    <n v="-1.81473518112906E-2"/>
  </r>
  <r>
    <s v="bra"/>
    <x v="10"/>
    <s v="monthly"/>
    <s v="vw_cap"/>
    <n v="6"/>
    <x v="210"/>
    <n v="1.3392986022459599E-2"/>
  </r>
  <r>
    <s v="bra"/>
    <x v="10"/>
    <s v="monthly"/>
    <s v="vw_cap"/>
    <n v="6"/>
    <x v="211"/>
    <n v="-1.52888410879852E-2"/>
  </r>
  <r>
    <s v="bra"/>
    <x v="10"/>
    <s v="monthly"/>
    <s v="vw_cap"/>
    <n v="6"/>
    <x v="212"/>
    <n v="-2.9697902150216001E-2"/>
  </r>
  <r>
    <s v="bra"/>
    <x v="10"/>
    <s v="monthly"/>
    <s v="vw_cap"/>
    <n v="6"/>
    <x v="213"/>
    <n v="-9.6164896565042405E-3"/>
  </r>
  <r>
    <s v="bra"/>
    <x v="10"/>
    <s v="monthly"/>
    <s v="vw_cap"/>
    <n v="6"/>
    <x v="214"/>
    <n v="2.6920528781902001E-2"/>
  </r>
  <r>
    <s v="bra"/>
    <x v="10"/>
    <s v="monthly"/>
    <s v="vw_cap"/>
    <n v="6"/>
    <x v="215"/>
    <n v="-2.6286991493010399E-2"/>
  </r>
  <r>
    <s v="bra"/>
    <x v="10"/>
    <s v="monthly"/>
    <s v="vw_cap"/>
    <n v="6"/>
    <x v="216"/>
    <n v="-1.68152760225206E-2"/>
  </r>
  <r>
    <s v="bra"/>
    <x v="10"/>
    <s v="monthly"/>
    <s v="vw_cap"/>
    <n v="6"/>
    <x v="217"/>
    <n v="-2.0761572682213101E-2"/>
  </r>
  <r>
    <s v="bra"/>
    <x v="10"/>
    <s v="monthly"/>
    <s v="vw_cap"/>
    <n v="6"/>
    <x v="218"/>
    <n v="-8.5621171986397307E-3"/>
  </r>
  <r>
    <s v="bra"/>
    <x v="10"/>
    <s v="monthly"/>
    <s v="vw_cap"/>
    <n v="6"/>
    <x v="219"/>
    <n v="-2.0933215352178399E-2"/>
  </r>
  <r>
    <s v="bra"/>
    <x v="10"/>
    <s v="monthly"/>
    <s v="vw_cap"/>
    <n v="6"/>
    <x v="220"/>
    <n v="-2.35774122823567E-2"/>
  </r>
  <r>
    <s v="bra"/>
    <x v="10"/>
    <s v="monthly"/>
    <s v="vw_cap"/>
    <n v="6"/>
    <x v="221"/>
    <n v="2.3540562424806399E-3"/>
  </r>
  <r>
    <s v="bra"/>
    <x v="10"/>
    <s v="monthly"/>
    <s v="vw_cap"/>
    <n v="6"/>
    <x v="222"/>
    <n v="-3.1076814340870999E-2"/>
  </r>
  <r>
    <s v="bra"/>
    <x v="10"/>
    <s v="monthly"/>
    <s v="vw_cap"/>
    <n v="6"/>
    <x v="223"/>
    <n v="-1.7442559079663598E-2"/>
  </r>
  <r>
    <s v="bra"/>
    <x v="10"/>
    <s v="monthly"/>
    <s v="vw_cap"/>
    <n v="6"/>
    <x v="224"/>
    <n v="1.24547386316447E-2"/>
  </r>
  <r>
    <s v="bra"/>
    <x v="10"/>
    <s v="monthly"/>
    <s v="vw_cap"/>
    <n v="6"/>
    <x v="225"/>
    <n v="3.4249553225164799E-2"/>
  </r>
  <r>
    <s v="bra"/>
    <x v="10"/>
    <s v="monthly"/>
    <s v="vw_cap"/>
    <n v="6"/>
    <x v="226"/>
    <n v="-2.4770249551550799E-2"/>
  </r>
  <r>
    <s v="bra"/>
    <x v="10"/>
    <s v="monthly"/>
    <s v="vw_cap"/>
    <n v="6"/>
    <x v="227"/>
    <n v="-1.06079074863856E-2"/>
  </r>
  <r>
    <s v="bra"/>
    <x v="10"/>
    <s v="monthly"/>
    <s v="vw_cap"/>
    <n v="6"/>
    <x v="228"/>
    <n v="-2.1185270714455699E-2"/>
  </r>
  <r>
    <s v="bra"/>
    <x v="10"/>
    <s v="monthly"/>
    <s v="vw_cap"/>
    <n v="6"/>
    <x v="229"/>
    <n v="-4.2851275100546302E-2"/>
  </r>
  <r>
    <s v="bra"/>
    <x v="10"/>
    <s v="monthly"/>
    <s v="vw_cap"/>
    <n v="6"/>
    <x v="230"/>
    <n v="-1.1773803821675401E-2"/>
  </r>
  <r>
    <s v="bra"/>
    <x v="10"/>
    <s v="monthly"/>
    <s v="vw_cap"/>
    <n v="6"/>
    <x v="231"/>
    <n v="1.44256706346936E-2"/>
  </r>
  <r>
    <s v="bra"/>
    <x v="10"/>
    <s v="monthly"/>
    <s v="vw_cap"/>
    <n v="6"/>
    <x v="232"/>
    <n v="-4.1164238937566097E-3"/>
  </r>
  <r>
    <s v="bra"/>
    <x v="10"/>
    <s v="monthly"/>
    <s v="vw_cap"/>
    <n v="6"/>
    <x v="233"/>
    <n v="-8.7647137384259995E-3"/>
  </r>
  <r>
    <s v="bra"/>
    <x v="10"/>
    <s v="monthly"/>
    <s v="vw_cap"/>
    <n v="6"/>
    <x v="234"/>
    <n v="-9.11030705606416E-3"/>
  </r>
  <r>
    <s v="bra"/>
    <x v="10"/>
    <s v="monthly"/>
    <s v="vw_cap"/>
    <n v="6"/>
    <x v="235"/>
    <n v="1.37463728567569E-2"/>
  </r>
  <r>
    <s v="bra"/>
    <x v="10"/>
    <s v="monthly"/>
    <s v="vw_cap"/>
    <n v="6"/>
    <x v="236"/>
    <n v="2.3519935472457502E-3"/>
  </r>
  <r>
    <s v="bra"/>
    <x v="10"/>
    <s v="monthly"/>
    <s v="vw_cap"/>
    <n v="6"/>
    <x v="237"/>
    <n v="-2.7483906819416801E-3"/>
  </r>
  <r>
    <s v="bra"/>
    <x v="10"/>
    <s v="monthly"/>
    <s v="vw_cap"/>
    <n v="6"/>
    <x v="238"/>
    <n v="-1.1808537552387699E-3"/>
  </r>
  <r>
    <s v="bra"/>
    <x v="10"/>
    <s v="monthly"/>
    <s v="vw_cap"/>
    <n v="6"/>
    <x v="239"/>
    <n v="-1.98310210986084E-2"/>
  </r>
  <r>
    <s v="bra"/>
    <x v="10"/>
    <s v="monthly"/>
    <s v="vw_cap"/>
    <n v="6"/>
    <x v="240"/>
    <n v="-8.7028135905935504E-4"/>
  </r>
  <r>
    <s v="bra"/>
    <x v="10"/>
    <s v="monthly"/>
    <s v="vw_cap"/>
    <n v="6"/>
    <x v="241"/>
    <n v="1.7219503172422899E-2"/>
  </r>
  <r>
    <s v="bra"/>
    <x v="10"/>
    <s v="monthly"/>
    <s v="vw_cap"/>
    <n v="6"/>
    <x v="242"/>
    <n v="1.1953969962124199E-3"/>
  </r>
  <r>
    <s v="bra"/>
    <x v="10"/>
    <s v="monthly"/>
    <s v="vw_cap"/>
    <n v="6"/>
    <x v="243"/>
    <n v="-1.13659164559929E-2"/>
  </r>
  <r>
    <s v="bra"/>
    <x v="10"/>
    <s v="monthly"/>
    <s v="vw_cap"/>
    <n v="6"/>
    <x v="244"/>
    <n v="7.8695542619322007E-3"/>
  </r>
  <r>
    <s v="bra"/>
    <x v="10"/>
    <s v="monthly"/>
    <s v="vw_cap"/>
    <n v="6"/>
    <x v="245"/>
    <n v="-3.5272021471428001E-2"/>
  </r>
  <r>
    <s v="bra"/>
    <x v="10"/>
    <s v="monthly"/>
    <s v="vw_cap"/>
    <n v="6"/>
    <x v="246"/>
    <n v="-1.6114574889024201E-2"/>
  </r>
  <r>
    <s v="bra"/>
    <x v="10"/>
    <s v="monthly"/>
    <s v="vw_cap"/>
    <n v="6"/>
    <x v="247"/>
    <n v="2.3524490174756298E-2"/>
  </r>
  <r>
    <s v="bra"/>
    <x v="10"/>
    <s v="monthly"/>
    <s v="vw_cap"/>
    <n v="6"/>
    <x v="248"/>
    <n v="-4.4160380265448898E-2"/>
  </r>
  <r>
    <s v="bra"/>
    <x v="10"/>
    <s v="monthly"/>
    <s v="vw_cap"/>
    <n v="6"/>
    <x v="249"/>
    <n v="1.37152204102731E-3"/>
  </r>
  <r>
    <s v="bra"/>
    <x v="10"/>
    <s v="monthly"/>
    <s v="vw_cap"/>
    <n v="6"/>
    <x v="250"/>
    <n v="-2.2389056060954701E-2"/>
  </r>
  <r>
    <s v="bra"/>
    <x v="10"/>
    <s v="monthly"/>
    <s v="vw_cap"/>
    <n v="6"/>
    <x v="251"/>
    <n v="1.6607939413897599E-2"/>
  </r>
  <r>
    <s v="bra"/>
    <x v="10"/>
    <s v="monthly"/>
    <s v="vw_cap"/>
    <n v="6"/>
    <x v="252"/>
    <n v="-1.72317492962712E-2"/>
  </r>
  <r>
    <s v="bra"/>
    <x v="10"/>
    <s v="monthly"/>
    <s v="vw_cap"/>
    <n v="6"/>
    <x v="253"/>
    <n v="1.63540005284314E-3"/>
  </r>
  <r>
    <s v="bra"/>
    <x v="10"/>
    <s v="monthly"/>
    <s v="vw_cap"/>
    <n v="6"/>
    <x v="254"/>
    <n v="9.7213882222947409E-3"/>
  </r>
  <r>
    <s v="bra"/>
    <x v="10"/>
    <s v="monthly"/>
    <s v="vw_cap"/>
    <n v="6"/>
    <x v="255"/>
    <n v="-1.6643472164314901E-2"/>
  </r>
  <r>
    <s v="bra"/>
    <x v="10"/>
    <s v="monthly"/>
    <s v="vw_cap"/>
    <n v="6"/>
    <x v="256"/>
    <n v="-9.4021921599550702E-3"/>
  </r>
  <r>
    <s v="bra"/>
    <x v="10"/>
    <s v="monthly"/>
    <s v="vw_cap"/>
    <n v="6"/>
    <x v="257"/>
    <n v="-2.55760325752118E-2"/>
  </r>
  <r>
    <s v="bra"/>
    <x v="10"/>
    <s v="monthly"/>
    <s v="vw_cap"/>
    <n v="6"/>
    <x v="258"/>
    <n v="-1.8735759471591701E-2"/>
  </r>
  <r>
    <s v="bra"/>
    <x v="10"/>
    <s v="monthly"/>
    <s v="vw_cap"/>
    <n v="6"/>
    <x v="259"/>
    <n v="-1.13560321179094E-2"/>
  </r>
  <r>
    <s v="bra"/>
    <x v="10"/>
    <s v="monthly"/>
    <s v="vw_cap"/>
    <n v="6"/>
    <x v="260"/>
    <n v="8.6552750971097599E-3"/>
  </r>
  <r>
    <s v="bra"/>
    <x v="10"/>
    <s v="monthly"/>
    <s v="vw_cap"/>
    <n v="6"/>
    <x v="261"/>
    <n v="-3.43663613677423E-2"/>
  </r>
  <r>
    <s v="bra"/>
    <x v="10"/>
    <s v="monthly"/>
    <s v="vw_cap"/>
    <n v="6"/>
    <x v="262"/>
    <n v="-1.7389036297097201E-2"/>
  </r>
  <r>
    <s v="bra"/>
    <x v="10"/>
    <s v="monthly"/>
    <s v="vw_cap"/>
    <n v="6"/>
    <x v="263"/>
    <n v="3.3751308009526998E-2"/>
  </r>
  <r>
    <s v="bra"/>
    <x v="10"/>
    <s v="monthly"/>
    <s v="vw_cap"/>
    <n v="6"/>
    <x v="264"/>
    <n v="-5.2758214866108098E-3"/>
  </r>
  <r>
    <s v="bra"/>
    <x v="10"/>
    <s v="monthly"/>
    <s v="vw_cap"/>
    <n v="6"/>
    <x v="265"/>
    <n v="-2.3282564972804398E-3"/>
  </r>
  <r>
    <s v="bra"/>
    <x v="10"/>
    <s v="monthly"/>
    <s v="vw_cap"/>
    <n v="6"/>
    <x v="266"/>
    <n v="-5.5122984915312399E-3"/>
  </r>
  <r>
    <s v="bra"/>
    <x v="10"/>
    <s v="monthly"/>
    <s v="vw_cap"/>
    <n v="6"/>
    <x v="267"/>
    <n v="-1.5985906748337601E-2"/>
  </r>
  <r>
    <s v="bra"/>
    <x v="10"/>
    <s v="monthly"/>
    <s v="vw_cap"/>
    <n v="6"/>
    <x v="268"/>
    <n v="4.4191518520687997E-3"/>
  </r>
  <r>
    <s v="bra"/>
    <x v="10"/>
    <s v="monthly"/>
    <s v="vw_cap"/>
    <n v="6"/>
    <x v="269"/>
    <n v="-2.6090674777313101E-2"/>
  </r>
  <r>
    <s v="bra"/>
    <x v="10"/>
    <s v="monthly"/>
    <s v="vw_cap"/>
    <n v="6"/>
    <x v="270"/>
    <n v="2.9336600049319401E-3"/>
  </r>
  <r>
    <s v="bra"/>
    <x v="10"/>
    <s v="monthly"/>
    <s v="vw_cap"/>
    <n v="6"/>
    <x v="271"/>
    <n v="-1.9667813072261901E-2"/>
  </r>
  <r>
    <s v="bra"/>
    <x v="10"/>
    <s v="monthly"/>
    <s v="vw_cap"/>
    <n v="6"/>
    <x v="272"/>
    <n v="2.7917092442720299E-2"/>
  </r>
  <r>
    <s v="bra"/>
    <x v="10"/>
    <s v="monthly"/>
    <s v="vw_cap"/>
    <n v="6"/>
    <x v="273"/>
    <n v="1.43440403918177E-3"/>
  </r>
  <r>
    <s v="bra"/>
    <x v="10"/>
    <s v="monthly"/>
    <s v="vw_cap"/>
    <n v="6"/>
    <x v="274"/>
    <n v="8.5915529556122201E-3"/>
  </r>
  <r>
    <s v="bra"/>
    <x v="10"/>
    <s v="monthly"/>
    <s v="vw_cap"/>
    <n v="6"/>
    <x v="275"/>
    <n v="-2.2165143469274399E-2"/>
  </r>
  <r>
    <s v="bra"/>
    <x v="10"/>
    <s v="monthly"/>
    <s v="vw_cap"/>
    <n v="6"/>
    <x v="276"/>
    <n v="1.6226269411671601E-2"/>
  </r>
  <r>
    <s v="bra"/>
    <x v="10"/>
    <s v="monthly"/>
    <s v="vw_cap"/>
    <n v="5"/>
    <x v="277"/>
    <n v="2.8469957653567201E-2"/>
  </r>
  <r>
    <s v="bra"/>
    <x v="10"/>
    <s v="monthly"/>
    <s v="vw_cap"/>
    <n v="5"/>
    <x v="278"/>
    <n v="-1.64525802185819E-2"/>
  </r>
  <r>
    <s v="bra"/>
    <x v="10"/>
    <s v="monthly"/>
    <s v="vw_cap"/>
    <n v="4"/>
    <x v="279"/>
    <n v="-3.14430959506671E-3"/>
  </r>
  <r>
    <s v="bra"/>
    <x v="10"/>
    <s v="monthly"/>
    <s v="vw_cap"/>
    <n v="5"/>
    <x v="280"/>
    <n v="-7.1561638460618101E-3"/>
  </r>
  <r>
    <s v="bra"/>
    <x v="10"/>
    <s v="monthly"/>
    <s v="vw_cap"/>
    <n v="5"/>
    <x v="281"/>
    <n v="-2.4782326707795899E-2"/>
  </r>
  <r>
    <s v="bra"/>
    <x v="10"/>
    <s v="monthly"/>
    <s v="vw_cap"/>
    <n v="6"/>
    <x v="282"/>
    <n v="-1.7036255271032901E-2"/>
  </r>
  <r>
    <s v="bra"/>
    <x v="10"/>
    <s v="monthly"/>
    <s v="vw_cap"/>
    <n v="6"/>
    <x v="283"/>
    <n v="-1.7796107640500499E-4"/>
  </r>
  <r>
    <s v="bra"/>
    <x v="10"/>
    <s v="monthly"/>
    <s v="vw_cap"/>
    <n v="6"/>
    <x v="284"/>
    <n v="7.5617020543492603E-3"/>
  </r>
  <r>
    <s v="bra"/>
    <x v="10"/>
    <s v="monthly"/>
    <s v="vw_cap"/>
    <n v="6"/>
    <x v="285"/>
    <n v="-5.8312473271096999E-3"/>
  </r>
  <r>
    <s v="bra"/>
    <x v="10"/>
    <s v="monthly"/>
    <s v="vw_cap"/>
    <n v="6"/>
    <x v="286"/>
    <n v="1.6248107096262E-2"/>
  </r>
  <r>
    <s v="bra"/>
    <x v="10"/>
    <s v="monthly"/>
    <s v="vw_cap"/>
    <n v="5"/>
    <x v="287"/>
    <n v="-1.2194188918454999E-2"/>
  </r>
  <r>
    <s v="bra"/>
    <x v="10"/>
    <s v="monthly"/>
    <s v="vw_cap"/>
    <n v="5"/>
    <x v="288"/>
    <n v="1.11509857316402E-2"/>
  </r>
  <r>
    <s v="bra"/>
    <x v="11"/>
    <s v="monthly"/>
    <s v="vw_cap"/>
    <n v="2"/>
    <x v="312"/>
    <n v="0.16639817329296"/>
  </r>
  <r>
    <s v="bra"/>
    <x v="11"/>
    <s v="monthly"/>
    <s v="vw_cap"/>
    <n v="2"/>
    <x v="313"/>
    <n v="-7.9409823196314497E-2"/>
  </r>
  <r>
    <s v="bra"/>
    <x v="11"/>
    <s v="monthly"/>
    <s v="vw_cap"/>
    <n v="2"/>
    <x v="314"/>
    <n v="-2.1595267721461999E-2"/>
  </r>
  <r>
    <s v="bra"/>
    <x v="11"/>
    <s v="monthly"/>
    <s v="vw_cap"/>
    <n v="2"/>
    <x v="315"/>
    <n v="3.8645260896019502E-2"/>
  </r>
  <r>
    <s v="bra"/>
    <x v="11"/>
    <s v="monthly"/>
    <s v="vw_cap"/>
    <n v="2"/>
    <x v="316"/>
    <n v="4.0771557726513398E-2"/>
  </r>
  <r>
    <s v="bra"/>
    <x v="11"/>
    <s v="monthly"/>
    <s v="vw_cap"/>
    <n v="2"/>
    <x v="317"/>
    <n v="8.2545486713994407E-2"/>
  </r>
  <r>
    <s v="bra"/>
    <x v="11"/>
    <s v="monthly"/>
    <s v="vw_cap"/>
    <n v="2"/>
    <x v="318"/>
    <n v="1.32934596101271E-2"/>
  </r>
  <r>
    <s v="bra"/>
    <x v="11"/>
    <s v="monthly"/>
    <s v="vw_cap"/>
    <n v="2"/>
    <x v="319"/>
    <n v="-2.2041415235768701E-2"/>
  </r>
  <r>
    <s v="bra"/>
    <x v="11"/>
    <s v="monthly"/>
    <s v="vw_cap"/>
    <n v="2"/>
    <x v="320"/>
    <n v="1.65155713310597E-2"/>
  </r>
  <r>
    <s v="bra"/>
    <x v="11"/>
    <s v="monthly"/>
    <s v="vw_cap"/>
    <n v="2"/>
    <x v="321"/>
    <n v="1.5441279636011799E-2"/>
  </r>
  <r>
    <s v="bra"/>
    <x v="11"/>
    <s v="monthly"/>
    <s v="vw_cap"/>
    <n v="2"/>
    <x v="322"/>
    <n v="-7.4611886154912696E-3"/>
  </r>
  <r>
    <s v="bra"/>
    <x v="11"/>
    <s v="monthly"/>
    <s v="vw_cap"/>
    <n v="2"/>
    <x v="323"/>
    <n v="9.3886716188212496E-2"/>
  </r>
  <r>
    <s v="bra"/>
    <x v="11"/>
    <s v="monthly"/>
    <s v="vw_cap"/>
    <n v="2"/>
    <x v="324"/>
    <n v="2.6560749556968199E-2"/>
  </r>
  <r>
    <s v="bra"/>
    <x v="11"/>
    <s v="monthly"/>
    <s v="vw_cap"/>
    <n v="2"/>
    <x v="325"/>
    <n v="-2.6127380323824299E-2"/>
  </r>
  <r>
    <s v="bra"/>
    <x v="11"/>
    <s v="monthly"/>
    <s v="vw_cap"/>
    <n v="4"/>
    <x v="326"/>
    <n v="7.6166476398409802E-2"/>
  </r>
  <r>
    <s v="bra"/>
    <x v="11"/>
    <s v="monthly"/>
    <s v="vw_cap"/>
    <n v="2"/>
    <x v="327"/>
    <n v="-1.2051098831625501E-2"/>
  </r>
  <r>
    <s v="bra"/>
    <x v="11"/>
    <s v="monthly"/>
    <s v="vw_cap"/>
    <n v="2"/>
    <x v="328"/>
    <n v="-6.4054037778943904E-2"/>
  </r>
  <r>
    <s v="bra"/>
    <x v="11"/>
    <s v="monthly"/>
    <s v="vw_cap"/>
    <n v="2"/>
    <x v="329"/>
    <n v="5.3753524976051702E-2"/>
  </r>
  <r>
    <s v="bra"/>
    <x v="11"/>
    <s v="monthly"/>
    <s v="vw_cap"/>
    <n v="2"/>
    <x v="330"/>
    <n v="7.8389549745866399E-2"/>
  </r>
  <r>
    <s v="bra"/>
    <x v="11"/>
    <s v="monthly"/>
    <s v="vw_cap"/>
    <n v="2"/>
    <x v="331"/>
    <n v="-7.6369808358286106E-2"/>
  </r>
  <r>
    <s v="bra"/>
    <x v="11"/>
    <s v="monthly"/>
    <s v="vw_cap"/>
    <n v="2"/>
    <x v="332"/>
    <n v="1.06455324359411E-2"/>
  </r>
  <r>
    <s v="bra"/>
    <x v="11"/>
    <s v="monthly"/>
    <s v="vw_cap"/>
    <n v="2"/>
    <x v="333"/>
    <n v="8.6377880828631196E-2"/>
  </r>
  <r>
    <s v="bra"/>
    <x v="11"/>
    <s v="monthly"/>
    <s v="vw_cap"/>
    <n v="2"/>
    <x v="334"/>
    <n v="-1.7045530222936301E-2"/>
  </r>
  <r>
    <s v="bra"/>
    <x v="11"/>
    <s v="monthly"/>
    <s v="vw_cap"/>
    <n v="4"/>
    <x v="335"/>
    <n v="2.42058965288088E-2"/>
  </r>
  <r>
    <s v="bra"/>
    <x v="11"/>
    <s v="monthly"/>
    <s v="vw_cap"/>
    <n v="4"/>
    <x v="336"/>
    <n v="-2.79896874141943E-2"/>
  </r>
  <r>
    <s v="bra"/>
    <x v="11"/>
    <s v="monthly"/>
    <s v="vw_cap"/>
    <n v="4"/>
    <x v="337"/>
    <n v="-1.46655791626303E-2"/>
  </r>
  <r>
    <s v="bra"/>
    <x v="11"/>
    <s v="monthly"/>
    <s v="vw_cap"/>
    <n v="4"/>
    <x v="338"/>
    <n v="-3.8230318183631498E-2"/>
  </r>
  <r>
    <s v="bra"/>
    <x v="11"/>
    <s v="monthly"/>
    <s v="vw_cap"/>
    <n v="3"/>
    <x v="339"/>
    <n v="-1.9428694136008302E-2"/>
  </r>
  <r>
    <s v="bra"/>
    <x v="11"/>
    <s v="monthly"/>
    <s v="vw_cap"/>
    <n v="4"/>
    <x v="340"/>
    <n v="-5.26242708453728E-2"/>
  </r>
  <r>
    <s v="bra"/>
    <x v="11"/>
    <s v="monthly"/>
    <s v="vw_cap"/>
    <n v="3"/>
    <x v="341"/>
    <n v="-4.9419465331565E-2"/>
  </r>
  <r>
    <s v="bra"/>
    <x v="11"/>
    <s v="monthly"/>
    <s v="vw_cap"/>
    <n v="4"/>
    <x v="342"/>
    <n v="-0.127287181406877"/>
  </r>
  <r>
    <s v="bra"/>
    <x v="11"/>
    <s v="monthly"/>
    <s v="vw_cap"/>
    <n v="4"/>
    <x v="343"/>
    <n v="-3.0277929863946101E-2"/>
  </r>
  <r>
    <s v="bra"/>
    <x v="11"/>
    <s v="monthly"/>
    <s v="vw_cap"/>
    <n v="4"/>
    <x v="344"/>
    <n v="-4.9145206087943198E-2"/>
  </r>
  <r>
    <s v="bra"/>
    <x v="11"/>
    <s v="monthly"/>
    <s v="vw_cap"/>
    <n v="4"/>
    <x v="345"/>
    <n v="-1.1578560344335E-3"/>
  </r>
  <r>
    <s v="bra"/>
    <x v="11"/>
    <s v="monthly"/>
    <s v="vw_cap"/>
    <n v="4"/>
    <x v="346"/>
    <n v="7.5411251344028901E-2"/>
  </r>
  <r>
    <s v="bra"/>
    <x v="11"/>
    <s v="monthly"/>
    <s v="vw_cap"/>
    <n v="4"/>
    <x v="347"/>
    <n v="-2.8552116629222499E-2"/>
  </r>
  <r>
    <s v="bra"/>
    <x v="11"/>
    <s v="monthly"/>
    <s v="vw_cap"/>
    <n v="4"/>
    <x v="348"/>
    <n v="4.9518655823088002E-2"/>
  </r>
  <r>
    <s v="bra"/>
    <x v="11"/>
    <s v="monthly"/>
    <s v="vw_cap"/>
    <n v="2"/>
    <x v="349"/>
    <n v="-9.8410232552396601E-3"/>
  </r>
  <r>
    <s v="bra"/>
    <x v="11"/>
    <s v="monthly"/>
    <s v="vw_cap"/>
    <n v="2"/>
    <x v="350"/>
    <n v="7.7592381641734307E-2"/>
  </r>
  <r>
    <s v="bra"/>
    <x v="11"/>
    <s v="monthly"/>
    <s v="vw_cap"/>
    <n v="4"/>
    <x v="351"/>
    <n v="-0.12793738795656701"/>
  </r>
  <r>
    <s v="bra"/>
    <x v="11"/>
    <s v="monthly"/>
    <s v="vw_cap"/>
    <n v="4"/>
    <x v="352"/>
    <n v="-3.54525370355269E-2"/>
  </r>
  <r>
    <s v="bra"/>
    <x v="11"/>
    <s v="monthly"/>
    <s v="vw_cap"/>
    <n v="4"/>
    <x v="353"/>
    <n v="0.108971710917415"/>
  </r>
  <r>
    <s v="bra"/>
    <x v="11"/>
    <s v="monthly"/>
    <s v="vw_cap"/>
    <n v="4"/>
    <x v="354"/>
    <n v="-1.46072887345785E-2"/>
  </r>
  <r>
    <s v="bra"/>
    <x v="11"/>
    <s v="monthly"/>
    <s v="vw_cap"/>
    <n v="4"/>
    <x v="355"/>
    <n v="0.10587494811227199"/>
  </r>
  <r>
    <s v="bra"/>
    <x v="11"/>
    <s v="monthly"/>
    <s v="vw_cap"/>
    <n v="4"/>
    <x v="356"/>
    <n v="0.109701896574953"/>
  </r>
  <r>
    <s v="bra"/>
    <x v="11"/>
    <s v="monthly"/>
    <s v="vw_cap"/>
    <n v="4"/>
    <x v="0"/>
    <n v="6.05019776733218E-2"/>
  </r>
  <r>
    <s v="bra"/>
    <x v="11"/>
    <s v="monthly"/>
    <s v="vw_cap"/>
    <n v="4"/>
    <x v="1"/>
    <n v="5.3645428719294702E-2"/>
  </r>
  <r>
    <s v="bra"/>
    <x v="11"/>
    <s v="monthly"/>
    <s v="vw_cap"/>
    <n v="4"/>
    <x v="289"/>
    <n v="-3.4446300485600802E-2"/>
  </r>
  <r>
    <s v="bra"/>
    <x v="11"/>
    <s v="monthly"/>
    <s v="vw_cap"/>
    <n v="4"/>
    <x v="290"/>
    <n v="0.123890456946894"/>
  </r>
  <r>
    <s v="bra"/>
    <x v="11"/>
    <s v="monthly"/>
    <s v="vw_cap"/>
    <n v="4"/>
    <x v="291"/>
    <n v="8.9627701132030099E-2"/>
  </r>
  <r>
    <s v="bra"/>
    <x v="11"/>
    <s v="monthly"/>
    <s v="vw_cap"/>
    <n v="4"/>
    <x v="292"/>
    <n v="-7.3031158194899498E-2"/>
  </r>
  <r>
    <s v="bra"/>
    <x v="11"/>
    <s v="monthly"/>
    <s v="vw_cap"/>
    <n v="4"/>
    <x v="293"/>
    <n v="-0.105737518328061"/>
  </r>
  <r>
    <s v="bra"/>
    <x v="11"/>
    <s v="monthly"/>
    <s v="vw_cap"/>
    <n v="4"/>
    <x v="2"/>
    <n v="0.19206682345229201"/>
  </r>
  <r>
    <s v="bra"/>
    <x v="11"/>
    <s v="monthly"/>
    <s v="vw_cap"/>
    <n v="4"/>
    <x v="3"/>
    <n v="-1.9718981322585899E-2"/>
  </r>
  <r>
    <s v="bra"/>
    <x v="11"/>
    <s v="monthly"/>
    <s v="vw_cap"/>
    <n v="2"/>
    <x v="357"/>
    <n v="-8.2677777026065005E-2"/>
  </r>
  <r>
    <s v="bra"/>
    <x v="11"/>
    <s v="monthly"/>
    <s v="vw_cap"/>
    <n v="4"/>
    <x v="358"/>
    <n v="-3.9306666456049001E-2"/>
  </r>
  <r>
    <s v="bra"/>
    <x v="11"/>
    <s v="monthly"/>
    <s v="vw_cap"/>
    <n v="4"/>
    <x v="359"/>
    <n v="-1.1213743846035001E-2"/>
  </r>
  <r>
    <s v="bra"/>
    <x v="11"/>
    <s v="monthly"/>
    <s v="vw_cap"/>
    <n v="4"/>
    <x v="4"/>
    <n v="5.4911832364287301E-3"/>
  </r>
  <r>
    <s v="bra"/>
    <x v="11"/>
    <s v="monthly"/>
    <s v="vw_cap"/>
    <n v="4"/>
    <x v="5"/>
    <n v="-9.9323996967887906E-2"/>
  </r>
  <r>
    <s v="bra"/>
    <x v="11"/>
    <s v="monthly"/>
    <s v="vw_cap"/>
    <n v="4"/>
    <x v="6"/>
    <n v="8.1470301480624896E-2"/>
  </r>
  <r>
    <s v="bra"/>
    <x v="11"/>
    <s v="monthly"/>
    <s v="vw_cap"/>
    <n v="4"/>
    <x v="7"/>
    <n v="-2.31833078999725E-2"/>
  </r>
  <r>
    <s v="bra"/>
    <x v="11"/>
    <s v="monthly"/>
    <s v="vw_cap"/>
    <n v="4"/>
    <x v="8"/>
    <n v="2.0945924871078402E-2"/>
  </r>
  <r>
    <s v="bra"/>
    <x v="11"/>
    <s v="monthly"/>
    <s v="vw_cap"/>
    <n v="4"/>
    <x v="9"/>
    <n v="2.54723168406835E-2"/>
  </r>
  <r>
    <s v="bra"/>
    <x v="11"/>
    <s v="monthly"/>
    <s v="vw_cap"/>
    <n v="4"/>
    <x v="294"/>
    <n v="-5.3252442576991799E-2"/>
  </r>
  <r>
    <s v="bra"/>
    <x v="11"/>
    <s v="monthly"/>
    <s v="vw_cap"/>
    <n v="4"/>
    <x v="10"/>
    <n v="2.6847128581052801E-2"/>
  </r>
  <r>
    <s v="bra"/>
    <x v="11"/>
    <s v="monthly"/>
    <s v="vw_cap"/>
    <n v="4"/>
    <x v="11"/>
    <n v="2.5846344983331999E-2"/>
  </r>
  <r>
    <s v="bra"/>
    <x v="11"/>
    <s v="monthly"/>
    <s v="vw_cap"/>
    <n v="4"/>
    <x v="12"/>
    <n v="-3.9416922066685803E-2"/>
  </r>
  <r>
    <s v="bra"/>
    <x v="11"/>
    <s v="monthly"/>
    <s v="vw_cap"/>
    <n v="4"/>
    <x v="13"/>
    <n v="-2.2145357245529899E-2"/>
  </r>
  <r>
    <s v="bra"/>
    <x v="11"/>
    <s v="monthly"/>
    <s v="vw_cap"/>
    <n v="4"/>
    <x v="14"/>
    <n v="3.4838999770284498E-2"/>
  </r>
  <r>
    <s v="bra"/>
    <x v="11"/>
    <s v="monthly"/>
    <s v="vw_cap"/>
    <n v="4"/>
    <x v="15"/>
    <n v="0.11494368562315301"/>
  </r>
  <r>
    <s v="bra"/>
    <x v="11"/>
    <s v="monthly"/>
    <s v="vw_cap"/>
    <n v="4"/>
    <x v="16"/>
    <n v="-5.3721117040202701E-2"/>
  </r>
  <r>
    <s v="bra"/>
    <x v="11"/>
    <s v="monthly"/>
    <s v="vw_cap"/>
    <n v="4"/>
    <x v="17"/>
    <n v="7.1292619762538298E-2"/>
  </r>
  <r>
    <s v="bra"/>
    <x v="11"/>
    <s v="monthly"/>
    <s v="vw_cap"/>
    <n v="4"/>
    <x v="18"/>
    <n v="-3.7973420089587602E-2"/>
  </r>
  <r>
    <s v="bra"/>
    <x v="11"/>
    <s v="monthly"/>
    <s v="vw_cap"/>
    <n v="4"/>
    <x v="19"/>
    <n v="9.7406234311948503E-2"/>
  </r>
  <r>
    <s v="bra"/>
    <x v="11"/>
    <s v="monthly"/>
    <s v="vw_cap"/>
    <n v="4"/>
    <x v="20"/>
    <n v="-8.1470785673626207E-3"/>
  </r>
  <r>
    <s v="bra"/>
    <x v="11"/>
    <s v="monthly"/>
    <s v="vw_cap"/>
    <n v="4"/>
    <x v="21"/>
    <n v="1.21670983768189E-2"/>
  </r>
  <r>
    <s v="bra"/>
    <x v="11"/>
    <s v="monthly"/>
    <s v="vw_cap"/>
    <n v="4"/>
    <x v="22"/>
    <n v="-0.11448288551228999"/>
  </r>
  <r>
    <s v="bra"/>
    <x v="11"/>
    <s v="monthly"/>
    <s v="vw_cap"/>
    <n v="4"/>
    <x v="23"/>
    <n v="-5.6408730474737601E-2"/>
  </r>
  <r>
    <s v="bra"/>
    <x v="11"/>
    <s v="monthly"/>
    <s v="vw_cap"/>
    <n v="4"/>
    <x v="24"/>
    <n v="-1.9486291792280602E-2"/>
  </r>
  <r>
    <s v="bra"/>
    <x v="11"/>
    <s v="monthly"/>
    <s v="vw_cap"/>
    <n v="4"/>
    <x v="25"/>
    <n v="-1.63270358625923E-2"/>
  </r>
  <r>
    <s v="bra"/>
    <x v="11"/>
    <s v="monthly"/>
    <s v="vw_cap"/>
    <n v="4"/>
    <x v="26"/>
    <n v="5.3616807332714601E-2"/>
  </r>
  <r>
    <s v="bra"/>
    <x v="11"/>
    <s v="monthly"/>
    <s v="vw_cap"/>
    <n v="4"/>
    <x v="27"/>
    <n v="-6.3369104242321103E-2"/>
  </r>
  <r>
    <s v="bra"/>
    <x v="11"/>
    <s v="monthly"/>
    <s v="vw_cap"/>
    <n v="4"/>
    <x v="295"/>
    <n v="2.5585653114136998E-2"/>
  </r>
  <r>
    <s v="bra"/>
    <x v="11"/>
    <s v="monthly"/>
    <s v="vw_cap"/>
    <n v="4"/>
    <x v="296"/>
    <n v="4.6430696427913802E-2"/>
  </r>
  <r>
    <s v="bra"/>
    <x v="11"/>
    <s v="monthly"/>
    <s v="vw_cap"/>
    <n v="4"/>
    <x v="297"/>
    <n v="5.6280059443951699E-3"/>
  </r>
  <r>
    <s v="bra"/>
    <x v="11"/>
    <s v="monthly"/>
    <s v="vw_cap"/>
    <n v="4"/>
    <x v="298"/>
    <n v="0.13171173303841599"/>
  </r>
  <r>
    <s v="bra"/>
    <x v="11"/>
    <s v="monthly"/>
    <s v="vw_cap"/>
    <n v="4"/>
    <x v="360"/>
    <n v="-0.10088614674384"/>
  </r>
  <r>
    <s v="bra"/>
    <x v="11"/>
    <s v="monthly"/>
    <s v="vw_cap"/>
    <n v="4"/>
    <x v="361"/>
    <n v="-3.45937523047357E-2"/>
  </r>
  <r>
    <s v="bra"/>
    <x v="11"/>
    <s v="monthly"/>
    <s v="vw_cap"/>
    <n v="4"/>
    <x v="362"/>
    <n v="1.81020470080792E-2"/>
  </r>
  <r>
    <s v="bra"/>
    <x v="11"/>
    <s v="monthly"/>
    <s v="vw_cap"/>
    <n v="4"/>
    <x v="299"/>
    <n v="1.76109498333341E-2"/>
  </r>
  <r>
    <s v="bra"/>
    <x v="11"/>
    <s v="monthly"/>
    <s v="vw_cap"/>
    <n v="4"/>
    <x v="300"/>
    <n v="1.35239219993653E-2"/>
  </r>
  <r>
    <s v="bra"/>
    <x v="11"/>
    <s v="monthly"/>
    <s v="vw_cap"/>
    <n v="4"/>
    <x v="301"/>
    <n v="4.8448651647080903E-3"/>
  </r>
  <r>
    <s v="bra"/>
    <x v="11"/>
    <s v="monthly"/>
    <s v="vw_cap"/>
    <n v="4"/>
    <x v="302"/>
    <n v="-0.103733460985587"/>
  </r>
  <r>
    <s v="bra"/>
    <x v="11"/>
    <s v="monthly"/>
    <s v="vw_cap"/>
    <n v="4"/>
    <x v="303"/>
    <n v="-1.13176505980021E-2"/>
  </r>
  <r>
    <s v="bra"/>
    <x v="11"/>
    <s v="monthly"/>
    <s v="vw_cap"/>
    <n v="4"/>
    <x v="304"/>
    <n v="-6.5131541863589396E-2"/>
  </r>
  <r>
    <s v="bra"/>
    <x v="11"/>
    <s v="monthly"/>
    <s v="vw_cap"/>
    <n v="4"/>
    <x v="363"/>
    <n v="4.4365433138996303E-2"/>
  </r>
  <r>
    <s v="bra"/>
    <x v="11"/>
    <s v="monthly"/>
    <s v="vw_cap"/>
    <n v="2"/>
    <x v="364"/>
    <n v="-6.2367315469658E-2"/>
  </r>
  <r>
    <s v="bra"/>
    <x v="11"/>
    <s v="monthly"/>
    <s v="vw_cap"/>
    <n v="4"/>
    <x v="365"/>
    <n v="-6.9066998482308406E-2"/>
  </r>
  <r>
    <s v="bra"/>
    <x v="11"/>
    <s v="monthly"/>
    <s v="vw_cap"/>
    <n v="2"/>
    <x v="366"/>
    <n v="-8.7338606066370197E-3"/>
  </r>
  <r>
    <s v="bra"/>
    <x v="11"/>
    <s v="monthly"/>
    <s v="vw_cap"/>
    <n v="2"/>
    <x v="367"/>
    <n v="-2.2124455969195502E-3"/>
  </r>
  <r>
    <s v="bra"/>
    <x v="11"/>
    <s v="monthly"/>
    <s v="vw_cap"/>
    <n v="2"/>
    <x v="368"/>
    <n v="3.8297527314603397E-2"/>
  </r>
  <r>
    <s v="bra"/>
    <x v="11"/>
    <s v="monthly"/>
    <s v="vw_cap"/>
    <n v="4"/>
    <x v="369"/>
    <n v="2.2434670160535299E-3"/>
  </r>
  <r>
    <s v="bra"/>
    <x v="11"/>
    <s v="monthly"/>
    <s v="vw_cap"/>
    <n v="2"/>
    <x v="370"/>
    <n v="-7.00392959874125E-2"/>
  </r>
  <r>
    <s v="bra"/>
    <x v="11"/>
    <s v="monthly"/>
    <s v="vw_cap"/>
    <n v="2"/>
    <x v="371"/>
    <n v="3.67226292512772E-2"/>
  </r>
  <r>
    <s v="bra"/>
    <x v="11"/>
    <s v="monthly"/>
    <s v="vw_cap"/>
    <n v="2"/>
    <x v="372"/>
    <n v="9.9390624562396501E-2"/>
  </r>
  <r>
    <s v="bra"/>
    <x v="11"/>
    <s v="monthly"/>
    <s v="vw_cap"/>
    <n v="4"/>
    <x v="373"/>
    <n v="-3.3532654078365101E-2"/>
  </r>
  <r>
    <s v="bra"/>
    <x v="11"/>
    <s v="monthly"/>
    <s v="vw_cap"/>
    <n v="4"/>
    <x v="374"/>
    <n v="-4.8478042947602898E-2"/>
  </r>
  <r>
    <s v="bra"/>
    <x v="11"/>
    <s v="monthly"/>
    <s v="vw_cap"/>
    <n v="4"/>
    <x v="375"/>
    <n v="-4.0415945411099899E-2"/>
  </r>
  <r>
    <s v="bra"/>
    <x v="11"/>
    <s v="monthly"/>
    <s v="vw_cap"/>
    <n v="2"/>
    <x v="376"/>
    <n v="4.2053213863299001E-2"/>
  </r>
  <r>
    <s v="bra"/>
    <x v="11"/>
    <s v="monthly"/>
    <s v="vw_cap"/>
    <n v="4"/>
    <x v="305"/>
    <n v="4.6139830233158E-2"/>
  </r>
  <r>
    <s v="bra"/>
    <x v="11"/>
    <s v="monthly"/>
    <s v="vw_cap"/>
    <n v="4"/>
    <x v="306"/>
    <n v="-6.3349632602383299E-2"/>
  </r>
  <r>
    <s v="bra"/>
    <x v="11"/>
    <s v="monthly"/>
    <s v="vw_cap"/>
    <n v="4"/>
    <x v="307"/>
    <n v="3.06868801857209E-3"/>
  </r>
  <r>
    <s v="bra"/>
    <x v="11"/>
    <s v="monthly"/>
    <s v="vw_cap"/>
    <n v="4"/>
    <x v="28"/>
    <n v="5.74881944952398E-2"/>
  </r>
  <r>
    <s v="bra"/>
    <x v="11"/>
    <s v="monthly"/>
    <s v="vw_cap"/>
    <n v="4"/>
    <x v="308"/>
    <n v="0.13586959188436301"/>
  </r>
  <r>
    <s v="bra"/>
    <x v="11"/>
    <s v="monthly"/>
    <s v="vw_cap"/>
    <n v="4"/>
    <x v="309"/>
    <n v="-0.15128389288206701"/>
  </r>
  <r>
    <s v="bra"/>
    <x v="11"/>
    <s v="monthly"/>
    <s v="vw_cap"/>
    <n v="4"/>
    <x v="310"/>
    <n v="1.4557146240435999E-2"/>
  </r>
  <r>
    <s v="bra"/>
    <x v="11"/>
    <s v="monthly"/>
    <s v="vw_cap"/>
    <n v="4"/>
    <x v="311"/>
    <n v="0.13331195423112499"/>
  </r>
  <r>
    <s v="bra"/>
    <x v="11"/>
    <s v="monthly"/>
    <s v="vw_cap"/>
    <n v="4"/>
    <x v="29"/>
    <n v="-8.1721855286169501E-2"/>
  </r>
  <r>
    <s v="bra"/>
    <x v="11"/>
    <s v="monthly"/>
    <s v="vw_cap"/>
    <n v="4"/>
    <x v="30"/>
    <n v="2.08764714197303E-2"/>
  </r>
  <r>
    <s v="bra"/>
    <x v="11"/>
    <s v="monthly"/>
    <s v="vw_cap"/>
    <n v="4"/>
    <x v="31"/>
    <n v="1.12523950116892E-2"/>
  </r>
  <r>
    <s v="bra"/>
    <x v="11"/>
    <s v="monthly"/>
    <s v="vw_cap"/>
    <n v="4"/>
    <x v="32"/>
    <n v="4.0221737671314997E-2"/>
  </r>
  <r>
    <s v="bra"/>
    <x v="11"/>
    <s v="monthly"/>
    <s v="vw_cap"/>
    <n v="4"/>
    <x v="33"/>
    <n v="3.1934630592748599E-2"/>
  </r>
  <r>
    <s v="bra"/>
    <x v="11"/>
    <s v="monthly"/>
    <s v="vw_cap"/>
    <n v="4"/>
    <x v="34"/>
    <n v="-2.48401289580602E-2"/>
  </r>
  <r>
    <s v="bra"/>
    <x v="11"/>
    <s v="monthly"/>
    <s v="vw_cap"/>
    <n v="4"/>
    <x v="35"/>
    <n v="-8.2706964335886105E-2"/>
  </r>
  <r>
    <s v="bra"/>
    <x v="11"/>
    <s v="monthly"/>
    <s v="vw_cap"/>
    <n v="4"/>
    <x v="36"/>
    <n v="-1.11675470234426E-2"/>
  </r>
  <r>
    <s v="bra"/>
    <x v="11"/>
    <s v="monthly"/>
    <s v="vw_cap"/>
    <n v="4"/>
    <x v="37"/>
    <n v="-2.43456080761695E-3"/>
  </r>
  <r>
    <s v="bra"/>
    <x v="11"/>
    <s v="monthly"/>
    <s v="vw_cap"/>
    <n v="4"/>
    <x v="38"/>
    <n v="-3.4589807282749803E-2"/>
  </r>
  <r>
    <s v="bra"/>
    <x v="11"/>
    <s v="monthly"/>
    <s v="vw_cap"/>
    <n v="4"/>
    <x v="39"/>
    <n v="4.2902209827497997E-2"/>
  </r>
  <r>
    <s v="bra"/>
    <x v="11"/>
    <s v="monthly"/>
    <s v="vw_cap"/>
    <n v="4"/>
    <x v="40"/>
    <n v="-3.9619776557951198E-3"/>
  </r>
  <r>
    <s v="bra"/>
    <x v="11"/>
    <s v="monthly"/>
    <s v="vw_cap"/>
    <n v="4"/>
    <x v="41"/>
    <n v="2.1521584224249501E-2"/>
  </r>
  <r>
    <s v="bra"/>
    <x v="11"/>
    <s v="monthly"/>
    <s v="vw_cap"/>
    <n v="4"/>
    <x v="42"/>
    <n v="1.8109009957839099E-2"/>
  </r>
  <r>
    <s v="bra"/>
    <x v="11"/>
    <s v="monthly"/>
    <s v="vw_cap"/>
    <n v="4"/>
    <x v="43"/>
    <n v="-3.7701636010668102E-2"/>
  </r>
  <r>
    <s v="bra"/>
    <x v="11"/>
    <s v="monthly"/>
    <s v="vw_cap"/>
    <n v="4"/>
    <x v="44"/>
    <n v="-4.7159431999946301E-2"/>
  </r>
  <r>
    <s v="bra"/>
    <x v="11"/>
    <s v="monthly"/>
    <s v="vw_cap"/>
    <n v="4"/>
    <x v="45"/>
    <n v="-3.4682136961625497E-2"/>
  </r>
  <r>
    <s v="bra"/>
    <x v="11"/>
    <s v="monthly"/>
    <s v="vw_cap"/>
    <n v="4"/>
    <x v="46"/>
    <n v="5.2959259507454698E-2"/>
  </r>
  <r>
    <s v="bra"/>
    <x v="11"/>
    <s v="monthly"/>
    <s v="vw_cap"/>
    <n v="4"/>
    <x v="47"/>
    <n v="-1.0073085544449099E-2"/>
  </r>
  <r>
    <s v="bra"/>
    <x v="11"/>
    <s v="monthly"/>
    <s v="vw_cap"/>
    <n v="4"/>
    <x v="48"/>
    <n v="5.9339980652533701E-2"/>
  </r>
  <r>
    <s v="bra"/>
    <x v="11"/>
    <s v="monthly"/>
    <s v="vw_cap"/>
    <n v="4"/>
    <x v="49"/>
    <n v="-6.0411529379800002E-2"/>
  </r>
  <r>
    <s v="bra"/>
    <x v="11"/>
    <s v="monthly"/>
    <s v="vw_cap"/>
    <n v="4"/>
    <x v="50"/>
    <n v="3.3769756843965901E-3"/>
  </r>
  <r>
    <s v="bra"/>
    <x v="11"/>
    <s v="monthly"/>
    <s v="vw_cap"/>
    <n v="4"/>
    <x v="51"/>
    <n v="-4.4699869047139497E-2"/>
  </r>
  <r>
    <s v="bra"/>
    <x v="11"/>
    <s v="monthly"/>
    <s v="vw_cap"/>
    <n v="4"/>
    <x v="52"/>
    <n v="-3.7832536843285303E-2"/>
  </r>
  <r>
    <s v="bra"/>
    <x v="11"/>
    <s v="monthly"/>
    <s v="vw_cap"/>
    <n v="4"/>
    <x v="53"/>
    <n v="1.72225925370653E-2"/>
  </r>
  <r>
    <s v="bra"/>
    <x v="11"/>
    <s v="monthly"/>
    <s v="vw_cap"/>
    <n v="4"/>
    <x v="54"/>
    <n v="1.55190221595451E-2"/>
  </r>
  <r>
    <s v="bra"/>
    <x v="11"/>
    <s v="monthly"/>
    <s v="vw_cap"/>
    <n v="4"/>
    <x v="55"/>
    <n v="-4.0415406282039298E-4"/>
  </r>
  <r>
    <s v="bra"/>
    <x v="11"/>
    <s v="monthly"/>
    <s v="vw_cap"/>
    <n v="4"/>
    <x v="56"/>
    <n v="4.9405438574714897E-2"/>
  </r>
  <r>
    <s v="bra"/>
    <x v="11"/>
    <s v="monthly"/>
    <s v="vw_cap"/>
    <n v="4"/>
    <x v="57"/>
    <n v="2.6403400564493199E-2"/>
  </r>
  <r>
    <s v="bra"/>
    <x v="11"/>
    <s v="monthly"/>
    <s v="vw_cap"/>
    <n v="4"/>
    <x v="58"/>
    <n v="2.4336328570124102E-2"/>
  </r>
  <r>
    <s v="bra"/>
    <x v="11"/>
    <s v="monthly"/>
    <s v="vw_cap"/>
    <n v="4"/>
    <x v="59"/>
    <n v="4.7049075978059497E-2"/>
  </r>
  <r>
    <s v="bra"/>
    <x v="11"/>
    <s v="monthly"/>
    <s v="vw_cap"/>
    <n v="4"/>
    <x v="60"/>
    <n v="1.35073770924475E-2"/>
  </r>
  <r>
    <s v="bra"/>
    <x v="11"/>
    <s v="monthly"/>
    <s v="vw_cap"/>
    <n v="4"/>
    <x v="61"/>
    <n v="4.6427442141074797E-2"/>
  </r>
  <r>
    <s v="bra"/>
    <x v="11"/>
    <s v="monthly"/>
    <s v="vw_cap"/>
    <n v="4"/>
    <x v="62"/>
    <n v="-4.6547232900748898E-3"/>
  </r>
  <r>
    <s v="bra"/>
    <x v="11"/>
    <s v="monthly"/>
    <s v="vw_cap"/>
    <n v="4"/>
    <x v="63"/>
    <n v="-2.0516802920482299E-2"/>
  </r>
  <r>
    <s v="bra"/>
    <x v="11"/>
    <s v="monthly"/>
    <s v="vw_cap"/>
    <n v="4"/>
    <x v="64"/>
    <n v="5.8351153309277298E-3"/>
  </r>
  <r>
    <s v="bra"/>
    <x v="11"/>
    <s v="monthly"/>
    <s v="vw_cap"/>
    <n v="4"/>
    <x v="65"/>
    <n v="-3.3655454728061299E-3"/>
  </r>
  <r>
    <s v="bra"/>
    <x v="11"/>
    <s v="monthly"/>
    <s v="vw_cap"/>
    <n v="4"/>
    <x v="66"/>
    <n v="4.61819786390575E-2"/>
  </r>
  <r>
    <s v="bra"/>
    <x v="11"/>
    <s v="monthly"/>
    <s v="vw_cap"/>
    <n v="4"/>
    <x v="67"/>
    <n v="4.8627381169216201E-2"/>
  </r>
  <r>
    <s v="bra"/>
    <x v="11"/>
    <s v="monthly"/>
    <s v="vw_cap"/>
    <n v="4"/>
    <x v="68"/>
    <n v="-2.1121111966711899E-2"/>
  </r>
  <r>
    <s v="bra"/>
    <x v="11"/>
    <s v="monthly"/>
    <s v="vw_cap"/>
    <n v="4"/>
    <x v="69"/>
    <n v="-4.3039053686351102E-2"/>
  </r>
  <r>
    <s v="bra"/>
    <x v="11"/>
    <s v="monthly"/>
    <s v="vw_cap"/>
    <n v="4"/>
    <x v="70"/>
    <n v="-3.6450516948372799E-2"/>
  </r>
  <r>
    <s v="bra"/>
    <x v="11"/>
    <s v="monthly"/>
    <s v="vw_cap"/>
    <n v="4"/>
    <x v="71"/>
    <n v="-5.5832592147493899E-2"/>
  </r>
  <r>
    <s v="bra"/>
    <x v="11"/>
    <s v="monthly"/>
    <s v="vw_cap"/>
    <n v="4"/>
    <x v="72"/>
    <n v="3.6314732024882203E-2"/>
  </r>
  <r>
    <s v="bra"/>
    <x v="11"/>
    <s v="monthly"/>
    <s v="vw_cap"/>
    <n v="4"/>
    <x v="73"/>
    <n v="-3.2035345182995299E-2"/>
  </r>
  <r>
    <s v="bra"/>
    <x v="11"/>
    <s v="monthly"/>
    <s v="vw_cap"/>
    <n v="4"/>
    <x v="74"/>
    <n v="-1.3326172635297701E-2"/>
  </r>
  <r>
    <s v="bra"/>
    <x v="11"/>
    <s v="monthly"/>
    <s v="vw_cap"/>
    <n v="4"/>
    <x v="75"/>
    <n v="-3.99124743003169E-2"/>
  </r>
  <r>
    <s v="bra"/>
    <x v="11"/>
    <s v="monthly"/>
    <s v="vw_cap"/>
    <n v="4"/>
    <x v="76"/>
    <n v="-6.9219392132643706E-2"/>
  </r>
  <r>
    <s v="bra"/>
    <x v="11"/>
    <s v="monthly"/>
    <s v="vw_cap"/>
    <n v="5"/>
    <x v="77"/>
    <n v="4.0338306977750003E-2"/>
  </r>
  <r>
    <s v="bra"/>
    <x v="11"/>
    <s v="monthly"/>
    <s v="vw_cap"/>
    <n v="5"/>
    <x v="78"/>
    <n v="3.01002246724726E-2"/>
  </r>
  <r>
    <s v="bra"/>
    <x v="11"/>
    <s v="monthly"/>
    <s v="vw_cap"/>
    <n v="5"/>
    <x v="79"/>
    <n v="-2.7832689660478499E-2"/>
  </r>
  <r>
    <s v="bra"/>
    <x v="11"/>
    <s v="monthly"/>
    <s v="vw_cap"/>
    <n v="5"/>
    <x v="80"/>
    <n v="1.75698616962155E-3"/>
  </r>
  <r>
    <s v="bra"/>
    <x v="11"/>
    <s v="monthly"/>
    <s v="vw_cap"/>
    <n v="5"/>
    <x v="81"/>
    <n v="-4.9762863431512899E-2"/>
  </r>
  <r>
    <s v="bra"/>
    <x v="11"/>
    <s v="monthly"/>
    <s v="vw_cap"/>
    <n v="5"/>
    <x v="82"/>
    <n v="-4.5484359598574803E-2"/>
  </r>
  <r>
    <s v="bra"/>
    <x v="11"/>
    <s v="monthly"/>
    <s v="vw_cap"/>
    <n v="5"/>
    <x v="83"/>
    <n v="-5.31809111480709E-2"/>
  </r>
  <r>
    <s v="bra"/>
    <x v="11"/>
    <s v="monthly"/>
    <s v="vw_cap"/>
    <n v="5"/>
    <x v="84"/>
    <n v="2.04286275770496E-2"/>
  </r>
  <r>
    <s v="bra"/>
    <x v="11"/>
    <s v="monthly"/>
    <s v="vw_cap"/>
    <n v="5"/>
    <x v="85"/>
    <n v="-3.2953750457643698E-2"/>
  </r>
  <r>
    <s v="bra"/>
    <x v="11"/>
    <s v="monthly"/>
    <s v="vw_cap"/>
    <n v="5"/>
    <x v="86"/>
    <n v="5.2606432206207802E-2"/>
  </r>
  <r>
    <s v="bra"/>
    <x v="11"/>
    <s v="monthly"/>
    <s v="vw_cap"/>
    <n v="5"/>
    <x v="87"/>
    <n v="-4.2549641764722597E-2"/>
  </r>
  <r>
    <s v="bra"/>
    <x v="11"/>
    <s v="monthly"/>
    <s v="vw_cap"/>
    <n v="5"/>
    <x v="88"/>
    <n v="0.12475647213034501"/>
  </r>
  <r>
    <s v="bra"/>
    <x v="11"/>
    <s v="monthly"/>
    <s v="vw_cap"/>
    <n v="5"/>
    <x v="89"/>
    <n v="4.1515711958287098E-3"/>
  </r>
  <r>
    <s v="bra"/>
    <x v="11"/>
    <s v="monthly"/>
    <s v="vw_cap"/>
    <n v="5"/>
    <x v="90"/>
    <n v="3.03308596571586E-2"/>
  </r>
  <r>
    <s v="bra"/>
    <x v="11"/>
    <s v="monthly"/>
    <s v="vw_cap"/>
    <n v="5"/>
    <x v="91"/>
    <n v="5.7906153023813897E-2"/>
  </r>
  <r>
    <s v="bra"/>
    <x v="11"/>
    <s v="monthly"/>
    <s v="vw_cap"/>
    <n v="5"/>
    <x v="92"/>
    <n v="4.3801254801185102E-2"/>
  </r>
  <r>
    <s v="bra"/>
    <x v="11"/>
    <s v="monthly"/>
    <s v="vw_cap"/>
    <n v="5"/>
    <x v="93"/>
    <n v="8.4585155605182601E-3"/>
  </r>
  <r>
    <s v="bra"/>
    <x v="11"/>
    <s v="monthly"/>
    <s v="vw_cap"/>
    <n v="5"/>
    <x v="94"/>
    <n v="2.9701836093237E-2"/>
  </r>
  <r>
    <s v="bra"/>
    <x v="11"/>
    <s v="monthly"/>
    <s v="vw_cap"/>
    <n v="5"/>
    <x v="95"/>
    <n v="9.8422690082068196E-3"/>
  </r>
  <r>
    <s v="bra"/>
    <x v="11"/>
    <s v="monthly"/>
    <s v="vw_cap"/>
    <n v="5"/>
    <x v="96"/>
    <n v="1.7388546571160499E-2"/>
  </r>
  <r>
    <s v="bra"/>
    <x v="11"/>
    <s v="monthly"/>
    <s v="vw_cap"/>
    <n v="5"/>
    <x v="97"/>
    <n v="0.20090898174156799"/>
  </r>
  <r>
    <s v="bra"/>
    <x v="11"/>
    <s v="monthly"/>
    <s v="vw_cap"/>
    <n v="5"/>
    <x v="98"/>
    <n v="-1.6513453907434E-2"/>
  </r>
  <r>
    <s v="bra"/>
    <x v="11"/>
    <s v="monthly"/>
    <s v="vw_cap"/>
    <n v="5"/>
    <x v="99"/>
    <n v="-4.4705910878033703E-2"/>
  </r>
  <r>
    <s v="bra"/>
    <x v="11"/>
    <s v="monthly"/>
    <s v="vw_cap"/>
    <n v="5"/>
    <x v="100"/>
    <n v="-1.6558516295118501E-2"/>
  </r>
  <r>
    <s v="bra"/>
    <x v="11"/>
    <s v="monthly"/>
    <s v="vw_cap"/>
    <n v="5"/>
    <x v="101"/>
    <n v="-1.09401396713967E-3"/>
  </r>
  <r>
    <s v="bra"/>
    <x v="11"/>
    <s v="monthly"/>
    <s v="vw_cap"/>
    <n v="5"/>
    <x v="102"/>
    <n v="1.8892306797348199E-2"/>
  </r>
  <r>
    <s v="bra"/>
    <x v="11"/>
    <s v="monthly"/>
    <s v="vw_cap"/>
    <n v="5"/>
    <x v="103"/>
    <n v="-1.38168771336405E-2"/>
  </r>
  <r>
    <s v="bra"/>
    <x v="11"/>
    <s v="monthly"/>
    <s v="vw_cap"/>
    <n v="5"/>
    <x v="104"/>
    <n v="5.0272469021370399E-2"/>
  </r>
  <r>
    <s v="bra"/>
    <x v="11"/>
    <s v="monthly"/>
    <s v="vw_cap"/>
    <n v="5"/>
    <x v="105"/>
    <n v="-3.6149690334275397E-2"/>
  </r>
  <r>
    <s v="bra"/>
    <x v="11"/>
    <s v="monthly"/>
    <s v="vw_cap"/>
    <n v="5"/>
    <x v="106"/>
    <n v="3.30553799620215E-2"/>
  </r>
  <r>
    <s v="bra"/>
    <x v="11"/>
    <s v="monthly"/>
    <s v="vw_cap"/>
    <n v="5"/>
    <x v="107"/>
    <n v="3.0604369983583801E-2"/>
  </r>
  <r>
    <s v="bra"/>
    <x v="11"/>
    <s v="monthly"/>
    <s v="vw_cap"/>
    <n v="5"/>
    <x v="108"/>
    <n v="1.5364512349638501E-2"/>
  </r>
  <r>
    <s v="bra"/>
    <x v="11"/>
    <s v="monthly"/>
    <s v="vw_cap"/>
    <n v="5"/>
    <x v="109"/>
    <n v="1.8145562173603299E-2"/>
  </r>
  <r>
    <s v="bra"/>
    <x v="11"/>
    <s v="monthly"/>
    <s v="vw_cap"/>
    <n v="5"/>
    <x v="110"/>
    <n v="-2.1704474393437801E-2"/>
  </r>
  <r>
    <s v="bra"/>
    <x v="11"/>
    <s v="monthly"/>
    <s v="vw_cap"/>
    <n v="5"/>
    <x v="111"/>
    <n v="-2.9450983781372099E-2"/>
  </r>
  <r>
    <s v="bra"/>
    <x v="11"/>
    <s v="monthly"/>
    <s v="vw_cap"/>
    <n v="5"/>
    <x v="112"/>
    <n v="2.9681204571270499E-2"/>
  </r>
  <r>
    <s v="bra"/>
    <x v="11"/>
    <s v="monthly"/>
    <s v="vw_cap"/>
    <n v="5"/>
    <x v="113"/>
    <n v="2.2062747221427498E-2"/>
  </r>
  <r>
    <s v="bra"/>
    <x v="11"/>
    <s v="monthly"/>
    <s v="vw_cap"/>
    <n v="5"/>
    <x v="114"/>
    <n v="2.64623335154517E-2"/>
  </r>
  <r>
    <s v="bra"/>
    <x v="11"/>
    <s v="monthly"/>
    <s v="vw_cap"/>
    <n v="5"/>
    <x v="115"/>
    <n v="-3.0289712274449302E-3"/>
  </r>
  <r>
    <s v="bra"/>
    <x v="11"/>
    <s v="monthly"/>
    <s v="vw_cap"/>
    <n v="5"/>
    <x v="116"/>
    <n v="-2.2661445329095399E-2"/>
  </r>
  <r>
    <s v="bra"/>
    <x v="11"/>
    <s v="monthly"/>
    <s v="vw_cap"/>
    <n v="5"/>
    <x v="117"/>
    <n v="7.4545191159278903E-3"/>
  </r>
  <r>
    <s v="bra"/>
    <x v="11"/>
    <s v="monthly"/>
    <s v="vw_cap"/>
    <n v="5"/>
    <x v="118"/>
    <n v="1.09112284705589E-4"/>
  </r>
  <r>
    <s v="bra"/>
    <x v="11"/>
    <s v="monthly"/>
    <s v="vw_cap"/>
    <n v="5"/>
    <x v="119"/>
    <n v="-1.18063907633979E-2"/>
  </r>
  <r>
    <s v="bra"/>
    <x v="11"/>
    <s v="monthly"/>
    <s v="vw_cap"/>
    <n v="5"/>
    <x v="120"/>
    <n v="5.44577825545555E-3"/>
  </r>
  <r>
    <s v="bra"/>
    <x v="11"/>
    <s v="monthly"/>
    <s v="vw_cap"/>
    <n v="5"/>
    <x v="121"/>
    <n v="-2.3059579728086602E-2"/>
  </r>
  <r>
    <s v="bra"/>
    <x v="11"/>
    <s v="monthly"/>
    <s v="vw_cap"/>
    <n v="5"/>
    <x v="122"/>
    <n v="-3.5794618523327299E-3"/>
  </r>
  <r>
    <s v="bra"/>
    <x v="11"/>
    <s v="monthly"/>
    <s v="vw_cap"/>
    <n v="5"/>
    <x v="123"/>
    <n v="1.7559296123087199E-2"/>
  </r>
  <r>
    <s v="bra"/>
    <x v="11"/>
    <s v="monthly"/>
    <s v="vw_cap"/>
    <n v="5"/>
    <x v="124"/>
    <n v="-2.9268789351650799E-3"/>
  </r>
  <r>
    <s v="bra"/>
    <x v="11"/>
    <s v="monthly"/>
    <s v="vw_cap"/>
    <n v="5"/>
    <x v="125"/>
    <n v="2.0480401072506499E-3"/>
  </r>
  <r>
    <s v="bra"/>
    <x v="11"/>
    <s v="monthly"/>
    <s v="vw_cap"/>
    <n v="5"/>
    <x v="126"/>
    <n v="-7.83367503128303E-3"/>
  </r>
  <r>
    <s v="bra"/>
    <x v="11"/>
    <s v="monthly"/>
    <s v="vw_cap"/>
    <n v="5"/>
    <x v="127"/>
    <n v="2.6924321956993602E-3"/>
  </r>
  <r>
    <s v="bra"/>
    <x v="11"/>
    <s v="monthly"/>
    <s v="vw_cap"/>
    <n v="5"/>
    <x v="128"/>
    <n v="2.2826684828855599E-2"/>
  </r>
  <r>
    <s v="bra"/>
    <x v="11"/>
    <s v="monthly"/>
    <s v="vw_cap"/>
    <n v="5"/>
    <x v="129"/>
    <n v="-6.7977982177141903E-3"/>
  </r>
  <r>
    <s v="bra"/>
    <x v="11"/>
    <s v="monthly"/>
    <s v="vw_cap"/>
    <n v="5"/>
    <x v="130"/>
    <n v="-1.5657020599913901E-3"/>
  </r>
  <r>
    <s v="bra"/>
    <x v="11"/>
    <s v="monthly"/>
    <s v="vw_cap"/>
    <n v="5"/>
    <x v="131"/>
    <n v="-1.7069679761520001E-2"/>
  </r>
  <r>
    <s v="bra"/>
    <x v="11"/>
    <s v="monthly"/>
    <s v="vw_cap"/>
    <n v="5"/>
    <x v="132"/>
    <n v="-1.6764137452282401E-2"/>
  </r>
  <r>
    <s v="bra"/>
    <x v="11"/>
    <s v="monthly"/>
    <s v="vw_cap"/>
    <n v="5"/>
    <x v="133"/>
    <n v="-1.17207351822024E-3"/>
  </r>
  <r>
    <s v="bra"/>
    <x v="11"/>
    <s v="monthly"/>
    <s v="vw_cap"/>
    <n v="5"/>
    <x v="134"/>
    <n v="6.53780622998379E-3"/>
  </r>
  <r>
    <s v="bra"/>
    <x v="11"/>
    <s v="monthly"/>
    <s v="vw_cap"/>
    <n v="5"/>
    <x v="135"/>
    <n v="-3.8241607029926498E-3"/>
  </r>
  <r>
    <s v="bra"/>
    <x v="11"/>
    <s v="monthly"/>
    <s v="vw_cap"/>
    <n v="5"/>
    <x v="136"/>
    <n v="-2.40932807533463E-2"/>
  </r>
  <r>
    <s v="bra"/>
    <x v="11"/>
    <s v="monthly"/>
    <s v="vw_cap"/>
    <n v="5"/>
    <x v="137"/>
    <n v="-1.67292951817396E-3"/>
  </r>
  <r>
    <s v="bra"/>
    <x v="11"/>
    <s v="monthly"/>
    <s v="vw_cap"/>
    <n v="5"/>
    <x v="138"/>
    <n v="-1.08158566719995E-2"/>
  </r>
  <r>
    <s v="bra"/>
    <x v="11"/>
    <s v="monthly"/>
    <s v="vw_cap"/>
    <n v="5"/>
    <x v="139"/>
    <n v="-2.30283013124284E-2"/>
  </r>
  <r>
    <s v="bra"/>
    <x v="11"/>
    <s v="monthly"/>
    <s v="vw_cap"/>
    <n v="5"/>
    <x v="140"/>
    <n v="-9.6798330823473708E-3"/>
  </r>
  <r>
    <s v="bra"/>
    <x v="11"/>
    <s v="monthly"/>
    <s v="vw_cap"/>
    <n v="5"/>
    <x v="141"/>
    <n v="-1.56011641290123E-2"/>
  </r>
  <r>
    <s v="bra"/>
    <x v="11"/>
    <s v="monthly"/>
    <s v="vw_cap"/>
    <n v="5"/>
    <x v="142"/>
    <n v="-4.6712307824019798E-2"/>
  </r>
  <r>
    <s v="bra"/>
    <x v="11"/>
    <s v="monthly"/>
    <s v="vw_cap"/>
    <n v="5"/>
    <x v="143"/>
    <n v="-5.6746395172037004E-3"/>
  </r>
  <r>
    <s v="bra"/>
    <x v="11"/>
    <s v="monthly"/>
    <s v="vw_cap"/>
    <n v="5"/>
    <x v="144"/>
    <n v="1.1805870014277801E-2"/>
  </r>
  <r>
    <s v="bra"/>
    <x v="11"/>
    <s v="monthly"/>
    <s v="vw_cap"/>
    <n v="5"/>
    <x v="145"/>
    <n v="2.0602135143528499E-2"/>
  </r>
  <r>
    <s v="bra"/>
    <x v="11"/>
    <s v="monthly"/>
    <s v="vw_cap"/>
    <n v="5"/>
    <x v="146"/>
    <n v="-1.40667864249687E-2"/>
  </r>
  <r>
    <s v="bra"/>
    <x v="11"/>
    <s v="monthly"/>
    <s v="vw_cap"/>
    <n v="5"/>
    <x v="147"/>
    <n v="-5.19487423970241E-2"/>
  </r>
  <r>
    <s v="bra"/>
    <x v="11"/>
    <s v="monthly"/>
    <s v="vw_cap"/>
    <n v="5"/>
    <x v="148"/>
    <n v="-1.1959406485633199E-2"/>
  </r>
  <r>
    <s v="bra"/>
    <x v="11"/>
    <s v="monthly"/>
    <s v="vw_cap"/>
    <n v="5"/>
    <x v="149"/>
    <n v="-4.1676136482387801E-3"/>
  </r>
  <r>
    <s v="bra"/>
    <x v="11"/>
    <s v="monthly"/>
    <s v="vw_cap"/>
    <n v="5"/>
    <x v="150"/>
    <n v="-4.02446788280406E-2"/>
  </r>
  <r>
    <s v="bra"/>
    <x v="11"/>
    <s v="monthly"/>
    <s v="vw_cap"/>
    <n v="5"/>
    <x v="151"/>
    <n v="-4.1330796525864902E-4"/>
  </r>
  <r>
    <s v="bra"/>
    <x v="11"/>
    <s v="monthly"/>
    <s v="vw_cap"/>
    <n v="5"/>
    <x v="152"/>
    <n v="-3.2106040802433601E-2"/>
  </r>
  <r>
    <s v="bra"/>
    <x v="11"/>
    <s v="monthly"/>
    <s v="vw_cap"/>
    <n v="5"/>
    <x v="153"/>
    <n v="2.0256883580813199E-2"/>
  </r>
  <r>
    <s v="bra"/>
    <x v="11"/>
    <s v="monthly"/>
    <s v="vw_cap"/>
    <n v="5"/>
    <x v="154"/>
    <n v="-7.2271765717390496E-2"/>
  </r>
  <r>
    <s v="bra"/>
    <x v="11"/>
    <s v="monthly"/>
    <s v="vw_cap"/>
    <n v="5"/>
    <x v="155"/>
    <n v="-3.17962469636799E-2"/>
  </r>
  <r>
    <s v="bra"/>
    <x v="11"/>
    <s v="monthly"/>
    <s v="vw_cap"/>
    <n v="5"/>
    <x v="156"/>
    <n v="6.6696182133160701E-3"/>
  </r>
  <r>
    <s v="bra"/>
    <x v="11"/>
    <s v="monthly"/>
    <s v="vw_cap"/>
    <n v="5"/>
    <x v="157"/>
    <n v="-5.3956532591963799E-2"/>
  </r>
  <r>
    <s v="bra"/>
    <x v="11"/>
    <s v="monthly"/>
    <s v="vw_cap"/>
    <n v="5"/>
    <x v="158"/>
    <n v="-3.5167999174269098E-2"/>
  </r>
  <r>
    <s v="bra"/>
    <x v="11"/>
    <s v="monthly"/>
    <s v="vw_cap"/>
    <n v="5"/>
    <x v="159"/>
    <n v="-2.8156176798506599E-2"/>
  </r>
  <r>
    <s v="bra"/>
    <x v="11"/>
    <s v="monthly"/>
    <s v="vw_cap"/>
    <n v="5"/>
    <x v="160"/>
    <n v="2.8809652374105699E-2"/>
  </r>
  <r>
    <s v="bra"/>
    <x v="11"/>
    <s v="monthly"/>
    <s v="vw_cap"/>
    <n v="5"/>
    <x v="161"/>
    <n v="2.2028407224407E-2"/>
  </r>
  <r>
    <s v="bra"/>
    <x v="11"/>
    <s v="monthly"/>
    <s v="vw_cap"/>
    <n v="5"/>
    <x v="162"/>
    <n v="-2.1524360218289299E-2"/>
  </r>
  <r>
    <s v="bra"/>
    <x v="11"/>
    <s v="monthly"/>
    <s v="vw_cap"/>
    <n v="5"/>
    <x v="163"/>
    <n v="-3.3142431882183403E-2"/>
  </r>
  <r>
    <s v="bra"/>
    <x v="11"/>
    <s v="monthly"/>
    <s v="vw_cap"/>
    <n v="5"/>
    <x v="164"/>
    <n v="-5.5728347864102898E-3"/>
  </r>
  <r>
    <s v="bra"/>
    <x v="11"/>
    <s v="monthly"/>
    <s v="vw_cap"/>
    <n v="5"/>
    <x v="165"/>
    <n v="-6.7254902188383899E-3"/>
  </r>
  <r>
    <s v="bra"/>
    <x v="11"/>
    <s v="monthly"/>
    <s v="vw_cap"/>
    <n v="5"/>
    <x v="166"/>
    <n v="3.5306112001398403E-2"/>
  </r>
  <r>
    <s v="bra"/>
    <x v="11"/>
    <s v="monthly"/>
    <s v="vw_cap"/>
    <n v="5"/>
    <x v="167"/>
    <n v="1.63212872777623E-3"/>
  </r>
  <r>
    <s v="bra"/>
    <x v="11"/>
    <s v="monthly"/>
    <s v="vw_cap"/>
    <n v="5"/>
    <x v="168"/>
    <n v="1.3752436740062801E-2"/>
  </r>
  <r>
    <s v="bra"/>
    <x v="11"/>
    <s v="monthly"/>
    <s v="vw_cap"/>
    <n v="5"/>
    <x v="169"/>
    <n v="-2.9595937131429498E-2"/>
  </r>
  <r>
    <s v="bra"/>
    <x v="11"/>
    <s v="monthly"/>
    <s v="vw_cap"/>
    <n v="5"/>
    <x v="170"/>
    <n v="6.2693373739552402E-2"/>
  </r>
  <r>
    <s v="bra"/>
    <x v="11"/>
    <s v="monthly"/>
    <s v="vw_cap"/>
    <n v="5"/>
    <x v="171"/>
    <n v="-2.8027227345762801E-3"/>
  </r>
  <r>
    <s v="bra"/>
    <x v="11"/>
    <s v="monthly"/>
    <s v="vw_cap"/>
    <n v="5"/>
    <x v="172"/>
    <n v="-5.9383071271135396E-3"/>
  </r>
  <r>
    <s v="bra"/>
    <x v="11"/>
    <s v="monthly"/>
    <s v="vw_cap"/>
    <n v="5"/>
    <x v="173"/>
    <n v="1.2357891396157301E-2"/>
  </r>
  <r>
    <s v="bra"/>
    <x v="11"/>
    <s v="monthly"/>
    <s v="vw_cap"/>
    <n v="5"/>
    <x v="174"/>
    <n v="2.7878682322244702E-2"/>
  </r>
  <r>
    <s v="bra"/>
    <x v="11"/>
    <s v="monthly"/>
    <s v="vw_cap"/>
    <n v="5"/>
    <x v="175"/>
    <n v="2.8223876810698399E-2"/>
  </r>
  <r>
    <s v="bra"/>
    <x v="11"/>
    <s v="monthly"/>
    <s v="vw_cap"/>
    <n v="5"/>
    <x v="176"/>
    <n v="3.1094134879171301E-2"/>
  </r>
  <r>
    <s v="bra"/>
    <x v="11"/>
    <s v="monthly"/>
    <s v="vw_cap"/>
    <n v="5"/>
    <x v="177"/>
    <n v="-1.2034450712847099E-2"/>
  </r>
  <r>
    <s v="bra"/>
    <x v="11"/>
    <s v="monthly"/>
    <s v="vw_cap"/>
    <n v="5"/>
    <x v="178"/>
    <n v="-1.3458661035889599E-3"/>
  </r>
  <r>
    <s v="bra"/>
    <x v="11"/>
    <s v="monthly"/>
    <s v="vw_cap"/>
    <n v="5"/>
    <x v="179"/>
    <n v="-4.3591165276493598E-5"/>
  </r>
  <r>
    <s v="bra"/>
    <x v="11"/>
    <s v="monthly"/>
    <s v="vw_cap"/>
    <n v="5"/>
    <x v="180"/>
    <n v="4.2687256729917796E-3"/>
  </r>
  <r>
    <s v="bra"/>
    <x v="11"/>
    <s v="monthly"/>
    <s v="vw_cap"/>
    <n v="5"/>
    <x v="181"/>
    <n v="3.48501520388469E-2"/>
  </r>
  <r>
    <s v="bra"/>
    <x v="11"/>
    <s v="monthly"/>
    <s v="vw_cap"/>
    <n v="5"/>
    <x v="182"/>
    <n v="2.7887179459453099E-2"/>
  </r>
  <r>
    <s v="bra"/>
    <x v="11"/>
    <s v="monthly"/>
    <s v="vw_cap"/>
    <n v="5"/>
    <x v="183"/>
    <n v="-1.02695748848505E-2"/>
  </r>
  <r>
    <s v="bra"/>
    <x v="11"/>
    <s v="monthly"/>
    <s v="vw_cap"/>
    <n v="5"/>
    <x v="184"/>
    <n v="2.4859775346016501E-2"/>
  </r>
  <r>
    <s v="bra"/>
    <x v="11"/>
    <s v="monthly"/>
    <s v="vw_cap"/>
    <n v="5"/>
    <x v="185"/>
    <n v="-6.6475340776399302E-3"/>
  </r>
  <r>
    <s v="bra"/>
    <x v="11"/>
    <s v="monthly"/>
    <s v="vw_cap"/>
    <n v="5"/>
    <x v="186"/>
    <n v="-1.67421908773518E-3"/>
  </r>
  <r>
    <s v="bra"/>
    <x v="11"/>
    <s v="monthly"/>
    <s v="vw_cap"/>
    <n v="5"/>
    <x v="187"/>
    <n v="3.8153279382034597E-2"/>
  </r>
  <r>
    <s v="bra"/>
    <x v="11"/>
    <s v="monthly"/>
    <s v="vw_cap"/>
    <n v="5"/>
    <x v="188"/>
    <n v="3.5866922800142302E-2"/>
  </r>
  <r>
    <s v="bra"/>
    <x v="11"/>
    <s v="monthly"/>
    <s v="vw_cap"/>
    <n v="5"/>
    <x v="189"/>
    <n v="9.3312034070674001E-4"/>
  </r>
  <r>
    <s v="bra"/>
    <x v="11"/>
    <s v="monthly"/>
    <s v="vw_cap"/>
    <n v="5"/>
    <x v="190"/>
    <n v="-6.0607734352330998E-3"/>
  </r>
  <r>
    <s v="bra"/>
    <x v="11"/>
    <s v="monthly"/>
    <s v="vw_cap"/>
    <n v="5"/>
    <x v="191"/>
    <n v="2.3512115826967099E-2"/>
  </r>
  <r>
    <s v="bra"/>
    <x v="11"/>
    <s v="monthly"/>
    <s v="vw_cap"/>
    <n v="5"/>
    <x v="192"/>
    <n v="-8.0281303876170995E-3"/>
  </r>
  <r>
    <s v="bra"/>
    <x v="11"/>
    <s v="monthly"/>
    <s v="vw_cap"/>
    <n v="5"/>
    <x v="193"/>
    <n v="-4.4193341937352998E-2"/>
  </r>
  <r>
    <s v="bra"/>
    <x v="11"/>
    <s v="monthly"/>
    <s v="vw_cap"/>
    <n v="5"/>
    <x v="194"/>
    <n v="2.5737226976398899E-4"/>
  </r>
  <r>
    <s v="bra"/>
    <x v="11"/>
    <s v="monthly"/>
    <s v="vw_cap"/>
    <n v="5"/>
    <x v="195"/>
    <n v="-8.1535561499753995E-3"/>
  </r>
  <r>
    <s v="bra"/>
    <x v="11"/>
    <s v="monthly"/>
    <s v="vw_cap"/>
    <n v="5"/>
    <x v="196"/>
    <n v="5.3256538578022601E-2"/>
  </r>
  <r>
    <s v="bra"/>
    <x v="11"/>
    <s v="monthly"/>
    <s v="vw_cap"/>
    <n v="5"/>
    <x v="197"/>
    <n v="1.1317843574873501E-2"/>
  </r>
  <r>
    <s v="bra"/>
    <x v="11"/>
    <s v="monthly"/>
    <s v="vw_cap"/>
    <n v="5"/>
    <x v="198"/>
    <n v="-5.8103630105835902E-3"/>
  </r>
  <r>
    <s v="bra"/>
    <x v="11"/>
    <s v="monthly"/>
    <s v="vw_cap"/>
    <n v="5"/>
    <x v="199"/>
    <n v="1.04264223087414E-2"/>
  </r>
  <r>
    <s v="bra"/>
    <x v="11"/>
    <s v="monthly"/>
    <s v="vw_cap"/>
    <n v="5"/>
    <x v="200"/>
    <n v="-1.1759861869379299E-2"/>
  </r>
  <r>
    <s v="bra"/>
    <x v="11"/>
    <s v="monthly"/>
    <s v="vw_cap"/>
    <n v="5"/>
    <x v="201"/>
    <n v="-1.0600467341232199E-3"/>
  </r>
  <r>
    <s v="bra"/>
    <x v="11"/>
    <s v="monthly"/>
    <s v="vw_cap"/>
    <n v="5"/>
    <x v="202"/>
    <n v="1.17517924924733E-2"/>
  </r>
  <r>
    <s v="bra"/>
    <x v="11"/>
    <s v="monthly"/>
    <s v="vw_cap"/>
    <n v="5"/>
    <x v="203"/>
    <n v="1.7758401941846701E-2"/>
  </r>
  <r>
    <s v="bra"/>
    <x v="11"/>
    <s v="monthly"/>
    <s v="vw_cap"/>
    <n v="5"/>
    <x v="204"/>
    <n v="1.0403194851913E-2"/>
  </r>
  <r>
    <s v="bra"/>
    <x v="11"/>
    <s v="monthly"/>
    <s v="vw_cap"/>
    <n v="5"/>
    <x v="205"/>
    <n v="-4.0026296563141599E-2"/>
  </r>
  <r>
    <s v="bra"/>
    <x v="11"/>
    <s v="monthly"/>
    <s v="vw_cap"/>
    <n v="5"/>
    <x v="206"/>
    <n v="8.2327252915239107E-3"/>
  </r>
  <r>
    <s v="bra"/>
    <x v="11"/>
    <s v="monthly"/>
    <s v="vw_cap"/>
    <n v="5"/>
    <x v="207"/>
    <n v="1.89274268335115E-2"/>
  </r>
  <r>
    <s v="bra"/>
    <x v="11"/>
    <s v="monthly"/>
    <s v="vw_cap"/>
    <n v="5"/>
    <x v="208"/>
    <n v="-5.2892074588693997E-3"/>
  </r>
  <r>
    <s v="bra"/>
    <x v="11"/>
    <s v="monthly"/>
    <s v="vw_cap"/>
    <n v="5"/>
    <x v="209"/>
    <n v="7.4671764300038501E-3"/>
  </r>
  <r>
    <s v="bra"/>
    <x v="11"/>
    <s v="monthly"/>
    <s v="vw_cap"/>
    <n v="5"/>
    <x v="210"/>
    <n v="4.4878754045667303E-2"/>
  </r>
  <r>
    <s v="bra"/>
    <x v="11"/>
    <s v="monthly"/>
    <s v="vw_cap"/>
    <n v="5"/>
    <x v="211"/>
    <n v="2.41405491127273E-2"/>
  </r>
  <r>
    <s v="bra"/>
    <x v="11"/>
    <s v="monthly"/>
    <s v="vw_cap"/>
    <n v="5"/>
    <x v="212"/>
    <n v="-4.6768633367937198E-4"/>
  </r>
  <r>
    <s v="bra"/>
    <x v="11"/>
    <s v="monthly"/>
    <s v="vw_cap"/>
    <n v="5"/>
    <x v="213"/>
    <n v="-4.8534345505172197E-3"/>
  </r>
  <r>
    <s v="bra"/>
    <x v="11"/>
    <s v="monthly"/>
    <s v="vw_cap"/>
    <n v="5"/>
    <x v="214"/>
    <n v="1.2729651204050599E-2"/>
  </r>
  <r>
    <s v="bra"/>
    <x v="11"/>
    <s v="monthly"/>
    <s v="vw_cap"/>
    <n v="5"/>
    <x v="215"/>
    <n v="2.33974733495745E-2"/>
  </r>
  <r>
    <s v="bra"/>
    <x v="11"/>
    <s v="monthly"/>
    <s v="vw_cap"/>
    <n v="5"/>
    <x v="216"/>
    <n v="5.6303208343962699E-2"/>
  </r>
  <r>
    <s v="bra"/>
    <x v="11"/>
    <s v="monthly"/>
    <s v="vw_cap"/>
    <n v="5"/>
    <x v="217"/>
    <n v="1.58558551587532E-2"/>
  </r>
  <r>
    <s v="bra"/>
    <x v="11"/>
    <s v="monthly"/>
    <s v="vw_cap"/>
    <n v="5"/>
    <x v="218"/>
    <n v="-7.1422886072445204E-3"/>
  </r>
  <r>
    <s v="bra"/>
    <x v="11"/>
    <s v="monthly"/>
    <s v="vw_cap"/>
    <n v="5"/>
    <x v="219"/>
    <n v="-3.85250215902787E-2"/>
  </r>
  <r>
    <s v="bra"/>
    <x v="11"/>
    <s v="monthly"/>
    <s v="vw_cap"/>
    <n v="5"/>
    <x v="220"/>
    <n v="-1.57790305117936E-2"/>
  </r>
  <r>
    <s v="bra"/>
    <x v="11"/>
    <s v="monthly"/>
    <s v="vw_cap"/>
    <n v="5"/>
    <x v="221"/>
    <n v="-3.6639381502339301E-2"/>
  </r>
  <r>
    <s v="bra"/>
    <x v="11"/>
    <s v="monthly"/>
    <s v="vw_cap"/>
    <n v="5"/>
    <x v="222"/>
    <n v="6.0113796536833297E-2"/>
  </r>
  <r>
    <s v="bra"/>
    <x v="11"/>
    <s v="monthly"/>
    <s v="vw_cap"/>
    <n v="5"/>
    <x v="223"/>
    <n v="-2.5034487411197501E-2"/>
  </r>
  <r>
    <s v="bra"/>
    <x v="11"/>
    <s v="monthly"/>
    <s v="vw_cap"/>
    <n v="5"/>
    <x v="224"/>
    <n v="-3.0464707399505599E-3"/>
  </r>
  <r>
    <s v="bra"/>
    <x v="11"/>
    <s v="monthly"/>
    <s v="vw_cap"/>
    <n v="5"/>
    <x v="225"/>
    <n v="-1.47984027519069E-2"/>
  </r>
  <r>
    <s v="bra"/>
    <x v="11"/>
    <s v="monthly"/>
    <s v="vw_cap"/>
    <n v="5"/>
    <x v="226"/>
    <n v="-1.83353783497349E-2"/>
  </r>
  <r>
    <s v="bra"/>
    <x v="11"/>
    <s v="monthly"/>
    <s v="vw_cap"/>
    <n v="5"/>
    <x v="227"/>
    <n v="2.90184148721617E-2"/>
  </r>
  <r>
    <s v="bra"/>
    <x v="11"/>
    <s v="monthly"/>
    <s v="vw_cap"/>
    <n v="5"/>
    <x v="228"/>
    <n v="-1.2535314165023599E-2"/>
  </r>
  <r>
    <s v="bra"/>
    <x v="11"/>
    <s v="monthly"/>
    <s v="vw_cap"/>
    <n v="5"/>
    <x v="229"/>
    <n v="3.1172349143363001E-2"/>
  </r>
  <r>
    <s v="bra"/>
    <x v="11"/>
    <s v="monthly"/>
    <s v="vw_cap"/>
    <n v="5"/>
    <x v="230"/>
    <n v="-7.49652549476901E-3"/>
  </r>
  <r>
    <s v="bra"/>
    <x v="11"/>
    <s v="monthly"/>
    <s v="vw_cap"/>
    <n v="5"/>
    <x v="231"/>
    <n v="-1.3431683931329999E-3"/>
  </r>
  <r>
    <s v="bra"/>
    <x v="11"/>
    <s v="monthly"/>
    <s v="vw_cap"/>
    <n v="5"/>
    <x v="232"/>
    <n v="-8.9570173297350408E-3"/>
  </r>
  <r>
    <s v="bra"/>
    <x v="11"/>
    <s v="monthly"/>
    <s v="vw_cap"/>
    <n v="5"/>
    <x v="233"/>
    <n v="4.3606227886466301E-2"/>
  </r>
  <r>
    <s v="bra"/>
    <x v="11"/>
    <s v="monthly"/>
    <s v="vw_cap"/>
    <n v="5"/>
    <x v="234"/>
    <n v="4.7572126838084802E-2"/>
  </r>
  <r>
    <s v="bra"/>
    <x v="11"/>
    <s v="monthly"/>
    <s v="vw_cap"/>
    <n v="5"/>
    <x v="235"/>
    <n v="-2.67919020767989E-2"/>
  </r>
  <r>
    <s v="bra"/>
    <x v="11"/>
    <s v="monthly"/>
    <s v="vw_cap"/>
    <n v="5"/>
    <x v="236"/>
    <n v="1.42038900722281E-3"/>
  </r>
  <r>
    <s v="bra"/>
    <x v="11"/>
    <s v="monthly"/>
    <s v="vw_cap"/>
    <n v="5"/>
    <x v="237"/>
    <n v="-1.9771190649283201E-2"/>
  </r>
  <r>
    <s v="bra"/>
    <x v="11"/>
    <s v="monthly"/>
    <s v="vw_cap"/>
    <n v="5"/>
    <x v="238"/>
    <n v="-3.78635865763048E-2"/>
  </r>
  <r>
    <s v="bra"/>
    <x v="11"/>
    <s v="monthly"/>
    <s v="vw_cap"/>
    <n v="5"/>
    <x v="239"/>
    <n v="-8.5095201049630101E-3"/>
  </r>
  <r>
    <s v="bra"/>
    <x v="11"/>
    <s v="monthly"/>
    <s v="vw_cap"/>
    <n v="5"/>
    <x v="240"/>
    <n v="4.3129998765076498E-2"/>
  </r>
  <r>
    <s v="bra"/>
    <x v="11"/>
    <s v="monthly"/>
    <s v="vw_cap"/>
    <n v="5"/>
    <x v="241"/>
    <n v="-8.5202146701477098E-3"/>
  </r>
  <r>
    <s v="bra"/>
    <x v="11"/>
    <s v="monthly"/>
    <s v="vw_cap"/>
    <n v="5"/>
    <x v="242"/>
    <n v="-4.4792153512610997E-2"/>
  </r>
  <r>
    <s v="bra"/>
    <x v="11"/>
    <s v="monthly"/>
    <s v="vw_cap"/>
    <n v="5"/>
    <x v="243"/>
    <n v="-4.5097214825185897E-3"/>
  </r>
  <r>
    <s v="bra"/>
    <x v="11"/>
    <s v="monthly"/>
    <s v="vw_cap"/>
    <n v="5"/>
    <x v="244"/>
    <n v="-1.1338601431324201E-2"/>
  </r>
  <r>
    <s v="bra"/>
    <x v="11"/>
    <s v="monthly"/>
    <s v="vw_cap"/>
    <n v="5"/>
    <x v="245"/>
    <n v="-5.2767121070812398E-2"/>
  </r>
  <r>
    <s v="bra"/>
    <x v="11"/>
    <s v="monthly"/>
    <s v="vw_cap"/>
    <n v="5"/>
    <x v="246"/>
    <n v="-2.8606005986871502E-2"/>
  </r>
  <r>
    <s v="bra"/>
    <x v="11"/>
    <s v="monthly"/>
    <s v="vw_cap"/>
    <n v="5"/>
    <x v="247"/>
    <n v="2.60676297563243E-2"/>
  </r>
  <r>
    <s v="bra"/>
    <x v="11"/>
    <s v="monthly"/>
    <s v="vw_cap"/>
    <n v="5"/>
    <x v="248"/>
    <n v="6.4560260099397193E-2"/>
  </r>
  <r>
    <s v="bra"/>
    <x v="11"/>
    <s v="monthly"/>
    <s v="vw_cap"/>
    <n v="5"/>
    <x v="249"/>
    <n v="1.54276598054593E-2"/>
  </r>
  <r>
    <s v="bra"/>
    <x v="11"/>
    <s v="monthly"/>
    <s v="vw_cap"/>
    <n v="5"/>
    <x v="250"/>
    <n v="-2.0789047219668601E-2"/>
  </r>
  <r>
    <s v="bra"/>
    <x v="11"/>
    <s v="monthly"/>
    <s v="vw_cap"/>
    <n v="5"/>
    <x v="251"/>
    <n v="-3.6397042928421899E-2"/>
  </r>
  <r>
    <s v="bra"/>
    <x v="11"/>
    <s v="monthly"/>
    <s v="vw_cap"/>
    <n v="5"/>
    <x v="252"/>
    <n v="3.4513900227402499E-4"/>
  </r>
  <r>
    <s v="bra"/>
    <x v="11"/>
    <s v="monthly"/>
    <s v="vw_cap"/>
    <n v="5"/>
    <x v="253"/>
    <n v="-2.5028235274918102E-2"/>
  </r>
  <r>
    <s v="bra"/>
    <x v="11"/>
    <s v="monthly"/>
    <s v="vw_cap"/>
    <n v="5"/>
    <x v="254"/>
    <n v="-7.0889782574497396E-3"/>
  </r>
  <r>
    <s v="bra"/>
    <x v="11"/>
    <s v="monthly"/>
    <s v="vw_cap"/>
    <n v="5"/>
    <x v="255"/>
    <n v="5.3478271172269498E-3"/>
  </r>
  <r>
    <s v="bra"/>
    <x v="11"/>
    <s v="monthly"/>
    <s v="vw_cap"/>
    <n v="5"/>
    <x v="256"/>
    <n v="-5.1995266832918904E-3"/>
  </r>
  <r>
    <s v="bra"/>
    <x v="11"/>
    <s v="monthly"/>
    <s v="vw_cap"/>
    <n v="5"/>
    <x v="257"/>
    <n v="6.4421206118383603E-2"/>
  </r>
  <r>
    <s v="bra"/>
    <x v="11"/>
    <s v="monthly"/>
    <s v="vw_cap"/>
    <n v="5"/>
    <x v="258"/>
    <n v="2.4235059643394199E-2"/>
  </r>
  <r>
    <s v="bra"/>
    <x v="11"/>
    <s v="monthly"/>
    <s v="vw_cap"/>
    <n v="5"/>
    <x v="259"/>
    <n v="1.6014489096914698E-2"/>
  </r>
  <r>
    <s v="bra"/>
    <x v="11"/>
    <s v="monthly"/>
    <s v="vw_cap"/>
    <n v="5"/>
    <x v="260"/>
    <n v="1.3698351154585601E-3"/>
  </r>
  <r>
    <s v="bra"/>
    <x v="11"/>
    <s v="monthly"/>
    <s v="vw_cap"/>
    <n v="5"/>
    <x v="261"/>
    <n v="-9.1816748678526499E-3"/>
  </r>
  <r>
    <s v="bra"/>
    <x v="11"/>
    <s v="monthly"/>
    <s v="vw_cap"/>
    <n v="5"/>
    <x v="262"/>
    <n v="-3.3368426039871599E-2"/>
  </r>
  <r>
    <s v="bra"/>
    <x v="11"/>
    <s v="monthly"/>
    <s v="vw_cap"/>
    <n v="5"/>
    <x v="263"/>
    <n v="-4.5409197120297104E-3"/>
  </r>
  <r>
    <s v="bra"/>
    <x v="11"/>
    <s v="monthly"/>
    <s v="vw_cap"/>
    <n v="5"/>
    <x v="264"/>
    <n v="1.9191540424191099E-2"/>
  </r>
  <r>
    <s v="bra"/>
    <x v="11"/>
    <s v="monthly"/>
    <s v="vw_cap"/>
    <n v="5"/>
    <x v="265"/>
    <n v="-2.42810128252593E-2"/>
  </r>
  <r>
    <s v="bra"/>
    <x v="11"/>
    <s v="monthly"/>
    <s v="vw_cap"/>
    <n v="5"/>
    <x v="266"/>
    <n v="-1.1890951679956499E-2"/>
  </r>
  <r>
    <s v="bra"/>
    <x v="11"/>
    <s v="monthly"/>
    <s v="vw_cap"/>
    <n v="5"/>
    <x v="267"/>
    <n v="9.2157415160411798E-3"/>
  </r>
  <r>
    <s v="bra"/>
    <x v="11"/>
    <s v="monthly"/>
    <s v="vw_cap"/>
    <n v="5"/>
    <x v="268"/>
    <n v="-1.0967022432807901E-2"/>
  </r>
  <r>
    <s v="bra"/>
    <x v="11"/>
    <s v="monthly"/>
    <s v="vw_cap"/>
    <n v="5"/>
    <x v="269"/>
    <n v="-1.14238077401003E-2"/>
  </r>
  <r>
    <s v="bra"/>
    <x v="11"/>
    <s v="monthly"/>
    <s v="vw_cap"/>
    <n v="5"/>
    <x v="270"/>
    <n v="-6.0852261407937799E-2"/>
  </r>
  <r>
    <s v="bra"/>
    <x v="11"/>
    <s v="monthly"/>
    <s v="vw_cap"/>
    <n v="5"/>
    <x v="271"/>
    <n v="-1.7338506115579001E-2"/>
  </r>
  <r>
    <s v="bra"/>
    <x v="11"/>
    <s v="monthly"/>
    <s v="vw_cap"/>
    <n v="5"/>
    <x v="272"/>
    <n v="-3.1864945689066101E-2"/>
  </r>
  <r>
    <s v="bra"/>
    <x v="11"/>
    <s v="monthly"/>
    <s v="vw_cap"/>
    <n v="5"/>
    <x v="273"/>
    <n v="1.6309992113991902E-2"/>
  </r>
  <r>
    <s v="bra"/>
    <x v="11"/>
    <s v="monthly"/>
    <s v="vw_cap"/>
    <n v="5"/>
    <x v="274"/>
    <n v="-2.5194887630106098E-2"/>
  </r>
  <r>
    <s v="bra"/>
    <x v="11"/>
    <s v="monthly"/>
    <s v="vw_cap"/>
    <n v="5"/>
    <x v="275"/>
    <n v="-2.22211214252153E-2"/>
  </r>
  <r>
    <s v="bra"/>
    <x v="11"/>
    <s v="monthly"/>
    <s v="vw_cap"/>
    <n v="5"/>
    <x v="276"/>
    <n v="-3.2142193914948297E-2"/>
  </r>
  <r>
    <s v="bra"/>
    <x v="11"/>
    <s v="monthly"/>
    <s v="vw_cap"/>
    <n v="5"/>
    <x v="277"/>
    <n v="2.7939090262726701E-2"/>
  </r>
  <r>
    <s v="bra"/>
    <x v="11"/>
    <s v="monthly"/>
    <s v="vw_cap"/>
    <n v="5"/>
    <x v="278"/>
    <n v="2.8026086415053001E-2"/>
  </r>
  <r>
    <s v="bra"/>
    <x v="11"/>
    <s v="monthly"/>
    <s v="vw_cap"/>
    <n v="5"/>
    <x v="279"/>
    <n v="-3.0777108444943999E-2"/>
  </r>
  <r>
    <s v="bra"/>
    <x v="11"/>
    <s v="monthly"/>
    <s v="vw_cap"/>
    <n v="5"/>
    <x v="280"/>
    <n v="-7.1957507525205197E-3"/>
  </r>
  <r>
    <s v="bra"/>
    <x v="11"/>
    <s v="monthly"/>
    <s v="vw_cap"/>
    <n v="5"/>
    <x v="281"/>
    <n v="6.5645086009125206E-2"/>
  </r>
  <r>
    <s v="bra"/>
    <x v="11"/>
    <s v="monthly"/>
    <s v="vw_cap"/>
    <n v="5"/>
    <x v="282"/>
    <n v="-3.9464361957578598E-3"/>
  </r>
  <r>
    <s v="bra"/>
    <x v="11"/>
    <s v="monthly"/>
    <s v="vw_cap"/>
    <n v="5"/>
    <x v="283"/>
    <n v="1.4103659570735699E-2"/>
  </r>
  <r>
    <s v="bra"/>
    <x v="11"/>
    <s v="monthly"/>
    <s v="vw_cap"/>
    <n v="5"/>
    <x v="284"/>
    <n v="-4.9780888862832797E-3"/>
  </r>
  <r>
    <s v="bra"/>
    <x v="11"/>
    <s v="monthly"/>
    <s v="vw_cap"/>
    <n v="5"/>
    <x v="285"/>
    <n v="-1.09833177680532E-2"/>
  </r>
  <r>
    <s v="bra"/>
    <x v="11"/>
    <s v="monthly"/>
    <s v="vw_cap"/>
    <n v="5"/>
    <x v="286"/>
    <n v="-3.8253241085946998E-3"/>
  </r>
  <r>
    <s v="bra"/>
    <x v="11"/>
    <s v="monthly"/>
    <s v="vw_cap"/>
    <n v="5"/>
    <x v="287"/>
    <n v="-1.1928099379265001E-2"/>
  </r>
  <r>
    <s v="bra"/>
    <x v="11"/>
    <s v="monthly"/>
    <s v="vw_cap"/>
    <n v="5"/>
    <x v="288"/>
    <n v="4.7390303124395204E-3"/>
  </r>
  <r>
    <s v="bra"/>
    <x v="12"/>
    <s v="monthly"/>
    <s v="vw_cap"/>
    <n v="2"/>
    <x v="313"/>
    <n v="9.57198211432988E-2"/>
  </r>
  <r>
    <s v="bra"/>
    <x v="12"/>
    <s v="monthly"/>
    <s v="vw_cap"/>
    <n v="2"/>
    <x v="314"/>
    <n v="6.0727015281077802E-2"/>
  </r>
  <r>
    <s v="bra"/>
    <x v="12"/>
    <s v="monthly"/>
    <s v="vw_cap"/>
    <n v="2"/>
    <x v="315"/>
    <n v="-3.9981771841237097E-3"/>
  </r>
  <r>
    <s v="bra"/>
    <x v="12"/>
    <s v="monthly"/>
    <s v="vw_cap"/>
    <n v="2"/>
    <x v="316"/>
    <n v="-4.8505071654294803E-2"/>
  </r>
  <r>
    <s v="bra"/>
    <x v="12"/>
    <s v="monthly"/>
    <s v="vw_cap"/>
    <n v="2"/>
    <x v="317"/>
    <n v="-4.2336063232590898E-2"/>
  </r>
  <r>
    <s v="bra"/>
    <x v="12"/>
    <s v="monthly"/>
    <s v="vw_cap"/>
    <n v="2"/>
    <x v="318"/>
    <n v="5.9064039889058298E-2"/>
  </r>
  <r>
    <s v="bra"/>
    <x v="12"/>
    <s v="monthly"/>
    <s v="vw_cap"/>
    <n v="2"/>
    <x v="319"/>
    <n v="-6.8432223801086101E-2"/>
  </r>
  <r>
    <s v="bra"/>
    <x v="12"/>
    <s v="monthly"/>
    <s v="vw_cap"/>
    <n v="2"/>
    <x v="320"/>
    <n v="8.2558304158708504E-2"/>
  </r>
  <r>
    <s v="bra"/>
    <x v="12"/>
    <s v="monthly"/>
    <s v="vw_cap"/>
    <n v="2"/>
    <x v="321"/>
    <n v="-0.162377847173658"/>
  </r>
  <r>
    <s v="bra"/>
    <x v="12"/>
    <s v="monthly"/>
    <s v="vw_cap"/>
    <n v="2"/>
    <x v="322"/>
    <n v="1.089056475704E-2"/>
  </r>
  <r>
    <s v="bra"/>
    <x v="12"/>
    <s v="monthly"/>
    <s v="vw_cap"/>
    <n v="2"/>
    <x v="323"/>
    <n v="3.9738233144798803E-2"/>
  </r>
  <r>
    <s v="bra"/>
    <x v="12"/>
    <s v="monthly"/>
    <s v="vw_cap"/>
    <n v="2"/>
    <x v="324"/>
    <n v="3.7064824559045501E-2"/>
  </r>
  <r>
    <s v="bra"/>
    <x v="12"/>
    <s v="monthly"/>
    <s v="vw_cap"/>
    <n v="2"/>
    <x v="325"/>
    <n v="5.7686515872208903E-2"/>
  </r>
  <r>
    <s v="bra"/>
    <x v="12"/>
    <s v="monthly"/>
    <s v="vw_cap"/>
    <n v="2"/>
    <x v="326"/>
    <n v="2.0881421113500099E-2"/>
  </r>
  <r>
    <s v="bra"/>
    <x v="12"/>
    <s v="monthly"/>
    <s v="vw_cap"/>
    <n v="2"/>
    <x v="327"/>
    <n v="6.2378481253016503E-2"/>
  </r>
  <r>
    <s v="bra"/>
    <x v="12"/>
    <s v="monthly"/>
    <s v="vw_cap"/>
    <n v="2"/>
    <x v="328"/>
    <n v="2.4223832462633599E-2"/>
  </r>
  <r>
    <s v="bra"/>
    <x v="12"/>
    <s v="monthly"/>
    <s v="vw_cap"/>
    <n v="2"/>
    <x v="329"/>
    <n v="6.6904637904818806E-2"/>
  </r>
  <r>
    <s v="bra"/>
    <x v="12"/>
    <s v="monthly"/>
    <s v="vw_cap"/>
    <n v="2"/>
    <x v="330"/>
    <n v="-1.58207415780506E-3"/>
  </r>
  <r>
    <s v="bra"/>
    <x v="12"/>
    <s v="monthly"/>
    <s v="vw_cap"/>
    <n v="2"/>
    <x v="331"/>
    <n v="-6.5126019028069096E-2"/>
  </r>
  <r>
    <s v="bra"/>
    <x v="12"/>
    <s v="monthly"/>
    <s v="vw_cap"/>
    <n v="2"/>
    <x v="332"/>
    <n v="9.6122819749276008E-3"/>
  </r>
  <r>
    <s v="bra"/>
    <x v="12"/>
    <s v="monthly"/>
    <s v="vw_cap"/>
    <n v="2"/>
    <x v="333"/>
    <n v="-4.98448252429518E-2"/>
  </r>
  <r>
    <s v="bra"/>
    <x v="12"/>
    <s v="monthly"/>
    <s v="vw_cap"/>
    <n v="2"/>
    <x v="334"/>
    <n v="6.3956728724261294E-2"/>
  </r>
  <r>
    <s v="bra"/>
    <x v="12"/>
    <s v="monthly"/>
    <s v="vw_cap"/>
    <n v="2"/>
    <x v="335"/>
    <n v="4.5378518396533098E-2"/>
  </r>
  <r>
    <s v="bra"/>
    <x v="12"/>
    <s v="monthly"/>
    <s v="vw_cap"/>
    <n v="2"/>
    <x v="336"/>
    <n v="-7.8522123028664195E-2"/>
  </r>
  <r>
    <s v="bra"/>
    <x v="12"/>
    <s v="monthly"/>
    <s v="vw_cap"/>
    <n v="2"/>
    <x v="337"/>
    <n v="-7.8460027941670493E-2"/>
  </r>
  <r>
    <s v="bra"/>
    <x v="12"/>
    <s v="monthly"/>
    <s v="vw_cap"/>
    <n v="2"/>
    <x v="338"/>
    <n v="4.3414532349998003E-3"/>
  </r>
  <r>
    <s v="bra"/>
    <x v="12"/>
    <s v="monthly"/>
    <s v="vw_cap"/>
    <n v="2"/>
    <x v="339"/>
    <n v="8.9502616440420096E-2"/>
  </r>
  <r>
    <s v="bra"/>
    <x v="12"/>
    <s v="monthly"/>
    <s v="vw_cap"/>
    <n v="2"/>
    <x v="340"/>
    <n v="2.2068483961555498E-2"/>
  </r>
  <r>
    <s v="bra"/>
    <x v="12"/>
    <s v="monthly"/>
    <s v="vw_cap"/>
    <n v="2"/>
    <x v="341"/>
    <n v="5.2484075171400899E-2"/>
  </r>
  <r>
    <s v="bra"/>
    <x v="12"/>
    <s v="monthly"/>
    <s v="vw_cap"/>
    <n v="2"/>
    <x v="342"/>
    <n v="1.2312227096197099E-2"/>
  </r>
  <r>
    <s v="bra"/>
    <x v="12"/>
    <s v="monthly"/>
    <s v="vw_cap"/>
    <n v="2"/>
    <x v="343"/>
    <n v="4.9704566949342497E-3"/>
  </r>
  <r>
    <s v="bra"/>
    <x v="12"/>
    <s v="monthly"/>
    <s v="vw_cap"/>
    <n v="2"/>
    <x v="344"/>
    <n v="3.6858157115719797E-2"/>
  </r>
  <r>
    <s v="bra"/>
    <x v="12"/>
    <s v="monthly"/>
    <s v="vw_cap"/>
    <n v="10"/>
    <x v="345"/>
    <n v="-5.3790851850605399E-2"/>
  </r>
  <r>
    <s v="bra"/>
    <x v="12"/>
    <s v="monthly"/>
    <s v="vw_cap"/>
    <n v="8"/>
    <x v="346"/>
    <n v="1.70912125648994E-2"/>
  </r>
  <r>
    <s v="bra"/>
    <x v="12"/>
    <s v="monthly"/>
    <s v="vw_cap"/>
    <n v="8"/>
    <x v="347"/>
    <n v="1.02687945472848E-2"/>
  </r>
  <r>
    <s v="bra"/>
    <x v="12"/>
    <s v="monthly"/>
    <s v="vw_cap"/>
    <n v="8"/>
    <x v="348"/>
    <n v="0.122706411989978"/>
  </r>
  <r>
    <s v="bra"/>
    <x v="12"/>
    <s v="monthly"/>
    <s v="vw_cap"/>
    <n v="10"/>
    <x v="349"/>
    <n v="2.8020255791062501E-2"/>
  </r>
  <r>
    <s v="bra"/>
    <x v="12"/>
    <s v="monthly"/>
    <s v="vw_cap"/>
    <n v="11"/>
    <x v="350"/>
    <n v="7.7549850293511205E-2"/>
  </r>
  <r>
    <s v="bra"/>
    <x v="12"/>
    <s v="monthly"/>
    <s v="vw_cap"/>
    <n v="11"/>
    <x v="351"/>
    <n v="-0.129127649609866"/>
  </r>
  <r>
    <s v="bra"/>
    <x v="12"/>
    <s v="monthly"/>
    <s v="vw_cap"/>
    <n v="11"/>
    <x v="352"/>
    <n v="-1.4083728688228001E-2"/>
  </r>
  <r>
    <s v="bra"/>
    <x v="12"/>
    <s v="monthly"/>
    <s v="vw_cap"/>
    <n v="11"/>
    <x v="353"/>
    <n v="0.19378324169057301"/>
  </r>
  <r>
    <s v="bra"/>
    <x v="12"/>
    <s v="monthly"/>
    <s v="vw_cap"/>
    <n v="11"/>
    <x v="354"/>
    <n v="-7.38498069682096E-2"/>
  </r>
  <r>
    <s v="bra"/>
    <x v="12"/>
    <s v="monthly"/>
    <s v="vw_cap"/>
    <n v="11"/>
    <x v="355"/>
    <n v="3.6078841944507799E-2"/>
  </r>
  <r>
    <s v="bra"/>
    <x v="12"/>
    <s v="monthly"/>
    <s v="vw_cap"/>
    <n v="11"/>
    <x v="356"/>
    <n v="5.2587881065148501E-2"/>
  </r>
  <r>
    <s v="bra"/>
    <x v="12"/>
    <s v="monthly"/>
    <s v="vw_cap"/>
    <n v="17"/>
    <x v="0"/>
    <n v="4.87649679518029E-2"/>
  </r>
  <r>
    <s v="bra"/>
    <x v="12"/>
    <s v="monthly"/>
    <s v="vw_cap"/>
    <n v="17"/>
    <x v="1"/>
    <n v="0.114993083039794"/>
  </r>
  <r>
    <s v="bra"/>
    <x v="12"/>
    <s v="monthly"/>
    <s v="vw_cap"/>
    <n v="16"/>
    <x v="289"/>
    <n v="-5.1954734991713498E-2"/>
  </r>
  <r>
    <s v="bra"/>
    <x v="12"/>
    <s v="monthly"/>
    <s v="vw_cap"/>
    <n v="16"/>
    <x v="290"/>
    <n v="7.1529159050855495E-2"/>
  </r>
  <r>
    <s v="bra"/>
    <x v="12"/>
    <s v="monthly"/>
    <s v="vw_cap"/>
    <n v="16"/>
    <x v="291"/>
    <n v="-5.3196108564644703E-3"/>
  </r>
  <r>
    <s v="bra"/>
    <x v="12"/>
    <s v="monthly"/>
    <s v="vw_cap"/>
    <n v="15"/>
    <x v="292"/>
    <n v="5.6675857938669201E-2"/>
  </r>
  <r>
    <s v="bra"/>
    <x v="12"/>
    <s v="monthly"/>
    <s v="vw_cap"/>
    <n v="15"/>
    <x v="293"/>
    <n v="5.2240970469920801E-2"/>
  </r>
  <r>
    <s v="bra"/>
    <x v="12"/>
    <s v="monthly"/>
    <s v="vw_cap"/>
    <n v="16"/>
    <x v="2"/>
    <n v="9.9476039500169602E-2"/>
  </r>
  <r>
    <s v="bra"/>
    <x v="12"/>
    <s v="monthly"/>
    <s v="vw_cap"/>
    <n v="16"/>
    <x v="3"/>
    <n v="-3.2967779070775499E-2"/>
  </r>
  <r>
    <s v="bra"/>
    <x v="12"/>
    <s v="monthly"/>
    <s v="vw_cap"/>
    <n v="8"/>
    <x v="357"/>
    <n v="-4.7097471271775701E-2"/>
  </r>
  <r>
    <s v="bra"/>
    <x v="12"/>
    <s v="monthly"/>
    <s v="vw_cap"/>
    <n v="14"/>
    <x v="358"/>
    <n v="0.22029611208813099"/>
  </r>
  <r>
    <s v="bra"/>
    <x v="12"/>
    <s v="monthly"/>
    <s v="vw_cap"/>
    <n v="14"/>
    <x v="359"/>
    <n v="3.3984817800379298E-2"/>
  </r>
  <r>
    <s v="bra"/>
    <x v="12"/>
    <s v="monthly"/>
    <s v="vw_cap"/>
    <n v="12"/>
    <x v="4"/>
    <n v="-4.5044247530788804E-3"/>
  </r>
  <r>
    <s v="bra"/>
    <x v="12"/>
    <s v="monthly"/>
    <s v="vw_cap"/>
    <n v="12"/>
    <x v="5"/>
    <n v="4.8675464343403599E-2"/>
  </r>
  <r>
    <s v="bra"/>
    <x v="12"/>
    <s v="monthly"/>
    <s v="vw_cap"/>
    <n v="12"/>
    <x v="6"/>
    <n v="3.9941489391868201E-2"/>
  </r>
  <r>
    <s v="bra"/>
    <x v="12"/>
    <s v="monthly"/>
    <s v="vw_cap"/>
    <n v="12"/>
    <x v="7"/>
    <n v="5.38453289343237E-2"/>
  </r>
  <r>
    <s v="bra"/>
    <x v="12"/>
    <s v="monthly"/>
    <s v="vw_cap"/>
    <n v="11"/>
    <x v="8"/>
    <n v="-3.0894545179430199E-2"/>
  </r>
  <r>
    <s v="bra"/>
    <x v="12"/>
    <s v="monthly"/>
    <s v="vw_cap"/>
    <n v="16"/>
    <x v="9"/>
    <n v="-3.0169237859925001E-2"/>
  </r>
  <r>
    <s v="bra"/>
    <x v="12"/>
    <s v="monthly"/>
    <s v="vw_cap"/>
    <n v="10"/>
    <x v="294"/>
    <n v="1.24804095588069E-2"/>
  </r>
  <r>
    <s v="bra"/>
    <x v="12"/>
    <s v="monthly"/>
    <s v="vw_cap"/>
    <n v="11"/>
    <x v="10"/>
    <n v="3.1943611442486697E-2"/>
  </r>
  <r>
    <s v="bra"/>
    <x v="12"/>
    <s v="monthly"/>
    <s v="vw_cap"/>
    <n v="17"/>
    <x v="11"/>
    <n v="-5.4341383261180501E-2"/>
  </r>
  <r>
    <s v="bra"/>
    <x v="12"/>
    <s v="monthly"/>
    <s v="vw_cap"/>
    <n v="17"/>
    <x v="12"/>
    <n v="-1.6438766895370101E-2"/>
  </r>
  <r>
    <s v="bra"/>
    <x v="12"/>
    <s v="monthly"/>
    <s v="vw_cap"/>
    <n v="17"/>
    <x v="13"/>
    <n v="3.0330574233989201E-3"/>
  </r>
  <r>
    <s v="bra"/>
    <x v="12"/>
    <s v="monthly"/>
    <s v="vw_cap"/>
    <n v="17"/>
    <x v="14"/>
    <n v="1.3779645251996799E-3"/>
  </r>
  <r>
    <s v="bra"/>
    <x v="12"/>
    <s v="monthly"/>
    <s v="vw_cap"/>
    <n v="16"/>
    <x v="15"/>
    <n v="8.1144019345904594E-2"/>
  </r>
  <r>
    <s v="bra"/>
    <x v="12"/>
    <s v="monthly"/>
    <s v="vw_cap"/>
    <n v="10"/>
    <x v="16"/>
    <n v="-5.6826228739553002E-2"/>
  </r>
  <r>
    <s v="bra"/>
    <x v="12"/>
    <s v="monthly"/>
    <s v="vw_cap"/>
    <n v="16"/>
    <x v="17"/>
    <n v="-3.24598600918947E-2"/>
  </r>
  <r>
    <s v="bra"/>
    <x v="12"/>
    <s v="monthly"/>
    <s v="vw_cap"/>
    <n v="16"/>
    <x v="18"/>
    <n v="3.2849102595782102E-2"/>
  </r>
  <r>
    <s v="bra"/>
    <x v="12"/>
    <s v="monthly"/>
    <s v="vw_cap"/>
    <n v="17"/>
    <x v="19"/>
    <n v="2.8922719873752899E-2"/>
  </r>
  <r>
    <s v="bra"/>
    <x v="12"/>
    <s v="monthly"/>
    <s v="vw_cap"/>
    <n v="17"/>
    <x v="20"/>
    <n v="2.1869142803417299E-2"/>
  </r>
  <r>
    <s v="bra"/>
    <x v="12"/>
    <s v="monthly"/>
    <s v="vw_cap"/>
    <n v="17"/>
    <x v="21"/>
    <n v="8.2063118468783305E-3"/>
  </r>
  <r>
    <s v="bra"/>
    <x v="12"/>
    <s v="monthly"/>
    <s v="vw_cap"/>
    <n v="17"/>
    <x v="22"/>
    <n v="-1.15910739543928E-2"/>
  </r>
  <r>
    <s v="bra"/>
    <x v="12"/>
    <s v="monthly"/>
    <s v="vw_cap"/>
    <n v="17"/>
    <x v="23"/>
    <n v="4.19775131557628E-2"/>
  </r>
  <r>
    <s v="bra"/>
    <x v="12"/>
    <s v="monthly"/>
    <s v="vw_cap"/>
    <n v="17"/>
    <x v="24"/>
    <n v="1.7718150293171302E-2"/>
  </r>
  <r>
    <s v="bra"/>
    <x v="12"/>
    <s v="monthly"/>
    <s v="vw_cap"/>
    <n v="17"/>
    <x v="25"/>
    <n v="-1.1644463276171001E-3"/>
  </r>
  <r>
    <s v="bra"/>
    <x v="12"/>
    <s v="monthly"/>
    <s v="vw_cap"/>
    <n v="15"/>
    <x v="26"/>
    <n v="1.7250994049643999E-2"/>
  </r>
  <r>
    <s v="bra"/>
    <x v="12"/>
    <s v="monthly"/>
    <s v="vw_cap"/>
    <n v="17"/>
    <x v="27"/>
    <n v="-5.7272852348392604E-3"/>
  </r>
  <r>
    <s v="bra"/>
    <x v="12"/>
    <s v="monthly"/>
    <s v="vw_cap"/>
    <n v="10"/>
    <x v="295"/>
    <n v="6.4958844479700503E-2"/>
  </r>
  <r>
    <s v="bra"/>
    <x v="12"/>
    <s v="monthly"/>
    <s v="vw_cap"/>
    <n v="10"/>
    <x v="296"/>
    <n v="-4.4420540537479002E-3"/>
  </r>
  <r>
    <s v="bra"/>
    <x v="12"/>
    <s v="monthly"/>
    <s v="vw_cap"/>
    <n v="10"/>
    <x v="297"/>
    <n v="4.8000834817305698E-4"/>
  </r>
  <r>
    <s v="bra"/>
    <x v="12"/>
    <s v="monthly"/>
    <s v="vw_cap"/>
    <n v="10"/>
    <x v="298"/>
    <n v="-2.8977604244988301E-2"/>
  </r>
  <r>
    <s v="bra"/>
    <x v="12"/>
    <s v="monthly"/>
    <s v="vw_cap"/>
    <n v="2"/>
    <x v="360"/>
    <n v="1.38630297386611E-2"/>
  </r>
  <r>
    <s v="bra"/>
    <x v="12"/>
    <s v="monthly"/>
    <s v="vw_cap"/>
    <n v="2"/>
    <x v="361"/>
    <n v="2.82126742808863E-2"/>
  </r>
  <r>
    <s v="bra"/>
    <x v="12"/>
    <s v="monthly"/>
    <s v="vw_cap"/>
    <n v="2"/>
    <x v="362"/>
    <n v="-3.6563141485477001E-3"/>
  </r>
  <r>
    <s v="bra"/>
    <x v="12"/>
    <s v="monthly"/>
    <s v="vw_cap"/>
    <n v="10"/>
    <x v="299"/>
    <n v="-2.22153709146834E-2"/>
  </r>
  <r>
    <s v="bra"/>
    <x v="12"/>
    <s v="monthly"/>
    <s v="vw_cap"/>
    <n v="10"/>
    <x v="300"/>
    <n v="6.3787793979373203E-2"/>
  </r>
  <r>
    <s v="bra"/>
    <x v="12"/>
    <s v="monthly"/>
    <s v="vw_cap"/>
    <n v="10"/>
    <x v="301"/>
    <n v="4.6057764683535903E-2"/>
  </r>
  <r>
    <s v="bra"/>
    <x v="12"/>
    <s v="monthly"/>
    <s v="vw_cap"/>
    <n v="10"/>
    <x v="302"/>
    <n v="0.13376324307613999"/>
  </r>
  <r>
    <s v="bra"/>
    <x v="12"/>
    <s v="monthly"/>
    <s v="vw_cap"/>
    <n v="10"/>
    <x v="303"/>
    <n v="2.3748173007748102E-2"/>
  </r>
  <r>
    <s v="bra"/>
    <x v="12"/>
    <s v="monthly"/>
    <s v="vw_cap"/>
    <n v="10"/>
    <x v="304"/>
    <n v="-4.0526909489071998E-2"/>
  </r>
  <r>
    <s v="bra"/>
    <x v="12"/>
    <s v="monthly"/>
    <s v="vw_cap"/>
    <n v="9"/>
    <x v="363"/>
    <n v="2.3310694039869002E-3"/>
  </r>
  <r>
    <s v="bra"/>
    <x v="12"/>
    <s v="monthly"/>
    <s v="vw_cap"/>
    <n v="2"/>
    <x v="364"/>
    <n v="-6.0795218984066E-2"/>
  </r>
  <r>
    <s v="bra"/>
    <x v="12"/>
    <s v="monthly"/>
    <s v="vw_cap"/>
    <n v="9"/>
    <x v="365"/>
    <n v="-4.1819726355557203E-2"/>
  </r>
  <r>
    <s v="bra"/>
    <x v="12"/>
    <s v="monthly"/>
    <s v="vw_cap"/>
    <n v="2"/>
    <x v="366"/>
    <n v="6.8419734099699397E-2"/>
  </r>
  <r>
    <s v="bra"/>
    <x v="12"/>
    <s v="monthly"/>
    <s v="vw_cap"/>
    <n v="2"/>
    <x v="367"/>
    <n v="-2.6665428736328201E-2"/>
  </r>
  <r>
    <s v="bra"/>
    <x v="12"/>
    <s v="monthly"/>
    <s v="vw_cap"/>
    <n v="2"/>
    <x v="368"/>
    <n v="1.46257085502176E-2"/>
  </r>
  <r>
    <s v="bra"/>
    <x v="12"/>
    <s v="monthly"/>
    <s v="vw_cap"/>
    <n v="2"/>
    <x v="369"/>
    <n v="9.5640337578750595E-2"/>
  </r>
  <r>
    <s v="bra"/>
    <x v="12"/>
    <s v="monthly"/>
    <s v="vw_cap"/>
    <n v="2"/>
    <x v="370"/>
    <n v="1.5504240035863299E-2"/>
  </r>
  <r>
    <s v="bra"/>
    <x v="12"/>
    <s v="monthly"/>
    <s v="vw_cap"/>
    <n v="2"/>
    <x v="371"/>
    <n v="-4.7242835939424903E-2"/>
  </r>
  <r>
    <s v="bra"/>
    <x v="12"/>
    <s v="monthly"/>
    <s v="vw_cap"/>
    <n v="2"/>
    <x v="372"/>
    <n v="-8.9898308326135198E-2"/>
  </r>
  <r>
    <s v="bra"/>
    <x v="12"/>
    <s v="monthly"/>
    <s v="vw_cap"/>
    <n v="2"/>
    <x v="373"/>
    <n v="-1.87823349652377E-2"/>
  </r>
  <r>
    <s v="bra"/>
    <x v="12"/>
    <s v="monthly"/>
    <s v="vw_cap"/>
    <n v="2"/>
    <x v="374"/>
    <n v="8.3340808341800104E-2"/>
  </r>
  <r>
    <s v="bra"/>
    <x v="12"/>
    <s v="monthly"/>
    <s v="vw_cap"/>
    <n v="2"/>
    <x v="375"/>
    <n v="-2.5643302869203601E-2"/>
  </r>
  <r>
    <s v="bra"/>
    <x v="12"/>
    <s v="monthly"/>
    <s v="vw_cap"/>
    <n v="2"/>
    <x v="376"/>
    <n v="-4.8217032450056402E-2"/>
  </r>
  <r>
    <s v="bra"/>
    <x v="12"/>
    <s v="monthly"/>
    <s v="vw_cap"/>
    <n v="10"/>
    <x v="305"/>
    <n v="-2.3329665388468899E-2"/>
  </r>
  <r>
    <s v="bra"/>
    <x v="12"/>
    <s v="monthly"/>
    <s v="vw_cap"/>
    <n v="10"/>
    <x v="306"/>
    <n v="2.0068837680409998E-2"/>
  </r>
  <r>
    <s v="bra"/>
    <x v="12"/>
    <s v="monthly"/>
    <s v="vw_cap"/>
    <n v="10"/>
    <x v="307"/>
    <n v="4.2660452855954198E-2"/>
  </r>
  <r>
    <s v="bra"/>
    <x v="12"/>
    <s v="monthly"/>
    <s v="vw_cap"/>
    <n v="14"/>
    <x v="28"/>
    <n v="-4.9224149549301497E-3"/>
  </r>
  <r>
    <s v="bra"/>
    <x v="12"/>
    <s v="monthly"/>
    <s v="vw_cap"/>
    <n v="10"/>
    <x v="308"/>
    <n v="-4.7133731158509801E-2"/>
  </r>
  <r>
    <s v="bra"/>
    <x v="12"/>
    <s v="monthly"/>
    <s v="vw_cap"/>
    <n v="10"/>
    <x v="309"/>
    <n v="9.3801919567466002E-2"/>
  </r>
  <r>
    <s v="bra"/>
    <x v="12"/>
    <s v="monthly"/>
    <s v="vw_cap"/>
    <n v="10"/>
    <x v="310"/>
    <n v="2.3689652898225499E-2"/>
  </r>
  <r>
    <s v="bra"/>
    <x v="12"/>
    <s v="monthly"/>
    <s v="vw_cap"/>
    <n v="10"/>
    <x v="311"/>
    <n v="6.5684539076435299E-3"/>
  </r>
  <r>
    <s v="bra"/>
    <x v="12"/>
    <s v="monthly"/>
    <s v="vw_cap"/>
    <n v="12"/>
    <x v="29"/>
    <n v="4.1413955512478499E-2"/>
  </r>
  <r>
    <s v="bra"/>
    <x v="12"/>
    <s v="monthly"/>
    <s v="vw_cap"/>
    <n v="12"/>
    <x v="30"/>
    <n v="-2.6496393812010698E-2"/>
  </r>
  <r>
    <s v="bra"/>
    <x v="12"/>
    <s v="monthly"/>
    <s v="vw_cap"/>
    <n v="12"/>
    <x v="31"/>
    <n v="-7.40445593535285E-4"/>
  </r>
  <r>
    <s v="bra"/>
    <x v="12"/>
    <s v="monthly"/>
    <s v="vw_cap"/>
    <n v="13"/>
    <x v="32"/>
    <n v="-1.2914834358244399E-2"/>
  </r>
  <r>
    <s v="bra"/>
    <x v="12"/>
    <s v="monthly"/>
    <s v="vw_cap"/>
    <n v="18"/>
    <x v="33"/>
    <n v="3.2121297535270703E-2"/>
  </r>
  <r>
    <s v="bra"/>
    <x v="12"/>
    <s v="monthly"/>
    <s v="vw_cap"/>
    <n v="18"/>
    <x v="34"/>
    <n v="-1.7734200981561199E-2"/>
  </r>
  <r>
    <s v="bra"/>
    <x v="12"/>
    <s v="monthly"/>
    <s v="vw_cap"/>
    <n v="18"/>
    <x v="35"/>
    <n v="1.24174130092629E-2"/>
  </r>
  <r>
    <s v="bra"/>
    <x v="12"/>
    <s v="monthly"/>
    <s v="vw_cap"/>
    <n v="18"/>
    <x v="36"/>
    <n v="-2.4498817715438902E-2"/>
  </r>
  <r>
    <s v="bra"/>
    <x v="12"/>
    <s v="monthly"/>
    <s v="vw_cap"/>
    <n v="18"/>
    <x v="37"/>
    <n v="7.5874264456072702E-3"/>
  </r>
  <r>
    <s v="bra"/>
    <x v="12"/>
    <s v="monthly"/>
    <s v="vw_cap"/>
    <n v="18"/>
    <x v="38"/>
    <n v="5.3816600004559602E-2"/>
  </r>
  <r>
    <s v="bra"/>
    <x v="12"/>
    <s v="monthly"/>
    <s v="vw_cap"/>
    <n v="18"/>
    <x v="39"/>
    <n v="6.3010373643659296E-3"/>
  </r>
  <r>
    <s v="bra"/>
    <x v="12"/>
    <s v="monthly"/>
    <s v="vw_cap"/>
    <n v="18"/>
    <x v="40"/>
    <n v="-1.23362454414655E-2"/>
  </r>
  <r>
    <s v="bra"/>
    <x v="12"/>
    <s v="monthly"/>
    <s v="vw_cap"/>
    <n v="18"/>
    <x v="41"/>
    <n v="-2.73276772271164E-2"/>
  </r>
  <r>
    <s v="bra"/>
    <x v="12"/>
    <s v="monthly"/>
    <s v="vw_cap"/>
    <n v="18"/>
    <x v="42"/>
    <n v="7.7575276262993797E-3"/>
  </r>
  <r>
    <s v="bra"/>
    <x v="12"/>
    <s v="monthly"/>
    <s v="vw_cap"/>
    <n v="18"/>
    <x v="43"/>
    <n v="4.2001134294163703E-2"/>
  </r>
  <r>
    <s v="bra"/>
    <x v="12"/>
    <s v="monthly"/>
    <s v="vw_cap"/>
    <n v="18"/>
    <x v="44"/>
    <n v="-4.7253645454238503E-3"/>
  </r>
  <r>
    <s v="bra"/>
    <x v="12"/>
    <s v="monthly"/>
    <s v="vw_cap"/>
    <n v="18"/>
    <x v="45"/>
    <n v="1.86694668607746E-2"/>
  </r>
  <r>
    <s v="bra"/>
    <x v="12"/>
    <s v="monthly"/>
    <s v="vw_cap"/>
    <n v="18"/>
    <x v="46"/>
    <n v="-4.9575837468675103E-2"/>
  </r>
  <r>
    <s v="bra"/>
    <x v="12"/>
    <s v="monthly"/>
    <s v="vw_cap"/>
    <n v="18"/>
    <x v="47"/>
    <n v="-4.3683667489296703E-2"/>
  </r>
  <r>
    <s v="bra"/>
    <x v="12"/>
    <s v="monthly"/>
    <s v="vw_cap"/>
    <n v="18"/>
    <x v="48"/>
    <n v="-4.3062034681925897E-2"/>
  </r>
  <r>
    <s v="bra"/>
    <x v="12"/>
    <s v="monthly"/>
    <s v="vw_cap"/>
    <n v="18"/>
    <x v="49"/>
    <n v="2.7413154882882401E-2"/>
  </r>
  <r>
    <s v="bra"/>
    <x v="12"/>
    <s v="monthly"/>
    <s v="vw_cap"/>
    <n v="18"/>
    <x v="50"/>
    <n v="-3.2574768718838201E-2"/>
  </r>
  <r>
    <s v="bra"/>
    <x v="12"/>
    <s v="monthly"/>
    <s v="vw_cap"/>
    <n v="18"/>
    <x v="51"/>
    <n v="-1.2240655609165201E-2"/>
  </r>
  <r>
    <s v="bra"/>
    <x v="12"/>
    <s v="monthly"/>
    <s v="vw_cap"/>
    <n v="18"/>
    <x v="52"/>
    <n v="3.8438142058605497E-2"/>
  </r>
  <r>
    <s v="bra"/>
    <x v="12"/>
    <s v="monthly"/>
    <s v="vw_cap"/>
    <n v="18"/>
    <x v="53"/>
    <n v="4.36457476100367E-2"/>
  </r>
  <r>
    <s v="bra"/>
    <x v="12"/>
    <s v="monthly"/>
    <s v="vw_cap"/>
    <n v="18"/>
    <x v="54"/>
    <n v="1.3168715998607699E-2"/>
  </r>
  <r>
    <s v="bra"/>
    <x v="12"/>
    <s v="monthly"/>
    <s v="vw_cap"/>
    <n v="18"/>
    <x v="55"/>
    <n v="1.6214418560436299E-2"/>
  </r>
  <r>
    <s v="bra"/>
    <x v="12"/>
    <s v="monthly"/>
    <s v="vw_cap"/>
    <n v="18"/>
    <x v="56"/>
    <n v="-3.8824718979045797E-2"/>
  </r>
  <r>
    <s v="bra"/>
    <x v="12"/>
    <s v="monthly"/>
    <s v="vw_cap"/>
    <n v="18"/>
    <x v="57"/>
    <n v="5.1004606554918E-3"/>
  </r>
  <r>
    <s v="bra"/>
    <x v="12"/>
    <s v="monthly"/>
    <s v="vw_cap"/>
    <n v="18"/>
    <x v="58"/>
    <n v="-5.7062865200671496E-3"/>
  </r>
  <r>
    <s v="bra"/>
    <x v="12"/>
    <s v="monthly"/>
    <s v="vw_cap"/>
    <n v="18"/>
    <x v="59"/>
    <n v="-1.28604163503158E-2"/>
  </r>
  <r>
    <s v="bra"/>
    <x v="12"/>
    <s v="monthly"/>
    <s v="vw_cap"/>
    <n v="18"/>
    <x v="60"/>
    <n v="3.96854292702601E-3"/>
  </r>
  <r>
    <s v="bra"/>
    <x v="12"/>
    <s v="monthly"/>
    <s v="vw_cap"/>
    <n v="18"/>
    <x v="61"/>
    <n v="3.2715758862255001E-2"/>
  </r>
  <r>
    <s v="bra"/>
    <x v="12"/>
    <s v="monthly"/>
    <s v="vw_cap"/>
    <n v="18"/>
    <x v="62"/>
    <n v="1.8461961168177301E-2"/>
  </r>
  <r>
    <s v="bra"/>
    <x v="12"/>
    <s v="monthly"/>
    <s v="vw_cap"/>
    <n v="18"/>
    <x v="63"/>
    <n v="5.1632888279065398E-2"/>
  </r>
  <r>
    <s v="bra"/>
    <x v="12"/>
    <s v="monthly"/>
    <s v="vw_cap"/>
    <n v="18"/>
    <x v="64"/>
    <n v="-2.11014211263169E-2"/>
  </r>
  <r>
    <s v="bra"/>
    <x v="12"/>
    <s v="monthly"/>
    <s v="vw_cap"/>
    <n v="18"/>
    <x v="65"/>
    <n v="-8.3375092024182498E-4"/>
  </r>
  <r>
    <s v="bra"/>
    <x v="12"/>
    <s v="monthly"/>
    <s v="vw_cap"/>
    <n v="18"/>
    <x v="66"/>
    <n v="2.6643678675196202E-2"/>
  </r>
  <r>
    <s v="bra"/>
    <x v="12"/>
    <s v="monthly"/>
    <s v="vw_cap"/>
    <n v="18"/>
    <x v="67"/>
    <n v="1.8959561663406399E-3"/>
  </r>
  <r>
    <s v="bra"/>
    <x v="12"/>
    <s v="monthly"/>
    <s v="vw_cap"/>
    <n v="18"/>
    <x v="68"/>
    <n v="3.12919056955814E-2"/>
  </r>
  <r>
    <s v="bra"/>
    <x v="12"/>
    <s v="monthly"/>
    <s v="vw_cap"/>
    <n v="18"/>
    <x v="69"/>
    <n v="-2.5516814310769201E-2"/>
  </r>
  <r>
    <s v="bra"/>
    <x v="12"/>
    <s v="monthly"/>
    <s v="vw_cap"/>
    <n v="18"/>
    <x v="70"/>
    <n v="-1.72919423119124E-2"/>
  </r>
  <r>
    <s v="bra"/>
    <x v="12"/>
    <s v="monthly"/>
    <s v="vw_cap"/>
    <n v="18"/>
    <x v="71"/>
    <n v="1.7543021663971501E-3"/>
  </r>
  <r>
    <s v="bra"/>
    <x v="12"/>
    <s v="monthly"/>
    <s v="vw_cap"/>
    <n v="18"/>
    <x v="72"/>
    <n v="-1.45798656901476E-2"/>
  </r>
  <r>
    <s v="bra"/>
    <x v="12"/>
    <s v="monthly"/>
    <s v="vw_cap"/>
    <n v="18"/>
    <x v="73"/>
    <n v="4.6066169812465502E-2"/>
  </r>
  <r>
    <s v="bra"/>
    <x v="12"/>
    <s v="monthly"/>
    <s v="vw_cap"/>
    <n v="18"/>
    <x v="74"/>
    <n v="-5.2526221679670404E-4"/>
  </r>
  <r>
    <s v="bra"/>
    <x v="12"/>
    <s v="monthly"/>
    <s v="vw_cap"/>
    <n v="18"/>
    <x v="75"/>
    <n v="1.3180088848715899E-3"/>
  </r>
  <r>
    <s v="bra"/>
    <x v="12"/>
    <s v="monthly"/>
    <s v="vw_cap"/>
    <n v="18"/>
    <x v="76"/>
    <n v="-5.6023192724142601E-3"/>
  </r>
  <r>
    <s v="bra"/>
    <x v="12"/>
    <s v="monthly"/>
    <s v="vw_cap"/>
    <n v="17"/>
    <x v="77"/>
    <n v="-4.6720075132450398E-2"/>
  </r>
  <r>
    <s v="bra"/>
    <x v="12"/>
    <s v="monthly"/>
    <s v="vw_cap"/>
    <n v="17"/>
    <x v="78"/>
    <n v="2.1718561596590202E-2"/>
  </r>
  <r>
    <s v="bra"/>
    <x v="12"/>
    <s v="monthly"/>
    <s v="vw_cap"/>
    <n v="17"/>
    <x v="79"/>
    <n v="3.6770779645683198E-2"/>
  </r>
  <r>
    <s v="bra"/>
    <x v="12"/>
    <s v="monthly"/>
    <s v="vw_cap"/>
    <n v="17"/>
    <x v="80"/>
    <n v="6.8578154529067903E-2"/>
  </r>
  <r>
    <s v="bra"/>
    <x v="12"/>
    <s v="monthly"/>
    <s v="vw_cap"/>
    <n v="17"/>
    <x v="81"/>
    <n v="7.4657401276388896E-2"/>
  </r>
  <r>
    <s v="bra"/>
    <x v="12"/>
    <s v="monthly"/>
    <s v="vw_cap"/>
    <n v="17"/>
    <x v="82"/>
    <n v="4.74539413106915E-2"/>
  </r>
  <r>
    <s v="bra"/>
    <x v="12"/>
    <s v="monthly"/>
    <s v="vw_cap"/>
    <n v="17"/>
    <x v="83"/>
    <n v="-1.13985323439028E-2"/>
  </r>
  <r>
    <s v="bra"/>
    <x v="12"/>
    <s v="monthly"/>
    <s v="vw_cap"/>
    <n v="17"/>
    <x v="84"/>
    <n v="2.1569580916624299E-2"/>
  </r>
  <r>
    <s v="bra"/>
    <x v="12"/>
    <s v="monthly"/>
    <s v="vw_cap"/>
    <n v="17"/>
    <x v="85"/>
    <n v="1.4882895458633499E-2"/>
  </r>
  <r>
    <s v="bra"/>
    <x v="12"/>
    <s v="monthly"/>
    <s v="vw_cap"/>
    <n v="17"/>
    <x v="86"/>
    <n v="9.4130637585805293E-3"/>
  </r>
  <r>
    <s v="bra"/>
    <x v="12"/>
    <s v="monthly"/>
    <s v="vw_cap"/>
    <n v="17"/>
    <x v="87"/>
    <n v="1.83463354487239E-2"/>
  </r>
  <r>
    <s v="bra"/>
    <x v="12"/>
    <s v="monthly"/>
    <s v="vw_cap"/>
    <n v="17"/>
    <x v="88"/>
    <n v="-4.9444971432041802E-2"/>
  </r>
  <r>
    <s v="bra"/>
    <x v="12"/>
    <s v="monthly"/>
    <s v="vw_cap"/>
    <n v="18"/>
    <x v="89"/>
    <n v="-2.7405570402612298E-2"/>
  </r>
  <r>
    <s v="bra"/>
    <x v="12"/>
    <s v="monthly"/>
    <s v="vw_cap"/>
    <n v="18"/>
    <x v="90"/>
    <n v="-7.2498440587401205E-4"/>
  </r>
  <r>
    <s v="bra"/>
    <x v="12"/>
    <s v="monthly"/>
    <s v="vw_cap"/>
    <n v="18"/>
    <x v="91"/>
    <n v="-3.3138161283167003E-2"/>
  </r>
  <r>
    <s v="bra"/>
    <x v="12"/>
    <s v="monthly"/>
    <s v="vw_cap"/>
    <n v="18"/>
    <x v="92"/>
    <n v="1.44267346866974E-2"/>
  </r>
  <r>
    <s v="bra"/>
    <x v="12"/>
    <s v="monthly"/>
    <s v="vw_cap"/>
    <n v="18"/>
    <x v="93"/>
    <n v="-3.1826335244625803E-2"/>
  </r>
  <r>
    <s v="bra"/>
    <x v="12"/>
    <s v="monthly"/>
    <s v="vw_cap"/>
    <n v="18"/>
    <x v="94"/>
    <n v="-2.9217106284768E-2"/>
  </r>
  <r>
    <s v="bra"/>
    <x v="12"/>
    <s v="monthly"/>
    <s v="vw_cap"/>
    <n v="18"/>
    <x v="95"/>
    <n v="-2.2777007417174401E-2"/>
  </r>
  <r>
    <s v="bra"/>
    <x v="12"/>
    <s v="monthly"/>
    <s v="vw_cap"/>
    <n v="18"/>
    <x v="96"/>
    <n v="1.27667850068809E-2"/>
  </r>
  <r>
    <s v="bra"/>
    <x v="12"/>
    <s v="monthly"/>
    <s v="vw_cap"/>
    <n v="18"/>
    <x v="97"/>
    <n v="-2.49031237419278E-2"/>
  </r>
  <r>
    <s v="bra"/>
    <x v="12"/>
    <s v="monthly"/>
    <s v="vw_cap"/>
    <n v="18"/>
    <x v="98"/>
    <n v="-3.7061671239224199E-3"/>
  </r>
  <r>
    <s v="bra"/>
    <x v="12"/>
    <s v="monthly"/>
    <s v="vw_cap"/>
    <n v="18"/>
    <x v="99"/>
    <n v="3.17623620562522E-2"/>
  </r>
  <r>
    <s v="bra"/>
    <x v="12"/>
    <s v="monthly"/>
    <s v="vw_cap"/>
    <n v="18"/>
    <x v="100"/>
    <n v="-4.1254880347904796E-3"/>
  </r>
  <r>
    <s v="bra"/>
    <x v="12"/>
    <s v="monthly"/>
    <s v="vw_cap"/>
    <n v="18"/>
    <x v="101"/>
    <n v="-1.10789910444264E-2"/>
  </r>
  <r>
    <s v="bra"/>
    <x v="12"/>
    <s v="monthly"/>
    <s v="vw_cap"/>
    <n v="18"/>
    <x v="102"/>
    <n v="-6.9775453803313497E-3"/>
  </r>
  <r>
    <s v="bra"/>
    <x v="12"/>
    <s v="monthly"/>
    <s v="vw_cap"/>
    <n v="18"/>
    <x v="103"/>
    <n v="-1.05210054574594E-2"/>
  </r>
  <r>
    <s v="bra"/>
    <x v="12"/>
    <s v="monthly"/>
    <s v="vw_cap"/>
    <n v="18"/>
    <x v="104"/>
    <n v="-5.6107146924076704E-3"/>
  </r>
  <r>
    <s v="bra"/>
    <x v="12"/>
    <s v="monthly"/>
    <s v="vw_cap"/>
    <n v="18"/>
    <x v="105"/>
    <n v="-1.08932212993314E-2"/>
  </r>
  <r>
    <s v="bra"/>
    <x v="12"/>
    <s v="monthly"/>
    <s v="vw_cap"/>
    <n v="18"/>
    <x v="106"/>
    <n v="-1.6613496041614599E-2"/>
  </r>
  <r>
    <s v="bra"/>
    <x v="12"/>
    <s v="monthly"/>
    <s v="vw_cap"/>
    <n v="18"/>
    <x v="107"/>
    <n v="4.2980508752640803E-3"/>
  </r>
  <r>
    <s v="bra"/>
    <x v="12"/>
    <s v="monthly"/>
    <s v="vw_cap"/>
    <n v="18"/>
    <x v="108"/>
    <n v="2.0993331920540401E-2"/>
  </r>
  <r>
    <s v="bra"/>
    <x v="12"/>
    <s v="monthly"/>
    <s v="vw_cap"/>
    <n v="18"/>
    <x v="109"/>
    <n v="3.6560216112875403E-2"/>
  </r>
  <r>
    <s v="bra"/>
    <x v="12"/>
    <s v="monthly"/>
    <s v="vw_cap"/>
    <n v="18"/>
    <x v="110"/>
    <n v="-8.1826406042813105E-3"/>
  </r>
  <r>
    <s v="bra"/>
    <x v="12"/>
    <s v="monthly"/>
    <s v="vw_cap"/>
    <n v="18"/>
    <x v="111"/>
    <n v="-9.4866874325738194E-3"/>
  </r>
  <r>
    <s v="bra"/>
    <x v="12"/>
    <s v="monthly"/>
    <s v="vw_cap"/>
    <n v="18"/>
    <x v="112"/>
    <n v="1.4923636115330201E-2"/>
  </r>
  <r>
    <s v="bra"/>
    <x v="12"/>
    <s v="monthly"/>
    <s v="vw_cap"/>
    <n v="18"/>
    <x v="113"/>
    <n v="2.8150386477368498E-2"/>
  </r>
  <r>
    <s v="bra"/>
    <x v="12"/>
    <s v="monthly"/>
    <s v="vw_cap"/>
    <n v="18"/>
    <x v="114"/>
    <n v="1.1481078421887701E-2"/>
  </r>
  <r>
    <s v="bra"/>
    <x v="12"/>
    <s v="monthly"/>
    <s v="vw_cap"/>
    <n v="18"/>
    <x v="115"/>
    <n v="1.7131394995188599E-2"/>
  </r>
  <r>
    <s v="bra"/>
    <x v="12"/>
    <s v="monthly"/>
    <s v="vw_cap"/>
    <n v="18"/>
    <x v="116"/>
    <n v="1.36871450434099E-2"/>
  </r>
  <r>
    <s v="bra"/>
    <x v="12"/>
    <s v="monthly"/>
    <s v="vw_cap"/>
    <n v="18"/>
    <x v="117"/>
    <n v="1.7857692918772001E-2"/>
  </r>
  <r>
    <s v="bra"/>
    <x v="12"/>
    <s v="monthly"/>
    <s v="vw_cap"/>
    <n v="18"/>
    <x v="118"/>
    <n v="1.3880771107465001E-2"/>
  </r>
  <r>
    <s v="bra"/>
    <x v="12"/>
    <s v="monthly"/>
    <s v="vw_cap"/>
    <n v="18"/>
    <x v="119"/>
    <n v="5.2940086082159804E-3"/>
  </r>
  <r>
    <s v="bra"/>
    <x v="12"/>
    <s v="monthly"/>
    <s v="vw_cap"/>
    <n v="18"/>
    <x v="120"/>
    <n v="9.9133661351097201E-3"/>
  </r>
  <r>
    <s v="bra"/>
    <x v="12"/>
    <s v="monthly"/>
    <s v="vw_cap"/>
    <n v="18"/>
    <x v="121"/>
    <n v="1.5997245934408998E-2"/>
  </r>
  <r>
    <s v="bra"/>
    <x v="12"/>
    <s v="monthly"/>
    <s v="vw_cap"/>
    <n v="18"/>
    <x v="122"/>
    <n v="-2.1506424971682699E-2"/>
  </r>
  <r>
    <s v="bra"/>
    <x v="12"/>
    <s v="monthly"/>
    <s v="vw_cap"/>
    <n v="18"/>
    <x v="123"/>
    <n v="-5.7614430607338804E-3"/>
  </r>
  <r>
    <s v="bra"/>
    <x v="12"/>
    <s v="monthly"/>
    <s v="vw_cap"/>
    <n v="18"/>
    <x v="124"/>
    <n v="-8.6383808210566404E-3"/>
  </r>
  <r>
    <s v="bra"/>
    <x v="12"/>
    <s v="monthly"/>
    <s v="vw_cap"/>
    <n v="18"/>
    <x v="125"/>
    <n v="-1.3954256495266401E-2"/>
  </r>
  <r>
    <s v="bra"/>
    <x v="12"/>
    <s v="monthly"/>
    <s v="vw_cap"/>
    <n v="18"/>
    <x v="126"/>
    <n v="2.6745465968130398E-2"/>
  </r>
  <r>
    <s v="bra"/>
    <x v="12"/>
    <s v="monthly"/>
    <s v="vw_cap"/>
    <n v="18"/>
    <x v="127"/>
    <n v="8.6023366544913799E-3"/>
  </r>
  <r>
    <s v="bra"/>
    <x v="12"/>
    <s v="monthly"/>
    <s v="vw_cap"/>
    <n v="18"/>
    <x v="128"/>
    <n v="2.45618843997869E-3"/>
  </r>
  <r>
    <s v="bra"/>
    <x v="12"/>
    <s v="monthly"/>
    <s v="vw_cap"/>
    <n v="18"/>
    <x v="129"/>
    <n v="1.74895825544799E-2"/>
  </r>
  <r>
    <s v="bra"/>
    <x v="12"/>
    <s v="monthly"/>
    <s v="vw_cap"/>
    <n v="18"/>
    <x v="130"/>
    <n v="-7.3294859655635605E-4"/>
  </r>
  <r>
    <s v="bra"/>
    <x v="12"/>
    <s v="monthly"/>
    <s v="vw_cap"/>
    <n v="18"/>
    <x v="131"/>
    <n v="-1.2916401167398599E-2"/>
  </r>
  <r>
    <s v="bra"/>
    <x v="12"/>
    <s v="monthly"/>
    <s v="vw_cap"/>
    <n v="18"/>
    <x v="132"/>
    <n v="1.2704821218582499E-2"/>
  </r>
  <r>
    <s v="bra"/>
    <x v="12"/>
    <s v="monthly"/>
    <s v="vw_cap"/>
    <n v="18"/>
    <x v="133"/>
    <n v="2.26301488615454E-2"/>
  </r>
  <r>
    <s v="bra"/>
    <x v="12"/>
    <s v="monthly"/>
    <s v="vw_cap"/>
    <n v="18"/>
    <x v="134"/>
    <n v="6.0312296031258296E-3"/>
  </r>
  <r>
    <s v="bra"/>
    <x v="12"/>
    <s v="monthly"/>
    <s v="vw_cap"/>
    <n v="18"/>
    <x v="135"/>
    <n v="2.21985477033304E-2"/>
  </r>
  <r>
    <s v="bra"/>
    <x v="12"/>
    <s v="monthly"/>
    <s v="vw_cap"/>
    <n v="18"/>
    <x v="136"/>
    <n v="-2.3641146776953101E-3"/>
  </r>
  <r>
    <s v="bra"/>
    <x v="12"/>
    <s v="monthly"/>
    <s v="vw_cap"/>
    <n v="18"/>
    <x v="137"/>
    <n v="-8.4733498182533E-3"/>
  </r>
  <r>
    <s v="bra"/>
    <x v="12"/>
    <s v="monthly"/>
    <s v="vw_cap"/>
    <n v="18"/>
    <x v="138"/>
    <n v="4.2139309192027602E-3"/>
  </r>
  <r>
    <s v="bra"/>
    <x v="12"/>
    <s v="monthly"/>
    <s v="vw_cap"/>
    <n v="18"/>
    <x v="139"/>
    <n v="8.4530545190303393E-3"/>
  </r>
  <r>
    <s v="bra"/>
    <x v="12"/>
    <s v="monthly"/>
    <s v="vw_cap"/>
    <n v="18"/>
    <x v="140"/>
    <n v="9.6977404117952696E-3"/>
  </r>
  <r>
    <s v="bra"/>
    <x v="12"/>
    <s v="monthly"/>
    <s v="vw_cap"/>
    <n v="18"/>
    <x v="141"/>
    <n v="2.0475571100709199E-2"/>
  </r>
  <r>
    <s v="bra"/>
    <x v="12"/>
    <s v="monthly"/>
    <s v="vw_cap"/>
    <n v="18"/>
    <x v="142"/>
    <n v="3.3165182476840402E-2"/>
  </r>
  <r>
    <s v="bra"/>
    <x v="12"/>
    <s v="monthly"/>
    <s v="vw_cap"/>
    <n v="18"/>
    <x v="143"/>
    <n v="-1.5498786931360401E-2"/>
  </r>
  <r>
    <s v="bra"/>
    <x v="12"/>
    <s v="monthly"/>
    <s v="vw_cap"/>
    <n v="18"/>
    <x v="144"/>
    <n v="6.9157769096781698E-3"/>
  </r>
  <r>
    <s v="bra"/>
    <x v="12"/>
    <s v="monthly"/>
    <s v="vw_cap"/>
    <n v="18"/>
    <x v="145"/>
    <n v="-3.7571051881194499E-3"/>
  </r>
  <r>
    <s v="bra"/>
    <x v="12"/>
    <s v="monthly"/>
    <s v="vw_cap"/>
    <n v="18"/>
    <x v="146"/>
    <n v="-2.7905382404192401E-2"/>
  </r>
  <r>
    <s v="bra"/>
    <x v="12"/>
    <s v="monthly"/>
    <s v="vw_cap"/>
    <n v="18"/>
    <x v="147"/>
    <n v="6.9491463120936595E-4"/>
  </r>
  <r>
    <s v="bra"/>
    <x v="12"/>
    <s v="monthly"/>
    <s v="vw_cap"/>
    <n v="18"/>
    <x v="148"/>
    <n v="-2.3811485645309901E-3"/>
  </r>
  <r>
    <s v="bra"/>
    <x v="12"/>
    <s v="monthly"/>
    <s v="vw_cap"/>
    <n v="18"/>
    <x v="149"/>
    <n v="-2.5226185131805499E-2"/>
  </r>
  <r>
    <s v="bra"/>
    <x v="12"/>
    <s v="monthly"/>
    <s v="vw_cap"/>
    <n v="18"/>
    <x v="150"/>
    <n v="-2.9648088335533602E-3"/>
  </r>
  <r>
    <s v="bra"/>
    <x v="12"/>
    <s v="monthly"/>
    <s v="vw_cap"/>
    <n v="18"/>
    <x v="151"/>
    <n v="-3.37000309469192E-3"/>
  </r>
  <r>
    <s v="bra"/>
    <x v="12"/>
    <s v="monthly"/>
    <s v="vw_cap"/>
    <n v="18"/>
    <x v="152"/>
    <n v="9.0823629656949807E-3"/>
  </r>
  <r>
    <s v="bra"/>
    <x v="12"/>
    <s v="monthly"/>
    <s v="vw_cap"/>
    <n v="18"/>
    <x v="153"/>
    <n v="-1.6100402202651101E-2"/>
  </r>
  <r>
    <s v="bra"/>
    <x v="12"/>
    <s v="monthly"/>
    <s v="vw_cap"/>
    <n v="18"/>
    <x v="154"/>
    <n v="-2.49908183969333E-2"/>
  </r>
  <r>
    <s v="bra"/>
    <x v="12"/>
    <s v="monthly"/>
    <s v="vw_cap"/>
    <n v="18"/>
    <x v="155"/>
    <n v="-1.5931579493348998E-2"/>
  </r>
  <r>
    <s v="bra"/>
    <x v="12"/>
    <s v="monthly"/>
    <s v="vw_cap"/>
    <n v="18"/>
    <x v="156"/>
    <n v="-1.4703904469653801E-2"/>
  </r>
  <r>
    <s v="bra"/>
    <x v="12"/>
    <s v="monthly"/>
    <s v="vw_cap"/>
    <n v="18"/>
    <x v="157"/>
    <n v="-6.1276295957806296E-3"/>
  </r>
  <r>
    <s v="bra"/>
    <x v="12"/>
    <s v="monthly"/>
    <s v="vw_cap"/>
    <n v="18"/>
    <x v="158"/>
    <n v="2.88145904509928E-2"/>
  </r>
  <r>
    <s v="bra"/>
    <x v="12"/>
    <s v="monthly"/>
    <s v="vw_cap"/>
    <n v="18"/>
    <x v="159"/>
    <n v="-6.3481359229300496E-3"/>
  </r>
  <r>
    <s v="bra"/>
    <x v="12"/>
    <s v="monthly"/>
    <s v="vw_cap"/>
    <n v="18"/>
    <x v="160"/>
    <n v="9.7133795456938003E-3"/>
  </r>
  <r>
    <s v="bra"/>
    <x v="12"/>
    <s v="monthly"/>
    <s v="vw_cap"/>
    <n v="18"/>
    <x v="161"/>
    <n v="-2.9291461125405299E-2"/>
  </r>
  <r>
    <s v="bra"/>
    <x v="12"/>
    <s v="monthly"/>
    <s v="vw_cap"/>
    <n v="18"/>
    <x v="162"/>
    <n v="-1.6477176267610399E-2"/>
  </r>
  <r>
    <s v="bra"/>
    <x v="12"/>
    <s v="monthly"/>
    <s v="vw_cap"/>
    <n v="18"/>
    <x v="163"/>
    <n v="-2.2343171600740001E-2"/>
  </r>
  <r>
    <s v="bra"/>
    <x v="12"/>
    <s v="monthly"/>
    <s v="vw_cap"/>
    <n v="18"/>
    <x v="164"/>
    <n v="-2.2889438550285499E-2"/>
  </r>
  <r>
    <s v="bra"/>
    <x v="12"/>
    <s v="monthly"/>
    <s v="vw_cap"/>
    <n v="18"/>
    <x v="165"/>
    <n v="-2.04903337881167E-2"/>
  </r>
  <r>
    <s v="bra"/>
    <x v="12"/>
    <s v="monthly"/>
    <s v="vw_cap"/>
    <n v="18"/>
    <x v="166"/>
    <n v="5.4195839038342998E-2"/>
  </r>
  <r>
    <s v="bra"/>
    <x v="12"/>
    <s v="monthly"/>
    <s v="vw_cap"/>
    <n v="18"/>
    <x v="167"/>
    <n v="3.2970771993341398E-4"/>
  </r>
  <r>
    <s v="bra"/>
    <x v="12"/>
    <s v="monthly"/>
    <s v="vw_cap"/>
    <n v="18"/>
    <x v="168"/>
    <n v="-6.1078152254442396E-3"/>
  </r>
  <r>
    <s v="bra"/>
    <x v="12"/>
    <s v="monthly"/>
    <s v="vw_cap"/>
    <n v="18"/>
    <x v="169"/>
    <n v="-3.9437565196065102E-2"/>
  </r>
  <r>
    <s v="bra"/>
    <x v="12"/>
    <s v="monthly"/>
    <s v="vw_cap"/>
    <n v="18"/>
    <x v="170"/>
    <n v="4.1992442812248697E-2"/>
  </r>
  <r>
    <s v="bra"/>
    <x v="12"/>
    <s v="monthly"/>
    <s v="vw_cap"/>
    <n v="18"/>
    <x v="171"/>
    <n v="6.14017561482132E-2"/>
  </r>
  <r>
    <s v="bra"/>
    <x v="12"/>
    <s v="monthly"/>
    <s v="vw_cap"/>
    <n v="18"/>
    <x v="172"/>
    <n v="-1.4660110951070201E-2"/>
  </r>
  <r>
    <s v="bra"/>
    <x v="12"/>
    <s v="monthly"/>
    <s v="vw_cap"/>
    <n v="18"/>
    <x v="173"/>
    <n v="-5.1402154830387297E-3"/>
  </r>
  <r>
    <s v="bra"/>
    <x v="12"/>
    <s v="monthly"/>
    <s v="vw_cap"/>
    <n v="18"/>
    <x v="174"/>
    <n v="-1.86168622546997E-2"/>
  </r>
  <r>
    <s v="bra"/>
    <x v="12"/>
    <s v="monthly"/>
    <s v="vw_cap"/>
    <n v="18"/>
    <x v="175"/>
    <n v="3.4556155164879997E-2"/>
  </r>
  <r>
    <s v="bra"/>
    <x v="12"/>
    <s v="monthly"/>
    <s v="vw_cap"/>
    <n v="18"/>
    <x v="176"/>
    <n v="4.3688222200493898E-2"/>
  </r>
  <r>
    <s v="bra"/>
    <x v="12"/>
    <s v="monthly"/>
    <s v="vw_cap"/>
    <n v="18"/>
    <x v="177"/>
    <n v="-1.7300170194877899E-2"/>
  </r>
  <r>
    <s v="bra"/>
    <x v="12"/>
    <s v="monthly"/>
    <s v="vw_cap"/>
    <n v="18"/>
    <x v="178"/>
    <n v="3.38577584171545E-2"/>
  </r>
  <r>
    <s v="bra"/>
    <x v="12"/>
    <s v="monthly"/>
    <s v="vw_cap"/>
    <n v="18"/>
    <x v="179"/>
    <n v="4.3689039594972397E-2"/>
  </r>
  <r>
    <s v="bra"/>
    <x v="12"/>
    <s v="monthly"/>
    <s v="vw_cap"/>
    <n v="18"/>
    <x v="180"/>
    <n v="2.39340721344025E-2"/>
  </r>
  <r>
    <s v="bra"/>
    <x v="12"/>
    <s v="monthly"/>
    <s v="vw_cap"/>
    <n v="18"/>
    <x v="181"/>
    <n v="9.7056625710342393E-3"/>
  </r>
  <r>
    <s v="bra"/>
    <x v="12"/>
    <s v="monthly"/>
    <s v="vw_cap"/>
    <n v="18"/>
    <x v="182"/>
    <n v="-1.2735507277997699E-3"/>
  </r>
  <r>
    <s v="bra"/>
    <x v="12"/>
    <s v="monthly"/>
    <s v="vw_cap"/>
    <n v="18"/>
    <x v="183"/>
    <n v="-1.43959257338115E-2"/>
  </r>
  <r>
    <s v="bra"/>
    <x v="12"/>
    <s v="monthly"/>
    <s v="vw_cap"/>
    <n v="18"/>
    <x v="184"/>
    <n v="-3.0518976099129399E-2"/>
  </r>
  <r>
    <s v="bra"/>
    <x v="12"/>
    <s v="monthly"/>
    <s v="vw_cap"/>
    <n v="18"/>
    <x v="185"/>
    <n v="-2.3549681408440801E-2"/>
  </r>
  <r>
    <s v="bra"/>
    <x v="12"/>
    <s v="monthly"/>
    <s v="vw_cap"/>
    <n v="18"/>
    <x v="186"/>
    <n v="-9.0834490330641299E-3"/>
  </r>
  <r>
    <s v="bra"/>
    <x v="12"/>
    <s v="monthly"/>
    <s v="vw_cap"/>
    <n v="18"/>
    <x v="187"/>
    <n v="2.33025417503906E-3"/>
  </r>
  <r>
    <s v="bra"/>
    <x v="12"/>
    <s v="monthly"/>
    <s v="vw_cap"/>
    <n v="18"/>
    <x v="188"/>
    <n v="1.07051805487975E-2"/>
  </r>
  <r>
    <s v="bra"/>
    <x v="12"/>
    <s v="monthly"/>
    <s v="vw_cap"/>
    <n v="18"/>
    <x v="189"/>
    <n v="-1.53711847293372E-2"/>
  </r>
  <r>
    <s v="bra"/>
    <x v="12"/>
    <s v="monthly"/>
    <s v="vw_cap"/>
    <n v="18"/>
    <x v="190"/>
    <n v="-4.8385897751163903E-3"/>
  </r>
  <r>
    <s v="bra"/>
    <x v="12"/>
    <s v="monthly"/>
    <s v="vw_cap"/>
    <n v="18"/>
    <x v="191"/>
    <n v="1.6416971624755199E-3"/>
  </r>
  <r>
    <s v="bra"/>
    <x v="12"/>
    <s v="monthly"/>
    <s v="vw_cap"/>
    <n v="18"/>
    <x v="192"/>
    <n v="3.0587933646568002E-2"/>
  </r>
  <r>
    <s v="bra"/>
    <x v="12"/>
    <s v="monthly"/>
    <s v="vw_cap"/>
    <n v="18"/>
    <x v="193"/>
    <n v="1.7127327726556601E-2"/>
  </r>
  <r>
    <s v="bra"/>
    <x v="12"/>
    <s v="monthly"/>
    <s v="vw_cap"/>
    <n v="18"/>
    <x v="194"/>
    <n v="9.7231521906352095E-3"/>
  </r>
  <r>
    <s v="bra"/>
    <x v="12"/>
    <s v="monthly"/>
    <s v="vw_cap"/>
    <n v="18"/>
    <x v="195"/>
    <n v="-1.08886419401658E-2"/>
  </r>
  <r>
    <s v="bra"/>
    <x v="12"/>
    <s v="monthly"/>
    <s v="vw_cap"/>
    <n v="18"/>
    <x v="196"/>
    <n v="-1.23064533147056E-3"/>
  </r>
  <r>
    <s v="bra"/>
    <x v="12"/>
    <s v="monthly"/>
    <s v="vw_cap"/>
    <n v="18"/>
    <x v="197"/>
    <n v="-8.4048089856963697E-3"/>
  </r>
  <r>
    <s v="bra"/>
    <x v="12"/>
    <s v="monthly"/>
    <s v="vw_cap"/>
    <n v="18"/>
    <x v="198"/>
    <n v="-1.7503349263060099E-2"/>
  </r>
  <r>
    <s v="bra"/>
    <x v="12"/>
    <s v="monthly"/>
    <s v="vw_cap"/>
    <n v="18"/>
    <x v="199"/>
    <n v="-7.7476437420348195E-4"/>
  </r>
  <r>
    <s v="bra"/>
    <x v="12"/>
    <s v="monthly"/>
    <s v="vw_cap"/>
    <n v="18"/>
    <x v="200"/>
    <n v="-1.53973661816388E-3"/>
  </r>
  <r>
    <s v="bra"/>
    <x v="12"/>
    <s v="monthly"/>
    <s v="vw_cap"/>
    <n v="18"/>
    <x v="201"/>
    <n v="-7.8545543446885795E-3"/>
  </r>
  <r>
    <s v="bra"/>
    <x v="12"/>
    <s v="monthly"/>
    <s v="vw_cap"/>
    <n v="18"/>
    <x v="202"/>
    <n v="4.2759737097266201E-2"/>
  </r>
  <r>
    <s v="bra"/>
    <x v="12"/>
    <s v="monthly"/>
    <s v="vw_cap"/>
    <n v="18"/>
    <x v="203"/>
    <n v="-2.6052806013101198E-2"/>
  </r>
  <r>
    <s v="bra"/>
    <x v="12"/>
    <s v="monthly"/>
    <s v="vw_cap"/>
    <n v="18"/>
    <x v="204"/>
    <n v="-1.08994668662248E-2"/>
  </r>
  <r>
    <s v="bra"/>
    <x v="12"/>
    <s v="monthly"/>
    <s v="vw_cap"/>
    <n v="18"/>
    <x v="205"/>
    <n v="4.5067602471320502E-2"/>
  </r>
  <r>
    <s v="bra"/>
    <x v="12"/>
    <s v="monthly"/>
    <s v="vw_cap"/>
    <n v="18"/>
    <x v="206"/>
    <n v="-8.7988582638238305E-3"/>
  </r>
  <r>
    <s v="bra"/>
    <x v="12"/>
    <s v="monthly"/>
    <s v="vw_cap"/>
    <n v="18"/>
    <x v="207"/>
    <n v="1.72519537024E-2"/>
  </r>
  <r>
    <s v="bra"/>
    <x v="12"/>
    <s v="monthly"/>
    <s v="vw_cap"/>
    <n v="18"/>
    <x v="208"/>
    <n v="2.49274907885878E-3"/>
  </r>
  <r>
    <s v="bra"/>
    <x v="12"/>
    <s v="monthly"/>
    <s v="vw_cap"/>
    <n v="18"/>
    <x v="209"/>
    <n v="1.3249509235110399E-2"/>
  </r>
  <r>
    <s v="bra"/>
    <x v="12"/>
    <s v="monthly"/>
    <s v="vw_cap"/>
    <n v="18"/>
    <x v="210"/>
    <n v="-3.6465807194919699E-3"/>
  </r>
  <r>
    <s v="bra"/>
    <x v="12"/>
    <s v="monthly"/>
    <s v="vw_cap"/>
    <n v="18"/>
    <x v="211"/>
    <n v="-2.35070081990526E-2"/>
  </r>
  <r>
    <s v="bra"/>
    <x v="12"/>
    <s v="monthly"/>
    <s v="vw_cap"/>
    <n v="18"/>
    <x v="212"/>
    <n v="-4.6663646810584297E-2"/>
  </r>
  <r>
    <s v="bra"/>
    <x v="12"/>
    <s v="monthly"/>
    <s v="vw_cap"/>
    <n v="18"/>
    <x v="213"/>
    <n v="2.59188240109495E-3"/>
  </r>
  <r>
    <s v="bra"/>
    <x v="12"/>
    <s v="monthly"/>
    <s v="vw_cap"/>
    <n v="18"/>
    <x v="214"/>
    <n v="-2.13970184092694E-2"/>
  </r>
  <r>
    <s v="bra"/>
    <x v="12"/>
    <s v="monthly"/>
    <s v="vw_cap"/>
    <n v="18"/>
    <x v="215"/>
    <n v="1.3106844539267399E-2"/>
  </r>
  <r>
    <s v="bra"/>
    <x v="12"/>
    <s v="monthly"/>
    <s v="vw_cap"/>
    <n v="18"/>
    <x v="216"/>
    <n v="1.44524966967033E-2"/>
  </r>
  <r>
    <s v="bra"/>
    <x v="12"/>
    <s v="monthly"/>
    <s v="vw_cap"/>
    <n v="18"/>
    <x v="217"/>
    <n v="-3.9543235192769102E-2"/>
  </r>
  <r>
    <s v="bra"/>
    <x v="12"/>
    <s v="monthly"/>
    <s v="vw_cap"/>
    <n v="18"/>
    <x v="218"/>
    <n v="-1.13526041751834E-2"/>
  </r>
  <r>
    <s v="bra"/>
    <x v="12"/>
    <s v="monthly"/>
    <s v="vw_cap"/>
    <n v="18"/>
    <x v="219"/>
    <n v="1.7274599714937999E-2"/>
  </r>
  <r>
    <s v="bra"/>
    <x v="12"/>
    <s v="monthly"/>
    <s v="vw_cap"/>
    <n v="18"/>
    <x v="220"/>
    <n v="-3.9392796953518897E-2"/>
  </r>
  <r>
    <s v="bra"/>
    <x v="12"/>
    <s v="monthly"/>
    <s v="vw_cap"/>
    <n v="18"/>
    <x v="221"/>
    <n v="-2.0759805286740499E-2"/>
  </r>
  <r>
    <s v="bra"/>
    <x v="12"/>
    <s v="monthly"/>
    <s v="vw_cap"/>
    <n v="18"/>
    <x v="222"/>
    <n v="-3.3563219404266799E-2"/>
  </r>
  <r>
    <s v="bra"/>
    <x v="12"/>
    <s v="monthly"/>
    <s v="vw_cap"/>
    <n v="18"/>
    <x v="223"/>
    <n v="-4.9188851547981603E-2"/>
  </r>
  <r>
    <s v="bra"/>
    <x v="12"/>
    <s v="monthly"/>
    <s v="vw_cap"/>
    <n v="18"/>
    <x v="224"/>
    <n v="-4.3293255174706897E-2"/>
  </r>
  <r>
    <s v="bra"/>
    <x v="12"/>
    <s v="monthly"/>
    <s v="vw_cap"/>
    <n v="18"/>
    <x v="225"/>
    <n v="-5.2289300828456502E-3"/>
  </r>
  <r>
    <s v="bra"/>
    <x v="12"/>
    <s v="monthly"/>
    <s v="vw_cap"/>
    <n v="18"/>
    <x v="226"/>
    <n v="-2.3145405302949201E-2"/>
  </r>
  <r>
    <s v="bra"/>
    <x v="12"/>
    <s v="monthly"/>
    <s v="vw_cap"/>
    <n v="18"/>
    <x v="227"/>
    <n v="7.2350883544460898E-2"/>
  </r>
  <r>
    <s v="bra"/>
    <x v="12"/>
    <s v="monthly"/>
    <s v="vw_cap"/>
    <n v="18"/>
    <x v="228"/>
    <n v="3.68945086295838E-3"/>
  </r>
  <r>
    <s v="bra"/>
    <x v="12"/>
    <s v="monthly"/>
    <s v="vw_cap"/>
    <n v="18"/>
    <x v="229"/>
    <n v="-8.0817271041000102E-2"/>
  </r>
  <r>
    <s v="bra"/>
    <x v="12"/>
    <s v="monthly"/>
    <s v="vw_cap"/>
    <n v="18"/>
    <x v="230"/>
    <n v="-3.50784069936256E-3"/>
  </r>
  <r>
    <s v="bra"/>
    <x v="12"/>
    <s v="monthly"/>
    <s v="vw_cap"/>
    <n v="18"/>
    <x v="231"/>
    <n v="0.11685455880088801"/>
  </r>
  <r>
    <s v="bra"/>
    <x v="12"/>
    <s v="monthly"/>
    <s v="vw_cap"/>
    <n v="18"/>
    <x v="232"/>
    <n v="2.57783242871512E-2"/>
  </r>
  <r>
    <s v="bra"/>
    <x v="12"/>
    <s v="monthly"/>
    <s v="vw_cap"/>
    <n v="18"/>
    <x v="233"/>
    <n v="1.8241530091699099E-2"/>
  </r>
  <r>
    <s v="bra"/>
    <x v="12"/>
    <s v="monthly"/>
    <s v="vw_cap"/>
    <n v="18"/>
    <x v="234"/>
    <n v="-2.7434442848065399E-2"/>
  </r>
  <r>
    <s v="bra"/>
    <x v="12"/>
    <s v="monthly"/>
    <s v="vw_cap"/>
    <n v="18"/>
    <x v="235"/>
    <n v="1.7650129059409998E-2"/>
  </r>
  <r>
    <s v="bra"/>
    <x v="12"/>
    <s v="monthly"/>
    <s v="vw_cap"/>
    <n v="18"/>
    <x v="236"/>
    <n v="2.5005275561731301E-2"/>
  </r>
  <r>
    <s v="bra"/>
    <x v="12"/>
    <s v="monthly"/>
    <s v="vw_cap"/>
    <n v="18"/>
    <x v="237"/>
    <n v="5.46006696584923E-2"/>
  </r>
  <r>
    <s v="bra"/>
    <x v="12"/>
    <s v="monthly"/>
    <s v="vw_cap"/>
    <n v="18"/>
    <x v="238"/>
    <n v="8.79220913318179E-2"/>
  </r>
  <r>
    <s v="bra"/>
    <x v="12"/>
    <s v="monthly"/>
    <s v="vw_cap"/>
    <n v="18"/>
    <x v="239"/>
    <n v="8.3415090970439199E-2"/>
  </r>
  <r>
    <s v="bra"/>
    <x v="12"/>
    <s v="monthly"/>
    <s v="vw_cap"/>
    <n v="18"/>
    <x v="240"/>
    <n v="3.8406149796961997E-2"/>
  </r>
  <r>
    <s v="bra"/>
    <x v="12"/>
    <s v="monthly"/>
    <s v="vw_cap"/>
    <n v="18"/>
    <x v="241"/>
    <n v="2.8728077520613401E-3"/>
  </r>
  <r>
    <s v="bra"/>
    <x v="12"/>
    <s v="monthly"/>
    <s v="vw_cap"/>
    <n v="18"/>
    <x v="242"/>
    <n v="2.5321858192064301E-2"/>
  </r>
  <r>
    <s v="bra"/>
    <x v="12"/>
    <s v="monthly"/>
    <s v="vw_cap"/>
    <n v="18"/>
    <x v="243"/>
    <n v="-6.4764989473768296E-3"/>
  </r>
  <r>
    <s v="bra"/>
    <x v="12"/>
    <s v="monthly"/>
    <s v="vw_cap"/>
    <n v="18"/>
    <x v="244"/>
    <n v="8.4924955863527093E-2"/>
  </r>
  <r>
    <s v="bra"/>
    <x v="12"/>
    <s v="monthly"/>
    <s v="vw_cap"/>
    <n v="18"/>
    <x v="245"/>
    <n v="6.0279188223716397E-2"/>
  </r>
  <r>
    <s v="bra"/>
    <x v="12"/>
    <s v="monthly"/>
    <s v="vw_cap"/>
    <n v="18"/>
    <x v="246"/>
    <n v="1.6636720131045401E-2"/>
  </r>
  <r>
    <s v="bra"/>
    <x v="12"/>
    <s v="monthly"/>
    <s v="vw_cap"/>
    <n v="18"/>
    <x v="247"/>
    <n v="-5.9158099250536403E-2"/>
  </r>
  <r>
    <s v="bra"/>
    <x v="12"/>
    <s v="monthly"/>
    <s v="vw_cap"/>
    <n v="18"/>
    <x v="248"/>
    <n v="-5.2762852325467201E-2"/>
  </r>
  <r>
    <s v="bra"/>
    <x v="12"/>
    <s v="monthly"/>
    <s v="vw_cap"/>
    <n v="18"/>
    <x v="249"/>
    <n v="-2.4048010765089299E-2"/>
  </r>
  <r>
    <s v="bra"/>
    <x v="12"/>
    <s v="monthly"/>
    <s v="vw_cap"/>
    <n v="18"/>
    <x v="250"/>
    <n v="-7.3547773506234301E-2"/>
  </r>
  <r>
    <s v="bra"/>
    <x v="12"/>
    <s v="monthly"/>
    <s v="vw_cap"/>
    <n v="18"/>
    <x v="251"/>
    <n v="9.0572604084281E-2"/>
  </r>
  <r>
    <s v="bra"/>
    <x v="12"/>
    <s v="monthly"/>
    <s v="vw_cap"/>
    <n v="18"/>
    <x v="252"/>
    <n v="2.6341253283789199E-2"/>
  </r>
  <r>
    <s v="bra"/>
    <x v="12"/>
    <s v="monthly"/>
    <s v="vw_cap"/>
    <n v="18"/>
    <x v="253"/>
    <n v="-1.55181043809319E-2"/>
  </r>
  <r>
    <s v="bra"/>
    <x v="12"/>
    <s v="monthly"/>
    <s v="vw_cap"/>
    <n v="18"/>
    <x v="254"/>
    <n v="2.4996645177143E-2"/>
  </r>
  <r>
    <s v="bra"/>
    <x v="12"/>
    <s v="monthly"/>
    <s v="vw_cap"/>
    <n v="18"/>
    <x v="255"/>
    <n v="2.20823506377897E-2"/>
  </r>
  <r>
    <s v="bra"/>
    <x v="12"/>
    <s v="monthly"/>
    <s v="vw_cap"/>
    <n v="18"/>
    <x v="256"/>
    <n v="-1.41536867398292E-2"/>
  </r>
  <r>
    <s v="bra"/>
    <x v="12"/>
    <s v="monthly"/>
    <s v="vw_cap"/>
    <n v="18"/>
    <x v="257"/>
    <n v="-3.0692311838013402E-2"/>
  </r>
  <r>
    <s v="bra"/>
    <x v="12"/>
    <s v="monthly"/>
    <s v="vw_cap"/>
    <n v="18"/>
    <x v="258"/>
    <n v="4.92511050899932E-3"/>
  </r>
  <r>
    <s v="bra"/>
    <x v="12"/>
    <s v="monthly"/>
    <s v="vw_cap"/>
    <n v="18"/>
    <x v="259"/>
    <n v="7.7498614938488596E-3"/>
  </r>
  <r>
    <s v="bra"/>
    <x v="12"/>
    <s v="monthly"/>
    <s v="vw_cap"/>
    <n v="18"/>
    <x v="260"/>
    <n v="3.85063815538415E-2"/>
  </r>
  <r>
    <s v="bra"/>
    <x v="12"/>
    <s v="monthly"/>
    <s v="vw_cap"/>
    <n v="18"/>
    <x v="261"/>
    <n v="2.92677113415802E-2"/>
  </r>
  <r>
    <s v="bra"/>
    <x v="12"/>
    <s v="monthly"/>
    <s v="vw_cap"/>
    <n v="18"/>
    <x v="262"/>
    <n v="5.5177783840786698E-2"/>
  </r>
  <r>
    <s v="bra"/>
    <x v="12"/>
    <s v="monthly"/>
    <s v="vw_cap"/>
    <n v="18"/>
    <x v="263"/>
    <n v="1.75535916196198E-2"/>
  </r>
  <r>
    <s v="bra"/>
    <x v="12"/>
    <s v="monthly"/>
    <s v="vw_cap"/>
    <n v="18"/>
    <x v="264"/>
    <n v="2.52596653519553E-3"/>
  </r>
  <r>
    <s v="bra"/>
    <x v="12"/>
    <s v="monthly"/>
    <s v="vw_cap"/>
    <n v="18"/>
    <x v="265"/>
    <n v="1.7857347472271901E-2"/>
  </r>
  <r>
    <s v="bra"/>
    <x v="12"/>
    <s v="monthly"/>
    <s v="vw_cap"/>
    <n v="18"/>
    <x v="266"/>
    <n v="1.0962607596731899E-2"/>
  </r>
  <r>
    <s v="bra"/>
    <x v="12"/>
    <s v="monthly"/>
    <s v="vw_cap"/>
    <n v="18"/>
    <x v="267"/>
    <n v="-1.7266489172374399E-2"/>
  </r>
  <r>
    <s v="bra"/>
    <x v="12"/>
    <s v="monthly"/>
    <s v="vw_cap"/>
    <n v="18"/>
    <x v="268"/>
    <n v="9.9970191609468403E-3"/>
  </r>
  <r>
    <s v="bra"/>
    <x v="12"/>
    <s v="monthly"/>
    <s v="vw_cap"/>
    <n v="18"/>
    <x v="269"/>
    <n v="1.13890218721087E-2"/>
  </r>
  <r>
    <s v="bra"/>
    <x v="12"/>
    <s v="monthly"/>
    <s v="vw_cap"/>
    <n v="18"/>
    <x v="270"/>
    <n v="-3.9477354011805002E-3"/>
  </r>
  <r>
    <s v="bra"/>
    <x v="12"/>
    <s v="monthly"/>
    <s v="vw_cap"/>
    <n v="18"/>
    <x v="271"/>
    <n v="-3.1388911976659398E-2"/>
  </r>
  <r>
    <s v="bra"/>
    <x v="12"/>
    <s v="monthly"/>
    <s v="vw_cap"/>
    <n v="18"/>
    <x v="272"/>
    <n v="-1.66148102282231E-3"/>
  </r>
  <r>
    <s v="bra"/>
    <x v="12"/>
    <s v="monthly"/>
    <s v="vw_cap"/>
    <n v="18"/>
    <x v="273"/>
    <n v="1.39044703883971E-2"/>
  </r>
  <r>
    <s v="bra"/>
    <x v="12"/>
    <s v="monthly"/>
    <s v="vw_cap"/>
    <n v="18"/>
    <x v="274"/>
    <n v="-1.3761081915254099E-3"/>
  </r>
  <r>
    <s v="bra"/>
    <x v="12"/>
    <s v="monthly"/>
    <s v="vw_cap"/>
    <n v="18"/>
    <x v="275"/>
    <n v="-1.27625541013133E-2"/>
  </r>
  <r>
    <s v="bra"/>
    <x v="12"/>
    <s v="monthly"/>
    <s v="vw_cap"/>
    <n v="18"/>
    <x v="276"/>
    <n v="-4.5158301585078104E-3"/>
  </r>
  <r>
    <s v="bra"/>
    <x v="12"/>
    <s v="monthly"/>
    <s v="vw_cap"/>
    <n v="18"/>
    <x v="277"/>
    <n v="4.1491391570475699E-3"/>
  </r>
  <r>
    <s v="bra"/>
    <x v="12"/>
    <s v="monthly"/>
    <s v="vw_cap"/>
    <n v="18"/>
    <x v="278"/>
    <n v="2.0779736458701601E-2"/>
  </r>
  <r>
    <s v="bra"/>
    <x v="12"/>
    <s v="monthly"/>
    <s v="vw_cap"/>
    <n v="18"/>
    <x v="279"/>
    <n v="4.6919422598682897E-2"/>
  </r>
  <r>
    <s v="bra"/>
    <x v="12"/>
    <s v="monthly"/>
    <s v="vw_cap"/>
    <n v="18"/>
    <x v="280"/>
    <n v="-1.3449269972594E-2"/>
  </r>
  <r>
    <s v="bra"/>
    <x v="12"/>
    <s v="monthly"/>
    <s v="vw_cap"/>
    <n v="18"/>
    <x v="281"/>
    <n v="-2.0614013337714E-2"/>
  </r>
  <r>
    <s v="bra"/>
    <x v="12"/>
    <s v="monthly"/>
    <s v="vw_cap"/>
    <n v="18"/>
    <x v="282"/>
    <n v="-7.7074858402457098E-3"/>
  </r>
  <r>
    <s v="bra"/>
    <x v="12"/>
    <s v="monthly"/>
    <s v="vw_cap"/>
    <n v="18"/>
    <x v="283"/>
    <n v="3.4946098050593503E-2"/>
  </r>
  <r>
    <s v="bra"/>
    <x v="12"/>
    <s v="monthly"/>
    <s v="vw_cap"/>
    <n v="18"/>
    <x v="284"/>
    <n v="1.1530325408665301E-2"/>
  </r>
  <r>
    <s v="bra"/>
    <x v="12"/>
    <s v="monthly"/>
    <s v="vw_cap"/>
    <n v="18"/>
    <x v="285"/>
    <n v="8.9776568532466093E-3"/>
  </r>
  <r>
    <s v="bra"/>
    <x v="12"/>
    <s v="monthly"/>
    <s v="vw_cap"/>
    <n v="18"/>
    <x v="286"/>
    <n v="-7.0072101431693703E-3"/>
  </r>
  <r>
    <s v="bra"/>
    <x v="12"/>
    <s v="monthly"/>
    <s v="vw_cap"/>
    <n v="18"/>
    <x v="287"/>
    <n v="-8.3575691476892294E-3"/>
  </r>
  <r>
    <s v="bra"/>
    <x v="12"/>
    <s v="monthly"/>
    <s v="vw_cap"/>
    <n v="18"/>
    <x v="288"/>
    <n v="3.3887577783508799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C3FC4-52AF-4A3B-8985-E7AA49C1AE1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4:Y383" firstHeaderRow="1" firstDataRow="2" firstDataCol="1"/>
  <pivotFields count="7">
    <pivotField showAll="0"/>
    <pivotField axis="axisCol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axis="axisRow" numFmtId="14" showAll="0">
      <items count="378"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0"/>
        <item x="1"/>
        <item x="289"/>
        <item x="290"/>
        <item x="291"/>
        <item x="292"/>
        <item x="293"/>
        <item x="2"/>
        <item x="3"/>
        <item x="357"/>
        <item x="358"/>
        <item x="359"/>
        <item x="4"/>
        <item x="5"/>
        <item x="6"/>
        <item x="7"/>
        <item x="8"/>
        <item x="9"/>
        <item x="294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95"/>
        <item x="296"/>
        <item x="297"/>
        <item x="298"/>
        <item x="360"/>
        <item x="361"/>
        <item x="362"/>
        <item x="299"/>
        <item x="300"/>
        <item x="301"/>
        <item x="302"/>
        <item x="303"/>
        <item x="304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05"/>
        <item x="306"/>
        <item x="307"/>
        <item x="28"/>
        <item x="308"/>
        <item x="309"/>
        <item x="310"/>
        <item x="311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t="default"/>
      </items>
    </pivotField>
    <pivotField dataField="1" showAll="0"/>
  </pivotFields>
  <rowFields count="1">
    <field x="5"/>
  </rowFields>
  <rowItems count="3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 t="grand">
      <x/>
    </i>
  </rowItems>
  <colFields count="1">
    <field x="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ret" fld="6" baseField="0" baseItem="0"/>
  </dataFields>
  <formats count="4">
    <format dxfId="3">
      <pivotArea dataOnly="0" labelOnly="1" fieldPosition="0">
        <references count="1">
          <reference field="5" count="1">
            <x v="117"/>
          </reference>
        </references>
      </pivotArea>
    </format>
    <format dxfId="2">
      <pivotArea collapsedLevelsAreSubtotals="1" fieldPosition="0">
        <references count="1">
          <reference field="5" count="260"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</reference>
        </references>
      </pivotArea>
    </format>
    <format dxfId="1">
      <pivotArea collapsedLevelsAreSubtotals="1" fieldPosition="0">
        <references count="2">
          <reference field="1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8">
            <x v="109"/>
            <x v="110"/>
            <x v="111"/>
            <x v="112"/>
            <x v="113"/>
            <x v="114"/>
            <x v="115"/>
            <x v="116"/>
          </reference>
        </references>
      </pivotArea>
    </format>
    <format dxfId="0">
      <pivotArea field="5" grandCol="1" collapsedLevelsAreSubtotals="1" axis="axisRow" fieldPosition="0">
        <references count="1">
          <reference field="5" count="8">
            <x v="109"/>
            <x v="110"/>
            <x v="111"/>
            <x v="112"/>
            <x v="113"/>
            <x v="114"/>
            <x v="115"/>
            <x v="11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7B73-B2EC-4F57-B698-394A8B91CD1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A4C7D-E413-4354-ACC9-7D50CEA14FA4}">
  <dimension ref="A1:BD4604"/>
  <sheetViews>
    <sheetView topLeftCell="AE121" zoomScale="70" zoomScaleNormal="70" workbookViewId="0">
      <selection activeCell="BC382" sqref="BC382"/>
    </sheetView>
  </sheetViews>
  <sheetFormatPr defaultRowHeight="15" x14ac:dyDescent="0.25"/>
  <cols>
    <col min="6" max="6" width="10.42578125" bestFit="1" customWidth="1"/>
    <col min="11" max="11" width="13.42578125" bestFit="1" customWidth="1"/>
    <col min="12" max="12" width="16.85546875" bestFit="1" customWidth="1"/>
    <col min="13" max="13" width="14.140625" bestFit="1" customWidth="1"/>
    <col min="14" max="17" width="12.7109375" bestFit="1" customWidth="1"/>
    <col min="18" max="18" width="13.140625" bestFit="1" customWidth="1"/>
    <col min="19" max="21" width="12.7109375" bestFit="1" customWidth="1"/>
    <col min="22" max="22" width="19.28515625" bestFit="1" customWidth="1"/>
    <col min="23" max="25" width="12.7109375" bestFit="1" customWidth="1"/>
    <col min="42" max="42" width="11.140625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25" x14ac:dyDescent="0.25">
      <c r="A2" t="s">
        <v>7</v>
      </c>
      <c r="B2" t="s">
        <v>8</v>
      </c>
      <c r="C2" t="s">
        <v>9</v>
      </c>
      <c r="D2" t="s">
        <v>10</v>
      </c>
      <c r="E2">
        <v>5</v>
      </c>
      <c r="F2" s="1">
        <v>35946</v>
      </c>
      <c r="G2">
        <v>-3.18956827125845E-2</v>
      </c>
    </row>
    <row r="3" spans="1:25" x14ac:dyDescent="0.25">
      <c r="A3" t="s">
        <v>7</v>
      </c>
      <c r="B3" t="s">
        <v>8</v>
      </c>
      <c r="C3" t="s">
        <v>9</v>
      </c>
      <c r="D3" t="s">
        <v>10</v>
      </c>
      <c r="E3">
        <v>5</v>
      </c>
      <c r="F3" s="1">
        <v>35976</v>
      </c>
      <c r="G3">
        <v>1.7790563686087502E-2</v>
      </c>
    </row>
    <row r="4" spans="1:25" x14ac:dyDescent="0.25">
      <c r="A4" t="s">
        <v>7</v>
      </c>
      <c r="B4" t="s">
        <v>8</v>
      </c>
      <c r="C4" t="s">
        <v>9</v>
      </c>
      <c r="D4" t="s">
        <v>10</v>
      </c>
      <c r="E4">
        <v>5</v>
      </c>
      <c r="F4" s="1">
        <v>36160</v>
      </c>
      <c r="G4">
        <v>-0.19111833509883699</v>
      </c>
      <c r="K4" s="3" t="s">
        <v>26</v>
      </c>
      <c r="L4" s="3" t="s">
        <v>25</v>
      </c>
    </row>
    <row r="5" spans="1:25" x14ac:dyDescent="0.25">
      <c r="A5" t="s">
        <v>7</v>
      </c>
      <c r="B5" t="s">
        <v>8</v>
      </c>
      <c r="C5" t="s">
        <v>9</v>
      </c>
      <c r="D5" t="s">
        <v>10</v>
      </c>
      <c r="E5">
        <v>5</v>
      </c>
      <c r="F5" s="1">
        <v>36191</v>
      </c>
      <c r="G5">
        <v>-3.62809023250594E-2</v>
      </c>
      <c r="K5" s="3" t="s">
        <v>23</v>
      </c>
      <c r="L5" t="s">
        <v>8</v>
      </c>
      <c r="M5" t="s">
        <v>11</v>
      </c>
      <c r="N5" t="s">
        <v>12</v>
      </c>
      <c r="O5" t="s">
        <v>13</v>
      </c>
      <c r="P5" t="s">
        <v>14</v>
      </c>
      <c r="Q5" t="s">
        <v>15</v>
      </c>
      <c r="R5" t="s">
        <v>16</v>
      </c>
      <c r="S5" t="s">
        <v>17</v>
      </c>
      <c r="T5" t="s">
        <v>18</v>
      </c>
      <c r="U5" t="s">
        <v>19</v>
      </c>
      <c r="V5" t="s">
        <v>20</v>
      </c>
      <c r="W5" t="s">
        <v>21</v>
      </c>
      <c r="X5" t="s">
        <v>22</v>
      </c>
      <c r="Y5" t="s">
        <v>24</v>
      </c>
    </row>
    <row r="6" spans="1:25" x14ac:dyDescent="0.25">
      <c r="A6" t="s">
        <v>7</v>
      </c>
      <c r="B6" t="s">
        <v>8</v>
      </c>
      <c r="C6" t="s">
        <v>9</v>
      </c>
      <c r="D6" t="s">
        <v>10</v>
      </c>
      <c r="E6">
        <v>5</v>
      </c>
      <c r="F6" s="1">
        <v>36311</v>
      </c>
      <c r="G6">
        <v>2.5794774135495101E-2</v>
      </c>
      <c r="K6" s="4">
        <v>34577</v>
      </c>
      <c r="O6">
        <v>0.16546080969259599</v>
      </c>
      <c r="Q6">
        <v>7.7600370143212499E-2</v>
      </c>
      <c r="V6">
        <v>0.197270881405189</v>
      </c>
      <c r="W6">
        <v>0.16639817329296</v>
      </c>
      <c r="Y6">
        <v>0.60673023453395747</v>
      </c>
    </row>
    <row r="7" spans="1:25" x14ac:dyDescent="0.25">
      <c r="A7" t="s">
        <v>7</v>
      </c>
      <c r="B7" t="s">
        <v>8</v>
      </c>
      <c r="C7" t="s">
        <v>9</v>
      </c>
      <c r="D7" t="s">
        <v>10</v>
      </c>
      <c r="E7">
        <v>5</v>
      </c>
      <c r="F7" s="1">
        <v>36341</v>
      </c>
      <c r="G7">
        <v>4.9916790118599903E-2</v>
      </c>
      <c r="K7" s="4">
        <v>34607</v>
      </c>
      <c r="O7">
        <v>1.8357256581183298E-2</v>
      </c>
      <c r="P7">
        <v>0.130411330424895</v>
      </c>
      <c r="Q7">
        <v>-6.24960341790535E-2</v>
      </c>
      <c r="R7">
        <v>-0.14459538784593501</v>
      </c>
      <c r="T7">
        <v>-0.13409729102471599</v>
      </c>
      <c r="V7">
        <v>3.3680865805557798E-2</v>
      </c>
      <c r="W7">
        <v>-7.9409823196314497E-2</v>
      </c>
      <c r="X7">
        <v>9.57198211432988E-2</v>
      </c>
      <c r="Y7">
        <v>-0.1424292622910841</v>
      </c>
    </row>
    <row r="8" spans="1:25" x14ac:dyDescent="0.25">
      <c r="A8" t="s">
        <v>7</v>
      </c>
      <c r="B8" t="s">
        <v>8</v>
      </c>
      <c r="C8" t="s">
        <v>9</v>
      </c>
      <c r="D8" t="s">
        <v>10</v>
      </c>
      <c r="E8">
        <v>5</v>
      </c>
      <c r="F8" s="1">
        <v>36372</v>
      </c>
      <c r="G8">
        <v>3.9611600013678701E-2</v>
      </c>
      <c r="K8" s="4">
        <v>34638</v>
      </c>
      <c r="O8">
        <v>-4.6947135917029099E-2</v>
      </c>
      <c r="P8">
        <v>1.08868173483724E-2</v>
      </c>
      <c r="Q8">
        <v>-3.6445179000933102E-2</v>
      </c>
      <c r="R8">
        <v>-2.3499104739746701E-2</v>
      </c>
      <c r="T8">
        <v>-6.9171202916846503E-2</v>
      </c>
      <c r="V8">
        <v>-9.4663240593359496E-2</v>
      </c>
      <c r="W8">
        <v>-2.1595267721461999E-2</v>
      </c>
      <c r="X8">
        <v>6.0727015281077802E-2</v>
      </c>
      <c r="Y8">
        <v>-0.22070729825992666</v>
      </c>
    </row>
    <row r="9" spans="1:25" x14ac:dyDescent="0.25">
      <c r="A9" t="s">
        <v>7</v>
      </c>
      <c r="B9" t="s">
        <v>8</v>
      </c>
      <c r="C9" t="s">
        <v>9</v>
      </c>
      <c r="D9" t="s">
        <v>10</v>
      </c>
      <c r="E9">
        <v>5</v>
      </c>
      <c r="F9" s="1">
        <v>36403</v>
      </c>
      <c r="G9">
        <v>-1.97490714185195E-2</v>
      </c>
      <c r="K9" s="4">
        <v>34668</v>
      </c>
      <c r="O9">
        <v>-1.1795994299744299E-2</v>
      </c>
      <c r="P9">
        <v>-4.1691176801321103E-2</v>
      </c>
      <c r="Q9">
        <v>1.3445286692980399E-3</v>
      </c>
      <c r="R9">
        <v>-4.0268344920569098E-2</v>
      </c>
      <c r="T9">
        <v>1.24260322609588E-2</v>
      </c>
      <c r="V9">
        <v>6.8936540559868406E-2</v>
      </c>
      <c r="W9">
        <v>3.8645260896019502E-2</v>
      </c>
      <c r="X9">
        <v>-3.9981771841237097E-3</v>
      </c>
      <c r="Y9">
        <v>2.3598669180386535E-2</v>
      </c>
    </row>
    <row r="10" spans="1:25" x14ac:dyDescent="0.25">
      <c r="A10" t="s">
        <v>7</v>
      </c>
      <c r="B10" t="s">
        <v>8</v>
      </c>
      <c r="C10" t="s">
        <v>9</v>
      </c>
      <c r="D10" t="s">
        <v>10</v>
      </c>
      <c r="E10">
        <v>5</v>
      </c>
      <c r="F10" s="1">
        <v>36433</v>
      </c>
      <c r="G10">
        <v>-6.7063941624771195E-2</v>
      </c>
      <c r="K10" s="4">
        <v>34699</v>
      </c>
      <c r="O10">
        <v>4.8756712939353401E-2</v>
      </c>
      <c r="P10">
        <v>-4.06883493002042E-2</v>
      </c>
      <c r="Q10">
        <v>5.9017873784089299E-2</v>
      </c>
      <c r="R10">
        <v>0.17533699905121999</v>
      </c>
      <c r="T10">
        <v>0.15655756204967999</v>
      </c>
      <c r="V10">
        <v>-8.5178495761885797E-2</v>
      </c>
      <c r="W10">
        <v>4.0771557726513398E-2</v>
      </c>
      <c r="X10">
        <v>-4.8505071654294803E-2</v>
      </c>
      <c r="Y10">
        <v>0.30606878883447131</v>
      </c>
    </row>
    <row r="11" spans="1:25" x14ac:dyDescent="0.25">
      <c r="A11" t="s">
        <v>7</v>
      </c>
      <c r="B11" t="s">
        <v>8</v>
      </c>
      <c r="C11" t="s">
        <v>9</v>
      </c>
      <c r="D11" t="s">
        <v>10</v>
      </c>
      <c r="E11">
        <v>5</v>
      </c>
      <c r="F11" s="1">
        <v>36464</v>
      </c>
      <c r="G11">
        <v>-8.4597592297291996E-2</v>
      </c>
      <c r="K11" s="4">
        <v>34730</v>
      </c>
      <c r="O11">
        <v>2.9423900029358501E-2</v>
      </c>
      <c r="P11">
        <v>-3.1835711547151299E-2</v>
      </c>
      <c r="Q11">
        <v>8.8315499702154202E-2</v>
      </c>
      <c r="R11">
        <v>-3.0375852872597801E-2</v>
      </c>
      <c r="T11">
        <v>3.7350578779188598E-2</v>
      </c>
      <c r="V11">
        <v>-6.2482607622935199E-2</v>
      </c>
      <c r="W11">
        <v>8.2545486713994407E-2</v>
      </c>
      <c r="X11">
        <v>-4.2336063232590898E-2</v>
      </c>
      <c r="Y11">
        <v>7.060522994942052E-2</v>
      </c>
    </row>
    <row r="12" spans="1:25" x14ac:dyDescent="0.25">
      <c r="A12" t="s">
        <v>7</v>
      </c>
      <c r="B12" t="s">
        <v>8</v>
      </c>
      <c r="C12" t="s">
        <v>9</v>
      </c>
      <c r="D12" t="s">
        <v>10</v>
      </c>
      <c r="E12">
        <v>5</v>
      </c>
      <c r="F12" s="1">
        <v>36525</v>
      </c>
      <c r="G12">
        <v>-5.6469982081052202E-2</v>
      </c>
      <c r="K12" s="4">
        <v>34758</v>
      </c>
      <c r="O12">
        <v>0.22937944205255001</v>
      </c>
      <c r="P12">
        <v>2.0588606330711801E-2</v>
      </c>
      <c r="Q12">
        <v>-8.1537476955812399E-2</v>
      </c>
      <c r="R12">
        <v>6.6452300493323499E-2</v>
      </c>
      <c r="T12">
        <v>7.9516732278059305E-5</v>
      </c>
      <c r="U12">
        <v>6.0411685939815697E-2</v>
      </c>
      <c r="V12">
        <v>-6.7180500712975794E-2</v>
      </c>
      <c r="W12">
        <v>1.32934596101271E-2</v>
      </c>
      <c r="X12">
        <v>5.9064039889058298E-2</v>
      </c>
      <c r="Y12">
        <v>0.30055107337907622</v>
      </c>
    </row>
    <row r="13" spans="1:25" x14ac:dyDescent="0.25">
      <c r="A13" t="s">
        <v>7</v>
      </c>
      <c r="B13" t="s">
        <v>8</v>
      </c>
      <c r="C13" t="s">
        <v>9</v>
      </c>
      <c r="D13" t="s">
        <v>10</v>
      </c>
      <c r="E13">
        <v>5</v>
      </c>
      <c r="F13" s="1">
        <v>36556</v>
      </c>
      <c r="G13">
        <v>-0.15648457306691399</v>
      </c>
      <c r="K13" s="4">
        <v>34789</v>
      </c>
      <c r="O13">
        <v>0.118049379061967</v>
      </c>
      <c r="P13">
        <v>-5.0686071457849598E-2</v>
      </c>
      <c r="Q13">
        <v>-1.7655659235593899E-2</v>
      </c>
      <c r="R13">
        <v>6.5460698879632795E-2</v>
      </c>
      <c r="T13">
        <v>4.5764975912771497E-2</v>
      </c>
      <c r="V13">
        <v>8.8143494462421201E-2</v>
      </c>
      <c r="W13">
        <v>-2.2041415235768701E-2</v>
      </c>
      <c r="X13">
        <v>-6.8432223801086101E-2</v>
      </c>
      <c r="Y13">
        <v>0.1586031785864942</v>
      </c>
    </row>
    <row r="14" spans="1:25" x14ac:dyDescent="0.25">
      <c r="A14" t="s">
        <v>7</v>
      </c>
      <c r="B14" t="s">
        <v>8</v>
      </c>
      <c r="C14" t="s">
        <v>9</v>
      </c>
      <c r="D14" t="s">
        <v>10</v>
      </c>
      <c r="E14">
        <v>5</v>
      </c>
      <c r="F14" s="1">
        <v>36585</v>
      </c>
      <c r="G14">
        <v>-5.1257579421693497E-2</v>
      </c>
      <c r="K14" s="4">
        <v>34819</v>
      </c>
      <c r="O14">
        <v>-0.24181510140599999</v>
      </c>
      <c r="P14">
        <v>-0.122954255930443</v>
      </c>
      <c r="Q14">
        <v>-6.9489660844356899E-2</v>
      </c>
      <c r="R14">
        <v>-0.27609377037261001</v>
      </c>
      <c r="T14">
        <v>-0.173262837981741</v>
      </c>
      <c r="V14">
        <v>-0.19271749112695499</v>
      </c>
      <c r="W14">
        <v>1.65155713310597E-2</v>
      </c>
      <c r="X14">
        <v>8.2558304158708504E-2</v>
      </c>
      <c r="Y14">
        <v>-0.97725924217233795</v>
      </c>
    </row>
    <row r="15" spans="1:25" x14ac:dyDescent="0.25">
      <c r="A15" t="s">
        <v>7</v>
      </c>
      <c r="B15" t="s">
        <v>8</v>
      </c>
      <c r="C15" t="s">
        <v>9</v>
      </c>
      <c r="D15" t="s">
        <v>10</v>
      </c>
      <c r="E15">
        <v>5</v>
      </c>
      <c r="F15" s="1">
        <v>36616</v>
      </c>
      <c r="G15">
        <v>5.2244006778903798E-2</v>
      </c>
      <c r="K15" s="4">
        <v>34850</v>
      </c>
      <c r="O15">
        <v>4.5477709044928899E-3</v>
      </c>
      <c r="Q15">
        <v>-6.9661245712129893E-2</v>
      </c>
      <c r="R15">
        <v>0.10670406780198601</v>
      </c>
      <c r="T15">
        <v>-2.37113782666101E-2</v>
      </c>
      <c r="V15">
        <v>-2.1152548653204602E-2</v>
      </c>
      <c r="W15">
        <v>1.5441279636011799E-2</v>
      </c>
      <c r="X15">
        <v>-0.162377847173658</v>
      </c>
      <c r="Y15">
        <v>-0.15020990146311189</v>
      </c>
    </row>
    <row r="16" spans="1:25" x14ac:dyDescent="0.25">
      <c r="A16" t="s">
        <v>7</v>
      </c>
      <c r="B16" t="s">
        <v>8</v>
      </c>
      <c r="C16" t="s">
        <v>9</v>
      </c>
      <c r="D16" t="s">
        <v>10</v>
      </c>
      <c r="E16">
        <v>5</v>
      </c>
      <c r="F16" s="1">
        <v>36646</v>
      </c>
      <c r="G16">
        <v>1.8978509551734898E-2</v>
      </c>
      <c r="K16" s="4">
        <v>34880</v>
      </c>
      <c r="O16">
        <v>-6.2764441708291693E-2</v>
      </c>
      <c r="Q16">
        <v>-3.73228616185085E-2</v>
      </c>
      <c r="R16">
        <v>4.2018247301080103E-3</v>
      </c>
      <c r="T16">
        <v>-3.8325660875053701E-2</v>
      </c>
      <c r="V16">
        <v>-0.12505124376830001</v>
      </c>
      <c r="W16">
        <v>-7.4611886154912696E-3</v>
      </c>
      <c r="X16">
        <v>1.089056475704E-2</v>
      </c>
      <c r="Y16">
        <v>-0.25583300709849721</v>
      </c>
    </row>
    <row r="17" spans="1:25" x14ac:dyDescent="0.25">
      <c r="A17" t="s">
        <v>7</v>
      </c>
      <c r="B17" t="s">
        <v>8</v>
      </c>
      <c r="C17" t="s">
        <v>9</v>
      </c>
      <c r="D17" t="s">
        <v>10</v>
      </c>
      <c r="E17">
        <v>5</v>
      </c>
      <c r="F17" s="1">
        <v>36677</v>
      </c>
      <c r="G17">
        <v>-8.3038703859756494E-2</v>
      </c>
      <c r="K17" s="4">
        <v>34911</v>
      </c>
      <c r="O17">
        <v>-0.129865142269944</v>
      </c>
      <c r="P17">
        <v>4.6900840954570797E-2</v>
      </c>
      <c r="Q17">
        <v>2.4352422364070599E-2</v>
      </c>
      <c r="R17">
        <v>6.5524325139450904E-2</v>
      </c>
      <c r="T17">
        <v>0.13592966420427499</v>
      </c>
      <c r="U17">
        <v>4.94719658412534E-2</v>
      </c>
      <c r="V17">
        <v>-1.0173848154936001E-2</v>
      </c>
      <c r="W17">
        <v>9.3886716188212496E-2</v>
      </c>
      <c r="X17">
        <v>3.9738233144798803E-2</v>
      </c>
      <c r="Y17">
        <v>0.31576517741175197</v>
      </c>
    </row>
    <row r="18" spans="1:25" x14ac:dyDescent="0.25">
      <c r="A18" t="s">
        <v>7</v>
      </c>
      <c r="B18" t="s">
        <v>8</v>
      </c>
      <c r="C18" t="s">
        <v>9</v>
      </c>
      <c r="D18" t="s">
        <v>10</v>
      </c>
      <c r="E18">
        <v>5</v>
      </c>
      <c r="F18" s="1">
        <v>36707</v>
      </c>
      <c r="G18">
        <v>1.7930023365628399E-2</v>
      </c>
      <c r="K18" s="4">
        <v>34942</v>
      </c>
      <c r="O18">
        <v>8.3455228348730693E-3</v>
      </c>
      <c r="P18">
        <v>-9.8095849256584801E-3</v>
      </c>
      <c r="Q18">
        <v>1.81402829616061E-3</v>
      </c>
      <c r="R18">
        <v>2.8736831716238299E-2</v>
      </c>
      <c r="T18">
        <v>-3.8572022087325101E-3</v>
      </c>
      <c r="U18">
        <v>1.39583632477505E-2</v>
      </c>
      <c r="V18">
        <v>1.9776930078755701E-2</v>
      </c>
      <c r="W18">
        <v>2.6560749556968199E-2</v>
      </c>
      <c r="X18">
        <v>3.7064824559045501E-2</v>
      </c>
      <c r="Y18">
        <v>0.12259046315540088</v>
      </c>
    </row>
    <row r="19" spans="1:25" x14ac:dyDescent="0.25">
      <c r="A19" t="s">
        <v>7</v>
      </c>
      <c r="B19" t="s">
        <v>8</v>
      </c>
      <c r="C19" t="s">
        <v>9</v>
      </c>
      <c r="D19" t="s">
        <v>10</v>
      </c>
      <c r="E19">
        <v>5</v>
      </c>
      <c r="F19" s="1">
        <v>36738</v>
      </c>
      <c r="G19">
        <v>2.5949871534165201E-2</v>
      </c>
      <c r="K19" s="4">
        <v>34972</v>
      </c>
      <c r="O19">
        <v>-0.16668090007330699</v>
      </c>
      <c r="P19">
        <v>9.6714637701450692E-3</v>
      </c>
      <c r="Q19">
        <v>-5.1220589682625502E-2</v>
      </c>
      <c r="R19">
        <v>-1.3933774140335701E-2</v>
      </c>
      <c r="T19">
        <v>-3.9614722811279202E-2</v>
      </c>
      <c r="U19">
        <v>6.4206512626793305E-2</v>
      </c>
      <c r="V19">
        <v>6.1012961330159099E-2</v>
      </c>
      <c r="W19">
        <v>-2.6127380323824299E-2</v>
      </c>
      <c r="X19">
        <v>5.7686515872208903E-2</v>
      </c>
      <c r="Y19">
        <v>-0.10499991343206533</v>
      </c>
    </row>
    <row r="20" spans="1:25" x14ac:dyDescent="0.25">
      <c r="A20" t="s">
        <v>7</v>
      </c>
      <c r="B20" t="s">
        <v>8</v>
      </c>
      <c r="C20" t="s">
        <v>9</v>
      </c>
      <c r="D20" t="s">
        <v>10</v>
      </c>
      <c r="E20">
        <v>5</v>
      </c>
      <c r="F20" s="1">
        <v>36769</v>
      </c>
      <c r="G20">
        <v>9.2080348521277097E-2</v>
      </c>
      <c r="K20" s="4">
        <v>35003</v>
      </c>
      <c r="O20">
        <v>-0.19784674670396901</v>
      </c>
      <c r="P20">
        <v>-6.4903185991593299E-3</v>
      </c>
      <c r="Q20">
        <v>2.6141584854924401E-2</v>
      </c>
      <c r="R20">
        <v>4.5302439312119198E-2</v>
      </c>
      <c r="S20">
        <v>-0.123222788912016</v>
      </c>
      <c r="T20">
        <v>4.4039916618301998E-2</v>
      </c>
      <c r="U20">
        <v>8.8661393037126994E-3</v>
      </c>
      <c r="V20">
        <v>7.12968059409978E-3</v>
      </c>
      <c r="W20">
        <v>7.6166476398409802E-2</v>
      </c>
      <c r="X20">
        <v>2.0881421113500099E-2</v>
      </c>
      <c r="Y20">
        <v>-9.9032196020076374E-2</v>
      </c>
    </row>
    <row r="21" spans="1:25" x14ac:dyDescent="0.25">
      <c r="A21" t="s">
        <v>7</v>
      </c>
      <c r="B21" t="s">
        <v>8</v>
      </c>
      <c r="C21" t="s">
        <v>9</v>
      </c>
      <c r="D21" t="s">
        <v>10</v>
      </c>
      <c r="E21">
        <v>5</v>
      </c>
      <c r="F21" s="1">
        <v>36799</v>
      </c>
      <c r="G21">
        <v>-3.5608930096813499E-2</v>
      </c>
      <c r="K21" s="4">
        <v>35033</v>
      </c>
      <c r="O21">
        <v>0.70449624428954905</v>
      </c>
      <c r="P21">
        <v>4.9512414831929304E-4</v>
      </c>
      <c r="Q21">
        <v>4.1245045972655801E-3</v>
      </c>
      <c r="R21">
        <v>7.9457841754928295E-3</v>
      </c>
      <c r="T21">
        <v>5.4934876687881502E-2</v>
      </c>
      <c r="V21">
        <v>4.6189628255051803E-2</v>
      </c>
      <c r="W21">
        <v>-1.2051098831625501E-2</v>
      </c>
      <c r="X21">
        <v>6.2378481253016503E-2</v>
      </c>
      <c r="Y21">
        <v>0.86851354457495111</v>
      </c>
    </row>
    <row r="22" spans="1:25" x14ac:dyDescent="0.25">
      <c r="A22" t="s">
        <v>7</v>
      </c>
      <c r="B22" t="s">
        <v>8</v>
      </c>
      <c r="C22" t="s">
        <v>9</v>
      </c>
      <c r="D22" t="s">
        <v>10</v>
      </c>
      <c r="E22">
        <v>5</v>
      </c>
      <c r="F22" s="1">
        <v>36830</v>
      </c>
      <c r="G22">
        <v>2.2864581292520399E-2</v>
      </c>
      <c r="K22" s="4">
        <v>35064</v>
      </c>
      <c r="O22">
        <v>-0.15461503619450701</v>
      </c>
      <c r="P22">
        <v>-5.76474858253002E-3</v>
      </c>
      <c r="Q22">
        <v>-5.9687877069752503E-2</v>
      </c>
      <c r="R22">
        <v>6.37307219854336E-2</v>
      </c>
      <c r="T22">
        <v>-5.2272919324052397E-2</v>
      </c>
      <c r="V22">
        <v>-6.8722777151412298E-2</v>
      </c>
      <c r="W22">
        <v>-6.4054037778943904E-2</v>
      </c>
      <c r="X22">
        <v>2.4223832462633599E-2</v>
      </c>
      <c r="Y22">
        <v>-0.31716284165313097</v>
      </c>
    </row>
    <row r="23" spans="1:25" x14ac:dyDescent="0.25">
      <c r="A23" t="s">
        <v>7</v>
      </c>
      <c r="B23" t="s">
        <v>8</v>
      </c>
      <c r="C23" t="s">
        <v>9</v>
      </c>
      <c r="D23" t="s">
        <v>10</v>
      </c>
      <c r="E23">
        <v>5</v>
      </c>
      <c r="F23" s="1">
        <v>36860</v>
      </c>
      <c r="G23">
        <v>-1.47102814481031E-2</v>
      </c>
      <c r="K23" s="4">
        <v>35095</v>
      </c>
      <c r="O23">
        <v>6.3752729597937194E-2</v>
      </c>
      <c r="Q23">
        <v>7.9635403801213506E-2</v>
      </c>
      <c r="R23">
        <v>-9.8635156105871896E-2</v>
      </c>
      <c r="T23">
        <v>9.4687020733979194E-2</v>
      </c>
      <c r="V23">
        <v>0.13451890503445299</v>
      </c>
      <c r="W23">
        <v>5.3753524976051702E-2</v>
      </c>
      <c r="X23">
        <v>6.6904637904818806E-2</v>
      </c>
      <c r="Y23">
        <v>0.3946170659425815</v>
      </c>
    </row>
    <row r="24" spans="1:25" x14ac:dyDescent="0.25">
      <c r="A24" t="s">
        <v>7</v>
      </c>
      <c r="B24" t="s">
        <v>8</v>
      </c>
      <c r="C24" t="s">
        <v>9</v>
      </c>
      <c r="D24" t="s">
        <v>10</v>
      </c>
      <c r="E24">
        <v>5</v>
      </c>
      <c r="F24" s="1">
        <v>36891</v>
      </c>
      <c r="G24">
        <v>3.7567491323113301E-2</v>
      </c>
      <c r="K24" s="4">
        <v>35124</v>
      </c>
      <c r="O24">
        <v>0.40196476431594202</v>
      </c>
      <c r="Q24">
        <v>2.5143110902878001E-2</v>
      </c>
      <c r="R24">
        <v>-1.9362813226120001E-2</v>
      </c>
      <c r="T24">
        <v>-1.2198394239841201E-3</v>
      </c>
      <c r="V24">
        <v>-3.87720603719841E-2</v>
      </c>
      <c r="W24">
        <v>7.8389549745866399E-2</v>
      </c>
      <c r="X24">
        <v>-1.58207415780506E-3</v>
      </c>
      <c r="Y24">
        <v>0.44456063778479321</v>
      </c>
    </row>
    <row r="25" spans="1:25" x14ac:dyDescent="0.25">
      <c r="A25" t="s">
        <v>7</v>
      </c>
      <c r="B25" t="s">
        <v>8</v>
      </c>
      <c r="C25" t="s">
        <v>9</v>
      </c>
      <c r="D25" t="s">
        <v>10</v>
      </c>
      <c r="E25">
        <v>5</v>
      </c>
      <c r="F25" s="1">
        <v>36922</v>
      </c>
      <c r="G25">
        <v>6.4850986179409098E-2</v>
      </c>
      <c r="K25" s="4">
        <v>35155</v>
      </c>
      <c r="O25">
        <v>-8.0779664020886502E-2</v>
      </c>
      <c r="P25">
        <v>5.0752696146169597E-2</v>
      </c>
      <c r="Q25">
        <v>-9.5335397212564007E-3</v>
      </c>
      <c r="R25">
        <v>0.115735685880325</v>
      </c>
      <c r="T25">
        <v>-1.5969767923667898E-2</v>
      </c>
      <c r="U25">
        <v>0.19911924858539801</v>
      </c>
      <c r="V25">
        <v>8.0729045401147198E-2</v>
      </c>
      <c r="W25">
        <v>-7.6369808358286106E-2</v>
      </c>
      <c r="X25">
        <v>-6.5126019028069096E-2</v>
      </c>
      <c r="Y25">
        <v>0.19855787696087385</v>
      </c>
    </row>
    <row r="26" spans="1:25" x14ac:dyDescent="0.25">
      <c r="A26" t="s">
        <v>7</v>
      </c>
      <c r="B26" t="s">
        <v>8</v>
      </c>
      <c r="C26" t="s">
        <v>9</v>
      </c>
      <c r="D26" t="s">
        <v>10</v>
      </c>
      <c r="E26">
        <v>5</v>
      </c>
      <c r="F26" s="1">
        <v>36950</v>
      </c>
      <c r="G26">
        <v>6.8774790982841602E-2</v>
      </c>
      <c r="K26" s="4">
        <v>35185</v>
      </c>
      <c r="O26">
        <v>1.2043078736889401E-2</v>
      </c>
      <c r="P26">
        <v>9.7958936512133804E-2</v>
      </c>
      <c r="Q26">
        <v>7.3170109712517098E-2</v>
      </c>
      <c r="R26">
        <v>-6.4944439801773196E-2</v>
      </c>
      <c r="T26">
        <v>6.9010851475688306E-2</v>
      </c>
      <c r="U26">
        <v>-7.3223431186932699E-3</v>
      </c>
      <c r="V26">
        <v>9.47908582795461E-2</v>
      </c>
      <c r="W26">
        <v>1.06455324359411E-2</v>
      </c>
      <c r="X26">
        <v>9.6122819749276008E-3</v>
      </c>
      <c r="Y26">
        <v>0.29496486620717688</v>
      </c>
    </row>
    <row r="27" spans="1:25" x14ac:dyDescent="0.25">
      <c r="A27" t="s">
        <v>7</v>
      </c>
      <c r="B27" t="s">
        <v>8</v>
      </c>
      <c r="C27" t="s">
        <v>9</v>
      </c>
      <c r="D27" t="s">
        <v>10</v>
      </c>
      <c r="E27">
        <v>5</v>
      </c>
      <c r="F27" s="1">
        <v>36981</v>
      </c>
      <c r="G27">
        <v>-6.7250555251312003E-2</v>
      </c>
      <c r="K27" s="4">
        <v>35216</v>
      </c>
      <c r="O27">
        <v>-0.104451499853655</v>
      </c>
      <c r="Q27">
        <v>1.3899618155034901E-2</v>
      </c>
      <c r="R27">
        <v>-1.1599594419435E-2</v>
      </c>
      <c r="T27">
        <v>2.2257705113337401E-2</v>
      </c>
      <c r="V27">
        <v>4.7409276154604003E-3</v>
      </c>
      <c r="W27">
        <v>8.6377880828631196E-2</v>
      </c>
      <c r="X27">
        <v>-4.98448252429518E-2</v>
      </c>
      <c r="Y27">
        <v>-3.8619787803577908E-2</v>
      </c>
    </row>
    <row r="28" spans="1:25" x14ac:dyDescent="0.25">
      <c r="A28" t="s">
        <v>7</v>
      </c>
      <c r="B28" t="s">
        <v>8</v>
      </c>
      <c r="C28" t="s">
        <v>9</v>
      </c>
      <c r="D28" t="s">
        <v>10</v>
      </c>
      <c r="E28">
        <v>5</v>
      </c>
      <c r="F28" s="1">
        <v>37011</v>
      </c>
      <c r="G28">
        <v>-1.55065340341772E-2</v>
      </c>
      <c r="K28" s="4">
        <v>35246</v>
      </c>
      <c r="O28">
        <v>-0.24091661946794299</v>
      </c>
      <c r="P28">
        <v>-4.7405592638380803E-2</v>
      </c>
      <c r="Q28">
        <v>0.17837117334246699</v>
      </c>
      <c r="R28">
        <v>0.15834713816460899</v>
      </c>
      <c r="T28">
        <v>0.26071014574884899</v>
      </c>
      <c r="V28">
        <v>6.0978008343044699E-4</v>
      </c>
      <c r="W28">
        <v>-1.7045530222936301E-2</v>
      </c>
      <c r="X28">
        <v>6.3956728724261294E-2</v>
      </c>
      <c r="Y28">
        <v>0.35662722373435657</v>
      </c>
    </row>
    <row r="29" spans="1:25" x14ac:dyDescent="0.25">
      <c r="A29" t="s">
        <v>7</v>
      </c>
      <c r="B29" t="s">
        <v>8</v>
      </c>
      <c r="C29" t="s">
        <v>9</v>
      </c>
      <c r="D29" t="s">
        <v>10</v>
      </c>
      <c r="E29">
        <v>5</v>
      </c>
      <c r="F29" s="1">
        <v>37042</v>
      </c>
      <c r="G29">
        <v>-3.6234250006686899E-3</v>
      </c>
      <c r="K29" s="4">
        <v>35277</v>
      </c>
      <c r="O29">
        <v>-0.14026359793531201</v>
      </c>
      <c r="P29">
        <v>-1.37601441825274E-2</v>
      </c>
      <c r="Q29">
        <v>-2.3581917727839002E-2</v>
      </c>
      <c r="R29">
        <v>1.1333416236355E-2</v>
      </c>
      <c r="S29">
        <v>-9.1733293976244898E-2</v>
      </c>
      <c r="T29">
        <v>-1.67852768231418E-2</v>
      </c>
      <c r="U29">
        <v>7.2686145258418502E-2</v>
      </c>
      <c r="V29">
        <v>2.9173226441957498E-2</v>
      </c>
      <c r="W29">
        <v>2.42058965288088E-2</v>
      </c>
      <c r="X29">
        <v>4.5378518396533098E-2</v>
      </c>
      <c r="Y29">
        <v>-0.10334702778299223</v>
      </c>
    </row>
    <row r="30" spans="1:25" x14ac:dyDescent="0.25">
      <c r="A30" t="s">
        <v>7</v>
      </c>
      <c r="B30" t="s">
        <v>8</v>
      </c>
      <c r="C30" t="s">
        <v>9</v>
      </c>
      <c r="D30" t="s">
        <v>10</v>
      </c>
      <c r="E30">
        <v>5</v>
      </c>
      <c r="F30" s="1">
        <v>37986</v>
      </c>
      <c r="G30">
        <v>6.5204857573599395E-2</v>
      </c>
      <c r="K30" s="4">
        <v>35308</v>
      </c>
      <c r="O30">
        <v>-0.105171651255697</v>
      </c>
      <c r="P30">
        <v>2.3962401037058399E-2</v>
      </c>
      <c r="Q30">
        <v>-7.6911941047952098E-2</v>
      </c>
      <c r="R30">
        <v>-1.09439902596567E-2</v>
      </c>
      <c r="S30">
        <v>8.8525652105658298E-2</v>
      </c>
      <c r="T30">
        <v>-2.4623122587345801E-2</v>
      </c>
      <c r="U30">
        <v>-9.6228697589219297E-3</v>
      </c>
      <c r="V30">
        <v>6.9237578701727101E-2</v>
      </c>
      <c r="W30">
        <v>-2.79896874141943E-2</v>
      </c>
      <c r="X30">
        <v>-7.8522123028664195E-2</v>
      </c>
      <c r="Y30">
        <v>-0.15205975350798823</v>
      </c>
    </row>
    <row r="31" spans="1:25" x14ac:dyDescent="0.25">
      <c r="A31" t="s">
        <v>7</v>
      </c>
      <c r="B31" t="s">
        <v>8</v>
      </c>
      <c r="C31" t="s">
        <v>9</v>
      </c>
      <c r="D31" t="s">
        <v>10</v>
      </c>
      <c r="E31">
        <v>5</v>
      </c>
      <c r="F31" s="1">
        <v>38138</v>
      </c>
      <c r="G31">
        <v>-3.7196045819566197E-2</v>
      </c>
      <c r="K31" s="4">
        <v>35338</v>
      </c>
      <c r="O31">
        <v>2.30962830187698E-2</v>
      </c>
      <c r="P31">
        <v>8.6610155562406796E-3</v>
      </c>
      <c r="Q31">
        <v>-4.7393531329724403E-2</v>
      </c>
      <c r="R31">
        <v>4.9788032969934101E-2</v>
      </c>
      <c r="S31">
        <v>5.6065317671583702E-2</v>
      </c>
      <c r="T31">
        <v>-8.0110396110787394E-2</v>
      </c>
      <c r="V31">
        <v>-7.3227084482566304E-2</v>
      </c>
      <c r="W31">
        <v>-1.46655791626303E-2</v>
      </c>
      <c r="X31">
        <v>-7.8460027941670493E-2</v>
      </c>
      <c r="Y31">
        <v>-0.15624596981085059</v>
      </c>
    </row>
    <row r="32" spans="1:25" x14ac:dyDescent="0.25">
      <c r="A32" t="s">
        <v>7</v>
      </c>
      <c r="B32" t="s">
        <v>8</v>
      </c>
      <c r="C32" t="s">
        <v>9</v>
      </c>
      <c r="D32" t="s">
        <v>10</v>
      </c>
      <c r="E32">
        <v>5</v>
      </c>
      <c r="F32" s="1">
        <v>38168</v>
      </c>
      <c r="G32">
        <v>5.8615945870665702E-2</v>
      </c>
      <c r="K32" s="4">
        <v>35369</v>
      </c>
      <c r="O32">
        <v>-0.21037044004541799</v>
      </c>
      <c r="P32">
        <v>-8.4009071482303004E-3</v>
      </c>
      <c r="Q32">
        <v>-6.2735035668568199E-3</v>
      </c>
      <c r="R32">
        <v>-5.17857223785382E-2</v>
      </c>
      <c r="S32">
        <v>1.7645713088533001E-2</v>
      </c>
      <c r="T32">
        <v>8.9237347768235005E-3</v>
      </c>
      <c r="U32">
        <v>7.4988022591425896E-2</v>
      </c>
      <c r="V32">
        <v>7.0523647166851403E-3</v>
      </c>
      <c r="W32">
        <v>-3.8230318183631498E-2</v>
      </c>
      <c r="X32">
        <v>4.3414532349998003E-3</v>
      </c>
      <c r="Y32">
        <v>-0.20210960291420743</v>
      </c>
    </row>
    <row r="33" spans="1:25" x14ac:dyDescent="0.25">
      <c r="A33" t="s">
        <v>7</v>
      </c>
      <c r="B33" t="s">
        <v>8</v>
      </c>
      <c r="C33" t="s">
        <v>9</v>
      </c>
      <c r="D33" t="s">
        <v>10</v>
      </c>
      <c r="E33">
        <v>5</v>
      </c>
      <c r="F33" s="1">
        <v>38199</v>
      </c>
      <c r="G33">
        <v>-2.4282797487882101E-2</v>
      </c>
      <c r="K33" s="4">
        <v>35399</v>
      </c>
      <c r="O33">
        <v>0.25318209873408798</v>
      </c>
      <c r="P33">
        <v>-9.6047917395337606E-2</v>
      </c>
      <c r="Q33">
        <v>-9.3464246562700096E-3</v>
      </c>
      <c r="R33">
        <v>4.3362007063191599E-2</v>
      </c>
      <c r="S33">
        <v>2.3533425985735799E-2</v>
      </c>
      <c r="T33">
        <v>-8.54140914327799E-3</v>
      </c>
      <c r="V33">
        <v>-3.4291610864727803E-2</v>
      </c>
      <c r="W33">
        <v>-1.9428694136008302E-2</v>
      </c>
      <c r="X33">
        <v>8.9502616440420096E-2</v>
      </c>
      <c r="Y33">
        <v>0.24192409202781373</v>
      </c>
    </row>
    <row r="34" spans="1:25" x14ac:dyDescent="0.25">
      <c r="A34" t="s">
        <v>7</v>
      </c>
      <c r="B34" t="s">
        <v>8</v>
      </c>
      <c r="C34" t="s">
        <v>9</v>
      </c>
      <c r="D34" t="s">
        <v>10</v>
      </c>
      <c r="E34">
        <v>5</v>
      </c>
      <c r="F34" s="1">
        <v>38230</v>
      </c>
      <c r="G34">
        <v>2.9907534298486602E-3</v>
      </c>
      <c r="K34" s="4">
        <v>35430</v>
      </c>
      <c r="O34">
        <v>4.0334368412650798E-2</v>
      </c>
      <c r="P34">
        <v>-8.2897046733125507E-2</v>
      </c>
      <c r="Q34">
        <v>3.2304562437410101E-3</v>
      </c>
      <c r="R34">
        <v>4.9794785559041203E-3</v>
      </c>
      <c r="S34">
        <v>-5.62777405162748E-2</v>
      </c>
      <c r="T34">
        <v>7.4272976130477605E-2</v>
      </c>
      <c r="U34">
        <v>1.2690218549047399E-2</v>
      </c>
      <c r="V34">
        <v>-3.2150994256971502E-2</v>
      </c>
      <c r="W34">
        <v>-5.26242708453728E-2</v>
      </c>
      <c r="X34">
        <v>2.2068483961555498E-2</v>
      </c>
      <c r="Y34">
        <v>-6.6374070498368187E-2</v>
      </c>
    </row>
    <row r="35" spans="1:25" x14ac:dyDescent="0.25">
      <c r="A35" t="s">
        <v>7</v>
      </c>
      <c r="B35" t="s">
        <v>8</v>
      </c>
      <c r="C35" t="s">
        <v>9</v>
      </c>
      <c r="D35" t="s">
        <v>10</v>
      </c>
      <c r="E35">
        <v>5</v>
      </c>
      <c r="F35" s="1">
        <v>38260</v>
      </c>
      <c r="G35">
        <v>1.43916086731444E-2</v>
      </c>
      <c r="K35" s="4">
        <v>35461</v>
      </c>
      <c r="O35">
        <v>-2.5930112719941799E-2</v>
      </c>
      <c r="P35">
        <v>-6.9684026223239506E-2</v>
      </c>
      <c r="Q35">
        <v>2.54763110898709E-2</v>
      </c>
      <c r="R35">
        <v>1.16581136355897E-2</v>
      </c>
      <c r="S35">
        <v>4.1592756014129803E-2</v>
      </c>
      <c r="T35">
        <v>1.11389042982868E-2</v>
      </c>
      <c r="V35">
        <v>-4.1030778800731998E-2</v>
      </c>
      <c r="W35">
        <v>-4.9419465331565E-2</v>
      </c>
      <c r="X35">
        <v>5.2484075171400899E-2</v>
      </c>
      <c r="Y35">
        <v>-4.3714222866200178E-2</v>
      </c>
    </row>
    <row r="36" spans="1:25" x14ac:dyDescent="0.25">
      <c r="A36" t="s">
        <v>7</v>
      </c>
      <c r="B36" t="s">
        <v>8</v>
      </c>
      <c r="C36" t="s">
        <v>9</v>
      </c>
      <c r="D36" t="s">
        <v>10</v>
      </c>
      <c r="E36">
        <v>5</v>
      </c>
      <c r="F36" s="1">
        <v>38291</v>
      </c>
      <c r="G36">
        <v>-6.4105218956606605E-2</v>
      </c>
      <c r="K36" s="4">
        <v>35489</v>
      </c>
      <c r="O36">
        <v>-0.22524759776657799</v>
      </c>
      <c r="P36">
        <v>3.7026866356381298E-2</v>
      </c>
      <c r="Q36">
        <v>8.6172404032334199E-2</v>
      </c>
      <c r="R36">
        <v>-5.8056202081627498E-2</v>
      </c>
      <c r="S36">
        <v>0.11600542818551</v>
      </c>
      <c r="T36">
        <v>0.13565187895272901</v>
      </c>
      <c r="U36">
        <v>-5.1767921632132299E-2</v>
      </c>
      <c r="V36">
        <v>-3.76093287472066E-2</v>
      </c>
      <c r="W36">
        <v>-0.127287181406877</v>
      </c>
      <c r="X36">
        <v>1.2312227096197099E-2</v>
      </c>
      <c r="Y36">
        <v>-0.11279942701126978</v>
      </c>
    </row>
    <row r="37" spans="1:25" x14ac:dyDescent="0.25">
      <c r="A37" t="s">
        <v>7</v>
      </c>
      <c r="B37" t="s">
        <v>8</v>
      </c>
      <c r="C37" t="s">
        <v>9</v>
      </c>
      <c r="D37" t="s">
        <v>10</v>
      </c>
      <c r="E37">
        <v>5</v>
      </c>
      <c r="F37" s="1">
        <v>38321</v>
      </c>
      <c r="G37">
        <v>4.7259551369621303E-2</v>
      </c>
      <c r="K37" s="4">
        <v>35520</v>
      </c>
      <c r="O37">
        <v>-2.2072595108937401E-2</v>
      </c>
      <c r="P37">
        <v>-4.2097200006227298E-2</v>
      </c>
      <c r="Q37">
        <v>2.50464697460226E-2</v>
      </c>
      <c r="R37">
        <v>1.0996982004175501E-2</v>
      </c>
      <c r="S37">
        <v>-1.0107646754453901E-3</v>
      </c>
      <c r="T37">
        <v>1.43509255441317E-2</v>
      </c>
      <c r="U37">
        <v>2.53463293318874E-2</v>
      </c>
      <c r="V37">
        <v>-3.38654887141253E-2</v>
      </c>
      <c r="W37">
        <v>-3.0277929863946101E-2</v>
      </c>
      <c r="X37">
        <v>4.9704566949342497E-3</v>
      </c>
      <c r="Y37">
        <v>-4.8612815047530039E-2</v>
      </c>
    </row>
    <row r="38" spans="1:25" x14ac:dyDescent="0.25">
      <c r="A38" t="s">
        <v>7</v>
      </c>
      <c r="B38" t="s">
        <v>8</v>
      </c>
      <c r="C38" t="s">
        <v>9</v>
      </c>
      <c r="D38" t="s">
        <v>10</v>
      </c>
      <c r="E38">
        <v>5</v>
      </c>
      <c r="F38" s="1">
        <v>38352</v>
      </c>
      <c r="G38">
        <v>-1.01915082142548E-2</v>
      </c>
      <c r="K38" s="4">
        <v>35550</v>
      </c>
      <c r="O38">
        <v>-1.9824186078979698E-2</v>
      </c>
      <c r="P38">
        <v>1.8288399515587401E-3</v>
      </c>
      <c r="Q38">
        <v>0.124740843395441</v>
      </c>
      <c r="R38">
        <v>0.106266568471989</v>
      </c>
      <c r="S38">
        <v>9.3508666021418593E-2</v>
      </c>
      <c r="T38">
        <v>0.18252410687767001</v>
      </c>
      <c r="U38">
        <v>5.9149197568497E-2</v>
      </c>
      <c r="V38">
        <v>2.4028137000010202E-2</v>
      </c>
      <c r="W38">
        <v>-4.9145206087943198E-2</v>
      </c>
      <c r="X38">
        <v>3.6858157115719797E-2</v>
      </c>
      <c r="Y38">
        <v>0.5599351242353815</v>
      </c>
    </row>
    <row r="39" spans="1:25" x14ac:dyDescent="0.25">
      <c r="A39" t="s">
        <v>7</v>
      </c>
      <c r="B39" t="s">
        <v>8</v>
      </c>
      <c r="C39" t="s">
        <v>9</v>
      </c>
      <c r="D39" t="s">
        <v>10</v>
      </c>
      <c r="E39">
        <v>5</v>
      </c>
      <c r="F39" s="1">
        <v>38383</v>
      </c>
      <c r="G39">
        <v>1.50909719002103E-2</v>
      </c>
      <c r="K39" s="4">
        <v>35581</v>
      </c>
      <c r="O39">
        <v>1.3823416138073899E-2</v>
      </c>
      <c r="P39">
        <v>1.47959124300776E-2</v>
      </c>
      <c r="Q39">
        <v>-1.8272862008821601E-2</v>
      </c>
      <c r="R39">
        <v>-3.8001020511157002E-2</v>
      </c>
      <c r="S39">
        <v>3.8863812269759303E-2</v>
      </c>
      <c r="T39">
        <v>1.52592061483752E-2</v>
      </c>
      <c r="U39">
        <v>-0.12470225009316301</v>
      </c>
      <c r="V39">
        <v>3.7403769272646499E-2</v>
      </c>
      <c r="W39">
        <v>-1.1578560344335E-3</v>
      </c>
      <c r="X39">
        <v>-5.3790851850605399E-2</v>
      </c>
      <c r="Y39">
        <v>-0.11577872423924801</v>
      </c>
    </row>
    <row r="40" spans="1:25" x14ac:dyDescent="0.25">
      <c r="A40" t="s">
        <v>7</v>
      </c>
      <c r="B40" t="s">
        <v>8</v>
      </c>
      <c r="C40" t="s">
        <v>9</v>
      </c>
      <c r="D40" t="s">
        <v>10</v>
      </c>
      <c r="E40">
        <v>5</v>
      </c>
      <c r="F40" s="1">
        <v>38411</v>
      </c>
      <c r="G40">
        <v>3.7053452458574103E-2</v>
      </c>
      <c r="K40" s="4">
        <v>35611</v>
      </c>
      <c r="O40">
        <v>-3.71895612005817E-2</v>
      </c>
      <c r="P40">
        <v>-3.9057163406282201E-2</v>
      </c>
      <c r="Q40">
        <v>-8.2586740971654804E-2</v>
      </c>
      <c r="R40">
        <v>-9.2649215815562794E-3</v>
      </c>
      <c r="S40">
        <v>2.76540352999335E-3</v>
      </c>
      <c r="T40">
        <v>-3.5368360220598603E-2</v>
      </c>
      <c r="U40">
        <v>3.31960478838524E-2</v>
      </c>
      <c r="V40">
        <v>-0.146751174018489</v>
      </c>
      <c r="W40">
        <v>7.5411251344028901E-2</v>
      </c>
      <c r="X40">
        <v>1.70912125648994E-2</v>
      </c>
      <c r="Y40">
        <v>-0.22175400607638857</v>
      </c>
    </row>
    <row r="41" spans="1:25" x14ac:dyDescent="0.25">
      <c r="A41" t="s">
        <v>7</v>
      </c>
      <c r="B41" t="s">
        <v>8</v>
      </c>
      <c r="C41" t="s">
        <v>9</v>
      </c>
      <c r="D41" t="s">
        <v>10</v>
      </c>
      <c r="E41">
        <v>5</v>
      </c>
      <c r="F41" s="1">
        <v>38442</v>
      </c>
      <c r="G41">
        <v>-2.5024915382908301E-2</v>
      </c>
      <c r="K41" s="4">
        <v>35642</v>
      </c>
      <c r="O41">
        <v>-2.4597641090607299E-2</v>
      </c>
      <c r="P41">
        <v>-4.57609683002453E-2</v>
      </c>
      <c r="Q41">
        <v>2.1655992315955902E-3</v>
      </c>
      <c r="R41">
        <v>4.1412729122643398E-2</v>
      </c>
      <c r="S41">
        <v>-8.6216723756257999E-3</v>
      </c>
      <c r="T41">
        <v>-1.0579070427704999E-2</v>
      </c>
      <c r="U41">
        <v>-5.0853581975606098E-2</v>
      </c>
      <c r="V41">
        <v>9.1099854373331898E-3</v>
      </c>
      <c r="W41">
        <v>-2.8552116629222499E-2</v>
      </c>
      <c r="X41">
        <v>1.02687945472848E-2</v>
      </c>
      <c r="Y41">
        <v>-0.10600794246015502</v>
      </c>
    </row>
    <row r="42" spans="1:25" x14ac:dyDescent="0.25">
      <c r="A42" t="s">
        <v>7</v>
      </c>
      <c r="B42" t="s">
        <v>8</v>
      </c>
      <c r="C42" t="s">
        <v>9</v>
      </c>
      <c r="D42" t="s">
        <v>10</v>
      </c>
      <c r="E42">
        <v>5</v>
      </c>
      <c r="F42" s="1">
        <v>38472</v>
      </c>
      <c r="G42">
        <v>2.1971940710458202E-2</v>
      </c>
      <c r="K42" s="4">
        <v>35673</v>
      </c>
      <c r="O42">
        <v>-2.97062590631175E-2</v>
      </c>
      <c r="P42">
        <v>2.3228764957554601E-2</v>
      </c>
      <c r="Q42">
        <v>-8.6171350571380007E-2</v>
      </c>
      <c r="R42">
        <v>-0.13820375946852001</v>
      </c>
      <c r="S42">
        <v>-1.6389774210665699E-2</v>
      </c>
      <c r="T42">
        <v>-4.4453869678948901E-3</v>
      </c>
      <c r="U42">
        <v>0.186853249796889</v>
      </c>
      <c r="V42">
        <v>-1.6261316164374599E-2</v>
      </c>
      <c r="W42">
        <v>4.9518655823088002E-2</v>
      </c>
      <c r="X42">
        <v>0.122706411989978</v>
      </c>
      <c r="Y42">
        <v>9.1129236121556934E-2</v>
      </c>
    </row>
    <row r="43" spans="1:25" x14ac:dyDescent="0.25">
      <c r="A43" t="s">
        <v>7</v>
      </c>
      <c r="B43" t="s">
        <v>8</v>
      </c>
      <c r="C43" t="s">
        <v>9</v>
      </c>
      <c r="D43" t="s">
        <v>10</v>
      </c>
      <c r="E43">
        <v>5</v>
      </c>
      <c r="F43" s="1">
        <v>38503</v>
      </c>
      <c r="G43">
        <v>1.5708777589258999E-2</v>
      </c>
      <c r="K43" s="4">
        <v>35703</v>
      </c>
      <c r="O43">
        <v>2.6061992723962601E-2</v>
      </c>
      <c r="P43">
        <v>-2.5724382132671498E-3</v>
      </c>
      <c r="Q43">
        <v>3.3173597287668999E-2</v>
      </c>
      <c r="R43">
        <v>4.1584464493474499E-2</v>
      </c>
      <c r="S43">
        <v>3.5016052749196002E-3</v>
      </c>
      <c r="T43">
        <v>1.6958352592037301E-2</v>
      </c>
      <c r="U43">
        <v>-9.5319236353896594E-2</v>
      </c>
      <c r="V43">
        <v>7.8470174076135504E-2</v>
      </c>
      <c r="W43">
        <v>-9.8410232552396601E-3</v>
      </c>
      <c r="X43">
        <v>2.8020255791062501E-2</v>
      </c>
      <c r="Y43">
        <v>0.12003774441685762</v>
      </c>
    </row>
    <row r="44" spans="1:25" x14ac:dyDescent="0.25">
      <c r="A44" t="s">
        <v>7</v>
      </c>
      <c r="B44" t="s">
        <v>8</v>
      </c>
      <c r="C44" t="s">
        <v>9</v>
      </c>
      <c r="D44" t="s">
        <v>10</v>
      </c>
      <c r="E44">
        <v>5</v>
      </c>
      <c r="F44" s="1">
        <v>38533</v>
      </c>
      <c r="G44">
        <v>2.16821897092765E-2</v>
      </c>
      <c r="K44" s="4">
        <v>35734</v>
      </c>
      <c r="O44">
        <v>1.9234961438399499E-2</v>
      </c>
      <c r="P44">
        <v>2.7473543334245201E-2</v>
      </c>
      <c r="Q44">
        <v>9.2348227162043398E-2</v>
      </c>
      <c r="R44">
        <v>4.6547528919181902E-2</v>
      </c>
      <c r="S44">
        <v>1.3284780040595801E-2</v>
      </c>
      <c r="T44">
        <v>5.8598798300192503E-2</v>
      </c>
      <c r="U44">
        <v>-7.5585745622605394E-2</v>
      </c>
      <c r="V44">
        <v>5.1047529692579202E-3</v>
      </c>
      <c r="W44">
        <v>7.7592381641734307E-2</v>
      </c>
      <c r="X44">
        <v>7.7549850293511205E-2</v>
      </c>
      <c r="Y44">
        <v>0.34214907847655629</v>
      </c>
    </row>
    <row r="45" spans="1:25" x14ac:dyDescent="0.25">
      <c r="A45" t="s">
        <v>7</v>
      </c>
      <c r="B45" t="s">
        <v>8</v>
      </c>
      <c r="C45" t="s">
        <v>9</v>
      </c>
      <c r="D45" t="s">
        <v>10</v>
      </c>
      <c r="E45">
        <v>5</v>
      </c>
      <c r="F45" s="1">
        <v>38564</v>
      </c>
      <c r="G45">
        <v>-1.10667840395659E-3</v>
      </c>
      <c r="K45" s="4">
        <v>35764</v>
      </c>
      <c r="O45">
        <v>-8.4617307395309302E-2</v>
      </c>
      <c r="P45">
        <v>-5.28281885835113E-2</v>
      </c>
      <c r="Q45">
        <v>2.4441563592054998E-3</v>
      </c>
      <c r="R45">
        <v>4.6863829548777298E-4</v>
      </c>
      <c r="S45">
        <v>1.3178203180613199E-2</v>
      </c>
      <c r="T45">
        <v>-0.120876300774181</v>
      </c>
      <c r="U45">
        <v>-9.8172561148798507E-2</v>
      </c>
      <c r="V45">
        <v>0.12981450811600501</v>
      </c>
      <c r="W45">
        <v>-0.12793738795656701</v>
      </c>
      <c r="X45">
        <v>-0.129127649609866</v>
      </c>
      <c r="Y45">
        <v>-0.46765388951692166</v>
      </c>
    </row>
    <row r="46" spans="1:25" x14ac:dyDescent="0.25">
      <c r="A46" t="s">
        <v>7</v>
      </c>
      <c r="B46" t="s">
        <v>8</v>
      </c>
      <c r="C46" t="s">
        <v>9</v>
      </c>
      <c r="D46" t="s">
        <v>10</v>
      </c>
      <c r="E46">
        <v>5</v>
      </c>
      <c r="F46" s="1">
        <v>38595</v>
      </c>
      <c r="G46">
        <v>5.3060389209491403E-2</v>
      </c>
      <c r="K46" s="4">
        <v>35795</v>
      </c>
      <c r="O46">
        <v>-4.5991391775876099E-2</v>
      </c>
      <c r="P46">
        <v>1.7896161415583998E-2</v>
      </c>
      <c r="Q46">
        <v>9.6243045954432296E-3</v>
      </c>
      <c r="R46">
        <v>2.91065851387226E-2</v>
      </c>
      <c r="S46">
        <v>3.01906586017854E-3</v>
      </c>
      <c r="T46">
        <v>2.7281139298800101E-3</v>
      </c>
      <c r="U46">
        <v>2.09487030733406E-2</v>
      </c>
      <c r="V46">
        <v>1.68525497581581E-2</v>
      </c>
      <c r="W46">
        <v>-3.54525370355269E-2</v>
      </c>
      <c r="X46">
        <v>-1.4083728688228001E-2</v>
      </c>
      <c r="Y46">
        <v>4.6478262716760765E-3</v>
      </c>
    </row>
    <row r="47" spans="1:25" x14ac:dyDescent="0.25">
      <c r="A47" t="s">
        <v>7</v>
      </c>
      <c r="B47" t="s">
        <v>8</v>
      </c>
      <c r="C47" t="s">
        <v>9</v>
      </c>
      <c r="D47" t="s">
        <v>10</v>
      </c>
      <c r="E47">
        <v>5</v>
      </c>
      <c r="F47" s="1">
        <v>38625</v>
      </c>
      <c r="G47">
        <v>-1.12113492278334E-2</v>
      </c>
      <c r="K47" s="4">
        <v>35826</v>
      </c>
      <c r="O47">
        <v>-3.3976421802427198E-3</v>
      </c>
      <c r="P47">
        <v>0.107610641971953</v>
      </c>
      <c r="Q47">
        <v>-0.13793352679644699</v>
      </c>
      <c r="R47">
        <v>-0.13359924592130001</v>
      </c>
      <c r="S47">
        <v>2.4619831563290701E-2</v>
      </c>
      <c r="T47">
        <v>5.7524111559738501E-2</v>
      </c>
      <c r="U47">
        <v>2.3769877734708001E-2</v>
      </c>
      <c r="V47">
        <v>0.13359902931602299</v>
      </c>
      <c r="W47">
        <v>0.108971710917415</v>
      </c>
      <c r="X47">
        <v>0.19378324169057301</v>
      </c>
      <c r="Y47">
        <v>0.37494802985571152</v>
      </c>
    </row>
    <row r="48" spans="1:25" x14ac:dyDescent="0.25">
      <c r="A48" t="s">
        <v>7</v>
      </c>
      <c r="B48" t="s">
        <v>8</v>
      </c>
      <c r="C48" t="s">
        <v>9</v>
      </c>
      <c r="D48" t="s">
        <v>10</v>
      </c>
      <c r="E48">
        <v>5</v>
      </c>
      <c r="F48" s="1">
        <v>38656</v>
      </c>
      <c r="G48">
        <v>-1.29133030575121E-2</v>
      </c>
      <c r="K48" s="4">
        <v>35854</v>
      </c>
      <c r="O48">
        <v>2.1532395708296299E-2</v>
      </c>
      <c r="P48">
        <v>-9.0394393665790204E-3</v>
      </c>
      <c r="Q48">
        <v>3.5652992796898798E-2</v>
      </c>
      <c r="R48">
        <v>0.14215368079820601</v>
      </c>
      <c r="S48">
        <v>2.29777517176998E-4</v>
      </c>
      <c r="T48">
        <v>-3.7449298400989699E-2</v>
      </c>
      <c r="U48">
        <v>3.0616149728853601E-2</v>
      </c>
      <c r="V48">
        <v>8.2172869314642003E-2</v>
      </c>
      <c r="W48">
        <v>-1.46072887345785E-2</v>
      </c>
      <c r="X48">
        <v>-7.38498069682096E-2</v>
      </c>
      <c r="Y48">
        <v>0.17741203239371689</v>
      </c>
    </row>
    <row r="49" spans="1:25" x14ac:dyDescent="0.25">
      <c r="A49" t="s">
        <v>7</v>
      </c>
      <c r="B49" t="s">
        <v>8</v>
      </c>
      <c r="C49" t="s">
        <v>9</v>
      </c>
      <c r="D49" t="s">
        <v>10</v>
      </c>
      <c r="E49">
        <v>5</v>
      </c>
      <c r="F49" s="1">
        <v>38686</v>
      </c>
      <c r="G49">
        <v>7.27162034098284E-2</v>
      </c>
      <c r="K49" s="4">
        <v>35885</v>
      </c>
      <c r="O49">
        <v>5.8533454332795699E-2</v>
      </c>
      <c r="P49">
        <v>-3.1073789324783701E-2</v>
      </c>
      <c r="Q49">
        <v>-6.2786608660989299E-2</v>
      </c>
      <c r="R49">
        <v>-0.11553796858357999</v>
      </c>
      <c r="S49">
        <v>-3.11001540516119E-2</v>
      </c>
      <c r="T49">
        <v>-5.3047238472256598E-2</v>
      </c>
      <c r="U49">
        <v>5.4239093761806099E-2</v>
      </c>
      <c r="V49">
        <v>4.5845522688000503E-2</v>
      </c>
      <c r="W49">
        <v>0.10587494811227199</v>
      </c>
      <c r="X49">
        <v>3.6078841944507799E-2</v>
      </c>
      <c r="Y49">
        <v>7.0261017461606054E-3</v>
      </c>
    </row>
    <row r="50" spans="1:25" x14ac:dyDescent="0.25">
      <c r="A50" t="s">
        <v>7</v>
      </c>
      <c r="B50" t="s">
        <v>8</v>
      </c>
      <c r="C50" t="s">
        <v>9</v>
      </c>
      <c r="D50" t="s">
        <v>10</v>
      </c>
      <c r="E50">
        <v>5</v>
      </c>
      <c r="F50" s="1">
        <v>38717</v>
      </c>
      <c r="G50">
        <v>-0.15475009318899299</v>
      </c>
      <c r="K50" s="4">
        <v>35915</v>
      </c>
      <c r="O50">
        <v>-3.7487453237522499E-2</v>
      </c>
      <c r="P50">
        <v>4.5555303494435498E-2</v>
      </c>
      <c r="Q50">
        <v>8.4186230390378203E-2</v>
      </c>
      <c r="R50">
        <v>-0.11453879943492901</v>
      </c>
      <c r="S50">
        <v>-4.1948606913133499E-2</v>
      </c>
      <c r="T50">
        <v>-2.61292474891647E-2</v>
      </c>
      <c r="U50">
        <v>4.3752495906446698E-2</v>
      </c>
      <c r="V50">
        <v>-5.5623319152261499E-2</v>
      </c>
      <c r="W50">
        <v>0.109701896574953</v>
      </c>
      <c r="X50">
        <v>5.2587881065148501E-2</v>
      </c>
      <c r="Y50">
        <v>6.0056381204350695E-2</v>
      </c>
    </row>
    <row r="51" spans="1:25" x14ac:dyDescent="0.25">
      <c r="A51" t="s">
        <v>7</v>
      </c>
      <c r="B51" t="s">
        <v>8</v>
      </c>
      <c r="C51" t="s">
        <v>9</v>
      </c>
      <c r="D51" t="s">
        <v>10</v>
      </c>
      <c r="E51">
        <v>5</v>
      </c>
      <c r="F51" s="1">
        <v>38748</v>
      </c>
      <c r="G51">
        <v>-3.5323462847573699E-2</v>
      </c>
      <c r="K51" s="4">
        <v>35946</v>
      </c>
      <c r="L51">
        <v>-3.18956827125845E-2</v>
      </c>
      <c r="M51">
        <v>2.8390387454216098E-2</v>
      </c>
      <c r="N51">
        <v>1.16205066536139E-2</v>
      </c>
      <c r="O51">
        <v>4.0094952115533097E-3</v>
      </c>
      <c r="P51">
        <v>8.2515309810487995E-3</v>
      </c>
      <c r="Q51">
        <v>4.4638035680462401E-2</v>
      </c>
      <c r="R51">
        <v>1.09891448532495E-2</v>
      </c>
      <c r="S51">
        <v>-5.41846363054054E-3</v>
      </c>
      <c r="T51">
        <v>6.1338045943603099E-2</v>
      </c>
      <c r="U51">
        <v>-2.2579646447644E-2</v>
      </c>
      <c r="V51">
        <v>-6.8724369245702396E-2</v>
      </c>
      <c r="W51">
        <v>6.05019776733218E-2</v>
      </c>
      <c r="X51">
        <v>4.87649679518029E-2</v>
      </c>
      <c r="Y51">
        <v>0.14988593036640038</v>
      </c>
    </row>
    <row r="52" spans="1:25" x14ac:dyDescent="0.25">
      <c r="A52" t="s">
        <v>7</v>
      </c>
      <c r="B52" t="s">
        <v>8</v>
      </c>
      <c r="C52" t="s">
        <v>9</v>
      </c>
      <c r="D52" t="s">
        <v>10</v>
      </c>
      <c r="E52">
        <v>5</v>
      </c>
      <c r="F52" s="1">
        <v>38776</v>
      </c>
      <c r="G52">
        <v>-7.0124639123437901E-2</v>
      </c>
      <c r="K52" s="4">
        <v>35976</v>
      </c>
      <c r="L52">
        <v>1.7790563686087502E-2</v>
      </c>
      <c r="M52">
        <v>-4.0877465332792198E-2</v>
      </c>
      <c r="N52">
        <v>2.0026753943103201E-2</v>
      </c>
      <c r="O52">
        <v>7.7865106501298298E-2</v>
      </c>
      <c r="P52">
        <v>6.5126195296924705E-2</v>
      </c>
      <c r="Q52">
        <v>0.185700033018496</v>
      </c>
      <c r="R52">
        <v>-1.27902793922142E-4</v>
      </c>
      <c r="S52">
        <v>-3.6828903711927603E-2</v>
      </c>
      <c r="T52">
        <v>0.27716459651520098</v>
      </c>
      <c r="U52">
        <v>-0.157215691594672</v>
      </c>
      <c r="V52">
        <v>-0.21126855979174999</v>
      </c>
      <c r="W52">
        <v>5.3645428719294702E-2</v>
      </c>
      <c r="X52">
        <v>0.114993083039794</v>
      </c>
      <c r="Y52">
        <v>0.36599323749513551</v>
      </c>
    </row>
    <row r="53" spans="1:25" x14ac:dyDescent="0.25">
      <c r="A53" t="s">
        <v>7</v>
      </c>
      <c r="B53" t="s">
        <v>8</v>
      </c>
      <c r="C53" t="s">
        <v>9</v>
      </c>
      <c r="D53" t="s">
        <v>10</v>
      </c>
      <c r="E53">
        <v>5</v>
      </c>
      <c r="F53" s="1">
        <v>38807</v>
      </c>
      <c r="G53">
        <v>-3.9384336909033799E-2</v>
      </c>
      <c r="K53" s="4">
        <v>36007</v>
      </c>
      <c r="M53">
        <v>1.7335302175848E-2</v>
      </c>
      <c r="N53">
        <v>6.7332758260613607E-2</v>
      </c>
      <c r="O53">
        <v>-5.1137177067767201E-2</v>
      </c>
      <c r="P53">
        <v>-4.4600555208003302E-2</v>
      </c>
      <c r="Q53">
        <v>-9.2594859528172604E-2</v>
      </c>
      <c r="R53">
        <v>7.4495184924199404E-2</v>
      </c>
      <c r="S53">
        <v>2.8188189120756799E-2</v>
      </c>
      <c r="T53">
        <v>4.8517544941385798E-2</v>
      </c>
      <c r="U53">
        <v>5.4226723389041102E-2</v>
      </c>
      <c r="V53">
        <v>7.6881916037960796E-2</v>
      </c>
      <c r="W53">
        <v>-3.4446300485600802E-2</v>
      </c>
      <c r="X53">
        <v>-5.1954734991713498E-2</v>
      </c>
      <c r="Y53">
        <v>9.2243991568548123E-2</v>
      </c>
    </row>
    <row r="54" spans="1:25" x14ac:dyDescent="0.25">
      <c r="A54" t="s">
        <v>7</v>
      </c>
      <c r="B54" t="s">
        <v>8</v>
      </c>
      <c r="C54" t="s">
        <v>9</v>
      </c>
      <c r="D54" t="s">
        <v>10</v>
      </c>
      <c r="E54">
        <v>5</v>
      </c>
      <c r="F54" s="1">
        <v>38837</v>
      </c>
      <c r="G54">
        <v>-7.0560099223120801E-2</v>
      </c>
      <c r="K54" s="4">
        <v>36038</v>
      </c>
      <c r="M54">
        <v>-7.54710083371158E-2</v>
      </c>
      <c r="N54">
        <v>-7.9637763127923394E-2</v>
      </c>
      <c r="O54">
        <v>4.84471987947689E-2</v>
      </c>
      <c r="P54">
        <v>6.8917103872854393E-2</v>
      </c>
      <c r="Q54">
        <v>7.3891118146489798E-2</v>
      </c>
      <c r="R54">
        <v>-2.44457257586514E-2</v>
      </c>
      <c r="S54">
        <v>-3.8429981983406601E-2</v>
      </c>
      <c r="T54">
        <v>-8.5659930150779797E-3</v>
      </c>
      <c r="U54">
        <v>-3.3703920508931201E-2</v>
      </c>
      <c r="V54">
        <v>4.63662419440172E-2</v>
      </c>
      <c r="W54">
        <v>0.123890456946894</v>
      </c>
      <c r="X54">
        <v>7.1529159050855495E-2</v>
      </c>
      <c r="Y54">
        <v>0.17278688602477338</v>
      </c>
    </row>
    <row r="55" spans="1:25" x14ac:dyDescent="0.25">
      <c r="A55" t="s">
        <v>7</v>
      </c>
      <c r="B55" t="s">
        <v>8</v>
      </c>
      <c r="C55" t="s">
        <v>9</v>
      </c>
      <c r="D55" t="s">
        <v>10</v>
      </c>
      <c r="E55">
        <v>5</v>
      </c>
      <c r="F55" s="1">
        <v>38868</v>
      </c>
      <c r="G55">
        <v>4.7017069130658201E-2</v>
      </c>
      <c r="K55" s="4">
        <v>36068</v>
      </c>
      <c r="M55">
        <v>-0.20236442952816699</v>
      </c>
      <c r="N55">
        <v>-3.8870208747539901E-2</v>
      </c>
      <c r="O55">
        <v>-1.41427256123355E-2</v>
      </c>
      <c r="P55">
        <v>5.3824890943105601E-2</v>
      </c>
      <c r="Q55">
        <v>0.113265056479447</v>
      </c>
      <c r="R55">
        <v>-1.5732137501977599E-2</v>
      </c>
      <c r="S55">
        <v>-2.4371162682570099E-2</v>
      </c>
      <c r="T55">
        <v>4.3563413345292297E-2</v>
      </c>
      <c r="U55">
        <v>-0.11600110560218101</v>
      </c>
      <c r="V55">
        <v>-0.146330071547882</v>
      </c>
      <c r="W55">
        <v>8.9627701132030099E-2</v>
      </c>
      <c r="X55">
        <v>-5.3196108564644703E-3</v>
      </c>
      <c r="Y55">
        <v>-0.26285039017924261</v>
      </c>
    </row>
    <row r="56" spans="1:25" x14ac:dyDescent="0.25">
      <c r="A56" t="s">
        <v>7</v>
      </c>
      <c r="B56" t="s">
        <v>8</v>
      </c>
      <c r="C56" t="s">
        <v>9</v>
      </c>
      <c r="D56" t="s">
        <v>10</v>
      </c>
      <c r="E56">
        <v>5</v>
      </c>
      <c r="F56" s="1">
        <v>38898</v>
      </c>
      <c r="G56">
        <v>1.11498298589469E-2</v>
      </c>
      <c r="K56" s="4">
        <v>36099</v>
      </c>
      <c r="M56">
        <v>0.174310289150236</v>
      </c>
      <c r="N56">
        <v>0.14656121365020999</v>
      </c>
      <c r="O56">
        <v>-5.4134262787007503E-2</v>
      </c>
      <c r="P56">
        <v>-6.5674832018894305E-2</v>
      </c>
      <c r="Q56">
        <v>-5.9757629517962603E-2</v>
      </c>
      <c r="R56">
        <v>-8.3272526179343602E-3</v>
      </c>
      <c r="S56">
        <v>2.6619399869978601E-2</v>
      </c>
      <c r="T56">
        <v>-3.6780939961233002E-2</v>
      </c>
      <c r="U56">
        <v>3.8169774304081701E-2</v>
      </c>
      <c r="V56">
        <v>2.4849797578711901E-2</v>
      </c>
      <c r="W56">
        <v>-7.3031158194899498E-2</v>
      </c>
      <c r="X56">
        <v>5.6675857938669201E-2</v>
      </c>
      <c r="Y56">
        <v>0.16948025739395611</v>
      </c>
    </row>
    <row r="57" spans="1:25" x14ac:dyDescent="0.25">
      <c r="A57" t="s">
        <v>7</v>
      </c>
      <c r="B57" t="s">
        <v>8</v>
      </c>
      <c r="C57" t="s">
        <v>9</v>
      </c>
      <c r="D57" t="s">
        <v>10</v>
      </c>
      <c r="E57">
        <v>5</v>
      </c>
      <c r="F57" s="1">
        <v>38929</v>
      </c>
      <c r="G57">
        <v>9.4275513814747695E-3</v>
      </c>
      <c r="K57" s="4">
        <v>36129</v>
      </c>
      <c r="M57">
        <v>0.17261227823601299</v>
      </c>
      <c r="N57">
        <v>7.2383855772240296E-2</v>
      </c>
      <c r="O57">
        <v>-0.14348758154980901</v>
      </c>
      <c r="P57">
        <v>-0.168251572219724</v>
      </c>
      <c r="Q57">
        <v>-0.28172355899547502</v>
      </c>
      <c r="R57">
        <v>0.206537965957523</v>
      </c>
      <c r="S57">
        <v>-3.6204701846040202E-2</v>
      </c>
      <c r="T57">
        <v>-0.153028776996431</v>
      </c>
      <c r="U57">
        <v>-2.4561636306185399E-3</v>
      </c>
      <c r="V57">
        <v>-0.114380453371467</v>
      </c>
      <c r="W57">
        <v>-0.105737518328061</v>
      </c>
      <c r="X57">
        <v>5.2240970469920801E-2</v>
      </c>
      <c r="Y57">
        <v>-0.50149525650192872</v>
      </c>
    </row>
    <row r="58" spans="1:25" x14ac:dyDescent="0.25">
      <c r="A58" t="s">
        <v>7</v>
      </c>
      <c r="B58" t="s">
        <v>8</v>
      </c>
      <c r="C58" t="s">
        <v>9</v>
      </c>
      <c r="D58" t="s">
        <v>10</v>
      </c>
      <c r="E58">
        <v>5</v>
      </c>
      <c r="F58" s="1">
        <v>38960</v>
      </c>
      <c r="G58">
        <v>3.14003944116217E-2</v>
      </c>
      <c r="K58" s="4">
        <v>36160</v>
      </c>
      <c r="L58">
        <v>-0.19111833509883699</v>
      </c>
      <c r="M58">
        <v>-2.48572265598529E-2</v>
      </c>
      <c r="N58">
        <v>-0.16772182715593001</v>
      </c>
      <c r="O58">
        <v>5.5351466597871303E-2</v>
      </c>
      <c r="P58">
        <v>9.2709311362261806E-2</v>
      </c>
      <c r="Q58">
        <v>0.192296218234975</v>
      </c>
      <c r="R58">
        <v>-1.9294510840505399E-2</v>
      </c>
      <c r="S58">
        <v>-0.10147622939763599</v>
      </c>
      <c r="T58">
        <v>-0.10235926468357801</v>
      </c>
      <c r="U58">
        <v>-0.149215036907034</v>
      </c>
      <c r="V58">
        <v>0.11346363603526</v>
      </c>
      <c r="W58">
        <v>0.19206682345229201</v>
      </c>
      <c r="X58">
        <v>9.9476039500169602E-2</v>
      </c>
      <c r="Y58">
        <v>-1.0678935460543507E-2</v>
      </c>
    </row>
    <row r="59" spans="1:25" x14ac:dyDescent="0.25">
      <c r="A59" t="s">
        <v>7</v>
      </c>
      <c r="B59" t="s">
        <v>8</v>
      </c>
      <c r="C59" t="s">
        <v>9</v>
      </c>
      <c r="D59" t="s">
        <v>10</v>
      </c>
      <c r="E59">
        <v>5</v>
      </c>
      <c r="F59" s="1">
        <v>38990</v>
      </c>
      <c r="G59">
        <v>1.46883349840287E-2</v>
      </c>
      <c r="K59" s="4">
        <v>36191</v>
      </c>
      <c r="L59">
        <v>-3.62809023250594E-2</v>
      </c>
      <c r="M59">
        <v>3.8167257216758503E-2</v>
      </c>
      <c r="N59">
        <v>-5.03440675461794E-2</v>
      </c>
      <c r="O59">
        <v>0.14255577170623401</v>
      </c>
      <c r="P59">
        <v>0.17540542887247701</v>
      </c>
      <c r="Q59">
        <v>0.15065184250727801</v>
      </c>
      <c r="R59">
        <v>-2.6509903079303902E-2</v>
      </c>
      <c r="S59">
        <v>6.3389186744482504E-2</v>
      </c>
      <c r="T59">
        <v>0.17797993089064101</v>
      </c>
      <c r="U59">
        <v>7.6652088395383596E-3</v>
      </c>
      <c r="V59">
        <v>-0.13316125687419</v>
      </c>
      <c r="W59">
        <v>-1.9718981322585899E-2</v>
      </c>
      <c r="X59">
        <v>-3.2967779070775499E-2</v>
      </c>
      <c r="Y59">
        <v>0.4568317365593153</v>
      </c>
    </row>
    <row r="60" spans="1:25" x14ac:dyDescent="0.25">
      <c r="A60" t="s">
        <v>7</v>
      </c>
      <c r="B60" t="s">
        <v>8</v>
      </c>
      <c r="C60" t="s">
        <v>9</v>
      </c>
      <c r="D60" t="s">
        <v>10</v>
      </c>
      <c r="E60">
        <v>5</v>
      </c>
      <c r="F60" s="1">
        <v>39021</v>
      </c>
      <c r="G60">
        <v>-6.2044346229343797E-5</v>
      </c>
      <c r="K60" s="4">
        <v>36219</v>
      </c>
      <c r="O60">
        <v>0.11023237563200899</v>
      </c>
      <c r="P60">
        <v>3.84711179636315E-2</v>
      </c>
      <c r="Q60">
        <v>-0.21567579224439701</v>
      </c>
      <c r="R60">
        <v>2.4593831925510999E-3</v>
      </c>
      <c r="S60">
        <v>8.1389699653171402E-2</v>
      </c>
      <c r="T60">
        <v>0.10967151733229701</v>
      </c>
      <c r="U60">
        <v>8.1595314483831893E-2</v>
      </c>
      <c r="V60">
        <v>0.178981603719128</v>
      </c>
      <c r="W60">
        <v>-8.2677777026065005E-2</v>
      </c>
      <c r="X60">
        <v>-4.7097471271775701E-2</v>
      </c>
      <c r="Y60">
        <v>0.25734997143438221</v>
      </c>
    </row>
    <row r="61" spans="1:25" x14ac:dyDescent="0.25">
      <c r="A61" t="s">
        <v>7</v>
      </c>
      <c r="B61" t="s">
        <v>8</v>
      </c>
      <c r="C61" t="s">
        <v>9</v>
      </c>
      <c r="D61" t="s">
        <v>10</v>
      </c>
      <c r="E61">
        <v>5</v>
      </c>
      <c r="F61" s="1">
        <v>39051</v>
      </c>
      <c r="G61">
        <v>1.5826865141918001E-2</v>
      </c>
      <c r="K61" s="4">
        <v>36250</v>
      </c>
      <c r="O61">
        <v>-0.133408509330673</v>
      </c>
      <c r="P61">
        <v>-0.246762946746693</v>
      </c>
      <c r="Q61">
        <v>-0.40904910379245302</v>
      </c>
      <c r="R61">
        <v>-1.21060386440243E-2</v>
      </c>
      <c r="S61">
        <v>-0.227142348187168</v>
      </c>
      <c r="T61">
        <v>-0.36373963852170699</v>
      </c>
      <c r="U61">
        <v>-0.265420698883296</v>
      </c>
      <c r="V61">
        <v>0.17216355910308001</v>
      </c>
      <c r="W61">
        <v>-3.9306666456049001E-2</v>
      </c>
      <c r="X61">
        <v>0.22029611208813099</v>
      </c>
      <c r="Y61">
        <v>-1.3044762793708522</v>
      </c>
    </row>
    <row r="62" spans="1:25" x14ac:dyDescent="0.25">
      <c r="A62" t="s">
        <v>7</v>
      </c>
      <c r="B62" t="s">
        <v>8</v>
      </c>
      <c r="C62" t="s">
        <v>9</v>
      </c>
      <c r="D62" t="s">
        <v>10</v>
      </c>
      <c r="E62">
        <v>5</v>
      </c>
      <c r="F62" s="1">
        <v>39082</v>
      </c>
      <c r="G62">
        <v>-1.30271253322123E-2</v>
      </c>
      <c r="K62" s="4">
        <v>36280</v>
      </c>
      <c r="O62">
        <v>-0.116063943056724</v>
      </c>
      <c r="P62">
        <v>-6.1430991649458797E-2</v>
      </c>
      <c r="Q62">
        <v>-9.2560804678756506E-2</v>
      </c>
      <c r="R62">
        <v>-0.105438623008394</v>
      </c>
      <c r="S62">
        <v>-6.84757131575367E-2</v>
      </c>
      <c r="T62">
        <v>-0.18022715639647499</v>
      </c>
      <c r="U62">
        <v>-0.127675420968728</v>
      </c>
      <c r="V62">
        <v>-2.26101244423891E-2</v>
      </c>
      <c r="W62">
        <v>-1.1213743846035001E-2</v>
      </c>
      <c r="X62">
        <v>3.3984817800379298E-2</v>
      </c>
      <c r="Y62">
        <v>-0.75171170340411775</v>
      </c>
    </row>
    <row r="63" spans="1:25" x14ac:dyDescent="0.25">
      <c r="A63" t="s">
        <v>7</v>
      </c>
      <c r="B63" t="s">
        <v>8</v>
      </c>
      <c r="C63" t="s">
        <v>9</v>
      </c>
      <c r="D63" t="s">
        <v>10</v>
      </c>
      <c r="E63">
        <v>5</v>
      </c>
      <c r="F63" s="1">
        <v>39113</v>
      </c>
      <c r="G63">
        <v>-1.14678666632146E-2</v>
      </c>
      <c r="K63" s="4">
        <v>36311</v>
      </c>
      <c r="L63">
        <v>2.5794774135495101E-2</v>
      </c>
      <c r="M63">
        <v>1.5469954651317799E-2</v>
      </c>
      <c r="N63">
        <v>1.03199574847653E-2</v>
      </c>
      <c r="O63">
        <v>4.3697059310324297E-2</v>
      </c>
      <c r="P63">
        <v>1.8132081169511201E-2</v>
      </c>
      <c r="Q63">
        <v>-1.8859715219806E-3</v>
      </c>
      <c r="R63">
        <v>1.0109693219470599E-2</v>
      </c>
      <c r="S63">
        <v>1.12360869961483E-2</v>
      </c>
      <c r="T63">
        <v>4.1334496971501796E-3</v>
      </c>
      <c r="U63">
        <v>-1.13129776289342E-2</v>
      </c>
      <c r="V63">
        <v>1.6213855745458299E-3</v>
      </c>
      <c r="W63">
        <v>5.4911832364287301E-3</v>
      </c>
      <c r="X63">
        <v>-4.5044247530788804E-3</v>
      </c>
      <c r="Y63">
        <v>0.12830225157116365</v>
      </c>
    </row>
    <row r="64" spans="1:25" x14ac:dyDescent="0.25">
      <c r="A64" t="s">
        <v>7</v>
      </c>
      <c r="B64" t="s">
        <v>8</v>
      </c>
      <c r="C64" t="s">
        <v>9</v>
      </c>
      <c r="D64" t="s">
        <v>10</v>
      </c>
      <c r="E64">
        <v>5</v>
      </c>
      <c r="F64" s="1">
        <v>39141</v>
      </c>
      <c r="G64">
        <v>-1.50278769150859E-2</v>
      </c>
      <c r="K64" s="4">
        <v>36341</v>
      </c>
      <c r="L64">
        <v>4.9916790118599903E-2</v>
      </c>
      <c r="M64">
        <v>0.110427214469908</v>
      </c>
      <c r="N64">
        <v>5.3193548392026897E-2</v>
      </c>
      <c r="O64">
        <v>-7.22859093661432E-3</v>
      </c>
      <c r="P64">
        <v>-1.09672904701549E-2</v>
      </c>
      <c r="Q64">
        <v>0.17755866962437</v>
      </c>
      <c r="R64">
        <v>5.8014903602426497E-2</v>
      </c>
      <c r="S64">
        <v>-8.1196569552048195E-2</v>
      </c>
      <c r="T64">
        <v>-1.71231359971553E-2</v>
      </c>
      <c r="U64">
        <v>5.7127521661347998E-2</v>
      </c>
      <c r="V64">
        <v>0.19556755831092101</v>
      </c>
      <c r="W64">
        <v>-9.9323996967887906E-2</v>
      </c>
      <c r="X64">
        <v>4.8675464343403599E-2</v>
      </c>
      <c r="Y64">
        <v>0.53464208659914325</v>
      </c>
    </row>
    <row r="65" spans="1:25" x14ac:dyDescent="0.25">
      <c r="A65" t="s">
        <v>7</v>
      </c>
      <c r="B65" t="s">
        <v>8</v>
      </c>
      <c r="C65" t="s">
        <v>9</v>
      </c>
      <c r="D65" t="s">
        <v>10</v>
      </c>
      <c r="E65">
        <v>5</v>
      </c>
      <c r="F65" s="1">
        <v>39172</v>
      </c>
      <c r="G65">
        <v>4.2340418964363002E-3</v>
      </c>
      <c r="K65" s="4">
        <v>36372</v>
      </c>
      <c r="L65">
        <v>3.9611600013678701E-2</v>
      </c>
      <c r="M65">
        <v>1.9767958327147599E-2</v>
      </c>
      <c r="N65">
        <v>4.2333075490102396E-3</v>
      </c>
      <c r="O65">
        <v>7.1017464527555604E-3</v>
      </c>
      <c r="P65">
        <v>-1.7802334603820001E-3</v>
      </c>
      <c r="Q65">
        <v>1.7215513137682301E-2</v>
      </c>
      <c r="R65">
        <v>3.9826082043416103E-2</v>
      </c>
      <c r="S65">
        <v>-1.79646573000443E-2</v>
      </c>
      <c r="T65">
        <v>1.08984139657515E-2</v>
      </c>
      <c r="U65">
        <v>-3.9828697105423098E-4</v>
      </c>
      <c r="V65">
        <v>5.3461940724304699E-2</v>
      </c>
      <c r="W65">
        <v>8.1470301480624896E-2</v>
      </c>
      <c r="X65">
        <v>3.9941489391868201E-2</v>
      </c>
      <c r="Y65">
        <v>0.29338517535475928</v>
      </c>
    </row>
    <row r="66" spans="1:25" x14ac:dyDescent="0.25">
      <c r="A66" t="s">
        <v>7</v>
      </c>
      <c r="B66" t="s">
        <v>8</v>
      </c>
      <c r="C66" t="s">
        <v>9</v>
      </c>
      <c r="D66" t="s">
        <v>10</v>
      </c>
      <c r="E66">
        <v>5</v>
      </c>
      <c r="F66" s="1">
        <v>39202</v>
      </c>
      <c r="G66">
        <v>-2.10125151341196E-4</v>
      </c>
      <c r="K66" s="4">
        <v>36403</v>
      </c>
      <c r="L66">
        <v>-1.97490714185195E-2</v>
      </c>
      <c r="M66">
        <v>7.2547591085254201E-2</v>
      </c>
      <c r="N66">
        <v>5.0514319524396903E-2</v>
      </c>
      <c r="O66">
        <v>-2.3395142036350298E-2</v>
      </c>
      <c r="P66">
        <v>-3.8015696057138698E-2</v>
      </c>
      <c r="Q66">
        <v>4.4790660591901101E-2</v>
      </c>
      <c r="R66">
        <v>4.75853204331282E-2</v>
      </c>
      <c r="S66">
        <v>-4.46704786811183E-2</v>
      </c>
      <c r="T66">
        <v>-5.5357967341657002E-2</v>
      </c>
      <c r="U66">
        <v>1.9264969004825501E-2</v>
      </c>
      <c r="V66">
        <v>-5.8599557647621002E-2</v>
      </c>
      <c r="W66">
        <v>-2.31833078999725E-2</v>
      </c>
      <c r="X66">
        <v>5.38453289343237E-2</v>
      </c>
      <c r="Y66">
        <v>2.5576968491452287E-2</v>
      </c>
    </row>
    <row r="67" spans="1:25" x14ac:dyDescent="0.25">
      <c r="A67" t="s">
        <v>7</v>
      </c>
      <c r="B67" t="s">
        <v>8</v>
      </c>
      <c r="C67" t="s">
        <v>9</v>
      </c>
      <c r="D67" t="s">
        <v>10</v>
      </c>
      <c r="E67">
        <v>5</v>
      </c>
      <c r="F67" s="1">
        <v>39233</v>
      </c>
      <c r="G67">
        <v>9.8873335045482104E-3</v>
      </c>
      <c r="K67" s="4">
        <v>36433</v>
      </c>
      <c r="L67">
        <v>-6.7063941624771195E-2</v>
      </c>
      <c r="M67">
        <v>-0.10659359419084601</v>
      </c>
      <c r="N67">
        <v>-8.8127995422896996E-2</v>
      </c>
      <c r="O67">
        <v>-4.7685936207891397E-2</v>
      </c>
      <c r="P67">
        <v>-4.2027802979897798E-2</v>
      </c>
      <c r="Q67">
        <v>-6.9886499402834104E-2</v>
      </c>
      <c r="R67">
        <v>-2.8564729519224102E-2</v>
      </c>
      <c r="S67">
        <v>7.8906767295121496E-3</v>
      </c>
      <c r="T67">
        <v>-1.8551695936307601E-2</v>
      </c>
      <c r="U67">
        <v>-1.2278569732708701E-2</v>
      </c>
      <c r="V67">
        <v>7.5243146382945297E-2</v>
      </c>
      <c r="W67">
        <v>2.0945924871078402E-2</v>
      </c>
      <c r="X67">
        <v>-3.0894545179430199E-2</v>
      </c>
      <c r="Y67">
        <v>-0.40759556221327226</v>
      </c>
    </row>
    <row r="68" spans="1:25" x14ac:dyDescent="0.25">
      <c r="A68" t="s">
        <v>7</v>
      </c>
      <c r="B68" t="s">
        <v>8</v>
      </c>
      <c r="C68" t="s">
        <v>9</v>
      </c>
      <c r="D68" t="s">
        <v>10</v>
      </c>
      <c r="E68">
        <v>5</v>
      </c>
      <c r="F68" s="1">
        <v>39263</v>
      </c>
      <c r="G68">
        <v>6.77729788531207E-3</v>
      </c>
      <c r="K68" s="4">
        <v>36464</v>
      </c>
      <c r="L68">
        <v>-8.4597592297291996E-2</v>
      </c>
      <c r="M68">
        <v>-0.102295333851335</v>
      </c>
      <c r="N68">
        <v>-6.2691473664072003E-2</v>
      </c>
      <c r="O68">
        <v>-3.82684487844017E-2</v>
      </c>
      <c r="P68">
        <v>-3.9092855352090498E-2</v>
      </c>
      <c r="Q68">
        <v>-4.1841634622499901E-2</v>
      </c>
      <c r="R68">
        <v>-4.4864878197985E-2</v>
      </c>
      <c r="S68">
        <v>-3.54355578316638E-2</v>
      </c>
      <c r="T68">
        <v>-5.8622177814710998E-2</v>
      </c>
      <c r="U68">
        <v>1.8322552345128602E-2</v>
      </c>
      <c r="V68">
        <v>-1.7860018989236101E-2</v>
      </c>
      <c r="W68">
        <v>2.54723168406835E-2</v>
      </c>
      <c r="X68">
        <v>-3.0169237859925001E-2</v>
      </c>
      <c r="Y68">
        <v>-0.51194434007939993</v>
      </c>
    </row>
    <row r="69" spans="1:25" x14ac:dyDescent="0.25">
      <c r="A69" t="s">
        <v>7</v>
      </c>
      <c r="B69" t="s">
        <v>8</v>
      </c>
      <c r="C69" t="s">
        <v>9</v>
      </c>
      <c r="D69" t="s">
        <v>10</v>
      </c>
      <c r="E69">
        <v>5</v>
      </c>
      <c r="F69" s="1">
        <v>39294</v>
      </c>
      <c r="G69">
        <v>6.2280529370362901E-3</v>
      </c>
      <c r="K69" s="4">
        <v>36494</v>
      </c>
      <c r="M69">
        <v>0.137215737523743</v>
      </c>
      <c r="N69">
        <v>4.8465697842107899E-2</v>
      </c>
      <c r="O69">
        <v>-3.2330632096572798E-3</v>
      </c>
      <c r="P69">
        <v>-1.8319849395687701E-2</v>
      </c>
      <c r="Q69">
        <v>2.8130362362812598E-2</v>
      </c>
      <c r="R69">
        <v>0.131335388500921</v>
      </c>
      <c r="S69">
        <v>-1.6080359931675201E-2</v>
      </c>
      <c r="T69">
        <v>1.22106542912731E-3</v>
      </c>
      <c r="U69">
        <v>7.0456304591535998E-2</v>
      </c>
      <c r="V69">
        <v>-1.9104233588339601E-2</v>
      </c>
      <c r="W69">
        <v>-5.3252442576991799E-2</v>
      </c>
      <c r="X69">
        <v>1.24804095588069E-2</v>
      </c>
      <c r="Y69">
        <v>0.31931501710670313</v>
      </c>
    </row>
    <row r="70" spans="1:25" x14ac:dyDescent="0.25">
      <c r="A70" t="s">
        <v>7</v>
      </c>
      <c r="B70" t="s">
        <v>8</v>
      </c>
      <c r="C70" t="s">
        <v>9</v>
      </c>
      <c r="D70" t="s">
        <v>10</v>
      </c>
      <c r="E70">
        <v>5</v>
      </c>
      <c r="F70" s="1">
        <v>39325</v>
      </c>
      <c r="G70">
        <v>-6.6919846374952803E-3</v>
      </c>
      <c r="K70" s="4">
        <v>36525</v>
      </c>
      <c r="L70">
        <v>-5.6469982081052202E-2</v>
      </c>
      <c r="M70">
        <v>-3.5008426325093697E-2</v>
      </c>
      <c r="N70">
        <v>3.5258991503222502E-2</v>
      </c>
      <c r="O70">
        <v>0.14272603596962399</v>
      </c>
      <c r="P70">
        <v>4.3393797805899401E-2</v>
      </c>
      <c r="Q70">
        <v>-1.4068388454721199E-2</v>
      </c>
      <c r="R70">
        <v>-1.71641384329244E-2</v>
      </c>
      <c r="S70">
        <v>-6.0627233953073102E-2</v>
      </c>
      <c r="T70">
        <v>-8.9743325524098902E-2</v>
      </c>
      <c r="U70">
        <v>-4.4989336444610298E-2</v>
      </c>
      <c r="V70">
        <v>3.80299170943302E-2</v>
      </c>
      <c r="W70">
        <v>2.6847128581052801E-2</v>
      </c>
      <c r="X70">
        <v>3.1943611442486697E-2</v>
      </c>
      <c r="Y70">
        <v>1.2865118104180701E-4</v>
      </c>
    </row>
    <row r="71" spans="1:25" x14ac:dyDescent="0.25">
      <c r="A71" t="s">
        <v>7</v>
      </c>
      <c r="B71" t="s">
        <v>8</v>
      </c>
      <c r="C71" t="s">
        <v>9</v>
      </c>
      <c r="D71" t="s">
        <v>10</v>
      </c>
      <c r="E71">
        <v>5</v>
      </c>
      <c r="F71" s="1">
        <v>39355</v>
      </c>
      <c r="G71">
        <v>-3.7374671628508598E-2</v>
      </c>
      <c r="K71" s="4">
        <v>36556</v>
      </c>
      <c r="L71">
        <v>-0.15648457306691399</v>
      </c>
      <c r="M71">
        <v>-0.16395568050579701</v>
      </c>
      <c r="N71">
        <v>-9.3491416604873895E-2</v>
      </c>
      <c r="O71">
        <v>-7.9107184271702297E-2</v>
      </c>
      <c r="P71">
        <v>-1.0405931376836699E-2</v>
      </c>
      <c r="Q71">
        <v>1.6074161073276302E-2</v>
      </c>
      <c r="R71">
        <v>-8.2902862131807198E-2</v>
      </c>
      <c r="S71">
        <v>-1.2045171484438901E-2</v>
      </c>
      <c r="T71">
        <v>-3.4460320985602602E-2</v>
      </c>
      <c r="U71">
        <v>3.5657586497785103E-2</v>
      </c>
      <c r="V71">
        <v>-1.05268532474013E-2</v>
      </c>
      <c r="W71">
        <v>2.5846344983331999E-2</v>
      </c>
      <c r="X71">
        <v>-5.4341383261180501E-2</v>
      </c>
      <c r="Y71">
        <v>-0.62014328438216104</v>
      </c>
    </row>
    <row r="72" spans="1:25" x14ac:dyDescent="0.25">
      <c r="A72" t="s">
        <v>7</v>
      </c>
      <c r="B72" t="s">
        <v>8</v>
      </c>
      <c r="C72" t="s">
        <v>9</v>
      </c>
      <c r="D72" t="s">
        <v>10</v>
      </c>
      <c r="E72">
        <v>5</v>
      </c>
      <c r="F72" s="1">
        <v>39386</v>
      </c>
      <c r="G72">
        <v>-7.0920626943951307E-2</v>
      </c>
      <c r="K72" s="4">
        <v>36585</v>
      </c>
      <c r="L72">
        <v>-5.1257579421693497E-2</v>
      </c>
      <c r="M72">
        <v>-1.8554320765753099E-2</v>
      </c>
      <c r="N72">
        <v>-6.3894364687049898E-3</v>
      </c>
      <c r="O72">
        <v>-2.17604357981569E-2</v>
      </c>
      <c r="P72">
        <v>-7.8157074865445694E-2</v>
      </c>
      <c r="Q72">
        <v>4.77648569550349E-2</v>
      </c>
      <c r="R72">
        <v>-2.32634047172855E-2</v>
      </c>
      <c r="S72">
        <v>-3.3147782868920103E-2</v>
      </c>
      <c r="T72">
        <v>-2.86824694003615E-2</v>
      </c>
      <c r="U72">
        <v>-1.2122958819411301E-2</v>
      </c>
      <c r="V72">
        <v>-0.11709120312636601</v>
      </c>
      <c r="W72">
        <v>-3.9416922066685803E-2</v>
      </c>
      <c r="X72">
        <v>-1.6438766895370101E-2</v>
      </c>
      <c r="Y72">
        <v>-0.39851749825911958</v>
      </c>
    </row>
    <row r="73" spans="1:25" x14ac:dyDescent="0.25">
      <c r="A73" t="s">
        <v>7</v>
      </c>
      <c r="B73" t="s">
        <v>8</v>
      </c>
      <c r="C73" t="s">
        <v>9</v>
      </c>
      <c r="D73" t="s">
        <v>10</v>
      </c>
      <c r="E73">
        <v>5</v>
      </c>
      <c r="F73" s="1">
        <v>39416</v>
      </c>
      <c r="G73">
        <v>9.4358137502263302E-3</v>
      </c>
      <c r="K73" s="4">
        <v>36616</v>
      </c>
      <c r="L73">
        <v>5.2244006778903798E-2</v>
      </c>
      <c r="M73">
        <v>9.7880226191768796E-2</v>
      </c>
      <c r="N73">
        <v>4.59970026561769E-2</v>
      </c>
      <c r="O73">
        <v>5.1424689153900298E-2</v>
      </c>
      <c r="P73">
        <v>-1.6049771697238199E-2</v>
      </c>
      <c r="Q73">
        <v>-1.7232529263925701E-2</v>
      </c>
      <c r="R73">
        <v>4.8664774983759103E-2</v>
      </c>
      <c r="S73">
        <v>-3.6166321676823897E-2</v>
      </c>
      <c r="T73">
        <v>3.2657421963960397E-2</v>
      </c>
      <c r="U73">
        <v>3.4095526951168097E-2</v>
      </c>
      <c r="V73">
        <v>1.24261462910987E-2</v>
      </c>
      <c r="W73">
        <v>-2.2145357245529899E-2</v>
      </c>
      <c r="X73">
        <v>3.0330574233989201E-3</v>
      </c>
      <c r="Y73">
        <v>0.28682887251061734</v>
      </c>
    </row>
    <row r="74" spans="1:25" x14ac:dyDescent="0.25">
      <c r="A74" t="s">
        <v>7</v>
      </c>
      <c r="B74" t="s">
        <v>8</v>
      </c>
      <c r="C74" t="s">
        <v>9</v>
      </c>
      <c r="D74" t="s">
        <v>10</v>
      </c>
      <c r="E74">
        <v>5</v>
      </c>
      <c r="F74" s="1">
        <v>39447</v>
      </c>
      <c r="G74">
        <v>-5.6547405398170998E-2</v>
      </c>
      <c r="K74" s="4">
        <v>36646</v>
      </c>
      <c r="L74">
        <v>1.8978509551734898E-2</v>
      </c>
      <c r="M74">
        <v>-1.29868621859214E-2</v>
      </c>
      <c r="N74">
        <v>4.2964596125733299E-4</v>
      </c>
      <c r="O74">
        <v>-2.6564100223750199E-3</v>
      </c>
      <c r="P74">
        <v>4.57493909167953E-2</v>
      </c>
      <c r="Q74">
        <v>-7.3981648043595499E-2</v>
      </c>
      <c r="R74">
        <v>-5.5961259302518898E-2</v>
      </c>
      <c r="S74">
        <v>1.8049249797691298E-2</v>
      </c>
      <c r="T74">
        <v>6.7885056380652301E-2</v>
      </c>
      <c r="U74">
        <v>1.2153919911380101E-2</v>
      </c>
      <c r="V74">
        <v>6.0118132734579499E-2</v>
      </c>
      <c r="W74">
        <v>3.4838999770284498E-2</v>
      </c>
      <c r="X74">
        <v>1.3779645251996799E-3</v>
      </c>
      <c r="Y74">
        <v>0.1139946899951641</v>
      </c>
    </row>
    <row r="75" spans="1:25" x14ac:dyDescent="0.25">
      <c r="A75" t="s">
        <v>7</v>
      </c>
      <c r="B75" t="s">
        <v>8</v>
      </c>
      <c r="C75" t="s">
        <v>9</v>
      </c>
      <c r="D75" t="s">
        <v>10</v>
      </c>
      <c r="E75">
        <v>5</v>
      </c>
      <c r="F75" s="1">
        <v>39478</v>
      </c>
      <c r="G75">
        <v>-1.49368346741108E-2</v>
      </c>
      <c r="K75" s="4">
        <v>36677</v>
      </c>
      <c r="L75">
        <v>-8.3038703859756494E-2</v>
      </c>
      <c r="M75">
        <v>-0.14969715430899699</v>
      </c>
      <c r="N75">
        <v>-0.15504847365208699</v>
      </c>
      <c r="O75">
        <v>-1.9080427838248499E-2</v>
      </c>
      <c r="P75">
        <v>-5.3198228010245797E-2</v>
      </c>
      <c r="Q75">
        <v>9.2794470128321704E-2</v>
      </c>
      <c r="R75">
        <v>0.15598361823806201</v>
      </c>
      <c r="S75">
        <v>-8.2732218866090806E-2</v>
      </c>
      <c r="T75">
        <v>-6.3276913122058895E-2</v>
      </c>
      <c r="U75">
        <v>1.5656695426660001E-2</v>
      </c>
      <c r="V75">
        <v>8.7929042283747594E-2</v>
      </c>
      <c r="W75">
        <v>0.11494368562315301</v>
      </c>
      <c r="X75">
        <v>8.1144019345904594E-2</v>
      </c>
      <c r="Y75">
        <v>-5.7620588611635604E-2</v>
      </c>
    </row>
    <row r="76" spans="1:25" x14ac:dyDescent="0.25">
      <c r="A76" t="s">
        <v>7</v>
      </c>
      <c r="B76" t="s">
        <v>8</v>
      </c>
      <c r="C76" t="s">
        <v>9</v>
      </c>
      <c r="D76" t="s">
        <v>10</v>
      </c>
      <c r="E76">
        <v>5</v>
      </c>
      <c r="F76" s="1">
        <v>39507</v>
      </c>
      <c r="G76">
        <v>5.31807037478164E-3</v>
      </c>
      <c r="K76" s="4">
        <v>36707</v>
      </c>
      <c r="L76">
        <v>1.7930023365628399E-2</v>
      </c>
      <c r="M76">
        <v>6.4597026965672003E-2</v>
      </c>
      <c r="N76">
        <v>6.6077674627222902E-2</v>
      </c>
      <c r="O76">
        <v>3.7899040142853001E-3</v>
      </c>
      <c r="P76">
        <v>9.3810679016958401E-2</v>
      </c>
      <c r="Q76">
        <v>5.0450317158688002E-2</v>
      </c>
      <c r="R76">
        <v>1.75987953235455E-2</v>
      </c>
      <c r="S76">
        <v>7.99484101532138E-2</v>
      </c>
      <c r="T76">
        <v>6.8952580682391795E-2</v>
      </c>
      <c r="U76">
        <v>1.84251218493694E-2</v>
      </c>
      <c r="V76">
        <v>0.14037731730296699</v>
      </c>
      <c r="W76">
        <v>-5.3721117040202701E-2</v>
      </c>
      <c r="X76">
        <v>-5.6826228739553002E-2</v>
      </c>
      <c r="Y76">
        <v>0.51141050468018689</v>
      </c>
    </row>
    <row r="77" spans="1:25" x14ac:dyDescent="0.25">
      <c r="A77" t="s">
        <v>7</v>
      </c>
      <c r="B77" t="s">
        <v>8</v>
      </c>
      <c r="C77" t="s">
        <v>9</v>
      </c>
      <c r="D77" t="s">
        <v>10</v>
      </c>
      <c r="E77">
        <v>5</v>
      </c>
      <c r="F77" s="1">
        <v>39538</v>
      </c>
      <c r="G77">
        <v>1.0820507080685699E-2</v>
      </c>
      <c r="K77" s="4">
        <v>36738</v>
      </c>
      <c r="L77">
        <v>2.5949871534165201E-2</v>
      </c>
      <c r="M77">
        <v>5.7379087095220299E-2</v>
      </c>
      <c r="N77">
        <v>3.0372895386463199E-2</v>
      </c>
      <c r="O77">
        <v>-5.8549106716274002E-2</v>
      </c>
      <c r="P77">
        <v>-2.1678302281648999E-2</v>
      </c>
      <c r="Q77">
        <v>-7.4850067549593604E-3</v>
      </c>
      <c r="R77">
        <v>7.1715344003711601E-2</v>
      </c>
      <c r="S77">
        <v>-0.10453441256099801</v>
      </c>
      <c r="T77">
        <v>-0.107573835044914</v>
      </c>
      <c r="U77">
        <v>4.1957860466758597E-2</v>
      </c>
      <c r="V77">
        <v>3.0699251846599301E-2</v>
      </c>
      <c r="W77">
        <v>7.1292619762538298E-2</v>
      </c>
      <c r="X77">
        <v>-3.24598600918947E-2</v>
      </c>
      <c r="Y77">
        <v>-2.9135933552325508E-3</v>
      </c>
    </row>
    <row r="78" spans="1:25" x14ac:dyDescent="0.25">
      <c r="A78" t="s">
        <v>7</v>
      </c>
      <c r="B78" t="s">
        <v>8</v>
      </c>
      <c r="C78" t="s">
        <v>9</v>
      </c>
      <c r="D78" t="s">
        <v>10</v>
      </c>
      <c r="E78">
        <v>5</v>
      </c>
      <c r="F78" s="1">
        <v>39568</v>
      </c>
      <c r="G78">
        <v>4.4875014779051203E-2</v>
      </c>
      <c r="K78" s="4">
        <v>36769</v>
      </c>
      <c r="L78">
        <v>9.2080348521277097E-2</v>
      </c>
      <c r="M78">
        <v>-6.9916753135925699E-2</v>
      </c>
      <c r="N78">
        <v>8.2548802119339501E-2</v>
      </c>
      <c r="O78">
        <v>1.9786172899075301E-2</v>
      </c>
      <c r="P78">
        <v>-1.07916643933671E-2</v>
      </c>
      <c r="Q78">
        <v>-9.7980215032503606E-2</v>
      </c>
      <c r="R78">
        <v>2.6848270856120699E-2</v>
      </c>
      <c r="S78">
        <v>0.11254695143531999</v>
      </c>
      <c r="T78">
        <v>-1.81695132570991E-3</v>
      </c>
      <c r="U78">
        <v>-6.0513197106092098E-2</v>
      </c>
      <c r="V78">
        <v>-0.114203712857033</v>
      </c>
      <c r="W78">
        <v>-3.7973420089587602E-2</v>
      </c>
      <c r="X78">
        <v>3.2849102595782102E-2</v>
      </c>
      <c r="Y78">
        <v>-2.6536265513304319E-2</v>
      </c>
    </row>
    <row r="79" spans="1:25" x14ac:dyDescent="0.25">
      <c r="A79" t="s">
        <v>7</v>
      </c>
      <c r="B79" t="s">
        <v>8</v>
      </c>
      <c r="C79" t="s">
        <v>9</v>
      </c>
      <c r="D79" t="s">
        <v>10</v>
      </c>
      <c r="E79">
        <v>5</v>
      </c>
      <c r="F79" s="1">
        <v>39599</v>
      </c>
      <c r="G79">
        <v>-2.4200925913977999E-2</v>
      </c>
      <c r="K79" s="4">
        <v>36799</v>
      </c>
      <c r="L79">
        <v>-3.5608930096813499E-2</v>
      </c>
      <c r="M79">
        <v>6.6782329127160603E-2</v>
      </c>
      <c r="N79">
        <v>-1.9843295868449001E-2</v>
      </c>
      <c r="O79">
        <v>-2.6729304087555701E-2</v>
      </c>
      <c r="P79">
        <v>1.50013488886748E-2</v>
      </c>
      <c r="Q79">
        <v>5.88649422866203E-2</v>
      </c>
      <c r="R79">
        <v>3.40410564942146E-2</v>
      </c>
      <c r="S79">
        <v>-4.7432735416506798E-2</v>
      </c>
      <c r="T79">
        <v>-2.5209552084026601E-2</v>
      </c>
      <c r="U79">
        <v>3.8403756965367998E-2</v>
      </c>
      <c r="V79">
        <v>6.7431236839294001E-2</v>
      </c>
      <c r="W79">
        <v>9.7406234311948503E-2</v>
      </c>
      <c r="X79">
        <v>2.8922719873752899E-2</v>
      </c>
      <c r="Y79">
        <v>0.25202980723368212</v>
      </c>
    </row>
    <row r="80" spans="1:25" x14ac:dyDescent="0.25">
      <c r="A80" t="s">
        <v>7</v>
      </c>
      <c r="B80" t="s">
        <v>8</v>
      </c>
      <c r="C80" t="s">
        <v>9</v>
      </c>
      <c r="D80" t="s">
        <v>10</v>
      </c>
      <c r="E80">
        <v>5</v>
      </c>
      <c r="F80" s="1">
        <v>39629</v>
      </c>
      <c r="G80">
        <v>7.0215423853618002E-3</v>
      </c>
      <c r="K80" s="4">
        <v>36830</v>
      </c>
      <c r="L80">
        <v>2.2864581292520399E-2</v>
      </c>
      <c r="M80">
        <v>-6.1767990436836099E-3</v>
      </c>
      <c r="N80">
        <v>3.6872718255854101E-2</v>
      </c>
      <c r="O80">
        <v>6.7043630845192104E-2</v>
      </c>
      <c r="P80">
        <v>2.1603506465024298E-2</v>
      </c>
      <c r="Q80">
        <v>-3.2956256489236599E-2</v>
      </c>
      <c r="R80">
        <v>-7.2225875203302703E-2</v>
      </c>
      <c r="S80">
        <v>4.5075992595308298E-2</v>
      </c>
      <c r="T80">
        <v>5.7961702910177597E-2</v>
      </c>
      <c r="U80">
        <v>-5.50843291189239E-2</v>
      </c>
      <c r="V80">
        <v>2.14382591522311E-2</v>
      </c>
      <c r="W80">
        <v>-8.1470785673626207E-3</v>
      </c>
      <c r="X80">
        <v>2.1869142803417299E-2</v>
      </c>
      <c r="Y80">
        <v>0.12013919589721576</v>
      </c>
    </row>
    <row r="81" spans="1:25" x14ac:dyDescent="0.25">
      <c r="A81" t="s">
        <v>7</v>
      </c>
      <c r="B81" t="s">
        <v>8</v>
      </c>
      <c r="C81" t="s">
        <v>9</v>
      </c>
      <c r="D81" t="s">
        <v>10</v>
      </c>
      <c r="E81">
        <v>5</v>
      </c>
      <c r="F81" s="1">
        <v>39660</v>
      </c>
      <c r="G81">
        <v>-3.4296860669441903E-2</v>
      </c>
      <c r="K81" s="4">
        <v>36860</v>
      </c>
      <c r="L81">
        <v>-1.47102814481031E-2</v>
      </c>
      <c r="M81">
        <v>-2.17964998087475E-2</v>
      </c>
      <c r="N81">
        <v>-2.7345530432037201E-2</v>
      </c>
      <c r="O81">
        <v>-4.7876114926691297E-2</v>
      </c>
      <c r="P81">
        <v>1.2490750730799799E-2</v>
      </c>
      <c r="Q81">
        <v>2.0222554031203301E-2</v>
      </c>
      <c r="R81">
        <v>-1.2256828067876101E-3</v>
      </c>
      <c r="S81">
        <v>-5.3231976993325198E-3</v>
      </c>
      <c r="T81">
        <v>-1.9197856419672098E-2</v>
      </c>
      <c r="U81">
        <v>1.32634056574314E-2</v>
      </c>
      <c r="V81">
        <v>3.7656829127278697E-2</v>
      </c>
      <c r="W81">
        <v>1.21670983768189E-2</v>
      </c>
      <c r="X81">
        <v>8.2063118468783305E-3</v>
      </c>
      <c r="Y81">
        <v>-3.3468213770960924E-2</v>
      </c>
    </row>
    <row r="82" spans="1:25" x14ac:dyDescent="0.25">
      <c r="A82" t="s">
        <v>7</v>
      </c>
      <c r="B82" t="s">
        <v>8</v>
      </c>
      <c r="C82" t="s">
        <v>9</v>
      </c>
      <c r="D82" t="s">
        <v>10</v>
      </c>
      <c r="E82">
        <v>5</v>
      </c>
      <c r="F82" s="1">
        <v>39691</v>
      </c>
      <c r="G82">
        <v>2.4928867603972098E-2</v>
      </c>
      <c r="K82" s="4">
        <v>36891</v>
      </c>
      <c r="L82">
        <v>3.7567491323113301E-2</v>
      </c>
      <c r="M82">
        <v>-4.4923427682353897E-2</v>
      </c>
      <c r="N82">
        <v>1.1741293058193899E-2</v>
      </c>
      <c r="O82">
        <v>9.7247298788003308E-3</v>
      </c>
      <c r="P82">
        <v>-4.8305869808704903E-3</v>
      </c>
      <c r="Q82">
        <v>-1.57057884646934E-2</v>
      </c>
      <c r="R82">
        <v>2.4019517551380501E-2</v>
      </c>
      <c r="S82">
        <v>4.3345363153324899E-2</v>
      </c>
      <c r="T82">
        <v>1.67359194162237E-2</v>
      </c>
      <c r="U82">
        <v>-3.8696360756219697E-2</v>
      </c>
      <c r="V82">
        <v>4.4439457646947698E-2</v>
      </c>
      <c r="W82">
        <v>-0.11448288551228999</v>
      </c>
      <c r="X82">
        <v>-1.15910739543928E-2</v>
      </c>
      <c r="Y82">
        <v>-4.2656351322835941E-2</v>
      </c>
    </row>
    <row r="83" spans="1:25" x14ac:dyDescent="0.25">
      <c r="A83" t="s">
        <v>7</v>
      </c>
      <c r="B83" t="s">
        <v>8</v>
      </c>
      <c r="C83" t="s">
        <v>9</v>
      </c>
      <c r="D83" t="s">
        <v>10</v>
      </c>
      <c r="E83">
        <v>5</v>
      </c>
      <c r="F83" s="1">
        <v>39721</v>
      </c>
      <c r="G83">
        <v>-1.79276173007775E-2</v>
      </c>
      <c r="K83" s="4">
        <v>36922</v>
      </c>
      <c r="L83">
        <v>6.4850986179409098E-2</v>
      </c>
      <c r="M83">
        <v>-3.4383889258348798E-3</v>
      </c>
      <c r="N83">
        <v>2.52292018127146E-2</v>
      </c>
      <c r="O83">
        <v>3.2671544564426502E-2</v>
      </c>
      <c r="P83">
        <v>4.4746469720635902E-2</v>
      </c>
      <c r="Q83">
        <v>-5.6000032026946402E-2</v>
      </c>
      <c r="R83">
        <v>-9.6545018325701296E-2</v>
      </c>
      <c r="S83">
        <v>0.13358679752705099</v>
      </c>
      <c r="T83">
        <v>5.27743684019353E-2</v>
      </c>
      <c r="U83">
        <v>-8.48941927925254E-2</v>
      </c>
      <c r="V83">
        <v>-3.1706991315931597E-2</v>
      </c>
      <c r="W83">
        <v>-5.6408730474737601E-2</v>
      </c>
      <c r="X83">
        <v>4.19775131557628E-2</v>
      </c>
      <c r="Y83">
        <v>6.6843527500258029E-2</v>
      </c>
    </row>
    <row r="84" spans="1:25" x14ac:dyDescent="0.25">
      <c r="A84" t="s">
        <v>7</v>
      </c>
      <c r="B84" t="s">
        <v>8</v>
      </c>
      <c r="C84" t="s">
        <v>9</v>
      </c>
      <c r="D84" t="s">
        <v>10</v>
      </c>
      <c r="E84">
        <v>5</v>
      </c>
      <c r="F84" s="1">
        <v>39752</v>
      </c>
      <c r="G84">
        <v>2.32924214813163E-2</v>
      </c>
      <c r="K84" s="4">
        <v>36950</v>
      </c>
      <c r="L84">
        <v>6.8774790982841602E-2</v>
      </c>
      <c r="M84">
        <v>1.29556749386265E-2</v>
      </c>
      <c r="N84">
        <v>6.5743133742104401E-2</v>
      </c>
      <c r="O84">
        <v>4.2916452385520797E-2</v>
      </c>
      <c r="P84">
        <v>-4.0297907262009998E-2</v>
      </c>
      <c r="Q84">
        <v>7.2729909938500495E-2</v>
      </c>
      <c r="R84">
        <v>-2.3207173280333799E-2</v>
      </c>
      <c r="S84">
        <v>5.0456543978014898E-2</v>
      </c>
      <c r="T84">
        <v>1.43552718365948E-2</v>
      </c>
      <c r="U84">
        <v>-5.0144348119332001E-2</v>
      </c>
      <c r="V84">
        <v>-5.2842616634423502E-2</v>
      </c>
      <c r="W84">
        <v>-1.9486291792280602E-2</v>
      </c>
      <c r="X84">
        <v>1.7718150293171302E-2</v>
      </c>
      <c r="Y84">
        <v>0.15967159100699491</v>
      </c>
    </row>
    <row r="85" spans="1:25" x14ac:dyDescent="0.25">
      <c r="A85" t="s">
        <v>7</v>
      </c>
      <c r="B85" t="s">
        <v>8</v>
      </c>
      <c r="C85" t="s">
        <v>9</v>
      </c>
      <c r="D85" t="s">
        <v>10</v>
      </c>
      <c r="E85">
        <v>5</v>
      </c>
      <c r="F85" s="1">
        <v>39782</v>
      </c>
      <c r="G85">
        <v>5.8789176386305902E-2</v>
      </c>
      <c r="K85" s="4">
        <v>36981</v>
      </c>
      <c r="L85">
        <v>-6.7250555251312003E-2</v>
      </c>
      <c r="M85">
        <v>-2.9746169907188001E-2</v>
      </c>
      <c r="N85">
        <v>-7.3395601812455802E-2</v>
      </c>
      <c r="O85">
        <v>7.2855780102878704E-3</v>
      </c>
      <c r="P85">
        <v>2.0893975088350199E-3</v>
      </c>
      <c r="Q85">
        <v>6.3056191875203005E-2</v>
      </c>
      <c r="R85">
        <v>3.4602020786033802E-3</v>
      </c>
      <c r="S85">
        <v>5.3696133783942203E-2</v>
      </c>
      <c r="T85">
        <v>6.2518791781998803E-2</v>
      </c>
      <c r="U85">
        <v>1.3237056283118699E-2</v>
      </c>
      <c r="V85">
        <v>5.8835887131649701E-2</v>
      </c>
      <c r="W85">
        <v>-1.63270358625923E-2</v>
      </c>
      <c r="X85">
        <v>-1.1644463276171001E-3</v>
      </c>
      <c r="Y85">
        <v>7.6295429292473502E-2</v>
      </c>
    </row>
    <row r="86" spans="1:25" x14ac:dyDescent="0.25">
      <c r="A86" t="s">
        <v>7</v>
      </c>
      <c r="B86" t="s">
        <v>8</v>
      </c>
      <c r="C86" t="s">
        <v>9</v>
      </c>
      <c r="D86" t="s">
        <v>10</v>
      </c>
      <c r="E86">
        <v>5</v>
      </c>
      <c r="F86" s="1">
        <v>39813</v>
      </c>
      <c r="G86">
        <v>4.2570131691974801E-2</v>
      </c>
      <c r="K86" s="4">
        <v>37011</v>
      </c>
      <c r="L86">
        <v>-1.55065340341772E-2</v>
      </c>
      <c r="M86">
        <v>3.9403308520909099E-2</v>
      </c>
      <c r="N86">
        <v>-5.0901330635782602E-2</v>
      </c>
      <c r="O86">
        <v>6.9159298816114601E-2</v>
      </c>
      <c r="P86">
        <v>7.7005923609261798E-2</v>
      </c>
      <c r="Q86">
        <v>-1.8419046801356E-2</v>
      </c>
      <c r="R86">
        <v>2.24134976541784E-2</v>
      </c>
      <c r="S86">
        <v>0.102509785776214</v>
      </c>
      <c r="T86">
        <v>5.5973163609290701E-2</v>
      </c>
      <c r="U86">
        <v>0.118488509194299</v>
      </c>
      <c r="V86">
        <v>8.37327240347195E-2</v>
      </c>
      <c r="W86">
        <v>5.3616807332714601E-2</v>
      </c>
      <c r="X86">
        <v>1.7250994049643999E-2</v>
      </c>
      <c r="Y86">
        <v>0.55472710112602985</v>
      </c>
    </row>
    <row r="87" spans="1:25" x14ac:dyDescent="0.25">
      <c r="A87" t="s">
        <v>7</v>
      </c>
      <c r="B87" t="s">
        <v>8</v>
      </c>
      <c r="C87" t="s">
        <v>9</v>
      </c>
      <c r="D87" t="s">
        <v>10</v>
      </c>
      <c r="E87">
        <v>5</v>
      </c>
      <c r="F87" s="1">
        <v>39844</v>
      </c>
      <c r="G87">
        <v>1.9023423188611301E-2</v>
      </c>
      <c r="K87" s="4">
        <v>37042</v>
      </c>
      <c r="L87">
        <v>-3.6234250006686899E-3</v>
      </c>
      <c r="M87">
        <v>1.81437497000582E-2</v>
      </c>
      <c r="N87">
        <v>-1.1797124575915201E-3</v>
      </c>
      <c r="O87">
        <v>2.9727908316005199E-2</v>
      </c>
      <c r="P87">
        <v>3.95547185220173E-2</v>
      </c>
      <c r="Q87">
        <v>7.6504687287303101E-3</v>
      </c>
      <c r="R87">
        <v>-2.3793573141730098E-2</v>
      </c>
      <c r="S87">
        <v>4.997047898741E-2</v>
      </c>
      <c r="T87">
        <v>8.85185209726949E-2</v>
      </c>
      <c r="U87">
        <v>1.41884311530074E-2</v>
      </c>
      <c r="V87">
        <v>1.9590376618511499E-2</v>
      </c>
      <c r="W87">
        <v>-6.3369104242321103E-2</v>
      </c>
      <c r="X87">
        <v>-5.7272852348392604E-3</v>
      </c>
      <c r="Y87">
        <v>0.16965155292128412</v>
      </c>
    </row>
    <row r="88" spans="1:25" x14ac:dyDescent="0.25">
      <c r="A88" t="s">
        <v>7</v>
      </c>
      <c r="B88" t="s">
        <v>8</v>
      </c>
      <c r="C88" t="s">
        <v>9</v>
      </c>
      <c r="D88" t="s">
        <v>10</v>
      </c>
      <c r="E88">
        <v>5</v>
      </c>
      <c r="F88" s="1">
        <v>39872</v>
      </c>
      <c r="G88">
        <v>-4.4662395186870901E-2</v>
      </c>
      <c r="K88" s="4">
        <v>37072</v>
      </c>
      <c r="M88">
        <v>-4.0034133918606697E-2</v>
      </c>
      <c r="N88">
        <v>8.3462817658041405E-4</v>
      </c>
      <c r="O88">
        <v>-5.9018103150980897E-2</v>
      </c>
      <c r="P88">
        <v>-2.1518255604820201E-2</v>
      </c>
      <c r="Q88">
        <v>0.13364026145281199</v>
      </c>
      <c r="R88">
        <v>5.3697948610892401E-2</v>
      </c>
      <c r="S88">
        <v>-4.4715152962694599E-4</v>
      </c>
      <c r="T88">
        <v>-5.4379610156872503E-2</v>
      </c>
      <c r="U88">
        <v>-8.1017043790169704E-2</v>
      </c>
      <c r="V88">
        <v>-7.5542244376831297E-2</v>
      </c>
      <c r="W88">
        <v>2.5585653114136998E-2</v>
      </c>
      <c r="X88">
        <v>6.4958844479700503E-2</v>
      </c>
      <c r="Y88">
        <v>-5.3239206693785943E-2</v>
      </c>
    </row>
    <row r="89" spans="1:25" x14ac:dyDescent="0.25">
      <c r="A89" t="s">
        <v>7</v>
      </c>
      <c r="B89" t="s">
        <v>8</v>
      </c>
      <c r="C89" t="s">
        <v>9</v>
      </c>
      <c r="D89" t="s">
        <v>10</v>
      </c>
      <c r="E89">
        <v>5</v>
      </c>
      <c r="F89" s="1">
        <v>39903</v>
      </c>
      <c r="G89">
        <v>4.3013912673214597E-2</v>
      </c>
      <c r="K89" s="4">
        <v>37103</v>
      </c>
      <c r="M89">
        <v>6.2704866503422996E-3</v>
      </c>
      <c r="N89">
        <v>2.71227290540083E-2</v>
      </c>
      <c r="O89">
        <v>5.5314298251109298E-2</v>
      </c>
      <c r="P89">
        <v>2.8394817154276501E-2</v>
      </c>
      <c r="Q89">
        <v>1.38341479404999E-2</v>
      </c>
      <c r="R89">
        <v>1.7362771593552598E-2</v>
      </c>
      <c r="S89">
        <v>-4.0434872805206398E-2</v>
      </c>
      <c r="T89">
        <v>-2.6734997636540199E-2</v>
      </c>
      <c r="U89">
        <v>5.8766847310227001E-2</v>
      </c>
      <c r="V89">
        <v>9.0993974839133504E-2</v>
      </c>
      <c r="W89">
        <v>4.6430696427913802E-2</v>
      </c>
      <c r="X89">
        <v>-4.4420540537479002E-3</v>
      </c>
      <c r="Y89">
        <v>0.27287884472556867</v>
      </c>
    </row>
    <row r="90" spans="1:25" x14ac:dyDescent="0.25">
      <c r="A90" t="s">
        <v>7</v>
      </c>
      <c r="B90" t="s">
        <v>8</v>
      </c>
      <c r="C90" t="s">
        <v>9</v>
      </c>
      <c r="D90" t="s">
        <v>10</v>
      </c>
      <c r="E90">
        <v>5</v>
      </c>
      <c r="F90" s="1">
        <v>39933</v>
      </c>
      <c r="G90">
        <v>-1.2517190840405101E-2</v>
      </c>
      <c r="K90" s="4">
        <v>37134</v>
      </c>
      <c r="M90">
        <v>-2.7156318602990299E-2</v>
      </c>
      <c r="N90">
        <v>0.10065299019578899</v>
      </c>
      <c r="O90">
        <v>1.53294096933142E-3</v>
      </c>
      <c r="P90">
        <v>1.53285812633364E-2</v>
      </c>
      <c r="Q90">
        <v>6.5226394404657396E-3</v>
      </c>
      <c r="R90">
        <v>4.8973893804033601E-3</v>
      </c>
      <c r="S90">
        <v>1.2591267394002101E-3</v>
      </c>
      <c r="T90">
        <v>-3.1647860178388297E-2</v>
      </c>
      <c r="U90">
        <v>2.1934518945916401E-2</v>
      </c>
      <c r="V90">
        <v>3.72314043113788E-2</v>
      </c>
      <c r="W90">
        <v>5.6280059443951699E-3</v>
      </c>
      <c r="X90">
        <v>4.8000834817305698E-4</v>
      </c>
      <c r="Y90">
        <v>0.13666342675721094</v>
      </c>
    </row>
    <row r="91" spans="1:25" x14ac:dyDescent="0.25">
      <c r="A91" t="s">
        <v>7</v>
      </c>
      <c r="B91" t="s">
        <v>8</v>
      </c>
      <c r="C91" t="s">
        <v>9</v>
      </c>
      <c r="D91" t="s">
        <v>10</v>
      </c>
      <c r="E91">
        <v>5</v>
      </c>
      <c r="F91" s="1">
        <v>39964</v>
      </c>
      <c r="G91">
        <v>5.7475592690821899E-3</v>
      </c>
      <c r="K91" s="4">
        <v>37164</v>
      </c>
      <c r="M91">
        <v>-5.95105289835903E-2</v>
      </c>
      <c r="N91">
        <v>4.2898802901001697E-2</v>
      </c>
      <c r="O91">
        <v>2.6055533133774698E-2</v>
      </c>
      <c r="P91">
        <v>6.2584505862999396E-3</v>
      </c>
      <c r="Q91">
        <v>6.2547742465816195E-2</v>
      </c>
      <c r="R91">
        <v>-1.88521365828558E-2</v>
      </c>
      <c r="S91">
        <v>-6.03204786046488E-2</v>
      </c>
      <c r="T91">
        <v>-2.3788586896273299E-2</v>
      </c>
      <c r="U91">
        <v>3.2722485531208899E-2</v>
      </c>
      <c r="V91">
        <v>-5.8619517936239998E-2</v>
      </c>
      <c r="W91">
        <v>0.13171173303841599</v>
      </c>
      <c r="X91">
        <v>-2.8977604244988301E-2</v>
      </c>
      <c r="Y91">
        <v>5.2125894407920925E-2</v>
      </c>
    </row>
    <row r="92" spans="1:25" x14ac:dyDescent="0.25">
      <c r="A92" t="s">
        <v>7</v>
      </c>
      <c r="B92" t="s">
        <v>8</v>
      </c>
      <c r="C92" t="s">
        <v>9</v>
      </c>
      <c r="D92" t="s">
        <v>10</v>
      </c>
      <c r="E92">
        <v>5</v>
      </c>
      <c r="F92" s="1">
        <v>39994</v>
      </c>
      <c r="G92">
        <v>1.6662489262883301E-2</v>
      </c>
      <c r="K92" s="4">
        <v>37195</v>
      </c>
      <c r="O92">
        <v>-7.8587343325896994E-2</v>
      </c>
      <c r="P92">
        <v>-3.8539676198376401E-2</v>
      </c>
      <c r="Q92">
        <v>-5.8828802242717797E-2</v>
      </c>
      <c r="R92">
        <v>4.81459321727013E-2</v>
      </c>
      <c r="S92">
        <v>5.7339717295087501E-2</v>
      </c>
      <c r="T92">
        <v>-2.2377506640302799E-2</v>
      </c>
      <c r="V92">
        <v>3.1098766890635201E-2</v>
      </c>
      <c r="W92">
        <v>-0.10088614674384</v>
      </c>
      <c r="X92">
        <v>1.38630297386611E-2</v>
      </c>
      <c r="Y92">
        <v>-0.1487720290540489</v>
      </c>
    </row>
    <row r="93" spans="1:25" x14ac:dyDescent="0.25">
      <c r="A93" t="s">
        <v>7</v>
      </c>
      <c r="B93" t="s">
        <v>8</v>
      </c>
      <c r="C93" t="s">
        <v>9</v>
      </c>
      <c r="D93" t="s">
        <v>10</v>
      </c>
      <c r="E93">
        <v>5</v>
      </c>
      <c r="F93" s="1">
        <v>40025</v>
      </c>
      <c r="G93">
        <v>-4.8245931380776701E-2</v>
      </c>
      <c r="K93" s="4">
        <v>37225</v>
      </c>
      <c r="O93">
        <v>-5.4244315683000897E-3</v>
      </c>
      <c r="P93">
        <v>-2.4876907366383198E-2</v>
      </c>
      <c r="Q93">
        <v>-0.100074354569509</v>
      </c>
      <c r="R93">
        <v>-2.23301208697545E-2</v>
      </c>
      <c r="S93">
        <v>4.6405404277485903E-3</v>
      </c>
      <c r="T93">
        <v>-0.12016536972620701</v>
      </c>
      <c r="V93">
        <v>1.7135757454218001E-2</v>
      </c>
      <c r="W93">
        <v>-3.45937523047357E-2</v>
      </c>
      <c r="X93">
        <v>2.82126742808863E-2</v>
      </c>
      <c r="Y93">
        <v>-0.25747596424203661</v>
      </c>
    </row>
    <row r="94" spans="1:25" x14ac:dyDescent="0.25">
      <c r="A94" t="s">
        <v>7</v>
      </c>
      <c r="B94" t="s">
        <v>8</v>
      </c>
      <c r="C94" t="s">
        <v>9</v>
      </c>
      <c r="D94" t="s">
        <v>10</v>
      </c>
      <c r="E94">
        <v>5</v>
      </c>
      <c r="F94" s="1">
        <v>40056</v>
      </c>
      <c r="G94">
        <v>8.7452855500828302E-3</v>
      </c>
      <c r="K94" s="4">
        <v>37256</v>
      </c>
      <c r="O94">
        <v>0.21515772635434</v>
      </c>
      <c r="P94">
        <v>-3.0134602289929899E-2</v>
      </c>
      <c r="Q94">
        <v>3.8239729380083902E-2</v>
      </c>
      <c r="R94">
        <v>-2.3215597042678299E-2</v>
      </c>
      <c r="S94">
        <v>-1.86295029419032E-3</v>
      </c>
      <c r="T94">
        <v>0.102775111043096</v>
      </c>
      <c r="V94">
        <v>0.21831930457552901</v>
      </c>
      <c r="W94">
        <v>1.81020470080792E-2</v>
      </c>
      <c r="X94">
        <v>-3.6563141485477001E-3</v>
      </c>
      <c r="Y94">
        <v>0.53372445458578188</v>
      </c>
    </row>
    <row r="95" spans="1:25" x14ac:dyDescent="0.25">
      <c r="A95" t="s">
        <v>7</v>
      </c>
      <c r="B95" t="s">
        <v>8</v>
      </c>
      <c r="C95" t="s">
        <v>9</v>
      </c>
      <c r="D95" t="s">
        <v>10</v>
      </c>
      <c r="E95">
        <v>5</v>
      </c>
      <c r="F95" s="1">
        <v>40086</v>
      </c>
      <c r="G95">
        <v>8.0200718797320502E-4</v>
      </c>
      <c r="K95" s="4">
        <v>37287</v>
      </c>
      <c r="M95">
        <v>-2.3167870656097701E-3</v>
      </c>
      <c r="N95">
        <v>3.9217664933438999E-2</v>
      </c>
      <c r="O95">
        <v>3.6418097462276103E-2</v>
      </c>
      <c r="P95">
        <v>2.2628424342308602E-3</v>
      </c>
      <c r="Q95">
        <v>-1.4988766399112299E-2</v>
      </c>
      <c r="R95">
        <v>-1.48257392103827E-2</v>
      </c>
      <c r="S95">
        <v>-1.9607759748889099E-2</v>
      </c>
      <c r="T95">
        <v>3.3178634862612397E-2</v>
      </c>
      <c r="U95">
        <v>-5.7136818080577396E-3</v>
      </c>
      <c r="V95">
        <v>6.97975285932384E-2</v>
      </c>
      <c r="W95">
        <v>1.76109498333341E-2</v>
      </c>
      <c r="X95">
        <v>-2.22153709146834E-2</v>
      </c>
      <c r="Y95">
        <v>0.11881761297239588</v>
      </c>
    </row>
    <row r="96" spans="1:25" x14ac:dyDescent="0.25">
      <c r="A96" t="s">
        <v>7</v>
      </c>
      <c r="B96" t="s">
        <v>8</v>
      </c>
      <c r="C96" t="s">
        <v>9</v>
      </c>
      <c r="D96" t="s">
        <v>10</v>
      </c>
      <c r="E96">
        <v>5</v>
      </c>
      <c r="F96" s="1">
        <v>40117</v>
      </c>
      <c r="G96">
        <v>-2.8757133803914901E-2</v>
      </c>
      <c r="K96" s="4">
        <v>37315</v>
      </c>
      <c r="M96">
        <v>7.3164346564504504E-2</v>
      </c>
      <c r="N96">
        <v>2.7174611135134901E-2</v>
      </c>
      <c r="O96">
        <v>8.0536006028855602E-4</v>
      </c>
      <c r="P96">
        <v>2.6439767154903399E-2</v>
      </c>
      <c r="Q96">
        <v>6.7042055890338598E-2</v>
      </c>
      <c r="R96">
        <v>5.0803349588271297E-2</v>
      </c>
      <c r="S96">
        <v>2.3518427090022699E-2</v>
      </c>
      <c r="T96">
        <v>-1.34247147548911E-2</v>
      </c>
      <c r="U96">
        <v>4.4823893706664501E-2</v>
      </c>
      <c r="V96">
        <v>4.24371207110706E-2</v>
      </c>
      <c r="W96">
        <v>1.35239219993653E-2</v>
      </c>
      <c r="X96">
        <v>6.3787793979373203E-2</v>
      </c>
      <c r="Y96">
        <v>0.42009593312504645</v>
      </c>
    </row>
    <row r="97" spans="1:25" x14ac:dyDescent="0.25">
      <c r="A97" t="s">
        <v>7</v>
      </c>
      <c r="B97" t="s">
        <v>8</v>
      </c>
      <c r="C97" t="s">
        <v>9</v>
      </c>
      <c r="D97" t="s">
        <v>10</v>
      </c>
      <c r="E97">
        <v>5</v>
      </c>
      <c r="F97" s="1">
        <v>40147</v>
      </c>
      <c r="G97">
        <v>-4.9094137502051702E-3</v>
      </c>
      <c r="K97" s="4">
        <v>37346</v>
      </c>
      <c r="M97">
        <v>0.118455319510871</v>
      </c>
      <c r="N97">
        <v>4.8710314181321997E-2</v>
      </c>
      <c r="O97">
        <v>-9.9884387711251191E-3</v>
      </c>
      <c r="P97">
        <v>6.1792554475388402E-2</v>
      </c>
      <c r="Q97">
        <v>5.5149928138603602E-2</v>
      </c>
      <c r="R97">
        <v>1.51662313639442E-3</v>
      </c>
      <c r="S97">
        <v>1.8616585639262599E-2</v>
      </c>
      <c r="T97">
        <v>-1.1730928127901699E-2</v>
      </c>
      <c r="U97">
        <v>0.146375572441899</v>
      </c>
      <c r="V97">
        <v>-6.3975864488213699E-2</v>
      </c>
      <c r="W97">
        <v>4.8448651647080903E-3</v>
      </c>
      <c r="X97">
        <v>4.6057764683535903E-2</v>
      </c>
      <c r="Y97">
        <v>0.41582429598474457</v>
      </c>
    </row>
    <row r="98" spans="1:25" x14ac:dyDescent="0.25">
      <c r="A98" t="s">
        <v>7</v>
      </c>
      <c r="B98" t="s">
        <v>8</v>
      </c>
      <c r="C98" t="s">
        <v>9</v>
      </c>
      <c r="D98" t="s">
        <v>10</v>
      </c>
      <c r="E98">
        <v>5</v>
      </c>
      <c r="F98" s="1">
        <v>40178</v>
      </c>
      <c r="G98">
        <v>7.0382213317914796E-3</v>
      </c>
      <c r="K98" s="4">
        <v>37376</v>
      </c>
      <c r="M98">
        <v>0.205413684684393</v>
      </c>
      <c r="N98">
        <v>6.0737519881275098E-2</v>
      </c>
      <c r="O98">
        <v>3.3446872309819103E-2</v>
      </c>
      <c r="P98">
        <v>-4.8033715494102097E-2</v>
      </c>
      <c r="Q98">
        <v>8.8473631847169804E-2</v>
      </c>
      <c r="R98">
        <v>7.17452099121932E-2</v>
      </c>
      <c r="S98">
        <v>0.101808624027978</v>
      </c>
      <c r="T98">
        <v>-1.9389204061696599E-2</v>
      </c>
      <c r="U98">
        <v>0.18413643362065299</v>
      </c>
      <c r="V98">
        <v>-6.6454422784153902E-3</v>
      </c>
      <c r="W98">
        <v>-0.103733460985587</v>
      </c>
      <c r="X98">
        <v>0.13376324307613999</v>
      </c>
      <c r="Y98">
        <v>0.70172339653982019</v>
      </c>
    </row>
    <row r="99" spans="1:25" x14ac:dyDescent="0.25">
      <c r="A99" t="s">
        <v>7</v>
      </c>
      <c r="B99" t="s">
        <v>8</v>
      </c>
      <c r="C99" t="s">
        <v>9</v>
      </c>
      <c r="D99" t="s">
        <v>10</v>
      </c>
      <c r="E99">
        <v>5</v>
      </c>
      <c r="F99" s="1">
        <v>40209</v>
      </c>
      <c r="G99">
        <v>0.162340727568207</v>
      </c>
      <c r="K99" s="4">
        <v>37407</v>
      </c>
      <c r="M99">
        <v>-9.1156265629049202E-2</v>
      </c>
      <c r="N99">
        <v>-9.0820346941935901E-2</v>
      </c>
      <c r="O99">
        <v>-3.5849949692536798E-2</v>
      </c>
      <c r="P99">
        <v>-1.6693370376604798E-2</v>
      </c>
      <c r="Q99">
        <v>-5.95893321000713E-2</v>
      </c>
      <c r="R99">
        <v>-2.1826541250733099E-2</v>
      </c>
      <c r="S99">
        <v>1.4225335410433901E-2</v>
      </c>
      <c r="T99">
        <v>1.9722135724015599E-2</v>
      </c>
      <c r="U99">
        <v>4.18722492556063E-2</v>
      </c>
      <c r="V99">
        <v>5.5382436104240401E-2</v>
      </c>
      <c r="W99">
        <v>-1.13176505980021E-2</v>
      </c>
      <c r="X99">
        <v>2.3748173007748102E-2</v>
      </c>
      <c r="Y99">
        <v>-0.17230312708688889</v>
      </c>
    </row>
    <row r="100" spans="1:25" x14ac:dyDescent="0.25">
      <c r="A100" t="s">
        <v>7</v>
      </c>
      <c r="B100" t="s">
        <v>8</v>
      </c>
      <c r="C100" t="s">
        <v>9</v>
      </c>
      <c r="D100" t="s">
        <v>10</v>
      </c>
      <c r="E100">
        <v>5</v>
      </c>
      <c r="F100" s="1">
        <v>40237</v>
      </c>
      <c r="G100">
        <v>-2.39260578257048E-2</v>
      </c>
      <c r="K100" s="4">
        <v>37437</v>
      </c>
      <c r="M100">
        <v>4.3552314746701003E-3</v>
      </c>
      <c r="N100">
        <v>2.9913362125932399E-2</v>
      </c>
      <c r="O100">
        <v>7.1070983259407397E-3</v>
      </c>
      <c r="P100">
        <v>2.1655641527062999E-3</v>
      </c>
      <c r="Q100">
        <v>-3.2500590699607403E-2</v>
      </c>
      <c r="R100">
        <v>-2.87069387217346E-2</v>
      </c>
      <c r="S100">
        <v>3.1113884352931401E-2</v>
      </c>
      <c r="T100">
        <v>0.113525441374102</v>
      </c>
      <c r="U100">
        <v>4.7194367968031802E-2</v>
      </c>
      <c r="V100">
        <v>4.1661974504693298E-2</v>
      </c>
      <c r="W100">
        <v>-6.5131541863589396E-2</v>
      </c>
      <c r="X100">
        <v>-4.0526909489071998E-2</v>
      </c>
      <c r="Y100">
        <v>0.11017094350500467</v>
      </c>
    </row>
    <row r="101" spans="1:25" x14ac:dyDescent="0.25">
      <c r="A101" t="s">
        <v>7</v>
      </c>
      <c r="B101" t="s">
        <v>8</v>
      </c>
      <c r="C101" t="s">
        <v>9</v>
      </c>
      <c r="D101" t="s">
        <v>10</v>
      </c>
      <c r="E101">
        <v>5</v>
      </c>
      <c r="F101" s="1">
        <v>40268</v>
      </c>
      <c r="G101">
        <v>-3.59255630324299E-2</v>
      </c>
      <c r="K101" s="4">
        <v>37468</v>
      </c>
      <c r="O101">
        <v>8.2256376981594201E-3</v>
      </c>
      <c r="P101">
        <v>1.2908297241145599E-2</v>
      </c>
      <c r="Q101">
        <v>2.5664614786767001E-2</v>
      </c>
      <c r="R101">
        <v>1.6931866226677601E-2</v>
      </c>
      <c r="S101">
        <v>-7.6426392088971796E-3</v>
      </c>
      <c r="T101">
        <v>3.1767179360699199E-2</v>
      </c>
      <c r="U101">
        <v>-3.5610014242734203E-2</v>
      </c>
      <c r="V101">
        <v>-4.36274719315611E-2</v>
      </c>
      <c r="W101">
        <v>4.4365433138996303E-2</v>
      </c>
      <c r="X101">
        <v>2.3310694039869002E-3</v>
      </c>
      <c r="Y101">
        <v>5.5313972473239527E-2</v>
      </c>
    </row>
    <row r="102" spans="1:25" x14ac:dyDescent="0.25">
      <c r="A102" t="s">
        <v>7</v>
      </c>
      <c r="B102" t="s">
        <v>8</v>
      </c>
      <c r="C102" t="s">
        <v>9</v>
      </c>
      <c r="D102" t="s">
        <v>10</v>
      </c>
      <c r="E102">
        <v>5</v>
      </c>
      <c r="F102" s="1">
        <v>40298</v>
      </c>
      <c r="G102">
        <v>4.9748142683456202E-3</v>
      </c>
      <c r="K102" s="4">
        <v>37499</v>
      </c>
      <c r="O102">
        <v>-0.164105867070099</v>
      </c>
      <c r="P102">
        <v>-2.5344523260546498E-2</v>
      </c>
      <c r="Q102">
        <v>-0.13330970560750199</v>
      </c>
      <c r="R102">
        <v>0.29724614537941002</v>
      </c>
      <c r="T102">
        <v>-5.2182416208867898E-2</v>
      </c>
      <c r="V102">
        <v>7.3534247824516397E-2</v>
      </c>
      <c r="W102">
        <v>-6.2367315469658E-2</v>
      </c>
      <c r="X102">
        <v>-6.0795218984066E-2</v>
      </c>
      <c r="Y102">
        <v>-0.12732465339681295</v>
      </c>
    </row>
    <row r="103" spans="1:25" x14ac:dyDescent="0.25">
      <c r="A103" t="s">
        <v>7</v>
      </c>
      <c r="B103" t="s">
        <v>8</v>
      </c>
      <c r="C103" t="s">
        <v>9</v>
      </c>
      <c r="D103" t="s">
        <v>10</v>
      </c>
      <c r="E103">
        <v>5</v>
      </c>
      <c r="F103" s="1">
        <v>40329</v>
      </c>
      <c r="G103">
        <v>-5.6376810208298199E-3</v>
      </c>
      <c r="K103" s="4">
        <v>37529</v>
      </c>
      <c r="O103">
        <v>7.0888572936745803E-2</v>
      </c>
      <c r="P103">
        <v>-2.8768578253185399E-2</v>
      </c>
      <c r="Q103">
        <v>2.40677969854497E-2</v>
      </c>
      <c r="R103">
        <v>-1.90290232635961E-4</v>
      </c>
      <c r="S103">
        <v>-8.6543573111112597E-3</v>
      </c>
      <c r="T103">
        <v>7.2518487194050907E-2</v>
      </c>
      <c r="U103">
        <v>6.67387879957098E-3</v>
      </c>
      <c r="V103">
        <v>9.6477310252940596E-2</v>
      </c>
      <c r="W103">
        <v>-6.9066998482308406E-2</v>
      </c>
      <c r="X103">
        <v>-4.1819726355557203E-2</v>
      </c>
      <c r="Y103">
        <v>0.12212609553395976</v>
      </c>
    </row>
    <row r="104" spans="1:25" x14ac:dyDescent="0.25">
      <c r="A104" t="s">
        <v>7</v>
      </c>
      <c r="B104" t="s">
        <v>8</v>
      </c>
      <c r="C104" t="s">
        <v>9</v>
      </c>
      <c r="D104" t="s">
        <v>10</v>
      </c>
      <c r="E104">
        <v>5</v>
      </c>
      <c r="F104" s="1">
        <v>40359</v>
      </c>
      <c r="G104">
        <v>1.12424416584463E-2</v>
      </c>
      <c r="K104" s="4">
        <v>37560</v>
      </c>
      <c r="O104">
        <v>-0.56377913876714503</v>
      </c>
      <c r="Q104">
        <v>0.24621079833792001</v>
      </c>
      <c r="R104">
        <v>0.13511533897535499</v>
      </c>
      <c r="T104">
        <v>0.111061382989378</v>
      </c>
      <c r="V104">
        <v>0.30326734448277998</v>
      </c>
      <c r="W104">
        <v>-8.7338606066370197E-3</v>
      </c>
      <c r="X104">
        <v>6.8419734099699397E-2</v>
      </c>
      <c r="Y104">
        <v>0.29156159951135036</v>
      </c>
    </row>
    <row r="105" spans="1:25" x14ac:dyDescent="0.25">
      <c r="A105" t="s">
        <v>7</v>
      </c>
      <c r="B105" t="s">
        <v>8</v>
      </c>
      <c r="C105" t="s">
        <v>9</v>
      </c>
      <c r="D105" t="s">
        <v>10</v>
      </c>
      <c r="E105">
        <v>5</v>
      </c>
      <c r="F105" s="1">
        <v>40390</v>
      </c>
      <c r="G105">
        <v>-1.5232193314837999E-2</v>
      </c>
      <c r="K105" s="4">
        <v>37590</v>
      </c>
      <c r="O105">
        <v>0.20644781963475001</v>
      </c>
      <c r="Q105">
        <v>-1.9844254358374401E-3</v>
      </c>
      <c r="R105">
        <v>-5.3678348899975099E-3</v>
      </c>
      <c r="T105">
        <v>7.95681819344424E-2</v>
      </c>
      <c r="V105">
        <v>0.168374128167702</v>
      </c>
      <c r="W105">
        <v>-2.2124455969195502E-3</v>
      </c>
      <c r="X105">
        <v>-2.6665428736328201E-2</v>
      </c>
      <c r="Y105">
        <v>0.41815999507781171</v>
      </c>
    </row>
    <row r="106" spans="1:25" x14ac:dyDescent="0.25">
      <c r="A106" t="s">
        <v>7</v>
      </c>
      <c r="B106" t="s">
        <v>8</v>
      </c>
      <c r="C106" t="s">
        <v>9</v>
      </c>
      <c r="D106" t="s">
        <v>10</v>
      </c>
      <c r="E106">
        <v>5</v>
      </c>
      <c r="F106" s="1">
        <v>40421</v>
      </c>
      <c r="G106">
        <v>1.06778302635593E-2</v>
      </c>
      <c r="K106" s="4">
        <v>37621</v>
      </c>
      <c r="O106">
        <v>-0.19973559262419499</v>
      </c>
      <c r="Q106">
        <v>3.6609427419051502E-2</v>
      </c>
      <c r="R106">
        <v>1.70330777871096E-2</v>
      </c>
      <c r="T106">
        <v>0.119669264414658</v>
      </c>
      <c r="V106">
        <v>0.184477363582735</v>
      </c>
      <c r="W106">
        <v>3.8297527314603397E-2</v>
      </c>
      <c r="X106">
        <v>1.46257085502176E-2</v>
      </c>
      <c r="Y106">
        <v>0.21097677644418011</v>
      </c>
    </row>
    <row r="107" spans="1:25" x14ac:dyDescent="0.25">
      <c r="A107" t="s">
        <v>7</v>
      </c>
      <c r="B107" t="s">
        <v>8</v>
      </c>
      <c r="C107" t="s">
        <v>9</v>
      </c>
      <c r="D107" t="s">
        <v>10</v>
      </c>
      <c r="E107">
        <v>5</v>
      </c>
      <c r="F107" s="1">
        <v>40451</v>
      </c>
      <c r="G107">
        <v>-1.11613812563695E-2</v>
      </c>
      <c r="K107" s="4">
        <v>37652</v>
      </c>
      <c r="O107">
        <v>7.06094345604385E-2</v>
      </c>
      <c r="P107">
        <v>-1.9400398531232401E-2</v>
      </c>
      <c r="Q107">
        <v>4.6367127834443397E-2</v>
      </c>
      <c r="R107">
        <v>5.5690477131167801E-2</v>
      </c>
      <c r="S107">
        <v>-6.4592986912216599E-2</v>
      </c>
      <c r="T107">
        <v>-1.8931729437419299E-3</v>
      </c>
      <c r="V107">
        <v>-4.4703388735177499E-2</v>
      </c>
      <c r="W107">
        <v>2.2434670160535299E-3</v>
      </c>
      <c r="X107">
        <v>9.5640337578750595E-2</v>
      </c>
      <c r="Y107">
        <v>0.13996089699848541</v>
      </c>
    </row>
    <row r="108" spans="1:25" x14ac:dyDescent="0.25">
      <c r="A108" t="s">
        <v>7</v>
      </c>
      <c r="B108" t="s">
        <v>8</v>
      </c>
      <c r="C108" t="s">
        <v>9</v>
      </c>
      <c r="D108" t="s">
        <v>10</v>
      </c>
      <c r="E108">
        <v>5</v>
      </c>
      <c r="F108" s="1">
        <v>40482</v>
      </c>
      <c r="G108">
        <v>9.2695284520386192E-3</v>
      </c>
      <c r="K108" s="4">
        <v>37680</v>
      </c>
      <c r="O108">
        <v>-0.123223100872093</v>
      </c>
      <c r="Q108">
        <v>0.11616748903271799</v>
      </c>
      <c r="R108">
        <v>1.11883904256858E-2</v>
      </c>
      <c r="T108">
        <v>2.8252089796230801E-2</v>
      </c>
      <c r="V108">
        <v>-0.23752040025690699</v>
      </c>
      <c r="W108">
        <v>-7.00392959874125E-2</v>
      </c>
      <c r="X108">
        <v>1.5504240035863299E-2</v>
      </c>
      <c r="Y108">
        <v>-0.25967058782591457</v>
      </c>
    </row>
    <row r="109" spans="1:25" x14ac:dyDescent="0.25">
      <c r="A109" t="s">
        <v>7</v>
      </c>
      <c r="B109" t="s">
        <v>8</v>
      </c>
      <c r="C109" t="s">
        <v>9</v>
      </c>
      <c r="D109" t="s">
        <v>10</v>
      </c>
      <c r="E109">
        <v>5</v>
      </c>
      <c r="F109" s="1">
        <v>40512</v>
      </c>
      <c r="G109">
        <v>1.6469446393806701E-2</v>
      </c>
      <c r="K109" s="4">
        <v>37711</v>
      </c>
      <c r="O109">
        <v>0.13002633717341999</v>
      </c>
      <c r="Q109">
        <v>1.7434420906389001E-2</v>
      </c>
      <c r="R109">
        <v>9.2675066101047199E-2</v>
      </c>
      <c r="T109">
        <v>6.9295108435649497E-2</v>
      </c>
      <c r="V109">
        <v>6.23103959403737E-2</v>
      </c>
      <c r="W109">
        <v>3.67226292512772E-2</v>
      </c>
      <c r="X109">
        <v>-4.7242835939424903E-2</v>
      </c>
      <c r="Y109">
        <v>0.36122112186873168</v>
      </c>
    </row>
    <row r="110" spans="1:25" x14ac:dyDescent="0.25">
      <c r="A110" t="s">
        <v>7</v>
      </c>
      <c r="B110" t="s">
        <v>8</v>
      </c>
      <c r="C110" t="s">
        <v>9</v>
      </c>
      <c r="D110" t="s">
        <v>10</v>
      </c>
      <c r="E110">
        <v>5</v>
      </c>
      <c r="F110" s="1">
        <v>40543</v>
      </c>
      <c r="G110">
        <v>3.5163651936928497E-2</v>
      </c>
      <c r="K110" s="4">
        <v>37741</v>
      </c>
      <c r="O110">
        <v>0.92303314434679096</v>
      </c>
      <c r="Q110">
        <v>-0.11624887948428</v>
      </c>
      <c r="R110">
        <v>-4.4605508662707398E-2</v>
      </c>
      <c r="T110">
        <v>-0.27244777754441601</v>
      </c>
      <c r="V110">
        <v>-0.14520943822818</v>
      </c>
      <c r="W110">
        <v>9.9390624562396501E-2</v>
      </c>
      <c r="X110">
        <v>-8.9898308326135198E-2</v>
      </c>
      <c r="Y110">
        <v>0.35401385666346885</v>
      </c>
    </row>
    <row r="111" spans="1:25" x14ac:dyDescent="0.25">
      <c r="A111" t="s">
        <v>7</v>
      </c>
      <c r="B111" t="s">
        <v>8</v>
      </c>
      <c r="C111" t="s">
        <v>9</v>
      </c>
      <c r="D111" t="s">
        <v>10</v>
      </c>
      <c r="E111">
        <v>5</v>
      </c>
      <c r="F111" s="1">
        <v>40574</v>
      </c>
      <c r="G111">
        <v>2.2121825551377601E-2</v>
      </c>
      <c r="K111" s="4">
        <v>37772</v>
      </c>
      <c r="O111">
        <v>-9.1197047247126503E-2</v>
      </c>
      <c r="P111">
        <v>2.9850754990845801E-2</v>
      </c>
      <c r="Q111">
        <v>3.9414640739009299E-2</v>
      </c>
      <c r="R111">
        <v>-6.0892609934445402E-3</v>
      </c>
      <c r="S111">
        <v>0.14597343094197099</v>
      </c>
      <c r="T111">
        <v>3.9311150849002897E-3</v>
      </c>
      <c r="V111">
        <v>-1.0195238791358001E-2</v>
      </c>
      <c r="W111">
        <v>-3.3532654078365101E-2</v>
      </c>
      <c r="X111">
        <v>-1.87823349652377E-2</v>
      </c>
      <c r="Y111">
        <v>5.9373405681194528E-2</v>
      </c>
    </row>
    <row r="112" spans="1:25" x14ac:dyDescent="0.25">
      <c r="A112" t="s">
        <v>7</v>
      </c>
      <c r="B112" t="s">
        <v>8</v>
      </c>
      <c r="C112" t="s">
        <v>9</v>
      </c>
      <c r="D112" t="s">
        <v>10</v>
      </c>
      <c r="E112">
        <v>5</v>
      </c>
      <c r="F112" s="1">
        <v>40602</v>
      </c>
      <c r="G112">
        <v>-1.02732280255435E-2</v>
      </c>
      <c r="K112" s="4">
        <v>37802</v>
      </c>
      <c r="O112">
        <v>0.19647263908009899</v>
      </c>
      <c r="P112">
        <v>-1.3653973467958099E-2</v>
      </c>
      <c r="Q112">
        <v>2.32659958499305E-3</v>
      </c>
      <c r="R112">
        <v>0.22551893455795999</v>
      </c>
      <c r="S112">
        <v>-0.21071636642377001</v>
      </c>
      <c r="T112">
        <v>0.135267969433053</v>
      </c>
      <c r="V112">
        <v>0.23622085266867801</v>
      </c>
      <c r="W112">
        <v>-4.8478042947602898E-2</v>
      </c>
      <c r="X112">
        <v>8.3340808341800104E-2</v>
      </c>
      <c r="Y112">
        <v>0.60629942082725208</v>
      </c>
    </row>
    <row r="113" spans="1:56" x14ac:dyDescent="0.25">
      <c r="A113" t="s">
        <v>7</v>
      </c>
      <c r="B113" t="s">
        <v>8</v>
      </c>
      <c r="C113" t="s">
        <v>9</v>
      </c>
      <c r="D113" t="s">
        <v>10</v>
      </c>
      <c r="E113">
        <v>5</v>
      </c>
      <c r="F113" s="1">
        <v>40633</v>
      </c>
      <c r="G113">
        <v>-2.23385246012907E-3</v>
      </c>
      <c r="K113" s="4">
        <v>37833</v>
      </c>
      <c r="O113">
        <v>-0.163160829083595</v>
      </c>
      <c r="P113">
        <v>-4.2878488769498298E-2</v>
      </c>
      <c r="Q113">
        <v>4.62009617540447E-2</v>
      </c>
      <c r="R113">
        <v>-9.7551404299255698E-3</v>
      </c>
      <c r="S113">
        <v>0.124691302614667</v>
      </c>
      <c r="T113">
        <v>3.8372335973039802E-2</v>
      </c>
      <c r="V113">
        <v>1.54824107119402E-2</v>
      </c>
      <c r="W113">
        <v>-4.0415945411099899E-2</v>
      </c>
      <c r="X113">
        <v>-2.5643302869203601E-2</v>
      </c>
      <c r="Y113">
        <v>-5.7106695509630656E-2</v>
      </c>
    </row>
    <row r="114" spans="1:56" x14ac:dyDescent="0.25">
      <c r="A114" t="s">
        <v>7</v>
      </c>
      <c r="B114" t="s">
        <v>8</v>
      </c>
      <c r="C114" t="s">
        <v>9</v>
      </c>
      <c r="D114" t="s">
        <v>10</v>
      </c>
      <c r="E114">
        <v>5</v>
      </c>
      <c r="F114" s="1">
        <v>40663</v>
      </c>
      <c r="G114">
        <v>1.2767461784536201E-2</v>
      </c>
      <c r="K114" s="4">
        <v>37864</v>
      </c>
      <c r="O114">
        <v>0.30065187816224698</v>
      </c>
      <c r="Q114">
        <v>9.1497243836908201E-2</v>
      </c>
      <c r="R114">
        <v>-4.5847039318147299E-2</v>
      </c>
      <c r="T114">
        <v>2.13539807810622E-4</v>
      </c>
      <c r="V114">
        <v>-6.3675155273728898E-2</v>
      </c>
      <c r="W114">
        <v>4.2053213863299001E-2</v>
      </c>
      <c r="X114">
        <v>-4.8217032450056402E-2</v>
      </c>
      <c r="Y114">
        <v>0.27667664862833219</v>
      </c>
    </row>
    <row r="115" spans="1:56" x14ac:dyDescent="0.25">
      <c r="A115" t="s">
        <v>7</v>
      </c>
      <c r="B115" t="s">
        <v>8</v>
      </c>
      <c r="C115" t="s">
        <v>9</v>
      </c>
      <c r="D115" t="s">
        <v>10</v>
      </c>
      <c r="E115">
        <v>5</v>
      </c>
      <c r="F115" s="1">
        <v>40694</v>
      </c>
      <c r="G115">
        <v>2.3645894436397298E-3</v>
      </c>
      <c r="K115" s="4">
        <v>37894</v>
      </c>
      <c r="M115" s="6">
        <v>6.7290312209734193E-2</v>
      </c>
      <c r="N115" s="6">
        <v>-9.3941279610322108E-3</v>
      </c>
      <c r="O115" s="6">
        <v>-4.3093304729111402E-2</v>
      </c>
      <c r="P115" s="6">
        <v>1.41479810704342E-3</v>
      </c>
      <c r="Q115" s="6">
        <v>-8.8646056198412801E-2</v>
      </c>
      <c r="R115" s="6">
        <v>-1.9073520804489E-2</v>
      </c>
      <c r="S115" s="6">
        <v>-5.9737688160272299E-2</v>
      </c>
      <c r="T115" s="6">
        <v>-3.5022494203014398E-2</v>
      </c>
      <c r="U115" s="6">
        <v>1.9568775298123502E-2</v>
      </c>
      <c r="V115" s="6">
        <v>1.21530621548059E-2</v>
      </c>
      <c r="W115" s="6">
        <v>4.6139830233158E-2</v>
      </c>
      <c r="X115" s="6">
        <v>-2.3329665388468899E-2</v>
      </c>
      <c r="Y115" s="6">
        <v>-0.13173007944193599</v>
      </c>
    </row>
    <row r="116" spans="1:56" x14ac:dyDescent="0.25">
      <c r="A116" t="s">
        <v>7</v>
      </c>
      <c r="B116" t="s">
        <v>8</v>
      </c>
      <c r="C116" t="s">
        <v>9</v>
      </c>
      <c r="D116" t="s">
        <v>10</v>
      </c>
      <c r="E116">
        <v>5</v>
      </c>
      <c r="F116" s="1">
        <v>40724</v>
      </c>
      <c r="G116">
        <v>3.4764953336635499E-3</v>
      </c>
      <c r="K116" s="4">
        <v>37925</v>
      </c>
      <c r="M116" s="6">
        <v>-2.55452445218914E-2</v>
      </c>
      <c r="N116" s="6">
        <v>-8.2961643921203698E-2</v>
      </c>
      <c r="O116" s="6">
        <v>2.0568074470399201E-2</v>
      </c>
      <c r="P116" s="6">
        <v>-5.5808288076802999E-2</v>
      </c>
      <c r="Q116" s="6">
        <v>6.0513063665356699E-2</v>
      </c>
      <c r="R116" s="6">
        <v>3.8311782147889301E-2</v>
      </c>
      <c r="S116" s="6">
        <v>7.1233163148106002E-2</v>
      </c>
      <c r="T116" s="6">
        <v>2.2989560206046498E-2</v>
      </c>
      <c r="U116" s="6">
        <v>-2.1445544174281701E-2</v>
      </c>
      <c r="V116" s="6">
        <v>-9.6118615493854295E-4</v>
      </c>
      <c r="W116" s="6">
        <v>-6.3349632602383299E-2</v>
      </c>
      <c r="X116" s="6">
        <v>2.0068837680409998E-2</v>
      </c>
      <c r="Y116" s="6">
        <v>-1.6387058133293941E-2</v>
      </c>
    </row>
    <row r="117" spans="1:56" x14ac:dyDescent="0.25">
      <c r="A117" t="s">
        <v>7</v>
      </c>
      <c r="B117" t="s">
        <v>8</v>
      </c>
      <c r="C117" t="s">
        <v>9</v>
      </c>
      <c r="D117" t="s">
        <v>10</v>
      </c>
      <c r="E117">
        <v>5</v>
      </c>
      <c r="F117" s="1">
        <v>40755</v>
      </c>
      <c r="G117">
        <v>1.05647950697354E-4</v>
      </c>
      <c r="K117" s="4">
        <v>37955</v>
      </c>
      <c r="M117" s="6">
        <v>1.83878776055133E-2</v>
      </c>
      <c r="N117" s="6">
        <v>-6.3182852388746394E-2</v>
      </c>
      <c r="O117" s="6">
        <v>-6.4098273878663195E-2</v>
      </c>
      <c r="P117" s="6">
        <v>2.6227377497237501E-2</v>
      </c>
      <c r="Q117" s="6">
        <v>7.4221653994812703E-2</v>
      </c>
      <c r="R117" s="6">
        <v>-2.3489580616350501E-2</v>
      </c>
      <c r="S117" s="6">
        <v>6.4221030499252693E-2</v>
      </c>
      <c r="T117" s="6">
        <v>-2.3288371563178398E-2</v>
      </c>
      <c r="U117" s="6">
        <v>-5.2722399676957497E-3</v>
      </c>
      <c r="V117" s="6">
        <v>-2.0195417764041601E-2</v>
      </c>
      <c r="W117" s="6">
        <v>3.06868801857209E-3</v>
      </c>
      <c r="X117" s="6">
        <v>4.2660452855954198E-2</v>
      </c>
      <c r="Y117" s="6">
        <v>2.9260344292666642E-2</v>
      </c>
    </row>
    <row r="118" spans="1:56" x14ac:dyDescent="0.25">
      <c r="A118" t="s">
        <v>7</v>
      </c>
      <c r="B118" t="s">
        <v>8</v>
      </c>
      <c r="C118" t="s">
        <v>9</v>
      </c>
      <c r="D118" t="s">
        <v>10</v>
      </c>
      <c r="E118">
        <v>5</v>
      </c>
      <c r="F118" s="1">
        <v>40786</v>
      </c>
      <c r="G118">
        <v>2.7452791924340102E-2</v>
      </c>
      <c r="K118" s="4">
        <v>37986</v>
      </c>
      <c r="L118">
        <v>6.5204857573599395E-2</v>
      </c>
      <c r="M118" s="6">
        <v>-8.3525984224309697E-3</v>
      </c>
      <c r="N118" s="6">
        <v>1.6083089897297401E-2</v>
      </c>
      <c r="O118" s="6">
        <v>4.0232852278214498E-3</v>
      </c>
      <c r="P118" s="6">
        <v>-6.9301157121120893E-2</v>
      </c>
      <c r="Q118" s="6">
        <v>-6.3427592858945003E-2</v>
      </c>
      <c r="R118" s="6">
        <v>-3.7426596390954497E-2</v>
      </c>
      <c r="S118" s="6">
        <v>-6.7001054064949897E-2</v>
      </c>
      <c r="T118" s="6">
        <v>-3.5207604437708803E-2</v>
      </c>
      <c r="U118" s="6">
        <v>-1.0553807022189499E-3</v>
      </c>
      <c r="V118" s="6">
        <v>2.26817887067725E-2</v>
      </c>
      <c r="W118" s="6">
        <v>5.74881944952398E-2</v>
      </c>
      <c r="X118" s="6">
        <v>-4.9224149549301497E-3</v>
      </c>
      <c r="Y118" s="6">
        <v>-0.12121318305252861</v>
      </c>
    </row>
    <row r="119" spans="1:56" x14ac:dyDescent="0.25">
      <c r="A119" t="s">
        <v>7</v>
      </c>
      <c r="B119" t="s">
        <v>8</v>
      </c>
      <c r="C119" t="s">
        <v>9</v>
      </c>
      <c r="D119" t="s">
        <v>10</v>
      </c>
      <c r="E119">
        <v>5</v>
      </c>
      <c r="F119" s="1">
        <v>40816</v>
      </c>
      <c r="G119">
        <v>5.3275462152606999E-2</v>
      </c>
      <c r="K119" s="4">
        <v>38017</v>
      </c>
      <c r="M119" s="6">
        <v>9.5841169075660995E-2</v>
      </c>
      <c r="N119" s="6">
        <v>0.17249432711514201</v>
      </c>
      <c r="O119" s="6">
        <v>-9.5592909099183904E-3</v>
      </c>
      <c r="P119" s="6">
        <v>3.4731936173990302E-4</v>
      </c>
      <c r="Q119" s="6">
        <v>-0.14380576957889801</v>
      </c>
      <c r="R119" s="6">
        <v>4.1741217851294699E-2</v>
      </c>
      <c r="S119" s="6">
        <v>-0.122061730969312</v>
      </c>
      <c r="T119" s="6">
        <v>-3.1546504831631302E-2</v>
      </c>
      <c r="U119" s="6">
        <v>3.16653640916814E-2</v>
      </c>
      <c r="V119" s="6">
        <v>-9.2335613298619904E-2</v>
      </c>
      <c r="W119" s="6">
        <v>0.13586959188436301</v>
      </c>
      <c r="X119" s="6">
        <v>-4.7133731158509801E-2</v>
      </c>
      <c r="Y119" s="6">
        <v>3.1516348632992602E-2</v>
      </c>
    </row>
    <row r="120" spans="1:56" x14ac:dyDescent="0.25">
      <c r="A120" t="s">
        <v>7</v>
      </c>
      <c r="B120" t="s">
        <v>8</v>
      </c>
      <c r="C120" t="s">
        <v>9</v>
      </c>
      <c r="D120" t="s">
        <v>10</v>
      </c>
      <c r="E120">
        <v>5</v>
      </c>
      <c r="F120" s="1">
        <v>40847</v>
      </c>
      <c r="G120">
        <v>-7.9564031770271396E-2</v>
      </c>
      <c r="K120" s="4">
        <v>38046</v>
      </c>
      <c r="M120" s="6">
        <v>1.15056824111954E-2</v>
      </c>
      <c r="N120" s="6">
        <v>-6.0372520724478199E-2</v>
      </c>
      <c r="O120" s="6">
        <v>-2.4988080461760001E-2</v>
      </c>
      <c r="P120" s="6">
        <v>1.6066339555729101E-2</v>
      </c>
      <c r="Q120" s="6">
        <v>6.9609988856134994E-2</v>
      </c>
      <c r="R120" s="6">
        <v>7.1489011768104196E-2</v>
      </c>
      <c r="S120" s="6">
        <v>7.9724626198512297E-2</v>
      </c>
      <c r="T120" s="6">
        <v>4.5387205131878897E-2</v>
      </c>
      <c r="U120" s="6">
        <v>0.12589635084987899</v>
      </c>
      <c r="V120" s="6">
        <v>0.105202487534393</v>
      </c>
      <c r="W120" s="6">
        <v>-0.15128389288206701</v>
      </c>
      <c r="X120" s="6">
        <v>9.3801919567466002E-2</v>
      </c>
      <c r="Y120" s="6">
        <v>0.38203911780498767</v>
      </c>
    </row>
    <row r="121" spans="1:56" x14ac:dyDescent="0.25">
      <c r="A121" t="s">
        <v>7</v>
      </c>
      <c r="B121" t="s">
        <v>8</v>
      </c>
      <c r="C121" t="s">
        <v>9</v>
      </c>
      <c r="D121" t="s">
        <v>10</v>
      </c>
      <c r="E121">
        <v>5</v>
      </c>
      <c r="F121" s="1">
        <v>40877</v>
      </c>
      <c r="G121">
        <v>9.1765591205882294E-3</v>
      </c>
      <c r="K121" s="4">
        <v>38077</v>
      </c>
      <c r="M121" s="6">
        <v>1.90132565508776E-2</v>
      </c>
      <c r="N121" s="6">
        <v>3.1900719634638799E-3</v>
      </c>
      <c r="O121" s="6">
        <v>-2.0045795828006599E-2</v>
      </c>
      <c r="P121" s="6">
        <v>1.57311637322868E-2</v>
      </c>
      <c r="Q121" s="6">
        <v>1.1692676526899299E-2</v>
      </c>
      <c r="R121" s="6">
        <v>8.5727840208040893E-3</v>
      </c>
      <c r="S121" s="6">
        <v>-2.34216848778722E-2</v>
      </c>
      <c r="T121" s="6">
        <v>-2.9552719295364599E-2</v>
      </c>
      <c r="U121" s="6">
        <v>1.02346926782492E-2</v>
      </c>
      <c r="V121" s="6">
        <v>5.5360050753171398E-3</v>
      </c>
      <c r="W121" s="6">
        <v>1.4557146240435999E-2</v>
      </c>
      <c r="X121" s="6">
        <v>2.3689652898225499E-2</v>
      </c>
      <c r="Y121" s="6">
        <v>3.9197249685316113E-2</v>
      </c>
      <c r="AA121" t="str">
        <f>+L5</f>
        <v>accruals</v>
      </c>
      <c r="AB121" t="str">
        <f t="shared" ref="AB121:AM121" si="0">+M5</f>
        <v>debt_issuance</v>
      </c>
      <c r="AC121" t="str">
        <f t="shared" si="0"/>
        <v>investment</v>
      </c>
      <c r="AD121" t="str">
        <f t="shared" si="0"/>
        <v>low_leverage</v>
      </c>
      <c r="AE121" t="str">
        <f t="shared" si="0"/>
        <v>low_risk</v>
      </c>
      <c r="AF121" t="str">
        <f t="shared" si="0"/>
        <v>momentum</v>
      </c>
      <c r="AG121" t="str">
        <f t="shared" si="0"/>
        <v>profit_growth</v>
      </c>
      <c r="AH121" t="str">
        <f t="shared" si="0"/>
        <v>profitability</v>
      </c>
      <c r="AI121" t="str">
        <f t="shared" si="0"/>
        <v>quality</v>
      </c>
      <c r="AJ121" t="str">
        <f t="shared" si="0"/>
        <v>seasonality</v>
      </c>
      <c r="AK121" t="str">
        <f t="shared" si="0"/>
        <v>short_term_reversal</v>
      </c>
      <c r="AL121" t="str">
        <f t="shared" si="0"/>
        <v>size</v>
      </c>
      <c r="AM121" t="str">
        <f t="shared" si="0"/>
        <v>value</v>
      </c>
      <c r="AN121" t="s">
        <v>34</v>
      </c>
      <c r="AQ121" t="str">
        <f>+AA121</f>
        <v>accruals</v>
      </c>
      <c r="AR121" t="str">
        <f t="shared" ref="AR121:AT121" si="1">+AB121</f>
        <v>debt_issuance</v>
      </c>
      <c r="AS121" t="str">
        <f t="shared" si="1"/>
        <v>investment</v>
      </c>
      <c r="AT121" t="str">
        <f t="shared" si="1"/>
        <v>low_leverage</v>
      </c>
      <c r="AU121" t="str">
        <f t="shared" ref="AU121" si="2">+AE121</f>
        <v>low_risk</v>
      </c>
      <c r="AV121" t="str">
        <f t="shared" ref="AV121" si="3">+AF121</f>
        <v>momentum</v>
      </c>
      <c r="AW121" t="str">
        <f t="shared" ref="AW121" si="4">+AG121</f>
        <v>profit_growth</v>
      </c>
      <c r="AX121" t="str">
        <f t="shared" ref="AX121" si="5">+AH121</f>
        <v>profitability</v>
      </c>
      <c r="AY121" t="str">
        <f t="shared" ref="AY121" si="6">+AI121</f>
        <v>quality</v>
      </c>
      <c r="AZ121" t="str">
        <f t="shared" ref="AZ121" si="7">+AJ121</f>
        <v>seasonality</v>
      </c>
      <c r="BA121" t="str">
        <f t="shared" ref="BA121:BC121" si="8">+AK121</f>
        <v>short_term_reversal</v>
      </c>
      <c r="BB121" t="str">
        <f t="shared" si="8"/>
        <v>size</v>
      </c>
      <c r="BC121" t="str">
        <f t="shared" si="8"/>
        <v>value</v>
      </c>
      <c r="BD121" t="s">
        <v>34</v>
      </c>
    </row>
    <row r="122" spans="1:56" x14ac:dyDescent="0.25">
      <c r="A122" t="s">
        <v>7</v>
      </c>
      <c r="B122" t="s">
        <v>8</v>
      </c>
      <c r="C122" t="s">
        <v>9</v>
      </c>
      <c r="D122" t="s">
        <v>10</v>
      </c>
      <c r="E122">
        <v>5</v>
      </c>
      <c r="F122" s="1">
        <v>40908</v>
      </c>
      <c r="G122">
        <v>3.3253622468442899E-2</v>
      </c>
      <c r="K122" s="4">
        <v>38107</v>
      </c>
      <c r="M122" s="6">
        <v>-3.6816177747304002E-2</v>
      </c>
      <c r="N122" s="6">
        <v>-1.2036001717888699E-2</v>
      </c>
      <c r="O122" s="6">
        <v>-2.95159105395825E-2</v>
      </c>
      <c r="P122" s="6">
        <v>4.18213703760794E-2</v>
      </c>
      <c r="Q122" s="6">
        <v>-5.4052326641893703E-2</v>
      </c>
      <c r="R122" s="6">
        <v>5.2724926573236601E-3</v>
      </c>
      <c r="S122" s="6">
        <v>-3.7272363016272299E-2</v>
      </c>
      <c r="T122" s="6">
        <v>-1.9674510446988001E-2</v>
      </c>
      <c r="U122" s="6">
        <v>-6.4392847387170493E-2</v>
      </c>
      <c r="V122" s="6">
        <v>3.5623172821269498E-2</v>
      </c>
      <c r="W122" s="6">
        <v>0.13331195423112499</v>
      </c>
      <c r="X122" s="6">
        <v>6.5684539076435299E-3</v>
      </c>
      <c r="Y122" s="6">
        <v>-3.116269350365862E-2</v>
      </c>
      <c r="AP122" s="1">
        <f>+K122</f>
        <v>38107</v>
      </c>
      <c r="AQ122">
        <v>100</v>
      </c>
      <c r="AR122">
        <v>100</v>
      </c>
      <c r="AS122">
        <v>100</v>
      </c>
      <c r="AT122">
        <v>100</v>
      </c>
      <c r="AU122">
        <v>100</v>
      </c>
      <c r="AV122">
        <v>100</v>
      </c>
      <c r="AW122">
        <v>100</v>
      </c>
      <c r="AX122">
        <v>100</v>
      </c>
      <c r="AY122">
        <v>100</v>
      </c>
      <c r="AZ122">
        <v>100</v>
      </c>
      <c r="BA122">
        <v>100</v>
      </c>
      <c r="BB122">
        <v>100</v>
      </c>
      <c r="BC122">
        <v>100</v>
      </c>
      <c r="BD122">
        <v>100</v>
      </c>
    </row>
    <row r="123" spans="1:56" x14ac:dyDescent="0.25">
      <c r="A123" t="s">
        <v>7</v>
      </c>
      <c r="B123" t="s">
        <v>8</v>
      </c>
      <c r="C123" t="s">
        <v>9</v>
      </c>
      <c r="D123" t="s">
        <v>10</v>
      </c>
      <c r="E123">
        <v>5</v>
      </c>
      <c r="F123" s="1">
        <v>40939</v>
      </c>
      <c r="G123">
        <v>-5.6340726725317203E-2</v>
      </c>
      <c r="K123" s="5">
        <v>38138</v>
      </c>
      <c r="L123" s="6">
        <v>-3.7196045819566197E-2</v>
      </c>
      <c r="M123" s="6">
        <v>-5.6247884048272797E-3</v>
      </c>
      <c r="N123" s="6">
        <v>-1.54764440475281E-2</v>
      </c>
      <c r="O123" s="6">
        <v>-7.9165641550399696E-3</v>
      </c>
      <c r="P123" s="6">
        <v>1.3424193421957701E-2</v>
      </c>
      <c r="Q123" s="6">
        <v>1.85868662462336E-2</v>
      </c>
      <c r="R123" s="6">
        <v>3.8364360246795598E-2</v>
      </c>
      <c r="S123" s="6">
        <v>8.5677246229987306E-2</v>
      </c>
      <c r="T123" s="6">
        <v>7.4641313932661296E-2</v>
      </c>
      <c r="U123" s="6">
        <v>-4.7986615477949898E-2</v>
      </c>
      <c r="V123" s="6">
        <v>-1.30915370628164E-2</v>
      </c>
      <c r="W123" s="6">
        <v>-8.1721855286169501E-2</v>
      </c>
      <c r="X123" s="6">
        <v>4.1413955512478499E-2</v>
      </c>
      <c r="Y123" s="6">
        <v>6.309408533621666E-2</v>
      </c>
      <c r="AA123">
        <v>-3.7196045819566197E-2</v>
      </c>
      <c r="AB123">
        <v>-5.6247884048272797E-3</v>
      </c>
      <c r="AC123">
        <v>-1.54764440475281E-2</v>
      </c>
      <c r="AD123">
        <v>-7.9165641550399696E-3</v>
      </c>
      <c r="AE123">
        <v>1.3424193421957701E-2</v>
      </c>
      <c r="AF123">
        <v>1.85868662462336E-2</v>
      </c>
      <c r="AG123">
        <v>3.8364360246795598E-2</v>
      </c>
      <c r="AH123">
        <v>8.5677246229987306E-2</v>
      </c>
      <c r="AI123">
        <v>7.4641313932661296E-2</v>
      </c>
      <c r="AJ123">
        <v>-4.7986615477949898E-2</v>
      </c>
      <c r="AK123">
        <v>-1.30915370628164E-2</v>
      </c>
      <c r="AL123">
        <v>-8.1721855286169501E-2</v>
      </c>
      <c r="AM123">
        <v>4.1413955512478499E-2</v>
      </c>
      <c r="AN123">
        <f>+IBOV!C48</f>
        <v>-1.119946430066121E-2</v>
      </c>
      <c r="AP123" s="1">
        <f t="shared" ref="AP123:AP186" si="9">+K123</f>
        <v>38138</v>
      </c>
      <c r="AQ123">
        <f t="shared" ref="AQ123:BD123" si="10">+AQ122*(1+AA123)</f>
        <v>96.280395418043383</v>
      </c>
      <c r="AR123">
        <f t="shared" si="10"/>
        <v>99.437521159517274</v>
      </c>
      <c r="AS123">
        <f t="shared" si="10"/>
        <v>98.452355595247184</v>
      </c>
      <c r="AT123">
        <f t="shared" si="10"/>
        <v>99.208343584496006</v>
      </c>
      <c r="AU123">
        <f t="shared" si="10"/>
        <v>101.34241934219577</v>
      </c>
      <c r="AV123">
        <f t="shared" si="10"/>
        <v>101.85868662462336</v>
      </c>
      <c r="AW123">
        <f t="shared" si="10"/>
        <v>103.83643602467956</v>
      </c>
      <c r="AX123">
        <f t="shared" si="10"/>
        <v>108.56772462299872</v>
      </c>
      <c r="AY123">
        <f t="shared" si="10"/>
        <v>107.46413139326614</v>
      </c>
      <c r="AZ123">
        <f t="shared" si="10"/>
        <v>95.201338452205007</v>
      </c>
      <c r="BA123">
        <f t="shared" si="10"/>
        <v>98.690846293718366</v>
      </c>
      <c r="BB123">
        <f t="shared" si="10"/>
        <v>91.82781447138305</v>
      </c>
      <c r="BC123">
        <f t="shared" si="10"/>
        <v>104.14139555124784</v>
      </c>
      <c r="BD123">
        <f t="shared" si="10"/>
        <v>98.880053569933878</v>
      </c>
    </row>
    <row r="124" spans="1:56" x14ac:dyDescent="0.25">
      <c r="A124" t="s">
        <v>7</v>
      </c>
      <c r="B124" t="s">
        <v>8</v>
      </c>
      <c r="C124" t="s">
        <v>9</v>
      </c>
      <c r="D124" t="s">
        <v>10</v>
      </c>
      <c r="E124">
        <v>5</v>
      </c>
      <c r="F124" s="1">
        <v>40968</v>
      </c>
      <c r="G124">
        <v>1.4183042604669501E-3</v>
      </c>
      <c r="K124" s="4">
        <v>38168</v>
      </c>
      <c r="L124" s="6">
        <v>5.8615945870665702E-2</v>
      </c>
      <c r="M124" s="6">
        <v>5.2717830828647401E-2</v>
      </c>
      <c r="N124" s="6">
        <v>6.60249953385212E-3</v>
      </c>
      <c r="O124" s="6">
        <v>-7.6647875171691601E-3</v>
      </c>
      <c r="P124" s="6">
        <v>2.1278684522802901E-2</v>
      </c>
      <c r="Q124" s="6">
        <v>1.8701177277632701E-2</v>
      </c>
      <c r="R124" s="6">
        <v>4.5944564930614096E-3</v>
      </c>
      <c r="S124" s="6">
        <v>-5.1243209144785397E-3</v>
      </c>
      <c r="T124" s="6">
        <v>2.79585506187447E-2</v>
      </c>
      <c r="U124" s="6">
        <v>3.2265161791097202E-2</v>
      </c>
      <c r="V124" s="6">
        <v>4.6783761571402703E-2</v>
      </c>
      <c r="W124" s="6">
        <v>2.08764714197303E-2</v>
      </c>
      <c r="X124" s="6">
        <v>-2.6496393812010698E-2</v>
      </c>
      <c r="Y124" s="6">
        <v>0.25110903768397874</v>
      </c>
      <c r="AA124">
        <v>5.8615945870665702E-2</v>
      </c>
      <c r="AB124">
        <v>5.2717830828647401E-2</v>
      </c>
      <c r="AC124">
        <v>6.60249953385212E-3</v>
      </c>
      <c r="AD124">
        <v>-7.6647875171691601E-3</v>
      </c>
      <c r="AE124">
        <v>2.1278684522802901E-2</v>
      </c>
      <c r="AF124">
        <v>1.8701177277632701E-2</v>
      </c>
      <c r="AG124">
        <v>4.5944564930614096E-3</v>
      </c>
      <c r="AH124">
        <v>-5.1243209144785397E-3</v>
      </c>
      <c r="AI124">
        <v>2.79585506187447E-2</v>
      </c>
      <c r="AJ124">
        <v>3.2265161791097202E-2</v>
      </c>
      <c r="AK124">
        <v>4.6783761571402703E-2</v>
      </c>
      <c r="AL124">
        <v>2.08764714197303E-2</v>
      </c>
      <c r="AM124">
        <v>-2.6496393812010698E-2</v>
      </c>
      <c r="AN124">
        <f>+IBOV!C49</f>
        <v>4.0310838722784625E-2</v>
      </c>
      <c r="AP124" s="1">
        <f t="shared" si="9"/>
        <v>38168</v>
      </c>
      <c r="AQ124">
        <f t="shared" ref="AQ124:AQ187" si="11">+AQ123*(1+AA124)</f>
        <v>101.92396186427369</v>
      </c>
      <c r="AR124">
        <f t="shared" ref="AR124:AR187" si="12">+AR123*(1+AB124)</f>
        <v>104.67965157802475</v>
      </c>
      <c r="AS124">
        <f t="shared" ref="AS124:AS187" si="13">+AS123*(1+AC124)</f>
        <v>99.102387227171434</v>
      </c>
      <c r="AT124">
        <f t="shared" ref="AT124:AT187" si="14">+AT123*(1+AD124)</f>
        <v>98.447932710990528</v>
      </c>
      <c r="AU124">
        <f t="shared" ref="AU124:AU187" si="15">+AU123*(1+AE124)</f>
        <v>103.49885271215594</v>
      </c>
      <c r="AV124">
        <f t="shared" ref="AV124:AV187" si="16">+AV123*(1+AF124)</f>
        <v>103.76356398045728</v>
      </c>
      <c r="AW124">
        <f t="shared" ref="AW124:AW187" si="17">+AW123*(1+AG124)</f>
        <v>104.31350801238949</v>
      </c>
      <c r="AX124">
        <f t="shared" ref="AX124:AX187" si="18">+AX123*(1+AH124)</f>
        <v>108.01138876107574</v>
      </c>
      <c r="AY124">
        <f t="shared" ref="AY124:AY187" si="19">+AY123*(1+AI124)</f>
        <v>110.46867275052421</v>
      </c>
      <c r="AZ124">
        <f t="shared" ref="AZ124:AZ187" si="20">+AZ123*(1+AJ124)</f>
        <v>98.273025040094396</v>
      </c>
      <c r="BA124">
        <f t="shared" ref="BA124:BA187" si="21">+BA123*(1+AK124)</f>
        <v>103.30797531600363</v>
      </c>
      <c r="BB124">
        <f t="shared" ref="BB124:BB187" si="22">+BB123*(1+AL124)</f>
        <v>93.744855215731164</v>
      </c>
      <c r="BC124">
        <f t="shared" ref="BC124:BC187" si="23">+BC123*(1+AM124)</f>
        <v>101.3820241225896</v>
      </c>
      <c r="BD124">
        <f t="shared" ref="BD124:BD187" si="24">+BD123*(1+AN124)</f>
        <v>102.86599146229179</v>
      </c>
    </row>
    <row r="125" spans="1:56" x14ac:dyDescent="0.25">
      <c r="A125" t="s">
        <v>7</v>
      </c>
      <c r="B125" t="s">
        <v>8</v>
      </c>
      <c r="C125" t="s">
        <v>9</v>
      </c>
      <c r="D125" t="s">
        <v>10</v>
      </c>
      <c r="E125">
        <v>5</v>
      </c>
      <c r="F125" s="1">
        <v>40999</v>
      </c>
      <c r="G125">
        <v>1.18657599448488E-2</v>
      </c>
      <c r="K125" s="4">
        <v>38199</v>
      </c>
      <c r="L125" s="6">
        <v>-2.4282797487882101E-2</v>
      </c>
      <c r="M125" s="6">
        <v>-5.6502870836044099E-2</v>
      </c>
      <c r="N125" s="6">
        <v>-5.0385220881633698E-2</v>
      </c>
      <c r="O125" s="6">
        <v>1.1295216874387601E-2</v>
      </c>
      <c r="P125" s="6">
        <v>2.9304349488522199E-2</v>
      </c>
      <c r="Q125" s="6">
        <v>4.1061645174181503E-2</v>
      </c>
      <c r="R125" s="6">
        <v>-1.8030612581243701E-3</v>
      </c>
      <c r="S125" s="6">
        <v>-7.6705389005030294E-2</v>
      </c>
      <c r="T125" s="6">
        <v>1.3612508342977E-2</v>
      </c>
      <c r="U125" s="6">
        <v>-1.64074175279189E-2</v>
      </c>
      <c r="V125" s="6">
        <v>5.1970141103469198E-3</v>
      </c>
      <c r="W125" s="6">
        <v>1.12523950116892E-2</v>
      </c>
      <c r="X125" s="6">
        <v>-7.40445593535285E-4</v>
      </c>
      <c r="Y125" s="6">
        <v>-0.11510407358806432</v>
      </c>
      <c r="AA125">
        <v>-2.4282797487882101E-2</v>
      </c>
      <c r="AB125">
        <v>-5.6502870836044099E-2</v>
      </c>
      <c r="AC125">
        <v>-5.0385220881633698E-2</v>
      </c>
      <c r="AD125">
        <v>1.1295216874387601E-2</v>
      </c>
      <c r="AE125">
        <v>2.9304349488522199E-2</v>
      </c>
      <c r="AF125">
        <v>4.1061645174181503E-2</v>
      </c>
      <c r="AG125">
        <v>-1.8030612581243701E-3</v>
      </c>
      <c r="AH125">
        <v>-7.6705389005030294E-2</v>
      </c>
      <c r="AI125">
        <v>1.3612508342977E-2</v>
      </c>
      <c r="AJ125">
        <v>-1.64074175279189E-2</v>
      </c>
      <c r="AK125">
        <v>5.1970141103469198E-3</v>
      </c>
      <c r="AL125">
        <v>1.12523950116892E-2</v>
      </c>
      <c r="AM125">
        <v>-7.40445593535285E-4</v>
      </c>
      <c r="AN125">
        <f>+IBOV!C50</f>
        <v>7.0711344736114068E-2</v>
      </c>
      <c r="AP125" s="1">
        <f t="shared" si="9"/>
        <v>38199</v>
      </c>
      <c r="AQ125">
        <f t="shared" si="11"/>
        <v>99.448962939160921</v>
      </c>
      <c r="AR125">
        <f t="shared" si="12"/>
        <v>98.764950745749516</v>
      </c>
      <c r="AS125">
        <f t="shared" si="13"/>
        <v>94.109091556833206</v>
      </c>
      <c r="AT125">
        <f t="shared" si="14"/>
        <v>99.559923461796288</v>
      </c>
      <c r="AU125">
        <f t="shared" si="15"/>
        <v>106.53181926369403</v>
      </c>
      <c r="AV125">
        <f t="shared" si="16"/>
        <v>108.02426662663129</v>
      </c>
      <c r="AW125">
        <f t="shared" si="17"/>
        <v>104.12542436739331</v>
      </c>
      <c r="AX125">
        <f t="shared" si="18"/>
        <v>99.72633316918386</v>
      </c>
      <c r="AY125">
        <f t="shared" si="19"/>
        <v>111.97242847997832</v>
      </c>
      <c r="AZ125">
        <f t="shared" si="20"/>
        <v>96.660618486529941</v>
      </c>
      <c r="BA125">
        <f t="shared" si="21"/>
        <v>103.84486832143229</v>
      </c>
      <c r="BB125">
        <f t="shared" si="22"/>
        <v>94.799709356932183</v>
      </c>
      <c r="BC125">
        <f t="shared" si="23"/>
        <v>101.30695624956434</v>
      </c>
      <c r="BD125">
        <f t="shared" si="24"/>
        <v>110.13978404620407</v>
      </c>
    </row>
    <row r="126" spans="1:56" x14ac:dyDescent="0.25">
      <c r="A126" t="s">
        <v>7</v>
      </c>
      <c r="B126" t="s">
        <v>8</v>
      </c>
      <c r="C126" t="s">
        <v>9</v>
      </c>
      <c r="D126" t="s">
        <v>10</v>
      </c>
      <c r="E126">
        <v>5</v>
      </c>
      <c r="F126" s="1">
        <v>41029</v>
      </c>
      <c r="G126">
        <v>-4.6621075132878796E-3</v>
      </c>
      <c r="K126" s="4">
        <v>38230</v>
      </c>
      <c r="L126" s="6">
        <v>2.9907534298486602E-3</v>
      </c>
      <c r="M126" s="6">
        <v>1.7508128717128799E-2</v>
      </c>
      <c r="N126" s="6">
        <v>1.37947290280514E-3</v>
      </c>
      <c r="O126" s="6">
        <v>1.2813063242166099E-2</v>
      </c>
      <c r="P126" s="6">
        <v>4.270958178565E-2</v>
      </c>
      <c r="Q126" s="6">
        <v>0.11163623082705</v>
      </c>
      <c r="R126" s="6">
        <v>4.3887803796358503E-2</v>
      </c>
      <c r="S126" s="6">
        <v>-5.70250879795791E-2</v>
      </c>
      <c r="T126" s="6">
        <v>-1.3408262240512701E-2</v>
      </c>
      <c r="U126" s="6">
        <v>-1.3988291202251301E-2</v>
      </c>
      <c r="V126" s="6">
        <v>-1.6127114194418299E-2</v>
      </c>
      <c r="W126" s="6">
        <v>4.0221737671314997E-2</v>
      </c>
      <c r="X126" s="6">
        <v>-1.2914834358244399E-2</v>
      </c>
      <c r="Y126" s="6">
        <v>0.15968318239731641</v>
      </c>
      <c r="AA126">
        <v>2.9907534298486602E-3</v>
      </c>
      <c r="AB126">
        <v>1.7508128717128799E-2</v>
      </c>
      <c r="AC126">
        <v>1.37947290280514E-3</v>
      </c>
      <c r="AD126">
        <v>1.2813063242166099E-2</v>
      </c>
      <c r="AE126">
        <v>4.270958178565E-2</v>
      </c>
      <c r="AF126">
        <v>0.11163623082705</v>
      </c>
      <c r="AG126">
        <v>4.3887803796358503E-2</v>
      </c>
      <c r="AH126">
        <v>-5.70250879795791E-2</v>
      </c>
      <c r="AI126">
        <v>-1.3408262240512701E-2</v>
      </c>
      <c r="AJ126">
        <v>-1.3988291202251301E-2</v>
      </c>
      <c r="AK126">
        <v>-1.6127114194418299E-2</v>
      </c>
      <c r="AL126">
        <v>4.0221737671314997E-2</v>
      </c>
      <c r="AM126">
        <v>-1.2914834358244399E-2</v>
      </c>
      <c r="AN126">
        <f>+IBOV!C51</f>
        <v>8.0632903696498115E-2</v>
      </c>
      <c r="AP126" s="1">
        <f t="shared" si="9"/>
        <v>38230</v>
      </c>
      <c r="AQ126">
        <f t="shared" si="11"/>
        <v>99.746390266166102</v>
      </c>
      <c r="AR126">
        <f t="shared" si="12"/>
        <v>100.49414021614699</v>
      </c>
      <c r="AS126">
        <f t="shared" si="13"/>
        <v>94.238912498543471</v>
      </c>
      <c r="AT126">
        <f t="shared" si="14"/>
        <v>100.83559105749751</v>
      </c>
      <c r="AU126">
        <f t="shared" si="15"/>
        <v>111.08174871131085</v>
      </c>
      <c r="AV126">
        <f t="shared" si="16"/>
        <v>120.08368859068469</v>
      </c>
      <c r="AW126">
        <f t="shared" si="17"/>
        <v>108.69526056224204</v>
      </c>
      <c r="AX126">
        <f t="shared" si="18"/>
        <v>94.03943024633034</v>
      </c>
      <c r="AY126">
        <f t="shared" si="19"/>
        <v>110.47107279521171</v>
      </c>
      <c r="AZ126">
        <f t="shared" si="20"/>
        <v>95.308501607350649</v>
      </c>
      <c r="BA126">
        <f t="shared" si="21"/>
        <v>102.17015027150822</v>
      </c>
      <c r="BB126">
        <f t="shared" si="22"/>
        <v>98.612718398003608</v>
      </c>
      <c r="BC126">
        <f t="shared" si="23"/>
        <v>99.998593690263306</v>
      </c>
      <c r="BD126">
        <f t="shared" si="24"/>
        <v>119.02067464635475</v>
      </c>
    </row>
    <row r="127" spans="1:56" x14ac:dyDescent="0.25">
      <c r="A127" t="s">
        <v>7</v>
      </c>
      <c r="B127" t="s">
        <v>8</v>
      </c>
      <c r="C127" t="s">
        <v>9</v>
      </c>
      <c r="D127" t="s">
        <v>10</v>
      </c>
      <c r="E127">
        <v>5</v>
      </c>
      <c r="F127" s="1">
        <v>41060</v>
      </c>
      <c r="G127">
        <v>-2.0689179212833499E-2</v>
      </c>
      <c r="K127" s="4">
        <v>38260</v>
      </c>
      <c r="L127" s="6">
        <v>1.43916086731444E-2</v>
      </c>
      <c r="M127" s="6">
        <v>3.5902285205134603E-2</v>
      </c>
      <c r="N127" s="6">
        <v>6.3366381884111698E-3</v>
      </c>
      <c r="O127" s="6">
        <v>5.6210955784203501E-2</v>
      </c>
      <c r="P127" s="6">
        <v>2.5991596394461899E-2</v>
      </c>
      <c r="Q127" s="6">
        <v>1.1035209768009899E-2</v>
      </c>
      <c r="R127" s="6">
        <v>-7.0502126181575704E-3</v>
      </c>
      <c r="S127" s="6">
        <v>2.5663095804137701E-2</v>
      </c>
      <c r="T127" s="6">
        <v>4.1138758708375203E-2</v>
      </c>
      <c r="U127" s="6">
        <v>4.6958480939994801E-2</v>
      </c>
      <c r="V127" s="6">
        <v>-2.3755065974244999E-2</v>
      </c>
      <c r="W127" s="6">
        <v>3.1934630592748599E-2</v>
      </c>
      <c r="X127" s="6">
        <v>3.2121297535270703E-2</v>
      </c>
      <c r="Y127" s="6">
        <v>0.29687927900148986</v>
      </c>
      <c r="AA127">
        <v>1.43916086731444E-2</v>
      </c>
      <c r="AB127">
        <v>3.5902285205134603E-2</v>
      </c>
      <c r="AC127">
        <v>6.3366381884111698E-3</v>
      </c>
      <c r="AD127">
        <v>5.6210955784203501E-2</v>
      </c>
      <c r="AE127">
        <v>2.5991596394461899E-2</v>
      </c>
      <c r="AF127">
        <v>1.1035209768009899E-2</v>
      </c>
      <c r="AG127">
        <v>-7.0502126181575704E-3</v>
      </c>
      <c r="AH127">
        <v>2.5663095804137701E-2</v>
      </c>
      <c r="AI127">
        <v>4.1138758708375203E-2</v>
      </c>
      <c r="AJ127">
        <v>4.6958480939994801E-2</v>
      </c>
      <c r="AK127">
        <v>-2.3755065974244999E-2</v>
      </c>
      <c r="AL127">
        <v>3.1934630592748599E-2</v>
      </c>
      <c r="AM127">
        <v>3.2121297535270703E-2</v>
      </c>
      <c r="AN127">
        <f>+IBOV!C52</f>
        <v>8.9300533074532007E-2</v>
      </c>
      <c r="AP127" s="1">
        <f t="shared" si="9"/>
        <v>38260</v>
      </c>
      <c r="AQ127">
        <f t="shared" si="11"/>
        <v>101.1819012814355</v>
      </c>
      <c r="AR127">
        <f t="shared" si="12"/>
        <v>104.10210949963188</v>
      </c>
      <c r="AS127">
        <f t="shared" si="13"/>
        <v>94.836070390316081</v>
      </c>
      <c r="AT127">
        <f t="shared" si="14"/>
        <v>106.50365600790452</v>
      </c>
      <c r="AU127">
        <f t="shared" si="15"/>
        <v>113.96894069060629</v>
      </c>
      <c r="AV127">
        <f t="shared" si="16"/>
        <v>121.40883728399928</v>
      </c>
      <c r="AW127">
        <f t="shared" si="17"/>
        <v>107.92893586469221</v>
      </c>
      <c r="AX127">
        <f t="shared" si="18"/>
        <v>96.452773154108442</v>
      </c>
      <c r="AY127">
        <f t="shared" si="19"/>
        <v>115.01571560318926</v>
      </c>
      <c r="AZ127">
        <f t="shared" si="20"/>
        <v>99.784044063498882</v>
      </c>
      <c r="BA127">
        <f t="shared" si="21"/>
        <v>99.743091611210019</v>
      </c>
      <c r="BB127">
        <f t="shared" si="22"/>
        <v>101.76187913179059</v>
      </c>
      <c r="BC127">
        <f t="shared" si="23"/>
        <v>103.2106782712969</v>
      </c>
      <c r="BD127">
        <f t="shared" si="24"/>
        <v>129.64928433916467</v>
      </c>
    </row>
    <row r="128" spans="1:56" x14ac:dyDescent="0.25">
      <c r="A128" t="s">
        <v>7</v>
      </c>
      <c r="B128" t="s">
        <v>8</v>
      </c>
      <c r="C128" t="s">
        <v>9</v>
      </c>
      <c r="D128" t="s">
        <v>10</v>
      </c>
      <c r="E128">
        <v>5</v>
      </c>
      <c r="F128" s="1">
        <v>41090</v>
      </c>
      <c r="G128">
        <v>-1.38374039478743E-2</v>
      </c>
      <c r="K128" s="4">
        <v>38291</v>
      </c>
      <c r="L128" s="6">
        <v>-6.4105218956606605E-2</v>
      </c>
      <c r="M128" s="6">
        <v>3.0517690543484102E-2</v>
      </c>
      <c r="N128" s="6">
        <v>5.0072854622615704E-3</v>
      </c>
      <c r="O128" s="6">
        <v>1.9348209498174999E-2</v>
      </c>
      <c r="P128" s="6">
        <v>2.0077249879734201E-2</v>
      </c>
      <c r="Q128" s="6">
        <v>3.9760997798712602E-2</v>
      </c>
      <c r="R128" s="6">
        <v>2.6856706866793801E-2</v>
      </c>
      <c r="S128" s="6">
        <v>2.2483277261619899E-2</v>
      </c>
      <c r="T128" s="6">
        <v>1.63089569292911E-3</v>
      </c>
      <c r="U128" s="6">
        <v>2.4270779411906401E-2</v>
      </c>
      <c r="V128" s="6">
        <v>-5.1532547840657597E-2</v>
      </c>
      <c r="W128" s="6">
        <v>-2.48401289580602E-2</v>
      </c>
      <c r="X128" s="6">
        <v>-1.7734200981561199E-2</v>
      </c>
      <c r="Y128" s="6">
        <v>3.1740995678731079E-2</v>
      </c>
      <c r="AA128">
        <v>-6.4105218956606605E-2</v>
      </c>
      <c r="AB128">
        <v>3.0517690543484102E-2</v>
      </c>
      <c r="AC128">
        <v>5.0072854622615704E-3</v>
      </c>
      <c r="AD128">
        <v>1.9348209498174999E-2</v>
      </c>
      <c r="AE128">
        <v>2.0077249879734201E-2</v>
      </c>
      <c r="AF128">
        <v>3.9760997798712602E-2</v>
      </c>
      <c r="AG128">
        <v>2.6856706866793801E-2</v>
      </c>
      <c r="AH128">
        <v>2.2483277261619899E-2</v>
      </c>
      <c r="AI128">
        <v>1.63089569292911E-3</v>
      </c>
      <c r="AJ128">
        <v>2.4270779411906401E-2</v>
      </c>
      <c r="AK128">
        <v>-5.1532547840657597E-2</v>
      </c>
      <c r="AL128">
        <v>-2.48401289580602E-2</v>
      </c>
      <c r="AM128">
        <v>-1.7734200981561199E-2</v>
      </c>
      <c r="AN128">
        <f>+IBOV!C53</f>
        <v>1.348036050925816E-2</v>
      </c>
      <c r="AP128" s="1">
        <f t="shared" si="9"/>
        <v>38291</v>
      </c>
      <c r="AQ128">
        <f t="shared" si="11"/>
        <v>94.695613345343318</v>
      </c>
      <c r="AR128">
        <f t="shared" si="12"/>
        <v>107.27906546226554</v>
      </c>
      <c r="AS128">
        <f t="shared" si="13"/>
        <v>95.310941666879529</v>
      </c>
      <c r="AT128">
        <f t="shared" si="14"/>
        <v>108.56431105666702</v>
      </c>
      <c r="AU128">
        <f t="shared" si="15"/>
        <v>116.25712359138019</v>
      </c>
      <c r="AV128">
        <f t="shared" si="16"/>
        <v>126.23617379599263</v>
      </c>
      <c r="AW128">
        <f t="shared" si="17"/>
        <v>110.82755165765523</v>
      </c>
      <c r="AX128">
        <f t="shared" si="18"/>
        <v>98.621347595584396</v>
      </c>
      <c r="AY128">
        <f t="shared" si="19"/>
        <v>115.20329423838567</v>
      </c>
      <c r="AZ128">
        <f t="shared" si="20"/>
        <v>102.205880585792</v>
      </c>
      <c r="BA128">
        <f t="shared" si="21"/>
        <v>94.603075970980242</v>
      </c>
      <c r="BB128">
        <f t="shared" si="22"/>
        <v>99.234100931142379</v>
      </c>
      <c r="BC128">
        <f t="shared" si="23"/>
        <v>101.38031935939047</v>
      </c>
      <c r="BD128">
        <f t="shared" si="24"/>
        <v>131.39700343182392</v>
      </c>
    </row>
    <row r="129" spans="1:56" x14ac:dyDescent="0.25">
      <c r="A129" t="s">
        <v>7</v>
      </c>
      <c r="B129" t="s">
        <v>8</v>
      </c>
      <c r="C129" t="s">
        <v>9</v>
      </c>
      <c r="D129" t="s">
        <v>10</v>
      </c>
      <c r="E129">
        <v>5</v>
      </c>
      <c r="F129" s="1">
        <v>41121</v>
      </c>
      <c r="G129">
        <v>-2.16662773484666E-2</v>
      </c>
      <c r="K129" s="4">
        <v>38321</v>
      </c>
      <c r="L129" s="6">
        <v>4.7259551369621303E-2</v>
      </c>
      <c r="M129" s="6">
        <v>3.99780679267221E-4</v>
      </c>
      <c r="N129" s="6">
        <v>3.1121961486679499E-2</v>
      </c>
      <c r="O129" s="6">
        <v>-3.8725137024588199E-2</v>
      </c>
      <c r="P129" s="6">
        <v>-7.8112700024789303E-2</v>
      </c>
      <c r="Q129" s="6">
        <v>9.9570417067676706E-2</v>
      </c>
      <c r="R129" s="6">
        <v>3.7546048445257697E-2</v>
      </c>
      <c r="S129" s="6">
        <v>9.0162293931336495E-3</v>
      </c>
      <c r="T129" s="6">
        <v>-1.90693180902528E-2</v>
      </c>
      <c r="U129" s="6">
        <v>3.6639480409048799E-3</v>
      </c>
      <c r="V129" s="6">
        <v>3.7098422056220201E-2</v>
      </c>
      <c r="W129" s="6">
        <v>-8.2706964335886105E-2</v>
      </c>
      <c r="X129" s="6">
        <v>1.24174130092629E-2</v>
      </c>
      <c r="Y129" s="6">
        <v>5.9479652072507633E-2</v>
      </c>
      <c r="AA129">
        <v>4.7259551369621303E-2</v>
      </c>
      <c r="AB129">
        <v>3.99780679267221E-4</v>
      </c>
      <c r="AC129">
        <v>3.1121961486679499E-2</v>
      </c>
      <c r="AD129">
        <v>-3.8725137024588199E-2</v>
      </c>
      <c r="AE129">
        <v>-7.8112700024789303E-2</v>
      </c>
      <c r="AF129">
        <v>9.9570417067676706E-2</v>
      </c>
      <c r="AG129">
        <v>3.7546048445257697E-2</v>
      </c>
      <c r="AH129">
        <v>9.0162293931336495E-3</v>
      </c>
      <c r="AI129">
        <v>-1.90693180902528E-2</v>
      </c>
      <c r="AJ129">
        <v>3.6639480409048799E-3</v>
      </c>
      <c r="AK129">
        <v>3.7098422056220201E-2</v>
      </c>
      <c r="AL129">
        <v>-8.2706964335886105E-2</v>
      </c>
      <c r="AM129">
        <v>1.24174130092629E-2</v>
      </c>
      <c r="AN129">
        <f>+IBOV!C54</f>
        <v>0.10963180022932861</v>
      </c>
      <c r="AP129" s="1">
        <f t="shared" si="9"/>
        <v>38321</v>
      </c>
      <c r="AQ129">
        <f t="shared" si="11"/>
        <v>99.170885548715361</v>
      </c>
      <c r="AR129">
        <f t="shared" si="12"/>
        <v>107.32195355992719</v>
      </c>
      <c r="AS129">
        <f t="shared" si="13"/>
        <v>98.277205122695321</v>
      </c>
      <c r="AT129">
        <f t="shared" si="14"/>
        <v>104.36014323501757</v>
      </c>
      <c r="AU129">
        <f t="shared" si="15"/>
        <v>107.17596577054185</v>
      </c>
      <c r="AV129">
        <f t="shared" si="16"/>
        <v>138.80556226988733</v>
      </c>
      <c r="AW129">
        <f t="shared" si="17"/>
        <v>114.98868828126285</v>
      </c>
      <c r="AX129">
        <f t="shared" si="18"/>
        <v>99.510540288566162</v>
      </c>
      <c r="AY129">
        <f t="shared" si="19"/>
        <v>113.0064459755089</v>
      </c>
      <c r="AZ129">
        <f t="shared" si="20"/>
        <v>102.58035762173327</v>
      </c>
      <c r="BA129">
        <f t="shared" si="21"/>
        <v>98.112700811168338</v>
      </c>
      <c r="BB129">
        <f t="shared" si="22"/>
        <v>91.026749684526663</v>
      </c>
      <c r="BC129">
        <f t="shared" si="23"/>
        <v>102.639200655887</v>
      </c>
      <c r="BD129">
        <f t="shared" si="24"/>
        <v>145.80229346279404</v>
      </c>
    </row>
    <row r="130" spans="1:56" x14ac:dyDescent="0.25">
      <c r="A130" t="s">
        <v>7</v>
      </c>
      <c r="B130" t="s">
        <v>8</v>
      </c>
      <c r="C130" t="s">
        <v>9</v>
      </c>
      <c r="D130" t="s">
        <v>10</v>
      </c>
      <c r="E130">
        <v>5</v>
      </c>
      <c r="F130" s="1">
        <v>41152</v>
      </c>
      <c r="G130">
        <v>-3.6304096498509298E-3</v>
      </c>
      <c r="K130" s="4">
        <v>38352</v>
      </c>
      <c r="L130" s="6">
        <v>-1.01915082142548E-2</v>
      </c>
      <c r="M130" s="6">
        <v>1.2368429453675301E-2</v>
      </c>
      <c r="N130" s="6">
        <v>-3.2818319085311097E-2</v>
      </c>
      <c r="O130" s="6">
        <v>2.84960343267814E-2</v>
      </c>
      <c r="P130" s="6">
        <v>1.16627042004463E-3</v>
      </c>
      <c r="Q130" s="6">
        <v>1.47143928415167E-2</v>
      </c>
      <c r="R130" s="6">
        <v>2.79690724772159E-2</v>
      </c>
      <c r="S130" s="6">
        <v>-1.4023492871336101E-2</v>
      </c>
      <c r="T130" s="6">
        <v>2.48401982865918E-2</v>
      </c>
      <c r="U130" s="6">
        <v>-5.1256347349054002E-4</v>
      </c>
      <c r="V130" s="6">
        <v>-4.9483207205349801E-2</v>
      </c>
      <c r="W130" s="6">
        <v>-1.11675470234426E-2</v>
      </c>
      <c r="X130" s="6">
        <v>-2.4498817715438902E-2</v>
      </c>
      <c r="Y130" s="6">
        <v>-3.3141057782798106E-2</v>
      </c>
      <c r="AA130">
        <v>-1.01915082142548E-2</v>
      </c>
      <c r="AB130">
        <v>1.2368429453675301E-2</v>
      </c>
      <c r="AC130">
        <v>-3.2818319085311097E-2</v>
      </c>
      <c r="AD130">
        <v>2.84960343267814E-2</v>
      </c>
      <c r="AE130">
        <v>1.16627042004463E-3</v>
      </c>
      <c r="AF130">
        <v>1.47143928415167E-2</v>
      </c>
      <c r="AG130">
        <v>2.79690724772159E-2</v>
      </c>
      <c r="AH130">
        <v>-1.4023492871336101E-2</v>
      </c>
      <c r="AI130">
        <v>2.48401982865918E-2</v>
      </c>
      <c r="AJ130">
        <v>-5.1256347349054002E-4</v>
      </c>
      <c r="AK130">
        <v>-4.9483207205349801E-2</v>
      </c>
      <c r="AL130">
        <v>-1.11675470234426E-2</v>
      </c>
      <c r="AM130">
        <v>-2.4498817715438902E-2</v>
      </c>
      <c r="AN130">
        <f>+IBOV!C55</f>
        <v>8.9580343303289345E-2</v>
      </c>
      <c r="AP130" s="1">
        <f t="shared" si="9"/>
        <v>38352</v>
      </c>
      <c r="AQ130">
        <f t="shared" si="11"/>
        <v>98.160184654030701</v>
      </c>
      <c r="AR130">
        <f t="shared" si="12"/>
        <v>108.64935757136377</v>
      </c>
      <c r="AS130">
        <f t="shared" si="13"/>
        <v>95.051912446166142</v>
      </c>
      <c r="AT130">
        <f t="shared" si="14"/>
        <v>107.33399345899046</v>
      </c>
      <c r="AU130">
        <f t="shared" si="15"/>
        <v>107.30096192915974</v>
      </c>
      <c r="AV130">
        <f t="shared" si="16"/>
        <v>140.84800184171408</v>
      </c>
      <c r="AW130">
        <f t="shared" si="17"/>
        <v>118.20481523786148</v>
      </c>
      <c r="AX130">
        <f t="shared" si="18"/>
        <v>98.115054936206647</v>
      </c>
      <c r="AY130">
        <f t="shared" si="19"/>
        <v>115.81354850120356</v>
      </c>
      <c r="AZ130">
        <f t="shared" si="20"/>
        <v>102.52777867731878</v>
      </c>
      <c r="BA130">
        <f t="shared" si="21"/>
        <v>93.257769707452795</v>
      </c>
      <c r="BB130">
        <f t="shared" si="22"/>
        <v>90.010204177033572</v>
      </c>
      <c r="BC130">
        <f t="shared" si="23"/>
        <v>100.12466158856006</v>
      </c>
      <c r="BD130">
        <f t="shared" si="24"/>
        <v>158.86331296559808</v>
      </c>
    </row>
    <row r="131" spans="1:56" x14ac:dyDescent="0.25">
      <c r="A131" t="s">
        <v>7</v>
      </c>
      <c r="B131" t="s">
        <v>8</v>
      </c>
      <c r="C131" t="s">
        <v>9</v>
      </c>
      <c r="D131" t="s">
        <v>10</v>
      </c>
      <c r="E131">
        <v>5</v>
      </c>
      <c r="F131" s="1">
        <v>41182</v>
      </c>
      <c r="G131">
        <v>-9.7847208549296707E-3</v>
      </c>
      <c r="K131" s="4">
        <v>38383</v>
      </c>
      <c r="L131" s="6">
        <v>1.50909719002103E-2</v>
      </c>
      <c r="M131" s="6">
        <v>-4.89764901816011E-2</v>
      </c>
      <c r="N131" s="6">
        <v>4.4189078632250797E-3</v>
      </c>
      <c r="O131" s="6">
        <v>-7.2563354479240103E-2</v>
      </c>
      <c r="P131" s="6">
        <v>8.2792454499017506E-3</v>
      </c>
      <c r="Q131" s="6">
        <v>1.35460990515922E-3</v>
      </c>
      <c r="R131" s="6">
        <v>3.0021531103324499E-2</v>
      </c>
      <c r="S131" s="6">
        <v>-4.1794949648919097E-2</v>
      </c>
      <c r="T131" s="6">
        <v>-4.5079561881523199E-2</v>
      </c>
      <c r="U131" s="6">
        <v>-2.5603390090544399E-2</v>
      </c>
      <c r="V131" s="6">
        <v>5.6284000238837298E-2</v>
      </c>
      <c r="W131" s="6">
        <v>-2.43456080761695E-3</v>
      </c>
      <c r="X131" s="6">
        <v>7.5874264456072702E-3</v>
      </c>
      <c r="Y131" s="6">
        <v>-0.11341561418317944</v>
      </c>
      <c r="AA131">
        <v>1.50909719002103E-2</v>
      </c>
      <c r="AB131">
        <v>-4.89764901816011E-2</v>
      </c>
      <c r="AC131">
        <v>4.4189078632250797E-3</v>
      </c>
      <c r="AD131">
        <v>-7.2563354479240103E-2</v>
      </c>
      <c r="AE131">
        <v>8.2792454499017506E-3</v>
      </c>
      <c r="AF131">
        <v>1.35460990515922E-3</v>
      </c>
      <c r="AG131">
        <v>3.0021531103324499E-2</v>
      </c>
      <c r="AH131">
        <v>-4.1794949648919097E-2</v>
      </c>
      <c r="AI131">
        <v>-4.5079561881523199E-2</v>
      </c>
      <c r="AJ131">
        <v>-2.5603390090544399E-2</v>
      </c>
      <c r="AK131">
        <v>5.6284000238837298E-2</v>
      </c>
      <c r="AL131">
        <v>-2.43456080761695E-3</v>
      </c>
      <c r="AM131">
        <v>7.5874264456072702E-3</v>
      </c>
      <c r="AN131">
        <f>+IBOV!C56</f>
        <v>-3.1476232125356773E-2</v>
      </c>
      <c r="AP131" s="1">
        <f t="shared" si="9"/>
        <v>38383</v>
      </c>
      <c r="AQ131">
        <f t="shared" si="11"/>
        <v>99.641517242364145</v>
      </c>
      <c r="AR131">
        <f t="shared" si="12"/>
        <v>103.3280933770326</v>
      </c>
      <c r="AS131">
        <f t="shared" si="13"/>
        <v>95.471938089489086</v>
      </c>
      <c r="AT131">
        <f t="shared" si="14"/>
        <v>99.545478843953305</v>
      </c>
      <c r="AU131">
        <f t="shared" si="15"/>
        <v>108.1893329299818</v>
      </c>
      <c r="AV131">
        <f t="shared" si="16"/>
        <v>141.03879594013074</v>
      </c>
      <c r="AW131">
        <f t="shared" si="17"/>
        <v>121.75350477508766</v>
      </c>
      <c r="AX131">
        <f t="shared" si="18"/>
        <v>94.014341155346969</v>
      </c>
      <c r="AY131">
        <f t="shared" si="19"/>
        <v>110.59272447482476</v>
      </c>
      <c r="AZ131">
        <f t="shared" si="20"/>
        <v>99.902719964726387</v>
      </c>
      <c r="BA131">
        <f t="shared" si="21"/>
        <v>98.506690039940509</v>
      </c>
      <c r="BB131">
        <f t="shared" si="22"/>
        <v>89.791068861658573</v>
      </c>
      <c r="BC131">
        <f t="shared" si="23"/>
        <v>100.88435009375458</v>
      </c>
      <c r="BD131">
        <f t="shared" si="24"/>
        <v>153.8628944504897</v>
      </c>
    </row>
    <row r="132" spans="1:56" x14ac:dyDescent="0.25">
      <c r="A132" t="s">
        <v>7</v>
      </c>
      <c r="B132" t="s">
        <v>8</v>
      </c>
      <c r="C132" t="s">
        <v>9</v>
      </c>
      <c r="D132" t="s">
        <v>10</v>
      </c>
      <c r="E132">
        <v>5</v>
      </c>
      <c r="F132" s="1">
        <v>41213</v>
      </c>
      <c r="G132">
        <v>-5.4029702345565703E-3</v>
      </c>
      <c r="K132" s="4">
        <v>38411</v>
      </c>
      <c r="L132" s="6">
        <v>3.7053452458574103E-2</v>
      </c>
      <c r="M132" s="6">
        <v>-4.9367316619234297E-2</v>
      </c>
      <c r="N132" s="6">
        <v>-8.9550644229175191E-3</v>
      </c>
      <c r="O132" s="6">
        <v>-1.1494512550755299E-2</v>
      </c>
      <c r="P132" s="6">
        <v>-9.4331675374380794E-2</v>
      </c>
      <c r="Q132" s="6">
        <v>7.1111663699129296E-3</v>
      </c>
      <c r="R132" s="6">
        <v>-3.7950441399132701E-2</v>
      </c>
      <c r="S132" s="6">
        <v>2.7784557666044402E-2</v>
      </c>
      <c r="T132" s="6">
        <v>2.8961139546606299E-2</v>
      </c>
      <c r="U132" s="6">
        <v>-1.9009610251409102E-2</v>
      </c>
      <c r="V132" s="6">
        <v>-3.4459169867154102E-3</v>
      </c>
      <c r="W132" s="6">
        <v>-3.4589807282749803E-2</v>
      </c>
      <c r="X132" s="6">
        <v>5.3816600004559602E-2</v>
      </c>
      <c r="Y132" s="6">
        <v>-0.10441742884159758</v>
      </c>
      <c r="AA132">
        <v>3.7053452458574103E-2</v>
      </c>
      <c r="AB132">
        <v>-4.9367316619234297E-2</v>
      </c>
      <c r="AC132">
        <v>-8.9550644229175191E-3</v>
      </c>
      <c r="AD132">
        <v>-1.1494512550755299E-2</v>
      </c>
      <c r="AE132">
        <v>-9.4331675374380794E-2</v>
      </c>
      <c r="AF132">
        <v>7.1111663699129296E-3</v>
      </c>
      <c r="AG132">
        <v>-3.7950441399132701E-2</v>
      </c>
      <c r="AH132">
        <v>2.7784557666044402E-2</v>
      </c>
      <c r="AI132">
        <v>2.8961139546606299E-2</v>
      </c>
      <c r="AJ132">
        <v>-1.9009610251409102E-2</v>
      </c>
      <c r="AK132">
        <v>-3.4459169867154102E-3</v>
      </c>
      <c r="AL132">
        <v>-3.4589807282749803E-2</v>
      </c>
      <c r="AM132">
        <v>5.3816600004559602E-2</v>
      </c>
      <c r="AN132">
        <f>+IBOV!C57</f>
        <v>0.16340985746926329</v>
      </c>
      <c r="AP132" s="1">
        <f t="shared" si="9"/>
        <v>38411</v>
      </c>
      <c r="AQ132">
        <f t="shared" si="11"/>
        <v>103.33357946440428</v>
      </c>
      <c r="AR132">
        <f t="shared" si="12"/>
        <v>98.227062675626826</v>
      </c>
      <c r="AS132">
        <f t="shared" si="13"/>
        <v>94.616980733316922</v>
      </c>
      <c r="AT132">
        <f t="shared" si="14"/>
        <v>98.401252088010537</v>
      </c>
      <c r="AU132">
        <f t="shared" si="15"/>
        <v>97.983651897059957</v>
      </c>
      <c r="AV132">
        <f t="shared" si="16"/>
        <v>142.04174628267319</v>
      </c>
      <c r="AW132">
        <f t="shared" si="17"/>
        <v>117.13290552698167</v>
      </c>
      <c r="AX132">
        <f t="shared" si="18"/>
        <v>96.626488038612891</v>
      </c>
      <c r="AY132">
        <f t="shared" si="19"/>
        <v>113.79561580117954</v>
      </c>
      <c r="AZ132">
        <f t="shared" si="20"/>
        <v>98.003608195141268</v>
      </c>
      <c r="BA132">
        <f t="shared" si="21"/>
        <v>98.167244163426773</v>
      </c>
      <c r="BB132">
        <f t="shared" si="22"/>
        <v>86.685213094021677</v>
      </c>
      <c r="BC132">
        <f t="shared" si="23"/>
        <v>106.31360280947013</v>
      </c>
      <c r="BD132">
        <f t="shared" si="24"/>
        <v>179.00560810245253</v>
      </c>
    </row>
    <row r="133" spans="1:56" x14ac:dyDescent="0.25">
      <c r="A133" t="s">
        <v>7</v>
      </c>
      <c r="B133" t="s">
        <v>8</v>
      </c>
      <c r="C133" t="s">
        <v>9</v>
      </c>
      <c r="D133" t="s">
        <v>10</v>
      </c>
      <c r="E133">
        <v>5</v>
      </c>
      <c r="F133" s="1">
        <v>41243</v>
      </c>
      <c r="G133">
        <v>-1.9528756613584702E-2</v>
      </c>
      <c r="K133" s="4">
        <v>38442</v>
      </c>
      <c r="L133" s="6">
        <v>-2.5024915382908301E-2</v>
      </c>
      <c r="M133" s="6">
        <v>2.01808222438708E-2</v>
      </c>
      <c r="N133" s="6">
        <v>-5.5619708731571502E-3</v>
      </c>
      <c r="O133" s="6">
        <v>2.3869495985324299E-2</v>
      </c>
      <c r="P133" s="6">
        <v>3.3016558179119302E-3</v>
      </c>
      <c r="Q133" s="6">
        <v>-7.6004503518108904E-2</v>
      </c>
      <c r="R133" s="6">
        <v>-7.3804639361610899E-3</v>
      </c>
      <c r="S133" s="6">
        <v>1.38231980678963E-2</v>
      </c>
      <c r="T133" s="6">
        <v>-1.0929724455452599E-2</v>
      </c>
      <c r="U133" s="6">
        <v>2.5045192143246599E-2</v>
      </c>
      <c r="V133" s="6">
        <v>5.6385948263557403E-2</v>
      </c>
      <c r="W133" s="6">
        <v>4.2902209827497997E-2</v>
      </c>
      <c r="X133" s="6">
        <v>6.3010373643659296E-3</v>
      </c>
      <c r="Y133" s="6">
        <v>6.690798154788323E-2</v>
      </c>
      <c r="AA133">
        <v>-2.5024915382908301E-2</v>
      </c>
      <c r="AB133">
        <v>2.01808222438708E-2</v>
      </c>
      <c r="AC133">
        <v>-5.5619708731571502E-3</v>
      </c>
      <c r="AD133">
        <v>2.3869495985324299E-2</v>
      </c>
      <c r="AE133">
        <v>3.3016558179119302E-3</v>
      </c>
      <c r="AF133">
        <v>-7.6004503518108904E-2</v>
      </c>
      <c r="AG133">
        <v>-7.3804639361610899E-3</v>
      </c>
      <c r="AH133">
        <v>1.38231980678963E-2</v>
      </c>
      <c r="AI133">
        <v>-1.0929724455452599E-2</v>
      </c>
      <c r="AJ133">
        <v>2.5045192143246599E-2</v>
      </c>
      <c r="AK133">
        <v>5.6385948263557403E-2</v>
      </c>
      <c r="AL133">
        <v>4.2902209827497997E-2</v>
      </c>
      <c r="AM133">
        <v>6.3010373643659296E-3</v>
      </c>
      <c r="AN133">
        <f>+IBOV!C58</f>
        <v>-9.0976255272189888E-2</v>
      </c>
      <c r="AP133" s="1">
        <f t="shared" si="9"/>
        <v>38442</v>
      </c>
      <c r="AQ133">
        <f t="shared" si="11"/>
        <v>100.74766538209454</v>
      </c>
      <c r="AR133">
        <f t="shared" si="12"/>
        <v>100.20936556702121</v>
      </c>
      <c r="AS133">
        <f t="shared" si="13"/>
        <v>94.090723842372142</v>
      </c>
      <c r="AT133">
        <f t="shared" si="14"/>
        <v>100.75004037967619</v>
      </c>
      <c r="AU133">
        <f t="shared" si="15"/>
        <v>98.30716019140614</v>
      </c>
      <c r="AV133">
        <f t="shared" si="16"/>
        <v>131.24593387761342</v>
      </c>
      <c r="AW133">
        <f t="shared" si="17"/>
        <v>116.26841034200201</v>
      </c>
      <c r="AX133">
        <f t="shared" si="18"/>
        <v>97.962175121375836</v>
      </c>
      <c r="AY133">
        <f t="shared" si="19"/>
        <v>112.5518610762341</v>
      </c>
      <c r="AZ133">
        <f t="shared" si="20"/>
        <v>100.45812739312004</v>
      </c>
      <c r="BA133">
        <f t="shared" si="21"/>
        <v>103.70249731400176</v>
      </c>
      <c r="BB133">
        <f t="shared" si="22"/>
        <v>90.404200295122777</v>
      </c>
      <c r="BC133">
        <f t="shared" si="23"/>
        <v>106.98348879311295</v>
      </c>
      <c r="BD133">
        <f t="shared" si="24"/>
        <v>162.72034820457023</v>
      </c>
    </row>
    <row r="134" spans="1:56" x14ac:dyDescent="0.25">
      <c r="A134" t="s">
        <v>7</v>
      </c>
      <c r="B134" t="s">
        <v>8</v>
      </c>
      <c r="C134" t="s">
        <v>9</v>
      </c>
      <c r="D134" t="s">
        <v>10</v>
      </c>
      <c r="E134">
        <v>5</v>
      </c>
      <c r="F134" s="1">
        <v>41274</v>
      </c>
      <c r="G134">
        <v>2.7079128044933301E-2</v>
      </c>
      <c r="K134" s="4">
        <v>38472</v>
      </c>
      <c r="L134" s="6">
        <v>2.1971940710458202E-2</v>
      </c>
      <c r="M134" s="6">
        <v>2.1707605503623901E-2</v>
      </c>
      <c r="N134" s="6">
        <v>1.1873168540020299E-2</v>
      </c>
      <c r="O134" s="6">
        <v>-3.0001075661625801E-2</v>
      </c>
      <c r="P134" s="6">
        <v>2.37237453962789E-2</v>
      </c>
      <c r="Q134" s="6">
        <v>-1.36811761538126E-2</v>
      </c>
      <c r="R134" s="6">
        <v>3.0741152407135201E-2</v>
      </c>
      <c r="S134" s="6">
        <v>-2.83655215730024E-2</v>
      </c>
      <c r="T134" s="6">
        <v>6.7298135531367702E-3</v>
      </c>
      <c r="U134" s="6">
        <v>4.37266286822122E-2</v>
      </c>
      <c r="V134" s="6">
        <v>-1.2456484932287799E-2</v>
      </c>
      <c r="W134" s="6">
        <v>-3.9619776557951198E-3</v>
      </c>
      <c r="X134" s="6">
        <v>-1.23362454414655E-2</v>
      </c>
      <c r="Y134" s="6">
        <v>5.9671573374876274E-2</v>
      </c>
      <c r="AA134">
        <v>2.1971940710458202E-2</v>
      </c>
      <c r="AB134">
        <v>2.1707605503623901E-2</v>
      </c>
      <c r="AC134">
        <v>1.1873168540020299E-2</v>
      </c>
      <c r="AD134">
        <v>-3.0001075661625801E-2</v>
      </c>
      <c r="AE134">
        <v>2.37237453962789E-2</v>
      </c>
      <c r="AF134">
        <v>-1.36811761538126E-2</v>
      </c>
      <c r="AG134">
        <v>3.0741152407135201E-2</v>
      </c>
      <c r="AH134">
        <v>-2.83655215730024E-2</v>
      </c>
      <c r="AI134">
        <v>6.7298135531367702E-3</v>
      </c>
      <c r="AJ134">
        <v>4.37266286822122E-2</v>
      </c>
      <c r="AK134">
        <v>-1.2456484932287799E-2</v>
      </c>
      <c r="AL134">
        <v>-3.9619776557951198E-3</v>
      </c>
      <c r="AM134">
        <v>-1.23362454414655E-2</v>
      </c>
      <c r="AN134">
        <f>+IBOV!C59</f>
        <v>-4.082262528163294E-2</v>
      </c>
      <c r="AP134" s="1">
        <f t="shared" si="9"/>
        <v>38472</v>
      </c>
      <c r="AQ134">
        <f t="shared" si="11"/>
        <v>102.961287112587</v>
      </c>
      <c r="AR134">
        <f t="shared" si="12"/>
        <v>102.38467094251853</v>
      </c>
      <c r="AS134">
        <f t="shared" si="13"/>
        <v>95.207878864605149</v>
      </c>
      <c r="AT134">
        <f t="shared" si="14"/>
        <v>97.727430795333674</v>
      </c>
      <c r="AU134">
        <f t="shared" si="15"/>
        <v>100.63937423041826</v>
      </c>
      <c r="AV134">
        <f t="shared" si="16"/>
        <v>129.45033513676216</v>
      </c>
      <c r="AW134">
        <f t="shared" si="17"/>
        <v>119.84263526446084</v>
      </c>
      <c r="AX134">
        <f t="shared" si="18"/>
        <v>95.183426929632205</v>
      </c>
      <c r="AY134">
        <f t="shared" si="19"/>
        <v>113.30931411633571</v>
      </c>
      <c r="AZ134">
        <f t="shared" si="20"/>
        <v>104.85082262774937</v>
      </c>
      <c r="BA134">
        <f t="shared" si="21"/>
        <v>102.41072871876928</v>
      </c>
      <c r="BB134">
        <f t="shared" si="22"/>
        <v>90.046020873563478</v>
      </c>
      <c r="BC134">
        <f t="shared" si="23"/>
        <v>105.66371421717685</v>
      </c>
      <c r="BD134">
        <f t="shared" si="24"/>
        <v>156.07767640411822</v>
      </c>
    </row>
    <row r="135" spans="1:56" x14ac:dyDescent="0.25">
      <c r="A135" t="s">
        <v>7</v>
      </c>
      <c r="B135" t="s">
        <v>8</v>
      </c>
      <c r="C135" t="s">
        <v>9</v>
      </c>
      <c r="D135" t="s">
        <v>10</v>
      </c>
      <c r="E135">
        <v>5</v>
      </c>
      <c r="F135" s="1">
        <v>41305</v>
      </c>
      <c r="G135">
        <v>2.0023936942202301E-2</v>
      </c>
      <c r="K135" s="4">
        <v>38503</v>
      </c>
      <c r="L135" s="6">
        <v>1.5708777589258999E-2</v>
      </c>
      <c r="M135" s="6">
        <v>2.9571108135210598E-2</v>
      </c>
      <c r="N135" s="6">
        <v>5.5043489024399497E-2</v>
      </c>
      <c r="O135" s="6">
        <v>-2.6241912282002001E-2</v>
      </c>
      <c r="P135" s="6">
        <v>2.13608470946503E-2</v>
      </c>
      <c r="Q135" s="6">
        <v>-4.42848680815228E-2</v>
      </c>
      <c r="R135" s="6">
        <v>1.87332022633309E-3</v>
      </c>
      <c r="S135" s="6">
        <v>-2.84570083533725E-2</v>
      </c>
      <c r="T135" s="6">
        <v>-3.7828337776707098E-2</v>
      </c>
      <c r="U135" s="6">
        <v>-4.5827156818679299E-2</v>
      </c>
      <c r="V135" s="6">
        <v>-4.5325049128324198E-2</v>
      </c>
      <c r="W135" s="6">
        <v>2.1521584224249501E-2</v>
      </c>
      <c r="X135" s="6">
        <v>-2.73276772271164E-2</v>
      </c>
      <c r="Y135" s="6">
        <v>-0.1102128833736223</v>
      </c>
      <c r="AA135">
        <v>1.5708777589258999E-2</v>
      </c>
      <c r="AB135">
        <v>2.9571108135210598E-2</v>
      </c>
      <c r="AC135">
        <v>5.5043489024399497E-2</v>
      </c>
      <c r="AD135">
        <v>-2.6241912282002001E-2</v>
      </c>
      <c r="AE135">
        <v>2.13608470946503E-2</v>
      </c>
      <c r="AF135">
        <v>-4.42848680815228E-2</v>
      </c>
      <c r="AG135">
        <v>1.87332022633309E-3</v>
      </c>
      <c r="AH135">
        <v>-2.84570083533725E-2</v>
      </c>
      <c r="AI135">
        <v>-3.7828337776707098E-2</v>
      </c>
      <c r="AJ135">
        <v>-4.5827156818679299E-2</v>
      </c>
      <c r="AK135">
        <v>-4.5325049128324198E-2</v>
      </c>
      <c r="AL135">
        <v>2.1521584224249501E-2</v>
      </c>
      <c r="AM135">
        <v>-2.73276772271164E-2</v>
      </c>
      <c r="AN135">
        <f>+IBOV!C60</f>
        <v>8.8777578754303699E-2</v>
      </c>
      <c r="AP135" s="1">
        <f t="shared" si="9"/>
        <v>38503</v>
      </c>
      <c r="AQ135">
        <f t="shared" si="11"/>
        <v>104.57868307214247</v>
      </c>
      <c r="AR135">
        <f t="shared" si="12"/>
        <v>105.41229911834769</v>
      </c>
      <c r="AS135">
        <f t="shared" si="13"/>
        <v>100.44845269992541</v>
      </c>
      <c r="AT135">
        <f t="shared" si="14"/>
        <v>95.162876128857107</v>
      </c>
      <c r="AU135">
        <f t="shared" si="15"/>
        <v>102.78911651505551</v>
      </c>
      <c r="AV135">
        <f t="shared" si="16"/>
        <v>123.71764412212174</v>
      </c>
      <c r="AW135">
        <f t="shared" si="17"/>
        <v>120.06713889707881</v>
      </c>
      <c r="AX135">
        <f t="shared" si="18"/>
        <v>92.474791354393034</v>
      </c>
      <c r="AY135">
        <f t="shared" si="19"/>
        <v>109.02301110869595</v>
      </c>
      <c r="AZ135">
        <f t="shared" si="20"/>
        <v>100.04580753661996</v>
      </c>
      <c r="BA135">
        <f t="shared" si="21"/>
        <v>97.768957408323573</v>
      </c>
      <c r="BB135">
        <f t="shared" si="22"/>
        <v>91.983953895852409</v>
      </c>
      <c r="BC135">
        <f t="shared" si="23"/>
        <v>102.77617034043156</v>
      </c>
      <c r="BD135">
        <f t="shared" si="24"/>
        <v>169.93387461287355</v>
      </c>
    </row>
    <row r="136" spans="1:56" x14ac:dyDescent="0.25">
      <c r="A136" t="s">
        <v>7</v>
      </c>
      <c r="B136" t="s">
        <v>8</v>
      </c>
      <c r="C136" t="s">
        <v>9</v>
      </c>
      <c r="D136" t="s">
        <v>10</v>
      </c>
      <c r="E136">
        <v>5</v>
      </c>
      <c r="F136" s="1">
        <v>41333</v>
      </c>
      <c r="G136">
        <v>-2.9171969764279101E-2</v>
      </c>
      <c r="K136" s="4">
        <v>38533</v>
      </c>
      <c r="L136" s="6">
        <v>2.16821897092765E-2</v>
      </c>
      <c r="M136" s="6">
        <v>-2.5584082904701801E-2</v>
      </c>
      <c r="N136" s="6">
        <v>7.32033335458408E-3</v>
      </c>
      <c r="O136" s="6">
        <v>-1.44662674631768E-2</v>
      </c>
      <c r="P136" s="6">
        <v>2.71846929300298E-2</v>
      </c>
      <c r="Q136" s="6">
        <v>-2.0289070465072602E-3</v>
      </c>
      <c r="R136" s="6">
        <v>-2.19274012751885E-2</v>
      </c>
      <c r="S136" s="6">
        <v>-2.5896809679660199E-2</v>
      </c>
      <c r="T136" s="6">
        <v>-2.08848859634727E-2</v>
      </c>
      <c r="U136" s="6">
        <v>-4.4658910204381397E-2</v>
      </c>
      <c r="V136" s="6">
        <v>-1.41613435713947E-2</v>
      </c>
      <c r="W136" s="6">
        <v>1.8109009957839099E-2</v>
      </c>
      <c r="X136" s="6">
        <v>7.7575276262993797E-3</v>
      </c>
      <c r="Y136" s="6">
        <v>-8.7554854530454515E-2</v>
      </c>
      <c r="AA136">
        <v>2.16821897092765E-2</v>
      </c>
      <c r="AB136">
        <v>-2.5584082904701801E-2</v>
      </c>
      <c r="AC136">
        <v>7.32033335458408E-3</v>
      </c>
      <c r="AD136">
        <v>-1.44662674631768E-2</v>
      </c>
      <c r="AE136">
        <v>2.71846929300298E-2</v>
      </c>
      <c r="AF136">
        <v>-2.0289070465072602E-3</v>
      </c>
      <c r="AG136">
        <v>-2.19274012751885E-2</v>
      </c>
      <c r="AH136">
        <v>-2.5896809679660199E-2</v>
      </c>
      <c r="AI136">
        <v>-2.08848859634727E-2</v>
      </c>
      <c r="AJ136">
        <v>-4.4658910204381397E-2</v>
      </c>
      <c r="AK136">
        <v>-1.41613435713947E-2</v>
      </c>
      <c r="AL136">
        <v>1.8109009957839099E-2</v>
      </c>
      <c r="AM136">
        <v>7.7575276262993797E-3</v>
      </c>
      <c r="AN136">
        <f>+IBOV!C61</f>
        <v>4.3296226972712182E-2</v>
      </c>
      <c r="AP136" s="1">
        <f t="shared" si="9"/>
        <v>38533</v>
      </c>
      <c r="AQ136">
        <f t="shared" si="11"/>
        <v>106.84617791805896</v>
      </c>
      <c r="AR136">
        <f t="shared" si="12"/>
        <v>102.71542211852865</v>
      </c>
      <c r="AS136">
        <f t="shared" si="13"/>
        <v>101.18376885864105</v>
      </c>
      <c r="AT136">
        <f t="shared" si="14"/>
        <v>93.786224510211895</v>
      </c>
      <c r="AU136">
        <f t="shared" si="15"/>
        <v>105.58340708406637</v>
      </c>
      <c r="AV136">
        <f t="shared" si="16"/>
        <v>123.46663252218509</v>
      </c>
      <c r="AW136">
        <f t="shared" si="17"/>
        <v>117.43437856251876</v>
      </c>
      <c r="AX136">
        <f t="shared" si="18"/>
        <v>90.079989282522021</v>
      </c>
      <c r="AY136">
        <f t="shared" si="19"/>
        <v>106.74607795429642</v>
      </c>
      <c r="AZ136">
        <f t="shared" si="20"/>
        <v>95.577870801517221</v>
      </c>
      <c r="BA136">
        <f t="shared" si="21"/>
        <v>96.384417611847255</v>
      </c>
      <c r="BB136">
        <f t="shared" si="22"/>
        <v>93.649692232913821</v>
      </c>
      <c r="BC136">
        <f t="shared" si="23"/>
        <v>103.57345932117271</v>
      </c>
      <c r="BD136">
        <f t="shared" si="24"/>
        <v>177.29137021846495</v>
      </c>
    </row>
    <row r="137" spans="1:56" x14ac:dyDescent="0.25">
      <c r="A137" t="s">
        <v>7</v>
      </c>
      <c r="B137" t="s">
        <v>8</v>
      </c>
      <c r="C137" t="s">
        <v>9</v>
      </c>
      <c r="D137" t="s">
        <v>10</v>
      </c>
      <c r="E137">
        <v>5</v>
      </c>
      <c r="F137" s="1">
        <v>41364</v>
      </c>
      <c r="G137">
        <v>-7.9019733761732103E-3</v>
      </c>
      <c r="K137" s="4">
        <v>38564</v>
      </c>
      <c r="L137" s="6">
        <v>-1.10667840395659E-3</v>
      </c>
      <c r="M137" s="6">
        <v>-2.7702100506927702E-2</v>
      </c>
      <c r="N137" s="6">
        <v>-7.1023323435771404E-2</v>
      </c>
      <c r="O137" s="6">
        <v>-3.4432395907804503E-2</v>
      </c>
      <c r="P137" s="6">
        <v>-2.8463162289904999E-2</v>
      </c>
      <c r="Q137" s="6">
        <v>-1.41992495903146E-2</v>
      </c>
      <c r="R137" s="6">
        <v>6.0145975324437301E-2</v>
      </c>
      <c r="S137" s="6">
        <v>6.9356913317859701E-3</v>
      </c>
      <c r="T137" s="6">
        <v>4.0069792514314598E-3</v>
      </c>
      <c r="U137" s="6">
        <v>8.3620236577450199E-2</v>
      </c>
      <c r="V137" s="6">
        <v>6.9141879848123398E-3</v>
      </c>
      <c r="W137" s="6">
        <v>-3.7701636010668102E-2</v>
      </c>
      <c r="X137" s="6">
        <v>4.2001134294163703E-2</v>
      </c>
      <c r="Y137" s="6">
        <v>-1.1004341381266915E-2</v>
      </c>
      <c r="AA137">
        <v>-1.10667840395659E-3</v>
      </c>
      <c r="AB137">
        <v>-2.7702100506927702E-2</v>
      </c>
      <c r="AC137">
        <v>-7.1023323435771404E-2</v>
      </c>
      <c r="AD137">
        <v>-3.4432395907804503E-2</v>
      </c>
      <c r="AE137">
        <v>-2.8463162289904999E-2</v>
      </c>
      <c r="AF137">
        <v>-1.41992495903146E-2</v>
      </c>
      <c r="AG137">
        <v>6.0145975324437301E-2</v>
      </c>
      <c r="AH137">
        <v>6.9356913317859701E-3</v>
      </c>
      <c r="AI137">
        <v>4.0069792514314598E-3</v>
      </c>
      <c r="AJ137">
        <v>8.3620236577450199E-2</v>
      </c>
      <c r="AK137">
        <v>6.9141879848123398E-3</v>
      </c>
      <c r="AL137">
        <v>-3.7701636010668102E-2</v>
      </c>
      <c r="AM137">
        <v>4.2001134294163703E-2</v>
      </c>
      <c r="AN137">
        <f>+IBOV!C62</f>
        <v>2.21613710400832E-2</v>
      </c>
      <c r="AP137" s="1">
        <f t="shared" si="9"/>
        <v>38564</v>
      </c>
      <c r="AQ137">
        <f t="shared" si="11"/>
        <v>106.72793356041173</v>
      </c>
      <c r="AR137">
        <f t="shared" si="12"/>
        <v>99.869989171389662</v>
      </c>
      <c r="AS137">
        <f t="shared" si="13"/>
        <v>93.997361316543447</v>
      </c>
      <c r="AT137">
        <f t="shared" si="14"/>
        <v>90.556940097178028</v>
      </c>
      <c r="AU137">
        <f t="shared" si="15"/>
        <v>102.57816943311148</v>
      </c>
      <c r="AV137">
        <f t="shared" si="16"/>
        <v>121.71349899092694</v>
      </c>
      <c r="AW137">
        <f t="shared" si="17"/>
        <v>124.49758379778065</v>
      </c>
      <c r="AX137">
        <f t="shared" si="18"/>
        <v>90.704756283356176</v>
      </c>
      <c r="AY137">
        <f t="shared" si="19"/>
        <v>107.17380727383097</v>
      </c>
      <c r="AZ137">
        <f t="shared" si="20"/>
        <v>103.57011496950905</v>
      </c>
      <c r="BA137">
        <f t="shared" si="21"/>
        <v>97.050837594022212</v>
      </c>
      <c r="BB137">
        <f t="shared" si="22"/>
        <v>90.118945623837405</v>
      </c>
      <c r="BC137">
        <f t="shared" si="23"/>
        <v>107.92366209543239</v>
      </c>
      <c r="BD137">
        <f t="shared" si="24"/>
        <v>181.2203900560811</v>
      </c>
    </row>
    <row r="138" spans="1:56" x14ac:dyDescent="0.25">
      <c r="A138" t="s">
        <v>7</v>
      </c>
      <c r="B138" t="s">
        <v>8</v>
      </c>
      <c r="C138" t="s">
        <v>9</v>
      </c>
      <c r="D138" t="s">
        <v>10</v>
      </c>
      <c r="E138">
        <v>5</v>
      </c>
      <c r="F138" s="1">
        <v>41394</v>
      </c>
      <c r="G138">
        <v>-1.6227449801429698E-2</v>
      </c>
      <c r="K138" s="4">
        <v>38595</v>
      </c>
      <c r="L138" s="6">
        <v>5.3060389209491403E-2</v>
      </c>
      <c r="M138" s="6">
        <v>-1.39213733262303E-2</v>
      </c>
      <c r="N138" s="6">
        <v>1.0150408382893199E-2</v>
      </c>
      <c r="O138" s="6">
        <v>-8.8822243206417503E-2</v>
      </c>
      <c r="P138" s="6">
        <v>2.1747207925833002E-2</v>
      </c>
      <c r="Q138" s="6">
        <v>5.1873055191010299E-2</v>
      </c>
      <c r="R138" s="6">
        <v>1.37874090627514E-2</v>
      </c>
      <c r="S138" s="6">
        <v>-1.69543074251211E-2</v>
      </c>
      <c r="T138" s="6">
        <v>-5.8535244110731001E-2</v>
      </c>
      <c r="U138" s="6">
        <v>-1.50177718255764E-2</v>
      </c>
      <c r="V138" s="6">
        <v>8.81034441479649E-3</v>
      </c>
      <c r="W138" s="6">
        <v>-4.7159431999946301E-2</v>
      </c>
      <c r="X138" s="6">
        <v>-4.7253645454238503E-3</v>
      </c>
      <c r="Y138" s="6">
        <v>-8.5706922252670653E-2</v>
      </c>
      <c r="AA138">
        <v>5.3060389209491403E-2</v>
      </c>
      <c r="AB138">
        <v>-1.39213733262303E-2</v>
      </c>
      <c r="AC138">
        <v>1.0150408382893199E-2</v>
      </c>
      <c r="AD138">
        <v>-8.8822243206417503E-2</v>
      </c>
      <c r="AE138">
        <v>2.1747207925833002E-2</v>
      </c>
      <c r="AF138">
        <v>5.1873055191010299E-2</v>
      </c>
      <c r="AG138">
        <v>1.37874090627514E-2</v>
      </c>
      <c r="AH138">
        <v>-1.69543074251211E-2</v>
      </c>
      <c r="AI138">
        <v>-5.8535244110731001E-2</v>
      </c>
      <c r="AJ138">
        <v>-1.50177718255764E-2</v>
      </c>
      <c r="AK138">
        <v>8.81034441479649E-3</v>
      </c>
      <c r="AL138">
        <v>-4.7159431999946301E-2</v>
      </c>
      <c r="AM138">
        <v>-4.7253645454238503E-3</v>
      </c>
      <c r="AN138">
        <f>+IBOV!C63</f>
        <v>0.10721279976351461</v>
      </c>
      <c r="AP138" s="1">
        <f t="shared" si="9"/>
        <v>38595</v>
      </c>
      <c r="AQ138">
        <f t="shared" si="11"/>
        <v>112.39095925465192</v>
      </c>
      <c r="AR138">
        <f t="shared" si="12"/>
        <v>98.47966176804816</v>
      </c>
      <c r="AS138">
        <f t="shared" si="13"/>
        <v>94.951472920820734</v>
      </c>
      <c r="AT138">
        <f t="shared" si="14"/>
        <v>82.513469539837502</v>
      </c>
      <c r="AU138">
        <f t="shared" si="15"/>
        <v>104.80895821242468</v>
      </c>
      <c r="AV138">
        <f t="shared" si="16"/>
        <v>128.02715004157426</v>
      </c>
      <c r="AW138">
        <f t="shared" si="17"/>
        <v>126.21408291292482</v>
      </c>
      <c r="AX138">
        <f t="shared" si="18"/>
        <v>89.166919960407469</v>
      </c>
      <c r="AY138">
        <f t="shared" si="19"/>
        <v>100.90036230278085</v>
      </c>
      <c r="AZ138">
        <f t="shared" si="20"/>
        <v>102.01472261494825</v>
      </c>
      <c r="BA138">
        <f t="shared" si="21"/>
        <v>97.905888898970019</v>
      </c>
      <c r="BB138">
        <f t="shared" si="22"/>
        <v>85.868987335783189</v>
      </c>
      <c r="BC138">
        <f t="shared" si="23"/>
        <v>107.41368344895433</v>
      </c>
      <c r="BD138">
        <f t="shared" si="24"/>
        <v>200.64953544822973</v>
      </c>
    </row>
    <row r="139" spans="1:56" x14ac:dyDescent="0.25">
      <c r="A139" t="s">
        <v>7</v>
      </c>
      <c r="B139" t="s">
        <v>8</v>
      </c>
      <c r="C139" t="s">
        <v>9</v>
      </c>
      <c r="D139" t="s">
        <v>10</v>
      </c>
      <c r="E139">
        <v>5</v>
      </c>
      <c r="F139" s="1">
        <v>41425</v>
      </c>
      <c r="G139">
        <v>2.7120264525629899E-3</v>
      </c>
      <c r="K139" s="4">
        <v>38625</v>
      </c>
      <c r="L139" s="6">
        <v>-1.12113492278334E-2</v>
      </c>
      <c r="M139" s="6">
        <v>-1.6256366485819199E-2</v>
      </c>
      <c r="N139" s="6">
        <v>-3.7651831689290198E-2</v>
      </c>
      <c r="O139" s="6">
        <v>-1.49485178062092E-2</v>
      </c>
      <c r="P139" s="6">
        <v>-2.4538242590810298E-2</v>
      </c>
      <c r="Q139" s="6">
        <v>5.1794673504983499E-2</v>
      </c>
      <c r="R139" s="6">
        <v>-6.2718307808242802E-4</v>
      </c>
      <c r="S139" s="6">
        <v>6.2009059904499501E-2</v>
      </c>
      <c r="T139" s="6">
        <v>-5.8508515544354297E-4</v>
      </c>
      <c r="U139" s="6">
        <v>-2.2796012291526401E-2</v>
      </c>
      <c r="V139" s="6">
        <v>5.2373932307187503E-2</v>
      </c>
      <c r="W139" s="6">
        <v>-3.4682136961625497E-2</v>
      </c>
      <c r="X139" s="6">
        <v>1.86694668607746E-2</v>
      </c>
      <c r="Y139" s="6">
        <v>2.1550407290804936E-2</v>
      </c>
      <c r="AA139">
        <v>-1.12113492278334E-2</v>
      </c>
      <c r="AB139">
        <v>-1.6256366485819199E-2</v>
      </c>
      <c r="AC139">
        <v>-3.7651831689290198E-2</v>
      </c>
      <c r="AD139">
        <v>-1.49485178062092E-2</v>
      </c>
      <c r="AE139">
        <v>-2.4538242590810298E-2</v>
      </c>
      <c r="AF139">
        <v>5.1794673504983499E-2</v>
      </c>
      <c r="AG139">
        <v>-6.2718307808242802E-4</v>
      </c>
      <c r="AH139">
        <v>6.2009059904499501E-2</v>
      </c>
      <c r="AI139">
        <v>-5.8508515544354297E-4</v>
      </c>
      <c r="AJ139">
        <v>-2.2796012291526401E-2</v>
      </c>
      <c r="AK139">
        <v>5.2373932307187503E-2</v>
      </c>
      <c r="AL139">
        <v>-3.4682136961625497E-2</v>
      </c>
      <c r="AM139">
        <v>1.86694668607746E-2</v>
      </c>
      <c r="AN139">
        <f>+IBOV!C64</f>
        <v>0.18618698793572408</v>
      </c>
      <c r="AP139" s="1">
        <f t="shared" si="9"/>
        <v>38625</v>
      </c>
      <c r="AQ139">
        <f t="shared" si="11"/>
        <v>111.13090496039682</v>
      </c>
      <c r="AR139">
        <f t="shared" si="12"/>
        <v>96.878740294947249</v>
      </c>
      <c r="AS139">
        <f t="shared" si="13"/>
        <v>91.376376043755798</v>
      </c>
      <c r="AT139">
        <f t="shared" si="14"/>
        <v>81.280015471169136</v>
      </c>
      <c r="AU139">
        <f t="shared" si="15"/>
        <v>102.23713057011811</v>
      </c>
      <c r="AV139">
        <f t="shared" si="16"/>
        <v>134.65827447775112</v>
      </c>
      <c r="AW139">
        <f t="shared" si="17"/>
        <v>126.13492357590614</v>
      </c>
      <c r="AX139">
        <f t="shared" si="18"/>
        <v>94.696076841732093</v>
      </c>
      <c r="AY139">
        <f t="shared" si="19"/>
        <v>100.84132699861861</v>
      </c>
      <c r="AZ139">
        <f t="shared" si="20"/>
        <v>99.689193744301235</v>
      </c>
      <c r="BA139">
        <f t="shared" si="21"/>
        <v>103.03360529663969</v>
      </c>
      <c r="BB139">
        <f t="shared" si="22"/>
        <v>82.890867356247469</v>
      </c>
      <c r="BC139">
        <f t="shared" si="23"/>
        <v>109.41903965249831</v>
      </c>
      <c r="BD139">
        <f t="shared" si="24"/>
        <v>238.00786808403791</v>
      </c>
    </row>
    <row r="140" spans="1:56" x14ac:dyDescent="0.25">
      <c r="A140" t="s">
        <v>7</v>
      </c>
      <c r="B140" t="s">
        <v>8</v>
      </c>
      <c r="C140" t="s">
        <v>9</v>
      </c>
      <c r="D140" t="s">
        <v>10</v>
      </c>
      <c r="E140">
        <v>5</v>
      </c>
      <c r="F140" s="1">
        <v>41455</v>
      </c>
      <c r="G140">
        <v>1.0463885523026999E-2</v>
      </c>
      <c r="K140" s="4">
        <v>38656</v>
      </c>
      <c r="L140" s="6">
        <v>-1.29133030575121E-2</v>
      </c>
      <c r="M140" s="6">
        <v>4.92032368375502E-2</v>
      </c>
      <c r="N140" s="6">
        <v>3.6841128329059898E-2</v>
      </c>
      <c r="O140" s="6">
        <v>2.7847826513615399E-2</v>
      </c>
      <c r="P140" s="6">
        <v>1.1390395153131099E-2</v>
      </c>
      <c r="Q140" s="6">
        <v>4.3316964496418801E-2</v>
      </c>
      <c r="R140" s="6">
        <v>-2.1537387476951501E-2</v>
      </c>
      <c r="S140" s="6">
        <v>-1.62740364288043E-2</v>
      </c>
      <c r="T140" s="6">
        <v>8.4883479442771793E-3</v>
      </c>
      <c r="U140" s="6">
        <v>1.7594442627360599E-2</v>
      </c>
      <c r="V140" s="6">
        <v>9.7225782213983692E-3</v>
      </c>
      <c r="W140" s="6">
        <v>5.2959259507454698E-2</v>
      </c>
      <c r="X140" s="6">
        <v>-4.9575837468675103E-2</v>
      </c>
      <c r="Y140" s="6">
        <v>0.15706361519832324</v>
      </c>
      <c r="AA140">
        <v>-1.29133030575121E-2</v>
      </c>
      <c r="AB140">
        <v>4.92032368375502E-2</v>
      </c>
      <c r="AC140">
        <v>3.6841128329059898E-2</v>
      </c>
      <c r="AD140">
        <v>2.7847826513615399E-2</v>
      </c>
      <c r="AE140">
        <v>1.1390395153131099E-2</v>
      </c>
      <c r="AF140">
        <v>4.3316964496418801E-2</v>
      </c>
      <c r="AG140">
        <v>-2.1537387476951501E-2</v>
      </c>
      <c r="AH140">
        <v>-1.62740364288043E-2</v>
      </c>
      <c r="AI140">
        <v>8.4883479442771793E-3</v>
      </c>
      <c r="AJ140">
        <v>1.7594442627360599E-2</v>
      </c>
      <c r="AK140">
        <v>9.7225782213983692E-3</v>
      </c>
      <c r="AL140">
        <v>5.2959259507454698E-2</v>
      </c>
      <c r="AM140">
        <v>-4.9575837468675103E-2</v>
      </c>
      <c r="AN140">
        <f>+IBOV!C65</f>
        <v>-5.2217705065623843E-2</v>
      </c>
      <c r="AP140" s="1">
        <f t="shared" si="9"/>
        <v>38656</v>
      </c>
      <c r="AQ140">
        <f t="shared" si="11"/>
        <v>109.69583790558764</v>
      </c>
      <c r="AR140">
        <f t="shared" si="12"/>
        <v>101.64548789820304</v>
      </c>
      <c r="AS140">
        <f t="shared" si="13"/>
        <v>94.742784839828246</v>
      </c>
      <c r="AT140">
        <f t="shared" si="14"/>
        <v>83.543487241034242</v>
      </c>
      <c r="AU140">
        <f t="shared" si="15"/>
        <v>103.40165188663401</v>
      </c>
      <c r="AV140">
        <f t="shared" si="16"/>
        <v>140.49126217245291</v>
      </c>
      <c r="AW140">
        <f t="shared" si="17"/>
        <v>123.41830685247618</v>
      </c>
      <c r="AX140">
        <f t="shared" si="18"/>
        <v>93.154989437544899</v>
      </c>
      <c r="AY140">
        <f t="shared" si="19"/>
        <v>101.69730326934553</v>
      </c>
      <c r="AZ140">
        <f t="shared" si="20"/>
        <v>101.44316954420319</v>
      </c>
      <c r="BA140">
        <f t="shared" si="21"/>
        <v>104.03535758356895</v>
      </c>
      <c r="BB140">
        <f t="shared" si="22"/>
        <v>87.28070631136498</v>
      </c>
      <c r="BC140">
        <f t="shared" si="23"/>
        <v>103.99449912670754</v>
      </c>
      <c r="BD140">
        <f t="shared" si="24"/>
        <v>225.5796434251277</v>
      </c>
    </row>
    <row r="141" spans="1:56" x14ac:dyDescent="0.25">
      <c r="A141" t="s">
        <v>7</v>
      </c>
      <c r="B141" t="s">
        <v>8</v>
      </c>
      <c r="C141" t="s">
        <v>9</v>
      </c>
      <c r="D141" t="s">
        <v>10</v>
      </c>
      <c r="E141">
        <v>5</v>
      </c>
      <c r="F141" s="1">
        <v>41486</v>
      </c>
      <c r="G141">
        <v>-2.7923824501604202E-3</v>
      </c>
      <c r="K141" s="4">
        <v>38686</v>
      </c>
      <c r="L141" s="6">
        <v>7.27162034098284E-2</v>
      </c>
      <c r="M141" s="6">
        <v>-1.54025224013725E-2</v>
      </c>
      <c r="N141" s="6">
        <v>-2.6500342787326402E-2</v>
      </c>
      <c r="O141" s="6">
        <v>2.4480552606368298E-2</v>
      </c>
      <c r="P141" s="6">
        <v>2.67824241947577E-3</v>
      </c>
      <c r="Q141" s="6">
        <v>-5.2244782320299603E-2</v>
      </c>
      <c r="R141" s="6">
        <v>1.2046464186965301E-2</v>
      </c>
      <c r="S141" s="6">
        <v>-2.4345238077167E-2</v>
      </c>
      <c r="T141" s="6">
        <v>7.2412345668619704E-2</v>
      </c>
      <c r="U141" s="6">
        <v>-1.38306022980287E-2</v>
      </c>
      <c r="V141" s="6">
        <v>-7.7033040482085702E-3</v>
      </c>
      <c r="W141" s="6">
        <v>-1.0073085544449099E-2</v>
      </c>
      <c r="X141" s="6">
        <v>-4.3683667489296703E-2</v>
      </c>
      <c r="Y141" s="6">
        <v>-9.4497366748911016E-3</v>
      </c>
      <c r="AA141">
        <v>7.27162034098284E-2</v>
      </c>
      <c r="AB141">
        <v>-1.54025224013725E-2</v>
      </c>
      <c r="AC141">
        <v>-2.6500342787326402E-2</v>
      </c>
      <c r="AD141">
        <v>2.4480552606368298E-2</v>
      </c>
      <c r="AE141">
        <v>2.67824241947577E-3</v>
      </c>
      <c r="AF141">
        <v>-5.2244782320299603E-2</v>
      </c>
      <c r="AG141">
        <v>1.2046464186965301E-2</v>
      </c>
      <c r="AH141">
        <v>-2.4345238077167E-2</v>
      </c>
      <c r="AI141">
        <v>7.2412345668619704E-2</v>
      </c>
      <c r="AJ141">
        <v>-1.38306022980287E-2</v>
      </c>
      <c r="AK141">
        <v>-7.7033040482085702E-3</v>
      </c>
      <c r="AL141">
        <v>-1.0073085544449099E-2</v>
      </c>
      <c r="AM141">
        <v>-4.3683667489296703E-2</v>
      </c>
      <c r="AN141">
        <f>+IBOV!C66</f>
        <v>7.0300556586270879E-2</v>
      </c>
      <c r="AP141" s="1">
        <f t="shared" si="9"/>
        <v>38686</v>
      </c>
      <c r="AQ141">
        <f t="shared" si="11"/>
        <v>117.67250276794191</v>
      </c>
      <c r="AR141">
        <f t="shared" si="12"/>
        <v>100.07989099385253</v>
      </c>
      <c r="AS141">
        <f t="shared" si="13"/>
        <v>92.232068564946886</v>
      </c>
      <c r="AT141">
        <f t="shared" si="14"/>
        <v>85.58867797535784</v>
      </c>
      <c r="AU141">
        <f t="shared" si="15"/>
        <v>103.67858657696067</v>
      </c>
      <c r="AV141">
        <f t="shared" si="16"/>
        <v>133.15132676234896</v>
      </c>
      <c r="AW141">
        <f t="shared" si="17"/>
        <v>124.90506106599042</v>
      </c>
      <c r="AX141">
        <f t="shared" si="18"/>
        <v>90.887109041611893</v>
      </c>
      <c r="AY141">
        <f t="shared" si="19"/>
        <v>109.06144354725181</v>
      </c>
      <c r="AZ141">
        <f t="shared" si="20"/>
        <v>100.04014941038582</v>
      </c>
      <c r="BA141">
        <f t="shared" si="21"/>
        <v>103.23394159233861</v>
      </c>
      <c r="BB141">
        <f t="shared" si="22"/>
        <v>86.401520290310671</v>
      </c>
      <c r="BC141">
        <f t="shared" si="23"/>
        <v>99.451638006140485</v>
      </c>
      <c r="BD141">
        <f t="shared" si="24"/>
        <v>241.4380179124467</v>
      </c>
    </row>
    <row r="142" spans="1:56" x14ac:dyDescent="0.25">
      <c r="A142" t="s">
        <v>7</v>
      </c>
      <c r="B142" t="s">
        <v>8</v>
      </c>
      <c r="C142" t="s">
        <v>9</v>
      </c>
      <c r="D142" t="s">
        <v>10</v>
      </c>
      <c r="E142">
        <v>5</v>
      </c>
      <c r="F142" s="1">
        <v>41517</v>
      </c>
      <c r="G142">
        <v>4.71352271143545E-2</v>
      </c>
      <c r="K142" s="4">
        <v>38717</v>
      </c>
      <c r="L142" s="6">
        <v>-0.15475009318899299</v>
      </c>
      <c r="M142" s="6">
        <v>-3.1391174383346002E-2</v>
      </c>
      <c r="N142" s="6">
        <v>-8.1326330567795896E-2</v>
      </c>
      <c r="O142" s="6">
        <v>9.9790157014476195E-3</v>
      </c>
      <c r="P142" s="6">
        <v>-1.5858113033562299E-2</v>
      </c>
      <c r="Q142" s="6">
        <v>1.79292489004594E-2</v>
      </c>
      <c r="R142" s="6">
        <v>1.6862038962339902E-2</v>
      </c>
      <c r="S142" s="6">
        <v>7.17273050912773E-3</v>
      </c>
      <c r="T142" s="6">
        <v>2.77078933912938E-2</v>
      </c>
      <c r="U142" s="6">
        <v>5.96491009904839E-2</v>
      </c>
      <c r="V142" s="6">
        <v>0.156369562635369</v>
      </c>
      <c r="W142" s="6">
        <v>5.9339980652533701E-2</v>
      </c>
      <c r="X142" s="6">
        <v>-4.3062034681925897E-2</v>
      </c>
      <c r="Y142" s="6">
        <v>2.8621825887431958E-2</v>
      </c>
      <c r="AA142">
        <v>-0.15475009318899299</v>
      </c>
      <c r="AB142">
        <v>-3.1391174383346002E-2</v>
      </c>
      <c r="AC142">
        <v>-8.1326330567795896E-2</v>
      </c>
      <c r="AD142">
        <v>9.9790157014476195E-3</v>
      </c>
      <c r="AE142">
        <v>-1.5858113033562299E-2</v>
      </c>
      <c r="AF142">
        <v>1.79292489004594E-2</v>
      </c>
      <c r="AG142">
        <v>1.6862038962339902E-2</v>
      </c>
      <c r="AH142">
        <v>7.17273050912773E-3</v>
      </c>
      <c r="AI142">
        <v>2.77078933912938E-2</v>
      </c>
      <c r="AJ142">
        <v>5.96491009904839E-2</v>
      </c>
      <c r="AK142">
        <v>0.156369562635369</v>
      </c>
      <c r="AL142">
        <v>5.9339980652533701E-2</v>
      </c>
      <c r="AM142">
        <v>-4.3062034681925897E-2</v>
      </c>
      <c r="AN142">
        <f>+IBOV!C67</f>
        <v>4.5623790934872233E-3</v>
      </c>
      <c r="AP142" s="1">
        <f t="shared" si="9"/>
        <v>38717</v>
      </c>
      <c r="AQ142">
        <f t="shared" si="11"/>
        <v>99.462671998820852</v>
      </c>
      <c r="AR142">
        <f t="shared" si="12"/>
        <v>96.938265683398242</v>
      </c>
      <c r="AS142">
        <f t="shared" si="13"/>
        <v>84.731172867882393</v>
      </c>
      <c r="AT142">
        <f t="shared" si="14"/>
        <v>86.442768736740078</v>
      </c>
      <c r="AU142">
        <f t="shared" si="15"/>
        <v>102.03443983186325</v>
      </c>
      <c r="AV142">
        <f t="shared" si="16"/>
        <v>135.53863004129752</v>
      </c>
      <c r="AW142">
        <f t="shared" si="17"/>
        <v>127.0112150722786</v>
      </c>
      <c r="AX142">
        <f t="shared" si="18"/>
        <v>91.539017781521082</v>
      </c>
      <c r="AY142">
        <f t="shared" si="19"/>
        <v>112.08330639815966</v>
      </c>
      <c r="AZ142">
        <f t="shared" si="20"/>
        <v>106.00745438566902</v>
      </c>
      <c r="BA142">
        <f t="shared" si="21"/>
        <v>119.37658788825782</v>
      </c>
      <c r="BB142">
        <f t="shared" si="22"/>
        <v>91.528584832687201</v>
      </c>
      <c r="BC142">
        <f t="shared" si="23"/>
        <v>95.169048121145721</v>
      </c>
      <c r="BD142">
        <f t="shared" si="24"/>
        <v>242.53954967774342</v>
      </c>
    </row>
    <row r="143" spans="1:56" x14ac:dyDescent="0.25">
      <c r="A143" t="s">
        <v>7</v>
      </c>
      <c r="B143" t="s">
        <v>8</v>
      </c>
      <c r="C143" t="s">
        <v>9</v>
      </c>
      <c r="D143" t="s">
        <v>10</v>
      </c>
      <c r="E143">
        <v>5</v>
      </c>
      <c r="F143" s="1">
        <v>41547</v>
      </c>
      <c r="G143">
        <v>-2.0602631222854599E-2</v>
      </c>
      <c r="K143" s="4">
        <v>38748</v>
      </c>
      <c r="L143" s="6">
        <v>-3.5323462847573699E-2</v>
      </c>
      <c r="M143" s="6">
        <v>-3.14580347384616E-2</v>
      </c>
      <c r="N143" s="6">
        <v>-3.2202239599415199E-3</v>
      </c>
      <c r="O143" s="6">
        <v>-0.103093682970225</v>
      </c>
      <c r="P143" s="6">
        <v>-8.8253090527605008E-3</v>
      </c>
      <c r="Q143" s="6">
        <v>2.88047545786893E-2</v>
      </c>
      <c r="R143" s="6">
        <v>-6.0537136975109896E-3</v>
      </c>
      <c r="S143" s="6">
        <v>-1.1610560369305099E-2</v>
      </c>
      <c r="T143" s="6">
        <v>-6.5982435948358301E-2</v>
      </c>
      <c r="U143" s="6">
        <v>7.0693158943810402E-3</v>
      </c>
      <c r="V143" s="6">
        <v>1.90261720016511E-2</v>
      </c>
      <c r="W143" s="6">
        <v>-6.0411529379800002E-2</v>
      </c>
      <c r="X143" s="6">
        <v>2.7413154882882401E-2</v>
      </c>
      <c r="Y143" s="6">
        <v>-0.24366555560633288</v>
      </c>
      <c r="AA143">
        <v>-3.5323462847573699E-2</v>
      </c>
      <c r="AB143">
        <v>-3.14580347384616E-2</v>
      </c>
      <c r="AC143">
        <v>-3.2202239599415199E-3</v>
      </c>
      <c r="AD143">
        <v>-0.103093682970225</v>
      </c>
      <c r="AE143">
        <v>-8.8253090527605008E-3</v>
      </c>
      <c r="AF143">
        <v>2.88047545786893E-2</v>
      </c>
      <c r="AG143">
        <v>-6.0537136975109896E-3</v>
      </c>
      <c r="AH143">
        <v>-1.1610560369305099E-2</v>
      </c>
      <c r="AI143">
        <v>-6.5982435948358301E-2</v>
      </c>
      <c r="AJ143">
        <v>7.0693158943810402E-3</v>
      </c>
      <c r="AK143">
        <v>1.90261720016511E-2</v>
      </c>
      <c r="AL143">
        <v>-6.0411529379800002E-2</v>
      </c>
      <c r="AM143">
        <v>2.7413154882882401E-2</v>
      </c>
      <c r="AN143">
        <f>+IBOV!C68</f>
        <v>0.2388373906861494</v>
      </c>
      <c r="AP143" s="1">
        <f t="shared" si="9"/>
        <v>38748</v>
      </c>
      <c r="AQ143">
        <f t="shared" si="11"/>
        <v>95.949305999750095</v>
      </c>
      <c r="AR143">
        <f t="shared" si="12"/>
        <v>93.88877835404368</v>
      </c>
      <c r="AS143">
        <f t="shared" si="13"/>
        <v>84.458319514859298</v>
      </c>
      <c r="AT143">
        <f t="shared" si="14"/>
        <v>77.531065341526116</v>
      </c>
      <c r="AU143">
        <f t="shared" si="15"/>
        <v>101.13395436632177</v>
      </c>
      <c r="AV143">
        <f t="shared" si="16"/>
        <v>139.44278701556888</v>
      </c>
      <c r="AW143">
        <f t="shared" si="17"/>
        <v>126.24232553985804</v>
      </c>
      <c r="AX143">
        <f t="shared" si="18"/>
        <v>90.476198489421847</v>
      </c>
      <c r="AY143">
        <f t="shared" si="19"/>
        <v>104.68777681286288</v>
      </c>
      <c r="AZ143">
        <f t="shared" si="20"/>
        <v>106.75685456788051</v>
      </c>
      <c r="BA143">
        <f t="shared" si="21"/>
        <v>121.64786738239003</v>
      </c>
      <c r="BB143">
        <f t="shared" si="22"/>
        <v>85.9992030409758</v>
      </c>
      <c r="BC143">
        <f t="shared" si="23"/>
        <v>97.77793197734718</v>
      </c>
      <c r="BD143">
        <f t="shared" si="24"/>
        <v>300.46706286096935</v>
      </c>
    </row>
    <row r="144" spans="1:56" x14ac:dyDescent="0.25">
      <c r="A144" t="s">
        <v>7</v>
      </c>
      <c r="B144" t="s">
        <v>8</v>
      </c>
      <c r="C144" t="s">
        <v>9</v>
      </c>
      <c r="D144" t="s">
        <v>10</v>
      </c>
      <c r="E144">
        <v>5</v>
      </c>
      <c r="F144" s="1">
        <v>41578</v>
      </c>
      <c r="G144">
        <v>1.7474944014432399E-2</v>
      </c>
      <c r="K144" s="4">
        <v>38776</v>
      </c>
      <c r="L144" s="6">
        <v>-7.0124639123437901E-2</v>
      </c>
      <c r="M144" s="6">
        <v>1.0004784764487301E-2</v>
      </c>
      <c r="N144" s="6">
        <v>2.7420288291488199E-2</v>
      </c>
      <c r="O144" s="6">
        <v>3.4371669728751997E-2</v>
      </c>
      <c r="P144" s="6">
        <v>6.7696079179717702E-3</v>
      </c>
      <c r="Q144" s="6">
        <v>-4.3927932091392299E-2</v>
      </c>
      <c r="R144" s="6">
        <v>-8.0709573467751192E-3</v>
      </c>
      <c r="S144" s="6">
        <v>-1.7439487876327701E-2</v>
      </c>
      <c r="T144" s="6">
        <v>3.0647576474665799E-3</v>
      </c>
      <c r="U144" s="6">
        <v>-9.8094622249120401E-3</v>
      </c>
      <c r="V144" s="6">
        <v>3.6518639597759001E-2</v>
      </c>
      <c r="W144" s="6">
        <v>3.3769756843965901E-3</v>
      </c>
      <c r="X144" s="6">
        <v>-3.2574768718838201E-2</v>
      </c>
      <c r="Y144" s="6">
        <v>-6.0420523749361826E-2</v>
      </c>
      <c r="AA144">
        <v>-7.0124639123437901E-2</v>
      </c>
      <c r="AB144">
        <v>1.0004784764487301E-2</v>
      </c>
      <c r="AC144">
        <v>2.7420288291488199E-2</v>
      </c>
      <c r="AD144">
        <v>3.4371669728751997E-2</v>
      </c>
      <c r="AE144">
        <v>6.7696079179717702E-3</v>
      </c>
      <c r="AF144">
        <v>-4.3927932091392299E-2</v>
      </c>
      <c r="AG144">
        <v>-8.0709573467751192E-3</v>
      </c>
      <c r="AH144">
        <v>-1.7439487876327701E-2</v>
      </c>
      <c r="AI144">
        <v>3.0647576474665799E-3</v>
      </c>
      <c r="AJ144">
        <v>-9.8094622249120401E-3</v>
      </c>
      <c r="AK144">
        <v>3.6518639597759001E-2</v>
      </c>
      <c r="AL144">
        <v>3.3769756843965901E-3</v>
      </c>
      <c r="AM144">
        <v>-3.2574768718838201E-2</v>
      </c>
      <c r="AN144">
        <f>+IBOV!C69</f>
        <v>-3.1423413786186849E-3</v>
      </c>
      <c r="AP144" s="1">
        <f t="shared" si="9"/>
        <v>38776</v>
      </c>
      <c r="AQ144">
        <f t="shared" si="11"/>
        <v>89.220895542373299</v>
      </c>
      <c r="AR144">
        <f t="shared" si="12"/>
        <v>94.828115373276546</v>
      </c>
      <c r="AS144">
        <f t="shared" si="13"/>
        <v>86.774190984571362</v>
      </c>
      <c r="AT144">
        <f t="shared" si="14"/>
        <v>80.195937513163344</v>
      </c>
      <c r="AU144">
        <f t="shared" si="15"/>
        <v>101.81859158457583</v>
      </c>
      <c r="AV144">
        <f t="shared" si="16"/>
        <v>133.3173537369145</v>
      </c>
      <c r="AW144">
        <f t="shared" si="17"/>
        <v>125.22342911506816</v>
      </c>
      <c r="AX144">
        <f t="shared" si="18"/>
        <v>88.898339922769367</v>
      </c>
      <c r="AY144">
        <f t="shared" si="19"/>
        <v>105.00861947744636</v>
      </c>
      <c r="AZ144">
        <f t="shared" si="20"/>
        <v>105.70962723574645</v>
      </c>
      <c r="BA144">
        <f t="shared" si="21"/>
        <v>126.09028200916352</v>
      </c>
      <c r="BB144">
        <f t="shared" si="22"/>
        <v>86.28962025852266</v>
      </c>
      <c r="BC144">
        <f t="shared" si="23"/>
        <v>94.592838457378804</v>
      </c>
      <c r="BD144">
        <f t="shared" si="24"/>
        <v>299.52289277642933</v>
      </c>
    </row>
    <row r="145" spans="1:56" x14ac:dyDescent="0.25">
      <c r="A145" t="s">
        <v>7</v>
      </c>
      <c r="B145" t="s">
        <v>8</v>
      </c>
      <c r="C145" t="s">
        <v>9</v>
      </c>
      <c r="D145" t="s">
        <v>10</v>
      </c>
      <c r="E145">
        <v>5</v>
      </c>
      <c r="F145" s="1">
        <v>41608</v>
      </c>
      <c r="G145">
        <v>9.8893681584401594E-3</v>
      </c>
      <c r="K145" s="4">
        <v>38807</v>
      </c>
      <c r="L145" s="6">
        <v>-3.9384336909033799E-2</v>
      </c>
      <c r="M145" s="6">
        <v>-2.43586494151374E-2</v>
      </c>
      <c r="N145" s="6">
        <v>-4.6406642277380399E-4</v>
      </c>
      <c r="O145" s="6">
        <v>2.8724777230948701E-2</v>
      </c>
      <c r="P145" s="6">
        <v>-4.0063152507637499E-2</v>
      </c>
      <c r="Q145" s="6">
        <v>8.8791786471909308E-3</v>
      </c>
      <c r="R145" s="6">
        <v>-2.22565324678765E-3</v>
      </c>
      <c r="S145" s="6">
        <v>3.5240388783822499E-3</v>
      </c>
      <c r="T145" s="6">
        <v>-5.9632541751161901E-3</v>
      </c>
      <c r="U145" s="6">
        <v>-5.8902276963977897E-3</v>
      </c>
      <c r="V145" s="6">
        <v>1.7407936949715201E-2</v>
      </c>
      <c r="W145" s="6">
        <v>-4.4699869047139497E-2</v>
      </c>
      <c r="X145" s="6">
        <v>-1.2240655609165201E-2</v>
      </c>
      <c r="Y145" s="6">
        <v>-0.11675393332295173</v>
      </c>
      <c r="AA145">
        <v>-3.9384336909033799E-2</v>
      </c>
      <c r="AB145">
        <v>-2.43586494151374E-2</v>
      </c>
      <c r="AC145">
        <v>-4.6406642277380399E-4</v>
      </c>
      <c r="AD145">
        <v>2.8724777230948701E-2</v>
      </c>
      <c r="AE145">
        <v>-4.0063152507637499E-2</v>
      </c>
      <c r="AF145">
        <v>8.8791786471909308E-3</v>
      </c>
      <c r="AG145">
        <v>-2.22565324678765E-3</v>
      </c>
      <c r="AH145">
        <v>3.5240388783822499E-3</v>
      </c>
      <c r="AI145">
        <v>-5.9632541751161901E-3</v>
      </c>
      <c r="AJ145">
        <v>-5.8902276963977897E-3</v>
      </c>
      <c r="AK145">
        <v>1.7407936949715201E-2</v>
      </c>
      <c r="AL145">
        <v>-4.4699869047139497E-2</v>
      </c>
      <c r="AM145">
        <v>-1.2240655609165201E-2</v>
      </c>
      <c r="AN145">
        <f>+IBOV!C70</f>
        <v>-3.0577911915940059E-2</v>
      </c>
      <c r="AP145" s="1">
        <f t="shared" si="9"/>
        <v>38807</v>
      </c>
      <c r="AQ145">
        <f t="shared" si="11"/>
        <v>85.706989733006765</v>
      </c>
      <c r="AR145">
        <f t="shared" si="12"/>
        <v>92.518230556200692</v>
      </c>
      <c r="AS145">
        <f t="shared" si="13"/>
        <v>86.733921996172057</v>
      </c>
      <c r="AT145">
        <f t="shared" si="14"/>
        <v>82.499547953056037</v>
      </c>
      <c r="AU145">
        <f t="shared" si="15"/>
        <v>97.739417821810108</v>
      </c>
      <c r="AV145">
        <f t="shared" si="16"/>
        <v>134.50110233751531</v>
      </c>
      <c r="AW145">
        <f t="shared" si="17"/>
        <v>124.94472518348432</v>
      </c>
      <c r="AX145">
        <f t="shared" si="18"/>
        <v>89.211621128880836</v>
      </c>
      <c r="AY145">
        <f t="shared" si="19"/>
        <v>104.38242638892429</v>
      </c>
      <c r="AZ145">
        <f t="shared" si="20"/>
        <v>105.08697346162657</v>
      </c>
      <c r="BA145">
        <f t="shared" si="21"/>
        <v>128.28525368835082</v>
      </c>
      <c r="BB145">
        <f t="shared" si="22"/>
        <v>82.432485532839294</v>
      </c>
      <c r="BC145">
        <f t="shared" si="23"/>
        <v>93.434960098728638</v>
      </c>
      <c r="BD145">
        <f t="shared" si="24"/>
        <v>290.36410814430411</v>
      </c>
    </row>
    <row r="146" spans="1:56" x14ac:dyDescent="0.25">
      <c r="A146" t="s">
        <v>7</v>
      </c>
      <c r="B146" t="s">
        <v>8</v>
      </c>
      <c r="C146" t="s">
        <v>9</v>
      </c>
      <c r="D146" t="s">
        <v>10</v>
      </c>
      <c r="E146">
        <v>5</v>
      </c>
      <c r="F146" s="1">
        <v>41639</v>
      </c>
      <c r="G146">
        <v>5.1968798706698597E-3</v>
      </c>
      <c r="K146" s="4">
        <v>38837</v>
      </c>
      <c r="L146" s="6">
        <v>-7.0560099223120801E-2</v>
      </c>
      <c r="M146" s="6">
        <v>7.2540274477905103E-4</v>
      </c>
      <c r="N146" s="6">
        <v>2.5639382008217E-3</v>
      </c>
      <c r="O146" s="6">
        <v>1.01255330876875E-3</v>
      </c>
      <c r="P146" s="6">
        <v>1.00230786328911E-2</v>
      </c>
      <c r="Q146" s="6">
        <v>4.5013887596083997E-2</v>
      </c>
      <c r="R146" s="6">
        <v>-3.7711594132707298E-2</v>
      </c>
      <c r="S146" s="6">
        <v>1.00916833559258E-2</v>
      </c>
      <c r="T146" s="6">
        <v>4.9747252846595001E-3</v>
      </c>
      <c r="U146" s="6">
        <v>-1.3803767287276201E-2</v>
      </c>
      <c r="V146" s="6">
        <v>-1.52881670247991E-2</v>
      </c>
      <c r="W146" s="6">
        <v>-3.7832536843285303E-2</v>
      </c>
      <c r="X146" s="6">
        <v>3.8438142058605497E-2</v>
      </c>
      <c r="Y146" s="6">
        <v>-6.2352753328653303E-2</v>
      </c>
      <c r="AA146">
        <v>-7.0560099223120801E-2</v>
      </c>
      <c r="AB146">
        <v>7.2540274477905103E-4</v>
      </c>
      <c r="AC146">
        <v>2.5639382008217E-3</v>
      </c>
      <c r="AD146">
        <v>1.01255330876875E-3</v>
      </c>
      <c r="AE146">
        <v>1.00230786328911E-2</v>
      </c>
      <c r="AF146">
        <v>4.5013887596083997E-2</v>
      </c>
      <c r="AG146">
        <v>-3.7711594132707298E-2</v>
      </c>
      <c r="AH146">
        <v>1.00916833559258E-2</v>
      </c>
      <c r="AI146">
        <v>4.9747252846595001E-3</v>
      </c>
      <c r="AJ146">
        <v>-1.3803767287276201E-2</v>
      </c>
      <c r="AK146">
        <v>-1.52881670247991E-2</v>
      </c>
      <c r="AL146">
        <v>-3.7832536843285303E-2</v>
      </c>
      <c r="AM146">
        <v>3.8438142058605497E-2</v>
      </c>
      <c r="AN146">
        <f>+IBOV!C71</f>
        <v>0.10763394427180328</v>
      </c>
      <c r="AP146" s="1">
        <f t="shared" si="9"/>
        <v>38837</v>
      </c>
      <c r="AQ146">
        <f t="shared" si="11"/>
        <v>79.659496033330811</v>
      </c>
      <c r="AR146">
        <f t="shared" si="12"/>
        <v>92.585343534588247</v>
      </c>
      <c r="AS146">
        <f t="shared" si="13"/>
        <v>86.956302412085137</v>
      </c>
      <c r="AT146">
        <f t="shared" si="14"/>
        <v>82.583083143307832</v>
      </c>
      <c r="AU146">
        <f t="shared" si="15"/>
        <v>98.719067692171123</v>
      </c>
      <c r="AV146">
        <f t="shared" si="16"/>
        <v>140.55551983968562</v>
      </c>
      <c r="AW146">
        <f t="shared" si="17"/>
        <v>120.23286041834211</v>
      </c>
      <c r="AX146">
        <f t="shared" si="18"/>
        <v>90.111916560982309</v>
      </c>
      <c r="AY146">
        <f t="shared" si="19"/>
        <v>104.90170028475538</v>
      </c>
      <c r="AZ146">
        <f t="shared" si="20"/>
        <v>103.63637733503811</v>
      </c>
      <c r="BA146">
        <f t="shared" si="21"/>
        <v>126.3240073031446</v>
      </c>
      <c r="BB146">
        <f t="shared" si="22"/>
        <v>79.313855486834569</v>
      </c>
      <c r="BC146">
        <f t="shared" si="23"/>
        <v>97.026426368243705</v>
      </c>
      <c r="BD146">
        <f t="shared" si="24"/>
        <v>321.61714237884001</v>
      </c>
    </row>
    <row r="147" spans="1:56" x14ac:dyDescent="0.25">
      <c r="A147" t="s">
        <v>7</v>
      </c>
      <c r="B147" t="s">
        <v>8</v>
      </c>
      <c r="C147" t="s">
        <v>9</v>
      </c>
      <c r="D147" t="s">
        <v>10</v>
      </c>
      <c r="E147">
        <v>5</v>
      </c>
      <c r="F147" s="1">
        <v>41670</v>
      </c>
      <c r="G147">
        <v>4.4243979896064302E-2</v>
      </c>
      <c r="K147" s="4">
        <v>38868</v>
      </c>
      <c r="L147" s="6">
        <v>4.7017069130658201E-2</v>
      </c>
      <c r="M147" s="6">
        <v>2.4488991761546501E-2</v>
      </c>
      <c r="N147" s="6">
        <v>3.1743326566668999E-2</v>
      </c>
      <c r="O147" s="6">
        <v>-1.32633154595919E-2</v>
      </c>
      <c r="P147" s="6">
        <v>9.3128787051665295E-3</v>
      </c>
      <c r="Q147" s="6">
        <v>-4.2534821940214303E-2</v>
      </c>
      <c r="R147" s="6">
        <v>-1.12123146361844E-2</v>
      </c>
      <c r="S147" s="6">
        <v>-8.42613451953436E-3</v>
      </c>
      <c r="T147" s="6">
        <v>-1.2878436787478799E-2</v>
      </c>
      <c r="U147" s="6">
        <v>1.4987475076631999E-2</v>
      </c>
      <c r="V147" s="6">
        <v>4.8425053686339901E-3</v>
      </c>
      <c r="W147" s="6">
        <v>1.72225925370653E-2</v>
      </c>
      <c r="X147" s="6">
        <v>4.36457476100367E-2</v>
      </c>
      <c r="Y147" s="6">
        <v>0.10494556341340447</v>
      </c>
      <c r="AA147">
        <v>4.7017069130658201E-2</v>
      </c>
      <c r="AB147">
        <v>2.4488991761546501E-2</v>
      </c>
      <c r="AC147">
        <v>3.1743326566668999E-2</v>
      </c>
      <c r="AD147">
        <v>-1.32633154595919E-2</v>
      </c>
      <c r="AE147">
        <v>9.3128787051665295E-3</v>
      </c>
      <c r="AF147">
        <v>-4.2534821940214303E-2</v>
      </c>
      <c r="AG147">
        <v>-1.12123146361844E-2</v>
      </c>
      <c r="AH147">
        <v>-8.42613451953436E-3</v>
      </c>
      <c r="AI147">
        <v>-1.2878436787478799E-2</v>
      </c>
      <c r="AJ147">
        <v>1.4987475076631999E-2</v>
      </c>
      <c r="AK147">
        <v>4.8425053686339901E-3</v>
      </c>
      <c r="AL147">
        <v>1.72225925370653E-2</v>
      </c>
      <c r="AM147">
        <v>4.36457476100367E-2</v>
      </c>
      <c r="AN147">
        <f>+IBOV!C72</f>
        <v>-0.16497152791513547</v>
      </c>
      <c r="AP147" s="1">
        <f t="shared" si="9"/>
        <v>38868</v>
      </c>
      <c r="AQ147">
        <f t="shared" si="11"/>
        <v>83.404852065243318</v>
      </c>
      <c r="AR147">
        <f t="shared" si="12"/>
        <v>94.852665249646734</v>
      </c>
      <c r="AS147">
        <f t="shared" si="13"/>
        <v>89.716584716581977</v>
      </c>
      <c r="AT147">
        <f t="shared" si="14"/>
        <v>81.487757659952436</v>
      </c>
      <c r="AU147">
        <f t="shared" si="15"/>
        <v>99.638426395475449</v>
      </c>
      <c r="AV147">
        <f t="shared" si="16"/>
        <v>134.57701583059034</v>
      </c>
      <c r="AW147">
        <f t="shared" si="17"/>
        <v>118.88477175772321</v>
      </c>
      <c r="AX147">
        <f t="shared" si="18"/>
        <v>89.352621430226421</v>
      </c>
      <c r="AY147">
        <f t="shared" si="19"/>
        <v>103.55073036873911</v>
      </c>
      <c r="AZ147">
        <f t="shared" si="20"/>
        <v>105.18962495737941</v>
      </c>
      <c r="BA147">
        <f t="shared" si="21"/>
        <v>126.93573198669745</v>
      </c>
      <c r="BB147">
        <f t="shared" si="22"/>
        <v>80.679845702427997</v>
      </c>
      <c r="BC147">
        <f t="shared" si="23"/>
        <v>101.26121728501587</v>
      </c>
      <c r="BD147">
        <f t="shared" si="24"/>
        <v>268.55947099690309</v>
      </c>
    </row>
    <row r="148" spans="1:56" x14ac:dyDescent="0.25">
      <c r="A148" t="s">
        <v>7</v>
      </c>
      <c r="B148" t="s">
        <v>8</v>
      </c>
      <c r="C148" t="s">
        <v>9</v>
      </c>
      <c r="D148" t="s">
        <v>10</v>
      </c>
      <c r="E148">
        <v>5</v>
      </c>
      <c r="F148" s="1">
        <v>41698</v>
      </c>
      <c r="G148">
        <v>-4.0021820201389304E-3</v>
      </c>
      <c r="K148" s="4">
        <v>38898</v>
      </c>
      <c r="L148" s="6">
        <v>1.11498298589469E-2</v>
      </c>
      <c r="M148" s="6">
        <v>-9.4804122154294491E-3</v>
      </c>
      <c r="N148" s="6">
        <v>8.6509410592041196E-3</v>
      </c>
      <c r="O148" s="6">
        <v>8.7624865084101108E-3</v>
      </c>
      <c r="P148" s="6">
        <v>-1.32244905940562E-2</v>
      </c>
      <c r="Q148" s="6">
        <v>-3.6380515928641902E-2</v>
      </c>
      <c r="R148" s="6">
        <v>-2.2309043539127299E-2</v>
      </c>
      <c r="S148" s="6">
        <v>-5.1690589808536403E-3</v>
      </c>
      <c r="T148" s="6">
        <v>1.9084333415258601E-3</v>
      </c>
      <c r="U148" s="6">
        <v>2.0918163928787498E-2</v>
      </c>
      <c r="V148" s="6">
        <v>-1.2355504629546999E-2</v>
      </c>
      <c r="W148" s="6">
        <v>1.55190221595451E-2</v>
      </c>
      <c r="X148" s="6">
        <v>1.3168715998607699E-2</v>
      </c>
      <c r="Y148" s="6">
        <v>-1.8841433032628196E-2</v>
      </c>
      <c r="AA148">
        <v>1.11498298589469E-2</v>
      </c>
      <c r="AB148">
        <v>-9.4804122154294491E-3</v>
      </c>
      <c r="AC148">
        <v>8.6509410592041196E-3</v>
      </c>
      <c r="AD148">
        <v>8.7624865084101108E-3</v>
      </c>
      <c r="AE148">
        <v>-1.32244905940562E-2</v>
      </c>
      <c r="AF148">
        <v>-3.6380515928641902E-2</v>
      </c>
      <c r="AG148">
        <v>-2.2309043539127299E-2</v>
      </c>
      <c r="AH148">
        <v>-5.1690589808536403E-3</v>
      </c>
      <c r="AI148">
        <v>1.9084333415258601E-3</v>
      </c>
      <c r="AJ148">
        <v>2.0918163928787498E-2</v>
      </c>
      <c r="AK148">
        <v>-1.2355504629546999E-2</v>
      </c>
      <c r="AL148">
        <v>1.55190221595451E-2</v>
      </c>
      <c r="AM148">
        <v>1.3168715998607699E-2</v>
      </c>
      <c r="AN148">
        <f>+IBOV!C73</f>
        <v>5.8731860569490868E-2</v>
      </c>
      <c r="AP148" s="1">
        <f t="shared" si="9"/>
        <v>38898</v>
      </c>
      <c r="AQ148">
        <f t="shared" si="11"/>
        <v>84.334801975181421</v>
      </c>
      <c r="AR148">
        <f t="shared" si="12"/>
        <v>93.95342288334794</v>
      </c>
      <c r="AS148">
        <f t="shared" si="13"/>
        <v>90.492717602998226</v>
      </c>
      <c r="AT148">
        <f t="shared" si="14"/>
        <v>82.201793037048361</v>
      </c>
      <c r="AU148">
        <f t="shared" si="15"/>
        <v>98.320758962801932</v>
      </c>
      <c r="AV148">
        <f t="shared" si="16"/>
        <v>129.68103456253647</v>
      </c>
      <c r="AW148">
        <f t="shared" si="17"/>
        <v>116.23256620844096</v>
      </c>
      <c r="AX148">
        <f t="shared" si="18"/>
        <v>88.8907524599597</v>
      </c>
      <c r="AY148">
        <f t="shared" si="19"/>
        <v>103.74835003511416</v>
      </c>
      <c r="AZ148">
        <f t="shared" si="20"/>
        <v>107.38999877584554</v>
      </c>
      <c r="BA148">
        <f t="shared" si="21"/>
        <v>125.36737696248086</v>
      </c>
      <c r="BB148">
        <f t="shared" si="22"/>
        <v>81.931918015712654</v>
      </c>
      <c r="BC148">
        <f t="shared" si="23"/>
        <v>102.59469749711556</v>
      </c>
      <c r="BD148">
        <f t="shared" si="24"/>
        <v>284.33246840210944</v>
      </c>
    </row>
    <row r="149" spans="1:56" x14ac:dyDescent="0.25">
      <c r="A149" t="s">
        <v>7</v>
      </c>
      <c r="B149" t="s">
        <v>8</v>
      </c>
      <c r="C149" t="s">
        <v>9</v>
      </c>
      <c r="D149" t="s">
        <v>10</v>
      </c>
      <c r="E149">
        <v>5</v>
      </c>
      <c r="F149" s="1">
        <v>41729</v>
      </c>
      <c r="G149">
        <v>-2.4465270127735101E-2</v>
      </c>
      <c r="K149" s="4">
        <v>38929</v>
      </c>
      <c r="L149" s="6">
        <v>9.4275513814747695E-3</v>
      </c>
      <c r="M149" s="6">
        <v>-2.8798945777051201E-2</v>
      </c>
      <c r="N149" s="6">
        <v>-3.1074032712942901E-2</v>
      </c>
      <c r="O149" s="6">
        <v>1.15209525214387E-2</v>
      </c>
      <c r="P149" s="6">
        <v>-3.3377793588027001E-3</v>
      </c>
      <c r="Q149" s="6">
        <v>6.3197364630236796E-3</v>
      </c>
      <c r="R149" s="6">
        <v>2.10600856280602E-2</v>
      </c>
      <c r="S149" s="6">
        <v>4.6109902176939999E-2</v>
      </c>
      <c r="T149" s="6">
        <v>5.1541319849666298E-2</v>
      </c>
      <c r="U149" s="6">
        <v>3.0625215424221102E-3</v>
      </c>
      <c r="V149" s="6">
        <v>-3.5290919680809798E-3</v>
      </c>
      <c r="W149" s="6">
        <v>-4.0415406282039298E-4</v>
      </c>
      <c r="X149" s="6">
        <v>1.6214418560436299E-2</v>
      </c>
      <c r="Y149" s="6">
        <v>9.8112484243763884E-2</v>
      </c>
      <c r="AA149">
        <v>9.4275513814747695E-3</v>
      </c>
      <c r="AB149">
        <v>-2.8798945777051201E-2</v>
      </c>
      <c r="AC149">
        <v>-3.1074032712942901E-2</v>
      </c>
      <c r="AD149">
        <v>1.15209525214387E-2</v>
      </c>
      <c r="AE149">
        <v>-3.3377793588027001E-3</v>
      </c>
      <c r="AF149">
        <v>6.3197364630236796E-3</v>
      </c>
      <c r="AG149">
        <v>2.10600856280602E-2</v>
      </c>
      <c r="AH149">
        <v>4.6109902176939999E-2</v>
      </c>
      <c r="AI149">
        <v>5.1541319849666298E-2</v>
      </c>
      <c r="AJ149">
        <v>3.0625215424221102E-3</v>
      </c>
      <c r="AK149">
        <v>-3.5290919680809798E-3</v>
      </c>
      <c r="AL149">
        <v>-4.0415406282039298E-4</v>
      </c>
      <c r="AM149">
        <v>1.6214418560436299E-2</v>
      </c>
      <c r="AN149">
        <f>+IBOV!C74</f>
        <v>8.9433957820614918E-3</v>
      </c>
      <c r="AP149" s="1">
        <f t="shared" si="9"/>
        <v>38929</v>
      </c>
      <c r="AQ149">
        <f t="shared" si="11"/>
        <v>85.129872654048938</v>
      </c>
      <c r="AR149">
        <f t="shared" si="12"/>
        <v>91.247663352162036</v>
      </c>
      <c r="AS149">
        <f t="shared" si="13"/>
        <v>87.680743935919566</v>
      </c>
      <c r="AT149">
        <f t="shared" si="14"/>
        <v>83.148835991805328</v>
      </c>
      <c r="AU149">
        <f t="shared" si="15"/>
        <v>97.99258596299407</v>
      </c>
      <c r="AV149">
        <f t="shared" si="16"/>
        <v>130.50058452522396</v>
      </c>
      <c r="AW149">
        <f t="shared" si="17"/>
        <v>118.6804340055599</v>
      </c>
      <c r="AX149">
        <f t="shared" si="18"/>
        <v>92.989496360323031</v>
      </c>
      <c r="AY149">
        <f t="shared" si="19"/>
        <v>109.09567692814912</v>
      </c>
      <c r="AZ149">
        <f t="shared" si="20"/>
        <v>107.71888296053724</v>
      </c>
      <c r="BA149">
        <f t="shared" si="21"/>
        <v>124.9249439593832</v>
      </c>
      <c r="BB149">
        <f t="shared" si="22"/>
        <v>81.898804898171946</v>
      </c>
      <c r="BC149">
        <f t="shared" si="23"/>
        <v>104.25821086441513</v>
      </c>
      <c r="BD149">
        <f t="shared" si="24"/>
        <v>286.87536620072001</v>
      </c>
    </row>
    <row r="150" spans="1:56" x14ac:dyDescent="0.25">
      <c r="A150" t="s">
        <v>7</v>
      </c>
      <c r="B150" t="s">
        <v>8</v>
      </c>
      <c r="C150" t="s">
        <v>9</v>
      </c>
      <c r="D150" t="s">
        <v>10</v>
      </c>
      <c r="E150">
        <v>5</v>
      </c>
      <c r="F150" s="1">
        <v>41759</v>
      </c>
      <c r="G150">
        <v>-6.7166402157663504E-3</v>
      </c>
      <c r="K150" s="4">
        <v>38960</v>
      </c>
      <c r="L150" s="6">
        <v>3.14003944116217E-2</v>
      </c>
      <c r="M150" s="6">
        <v>1.29548942510567E-2</v>
      </c>
      <c r="N150" s="6">
        <v>-2.78727042403299E-2</v>
      </c>
      <c r="O150" s="6">
        <v>4.3372817380444698E-2</v>
      </c>
      <c r="P150" s="6">
        <v>3.9570762478944803E-2</v>
      </c>
      <c r="Q150" s="6">
        <v>-2.01828376531113E-2</v>
      </c>
      <c r="R150" s="6">
        <v>1.39931140455593E-2</v>
      </c>
      <c r="S150" s="6">
        <v>-5.7775115393712204E-3</v>
      </c>
      <c r="T150" s="6">
        <v>8.1616588686743707E-3</v>
      </c>
      <c r="U150" s="6">
        <v>1.57739758333055E-3</v>
      </c>
      <c r="V150" s="6">
        <v>-1.69142347368644E-2</v>
      </c>
      <c r="W150" s="6">
        <v>4.9405438574714897E-2</v>
      </c>
      <c r="X150" s="6">
        <v>-3.8824718979045797E-2</v>
      </c>
      <c r="Y150" s="6">
        <v>9.0864470445624401E-2</v>
      </c>
      <c r="AA150">
        <v>3.14003944116217E-2</v>
      </c>
      <c r="AB150">
        <v>1.29548942510567E-2</v>
      </c>
      <c r="AC150">
        <v>-2.78727042403299E-2</v>
      </c>
      <c r="AD150">
        <v>4.3372817380444698E-2</v>
      </c>
      <c r="AE150">
        <v>3.9570762478944803E-2</v>
      </c>
      <c r="AF150">
        <v>-2.01828376531113E-2</v>
      </c>
      <c r="AG150">
        <v>1.39931140455593E-2</v>
      </c>
      <c r="AH150">
        <v>-5.7775115393712204E-3</v>
      </c>
      <c r="AI150">
        <v>8.1616588686743707E-3</v>
      </c>
      <c r="AJ150">
        <v>1.57739758333055E-3</v>
      </c>
      <c r="AK150">
        <v>-1.69142347368644E-2</v>
      </c>
      <c r="AL150">
        <v>4.9405438574714897E-2</v>
      </c>
      <c r="AM150">
        <v>-3.8824718979045797E-2</v>
      </c>
      <c r="AN150">
        <f>+IBOV!C75</f>
        <v>-7.5978175239985735E-3</v>
      </c>
      <c r="AP150" s="1">
        <f t="shared" si="9"/>
        <v>38960</v>
      </c>
      <c r="AQ150">
        <f t="shared" si="11"/>
        <v>87.802984231597208</v>
      </c>
      <c r="AR150">
        <f t="shared" si="12"/>
        <v>92.429767181545316</v>
      </c>
      <c r="AS150">
        <f t="shared" si="13"/>
        <v>85.236844492621572</v>
      </c>
      <c r="AT150">
        <f t="shared" si="14"/>
        <v>86.755235270674447</v>
      </c>
      <c r="AU150">
        <f t="shared" si="15"/>
        <v>101.87022730683329</v>
      </c>
      <c r="AV150">
        <f t="shared" si="16"/>
        <v>127.86671241411523</v>
      </c>
      <c r="AW150">
        <f t="shared" si="17"/>
        <v>120.34114285357619</v>
      </c>
      <c r="AX150">
        <f t="shared" si="18"/>
        <v>92.452248472060944</v>
      </c>
      <c r="AY150">
        <f t="shared" si="19"/>
        <v>109.98607862728377</v>
      </c>
      <c r="AZ150">
        <f t="shared" si="20"/>
        <v>107.88879846619827</v>
      </c>
      <c r="BA150">
        <f t="shared" si="21"/>
        <v>122.81193413276456</v>
      </c>
      <c r="BB150">
        <f t="shared" si="22"/>
        <v>85.945051272911144</v>
      </c>
      <c r="BC150">
        <f t="shared" si="23"/>
        <v>100.21041512634612</v>
      </c>
      <c r="BD150">
        <f t="shared" si="24"/>
        <v>284.69573951619668</v>
      </c>
    </row>
    <row r="151" spans="1:56" x14ac:dyDescent="0.25">
      <c r="A151" t="s">
        <v>7</v>
      </c>
      <c r="B151" t="s">
        <v>8</v>
      </c>
      <c r="C151" t="s">
        <v>9</v>
      </c>
      <c r="D151" t="s">
        <v>10</v>
      </c>
      <c r="E151">
        <v>5</v>
      </c>
      <c r="F151" s="1">
        <v>41790</v>
      </c>
      <c r="G151">
        <v>-2.4655018650267799E-2</v>
      </c>
      <c r="K151" s="4">
        <v>38990</v>
      </c>
      <c r="L151" s="6">
        <v>1.46883349840287E-2</v>
      </c>
      <c r="M151" s="6">
        <v>-2.4876342305919698E-2</v>
      </c>
      <c r="N151" s="6">
        <v>-8.1285629091912108E-3</v>
      </c>
      <c r="O151" s="6">
        <v>-1.44541743225029E-2</v>
      </c>
      <c r="P151" s="6">
        <v>1.09855510266791E-3</v>
      </c>
      <c r="Q151" s="6">
        <v>-7.9406640881644099E-3</v>
      </c>
      <c r="R151" s="6">
        <v>8.4702300716852103E-3</v>
      </c>
      <c r="S151" s="6">
        <v>-1.09634869160445E-2</v>
      </c>
      <c r="T151" s="6">
        <v>-1.4972440209800099E-2</v>
      </c>
      <c r="U151" s="6">
        <v>1.8116974381987699E-3</v>
      </c>
      <c r="V151" s="6">
        <v>-1.43949619620421E-2</v>
      </c>
      <c r="W151" s="6">
        <v>2.6403400564493199E-2</v>
      </c>
      <c r="X151" s="6">
        <v>5.1004606554918E-3</v>
      </c>
      <c r="Y151" s="6">
        <v>-3.8157953897099334E-2</v>
      </c>
      <c r="AA151">
        <v>1.46883349840287E-2</v>
      </c>
      <c r="AB151">
        <v>-2.4876342305919698E-2</v>
      </c>
      <c r="AC151">
        <v>-8.1285629091912108E-3</v>
      </c>
      <c r="AD151">
        <v>-1.44541743225029E-2</v>
      </c>
      <c r="AE151">
        <v>1.09855510266791E-3</v>
      </c>
      <c r="AF151">
        <v>-7.9406640881644099E-3</v>
      </c>
      <c r="AG151">
        <v>8.4702300716852103E-3</v>
      </c>
      <c r="AH151">
        <v>-1.09634869160445E-2</v>
      </c>
      <c r="AI151">
        <v>-1.4972440209800099E-2</v>
      </c>
      <c r="AJ151">
        <v>1.8116974381987699E-3</v>
      </c>
      <c r="AK151">
        <v>-1.43949619620421E-2</v>
      </c>
      <c r="AL151">
        <v>2.6403400564493199E-2</v>
      </c>
      <c r="AM151">
        <v>5.1004606554918E-3</v>
      </c>
      <c r="AN151">
        <f>+IBOV!C76</f>
        <v>-1.7875728406531621E-2</v>
      </c>
      <c r="AP151" s="1">
        <f t="shared" si="9"/>
        <v>38990</v>
      </c>
      <c r="AQ151">
        <f t="shared" si="11"/>
        <v>89.092663876588304</v>
      </c>
      <c r="AR151">
        <f t="shared" si="12"/>
        <v>90.130452653880724</v>
      </c>
      <c r="AS151">
        <f t="shared" si="13"/>
        <v>84.543991439982349</v>
      </c>
      <c r="AT151">
        <f t="shared" si="14"/>
        <v>85.501259976682377</v>
      </c>
      <c r="AU151">
        <f t="shared" si="15"/>
        <v>101.98213736485114</v>
      </c>
      <c r="AV151">
        <f t="shared" si="16"/>
        <v>126.85136580277681</v>
      </c>
      <c r="AW151">
        <f t="shared" si="17"/>
        <v>121.36046002063551</v>
      </c>
      <c r="AX151">
        <f t="shared" si="18"/>
        <v>91.438649455578599</v>
      </c>
      <c r="AY151">
        <f t="shared" si="19"/>
        <v>108.33931864112638</v>
      </c>
      <c r="AZ151">
        <f t="shared" si="20"/>
        <v>108.08426032598982</v>
      </c>
      <c r="BA151">
        <f t="shared" si="21"/>
        <v>121.04406101243859</v>
      </c>
      <c r="BB151">
        <f t="shared" si="22"/>
        <v>88.214292888205733</v>
      </c>
      <c r="BC151">
        <f t="shared" si="23"/>
        <v>100.72153440596855</v>
      </c>
      <c r="BD151">
        <f t="shared" si="24"/>
        <v>279.60659579810846</v>
      </c>
    </row>
    <row r="152" spans="1:56" x14ac:dyDescent="0.25">
      <c r="A152" t="s">
        <v>7</v>
      </c>
      <c r="B152" t="s">
        <v>8</v>
      </c>
      <c r="C152" t="s">
        <v>9</v>
      </c>
      <c r="D152" t="s">
        <v>10</v>
      </c>
      <c r="E152">
        <v>5</v>
      </c>
      <c r="F152" s="1">
        <v>41820</v>
      </c>
      <c r="G152">
        <v>-1.45446752943146E-2</v>
      </c>
      <c r="K152" s="4">
        <v>39021</v>
      </c>
      <c r="L152" s="6">
        <v>-6.2044346229343797E-5</v>
      </c>
      <c r="M152" s="6">
        <v>2.0920758768939101E-2</v>
      </c>
      <c r="N152" s="6">
        <v>1.8346843374919201E-2</v>
      </c>
      <c r="O152" s="6">
        <v>5.85176297774567E-3</v>
      </c>
      <c r="P152" s="6">
        <v>-3.1004213150894001E-2</v>
      </c>
      <c r="Q152" s="6">
        <v>-2.2725568676934101E-2</v>
      </c>
      <c r="R152" s="6">
        <v>3.8495723303800301E-3</v>
      </c>
      <c r="S152" s="6">
        <v>-1.43974389110806E-3</v>
      </c>
      <c r="T152" s="6">
        <v>4.5903224738777703E-3</v>
      </c>
      <c r="U152" s="6">
        <v>2.3955999913016601E-3</v>
      </c>
      <c r="V152" s="6">
        <v>1.7676643687328401E-2</v>
      </c>
      <c r="W152" s="6">
        <v>2.4336328570124102E-2</v>
      </c>
      <c r="X152" s="6">
        <v>-5.7062865200671496E-3</v>
      </c>
      <c r="Y152" s="6">
        <v>3.7029975589383285E-2</v>
      </c>
      <c r="AA152">
        <v>-6.2044346229343797E-5</v>
      </c>
      <c r="AB152">
        <v>2.0920758768939101E-2</v>
      </c>
      <c r="AC152">
        <v>1.8346843374919201E-2</v>
      </c>
      <c r="AD152">
        <v>5.85176297774567E-3</v>
      </c>
      <c r="AE152">
        <v>-3.1004213150894001E-2</v>
      </c>
      <c r="AF152">
        <v>-2.2725568676934101E-2</v>
      </c>
      <c r="AG152">
        <v>3.8495723303800301E-3</v>
      </c>
      <c r="AH152">
        <v>-1.43974389110806E-3</v>
      </c>
      <c r="AI152">
        <v>4.5903224738777703E-3</v>
      </c>
      <c r="AJ152">
        <v>2.3955999913016601E-3</v>
      </c>
      <c r="AK152">
        <v>1.7676643687328401E-2</v>
      </c>
      <c r="AL152">
        <v>2.4336328570124102E-2</v>
      </c>
      <c r="AM152">
        <v>-5.7062865200671496E-3</v>
      </c>
      <c r="AN152">
        <f>+IBOV!C77</f>
        <v>9.124491836453652E-2</v>
      </c>
      <c r="AP152" s="1">
        <f t="shared" si="9"/>
        <v>39021</v>
      </c>
      <c r="AQ152">
        <f t="shared" si="11"/>
        <v>89.087136180504245</v>
      </c>
      <c r="AR152">
        <f t="shared" si="12"/>
        <v>92.016050111587845</v>
      </c>
      <c r="AS152">
        <f t="shared" si="13"/>
        <v>86.095106809222216</v>
      </c>
      <c r="AT152">
        <f t="shared" si="14"/>
        <v>86.001593084364544</v>
      </c>
      <c r="AU152">
        <f t="shared" si="15"/>
        <v>98.820261440407549</v>
      </c>
      <c r="AV152">
        <f t="shared" si="16"/>
        <v>123.96859637746292</v>
      </c>
      <c r="AW152">
        <f t="shared" si="17"/>
        <v>121.82764588953313</v>
      </c>
      <c r="AX152">
        <f t="shared" si="18"/>
        <v>91.307001218613763</v>
      </c>
      <c r="AY152">
        <f t="shared" si="19"/>
        <v>108.83663105028934</v>
      </c>
      <c r="AZ152">
        <f t="shared" si="20"/>
        <v>108.34318697908661</v>
      </c>
      <c r="BA152">
        <f t="shared" si="21"/>
        <v>123.18371374942269</v>
      </c>
      <c r="BB152">
        <f t="shared" si="22"/>
        <v>90.361104904514278</v>
      </c>
      <c r="BC152">
        <f t="shared" si="23"/>
        <v>100.1467884719073</v>
      </c>
      <c r="BD152">
        <f t="shared" si="24"/>
        <v>305.11927680589281</v>
      </c>
    </row>
    <row r="153" spans="1:56" x14ac:dyDescent="0.25">
      <c r="A153" t="s">
        <v>7</v>
      </c>
      <c r="B153" t="s">
        <v>8</v>
      </c>
      <c r="C153" t="s">
        <v>9</v>
      </c>
      <c r="D153" t="s">
        <v>10</v>
      </c>
      <c r="E153">
        <v>5</v>
      </c>
      <c r="F153" s="1">
        <v>41851</v>
      </c>
      <c r="G153">
        <v>2.0538209171623599E-2</v>
      </c>
      <c r="K153" s="4">
        <v>39051</v>
      </c>
      <c r="L153" s="6">
        <v>1.5826865141918001E-2</v>
      </c>
      <c r="M153" s="6">
        <v>-1.1074622199278E-2</v>
      </c>
      <c r="N153" s="6">
        <v>-1.6475542670507701E-2</v>
      </c>
      <c r="O153" s="6">
        <v>3.8183123168899699E-2</v>
      </c>
      <c r="P153" s="6">
        <v>3.02582493036969E-3</v>
      </c>
      <c r="Q153" s="6">
        <v>-5.4548590715742903E-2</v>
      </c>
      <c r="R153" s="6">
        <v>-4.4996309228875998E-3</v>
      </c>
      <c r="S153" s="6">
        <v>1.0418523390094201E-2</v>
      </c>
      <c r="T153" s="6">
        <v>3.5581899163044398E-2</v>
      </c>
      <c r="U153" s="6">
        <v>-1.2104743838330399E-2</v>
      </c>
      <c r="V153" s="6">
        <v>-3.0415627600708702E-3</v>
      </c>
      <c r="W153" s="6">
        <v>4.7049075978059497E-2</v>
      </c>
      <c r="X153" s="6">
        <v>-1.28604163503158E-2</v>
      </c>
      <c r="Y153" s="6">
        <v>3.5480202315252216E-2</v>
      </c>
      <c r="AA153">
        <v>1.5826865141918001E-2</v>
      </c>
      <c r="AB153">
        <v>-1.1074622199278E-2</v>
      </c>
      <c r="AC153">
        <v>-1.6475542670507701E-2</v>
      </c>
      <c r="AD153">
        <v>3.8183123168899699E-2</v>
      </c>
      <c r="AE153">
        <v>3.02582493036969E-3</v>
      </c>
      <c r="AF153">
        <v>-5.4548590715742903E-2</v>
      </c>
      <c r="AG153">
        <v>-4.4996309228875998E-3</v>
      </c>
      <c r="AH153">
        <v>1.0418523390094201E-2</v>
      </c>
      <c r="AI153">
        <v>3.5581899163044398E-2</v>
      </c>
      <c r="AJ153">
        <v>-1.2104743838330399E-2</v>
      </c>
      <c r="AK153">
        <v>-3.0415627600708702E-3</v>
      </c>
      <c r="AL153">
        <v>4.7049075978059497E-2</v>
      </c>
      <c r="AM153">
        <v>-1.28604163503158E-2</v>
      </c>
      <c r="AN153">
        <f>+IBOV!C78</f>
        <v>5.6692801062201426E-2</v>
      </c>
      <c r="AP153" s="1">
        <f t="shared" si="9"/>
        <v>39051</v>
      </c>
      <c r="AQ153">
        <f t="shared" si="11"/>
        <v>90.497106270712763</v>
      </c>
      <c r="AR153">
        <f t="shared" si="12"/>
        <v>90.997007120332171</v>
      </c>
      <c r="AS153">
        <f t="shared" si="13"/>
        <v>84.676643203264959</v>
      </c>
      <c r="AT153">
        <f t="shared" si="14"/>
        <v>89.285402505826426</v>
      </c>
      <c r="AU153">
        <f t="shared" si="15"/>
        <v>99.119274251099583</v>
      </c>
      <c r="AV153">
        <f t="shared" si="16"/>
        <v>117.20628415206356</v>
      </c>
      <c r="AW153">
        <f t="shared" si="17"/>
        <v>121.27946644682598</v>
      </c>
      <c r="AX153">
        <f t="shared" si="18"/>
        <v>92.258285346489245</v>
      </c>
      <c r="AY153">
        <f t="shared" si="19"/>
        <v>112.70924508156619</v>
      </c>
      <c r="AZ153">
        <f t="shared" si="20"/>
        <v>107.03172045407644</v>
      </c>
      <c r="BA153">
        <f t="shared" si="21"/>
        <v>122.80904275303523</v>
      </c>
      <c r="BB153">
        <f t="shared" si="22"/>
        <v>94.612511394628172</v>
      </c>
      <c r="BC153">
        <f t="shared" si="23"/>
        <v>98.858859076011569</v>
      </c>
      <c r="BD153">
        <f t="shared" si="24"/>
        <v>322.41734326609208</v>
      </c>
    </row>
    <row r="154" spans="1:56" x14ac:dyDescent="0.25">
      <c r="A154" t="s">
        <v>7</v>
      </c>
      <c r="B154" t="s">
        <v>8</v>
      </c>
      <c r="C154" t="s">
        <v>9</v>
      </c>
      <c r="D154" t="s">
        <v>10</v>
      </c>
      <c r="E154">
        <v>5</v>
      </c>
      <c r="F154" s="1">
        <v>41882</v>
      </c>
      <c r="G154">
        <v>3.2726468826973602E-2</v>
      </c>
      <c r="K154" s="4">
        <v>39082</v>
      </c>
      <c r="L154" s="6">
        <v>-1.30271253322123E-2</v>
      </c>
      <c r="M154" s="6">
        <v>2.1152113963519301E-3</v>
      </c>
      <c r="N154" s="6">
        <v>-9.7465873048156997E-3</v>
      </c>
      <c r="O154" s="6">
        <v>-9.7037932736423593E-3</v>
      </c>
      <c r="P154" s="6">
        <v>-2.3762193168237699E-2</v>
      </c>
      <c r="Q154" s="6">
        <v>1.26572391927053E-3</v>
      </c>
      <c r="R154" s="6">
        <v>1.85728363855166E-2</v>
      </c>
      <c r="S154" s="6">
        <v>-6.2100198065393603E-3</v>
      </c>
      <c r="T154" s="6">
        <v>-8.3831938813132503E-6</v>
      </c>
      <c r="U154" s="6">
        <v>-1.0616122106302601E-2</v>
      </c>
      <c r="V154" s="6">
        <v>7.5302768423198203E-4</v>
      </c>
      <c r="W154" s="6">
        <v>1.35073770924475E-2</v>
      </c>
      <c r="X154" s="6">
        <v>3.96854292702601E-3</v>
      </c>
      <c r="Y154" s="6">
        <v>-3.2891504780786784E-2</v>
      </c>
      <c r="AA154">
        <v>-1.30271253322123E-2</v>
      </c>
      <c r="AB154">
        <v>2.1152113963519301E-3</v>
      </c>
      <c r="AC154">
        <v>-9.7465873048156997E-3</v>
      </c>
      <c r="AD154">
        <v>-9.7037932736423593E-3</v>
      </c>
      <c r="AE154">
        <v>-2.3762193168237699E-2</v>
      </c>
      <c r="AF154">
        <v>1.26572391927053E-3</v>
      </c>
      <c r="AG154">
        <v>1.85728363855166E-2</v>
      </c>
      <c r="AH154">
        <v>-6.2100198065393603E-3</v>
      </c>
      <c r="AI154">
        <v>-8.3831938813132503E-6</v>
      </c>
      <c r="AJ154">
        <v>-1.0616122106302601E-2</v>
      </c>
      <c r="AK154">
        <v>7.5302768423198203E-4</v>
      </c>
      <c r="AL154">
        <v>1.35073770924475E-2</v>
      </c>
      <c r="AM154">
        <v>3.96854292702601E-3</v>
      </c>
      <c r="AN154">
        <f>+IBOV!C79</f>
        <v>7.804938835697528E-2</v>
      </c>
      <c r="AP154" s="1">
        <f t="shared" si="9"/>
        <v>39082</v>
      </c>
      <c r="AQ154">
        <f t="shared" si="11"/>
        <v>89.318189125121648</v>
      </c>
      <c r="AR154">
        <f t="shared" si="12"/>
        <v>91.189485026827001</v>
      </c>
      <c r="AS154">
        <f t="shared" si="13"/>
        <v>83.851334907605604</v>
      </c>
      <c r="AT154">
        <f t="shared" si="14"/>
        <v>88.418995417555934</v>
      </c>
      <c r="AU154">
        <f t="shared" si="15"/>
        <v>96.763982909649428</v>
      </c>
      <c r="AV154">
        <f t="shared" si="16"/>
        <v>117.35463494940366</v>
      </c>
      <c r="AW154">
        <f t="shared" si="17"/>
        <v>123.53197013406563</v>
      </c>
      <c r="AX154">
        <f t="shared" si="18"/>
        <v>91.685359567170195</v>
      </c>
      <c r="AY154">
        <f t="shared" si="19"/>
        <v>112.70830021811246</v>
      </c>
      <c r="AZ154">
        <f t="shared" si="20"/>
        <v>105.89545864048831</v>
      </c>
      <c r="BA154">
        <f t="shared" si="21"/>
        <v>122.9015213621023</v>
      </c>
      <c r="BB154">
        <f t="shared" si="22"/>
        <v>95.890478263698895</v>
      </c>
      <c r="BC154">
        <f t="shared" si="23"/>
        <v>99.251184701971539</v>
      </c>
      <c r="BD154">
        <f t="shared" si="24"/>
        <v>347.58181970369151</v>
      </c>
    </row>
    <row r="155" spans="1:56" x14ac:dyDescent="0.25">
      <c r="A155" t="s">
        <v>7</v>
      </c>
      <c r="B155" t="s">
        <v>8</v>
      </c>
      <c r="C155" t="s">
        <v>9</v>
      </c>
      <c r="D155" t="s">
        <v>10</v>
      </c>
      <c r="E155">
        <v>5</v>
      </c>
      <c r="F155" s="1">
        <v>41912</v>
      </c>
      <c r="G155">
        <v>-5.8144297715654004E-3</v>
      </c>
      <c r="K155" s="4">
        <v>39113</v>
      </c>
      <c r="L155" s="6">
        <v>-1.14678666632146E-2</v>
      </c>
      <c r="M155" s="6">
        <v>7.6270220526772001E-3</v>
      </c>
      <c r="N155" s="6">
        <v>3.0508504191137899E-2</v>
      </c>
      <c r="O155" s="6">
        <v>1.5932714869622801E-2</v>
      </c>
      <c r="P155" s="6">
        <v>4.8338549870634998E-3</v>
      </c>
      <c r="Q155" s="6">
        <v>2.91991799147596E-2</v>
      </c>
      <c r="R155" s="6">
        <v>2.3154313941995599E-3</v>
      </c>
      <c r="S155" s="6">
        <v>2.6819656123083699E-3</v>
      </c>
      <c r="T155" s="6">
        <v>-2.029544469469E-3</v>
      </c>
      <c r="U155" s="6">
        <v>1.7858847417258301E-2</v>
      </c>
      <c r="V155" s="6">
        <v>1.47408888270431E-2</v>
      </c>
      <c r="W155" s="6">
        <v>4.6427442141074797E-2</v>
      </c>
      <c r="X155" s="6">
        <v>3.2715758862255001E-2</v>
      </c>
      <c r="Y155" s="6">
        <v>0.19134419913671652</v>
      </c>
      <c r="AA155">
        <v>-1.14678666632146E-2</v>
      </c>
      <c r="AB155">
        <v>7.6270220526772001E-3</v>
      </c>
      <c r="AC155">
        <v>3.0508504191137899E-2</v>
      </c>
      <c r="AD155">
        <v>1.5932714869622801E-2</v>
      </c>
      <c r="AE155">
        <v>4.8338549870634998E-3</v>
      </c>
      <c r="AF155">
        <v>2.91991799147596E-2</v>
      </c>
      <c r="AG155">
        <v>2.3154313941995599E-3</v>
      </c>
      <c r="AH155">
        <v>2.6819656123083699E-3</v>
      </c>
      <c r="AI155">
        <v>-2.029544469469E-3</v>
      </c>
      <c r="AJ155">
        <v>1.7858847417258301E-2</v>
      </c>
      <c r="AK155">
        <v>1.47408888270431E-2</v>
      </c>
      <c r="AL155">
        <v>4.6427442141074797E-2</v>
      </c>
      <c r="AM155">
        <v>3.2715758862255001E-2</v>
      </c>
      <c r="AN155">
        <f>+IBOV!C80</f>
        <v>8.5344943841871856E-3</v>
      </c>
      <c r="AP155" s="1">
        <f t="shared" si="9"/>
        <v>39113</v>
      </c>
      <c r="AQ155">
        <f t="shared" si="11"/>
        <v>88.29390004163497</v>
      </c>
      <c r="AR155">
        <f t="shared" si="12"/>
        <v>91.884989240098889</v>
      </c>
      <c r="AS155">
        <f t="shared" si="13"/>
        <v>86.409513710066804</v>
      </c>
      <c r="AT155">
        <f t="shared" si="14"/>
        <v>89.827750060602341</v>
      </c>
      <c r="AU155">
        <f t="shared" si="15"/>
        <v>97.231725971005361</v>
      </c>
      <c r="AV155">
        <f t="shared" si="16"/>
        <v>120.78129404912222</v>
      </c>
      <c r="AW155">
        <f t="shared" si="17"/>
        <v>123.81799993590137</v>
      </c>
      <c r="AX155">
        <f t="shared" si="18"/>
        <v>91.931256548681461</v>
      </c>
      <c r="AY155">
        <f t="shared" si="19"/>
        <v>112.47955371074153</v>
      </c>
      <c r="AZ155">
        <f t="shared" si="20"/>
        <v>107.78662947852938</v>
      </c>
      <c r="BA155">
        <f t="shared" si="21"/>
        <v>124.71319902517551</v>
      </c>
      <c r="BB155">
        <f t="shared" si="22"/>
        <v>100.34242789516678</v>
      </c>
      <c r="BC155">
        <f t="shared" si="23"/>
        <v>102.49826252747438</v>
      </c>
      <c r="BD155">
        <f t="shared" si="24"/>
        <v>350.5482547919982</v>
      </c>
    </row>
    <row r="156" spans="1:56" x14ac:dyDescent="0.25">
      <c r="A156" t="s">
        <v>7</v>
      </c>
      <c r="B156" t="s">
        <v>8</v>
      </c>
      <c r="C156" t="s">
        <v>9</v>
      </c>
      <c r="D156" t="s">
        <v>10</v>
      </c>
      <c r="E156">
        <v>5</v>
      </c>
      <c r="F156" s="1">
        <v>41943</v>
      </c>
      <c r="G156">
        <v>2.8624841318066799E-3</v>
      </c>
      <c r="K156" s="4">
        <v>39141</v>
      </c>
      <c r="L156" s="6">
        <v>-1.50278769150859E-2</v>
      </c>
      <c r="M156" s="6">
        <v>5.5740864757144598E-3</v>
      </c>
      <c r="N156" s="6">
        <v>1.2113668692964699E-4</v>
      </c>
      <c r="O156" s="6">
        <v>-3.7228831146929299E-2</v>
      </c>
      <c r="P156" s="6">
        <v>2.3250176672193E-2</v>
      </c>
      <c r="Q156" s="6">
        <v>-2.0025980058723601E-2</v>
      </c>
      <c r="R156" s="6">
        <v>-1.0441852083246101E-2</v>
      </c>
      <c r="S156" s="6">
        <v>-4.1374849601463301E-2</v>
      </c>
      <c r="T156" s="6">
        <v>-5.0757695083891899E-2</v>
      </c>
      <c r="U156" s="6">
        <v>2.4347195896554E-2</v>
      </c>
      <c r="V156" s="6">
        <v>4.3359465991813699E-4</v>
      </c>
      <c r="W156" s="6">
        <v>-4.6547232900748898E-3</v>
      </c>
      <c r="X156" s="6">
        <v>1.8461961168177301E-2</v>
      </c>
      <c r="Y156" s="6">
        <v>-0.1073236566199284</v>
      </c>
      <c r="AA156">
        <v>-1.50278769150859E-2</v>
      </c>
      <c r="AB156">
        <v>5.5740864757144598E-3</v>
      </c>
      <c r="AC156">
        <v>1.2113668692964699E-4</v>
      </c>
      <c r="AD156">
        <v>-3.7228831146929299E-2</v>
      </c>
      <c r="AE156">
        <v>2.3250176672193E-2</v>
      </c>
      <c r="AF156">
        <v>-2.0025980058723601E-2</v>
      </c>
      <c r="AG156">
        <v>-1.0441852083246101E-2</v>
      </c>
      <c r="AH156">
        <v>-4.1374849601463301E-2</v>
      </c>
      <c r="AI156">
        <v>-5.0757695083891899E-2</v>
      </c>
      <c r="AJ156">
        <v>2.4347195896554E-2</v>
      </c>
      <c r="AK156">
        <v>4.3359465991813699E-4</v>
      </c>
      <c r="AL156">
        <v>-4.6547232900748898E-3</v>
      </c>
      <c r="AM156">
        <v>1.8461961168177301E-2</v>
      </c>
      <c r="AN156">
        <f>+IBOV!C81</f>
        <v>-3.0262655205348654E-2</v>
      </c>
      <c r="AP156" s="1">
        <f t="shared" si="9"/>
        <v>39141</v>
      </c>
      <c r="AQ156">
        <f t="shared" si="11"/>
        <v>86.967030179456387</v>
      </c>
      <c r="AR156">
        <f t="shared" si="12"/>
        <v>92.397164115943298</v>
      </c>
      <c r="AS156">
        <f t="shared" si="13"/>
        <v>86.41998107227684</v>
      </c>
      <c r="AT156">
        <f t="shared" si="14"/>
        <v>86.483567921287602</v>
      </c>
      <c r="AU156">
        <f t="shared" si="15"/>
        <v>99.492380777973494</v>
      </c>
      <c r="AV156">
        <f t="shared" si="16"/>
        <v>118.36253026302768</v>
      </c>
      <c r="AW156">
        <f t="shared" si="17"/>
        <v>122.52511069532731</v>
      </c>
      <c r="AX156">
        <f t="shared" si="18"/>
        <v>88.12761463530623</v>
      </c>
      <c r="AY156">
        <f t="shared" si="19"/>
        <v>106.77035082031946</v>
      </c>
      <c r="AZ156">
        <f t="shared" si="20"/>
        <v>110.41093166147242</v>
      </c>
      <c r="BA156">
        <f t="shared" si="21"/>
        <v>124.76727400229413</v>
      </c>
      <c r="BB156">
        <f t="shared" si="22"/>
        <v>99.875361659060488</v>
      </c>
      <c r="BC156">
        <f t="shared" si="23"/>
        <v>104.39058147006226</v>
      </c>
      <c r="BD156">
        <f t="shared" si="24"/>
        <v>339.93973382439123</v>
      </c>
    </row>
    <row r="157" spans="1:56" x14ac:dyDescent="0.25">
      <c r="A157" t="s">
        <v>7</v>
      </c>
      <c r="B157" t="s">
        <v>8</v>
      </c>
      <c r="C157" t="s">
        <v>9</v>
      </c>
      <c r="D157" t="s">
        <v>10</v>
      </c>
      <c r="E157">
        <v>5</v>
      </c>
      <c r="F157" s="1">
        <v>41973</v>
      </c>
      <c r="G157">
        <v>-9.6522453213960906E-3</v>
      </c>
      <c r="K157" s="4">
        <v>39172</v>
      </c>
      <c r="L157" s="6">
        <v>4.2340418964363002E-3</v>
      </c>
      <c r="M157" s="6">
        <v>1.26754969046849E-2</v>
      </c>
      <c r="N157" s="6">
        <v>7.8100784346157902E-3</v>
      </c>
      <c r="O157" s="6">
        <v>-1.39600742936656E-2</v>
      </c>
      <c r="P157" s="6">
        <v>-2.3497404846914701E-2</v>
      </c>
      <c r="Q157" s="6">
        <v>-1.0784149048268601E-2</v>
      </c>
      <c r="R157" s="6">
        <v>8.7170390123117395E-3</v>
      </c>
      <c r="S157" s="6">
        <v>8.06192740709555E-3</v>
      </c>
      <c r="T157" s="6">
        <v>-7.3016055177640299E-4</v>
      </c>
      <c r="U157" s="6">
        <v>1.5735129378743499E-2</v>
      </c>
      <c r="V157" s="6">
        <v>-1.19233221405584E-2</v>
      </c>
      <c r="W157" s="6">
        <v>-2.0516802920482299E-2</v>
      </c>
      <c r="X157" s="6">
        <v>5.1632888279065398E-2</v>
      </c>
      <c r="Y157" s="6">
        <v>2.7454687511287171E-2</v>
      </c>
      <c r="AA157">
        <v>4.2340418964363002E-3</v>
      </c>
      <c r="AB157">
        <v>1.26754969046849E-2</v>
      </c>
      <c r="AC157">
        <v>7.8100784346157902E-3</v>
      </c>
      <c r="AD157">
        <v>-1.39600742936656E-2</v>
      </c>
      <c r="AE157">
        <v>-2.3497404846914701E-2</v>
      </c>
      <c r="AF157">
        <v>-1.0784149048268601E-2</v>
      </c>
      <c r="AG157">
        <v>8.7170390123117395E-3</v>
      </c>
      <c r="AH157">
        <v>8.06192740709555E-3</v>
      </c>
      <c r="AI157">
        <v>-7.3016055177640299E-4</v>
      </c>
      <c r="AJ157">
        <v>1.5735129378743499E-2</v>
      </c>
      <c r="AK157">
        <v>-1.19233221405584E-2</v>
      </c>
      <c r="AL157">
        <v>-2.0516802920482299E-2</v>
      </c>
      <c r="AM157">
        <v>5.1632888279065398E-2</v>
      </c>
      <c r="AN157">
        <f>+IBOV!C82</f>
        <v>7.4203572290372888E-2</v>
      </c>
      <c r="AP157" s="1">
        <f t="shared" si="9"/>
        <v>39172</v>
      </c>
      <c r="AQ157">
        <f t="shared" si="11"/>
        <v>87.335252228844851</v>
      </c>
      <c r="AR157">
        <f t="shared" si="12"/>
        <v>93.568344083696601</v>
      </c>
      <c r="AS157">
        <f t="shared" si="13"/>
        <v>87.094927902769328</v>
      </c>
      <c r="AT157">
        <f t="shared" si="14"/>
        <v>85.276250887925144</v>
      </c>
      <c r="AU157">
        <f t="shared" si="15"/>
        <v>97.154568027650058</v>
      </c>
      <c r="AV157">
        <f t="shared" si="16"/>
        <v>117.08609109494098</v>
      </c>
      <c r="AW157">
        <f t="shared" si="17"/>
        <v>123.59316686524629</v>
      </c>
      <c r="AX157">
        <f t="shared" si="18"/>
        <v>88.838093067056576</v>
      </c>
      <c r="AY157">
        <f t="shared" si="19"/>
        <v>106.69239132205114</v>
      </c>
      <c r="AZ157">
        <f t="shared" si="20"/>
        <v>112.14826195599331</v>
      </c>
      <c r="BA157">
        <f t="shared" si="21"/>
        <v>123.27963360176547</v>
      </c>
      <c r="BB157">
        <f t="shared" si="22"/>
        <v>97.826238547289648</v>
      </c>
      <c r="BC157">
        <f t="shared" si="23"/>
        <v>109.78056870049265</v>
      </c>
      <c r="BD157">
        <f t="shared" si="24"/>
        <v>365.16447643759955</v>
      </c>
    </row>
    <row r="158" spans="1:56" x14ac:dyDescent="0.25">
      <c r="A158" t="s">
        <v>7</v>
      </c>
      <c r="B158" t="s">
        <v>8</v>
      </c>
      <c r="C158" t="s">
        <v>9</v>
      </c>
      <c r="D158" t="s">
        <v>10</v>
      </c>
      <c r="E158">
        <v>5</v>
      </c>
      <c r="F158" s="1">
        <v>42004</v>
      </c>
      <c r="G158">
        <v>8.8481964052548497E-3</v>
      </c>
      <c r="K158" s="4">
        <v>39202</v>
      </c>
      <c r="L158" s="6">
        <v>-2.10125151341196E-4</v>
      </c>
      <c r="M158" s="6">
        <v>-1.5752671173413599E-2</v>
      </c>
      <c r="N158" s="6">
        <v>3.9257809921322898E-3</v>
      </c>
      <c r="O158" s="6">
        <v>4.4682229823592802E-4</v>
      </c>
      <c r="P158" s="6">
        <v>-5.17798831654398E-3</v>
      </c>
      <c r="Q158" s="6">
        <v>-9.5955466245481007E-3</v>
      </c>
      <c r="R158" s="6">
        <v>-4.7560755484155901E-3</v>
      </c>
      <c r="S158" s="6">
        <v>7.6459162881956297E-3</v>
      </c>
      <c r="T158" s="6">
        <v>1.6966360571956898E-2</v>
      </c>
      <c r="U158" s="6">
        <v>3.24577533131052E-3</v>
      </c>
      <c r="V158" s="6">
        <v>2.62734438897223E-2</v>
      </c>
      <c r="W158" s="6">
        <v>5.8351153309277298E-3</v>
      </c>
      <c r="X158" s="6">
        <v>-2.11014211263169E-2</v>
      </c>
      <c r="Y158" s="6">
        <v>7.7453867619019338E-3</v>
      </c>
      <c r="AA158">
        <v>-2.10125151341196E-4</v>
      </c>
      <c r="AB158">
        <v>-1.5752671173413599E-2</v>
      </c>
      <c r="AC158">
        <v>3.9257809921322898E-3</v>
      </c>
      <c r="AD158">
        <v>4.4682229823592802E-4</v>
      </c>
      <c r="AE158">
        <v>-5.17798831654398E-3</v>
      </c>
      <c r="AF158">
        <v>-9.5955466245481007E-3</v>
      </c>
      <c r="AG158">
        <v>-4.7560755484155901E-3</v>
      </c>
      <c r="AH158">
        <v>7.6459162881956297E-3</v>
      </c>
      <c r="AI158">
        <v>1.6966360571956898E-2</v>
      </c>
      <c r="AJ158">
        <v>3.24577533131052E-3</v>
      </c>
      <c r="AK158">
        <v>2.62734438897223E-2</v>
      </c>
      <c r="AL158">
        <v>5.8351153309277298E-3</v>
      </c>
      <c r="AM158">
        <v>-2.11014211263169E-2</v>
      </c>
      <c r="AN158">
        <f>+IBOV!C83</f>
        <v>6.7858305330283253E-2</v>
      </c>
      <c r="AP158" s="1">
        <f t="shared" si="9"/>
        <v>39202</v>
      </c>
      <c r="AQ158">
        <f t="shared" si="11"/>
        <v>87.316900895752838</v>
      </c>
      <c r="AR158">
        <f t="shared" si="12"/>
        <v>92.094392727105301</v>
      </c>
      <c r="AS158">
        <f t="shared" si="13"/>
        <v>87.436843515241151</v>
      </c>
      <c r="AT158">
        <f t="shared" si="14"/>
        <v>85.314354218331829</v>
      </c>
      <c r="AU158">
        <f t="shared" si="15"/>
        <v>96.651502809504009</v>
      </c>
      <c r="AV158">
        <f t="shared" si="16"/>
        <v>115.96258604875339</v>
      </c>
      <c r="AW158">
        <f t="shared" si="17"/>
        <v>123.00534842636723</v>
      </c>
      <c r="AX158">
        <f t="shared" si="18"/>
        <v>89.517341689850227</v>
      </c>
      <c r="AY158">
        <f t="shared" si="19"/>
        <v>108.5025729035054</v>
      </c>
      <c r="AZ158">
        <f t="shared" si="20"/>
        <v>112.51227001809941</v>
      </c>
      <c r="BA158">
        <f t="shared" si="21"/>
        <v>126.51861413794698</v>
      </c>
      <c r="BB158">
        <f t="shared" si="22"/>
        <v>98.397065931603933</v>
      </c>
      <c r="BC158">
        <f t="shared" si="23"/>
        <v>107.46404268885699</v>
      </c>
      <c r="BD158">
        <f t="shared" si="24"/>
        <v>389.94391897547519</v>
      </c>
    </row>
    <row r="159" spans="1:56" x14ac:dyDescent="0.25">
      <c r="A159" t="s">
        <v>7</v>
      </c>
      <c r="B159" t="s">
        <v>8</v>
      </c>
      <c r="C159" t="s">
        <v>9</v>
      </c>
      <c r="D159" t="s">
        <v>10</v>
      </c>
      <c r="E159">
        <v>5</v>
      </c>
      <c r="F159" s="1">
        <v>42035</v>
      </c>
      <c r="G159">
        <v>6.6031063710370499E-2</v>
      </c>
      <c r="K159" s="4">
        <v>39233</v>
      </c>
      <c r="L159" s="6">
        <v>9.8873335045482104E-3</v>
      </c>
      <c r="M159" s="6">
        <v>3.9241573152588001E-3</v>
      </c>
      <c r="N159" s="6">
        <v>-2.79820655913607E-2</v>
      </c>
      <c r="O159" s="6">
        <v>8.0571012270908796E-3</v>
      </c>
      <c r="P159" s="6">
        <v>-3.0388542805560699E-2</v>
      </c>
      <c r="Q159" s="6">
        <v>-1.23079068032823E-2</v>
      </c>
      <c r="R159" s="6">
        <v>2.82377645591218E-3</v>
      </c>
      <c r="S159" s="6">
        <v>1.19543481593163E-2</v>
      </c>
      <c r="T159" s="6">
        <v>-1.4823118809139601E-2</v>
      </c>
      <c r="U159" s="6">
        <v>-1.03569740243046E-2</v>
      </c>
      <c r="V159" s="6">
        <v>1.81569878910725E-2</v>
      </c>
      <c r="W159" s="6">
        <v>-3.3655454728061299E-3</v>
      </c>
      <c r="X159" s="6">
        <v>-8.3375092024182498E-4</v>
      </c>
      <c r="Y159" s="6">
        <v>-4.5254199873496985E-2</v>
      </c>
      <c r="AA159">
        <v>9.8873335045482104E-3</v>
      </c>
      <c r="AB159">
        <v>3.9241573152588001E-3</v>
      </c>
      <c r="AC159">
        <v>-2.79820655913607E-2</v>
      </c>
      <c r="AD159">
        <v>8.0571012270908796E-3</v>
      </c>
      <c r="AE159">
        <v>-3.0388542805560699E-2</v>
      </c>
      <c r="AF159">
        <v>-1.23079068032823E-2</v>
      </c>
      <c r="AG159">
        <v>2.82377645591218E-3</v>
      </c>
      <c r="AH159">
        <v>1.19543481593163E-2</v>
      </c>
      <c r="AI159">
        <v>-1.4823118809139601E-2</v>
      </c>
      <c r="AJ159">
        <v>-1.03569740243046E-2</v>
      </c>
      <c r="AK159">
        <v>1.81569878910725E-2</v>
      </c>
      <c r="AL159">
        <v>-3.3655454728061299E-3</v>
      </c>
      <c r="AM159">
        <v>-8.3375092024182498E-4</v>
      </c>
      <c r="AN159">
        <f>+IBOV!C84</f>
        <v>0.1280454036139147</v>
      </c>
      <c r="AP159" s="1">
        <f t="shared" si="9"/>
        <v>39233</v>
      </c>
      <c r="AQ159">
        <f t="shared" si="11"/>
        <v>88.180232215492723</v>
      </c>
      <c r="AR159">
        <f t="shared" si="12"/>
        <v>92.455785612019696</v>
      </c>
      <c r="AS159">
        <f t="shared" si="13"/>
        <v>84.990180024896134</v>
      </c>
      <c r="AT159">
        <f t="shared" si="14"/>
        <v>86.001740606392815</v>
      </c>
      <c r="AU159">
        <f t="shared" si="15"/>
        <v>93.714404479155633</v>
      </c>
      <c r="AV159">
        <f t="shared" si="16"/>
        <v>114.53532934699773</v>
      </c>
      <c r="AW159">
        <f t="shared" si="17"/>
        <v>123.3526880332049</v>
      </c>
      <c r="AX159">
        <f t="shared" si="18"/>
        <v>90.58746315870718</v>
      </c>
      <c r="AY159">
        <f t="shared" si="19"/>
        <v>106.8942263742594</v>
      </c>
      <c r="AZ159">
        <f t="shared" si="20"/>
        <v>111.34698336010642</v>
      </c>
      <c r="BA159">
        <f t="shared" si="21"/>
        <v>128.81581108284496</v>
      </c>
      <c r="BB159">
        <f t="shared" si="22"/>
        <v>98.065906131820427</v>
      </c>
      <c r="BC159">
        <f t="shared" si="23"/>
        <v>107.37444444437224</v>
      </c>
      <c r="BD159">
        <f t="shared" si="24"/>
        <v>439.87444546748156</v>
      </c>
    </row>
    <row r="160" spans="1:56" x14ac:dyDescent="0.25">
      <c r="A160" t="s">
        <v>7</v>
      </c>
      <c r="B160" t="s">
        <v>8</v>
      </c>
      <c r="C160" t="s">
        <v>9</v>
      </c>
      <c r="D160" t="s">
        <v>10</v>
      </c>
      <c r="E160">
        <v>5</v>
      </c>
      <c r="F160" s="1">
        <v>42063</v>
      </c>
      <c r="G160">
        <v>-7.4618131737764896E-4</v>
      </c>
      <c r="K160" s="4">
        <v>39263</v>
      </c>
      <c r="L160" s="6">
        <v>6.77729788531207E-3</v>
      </c>
      <c r="M160" s="6">
        <v>1.09341712523094E-2</v>
      </c>
      <c r="N160" s="6">
        <v>1.9864341997534601E-2</v>
      </c>
      <c r="O160" s="6">
        <v>-7.2697161459619897E-3</v>
      </c>
      <c r="P160" s="6">
        <v>1.29430229841893E-2</v>
      </c>
      <c r="Q160" s="6">
        <v>4.7677620833910798E-2</v>
      </c>
      <c r="R160" s="6">
        <v>-1.65395139611016E-2</v>
      </c>
      <c r="S160" s="6">
        <v>-4.0997947999073803E-3</v>
      </c>
      <c r="T160" s="6">
        <v>3.43121675857007E-3</v>
      </c>
      <c r="U160" s="6">
        <v>1.10838952845777E-2</v>
      </c>
      <c r="V160" s="6">
        <v>1.5322195384643401E-2</v>
      </c>
      <c r="W160" s="6">
        <v>4.61819786390575E-2</v>
      </c>
      <c r="X160" s="6">
        <v>2.6643678675196202E-2</v>
      </c>
      <c r="Y160" s="6">
        <v>0.1729503947883301</v>
      </c>
      <c r="AA160">
        <v>6.77729788531207E-3</v>
      </c>
      <c r="AB160">
        <v>1.09341712523094E-2</v>
      </c>
      <c r="AC160">
        <v>1.9864341997534601E-2</v>
      </c>
      <c r="AD160">
        <v>-7.2697161459619897E-3</v>
      </c>
      <c r="AE160">
        <v>1.29430229841893E-2</v>
      </c>
      <c r="AF160">
        <v>4.7677620833910798E-2</v>
      </c>
      <c r="AG160">
        <v>-1.65395139611016E-2</v>
      </c>
      <c r="AH160">
        <v>-4.0997947999073803E-3</v>
      </c>
      <c r="AI160">
        <v>3.43121675857007E-3</v>
      </c>
      <c r="AJ160">
        <v>1.10838952845777E-2</v>
      </c>
      <c r="AK160">
        <v>1.5322195384643401E-2</v>
      </c>
      <c r="AL160">
        <v>4.61819786390575E-2</v>
      </c>
      <c r="AM160">
        <v>2.6643678675196202E-2</v>
      </c>
      <c r="AN160">
        <f>+IBOV!C85</f>
        <v>3.5922651555227336E-2</v>
      </c>
      <c r="AP160" s="1">
        <f t="shared" si="9"/>
        <v>39263</v>
      </c>
      <c r="AQ160">
        <f t="shared" si="11"/>
        <v>88.77785591681311</v>
      </c>
      <c r="AR160">
        <f t="shared" si="12"/>
        <v>93.46671300516833</v>
      </c>
      <c r="AS160">
        <f t="shared" si="13"/>
        <v>86.67845402734271</v>
      </c>
      <c r="AT160">
        <f t="shared" si="14"/>
        <v>85.376532364125694</v>
      </c>
      <c r="AU160">
        <f t="shared" si="15"/>
        <v>94.927352170278965</v>
      </c>
      <c r="AV160">
        <f t="shared" si="16"/>
        <v>119.99610135169097</v>
      </c>
      <c r="AW160">
        <f t="shared" si="17"/>
        <v>121.31249452734029</v>
      </c>
      <c r="AX160">
        <f t="shared" si="18"/>
        <v>90.216073148312304</v>
      </c>
      <c r="AY160">
        <f t="shared" si="19"/>
        <v>107.26100363518916</v>
      </c>
      <c r="AZ160">
        <f t="shared" si="20"/>
        <v>112.58114166392346</v>
      </c>
      <c r="BA160">
        <f t="shared" si="21"/>
        <v>130.78955210888762</v>
      </c>
      <c r="BB160">
        <f t="shared" si="22"/>
        <v>102.59478371401998</v>
      </c>
      <c r="BC160">
        <f t="shared" si="23"/>
        <v>110.23529464007581</v>
      </c>
      <c r="BD160">
        <f t="shared" si="24"/>
        <v>455.67590190005876</v>
      </c>
    </row>
    <row r="161" spans="1:56" x14ac:dyDescent="0.25">
      <c r="A161" t="s">
        <v>7</v>
      </c>
      <c r="B161" t="s">
        <v>8</v>
      </c>
      <c r="C161" t="s">
        <v>9</v>
      </c>
      <c r="D161" t="s">
        <v>10</v>
      </c>
      <c r="E161">
        <v>5</v>
      </c>
      <c r="F161" s="1">
        <v>42094</v>
      </c>
      <c r="G161">
        <v>-1.6765603578358001E-2</v>
      </c>
      <c r="K161" s="4">
        <v>39294</v>
      </c>
      <c r="L161" s="6">
        <v>6.2280529370362901E-3</v>
      </c>
      <c r="M161" s="6">
        <v>-2.39838568287658E-2</v>
      </c>
      <c r="N161" s="6">
        <v>2.0194251847199099E-2</v>
      </c>
      <c r="O161" s="6">
        <v>-6.29704748903655E-3</v>
      </c>
      <c r="P161" s="6">
        <v>-2.1790775171588402E-2</v>
      </c>
      <c r="Q161" s="6">
        <v>2.1790361260576398E-2</v>
      </c>
      <c r="R161" s="6">
        <v>2.0181255150121601E-2</v>
      </c>
      <c r="S161" s="6">
        <v>-1.7750619953616299E-2</v>
      </c>
      <c r="T161" s="6">
        <v>-2.7444794450679402E-2</v>
      </c>
      <c r="U161" s="6">
        <v>2.6808161996244501E-2</v>
      </c>
      <c r="V161" s="6">
        <v>1.5251450014187201E-3</v>
      </c>
      <c r="W161" s="6">
        <v>4.8627381169216201E-2</v>
      </c>
      <c r="X161" s="6">
        <v>1.8959561663406399E-3</v>
      </c>
      <c r="Y161" s="6">
        <v>4.9983471634466994E-2</v>
      </c>
      <c r="AA161">
        <v>6.2280529370362901E-3</v>
      </c>
      <c r="AB161">
        <v>-2.39838568287658E-2</v>
      </c>
      <c r="AC161">
        <v>2.0194251847199099E-2</v>
      </c>
      <c r="AD161">
        <v>-6.29704748903655E-3</v>
      </c>
      <c r="AE161">
        <v>-2.1790775171588402E-2</v>
      </c>
      <c r="AF161">
        <v>2.1790361260576398E-2</v>
      </c>
      <c r="AG161">
        <v>2.0181255150121601E-2</v>
      </c>
      <c r="AH161">
        <v>-1.7750619953616299E-2</v>
      </c>
      <c r="AI161">
        <v>-2.7444794450679402E-2</v>
      </c>
      <c r="AJ161">
        <v>2.6808161996244501E-2</v>
      </c>
      <c r="AK161">
        <v>1.5251450014187201E-3</v>
      </c>
      <c r="AL161">
        <v>4.8627381169216201E-2</v>
      </c>
      <c r="AM161">
        <v>1.8959561663406399E-3</v>
      </c>
      <c r="AN161">
        <f>+IBOV!C86</f>
        <v>3.5492545867346514E-2</v>
      </c>
      <c r="AP161" s="1">
        <f t="shared" si="9"/>
        <v>39294</v>
      </c>
      <c r="AQ161">
        <f t="shared" si="11"/>
        <v>89.330769103099598</v>
      </c>
      <c r="AR161">
        <f t="shared" si="12"/>
        <v>91.225020742197032</v>
      </c>
      <c r="AS161">
        <f t="shared" si="13"/>
        <v>88.428860557696737</v>
      </c>
      <c r="AT161">
        <f t="shared" si="14"/>
        <v>84.838912285379521</v>
      </c>
      <c r="AU161">
        <f t="shared" si="15"/>
        <v>92.858811581502223</v>
      </c>
      <c r="AV161">
        <f t="shared" si="16"/>
        <v>122.61085975000505</v>
      </c>
      <c r="AW161">
        <f t="shared" si="17"/>
        <v>123.76073293229429</v>
      </c>
      <c r="AX161">
        <f t="shared" si="18"/>
        <v>88.614681920148968</v>
      </c>
      <c r="AY161">
        <f t="shared" si="19"/>
        <v>104.31724743784781</v>
      </c>
      <c r="AZ161">
        <f t="shared" si="20"/>
        <v>115.59923514737208</v>
      </c>
      <c r="BA161">
        <f t="shared" si="21"/>
        <v>130.98902514052426</v>
      </c>
      <c r="BB161">
        <f t="shared" si="22"/>
        <v>107.58369936765493</v>
      </c>
      <c r="BC161">
        <f t="shared" si="23"/>
        <v>110.44429592669702</v>
      </c>
      <c r="BD161">
        <f t="shared" si="24"/>
        <v>471.84899974889106</v>
      </c>
    </row>
    <row r="162" spans="1:56" x14ac:dyDescent="0.25">
      <c r="A162" t="s">
        <v>7</v>
      </c>
      <c r="B162" t="s">
        <v>8</v>
      </c>
      <c r="C162" t="s">
        <v>9</v>
      </c>
      <c r="D162" t="s">
        <v>10</v>
      </c>
      <c r="E162">
        <v>5</v>
      </c>
      <c r="F162" s="1">
        <v>42124</v>
      </c>
      <c r="G162">
        <v>-2.4733578376824099E-2</v>
      </c>
      <c r="K162" s="4">
        <v>39325</v>
      </c>
      <c r="L162" s="6">
        <v>-6.6919846374952803E-3</v>
      </c>
      <c r="M162" s="6">
        <v>7.23047167886408E-4</v>
      </c>
      <c r="N162" s="6">
        <v>2.2302616500446199E-2</v>
      </c>
      <c r="O162" s="6">
        <v>6.8292751794793802E-3</v>
      </c>
      <c r="P162" s="6">
        <v>2.8094364260278799E-2</v>
      </c>
      <c r="Q162" s="6">
        <v>1.33339572646098E-2</v>
      </c>
      <c r="R162" s="6">
        <v>1.7706958931225599E-3</v>
      </c>
      <c r="S162" s="6">
        <v>1.33936634778351E-2</v>
      </c>
      <c r="T162" s="6">
        <v>-1.10535068125214E-2</v>
      </c>
      <c r="U162" s="6">
        <v>-4.0094907627640898E-3</v>
      </c>
      <c r="V162" s="6">
        <v>-7.0617088554474801E-3</v>
      </c>
      <c r="W162" s="6">
        <v>-2.1121111966711899E-2</v>
      </c>
      <c r="X162" s="6">
        <v>3.12919056955814E-2</v>
      </c>
      <c r="Y162" s="6">
        <v>6.7801722404299491E-2</v>
      </c>
      <c r="AA162">
        <v>-6.6919846374952803E-3</v>
      </c>
      <c r="AB162">
        <v>7.23047167886408E-4</v>
      </c>
      <c r="AC162">
        <v>2.2302616500446199E-2</v>
      </c>
      <c r="AD162">
        <v>6.8292751794793802E-3</v>
      </c>
      <c r="AE162">
        <v>2.8094364260278799E-2</v>
      </c>
      <c r="AF162">
        <v>1.33339572646098E-2</v>
      </c>
      <c r="AG162">
        <v>1.7706958931225599E-3</v>
      </c>
      <c r="AH162">
        <v>1.33936634778351E-2</v>
      </c>
      <c r="AI162">
        <v>-1.10535068125214E-2</v>
      </c>
      <c r="AJ162">
        <v>-4.0094907627640898E-3</v>
      </c>
      <c r="AK162">
        <v>-7.0617088554474801E-3</v>
      </c>
      <c r="AL162">
        <v>-2.1121111966711899E-2</v>
      </c>
      <c r="AM162">
        <v>3.12919056955814E-2</v>
      </c>
      <c r="AN162">
        <f>+IBOV!C87</f>
        <v>-3.2232428270873026E-2</v>
      </c>
      <c r="AP162" s="1">
        <f t="shared" si="9"/>
        <v>39325</v>
      </c>
      <c r="AQ162">
        <f t="shared" si="11"/>
        <v>88.732968968606016</v>
      </c>
      <c r="AR162">
        <f t="shared" si="12"/>
        <v>91.290980735085071</v>
      </c>
      <c r="AS162">
        <f t="shared" si="13"/>
        <v>90.401055522286484</v>
      </c>
      <c r="AT162">
        <f t="shared" si="14"/>
        <v>85.418300563304101</v>
      </c>
      <c r="AU162">
        <f t="shared" si="15"/>
        <v>95.467620858849557</v>
      </c>
      <c r="AV162">
        <f t="shared" si="16"/>
        <v>124.24574771408868</v>
      </c>
      <c r="AW162">
        <f t="shared" si="17"/>
        <v>123.97987555382733</v>
      </c>
      <c r="AX162">
        <f t="shared" si="18"/>
        <v>89.801557148982837</v>
      </c>
      <c r="AY162">
        <f t="shared" si="19"/>
        <v>103.16417603263008</v>
      </c>
      <c r="AZ162">
        <f t="shared" si="20"/>
        <v>115.1357410818661</v>
      </c>
      <c r="BA162">
        <f t="shared" si="21"/>
        <v>130.06401878172301</v>
      </c>
      <c r="BB162">
        <f t="shared" si="22"/>
        <v>105.31141200751762</v>
      </c>
      <c r="BC162">
        <f t="shared" si="23"/>
        <v>113.90030841945011</v>
      </c>
      <c r="BD162">
        <f t="shared" si="24"/>
        <v>456.64016070980176</v>
      </c>
    </row>
    <row r="163" spans="1:56" x14ac:dyDescent="0.25">
      <c r="A163" t="s">
        <v>7</v>
      </c>
      <c r="B163" t="s">
        <v>8</v>
      </c>
      <c r="C163" t="s">
        <v>9</v>
      </c>
      <c r="D163" t="s">
        <v>10</v>
      </c>
      <c r="E163">
        <v>5</v>
      </c>
      <c r="F163" s="1">
        <v>42155</v>
      </c>
      <c r="G163">
        <v>-2.2801953495345099E-3</v>
      </c>
      <c r="K163" s="4">
        <v>39355</v>
      </c>
      <c r="L163" s="6">
        <v>-3.7374671628508598E-2</v>
      </c>
      <c r="M163" s="6">
        <v>-1.5566026811829101E-2</v>
      </c>
      <c r="N163" s="6">
        <v>-1.8707472415171501E-2</v>
      </c>
      <c r="O163" s="6">
        <v>2.3881209325098602E-3</v>
      </c>
      <c r="P163" s="6">
        <v>-6.95462782176087E-3</v>
      </c>
      <c r="Q163" s="6">
        <v>2.4086006462879998E-2</v>
      </c>
      <c r="R163" s="6">
        <v>3.2429487203740502E-3</v>
      </c>
      <c r="S163" s="6">
        <v>2.45062228112497E-2</v>
      </c>
      <c r="T163" s="6">
        <v>1.07178938728772E-3</v>
      </c>
      <c r="U163" s="6">
        <v>-2.0715914226704601E-2</v>
      </c>
      <c r="V163" s="6">
        <v>-1.3075665574576701E-2</v>
      </c>
      <c r="W163" s="6">
        <v>-4.3039053686351102E-2</v>
      </c>
      <c r="X163" s="6">
        <v>-2.5516814310769201E-2</v>
      </c>
      <c r="Y163" s="6">
        <v>-0.12565515816137035</v>
      </c>
      <c r="AA163">
        <v>-3.7374671628508598E-2</v>
      </c>
      <c r="AB163">
        <v>-1.5566026811829101E-2</v>
      </c>
      <c r="AC163">
        <v>-1.8707472415171501E-2</v>
      </c>
      <c r="AD163">
        <v>2.3881209325098602E-3</v>
      </c>
      <c r="AE163">
        <v>-6.95462782176087E-3</v>
      </c>
      <c r="AF163">
        <v>2.4086006462879998E-2</v>
      </c>
      <c r="AG163">
        <v>3.2429487203740502E-3</v>
      </c>
      <c r="AH163">
        <v>2.45062228112497E-2</v>
      </c>
      <c r="AI163">
        <v>1.07178938728772E-3</v>
      </c>
      <c r="AJ163">
        <v>-2.0715914226704601E-2</v>
      </c>
      <c r="AK163">
        <v>-1.3075665574576701E-2</v>
      </c>
      <c r="AL163">
        <v>-4.3039053686351102E-2</v>
      </c>
      <c r="AM163">
        <v>-2.5516814310769201E-2</v>
      </c>
      <c r="AN163">
        <f>+IBOV!C88</f>
        <v>0.19496359623717807</v>
      </c>
      <c r="AP163" s="1">
        <f t="shared" si="9"/>
        <v>39355</v>
      </c>
      <c r="AQ163">
        <f t="shared" si="11"/>
        <v>85.416603390781717</v>
      </c>
      <c r="AR163">
        <f t="shared" si="12"/>
        <v>89.869942881284572</v>
      </c>
      <c r="AS163">
        <f t="shared" si="13"/>
        <v>88.709880269800919</v>
      </c>
      <c r="AT163">
        <f t="shared" si="14"/>
        <v>85.622289794898748</v>
      </c>
      <c r="AU163">
        <f t="shared" si="15"/>
        <v>94.803679086747294</v>
      </c>
      <c r="AV163">
        <f t="shared" si="16"/>
        <v>127.23833159651558</v>
      </c>
      <c r="AW163">
        <f t="shared" si="17"/>
        <v>124.38193593260674</v>
      </c>
      <c r="AX163">
        <f t="shared" si="18"/>
        <v>92.002254117272969</v>
      </c>
      <c r="AY163">
        <f t="shared" si="19"/>
        <v>103.27474630165014</v>
      </c>
      <c r="AZ163">
        <f t="shared" si="20"/>
        <v>112.7505989451861</v>
      </c>
      <c r="BA163">
        <f t="shared" si="21"/>
        <v>128.36334516884773</v>
      </c>
      <c r="BB163">
        <f t="shared" si="22"/>
        <v>100.77890849234063</v>
      </c>
      <c r="BC163">
        <f t="shared" si="23"/>
        <v>110.99393539957165</v>
      </c>
      <c r="BD163">
        <f t="shared" si="24"/>
        <v>545.66836862810771</v>
      </c>
    </row>
    <row r="164" spans="1:56" x14ac:dyDescent="0.25">
      <c r="A164" t="s">
        <v>7</v>
      </c>
      <c r="B164" t="s">
        <v>8</v>
      </c>
      <c r="C164" t="s">
        <v>9</v>
      </c>
      <c r="D164" t="s">
        <v>10</v>
      </c>
      <c r="E164">
        <v>5</v>
      </c>
      <c r="F164" s="1">
        <v>42185</v>
      </c>
      <c r="G164">
        <v>-8.7798750694699696E-4</v>
      </c>
      <c r="K164" s="4">
        <v>39386</v>
      </c>
      <c r="L164" s="6">
        <v>-7.0920626943951307E-2</v>
      </c>
      <c r="M164" s="6">
        <v>-6.0167105543994298E-3</v>
      </c>
      <c r="N164" s="6">
        <v>-9.7930265193303702E-3</v>
      </c>
      <c r="O164" s="6">
        <v>-2.7117984178178799E-2</v>
      </c>
      <c r="P164" s="6">
        <v>-2.5053073440720001E-3</v>
      </c>
      <c r="Q164" s="6">
        <v>7.2050937913493596E-2</v>
      </c>
      <c r="R164" s="6">
        <v>1.17380660581708E-2</v>
      </c>
      <c r="S164" s="6">
        <v>-1.66711132462945E-2</v>
      </c>
      <c r="T164" s="6">
        <v>-2.4691199083238601E-2</v>
      </c>
      <c r="U164" s="6">
        <v>8.4469536936241305E-3</v>
      </c>
      <c r="V164" s="6">
        <v>3.0371163328379799E-2</v>
      </c>
      <c r="W164" s="6">
        <v>-3.6450516948372799E-2</v>
      </c>
      <c r="X164" s="6">
        <v>-1.72919423119124E-2</v>
      </c>
      <c r="Y164" s="6">
        <v>-8.8851306136081887E-2</v>
      </c>
      <c r="AA164">
        <v>-7.0920626943951307E-2</v>
      </c>
      <c r="AB164">
        <v>-6.0167105543994298E-3</v>
      </c>
      <c r="AC164">
        <v>-9.7930265193303702E-3</v>
      </c>
      <c r="AD164">
        <v>-2.7117984178178799E-2</v>
      </c>
      <c r="AE164">
        <v>-2.5053073440720001E-3</v>
      </c>
      <c r="AF164">
        <v>7.2050937913493596E-2</v>
      </c>
      <c r="AG164">
        <v>1.17380660581708E-2</v>
      </c>
      <c r="AH164">
        <v>-1.66711132462945E-2</v>
      </c>
      <c r="AI164">
        <v>-2.4691199083238601E-2</v>
      </c>
      <c r="AJ164">
        <v>8.4469536936241305E-3</v>
      </c>
      <c r="AK164">
        <v>3.0371163328379799E-2</v>
      </c>
      <c r="AL164">
        <v>-3.6450516948372799E-2</v>
      </c>
      <c r="AM164">
        <v>-1.72919423119124E-2</v>
      </c>
      <c r="AN164">
        <f>+IBOV!C89</f>
        <v>0.1638354987651669</v>
      </c>
      <c r="AP164" s="1">
        <f t="shared" si="9"/>
        <v>39386</v>
      </c>
      <c r="AQ164">
        <f t="shared" si="11"/>
        <v>79.358804326884638</v>
      </c>
      <c r="AR164">
        <f t="shared" si="12"/>
        <v>89.329221447427472</v>
      </c>
      <c r="AS164">
        <f t="shared" si="13"/>
        <v>87.841142059792134</v>
      </c>
      <c r="AT164">
        <f t="shared" si="14"/>
        <v>83.300385894941243</v>
      </c>
      <c r="AU164">
        <f t="shared" si="15"/>
        <v>94.566166733286224</v>
      </c>
      <c r="AV164">
        <f t="shared" si="16"/>
        <v>136.40597272659261</v>
      </c>
      <c r="AW164">
        <f t="shared" si="17"/>
        <v>125.84193931302684</v>
      </c>
      <c r="AX164">
        <f t="shared" si="18"/>
        <v>90.468474119969557</v>
      </c>
      <c r="AY164">
        <f t="shared" si="19"/>
        <v>100.72476898044513</v>
      </c>
      <c r="AZ164">
        <f t="shared" si="20"/>
        <v>113.70299803340446</v>
      </c>
      <c r="BA164">
        <f t="shared" si="21"/>
        <v>132.26188929034799</v>
      </c>
      <c r="BB164">
        <f t="shared" si="22"/>
        <v>97.105465180302062</v>
      </c>
      <c r="BC164">
        <f t="shared" si="23"/>
        <v>109.07463467167013</v>
      </c>
      <c r="BD164">
        <f t="shared" si="24"/>
        <v>635.06821796266865</v>
      </c>
    </row>
    <row r="165" spans="1:56" x14ac:dyDescent="0.25">
      <c r="A165" t="s">
        <v>7</v>
      </c>
      <c r="B165" t="s">
        <v>8</v>
      </c>
      <c r="C165" t="s">
        <v>9</v>
      </c>
      <c r="D165" t="s">
        <v>10</v>
      </c>
      <c r="E165">
        <v>5</v>
      </c>
      <c r="F165" s="1">
        <v>42216</v>
      </c>
      <c r="G165">
        <v>8.6194228723882604E-3</v>
      </c>
      <c r="K165" s="4">
        <v>39416</v>
      </c>
      <c r="L165" s="6">
        <v>9.4358137502263302E-3</v>
      </c>
      <c r="M165" s="6">
        <v>1.14553327666583E-2</v>
      </c>
      <c r="N165" s="6">
        <v>-8.1530362355239899E-3</v>
      </c>
      <c r="O165" s="6">
        <v>1.0862831293508401E-3</v>
      </c>
      <c r="P165" s="6">
        <v>5.7685805831281601E-3</v>
      </c>
      <c r="Q165" s="6">
        <v>5.42903252002854E-2</v>
      </c>
      <c r="R165" s="6">
        <v>1.8525270578584298E-2</v>
      </c>
      <c r="S165" s="6">
        <v>2.5225950623815298E-2</v>
      </c>
      <c r="T165" s="6">
        <v>3.6182260045495101E-3</v>
      </c>
      <c r="U165" s="6">
        <v>-8.1214302259458096E-3</v>
      </c>
      <c r="V165" s="6">
        <v>-5.7986373721277502E-3</v>
      </c>
      <c r="W165" s="6">
        <v>-5.5832592147493899E-2</v>
      </c>
      <c r="X165" s="6">
        <v>1.7543021663971501E-3</v>
      </c>
      <c r="Y165" s="6">
        <v>5.3254388821903836E-2</v>
      </c>
      <c r="AA165">
        <v>9.4358137502263302E-3</v>
      </c>
      <c r="AB165">
        <v>1.14553327666583E-2</v>
      </c>
      <c r="AC165">
        <v>-8.1530362355239899E-3</v>
      </c>
      <c r="AD165">
        <v>1.0862831293508401E-3</v>
      </c>
      <c r="AE165">
        <v>5.7685805831281601E-3</v>
      </c>
      <c r="AF165">
        <v>5.42903252002854E-2</v>
      </c>
      <c r="AG165">
        <v>1.8525270578584298E-2</v>
      </c>
      <c r="AH165">
        <v>2.5225950623815298E-2</v>
      </c>
      <c r="AI165">
        <v>3.6182260045495101E-3</v>
      </c>
      <c r="AJ165">
        <v>-8.1214302259458096E-3</v>
      </c>
      <c r="AK165">
        <v>-5.7986373721277502E-3</v>
      </c>
      <c r="AL165">
        <v>-5.5832592147493899E-2</v>
      </c>
      <c r="AM165">
        <v>1.7543021663971501E-3</v>
      </c>
      <c r="AN165">
        <f>+IBOV!C90</f>
        <v>-5.4323356829169334E-2</v>
      </c>
      <c r="AP165" s="1">
        <f t="shared" si="9"/>
        <v>39416</v>
      </c>
      <c r="AQ165">
        <f t="shared" si="11"/>
        <v>80.107619223953776</v>
      </c>
      <c r="AR165">
        <f t="shared" si="12"/>
        <v>90.352517404894257</v>
      </c>
      <c r="AS165">
        <f t="shared" si="13"/>
        <v>87.124970045608833</v>
      </c>
      <c r="AT165">
        <f t="shared" si="14"/>
        <v>83.390873698807326</v>
      </c>
      <c r="AU165">
        <f t="shared" si="15"/>
        <v>95.111679286524719</v>
      </c>
      <c r="AV165">
        <f t="shared" si="16"/>
        <v>143.81149734518058</v>
      </c>
      <c r="AW165">
        <f t="shared" si="17"/>
        <v>128.17319528893447</v>
      </c>
      <c r="AX165">
        <f t="shared" si="18"/>
        <v>92.750627381131821</v>
      </c>
      <c r="AY165">
        <f t="shared" si="19"/>
        <v>101.08921395887241</v>
      </c>
      <c r="AZ165">
        <f t="shared" si="20"/>
        <v>112.77956706839531</v>
      </c>
      <c r="BA165">
        <f t="shared" si="21"/>
        <v>131.49495055620076</v>
      </c>
      <c r="BB165">
        <f t="shared" si="22"/>
        <v>91.683815347597587</v>
      </c>
      <c r="BC165">
        <f t="shared" si="23"/>
        <v>109.26598453957361</v>
      </c>
      <c r="BD165">
        <f t="shared" si="24"/>
        <v>600.56918054741789</v>
      </c>
    </row>
    <row r="166" spans="1:56" x14ac:dyDescent="0.25">
      <c r="A166" t="s">
        <v>7</v>
      </c>
      <c r="B166" t="s">
        <v>8</v>
      </c>
      <c r="C166" t="s">
        <v>9</v>
      </c>
      <c r="D166" t="s">
        <v>10</v>
      </c>
      <c r="E166">
        <v>5</v>
      </c>
      <c r="F166" s="1">
        <v>42247</v>
      </c>
      <c r="G166">
        <v>5.1838929312570899E-2</v>
      </c>
      <c r="K166" s="4">
        <v>39447</v>
      </c>
      <c r="L166" s="6">
        <v>-5.6547405398170998E-2</v>
      </c>
      <c r="M166" s="6">
        <v>1.42932412056352E-2</v>
      </c>
      <c r="N166" s="6">
        <v>2.6957996632978602E-2</v>
      </c>
      <c r="O166" s="6">
        <v>-2.3397692719809099E-2</v>
      </c>
      <c r="P166" s="6">
        <v>2.5150084973091999E-2</v>
      </c>
      <c r="Q166" s="6">
        <v>4.35339258746993E-2</v>
      </c>
      <c r="R166" s="6">
        <v>1.6212597622782699E-3</v>
      </c>
      <c r="S166" s="6">
        <v>-6.0918798597334997E-2</v>
      </c>
      <c r="T166" s="6">
        <v>-7.82549808967445E-2</v>
      </c>
      <c r="U166" s="6">
        <v>2.0281753565702901E-2</v>
      </c>
      <c r="V166" s="6">
        <v>-1.0219827863802799E-2</v>
      </c>
      <c r="W166" s="6">
        <v>3.6314732024882203E-2</v>
      </c>
      <c r="X166" s="6">
        <v>-1.45798656901476E-2</v>
      </c>
      <c r="Y166" s="6">
        <v>-7.5765577126741507E-2</v>
      </c>
      <c r="AA166">
        <v>-5.6547405398170998E-2</v>
      </c>
      <c r="AB166">
        <v>1.42932412056352E-2</v>
      </c>
      <c r="AC166">
        <v>2.6957996632978602E-2</v>
      </c>
      <c r="AD166">
        <v>-2.3397692719809099E-2</v>
      </c>
      <c r="AE166">
        <v>2.5150084973091999E-2</v>
      </c>
      <c r="AF166">
        <v>4.35339258746993E-2</v>
      </c>
      <c r="AG166">
        <v>1.6212597622782699E-3</v>
      </c>
      <c r="AH166">
        <v>-6.0918798597334997E-2</v>
      </c>
      <c r="AI166">
        <v>-7.82549808967445E-2</v>
      </c>
      <c r="AJ166">
        <v>2.0281753565702901E-2</v>
      </c>
      <c r="AK166">
        <v>-1.0219827863802799E-2</v>
      </c>
      <c r="AL166">
        <v>3.6314732024882203E-2</v>
      </c>
      <c r="AM166">
        <v>-1.45798656901476E-2</v>
      </c>
      <c r="AN166">
        <f>+IBOV!C91</f>
        <v>1.1746341463414689E-2</v>
      </c>
      <c r="AP166" s="1">
        <f t="shared" si="9"/>
        <v>39447</v>
      </c>
      <c r="AQ166">
        <f t="shared" si="11"/>
        <v>75.577741204214547</v>
      </c>
      <c r="AR166">
        <f t="shared" si="12"/>
        <v>91.643947729698752</v>
      </c>
      <c r="AS166">
        <f t="shared" si="13"/>
        <v>89.473684694746723</v>
      </c>
      <c r="AT166">
        <f t="shared" si="14"/>
        <v>81.439719660366222</v>
      </c>
      <c r="AU166">
        <f t="shared" si="15"/>
        <v>97.503746102514285</v>
      </c>
      <c r="AV166">
        <f t="shared" si="16"/>
        <v>150.07217641053521</v>
      </c>
      <c r="AW166">
        <f t="shared" si="17"/>
        <v>128.38099733305904</v>
      </c>
      <c r="AX166">
        <f t="shared" si="18"/>
        <v>87.10037059192419</v>
      </c>
      <c r="AY166">
        <f t="shared" si="19"/>
        <v>93.178479451653928</v>
      </c>
      <c r="AZ166">
        <f t="shared" si="20"/>
        <v>115.06693445492317</v>
      </c>
      <c r="BA166">
        <f t="shared" si="21"/>
        <v>130.15109479655712</v>
      </c>
      <c r="BB166">
        <f t="shared" si="22"/>
        <v>95.013288532964381</v>
      </c>
      <c r="BC166">
        <f t="shared" si="23"/>
        <v>107.67290116048488</v>
      </c>
      <c r="BD166">
        <f t="shared" si="24"/>
        <v>607.62367121453099</v>
      </c>
    </row>
    <row r="167" spans="1:56" x14ac:dyDescent="0.25">
      <c r="A167" t="s">
        <v>7</v>
      </c>
      <c r="B167" t="s">
        <v>8</v>
      </c>
      <c r="C167" t="s">
        <v>9</v>
      </c>
      <c r="D167" t="s">
        <v>10</v>
      </c>
      <c r="E167">
        <v>5</v>
      </c>
      <c r="F167" s="1">
        <v>42277</v>
      </c>
      <c r="G167">
        <v>7.0496943610537405E-2</v>
      </c>
      <c r="K167" s="4">
        <v>39478</v>
      </c>
      <c r="L167" s="6">
        <v>-1.49368346741108E-2</v>
      </c>
      <c r="M167" s="6">
        <v>1.09398488577306E-2</v>
      </c>
      <c r="N167" s="6">
        <v>4.3589225427996002E-2</v>
      </c>
      <c r="O167" s="6">
        <v>-1.9724729066059599E-2</v>
      </c>
      <c r="P167" s="6">
        <v>2.0852261221235999E-2</v>
      </c>
      <c r="Q167" s="6">
        <v>5.4896027034462801E-4</v>
      </c>
      <c r="R167" s="6">
        <v>2.4319660821157602E-3</v>
      </c>
      <c r="S167" s="6">
        <v>9.7527985402411296E-3</v>
      </c>
      <c r="T167" s="6">
        <v>-6.5853849286365302E-3</v>
      </c>
      <c r="U167" s="6">
        <v>5.2823145405268596E-4</v>
      </c>
      <c r="V167" s="6">
        <v>-4.4622115833595898E-2</v>
      </c>
      <c r="W167" s="6">
        <v>-3.2035345182995299E-2</v>
      </c>
      <c r="X167" s="6">
        <v>4.6066169812465502E-2</v>
      </c>
      <c r="Y167" s="6">
        <v>1.6805051980784184E-2</v>
      </c>
      <c r="AA167">
        <v>-1.49368346741108E-2</v>
      </c>
      <c r="AB167">
        <v>1.09398488577306E-2</v>
      </c>
      <c r="AC167">
        <v>4.3589225427996002E-2</v>
      </c>
      <c r="AD167">
        <v>-1.9724729066059599E-2</v>
      </c>
      <c r="AE167">
        <v>2.0852261221235999E-2</v>
      </c>
      <c r="AF167">
        <v>5.4896027034462801E-4</v>
      </c>
      <c r="AG167">
        <v>2.4319660821157602E-3</v>
      </c>
      <c r="AH167">
        <v>9.7527985402411296E-3</v>
      </c>
      <c r="AI167">
        <v>-6.5853849286365302E-3</v>
      </c>
      <c r="AJ167">
        <v>5.2823145405268596E-4</v>
      </c>
      <c r="AK167">
        <v>-4.4622115833595898E-2</v>
      </c>
      <c r="AL167">
        <v>-3.2035345182995299E-2</v>
      </c>
      <c r="AM167">
        <v>4.6066169812465502E-2</v>
      </c>
      <c r="AN167">
        <f>+IBOV!C92</f>
        <v>-5.2170463186431704E-2</v>
      </c>
      <c r="AP167" s="1">
        <f t="shared" si="9"/>
        <v>39478</v>
      </c>
      <c r="AQ167">
        <f t="shared" si="11"/>
        <v>74.448848978804463</v>
      </c>
      <c r="AR167">
        <f t="shared" si="12"/>
        <v>92.646518666587411</v>
      </c>
      <c r="AS167">
        <f t="shared" si="13"/>
        <v>93.373773306779469</v>
      </c>
      <c r="AT167">
        <f t="shared" si="14"/>
        <v>79.833343254849652</v>
      </c>
      <c r="AU167">
        <f t="shared" si="15"/>
        <v>99.53691968629299</v>
      </c>
      <c r="AV167">
        <f t="shared" si="16"/>
        <v>150.15456007306872</v>
      </c>
      <c r="AW167">
        <f t="shared" si="17"/>
        <v>128.69321556416122</v>
      </c>
      <c r="AX167">
        <f t="shared" si="18"/>
        <v>87.949842959087562</v>
      </c>
      <c r="AY167">
        <f t="shared" si="19"/>
        <v>92.564863297399739</v>
      </c>
      <c r="AZ167">
        <f t="shared" si="20"/>
        <v>115.12771642902368</v>
      </c>
      <c r="BA167">
        <f t="shared" si="21"/>
        <v>124.34347756867582</v>
      </c>
      <c r="BB167">
        <f t="shared" si="22"/>
        <v>91.96950503783934</v>
      </c>
      <c r="BC167">
        <f t="shared" si="23"/>
        <v>112.63297930954461</v>
      </c>
      <c r="BD167">
        <f t="shared" si="24"/>
        <v>575.92366284422883</v>
      </c>
    </row>
    <row r="168" spans="1:56" x14ac:dyDescent="0.25">
      <c r="A168" t="s">
        <v>7</v>
      </c>
      <c r="B168" t="s">
        <v>8</v>
      </c>
      <c r="C168" t="s">
        <v>9</v>
      </c>
      <c r="D168" t="s">
        <v>10</v>
      </c>
      <c r="E168">
        <v>5</v>
      </c>
      <c r="F168" s="1">
        <v>42308</v>
      </c>
      <c r="G168">
        <v>-7.5490887925145495E-2</v>
      </c>
      <c r="K168" s="4">
        <v>39507</v>
      </c>
      <c r="L168" s="6">
        <v>5.31807037478164E-3</v>
      </c>
      <c r="M168" s="6">
        <v>-3.7121525630360599E-2</v>
      </c>
      <c r="N168" s="6">
        <v>-1.73307459998676E-2</v>
      </c>
      <c r="O168" s="6">
        <v>-4.4613386944012097E-3</v>
      </c>
      <c r="P168" s="6">
        <v>-8.8955096300471596E-3</v>
      </c>
      <c r="Q168" s="6">
        <v>-9.6917194751774197E-3</v>
      </c>
      <c r="R168" s="6">
        <v>-2.76608154241308E-4</v>
      </c>
      <c r="S168" s="6">
        <v>-1.6321283544496499E-2</v>
      </c>
      <c r="T168" s="6">
        <v>1.0144746379440999E-3</v>
      </c>
      <c r="U168" s="6">
        <v>-1.9938374819726799E-2</v>
      </c>
      <c r="V168" s="6">
        <v>1.26585158490315E-2</v>
      </c>
      <c r="W168" s="6">
        <v>-1.3326172635297701E-2</v>
      </c>
      <c r="X168" s="6">
        <v>-5.2526221679670404E-4</v>
      </c>
      <c r="Y168" s="6">
        <v>-0.10889747993865574</v>
      </c>
      <c r="AA168">
        <v>5.31807037478164E-3</v>
      </c>
      <c r="AB168">
        <v>-3.7121525630360599E-2</v>
      </c>
      <c r="AC168">
        <v>-1.73307459998676E-2</v>
      </c>
      <c r="AD168">
        <v>-4.4613386944012097E-3</v>
      </c>
      <c r="AE168">
        <v>-8.8955096300471596E-3</v>
      </c>
      <c r="AF168">
        <v>-9.6917194751774197E-3</v>
      </c>
      <c r="AG168">
        <v>-2.76608154241308E-4</v>
      </c>
      <c r="AH168">
        <v>-1.6321283544496499E-2</v>
      </c>
      <c r="AI168">
        <v>1.0144746379440999E-3</v>
      </c>
      <c r="AJ168">
        <v>-1.9938374819726799E-2</v>
      </c>
      <c r="AK168">
        <v>1.26585158490315E-2</v>
      </c>
      <c r="AL168">
        <v>-1.3326172635297701E-2</v>
      </c>
      <c r="AM168">
        <v>-5.2526221679670404E-4</v>
      </c>
      <c r="AN168">
        <f>+IBOV!C93</f>
        <v>9.2039020079760947E-2</v>
      </c>
      <c r="AP168" s="1">
        <f t="shared" si="9"/>
        <v>39507</v>
      </c>
      <c r="AQ168">
        <f t="shared" si="11"/>
        <v>74.844773196995234</v>
      </c>
      <c r="AR168">
        <f t="shared" si="12"/>
        <v>89.207338549341998</v>
      </c>
      <c r="AS168">
        <f t="shared" si="13"/>
        <v>91.755536158550456</v>
      </c>
      <c r="AT168">
        <f t="shared" si="14"/>
        <v>79.47717967148337</v>
      </c>
      <c r="AU168">
        <f t="shared" si="15"/>
        <v>98.651488058678339</v>
      </c>
      <c r="AV168">
        <f t="shared" si="16"/>
        <v>148.69930419892185</v>
      </c>
      <c r="AW168">
        <f t="shared" si="17"/>
        <v>128.65761797134064</v>
      </c>
      <c r="AX168">
        <f t="shared" si="18"/>
        <v>86.514388634458356</v>
      </c>
      <c r="AY168">
        <f t="shared" si="19"/>
        <v>92.658768003579723</v>
      </c>
      <c r="AZ168">
        <f t="shared" si="20"/>
        <v>112.83225686672259</v>
      </c>
      <c r="BA168">
        <f t="shared" si="21"/>
        <v>125.9174814502026</v>
      </c>
      <c r="BB168">
        <f t="shared" si="22"/>
        <v>90.743903536522211</v>
      </c>
      <c r="BC168">
        <f t="shared" si="23"/>
        <v>112.57381746114805</v>
      </c>
      <c r="BD168">
        <f t="shared" si="24"/>
        <v>628.9311124131583</v>
      </c>
    </row>
    <row r="169" spans="1:56" x14ac:dyDescent="0.25">
      <c r="A169" t="s">
        <v>7</v>
      </c>
      <c r="B169" t="s">
        <v>8</v>
      </c>
      <c r="C169" t="s">
        <v>9</v>
      </c>
      <c r="D169" t="s">
        <v>10</v>
      </c>
      <c r="E169">
        <v>5</v>
      </c>
      <c r="F169" s="1">
        <v>42338</v>
      </c>
      <c r="G169">
        <v>-2.9592303253689299E-2</v>
      </c>
      <c r="K169" s="4">
        <v>39538</v>
      </c>
      <c r="L169" s="6">
        <v>1.0820507080685699E-2</v>
      </c>
      <c r="M169" s="6">
        <v>1.1775238111736801E-2</v>
      </c>
      <c r="N169" s="6">
        <v>1.47974843324317E-3</v>
      </c>
      <c r="O169" s="6">
        <v>-5.5466798145880503E-3</v>
      </c>
      <c r="P169" s="6">
        <v>3.6195718744858101E-2</v>
      </c>
      <c r="Q169" s="6">
        <v>7.2495925115210096E-3</v>
      </c>
      <c r="R169" s="6">
        <v>1.4407708159357099E-3</v>
      </c>
      <c r="S169" s="6">
        <v>2.6070894111230401E-2</v>
      </c>
      <c r="T169" s="6">
        <v>1.0142281346702401E-2</v>
      </c>
      <c r="U169" s="6">
        <v>-4.1475758029882303E-3</v>
      </c>
      <c r="V169" s="6">
        <v>3.2995416676336903E-2</v>
      </c>
      <c r="W169" s="6">
        <v>-3.99124743003169E-2</v>
      </c>
      <c r="X169" s="6">
        <v>1.3180088848715899E-3</v>
      </c>
      <c r="Y169" s="6">
        <v>8.9881446799228604E-2</v>
      </c>
      <c r="AA169">
        <v>1.0820507080685699E-2</v>
      </c>
      <c r="AB169">
        <v>1.1775238111736801E-2</v>
      </c>
      <c r="AC169">
        <v>1.47974843324317E-3</v>
      </c>
      <c r="AD169">
        <v>-5.5466798145880503E-3</v>
      </c>
      <c r="AE169">
        <v>3.6195718744858101E-2</v>
      </c>
      <c r="AF169">
        <v>7.2495925115210096E-3</v>
      </c>
      <c r="AG169">
        <v>1.4407708159357099E-3</v>
      </c>
      <c r="AH169">
        <v>2.6070894111230401E-2</v>
      </c>
      <c r="AI169">
        <v>1.0142281346702401E-2</v>
      </c>
      <c r="AJ169">
        <v>-4.1475758029882303E-3</v>
      </c>
      <c r="AK169">
        <v>3.2995416676336903E-2</v>
      </c>
      <c r="AL169">
        <v>-3.99124743003169E-2</v>
      </c>
      <c r="AM169">
        <v>1.3180088848715899E-3</v>
      </c>
      <c r="AN169">
        <f>+IBOV!C94</f>
        <v>-7.781640279803681E-2</v>
      </c>
      <c r="AP169" s="1">
        <f t="shared" si="9"/>
        <v>39538</v>
      </c>
      <c r="AQ169">
        <f t="shared" si="11"/>
        <v>75.65463159532564</v>
      </c>
      <c r="AR169">
        <f t="shared" si="12"/>
        <v>90.257776202074822</v>
      </c>
      <c r="AS169">
        <f t="shared" si="13"/>
        <v>91.891311269422459</v>
      </c>
      <c r="AT169">
        <f t="shared" si="14"/>
        <v>79.036345203279168</v>
      </c>
      <c r="AU169">
        <f t="shared" si="15"/>
        <v>102.22224957421199</v>
      </c>
      <c r="AV169">
        <f t="shared" si="16"/>
        <v>149.77731356111073</v>
      </c>
      <c r="AW169">
        <f t="shared" si="17"/>
        <v>128.84298411256154</v>
      </c>
      <c r="AX169">
        <f t="shared" si="18"/>
        <v>88.769896099645152</v>
      </c>
      <c r="AY169">
        <f t="shared" si="19"/>
        <v>93.598539297910861</v>
      </c>
      <c r="AZ169">
        <f t="shared" si="20"/>
        <v>112.36427652834563</v>
      </c>
      <c r="BA169">
        <f t="shared" si="21"/>
        <v>130.07218121748696</v>
      </c>
      <c r="BB169">
        <f t="shared" si="22"/>
        <v>87.122089818710336</v>
      </c>
      <c r="BC169">
        <f t="shared" si="23"/>
        <v>112.72219075276577</v>
      </c>
      <c r="BD169">
        <f t="shared" si="24"/>
        <v>579.98995563739857</v>
      </c>
    </row>
    <row r="170" spans="1:56" x14ac:dyDescent="0.25">
      <c r="A170" t="s">
        <v>7</v>
      </c>
      <c r="B170" t="s">
        <v>8</v>
      </c>
      <c r="C170" t="s">
        <v>9</v>
      </c>
      <c r="D170" t="s">
        <v>10</v>
      </c>
      <c r="E170">
        <v>5</v>
      </c>
      <c r="F170" s="1">
        <v>42369</v>
      </c>
      <c r="G170">
        <v>5.2858658266744301E-3</v>
      </c>
      <c r="K170" s="4">
        <v>39568</v>
      </c>
      <c r="L170" s="6">
        <v>4.4875014779051203E-2</v>
      </c>
      <c r="M170" s="6">
        <v>-1.83455700945074E-2</v>
      </c>
      <c r="N170" s="6">
        <v>-8.7627478519743396E-3</v>
      </c>
      <c r="O170" s="6">
        <v>-1.2129850404602099E-2</v>
      </c>
      <c r="P170" s="6">
        <v>-3.2907443724859702E-2</v>
      </c>
      <c r="Q170" s="6">
        <v>4.8477002791430898E-2</v>
      </c>
      <c r="R170" s="6">
        <v>1.56204107490016E-2</v>
      </c>
      <c r="S170" s="6">
        <v>1.56910118851523E-2</v>
      </c>
      <c r="T170" s="6">
        <v>-1.11173354605142E-2</v>
      </c>
      <c r="U170" s="6">
        <v>-1.32522158957144E-2</v>
      </c>
      <c r="V170" s="6">
        <v>-2.49274787414686E-3</v>
      </c>
      <c r="W170" s="6">
        <v>-6.9219392132643706E-2</v>
      </c>
      <c r="X170" s="6">
        <v>-5.6023192724142601E-3</v>
      </c>
      <c r="Y170" s="6">
        <v>-4.9166182506740964E-2</v>
      </c>
      <c r="AA170">
        <v>4.4875014779051203E-2</v>
      </c>
      <c r="AB170">
        <v>-1.83455700945074E-2</v>
      </c>
      <c r="AC170">
        <v>-8.7627478519743396E-3</v>
      </c>
      <c r="AD170">
        <v>-1.2129850404602099E-2</v>
      </c>
      <c r="AE170">
        <v>-3.2907443724859702E-2</v>
      </c>
      <c r="AF170">
        <v>4.8477002791430898E-2</v>
      </c>
      <c r="AG170">
        <v>1.56204107490016E-2</v>
      </c>
      <c r="AH170">
        <v>1.56910118851523E-2</v>
      </c>
      <c r="AI170">
        <v>-1.11173354605142E-2</v>
      </c>
      <c r="AJ170">
        <v>-1.32522158957144E-2</v>
      </c>
      <c r="AK170">
        <v>-2.49274787414686E-3</v>
      </c>
      <c r="AL170">
        <v>-6.9219392132643706E-2</v>
      </c>
      <c r="AM170">
        <v>-5.6023192724142601E-3</v>
      </c>
      <c r="AN170">
        <f>+IBOV!C95</f>
        <v>0.17252934707626055</v>
      </c>
      <c r="AP170" s="1">
        <f t="shared" si="9"/>
        <v>39568</v>
      </c>
      <c r="AQ170">
        <f t="shared" si="11"/>
        <v>79.049634306269539</v>
      </c>
      <c r="AR170">
        <f t="shared" si="12"/>
        <v>88.601945842185287</v>
      </c>
      <c r="AS170">
        <f t="shared" si="13"/>
        <v>91.086090878981224</v>
      </c>
      <c r="AT170">
        <f t="shared" si="14"/>
        <v>78.077646159436895</v>
      </c>
      <c r="AU170">
        <f t="shared" si="15"/>
        <v>98.858376648920043</v>
      </c>
      <c r="AV170">
        <f t="shared" si="16"/>
        <v>157.03806880870573</v>
      </c>
      <c r="AW170">
        <f t="shared" si="17"/>
        <v>130.85556444652684</v>
      </c>
      <c r="AX170">
        <f t="shared" si="18"/>
        <v>90.162785594388424</v>
      </c>
      <c r="AY170">
        <f t="shared" si="19"/>
        <v>92.557972937921861</v>
      </c>
      <c r="AZ170">
        <f t="shared" si="20"/>
        <v>110.87520087682624</v>
      </c>
      <c r="BA170">
        <f t="shared" si="21"/>
        <v>129.74794406427142</v>
      </c>
      <c r="BB170">
        <f t="shared" si="22"/>
        <v>81.091551720133623</v>
      </c>
      <c r="BC170">
        <f t="shared" si="23"/>
        <v>112.09068505108279</v>
      </c>
      <c r="BD170">
        <f t="shared" si="24"/>
        <v>680.05524399430828</v>
      </c>
    </row>
    <row r="171" spans="1:56" x14ac:dyDescent="0.25">
      <c r="A171" t="s">
        <v>7</v>
      </c>
      <c r="B171" t="s">
        <v>8</v>
      </c>
      <c r="C171" t="s">
        <v>9</v>
      </c>
      <c r="D171" t="s">
        <v>10</v>
      </c>
      <c r="E171">
        <v>5</v>
      </c>
      <c r="F171" s="1">
        <v>42400</v>
      </c>
      <c r="G171">
        <v>-4.0640936987097698E-2</v>
      </c>
      <c r="K171" s="4">
        <v>39599</v>
      </c>
      <c r="L171" s="6">
        <v>-2.4200925913977999E-2</v>
      </c>
      <c r="M171" s="6">
        <v>-1.4169095227587599E-3</v>
      </c>
      <c r="N171" s="6">
        <v>-2.83308519920112E-2</v>
      </c>
      <c r="O171" s="6">
        <v>4.8800452767539301E-3</v>
      </c>
      <c r="P171" s="6">
        <v>-2.2774351408191999E-2</v>
      </c>
      <c r="Q171" s="6">
        <v>-3.5924562546334603E-2</v>
      </c>
      <c r="R171" s="6">
        <v>1.64231716710041E-2</v>
      </c>
      <c r="S171" s="6">
        <v>-3.6489404911880297E-2</v>
      </c>
      <c r="T171" s="6">
        <v>-6.89116049641762E-3</v>
      </c>
      <c r="U171" s="6">
        <v>6.9861857419247601E-3</v>
      </c>
      <c r="V171" s="6">
        <v>1.1437254264623799E-2</v>
      </c>
      <c r="W171" s="6">
        <v>4.0338306977750003E-2</v>
      </c>
      <c r="X171" s="6">
        <v>-4.6720075132450398E-2</v>
      </c>
      <c r="Y171" s="6">
        <v>-0.12268327799196628</v>
      </c>
      <c r="AA171">
        <v>-2.4200925913977999E-2</v>
      </c>
      <c r="AB171">
        <v>-1.4169095227587599E-3</v>
      </c>
      <c r="AC171">
        <v>-2.83308519920112E-2</v>
      </c>
      <c r="AD171">
        <v>4.8800452767539301E-3</v>
      </c>
      <c r="AE171">
        <v>-2.2774351408191999E-2</v>
      </c>
      <c r="AF171">
        <v>-3.5924562546334603E-2</v>
      </c>
      <c r="AG171">
        <v>1.64231716710041E-2</v>
      </c>
      <c r="AH171">
        <v>-3.6489404911880297E-2</v>
      </c>
      <c r="AI171">
        <v>-6.89116049641762E-3</v>
      </c>
      <c r="AJ171">
        <v>6.9861857419247601E-3</v>
      </c>
      <c r="AK171">
        <v>1.1437254264623799E-2</v>
      </c>
      <c r="AL171">
        <v>4.0338306977750003E-2</v>
      </c>
      <c r="AM171">
        <v>-4.6720075132450398E-2</v>
      </c>
      <c r="AN171">
        <f>+IBOV!C96</f>
        <v>9.8761542078275699E-2</v>
      </c>
      <c r="AP171" s="1">
        <f t="shared" si="9"/>
        <v>39599</v>
      </c>
      <c r="AQ171">
        <f t="shared" si="11"/>
        <v>77.136559962896456</v>
      </c>
      <c r="AR171">
        <f t="shared" si="12"/>
        <v>88.476404901386545</v>
      </c>
      <c r="AS171">
        <f t="shared" si="13"/>
        <v>88.505544319757917</v>
      </c>
      <c r="AT171">
        <f t="shared" si="14"/>
        <v>78.458668607797321</v>
      </c>
      <c r="AU171">
        <f t="shared" si="15"/>
        <v>96.606941239474139</v>
      </c>
      <c r="AV171">
        <f t="shared" si="16"/>
        <v>151.39654488363178</v>
      </c>
      <c r="AW171">
        <f t="shared" si="17"/>
        <v>133.00462784553829</v>
      </c>
      <c r="AX171">
        <f t="shared" si="18"/>
        <v>86.872799202851738</v>
      </c>
      <c r="AY171">
        <f t="shared" si="19"/>
        <v>91.920141091183567</v>
      </c>
      <c r="AZ171">
        <f t="shared" si="20"/>
        <v>111.64979562432495</v>
      </c>
      <c r="BA171">
        <f t="shared" si="21"/>
        <v>131.23190429084667</v>
      </c>
      <c r="BB171">
        <f t="shared" si="22"/>
        <v>84.362647626722477</v>
      </c>
      <c r="BC171">
        <f t="shared" si="23"/>
        <v>106.85379982384836</v>
      </c>
      <c r="BD171">
        <f t="shared" si="24"/>
        <v>747.21854858960421</v>
      </c>
    </row>
    <row r="172" spans="1:56" x14ac:dyDescent="0.25">
      <c r="A172" t="s">
        <v>7</v>
      </c>
      <c r="B172" t="s">
        <v>8</v>
      </c>
      <c r="C172" t="s">
        <v>9</v>
      </c>
      <c r="D172" t="s">
        <v>10</v>
      </c>
      <c r="E172">
        <v>5</v>
      </c>
      <c r="F172" s="1">
        <v>42429</v>
      </c>
      <c r="G172">
        <v>-3.3923954552956301E-3</v>
      </c>
      <c r="K172" s="4">
        <v>39629</v>
      </c>
      <c r="L172" s="6">
        <v>7.0215423853618002E-3</v>
      </c>
      <c r="M172" s="6">
        <v>1.06928489798072E-2</v>
      </c>
      <c r="N172" s="6">
        <v>6.5509650012032898E-3</v>
      </c>
      <c r="O172" s="6">
        <v>2.0833655941876202E-2</v>
      </c>
      <c r="P172" s="6">
        <v>2.7455344670157401E-2</v>
      </c>
      <c r="Q172" s="6">
        <v>3.1613355660439303E-2</v>
      </c>
      <c r="R172" s="6">
        <v>-1.9245554067179399E-2</v>
      </c>
      <c r="S172" s="6">
        <v>8.4676236630000303E-5</v>
      </c>
      <c r="T172" s="6">
        <v>2.22182928941674E-2</v>
      </c>
      <c r="U172" s="6">
        <v>2.7937402278041899E-2</v>
      </c>
      <c r="V172" s="6">
        <v>6.8925201049523099E-3</v>
      </c>
      <c r="W172" s="6">
        <v>3.01002246724726E-2</v>
      </c>
      <c r="X172" s="6">
        <v>2.1718561596590202E-2</v>
      </c>
      <c r="Y172" s="6">
        <v>0.19387383635452021</v>
      </c>
      <c r="AA172">
        <v>7.0215423853618002E-3</v>
      </c>
      <c r="AB172">
        <v>1.06928489798072E-2</v>
      </c>
      <c r="AC172">
        <v>6.5509650012032898E-3</v>
      </c>
      <c r="AD172">
        <v>2.0833655941876202E-2</v>
      </c>
      <c r="AE172">
        <v>2.7455344670157401E-2</v>
      </c>
      <c r="AF172">
        <v>3.1613355660439303E-2</v>
      </c>
      <c r="AG172">
        <v>-1.9245554067179399E-2</v>
      </c>
      <c r="AH172">
        <v>8.4676236630000303E-5</v>
      </c>
      <c r="AI172">
        <v>2.22182928941674E-2</v>
      </c>
      <c r="AJ172">
        <v>2.7937402278041899E-2</v>
      </c>
      <c r="AK172">
        <v>6.8925201049523099E-3</v>
      </c>
      <c r="AL172">
        <v>3.01002246724726E-2</v>
      </c>
      <c r="AM172">
        <v>2.1718561596590202E-2</v>
      </c>
      <c r="AN172">
        <f>+IBOV!C97</f>
        <v>-9.3814061131262227E-2</v>
      </c>
      <c r="AP172" s="1">
        <f t="shared" si="9"/>
        <v>39629</v>
      </c>
      <c r="AQ172">
        <f t="shared" si="11"/>
        <v>77.678177588136947</v>
      </c>
      <c r="AR172">
        <f t="shared" si="12"/>
        <v>89.422469737273346</v>
      </c>
      <c r="AS172">
        <f t="shared" si="13"/>
        <v>89.085341043009095</v>
      </c>
      <c r="AT172">
        <f t="shared" si="14"/>
        <v>80.093249515229857</v>
      </c>
      <c r="AU172">
        <f t="shared" si="15"/>
        <v>99.259318108733538</v>
      </c>
      <c r="AV172">
        <f t="shared" si="16"/>
        <v>156.18269770279969</v>
      </c>
      <c r="AW172">
        <f t="shared" si="17"/>
        <v>130.44488008915192</v>
      </c>
      <c r="AX172">
        <f t="shared" si="18"/>
        <v>86.88015526455375</v>
      </c>
      <c r="AY172">
        <f t="shared" si="19"/>
        <v>93.962449708820685</v>
      </c>
      <c r="AZ172">
        <f t="shared" si="20"/>
        <v>114.76900087894288</v>
      </c>
      <c r="BA172">
        <f t="shared" si="21"/>
        <v>132.1364228295825</v>
      </c>
      <c r="BB172">
        <f t="shared" si="22"/>
        <v>86.901982274251466</v>
      </c>
      <c r="BC172">
        <f t="shared" si="23"/>
        <v>109.17451065715234</v>
      </c>
      <c r="BD172">
        <f t="shared" si="24"/>
        <v>677.11894199380606</v>
      </c>
    </row>
    <row r="173" spans="1:56" x14ac:dyDescent="0.25">
      <c r="A173" t="s">
        <v>7</v>
      </c>
      <c r="B173" t="s">
        <v>8</v>
      </c>
      <c r="C173" t="s">
        <v>9</v>
      </c>
      <c r="D173" t="s">
        <v>10</v>
      </c>
      <c r="E173">
        <v>5</v>
      </c>
      <c r="F173" s="1">
        <v>42460</v>
      </c>
      <c r="G173">
        <v>-9.1311291002087999E-2</v>
      </c>
      <c r="K173" s="4">
        <v>39660</v>
      </c>
      <c r="L173" s="6">
        <v>-3.4296860669441903E-2</v>
      </c>
      <c r="M173" s="6">
        <v>-3.8184178505774602E-2</v>
      </c>
      <c r="N173" s="6">
        <v>1.47165331221386E-2</v>
      </c>
      <c r="O173" s="6">
        <v>-1.6103275787560899E-2</v>
      </c>
      <c r="P173" s="6">
        <v>-1.81898630762568E-2</v>
      </c>
      <c r="Q173" s="6">
        <v>-1.3282258305504301E-2</v>
      </c>
      <c r="R173" s="6">
        <v>-4.4080765701181697E-2</v>
      </c>
      <c r="S173" s="6">
        <v>3.6480264915215402E-2</v>
      </c>
      <c r="T173" s="6">
        <v>1.9450561205223298E-2</v>
      </c>
      <c r="U173" s="6">
        <v>-2.2014528014027101E-2</v>
      </c>
      <c r="V173" s="6">
        <v>1.19032402043602E-3</v>
      </c>
      <c r="W173" s="6">
        <v>-2.7832689660478499E-2</v>
      </c>
      <c r="X173" s="6">
        <v>3.6770779645683198E-2</v>
      </c>
      <c r="Y173" s="6">
        <v>-0.10537595681152928</v>
      </c>
      <c r="AA173">
        <v>-3.4296860669441903E-2</v>
      </c>
      <c r="AB173">
        <v>-3.8184178505774602E-2</v>
      </c>
      <c r="AC173">
        <v>1.47165331221386E-2</v>
      </c>
      <c r="AD173">
        <v>-1.6103275787560899E-2</v>
      </c>
      <c r="AE173">
        <v>-1.81898630762568E-2</v>
      </c>
      <c r="AF173">
        <v>-1.3282258305504301E-2</v>
      </c>
      <c r="AG173">
        <v>-4.4080765701181697E-2</v>
      </c>
      <c r="AH173">
        <v>3.6480264915215402E-2</v>
      </c>
      <c r="AI173">
        <v>1.9450561205223298E-2</v>
      </c>
      <c r="AJ173">
        <v>-2.2014528014027101E-2</v>
      </c>
      <c r="AK173">
        <v>1.19032402043602E-3</v>
      </c>
      <c r="AL173">
        <v>-2.7832689660478499E-2</v>
      </c>
      <c r="AM173">
        <v>3.6770779645683198E-2</v>
      </c>
      <c r="AN173">
        <f>+IBOV!C98</f>
        <v>-9.0155929756203679E-2</v>
      </c>
      <c r="AP173" s="1">
        <f t="shared" si="9"/>
        <v>39660</v>
      </c>
      <c r="AQ173">
        <f t="shared" si="11"/>
        <v>75.014059954340453</v>
      </c>
      <c r="AR173">
        <f t="shared" si="12"/>
        <v>86.007946190398073</v>
      </c>
      <c r="AS173">
        <f t="shared" si="13"/>
        <v>90.396368415165554</v>
      </c>
      <c r="AT173">
        <f t="shared" si="14"/>
        <v>78.803485829564181</v>
      </c>
      <c r="AU173">
        <f t="shared" si="15"/>
        <v>97.453804703293059</v>
      </c>
      <c r="AV173">
        <f t="shared" si="16"/>
        <v>154.10823876906059</v>
      </c>
      <c r="AW173">
        <f t="shared" si="17"/>
        <v>124.69476989302328</v>
      </c>
      <c r="AX173">
        <f t="shared" si="18"/>
        <v>90.049566344479715</v>
      </c>
      <c r="AY173">
        <f t="shared" si="19"/>
        <v>95.790072087874819</v>
      </c>
      <c r="AZ173">
        <f t="shared" si="20"/>
        <v>112.24241549395148</v>
      </c>
      <c r="BA173">
        <f t="shared" si="21"/>
        <v>132.29370798765106</v>
      </c>
      <c r="BB173">
        <f t="shared" si="22"/>
        <v>84.483266370731826</v>
      </c>
      <c r="BC173">
        <f t="shared" si="23"/>
        <v>113.18894253145177</v>
      </c>
      <c r="BD173">
        <f t="shared" si="24"/>
        <v>616.0726542228175</v>
      </c>
    </row>
    <row r="174" spans="1:56" x14ac:dyDescent="0.25">
      <c r="A174" t="s">
        <v>7</v>
      </c>
      <c r="B174" t="s">
        <v>8</v>
      </c>
      <c r="C174" t="s">
        <v>9</v>
      </c>
      <c r="D174" t="s">
        <v>10</v>
      </c>
      <c r="E174">
        <v>5</v>
      </c>
      <c r="F174" s="1">
        <v>42490</v>
      </c>
      <c r="G174">
        <v>-6.5782455572478596E-2</v>
      </c>
      <c r="K174" s="4">
        <v>39691</v>
      </c>
      <c r="L174" s="6">
        <v>2.4928867603972098E-2</v>
      </c>
      <c r="M174" s="6">
        <v>2.80778109919247E-2</v>
      </c>
      <c r="N174" s="6">
        <v>6.3089517507194395E-2</v>
      </c>
      <c r="O174" s="6">
        <v>-5.2603860848557298E-3</v>
      </c>
      <c r="P174" s="6">
        <v>4.1356059707591701E-2</v>
      </c>
      <c r="Q174" s="6">
        <v>-1.71369373192987E-2</v>
      </c>
      <c r="R174" s="6">
        <v>3.5718685988486601E-3</v>
      </c>
      <c r="S174" s="6">
        <v>5.4111067473265502E-2</v>
      </c>
      <c r="T174" s="6">
        <v>4.0040322326852097E-2</v>
      </c>
      <c r="U174" s="6">
        <v>-1.2666848548155399E-2</v>
      </c>
      <c r="V174" s="6">
        <v>-4.6845033934750499E-3</v>
      </c>
      <c r="W174" s="6">
        <v>1.75698616962155E-3</v>
      </c>
      <c r="X174" s="6">
        <v>6.8578154529067903E-2</v>
      </c>
      <c r="Y174" s="6">
        <v>0.28576197956255378</v>
      </c>
      <c r="AA174">
        <v>2.4928867603972098E-2</v>
      </c>
      <c r="AB174">
        <v>2.80778109919247E-2</v>
      </c>
      <c r="AC174">
        <v>6.3089517507194395E-2</v>
      </c>
      <c r="AD174">
        <v>-5.2603860848557298E-3</v>
      </c>
      <c r="AE174">
        <v>4.1356059707591701E-2</v>
      </c>
      <c r="AF174">
        <v>-1.71369373192987E-2</v>
      </c>
      <c r="AG174">
        <v>3.5718685988486601E-3</v>
      </c>
      <c r="AH174">
        <v>5.4111067473265502E-2</v>
      </c>
      <c r="AI174">
        <v>4.0040322326852097E-2</v>
      </c>
      <c r="AJ174">
        <v>-1.2666848548155399E-2</v>
      </c>
      <c r="AK174">
        <v>-4.6845033934750499E-3</v>
      </c>
      <c r="AL174">
        <v>1.75698616962155E-3</v>
      </c>
      <c r="AM174">
        <v>6.8578154529067903E-2</v>
      </c>
      <c r="AN174">
        <f>+IBOV!C99</f>
        <v>-9.6749825412827284E-2</v>
      </c>
      <c r="AP174" s="1">
        <f t="shared" si="9"/>
        <v>39691</v>
      </c>
      <c r="AQ174">
        <f t="shared" si="11"/>
        <v>76.884075523378627</v>
      </c>
      <c r="AR174">
        <f t="shared" si="12"/>
        <v>88.422861047335701</v>
      </c>
      <c r="AS174">
        <f t="shared" si="13"/>
        <v>96.099431682880933</v>
      </c>
      <c r="AT174">
        <f t="shared" si="14"/>
        <v>78.388949069268222</v>
      </c>
      <c r="AU174">
        <f t="shared" si="15"/>
        <v>101.48411006933443</v>
      </c>
      <c r="AV174">
        <f t="shared" si="16"/>
        <v>151.46729554088768</v>
      </c>
      <c r="AW174">
        <f t="shared" si="17"/>
        <v>125.14016322604482</v>
      </c>
      <c r="AX174">
        <f t="shared" si="18"/>
        <v>94.922244504884148</v>
      </c>
      <c r="AY174">
        <f t="shared" si="19"/>
        <v>99.625537449985728</v>
      </c>
      <c r="AZ174">
        <f t="shared" si="20"/>
        <v>110.82065781621047</v>
      </c>
      <c r="BA174">
        <f t="shared" si="21"/>
        <v>131.67397766364752</v>
      </c>
      <c r="BB174">
        <f t="shared" si="22"/>
        <v>84.631702301309659</v>
      </c>
      <c r="BC174">
        <f t="shared" si="23"/>
        <v>120.95123132335544</v>
      </c>
      <c r="BD174">
        <f t="shared" si="24"/>
        <v>556.46773248514285</v>
      </c>
    </row>
    <row r="175" spans="1:56" x14ac:dyDescent="0.25">
      <c r="A175" t="s">
        <v>7</v>
      </c>
      <c r="B175" t="s">
        <v>8</v>
      </c>
      <c r="C175" t="s">
        <v>9</v>
      </c>
      <c r="D175" t="s">
        <v>10</v>
      </c>
      <c r="E175">
        <v>5</v>
      </c>
      <c r="F175" s="1">
        <v>42521</v>
      </c>
      <c r="G175">
        <v>-1.6925449588923099E-4</v>
      </c>
      <c r="K175" s="4">
        <v>39721</v>
      </c>
      <c r="L175" s="6">
        <v>-1.79276173007775E-2</v>
      </c>
      <c r="M175" s="6">
        <v>3.1153948285847902E-2</v>
      </c>
      <c r="N175" s="6">
        <v>4.8570349212210998E-2</v>
      </c>
      <c r="O175" s="6">
        <v>-3.7489441037160098E-4</v>
      </c>
      <c r="P175" s="6">
        <v>8.7768419543028997E-2</v>
      </c>
      <c r="Q175" s="6">
        <v>4.20205813387192E-2</v>
      </c>
      <c r="R175" s="6">
        <v>-2.5957910414498199E-4</v>
      </c>
      <c r="S175" s="6">
        <v>0.10118384631803801</v>
      </c>
      <c r="T175" s="6">
        <v>5.7767823033744399E-2</v>
      </c>
      <c r="U175" s="6">
        <v>-4.0780363055051699E-2</v>
      </c>
      <c r="V175" s="6">
        <v>1.7056301042855299E-2</v>
      </c>
      <c r="W175" s="6">
        <v>-4.9762863431512899E-2</v>
      </c>
      <c r="X175" s="6">
        <v>7.4657401276388896E-2</v>
      </c>
      <c r="Y175" s="6">
        <v>0.35107335274897489</v>
      </c>
      <c r="AA175">
        <v>-1.79276173007775E-2</v>
      </c>
      <c r="AB175">
        <v>3.1153948285847902E-2</v>
      </c>
      <c r="AC175">
        <v>4.8570349212210998E-2</v>
      </c>
      <c r="AD175">
        <v>-3.7489441037160098E-4</v>
      </c>
      <c r="AE175">
        <v>8.7768419543028997E-2</v>
      </c>
      <c r="AF175">
        <v>4.20205813387192E-2</v>
      </c>
      <c r="AG175">
        <v>-2.5957910414498199E-4</v>
      </c>
      <c r="AH175">
        <v>0.10118384631803801</v>
      </c>
      <c r="AI175">
        <v>5.7767823033744399E-2</v>
      </c>
      <c r="AJ175">
        <v>-4.0780363055051699E-2</v>
      </c>
      <c r="AK175">
        <v>1.7056301042855299E-2</v>
      </c>
      <c r="AL175">
        <v>-4.9762863431512899E-2</v>
      </c>
      <c r="AM175">
        <v>7.4657401276388896E-2</v>
      </c>
      <c r="AN175">
        <f>+IBOV!C100</f>
        <v>-0.2326251632040337</v>
      </c>
      <c r="AP175" s="1">
        <f t="shared" si="9"/>
        <v>39721</v>
      </c>
      <c r="AQ175">
        <f t="shared" si="11"/>
        <v>75.505727240871423</v>
      </c>
      <c r="AR175">
        <f t="shared" si="12"/>
        <v>91.177582287691109</v>
      </c>
      <c r="AS175">
        <f t="shared" si="13"/>
        <v>100.76701463881346</v>
      </c>
      <c r="AT175">
        <f t="shared" si="14"/>
        <v>78.35956149042724</v>
      </c>
      <c r="AU175">
        <f t="shared" si="15"/>
        <v>110.39121001885071</v>
      </c>
      <c r="AV175">
        <f t="shared" si="16"/>
        <v>157.83203935331935</v>
      </c>
      <c r="AW175">
        <f t="shared" si="17"/>
        <v>125.10767945458204</v>
      </c>
      <c r="AX175">
        <f t="shared" si="18"/>
        <v>104.52684230502959</v>
      </c>
      <c r="AY175">
        <f t="shared" si="19"/>
        <v>105.38068786703818</v>
      </c>
      <c r="AZ175">
        <f t="shared" si="20"/>
        <v>106.30135115646576</v>
      </c>
      <c r="BA175">
        <f t="shared" si="21"/>
        <v>133.9198486661889</v>
      </c>
      <c r="BB175">
        <f t="shared" si="22"/>
        <v>80.420186457713129</v>
      </c>
      <c r="BC175">
        <f t="shared" si="23"/>
        <v>129.98113593513654</v>
      </c>
      <c r="BD175">
        <f t="shared" si="24"/>
        <v>427.01933539800791</v>
      </c>
    </row>
    <row r="176" spans="1:56" x14ac:dyDescent="0.25">
      <c r="A176" t="s">
        <v>7</v>
      </c>
      <c r="B176" t="s">
        <v>8</v>
      </c>
      <c r="C176" t="s">
        <v>9</v>
      </c>
      <c r="D176" t="s">
        <v>10</v>
      </c>
      <c r="E176">
        <v>5</v>
      </c>
      <c r="F176" s="1">
        <v>42551</v>
      </c>
      <c r="G176">
        <v>-3.0281832910242699E-2</v>
      </c>
      <c r="K176" s="4">
        <v>39752</v>
      </c>
      <c r="L176" s="6">
        <v>2.32924214813163E-2</v>
      </c>
      <c r="M176" s="6">
        <v>2.36825339674911E-2</v>
      </c>
      <c r="N176" s="6">
        <v>6.3876882166869195E-2</v>
      </c>
      <c r="O176" s="6">
        <v>1.12199990938505E-2</v>
      </c>
      <c r="P176" s="6">
        <v>8.9825727537781397E-2</v>
      </c>
      <c r="Q176" s="6">
        <v>7.7835652194148397E-2</v>
      </c>
      <c r="R176" s="6">
        <v>-3.7945539697283703E-2</v>
      </c>
      <c r="S176" s="6">
        <v>8.4001560420820007E-2</v>
      </c>
      <c r="T176" s="6">
        <v>5.87686154498826E-2</v>
      </c>
      <c r="U176" s="6">
        <v>5.8174862527476702E-3</v>
      </c>
      <c r="V176" s="6">
        <v>-1.2752833481725699E-2</v>
      </c>
      <c r="W176" s="6">
        <v>-4.5484359598574803E-2</v>
      </c>
      <c r="X176" s="6">
        <v>4.74539413106915E-2</v>
      </c>
      <c r="Y176" s="6">
        <v>0.38959208709801452</v>
      </c>
      <c r="AA176">
        <v>2.32924214813163E-2</v>
      </c>
      <c r="AB176">
        <v>2.36825339674911E-2</v>
      </c>
      <c r="AC176">
        <v>6.3876882166869195E-2</v>
      </c>
      <c r="AD176">
        <v>1.12199990938505E-2</v>
      </c>
      <c r="AE176">
        <v>8.9825727537781397E-2</v>
      </c>
      <c r="AF176">
        <v>7.7835652194148397E-2</v>
      </c>
      <c r="AG176">
        <v>-3.7945539697283703E-2</v>
      </c>
      <c r="AH176">
        <v>8.4001560420820007E-2</v>
      </c>
      <c r="AI176">
        <v>5.87686154498826E-2</v>
      </c>
      <c r="AJ176">
        <v>5.8174862527476702E-3</v>
      </c>
      <c r="AK176">
        <v>-1.2752833481725699E-2</v>
      </c>
      <c r="AL176">
        <v>-4.5484359598574803E-2</v>
      </c>
      <c r="AM176">
        <v>4.74539413106915E-2</v>
      </c>
      <c r="AN176">
        <f>+IBOV!C101</f>
        <v>-0.33120197585071354</v>
      </c>
      <c r="AP176" s="1">
        <f t="shared" si="9"/>
        <v>39752</v>
      </c>
      <c r="AQ176">
        <f t="shared" si="11"/>
        <v>77.264438464019108</v>
      </c>
      <c r="AR176">
        <f t="shared" si="12"/>
        <v>93.336898477293062</v>
      </c>
      <c r="AS176">
        <f t="shared" si="13"/>
        <v>107.20369735920413</v>
      </c>
      <c r="AT176">
        <f t="shared" si="14"/>
        <v>79.238755699344352</v>
      </c>
      <c r="AU176">
        <f t="shared" si="15"/>
        <v>120.30718077257001</v>
      </c>
      <c r="AV176">
        <f t="shared" si="16"/>
        <v>170.11699907351743</v>
      </c>
      <c r="AW176">
        <f t="shared" si="17"/>
        <v>120.36040103740316</v>
      </c>
      <c r="AX176">
        <f t="shared" si="18"/>
        <v>113.30726016451305</v>
      </c>
      <c r="AY176">
        <f t="shared" si="19"/>
        <v>111.57376498814024</v>
      </c>
      <c r="AZ176">
        <f t="shared" si="20"/>
        <v>106.91975780546699</v>
      </c>
      <c r="BA176">
        <f t="shared" si="21"/>
        <v>132.21199113625107</v>
      </c>
      <c r="BB176">
        <f t="shared" si="22"/>
        <v>76.762325777886076</v>
      </c>
      <c r="BC176">
        <f t="shared" si="23"/>
        <v>136.14925313129953</v>
      </c>
      <c r="BD176">
        <f t="shared" si="24"/>
        <v>285.58968778772913</v>
      </c>
    </row>
    <row r="177" spans="1:56" x14ac:dyDescent="0.25">
      <c r="A177" t="s">
        <v>7</v>
      </c>
      <c r="B177" t="s">
        <v>8</v>
      </c>
      <c r="C177" t="s">
        <v>9</v>
      </c>
      <c r="D177" t="s">
        <v>10</v>
      </c>
      <c r="E177">
        <v>5</v>
      </c>
      <c r="F177" s="1">
        <v>42582</v>
      </c>
      <c r="G177">
        <v>-1.6080917382284999E-2</v>
      </c>
      <c r="K177" s="4">
        <v>39782</v>
      </c>
      <c r="L177" s="6">
        <v>5.8789176386305902E-2</v>
      </c>
      <c r="M177" s="6">
        <v>-8.7948498727748094E-3</v>
      </c>
      <c r="N177" s="6">
        <v>-2.8063621187134302E-2</v>
      </c>
      <c r="O177" s="6">
        <v>1.97715486669407E-2</v>
      </c>
      <c r="P177" s="6">
        <v>3.3907429355094103E-2</v>
      </c>
      <c r="Q177" s="6">
        <v>0.118334780845603</v>
      </c>
      <c r="R177" s="6">
        <v>-1.76839448554332E-2</v>
      </c>
      <c r="S177" s="6">
        <v>-1.28419286630761E-2</v>
      </c>
      <c r="T177" s="6">
        <v>-2.0688722825545E-2</v>
      </c>
      <c r="U177" s="6">
        <v>1.9273278705934201E-2</v>
      </c>
      <c r="V177" s="6">
        <v>-3.5218583958885003E-4</v>
      </c>
      <c r="W177" s="6">
        <v>-5.31809111480709E-2</v>
      </c>
      <c r="X177" s="6">
        <v>-1.13985323439028E-2</v>
      </c>
      <c r="Y177" s="6">
        <v>9.7071517224351977E-2</v>
      </c>
      <c r="AA177">
        <v>5.8789176386305902E-2</v>
      </c>
      <c r="AB177">
        <v>-8.7948498727748094E-3</v>
      </c>
      <c r="AC177">
        <v>-2.8063621187134302E-2</v>
      </c>
      <c r="AD177">
        <v>1.97715486669407E-2</v>
      </c>
      <c r="AE177">
        <v>3.3907429355094103E-2</v>
      </c>
      <c r="AF177">
        <v>0.118334780845603</v>
      </c>
      <c r="AG177">
        <v>-1.76839448554332E-2</v>
      </c>
      <c r="AH177">
        <v>-1.28419286630761E-2</v>
      </c>
      <c r="AI177">
        <v>-2.0688722825545E-2</v>
      </c>
      <c r="AJ177">
        <v>1.9273278705934201E-2</v>
      </c>
      <c r="AK177">
        <v>-3.5218583958885003E-4</v>
      </c>
      <c r="AL177">
        <v>-5.31809111480709E-2</v>
      </c>
      <c r="AM177">
        <v>-1.13985323439028E-2</v>
      </c>
      <c r="AN177">
        <f>+IBOV!C102</f>
        <v>-6.6384520243615075E-2</v>
      </c>
      <c r="AP177" s="1">
        <f t="shared" si="9"/>
        <v>39782</v>
      </c>
      <c r="AQ177">
        <f t="shared" si="11"/>
        <v>81.806751165269205</v>
      </c>
      <c r="AR177">
        <f t="shared" si="12"/>
        <v>92.516014467594843</v>
      </c>
      <c r="AS177">
        <f t="shared" si="13"/>
        <v>104.19517340665523</v>
      </c>
      <c r="AT177">
        <f t="shared" si="14"/>
        <v>80.805428613961766</v>
      </c>
      <c r="AU177">
        <f t="shared" si="15"/>
        <v>124.38648800552646</v>
      </c>
      <c r="AV177">
        <f t="shared" si="16"/>
        <v>190.24775687699378</v>
      </c>
      <c r="AW177">
        <f t="shared" si="17"/>
        <v>118.2319543426799</v>
      </c>
      <c r="AX177">
        <f t="shared" si="18"/>
        <v>111.85217641247178</v>
      </c>
      <c r="AY177">
        <f t="shared" si="19"/>
        <v>109.2654462896981</v>
      </c>
      <c r="AZ177">
        <f t="shared" si="20"/>
        <v>108.98045209682273</v>
      </c>
      <c r="BA177">
        <f t="shared" si="21"/>
        <v>132.16542794514905</v>
      </c>
      <c r="BB177">
        <f t="shared" si="22"/>
        <v>72.680035351173046</v>
      </c>
      <c r="BC177">
        <f t="shared" si="23"/>
        <v>134.5973514658842</v>
      </c>
      <c r="BD177">
        <f t="shared" si="24"/>
        <v>266.63095337741692</v>
      </c>
    </row>
    <row r="178" spans="1:56" x14ac:dyDescent="0.25">
      <c r="A178" t="s">
        <v>7</v>
      </c>
      <c r="B178" t="s">
        <v>8</v>
      </c>
      <c r="C178" t="s">
        <v>9</v>
      </c>
      <c r="D178" t="s">
        <v>10</v>
      </c>
      <c r="E178">
        <v>5</v>
      </c>
      <c r="F178" s="1">
        <v>42613</v>
      </c>
      <c r="G178">
        <v>1.8918484771630498E-2</v>
      </c>
      <c r="K178" s="4">
        <v>39813</v>
      </c>
      <c r="L178" s="6">
        <v>4.2570131691974801E-2</v>
      </c>
      <c r="M178" s="6">
        <v>3.7419360465948903E-2</v>
      </c>
      <c r="N178" s="6">
        <v>2.1138982265076201E-2</v>
      </c>
      <c r="O178" s="6">
        <v>6.8959363220735797E-3</v>
      </c>
      <c r="P178" s="6">
        <v>-7.1901829006622398E-2</v>
      </c>
      <c r="Q178" s="6">
        <v>-9.3680957205918097E-2</v>
      </c>
      <c r="R178" s="6">
        <v>2.5374525422255299E-2</v>
      </c>
      <c r="S178" s="6">
        <v>-1.7491506608467301E-2</v>
      </c>
      <c r="T178" s="6">
        <v>-2.4798143325648801E-2</v>
      </c>
      <c r="U178" s="6">
        <v>1.8548888524660901E-2</v>
      </c>
      <c r="V178" s="6">
        <v>5.9721374152434401E-3</v>
      </c>
      <c r="W178" s="6">
        <v>2.04286275770496E-2</v>
      </c>
      <c r="X178" s="6">
        <v>2.1569580916624299E-2</v>
      </c>
      <c r="Y178" s="6">
        <v>-7.9542655457495899E-3</v>
      </c>
      <c r="AA178">
        <v>4.2570131691974801E-2</v>
      </c>
      <c r="AB178">
        <v>3.7419360465948903E-2</v>
      </c>
      <c r="AC178">
        <v>2.1138982265076201E-2</v>
      </c>
      <c r="AD178">
        <v>6.8959363220735797E-3</v>
      </c>
      <c r="AE178">
        <v>-7.1901829006622398E-2</v>
      </c>
      <c r="AF178">
        <v>-9.3680957205918097E-2</v>
      </c>
      <c r="AG178">
        <v>2.5374525422255299E-2</v>
      </c>
      <c r="AH178">
        <v>-1.7491506608467301E-2</v>
      </c>
      <c r="AI178">
        <v>-2.4798143325648801E-2</v>
      </c>
      <c r="AJ178">
        <v>1.8548888524660901E-2</v>
      </c>
      <c r="AK178">
        <v>5.9721374152434401E-3</v>
      </c>
      <c r="AL178">
        <v>2.04286275770496E-2</v>
      </c>
      <c r="AM178">
        <v>2.1569580916624299E-2</v>
      </c>
      <c r="AN178">
        <f>+IBOV!C103</f>
        <v>4.0942538550404306E-2</v>
      </c>
      <c r="AP178" s="1">
        <f t="shared" si="9"/>
        <v>39813</v>
      </c>
      <c r="AQ178">
        <f t="shared" si="11"/>
        <v>85.289275335667341</v>
      </c>
      <c r="AR178">
        <f t="shared" si="12"/>
        <v>95.977904561830726</v>
      </c>
      <c r="AS178">
        <f t="shared" si="13"/>
        <v>106.39775332940506</v>
      </c>
      <c r="AT178">
        <f t="shared" si="14"/>
        <v>81.362657704161506</v>
      </c>
      <c r="AU178">
        <f t="shared" si="15"/>
        <v>115.44287201421881</v>
      </c>
      <c r="AV178">
        <f t="shared" si="16"/>
        <v>172.42516490647822</v>
      </c>
      <c r="AW178">
        <f t="shared" si="17"/>
        <v>121.23203407387115</v>
      </c>
      <c r="AX178">
        <f t="shared" si="18"/>
        <v>109.89571332958157</v>
      </c>
      <c r="AY178">
        <f t="shared" si="19"/>
        <v>106.55586609206519</v>
      </c>
      <c r="AZ178">
        <f t="shared" si="20"/>
        <v>111.00191835413385</v>
      </c>
      <c r="BA178">
        <f t="shared" si="21"/>
        <v>132.95473804238193</v>
      </c>
      <c r="BB178">
        <f t="shared" si="22"/>
        <v>74.164788725648961</v>
      </c>
      <c r="BC178">
        <f t="shared" si="23"/>
        <v>137.50055992949092</v>
      </c>
      <c r="BD178">
        <f t="shared" si="24"/>
        <v>277.54750146480285</v>
      </c>
    </row>
    <row r="179" spans="1:56" x14ac:dyDescent="0.25">
      <c r="A179" t="s">
        <v>7</v>
      </c>
      <c r="B179" t="s">
        <v>8</v>
      </c>
      <c r="C179" t="s">
        <v>9</v>
      </c>
      <c r="D179" t="s">
        <v>10</v>
      </c>
      <c r="E179">
        <v>5</v>
      </c>
      <c r="F179" s="1">
        <v>42643</v>
      </c>
      <c r="G179">
        <v>-3.4299657226916601E-2</v>
      </c>
      <c r="K179" s="4">
        <v>39844</v>
      </c>
      <c r="L179" s="6">
        <v>1.9023423188611301E-2</v>
      </c>
      <c r="M179" s="6">
        <v>1.62014710225242E-2</v>
      </c>
      <c r="N179" s="6">
        <v>2.7412860826258299E-2</v>
      </c>
      <c r="O179" s="6">
        <v>-3.5509015089750301E-3</v>
      </c>
      <c r="P179" s="6">
        <v>-4.1425995180592E-2</v>
      </c>
      <c r="Q179" s="6">
        <v>-4.3251058925284698E-2</v>
      </c>
      <c r="R179" s="6">
        <v>1.4489672708257E-2</v>
      </c>
      <c r="S179" s="6">
        <v>1.1996855510553701E-2</v>
      </c>
      <c r="T179" s="6">
        <v>-2.20705665058676E-3</v>
      </c>
      <c r="U179" s="6">
        <v>2.2603031999704299E-3</v>
      </c>
      <c r="V179" s="6">
        <v>3.5773393957014101E-3</v>
      </c>
      <c r="W179" s="6">
        <v>-3.2953750457643698E-2</v>
      </c>
      <c r="X179" s="6">
        <v>1.4882895458633499E-2</v>
      </c>
      <c r="Y179" s="6">
        <v>-1.3543941412572348E-2</v>
      </c>
      <c r="AA179">
        <v>1.9023423188611301E-2</v>
      </c>
      <c r="AB179">
        <v>1.62014710225242E-2</v>
      </c>
      <c r="AC179">
        <v>2.7412860826258299E-2</v>
      </c>
      <c r="AD179">
        <v>-3.5509015089750301E-3</v>
      </c>
      <c r="AE179">
        <v>-4.1425995180592E-2</v>
      </c>
      <c r="AF179">
        <v>-4.3251058925284698E-2</v>
      </c>
      <c r="AG179">
        <v>1.4489672708257E-2</v>
      </c>
      <c r="AH179">
        <v>1.1996855510553701E-2</v>
      </c>
      <c r="AI179">
        <v>-2.20705665058676E-3</v>
      </c>
      <c r="AJ179">
        <v>2.2603031999704299E-3</v>
      </c>
      <c r="AK179">
        <v>3.5773393957014101E-3</v>
      </c>
      <c r="AL179">
        <v>-3.2953750457643698E-2</v>
      </c>
      <c r="AM179">
        <v>1.4882895458633499E-2</v>
      </c>
      <c r="AN179">
        <f>+IBOV!C104</f>
        <v>1.4578420078049215E-2</v>
      </c>
      <c r="AP179" s="1">
        <f t="shared" si="9"/>
        <v>39844</v>
      </c>
      <c r="AQ179">
        <f t="shared" si="11"/>
        <v>86.911769313827733</v>
      </c>
      <c r="AR179">
        <f t="shared" si="12"/>
        <v>97.532887801391823</v>
      </c>
      <c r="AS179">
        <f t="shared" si="13"/>
        <v>109.3144201336506</v>
      </c>
      <c r="AT179">
        <f t="shared" si="14"/>
        <v>81.073746920145581</v>
      </c>
      <c r="AU179">
        <f t="shared" si="15"/>
        <v>110.66053615452408</v>
      </c>
      <c r="AV179">
        <f t="shared" si="16"/>
        <v>164.96759393890619</v>
      </c>
      <c r="AW179">
        <f t="shared" si="17"/>
        <v>122.98864656935781</v>
      </c>
      <c r="AX179">
        <f t="shared" si="18"/>
        <v>111.21411632362577</v>
      </c>
      <c r="AY179">
        <f t="shared" si="19"/>
        <v>106.32069125914767</v>
      </c>
      <c r="AZ179">
        <f t="shared" si="20"/>
        <v>111.25281634539255</v>
      </c>
      <c r="BA179">
        <f t="shared" si="21"/>
        <v>133.43036226462613</v>
      </c>
      <c r="BB179">
        <f t="shared" si="22"/>
        <v>71.720780785240052</v>
      </c>
      <c r="BC179">
        <f t="shared" si="23"/>
        <v>139.54696638842512</v>
      </c>
      <c r="BD179">
        <f t="shared" si="24"/>
        <v>281.59370553276972</v>
      </c>
    </row>
    <row r="180" spans="1:56" x14ac:dyDescent="0.25">
      <c r="A180" t="s">
        <v>7</v>
      </c>
      <c r="B180" t="s">
        <v>8</v>
      </c>
      <c r="C180" t="s">
        <v>9</v>
      </c>
      <c r="D180" t="s">
        <v>10</v>
      </c>
      <c r="E180">
        <v>5</v>
      </c>
      <c r="F180" s="1">
        <v>42674</v>
      </c>
      <c r="G180">
        <v>1.9004346481006601E-2</v>
      </c>
      <c r="K180" s="4">
        <v>39872</v>
      </c>
      <c r="L180" s="6">
        <v>-4.4662395186870901E-2</v>
      </c>
      <c r="M180" s="6">
        <v>1.76248651691665E-2</v>
      </c>
      <c r="N180" s="6">
        <v>3.70459179153795E-4</v>
      </c>
      <c r="O180" s="6">
        <v>3.4504594460033401E-3</v>
      </c>
      <c r="P180" s="6">
        <v>6.7066071032609004E-2</v>
      </c>
      <c r="Q180" s="6">
        <v>9.4790489290547994E-2</v>
      </c>
      <c r="R180" s="6">
        <v>1.32254807845888E-2</v>
      </c>
      <c r="S180" s="6">
        <v>1.44002483913921E-2</v>
      </c>
      <c r="T180" s="6">
        <v>2.5158336684049699E-2</v>
      </c>
      <c r="U180" s="6">
        <v>3.0635625548046701E-2</v>
      </c>
      <c r="V180" s="6">
        <v>2.92965721076082E-2</v>
      </c>
      <c r="W180" s="6">
        <v>5.2606432206207802E-2</v>
      </c>
      <c r="X180" s="6">
        <v>9.4130637585805293E-3</v>
      </c>
      <c r="Y180" s="6">
        <v>0.31337570841108359</v>
      </c>
      <c r="AA180">
        <v>-4.4662395186870901E-2</v>
      </c>
      <c r="AB180">
        <v>1.76248651691665E-2</v>
      </c>
      <c r="AC180">
        <v>3.70459179153795E-4</v>
      </c>
      <c r="AD180">
        <v>3.4504594460033401E-3</v>
      </c>
      <c r="AE180">
        <v>6.7066071032609004E-2</v>
      </c>
      <c r="AF180">
        <v>9.4790489290547994E-2</v>
      </c>
      <c r="AG180">
        <v>1.32254807845888E-2</v>
      </c>
      <c r="AH180">
        <v>1.44002483913921E-2</v>
      </c>
      <c r="AI180">
        <v>2.5158336684049699E-2</v>
      </c>
      <c r="AJ180">
        <v>3.0635625548046701E-2</v>
      </c>
      <c r="AK180">
        <v>2.92965721076082E-2</v>
      </c>
      <c r="AL180">
        <v>5.2606432206207802E-2</v>
      </c>
      <c r="AM180">
        <v>9.4130637585805293E-3</v>
      </c>
      <c r="AN180">
        <f>+IBOV!C105</f>
        <v>-3.6620890553475061E-2</v>
      </c>
      <c r="AP180" s="1">
        <f t="shared" si="9"/>
        <v>39872</v>
      </c>
      <c r="AQ180">
        <f t="shared" si="11"/>
        <v>83.030081526343395</v>
      </c>
      <c r="AR180">
        <f t="shared" si="12"/>
        <v>99.251891798450785</v>
      </c>
      <c r="AS180">
        <f t="shared" si="13"/>
        <v>109.35491666400299</v>
      </c>
      <c r="AT180">
        <f t="shared" si="14"/>
        <v>81.353488596029081</v>
      </c>
      <c r="AU180">
        <f t="shared" si="15"/>
        <v>118.08210353276999</v>
      </c>
      <c r="AV180">
        <f t="shared" si="16"/>
        <v>180.60495288545954</v>
      </c>
      <c r="AW180">
        <f t="shared" si="17"/>
        <v>124.61523055128345</v>
      </c>
      <c r="AX180">
        <f t="shared" si="18"/>
        <v>112.81562722331516</v>
      </c>
      <c r="AY180">
        <f t="shared" si="19"/>
        <v>108.99554300632622</v>
      </c>
      <c r="AZ180">
        <f t="shared" si="20"/>
        <v>114.6611159681156</v>
      </c>
      <c r="BA180">
        <f t="shared" si="21"/>
        <v>137.33941449405603</v>
      </c>
      <c r="BB180">
        <f t="shared" si="22"/>
        <v>75.493755177395073</v>
      </c>
      <c r="BC180">
        <f t="shared" si="23"/>
        <v>140.86053088035587</v>
      </c>
      <c r="BD180">
        <f t="shared" si="24"/>
        <v>271.28149326190669</v>
      </c>
    </row>
    <row r="181" spans="1:56" x14ac:dyDescent="0.25">
      <c r="A181" t="s">
        <v>7</v>
      </c>
      <c r="B181" t="s">
        <v>8</v>
      </c>
      <c r="C181" t="s">
        <v>9</v>
      </c>
      <c r="D181" t="s">
        <v>10</v>
      </c>
      <c r="E181">
        <v>5</v>
      </c>
      <c r="F181" s="1">
        <v>42704</v>
      </c>
      <c r="G181">
        <v>2.6428102287732898E-2</v>
      </c>
      <c r="K181" s="4">
        <v>39903</v>
      </c>
      <c r="L181" s="6">
        <v>4.3013912673214597E-2</v>
      </c>
      <c r="M181" s="6">
        <v>4.1465116389175397E-2</v>
      </c>
      <c r="N181" s="6">
        <v>-5.3698775986877403E-3</v>
      </c>
      <c r="O181" s="6">
        <v>-2.63703820521109E-2</v>
      </c>
      <c r="P181" s="6">
        <v>-8.0688334683448604E-2</v>
      </c>
      <c r="Q181" s="6">
        <v>-2.9886287261517899E-2</v>
      </c>
      <c r="R181" s="6">
        <v>1.16531958199466E-2</v>
      </c>
      <c r="S181" s="6">
        <v>-2.0574106661635201E-3</v>
      </c>
      <c r="T181" s="6">
        <v>-3.8456643045741999E-2</v>
      </c>
      <c r="U181" s="6">
        <v>-1.08955730818241E-2</v>
      </c>
      <c r="V181" s="6">
        <v>6.9894330597869798E-3</v>
      </c>
      <c r="W181" s="6">
        <v>-4.2549641764722597E-2</v>
      </c>
      <c r="X181" s="6">
        <v>1.83463354487239E-2</v>
      </c>
      <c r="Y181" s="6">
        <v>-0.11480615676336987</v>
      </c>
      <c r="AA181">
        <v>4.3013912673214597E-2</v>
      </c>
      <c r="AB181">
        <v>4.1465116389175397E-2</v>
      </c>
      <c r="AC181">
        <v>-5.3698775986877403E-3</v>
      </c>
      <c r="AD181">
        <v>-2.63703820521109E-2</v>
      </c>
      <c r="AE181">
        <v>-8.0688334683448604E-2</v>
      </c>
      <c r="AF181">
        <v>-2.9886287261517899E-2</v>
      </c>
      <c r="AG181">
        <v>1.16531958199466E-2</v>
      </c>
      <c r="AH181">
        <v>-2.0574106661635201E-3</v>
      </c>
      <c r="AI181">
        <v>-3.8456643045741999E-2</v>
      </c>
      <c r="AJ181">
        <v>-1.08955730818241E-2</v>
      </c>
      <c r="AK181">
        <v>6.9894330597869798E-3</v>
      </c>
      <c r="AL181">
        <v>-4.2549641764722597E-2</v>
      </c>
      <c r="AM181">
        <v>1.83463354487239E-2</v>
      </c>
      <c r="AN181">
        <f>+IBOV!C106</f>
        <v>0.10233878432582544</v>
      </c>
      <c r="AP181" s="1">
        <f t="shared" si="9"/>
        <v>39903</v>
      </c>
      <c r="AQ181">
        <f t="shared" si="11"/>
        <v>86.601530202367414</v>
      </c>
      <c r="AR181">
        <f t="shared" si="12"/>
        <v>103.3673830437194</v>
      </c>
      <c r="AS181">
        <f t="shared" si="13"/>
        <v>108.76769414670258</v>
      </c>
      <c r="AT181">
        <f t="shared" si="14"/>
        <v>79.208166020479737</v>
      </c>
      <c r="AU181">
        <f t="shared" si="15"/>
        <v>108.55425524279222</v>
      </c>
      <c r="AV181">
        <f t="shared" si="16"/>
        <v>175.20734138267179</v>
      </c>
      <c r="AW181">
        <f t="shared" si="17"/>
        <v>126.06739623504535</v>
      </c>
      <c r="AX181">
        <f t="shared" si="18"/>
        <v>112.58351914855599</v>
      </c>
      <c r="AY181">
        <f t="shared" si="19"/>
        <v>104.80394031535511</v>
      </c>
      <c r="AZ181">
        <f t="shared" si="20"/>
        <v>113.41181739944149</v>
      </c>
      <c r="BA181">
        <f t="shared" si="21"/>
        <v>138.29933913813258</v>
      </c>
      <c r="BB181">
        <f t="shared" si="22"/>
        <v>72.281522939123235</v>
      </c>
      <c r="BC181">
        <f t="shared" si="23"/>
        <v>143.4448054313722</v>
      </c>
      <c r="BD181">
        <f t="shared" si="24"/>
        <v>299.0441114924248</v>
      </c>
    </row>
    <row r="182" spans="1:56" x14ac:dyDescent="0.25">
      <c r="A182" t="s">
        <v>7</v>
      </c>
      <c r="B182" t="s">
        <v>8</v>
      </c>
      <c r="C182" t="s">
        <v>9</v>
      </c>
      <c r="D182" t="s">
        <v>10</v>
      </c>
      <c r="E182">
        <v>5</v>
      </c>
      <c r="F182" s="1">
        <v>42735</v>
      </c>
      <c r="G182">
        <v>2.7105827040553698E-2</v>
      </c>
      <c r="K182" s="4">
        <v>39933</v>
      </c>
      <c r="L182" s="6">
        <v>-1.2517190840405101E-2</v>
      </c>
      <c r="M182" s="6">
        <v>-8.0168979341126198E-2</v>
      </c>
      <c r="N182" s="6">
        <v>-0.10080241567008701</v>
      </c>
      <c r="O182" s="6">
        <v>-5.5541569158866202E-3</v>
      </c>
      <c r="P182" s="6">
        <v>-0.13169304563376</v>
      </c>
      <c r="Q182" s="6">
        <v>-0.212754278424819</v>
      </c>
      <c r="R182" s="6">
        <v>-2.69865180542261E-2</v>
      </c>
      <c r="S182" s="6">
        <v>-0.113989335097698</v>
      </c>
      <c r="T182" s="6">
        <v>-5.2297825298922303E-2</v>
      </c>
      <c r="U182" s="6">
        <v>-1.6167058390669502E-2</v>
      </c>
      <c r="V182" s="6">
        <v>-6.0683996049236598E-2</v>
      </c>
      <c r="W182" s="6">
        <v>0.12475647213034501</v>
      </c>
      <c r="X182" s="6">
        <v>-4.9444971432041802E-2</v>
      </c>
      <c r="Y182" s="6">
        <v>-0.73830329901853331</v>
      </c>
      <c r="AA182">
        <v>-1.2517190840405101E-2</v>
      </c>
      <c r="AB182">
        <v>-8.0168979341126198E-2</v>
      </c>
      <c r="AC182">
        <v>-0.10080241567008701</v>
      </c>
      <c r="AD182">
        <v>-5.5541569158866202E-3</v>
      </c>
      <c r="AE182">
        <v>-0.13169304563376</v>
      </c>
      <c r="AF182">
        <v>-0.212754278424819</v>
      </c>
      <c r="AG182">
        <v>-2.69865180542261E-2</v>
      </c>
      <c r="AH182">
        <v>-0.113989335097698</v>
      </c>
      <c r="AI182">
        <v>-5.2297825298922303E-2</v>
      </c>
      <c r="AJ182">
        <v>-1.6167058390669502E-2</v>
      </c>
      <c r="AK182">
        <v>-6.0683996049236598E-2</v>
      </c>
      <c r="AL182">
        <v>0.12475647213034501</v>
      </c>
      <c r="AM182">
        <v>-4.9444971432041802E-2</v>
      </c>
      <c r="AN182">
        <f>+IBOV!C107</f>
        <v>0.19628402207866391</v>
      </c>
      <c r="AP182" s="1">
        <f t="shared" si="9"/>
        <v>39933</v>
      </c>
      <c r="AQ182">
        <f t="shared" si="11"/>
        <v>85.517522321753276</v>
      </c>
      <c r="AR182">
        <f t="shared" si="12"/>
        <v>95.080525447941184</v>
      </c>
      <c r="AS182">
        <f t="shared" si="13"/>
        <v>97.80364782984978</v>
      </c>
      <c r="AT182">
        <f t="shared" si="14"/>
        <v>78.768231437382397</v>
      </c>
      <c r="AU182">
        <f t="shared" si="15"/>
        <v>94.258414753364363</v>
      </c>
      <c r="AV182">
        <f t="shared" si="16"/>
        <v>137.93122989207052</v>
      </c>
      <c r="AW182">
        <f t="shared" si="17"/>
        <v>122.66527617049901</v>
      </c>
      <c r="AX182">
        <f t="shared" si="18"/>
        <v>99.750198657853133</v>
      </c>
      <c r="AY182">
        <f t="shared" si="19"/>
        <v>99.322922154103978</v>
      </c>
      <c r="AZ182">
        <f t="shared" si="20"/>
        <v>111.57828192535278</v>
      </c>
      <c r="BA182">
        <f t="shared" si="21"/>
        <v>129.9067825882621</v>
      </c>
      <c r="BB182">
        <f t="shared" si="22"/>
        <v>81.29911074121685</v>
      </c>
      <c r="BC182">
        <f t="shared" si="23"/>
        <v>136.3521811247432</v>
      </c>
      <c r="BD182">
        <f t="shared" si="24"/>
        <v>357.74169247509832</v>
      </c>
    </row>
    <row r="183" spans="1:56" x14ac:dyDescent="0.25">
      <c r="A183" t="s">
        <v>7</v>
      </c>
      <c r="B183" t="s">
        <v>8</v>
      </c>
      <c r="C183" t="s">
        <v>9</v>
      </c>
      <c r="D183" t="s">
        <v>10</v>
      </c>
      <c r="E183">
        <v>5</v>
      </c>
      <c r="F183" s="1">
        <v>42766</v>
      </c>
      <c r="G183">
        <v>1.7076542962480901E-2</v>
      </c>
      <c r="K183" s="4">
        <v>39964</v>
      </c>
      <c r="L183" s="6">
        <v>5.7475592690821899E-3</v>
      </c>
      <c r="M183" s="6">
        <v>-4.96998612754928E-2</v>
      </c>
      <c r="N183" s="6">
        <v>-9.13196939522916E-2</v>
      </c>
      <c r="O183" s="6">
        <v>-1.1629426874943799E-3</v>
      </c>
      <c r="P183" s="6">
        <v>-5.0184452814376203E-2</v>
      </c>
      <c r="Q183" s="6">
        <v>-8.7309445365830504E-2</v>
      </c>
      <c r="R183" s="6">
        <v>2.7913077036109098E-3</v>
      </c>
      <c r="S183" s="6">
        <v>-4.2109352449583498E-2</v>
      </c>
      <c r="T183" s="6">
        <v>-2.1174135366349298E-2</v>
      </c>
      <c r="U183" s="6">
        <v>-3.25890149793946E-2</v>
      </c>
      <c r="V183" s="6">
        <v>-1.5221475283412901E-2</v>
      </c>
      <c r="W183" s="6">
        <v>4.1515711958287098E-3</v>
      </c>
      <c r="X183" s="6">
        <v>-2.7405570402612298E-2</v>
      </c>
      <c r="Y183" s="6">
        <v>-0.40548550640831632</v>
      </c>
      <c r="AA183">
        <v>5.7475592690821899E-3</v>
      </c>
      <c r="AB183">
        <v>-4.96998612754928E-2</v>
      </c>
      <c r="AC183">
        <v>-9.13196939522916E-2</v>
      </c>
      <c r="AD183">
        <v>-1.1629426874943799E-3</v>
      </c>
      <c r="AE183">
        <v>-5.0184452814376203E-2</v>
      </c>
      <c r="AF183">
        <v>-8.7309445365830504E-2</v>
      </c>
      <c r="AG183">
        <v>2.7913077036109098E-3</v>
      </c>
      <c r="AH183">
        <v>-4.2109352449583498E-2</v>
      </c>
      <c r="AI183">
        <v>-2.1174135366349298E-2</v>
      </c>
      <c r="AJ183">
        <v>-3.25890149793946E-2</v>
      </c>
      <c r="AK183">
        <v>-1.5221475283412901E-2</v>
      </c>
      <c r="AL183">
        <v>4.1515711958287098E-3</v>
      </c>
      <c r="AM183">
        <v>-2.7405570402612298E-2</v>
      </c>
      <c r="AN183">
        <f>+IBOV!C108</f>
        <v>0.22394792626943749</v>
      </c>
      <c r="AP183" s="1">
        <f t="shared" si="9"/>
        <v>39964</v>
      </c>
      <c r="AQ183">
        <f t="shared" si="11"/>
        <v>86.00903934984261</v>
      </c>
      <c r="AR183">
        <f t="shared" si="12"/>
        <v>90.355036523177546</v>
      </c>
      <c r="AS183">
        <f t="shared" si="13"/>
        <v>88.872248642610188</v>
      </c>
      <c r="AT183">
        <f t="shared" si="14"/>
        <v>78.676628498625433</v>
      </c>
      <c r="AU183">
        <f t="shared" si="15"/>
        <v>89.528107785816246</v>
      </c>
      <c r="AV183">
        <f t="shared" si="16"/>
        <v>125.88853071156697</v>
      </c>
      <c r="AW183">
        <f t="shared" si="17"/>
        <v>123.00767270083928</v>
      </c>
      <c r="AX183">
        <f t="shared" si="18"/>
        <v>95.549782385653629</v>
      </c>
      <c r="AY183">
        <f t="shared" si="19"/>
        <v>97.219845155431614</v>
      </c>
      <c r="AZ183">
        <f t="shared" si="20"/>
        <v>107.94205562431235</v>
      </c>
      <c r="BA183">
        <f t="shared" si="21"/>
        <v>127.92940970794719</v>
      </c>
      <c r="BB183">
        <f t="shared" si="22"/>
        <v>81.63662978761657</v>
      </c>
      <c r="BC183">
        <f t="shared" si="23"/>
        <v>132.6153718253793</v>
      </c>
      <c r="BD183">
        <f t="shared" si="24"/>
        <v>437.85720264501543</v>
      </c>
    </row>
    <row r="184" spans="1:56" x14ac:dyDescent="0.25">
      <c r="A184" t="s">
        <v>7</v>
      </c>
      <c r="B184" t="s">
        <v>8</v>
      </c>
      <c r="C184" t="s">
        <v>9</v>
      </c>
      <c r="D184" t="s">
        <v>10</v>
      </c>
      <c r="E184">
        <v>5</v>
      </c>
      <c r="F184" s="1">
        <v>42794</v>
      </c>
      <c r="G184">
        <v>4.2239919237618301E-2</v>
      </c>
      <c r="K184" s="4">
        <v>39994</v>
      </c>
      <c r="L184" s="6">
        <v>1.6662489262883301E-2</v>
      </c>
      <c r="M184" s="6">
        <v>1.0880099677804501E-2</v>
      </c>
      <c r="N184" s="6">
        <v>1.07936149649056E-2</v>
      </c>
      <c r="O184" s="6">
        <v>9.0857654603629704E-4</v>
      </c>
      <c r="P184" s="6">
        <v>3.6352299154603099E-2</v>
      </c>
      <c r="Q184" s="6">
        <v>1.21390598580187E-2</v>
      </c>
      <c r="R184" s="6">
        <v>8.3122530179305099E-3</v>
      </c>
      <c r="S184" s="6">
        <v>1.1052990085387E-2</v>
      </c>
      <c r="T184" s="6">
        <v>2.2291708969749399E-2</v>
      </c>
      <c r="U184" s="6">
        <v>6.5459779051607603E-3</v>
      </c>
      <c r="V184" s="6">
        <v>1.28949014537206E-2</v>
      </c>
      <c r="W184" s="6">
        <v>3.03308596571586E-2</v>
      </c>
      <c r="X184" s="6">
        <v>-7.2498440587401205E-4</v>
      </c>
      <c r="Y184" s="6">
        <v>0.17843984614748437</v>
      </c>
      <c r="AA184">
        <v>1.6662489262883301E-2</v>
      </c>
      <c r="AB184">
        <v>1.0880099677804501E-2</v>
      </c>
      <c r="AC184">
        <v>1.07936149649056E-2</v>
      </c>
      <c r="AD184">
        <v>9.0857654603629704E-4</v>
      </c>
      <c r="AE184">
        <v>3.6352299154603099E-2</v>
      </c>
      <c r="AF184">
        <v>1.21390598580187E-2</v>
      </c>
      <c r="AG184">
        <v>8.3122530179305099E-3</v>
      </c>
      <c r="AH184">
        <v>1.1052990085387E-2</v>
      </c>
      <c r="AI184">
        <v>2.2291708969749399E-2</v>
      </c>
      <c r="AJ184">
        <v>6.5459779051607603E-3</v>
      </c>
      <c r="AK184">
        <v>1.28949014537206E-2</v>
      </c>
      <c r="AL184">
        <v>3.03308596571586E-2</v>
      </c>
      <c r="AM184">
        <v>-7.2498440587401205E-4</v>
      </c>
      <c r="AN184">
        <f>+IBOV!C109</f>
        <v>-3.2356607048640074E-2</v>
      </c>
      <c r="AP184" s="1">
        <f t="shared" si="9"/>
        <v>39994</v>
      </c>
      <c r="AQ184">
        <f t="shared" si="11"/>
        <v>87.442164044520268</v>
      </c>
      <c r="AR184">
        <f t="shared" si="12"/>
        <v>91.338108326941381</v>
      </c>
      <c r="AS184">
        <f t="shared" si="13"/>
        <v>89.831501475523865</v>
      </c>
      <c r="AT184">
        <f t="shared" si="14"/>
        <v>78.748112238000502</v>
      </c>
      <c r="AU184">
        <f t="shared" si="15"/>
        <v>92.782660342791786</v>
      </c>
      <c r="AV184">
        <f t="shared" si="16"/>
        <v>127.4166991213127</v>
      </c>
      <c r="AW184">
        <f t="shared" si="17"/>
        <v>124.03014359947544</v>
      </c>
      <c r="AX184">
        <f t="shared" si="18"/>
        <v>96.605893183023156</v>
      </c>
      <c r="AY184">
        <f t="shared" si="19"/>
        <v>99.387041649720601</v>
      </c>
      <c r="AZ184">
        <f t="shared" si="20"/>
        <v>108.64864193546674</v>
      </c>
      <c r="BA184">
        <f t="shared" si="21"/>
        <v>129.57904683916379</v>
      </c>
      <c r="BB184">
        <f t="shared" si="22"/>
        <v>84.112738948588174</v>
      </c>
      <c r="BC184">
        <f t="shared" si="23"/>
        <v>132.51922774882672</v>
      </c>
      <c r="BD184">
        <f t="shared" si="24"/>
        <v>423.68962919561392</v>
      </c>
    </row>
    <row r="185" spans="1:56" x14ac:dyDescent="0.25">
      <c r="A185" t="s">
        <v>7</v>
      </c>
      <c r="B185" t="s">
        <v>8</v>
      </c>
      <c r="C185" t="s">
        <v>9</v>
      </c>
      <c r="D185" t="s">
        <v>10</v>
      </c>
      <c r="E185">
        <v>5</v>
      </c>
      <c r="F185" s="1">
        <v>42825</v>
      </c>
      <c r="G185">
        <v>-1.8230078273064901E-2</v>
      </c>
      <c r="K185" s="4">
        <v>40025</v>
      </c>
      <c r="L185" s="6">
        <v>-4.8245931380776701E-2</v>
      </c>
      <c r="M185" s="6">
        <v>-5.3628685036100097E-2</v>
      </c>
      <c r="N185" s="6">
        <v>-3.88267748248435E-2</v>
      </c>
      <c r="O185" s="6">
        <v>9.9028049849110792E-3</v>
      </c>
      <c r="P185" s="6">
        <v>-5.5132782064204397E-2</v>
      </c>
      <c r="Q185" s="6">
        <v>1.1186701649805E-2</v>
      </c>
      <c r="R185" s="6">
        <v>-2.3336742156267298E-2</v>
      </c>
      <c r="S185" s="6">
        <v>-7.7517397533720403E-2</v>
      </c>
      <c r="T185" s="6">
        <v>-5.50316421117448E-2</v>
      </c>
      <c r="U185" s="6">
        <v>-1.38285299404266E-2</v>
      </c>
      <c r="V185" s="6">
        <v>1.14246570837309E-2</v>
      </c>
      <c r="W185" s="6">
        <v>5.7906153023813897E-2</v>
      </c>
      <c r="X185" s="6">
        <v>-3.3138161283167003E-2</v>
      </c>
      <c r="Y185" s="6">
        <v>-0.30826632958898986</v>
      </c>
      <c r="AA185">
        <v>-4.8245931380776701E-2</v>
      </c>
      <c r="AB185">
        <v>-5.3628685036100097E-2</v>
      </c>
      <c r="AC185">
        <v>-3.88267748248435E-2</v>
      </c>
      <c r="AD185">
        <v>9.9028049849110792E-3</v>
      </c>
      <c r="AE185">
        <v>-5.5132782064204397E-2</v>
      </c>
      <c r="AF185">
        <v>1.1186701649805E-2</v>
      </c>
      <c r="AG185">
        <v>-2.3336742156267298E-2</v>
      </c>
      <c r="AH185">
        <v>-7.7517397533720403E-2</v>
      </c>
      <c r="AI185">
        <v>-5.50316421117448E-2</v>
      </c>
      <c r="AJ185">
        <v>-1.38285299404266E-2</v>
      </c>
      <c r="AK185">
        <v>1.14246570837309E-2</v>
      </c>
      <c r="AL185">
        <v>5.7906153023813897E-2</v>
      </c>
      <c r="AM185">
        <v>-3.3138161283167003E-2</v>
      </c>
      <c r="AN185">
        <f>+IBOV!C110</f>
        <v>8.7407296189907946E-2</v>
      </c>
      <c r="AP185" s="1">
        <f t="shared" si="9"/>
        <v>40025</v>
      </c>
      <c r="AQ185">
        <f t="shared" si="11"/>
        <v>83.223435398241719</v>
      </c>
      <c r="AR185">
        <f t="shared" si="12"/>
        <v>86.439765683682651</v>
      </c>
      <c r="AS185">
        <f t="shared" si="13"/>
        <v>86.343633995556104</v>
      </c>
      <c r="AT185">
        <f t="shared" si="14"/>
        <v>79.52793943642331</v>
      </c>
      <c r="AU185">
        <f t="shared" si="15"/>
        <v>87.667294150775547</v>
      </c>
      <c r="AV185">
        <f t="shared" si="16"/>
        <v>128.84207171958582</v>
      </c>
      <c r="AW185">
        <f t="shared" si="17"/>
        <v>121.13568411868967</v>
      </c>
      <c r="AX185">
        <f t="shared" si="18"/>
        <v>89.117255757054622</v>
      </c>
      <c r="AY185">
        <f t="shared" si="19"/>
        <v>93.9176095431081</v>
      </c>
      <c r="AZ185">
        <f t="shared" si="20"/>
        <v>107.14619093747545</v>
      </c>
      <c r="BA185">
        <f t="shared" si="21"/>
        <v>131.05944301453795</v>
      </c>
      <c r="BB185">
        <f t="shared" si="22"/>
        <v>88.983384081397233</v>
      </c>
      <c r="BC185">
        <f t="shared" si="23"/>
        <v>128.12778420656537</v>
      </c>
      <c r="BD185">
        <f t="shared" si="24"/>
        <v>460.72319410730722</v>
      </c>
    </row>
    <row r="186" spans="1:56" x14ac:dyDescent="0.25">
      <c r="A186" t="s">
        <v>7</v>
      </c>
      <c r="B186" t="s">
        <v>8</v>
      </c>
      <c r="C186" t="s">
        <v>9</v>
      </c>
      <c r="D186" t="s">
        <v>10</v>
      </c>
      <c r="E186">
        <v>5</v>
      </c>
      <c r="F186" s="1">
        <v>42855</v>
      </c>
      <c r="G186">
        <v>-2.7687940652041901E-2</v>
      </c>
      <c r="K186" s="4">
        <v>40056</v>
      </c>
      <c r="L186" s="6">
        <v>8.7452855500828302E-3</v>
      </c>
      <c r="M186" s="6">
        <v>-2.2621411361249E-2</v>
      </c>
      <c r="N186" s="6">
        <v>6.2279100311579899E-3</v>
      </c>
      <c r="O186" s="6">
        <v>-1.7648905587688401E-2</v>
      </c>
      <c r="P186" s="6">
        <v>-1.6559984467869299E-2</v>
      </c>
      <c r="Q186" s="6">
        <v>-2.10556855418596E-2</v>
      </c>
      <c r="R186" s="6">
        <v>-6.2999834057627102E-3</v>
      </c>
      <c r="S186" s="6">
        <v>-2.3705427230464399E-2</v>
      </c>
      <c r="T186" s="6">
        <v>-8.3116406477656297E-3</v>
      </c>
      <c r="U186" s="6">
        <v>3.1225261197417998E-3</v>
      </c>
      <c r="V186" s="6">
        <v>-3.1718118647165098E-3</v>
      </c>
      <c r="W186" s="6">
        <v>4.3801254801185102E-2</v>
      </c>
      <c r="X186" s="6">
        <v>1.44267346866974E-2</v>
      </c>
      <c r="Y186" s="6">
        <v>-4.3051138918510409E-2</v>
      </c>
      <c r="AA186">
        <v>8.7452855500828302E-3</v>
      </c>
      <c r="AB186">
        <v>-2.2621411361249E-2</v>
      </c>
      <c r="AC186">
        <v>6.2279100311579899E-3</v>
      </c>
      <c r="AD186">
        <v>-1.7648905587688401E-2</v>
      </c>
      <c r="AE186">
        <v>-1.6559984467869299E-2</v>
      </c>
      <c r="AF186">
        <v>-2.10556855418596E-2</v>
      </c>
      <c r="AG186">
        <v>-6.2999834057627102E-3</v>
      </c>
      <c r="AH186">
        <v>-2.3705427230464399E-2</v>
      </c>
      <c r="AI186">
        <v>-8.3116406477656297E-3</v>
      </c>
      <c r="AJ186">
        <v>3.1225261197417998E-3</v>
      </c>
      <c r="AK186">
        <v>-3.1718118647165098E-3</v>
      </c>
      <c r="AL186">
        <v>4.3801254801185102E-2</v>
      </c>
      <c r="AM186">
        <v>1.44267346866974E-2</v>
      </c>
      <c r="AN186">
        <f>+IBOV!C111</f>
        <v>1.0591796172419121E-2</v>
      </c>
      <c r="AP186" s="1">
        <f t="shared" si="9"/>
        <v>40056</v>
      </c>
      <c r="AQ186">
        <f t="shared" si="11"/>
        <v>83.951248105258216</v>
      </c>
      <c r="AR186">
        <f t="shared" si="12"/>
        <v>84.484376186182089</v>
      </c>
      <c r="AS186">
        <f t="shared" si="13"/>
        <v>86.881374379843663</v>
      </c>
      <c r="AT186">
        <f t="shared" si="14"/>
        <v>78.124358341726477</v>
      </c>
      <c r="AU186">
        <f t="shared" si="15"/>
        <v>86.215525121298569</v>
      </c>
      <c r="AV186">
        <f t="shared" si="16"/>
        <v>126.1292135728965</v>
      </c>
      <c r="AW186">
        <f t="shared" si="17"/>
        <v>120.37253131889622</v>
      </c>
      <c r="AX186">
        <f t="shared" si="18"/>
        <v>87.004693135727081</v>
      </c>
      <c r="AY186">
        <f t="shared" si="19"/>
        <v>93.137000122088622</v>
      </c>
      <c r="AZ186">
        <f t="shared" si="20"/>
        <v>107.48075771730856</v>
      </c>
      <c r="BA186">
        <f t="shared" si="21"/>
        <v>130.6437471182013</v>
      </c>
      <c r="BB186">
        <f t="shared" si="22"/>
        <v>92.880967960618221</v>
      </c>
      <c r="BC186">
        <f t="shared" si="23"/>
        <v>129.97624975530789</v>
      </c>
      <c r="BD186">
        <f t="shared" si="24"/>
        <v>465.60308027119771</v>
      </c>
    </row>
    <row r="187" spans="1:56" x14ac:dyDescent="0.25">
      <c r="A187" t="s">
        <v>7</v>
      </c>
      <c r="B187" t="s">
        <v>8</v>
      </c>
      <c r="C187" t="s">
        <v>9</v>
      </c>
      <c r="D187" t="s">
        <v>10</v>
      </c>
      <c r="E187">
        <v>5</v>
      </c>
      <c r="F187" s="1">
        <v>42886</v>
      </c>
      <c r="G187">
        <v>-4.0473957121583597E-3</v>
      </c>
      <c r="K187" s="4">
        <v>40086</v>
      </c>
      <c r="L187" s="6">
        <v>8.0200718797320502E-4</v>
      </c>
      <c r="M187" s="6">
        <v>6.3363774963225601E-3</v>
      </c>
      <c r="N187" s="6">
        <v>-2.8403383452300701E-2</v>
      </c>
      <c r="O187" s="6">
        <v>1.9157757500199501E-2</v>
      </c>
      <c r="P187" s="6">
        <v>-2.78883482906007E-2</v>
      </c>
      <c r="Q187" s="6">
        <v>2.71320435469816E-2</v>
      </c>
      <c r="R187" s="6">
        <v>1.6564952554111599E-3</v>
      </c>
      <c r="S187" s="6">
        <v>-1.4865719424806099E-2</v>
      </c>
      <c r="T187" s="6">
        <v>-1.2283227812218E-2</v>
      </c>
      <c r="U187" s="6">
        <v>2.32127795277252E-2</v>
      </c>
      <c r="V187" s="6">
        <v>-8.0248662256187202E-3</v>
      </c>
      <c r="W187" s="6">
        <v>8.4585155605182601E-3</v>
      </c>
      <c r="X187" s="6">
        <v>-3.1826335244625803E-2</v>
      </c>
      <c r="Y187" s="6">
        <v>-3.6535904375038543E-2</v>
      </c>
      <c r="AA187">
        <v>8.0200718797320502E-4</v>
      </c>
      <c r="AB187">
        <v>6.3363774963225601E-3</v>
      </c>
      <c r="AC187">
        <v>-2.8403383452300701E-2</v>
      </c>
      <c r="AD187">
        <v>1.9157757500199501E-2</v>
      </c>
      <c r="AE187">
        <v>-2.78883482906007E-2</v>
      </c>
      <c r="AF187">
        <v>2.71320435469816E-2</v>
      </c>
      <c r="AG187">
        <v>1.6564952554111599E-3</v>
      </c>
      <c r="AH187">
        <v>-1.4865719424806099E-2</v>
      </c>
      <c r="AI187">
        <v>-1.2283227812218E-2</v>
      </c>
      <c r="AJ187">
        <v>2.32127795277252E-2</v>
      </c>
      <c r="AK187">
        <v>-8.0248662256187202E-3</v>
      </c>
      <c r="AL187">
        <v>8.4585155605182601E-3</v>
      </c>
      <c r="AM187">
        <v>-3.1826335244625803E-2</v>
      </c>
      <c r="AN187">
        <f>+IBOV!C112</f>
        <v>0.161997353736409</v>
      </c>
      <c r="AP187" s="1">
        <f t="shared" ref="AP187:AP250" si="25">+K187</f>
        <v>40086</v>
      </c>
      <c r="AQ187">
        <f t="shared" si="11"/>
        <v>84.018577609677962</v>
      </c>
      <c r="AR187">
        <f t="shared" si="12"/>
        <v>85.019701086239067</v>
      </c>
      <c r="AS187">
        <f t="shared" si="13"/>
        <v>84.413649388470063</v>
      </c>
      <c r="AT187">
        <f t="shared" si="14"/>
        <v>79.621045853695961</v>
      </c>
      <c r="AU187">
        <f t="shared" si="15"/>
        <v>83.811116528658758</v>
      </c>
      <c r="AV187">
        <f t="shared" si="16"/>
        <v>129.55135688810287</v>
      </c>
      <c r="AW187">
        <f t="shared" si="17"/>
        <v>120.57192784590781</v>
      </c>
      <c r="AX187">
        <f t="shared" si="18"/>
        <v>85.711305778930011</v>
      </c>
      <c r="AY187">
        <f t="shared" si="19"/>
        <v>91.992977131842423</v>
      </c>
      <c r="AZ187">
        <f t="shared" si="20"/>
        <v>109.9756848496733</v>
      </c>
      <c r="BA187">
        <f t="shared" si="21"/>
        <v>129.59534852436417</v>
      </c>
      <c r="BB187">
        <f t="shared" si="22"/>
        <v>93.666603073389112</v>
      </c>
      <c r="BC187">
        <f t="shared" si="23"/>
        <v>125.83958205675626</v>
      </c>
      <c r="BD187">
        <f t="shared" si="24"/>
        <v>541.02954716665261</v>
      </c>
    </row>
    <row r="188" spans="1:56" x14ac:dyDescent="0.25">
      <c r="A188" t="s">
        <v>7</v>
      </c>
      <c r="B188" t="s">
        <v>8</v>
      </c>
      <c r="C188" t="s">
        <v>9</v>
      </c>
      <c r="D188" t="s">
        <v>10</v>
      </c>
      <c r="E188">
        <v>5</v>
      </c>
      <c r="F188" s="1">
        <v>42916</v>
      </c>
      <c r="G188">
        <v>-2.6015247881792401E-2</v>
      </c>
      <c r="K188" s="4">
        <v>40117</v>
      </c>
      <c r="L188" s="6">
        <v>-2.8757133803914901E-2</v>
      </c>
      <c r="M188" s="6">
        <v>-1.24152476471668E-2</v>
      </c>
      <c r="N188" s="6">
        <v>-1.8191577853849401E-2</v>
      </c>
      <c r="O188" s="6">
        <v>4.2934693296325301E-2</v>
      </c>
      <c r="P188" s="6">
        <v>1.78254305136065E-3</v>
      </c>
      <c r="Q188" s="6">
        <v>2.9925920407348301E-3</v>
      </c>
      <c r="R188" s="6">
        <v>-1.6776263679320301E-2</v>
      </c>
      <c r="S188" s="6">
        <v>-2.5360117077427402E-3</v>
      </c>
      <c r="T188" s="6">
        <v>1.3217328996791599E-2</v>
      </c>
      <c r="U188" s="6">
        <v>-2.4986637363304101E-2</v>
      </c>
      <c r="V188" s="6">
        <v>8.4883032849827501E-3</v>
      </c>
      <c r="W188" s="6">
        <v>2.9701836093237E-2</v>
      </c>
      <c r="X188" s="6">
        <v>-2.9217106284768E-2</v>
      </c>
      <c r="Y188" s="6">
        <v>-3.3762681576634118E-2</v>
      </c>
      <c r="AA188">
        <v>-2.8757133803914901E-2</v>
      </c>
      <c r="AB188">
        <v>-1.24152476471668E-2</v>
      </c>
      <c r="AC188">
        <v>-1.8191577853849401E-2</v>
      </c>
      <c r="AD188">
        <v>4.2934693296325301E-2</v>
      </c>
      <c r="AE188">
        <v>1.78254305136065E-3</v>
      </c>
      <c r="AF188">
        <v>2.9925920407348301E-3</v>
      </c>
      <c r="AG188">
        <v>-1.6776263679320301E-2</v>
      </c>
      <c r="AH188">
        <v>-2.5360117077427402E-3</v>
      </c>
      <c r="AI188">
        <v>1.3217328996791599E-2</v>
      </c>
      <c r="AJ188">
        <v>-2.4986637363304101E-2</v>
      </c>
      <c r="AK188">
        <v>8.4883032849827501E-3</v>
      </c>
      <c r="AL188">
        <v>2.9701836093237E-2</v>
      </c>
      <c r="AM188">
        <v>-2.9217106284768E-2</v>
      </c>
      <c r="AN188">
        <f>+IBOV!C113</f>
        <v>1.7593692757067236E-2</v>
      </c>
      <c r="AP188" s="1">
        <f t="shared" si="25"/>
        <v>40117</v>
      </c>
      <c r="AQ188">
        <f t="shared" ref="AQ188:AQ251" si="26">+AQ187*(1+AA188)</f>
        <v>81.602444131341841</v>
      </c>
      <c r="AR188">
        <f t="shared" ref="AR188:AR251" si="27">+AR187*(1+AB188)</f>
        <v>83.964160442365312</v>
      </c>
      <c r="AS188">
        <f t="shared" ref="AS188:AS251" si="28">+AS187*(1+AC188)</f>
        <v>82.878031913692169</v>
      </c>
      <c r="AT188">
        <f t="shared" ref="AT188:AT251" si="29">+AT187*(1+AD188)</f>
        <v>83.039551037357043</v>
      </c>
      <c r="AU188">
        <f t="shared" ref="AU188:AU251" si="30">+AU187*(1+AE188)</f>
        <v>83.960513452053704</v>
      </c>
      <c r="AV188">
        <f t="shared" ref="AV188:AV251" si="31">+AV187*(1+AF188)</f>
        <v>129.9390512475926</v>
      </c>
      <c r="AW188">
        <f t="shared" ref="AW188:AW251" si="32">+AW187*(1+AG188)</f>
        <v>118.54918139204088</v>
      </c>
      <c r="AX188">
        <f t="shared" ref="AX188:AX251" si="33">+AX187*(1+AH188)</f>
        <v>85.493940903988729</v>
      </c>
      <c r="AY188">
        <f t="shared" ref="AY188:AY251" si="34">+AY187*(1+AI188)</f>
        <v>93.208878575988308</v>
      </c>
      <c r="AZ188">
        <f t="shared" ref="AZ188:AZ251" si="35">+AZ187*(1+AJ188)</f>
        <v>107.2277622935535</v>
      </c>
      <c r="BA188">
        <f t="shared" ref="BA188:BA251" si="36">+BA187*(1+AK188)</f>
        <v>130.695393146962</v>
      </c>
      <c r="BB188">
        <f t="shared" ref="BB188:BB251" si="37">+BB187*(1+AL188)</f>
        <v>96.448673165285214</v>
      </c>
      <c r="BC188">
        <f t="shared" ref="BC188:BC251" si="38">+BC187*(1+AM188)</f>
        <v>122.16291361297323</v>
      </c>
      <c r="BD188">
        <f t="shared" ref="BD188:BD251" si="39">+BD187*(1+AN188)</f>
        <v>550.54825479199792</v>
      </c>
    </row>
    <row r="189" spans="1:56" x14ac:dyDescent="0.25">
      <c r="A189" t="s">
        <v>7</v>
      </c>
      <c r="B189" t="s">
        <v>8</v>
      </c>
      <c r="C189" t="s">
        <v>9</v>
      </c>
      <c r="D189" t="s">
        <v>10</v>
      </c>
      <c r="E189">
        <v>5</v>
      </c>
      <c r="F189" s="1">
        <v>42947</v>
      </c>
      <c r="G189">
        <v>6.6900546555223699E-3</v>
      </c>
      <c r="K189" s="4">
        <v>40147</v>
      </c>
      <c r="L189" s="6">
        <v>-4.9094137502051702E-3</v>
      </c>
      <c r="M189" s="6">
        <v>-3.1346828157982502E-2</v>
      </c>
      <c r="N189" s="6">
        <v>-3.4277946679263302E-2</v>
      </c>
      <c r="O189" s="6">
        <v>-5.1520423973458202E-4</v>
      </c>
      <c r="P189" s="6">
        <v>-2.91799424945107E-2</v>
      </c>
      <c r="Q189" s="6">
        <v>3.6398213081545998E-2</v>
      </c>
      <c r="R189" s="6">
        <v>-4.1493495168642199E-3</v>
      </c>
      <c r="S189" s="6">
        <v>-3.8606868048757598E-2</v>
      </c>
      <c r="T189" s="6">
        <v>-2.46373942303343E-2</v>
      </c>
      <c r="U189" s="6">
        <v>-1.19036237880378E-2</v>
      </c>
      <c r="V189" s="6">
        <v>-1.6654974628109099E-2</v>
      </c>
      <c r="W189" s="6">
        <v>9.8422690082068196E-3</v>
      </c>
      <c r="X189" s="6">
        <v>-2.2777007417174401E-2</v>
      </c>
      <c r="Y189" s="6">
        <v>-0.17271807086122085</v>
      </c>
      <c r="AA189">
        <v>-4.9094137502051702E-3</v>
      </c>
      <c r="AB189">
        <v>-3.1346828157982502E-2</v>
      </c>
      <c r="AC189">
        <v>-3.4277946679263302E-2</v>
      </c>
      <c r="AD189">
        <v>-5.1520423973458202E-4</v>
      </c>
      <c r="AE189">
        <v>-2.91799424945107E-2</v>
      </c>
      <c r="AF189">
        <v>3.6398213081545998E-2</v>
      </c>
      <c r="AG189">
        <v>-4.1493495168642199E-3</v>
      </c>
      <c r="AH189">
        <v>-3.8606868048757598E-2</v>
      </c>
      <c r="AI189">
        <v>-2.46373942303343E-2</v>
      </c>
      <c r="AJ189">
        <v>-1.19036237880378E-2</v>
      </c>
      <c r="AK189">
        <v>-1.6654974628109099E-2</v>
      </c>
      <c r="AL189">
        <v>9.8422690082068196E-3</v>
      </c>
      <c r="AM189">
        <v>-2.2777007417174401E-2</v>
      </c>
      <c r="AN189">
        <f>+IBOV!C114</f>
        <v>0.11099826679234948</v>
      </c>
      <c r="AP189" s="1">
        <f t="shared" si="25"/>
        <v>40147</v>
      </c>
      <c r="AQ189">
        <f t="shared" si="26"/>
        <v>81.201823970073079</v>
      </c>
      <c r="AR189">
        <f t="shared" si="27"/>
        <v>81.332150333549208</v>
      </c>
      <c r="AS189">
        <f t="shared" si="28"/>
        <v>80.037143154872339</v>
      </c>
      <c r="AT189">
        <f t="shared" si="29"/>
        <v>82.996768708596932</v>
      </c>
      <c r="AU189">
        <f t="shared" si="30"/>
        <v>81.510550497713183</v>
      </c>
      <c r="AV189">
        <f t="shared" si="31"/>
        <v>134.66860052251639</v>
      </c>
      <c r="AW189">
        <f t="shared" si="32"/>
        <v>118.05727940350717</v>
      </c>
      <c r="AX189">
        <f t="shared" si="33"/>
        <v>82.19328760854016</v>
      </c>
      <c r="AY189">
        <f t="shared" si="34"/>
        <v>90.912454688744319</v>
      </c>
      <c r="AZ189">
        <f t="shared" si="35"/>
        <v>105.9513633515779</v>
      </c>
      <c r="BA189">
        <f t="shared" si="36"/>
        <v>128.51866469008863</v>
      </c>
      <c r="BB189">
        <f t="shared" si="37"/>
        <v>97.397946952062554</v>
      </c>
      <c r="BC189">
        <f t="shared" si="38"/>
        <v>119.3804080235069</v>
      </c>
      <c r="BD189">
        <f t="shared" si="39"/>
        <v>611.65815685946245</v>
      </c>
    </row>
    <row r="190" spans="1:56" x14ac:dyDescent="0.25">
      <c r="A190" t="s">
        <v>7</v>
      </c>
      <c r="B190" t="s">
        <v>8</v>
      </c>
      <c r="C190" t="s">
        <v>9</v>
      </c>
      <c r="D190" t="s">
        <v>10</v>
      </c>
      <c r="E190">
        <v>5</v>
      </c>
      <c r="F190" s="1">
        <v>42978</v>
      </c>
      <c r="G190">
        <v>-1.1322644931419899E-2</v>
      </c>
      <c r="K190" s="4">
        <v>40178</v>
      </c>
      <c r="L190" s="6">
        <v>7.0382213317914796E-3</v>
      </c>
      <c r="M190" s="6">
        <v>-3.72391371264843E-3</v>
      </c>
      <c r="N190" s="6">
        <v>-2.3342031643933101E-3</v>
      </c>
      <c r="O190" s="6">
        <v>-1.6285674386883602E-2</v>
      </c>
      <c r="P190" s="6">
        <v>3.8866064118714201E-3</v>
      </c>
      <c r="Q190" s="6">
        <v>-1.3545420073594799E-2</v>
      </c>
      <c r="R190" s="6">
        <v>3.3060031956834699E-3</v>
      </c>
      <c r="S190" s="6">
        <v>-1.9183953607241601E-2</v>
      </c>
      <c r="T190" s="6">
        <v>-2.98690685653271E-2</v>
      </c>
      <c r="U190" s="6">
        <v>1.23418263914908E-2</v>
      </c>
      <c r="V190" s="6">
        <v>1.3609423647155099E-2</v>
      </c>
      <c r="W190" s="6">
        <v>1.7388546571160499E-2</v>
      </c>
      <c r="X190" s="6">
        <v>1.27667850068809E-2</v>
      </c>
      <c r="Y190" s="6">
        <v>-1.4604820954055174E-2</v>
      </c>
      <c r="AA190">
        <v>7.0382213317914796E-3</v>
      </c>
      <c r="AB190">
        <v>-3.72391371264843E-3</v>
      </c>
      <c r="AC190">
        <v>-2.3342031643933101E-3</v>
      </c>
      <c r="AD190">
        <v>-1.6285674386883602E-2</v>
      </c>
      <c r="AE190">
        <v>3.8866064118714201E-3</v>
      </c>
      <c r="AF190">
        <v>-1.3545420073594799E-2</v>
      </c>
      <c r="AG190">
        <v>3.3060031956834699E-3</v>
      </c>
      <c r="AH190">
        <v>-1.9183953607241601E-2</v>
      </c>
      <c r="AI190">
        <v>-2.98690685653271E-2</v>
      </c>
      <c r="AJ190">
        <v>1.23418263914908E-2</v>
      </c>
      <c r="AK190">
        <v>1.3609423647155099E-2</v>
      </c>
      <c r="AL190">
        <v>1.7388546571160499E-2</v>
      </c>
      <c r="AM190">
        <v>1.27667850068809E-2</v>
      </c>
      <c r="AN190">
        <f>+IBOV!C115</f>
        <v>7.2993699606431761E-3</v>
      </c>
      <c r="AP190" s="1">
        <f t="shared" si="25"/>
        <v>40178</v>
      </c>
      <c r="AQ190">
        <f t="shared" si="26"/>
        <v>81.773340379719627</v>
      </c>
      <c r="AR190">
        <f t="shared" si="27"/>
        <v>81.029276423642912</v>
      </c>
      <c r="AS190">
        <f t="shared" si="28"/>
        <v>79.850320202051236</v>
      </c>
      <c r="AT190">
        <f t="shared" si="29"/>
        <v>81.645110358245233</v>
      </c>
      <c r="AU190">
        <f t="shared" si="30"/>
        <v>81.82734992591277</v>
      </c>
      <c r="AV190">
        <f t="shared" si="31"/>
        <v>132.84445775771576</v>
      </c>
      <c r="AW190">
        <f t="shared" si="32"/>
        <v>118.44757714648887</v>
      </c>
      <c r="AX190">
        <f t="shared" si="33"/>
        <v>80.616495392231258</v>
      </c>
      <c r="AY190">
        <f t="shared" si="34"/>
        <v>88.196984346204019</v>
      </c>
      <c r="AZ190">
        <f t="shared" si="35"/>
        <v>107.25899668400483</v>
      </c>
      <c r="BA190">
        <f t="shared" si="36"/>
        <v>130.26772964442273</v>
      </c>
      <c r="BB190">
        <f t="shared" si="37"/>
        <v>99.091555688573919</v>
      </c>
      <c r="BC190">
        <f t="shared" si="38"/>
        <v>120.90451202677673</v>
      </c>
      <c r="BD190">
        <f t="shared" si="39"/>
        <v>616.12287603582479</v>
      </c>
    </row>
    <row r="191" spans="1:56" x14ac:dyDescent="0.25">
      <c r="A191" t="s">
        <v>7</v>
      </c>
      <c r="B191" t="s">
        <v>8</v>
      </c>
      <c r="C191" t="s">
        <v>9</v>
      </c>
      <c r="D191" t="s">
        <v>10</v>
      </c>
      <c r="E191">
        <v>5</v>
      </c>
      <c r="F191" s="1">
        <v>43008</v>
      </c>
      <c r="G191">
        <v>-1.95906226356093E-2</v>
      </c>
      <c r="K191" s="4">
        <v>40209</v>
      </c>
      <c r="L191" s="6">
        <v>0.162340727568207</v>
      </c>
      <c r="M191" s="6">
        <v>0.106357246354101</v>
      </c>
      <c r="N191" s="6">
        <v>0.15032837724817999</v>
      </c>
      <c r="O191" s="6">
        <v>0.121449035412961</v>
      </c>
      <c r="P191" s="6">
        <v>2.6785675084432501E-2</v>
      </c>
      <c r="Q191" s="6">
        <v>1.15357535013727E-2</v>
      </c>
      <c r="R191" s="6">
        <v>-4.0891689012362798E-3</v>
      </c>
      <c r="S191" s="6">
        <v>-8.5570100629319704E-2</v>
      </c>
      <c r="T191" s="6">
        <v>-8.8026430950104498E-3</v>
      </c>
      <c r="U191" s="6">
        <v>1.2215726961007501E-2</v>
      </c>
      <c r="V191" s="6">
        <v>-5.3516071390169902E-2</v>
      </c>
      <c r="W191" s="6">
        <v>0.20090898174156799</v>
      </c>
      <c r="X191" s="6">
        <v>-2.49031237419278E-2</v>
      </c>
      <c r="Y191" s="6">
        <v>0.6150404161141656</v>
      </c>
      <c r="AA191">
        <v>0.162340727568207</v>
      </c>
      <c r="AB191">
        <v>0.106357246354101</v>
      </c>
      <c r="AC191">
        <v>0.15032837724817999</v>
      </c>
      <c r="AD191">
        <v>0.121449035412961</v>
      </c>
      <c r="AE191">
        <v>2.6785675084432501E-2</v>
      </c>
      <c r="AF191">
        <v>1.15357535013727E-2</v>
      </c>
      <c r="AG191">
        <v>-4.0891689012362798E-3</v>
      </c>
      <c r="AH191">
        <v>-8.5570100629319704E-2</v>
      </c>
      <c r="AI191">
        <v>-8.8026430950104498E-3</v>
      </c>
      <c r="AJ191">
        <v>1.2215726961007501E-2</v>
      </c>
      <c r="AK191">
        <v>-5.3516071390169902E-2</v>
      </c>
      <c r="AL191">
        <v>0.20090898174156799</v>
      </c>
      <c r="AM191">
        <v>-2.49031237419278E-2</v>
      </c>
      <c r="AN191">
        <f>+IBOV!C116</f>
        <v>-0.13295801283009234</v>
      </c>
      <c r="AP191" s="1">
        <f t="shared" si="25"/>
        <v>40209</v>
      </c>
      <c r="AQ191">
        <f t="shared" si="26"/>
        <v>95.048483952645952</v>
      </c>
      <c r="AR191">
        <f t="shared" si="27"/>
        <v>89.64732713812684</v>
      </c>
      <c r="AS191">
        <f t="shared" si="28"/>
        <v>91.854089260773165</v>
      </c>
      <c r="AT191">
        <f t="shared" si="29"/>
        <v>91.560830257438866</v>
      </c>
      <c r="AU191">
        <f t="shared" si="30"/>
        <v>84.019150734048424</v>
      </c>
      <c r="AV191">
        <f t="shared" si="31"/>
        <v>134.3769186764323</v>
      </c>
      <c r="AW191">
        <f t="shared" si="32"/>
        <v>117.96322499759466</v>
      </c>
      <c r="AX191">
        <f t="shared" si="33"/>
        <v>73.718133769134937</v>
      </c>
      <c r="AY191">
        <f t="shared" si="34"/>
        <v>87.420617770948155</v>
      </c>
      <c r="AZ191">
        <f t="shared" si="35"/>
        <v>108.56924330160824</v>
      </c>
      <c r="BA191">
        <f t="shared" si="36"/>
        <v>123.29631252493645</v>
      </c>
      <c r="BB191">
        <f t="shared" si="37"/>
        <v>118.99993924115317</v>
      </c>
      <c r="BC191">
        <f t="shared" si="38"/>
        <v>117.89361200281651</v>
      </c>
      <c r="BD191">
        <f t="shared" si="39"/>
        <v>534.20440277894022</v>
      </c>
    </row>
    <row r="192" spans="1:56" x14ac:dyDescent="0.25">
      <c r="A192" t="s">
        <v>7</v>
      </c>
      <c r="B192" t="s">
        <v>8</v>
      </c>
      <c r="C192" t="s">
        <v>9</v>
      </c>
      <c r="D192" t="s">
        <v>10</v>
      </c>
      <c r="E192">
        <v>5</v>
      </c>
      <c r="F192" s="1">
        <v>43039</v>
      </c>
      <c r="G192">
        <v>4.3027830419540801E-2</v>
      </c>
      <c r="K192" s="4">
        <v>40237</v>
      </c>
      <c r="L192" s="6">
        <v>-2.39260578257048E-2</v>
      </c>
      <c r="M192" s="6">
        <v>-4.6617915043996897E-3</v>
      </c>
      <c r="N192" s="6">
        <v>-9.2653470820114395E-3</v>
      </c>
      <c r="O192" s="6">
        <v>-1.8646122295806901E-2</v>
      </c>
      <c r="P192" s="6">
        <v>3.0482374952796299E-3</v>
      </c>
      <c r="Q192" s="6">
        <v>-7.3241959433168E-4</v>
      </c>
      <c r="R192" s="6">
        <v>-1.40081686062358E-3</v>
      </c>
      <c r="S192" s="6">
        <v>1.18209312452428E-2</v>
      </c>
      <c r="T192" s="6">
        <v>-6.4847411991957897E-3</v>
      </c>
      <c r="U192" s="6">
        <v>-6.9848658514494299E-3</v>
      </c>
      <c r="V192" s="6">
        <v>2.3264120140213399E-2</v>
      </c>
      <c r="W192" s="6">
        <v>-1.6513453907434E-2</v>
      </c>
      <c r="X192" s="6">
        <v>-3.7061671239224199E-3</v>
      </c>
      <c r="Y192" s="6">
        <v>-5.4188494364143892E-2</v>
      </c>
      <c r="AA192">
        <v>-2.39260578257048E-2</v>
      </c>
      <c r="AB192">
        <v>-4.6617915043996897E-3</v>
      </c>
      <c r="AC192">
        <v>-9.2653470820114395E-3</v>
      </c>
      <c r="AD192">
        <v>-1.8646122295806901E-2</v>
      </c>
      <c r="AE192">
        <v>3.0482374952796299E-3</v>
      </c>
      <c r="AF192">
        <v>-7.3241959433168E-4</v>
      </c>
      <c r="AG192">
        <v>-1.40081686062358E-3</v>
      </c>
      <c r="AH192">
        <v>1.18209312452428E-2</v>
      </c>
      <c r="AI192">
        <v>-6.4847411991957897E-3</v>
      </c>
      <c r="AJ192">
        <v>-6.9848658514494299E-3</v>
      </c>
      <c r="AK192">
        <v>2.3264120140213399E-2</v>
      </c>
      <c r="AL192">
        <v>-1.6513453907434E-2</v>
      </c>
      <c r="AM192">
        <v>-3.7061671239224199E-3</v>
      </c>
      <c r="AN192">
        <f>+IBOV!C117</f>
        <v>5.6886874935366594E-2</v>
      </c>
      <c r="AP192" s="1">
        <f t="shared" si="25"/>
        <v>40237</v>
      </c>
      <c r="AQ192">
        <f t="shared" si="26"/>
        <v>92.774348429349374</v>
      </c>
      <c r="AR192">
        <f t="shared" si="27"/>
        <v>89.229409990082175</v>
      </c>
      <c r="AS192">
        <f t="shared" si="28"/>
        <v>91.003029242870042</v>
      </c>
      <c r="AT192">
        <f t="shared" si="29"/>
        <v>89.853575818953047</v>
      </c>
      <c r="AU192">
        <f t="shared" si="30"/>
        <v>84.275261059637501</v>
      </c>
      <c r="AV192">
        <f t="shared" si="31"/>
        <v>134.27849838816778</v>
      </c>
      <c r="AW192">
        <f t="shared" si="32"/>
        <v>117.7979801230845</v>
      </c>
      <c r="AX192">
        <f t="shared" si="33"/>
        <v>74.5895507599475</v>
      </c>
      <c r="AY192">
        <f t="shared" si="34"/>
        <v>86.85371768922974</v>
      </c>
      <c r="AZ192">
        <f t="shared" si="35"/>
        <v>107.81090170155314</v>
      </c>
      <c r="BA192">
        <f t="shared" si="36"/>
        <v>126.16469275236189</v>
      </c>
      <c r="BB192">
        <f t="shared" si="37"/>
        <v>117.03483922950694</v>
      </c>
      <c r="BC192">
        <f t="shared" si="38"/>
        <v>117.4566785738912</v>
      </c>
      <c r="BD192">
        <f t="shared" si="39"/>
        <v>564.59362182974803</v>
      </c>
    </row>
    <row r="193" spans="1:56" x14ac:dyDescent="0.25">
      <c r="A193" t="s">
        <v>7</v>
      </c>
      <c r="B193" t="s">
        <v>8</v>
      </c>
      <c r="C193" t="s">
        <v>9</v>
      </c>
      <c r="D193" t="s">
        <v>10</v>
      </c>
      <c r="E193">
        <v>5</v>
      </c>
      <c r="F193" s="1">
        <v>43069</v>
      </c>
      <c r="G193">
        <v>-5.9613958391672703E-2</v>
      </c>
      <c r="K193" s="4">
        <v>40268</v>
      </c>
      <c r="L193" s="6">
        <v>-3.59255630324299E-2</v>
      </c>
      <c r="M193" s="6">
        <v>5.6578459729271197E-2</v>
      </c>
      <c r="N193" s="6">
        <v>3.2200647939320898E-2</v>
      </c>
      <c r="O193" s="6">
        <v>2.0533971589153802E-3</v>
      </c>
      <c r="P193" s="6">
        <v>1.1321452902039101E-2</v>
      </c>
      <c r="Q193" s="6">
        <v>-3.7914264439121402E-2</v>
      </c>
      <c r="R193" s="6">
        <v>2.61167283694863E-3</v>
      </c>
      <c r="S193" s="6">
        <v>5.8429181632609802E-2</v>
      </c>
      <c r="T193" s="6">
        <v>2.9488157743927702E-2</v>
      </c>
      <c r="U193" s="6">
        <v>1.18910524000026E-2</v>
      </c>
      <c r="V193" s="6">
        <v>7.12777723871281E-3</v>
      </c>
      <c r="W193" s="6">
        <v>-4.4705910878033703E-2</v>
      </c>
      <c r="X193" s="6">
        <v>3.17623620562522E-2</v>
      </c>
      <c r="Y193" s="6">
        <v>0.12491842328841532</v>
      </c>
      <c r="AA193">
        <v>-3.59255630324299E-2</v>
      </c>
      <c r="AB193">
        <v>5.6578459729271197E-2</v>
      </c>
      <c r="AC193">
        <v>3.2200647939320898E-2</v>
      </c>
      <c r="AD193">
        <v>2.0533971589153802E-3</v>
      </c>
      <c r="AE193">
        <v>1.1321452902039101E-2</v>
      </c>
      <c r="AF193">
        <v>-3.7914264439121402E-2</v>
      </c>
      <c r="AG193">
        <v>2.61167283694863E-3</v>
      </c>
      <c r="AH193">
        <v>5.8429181632609802E-2</v>
      </c>
      <c r="AI193">
        <v>2.9488157743927702E-2</v>
      </c>
      <c r="AJ193">
        <v>1.18910524000026E-2</v>
      </c>
      <c r="AK193">
        <v>7.12777723871281E-3</v>
      </c>
      <c r="AL193">
        <v>-4.4705910878033703E-2</v>
      </c>
      <c r="AM193">
        <v>3.17623620562522E-2</v>
      </c>
      <c r="AN193">
        <f>+IBOV!C118</f>
        <v>7.707999762794282E-2</v>
      </c>
      <c r="AP193" s="1">
        <f t="shared" si="25"/>
        <v>40268</v>
      </c>
      <c r="AQ193">
        <f t="shared" si="26"/>
        <v>89.441377727058168</v>
      </c>
      <c r="AR193">
        <f t="shared" si="27"/>
        <v>94.277872569872656</v>
      </c>
      <c r="AS193">
        <f t="shared" si="28"/>
        <v>93.933385748931428</v>
      </c>
      <c r="AT193">
        <f t="shared" si="29"/>
        <v>90.03808089625808</v>
      </c>
      <c r="AU193">
        <f t="shared" si="30"/>
        <v>85.229379458531241</v>
      </c>
      <c r="AV193">
        <f t="shared" si="31"/>
        <v>129.18742789179066</v>
      </c>
      <c r="AW193">
        <f t="shared" si="32"/>
        <v>118.10562990801937</v>
      </c>
      <c r="AX193">
        <f t="shared" si="33"/>
        <v>78.947757169195242</v>
      </c>
      <c r="AY193">
        <f t="shared" si="34"/>
        <v>89.414873817096307</v>
      </c>
      <c r="AZ193">
        <f t="shared" si="35"/>
        <v>109.09288678297784</v>
      </c>
      <c r="BA193">
        <f t="shared" si="36"/>
        <v>127.06396657769137</v>
      </c>
      <c r="BB193">
        <f t="shared" si="37"/>
        <v>111.80269013728761</v>
      </c>
      <c r="BC193">
        <f t="shared" si="38"/>
        <v>121.18738012467996</v>
      </c>
      <c r="BD193">
        <f t="shared" si="39"/>
        <v>608.11249686113661</v>
      </c>
    </row>
    <row r="194" spans="1:56" x14ac:dyDescent="0.25">
      <c r="A194" t="s">
        <v>7</v>
      </c>
      <c r="B194" t="s">
        <v>8</v>
      </c>
      <c r="C194" t="s">
        <v>9</v>
      </c>
      <c r="D194" t="s">
        <v>10</v>
      </c>
      <c r="E194">
        <v>5</v>
      </c>
      <c r="F194" s="1">
        <v>43100</v>
      </c>
      <c r="G194">
        <v>-2.1228560556889101E-2</v>
      </c>
      <c r="K194" s="4">
        <v>40298</v>
      </c>
      <c r="L194" s="6">
        <v>4.9748142683456202E-3</v>
      </c>
      <c r="M194" s="6">
        <v>-1.48140631901341E-2</v>
      </c>
      <c r="N194" s="6">
        <v>-8.1256517337591795E-3</v>
      </c>
      <c r="O194" s="6">
        <v>9.0459118992111502E-3</v>
      </c>
      <c r="P194" s="6">
        <v>2.85238020729837E-2</v>
      </c>
      <c r="Q194" s="6">
        <v>-8.8561966471818795E-3</v>
      </c>
      <c r="R194" s="6">
        <v>-9.1513357752902903E-3</v>
      </c>
      <c r="S194" s="6">
        <v>1.5900164527193499E-2</v>
      </c>
      <c r="T194" s="6">
        <v>3.17957789244964E-2</v>
      </c>
      <c r="U194" s="6">
        <v>9.4747340716661004E-3</v>
      </c>
      <c r="V194" s="6">
        <v>2.5313823549580401E-2</v>
      </c>
      <c r="W194" s="6">
        <v>-1.6558516295118501E-2</v>
      </c>
      <c r="X194" s="6">
        <v>-4.1254880347904796E-3</v>
      </c>
      <c r="Y194" s="6">
        <v>6.3397777637202418E-2</v>
      </c>
      <c r="AA194">
        <v>4.9748142683456202E-3</v>
      </c>
      <c r="AB194">
        <v>-1.48140631901341E-2</v>
      </c>
      <c r="AC194">
        <v>-8.1256517337591795E-3</v>
      </c>
      <c r="AD194">
        <v>9.0459118992111502E-3</v>
      </c>
      <c r="AE194">
        <v>2.85238020729837E-2</v>
      </c>
      <c r="AF194">
        <v>-8.8561966471818795E-3</v>
      </c>
      <c r="AG194">
        <v>-9.1513357752902903E-3</v>
      </c>
      <c r="AH194">
        <v>1.5900164527193499E-2</v>
      </c>
      <c r="AI194">
        <v>3.17957789244964E-2</v>
      </c>
      <c r="AJ194">
        <v>9.4747340716661004E-3</v>
      </c>
      <c r="AK194">
        <v>2.5313823549580401E-2</v>
      </c>
      <c r="AL194">
        <v>-1.6558516295118501E-2</v>
      </c>
      <c r="AM194">
        <v>-4.1254880347904796E-3</v>
      </c>
      <c r="AN194">
        <f>+IBOV!C119</f>
        <v>-1.8774638271632171E-2</v>
      </c>
      <c r="AP194" s="1">
        <f t="shared" si="25"/>
        <v>40298</v>
      </c>
      <c r="AQ194">
        <f t="shared" si="26"/>
        <v>89.886331969155236</v>
      </c>
      <c r="AR194">
        <f t="shared" si="27"/>
        <v>92.881234208191145</v>
      </c>
      <c r="AS194">
        <f t="shared" si="28"/>
        <v>93.170115770162752</v>
      </c>
      <c r="AT194">
        <f t="shared" si="29"/>
        <v>90.852557443619688</v>
      </c>
      <c r="AU194">
        <f t="shared" si="30"/>
        <v>87.660445409009611</v>
      </c>
      <c r="AV194">
        <f t="shared" si="31"/>
        <v>128.04331862603735</v>
      </c>
      <c r="AW194">
        <f t="shared" si="32"/>
        <v>117.02480563177892</v>
      </c>
      <c r="AX194">
        <f t="shared" si="33"/>
        <v>80.203039497238365</v>
      </c>
      <c r="AY194">
        <f t="shared" si="34"/>
        <v>92.257889377546448</v>
      </c>
      <c r="AZ194">
        <f t="shared" si="35"/>
        <v>110.12651287435693</v>
      </c>
      <c r="BA194">
        <f t="shared" si="36"/>
        <v>130.28044140714883</v>
      </c>
      <c r="BB194">
        <f t="shared" si="37"/>
        <v>109.95140347081124</v>
      </c>
      <c r="BC194">
        <f t="shared" si="38"/>
        <v>120.68742303800798</v>
      </c>
      <c r="BD194">
        <f t="shared" si="39"/>
        <v>596.69540470410971</v>
      </c>
    </row>
    <row r="195" spans="1:56" x14ac:dyDescent="0.25">
      <c r="A195" t="s">
        <v>7</v>
      </c>
      <c r="B195" t="s">
        <v>8</v>
      </c>
      <c r="C195" t="s">
        <v>9</v>
      </c>
      <c r="D195" t="s">
        <v>10</v>
      </c>
      <c r="E195">
        <v>5</v>
      </c>
      <c r="F195" s="1">
        <v>43131</v>
      </c>
      <c r="G195">
        <v>6.1207383829752502E-3</v>
      </c>
      <c r="K195" s="4">
        <v>40329</v>
      </c>
      <c r="L195" s="6">
        <v>-5.6376810208298199E-3</v>
      </c>
      <c r="M195" s="6">
        <v>9.0988331973890901E-3</v>
      </c>
      <c r="N195" s="6">
        <v>-1.35465036336062E-2</v>
      </c>
      <c r="O195" s="6">
        <v>7.73870566421162E-3</v>
      </c>
      <c r="P195" s="6">
        <v>2.1192626743009601E-2</v>
      </c>
      <c r="Q195" s="6">
        <v>1.2994860166084001E-3</v>
      </c>
      <c r="R195" s="6">
        <v>3.34383661349767E-3</v>
      </c>
      <c r="S195" s="6">
        <v>1.4176172570810301E-2</v>
      </c>
      <c r="T195" s="6">
        <v>3.1197069127549298E-2</v>
      </c>
      <c r="U195" s="6">
        <v>-3.9623977950504104E-3</v>
      </c>
      <c r="V195" s="6">
        <v>-1.39795574972466E-2</v>
      </c>
      <c r="W195" s="6">
        <v>-1.09401396713967E-3</v>
      </c>
      <c r="X195" s="6">
        <v>-1.10789910444264E-2</v>
      </c>
      <c r="Y195" s="6">
        <v>3.8747584974776886E-2</v>
      </c>
      <c r="AA195">
        <v>-5.6376810208298199E-3</v>
      </c>
      <c r="AB195">
        <v>9.0988331973890901E-3</v>
      </c>
      <c r="AC195">
        <v>-1.35465036336062E-2</v>
      </c>
      <c r="AD195">
        <v>7.73870566421162E-3</v>
      </c>
      <c r="AE195">
        <v>2.1192626743009601E-2</v>
      </c>
      <c r="AF195">
        <v>1.2994860166084001E-3</v>
      </c>
      <c r="AG195">
        <v>3.34383661349767E-3</v>
      </c>
      <c r="AH195">
        <v>1.4176172570810301E-2</v>
      </c>
      <c r="AI195">
        <v>3.1197069127549298E-2</v>
      </c>
      <c r="AJ195">
        <v>-3.9623977950504104E-3</v>
      </c>
      <c r="AK195">
        <v>-1.39795574972466E-2</v>
      </c>
      <c r="AL195">
        <v>-1.09401396713967E-3</v>
      </c>
      <c r="AM195">
        <v>-1.10789910444264E-2</v>
      </c>
      <c r="AN195">
        <f>+IBOV!C120</f>
        <v>-0.12092212907787092</v>
      </c>
      <c r="AP195" s="1">
        <f t="shared" si="25"/>
        <v>40329</v>
      </c>
      <c r="AQ195">
        <f t="shared" si="26"/>
        <v>89.379581501380713</v>
      </c>
      <c r="AR195">
        <f t="shared" si="27"/>
        <v>93.72634506541911</v>
      </c>
      <c r="AS195">
        <f t="shared" si="28"/>
        <v>91.907986458338726</v>
      </c>
      <c r="AT195">
        <f t="shared" si="29"/>
        <v>91.555638644516733</v>
      </c>
      <c r="AU195">
        <f t="shared" si="30"/>
        <v>89.518200508688722</v>
      </c>
      <c r="AV195">
        <f t="shared" si="31"/>
        <v>128.20970912811202</v>
      </c>
      <c r="AW195">
        <f t="shared" si="32"/>
        <v>117.41611746153791</v>
      </c>
      <c r="AX195">
        <f t="shared" si="33"/>
        <v>81.340011625854729</v>
      </c>
      <c r="AY195">
        <f t="shared" si="34"/>
        <v>95.136065130019574</v>
      </c>
      <c r="AZ195">
        <f t="shared" si="35"/>
        <v>109.690147822567</v>
      </c>
      <c r="BA195">
        <f t="shared" si="36"/>
        <v>128.45917848573092</v>
      </c>
      <c r="BB195">
        <f t="shared" si="37"/>
        <v>109.83111509970756</v>
      </c>
      <c r="BC195">
        <f t="shared" si="38"/>
        <v>119.35032815899498</v>
      </c>
      <c r="BD195">
        <f t="shared" si="39"/>
        <v>524.54172595630689</v>
      </c>
    </row>
    <row r="196" spans="1:56" x14ac:dyDescent="0.25">
      <c r="A196" t="s">
        <v>7</v>
      </c>
      <c r="B196" t="s">
        <v>8</v>
      </c>
      <c r="C196" t="s">
        <v>9</v>
      </c>
      <c r="D196" t="s">
        <v>10</v>
      </c>
      <c r="E196">
        <v>5</v>
      </c>
      <c r="F196" s="1">
        <v>43159</v>
      </c>
      <c r="G196">
        <v>3.7888018479929203E-2</v>
      </c>
      <c r="K196" s="4">
        <v>40359</v>
      </c>
      <c r="L196" s="6">
        <v>1.12424416584463E-2</v>
      </c>
      <c r="M196" s="6">
        <v>9.2266113541265397E-3</v>
      </c>
      <c r="N196" s="6">
        <v>-3.7230930164288299E-3</v>
      </c>
      <c r="O196" s="6">
        <v>-4.19114387285565E-4</v>
      </c>
      <c r="P196" s="6">
        <v>2.834032602159E-2</v>
      </c>
      <c r="Q196" s="6">
        <v>2.0957764237656301E-2</v>
      </c>
      <c r="R196" s="6">
        <v>-1.1774201836681399E-3</v>
      </c>
      <c r="S196" s="6">
        <v>1.8042180006023902E-2</v>
      </c>
      <c r="T196" s="6">
        <v>4.6196395500782597E-2</v>
      </c>
      <c r="U196" s="6">
        <v>1.0524674238026501E-2</v>
      </c>
      <c r="V196" s="6">
        <v>-1.0743779218918E-2</v>
      </c>
      <c r="W196" s="6">
        <v>1.8892306797348199E-2</v>
      </c>
      <c r="X196" s="6">
        <v>-6.9775453803313497E-3</v>
      </c>
      <c r="Y196" s="6">
        <v>0.14038174762736849</v>
      </c>
      <c r="AA196">
        <v>1.12424416584463E-2</v>
      </c>
      <c r="AB196">
        <v>9.2266113541265397E-3</v>
      </c>
      <c r="AC196">
        <v>-3.7230930164288299E-3</v>
      </c>
      <c r="AD196">
        <v>-4.19114387285565E-4</v>
      </c>
      <c r="AE196">
        <v>2.834032602159E-2</v>
      </c>
      <c r="AF196">
        <v>2.0957764237656301E-2</v>
      </c>
      <c r="AG196">
        <v>-1.1774201836681399E-3</v>
      </c>
      <c r="AH196">
        <v>1.8042180006023902E-2</v>
      </c>
      <c r="AI196">
        <v>4.6196395500782597E-2</v>
      </c>
      <c r="AJ196">
        <v>1.0524674238026501E-2</v>
      </c>
      <c r="AK196">
        <v>-1.0743779218918E-2</v>
      </c>
      <c r="AL196">
        <v>1.8892306797348199E-2</v>
      </c>
      <c r="AM196">
        <v>-6.9775453803313497E-3</v>
      </c>
      <c r="AN196">
        <f>+IBOV!C121</f>
        <v>-2.2573284184658537E-2</v>
      </c>
      <c r="AP196" s="1">
        <f t="shared" si="25"/>
        <v>40359</v>
      </c>
      <c r="AQ196">
        <f t="shared" si="26"/>
        <v>90.384426231866328</v>
      </c>
      <c r="AR196">
        <f t="shared" si="27"/>
        <v>94.591121624980502</v>
      </c>
      <c r="AS196">
        <f t="shared" si="28"/>
        <v>91.565804475801656</v>
      </c>
      <c r="AT196">
        <f t="shared" si="29"/>
        <v>91.517266359123695</v>
      </c>
      <c r="AU196">
        <f t="shared" si="30"/>
        <v>92.055175495971028</v>
      </c>
      <c r="AV196">
        <f t="shared" si="31"/>
        <v>130.8966979849975</v>
      </c>
      <c r="AW196">
        <f t="shared" si="32"/>
        <v>117.27786935495074</v>
      </c>
      <c r="AX196">
        <f t="shared" si="33"/>
        <v>82.807562757300488</v>
      </c>
      <c r="AY196">
        <f t="shared" si="34"/>
        <v>99.531008421154183</v>
      </c>
      <c r="AZ196">
        <f t="shared" si="35"/>
        <v>110.84460089552049</v>
      </c>
      <c r="BA196">
        <f t="shared" si="36"/>
        <v>127.07904143343664</v>
      </c>
      <c r="BB196">
        <f t="shared" si="37"/>
        <v>111.90607822206609</v>
      </c>
      <c r="BC196">
        <f t="shared" si="38"/>
        <v>118.51755582810816</v>
      </c>
      <c r="BD196">
        <f t="shared" si="39"/>
        <v>512.70109650958386</v>
      </c>
    </row>
    <row r="197" spans="1:56" x14ac:dyDescent="0.25">
      <c r="A197" t="s">
        <v>7</v>
      </c>
      <c r="B197" t="s">
        <v>8</v>
      </c>
      <c r="C197" t="s">
        <v>9</v>
      </c>
      <c r="D197" t="s">
        <v>10</v>
      </c>
      <c r="E197">
        <v>5</v>
      </c>
      <c r="F197" s="1">
        <v>43190</v>
      </c>
      <c r="G197">
        <v>5.6196162699105899E-2</v>
      </c>
      <c r="K197" s="4">
        <v>40390</v>
      </c>
      <c r="L197" s="6">
        <v>-1.5232193314837999E-2</v>
      </c>
      <c r="M197" s="6">
        <v>-4.0645099586601799E-3</v>
      </c>
      <c r="N197" s="6">
        <v>4.8355748105930497E-3</v>
      </c>
      <c r="O197" s="6">
        <v>1.73967359756542E-2</v>
      </c>
      <c r="P197" s="6">
        <v>-2.9212611187138599E-2</v>
      </c>
      <c r="Q197" s="6">
        <v>-1.8555911119034301E-2</v>
      </c>
      <c r="R197" s="6">
        <v>2.01616600562981E-2</v>
      </c>
      <c r="S197" s="6">
        <v>-3.6937100292704899E-3</v>
      </c>
      <c r="T197" s="6">
        <v>-4.4536480069680999E-3</v>
      </c>
      <c r="U197" s="6">
        <v>-2.2306596768775399E-2</v>
      </c>
      <c r="V197" s="6">
        <v>-1.5455146620187101E-2</v>
      </c>
      <c r="W197" s="6">
        <v>-1.38168771336405E-2</v>
      </c>
      <c r="X197" s="6">
        <v>-1.05210054574594E-2</v>
      </c>
      <c r="Y197" s="6">
        <v>-9.4918238753426726E-2</v>
      </c>
      <c r="AA197">
        <v>-1.5232193314837999E-2</v>
      </c>
      <c r="AB197">
        <v>-4.0645099586601799E-3</v>
      </c>
      <c r="AC197">
        <v>4.8355748105930497E-3</v>
      </c>
      <c r="AD197">
        <v>1.73967359756542E-2</v>
      </c>
      <c r="AE197">
        <v>-2.9212611187138599E-2</v>
      </c>
      <c r="AF197">
        <v>-1.8555911119034301E-2</v>
      </c>
      <c r="AG197">
        <v>2.01616600562981E-2</v>
      </c>
      <c r="AH197">
        <v>-3.6937100292704899E-3</v>
      </c>
      <c r="AI197">
        <v>-4.4536480069680999E-3</v>
      </c>
      <c r="AJ197">
        <v>-2.2306596768775399E-2</v>
      </c>
      <c r="AK197">
        <v>-1.5455146620187101E-2</v>
      </c>
      <c r="AL197">
        <v>-1.38168771336405E-2</v>
      </c>
      <c r="AM197">
        <v>-1.05210054574594E-2</v>
      </c>
      <c r="AN197">
        <f>+IBOV!C122</f>
        <v>0.13828029595575009</v>
      </c>
      <c r="AP197" s="1">
        <f t="shared" si="25"/>
        <v>40390</v>
      </c>
      <c r="AQ197">
        <f t="shared" si="26"/>
        <v>89.007673178851817</v>
      </c>
      <c r="AR197">
        <f t="shared" si="27"/>
        <v>94.206655069134939</v>
      </c>
      <c r="AS197">
        <f t="shared" si="28"/>
        <v>92.008577773436528</v>
      </c>
      <c r="AT197">
        <f t="shared" si="29"/>
        <v>93.109368079186993</v>
      </c>
      <c r="AU197">
        <f t="shared" si="30"/>
        <v>89.366003446443415</v>
      </c>
      <c r="AV197">
        <f t="shared" si="31"/>
        <v>128.46779049141281</v>
      </c>
      <c r="AW197">
        <f t="shared" si="32"/>
        <v>119.6423858890122</v>
      </c>
      <c r="AX197">
        <f t="shared" si="33"/>
        <v>82.501695632244406</v>
      </c>
      <c r="AY197">
        <f t="shared" si="34"/>
        <v>99.087732343867785</v>
      </c>
      <c r="AZ197">
        <f t="shared" si="35"/>
        <v>108.37203507934827</v>
      </c>
      <c r="BA197">
        <f t="shared" si="36"/>
        <v>125.11501621573005</v>
      </c>
      <c r="BB197">
        <f t="shared" si="37"/>
        <v>110.35988568876424</v>
      </c>
      <c r="BC197">
        <f t="shared" si="38"/>
        <v>117.27063197643588</v>
      </c>
      <c r="BD197">
        <f t="shared" si="39"/>
        <v>583.59755587176676</v>
      </c>
    </row>
    <row r="198" spans="1:56" x14ac:dyDescent="0.25">
      <c r="A198" t="s">
        <v>7</v>
      </c>
      <c r="B198" t="s">
        <v>8</v>
      </c>
      <c r="C198" t="s">
        <v>9</v>
      </c>
      <c r="D198" t="s">
        <v>10</v>
      </c>
      <c r="E198">
        <v>5</v>
      </c>
      <c r="F198" s="1">
        <v>43220</v>
      </c>
      <c r="G198">
        <v>3.0972629894116199E-2</v>
      </c>
      <c r="K198" s="4">
        <v>40421</v>
      </c>
      <c r="L198" s="6">
        <v>1.06778302635593E-2</v>
      </c>
      <c r="M198" s="6">
        <v>2.48781644168675E-2</v>
      </c>
      <c r="N198" s="6">
        <v>9.6417236695250496E-3</v>
      </c>
      <c r="O198" s="6">
        <v>3.53981526167894E-2</v>
      </c>
      <c r="P198" s="6">
        <v>2.8797493002852701E-2</v>
      </c>
      <c r="Q198" s="6">
        <v>3.8573705673526297E-2</v>
      </c>
      <c r="R198" s="6">
        <v>-3.9516652429702802E-3</v>
      </c>
      <c r="S198" s="6">
        <v>-1.1769482705803601E-2</v>
      </c>
      <c r="T198" s="6">
        <v>-2.9945835808186899E-3</v>
      </c>
      <c r="U198" s="6">
        <v>9.1391063529125804E-3</v>
      </c>
      <c r="V198" s="6">
        <v>2.2599565230919199E-2</v>
      </c>
      <c r="W198" s="6">
        <v>5.0272469021370399E-2</v>
      </c>
      <c r="X198" s="6">
        <v>-5.6107146924076704E-3</v>
      </c>
      <c r="Y198" s="6">
        <v>0.20565176402632215</v>
      </c>
      <c r="AA198">
        <v>1.06778302635593E-2</v>
      </c>
      <c r="AB198">
        <v>2.48781644168675E-2</v>
      </c>
      <c r="AC198">
        <v>9.6417236695250496E-3</v>
      </c>
      <c r="AD198">
        <v>3.53981526167894E-2</v>
      </c>
      <c r="AE198">
        <v>2.8797493002852701E-2</v>
      </c>
      <c r="AF198">
        <v>3.8573705673526297E-2</v>
      </c>
      <c r="AG198">
        <v>-3.9516652429702802E-3</v>
      </c>
      <c r="AH198">
        <v>-1.1769482705803601E-2</v>
      </c>
      <c r="AI198">
        <v>-2.9945835808186899E-3</v>
      </c>
      <c r="AJ198">
        <v>9.1391063529125804E-3</v>
      </c>
      <c r="AK198">
        <v>2.2599565230919199E-2</v>
      </c>
      <c r="AL198">
        <v>5.0272469021370399E-2</v>
      </c>
      <c r="AM198">
        <v>-5.6107146924076704E-3</v>
      </c>
      <c r="AN198">
        <f>+IBOV!C123</f>
        <v>-3.7368191571144793E-2</v>
      </c>
      <c r="AP198" s="1">
        <f t="shared" si="25"/>
        <v>40421</v>
      </c>
      <c r="AQ198">
        <f t="shared" si="26"/>
        <v>89.95808200520996</v>
      </c>
      <c r="AR198">
        <f t="shared" si="27"/>
        <v>96.550343723108</v>
      </c>
      <c r="AS198">
        <f t="shared" si="28"/>
        <v>92.895699055554005</v>
      </c>
      <c r="AT198">
        <f t="shared" si="29"/>
        <v>96.405267700506883</v>
      </c>
      <c r="AU198">
        <f t="shared" si="30"/>
        <v>91.939520305385287</v>
      </c>
      <c r="AV198">
        <f t="shared" si="31"/>
        <v>133.42326923035679</v>
      </c>
      <c r="AW198">
        <f t="shared" si="32"/>
        <v>119.16959923110855</v>
      </c>
      <c r="AX198">
        <f t="shared" si="33"/>
        <v>81.530693352301228</v>
      </c>
      <c r="AY198">
        <f t="shared" si="34"/>
        <v>98.791005847530272</v>
      </c>
      <c r="AZ198">
        <f t="shared" si="35"/>
        <v>109.36245863361999</v>
      </c>
      <c r="BA198">
        <f t="shared" si="36"/>
        <v>127.94256118606496</v>
      </c>
      <c r="BB198">
        <f t="shared" si="37"/>
        <v>115.90794962325462</v>
      </c>
      <c r="BC198">
        <f t="shared" si="38"/>
        <v>116.61265991861775</v>
      </c>
      <c r="BD198">
        <f t="shared" si="39"/>
        <v>561.78957060349865</v>
      </c>
    </row>
    <row r="199" spans="1:56" x14ac:dyDescent="0.25">
      <c r="A199" t="s">
        <v>7</v>
      </c>
      <c r="B199" t="s">
        <v>8</v>
      </c>
      <c r="C199" t="s">
        <v>9</v>
      </c>
      <c r="D199" t="s">
        <v>10</v>
      </c>
      <c r="E199">
        <v>5</v>
      </c>
      <c r="F199" s="1">
        <v>43251</v>
      </c>
      <c r="G199">
        <v>1.18069502600883E-2</v>
      </c>
      <c r="K199" s="4">
        <v>40451</v>
      </c>
      <c r="L199" s="6">
        <v>-1.11613812563695E-2</v>
      </c>
      <c r="M199" s="6">
        <v>-1.7790071771845401E-2</v>
      </c>
      <c r="N199" s="6">
        <v>-3.0095226647651901E-3</v>
      </c>
      <c r="O199" s="6">
        <v>4.0085420290871697E-3</v>
      </c>
      <c r="P199" s="6">
        <v>-5.5135047856472797E-3</v>
      </c>
      <c r="Q199" s="6">
        <v>9.7795629749622501E-3</v>
      </c>
      <c r="R199" s="6">
        <v>-1.2065091569111199E-2</v>
      </c>
      <c r="S199" s="6">
        <v>-2.6581118021643201E-3</v>
      </c>
      <c r="T199" s="6">
        <v>-4.1883757814538099E-3</v>
      </c>
      <c r="U199" s="6">
        <v>-2.16651926591639E-2</v>
      </c>
      <c r="V199" s="6">
        <v>7.5573938071955898E-3</v>
      </c>
      <c r="W199" s="6">
        <v>-3.6149690334275397E-2</v>
      </c>
      <c r="X199" s="6">
        <v>-1.08932212993314E-2</v>
      </c>
      <c r="Y199" s="6">
        <v>-0.10374866511288239</v>
      </c>
      <c r="AA199">
        <v>-1.11613812563695E-2</v>
      </c>
      <c r="AB199">
        <v>-1.7790071771845401E-2</v>
      </c>
      <c r="AC199">
        <v>-3.0095226647651901E-3</v>
      </c>
      <c r="AD199">
        <v>4.0085420290871697E-3</v>
      </c>
      <c r="AE199">
        <v>-5.5135047856472797E-3</v>
      </c>
      <c r="AF199">
        <v>9.7795629749622501E-3</v>
      </c>
      <c r="AG199">
        <v>-1.2065091569111199E-2</v>
      </c>
      <c r="AH199">
        <v>-2.6581118021643201E-3</v>
      </c>
      <c r="AI199">
        <v>-4.1883757814538099E-3</v>
      </c>
      <c r="AJ199">
        <v>-2.16651926591639E-2</v>
      </c>
      <c r="AK199">
        <v>7.5573938071955898E-3</v>
      </c>
      <c r="AL199">
        <v>-3.6149690334275397E-2</v>
      </c>
      <c r="AM199">
        <v>-1.08932212993314E-2</v>
      </c>
      <c r="AN199">
        <f>+IBOV!C124</f>
        <v>0.13576292146550051</v>
      </c>
      <c r="AP199" s="1">
        <f t="shared" si="25"/>
        <v>40451</v>
      </c>
      <c r="AQ199">
        <f t="shared" si="26"/>
        <v>88.954025554858063</v>
      </c>
      <c r="AR199">
        <f t="shared" si="27"/>
        <v>94.832706178677569</v>
      </c>
      <c r="AS199">
        <f t="shared" si="28"/>
        <v>92.616127343787113</v>
      </c>
      <c r="AT199">
        <f t="shared" si="29"/>
        <v>96.791712267909759</v>
      </c>
      <c r="AU199">
        <f t="shared" si="30"/>
        <v>91.432611320191427</v>
      </c>
      <c r="AV199">
        <f t="shared" si="31"/>
        <v>134.72809049412041</v>
      </c>
      <c r="AW199">
        <f t="shared" si="32"/>
        <v>117.73180710413094</v>
      </c>
      <c r="AX199">
        <f t="shared" si="33"/>
        <v>81.31397565406283</v>
      </c>
      <c r="AY199">
        <f t="shared" si="34"/>
        <v>98.377231991213009</v>
      </c>
      <c r="AZ199">
        <f t="shared" si="35"/>
        <v>106.99309989764278</v>
      </c>
      <c r="BA199">
        <f t="shared" si="36"/>
        <v>128.90947350564926</v>
      </c>
      <c r="BB199">
        <f t="shared" si="37"/>
        <v>111.71791313709318</v>
      </c>
      <c r="BC199">
        <f t="shared" si="38"/>
        <v>115.34237240782058</v>
      </c>
      <c r="BD199">
        <f t="shared" si="39"/>
        <v>638.05976395747871</v>
      </c>
    </row>
    <row r="200" spans="1:56" x14ac:dyDescent="0.25">
      <c r="A200" t="s">
        <v>7</v>
      </c>
      <c r="B200" t="s">
        <v>8</v>
      </c>
      <c r="C200" t="s">
        <v>9</v>
      </c>
      <c r="D200" t="s">
        <v>10</v>
      </c>
      <c r="E200">
        <v>5</v>
      </c>
      <c r="F200" s="1">
        <v>43281</v>
      </c>
      <c r="G200">
        <v>-1.8438771500976601E-3</v>
      </c>
      <c r="K200" s="4">
        <v>40482</v>
      </c>
      <c r="L200" s="6">
        <v>9.2695284520386192E-3</v>
      </c>
      <c r="M200" s="6">
        <v>7.3944882961441295E-4</v>
      </c>
      <c r="N200" s="6">
        <v>1.03324532894654E-2</v>
      </c>
      <c r="O200" s="6">
        <v>2.2335034848863001E-2</v>
      </c>
      <c r="P200" s="6">
        <v>8.6084956298579998E-3</v>
      </c>
      <c r="Q200" s="6">
        <v>6.4558208924881205E-2</v>
      </c>
      <c r="R200" s="6">
        <v>1.31928996131476E-2</v>
      </c>
      <c r="S200" s="6">
        <v>5.0486752539861497E-3</v>
      </c>
      <c r="T200" s="6">
        <v>3.5329663226191702E-2</v>
      </c>
      <c r="U200" s="6">
        <v>2.09038122826306E-3</v>
      </c>
      <c r="V200" s="6">
        <v>-4.1215985593560801E-2</v>
      </c>
      <c r="W200" s="6">
        <v>3.30553799620215E-2</v>
      </c>
      <c r="X200" s="6">
        <v>-1.6613496041614599E-2</v>
      </c>
      <c r="Y200" s="6">
        <v>0.14673068762315522</v>
      </c>
      <c r="AA200">
        <v>9.2695284520386192E-3</v>
      </c>
      <c r="AB200">
        <v>7.3944882961441295E-4</v>
      </c>
      <c r="AC200">
        <v>1.03324532894654E-2</v>
      </c>
      <c r="AD200">
        <v>2.2335034848863001E-2</v>
      </c>
      <c r="AE200">
        <v>8.6084956298579998E-3</v>
      </c>
      <c r="AF200">
        <v>6.4558208924881205E-2</v>
      </c>
      <c r="AG200">
        <v>1.31928996131476E-2</v>
      </c>
      <c r="AH200">
        <v>5.0486752539861497E-3</v>
      </c>
      <c r="AI200">
        <v>3.5329663226191702E-2</v>
      </c>
      <c r="AJ200">
        <v>2.09038122826306E-3</v>
      </c>
      <c r="AK200">
        <v>-4.1215985593560801E-2</v>
      </c>
      <c r="AL200">
        <v>3.30553799620215E-2</v>
      </c>
      <c r="AM200">
        <v>-1.6613496041614599E-2</v>
      </c>
      <c r="AN200">
        <f>+IBOV!C125</f>
        <v>1.1963950727413852E-3</v>
      </c>
      <c r="AP200" s="1">
        <f t="shared" si="25"/>
        <v>40482</v>
      </c>
      <c r="AQ200">
        <f t="shared" si="26"/>
        <v>89.778587425662181</v>
      </c>
      <c r="AR200">
        <f t="shared" si="27"/>
        <v>94.902830112270564</v>
      </c>
      <c r="AS200">
        <f t="shared" si="28"/>
        <v>93.573079153417964</v>
      </c>
      <c r="AT200">
        <f t="shared" si="29"/>
        <v>98.953558534494633</v>
      </c>
      <c r="AU200">
        <f t="shared" si="30"/>
        <v>92.219708555167799</v>
      </c>
      <c r="AV200">
        <f t="shared" si="31"/>
        <v>143.42589470829014</v>
      </c>
      <c r="AW200">
        <f t="shared" si="32"/>
        <v>119.2850310165302</v>
      </c>
      <c r="AX200">
        <f t="shared" si="33"/>
        <v>81.724503510750736</v>
      </c>
      <c r="AY200">
        <f t="shared" si="34"/>
        <v>101.8528664665875</v>
      </c>
      <c r="AZ200">
        <f t="shared" si="35"/>
        <v>107.21675626522249</v>
      </c>
      <c r="BA200">
        <f t="shared" si="36"/>
        <v>123.59634250276692</v>
      </c>
      <c r="BB200">
        <f t="shared" si="37"/>
        <v>115.41079120440391</v>
      </c>
      <c r="BC200">
        <f t="shared" si="38"/>
        <v>113.42613236039281</v>
      </c>
      <c r="BD200">
        <f t="shared" si="39"/>
        <v>638.82313551519201</v>
      </c>
    </row>
    <row r="201" spans="1:56" x14ac:dyDescent="0.25">
      <c r="A201" t="s">
        <v>7</v>
      </c>
      <c r="B201" t="s">
        <v>8</v>
      </c>
      <c r="C201" t="s">
        <v>9</v>
      </c>
      <c r="D201" t="s">
        <v>10</v>
      </c>
      <c r="E201">
        <v>5</v>
      </c>
      <c r="F201" s="1">
        <v>43312</v>
      </c>
      <c r="G201">
        <v>-2.5584183998541801E-2</v>
      </c>
      <c r="K201" s="4">
        <v>40512</v>
      </c>
      <c r="L201" s="6">
        <v>1.6469446393806701E-2</v>
      </c>
      <c r="M201" s="6">
        <v>-7.8778832640756004E-3</v>
      </c>
      <c r="N201" s="6">
        <v>3.8606553254872402E-3</v>
      </c>
      <c r="O201" s="6">
        <v>1.4487823383770099E-2</v>
      </c>
      <c r="P201" s="6">
        <v>2.6145055720524099E-2</v>
      </c>
      <c r="Q201" s="6">
        <v>2.3493164886457599E-2</v>
      </c>
      <c r="R201" s="6">
        <v>-2.7461586794009698E-3</v>
      </c>
      <c r="S201" s="6">
        <v>1.5094351630434299E-2</v>
      </c>
      <c r="T201" s="6">
        <v>3.5242423375974698E-2</v>
      </c>
      <c r="U201" s="6">
        <v>-8.0796489872559593E-3</v>
      </c>
      <c r="V201" s="6">
        <v>-9.3913107973252596E-3</v>
      </c>
      <c r="W201" s="6">
        <v>3.0604369983583801E-2</v>
      </c>
      <c r="X201" s="6">
        <v>4.2980508752640803E-3</v>
      </c>
      <c r="Y201" s="6">
        <v>0.14160033984724482</v>
      </c>
      <c r="AA201">
        <v>1.6469446393806701E-2</v>
      </c>
      <c r="AB201">
        <v>-7.8778832640756004E-3</v>
      </c>
      <c r="AC201">
        <v>3.8606553254872402E-3</v>
      </c>
      <c r="AD201">
        <v>1.4487823383770099E-2</v>
      </c>
      <c r="AE201">
        <v>2.6145055720524099E-2</v>
      </c>
      <c r="AF201">
        <v>2.3493164886457599E-2</v>
      </c>
      <c r="AG201">
        <v>-2.7461586794009698E-3</v>
      </c>
      <c r="AH201">
        <v>1.5094351630434299E-2</v>
      </c>
      <c r="AI201">
        <v>3.5242423375974698E-2</v>
      </c>
      <c r="AJ201">
        <v>-8.0796489872559593E-3</v>
      </c>
      <c r="AK201">
        <v>-9.3913107973252596E-3</v>
      </c>
      <c r="AL201">
        <v>3.0604369983583801E-2</v>
      </c>
      <c r="AM201">
        <v>4.2980508752640803E-3</v>
      </c>
      <c r="AN201">
        <f>+IBOV!C126</f>
        <v>-2.8427598460171732E-2</v>
      </c>
      <c r="AP201" s="1">
        <f t="shared" si="25"/>
        <v>40512</v>
      </c>
      <c r="AQ201">
        <f t="shared" si="26"/>
        <v>91.257191058580801</v>
      </c>
      <c r="AR201">
        <f t="shared" si="27"/>
        <v>94.155196695215707</v>
      </c>
      <c r="AS201">
        <f t="shared" si="28"/>
        <v>93.934332559773836</v>
      </c>
      <c r="AT201">
        <f t="shared" si="29"/>
        <v>100.38718021373796</v>
      </c>
      <c r="AU201">
        <f t="shared" si="30"/>
        <v>94.630797973873143</v>
      </c>
      <c r="AV201">
        <f t="shared" si="31"/>
        <v>146.79542290165972</v>
      </c>
      <c r="AW201">
        <f t="shared" si="32"/>
        <v>118.95745539328153</v>
      </c>
      <c r="AX201">
        <f t="shared" si="33"/>
        <v>82.958081903564661</v>
      </c>
      <c r="AY201">
        <f t="shared" si="34"/>
        <v>105.44240830865959</v>
      </c>
      <c r="AZ201">
        <f t="shared" si="35"/>
        <v>106.35048250904731</v>
      </c>
      <c r="BA201">
        <f t="shared" si="36"/>
        <v>122.43561083691077</v>
      </c>
      <c r="BB201">
        <f t="shared" si="37"/>
        <v>118.94286575852163</v>
      </c>
      <c r="BC201">
        <f t="shared" si="38"/>
        <v>113.91364364786223</v>
      </c>
      <c r="BD201">
        <f t="shared" si="39"/>
        <v>620.66292793169828</v>
      </c>
    </row>
    <row r="202" spans="1:56" x14ac:dyDescent="0.25">
      <c r="A202" t="s">
        <v>7</v>
      </c>
      <c r="B202" t="s">
        <v>8</v>
      </c>
      <c r="C202" t="s">
        <v>9</v>
      </c>
      <c r="D202" t="s">
        <v>10</v>
      </c>
      <c r="E202">
        <v>5</v>
      </c>
      <c r="F202" s="1">
        <v>43343</v>
      </c>
      <c r="G202">
        <v>-1.7644069611558E-2</v>
      </c>
      <c r="K202" s="4">
        <v>40543</v>
      </c>
      <c r="L202" s="6">
        <v>3.5163651936928497E-2</v>
      </c>
      <c r="M202" s="6">
        <v>-3.0604222259161002E-3</v>
      </c>
      <c r="N202" s="6">
        <v>1.09352849289917E-2</v>
      </c>
      <c r="O202" s="6">
        <v>-4.5639711716098E-2</v>
      </c>
      <c r="P202" s="6">
        <v>1.3477724587881001E-2</v>
      </c>
      <c r="Q202" s="6">
        <v>-1.0757856982233501E-2</v>
      </c>
      <c r="R202" s="6">
        <v>-1.19955708305123E-2</v>
      </c>
      <c r="S202" s="6">
        <v>2.8511129151657199E-3</v>
      </c>
      <c r="T202" s="6">
        <v>2.2983911215215601E-3</v>
      </c>
      <c r="U202" s="6">
        <v>1.30470049828912E-2</v>
      </c>
      <c r="V202" s="6">
        <v>-1.55839927218724E-2</v>
      </c>
      <c r="W202" s="6">
        <v>1.5364512349638501E-2</v>
      </c>
      <c r="X202" s="6">
        <v>2.0993331920540401E-2</v>
      </c>
      <c r="Y202" s="6">
        <v>2.7093460266926279E-2</v>
      </c>
      <c r="AA202">
        <v>3.5163651936928497E-2</v>
      </c>
      <c r="AB202">
        <v>-3.0604222259161002E-3</v>
      </c>
      <c r="AC202">
        <v>1.09352849289917E-2</v>
      </c>
      <c r="AD202">
        <v>-4.5639711716098E-2</v>
      </c>
      <c r="AE202">
        <v>1.3477724587881001E-2</v>
      </c>
      <c r="AF202">
        <v>-1.0757856982233501E-2</v>
      </c>
      <c r="AG202">
        <v>-1.19955708305123E-2</v>
      </c>
      <c r="AH202">
        <v>2.8511129151657199E-3</v>
      </c>
      <c r="AI202">
        <v>2.2983911215215601E-3</v>
      </c>
      <c r="AJ202">
        <v>1.30470049828912E-2</v>
      </c>
      <c r="AK202">
        <v>-1.55839927218724E-2</v>
      </c>
      <c r="AL202">
        <v>1.5364512349638501E-2</v>
      </c>
      <c r="AM202">
        <v>2.0993331920540401E-2</v>
      </c>
      <c r="AN202">
        <f>+IBOV!C127</f>
        <v>7.0168009429458555E-2</v>
      </c>
      <c r="AP202" s="1">
        <f t="shared" si="25"/>
        <v>40543</v>
      </c>
      <c r="AQ202">
        <f t="shared" si="26"/>
        <v>94.466127161706524</v>
      </c>
      <c r="AR202">
        <f t="shared" si="27"/>
        <v>93.867042038564165</v>
      </c>
      <c r="AS202">
        <f t="shared" si="28"/>
        <v>94.961531250929625</v>
      </c>
      <c r="AT202">
        <f t="shared" si="29"/>
        <v>95.805538248790981</v>
      </c>
      <c r="AU202">
        <f t="shared" si="30"/>
        <v>95.906205806496416</v>
      </c>
      <c r="AV202">
        <f t="shared" si="31"/>
        <v>145.21621873643718</v>
      </c>
      <c r="AW202">
        <f t="shared" si="32"/>
        <v>117.53049281129393</v>
      </c>
      <c r="AX202">
        <f t="shared" si="33"/>
        <v>83.194604762297303</v>
      </c>
      <c r="AY202">
        <f t="shared" si="34"/>
        <v>105.68475620374807</v>
      </c>
      <c r="AZ202">
        <f t="shared" si="35"/>
        <v>107.73803778427573</v>
      </c>
      <c r="BA202">
        <f t="shared" si="36"/>
        <v>120.52757516873035</v>
      </c>
      <c r="BB202">
        <f t="shared" si="37"/>
        <v>120.77036488836983</v>
      </c>
      <c r="BC202">
        <f t="shared" si="38"/>
        <v>116.30507057923997</v>
      </c>
      <c r="BD202">
        <f t="shared" si="39"/>
        <v>664.21361011132501</v>
      </c>
    </row>
    <row r="203" spans="1:56" x14ac:dyDescent="0.25">
      <c r="A203" t="s">
        <v>7</v>
      </c>
      <c r="B203" t="s">
        <v>8</v>
      </c>
      <c r="C203" t="s">
        <v>9</v>
      </c>
      <c r="D203" t="s">
        <v>10</v>
      </c>
      <c r="E203">
        <v>5</v>
      </c>
      <c r="F203" s="1">
        <v>43373</v>
      </c>
      <c r="G203">
        <v>-7.3953777005999798E-3</v>
      </c>
      <c r="K203" s="4">
        <v>40574</v>
      </c>
      <c r="L203" s="6">
        <v>2.2121825551377601E-2</v>
      </c>
      <c r="M203" s="6">
        <v>1.5721447643184301E-3</v>
      </c>
      <c r="N203" s="6">
        <v>2.50404371223211E-2</v>
      </c>
      <c r="O203" s="6">
        <v>-2.7772414477695899E-2</v>
      </c>
      <c r="P203" s="6">
        <v>2.3301299315044498E-2</v>
      </c>
      <c r="Q203" s="6">
        <v>-2.6762495873095499E-3</v>
      </c>
      <c r="R203" s="6">
        <v>-1.51764183581594E-3</v>
      </c>
      <c r="S203" s="6">
        <v>5.2825049709508904E-3</v>
      </c>
      <c r="T203" s="6">
        <v>-6.9495869609844099E-3</v>
      </c>
      <c r="U203" s="6">
        <v>6.3507866866938604E-3</v>
      </c>
      <c r="V203" s="6">
        <v>-1.38441450270139E-2</v>
      </c>
      <c r="W203" s="6">
        <v>1.8145562173603299E-2</v>
      </c>
      <c r="X203" s="6">
        <v>3.6560216112875403E-2</v>
      </c>
      <c r="Y203" s="6">
        <v>8.561473880836537E-2</v>
      </c>
      <c r="AA203">
        <v>2.2121825551377601E-2</v>
      </c>
      <c r="AB203">
        <v>1.5721447643184301E-3</v>
      </c>
      <c r="AC203">
        <v>2.50404371223211E-2</v>
      </c>
      <c r="AD203">
        <v>-2.7772414477695899E-2</v>
      </c>
      <c r="AE203">
        <v>2.3301299315044498E-2</v>
      </c>
      <c r="AF203">
        <v>-2.6762495873095499E-3</v>
      </c>
      <c r="AG203">
        <v>-1.51764183581594E-3</v>
      </c>
      <c r="AH203">
        <v>5.2825049709508904E-3</v>
      </c>
      <c r="AI203">
        <v>-6.9495869609844099E-3</v>
      </c>
      <c r="AJ203">
        <v>6.3507866866938604E-3</v>
      </c>
      <c r="AK203">
        <v>-1.38441450270139E-2</v>
      </c>
      <c r="AL203">
        <v>1.8145562173603299E-2</v>
      </c>
      <c r="AM203">
        <v>3.6560216112875403E-2</v>
      </c>
      <c r="AN203">
        <f>+IBOV!C128</f>
        <v>-5.4263448665214931E-2</v>
      </c>
      <c r="AP203" s="1">
        <f t="shared" si="25"/>
        <v>40574</v>
      </c>
      <c r="AQ203">
        <f t="shared" si="26"/>
        <v>96.555890347292049</v>
      </c>
      <c r="AR203">
        <f t="shared" si="27"/>
        <v>94.014614617247148</v>
      </c>
      <c r="AS203">
        <f t="shared" si="28"/>
        <v>97.339409503257869</v>
      </c>
      <c r="AT203">
        <f t="shared" si="29"/>
        <v>93.144787131286819</v>
      </c>
      <c r="AU203">
        <f t="shared" si="30"/>
        <v>98.140945014163847</v>
      </c>
      <c r="AV203">
        <f t="shared" si="31"/>
        <v>144.82758389097316</v>
      </c>
      <c r="AW203">
        <f t="shared" si="32"/>
        <v>117.35212361841944</v>
      </c>
      <c r="AX203">
        <f t="shared" si="33"/>
        <v>83.634080675510432</v>
      </c>
      <c r="AY203">
        <f t="shared" si="34"/>
        <v>104.95029080005969</v>
      </c>
      <c r="AZ203">
        <f t="shared" si="35"/>
        <v>108.42225908028664</v>
      </c>
      <c r="BA203">
        <f t="shared" si="36"/>
        <v>118.85897393834013</v>
      </c>
      <c r="BB203">
        <f t="shared" si="37"/>
        <v>122.9618110531805</v>
      </c>
      <c r="BC203">
        <f t="shared" si="38"/>
        <v>120.5572090946402</v>
      </c>
      <c r="BD203">
        <f t="shared" si="39"/>
        <v>628.17108897631203</v>
      </c>
    </row>
    <row r="204" spans="1:56" x14ac:dyDescent="0.25">
      <c r="A204" t="s">
        <v>7</v>
      </c>
      <c r="B204" t="s">
        <v>8</v>
      </c>
      <c r="C204" t="s">
        <v>9</v>
      </c>
      <c r="D204" t="s">
        <v>10</v>
      </c>
      <c r="E204">
        <v>5</v>
      </c>
      <c r="F204" s="1">
        <v>43404</v>
      </c>
      <c r="G204">
        <v>-1.9554772183340102E-2</v>
      </c>
      <c r="K204" s="4">
        <v>40602</v>
      </c>
      <c r="L204" s="6">
        <v>-1.02732280255435E-2</v>
      </c>
      <c r="M204" s="6">
        <v>2.23382737953023E-3</v>
      </c>
      <c r="N204" s="6">
        <v>3.9157225836016201E-4</v>
      </c>
      <c r="O204" s="6">
        <v>1.3380565696647801E-2</v>
      </c>
      <c r="P204" s="6">
        <v>5.1730958618405399E-3</v>
      </c>
      <c r="Q204" s="6">
        <v>1.3386082501568501E-2</v>
      </c>
      <c r="R204" s="6">
        <v>-8.8043923196999899E-4</v>
      </c>
      <c r="S204" s="6">
        <v>-2.0565621481707899E-3</v>
      </c>
      <c r="T204" s="6">
        <v>-1.1937919340634999E-2</v>
      </c>
      <c r="U204" s="6">
        <v>-2.9461555069000998E-3</v>
      </c>
      <c r="V204" s="6">
        <v>-1.00619396546159E-2</v>
      </c>
      <c r="W204" s="6">
        <v>-2.1704474393437801E-2</v>
      </c>
      <c r="X204" s="6">
        <v>-8.1826406042813105E-3</v>
      </c>
      <c r="Y204" s="6">
        <v>-3.3478215207607166E-2</v>
      </c>
      <c r="AA204">
        <v>-1.02732280255435E-2</v>
      </c>
      <c r="AB204">
        <v>2.23382737953023E-3</v>
      </c>
      <c r="AC204">
        <v>3.9157225836016201E-4</v>
      </c>
      <c r="AD204">
        <v>1.3380565696647801E-2</v>
      </c>
      <c r="AE204">
        <v>5.1730958618405399E-3</v>
      </c>
      <c r="AF204">
        <v>1.3386082501568501E-2</v>
      </c>
      <c r="AG204">
        <v>-8.8043923196999899E-4</v>
      </c>
      <c r="AH204">
        <v>-2.0565621481707899E-3</v>
      </c>
      <c r="AI204">
        <v>-1.1937919340634999E-2</v>
      </c>
      <c r="AJ204">
        <v>-2.9461555069000998E-3</v>
      </c>
      <c r="AK204">
        <v>-1.00619396546159E-2</v>
      </c>
      <c r="AL204">
        <v>-2.1704474393437801E-2</v>
      </c>
      <c r="AM204">
        <v>-8.1826406042813105E-3</v>
      </c>
      <c r="AN204">
        <f>+IBOV!C129</f>
        <v>1.461738949679936E-2</v>
      </c>
      <c r="AP204" s="1">
        <f t="shared" si="25"/>
        <v>40602</v>
      </c>
      <c r="AQ204">
        <f t="shared" si="26"/>
        <v>95.563949668544936</v>
      </c>
      <c r="AR204">
        <f t="shared" si="27"/>
        <v>94.224627037455136</v>
      </c>
      <c r="AS204">
        <f t="shared" si="28"/>
        <v>97.377524915664495</v>
      </c>
      <c r="AT204">
        <f t="shared" si="29"/>
        <v>94.391117074797265</v>
      </c>
      <c r="AU204">
        <f t="shared" si="30"/>
        <v>98.648637530693733</v>
      </c>
      <c r="AV204">
        <f t="shared" si="31"/>
        <v>146.76625787744058</v>
      </c>
      <c r="AW204">
        <f t="shared" si="32"/>
        <v>117.2488022048308</v>
      </c>
      <c r="AX204">
        <f t="shared" si="33"/>
        <v>83.462081990896124</v>
      </c>
      <c r="AY204">
        <f t="shared" si="34"/>
        <v>103.69740269371239</v>
      </c>
      <c r="AZ204">
        <f t="shared" si="35"/>
        <v>108.1028302446267</v>
      </c>
      <c r="BA204">
        <f t="shared" si="36"/>
        <v>117.66302211516299</v>
      </c>
      <c r="BB204">
        <f t="shared" si="37"/>
        <v>120.292989573806</v>
      </c>
      <c r="BC204">
        <f t="shared" si="38"/>
        <v>119.57073278036357</v>
      </c>
      <c r="BD204">
        <f t="shared" si="39"/>
        <v>637.35331045450744</v>
      </c>
    </row>
    <row r="205" spans="1:56" x14ac:dyDescent="0.25">
      <c r="A205" t="s">
        <v>7</v>
      </c>
      <c r="B205" t="s">
        <v>8</v>
      </c>
      <c r="C205" t="s">
        <v>9</v>
      </c>
      <c r="D205" t="s">
        <v>10</v>
      </c>
      <c r="E205">
        <v>5</v>
      </c>
      <c r="F205" s="1">
        <v>43434</v>
      </c>
      <c r="G205">
        <v>3.3643592299715003E-2</v>
      </c>
      <c r="K205" s="4">
        <v>40633</v>
      </c>
      <c r="L205" s="6">
        <v>-2.23385246012907E-3</v>
      </c>
      <c r="M205" s="6">
        <v>1.7096162482926299E-3</v>
      </c>
      <c r="N205" s="6">
        <v>-1.0158358953716599E-3</v>
      </c>
      <c r="O205" s="6">
        <v>2.02357287696605E-2</v>
      </c>
      <c r="P205" s="6">
        <v>1.1477136355090499E-2</v>
      </c>
      <c r="Q205" s="6">
        <v>1.02609950783254E-2</v>
      </c>
      <c r="R205" s="6">
        <v>2.49956293468192E-2</v>
      </c>
      <c r="S205" s="6">
        <v>2.3892481740522199E-2</v>
      </c>
      <c r="T205" s="6">
        <v>2.6823683818151901E-2</v>
      </c>
      <c r="U205" s="6">
        <v>2.17008615871648E-3</v>
      </c>
      <c r="V205" s="6">
        <v>-1.9864322448790502E-2</v>
      </c>
      <c r="W205" s="6">
        <v>-2.9450983781372099E-2</v>
      </c>
      <c r="X205" s="6">
        <v>-9.4866874325738194E-3</v>
      </c>
      <c r="Y205" s="6">
        <v>5.951367549734167E-2</v>
      </c>
      <c r="AA205">
        <v>-2.23385246012907E-3</v>
      </c>
      <c r="AB205">
        <v>1.7096162482926299E-3</v>
      </c>
      <c r="AC205">
        <v>-1.0158358953716599E-3</v>
      </c>
      <c r="AD205">
        <v>2.02357287696605E-2</v>
      </c>
      <c r="AE205">
        <v>1.1477136355090499E-2</v>
      </c>
      <c r="AF205">
        <v>1.02609950783254E-2</v>
      </c>
      <c r="AG205">
        <v>2.49956293468192E-2</v>
      </c>
      <c r="AH205">
        <v>2.3892481740522199E-2</v>
      </c>
      <c r="AI205">
        <v>2.6823683818151901E-2</v>
      </c>
      <c r="AJ205">
        <v>2.17008615871648E-3</v>
      </c>
      <c r="AK205">
        <v>-1.9864322448790502E-2</v>
      </c>
      <c r="AL205">
        <v>-2.9450983781372099E-2</v>
      </c>
      <c r="AM205">
        <v>-9.4866874325738194E-3</v>
      </c>
      <c r="AN205">
        <f>+IBOV!C130</f>
        <v>4.3624892638479906E-2</v>
      </c>
      <c r="AP205" s="1">
        <f t="shared" si="25"/>
        <v>40633</v>
      </c>
      <c r="AQ205">
        <f t="shared" si="26"/>
        <v>95.350473904478207</v>
      </c>
      <c r="AR205">
        <f t="shared" si="27"/>
        <v>94.38571499082768</v>
      </c>
      <c r="AS205">
        <f t="shared" si="28"/>
        <v>97.278605330452706</v>
      </c>
      <c r="AT205">
        <f t="shared" si="29"/>
        <v>96.301190118188117</v>
      </c>
      <c r="AU205">
        <f t="shared" si="30"/>
        <v>99.780841394877399</v>
      </c>
      <c r="AV205">
        <f t="shared" si="31"/>
        <v>148.27222572718523</v>
      </c>
      <c r="AW205">
        <f t="shared" si="32"/>
        <v>120.17950980610127</v>
      </c>
      <c r="AX205">
        <f t="shared" si="33"/>
        <v>85.456198260889579</v>
      </c>
      <c r="AY205">
        <f t="shared" si="34"/>
        <v>106.47894903633211</v>
      </c>
      <c r="AZ205">
        <f t="shared" si="35"/>
        <v>108.33742270025863</v>
      </c>
      <c r="BA205">
        <f t="shared" si="36"/>
        <v>115.32572590356821</v>
      </c>
      <c r="BB205">
        <f t="shared" si="37"/>
        <v>116.75024268885507</v>
      </c>
      <c r="BC205">
        <f t="shared" si="38"/>
        <v>118.43640261239244</v>
      </c>
      <c r="BD205">
        <f t="shared" si="39"/>
        <v>665.15778019586503</v>
      </c>
    </row>
    <row r="206" spans="1:56" x14ac:dyDescent="0.25">
      <c r="A206" t="s">
        <v>7</v>
      </c>
      <c r="B206" t="s">
        <v>8</v>
      </c>
      <c r="C206" t="s">
        <v>9</v>
      </c>
      <c r="D206" t="s">
        <v>10</v>
      </c>
      <c r="E206">
        <v>5</v>
      </c>
      <c r="F206" s="1">
        <v>43465</v>
      </c>
      <c r="G206">
        <v>-3.4719165851917498E-2</v>
      </c>
      <c r="K206" s="4">
        <v>40663</v>
      </c>
      <c r="L206" s="6">
        <v>1.2767461784536201E-2</v>
      </c>
      <c r="M206" s="6">
        <v>-1.5580501170088801E-3</v>
      </c>
      <c r="N206" s="6">
        <v>-7.8624252713259592E-3</v>
      </c>
      <c r="O206" s="6">
        <v>-1.15033463585712E-2</v>
      </c>
      <c r="P206" s="6">
        <v>5.7653153093642599E-3</v>
      </c>
      <c r="Q206" s="6">
        <v>6.9137942276141897E-3</v>
      </c>
      <c r="R206" s="6">
        <v>1.5190047026276E-2</v>
      </c>
      <c r="S206" s="6">
        <v>2.68587789323575E-2</v>
      </c>
      <c r="T206" s="6">
        <v>4.51440355392492E-2</v>
      </c>
      <c r="U206" s="6">
        <v>-1.03022157856382E-2</v>
      </c>
      <c r="V206" s="6">
        <v>-1.8544802940090699E-2</v>
      </c>
      <c r="W206" s="6">
        <v>2.9681204571270499E-2</v>
      </c>
      <c r="X206" s="6">
        <v>1.4923636115330201E-2</v>
      </c>
      <c r="Y206" s="6">
        <v>0.10747343303336312</v>
      </c>
      <c r="AA206">
        <v>1.2767461784536201E-2</v>
      </c>
      <c r="AB206">
        <v>-1.5580501170088801E-3</v>
      </c>
      <c r="AC206">
        <v>-7.8624252713259592E-3</v>
      </c>
      <c r="AD206">
        <v>-1.15033463585712E-2</v>
      </c>
      <c r="AE206">
        <v>5.7653153093642599E-3</v>
      </c>
      <c r="AF206">
        <v>6.9137942276141897E-3</v>
      </c>
      <c r="AG206">
        <v>1.5190047026276E-2</v>
      </c>
      <c r="AH206">
        <v>2.68587789323575E-2</v>
      </c>
      <c r="AI206">
        <v>4.51440355392492E-2</v>
      </c>
      <c r="AJ206">
        <v>-1.03022157856382E-2</v>
      </c>
      <c r="AK206">
        <v>-1.8544802940090699E-2</v>
      </c>
      <c r="AL206">
        <v>2.9681204571270499E-2</v>
      </c>
      <c r="AM206">
        <v>1.4923636115330201E-2</v>
      </c>
      <c r="AN206">
        <f>+IBOV!C131</f>
        <v>2.7080627787343658E-3</v>
      </c>
      <c r="AP206" s="1">
        <f t="shared" si="25"/>
        <v>40663</v>
      </c>
      <c r="AQ206">
        <f t="shared" si="26"/>
        <v>96.567857436191048</v>
      </c>
      <c r="AR206">
        <f t="shared" si="27"/>
        <v>94.238657316542245</v>
      </c>
      <c r="AS206">
        <f t="shared" si="28"/>
        <v>96.513759565543211</v>
      </c>
      <c r="AT206">
        <f t="shared" si="29"/>
        <v>95.193404173515987</v>
      </c>
      <c r="AU206">
        <f t="shared" si="30"/>
        <v>100.35610940735252</v>
      </c>
      <c r="AV206">
        <f t="shared" si="31"/>
        <v>149.29734938553338</v>
      </c>
      <c r="AW206">
        <f t="shared" si="32"/>
        <v>122.00504221165075</v>
      </c>
      <c r="AX206">
        <f t="shared" si="33"/>
        <v>87.751447398378531</v>
      </c>
      <c r="AY206">
        <f t="shared" si="34"/>
        <v>111.28583849581018</v>
      </c>
      <c r="AZ206">
        <f t="shared" si="35"/>
        <v>107.22130719394067</v>
      </c>
      <c r="BA206">
        <f t="shared" si="36"/>
        <v>113.18703304276362</v>
      </c>
      <c r="BB206">
        <f t="shared" si="37"/>
        <v>120.21553052584845</v>
      </c>
      <c r="BC206">
        <f t="shared" si="38"/>
        <v>120.20390438778853</v>
      </c>
      <c r="BD206">
        <f t="shared" si="39"/>
        <v>666.95906922239908</v>
      </c>
    </row>
    <row r="207" spans="1:56" x14ac:dyDescent="0.25">
      <c r="A207" t="s">
        <v>7</v>
      </c>
      <c r="B207" t="s">
        <v>8</v>
      </c>
      <c r="C207" t="s">
        <v>9</v>
      </c>
      <c r="D207" t="s">
        <v>10</v>
      </c>
      <c r="E207">
        <v>5</v>
      </c>
      <c r="F207" s="1">
        <v>43496</v>
      </c>
      <c r="G207">
        <v>2.59892616453756E-2</v>
      </c>
      <c r="K207" s="4">
        <v>40694</v>
      </c>
      <c r="L207" s="6">
        <v>2.3645894436397298E-3</v>
      </c>
      <c r="M207" s="6">
        <v>8.5534097485394991E-3</v>
      </c>
      <c r="N207" s="6">
        <v>2.0611411806976801E-2</v>
      </c>
      <c r="O207" s="6">
        <v>-3.7909835986536101E-3</v>
      </c>
      <c r="P207" s="6">
        <v>1.85079694224345E-2</v>
      </c>
      <c r="Q207" s="6">
        <v>2.2248963805406301E-2</v>
      </c>
      <c r="R207" s="6">
        <v>2.0657544651212799E-2</v>
      </c>
      <c r="S207" s="6">
        <v>3.4672298479193203E-2</v>
      </c>
      <c r="T207" s="6">
        <v>4.3580386695136003E-2</v>
      </c>
      <c r="U207" s="6">
        <v>4.3645240791383199E-3</v>
      </c>
      <c r="V207" s="6">
        <v>1.21771594222954E-2</v>
      </c>
      <c r="W207" s="6">
        <v>2.2062747221427498E-2</v>
      </c>
      <c r="X207" s="6">
        <v>2.8150386477368498E-2</v>
      </c>
      <c r="Y207" s="6">
        <v>0.23416040765411497</v>
      </c>
      <c r="AA207">
        <v>2.3645894436397298E-3</v>
      </c>
      <c r="AB207">
        <v>8.5534097485394991E-3</v>
      </c>
      <c r="AC207">
        <v>2.0611411806976801E-2</v>
      </c>
      <c r="AD207">
        <v>-3.7909835986536101E-3</v>
      </c>
      <c r="AE207">
        <v>1.85079694224345E-2</v>
      </c>
      <c r="AF207">
        <v>2.2248963805406301E-2</v>
      </c>
      <c r="AG207">
        <v>2.0657544651212799E-2</v>
      </c>
      <c r="AH207">
        <v>3.4672298479193203E-2</v>
      </c>
      <c r="AI207">
        <v>4.3580386695136003E-2</v>
      </c>
      <c r="AJ207">
        <v>4.3645240791383199E-3</v>
      </c>
      <c r="AK207">
        <v>1.21771594222954E-2</v>
      </c>
      <c r="AL207">
        <v>2.2062747221427498E-2</v>
      </c>
      <c r="AM207">
        <v>2.8150386477368498E-2</v>
      </c>
      <c r="AN207">
        <f>+IBOV!C132</f>
        <v>-3.2165518764683432E-2</v>
      </c>
      <c r="AP207" s="1">
        <f t="shared" si="25"/>
        <v>40694</v>
      </c>
      <c r="AQ207">
        <f t="shared" si="26"/>
        <v>96.796200772479565</v>
      </c>
      <c r="AR207">
        <f t="shared" si="27"/>
        <v>95.044719166722842</v>
      </c>
      <c r="AS207">
        <f t="shared" si="28"/>
        <v>98.503044408988174</v>
      </c>
      <c r="AT207">
        <f t="shared" si="29"/>
        <v>94.832527539594182</v>
      </c>
      <c r="AU207">
        <f t="shared" si="30"/>
        <v>102.2134972116183</v>
      </c>
      <c r="AV207">
        <f t="shared" si="31"/>
        <v>152.6190607082552</v>
      </c>
      <c r="AW207">
        <f t="shared" si="32"/>
        <v>124.52536681881101</v>
      </c>
      <c r="AX207">
        <f t="shared" si="33"/>
        <v>90.793991774556332</v>
      </c>
      <c r="AY207">
        <f t="shared" si="34"/>
        <v>116.13571837115005</v>
      </c>
      <c r="AZ207">
        <f t="shared" si="35"/>
        <v>107.68927717098532</v>
      </c>
      <c r="BA207">
        <f t="shared" si="36"/>
        <v>114.56532958866197</v>
      </c>
      <c r="BB207">
        <f t="shared" si="37"/>
        <v>122.86781538793004</v>
      </c>
      <c r="BC207">
        <f t="shared" si="38"/>
        <v>123.58769075239341</v>
      </c>
      <c r="BD207">
        <f t="shared" si="39"/>
        <v>645.50598476605023</v>
      </c>
    </row>
    <row r="208" spans="1:56" x14ac:dyDescent="0.25">
      <c r="A208" t="s">
        <v>7</v>
      </c>
      <c r="B208" t="s">
        <v>8</v>
      </c>
      <c r="C208" t="s">
        <v>9</v>
      </c>
      <c r="D208" t="s">
        <v>10</v>
      </c>
      <c r="E208">
        <v>5</v>
      </c>
      <c r="F208" s="1">
        <v>43524</v>
      </c>
      <c r="G208">
        <v>-1.6820791205935302E-2</v>
      </c>
      <c r="K208" s="4">
        <v>40724</v>
      </c>
      <c r="L208" s="6">
        <v>3.4764953336635499E-3</v>
      </c>
      <c r="M208" s="6">
        <v>2.45658769507099E-3</v>
      </c>
      <c r="N208" s="6">
        <v>2.6581532424883501E-3</v>
      </c>
      <c r="O208" s="6">
        <v>-6.46519998278522E-3</v>
      </c>
      <c r="P208" s="6">
        <v>1.83036618706999E-2</v>
      </c>
      <c r="Q208" s="6">
        <v>3.0375068365538101E-2</v>
      </c>
      <c r="R208" s="6">
        <v>5.4556199467331997E-3</v>
      </c>
      <c r="S208" s="6">
        <v>1.2948696306461499E-2</v>
      </c>
      <c r="T208" s="6">
        <v>1.6707004691024801E-2</v>
      </c>
      <c r="U208" s="6">
        <v>1.21953699083104E-2</v>
      </c>
      <c r="V208" s="6">
        <v>-5.0619788364027404E-3</v>
      </c>
      <c r="W208" s="6">
        <v>2.64623335154517E-2</v>
      </c>
      <c r="X208" s="6">
        <v>1.1481078421887701E-2</v>
      </c>
      <c r="Y208" s="6">
        <v>0.13099289047814225</v>
      </c>
      <c r="AA208">
        <v>3.4764953336635499E-3</v>
      </c>
      <c r="AB208">
        <v>2.45658769507099E-3</v>
      </c>
      <c r="AC208">
        <v>2.6581532424883501E-3</v>
      </c>
      <c r="AD208">
        <v>-6.46519998278522E-3</v>
      </c>
      <c r="AE208">
        <v>1.83036618706999E-2</v>
      </c>
      <c r="AF208">
        <v>3.0375068365538101E-2</v>
      </c>
      <c r="AG208">
        <v>5.4556199467331997E-3</v>
      </c>
      <c r="AH208">
        <v>1.2948696306461499E-2</v>
      </c>
      <c r="AI208">
        <v>1.6707004691024801E-2</v>
      </c>
      <c r="AJ208">
        <v>1.21953699083104E-2</v>
      </c>
      <c r="AK208">
        <v>-5.0619788364027404E-3</v>
      </c>
      <c r="AL208">
        <v>2.64623335154517E-2</v>
      </c>
      <c r="AM208">
        <v>1.1481078421887701E-2</v>
      </c>
      <c r="AN208">
        <f>+IBOV!C133</f>
        <v>-9.9016320317018014E-3</v>
      </c>
      <c r="AP208" s="1">
        <f t="shared" si="25"/>
        <v>40724</v>
      </c>
      <c r="AQ208">
        <f t="shared" si="26"/>
        <v>97.132712312781436</v>
      </c>
      <c r="AR208">
        <f t="shared" si="27"/>
        <v>95.278204854309294</v>
      </c>
      <c r="AS208">
        <f t="shared" si="28"/>
        <v>98.764880595878893</v>
      </c>
      <c r="AT208">
        <f t="shared" si="29"/>
        <v>94.219416284177711</v>
      </c>
      <c r="AU208">
        <f t="shared" si="30"/>
        <v>104.08437850320151</v>
      </c>
      <c r="AV208">
        <f t="shared" si="31"/>
        <v>157.25487511115267</v>
      </c>
      <c r="AW208">
        <f t="shared" si="32"/>
        <v>125.20472989390198</v>
      </c>
      <c r="AX208">
        <f t="shared" si="33"/>
        <v>91.969655600496438</v>
      </c>
      <c r="AY208">
        <f t="shared" si="34"/>
        <v>118.07599836277238</v>
      </c>
      <c r="AZ208">
        <f t="shared" si="35"/>
        <v>109.00258774124406</v>
      </c>
      <c r="BA208">
        <f t="shared" si="36"/>
        <v>113.98540231489866</v>
      </c>
      <c r="BB208">
        <f t="shared" si="37"/>
        <v>126.11918449704039</v>
      </c>
      <c r="BC208">
        <f t="shared" si="38"/>
        <v>125.00661072190165</v>
      </c>
      <c r="BD208">
        <f t="shared" si="39"/>
        <v>639.11442203063552</v>
      </c>
    </row>
    <row r="209" spans="1:56" x14ac:dyDescent="0.25">
      <c r="A209" t="s">
        <v>7</v>
      </c>
      <c r="B209" t="s">
        <v>8</v>
      </c>
      <c r="C209" t="s">
        <v>9</v>
      </c>
      <c r="D209" t="s">
        <v>10</v>
      </c>
      <c r="E209">
        <v>5</v>
      </c>
      <c r="F209" s="1">
        <v>43555</v>
      </c>
      <c r="G209">
        <v>-4.9471568594989497E-3</v>
      </c>
      <c r="K209" s="4">
        <v>40755</v>
      </c>
      <c r="L209" s="6">
        <v>1.05647950697354E-4</v>
      </c>
      <c r="M209" s="6">
        <v>2.26871194634586E-2</v>
      </c>
      <c r="N209" s="6">
        <v>1.44667969538162E-2</v>
      </c>
      <c r="O209" s="6">
        <v>-1.1734502070269799E-2</v>
      </c>
      <c r="P209" s="6">
        <v>1.79083690182648E-2</v>
      </c>
      <c r="Q209" s="6">
        <v>6.2535982267850995E-2</v>
      </c>
      <c r="R209" s="6">
        <v>-6.7039815003740403E-3</v>
      </c>
      <c r="S209" s="6">
        <v>1.6961030614008499E-2</v>
      </c>
      <c r="T209" s="6">
        <v>2.5015675580213701E-2</v>
      </c>
      <c r="U209" s="6">
        <v>2.0969024814224799E-3</v>
      </c>
      <c r="V209" s="6">
        <v>1.77245769874445E-2</v>
      </c>
      <c r="W209" s="6">
        <v>-3.0289712274449302E-3</v>
      </c>
      <c r="X209" s="6">
        <v>1.7131394995188599E-2</v>
      </c>
      <c r="Y209" s="6">
        <v>0.17516604151427692</v>
      </c>
      <c r="AA209">
        <v>1.05647950697354E-4</v>
      </c>
      <c r="AB209">
        <v>2.26871194634586E-2</v>
      </c>
      <c r="AC209">
        <v>1.44667969538162E-2</v>
      </c>
      <c r="AD209">
        <v>-1.1734502070269799E-2</v>
      </c>
      <c r="AE209">
        <v>1.79083690182648E-2</v>
      </c>
      <c r="AF209">
        <v>6.2535982267850995E-2</v>
      </c>
      <c r="AG209">
        <v>-6.7039815003740403E-3</v>
      </c>
      <c r="AH209">
        <v>1.6961030614008499E-2</v>
      </c>
      <c r="AI209">
        <v>2.5015675580213701E-2</v>
      </c>
      <c r="AJ209">
        <v>2.0969024814224799E-3</v>
      </c>
      <c r="AK209">
        <v>1.77245769874445E-2</v>
      </c>
      <c r="AL209">
        <v>-3.0289712274449302E-3</v>
      </c>
      <c r="AM209">
        <v>1.7131394995188599E-2</v>
      </c>
      <c r="AN209">
        <f>+IBOV!C134</f>
        <v>-3.7899286228799678E-2</v>
      </c>
      <c r="AP209" s="1">
        <f t="shared" si="25"/>
        <v>40755</v>
      </c>
      <c r="AQ209">
        <f t="shared" si="26"/>
        <v>97.142974184782958</v>
      </c>
      <c r="AR209">
        <f t="shared" si="27"/>
        <v>97.439792870102892</v>
      </c>
      <c r="AS209">
        <f t="shared" si="28"/>
        <v>100.19369206962737</v>
      </c>
      <c r="AT209">
        <f t="shared" si="29"/>
        <v>93.113798348731407</v>
      </c>
      <c r="AU209">
        <f t="shared" si="30"/>
        <v>105.94835996247359</v>
      </c>
      <c r="AV209">
        <f t="shared" si="31"/>
        <v>167.08896319263684</v>
      </c>
      <c r="AW209">
        <f t="shared" si="32"/>
        <v>124.36535970093394</v>
      </c>
      <c r="AX209">
        <f t="shared" si="33"/>
        <v>93.529555744696268</v>
      </c>
      <c r="AY209">
        <f t="shared" si="34"/>
        <v>121.02974923162535</v>
      </c>
      <c r="AZ209">
        <f t="shared" si="35"/>
        <v>109.23115553796015</v>
      </c>
      <c r="BA209">
        <f t="shared" si="36"/>
        <v>116.00574535367393</v>
      </c>
      <c r="BB209">
        <f t="shared" si="37"/>
        <v>125.73717311597004</v>
      </c>
      <c r="BC209">
        <f t="shared" si="38"/>
        <v>127.14814834718833</v>
      </c>
      <c r="BD209">
        <f t="shared" si="39"/>
        <v>614.89244161714259</v>
      </c>
    </row>
    <row r="210" spans="1:56" x14ac:dyDescent="0.25">
      <c r="A210" t="s">
        <v>7</v>
      </c>
      <c r="B210" t="s">
        <v>8</v>
      </c>
      <c r="C210" t="s">
        <v>9</v>
      </c>
      <c r="D210" t="s">
        <v>10</v>
      </c>
      <c r="E210">
        <v>5</v>
      </c>
      <c r="F210" s="1">
        <v>43585</v>
      </c>
      <c r="G210">
        <v>-2.40765285941253E-3</v>
      </c>
      <c r="K210" s="4">
        <v>40786</v>
      </c>
      <c r="L210" s="6">
        <v>2.7452791924340102E-2</v>
      </c>
      <c r="M210" s="6">
        <v>-3.8564088311160401E-3</v>
      </c>
      <c r="N210" s="6">
        <v>-1.5320339414571799E-3</v>
      </c>
      <c r="O210" s="6">
        <v>1.9568734461956699E-3</v>
      </c>
      <c r="P210" s="6">
        <v>4.3695784380479502E-3</v>
      </c>
      <c r="Q210" s="6">
        <v>1.23682502299874E-2</v>
      </c>
      <c r="R210" s="6">
        <v>4.9250675361076496E-3</v>
      </c>
      <c r="S210" s="6">
        <v>6.1674831836682202E-2</v>
      </c>
      <c r="T210" s="6">
        <v>5.7075296641107699E-2</v>
      </c>
      <c r="U210" s="6">
        <v>-1.63396126396038E-2</v>
      </c>
      <c r="V210" s="6">
        <v>1.05104929655677E-2</v>
      </c>
      <c r="W210" s="6">
        <v>-2.2661445329095399E-2</v>
      </c>
      <c r="X210" s="6">
        <v>1.36871450434099E-2</v>
      </c>
      <c r="Y210" s="6">
        <v>0.14963082732017385</v>
      </c>
      <c r="AA210">
        <v>2.7452791924340102E-2</v>
      </c>
      <c r="AB210">
        <v>-3.8564088311160401E-3</v>
      </c>
      <c r="AC210">
        <v>-1.5320339414571799E-3</v>
      </c>
      <c r="AD210">
        <v>1.9568734461956699E-3</v>
      </c>
      <c r="AE210">
        <v>4.3695784380479502E-3</v>
      </c>
      <c r="AF210">
        <v>1.23682502299874E-2</v>
      </c>
      <c r="AG210">
        <v>4.9250675361076496E-3</v>
      </c>
      <c r="AH210">
        <v>6.1674831836682202E-2</v>
      </c>
      <c r="AI210">
        <v>5.7075296641107699E-2</v>
      </c>
      <c r="AJ210">
        <v>-1.63396126396038E-2</v>
      </c>
      <c r="AK210">
        <v>1.05104929655677E-2</v>
      </c>
      <c r="AL210">
        <v>-2.2661445329095399E-2</v>
      </c>
      <c r="AM210">
        <v>1.36871450434099E-2</v>
      </c>
      <c r="AN210">
        <f>+IBOV!C135</f>
        <v>-7.1844728918122769E-2</v>
      </c>
      <c r="AP210" s="1">
        <f t="shared" si="25"/>
        <v>40786</v>
      </c>
      <c r="AQ210">
        <f t="shared" si="26"/>
        <v>99.809820041989354</v>
      </c>
      <c r="AR210">
        <f t="shared" si="27"/>
        <v>97.064025192376505</v>
      </c>
      <c r="AS210">
        <f t="shared" si="28"/>
        <v>100.0401919326568</v>
      </c>
      <c r="AT210">
        <f t="shared" si="29"/>
        <v>93.296010268194451</v>
      </c>
      <c r="AU210">
        <f t="shared" si="30"/>
        <v>106.41130963171216</v>
      </c>
      <c r="AV210">
        <f t="shared" si="31"/>
        <v>169.15556130007252</v>
      </c>
      <c r="AW210">
        <f t="shared" si="32"/>
        <v>124.97786749661336</v>
      </c>
      <c r="AX210">
        <f t="shared" si="33"/>
        <v>99.297975367010011</v>
      </c>
      <c r="AY210">
        <f t="shared" si="34"/>
        <v>127.93755807141923</v>
      </c>
      <c r="AZ210">
        <f t="shared" si="35"/>
        <v>107.44636076829356</v>
      </c>
      <c r="BA210">
        <f t="shared" si="36"/>
        <v>117.22502292417916</v>
      </c>
      <c r="BB210">
        <f t="shared" si="37"/>
        <v>122.88778704156748</v>
      </c>
      <c r="BC210">
        <f t="shared" si="38"/>
        <v>128.88844349561731</v>
      </c>
      <c r="BD210">
        <f t="shared" si="39"/>
        <v>570.7156608353564</v>
      </c>
    </row>
    <row r="211" spans="1:56" x14ac:dyDescent="0.25">
      <c r="A211" t="s">
        <v>7</v>
      </c>
      <c r="B211" t="s">
        <v>8</v>
      </c>
      <c r="C211" t="s">
        <v>9</v>
      </c>
      <c r="D211" t="s">
        <v>10</v>
      </c>
      <c r="E211">
        <v>5</v>
      </c>
      <c r="F211" s="1">
        <v>43616</v>
      </c>
      <c r="G211">
        <v>-4.34275876975641E-2</v>
      </c>
      <c r="K211" s="4">
        <v>40816</v>
      </c>
      <c r="L211" s="6">
        <v>5.3275462152606999E-2</v>
      </c>
      <c r="M211" s="6">
        <v>3.36818372075708E-2</v>
      </c>
      <c r="N211" s="6">
        <v>3.6470404571363101E-2</v>
      </c>
      <c r="O211" s="6">
        <v>1.7598662316360499E-4</v>
      </c>
      <c r="P211" s="6">
        <v>6.8696466145203805E-2</v>
      </c>
      <c r="Q211" s="6">
        <v>6.6966035785044301E-2</v>
      </c>
      <c r="R211" s="6">
        <v>1.54242145131146E-2</v>
      </c>
      <c r="S211" s="6">
        <v>2.7910245002019499E-2</v>
      </c>
      <c r="T211" s="6">
        <v>2.48431690744014E-2</v>
      </c>
      <c r="U211" s="6">
        <v>2.55364747325307E-3</v>
      </c>
      <c r="V211" s="6">
        <v>7.1956120050676604E-3</v>
      </c>
      <c r="W211" s="6">
        <v>7.4545191159278903E-3</v>
      </c>
      <c r="X211" s="6">
        <v>1.7857692918772001E-2</v>
      </c>
      <c r="Y211" s="6">
        <v>0.36250529258750874</v>
      </c>
      <c r="AA211">
        <v>5.3275462152606999E-2</v>
      </c>
      <c r="AB211">
        <v>3.36818372075708E-2</v>
      </c>
      <c r="AC211">
        <v>3.6470404571363101E-2</v>
      </c>
      <c r="AD211">
        <v>1.7598662316360499E-4</v>
      </c>
      <c r="AE211">
        <v>6.8696466145203805E-2</v>
      </c>
      <c r="AF211">
        <v>6.6966035785044301E-2</v>
      </c>
      <c r="AG211">
        <v>1.54242145131146E-2</v>
      </c>
      <c r="AH211">
        <v>2.7910245002019499E-2</v>
      </c>
      <c r="AI211">
        <v>2.48431690744014E-2</v>
      </c>
      <c r="AJ211">
        <v>2.55364747325307E-3</v>
      </c>
      <c r="AK211">
        <v>7.1956120050676604E-3</v>
      </c>
      <c r="AL211">
        <v>7.4545191159278903E-3</v>
      </c>
      <c r="AM211">
        <v>1.7857692918772001E-2</v>
      </c>
      <c r="AN211">
        <f>+IBOV!C136</f>
        <v>-0.20595335521549241</v>
      </c>
      <c r="AP211" s="1">
        <f t="shared" si="25"/>
        <v>40816</v>
      </c>
      <c r="AQ211">
        <f t="shared" si="26"/>
        <v>105.12723433209487</v>
      </c>
      <c r="AR211">
        <f t="shared" si="27"/>
        <v>100.33331988761769</v>
      </c>
      <c r="AS211">
        <f t="shared" si="28"/>
        <v>103.6886982058376</v>
      </c>
      <c r="AT211">
        <f t="shared" si="29"/>
        <v>93.312429117996189</v>
      </c>
      <c r="AU211">
        <f t="shared" si="30"/>
        <v>113.72139056129387</v>
      </c>
      <c r="AV211">
        <f t="shared" si="31"/>
        <v>180.48323867133243</v>
      </c>
      <c r="AW211">
        <f t="shared" si="32"/>
        <v>126.90555293427275</v>
      </c>
      <c r="AX211">
        <f t="shared" si="33"/>
        <v>102.06940618770776</v>
      </c>
      <c r="AY211">
        <f t="shared" si="34"/>
        <v>131.11593245755353</v>
      </c>
      <c r="AZ211">
        <f t="shared" si="35"/>
        <v>107.72074089597974</v>
      </c>
      <c r="BA211">
        <f t="shared" si="36"/>
        <v>118.0685287064267</v>
      </c>
      <c r="BB211">
        <f t="shared" si="37"/>
        <v>123.80385639918292</v>
      </c>
      <c r="BC211">
        <f t="shared" si="38"/>
        <v>131.19009374034053</v>
      </c>
      <c r="BD211">
        <f t="shared" si="39"/>
        <v>453.17485561228779</v>
      </c>
    </row>
    <row r="212" spans="1:56" x14ac:dyDescent="0.25">
      <c r="A212" t="s">
        <v>7</v>
      </c>
      <c r="B212" t="s">
        <v>8</v>
      </c>
      <c r="C212" t="s">
        <v>9</v>
      </c>
      <c r="D212" t="s">
        <v>10</v>
      </c>
      <c r="E212">
        <v>5</v>
      </c>
      <c r="F212" s="1">
        <v>43646</v>
      </c>
      <c r="G212">
        <v>8.14636265244431E-5</v>
      </c>
      <c r="K212" s="4">
        <v>40847</v>
      </c>
      <c r="L212" s="6">
        <v>-7.9564031770271396E-2</v>
      </c>
      <c r="M212" s="6">
        <v>2.4430300810794999E-2</v>
      </c>
      <c r="N212" s="6">
        <v>2.61392322798585E-3</v>
      </c>
      <c r="O212" s="6">
        <v>-1.9518124102480199E-2</v>
      </c>
      <c r="P212" s="6">
        <v>-1.39169551915662E-2</v>
      </c>
      <c r="Q212" s="6">
        <v>-6.7226648676462497E-2</v>
      </c>
      <c r="R212" s="6">
        <v>-4.7275792687795297E-2</v>
      </c>
      <c r="S212" s="6">
        <v>-3.4361615791636199E-2</v>
      </c>
      <c r="T212" s="6">
        <v>-3.8360099390982297E-2</v>
      </c>
      <c r="U212" s="6">
        <v>-3.4311494290585999E-4</v>
      </c>
      <c r="V212" s="6">
        <v>5.3922525156194397E-2</v>
      </c>
      <c r="W212" s="6">
        <v>1.09112284705589E-4</v>
      </c>
      <c r="X212" s="6">
        <v>1.3880771107465001E-2</v>
      </c>
      <c r="Y212" s="6">
        <v>-0.20560974996695411</v>
      </c>
      <c r="AA212">
        <v>-7.9564031770271396E-2</v>
      </c>
      <c r="AB212">
        <v>2.4430300810794999E-2</v>
      </c>
      <c r="AC212">
        <v>2.61392322798585E-3</v>
      </c>
      <c r="AD212">
        <v>-1.9518124102480199E-2</v>
      </c>
      <c r="AE212">
        <v>-1.39169551915662E-2</v>
      </c>
      <c r="AF212">
        <v>-6.7226648676462497E-2</v>
      </c>
      <c r="AG212">
        <v>-4.7275792687795297E-2</v>
      </c>
      <c r="AH212">
        <v>-3.4361615791636199E-2</v>
      </c>
      <c r="AI212">
        <v>-3.8360099390982297E-2</v>
      </c>
      <c r="AJ212">
        <v>-3.4311494290585999E-4</v>
      </c>
      <c r="AK212">
        <v>5.3922525156194397E-2</v>
      </c>
      <c r="AL212">
        <v>1.09112284705589E-4</v>
      </c>
      <c r="AM212">
        <v>1.3880771107465001E-2</v>
      </c>
      <c r="AN212">
        <f>+IBOV!C137</f>
        <v>0.19919173710030158</v>
      </c>
      <c r="AP212" s="1">
        <f t="shared" si="25"/>
        <v>40847</v>
      </c>
      <c r="AQ212">
        <f t="shared" si="26"/>
        <v>96.762887719775307</v>
      </c>
      <c r="AR212">
        <f t="shared" si="27"/>
        <v>102.7844930738179</v>
      </c>
      <c r="AS212">
        <f t="shared" si="28"/>
        <v>103.95973250255744</v>
      </c>
      <c r="AT212">
        <f t="shared" si="29"/>
        <v>91.491145546167246</v>
      </c>
      <c r="AU212">
        <f t="shared" si="30"/>
        <v>112.13873506452974</v>
      </c>
      <c r="AV212">
        <f t="shared" si="31"/>
        <v>168.34995539318462</v>
      </c>
      <c r="AW212">
        <f t="shared" si="32"/>
        <v>120.90599232282204</v>
      </c>
      <c r="AX212">
        <f t="shared" si="33"/>
        <v>98.562136468205281</v>
      </c>
      <c r="AY212">
        <f t="shared" si="34"/>
        <v>126.08631225674046</v>
      </c>
      <c r="AZ212">
        <f t="shared" si="35"/>
        <v>107.68378030011745</v>
      </c>
      <c r="BA212">
        <f t="shared" si="36"/>
        <v>124.43508191575386</v>
      </c>
      <c r="BB212">
        <f t="shared" si="37"/>
        <v>123.81736492081001</v>
      </c>
      <c r="BC212">
        <f t="shared" si="38"/>
        <v>133.01111340311709</v>
      </c>
      <c r="BD212">
        <f t="shared" si="39"/>
        <v>543.44354231187776</v>
      </c>
    </row>
    <row r="213" spans="1:56" x14ac:dyDescent="0.25">
      <c r="A213" t="s">
        <v>7</v>
      </c>
      <c r="B213" t="s">
        <v>8</v>
      </c>
      <c r="C213" t="s">
        <v>9</v>
      </c>
      <c r="D213" t="s">
        <v>10</v>
      </c>
      <c r="E213">
        <v>5</v>
      </c>
      <c r="F213" s="1">
        <v>43677</v>
      </c>
      <c r="G213">
        <v>9.1574815691219703E-3</v>
      </c>
      <c r="K213" s="4">
        <v>40877</v>
      </c>
      <c r="L213" s="6">
        <v>9.1765591205882294E-3</v>
      </c>
      <c r="M213" s="6">
        <v>2.1787033132097299E-2</v>
      </c>
      <c r="N213" s="6">
        <v>1.89878496239849E-2</v>
      </c>
      <c r="O213" s="6">
        <v>-1.90897781167517E-2</v>
      </c>
      <c r="P213" s="6">
        <v>4.5663214944066298E-2</v>
      </c>
      <c r="Q213" s="6">
        <v>4.6393151577450803E-2</v>
      </c>
      <c r="R213" s="6">
        <v>2.84274569281621E-3</v>
      </c>
      <c r="S213" s="6">
        <v>3.8088638919123501E-2</v>
      </c>
      <c r="T213" s="6">
        <v>4.56310393309017E-2</v>
      </c>
      <c r="U213" s="6">
        <v>-3.3605932673297502E-3</v>
      </c>
      <c r="V213" s="6">
        <v>1.5885848127916199E-2</v>
      </c>
      <c r="W213" s="6">
        <v>-1.18063907633979E-2</v>
      </c>
      <c r="X213" s="6">
        <v>5.2940086082159804E-3</v>
      </c>
      <c r="Y213" s="6">
        <v>0.21549332692968182</v>
      </c>
      <c r="AA213">
        <v>9.1765591205882294E-3</v>
      </c>
      <c r="AB213">
        <v>2.1787033132097299E-2</v>
      </c>
      <c r="AC213">
        <v>1.89878496239849E-2</v>
      </c>
      <c r="AD213">
        <v>-1.90897781167517E-2</v>
      </c>
      <c r="AE213">
        <v>4.5663214944066298E-2</v>
      </c>
      <c r="AF213">
        <v>4.6393151577450803E-2</v>
      </c>
      <c r="AG213">
        <v>2.84274569281621E-3</v>
      </c>
      <c r="AH213">
        <v>3.8088638919123501E-2</v>
      </c>
      <c r="AI213">
        <v>4.56310393309017E-2</v>
      </c>
      <c r="AJ213">
        <v>-3.3605932673297502E-3</v>
      </c>
      <c r="AK213">
        <v>1.5885848127916199E-2</v>
      </c>
      <c r="AL213">
        <v>-1.18063907633979E-2</v>
      </c>
      <c r="AM213">
        <v>5.2940086082159804E-3</v>
      </c>
      <c r="AN213">
        <f>+IBOV!C138</f>
        <v>-5.3711039781163539E-2</v>
      </c>
      <c r="AP213" s="1">
        <f t="shared" si="25"/>
        <v>40877</v>
      </c>
      <c r="AQ213">
        <f t="shared" si="26"/>
        <v>97.650838079614658</v>
      </c>
      <c r="AR213">
        <f t="shared" si="27"/>
        <v>105.02386222988299</v>
      </c>
      <c r="AS213">
        <f t="shared" si="28"/>
        <v>105.93370427026569</v>
      </c>
      <c r="AT213">
        <f t="shared" si="29"/>
        <v>89.744599878043473</v>
      </c>
      <c r="AU213">
        <f t="shared" si="30"/>
        <v>117.25935022733707</v>
      </c>
      <c r="AV213">
        <f t="shared" si="31"/>
        <v>176.16024039179769</v>
      </c>
      <c r="AW213">
        <f t="shared" si="32"/>
        <v>121.24969731173341</v>
      </c>
      <c r="AX213">
        <f t="shared" si="33"/>
        <v>102.31623409524013</v>
      </c>
      <c r="AY213">
        <f t="shared" si="34"/>
        <v>131.83976173041611</v>
      </c>
      <c r="AZ213">
        <f t="shared" si="35"/>
        <v>107.32189891304026</v>
      </c>
      <c r="BA213">
        <f t="shared" si="36"/>
        <v>126.41183872885235</v>
      </c>
      <c r="BB213">
        <f t="shared" si="37"/>
        <v>122.35552872726069</v>
      </c>
      <c r="BC213">
        <f t="shared" si="38"/>
        <v>133.71527538246158</v>
      </c>
      <c r="BD213">
        <f t="shared" si="39"/>
        <v>514.25462459194807</v>
      </c>
    </row>
    <row r="214" spans="1:56" x14ac:dyDescent="0.25">
      <c r="A214" t="s">
        <v>7</v>
      </c>
      <c r="B214" t="s">
        <v>8</v>
      </c>
      <c r="C214" t="s">
        <v>9</v>
      </c>
      <c r="D214" t="s">
        <v>10</v>
      </c>
      <c r="E214">
        <v>5</v>
      </c>
      <c r="F214" s="1">
        <v>43708</v>
      </c>
      <c r="G214">
        <v>2.27548705780296E-3</v>
      </c>
      <c r="K214" s="4">
        <v>40908</v>
      </c>
      <c r="L214" s="6">
        <v>3.3253622468442899E-2</v>
      </c>
      <c r="M214" s="6">
        <v>-2.5804074875595598E-3</v>
      </c>
      <c r="N214" s="6">
        <v>1.6065040749200999E-2</v>
      </c>
      <c r="O214" s="6">
        <v>-1.6551132131246701E-2</v>
      </c>
      <c r="P214" s="6">
        <v>4.32195988363493E-2</v>
      </c>
      <c r="Q214" s="6">
        <v>8.8169282029060894E-3</v>
      </c>
      <c r="R214" s="6">
        <v>6.2897568211145102E-3</v>
      </c>
      <c r="S214" s="6">
        <v>1.6659973459485201E-3</v>
      </c>
      <c r="T214" s="6">
        <v>4.6908881857541601E-3</v>
      </c>
      <c r="U214" s="6">
        <v>2.1962534548776798E-3</v>
      </c>
      <c r="V214" s="6">
        <v>-8.1036443770892801E-3</v>
      </c>
      <c r="W214" s="6">
        <v>5.44577825545555E-3</v>
      </c>
      <c r="X214" s="6">
        <v>9.9133661351097201E-3</v>
      </c>
      <c r="Y214" s="6">
        <v>0.10432204645926391</v>
      </c>
      <c r="AA214">
        <v>3.3253622468442899E-2</v>
      </c>
      <c r="AB214">
        <v>-2.5804074875595598E-3</v>
      </c>
      <c r="AC214">
        <v>1.6065040749200999E-2</v>
      </c>
      <c r="AD214">
        <v>-1.6551132131246701E-2</v>
      </c>
      <c r="AE214">
        <v>4.32195988363493E-2</v>
      </c>
      <c r="AF214">
        <v>8.8169282029060894E-3</v>
      </c>
      <c r="AG214">
        <v>6.2897568211145102E-3</v>
      </c>
      <c r="AH214">
        <v>1.6659973459485201E-3</v>
      </c>
      <c r="AI214">
        <v>4.6908881857541601E-3</v>
      </c>
      <c r="AJ214">
        <v>2.1962534548776798E-3</v>
      </c>
      <c r="AK214">
        <v>-8.1036443770892801E-3</v>
      </c>
      <c r="AL214">
        <v>5.44577825545555E-3</v>
      </c>
      <c r="AM214">
        <v>9.9133661351097201E-3</v>
      </c>
      <c r="AN214">
        <f>+IBOV!C139</f>
        <v>-2.0208991178098379E-2</v>
      </c>
      <c r="AP214" s="1">
        <f t="shared" si="25"/>
        <v>40908</v>
      </c>
      <c r="AQ214">
        <f t="shared" si="26"/>
        <v>100.89808218284122</v>
      </c>
      <c r="AR214">
        <f t="shared" si="27"/>
        <v>104.75285786941258</v>
      </c>
      <c r="AS214">
        <f t="shared" si="28"/>
        <v>107.63553354608131</v>
      </c>
      <c r="AT214">
        <f t="shared" si="29"/>
        <v>88.259225147396108</v>
      </c>
      <c r="AU214">
        <f t="shared" si="30"/>
        <v>122.32725230397355</v>
      </c>
      <c r="AV214">
        <f t="shared" si="31"/>
        <v>177.71343258353883</v>
      </c>
      <c r="AW214">
        <f t="shared" si="32"/>
        <v>122.01232842245795</v>
      </c>
      <c r="AX214">
        <f t="shared" si="33"/>
        <v>102.48669266969026</v>
      </c>
      <c r="AY214">
        <f t="shared" si="34"/>
        <v>132.45820731112997</v>
      </c>
      <c r="AZ214">
        <f t="shared" si="35"/>
        <v>107.55760500431205</v>
      </c>
      <c r="BA214">
        <f t="shared" si="36"/>
        <v>125.38744214273976</v>
      </c>
      <c r="BB214">
        <f t="shared" si="37"/>
        <v>123.02184980503837</v>
      </c>
      <c r="BC214">
        <f t="shared" si="38"/>
        <v>135.04084386518494</v>
      </c>
      <c r="BD214">
        <f t="shared" si="39"/>
        <v>503.86205742027312</v>
      </c>
    </row>
    <row r="215" spans="1:56" x14ac:dyDescent="0.25">
      <c r="A215" t="s">
        <v>7</v>
      </c>
      <c r="B215" t="s">
        <v>8</v>
      </c>
      <c r="C215" t="s">
        <v>9</v>
      </c>
      <c r="D215" t="s">
        <v>10</v>
      </c>
      <c r="E215">
        <v>5</v>
      </c>
      <c r="F215" s="1">
        <v>43738</v>
      </c>
      <c r="G215">
        <v>2.8649995189112501E-2</v>
      </c>
      <c r="K215" s="4">
        <v>40939</v>
      </c>
      <c r="L215" s="6">
        <v>-5.6340726725317203E-2</v>
      </c>
      <c r="M215" s="6">
        <v>-1.8303583424231398E-2</v>
      </c>
      <c r="N215" s="6">
        <v>-3.7222090711761198E-2</v>
      </c>
      <c r="O215" s="6">
        <v>2.3256423953395999E-2</v>
      </c>
      <c r="P215" s="6">
        <v>-6.5668945925019095E-2</v>
      </c>
      <c r="Q215" s="6">
        <v>-5.5839985021990897E-2</v>
      </c>
      <c r="R215" s="6">
        <v>-2.3281244170725999E-2</v>
      </c>
      <c r="S215" s="6">
        <v>-1.20454750568576E-3</v>
      </c>
      <c r="T215" s="6">
        <v>-2.0537297851700099E-2</v>
      </c>
      <c r="U215" s="6">
        <v>-2.0184274448000999E-2</v>
      </c>
      <c r="V215" s="6">
        <v>4.27579641922297E-2</v>
      </c>
      <c r="W215" s="6">
        <v>-2.3059579728086602E-2</v>
      </c>
      <c r="X215" s="6">
        <v>1.5997245934408998E-2</v>
      </c>
      <c r="Y215" s="6">
        <v>-0.23963064143248453</v>
      </c>
      <c r="AA215">
        <v>-5.6340726725317203E-2</v>
      </c>
      <c r="AB215">
        <v>-1.8303583424231398E-2</v>
      </c>
      <c r="AC215">
        <v>-3.7222090711761198E-2</v>
      </c>
      <c r="AD215">
        <v>2.3256423953395999E-2</v>
      </c>
      <c r="AE215">
        <v>-6.5668945925019095E-2</v>
      </c>
      <c r="AF215">
        <v>-5.5839985021990897E-2</v>
      </c>
      <c r="AG215">
        <v>-2.3281244170725999E-2</v>
      </c>
      <c r="AH215">
        <v>-1.20454750568576E-3</v>
      </c>
      <c r="AI215">
        <v>-2.0537297851700099E-2</v>
      </c>
      <c r="AJ215">
        <v>-2.0184274448000999E-2</v>
      </c>
      <c r="AK215">
        <v>4.27579641922297E-2</v>
      </c>
      <c r="AL215">
        <v>-2.3059579728086602E-2</v>
      </c>
      <c r="AM215">
        <v>1.5997245934408998E-2</v>
      </c>
      <c r="AN215">
        <f>+IBOV!C140</f>
        <v>0.14305838887375333</v>
      </c>
      <c r="AP215" s="1">
        <f t="shared" si="25"/>
        <v>40939</v>
      </c>
      <c r="AQ215">
        <f t="shared" si="26"/>
        <v>95.213410907469168</v>
      </c>
      <c r="AR215">
        <f t="shared" si="27"/>
        <v>102.83550519647312</v>
      </c>
      <c r="AS215">
        <f t="shared" si="28"/>
        <v>103.62911395262026</v>
      </c>
      <c r="AT215">
        <f t="shared" si="29"/>
        <v>90.31181910522217</v>
      </c>
      <c r="AU215">
        <f t="shared" si="30"/>
        <v>114.29415058726775</v>
      </c>
      <c r="AV215">
        <f t="shared" si="31"/>
        <v>167.78991716986744</v>
      </c>
      <c r="AW215">
        <f t="shared" si="32"/>
        <v>119.17172961261591</v>
      </c>
      <c r="AX215">
        <f t="shared" si="33"/>
        <v>102.36324257966899</v>
      </c>
      <c r="AY215">
        <f t="shared" si="34"/>
        <v>129.73787365467905</v>
      </c>
      <c r="AZ215">
        <f t="shared" si="35"/>
        <v>105.38663278593533</v>
      </c>
      <c r="BA215">
        <f t="shared" si="36"/>
        <v>130.74875390403432</v>
      </c>
      <c r="BB215">
        <f t="shared" si="37"/>
        <v>120.1850176511624</v>
      </c>
      <c r="BC215">
        <f t="shared" si="38"/>
        <v>137.20112545568645</v>
      </c>
      <c r="BD215">
        <f t="shared" si="39"/>
        <v>575.94375156943192</v>
      </c>
    </row>
    <row r="216" spans="1:56" x14ac:dyDescent="0.25">
      <c r="A216" t="s">
        <v>7</v>
      </c>
      <c r="B216" t="s">
        <v>8</v>
      </c>
      <c r="C216" t="s">
        <v>9</v>
      </c>
      <c r="D216" t="s">
        <v>10</v>
      </c>
      <c r="E216">
        <v>5</v>
      </c>
      <c r="F216" s="1">
        <v>43769</v>
      </c>
      <c r="G216">
        <v>-1.7240719440120199E-2</v>
      </c>
      <c r="K216" s="4">
        <v>40968</v>
      </c>
      <c r="L216" s="6">
        <v>1.4183042604669501E-3</v>
      </c>
      <c r="M216" s="6">
        <v>-1.33267985019521E-2</v>
      </c>
      <c r="N216" s="6">
        <v>-1.7897949911620501E-2</v>
      </c>
      <c r="O216" s="6">
        <v>1.5813457956881001E-2</v>
      </c>
      <c r="P216" s="6">
        <v>7.4421833185100896E-3</v>
      </c>
      <c r="Q216" s="6">
        <v>9.1118224624827104E-3</v>
      </c>
      <c r="R216" s="6">
        <v>8.0055115212417094E-3</v>
      </c>
      <c r="S216" s="6">
        <v>-1.87185251648113E-3</v>
      </c>
      <c r="T216" s="6">
        <v>1.3046938610267201E-2</v>
      </c>
      <c r="U216" s="6">
        <v>6.1544879552899098E-3</v>
      </c>
      <c r="V216" s="6">
        <v>7.2745373705005402E-3</v>
      </c>
      <c r="W216" s="6">
        <v>-3.5794618523327299E-3</v>
      </c>
      <c r="X216" s="6">
        <v>-2.1506424971682699E-2</v>
      </c>
      <c r="Y216" s="6">
        <v>1.0084755701570945E-2</v>
      </c>
      <c r="AA216">
        <v>1.4183042604669501E-3</v>
      </c>
      <c r="AB216">
        <v>-1.33267985019521E-2</v>
      </c>
      <c r="AC216">
        <v>-1.7897949911620501E-2</v>
      </c>
      <c r="AD216">
        <v>1.5813457956881001E-2</v>
      </c>
      <c r="AE216">
        <v>7.4421833185100896E-3</v>
      </c>
      <c r="AF216">
        <v>9.1118224624827104E-3</v>
      </c>
      <c r="AG216">
        <v>8.0055115212417094E-3</v>
      </c>
      <c r="AH216">
        <v>-1.87185251648113E-3</v>
      </c>
      <c r="AI216">
        <v>1.3046938610267201E-2</v>
      </c>
      <c r="AJ216">
        <v>6.1544879552899098E-3</v>
      </c>
      <c r="AK216">
        <v>7.2745373705005402E-3</v>
      </c>
      <c r="AL216">
        <v>-3.5794618523327299E-3</v>
      </c>
      <c r="AM216">
        <v>-2.1506424971682699E-2</v>
      </c>
      <c r="AN216">
        <f>+IBOV!C141</f>
        <v>5.4572142774095944E-2</v>
      </c>
      <c r="AP216" s="1">
        <f t="shared" si="25"/>
        <v>40968</v>
      </c>
      <c r="AQ216">
        <f t="shared" si="26"/>
        <v>95.348452493812829</v>
      </c>
      <c r="AR216">
        <f t="shared" si="27"/>
        <v>101.46503713987327</v>
      </c>
      <c r="AS216">
        <f t="shared" si="28"/>
        <v>101.77436526171064</v>
      </c>
      <c r="AT216">
        <f t="shared" si="29"/>
        <v>91.739961259652034</v>
      </c>
      <c r="AU216">
        <f t="shared" si="30"/>
        <v>115.1447486081716</v>
      </c>
      <c r="AV216">
        <f t="shared" si="31"/>
        <v>169.31878910611394</v>
      </c>
      <c r="AW216">
        <f t="shared" si="32"/>
        <v>120.125760267036</v>
      </c>
      <c r="AX216">
        <f t="shared" si="33"/>
        <v>102.17163368645107</v>
      </c>
      <c r="AY216">
        <f t="shared" si="34"/>
        <v>131.43055572767824</v>
      </c>
      <c r="AZ216">
        <f t="shared" si="35"/>
        <v>106.03523354806494</v>
      </c>
      <c r="BA216">
        <f t="shared" si="36"/>
        <v>131.6998906004556</v>
      </c>
      <c r="BB216">
        <f t="shared" si="37"/>
        <v>119.75481996525812</v>
      </c>
      <c r="BC216">
        <f t="shared" si="38"/>
        <v>134.2504197450433</v>
      </c>
      <c r="BD216">
        <f t="shared" si="39"/>
        <v>607.3742362099274</v>
      </c>
    </row>
    <row r="217" spans="1:56" x14ac:dyDescent="0.25">
      <c r="A217" t="s">
        <v>7</v>
      </c>
      <c r="B217" t="s">
        <v>8</v>
      </c>
      <c r="C217" t="s">
        <v>9</v>
      </c>
      <c r="D217" t="s">
        <v>10</v>
      </c>
      <c r="E217">
        <v>5</v>
      </c>
      <c r="F217" s="1">
        <v>43799</v>
      </c>
      <c r="G217">
        <v>2.3875876988116499E-2</v>
      </c>
      <c r="K217" s="4">
        <v>40999</v>
      </c>
      <c r="L217" s="6">
        <v>1.18657599448488E-2</v>
      </c>
      <c r="M217" s="6">
        <v>3.8535751471111498E-3</v>
      </c>
      <c r="N217" s="6">
        <v>7.2210553854097298E-3</v>
      </c>
      <c r="O217" s="6">
        <v>1.28270611184287E-2</v>
      </c>
      <c r="P217" s="6">
        <v>3.1512414932646997E-2</v>
      </c>
      <c r="Q217" s="6">
        <v>2.4841859360306199E-2</v>
      </c>
      <c r="R217" s="6">
        <v>1.8730300085622199E-2</v>
      </c>
      <c r="S217" s="6">
        <v>2.45112629513238E-2</v>
      </c>
      <c r="T217" s="6">
        <v>2.5836187289180999E-2</v>
      </c>
      <c r="U217" s="6">
        <v>6.4169815475090405E-4</v>
      </c>
      <c r="V217" s="6">
        <v>-1.61937882059097E-2</v>
      </c>
      <c r="W217" s="6">
        <v>1.7559296123087199E-2</v>
      </c>
      <c r="X217" s="6">
        <v>-5.7614430607338804E-3</v>
      </c>
      <c r="Y217" s="6">
        <v>0.15744523922607312</v>
      </c>
      <c r="AA217">
        <v>1.18657599448488E-2</v>
      </c>
      <c r="AB217">
        <v>3.8535751471111498E-3</v>
      </c>
      <c r="AC217">
        <v>7.2210553854097298E-3</v>
      </c>
      <c r="AD217">
        <v>1.28270611184287E-2</v>
      </c>
      <c r="AE217">
        <v>3.1512414932646997E-2</v>
      </c>
      <c r="AF217">
        <v>2.4841859360306199E-2</v>
      </c>
      <c r="AG217">
        <v>1.8730300085622199E-2</v>
      </c>
      <c r="AH217">
        <v>2.45112629513238E-2</v>
      </c>
      <c r="AI217">
        <v>2.5836187289180999E-2</v>
      </c>
      <c r="AJ217">
        <v>6.4169815475090405E-4</v>
      </c>
      <c r="AK217">
        <v>-1.61937882059097E-2</v>
      </c>
      <c r="AL217">
        <v>1.7559296123087199E-2</v>
      </c>
      <c r="AM217">
        <v>-5.7614430607338804E-3</v>
      </c>
      <c r="AN217">
        <f>+IBOV!C142</f>
        <v>-6.5336328431845447E-2</v>
      </c>
      <c r="AP217" s="1">
        <f t="shared" si="25"/>
        <v>40999</v>
      </c>
      <c r="AQ217">
        <f t="shared" si="26"/>
        <v>96.479834342217231</v>
      </c>
      <c r="AR217">
        <f t="shared" si="27"/>
        <v>101.8560402852962</v>
      </c>
      <c r="AS217">
        <f t="shared" si="28"/>
        <v>102.50928359008037</v>
      </c>
      <c r="AT217">
        <f t="shared" si="29"/>
        <v>92.916715349731874</v>
      </c>
      <c r="AU217">
        <f t="shared" si="30"/>
        <v>118.77323770362761</v>
      </c>
      <c r="AV217">
        <f t="shared" si="31"/>
        <v>173.52498265214535</v>
      </c>
      <c r="AW217">
        <f t="shared" si="32"/>
        <v>122.37575180485111</v>
      </c>
      <c r="AX217">
        <f t="shared" si="33"/>
        <v>104.675989465906</v>
      </c>
      <c r="AY217">
        <f t="shared" si="34"/>
        <v>134.82622018097967</v>
      </c>
      <c r="AZ217">
        <f t="shared" si="35"/>
        <v>106.10327616177132</v>
      </c>
      <c r="BA217">
        <f t="shared" si="36"/>
        <v>129.56717046533035</v>
      </c>
      <c r="BB217">
        <f t="shared" si="37"/>
        <v>121.85763031119509</v>
      </c>
      <c r="BC217">
        <f t="shared" si="38"/>
        <v>133.47694359580262</v>
      </c>
      <c r="BD217">
        <f t="shared" si="39"/>
        <v>567.69063363187433</v>
      </c>
    </row>
    <row r="218" spans="1:56" x14ac:dyDescent="0.25">
      <c r="A218" t="s">
        <v>7</v>
      </c>
      <c r="B218" t="s">
        <v>8</v>
      </c>
      <c r="C218" t="s">
        <v>9</v>
      </c>
      <c r="D218" t="s">
        <v>10</v>
      </c>
      <c r="E218">
        <v>5</v>
      </c>
      <c r="F218" s="1">
        <v>43830</v>
      </c>
      <c r="G218">
        <v>-2.4718493350099201E-2</v>
      </c>
      <c r="K218" s="4">
        <v>41029</v>
      </c>
      <c r="L218" s="6">
        <v>-4.6621075132878796E-3</v>
      </c>
      <c r="M218" s="6">
        <v>9.83958168873845E-3</v>
      </c>
      <c r="N218" s="6">
        <v>1.9934211754808199E-2</v>
      </c>
      <c r="O218" s="6">
        <v>4.2696553696954303E-3</v>
      </c>
      <c r="P218" s="6">
        <v>5.4645252183101699E-2</v>
      </c>
      <c r="Q218" s="6">
        <v>2.8193191694495499E-2</v>
      </c>
      <c r="R218" s="6">
        <v>-3.0247112008165802E-3</v>
      </c>
      <c r="S218" s="6">
        <v>2.6985758963201E-2</v>
      </c>
      <c r="T218" s="6">
        <v>4.78825346150792E-2</v>
      </c>
      <c r="U218" s="6">
        <v>-1.1303338461370001E-2</v>
      </c>
      <c r="V218" s="6">
        <v>-1.6835498212340899E-2</v>
      </c>
      <c r="W218" s="6">
        <v>-2.9268789351650799E-3</v>
      </c>
      <c r="X218" s="6">
        <v>-8.6383808210566404E-3</v>
      </c>
      <c r="Y218" s="6">
        <v>0.1443592711250824</v>
      </c>
      <c r="AA218">
        <v>-4.6621075132878796E-3</v>
      </c>
      <c r="AB218">
        <v>9.83958168873845E-3</v>
      </c>
      <c r="AC218">
        <v>1.9934211754808199E-2</v>
      </c>
      <c r="AD218">
        <v>4.2696553696954303E-3</v>
      </c>
      <c r="AE218">
        <v>5.4645252183101699E-2</v>
      </c>
      <c r="AF218">
        <v>2.8193191694495499E-2</v>
      </c>
      <c r="AG218">
        <v>-3.0247112008165802E-3</v>
      </c>
      <c r="AH218">
        <v>2.6985758963201E-2</v>
      </c>
      <c r="AI218">
        <v>4.78825346150792E-2</v>
      </c>
      <c r="AJ218">
        <v>-1.1303338461370001E-2</v>
      </c>
      <c r="AK218">
        <v>-1.6835498212340899E-2</v>
      </c>
      <c r="AL218">
        <v>-2.9268789351650799E-3</v>
      </c>
      <c r="AM218">
        <v>-8.6383808210566404E-3</v>
      </c>
      <c r="AN218">
        <f>+IBOV!C143</f>
        <v>-6.8125387042552665E-2</v>
      </c>
      <c r="AP218" s="1">
        <f t="shared" si="25"/>
        <v>41029</v>
      </c>
      <c r="AQ218">
        <f t="shared" si="26"/>
        <v>96.030034981649607</v>
      </c>
      <c r="AR218">
        <f t="shared" si="27"/>
        <v>102.85826111417481</v>
      </c>
      <c r="AS218">
        <f t="shared" si="28"/>
        <v>104.55272535599873</v>
      </c>
      <c r="AT218">
        <f t="shared" si="29"/>
        <v>93.313437702359323</v>
      </c>
      <c r="AU218">
        <f t="shared" si="30"/>
        <v>125.26363123054584</v>
      </c>
      <c r="AV218">
        <f t="shared" si="31"/>
        <v>178.41720575184129</v>
      </c>
      <c r="AW218">
        <f t="shared" si="32"/>
        <v>122.00560049765862</v>
      </c>
      <c r="AX218">
        <f t="shared" si="33"/>
        <v>107.5007504868675</v>
      </c>
      <c r="AY218">
        <f t="shared" si="34"/>
        <v>141.28204133581573</v>
      </c>
      <c r="AZ218">
        <f t="shared" si="35"/>
        <v>104.90395491945461</v>
      </c>
      <c r="BA218">
        <f t="shared" si="36"/>
        <v>127.38584259858321</v>
      </c>
      <c r="BB218">
        <f t="shared" si="37"/>
        <v>121.50096777994813</v>
      </c>
      <c r="BC218">
        <f t="shared" si="38"/>
        <v>132.3239189261914</v>
      </c>
      <c r="BD218">
        <f t="shared" si="39"/>
        <v>529.01648949527089</v>
      </c>
    </row>
    <row r="219" spans="1:56" x14ac:dyDescent="0.25">
      <c r="A219" t="s">
        <v>7</v>
      </c>
      <c r="B219" t="s">
        <v>8</v>
      </c>
      <c r="C219" t="s">
        <v>9</v>
      </c>
      <c r="D219" t="s">
        <v>10</v>
      </c>
      <c r="E219">
        <v>5</v>
      </c>
      <c r="F219" s="1">
        <v>43861</v>
      </c>
      <c r="G219">
        <v>-1.16196652384504E-2</v>
      </c>
      <c r="K219" s="4">
        <v>41060</v>
      </c>
      <c r="L219" s="6">
        <v>-2.0689179212833499E-2</v>
      </c>
      <c r="M219" s="6">
        <v>3.1406615850660402E-2</v>
      </c>
      <c r="N219" s="6">
        <v>2.1850082707388901E-2</v>
      </c>
      <c r="O219" s="6">
        <v>1.3664035692061999E-2</v>
      </c>
      <c r="P219" s="6">
        <v>5.5898729096928598E-2</v>
      </c>
      <c r="Q219" s="6">
        <v>4.0275332804913799E-2</v>
      </c>
      <c r="R219" s="6">
        <v>1.12117491022952E-2</v>
      </c>
      <c r="S219" s="6">
        <v>4.1391052733819697E-2</v>
      </c>
      <c r="T219" s="6">
        <v>5.9160728569660703E-2</v>
      </c>
      <c r="U219" s="6">
        <v>-6.2397319894181404E-3</v>
      </c>
      <c r="V219" s="6">
        <v>-2.9554497758174501E-2</v>
      </c>
      <c r="W219" s="6">
        <v>2.0480401072506499E-3</v>
      </c>
      <c r="X219" s="6">
        <v>-1.3954256495266401E-2</v>
      </c>
      <c r="Y219" s="6">
        <v>0.20646870120928737</v>
      </c>
      <c r="AA219">
        <v>-2.0689179212833499E-2</v>
      </c>
      <c r="AB219">
        <v>3.1406615850660402E-2</v>
      </c>
      <c r="AC219">
        <v>2.1850082707388901E-2</v>
      </c>
      <c r="AD219">
        <v>1.3664035692061999E-2</v>
      </c>
      <c r="AE219">
        <v>5.5898729096928598E-2</v>
      </c>
      <c r="AF219">
        <v>4.0275332804913799E-2</v>
      </c>
      <c r="AG219">
        <v>1.12117491022952E-2</v>
      </c>
      <c r="AH219">
        <v>4.1391052733819697E-2</v>
      </c>
      <c r="AI219">
        <v>5.9160728569660703E-2</v>
      </c>
      <c r="AJ219">
        <v>-6.2397319894181404E-3</v>
      </c>
      <c r="AK219">
        <v>-2.9554497758174501E-2</v>
      </c>
      <c r="AL219">
        <v>2.0480401072506499E-3</v>
      </c>
      <c r="AM219">
        <v>-1.3954256495266401E-2</v>
      </c>
      <c r="AN219">
        <f>+IBOV!C144</f>
        <v>-0.13633832054884687</v>
      </c>
      <c r="AP219" s="1">
        <f t="shared" si="25"/>
        <v>41060</v>
      </c>
      <c r="AQ219">
        <f t="shared" si="26"/>
        <v>94.043252378099581</v>
      </c>
      <c r="AR219">
        <f t="shared" si="27"/>
        <v>106.08869100805461</v>
      </c>
      <c r="AS219">
        <f t="shared" si="28"/>
        <v>106.83721105231021</v>
      </c>
      <c r="AT219">
        <f t="shared" si="29"/>
        <v>94.588475845673372</v>
      </c>
      <c r="AU219">
        <f t="shared" si="30"/>
        <v>132.26570901839969</v>
      </c>
      <c r="AV219">
        <f t="shared" si="31"/>
        <v>185.60301809161948</v>
      </c>
      <c r="AW219">
        <f t="shared" si="32"/>
        <v>123.37349667951322</v>
      </c>
      <c r="AX219">
        <f t="shared" si="33"/>
        <v>111.95031971919462</v>
      </c>
      <c r="AY219">
        <f t="shared" si="34"/>
        <v>149.64038983505151</v>
      </c>
      <c r="AZ219">
        <f t="shared" si="35"/>
        <v>104.2493823561272</v>
      </c>
      <c r="BA219">
        <f t="shared" si="36"/>
        <v>123.62101799908021</v>
      </c>
      <c r="BB219">
        <f t="shared" si="37"/>
        <v>121.74980663503123</v>
      </c>
      <c r="BC219">
        <f t="shared" si="38"/>
        <v>130.47743702103648</v>
      </c>
      <c r="BD219">
        <f t="shared" si="39"/>
        <v>456.89126977483897</v>
      </c>
    </row>
    <row r="220" spans="1:56" x14ac:dyDescent="0.25">
      <c r="A220" t="s">
        <v>7</v>
      </c>
      <c r="B220" t="s">
        <v>8</v>
      </c>
      <c r="C220" t="s">
        <v>9</v>
      </c>
      <c r="D220" t="s">
        <v>10</v>
      </c>
      <c r="E220">
        <v>5</v>
      </c>
      <c r="F220" s="1">
        <v>43890</v>
      </c>
      <c r="G220">
        <v>-1.61411328540178E-2</v>
      </c>
      <c r="K220" s="4">
        <v>41090</v>
      </c>
      <c r="L220" s="6">
        <v>-1.38374039478743E-2</v>
      </c>
      <c r="M220" s="6">
        <v>3.43341300648791E-2</v>
      </c>
      <c r="N220" s="6">
        <v>5.6475045484324797E-2</v>
      </c>
      <c r="O220" s="6">
        <v>-1.6144104561094001E-2</v>
      </c>
      <c r="P220" s="6">
        <v>5.6922304449979401E-2</v>
      </c>
      <c r="Q220" s="6">
        <v>9.5336889917684797E-2</v>
      </c>
      <c r="R220" s="6">
        <v>1.6414597703033301E-2</v>
      </c>
      <c r="S220" s="6">
        <v>4.2937693000826303E-2</v>
      </c>
      <c r="T220" s="6">
        <v>6.7206001280635294E-2</v>
      </c>
      <c r="U220" s="6">
        <v>9.0448826975447795E-3</v>
      </c>
      <c r="V220" s="6">
        <v>-1.23517157592278E-2</v>
      </c>
      <c r="W220" s="6">
        <v>-7.83367503128303E-3</v>
      </c>
      <c r="X220" s="6">
        <v>2.6745465968130398E-2</v>
      </c>
      <c r="Y220" s="6">
        <v>0.35525011126755907</v>
      </c>
      <c r="AA220">
        <v>-1.38374039478743E-2</v>
      </c>
      <c r="AB220">
        <v>3.43341300648791E-2</v>
      </c>
      <c r="AC220">
        <v>5.6475045484324797E-2</v>
      </c>
      <c r="AD220">
        <v>-1.6144104561094001E-2</v>
      </c>
      <c r="AE220">
        <v>5.6922304449979401E-2</v>
      </c>
      <c r="AF220">
        <v>9.5336889917684797E-2</v>
      </c>
      <c r="AG220">
        <v>1.6414597703033301E-2</v>
      </c>
      <c r="AH220">
        <v>4.2937693000826303E-2</v>
      </c>
      <c r="AI220">
        <v>6.7206001280635294E-2</v>
      </c>
      <c r="AJ220">
        <v>9.0448826975447795E-3</v>
      </c>
      <c r="AK220">
        <v>-1.23517157592278E-2</v>
      </c>
      <c r="AL220">
        <v>-7.83367503128303E-3</v>
      </c>
      <c r="AM220">
        <v>2.6745465968130398E-2</v>
      </c>
      <c r="AN220">
        <f>+IBOV!C145</f>
        <v>1.3183157215928221E-2</v>
      </c>
      <c r="AP220" s="1">
        <f t="shared" si="25"/>
        <v>41090</v>
      </c>
      <c r="AQ220">
        <f t="shared" si="26"/>
        <v>92.74193790637193</v>
      </c>
      <c r="AR220">
        <f t="shared" si="27"/>
        <v>109.73115392353793</v>
      </c>
      <c r="AS220">
        <f t="shared" si="28"/>
        <v>112.87084740590784</v>
      </c>
      <c r="AT220">
        <f t="shared" si="29"/>
        <v>93.061429601346305</v>
      </c>
      <c r="AU220">
        <f t="shared" si="30"/>
        <v>139.79457797543742</v>
      </c>
      <c r="AV220">
        <f t="shared" si="31"/>
        <v>203.29783259581026</v>
      </c>
      <c r="AW220">
        <f t="shared" si="32"/>
        <v>125.39862299472394</v>
      </c>
      <c r="AX220">
        <f t="shared" si="33"/>
        <v>116.75720817864175</v>
      </c>
      <c r="AY220">
        <f t="shared" si="34"/>
        <v>159.69712206594073</v>
      </c>
      <c r="AZ220">
        <f t="shared" si="35"/>
        <v>105.19230579082988</v>
      </c>
      <c r="BA220">
        <f t="shared" si="36"/>
        <v>122.09408632288918</v>
      </c>
      <c r="BB220">
        <f t="shared" si="37"/>
        <v>120.79605821473085</v>
      </c>
      <c r="BC220">
        <f t="shared" si="38"/>
        <v>133.96711687249149</v>
      </c>
      <c r="BD220">
        <f t="shared" si="39"/>
        <v>462.91453921486573</v>
      </c>
    </row>
    <row r="221" spans="1:56" x14ac:dyDescent="0.25">
      <c r="A221" t="s">
        <v>7</v>
      </c>
      <c r="B221" t="s">
        <v>8</v>
      </c>
      <c r="C221" t="s">
        <v>9</v>
      </c>
      <c r="D221" t="s">
        <v>10</v>
      </c>
      <c r="E221">
        <v>5</v>
      </c>
      <c r="F221" s="1">
        <v>43921</v>
      </c>
      <c r="G221">
        <v>5.8218224589692398E-2</v>
      </c>
      <c r="K221" s="4">
        <v>41121</v>
      </c>
      <c r="L221" s="6">
        <v>-2.16662773484666E-2</v>
      </c>
      <c r="M221" s="6">
        <v>-1.4200569226109599E-2</v>
      </c>
      <c r="N221" s="6">
        <v>-1.2188336464133E-2</v>
      </c>
      <c r="O221" s="6">
        <v>6.7752455915671603E-4</v>
      </c>
      <c r="P221" s="6">
        <v>-2.0463546500250201E-2</v>
      </c>
      <c r="Q221" s="6">
        <v>2.5383060869250101E-2</v>
      </c>
      <c r="R221" s="6">
        <v>-9.0189926982308603E-3</v>
      </c>
      <c r="S221" s="6">
        <v>-5.6721687196836703E-3</v>
      </c>
      <c r="T221" s="6">
        <v>-1.3138484771005E-2</v>
      </c>
      <c r="U221" s="6">
        <v>1.27333819502279E-2</v>
      </c>
      <c r="V221" s="6">
        <v>1.67879954001579E-2</v>
      </c>
      <c r="W221" s="6">
        <v>2.6924321956993602E-3</v>
      </c>
      <c r="X221" s="6">
        <v>8.6023366544913799E-3</v>
      </c>
      <c r="Y221" s="6">
        <v>-2.9471644098895591E-2</v>
      </c>
      <c r="AA221">
        <v>-2.16662773484666E-2</v>
      </c>
      <c r="AB221">
        <v>-1.4200569226109599E-2</v>
      </c>
      <c r="AC221">
        <v>-1.2188336464133E-2</v>
      </c>
      <c r="AD221">
        <v>6.7752455915671603E-4</v>
      </c>
      <c r="AE221">
        <v>-2.0463546500250201E-2</v>
      </c>
      <c r="AF221">
        <v>2.5383060869250101E-2</v>
      </c>
      <c r="AG221">
        <v>-9.0189926982308603E-3</v>
      </c>
      <c r="AH221">
        <v>-5.6721687196836703E-3</v>
      </c>
      <c r="AI221">
        <v>-1.3138484771005E-2</v>
      </c>
      <c r="AJ221">
        <v>1.27333819502279E-2</v>
      </c>
      <c r="AK221">
        <v>1.67879954001579E-2</v>
      </c>
      <c r="AL221">
        <v>2.6924321956993602E-3</v>
      </c>
      <c r="AM221">
        <v>8.6023366544913799E-3</v>
      </c>
      <c r="AN221">
        <f>+IBOV!C146</f>
        <v>1.4606432761226973E-2</v>
      </c>
      <c r="AP221" s="1">
        <f t="shared" si="25"/>
        <v>41121</v>
      </c>
      <c r="AQ221">
        <f t="shared" si="26"/>
        <v>90.732565357858206</v>
      </c>
      <c r="AR221">
        <f t="shared" si="27"/>
        <v>108.17290907598584</v>
      </c>
      <c r="AS221">
        <f t="shared" si="28"/>
        <v>111.49513954073282</v>
      </c>
      <c r="AT221">
        <f t="shared" si="29"/>
        <v>93.124481005411454</v>
      </c>
      <c r="AU221">
        <f t="shared" si="30"/>
        <v>136.93388512855421</v>
      </c>
      <c r="AV221">
        <f t="shared" si="31"/>
        <v>208.45815385517631</v>
      </c>
      <c r="AW221">
        <f t="shared" si="32"/>
        <v>124.26765372956632</v>
      </c>
      <c r="AX221">
        <f t="shared" si="33"/>
        <v>116.09494159461326</v>
      </c>
      <c r="AY221">
        <f t="shared" si="34"/>
        <v>157.59894385970404</v>
      </c>
      <c r="AZ221">
        <f t="shared" si="35"/>
        <v>106.53175959868969</v>
      </c>
      <c r="BA221">
        <f t="shared" si="36"/>
        <v>124.14380128246434</v>
      </c>
      <c r="BB221">
        <f t="shared" si="37"/>
        <v>121.12129341098176</v>
      </c>
      <c r="BC221">
        <f t="shared" si="38"/>
        <v>135.11954711246025</v>
      </c>
      <c r="BD221">
        <f t="shared" si="39"/>
        <v>469.67606930610202</v>
      </c>
    </row>
    <row r="222" spans="1:56" x14ac:dyDescent="0.25">
      <c r="A222" t="s">
        <v>7</v>
      </c>
      <c r="B222" t="s">
        <v>8</v>
      </c>
      <c r="C222" t="s">
        <v>9</v>
      </c>
      <c r="D222" t="s">
        <v>10</v>
      </c>
      <c r="E222">
        <v>5</v>
      </c>
      <c r="F222" s="1">
        <v>43951</v>
      </c>
      <c r="G222">
        <v>3.75752068663656E-3</v>
      </c>
      <c r="K222" s="4">
        <v>41152</v>
      </c>
      <c r="L222" s="6">
        <v>-3.6304096498509298E-3</v>
      </c>
      <c r="M222" s="6">
        <v>-1.09355278702385E-2</v>
      </c>
      <c r="N222" s="6">
        <v>-1.8951398507618199E-2</v>
      </c>
      <c r="O222" s="6">
        <v>-1.8795098218529899E-2</v>
      </c>
      <c r="P222" s="6">
        <v>-2.5724804304463202E-2</v>
      </c>
      <c r="Q222" s="6">
        <v>-4.1812107274667602E-2</v>
      </c>
      <c r="R222" s="6">
        <v>-1.13600812005738E-2</v>
      </c>
      <c r="S222" s="6">
        <v>-3.8692734054721498E-2</v>
      </c>
      <c r="T222" s="6">
        <v>-3.6154781965566998E-2</v>
      </c>
      <c r="U222" s="6">
        <v>2.4907820150741099E-3</v>
      </c>
      <c r="V222" s="6">
        <v>-4.1522973390075097E-3</v>
      </c>
      <c r="W222" s="6">
        <v>2.2826684828855599E-2</v>
      </c>
      <c r="X222" s="6">
        <v>2.45618843997869E-3</v>
      </c>
      <c r="Y222" s="6">
        <v>-0.18243558510132973</v>
      </c>
      <c r="AA222">
        <v>-3.6304096498509298E-3</v>
      </c>
      <c r="AB222">
        <v>-1.09355278702385E-2</v>
      </c>
      <c r="AC222">
        <v>-1.8951398507618199E-2</v>
      </c>
      <c r="AD222">
        <v>-1.8795098218529899E-2</v>
      </c>
      <c r="AE222">
        <v>-2.5724804304463202E-2</v>
      </c>
      <c r="AF222">
        <v>-4.1812107274667602E-2</v>
      </c>
      <c r="AG222">
        <v>-1.13600812005738E-2</v>
      </c>
      <c r="AH222">
        <v>-3.8692734054721498E-2</v>
      </c>
      <c r="AI222">
        <v>-3.6154781965566998E-2</v>
      </c>
      <c r="AJ222">
        <v>2.4907820150741099E-3</v>
      </c>
      <c r="AK222">
        <v>-4.1522973390075097E-3</v>
      </c>
      <c r="AL222">
        <v>2.2826684828855599E-2</v>
      </c>
      <c r="AM222">
        <v>2.45618843997869E-3</v>
      </c>
      <c r="AN222">
        <f>+IBOV!C147</f>
        <v>5.1468308139763774E-3</v>
      </c>
      <c r="AP222" s="1">
        <f t="shared" si="25"/>
        <v>41152</v>
      </c>
      <c r="AQ222">
        <f t="shared" si="26"/>
        <v>90.403168977027306</v>
      </c>
      <c r="AR222">
        <f t="shared" si="27"/>
        <v>106.98998121398061</v>
      </c>
      <c r="AS222">
        <f t="shared" si="28"/>
        <v>109.3821507196339</v>
      </c>
      <c r="AT222">
        <f t="shared" si="29"/>
        <v>91.374197238365127</v>
      </c>
      <c r="AU222">
        <f t="shared" si="30"/>
        <v>133.4112877309723</v>
      </c>
      <c r="AV222">
        <f t="shared" si="31"/>
        <v>199.74207916390452</v>
      </c>
      <c r="AW222">
        <f t="shared" si="32"/>
        <v>122.85596309259367</v>
      </c>
      <c r="AX222">
        <f t="shared" si="33"/>
        <v>111.60291089439447</v>
      </c>
      <c r="AY222">
        <f t="shared" si="34"/>
        <v>151.9009884064528</v>
      </c>
      <c r="AZ222">
        <f t="shared" si="35"/>
        <v>106.79710698953231</v>
      </c>
      <c r="BA222">
        <f t="shared" si="36"/>
        <v>123.62831930674488</v>
      </c>
      <c r="BB222">
        <f t="shared" si="37"/>
        <v>123.8860910017376</v>
      </c>
      <c r="BC222">
        <f t="shared" si="38"/>
        <v>135.45142618209303</v>
      </c>
      <c r="BD222">
        <f t="shared" si="39"/>
        <v>472.09341257219398</v>
      </c>
    </row>
    <row r="223" spans="1:56" x14ac:dyDescent="0.25">
      <c r="A223" t="s">
        <v>7</v>
      </c>
      <c r="B223" t="s">
        <v>8</v>
      </c>
      <c r="C223" t="s">
        <v>9</v>
      </c>
      <c r="D223" t="s">
        <v>10</v>
      </c>
      <c r="E223">
        <v>5</v>
      </c>
      <c r="F223" s="1">
        <v>43982</v>
      </c>
      <c r="G223">
        <v>-5.9551399897388502E-2</v>
      </c>
      <c r="K223" s="4">
        <v>41182</v>
      </c>
      <c r="L223" s="6">
        <v>-9.7847208549296707E-3</v>
      </c>
      <c r="M223" s="6">
        <v>-3.74031638188507E-3</v>
      </c>
      <c r="N223" s="6">
        <v>1.3694908275899999E-2</v>
      </c>
      <c r="O223" s="6">
        <v>-4.1348164032301198E-3</v>
      </c>
      <c r="P223" s="6">
        <v>-1.29795462486969E-2</v>
      </c>
      <c r="Q223" s="6">
        <v>-1.3817401937177501E-2</v>
      </c>
      <c r="R223" s="6">
        <v>-2.03995026057853E-2</v>
      </c>
      <c r="S223" s="6">
        <v>-2.2539030540907699E-2</v>
      </c>
      <c r="T223" s="6">
        <v>-2.68007044450632E-2</v>
      </c>
      <c r="U223" s="6">
        <v>5.9244268956996004E-4</v>
      </c>
      <c r="V223" s="6">
        <v>-1.1506637695972601E-2</v>
      </c>
      <c r="W223" s="6">
        <v>-6.7977982177141903E-3</v>
      </c>
      <c r="X223" s="6">
        <v>1.74895825544799E-2</v>
      </c>
      <c r="Y223" s="6">
        <v>-0.1007235418114124</v>
      </c>
      <c r="AA223">
        <v>-9.7847208549296707E-3</v>
      </c>
      <c r="AB223">
        <v>-3.74031638188507E-3</v>
      </c>
      <c r="AC223">
        <v>1.3694908275899999E-2</v>
      </c>
      <c r="AD223">
        <v>-4.1348164032301198E-3</v>
      </c>
      <c r="AE223">
        <v>-1.29795462486969E-2</v>
      </c>
      <c r="AF223">
        <v>-1.3817401937177501E-2</v>
      </c>
      <c r="AG223">
        <v>-2.03995026057853E-2</v>
      </c>
      <c r="AH223">
        <v>-2.2539030540907699E-2</v>
      </c>
      <c r="AI223">
        <v>-2.68007044450632E-2</v>
      </c>
      <c r="AJ223">
        <v>5.9244268956996004E-4</v>
      </c>
      <c r="AK223">
        <v>-1.1506637695972601E-2</v>
      </c>
      <c r="AL223">
        <v>-6.7977982177141903E-3</v>
      </c>
      <c r="AM223">
        <v>1.74895825544799E-2</v>
      </c>
      <c r="AN223">
        <f>+IBOV!C148</f>
        <v>2.5417989042747502E-2</v>
      </c>
      <c r="AP223" s="1">
        <f t="shared" si="25"/>
        <v>41182</v>
      </c>
      <c r="AQ223">
        <f t="shared" si="26"/>
        <v>89.51859920418606</v>
      </c>
      <c r="AR223">
        <f t="shared" si="27"/>
        <v>106.58980483454839</v>
      </c>
      <c r="AS223">
        <f t="shared" si="28"/>
        <v>110.88012924075994</v>
      </c>
      <c r="AT223">
        <f t="shared" si="29"/>
        <v>90.996381708791958</v>
      </c>
      <c r="AU223">
        <f t="shared" si="30"/>
        <v>131.67966975176995</v>
      </c>
      <c r="AV223">
        <f t="shared" si="31"/>
        <v>196.98216257232932</v>
      </c>
      <c r="AW223">
        <f t="shared" si="32"/>
        <v>120.34976255335005</v>
      </c>
      <c r="AX223">
        <f t="shared" si="33"/>
        <v>109.08748947729151</v>
      </c>
      <c r="AY223">
        <f t="shared" si="34"/>
        <v>147.82993491125848</v>
      </c>
      <c r="AZ223">
        <f t="shared" si="35"/>
        <v>106.86037815483549</v>
      </c>
      <c r="BA223">
        <f t="shared" si="36"/>
        <v>122.20577302752015</v>
      </c>
      <c r="BB223">
        <f t="shared" si="37"/>
        <v>123.04393835312641</v>
      </c>
      <c r="BC223">
        <f t="shared" si="38"/>
        <v>137.82041508242679</v>
      </c>
      <c r="BD223">
        <f t="shared" si="39"/>
        <v>484.09307776010729</v>
      </c>
    </row>
    <row r="224" spans="1:56" x14ac:dyDescent="0.25">
      <c r="A224" t="s">
        <v>7</v>
      </c>
      <c r="B224" t="s">
        <v>8</v>
      </c>
      <c r="C224" t="s">
        <v>9</v>
      </c>
      <c r="D224" t="s">
        <v>10</v>
      </c>
      <c r="E224">
        <v>5</v>
      </c>
      <c r="F224" s="1">
        <v>44012</v>
      </c>
      <c r="G224">
        <v>-4.75485541306516E-2</v>
      </c>
      <c r="K224" s="4">
        <v>41213</v>
      </c>
      <c r="L224" s="6">
        <v>-5.4029702345565703E-3</v>
      </c>
      <c r="M224" s="6">
        <v>8.4827192903209198E-3</v>
      </c>
      <c r="N224" s="6">
        <v>1.45467138858375E-2</v>
      </c>
      <c r="O224" s="6">
        <v>-8.5278937161465795E-3</v>
      </c>
      <c r="P224" s="6">
        <v>3.92083153182258E-2</v>
      </c>
      <c r="Q224" s="6">
        <v>4.4879957051349402E-2</v>
      </c>
      <c r="R224" s="6">
        <v>-3.7821910886683499E-3</v>
      </c>
      <c r="S224" s="6">
        <v>7.6711439105783099E-3</v>
      </c>
      <c r="T224" s="6">
        <v>2.44266943540981E-2</v>
      </c>
      <c r="U224" s="6">
        <v>1.9615245231471802E-3</v>
      </c>
      <c r="V224" s="6">
        <v>-4.3201891580847496E-3</v>
      </c>
      <c r="W224" s="6">
        <v>-1.5657020599913901E-3</v>
      </c>
      <c r="X224" s="6">
        <v>-7.3294859655635605E-4</v>
      </c>
      <c r="Y224" s="6">
        <v>0.1168451734795532</v>
      </c>
      <c r="AA224">
        <v>-5.4029702345565703E-3</v>
      </c>
      <c r="AB224">
        <v>8.4827192903209198E-3</v>
      </c>
      <c r="AC224">
        <v>1.45467138858375E-2</v>
      </c>
      <c r="AD224">
        <v>-8.5278937161465795E-3</v>
      </c>
      <c r="AE224">
        <v>3.92083153182258E-2</v>
      </c>
      <c r="AF224">
        <v>4.4879957051349402E-2</v>
      </c>
      <c r="AG224">
        <v>-3.7821910886683499E-3</v>
      </c>
      <c r="AH224">
        <v>7.6711439105783099E-3</v>
      </c>
      <c r="AI224">
        <v>2.44266943540981E-2</v>
      </c>
      <c r="AJ224">
        <v>1.9615245231471802E-3</v>
      </c>
      <c r="AK224">
        <v>-4.3201891580847496E-3</v>
      </c>
      <c r="AL224">
        <v>-1.5657020599913901E-3</v>
      </c>
      <c r="AM224">
        <v>-7.3294859655635605E-4</v>
      </c>
      <c r="AN224">
        <f>+IBOV!C149</f>
        <v>-1.3134006286893984E-2</v>
      </c>
      <c r="AP224" s="1">
        <f t="shared" si="25"/>
        <v>41213</v>
      </c>
      <c r="AQ224">
        <f t="shared" si="26"/>
        <v>89.034932877246646</v>
      </c>
      <c r="AR224">
        <f t="shared" si="27"/>
        <v>107.49397622816996</v>
      </c>
      <c r="AS224">
        <f t="shared" si="28"/>
        <v>112.49307075644997</v>
      </c>
      <c r="AT224">
        <f t="shared" si="29"/>
        <v>90.220374237025467</v>
      </c>
      <c r="AU224">
        <f t="shared" si="30"/>
        <v>136.8426077643972</v>
      </c>
      <c r="AV224">
        <f t="shared" si="31"/>
        <v>205.82271356845737</v>
      </c>
      <c r="AW224">
        <f t="shared" si="32"/>
        <v>119.89457675389741</v>
      </c>
      <c r="AX224">
        <f t="shared" si="33"/>
        <v>109.92431530791552</v>
      </c>
      <c r="AY224">
        <f t="shared" si="34"/>
        <v>151.44093154772199</v>
      </c>
      <c r="AZ224">
        <f t="shared" si="35"/>
        <v>107.06998740713898</v>
      </c>
      <c r="BA224">
        <f t="shared" si="36"/>
        <v>121.6778209718313</v>
      </c>
      <c r="BB224">
        <f t="shared" si="37"/>
        <v>122.85128820537746</v>
      </c>
      <c r="BC224">
        <f t="shared" si="38"/>
        <v>137.7193998026153</v>
      </c>
      <c r="BD224">
        <f t="shared" si="39"/>
        <v>477.7349962333642</v>
      </c>
    </row>
    <row r="225" spans="1:56" x14ac:dyDescent="0.25">
      <c r="A225" t="s">
        <v>7</v>
      </c>
      <c r="B225" t="s">
        <v>8</v>
      </c>
      <c r="C225" t="s">
        <v>9</v>
      </c>
      <c r="D225" t="s">
        <v>10</v>
      </c>
      <c r="E225">
        <v>5</v>
      </c>
      <c r="F225" s="1">
        <v>44043</v>
      </c>
      <c r="G225">
        <v>-3.1653982686884803E-2</v>
      </c>
      <c r="K225" s="4">
        <v>41243</v>
      </c>
      <c r="L225" s="6">
        <v>-1.9528756613584702E-2</v>
      </c>
      <c r="M225" s="6">
        <v>1.3091023444304401E-2</v>
      </c>
      <c r="N225" s="6">
        <v>2.40714493549638E-3</v>
      </c>
      <c r="O225" s="6">
        <v>1.6553383540082701E-3</v>
      </c>
      <c r="P225" s="6">
        <v>1.9639566201705198E-2</v>
      </c>
      <c r="Q225" s="6">
        <v>2.3239759234809199E-2</v>
      </c>
      <c r="R225" s="6">
        <v>-1.48361838462299E-2</v>
      </c>
      <c r="S225" s="6">
        <v>1.8973024800190402E-2</v>
      </c>
      <c r="T225" s="6">
        <v>3.5632066095555803E-2</v>
      </c>
      <c r="U225" s="6">
        <v>8.9396651596614204E-4</v>
      </c>
      <c r="V225" s="6">
        <v>6.2207138375926299E-3</v>
      </c>
      <c r="W225" s="6">
        <v>-1.7069679761520001E-2</v>
      </c>
      <c r="X225" s="6">
        <v>-1.2916401167398599E-2</v>
      </c>
      <c r="Y225" s="6">
        <v>5.740158203089521E-2</v>
      </c>
      <c r="AA225">
        <v>-1.9528756613584702E-2</v>
      </c>
      <c r="AB225">
        <v>1.3091023444304401E-2</v>
      </c>
      <c r="AC225">
        <v>2.40714493549638E-3</v>
      </c>
      <c r="AD225">
        <v>1.6553383540082701E-3</v>
      </c>
      <c r="AE225">
        <v>1.9639566201705198E-2</v>
      </c>
      <c r="AF225">
        <v>2.3239759234809199E-2</v>
      </c>
      <c r="AG225">
        <v>-1.48361838462299E-2</v>
      </c>
      <c r="AH225">
        <v>1.8973024800190402E-2</v>
      </c>
      <c r="AI225">
        <v>3.5632066095555803E-2</v>
      </c>
      <c r="AJ225">
        <v>8.9396651596614204E-4</v>
      </c>
      <c r="AK225">
        <v>6.2207138375926299E-3</v>
      </c>
      <c r="AL225">
        <v>-1.7069679761520001E-2</v>
      </c>
      <c r="AM225">
        <v>-1.2916401167398599E-2</v>
      </c>
      <c r="AN225">
        <f>+IBOV!C150</f>
        <v>-3.3177398160315508E-2</v>
      </c>
      <c r="AP225" s="1">
        <f t="shared" si="25"/>
        <v>41243</v>
      </c>
      <c r="AQ225">
        <f t="shared" si="26"/>
        <v>87.296191342980052</v>
      </c>
      <c r="AR225">
        <f t="shared" si="27"/>
        <v>108.90118239109444</v>
      </c>
      <c r="AS225">
        <f t="shared" si="28"/>
        <v>112.76385788199978</v>
      </c>
      <c r="AT225">
        <f t="shared" si="29"/>
        <v>90.369719482812997</v>
      </c>
      <c r="AU225">
        <f t="shared" si="30"/>
        <v>139.53013721880006</v>
      </c>
      <c r="AV225">
        <f t="shared" si="31"/>
        <v>210.60598387684342</v>
      </c>
      <c r="AW225">
        <f t="shared" si="32"/>
        <v>118.11579877101067</v>
      </c>
      <c r="AX225">
        <f t="shared" si="33"/>
        <v>112.00991206839656</v>
      </c>
      <c r="AY225">
        <f t="shared" si="34"/>
        <v>156.83708483020297</v>
      </c>
      <c r="AZ225">
        <f t="shared" si="35"/>
        <v>107.16570439074589</v>
      </c>
      <c r="BA225">
        <f t="shared" si="36"/>
        <v>122.43474387647889</v>
      </c>
      <c r="BB225">
        <f t="shared" si="37"/>
        <v>120.75425605742147</v>
      </c>
      <c r="BC225">
        <f t="shared" si="38"/>
        <v>135.94056078623137</v>
      </c>
      <c r="BD225">
        <f t="shared" si="39"/>
        <v>461.88499204821306</v>
      </c>
    </row>
    <row r="226" spans="1:56" x14ac:dyDescent="0.25">
      <c r="A226" t="s">
        <v>7</v>
      </c>
      <c r="B226" t="s">
        <v>8</v>
      </c>
      <c r="C226" t="s">
        <v>9</v>
      </c>
      <c r="D226" t="s">
        <v>10</v>
      </c>
      <c r="E226">
        <v>5</v>
      </c>
      <c r="F226" s="1">
        <v>44074</v>
      </c>
      <c r="G226">
        <v>2.1304524741280102E-2</v>
      </c>
      <c r="K226" s="4">
        <v>41274</v>
      </c>
      <c r="L226" s="6">
        <v>2.7079128044933301E-2</v>
      </c>
      <c r="M226" s="6">
        <v>-2.3453002339354798E-2</v>
      </c>
      <c r="N226" s="6">
        <v>-6.2658704567937597E-3</v>
      </c>
      <c r="O226" s="6">
        <v>-2.64138778571337E-2</v>
      </c>
      <c r="P226" s="6">
        <v>-3.2160328303295398E-2</v>
      </c>
      <c r="Q226" s="6">
        <v>2.64349847380526E-3</v>
      </c>
      <c r="R226" s="6">
        <v>-9.7389454706218201E-4</v>
      </c>
      <c r="S226" s="6">
        <v>-2.0595367153820099E-2</v>
      </c>
      <c r="T226" s="6">
        <v>-3.0527974096900501E-2</v>
      </c>
      <c r="U226" s="6">
        <v>-1.8180193715042099E-2</v>
      </c>
      <c r="V226" s="6">
        <v>2.2321315291992799E-3</v>
      </c>
      <c r="W226" s="6">
        <v>-1.6764137452282401E-2</v>
      </c>
      <c r="X226" s="6">
        <v>1.2704821218582499E-2</v>
      </c>
      <c r="Y226" s="6">
        <v>-0.13067506665516457</v>
      </c>
      <c r="AA226">
        <v>2.7079128044933301E-2</v>
      </c>
      <c r="AB226">
        <v>-2.3453002339354798E-2</v>
      </c>
      <c r="AC226">
        <v>-6.2658704567937597E-3</v>
      </c>
      <c r="AD226">
        <v>-2.64138778571337E-2</v>
      </c>
      <c r="AE226">
        <v>-3.2160328303295398E-2</v>
      </c>
      <c r="AF226">
        <v>2.64349847380526E-3</v>
      </c>
      <c r="AG226">
        <v>-9.7389454706218201E-4</v>
      </c>
      <c r="AH226">
        <v>-2.0595367153820099E-2</v>
      </c>
      <c r="AI226">
        <v>-3.0527974096900501E-2</v>
      </c>
      <c r="AJ226">
        <v>-1.8180193715042099E-2</v>
      </c>
      <c r="AK226">
        <v>2.2321315291992799E-3</v>
      </c>
      <c r="AL226">
        <v>-1.6764137452282401E-2</v>
      </c>
      <c r="AM226">
        <v>1.2704821218582499E-2</v>
      </c>
      <c r="AN226">
        <f>+IBOV!C151</f>
        <v>9.4807308259667211E-2</v>
      </c>
      <c r="AP226" s="1">
        <f t="shared" si="25"/>
        <v>41274</v>
      </c>
      <c r="AQ226">
        <f t="shared" si="26"/>
        <v>89.660096086191615</v>
      </c>
      <c r="AR226">
        <f t="shared" si="27"/>
        <v>106.3471227057176</v>
      </c>
      <c r="AS226">
        <f t="shared" si="28"/>
        <v>112.05729415630287</v>
      </c>
      <c r="AT226">
        <f t="shared" si="29"/>
        <v>87.982704750410548</v>
      </c>
      <c r="AU226">
        <f t="shared" si="30"/>
        <v>135.04280219763959</v>
      </c>
      <c r="AV226">
        <f t="shared" si="31"/>
        <v>211.16272047379613</v>
      </c>
      <c r="AW226">
        <f t="shared" si="32"/>
        <v>118.00076643866569</v>
      </c>
      <c r="AX226">
        <f t="shared" si="33"/>
        <v>109.70302680448083</v>
      </c>
      <c r="AY226">
        <f t="shared" si="34"/>
        <v>152.04916636707316</v>
      </c>
      <c r="AZ226">
        <f t="shared" si="35"/>
        <v>105.21741112531319</v>
      </c>
      <c r="BA226">
        <f t="shared" si="36"/>
        <v>122.70803432855502</v>
      </c>
      <c r="BB226">
        <f t="shared" si="37"/>
        <v>118.72991511092675</v>
      </c>
      <c r="BC226">
        <f t="shared" si="38"/>
        <v>137.66766130737429</v>
      </c>
      <c r="BD226">
        <f t="shared" si="39"/>
        <v>505.67506486984195</v>
      </c>
    </row>
    <row r="227" spans="1:56" x14ac:dyDescent="0.25">
      <c r="A227" t="s">
        <v>7</v>
      </c>
      <c r="B227" t="s">
        <v>8</v>
      </c>
      <c r="C227" t="s">
        <v>9</v>
      </c>
      <c r="D227" t="s">
        <v>10</v>
      </c>
      <c r="E227">
        <v>5</v>
      </c>
      <c r="F227" s="1">
        <v>44104</v>
      </c>
      <c r="G227">
        <v>-9.5804596232995191E-3</v>
      </c>
      <c r="K227" s="4">
        <v>41305</v>
      </c>
      <c r="L227" s="6">
        <v>2.0023936942202301E-2</v>
      </c>
      <c r="M227" s="6">
        <v>1.9772568822233501E-2</v>
      </c>
      <c r="N227" s="6">
        <v>3.7213457364768603E-2</v>
      </c>
      <c r="O227" s="6">
        <v>-4.9452230728382696E-3</v>
      </c>
      <c r="P227" s="6">
        <v>2.1048038276514001E-2</v>
      </c>
      <c r="Q227" s="6">
        <v>1.23187980650682E-2</v>
      </c>
      <c r="R227" s="6">
        <v>1.9517896507800999E-2</v>
      </c>
      <c r="S227" s="6">
        <v>-1.5695289592064302E-2</v>
      </c>
      <c r="T227" s="6">
        <v>-5.6674927471677501E-3</v>
      </c>
      <c r="U227" s="6">
        <v>-2.5653380971779401E-3</v>
      </c>
      <c r="V227" s="6">
        <v>1.1402011446286799E-2</v>
      </c>
      <c r="W227" s="6">
        <v>-1.17207351822024E-3</v>
      </c>
      <c r="X227" s="6">
        <v>2.26301488615454E-2</v>
      </c>
      <c r="Y227" s="6">
        <v>0.1338814392589513</v>
      </c>
      <c r="AA227">
        <v>2.0023936942202301E-2</v>
      </c>
      <c r="AB227">
        <v>1.9772568822233501E-2</v>
      </c>
      <c r="AC227">
        <v>3.7213457364768603E-2</v>
      </c>
      <c r="AD227">
        <v>-4.9452230728382696E-3</v>
      </c>
      <c r="AE227">
        <v>2.1048038276514001E-2</v>
      </c>
      <c r="AF227">
        <v>1.23187980650682E-2</v>
      </c>
      <c r="AG227">
        <v>1.9517896507800999E-2</v>
      </c>
      <c r="AH227">
        <v>-1.5695289592064302E-2</v>
      </c>
      <c r="AI227">
        <v>-5.6674927471677501E-3</v>
      </c>
      <c r="AJ227">
        <v>-2.5653380971779401E-3</v>
      </c>
      <c r="AK227">
        <v>1.1402011446286799E-2</v>
      </c>
      <c r="AL227">
        <v>-1.17207351822024E-3</v>
      </c>
      <c r="AM227">
        <v>2.26301488615454E-2</v>
      </c>
      <c r="AN227">
        <f>+IBOV!C152</f>
        <v>1.483455547647039E-2</v>
      </c>
      <c r="AP227" s="1">
        <f t="shared" si="25"/>
        <v>41305</v>
      </c>
      <c r="AQ227">
        <f t="shared" si="26"/>
        <v>91.455444196453328</v>
      </c>
      <c r="AR227">
        <f t="shared" si="27"/>
        <v>108.4498785084629</v>
      </c>
      <c r="AS227">
        <f t="shared" si="28"/>
        <v>116.22733349479979</v>
      </c>
      <c r="AT227">
        <f t="shared" si="29"/>
        <v>87.547610648868101</v>
      </c>
      <c r="AU227">
        <f t="shared" si="30"/>
        <v>137.8851882672632</v>
      </c>
      <c r="AV227">
        <f t="shared" si="31"/>
        <v>213.76399138618328</v>
      </c>
      <c r="AW227">
        <f t="shared" si="32"/>
        <v>120.30389318585675</v>
      </c>
      <c r="AX227">
        <f t="shared" si="33"/>
        <v>107.98120602965851</v>
      </c>
      <c r="AY227">
        <f t="shared" si="34"/>
        <v>151.18742881947486</v>
      </c>
      <c r="AZ227">
        <f t="shared" si="35"/>
        <v>104.94749289206699</v>
      </c>
      <c r="BA227">
        <f t="shared" si="36"/>
        <v>124.10715274052055</v>
      </c>
      <c r="BB227">
        <f t="shared" si="37"/>
        <v>118.5907549216047</v>
      </c>
      <c r="BC227">
        <f t="shared" si="38"/>
        <v>140.783100976181</v>
      </c>
      <c r="BD227">
        <f t="shared" si="39"/>
        <v>513.17652967272136</v>
      </c>
    </row>
    <row r="228" spans="1:56" x14ac:dyDescent="0.25">
      <c r="A228" t="s">
        <v>7</v>
      </c>
      <c r="B228" t="s">
        <v>8</v>
      </c>
      <c r="C228" t="s">
        <v>9</v>
      </c>
      <c r="D228" t="s">
        <v>10</v>
      </c>
      <c r="E228">
        <v>6</v>
      </c>
      <c r="F228" s="1">
        <v>44135</v>
      </c>
      <c r="G228">
        <v>-4.1070087790992901E-2</v>
      </c>
      <c r="K228" s="4">
        <v>41333</v>
      </c>
      <c r="L228" s="6">
        <v>-2.9171969764279101E-2</v>
      </c>
      <c r="M228" s="6">
        <v>2.2117300999009399E-2</v>
      </c>
      <c r="N228" s="6">
        <v>1.13748633807667E-3</v>
      </c>
      <c r="O228" s="6">
        <v>-3.0489916144104201E-3</v>
      </c>
      <c r="P228" s="6">
        <v>2.8118078121940501E-2</v>
      </c>
      <c r="Q228" s="6">
        <v>2.0574277740935201E-2</v>
      </c>
      <c r="R228" s="6">
        <v>1.20704972906053E-2</v>
      </c>
      <c r="S228" s="6">
        <v>1.52356288500373E-2</v>
      </c>
      <c r="T228" s="6">
        <v>2.7736127360502301E-2</v>
      </c>
      <c r="U228" s="6">
        <v>-8.3837365066220006E-3</v>
      </c>
      <c r="V228" s="6">
        <v>-7.8976052147183302E-3</v>
      </c>
      <c r="W228" s="6">
        <v>6.53780622998379E-3</v>
      </c>
      <c r="X228" s="6">
        <v>6.0312296031258296E-3</v>
      </c>
      <c r="Y228" s="6">
        <v>9.105612943418645E-2</v>
      </c>
      <c r="AA228">
        <v>-2.9171969764279101E-2</v>
      </c>
      <c r="AB228">
        <v>2.2117300999009399E-2</v>
      </c>
      <c r="AC228">
        <v>1.13748633807667E-3</v>
      </c>
      <c r="AD228">
        <v>-3.0489916144104201E-3</v>
      </c>
      <c r="AE228">
        <v>2.8118078121940501E-2</v>
      </c>
      <c r="AF228">
        <v>2.0574277740935201E-2</v>
      </c>
      <c r="AG228">
        <v>1.20704972906053E-2</v>
      </c>
      <c r="AH228">
        <v>1.52356288500373E-2</v>
      </c>
      <c r="AI228">
        <v>2.7736127360502301E-2</v>
      </c>
      <c r="AJ228">
        <v>-8.3837365066220006E-3</v>
      </c>
      <c r="AK228">
        <v>-7.8976052147183302E-3</v>
      </c>
      <c r="AL228">
        <v>6.53780622998379E-3</v>
      </c>
      <c r="AM228">
        <v>6.0312296031258296E-3</v>
      </c>
      <c r="AN228">
        <f>+IBOV!C153</f>
        <v>-2.888636615711826E-2</v>
      </c>
      <c r="AP228" s="1">
        <f t="shared" si="25"/>
        <v>41333</v>
      </c>
      <c r="AQ228">
        <f t="shared" si="26"/>
        <v>88.787508743575685</v>
      </c>
      <c r="AR228">
        <f t="shared" si="27"/>
        <v>110.84849711474058</v>
      </c>
      <c r="AS228">
        <f t="shared" si="28"/>
        <v>116.35954049876121</v>
      </c>
      <c r="AT228">
        <f t="shared" si="29"/>
        <v>87.280678718138034</v>
      </c>
      <c r="AU228">
        <f t="shared" si="30"/>
        <v>141.76225476282059</v>
      </c>
      <c r="AV228">
        <f t="shared" si="31"/>
        <v>218.16203111597349</v>
      </c>
      <c r="AW228">
        <f t="shared" si="32"/>
        <v>121.75602100260592</v>
      </c>
      <c r="AX228">
        <f t="shared" si="33"/>
        <v>109.6263676075058</v>
      </c>
      <c r="AY228">
        <f t="shared" si="34"/>
        <v>155.3807826005187</v>
      </c>
      <c r="AZ228">
        <f t="shared" si="35"/>
        <v>104.0676407646293</v>
      </c>
      <c r="BA228">
        <f t="shared" si="36"/>
        <v>123.12700344385316</v>
      </c>
      <c r="BB228">
        <f t="shared" si="37"/>
        <v>119.36607829794966</v>
      </c>
      <c r="BC228">
        <f t="shared" si="38"/>
        <v>141.63219618240839</v>
      </c>
      <c r="BD228">
        <f t="shared" si="39"/>
        <v>498.35272453335585</v>
      </c>
    </row>
    <row r="229" spans="1:56" x14ac:dyDescent="0.25">
      <c r="A229" t="s">
        <v>7</v>
      </c>
      <c r="B229" t="s">
        <v>8</v>
      </c>
      <c r="C229" t="s">
        <v>9</v>
      </c>
      <c r="D229" t="s">
        <v>10</v>
      </c>
      <c r="E229">
        <v>6</v>
      </c>
      <c r="F229" s="1">
        <v>44165</v>
      </c>
      <c r="G229">
        <v>4.8829778896436499E-2</v>
      </c>
      <c r="K229" s="4">
        <v>41364</v>
      </c>
      <c r="L229" s="6">
        <v>-7.9019733761732103E-3</v>
      </c>
      <c r="M229" s="6">
        <v>1.3366487562040501E-2</v>
      </c>
      <c r="N229" s="6">
        <v>1.2664332120583099E-2</v>
      </c>
      <c r="O229" s="6">
        <v>-2.38198700637124E-2</v>
      </c>
      <c r="P229" s="6">
        <v>3.6650760230582599E-2</v>
      </c>
      <c r="Q229" s="6">
        <v>3.27256380249141E-2</v>
      </c>
      <c r="R229" s="6">
        <v>1.2857248492579401E-2</v>
      </c>
      <c r="S229" s="6">
        <v>1.8545859624461002E-2</v>
      </c>
      <c r="T229" s="6">
        <v>1.6221168140727001E-2</v>
      </c>
      <c r="U229" s="6">
        <v>-1.93886444062997E-3</v>
      </c>
      <c r="V229" s="6">
        <v>-3.6105592641497999E-3</v>
      </c>
      <c r="W229" s="6">
        <v>-3.8241607029926498E-3</v>
      </c>
      <c r="X229" s="6">
        <v>2.21985477033304E-2</v>
      </c>
      <c r="Y229" s="6">
        <v>0.12413461405156007</v>
      </c>
      <c r="AA229">
        <v>-7.9019733761732103E-3</v>
      </c>
      <c r="AB229">
        <v>1.3366487562040501E-2</v>
      </c>
      <c r="AC229">
        <v>1.2664332120583099E-2</v>
      </c>
      <c r="AD229">
        <v>-2.38198700637124E-2</v>
      </c>
      <c r="AE229">
        <v>3.6650760230582599E-2</v>
      </c>
      <c r="AF229">
        <v>3.27256380249141E-2</v>
      </c>
      <c r="AG229">
        <v>1.2857248492579401E-2</v>
      </c>
      <c r="AH229">
        <v>1.8545859624461002E-2</v>
      </c>
      <c r="AI229">
        <v>1.6221168140727001E-2</v>
      </c>
      <c r="AJ229">
        <v>-1.93886444062997E-3</v>
      </c>
      <c r="AK229">
        <v>-3.6105592641497999E-3</v>
      </c>
      <c r="AL229">
        <v>-3.8241607029926498E-3</v>
      </c>
      <c r="AM229">
        <v>2.21985477033304E-2</v>
      </c>
      <c r="AN229">
        <f>+IBOV!C154</f>
        <v>-1.1790749468408634E-2</v>
      </c>
      <c r="AP229" s="1">
        <f t="shared" si="25"/>
        <v>41364</v>
      </c>
      <c r="AQ229">
        <f t="shared" si="26"/>
        <v>88.085912213347214</v>
      </c>
      <c r="AR229">
        <f t="shared" si="27"/>
        <v>112.33015217269565</v>
      </c>
      <c r="AS229">
        <f t="shared" si="28"/>
        <v>117.83315636503595</v>
      </c>
      <c r="AT229">
        <f t="shared" si="29"/>
        <v>85.20166429199935</v>
      </c>
      <c r="AU229">
        <f t="shared" si="30"/>
        <v>146.95794917187948</v>
      </c>
      <c r="AV229">
        <f t="shared" si="31"/>
        <v>225.30152277705488</v>
      </c>
      <c r="AW229">
        <f t="shared" si="32"/>
        <v>123.32146842010413</v>
      </c>
      <c r="AX229">
        <f t="shared" si="33"/>
        <v>111.65948283229416</v>
      </c>
      <c r="AY229">
        <f t="shared" si="34"/>
        <v>157.90124040091945</v>
      </c>
      <c r="AZ229">
        <f t="shared" si="35"/>
        <v>103.86586771653052</v>
      </c>
      <c r="BA229">
        <f t="shared" si="36"/>
        <v>122.68244610090196</v>
      </c>
      <c r="BB229">
        <f t="shared" si="37"/>
        <v>118.90960323205229</v>
      </c>
      <c r="BC229">
        <f t="shared" si="38"/>
        <v>144.77622524569102</v>
      </c>
      <c r="BD229">
        <f t="shared" si="39"/>
        <v>492.47677241148421</v>
      </c>
    </row>
    <row r="230" spans="1:56" x14ac:dyDescent="0.25">
      <c r="A230" t="s">
        <v>7</v>
      </c>
      <c r="B230" t="s">
        <v>8</v>
      </c>
      <c r="C230" t="s">
        <v>9</v>
      </c>
      <c r="D230" t="s">
        <v>10</v>
      </c>
      <c r="E230">
        <v>6</v>
      </c>
      <c r="F230" s="1">
        <v>44196</v>
      </c>
      <c r="G230">
        <v>1.0458725892823499E-2</v>
      </c>
      <c r="K230" s="4">
        <v>41394</v>
      </c>
      <c r="L230" s="6">
        <v>-1.6227449801429698E-2</v>
      </c>
      <c r="M230" s="6">
        <v>2.79669292682752E-3</v>
      </c>
      <c r="N230" s="6">
        <v>-1.7605131935877798E-2</v>
      </c>
      <c r="O230" s="6">
        <v>3.6960991685918601E-3</v>
      </c>
      <c r="P230" s="6">
        <v>2.34433802731717E-2</v>
      </c>
      <c r="Q230" s="6">
        <v>9.5796214901715405E-3</v>
      </c>
      <c r="R230" s="6">
        <v>-2.1443402847707502E-3</v>
      </c>
      <c r="S230" s="6">
        <v>2.6850599209839999E-2</v>
      </c>
      <c r="T230" s="6">
        <v>4.6828847381530099E-2</v>
      </c>
      <c r="U230" s="6">
        <v>6.0743106070383903E-3</v>
      </c>
      <c r="V230" s="6">
        <v>1.94040086075822E-2</v>
      </c>
      <c r="W230" s="6">
        <v>-2.40932807533463E-2</v>
      </c>
      <c r="X230" s="6">
        <v>-2.3641146776953101E-3</v>
      </c>
      <c r="Y230" s="6">
        <v>7.6239242211633446E-2</v>
      </c>
      <c r="AA230">
        <v>-1.6227449801429698E-2</v>
      </c>
      <c r="AB230">
        <v>2.79669292682752E-3</v>
      </c>
      <c r="AC230">
        <v>-1.7605131935877798E-2</v>
      </c>
      <c r="AD230">
        <v>3.6960991685918601E-3</v>
      </c>
      <c r="AE230">
        <v>2.34433802731717E-2</v>
      </c>
      <c r="AF230">
        <v>9.5796214901715405E-3</v>
      </c>
      <c r="AG230">
        <v>-2.1443402847707502E-3</v>
      </c>
      <c r="AH230">
        <v>2.6850599209839999E-2</v>
      </c>
      <c r="AI230">
        <v>4.6828847381530099E-2</v>
      </c>
      <c r="AJ230">
        <v>6.0743106070383903E-3</v>
      </c>
      <c r="AK230">
        <v>1.94040086075822E-2</v>
      </c>
      <c r="AL230">
        <v>-2.40932807533463E-2</v>
      </c>
      <c r="AM230">
        <v>-2.3641146776953101E-3</v>
      </c>
      <c r="AN230">
        <f>+IBOV!C155</f>
        <v>1.2298550892137827E-2</v>
      </c>
      <c r="AP230" s="1">
        <f t="shared" si="25"/>
        <v>41394</v>
      </c>
      <c r="AQ230">
        <f t="shared" si="26"/>
        <v>86.656502494691978</v>
      </c>
      <c r="AR230">
        <f t="shared" si="27"/>
        <v>112.64430511474649</v>
      </c>
      <c r="AS230">
        <f t="shared" si="28"/>
        <v>115.75868810080857</v>
      </c>
      <c r="AT230">
        <f t="shared" si="29"/>
        <v>85.516578092551654</v>
      </c>
      <c r="AU230">
        <f t="shared" si="30"/>
        <v>150.4031402584813</v>
      </c>
      <c r="AV230">
        <f t="shared" si="31"/>
        <v>227.45982608641833</v>
      </c>
      <c r="AW230">
        <f t="shared" si="32"/>
        <v>123.05702522739381</v>
      </c>
      <c r="AX230">
        <f t="shared" si="33"/>
        <v>114.65760685380211</v>
      </c>
      <c r="AY230">
        <f t="shared" si="34"/>
        <v>165.2955734890084</v>
      </c>
      <c r="AZ230">
        <f t="shared" si="35"/>
        <v>104.4967812585103</v>
      </c>
      <c r="BA230">
        <f t="shared" si="36"/>
        <v>125.06297734104309</v>
      </c>
      <c r="BB230">
        <f t="shared" si="37"/>
        <v>116.04468077711344</v>
      </c>
      <c r="BC230">
        <f t="shared" si="38"/>
        <v>144.43395764660636</v>
      </c>
      <c r="BD230">
        <f t="shared" si="39"/>
        <v>498.53352306018263</v>
      </c>
    </row>
    <row r="231" spans="1:56" x14ac:dyDescent="0.25">
      <c r="A231" t="s">
        <v>7</v>
      </c>
      <c r="B231" t="s">
        <v>8</v>
      </c>
      <c r="C231" t="s">
        <v>9</v>
      </c>
      <c r="D231" t="s">
        <v>10</v>
      </c>
      <c r="E231">
        <v>6</v>
      </c>
      <c r="F231" s="1">
        <v>44227</v>
      </c>
      <c r="G231">
        <v>5.9281187538774302E-2</v>
      </c>
      <c r="K231" s="4">
        <v>41425</v>
      </c>
      <c r="L231" s="6">
        <v>2.7120264525629899E-3</v>
      </c>
      <c r="M231" s="6">
        <v>1.16882436368354E-2</v>
      </c>
      <c r="N231" s="6">
        <v>1.5565981430081499E-2</v>
      </c>
      <c r="O231" s="6">
        <v>1.6724778777555301E-2</v>
      </c>
      <c r="P231" s="6">
        <v>1.9899137749046801E-2</v>
      </c>
      <c r="Q231" s="6">
        <v>2.2088113920983001E-2</v>
      </c>
      <c r="R231" s="6">
        <v>9.5642601144302897E-3</v>
      </c>
      <c r="S231" s="6">
        <v>3.4186606976540999E-3</v>
      </c>
      <c r="T231" s="6">
        <v>9.8197339319552497E-3</v>
      </c>
      <c r="U231" s="6">
        <v>-2.0278278136346699E-3</v>
      </c>
      <c r="V231" s="6">
        <v>-4.6243175103108597E-3</v>
      </c>
      <c r="W231" s="6">
        <v>-1.67292951817396E-3</v>
      </c>
      <c r="X231" s="6">
        <v>-8.4733498182533E-3</v>
      </c>
      <c r="Y231" s="6">
        <v>9.4682512050731832E-2</v>
      </c>
      <c r="AA231">
        <v>2.7120264525629899E-3</v>
      </c>
      <c r="AB231">
        <v>1.16882436368354E-2</v>
      </c>
      <c r="AC231">
        <v>1.5565981430081499E-2</v>
      </c>
      <c r="AD231">
        <v>1.6724778777555301E-2</v>
      </c>
      <c r="AE231">
        <v>1.9899137749046801E-2</v>
      </c>
      <c r="AF231">
        <v>2.2088113920983001E-2</v>
      </c>
      <c r="AG231">
        <v>9.5642601144302897E-3</v>
      </c>
      <c r="AH231">
        <v>3.4186606976540999E-3</v>
      </c>
      <c r="AI231">
        <v>9.8197339319552497E-3</v>
      </c>
      <c r="AJ231">
        <v>-2.0278278136346699E-3</v>
      </c>
      <c r="AK231">
        <v>-4.6243175103108597E-3</v>
      </c>
      <c r="AL231">
        <v>-1.67292951817396E-3</v>
      </c>
      <c r="AM231">
        <v>-8.4733498182533E-3</v>
      </c>
      <c r="AN231">
        <f>+IBOV!C156</f>
        <v>-7.7243375565398176E-2</v>
      </c>
      <c r="AP231" s="1">
        <f t="shared" si="25"/>
        <v>41425</v>
      </c>
      <c r="AQ231">
        <f t="shared" si="26"/>
        <v>86.891517221744181</v>
      </c>
      <c r="AR231">
        <f t="shared" si="27"/>
        <v>113.96091919722966</v>
      </c>
      <c r="AS231">
        <f t="shared" si="28"/>
        <v>117.56058569015634</v>
      </c>
      <c r="AT231">
        <f t="shared" si="29"/>
        <v>86.946823942963107</v>
      </c>
      <c r="AU231">
        <f t="shared" si="30"/>
        <v>153.39603306437402</v>
      </c>
      <c r="AV231">
        <f t="shared" si="31"/>
        <v>232.48398463746213</v>
      </c>
      <c r="AW231">
        <f t="shared" si="32"/>
        <v>124.23397462557662</v>
      </c>
      <c r="AX231">
        <f t="shared" si="33"/>
        <v>115.04958230804027</v>
      </c>
      <c r="AY231">
        <f t="shared" si="34"/>
        <v>166.91873204080042</v>
      </c>
      <c r="AZ231">
        <f t="shared" si="35"/>
        <v>104.28487977903899</v>
      </c>
      <c r="BA231">
        <f t="shared" si="36"/>
        <v>124.48464642503329</v>
      </c>
      <c r="BB231">
        <f t="shared" si="37"/>
        <v>115.85054620521433</v>
      </c>
      <c r="BC231">
        <f t="shared" si="38"/>
        <v>143.21011819783189</v>
      </c>
      <c r="BD231">
        <f t="shared" si="39"/>
        <v>460.02511090650387</v>
      </c>
    </row>
    <row r="232" spans="1:56" x14ac:dyDescent="0.25">
      <c r="A232" t="s">
        <v>7</v>
      </c>
      <c r="B232" t="s">
        <v>8</v>
      </c>
      <c r="C232" t="s">
        <v>9</v>
      </c>
      <c r="D232" t="s">
        <v>10</v>
      </c>
      <c r="E232">
        <v>6</v>
      </c>
      <c r="F232" s="1">
        <v>44255</v>
      </c>
      <c r="G232">
        <v>1.72064660639853E-2</v>
      </c>
      <c r="K232" s="4">
        <v>41455</v>
      </c>
      <c r="L232" s="6">
        <v>1.0463885523026999E-2</v>
      </c>
      <c r="M232" s="6">
        <v>1.71783257317508E-3</v>
      </c>
      <c r="N232" s="6">
        <v>1.3237026408438201E-2</v>
      </c>
      <c r="O232" s="6">
        <v>5.0460839274542998E-3</v>
      </c>
      <c r="P232" s="6">
        <v>3.07853768400373E-2</v>
      </c>
      <c r="Q232" s="6">
        <v>2.8461023541044302E-2</v>
      </c>
      <c r="R232" s="6">
        <v>2.1348352905621701E-3</v>
      </c>
      <c r="S232" s="6">
        <v>2.17712671276921E-2</v>
      </c>
      <c r="T232" s="6">
        <v>1.5687150984911899E-2</v>
      </c>
      <c r="U232" s="6">
        <v>-4.29283944552442E-3</v>
      </c>
      <c r="V232" s="6">
        <v>1.6851416638862099E-3</v>
      </c>
      <c r="W232" s="6">
        <v>-1.08158566719995E-2</v>
      </c>
      <c r="X232" s="6">
        <v>4.2139309192027602E-3</v>
      </c>
      <c r="Y232" s="6">
        <v>0.1200948586819074</v>
      </c>
      <c r="AA232">
        <v>1.0463885523026999E-2</v>
      </c>
      <c r="AB232">
        <v>1.71783257317508E-3</v>
      </c>
      <c r="AC232">
        <v>1.3237026408438201E-2</v>
      </c>
      <c r="AD232">
        <v>5.0460839274542998E-3</v>
      </c>
      <c r="AE232">
        <v>3.07853768400373E-2</v>
      </c>
      <c r="AF232">
        <v>2.8461023541044302E-2</v>
      </c>
      <c r="AG232">
        <v>2.1348352905621701E-3</v>
      </c>
      <c r="AH232">
        <v>2.17712671276921E-2</v>
      </c>
      <c r="AI232">
        <v>1.5687150984911899E-2</v>
      </c>
      <c r="AJ232">
        <v>-4.29283944552442E-3</v>
      </c>
      <c r="AK232">
        <v>1.6851416638862099E-3</v>
      </c>
      <c r="AL232">
        <v>-1.08158566719995E-2</v>
      </c>
      <c r="AM232">
        <v>4.2139309192027602E-3</v>
      </c>
      <c r="AN232">
        <f>+IBOV!C157</f>
        <v>-0.12132636574040379</v>
      </c>
      <c r="AP232" s="1">
        <f t="shared" si="25"/>
        <v>41455</v>
      </c>
      <c r="AQ232">
        <f t="shared" si="26"/>
        <v>87.800740110874642</v>
      </c>
      <c r="AR232">
        <f t="shared" si="27"/>
        <v>114.15668497629562</v>
      </c>
      <c r="AS232">
        <f t="shared" si="28"/>
        <v>119.11673826752842</v>
      </c>
      <c r="AT232">
        <f t="shared" si="29"/>
        <v>87.385564913804885</v>
      </c>
      <c r="AU232">
        <f t="shared" si="30"/>
        <v>158.1183877480276</v>
      </c>
      <c r="AV232">
        <f t="shared" si="31"/>
        <v>239.10071679714471</v>
      </c>
      <c r="AW232">
        <f t="shared" si="32"/>
        <v>124.4991936988941</v>
      </c>
      <c r="AX232">
        <f t="shared" si="33"/>
        <v>117.55435749739803</v>
      </c>
      <c r="AY232">
        <f t="shared" si="34"/>
        <v>169.53721139253452</v>
      </c>
      <c r="AZ232">
        <f t="shared" si="35"/>
        <v>103.83720153355176</v>
      </c>
      <c r="BA232">
        <f t="shared" si="36"/>
        <v>124.69442068923824</v>
      </c>
      <c r="BB232">
        <f t="shared" si="37"/>
        <v>114.59752330208588</v>
      </c>
      <c r="BC232">
        <f t="shared" si="38"/>
        <v>143.81359574284843</v>
      </c>
      <c r="BD232">
        <f t="shared" si="39"/>
        <v>404.21193605089155</v>
      </c>
    </row>
    <row r="233" spans="1:56" x14ac:dyDescent="0.25">
      <c r="A233" t="s">
        <v>7</v>
      </c>
      <c r="B233" t="s">
        <v>8</v>
      </c>
      <c r="C233" t="s">
        <v>9</v>
      </c>
      <c r="D233" t="s">
        <v>10</v>
      </c>
      <c r="E233">
        <v>6</v>
      </c>
      <c r="F233" s="1">
        <v>44286</v>
      </c>
      <c r="G233">
        <v>5.4014588299453499E-2</v>
      </c>
      <c r="K233" s="4">
        <v>41486</v>
      </c>
      <c r="L233" s="6">
        <v>-2.7923824501604202E-3</v>
      </c>
      <c r="M233" s="6">
        <v>1.5713013424615601E-2</v>
      </c>
      <c r="N233" s="6">
        <v>1.7821390324074399E-2</v>
      </c>
      <c r="O233" s="6">
        <v>-1.38350134125625E-2</v>
      </c>
      <c r="P233" s="6">
        <v>3.2364655808304098E-3</v>
      </c>
      <c r="Q233" s="6">
        <v>1.3214281399062401E-2</v>
      </c>
      <c r="R233" s="6">
        <v>3.5183446652480698E-3</v>
      </c>
      <c r="S233" s="6">
        <v>1.01477212628544E-2</v>
      </c>
      <c r="T233" s="6">
        <v>-1.1414724032886799E-3</v>
      </c>
      <c r="U233" s="6">
        <v>-2.9083059321113498E-3</v>
      </c>
      <c r="V233" s="6">
        <v>8.1930590182198503E-4</v>
      </c>
      <c r="W233" s="6">
        <v>-2.30283013124284E-2</v>
      </c>
      <c r="X233" s="6">
        <v>8.4530545190303393E-3</v>
      </c>
      <c r="Y233" s="6">
        <v>2.9218101566986253E-2</v>
      </c>
      <c r="AA233">
        <v>-2.7923824501604202E-3</v>
      </c>
      <c r="AB233">
        <v>1.5713013424615601E-2</v>
      </c>
      <c r="AC233">
        <v>1.7821390324074399E-2</v>
      </c>
      <c r="AD233">
        <v>-1.38350134125625E-2</v>
      </c>
      <c r="AE233">
        <v>3.2364655808304098E-3</v>
      </c>
      <c r="AF233">
        <v>1.3214281399062401E-2</v>
      </c>
      <c r="AG233">
        <v>3.5183446652480698E-3</v>
      </c>
      <c r="AH233">
        <v>1.01477212628544E-2</v>
      </c>
      <c r="AI233">
        <v>-1.1414724032886799E-3</v>
      </c>
      <c r="AJ233">
        <v>-2.9083059321113498E-3</v>
      </c>
      <c r="AK233">
        <v>8.1930590182198503E-4</v>
      </c>
      <c r="AL233">
        <v>-2.30283013124284E-2</v>
      </c>
      <c r="AM233">
        <v>8.4530545190303393E-3</v>
      </c>
      <c r="AN233">
        <f>+IBOV!C158</f>
        <v>-8.2085348883441656E-3</v>
      </c>
      <c r="AP233" s="1">
        <f t="shared" si="25"/>
        <v>41486</v>
      </c>
      <c r="AQ233">
        <f t="shared" si="26"/>
        <v>87.555566865077935</v>
      </c>
      <c r="AR233">
        <f t="shared" si="27"/>
        <v>115.95043049983776</v>
      </c>
      <c r="AS233">
        <f t="shared" si="28"/>
        <v>121.23956415432467</v>
      </c>
      <c r="AT233">
        <f t="shared" si="29"/>
        <v>86.176584451158035</v>
      </c>
      <c r="AU233">
        <f t="shared" si="30"/>
        <v>158.63013246767048</v>
      </c>
      <c r="AV233">
        <f t="shared" si="31"/>
        <v>242.2602609516197</v>
      </c>
      <c r="AW233">
        <f t="shared" si="32"/>
        <v>124.93722477287228</v>
      </c>
      <c r="AX233">
        <f t="shared" si="33"/>
        <v>118.74726635051557</v>
      </c>
      <c r="AY233">
        <f t="shared" si="34"/>
        <v>169.34368934439942</v>
      </c>
      <c r="AZ233">
        <f t="shared" si="35"/>
        <v>103.53521118435789</v>
      </c>
      <c r="BA233">
        <f t="shared" si="36"/>
        <v>124.79658356403321</v>
      </c>
      <c r="BB233">
        <f t="shared" si="37"/>
        <v>111.95853700582741</v>
      </c>
      <c r="BC233">
        <f t="shared" si="38"/>
        <v>145.02925990824053</v>
      </c>
      <c r="BD233">
        <f t="shared" si="39"/>
        <v>400.89394827153268</v>
      </c>
    </row>
    <row r="234" spans="1:56" x14ac:dyDescent="0.25">
      <c r="A234" t="s">
        <v>7</v>
      </c>
      <c r="B234" t="s">
        <v>8</v>
      </c>
      <c r="C234" t="s">
        <v>9</v>
      </c>
      <c r="D234" t="s">
        <v>10</v>
      </c>
      <c r="E234">
        <v>6</v>
      </c>
      <c r="F234" s="1">
        <v>44316</v>
      </c>
      <c r="G234">
        <v>-2.4952076807814701E-2</v>
      </c>
      <c r="K234" s="4">
        <v>41517</v>
      </c>
      <c r="L234" s="6">
        <v>4.71352271143545E-2</v>
      </c>
      <c r="M234" s="6">
        <v>-5.3938068495821903E-3</v>
      </c>
      <c r="N234" s="6">
        <v>1.9386561802321099E-2</v>
      </c>
      <c r="O234" s="6">
        <v>-2.6865384938044901E-2</v>
      </c>
      <c r="P234" s="6">
        <v>-1.6559904348294699E-2</v>
      </c>
      <c r="Q234" s="6">
        <v>4.8767939567076903E-2</v>
      </c>
      <c r="R234" s="6">
        <v>1.5041271640274899E-2</v>
      </c>
      <c r="S234" s="6">
        <v>-2.5928358273014401E-2</v>
      </c>
      <c r="T234" s="6">
        <v>-2.6566706185992099E-2</v>
      </c>
      <c r="U234" s="6">
        <v>-1.1781362728826401E-3</v>
      </c>
      <c r="V234" s="6">
        <v>-7.01009713122582E-3</v>
      </c>
      <c r="W234" s="6">
        <v>-9.6798330823473708E-3</v>
      </c>
      <c r="X234" s="6">
        <v>9.6977404117952696E-3</v>
      </c>
      <c r="Y234" s="6">
        <v>2.0846513454438546E-2</v>
      </c>
      <c r="AA234">
        <v>4.71352271143545E-2</v>
      </c>
      <c r="AB234">
        <v>-5.3938068495821903E-3</v>
      </c>
      <c r="AC234">
        <v>1.9386561802321099E-2</v>
      </c>
      <c r="AD234">
        <v>-2.6865384938044901E-2</v>
      </c>
      <c r="AE234">
        <v>-1.6559904348294699E-2</v>
      </c>
      <c r="AF234">
        <v>4.8767939567076903E-2</v>
      </c>
      <c r="AG234">
        <v>1.5041271640274899E-2</v>
      </c>
      <c r="AH234">
        <v>-2.5928358273014401E-2</v>
      </c>
      <c r="AI234">
        <v>-2.6566706185992099E-2</v>
      </c>
      <c r="AJ234">
        <v>-1.1781362728826401E-3</v>
      </c>
      <c r="AK234">
        <v>-7.01009713122582E-3</v>
      </c>
      <c r="AL234">
        <v>-9.6798330823473708E-3</v>
      </c>
      <c r="AM234">
        <v>9.6977404117952696E-3</v>
      </c>
      <c r="AN234">
        <f>+IBOV!C159</f>
        <v>-2.5518427887787243E-2</v>
      </c>
      <c r="AP234" s="1">
        <f t="shared" si="25"/>
        <v>41517</v>
      </c>
      <c r="AQ234">
        <f t="shared" si="26"/>
        <v>91.682518394389447</v>
      </c>
      <c r="AR234">
        <f t="shared" si="27"/>
        <v>115.32501627359574</v>
      </c>
      <c r="AS234">
        <f t="shared" si="28"/>
        <v>123.58998245768895</v>
      </c>
      <c r="AT234">
        <f t="shared" si="29"/>
        <v>83.861417337231742</v>
      </c>
      <c r="AU234">
        <f t="shared" si="30"/>
        <v>156.00323264724855</v>
      </c>
      <c r="AV234">
        <f t="shared" si="31"/>
        <v>254.07479471721254</v>
      </c>
      <c r="AW234">
        <f t="shared" si="32"/>
        <v>126.81643950866312</v>
      </c>
      <c r="AX234">
        <f t="shared" si="33"/>
        <v>115.66834468463834</v>
      </c>
      <c r="AY234">
        <f t="shared" si="34"/>
        <v>164.84478530513485</v>
      </c>
      <c r="AZ234">
        <f t="shared" si="35"/>
        <v>103.41323259654104</v>
      </c>
      <c r="BA234">
        <f t="shared" si="36"/>
        <v>123.9217473916042</v>
      </c>
      <c r="BB234">
        <f t="shared" si="37"/>
        <v>110.8747970554672</v>
      </c>
      <c r="BC234">
        <f t="shared" si="38"/>
        <v>146.43571602294543</v>
      </c>
      <c r="BD234">
        <f t="shared" si="39"/>
        <v>390.66376496191526</v>
      </c>
    </row>
    <row r="235" spans="1:56" x14ac:dyDescent="0.25">
      <c r="A235" t="s">
        <v>7</v>
      </c>
      <c r="B235" t="s">
        <v>8</v>
      </c>
      <c r="C235" t="s">
        <v>9</v>
      </c>
      <c r="D235" t="s">
        <v>10</v>
      </c>
      <c r="E235">
        <v>6</v>
      </c>
      <c r="F235" s="1">
        <v>44347</v>
      </c>
      <c r="G235">
        <v>-6.6629115204728901E-3</v>
      </c>
      <c r="K235" s="4">
        <v>41547</v>
      </c>
      <c r="L235" s="6">
        <v>-2.0602631222854599E-2</v>
      </c>
      <c r="M235" s="6">
        <v>-5.8890588306736097E-3</v>
      </c>
      <c r="N235" s="6">
        <v>1.16376547367151E-3</v>
      </c>
      <c r="O235" s="6">
        <v>-7.1272988189462396E-3</v>
      </c>
      <c r="P235" s="6">
        <v>-2.77543827638101E-3</v>
      </c>
      <c r="Q235" s="6">
        <v>-4.36370681395499E-2</v>
      </c>
      <c r="R235" s="6">
        <v>-1.4760067776023801E-2</v>
      </c>
      <c r="S235" s="6">
        <v>2.2244908545070999E-2</v>
      </c>
      <c r="T235" s="6">
        <v>2.0536692822279299E-2</v>
      </c>
      <c r="U235" s="6">
        <v>-1.03611957316555E-2</v>
      </c>
      <c r="V235" s="6">
        <v>2.2781976086496899E-2</v>
      </c>
      <c r="W235" s="6">
        <v>-1.56011641290123E-2</v>
      </c>
      <c r="X235" s="6">
        <v>2.0475571100709199E-2</v>
      </c>
      <c r="Y235" s="6">
        <v>-3.3551008896869058E-2</v>
      </c>
      <c r="AA235">
        <v>-2.0602631222854599E-2</v>
      </c>
      <c r="AB235">
        <v>-5.8890588306736097E-3</v>
      </c>
      <c r="AC235">
        <v>1.16376547367151E-3</v>
      </c>
      <c r="AD235">
        <v>-7.1272988189462396E-3</v>
      </c>
      <c r="AE235">
        <v>-2.77543827638101E-3</v>
      </c>
      <c r="AF235">
        <v>-4.36370681395499E-2</v>
      </c>
      <c r="AG235">
        <v>-1.4760067776023801E-2</v>
      </c>
      <c r="AH235">
        <v>2.2244908545070999E-2</v>
      </c>
      <c r="AI235">
        <v>2.0536692822279299E-2</v>
      </c>
      <c r="AJ235">
        <v>-1.03611957316555E-2</v>
      </c>
      <c r="AK235">
        <v>2.2781976086496899E-2</v>
      </c>
      <c r="AL235">
        <v>-1.56011641290123E-2</v>
      </c>
      <c r="AM235">
        <v>2.0475571100709199E-2</v>
      </c>
      <c r="AN235">
        <f>+IBOV!C160</f>
        <v>0.13022201462956851</v>
      </c>
      <c r="AP235" s="1">
        <f t="shared" si="25"/>
        <v>41547</v>
      </c>
      <c r="AQ235">
        <f t="shared" si="26"/>
        <v>89.793617278327261</v>
      </c>
      <c r="AR235">
        <f t="shared" si="27"/>
        <v>114.64586046811215</v>
      </c>
      <c r="AS235">
        <f t="shared" si="28"/>
        <v>123.73381221216488</v>
      </c>
      <c r="AT235">
        <f t="shared" si="29"/>
        <v>83.263711956488933</v>
      </c>
      <c r="AU235">
        <f t="shared" si="30"/>
        <v>155.5702553041202</v>
      </c>
      <c r="AV235">
        <f t="shared" si="31"/>
        <v>242.98771558759537</v>
      </c>
      <c r="AW235">
        <f t="shared" si="32"/>
        <v>124.94462026640123</v>
      </c>
      <c r="AX235">
        <f t="shared" si="33"/>
        <v>118.24137643370788</v>
      </c>
      <c r="AY235">
        <f t="shared" si="34"/>
        <v>168.23015202430096</v>
      </c>
      <c r="AZ235">
        <f t="shared" si="35"/>
        <v>102.34174785236506</v>
      </c>
      <c r="BA235">
        <f t="shared" si="36"/>
        <v>126.74492967727663</v>
      </c>
      <c r="BB235">
        <f t="shared" si="37"/>
        <v>109.14502114883393</v>
      </c>
      <c r="BC235">
        <f t="shared" si="38"/>
        <v>149.43407093805649</v>
      </c>
      <c r="BD235">
        <f t="shared" si="39"/>
        <v>441.53678747802809</v>
      </c>
    </row>
    <row r="236" spans="1:56" x14ac:dyDescent="0.25">
      <c r="A236" t="s">
        <v>7</v>
      </c>
      <c r="B236" t="s">
        <v>8</v>
      </c>
      <c r="C236" t="s">
        <v>9</v>
      </c>
      <c r="D236" t="s">
        <v>10</v>
      </c>
      <c r="E236">
        <v>6</v>
      </c>
      <c r="F236" s="1">
        <v>44377</v>
      </c>
      <c r="G236">
        <v>-2.1078471445072799E-2</v>
      </c>
      <c r="K236" s="4">
        <v>41578</v>
      </c>
      <c r="L236" s="6">
        <v>1.7474944014432399E-2</v>
      </c>
      <c r="M236" s="6">
        <v>3.0736851195356001E-2</v>
      </c>
      <c r="N236" s="6">
        <v>2.78356974621373E-2</v>
      </c>
      <c r="O236" s="6">
        <v>-3.5401242861494799E-2</v>
      </c>
      <c r="P236" s="6">
        <v>-3.4036695143570403E-4</v>
      </c>
      <c r="Q236" s="6">
        <v>5.3398155767892003E-2</v>
      </c>
      <c r="R236" s="6">
        <v>1.14492043778864E-2</v>
      </c>
      <c r="S236" s="6">
        <v>1.10385397542187E-2</v>
      </c>
      <c r="T236" s="6">
        <v>-1.08225347536424E-3</v>
      </c>
      <c r="U236" s="6">
        <v>-7.3131658421527503E-3</v>
      </c>
      <c r="V236" s="6">
        <v>-2.69159387934284E-2</v>
      </c>
      <c r="W236" s="6">
        <v>-4.6712307824019798E-2</v>
      </c>
      <c r="X236" s="6">
        <v>3.3165182476840402E-2</v>
      </c>
      <c r="Y236" s="6">
        <v>6.7333299300867538E-2</v>
      </c>
      <c r="AA236">
        <v>1.7474944014432399E-2</v>
      </c>
      <c r="AB236">
        <v>3.0736851195356001E-2</v>
      </c>
      <c r="AC236">
        <v>2.78356974621373E-2</v>
      </c>
      <c r="AD236">
        <v>-3.5401242861494799E-2</v>
      </c>
      <c r="AE236">
        <v>-3.4036695143570403E-4</v>
      </c>
      <c r="AF236">
        <v>5.3398155767892003E-2</v>
      </c>
      <c r="AG236">
        <v>1.14492043778864E-2</v>
      </c>
      <c r="AH236">
        <v>1.10385397542187E-2</v>
      </c>
      <c r="AI236">
        <v>-1.08225347536424E-3</v>
      </c>
      <c r="AJ236">
        <v>-7.3131658421527503E-3</v>
      </c>
      <c r="AK236">
        <v>-2.69159387934284E-2</v>
      </c>
      <c r="AL236">
        <v>-4.6712307824019798E-2</v>
      </c>
      <c r="AM236">
        <v>3.3165182476840402E-2</v>
      </c>
      <c r="AN236">
        <f>+IBOV!C161</f>
        <v>4.6858412448057329E-2</v>
      </c>
      <c r="AP236" s="1">
        <f t="shared" si="25"/>
        <v>41578</v>
      </c>
      <c r="AQ236">
        <f t="shared" si="26"/>
        <v>91.362755713119398</v>
      </c>
      <c r="AR236">
        <f t="shared" si="27"/>
        <v>118.16971322148406</v>
      </c>
      <c r="AS236">
        <f t="shared" si="28"/>
        <v>127.17802917473959</v>
      </c>
      <c r="AT236">
        <f t="shared" si="29"/>
        <v>80.316073067967721</v>
      </c>
      <c r="AU236">
        <f t="shared" si="30"/>
        <v>155.51730433058825</v>
      </c>
      <c r="AV236">
        <f t="shared" si="31"/>
        <v>255.96281147422602</v>
      </c>
      <c r="AW236">
        <f t="shared" si="32"/>
        <v>126.37513675974867</v>
      </c>
      <c r="AX236">
        <f t="shared" si="33"/>
        <v>119.54658856806492</v>
      </c>
      <c r="AY236">
        <f t="shared" si="34"/>
        <v>168.0480843576116</v>
      </c>
      <c r="AZ236">
        <f t="shared" si="35"/>
        <v>101.59330567774492</v>
      </c>
      <c r="BA236">
        <f t="shared" si="36"/>
        <v>123.33347090770567</v>
      </c>
      <c r="BB236">
        <f t="shared" si="37"/>
        <v>104.04660532347044</v>
      </c>
      <c r="BC236">
        <f t="shared" si="38"/>
        <v>154.39007916897424</v>
      </c>
      <c r="BD236">
        <f t="shared" si="39"/>
        <v>462.22650037666375</v>
      </c>
    </row>
    <row r="237" spans="1:56" x14ac:dyDescent="0.25">
      <c r="A237" t="s">
        <v>7</v>
      </c>
      <c r="B237" t="s">
        <v>8</v>
      </c>
      <c r="C237" t="s">
        <v>9</v>
      </c>
      <c r="D237" t="s">
        <v>10</v>
      </c>
      <c r="E237">
        <v>6</v>
      </c>
      <c r="F237" s="1">
        <v>44408</v>
      </c>
      <c r="G237">
        <v>-4.9055916707523598E-3</v>
      </c>
      <c r="K237" s="4">
        <v>41608</v>
      </c>
      <c r="L237" s="6">
        <v>9.8893681584401594E-3</v>
      </c>
      <c r="M237" s="6">
        <v>3.4825180415491599E-3</v>
      </c>
      <c r="N237" s="6">
        <v>-4.3272908509176802E-3</v>
      </c>
      <c r="O237" s="6">
        <v>9.8112208153109705E-3</v>
      </c>
      <c r="P237" s="6">
        <v>6.7973227851728796E-3</v>
      </c>
      <c r="Q237" s="6">
        <v>1.4011021434978101E-2</v>
      </c>
      <c r="R237" s="6">
        <v>1.1658544099332299E-2</v>
      </c>
      <c r="S237" s="6">
        <v>4.6284604747355998E-3</v>
      </c>
      <c r="T237" s="6">
        <v>2.09720471780316E-2</v>
      </c>
      <c r="U237" s="6">
        <v>-8.4002812784895794E-3</v>
      </c>
      <c r="V237" s="6">
        <v>1.1865551119610801E-2</v>
      </c>
      <c r="W237" s="6">
        <v>-5.6746395172037004E-3</v>
      </c>
      <c r="X237" s="6">
        <v>-1.5498786931360401E-2</v>
      </c>
      <c r="Y237" s="6">
        <v>5.9215055529190201E-2</v>
      </c>
      <c r="AA237">
        <v>9.8893681584401594E-3</v>
      </c>
      <c r="AB237">
        <v>3.4825180415491599E-3</v>
      </c>
      <c r="AC237">
        <v>-4.3272908509176802E-3</v>
      </c>
      <c r="AD237">
        <v>9.8112208153109705E-3</v>
      </c>
      <c r="AE237">
        <v>6.7973227851728796E-3</v>
      </c>
      <c r="AF237">
        <v>1.4011021434978101E-2</v>
      </c>
      <c r="AG237">
        <v>1.1658544099332299E-2</v>
      </c>
      <c r="AH237">
        <v>4.6284604747355998E-3</v>
      </c>
      <c r="AI237">
        <v>2.09720471780316E-2</v>
      </c>
      <c r="AJ237">
        <v>-8.4002812784895794E-3</v>
      </c>
      <c r="AK237">
        <v>1.1865551119610801E-2</v>
      </c>
      <c r="AL237">
        <v>-5.6746395172037004E-3</v>
      </c>
      <c r="AM237">
        <v>-1.5498786931360401E-2</v>
      </c>
      <c r="AN237">
        <f>+IBOV!C162</f>
        <v>-6.3901836580215976E-2</v>
      </c>
      <c r="AP237" s="1">
        <f t="shared" si="25"/>
        <v>41608</v>
      </c>
      <c r="AQ237">
        <f t="shared" si="26"/>
        <v>92.266275640336076</v>
      </c>
      <c r="AR237">
        <f t="shared" si="27"/>
        <v>118.58124137974258</v>
      </c>
      <c r="AS237">
        <f t="shared" si="28"/>
        <v>126.62769285265401</v>
      </c>
      <c r="AT237">
        <f t="shared" si="29"/>
        <v>81.1040717958562</v>
      </c>
      <c r="AU237">
        <f t="shared" si="30"/>
        <v>156.57440564680323</v>
      </c>
      <c r="AV237">
        <f t="shared" si="31"/>
        <v>259.54911191234862</v>
      </c>
      <c r="AW237">
        <f t="shared" si="32"/>
        <v>127.84848686472134</v>
      </c>
      <c r="AX237">
        <f t="shared" si="33"/>
        <v>120.09990522814168</v>
      </c>
      <c r="AY237">
        <f t="shared" si="34"/>
        <v>171.57239671093728</v>
      </c>
      <c r="AZ237">
        <f t="shared" si="35"/>
        <v>100.73989333404029</v>
      </c>
      <c r="BA237">
        <f t="shared" si="36"/>
        <v>124.79689051152009</v>
      </c>
      <c r="BB237">
        <f t="shared" si="37"/>
        <v>103.45617834527098</v>
      </c>
      <c r="BC237">
        <f t="shared" si="38"/>
        <v>151.99722022761844</v>
      </c>
      <c r="BD237">
        <f t="shared" si="39"/>
        <v>432.68937808654903</v>
      </c>
    </row>
    <row r="238" spans="1:56" x14ac:dyDescent="0.25">
      <c r="A238" t="s">
        <v>7</v>
      </c>
      <c r="B238" t="s">
        <v>8</v>
      </c>
      <c r="C238" t="s">
        <v>9</v>
      </c>
      <c r="D238" t="s">
        <v>10</v>
      </c>
      <c r="E238">
        <v>6</v>
      </c>
      <c r="F238" s="1">
        <v>44439</v>
      </c>
      <c r="G238">
        <v>3.5383856263982501E-2</v>
      </c>
      <c r="K238" s="4">
        <v>41639</v>
      </c>
      <c r="L238" s="6">
        <v>5.1968798706698597E-3</v>
      </c>
      <c r="M238" s="6">
        <v>6.8641991785366001E-3</v>
      </c>
      <c r="N238" s="6">
        <v>7.6576315189509202E-3</v>
      </c>
      <c r="O238" s="6">
        <v>3.6940020911604298E-4</v>
      </c>
      <c r="P238" s="6">
        <v>-1.3339204260492499E-2</v>
      </c>
      <c r="Q238" s="6">
        <v>1.1275164310115E-2</v>
      </c>
      <c r="R238" s="6">
        <v>5.7603189994034996E-3</v>
      </c>
      <c r="S238" s="6">
        <v>-1.62734102950838E-2</v>
      </c>
      <c r="T238" s="6">
        <v>-2.0260555446904398E-2</v>
      </c>
      <c r="U238" s="6">
        <v>-4.6314630672821501E-3</v>
      </c>
      <c r="V238" s="6">
        <v>-1.5773251200065501E-2</v>
      </c>
      <c r="W238" s="6">
        <v>1.1805870014277801E-2</v>
      </c>
      <c r="X238" s="6">
        <v>6.9157769096781698E-3</v>
      </c>
      <c r="Y238" s="6">
        <v>-1.4432643259080452E-2</v>
      </c>
      <c r="AA238">
        <v>5.1968798706698597E-3</v>
      </c>
      <c r="AB238">
        <v>6.8641991785366001E-3</v>
      </c>
      <c r="AC238">
        <v>7.6576315189509202E-3</v>
      </c>
      <c r="AD238">
        <v>3.6940020911604298E-4</v>
      </c>
      <c r="AE238">
        <v>-1.3339204260492499E-2</v>
      </c>
      <c r="AF238">
        <v>1.1275164310115E-2</v>
      </c>
      <c r="AG238">
        <v>5.7603189994034996E-3</v>
      </c>
      <c r="AH238">
        <v>-1.62734102950838E-2</v>
      </c>
      <c r="AI238">
        <v>-2.0260555446904398E-2</v>
      </c>
      <c r="AJ238">
        <v>-4.6314630672821501E-3</v>
      </c>
      <c r="AK238">
        <v>-1.5773251200065501E-2</v>
      </c>
      <c r="AL238">
        <v>1.1805870014277801E-2</v>
      </c>
      <c r="AM238">
        <v>6.9157769096781698E-3</v>
      </c>
      <c r="AN238">
        <f>+IBOV!C163</f>
        <v>-3.5629306642627534E-2</v>
      </c>
      <c r="AP238" s="1">
        <f t="shared" si="25"/>
        <v>41639</v>
      </c>
      <c r="AQ238">
        <f t="shared" si="26"/>
        <v>92.745772390953022</v>
      </c>
      <c r="AR238">
        <f t="shared" si="27"/>
        <v>119.39520663941126</v>
      </c>
      <c r="AS238">
        <f t="shared" si="28"/>
        <v>127.59736106461453</v>
      </c>
      <c r="AT238">
        <f t="shared" si="29"/>
        <v>81.134031656937765</v>
      </c>
      <c r="AU238">
        <f t="shared" si="30"/>
        <v>154.48582766791532</v>
      </c>
      <c r="AV238">
        <f t="shared" si="31"/>
        <v>262.47557079570475</v>
      </c>
      <c r="AW238">
        <f t="shared" si="32"/>
        <v>128.5849349326532</v>
      </c>
      <c r="AX238">
        <f t="shared" si="33"/>
        <v>118.14547019396345</v>
      </c>
      <c r="AY238">
        <f t="shared" si="34"/>
        <v>168.09624465421706</v>
      </c>
      <c r="AZ238">
        <f t="shared" si="35"/>
        <v>100.27332023866174</v>
      </c>
      <c r="BA238">
        <f t="shared" si="36"/>
        <v>122.82843780849481</v>
      </c>
      <c r="BB238">
        <f t="shared" si="37"/>
        <v>104.67756853898919</v>
      </c>
      <c r="BC238">
        <f t="shared" si="38"/>
        <v>153.04839909360388</v>
      </c>
      <c r="BD238">
        <f t="shared" si="39"/>
        <v>417.27295555369557</v>
      </c>
    </row>
    <row r="239" spans="1:56" x14ac:dyDescent="0.25">
      <c r="A239" t="s">
        <v>7</v>
      </c>
      <c r="B239" t="s">
        <v>8</v>
      </c>
      <c r="C239" t="s">
        <v>9</v>
      </c>
      <c r="D239" t="s">
        <v>10</v>
      </c>
      <c r="E239">
        <v>6</v>
      </c>
      <c r="F239" s="1">
        <v>44469</v>
      </c>
      <c r="G239">
        <v>-7.4338431187216097E-3</v>
      </c>
      <c r="K239" s="4">
        <v>41670</v>
      </c>
      <c r="L239" s="6">
        <v>4.4243979896064302E-2</v>
      </c>
      <c r="M239" s="6">
        <v>-1.9570611454068201E-2</v>
      </c>
      <c r="N239" s="6">
        <v>-1.4702666367512499E-2</v>
      </c>
      <c r="O239" s="6">
        <v>1.8915374725156999E-2</v>
      </c>
      <c r="P239" s="6">
        <v>1.92680516166773E-3</v>
      </c>
      <c r="Q239" s="6">
        <v>1.11983488763484E-2</v>
      </c>
      <c r="R239" s="6">
        <v>-7.3911837169936797E-3</v>
      </c>
      <c r="S239" s="6">
        <v>-8.4159194130382399E-3</v>
      </c>
      <c r="T239" s="6">
        <v>4.2173993297918598E-3</v>
      </c>
      <c r="U239" s="6">
        <v>2.2831905504614499E-3</v>
      </c>
      <c r="V239" s="6">
        <v>2.41428308101139E-3</v>
      </c>
      <c r="W239" s="6">
        <v>2.0602135143528499E-2</v>
      </c>
      <c r="X239" s="6">
        <v>-3.7571051881194499E-3</v>
      </c>
      <c r="Y239" s="6">
        <v>5.1964030624298566E-2</v>
      </c>
      <c r="AA239">
        <v>4.4243979896064302E-2</v>
      </c>
      <c r="AB239">
        <v>-1.9570611454068201E-2</v>
      </c>
      <c r="AC239">
        <v>-1.4702666367512499E-2</v>
      </c>
      <c r="AD239">
        <v>1.8915374725156999E-2</v>
      </c>
      <c r="AE239">
        <v>1.92680516166773E-3</v>
      </c>
      <c r="AF239">
        <v>1.11983488763484E-2</v>
      </c>
      <c r="AG239">
        <v>-7.3911837169936797E-3</v>
      </c>
      <c r="AH239">
        <v>-8.4159194130382399E-3</v>
      </c>
      <c r="AI239">
        <v>4.2173993297918598E-3</v>
      </c>
      <c r="AJ239">
        <v>2.2831905504614499E-3</v>
      </c>
      <c r="AK239">
        <v>2.41428308101139E-3</v>
      </c>
      <c r="AL239">
        <v>2.0602135143528499E-2</v>
      </c>
      <c r="AM239">
        <v>-3.7571051881194499E-3</v>
      </c>
      <c r="AN239">
        <f>+IBOV!C164</f>
        <v>-0.12175336398430547</v>
      </c>
      <c r="AP239" s="1">
        <f t="shared" si="25"/>
        <v>41670</v>
      </c>
      <c r="AQ239">
        <f t="shared" si="26"/>
        <v>96.84921448006331</v>
      </c>
      <c r="AR239">
        <f t="shared" si="27"/>
        <v>117.05856944079315</v>
      </c>
      <c r="AS239">
        <f t="shared" si="28"/>
        <v>125.72133963550648</v>
      </c>
      <c r="AT239">
        <f t="shared" si="29"/>
        <v>82.668712268691493</v>
      </c>
      <c r="AU239">
        <f t="shared" si="30"/>
        <v>154.78349175807037</v>
      </c>
      <c r="AV239">
        <f t="shared" si="31"/>
        <v>265.41486380899369</v>
      </c>
      <c r="AW239">
        <f t="shared" si="32"/>
        <v>127.63454005532829</v>
      </c>
      <c r="AX239">
        <f t="shared" si="33"/>
        <v>117.15116743779555</v>
      </c>
      <c r="AY239">
        <f t="shared" si="34"/>
        <v>168.80517364376229</v>
      </c>
      <c r="AZ239">
        <f t="shared" si="35"/>
        <v>100.50226333589404</v>
      </c>
      <c r="BA239">
        <f t="shared" si="36"/>
        <v>123.12498042776292</v>
      </c>
      <c r="BB239">
        <f t="shared" si="37"/>
        <v>106.83414995252542</v>
      </c>
      <c r="BC239">
        <f t="shared" si="38"/>
        <v>152.47338015933593</v>
      </c>
      <c r="BD239">
        <f t="shared" si="39"/>
        <v>366.46856951535955</v>
      </c>
    </row>
    <row r="240" spans="1:56" x14ac:dyDescent="0.25">
      <c r="A240" t="s">
        <v>7</v>
      </c>
      <c r="B240" t="s">
        <v>8</v>
      </c>
      <c r="C240" t="s">
        <v>9</v>
      </c>
      <c r="D240" t="s">
        <v>10</v>
      </c>
      <c r="E240">
        <v>6</v>
      </c>
      <c r="F240" s="1">
        <v>44500</v>
      </c>
      <c r="G240">
        <v>3.9868647959547199E-2</v>
      </c>
      <c r="K240" s="4">
        <v>41698</v>
      </c>
      <c r="L240" s="6">
        <v>-4.0021820201389304E-3</v>
      </c>
      <c r="M240" s="6">
        <v>5.7565766965810899E-3</v>
      </c>
      <c r="N240" s="6">
        <v>-4.0009059756969502E-3</v>
      </c>
      <c r="O240" s="6">
        <v>1.75948164049433E-2</v>
      </c>
      <c r="P240" s="6">
        <v>2.1741389983311599E-2</v>
      </c>
      <c r="Q240" s="6">
        <v>2.0139819706916501E-3</v>
      </c>
      <c r="R240" s="6">
        <v>7.9886664359207198E-3</v>
      </c>
      <c r="S240" s="6">
        <v>1.5812627831725001E-2</v>
      </c>
      <c r="T240" s="6">
        <v>1.7220585068466899E-2</v>
      </c>
      <c r="U240" s="6">
        <v>-1.8010595060737902E-2</v>
      </c>
      <c r="V240" s="6">
        <v>1.3290760473845999E-2</v>
      </c>
      <c r="W240" s="6">
        <v>-1.40667864249687E-2</v>
      </c>
      <c r="X240" s="6">
        <v>-2.7905382404192401E-2</v>
      </c>
      <c r="Y240" s="6">
        <v>3.3433552979751376E-2</v>
      </c>
      <c r="AA240">
        <v>-4.0021820201389304E-3</v>
      </c>
      <c r="AB240">
        <v>5.7565766965810899E-3</v>
      </c>
      <c r="AC240">
        <v>-4.0009059756969502E-3</v>
      </c>
      <c r="AD240">
        <v>1.75948164049433E-2</v>
      </c>
      <c r="AE240">
        <v>2.1741389983311599E-2</v>
      </c>
      <c r="AF240">
        <v>2.0139819706916501E-3</v>
      </c>
      <c r="AG240">
        <v>7.9886664359207198E-3</v>
      </c>
      <c r="AH240">
        <v>1.5812627831725001E-2</v>
      </c>
      <c r="AI240">
        <v>1.7220585068466899E-2</v>
      </c>
      <c r="AJ240">
        <v>-1.8010595060737902E-2</v>
      </c>
      <c r="AK240">
        <v>1.3290760473845999E-2</v>
      </c>
      <c r="AL240">
        <v>-1.40667864249687E-2</v>
      </c>
      <c r="AM240">
        <v>-2.7905382404192401E-2</v>
      </c>
      <c r="AN240">
        <f>+IBOV!C165</f>
        <v>4.4849481522086787E-2</v>
      </c>
      <c r="AP240" s="1">
        <f t="shared" si="25"/>
        <v>41698</v>
      </c>
      <c r="AQ240">
        <f t="shared" si="26"/>
        <v>96.461606295206622</v>
      </c>
      <c r="AR240">
        <f t="shared" si="27"/>
        <v>117.73242607377114</v>
      </c>
      <c r="AS240">
        <f t="shared" si="28"/>
        <v>125.21834037648617</v>
      </c>
      <c r="AT240">
        <f t="shared" si="29"/>
        <v>84.123253083492202</v>
      </c>
      <c r="AU240">
        <f t="shared" si="30"/>
        <v>158.14870001536127</v>
      </c>
      <c r="AV240">
        <f t="shared" si="31"/>
        <v>265.94940455945857</v>
      </c>
      <c r="AW240">
        <f t="shared" si="32"/>
        <v>128.65416982153246</v>
      </c>
      <c r="AX240">
        <f t="shared" si="33"/>
        <v>119.00363524854151</v>
      </c>
      <c r="AY240">
        <f t="shared" si="34"/>
        <v>171.71209749649199</v>
      </c>
      <c r="AZ240">
        <f t="shared" si="35"/>
        <v>98.692157768263613</v>
      </c>
      <c r="BA240">
        <f t="shared" si="36"/>
        <v>124.76140505097528</v>
      </c>
      <c r="BB240">
        <f t="shared" si="37"/>
        <v>105.33133678225016</v>
      </c>
      <c r="BC240">
        <f t="shared" si="38"/>
        <v>148.21855217952987</v>
      </c>
      <c r="BD240">
        <f t="shared" si="39"/>
        <v>382.90449485226424</v>
      </c>
    </row>
    <row r="241" spans="1:56" x14ac:dyDescent="0.25">
      <c r="A241" t="s">
        <v>7</v>
      </c>
      <c r="B241" t="s">
        <v>8</v>
      </c>
      <c r="C241" t="s">
        <v>9</v>
      </c>
      <c r="D241" t="s">
        <v>10</v>
      </c>
      <c r="E241">
        <v>6</v>
      </c>
      <c r="F241" s="1">
        <v>44530</v>
      </c>
      <c r="G241">
        <v>4.06951202863658E-3</v>
      </c>
      <c r="K241" s="4">
        <v>41729</v>
      </c>
      <c r="L241" s="6">
        <v>-2.4465270127735101E-2</v>
      </c>
      <c r="M241" s="6">
        <v>-8.2070097613548294E-3</v>
      </c>
      <c r="N241" s="6">
        <v>-1.1149700166469699E-2</v>
      </c>
      <c r="O241" s="6">
        <v>-2.0320155234816398E-3</v>
      </c>
      <c r="P241" s="6">
        <v>-7.1113303940350397E-3</v>
      </c>
      <c r="Q241" s="6">
        <v>-3.7973006438445701E-3</v>
      </c>
      <c r="R241" s="6">
        <v>5.6920347062864602E-3</v>
      </c>
      <c r="S241" s="6">
        <v>2.51146426465234E-2</v>
      </c>
      <c r="T241" s="6">
        <v>1.76444519042579E-2</v>
      </c>
      <c r="U241" s="6">
        <v>-1.8031527709349002E-2</v>
      </c>
      <c r="V241" s="6">
        <v>-9.2966077401284292E-3</v>
      </c>
      <c r="W241" s="6">
        <v>-5.19487423970241E-2</v>
      </c>
      <c r="X241" s="6">
        <v>6.9491463120936595E-4</v>
      </c>
      <c r="Y241" s="6">
        <v>-8.6893460575145284E-2</v>
      </c>
      <c r="AA241">
        <v>-2.4465270127735101E-2</v>
      </c>
      <c r="AB241">
        <v>-8.2070097613548294E-3</v>
      </c>
      <c r="AC241">
        <v>-1.1149700166469699E-2</v>
      </c>
      <c r="AD241">
        <v>-2.0320155234816398E-3</v>
      </c>
      <c r="AE241">
        <v>-7.1113303940350397E-3</v>
      </c>
      <c r="AF241">
        <v>-3.7973006438445701E-3</v>
      </c>
      <c r="AG241">
        <v>5.6920347062864602E-3</v>
      </c>
      <c r="AH241">
        <v>2.51146426465234E-2</v>
      </c>
      <c r="AI241">
        <v>1.76444519042579E-2</v>
      </c>
      <c r="AJ241">
        <v>-1.8031527709349002E-2</v>
      </c>
      <c r="AK241">
        <v>-9.2966077401284292E-3</v>
      </c>
      <c r="AL241">
        <v>-5.19487423970241E-2</v>
      </c>
      <c r="AM241">
        <v>6.9491463120936595E-4</v>
      </c>
      <c r="AN241">
        <f>+IBOV!C166</f>
        <v>9.8418208527158768E-2</v>
      </c>
      <c r="AP241" s="1">
        <f t="shared" si="25"/>
        <v>41729</v>
      </c>
      <c r="AQ241">
        <f t="shared" si="26"/>
        <v>94.101647040239158</v>
      </c>
      <c r="AR241">
        <f t="shared" si="27"/>
        <v>116.76619490375572</v>
      </c>
      <c r="AS241">
        <f t="shared" si="28"/>
        <v>123.8221934259454</v>
      </c>
      <c r="AT241">
        <f t="shared" si="29"/>
        <v>83.952313327340775</v>
      </c>
      <c r="AU241">
        <f t="shared" si="30"/>
        <v>157.02405235816491</v>
      </c>
      <c r="AV241">
        <f t="shared" si="31"/>
        <v>264.93951471429489</v>
      </c>
      <c r="AW241">
        <f t="shared" si="32"/>
        <v>129.3864738212651</v>
      </c>
      <c r="AX241">
        <f t="shared" si="33"/>
        <v>121.99236902144585</v>
      </c>
      <c r="AY241">
        <f t="shared" si="34"/>
        <v>174.74186334214809</v>
      </c>
      <c r="AZ241">
        <f t="shared" si="35"/>
        <v>96.912587390769716</v>
      </c>
      <c r="BA241">
        <f t="shared" si="36"/>
        <v>123.60154720710909</v>
      </c>
      <c r="BB241">
        <f t="shared" si="37"/>
        <v>99.859506301414868</v>
      </c>
      <c r="BC241">
        <f t="shared" si="38"/>
        <v>148.3215514200561</v>
      </c>
      <c r="BD241">
        <f t="shared" si="39"/>
        <v>420.58926927262075</v>
      </c>
    </row>
    <row r="242" spans="1:56" x14ac:dyDescent="0.25">
      <c r="A242" t="s">
        <v>7</v>
      </c>
      <c r="B242" t="s">
        <v>8</v>
      </c>
      <c r="C242" t="s">
        <v>9</v>
      </c>
      <c r="D242" t="s">
        <v>10</v>
      </c>
      <c r="E242">
        <v>6</v>
      </c>
      <c r="F242" s="1">
        <v>44561</v>
      </c>
      <c r="G242">
        <v>1.1083353336419501E-2</v>
      </c>
      <c r="K242" s="4">
        <v>41759</v>
      </c>
      <c r="L242" s="6">
        <v>-6.7166402157663504E-3</v>
      </c>
      <c r="M242" s="6">
        <v>-7.79825063479946E-3</v>
      </c>
      <c r="N242" s="6">
        <v>3.9551337746504301E-4</v>
      </c>
      <c r="O242" s="6">
        <v>-9.0680374234344708E-3</v>
      </c>
      <c r="P242" s="6">
        <v>2.2032534362987799E-2</v>
      </c>
      <c r="Q242" s="6">
        <v>-3.7373652612806398E-3</v>
      </c>
      <c r="R242" s="6">
        <v>-2.0649442146473901E-3</v>
      </c>
      <c r="S242" s="6">
        <v>1.4223693470968701E-2</v>
      </c>
      <c r="T242" s="6">
        <v>2.40730398349535E-2</v>
      </c>
      <c r="U242" s="6">
        <v>6.9601723695313896E-3</v>
      </c>
      <c r="V242" s="6">
        <v>-2.68398893007426E-2</v>
      </c>
      <c r="W242" s="6">
        <v>-1.1959406485633199E-2</v>
      </c>
      <c r="X242" s="6">
        <v>-2.3811485645309901E-3</v>
      </c>
      <c r="Y242" s="6">
        <v>-2.8807286849286641E-3</v>
      </c>
      <c r="AA242">
        <v>-6.7166402157663504E-3</v>
      </c>
      <c r="AB242">
        <v>-7.79825063479946E-3</v>
      </c>
      <c r="AC242">
        <v>3.9551337746504301E-4</v>
      </c>
      <c r="AD242">
        <v>-9.0680374234344708E-3</v>
      </c>
      <c r="AE242">
        <v>2.2032534362987799E-2</v>
      </c>
      <c r="AF242">
        <v>-3.7373652612806398E-3</v>
      </c>
      <c r="AG242">
        <v>-2.0649442146473901E-3</v>
      </c>
      <c r="AH242">
        <v>1.4223693470968701E-2</v>
      </c>
      <c r="AI242">
        <v>2.40730398349535E-2</v>
      </c>
      <c r="AJ242">
        <v>6.9601723695313896E-3</v>
      </c>
      <c r="AK242">
        <v>-2.68398893007426E-2</v>
      </c>
      <c r="AL242">
        <v>-1.1959406485633199E-2</v>
      </c>
      <c r="AM242">
        <v>-2.3811485645309901E-3</v>
      </c>
      <c r="AN242">
        <f>+IBOV!C167</f>
        <v>4.4519362041721244E-2</v>
      </c>
      <c r="AP242" s="1">
        <f t="shared" si="25"/>
        <v>41759</v>
      </c>
      <c r="AQ242">
        <f t="shared" si="26"/>
        <v>93.469600133358838</v>
      </c>
      <c r="AR242">
        <f t="shared" si="27"/>
        <v>115.85562285022439</v>
      </c>
      <c r="AS242">
        <f t="shared" si="28"/>
        <v>123.87116675987244</v>
      </c>
      <c r="AT242">
        <f t="shared" si="29"/>
        <v>83.191030608304558</v>
      </c>
      <c r="AU242">
        <f t="shared" si="30"/>
        <v>160.48369018756179</v>
      </c>
      <c r="AV242">
        <f t="shared" si="31"/>
        <v>263.94933897566114</v>
      </c>
      <c r="AW242">
        <f t="shared" si="32"/>
        <v>129.11929797069425</v>
      </c>
      <c r="AX242">
        <f t="shared" si="33"/>
        <v>123.72755108420421</v>
      </c>
      <c r="AY242">
        <f t="shared" si="34"/>
        <v>178.94843117921764</v>
      </c>
      <c r="AZ242">
        <f t="shared" si="35"/>
        <v>97.58711570378675</v>
      </c>
      <c r="BA242">
        <f t="shared" si="36"/>
        <v>120.28409536266977</v>
      </c>
      <c r="BB242">
        <f t="shared" si="37"/>
        <v>98.665245874101601</v>
      </c>
      <c r="BC242">
        <f t="shared" si="38"/>
        <v>147.96837577080322</v>
      </c>
      <c r="BD242">
        <f t="shared" si="39"/>
        <v>439.31363522223154</v>
      </c>
    </row>
    <row r="243" spans="1:56" x14ac:dyDescent="0.25">
      <c r="A243" t="s">
        <v>7</v>
      </c>
      <c r="B243" t="s">
        <v>8</v>
      </c>
      <c r="C243" t="s">
        <v>9</v>
      </c>
      <c r="D243" t="s">
        <v>10</v>
      </c>
      <c r="E243">
        <v>6</v>
      </c>
      <c r="F243" s="1">
        <v>44592</v>
      </c>
      <c r="G243">
        <v>-1.2969099214531101E-2</v>
      </c>
      <c r="K243" s="4">
        <v>41790</v>
      </c>
      <c r="L243" s="6">
        <v>-2.4655018650267799E-2</v>
      </c>
      <c r="M243" s="6">
        <v>3.4912401783863001E-3</v>
      </c>
      <c r="N243" s="6">
        <v>-1.06096139210559E-2</v>
      </c>
      <c r="O243" s="6">
        <v>2.15604508581098E-2</v>
      </c>
      <c r="P243" s="6">
        <v>-1.6646571395590001E-2</v>
      </c>
      <c r="Q243" s="6">
        <v>1.08225134985587E-2</v>
      </c>
      <c r="R243" s="6">
        <v>8.6969315239327795E-4</v>
      </c>
      <c r="S243" s="6">
        <v>4.4430710880512397E-3</v>
      </c>
      <c r="T243" s="6">
        <v>8.0319761805824307E-3</v>
      </c>
      <c r="U243" s="6">
        <v>3.18024109543247E-3</v>
      </c>
      <c r="V243" s="6">
        <v>-1.8735917273199901E-2</v>
      </c>
      <c r="W243" s="6">
        <v>-4.1676136482387801E-3</v>
      </c>
      <c r="X243" s="6">
        <v>-2.5226185131805499E-2</v>
      </c>
      <c r="Y243" s="6">
        <v>-4.7641733968643664E-2</v>
      </c>
      <c r="AA243">
        <v>-2.4655018650267799E-2</v>
      </c>
      <c r="AB243">
        <v>3.4912401783863001E-3</v>
      </c>
      <c r="AC243">
        <v>-1.06096139210559E-2</v>
      </c>
      <c r="AD243">
        <v>2.15604508581098E-2</v>
      </c>
      <c r="AE243">
        <v>-1.6646571395590001E-2</v>
      </c>
      <c r="AF243">
        <v>1.08225134985587E-2</v>
      </c>
      <c r="AG243">
        <v>8.6969315239327795E-4</v>
      </c>
      <c r="AH243">
        <v>4.4430710880512397E-3</v>
      </c>
      <c r="AI243">
        <v>8.0319761805824307E-3</v>
      </c>
      <c r="AJ243">
        <v>3.18024109543247E-3</v>
      </c>
      <c r="AK243">
        <v>-1.8735917273199901E-2</v>
      </c>
      <c r="AL243">
        <v>-4.1676136482387801E-3</v>
      </c>
      <c r="AM243">
        <v>-2.5226185131805499E-2</v>
      </c>
      <c r="AN243">
        <f>+IBOV!C168</f>
        <v>-1.169100387159705E-2</v>
      </c>
      <c r="AP243" s="1">
        <f t="shared" si="25"/>
        <v>41790</v>
      </c>
      <c r="AQ243">
        <f t="shared" si="26"/>
        <v>91.16510539883781</v>
      </c>
      <c r="AR243">
        <f t="shared" si="27"/>
        <v>116.26010265561105</v>
      </c>
      <c r="AS243">
        <f t="shared" si="28"/>
        <v>122.55694150459946</v>
      </c>
      <c r="AT243">
        <f t="shared" si="29"/>
        <v>84.984666735570414</v>
      </c>
      <c r="AU243">
        <f t="shared" si="30"/>
        <v>157.8121869810268</v>
      </c>
      <c r="AV243">
        <f t="shared" si="31"/>
        <v>266.80593425966089</v>
      </c>
      <c r="AW243">
        <f t="shared" si="32"/>
        <v>129.23159213998119</v>
      </c>
      <c r="AX243">
        <f t="shared" si="33"/>
        <v>124.27728138922181</v>
      </c>
      <c r="AY243">
        <f t="shared" si="34"/>
        <v>180.38574071600172</v>
      </c>
      <c r="AZ243">
        <f t="shared" si="35"/>
        <v>97.897466259532649</v>
      </c>
      <c r="BA243">
        <f t="shared" si="36"/>
        <v>118.0304625026731</v>
      </c>
      <c r="BB243">
        <f t="shared" si="37"/>
        <v>98.25404724878986</v>
      </c>
      <c r="BC243">
        <f t="shared" si="38"/>
        <v>144.23569812995638</v>
      </c>
      <c r="BD243">
        <f t="shared" si="39"/>
        <v>434.17761781200306</v>
      </c>
    </row>
    <row r="244" spans="1:56" x14ac:dyDescent="0.25">
      <c r="A244" t="s">
        <v>7</v>
      </c>
      <c r="B244" t="s">
        <v>8</v>
      </c>
      <c r="C244" t="s">
        <v>9</v>
      </c>
      <c r="D244" t="s">
        <v>10</v>
      </c>
      <c r="E244">
        <v>6</v>
      </c>
      <c r="F244" s="1">
        <v>44620</v>
      </c>
      <c r="G244">
        <v>3.17481069849323E-3</v>
      </c>
      <c r="K244" s="4">
        <v>41820</v>
      </c>
      <c r="L244" s="6">
        <v>-1.45446752943146E-2</v>
      </c>
      <c r="M244" s="6">
        <v>1.1490669612065701E-3</v>
      </c>
      <c r="N244" s="6">
        <v>1.91944699395355E-2</v>
      </c>
      <c r="O244" s="6">
        <v>-1.5750901458656701E-2</v>
      </c>
      <c r="P244" s="6">
        <v>-2.0365308790617102E-2</v>
      </c>
      <c r="Q244" s="6">
        <v>4.4640966044069898E-2</v>
      </c>
      <c r="R244" s="6">
        <v>-5.9816446394500003E-4</v>
      </c>
      <c r="S244" s="6">
        <v>2.8073619855568501E-3</v>
      </c>
      <c r="T244" s="6">
        <v>-1.54684323681815E-2</v>
      </c>
      <c r="U244" s="6">
        <v>-2.1561483142221501E-2</v>
      </c>
      <c r="V244" s="6">
        <v>-1.9266271730951599E-2</v>
      </c>
      <c r="W244" s="6">
        <v>-4.02446788280406E-2</v>
      </c>
      <c r="X244" s="6">
        <v>-2.9648088335533602E-3</v>
      </c>
      <c r="Y244" s="6">
        <v>-8.2972859980113153E-2</v>
      </c>
      <c r="AA244">
        <v>-1.45446752943146E-2</v>
      </c>
      <c r="AB244">
        <v>1.1490669612065701E-3</v>
      </c>
      <c r="AC244">
        <v>1.91944699395355E-2</v>
      </c>
      <c r="AD244">
        <v>-1.5750901458656701E-2</v>
      </c>
      <c r="AE244">
        <v>-2.0365308790617102E-2</v>
      </c>
      <c r="AF244">
        <v>4.4640966044069898E-2</v>
      </c>
      <c r="AG244">
        <v>-5.9816446394500003E-4</v>
      </c>
      <c r="AH244">
        <v>2.8073619855568501E-3</v>
      </c>
      <c r="AI244">
        <v>-1.54684323681815E-2</v>
      </c>
      <c r="AJ244">
        <v>-2.1561483142221501E-2</v>
      </c>
      <c r="AK244">
        <v>-1.9266271730951599E-2</v>
      </c>
      <c r="AL244">
        <v>-4.02446788280406E-2</v>
      </c>
      <c r="AM244">
        <v>-2.9648088335533602E-3</v>
      </c>
      <c r="AN244">
        <f>+IBOV!C169</f>
        <v>4.8227147241629131E-2</v>
      </c>
      <c r="AP244" s="1">
        <f t="shared" si="25"/>
        <v>41820</v>
      </c>
      <c r="AQ244">
        <f t="shared" si="26"/>
        <v>89.839138542639745</v>
      </c>
      <c r="AR244">
        <f t="shared" si="27"/>
        <v>116.39369329847911</v>
      </c>
      <c r="AS244">
        <f t="shared" si="28"/>
        <v>124.9093570341909</v>
      </c>
      <c r="AT244">
        <f t="shared" si="29"/>
        <v>83.646081624321667</v>
      </c>
      <c r="AU244">
        <f t="shared" si="30"/>
        <v>154.59829306223557</v>
      </c>
      <c r="AV244">
        <f t="shared" si="31"/>
        <v>278.71640891130272</v>
      </c>
      <c r="AW244">
        <f t="shared" si="32"/>
        <v>129.15429039394402</v>
      </c>
      <c r="AX244">
        <f t="shared" si="33"/>
        <v>124.62617270466227</v>
      </c>
      <c r="AY244">
        <f t="shared" si="34"/>
        <v>177.59545608555192</v>
      </c>
      <c r="AZ244">
        <f t="shared" si="35"/>
        <v>95.786651691111544</v>
      </c>
      <c r="BA244">
        <f t="shared" si="36"/>
        <v>115.7564555395667</v>
      </c>
      <c r="BB244">
        <f t="shared" si="37"/>
        <v>94.299844673707184</v>
      </c>
      <c r="BC244">
        <f t="shared" si="38"/>
        <v>143.80806685802696</v>
      </c>
      <c r="BD244">
        <f t="shared" si="39"/>
        <v>455.11676571524231</v>
      </c>
    </row>
    <row r="245" spans="1:56" x14ac:dyDescent="0.25">
      <c r="A245" t="s">
        <v>7</v>
      </c>
      <c r="B245" t="s">
        <v>8</v>
      </c>
      <c r="C245" t="s">
        <v>9</v>
      </c>
      <c r="D245" t="s">
        <v>10</v>
      </c>
      <c r="E245">
        <v>6</v>
      </c>
      <c r="F245" s="1">
        <v>44651</v>
      </c>
      <c r="G245">
        <v>-1.44018993763416E-2</v>
      </c>
      <c r="K245" s="4">
        <v>41851</v>
      </c>
      <c r="L245" s="6">
        <v>2.0538209171623599E-2</v>
      </c>
      <c r="M245" s="6">
        <v>-7.7937063274613402E-3</v>
      </c>
      <c r="N245" s="6">
        <v>-1.08540682967516E-4</v>
      </c>
      <c r="O245" s="6">
        <v>-2.4356015700862699E-2</v>
      </c>
      <c r="P245" s="6">
        <v>-2.8762110713394198E-2</v>
      </c>
      <c r="Q245" s="6">
        <v>8.8136474783695601E-3</v>
      </c>
      <c r="R245" s="6">
        <v>1.26702124957985E-2</v>
      </c>
      <c r="S245" s="6">
        <v>-1.90177104101786E-2</v>
      </c>
      <c r="T245" s="6">
        <v>-2.6051041463533299E-2</v>
      </c>
      <c r="U245" s="6">
        <v>2.1601882582007702E-3</v>
      </c>
      <c r="V245" s="6">
        <v>-2.4505153447639101E-2</v>
      </c>
      <c r="W245" s="6">
        <v>-4.1330796525864902E-4</v>
      </c>
      <c r="X245" s="6">
        <v>-3.37000309469192E-3</v>
      </c>
      <c r="Y245" s="6">
        <v>-9.0195332401994885E-2</v>
      </c>
      <c r="AA245">
        <v>2.0538209171623599E-2</v>
      </c>
      <c r="AB245">
        <v>-7.7937063274613402E-3</v>
      </c>
      <c r="AC245">
        <v>-1.08540682967516E-4</v>
      </c>
      <c r="AD245">
        <v>-2.4356015700862699E-2</v>
      </c>
      <c r="AE245">
        <v>-2.8762110713394198E-2</v>
      </c>
      <c r="AF245">
        <v>8.8136474783695601E-3</v>
      </c>
      <c r="AG245">
        <v>1.26702124957985E-2</v>
      </c>
      <c r="AH245">
        <v>-1.90177104101786E-2</v>
      </c>
      <c r="AI245">
        <v>-2.6051041463533299E-2</v>
      </c>
      <c r="AJ245">
        <v>2.1601882582007702E-3</v>
      </c>
      <c r="AK245">
        <v>-2.4505153447639101E-2</v>
      </c>
      <c r="AL245">
        <v>-4.1330796525864902E-4</v>
      </c>
      <c r="AM245">
        <v>-3.37000309469192E-3</v>
      </c>
      <c r="AN245">
        <f>+IBOV!C170</f>
        <v>1.5070035017508809E-2</v>
      </c>
      <c r="AP245" s="1">
        <f t="shared" si="25"/>
        <v>41851</v>
      </c>
      <c r="AQ245">
        <f t="shared" si="26"/>
        <v>91.684273561826942</v>
      </c>
      <c r="AR245">
        <f t="shared" si="27"/>
        <v>115.48655503454215</v>
      </c>
      <c r="AS245">
        <f t="shared" si="28"/>
        <v>124.89579928726938</v>
      </c>
      <c r="AT245">
        <f t="shared" si="29"/>
        <v>81.608796346964056</v>
      </c>
      <c r="AU245">
        <f t="shared" si="30"/>
        <v>150.15171984107778</v>
      </c>
      <c r="AV245">
        <f t="shared" si="31"/>
        <v>281.17291708588402</v>
      </c>
      <c r="AW245">
        <f t="shared" si="32"/>
        <v>130.79070269797936</v>
      </c>
      <c r="AX245">
        <f t="shared" si="33"/>
        <v>122.25606824263609</v>
      </c>
      <c r="AY245">
        <f t="shared" si="34"/>
        <v>172.9689094953321</v>
      </c>
      <c r="AZ245">
        <f t="shared" si="35"/>
        <v>95.993568891387042</v>
      </c>
      <c r="BA245">
        <f t="shared" si="36"/>
        <v>112.9198258340148</v>
      </c>
      <c r="BB245">
        <f t="shared" si="37"/>
        <v>94.260869796780895</v>
      </c>
      <c r="BC245">
        <f t="shared" si="38"/>
        <v>143.32343322767375</v>
      </c>
      <c r="BD245">
        <f t="shared" si="39"/>
        <v>461.97539131162637</v>
      </c>
    </row>
    <row r="246" spans="1:56" x14ac:dyDescent="0.25">
      <c r="A246" t="s">
        <v>7</v>
      </c>
      <c r="B246" t="s">
        <v>8</v>
      </c>
      <c r="C246" t="s">
        <v>9</v>
      </c>
      <c r="D246" t="s">
        <v>10</v>
      </c>
      <c r="E246">
        <v>6</v>
      </c>
      <c r="F246" s="1">
        <v>44681</v>
      </c>
      <c r="G246">
        <v>4.5406349584625E-2</v>
      </c>
      <c r="K246" s="4">
        <v>41882</v>
      </c>
      <c r="L246" s="6">
        <v>3.2726468826973602E-2</v>
      </c>
      <c r="M246" s="6">
        <v>-3.2471873060685802E-2</v>
      </c>
      <c r="N246" s="6">
        <v>-1.40548244628663E-2</v>
      </c>
      <c r="O246" s="6">
        <v>-2.6246309469766999E-3</v>
      </c>
      <c r="P246" s="6">
        <v>5.1692847405110298E-3</v>
      </c>
      <c r="Q246" s="6">
        <v>-1.2640802927146699E-2</v>
      </c>
      <c r="R246" s="6">
        <v>-1.15901051113833E-2</v>
      </c>
      <c r="S246" s="6">
        <v>-5.23845226253432E-3</v>
      </c>
      <c r="T246" s="6">
        <v>-1.37443127260508E-3</v>
      </c>
      <c r="U246" s="6">
        <v>1.3653557596711699E-2</v>
      </c>
      <c r="V246" s="6">
        <v>-2.3643672664934699E-2</v>
      </c>
      <c r="W246" s="6">
        <v>-3.2106040802433601E-2</v>
      </c>
      <c r="X246" s="6">
        <v>9.0823629656949807E-3</v>
      </c>
      <c r="Y246" s="6">
        <v>-7.5113159381675176E-2</v>
      </c>
      <c r="AA246">
        <v>3.2726468826973602E-2</v>
      </c>
      <c r="AB246">
        <v>-3.2471873060685802E-2</v>
      </c>
      <c r="AC246">
        <v>-1.40548244628663E-2</v>
      </c>
      <c r="AD246">
        <v>-2.6246309469766999E-3</v>
      </c>
      <c r="AE246">
        <v>5.1692847405110298E-3</v>
      </c>
      <c r="AF246">
        <v>-1.2640802927146699E-2</v>
      </c>
      <c r="AG246">
        <v>-1.15901051113833E-2</v>
      </c>
      <c r="AH246">
        <v>-5.23845226253432E-3</v>
      </c>
      <c r="AI246">
        <v>-1.37443127260508E-3</v>
      </c>
      <c r="AJ246">
        <v>1.3653557596711699E-2</v>
      </c>
      <c r="AK246">
        <v>-2.3643672664934699E-2</v>
      </c>
      <c r="AL246">
        <v>-3.2106040802433601E-2</v>
      </c>
      <c r="AM246">
        <v>9.0823629656949807E-3</v>
      </c>
      <c r="AN246">
        <f>+IBOV!C171</f>
        <v>0.10721442522675306</v>
      </c>
      <c r="AP246" s="1">
        <f t="shared" si="25"/>
        <v>41882</v>
      </c>
      <c r="AQ246">
        <f t="shared" si="26"/>
        <v>94.684776082471785</v>
      </c>
      <c r="AR246">
        <f t="shared" si="27"/>
        <v>111.73649027924459</v>
      </c>
      <c r="AS246">
        <f t="shared" si="28"/>
        <v>123.14041075213743</v>
      </c>
      <c r="AT246">
        <f t="shared" si="29"/>
        <v>81.394603374526298</v>
      </c>
      <c r="AU246">
        <f t="shared" si="30"/>
        <v>150.92789683521374</v>
      </c>
      <c r="AV246">
        <f t="shared" si="31"/>
        <v>277.61866565255036</v>
      </c>
      <c r="AW246">
        <f t="shared" si="32"/>
        <v>129.2748247061181</v>
      </c>
      <c r="AX246">
        <f t="shared" si="33"/>
        <v>121.61563566534191</v>
      </c>
      <c r="AY246">
        <f t="shared" si="34"/>
        <v>172.73117561693331</v>
      </c>
      <c r="AZ246">
        <f t="shared" si="35"/>
        <v>97.304222613159496</v>
      </c>
      <c r="BA246">
        <f t="shared" si="36"/>
        <v>110.24998643461392</v>
      </c>
      <c r="BB246">
        <f t="shared" si="37"/>
        <v>91.234526465012564</v>
      </c>
      <c r="BC246">
        <f t="shared" si="38"/>
        <v>144.62514866973703</v>
      </c>
      <c r="BD246">
        <f t="shared" si="39"/>
        <v>511.50581736000674</v>
      </c>
    </row>
    <row r="247" spans="1:56" x14ac:dyDescent="0.25">
      <c r="A247" t="s">
        <v>7</v>
      </c>
      <c r="B247" t="s">
        <v>8</v>
      </c>
      <c r="C247" t="s">
        <v>9</v>
      </c>
      <c r="D247" t="s">
        <v>10</v>
      </c>
      <c r="E247">
        <v>6</v>
      </c>
      <c r="F247" s="1">
        <v>44712</v>
      </c>
      <c r="G247">
        <v>1.65021737082615E-2</v>
      </c>
      <c r="K247" s="4">
        <v>41912</v>
      </c>
      <c r="L247" s="6">
        <v>-5.8144297715654004E-3</v>
      </c>
      <c r="M247" s="6">
        <v>6.9811928131976904E-3</v>
      </c>
      <c r="N247" s="6">
        <v>-1.21314616419743E-2</v>
      </c>
      <c r="O247" s="6">
        <v>3.0887263085481599E-2</v>
      </c>
      <c r="P247" s="6">
        <v>4.7995405315005998E-2</v>
      </c>
      <c r="Q247" s="6">
        <v>-2.3061362833926999E-2</v>
      </c>
      <c r="R247" s="6">
        <v>-5.4621648417086796E-3</v>
      </c>
      <c r="S247" s="6">
        <v>1.05140619006634E-2</v>
      </c>
      <c r="T247" s="6">
        <v>3.01880468722961E-2</v>
      </c>
      <c r="U247" s="6">
        <v>1.6872119672500799E-2</v>
      </c>
      <c r="V247" s="6">
        <v>2.0171898099161499E-2</v>
      </c>
      <c r="W247" s="6">
        <v>2.0256883580813199E-2</v>
      </c>
      <c r="X247" s="6">
        <v>-1.6100402202651101E-2</v>
      </c>
      <c r="Y247" s="6">
        <v>0.1212970500472938</v>
      </c>
      <c r="AA247">
        <v>-5.8144297715654004E-3</v>
      </c>
      <c r="AB247">
        <v>6.9811928131976904E-3</v>
      </c>
      <c r="AC247">
        <v>-1.21314616419743E-2</v>
      </c>
      <c r="AD247">
        <v>3.0887263085481599E-2</v>
      </c>
      <c r="AE247">
        <v>4.7995405315005998E-2</v>
      </c>
      <c r="AF247">
        <v>-2.3061362833926999E-2</v>
      </c>
      <c r="AG247">
        <v>-5.4621648417086796E-3</v>
      </c>
      <c r="AH247">
        <v>1.05140619006634E-2</v>
      </c>
      <c r="AI247">
        <v>3.01880468722961E-2</v>
      </c>
      <c r="AJ247">
        <v>1.6872119672500799E-2</v>
      </c>
      <c r="AK247">
        <v>2.0171898099161499E-2</v>
      </c>
      <c r="AL247">
        <v>2.0256883580813199E-2</v>
      </c>
      <c r="AM247">
        <v>-1.6100402202651101E-2</v>
      </c>
      <c r="AN247">
        <f>+IBOV!C172</f>
        <v>-0.19087344705250897</v>
      </c>
      <c r="AP247" s="1">
        <f t="shared" si="25"/>
        <v>41912</v>
      </c>
      <c r="AQ247">
        <f t="shared" si="26"/>
        <v>94.134238101503854</v>
      </c>
      <c r="AR247">
        <f t="shared" si="27"/>
        <v>112.516544262154</v>
      </c>
      <c r="AS247">
        <f t="shared" si="28"/>
        <v>121.64653758252091</v>
      </c>
      <c r="AT247">
        <f t="shared" si="29"/>
        <v>83.908659902693714</v>
      </c>
      <c r="AU247">
        <f t="shared" si="30"/>
        <v>158.17174241716125</v>
      </c>
      <c r="AV247">
        <f t="shared" si="31"/>
        <v>271.21640087446622</v>
      </c>
      <c r="AW247">
        <f t="shared" si="32"/>
        <v>128.56870430369028</v>
      </c>
      <c r="AX247">
        <f t="shared" si="33"/>
        <v>122.89430998681584</v>
      </c>
      <c r="AY247">
        <f t="shared" si="34"/>
        <v>177.94559244276411</v>
      </c>
      <c r="AZ247">
        <f t="shared" si="35"/>
        <v>98.945951101728383</v>
      </c>
      <c r="BA247">
        <f t="shared" si="36"/>
        <v>112.47393792640688</v>
      </c>
      <c r="BB247">
        <f t="shared" si="37"/>
        <v>93.082653646164943</v>
      </c>
      <c r="BC247">
        <f t="shared" si="38"/>
        <v>142.29662560753604</v>
      </c>
      <c r="BD247">
        <f t="shared" si="39"/>
        <v>413.8729388130912</v>
      </c>
    </row>
    <row r="248" spans="1:56" x14ac:dyDescent="0.25">
      <c r="A248" t="s">
        <v>7</v>
      </c>
      <c r="B248" t="s">
        <v>8</v>
      </c>
      <c r="C248" t="s">
        <v>9</v>
      </c>
      <c r="D248" t="s">
        <v>10</v>
      </c>
      <c r="E248">
        <v>6</v>
      </c>
      <c r="F248" s="1">
        <v>44742</v>
      </c>
      <c r="G248">
        <v>1.31160715076955E-2</v>
      </c>
      <c r="K248" s="4">
        <v>41943</v>
      </c>
      <c r="L248" s="6">
        <v>2.8624841318066799E-3</v>
      </c>
      <c r="M248" s="6">
        <v>-2.86073732365222E-2</v>
      </c>
      <c r="N248" s="6">
        <v>-2.87386818428896E-2</v>
      </c>
      <c r="O248" s="6">
        <v>-8.3103989261534492E-3</v>
      </c>
      <c r="P248" s="6">
        <v>-1.6048748373578899E-2</v>
      </c>
      <c r="Q248" s="6">
        <v>3.9408697493472103E-2</v>
      </c>
      <c r="R248" s="6">
        <v>1.65007351709811E-2</v>
      </c>
      <c r="S248" s="6">
        <v>3.3796095928945703E-2</v>
      </c>
      <c r="T248" s="6">
        <v>3.6687075940496999E-2</v>
      </c>
      <c r="U248" s="6">
        <v>-5.4633670108073602E-4</v>
      </c>
      <c r="V248" s="6">
        <v>-1.78346949999162E-2</v>
      </c>
      <c r="W248" s="6">
        <v>-7.2271765717390496E-2</v>
      </c>
      <c r="X248" s="6">
        <v>-2.49908183969333E-2</v>
      </c>
      <c r="Y248" s="6">
        <v>-6.809372952876229E-2</v>
      </c>
      <c r="AA248">
        <v>2.8624841318066799E-3</v>
      </c>
      <c r="AB248">
        <v>-2.86073732365222E-2</v>
      </c>
      <c r="AC248">
        <v>-2.87386818428896E-2</v>
      </c>
      <c r="AD248">
        <v>-8.3103989261534492E-3</v>
      </c>
      <c r="AE248">
        <v>-1.6048748373578899E-2</v>
      </c>
      <c r="AF248">
        <v>3.9408697493472103E-2</v>
      </c>
      <c r="AG248">
        <v>1.65007351709811E-2</v>
      </c>
      <c r="AH248">
        <v>3.3796095928945703E-2</v>
      </c>
      <c r="AI248">
        <v>3.6687075940496999E-2</v>
      </c>
      <c r="AJ248">
        <v>-5.4633670108073602E-4</v>
      </c>
      <c r="AK248">
        <v>-1.78346949999162E-2</v>
      </c>
      <c r="AL248">
        <v>-7.2271765717390496E-2</v>
      </c>
      <c r="AM248">
        <v>-2.49908183969333E-2</v>
      </c>
      <c r="AN248">
        <f>+IBOV!C173</f>
        <v>-4.8336144514958823E-3</v>
      </c>
      <c r="AP248" s="1">
        <f t="shared" si="25"/>
        <v>41943</v>
      </c>
      <c r="AQ248">
        <f t="shared" si="26"/>
        <v>94.403695864329137</v>
      </c>
      <c r="AR248">
        <f t="shared" si="27"/>
        <v>109.29774148516289</v>
      </c>
      <c r="AS248">
        <f t="shared" si="28"/>
        <v>118.15057644164771</v>
      </c>
      <c r="AT248">
        <f t="shared" si="29"/>
        <v>83.211345465543388</v>
      </c>
      <c r="AU248">
        <f t="shared" si="30"/>
        <v>155.63328392329768</v>
      </c>
      <c r="AV248">
        <f t="shared" si="31"/>
        <v>281.90468597179637</v>
      </c>
      <c r="AW248">
        <f t="shared" si="32"/>
        <v>130.69018244468165</v>
      </c>
      <c r="AX248">
        <f t="shared" si="33"/>
        <v>127.04765787625185</v>
      </c>
      <c r="AY248">
        <f t="shared" si="34"/>
        <v>184.47389590598851</v>
      </c>
      <c r="AZ248">
        <f t="shared" si="35"/>
        <v>98.891893297218175</v>
      </c>
      <c r="BA248">
        <f t="shared" si="36"/>
        <v>110.4679995480499</v>
      </c>
      <c r="BB248">
        <f t="shared" si="37"/>
        <v>86.355405909496312</v>
      </c>
      <c r="BC248">
        <f t="shared" si="38"/>
        <v>138.74051647848171</v>
      </c>
      <c r="BD248">
        <f t="shared" si="39"/>
        <v>411.87243659496119</v>
      </c>
    </row>
    <row r="249" spans="1:56" x14ac:dyDescent="0.25">
      <c r="A249" t="s">
        <v>7</v>
      </c>
      <c r="B249" t="s">
        <v>8</v>
      </c>
      <c r="C249" t="s">
        <v>9</v>
      </c>
      <c r="D249" t="s">
        <v>10</v>
      </c>
      <c r="E249">
        <v>6</v>
      </c>
      <c r="F249" s="1">
        <v>44773</v>
      </c>
      <c r="G249">
        <v>-4.2090015661796203E-2</v>
      </c>
      <c r="K249" s="4">
        <v>41973</v>
      </c>
      <c r="L249" s="6">
        <v>-9.6522453213960906E-3</v>
      </c>
      <c r="M249" s="6">
        <v>1.5344743840493499E-4</v>
      </c>
      <c r="N249" s="6">
        <v>-1.20092003260963E-2</v>
      </c>
      <c r="O249" s="6">
        <v>2.18038548612133E-2</v>
      </c>
      <c r="P249" s="6">
        <v>2.21183833428285E-2</v>
      </c>
      <c r="Q249" s="6">
        <v>3.6060155815961101E-2</v>
      </c>
      <c r="R249" s="6">
        <v>1.6127142599813401E-2</v>
      </c>
      <c r="S249" s="6">
        <v>1.9340239394194499E-2</v>
      </c>
      <c r="T249" s="6">
        <v>2.2553604752216402E-2</v>
      </c>
      <c r="U249" s="6">
        <v>-1.03640798590962E-2</v>
      </c>
      <c r="V249" s="6">
        <v>2.3488895036944801E-3</v>
      </c>
      <c r="W249" s="6">
        <v>-3.17962469636799E-2</v>
      </c>
      <c r="X249" s="6">
        <v>-1.5931579493348998E-2</v>
      </c>
      <c r="Y249" s="6">
        <v>6.0752365744709144E-2</v>
      </c>
      <c r="AA249">
        <v>-9.6522453213960906E-3</v>
      </c>
      <c r="AB249">
        <v>1.5344743840493499E-4</v>
      </c>
      <c r="AC249">
        <v>-1.20092003260963E-2</v>
      </c>
      <c r="AD249">
        <v>2.18038548612133E-2</v>
      </c>
      <c r="AE249">
        <v>2.21183833428285E-2</v>
      </c>
      <c r="AF249">
        <v>3.6060155815961101E-2</v>
      </c>
      <c r="AG249">
        <v>1.6127142599813401E-2</v>
      </c>
      <c r="AH249">
        <v>1.9340239394194499E-2</v>
      </c>
      <c r="AI249">
        <v>2.2553604752216402E-2</v>
      </c>
      <c r="AJ249">
        <v>-1.03640798590962E-2</v>
      </c>
      <c r="AK249">
        <v>2.3488895036944801E-3</v>
      </c>
      <c r="AL249">
        <v>-3.17962469636799E-2</v>
      </c>
      <c r="AM249">
        <v>-1.5931579493348998E-2</v>
      </c>
      <c r="AN249">
        <f>+IBOV!C174</f>
        <v>-3.2146224881316243E-2</v>
      </c>
      <c r="AP249" s="1">
        <f t="shared" si="25"/>
        <v>41973</v>
      </c>
      <c r="AQ249">
        <f t="shared" si="26"/>
        <v>93.492488232600166</v>
      </c>
      <c r="AR249">
        <f t="shared" si="27"/>
        <v>109.31451294361722</v>
      </c>
      <c r="AS249">
        <f t="shared" si="28"/>
        <v>116.73168250051621</v>
      </c>
      <c r="AT249">
        <f t="shared" si="29"/>
        <v>85.025673564880378</v>
      </c>
      <c r="AU249">
        <f t="shared" si="30"/>
        <v>159.07564055801643</v>
      </c>
      <c r="AV249">
        <f t="shared" si="31"/>
        <v>292.07021287318889</v>
      </c>
      <c r="AW249">
        <f t="shared" si="32"/>
        <v>132.79784165336264</v>
      </c>
      <c r="AX249">
        <f t="shared" si="33"/>
        <v>129.5047899940503</v>
      </c>
      <c r="AY249">
        <f t="shared" si="34"/>
        <v>188.63444724135368</v>
      </c>
      <c r="AZ249">
        <f t="shared" si="35"/>
        <v>97.86696981766859</v>
      </c>
      <c r="BA249">
        <f t="shared" si="36"/>
        <v>110.72747667268244</v>
      </c>
      <c r="BB249">
        <f t="shared" si="37"/>
        <v>83.609628096549145</v>
      </c>
      <c r="BC249">
        <f t="shared" si="38"/>
        <v>136.53016091125647</v>
      </c>
      <c r="BD249">
        <f t="shared" si="39"/>
        <v>398.63229262576391</v>
      </c>
    </row>
    <row r="250" spans="1:56" x14ac:dyDescent="0.25">
      <c r="A250" t="s">
        <v>7</v>
      </c>
      <c r="B250" t="s">
        <v>8</v>
      </c>
      <c r="C250" t="s">
        <v>9</v>
      </c>
      <c r="D250" t="s">
        <v>10</v>
      </c>
      <c r="E250">
        <v>6</v>
      </c>
      <c r="F250" s="1">
        <v>44804</v>
      </c>
      <c r="G250">
        <v>-9.7900595331650297E-3</v>
      </c>
      <c r="K250" s="4">
        <v>42004</v>
      </c>
      <c r="L250" s="6">
        <v>8.8481964052548497E-3</v>
      </c>
      <c r="M250" s="6">
        <v>8.8408228486801608E-3</v>
      </c>
      <c r="N250" s="6">
        <v>-7.3192147745213595E-4</v>
      </c>
      <c r="O250" s="6">
        <v>7.97960481466067E-3</v>
      </c>
      <c r="P250" s="6">
        <v>4.4997174034647001E-2</v>
      </c>
      <c r="Q250" s="6">
        <v>2.23750789280894E-2</v>
      </c>
      <c r="R250" s="6">
        <v>4.7728090924273603E-3</v>
      </c>
      <c r="S250" s="6">
        <v>3.7539631056624501E-3</v>
      </c>
      <c r="T250" s="6">
        <v>1.9561853879276E-2</v>
      </c>
      <c r="U250" s="6">
        <v>1.42528465693782E-2</v>
      </c>
      <c r="V250" s="6">
        <v>-6.2381690410901903E-3</v>
      </c>
      <c r="W250" s="6">
        <v>6.6696182133160701E-3</v>
      </c>
      <c r="X250" s="6">
        <v>-1.4703904469653801E-2</v>
      </c>
      <c r="Y250" s="6">
        <v>0.12037797290319605</v>
      </c>
      <c r="AA250">
        <v>8.8481964052548497E-3</v>
      </c>
      <c r="AB250">
        <v>8.8408228486801608E-3</v>
      </c>
      <c r="AC250">
        <v>-7.3192147745213595E-4</v>
      </c>
      <c r="AD250">
        <v>7.97960481466067E-3</v>
      </c>
      <c r="AE250">
        <v>4.4997174034647001E-2</v>
      </c>
      <c r="AF250">
        <v>2.23750789280894E-2</v>
      </c>
      <c r="AG250">
        <v>4.7728090924273603E-3</v>
      </c>
      <c r="AH250">
        <v>3.7539631056624501E-3</v>
      </c>
      <c r="AI250">
        <v>1.9561853879276E-2</v>
      </c>
      <c r="AJ250">
        <v>1.42528465693782E-2</v>
      </c>
      <c r="AK250">
        <v>-6.2381690410901903E-3</v>
      </c>
      <c r="AL250">
        <v>6.6696182133160701E-3</v>
      </c>
      <c r="AM250">
        <v>-1.4703904469653801E-2</v>
      </c>
      <c r="AN250">
        <f>+IBOV!C175</f>
        <v>-0.11522196511886718</v>
      </c>
      <c r="AP250" s="1">
        <f t="shared" si="25"/>
        <v>42004</v>
      </c>
      <c r="AQ250">
        <f t="shared" si="26"/>
        <v>94.319728130898199</v>
      </c>
      <c r="AR250">
        <f t="shared" si="27"/>
        <v>110.28094318734151</v>
      </c>
      <c r="AS250">
        <f t="shared" si="28"/>
        <v>116.64624407499495</v>
      </c>
      <c r="AT250">
        <f t="shared" si="29"/>
        <v>85.704144839028473</v>
      </c>
      <c r="AU250">
        <f t="shared" si="30"/>
        <v>166.23359484087845</v>
      </c>
      <c r="AV250">
        <f t="shared" si="31"/>
        <v>298.60530693877035</v>
      </c>
      <c r="AW250">
        <f t="shared" si="32"/>
        <v>133.43166039946053</v>
      </c>
      <c r="AX250">
        <f t="shared" si="33"/>
        <v>129.99094619769454</v>
      </c>
      <c r="AY250">
        <f t="shared" si="34"/>
        <v>192.32448673488702</v>
      </c>
      <c r="AZ250">
        <f t="shared" si="35"/>
        <v>99.261852722689795</v>
      </c>
      <c r="BA250">
        <f t="shared" si="36"/>
        <v>110.03673995570487</v>
      </c>
      <c r="BB250">
        <f t="shared" si="37"/>
        <v>84.167272394910484</v>
      </c>
      <c r="BC250">
        <f t="shared" si="38"/>
        <v>134.52263446799091</v>
      </c>
      <c r="BD250">
        <f t="shared" si="39"/>
        <v>352.70109650958409</v>
      </c>
    </row>
    <row r="251" spans="1:56" x14ac:dyDescent="0.25">
      <c r="A251" t="s">
        <v>7</v>
      </c>
      <c r="B251" t="s">
        <v>8</v>
      </c>
      <c r="C251" t="s">
        <v>9</v>
      </c>
      <c r="D251" t="s">
        <v>10</v>
      </c>
      <c r="E251">
        <v>6</v>
      </c>
      <c r="F251" s="1">
        <v>44834</v>
      </c>
      <c r="G251">
        <v>-3.0456219493144299E-2</v>
      </c>
      <c r="K251" s="4">
        <v>42035</v>
      </c>
      <c r="L251" s="6">
        <v>6.6031063710370499E-2</v>
      </c>
      <c r="M251" s="6">
        <v>1.28958584181545E-2</v>
      </c>
      <c r="N251" s="6">
        <v>4.3895392730279098E-3</v>
      </c>
      <c r="O251" s="6">
        <v>2.4840935570351899E-2</v>
      </c>
      <c r="P251" s="6">
        <v>7.1097944221665696E-2</v>
      </c>
      <c r="Q251" s="6">
        <v>2.7386274209527699E-2</v>
      </c>
      <c r="R251" s="6">
        <v>-3.1728029448011799E-2</v>
      </c>
      <c r="S251" s="6">
        <v>3.9949148382294498E-2</v>
      </c>
      <c r="T251" s="6">
        <v>5.5522940377683398E-2</v>
      </c>
      <c r="U251" s="6">
        <v>7.3718725929798404E-3</v>
      </c>
      <c r="V251" s="6">
        <v>-1.9814158102126101E-2</v>
      </c>
      <c r="W251" s="6">
        <v>-5.3956532591963799E-2</v>
      </c>
      <c r="X251" s="6">
        <v>-6.1276295957806296E-3</v>
      </c>
      <c r="Y251" s="6">
        <v>0.19785922701817352</v>
      </c>
      <c r="AA251">
        <v>6.6031063710370499E-2</v>
      </c>
      <c r="AB251">
        <v>1.28958584181545E-2</v>
      </c>
      <c r="AC251">
        <v>4.3895392730279098E-3</v>
      </c>
      <c r="AD251">
        <v>2.4840935570351899E-2</v>
      </c>
      <c r="AE251">
        <v>7.1097944221665696E-2</v>
      </c>
      <c r="AF251">
        <v>2.7386274209527699E-2</v>
      </c>
      <c r="AG251">
        <v>-3.1728029448011799E-2</v>
      </c>
      <c r="AH251">
        <v>3.9949148382294498E-2</v>
      </c>
      <c r="AI251">
        <v>5.5522940377683398E-2</v>
      </c>
      <c r="AJ251">
        <v>7.3718725929798404E-3</v>
      </c>
      <c r="AK251">
        <v>-1.9814158102126101E-2</v>
      </c>
      <c r="AL251">
        <v>-5.3956532591963799E-2</v>
      </c>
      <c r="AM251">
        <v>-6.1276295957806296E-3</v>
      </c>
      <c r="AN251">
        <f>+IBOV!C176</f>
        <v>-6.1798126121336949E-2</v>
      </c>
      <c r="AP251" s="1">
        <f t="shared" ref="AP251:AP314" si="40">+K251</f>
        <v>42035</v>
      </c>
      <c r="AQ251">
        <f t="shared" si="26"/>
        <v>100.54776010825437</v>
      </c>
      <c r="AR251">
        <f t="shared" si="27"/>
        <v>111.703110616906</v>
      </c>
      <c r="AS251">
        <f t="shared" si="28"/>
        <v>117.15826734441335</v>
      </c>
      <c r="AT251">
        <f t="shared" si="29"/>
        <v>87.833115979086884</v>
      </c>
      <c r="AU251">
        <f t="shared" si="30"/>
        <v>178.0524616946422</v>
      </c>
      <c r="AV251">
        <f t="shared" si="31"/>
        <v>306.7829937550157</v>
      </c>
      <c r="AW251">
        <f t="shared" si="32"/>
        <v>129.19813674900934</v>
      </c>
      <c r="AX251">
        <f t="shared" si="33"/>
        <v>135.18397379570109</v>
      </c>
      <c r="AY251">
        <f t="shared" si="34"/>
        <v>203.00290774503671</v>
      </c>
      <c r="AZ251">
        <f t="shared" si="35"/>
        <v>99.993598454304603</v>
      </c>
      <c r="BA251">
        <f t="shared" si="36"/>
        <v>107.85645459318</v>
      </c>
      <c r="BB251">
        <f t="shared" si="37"/>
        <v>79.625898218757811</v>
      </c>
      <c r="BC251">
        <f t="shared" si="38"/>
        <v>133.69832959172248</v>
      </c>
      <c r="BD251">
        <f t="shared" si="39"/>
        <v>330.90482966435098</v>
      </c>
    </row>
    <row r="252" spans="1:56" x14ac:dyDescent="0.25">
      <c r="A252" t="s">
        <v>7</v>
      </c>
      <c r="B252" t="s">
        <v>8</v>
      </c>
      <c r="C252" t="s">
        <v>9</v>
      </c>
      <c r="D252" t="s">
        <v>10</v>
      </c>
      <c r="E252">
        <v>6</v>
      </c>
      <c r="F252" s="1">
        <v>44865</v>
      </c>
      <c r="G252">
        <v>-1.1402621666413299E-2</v>
      </c>
      <c r="K252" s="4">
        <v>42063</v>
      </c>
      <c r="L252" s="6">
        <v>-7.4618131737764896E-4</v>
      </c>
      <c r="M252" s="6">
        <v>1.4051064434227699E-2</v>
      </c>
      <c r="N252" s="6">
        <v>2.9031724874941201E-2</v>
      </c>
      <c r="O252" s="6">
        <v>-4.1374238111409799E-2</v>
      </c>
      <c r="P252" s="6">
        <v>-7.68316275493973E-3</v>
      </c>
      <c r="Q252" s="6">
        <v>-8.1080408683100597E-3</v>
      </c>
      <c r="R252" s="6">
        <v>-7.6021301204234901E-3</v>
      </c>
      <c r="S252" s="6">
        <v>8.6391590543473899E-3</v>
      </c>
      <c r="T252" s="6">
        <v>-2.6828144768208401E-2</v>
      </c>
      <c r="U252" s="6">
        <v>8.9945124822968202E-3</v>
      </c>
      <c r="V252" s="6">
        <v>2.4061132281020099E-2</v>
      </c>
      <c r="W252" s="6">
        <v>-3.5167999174269098E-2</v>
      </c>
      <c r="X252" s="6">
        <v>2.88145904509928E-2</v>
      </c>
      <c r="Y252" s="6">
        <v>-1.3917713537112214E-2</v>
      </c>
      <c r="AA252">
        <v>-7.4618131737764896E-4</v>
      </c>
      <c r="AB252">
        <v>1.4051064434227699E-2</v>
      </c>
      <c r="AC252">
        <v>2.9031724874941201E-2</v>
      </c>
      <c r="AD252">
        <v>-4.1374238111409799E-2</v>
      </c>
      <c r="AE252">
        <v>-7.68316275493973E-3</v>
      </c>
      <c r="AF252">
        <v>-8.1080408683100597E-3</v>
      </c>
      <c r="AG252">
        <v>-7.6021301204234901E-3</v>
      </c>
      <c r="AH252">
        <v>8.6391590543473899E-3</v>
      </c>
      <c r="AI252">
        <v>-2.6828144768208401E-2</v>
      </c>
      <c r="AJ252">
        <v>8.9945124822968202E-3</v>
      </c>
      <c r="AK252">
        <v>2.4061132281020099E-2</v>
      </c>
      <c r="AL252">
        <v>-3.5167999174269098E-2</v>
      </c>
      <c r="AM252">
        <v>2.88145904509928E-2</v>
      </c>
      <c r="AN252">
        <f>+IBOV!C177</f>
        <v>3.1183916303259007E-2</v>
      </c>
      <c r="AP252" s="1">
        <f t="shared" si="40"/>
        <v>42063</v>
      </c>
      <c r="AQ252">
        <f t="shared" ref="AQ252:AQ315" si="41">+AQ251*(1+AA252)</f>
        <v>100.47273324815741</v>
      </c>
      <c r="AR252">
        <f t="shared" ref="AR252:AR315" si="42">+AR251*(1+AB252)</f>
        <v>113.27265822168782</v>
      </c>
      <c r="AS252">
        <f t="shared" ref="AS252:AS315" si="43">+AS251*(1+AC252)</f>
        <v>120.55957392878116</v>
      </c>
      <c r="AT252">
        <f t="shared" ref="AT252:AT315" si="44">+AT251*(1+AD252)</f>
        <v>84.199087724501069</v>
      </c>
      <c r="AU252">
        <f t="shared" ref="AU252:AU315" si="45">+AU251*(1+AE252)</f>
        <v>176.6844556525246</v>
      </c>
      <c r="AV252">
        <f t="shared" ref="AV252:AV315" si="46">+AV251*(1+AF252)</f>
        <v>304.2955847039475</v>
      </c>
      <c r="AW252">
        <f t="shared" ref="AW252:AW315" si="47">+AW251*(1+AG252)</f>
        <v>128.2159557021271</v>
      </c>
      <c r="AX252">
        <f t="shared" ref="AX252:AX315" si="48">+AX251*(1+AH252)</f>
        <v>136.35184964692087</v>
      </c>
      <c r="AY252">
        <f t="shared" ref="AY252:AY315" si="49">+AY251*(1+AI252)</f>
        <v>197.55671634768561</v>
      </c>
      <c r="AZ252">
        <f t="shared" ref="AZ252:AZ315" si="50">+AZ251*(1+AJ252)</f>
        <v>100.89299212375161</v>
      </c>
      <c r="BA252">
        <f t="shared" ref="BA252:BA315" si="51">+BA251*(1+AK252)</f>
        <v>110.45160301450834</v>
      </c>
      <c r="BB252">
        <f t="shared" ref="BB252:BB315" si="52">+BB251*(1+AL252)</f>
        <v>76.825614695950108</v>
      </c>
      <c r="BC252">
        <f t="shared" ref="BC252:BC315" si="53">+BC251*(1+AM252)</f>
        <v>137.55079220288982</v>
      </c>
      <c r="BD252">
        <f t="shared" ref="BD252:BD315" si="54">+BD251*(1+AN252)</f>
        <v>341.2237381769483</v>
      </c>
    </row>
    <row r="253" spans="1:56" x14ac:dyDescent="0.25">
      <c r="A253" t="s">
        <v>7</v>
      </c>
      <c r="B253" t="s">
        <v>8</v>
      </c>
      <c r="C253" t="s">
        <v>9</v>
      </c>
      <c r="D253" t="s">
        <v>10</v>
      </c>
      <c r="E253">
        <v>6</v>
      </c>
      <c r="F253" s="1">
        <v>44895</v>
      </c>
      <c r="G253">
        <v>-3.5708476788585797E-2</v>
      </c>
      <c r="K253" s="4">
        <v>42094</v>
      </c>
      <c r="L253" s="6">
        <v>-1.6765603578358001E-2</v>
      </c>
      <c r="M253" s="6">
        <v>7.7774776941453103E-3</v>
      </c>
      <c r="N253" s="6">
        <v>7.2841766653482303E-3</v>
      </c>
      <c r="O253" s="6">
        <v>-1.47440582443224E-2</v>
      </c>
      <c r="P253" s="6">
        <v>1.3538153293368001E-2</v>
      </c>
      <c r="Q253" s="6">
        <v>2.6531268280479001E-2</v>
      </c>
      <c r="R253" s="6">
        <v>-1.7555194159629001E-3</v>
      </c>
      <c r="S253" s="6">
        <v>-3.1015962443822899E-3</v>
      </c>
      <c r="T253" s="6">
        <v>-1.0817752768691799E-2</v>
      </c>
      <c r="U253" s="6">
        <v>7.1195683427969702E-3</v>
      </c>
      <c r="V253" s="6">
        <v>-1.5404882508638199E-2</v>
      </c>
      <c r="W253" s="6">
        <v>-2.8156176798506599E-2</v>
      </c>
      <c r="X253" s="6">
        <v>-6.3481359229300496E-3</v>
      </c>
      <c r="Y253" s="6">
        <v>-3.4843081205654727E-2</v>
      </c>
      <c r="AA253">
        <v>-1.6765603578358001E-2</v>
      </c>
      <c r="AB253">
        <v>7.7774776941453103E-3</v>
      </c>
      <c r="AC253">
        <v>7.2841766653482303E-3</v>
      </c>
      <c r="AD253">
        <v>-1.47440582443224E-2</v>
      </c>
      <c r="AE253">
        <v>1.3538153293368001E-2</v>
      </c>
      <c r="AF253">
        <v>2.6531268280479001E-2</v>
      </c>
      <c r="AG253">
        <v>-1.7555194159629001E-3</v>
      </c>
      <c r="AH253">
        <v>-3.1015962443822899E-3</v>
      </c>
      <c r="AI253">
        <v>-1.0817752768691799E-2</v>
      </c>
      <c r="AJ253">
        <v>7.1195683427969702E-3</v>
      </c>
      <c r="AK253">
        <v>-1.5404882508638199E-2</v>
      </c>
      <c r="AL253">
        <v>-2.8156176798506599E-2</v>
      </c>
      <c r="AM253">
        <v>-6.3481359229300496E-3</v>
      </c>
      <c r="AN253">
        <f>+IBOV!C178</f>
        <v>-0.1133395476622675</v>
      </c>
      <c r="AP253" s="1">
        <f t="shared" si="40"/>
        <v>42094</v>
      </c>
      <c r="AQ253">
        <f t="shared" si="41"/>
        <v>98.7882472320847</v>
      </c>
      <c r="AR253">
        <f t="shared" si="42"/>
        <v>114.15363379436354</v>
      </c>
      <c r="AS253">
        <f t="shared" si="43"/>
        <v>121.43775116397751</v>
      </c>
      <c r="AT253">
        <f t="shared" si="44"/>
        <v>82.957651470972223</v>
      </c>
      <c r="AU253">
        <f t="shared" si="45"/>
        <v>179.07643689770376</v>
      </c>
      <c r="AV253">
        <f t="shared" si="46"/>
        <v>312.36893249829313</v>
      </c>
      <c r="AW253">
        <f t="shared" si="47"/>
        <v>127.99087010245579</v>
      </c>
      <c r="AX253">
        <f t="shared" si="48"/>
        <v>135.92894126214139</v>
      </c>
      <c r="AY253">
        <f t="shared" si="49"/>
        <v>195.41959663244177</v>
      </c>
      <c r="AZ253">
        <f t="shared" si="50"/>
        <v>101.61130667648594</v>
      </c>
      <c r="BA253">
        <f t="shared" si="51"/>
        <v>108.75010904717908</v>
      </c>
      <c r="BB253">
        <f t="shared" si="52"/>
        <v>74.662499105916993</v>
      </c>
      <c r="BC253">
        <f t="shared" si="53"/>
        <v>136.67760107767918</v>
      </c>
      <c r="BD253">
        <f t="shared" si="54"/>
        <v>302.54959404034497</v>
      </c>
    </row>
    <row r="254" spans="1:56" x14ac:dyDescent="0.25">
      <c r="A254" t="s">
        <v>7</v>
      </c>
      <c r="B254" t="s">
        <v>8</v>
      </c>
      <c r="C254" t="s">
        <v>9</v>
      </c>
      <c r="D254" t="s">
        <v>10</v>
      </c>
      <c r="E254">
        <v>6</v>
      </c>
      <c r="F254" s="1">
        <v>44926</v>
      </c>
      <c r="G254">
        <v>5.01524833351013E-3</v>
      </c>
      <c r="K254" s="4">
        <v>42124</v>
      </c>
      <c r="L254" s="6">
        <v>-2.4733578376824099E-2</v>
      </c>
      <c r="M254" s="6">
        <v>-4.4565290481757402E-3</v>
      </c>
      <c r="N254" s="6">
        <v>-2.30337094476235E-2</v>
      </c>
      <c r="O254" s="6">
        <v>-3.2135899506603803E-2</v>
      </c>
      <c r="P254" s="6">
        <v>-4.7569035191129899E-2</v>
      </c>
      <c r="Q254" s="6">
        <v>-2.9769336987699201E-2</v>
      </c>
      <c r="R254" s="6">
        <v>1.9455869130358999E-2</v>
      </c>
      <c r="S254" s="6">
        <v>-1.5152321903679499E-2</v>
      </c>
      <c r="T254" s="6">
        <v>-1.6737894523131399E-2</v>
      </c>
      <c r="U254" s="6">
        <v>9.5669791076950401E-3</v>
      </c>
      <c r="V254" s="6">
        <v>-2.6501395624241499E-2</v>
      </c>
      <c r="W254" s="6">
        <v>2.8809652374105699E-2</v>
      </c>
      <c r="X254" s="6">
        <v>9.7133795456938003E-3</v>
      </c>
      <c r="Y254" s="6">
        <v>-0.15254382045125511</v>
      </c>
      <c r="AA254">
        <v>-2.4733578376824099E-2</v>
      </c>
      <c r="AB254">
        <v>-4.4565290481757402E-3</v>
      </c>
      <c r="AC254">
        <v>-2.30337094476235E-2</v>
      </c>
      <c r="AD254">
        <v>-3.2135899506603803E-2</v>
      </c>
      <c r="AE254">
        <v>-4.7569035191129899E-2</v>
      </c>
      <c r="AF254">
        <v>-2.9769336987699201E-2</v>
      </c>
      <c r="AG254">
        <v>1.9455869130358999E-2</v>
      </c>
      <c r="AH254">
        <v>-1.5152321903679499E-2</v>
      </c>
      <c r="AI254">
        <v>-1.6737894523131399E-2</v>
      </c>
      <c r="AJ254">
        <v>9.5669791076950401E-3</v>
      </c>
      <c r="AK254">
        <v>-2.6501395624241499E-2</v>
      </c>
      <c r="AL254">
        <v>2.8809652374105699E-2</v>
      </c>
      <c r="AM254">
        <v>9.7133795456938003E-3</v>
      </c>
      <c r="AN254">
        <f>+IBOV!C179</f>
        <v>0.15428710548448499</v>
      </c>
      <c r="AP254" s="1">
        <f t="shared" si="40"/>
        <v>42124</v>
      </c>
      <c r="AQ254">
        <f t="shared" si="41"/>
        <v>96.344860376460858</v>
      </c>
      <c r="AR254">
        <f t="shared" si="42"/>
        <v>113.64490480940415</v>
      </c>
      <c r="AS254">
        <f t="shared" si="43"/>
        <v>118.64058928769364</v>
      </c>
      <c r="AT254">
        <f t="shared" si="44"/>
        <v>80.291732719997199</v>
      </c>
      <c r="AU254">
        <f t="shared" si="45"/>
        <v>170.55794356901475</v>
      </c>
      <c r="AV254">
        <f t="shared" si="46"/>
        <v>303.06991648226358</v>
      </c>
      <c r="AW254">
        <f t="shared" si="47"/>
        <v>130.48104372104996</v>
      </c>
      <c r="AX254">
        <f t="shared" si="48"/>
        <v>133.86930218811108</v>
      </c>
      <c r="AY254">
        <f t="shared" si="49"/>
        <v>192.14868403625508</v>
      </c>
      <c r="AZ254">
        <f t="shared" si="50"/>
        <v>102.58341992456548</v>
      </c>
      <c r="BA254">
        <f t="shared" si="51"/>
        <v>105.86807938314038</v>
      </c>
      <c r="BB254">
        <f t="shared" si="52"/>
        <v>76.813499750540444</v>
      </c>
      <c r="BC254">
        <f t="shared" si="53"/>
        <v>138.00520249234162</v>
      </c>
      <c r="BD254">
        <f t="shared" si="54"/>
        <v>349.22909517033577</v>
      </c>
    </row>
    <row r="255" spans="1:56" x14ac:dyDescent="0.25">
      <c r="A255" t="s">
        <v>7</v>
      </c>
      <c r="B255" t="s">
        <v>8</v>
      </c>
      <c r="C255" t="s">
        <v>9</v>
      </c>
      <c r="D255" t="s">
        <v>10</v>
      </c>
      <c r="E255">
        <v>6</v>
      </c>
      <c r="F255" s="1">
        <v>44957</v>
      </c>
      <c r="G255">
        <v>-3.0120869417343599E-2</v>
      </c>
      <c r="K255" s="4">
        <v>42155</v>
      </c>
      <c r="L255" s="6">
        <v>-2.2801953495345099E-3</v>
      </c>
      <c r="M255" s="6">
        <v>-1.7587964212639799E-2</v>
      </c>
      <c r="N255" s="6">
        <v>-1.1807228494971201E-2</v>
      </c>
      <c r="O255" s="6">
        <v>1.8723784030557598E-2</v>
      </c>
      <c r="P255" s="6">
        <v>3.1618941633452601E-2</v>
      </c>
      <c r="Q255" s="6">
        <v>2.14481369850535E-2</v>
      </c>
      <c r="R255" s="6">
        <v>-4.7373209468267001E-3</v>
      </c>
      <c r="S255" s="6">
        <v>-3.26661278913955E-3</v>
      </c>
      <c r="T255" s="6">
        <v>1.9609352801920499E-2</v>
      </c>
      <c r="U255" s="6">
        <v>-1.5393314220383199E-2</v>
      </c>
      <c r="V255" s="6">
        <v>6.5390213759997902E-3</v>
      </c>
      <c r="W255" s="6">
        <v>2.2028407224407E-2</v>
      </c>
      <c r="X255" s="6">
        <v>-2.9291461125405299E-2</v>
      </c>
      <c r="Y255" s="6">
        <v>3.5603546912490722E-2</v>
      </c>
      <c r="AA255">
        <v>-2.2801953495345099E-3</v>
      </c>
      <c r="AB255">
        <v>-1.7587964212639799E-2</v>
      </c>
      <c r="AC255">
        <v>-1.1807228494971201E-2</v>
      </c>
      <c r="AD255">
        <v>1.8723784030557598E-2</v>
      </c>
      <c r="AE255">
        <v>3.1618941633452601E-2</v>
      </c>
      <c r="AF255">
        <v>2.14481369850535E-2</v>
      </c>
      <c r="AG255">
        <v>-4.7373209468267001E-3</v>
      </c>
      <c r="AH255">
        <v>-3.26661278913955E-3</v>
      </c>
      <c r="AI255">
        <v>1.9609352801920499E-2</v>
      </c>
      <c r="AJ255">
        <v>-1.5393314220383199E-2</v>
      </c>
      <c r="AK255">
        <v>6.5390213759997902E-3</v>
      </c>
      <c r="AL255">
        <v>2.2028407224407E-2</v>
      </c>
      <c r="AM255">
        <v>-2.9291461125405299E-2</v>
      </c>
      <c r="AN255">
        <f>+IBOV!C180</f>
        <v>-0.10880965620386174</v>
      </c>
      <c r="AP255" s="1">
        <f t="shared" si="40"/>
        <v>42155</v>
      </c>
      <c r="AQ255">
        <f t="shared" si="41"/>
        <v>96.125175273878895</v>
      </c>
      <c r="AR255">
        <f t="shared" si="42"/>
        <v>111.64612229066751</v>
      </c>
      <c r="AS255">
        <f t="shared" si="43"/>
        <v>117.23977274119582</v>
      </c>
      <c r="AT255">
        <f t="shared" si="44"/>
        <v>81.795097782885691</v>
      </c>
      <c r="AU255">
        <f t="shared" si="45"/>
        <v>175.95080523184515</v>
      </c>
      <c r="AV255">
        <f t="shared" si="46"/>
        <v>309.5702015670239</v>
      </c>
      <c r="AW255">
        <f t="shared" si="47"/>
        <v>129.86291313946643</v>
      </c>
      <c r="AX255">
        <f t="shared" si="48"/>
        <v>133.43200301351021</v>
      </c>
      <c r="AY255">
        <f t="shared" si="49"/>
        <v>195.91659537194676</v>
      </c>
      <c r="AZ255">
        <f t="shared" si="50"/>
        <v>101.00432110786512</v>
      </c>
      <c r="BA255">
        <f t="shared" si="51"/>
        <v>106.56035301726277</v>
      </c>
      <c r="BB255">
        <f t="shared" si="52"/>
        <v>78.505578803377233</v>
      </c>
      <c r="BC255">
        <f t="shared" si="53"/>
        <v>133.96282846843351</v>
      </c>
      <c r="BD255">
        <f t="shared" si="54"/>
        <v>311.22959738846583</v>
      </c>
    </row>
    <row r="256" spans="1:56" x14ac:dyDescent="0.25">
      <c r="A256" t="s">
        <v>7</v>
      </c>
      <c r="B256" t="s">
        <v>8</v>
      </c>
      <c r="C256" t="s">
        <v>9</v>
      </c>
      <c r="D256" t="s">
        <v>10</v>
      </c>
      <c r="E256">
        <v>6</v>
      </c>
      <c r="F256" s="1">
        <v>44985</v>
      </c>
      <c r="G256">
        <v>-1.38321431229176E-2</v>
      </c>
      <c r="K256" s="4">
        <v>42185</v>
      </c>
      <c r="L256" s="6">
        <v>-8.7798750694699696E-4</v>
      </c>
      <c r="M256" s="6">
        <v>-1.8961875887246401E-2</v>
      </c>
      <c r="N256" s="6">
        <v>-1.8011652350391601E-2</v>
      </c>
      <c r="O256" s="6">
        <v>1.0393389285531501E-2</v>
      </c>
      <c r="P256" s="6">
        <v>1.46074963113597E-2</v>
      </c>
      <c r="Q256" s="6">
        <v>2.44672562801884E-2</v>
      </c>
      <c r="R256" s="6">
        <v>8.4301723370051995E-3</v>
      </c>
      <c r="S256" s="6">
        <v>2.7223454857506501E-2</v>
      </c>
      <c r="T256" s="6">
        <v>1.45559306844881E-2</v>
      </c>
      <c r="U256" s="6">
        <v>2.2390164920348E-3</v>
      </c>
      <c r="V256" s="6">
        <v>5.5165539427770799E-4</v>
      </c>
      <c r="W256" s="6">
        <v>-2.1524360218289299E-2</v>
      </c>
      <c r="X256" s="6">
        <v>-1.6477176267610399E-2</v>
      </c>
      <c r="Y256" s="6">
        <v>2.6615319411907205E-2</v>
      </c>
      <c r="AA256">
        <v>-8.7798750694699696E-4</v>
      </c>
      <c r="AB256">
        <v>-1.8961875887246401E-2</v>
      </c>
      <c r="AC256">
        <v>-1.8011652350391601E-2</v>
      </c>
      <c r="AD256">
        <v>1.0393389285531501E-2</v>
      </c>
      <c r="AE256">
        <v>1.46074963113597E-2</v>
      </c>
      <c r="AF256">
        <v>2.44672562801884E-2</v>
      </c>
      <c r="AG256">
        <v>8.4301723370051995E-3</v>
      </c>
      <c r="AH256">
        <v>2.7223454857506501E-2</v>
      </c>
      <c r="AI256">
        <v>1.45559306844881E-2</v>
      </c>
      <c r="AJ256">
        <v>2.2390164920348E-3</v>
      </c>
      <c r="AK256">
        <v>5.5165539427770799E-4</v>
      </c>
      <c r="AL256">
        <v>-2.1524360218289299E-2</v>
      </c>
      <c r="AM256">
        <v>-1.6477176267610399E-2</v>
      </c>
      <c r="AN256">
        <f>+IBOV!C181</f>
        <v>3.4171897608020974E-2</v>
      </c>
      <c r="AP256" s="1">
        <f t="shared" si="40"/>
        <v>42185</v>
      </c>
      <c r="AQ256">
        <f t="shared" si="41"/>
        <v>96.040778570885337</v>
      </c>
      <c r="AR256">
        <f t="shared" si="42"/>
        <v>109.52910237649954</v>
      </c>
      <c r="AS256">
        <f t="shared" si="43"/>
        <v>115.12809071294248</v>
      </c>
      <c r="AT256">
        <f t="shared" si="44"/>
        <v>82.645226075791328</v>
      </c>
      <c r="AU256">
        <f t="shared" si="45"/>
        <v>178.52100597025009</v>
      </c>
      <c r="AV256">
        <f t="shared" si="46"/>
        <v>317.14453502547389</v>
      </c>
      <c r="AW256">
        <f t="shared" si="47"/>
        <v>130.95767987741769</v>
      </c>
      <c r="AX256">
        <f t="shared" si="48"/>
        <v>137.06448312409518</v>
      </c>
      <c r="AY256">
        <f t="shared" si="49"/>
        <v>198.7683437541217</v>
      </c>
      <c r="AZ256">
        <f t="shared" si="50"/>
        <v>101.23047144859241</v>
      </c>
      <c r="BA256">
        <f t="shared" si="51"/>
        <v>106.61913761082089</v>
      </c>
      <c r="BB256">
        <f t="shared" si="52"/>
        <v>76.815796446068049</v>
      </c>
      <c r="BC256">
        <f t="shared" si="53"/>
        <v>131.75549933045147</v>
      </c>
      <c r="BD256">
        <f t="shared" si="54"/>
        <v>321.86490332301008</v>
      </c>
    </row>
    <row r="257" spans="1:56" x14ac:dyDescent="0.25">
      <c r="A257" t="s">
        <v>7</v>
      </c>
      <c r="B257" t="s">
        <v>8</v>
      </c>
      <c r="C257" t="s">
        <v>9</v>
      </c>
      <c r="D257" t="s">
        <v>10</v>
      </c>
      <c r="E257">
        <v>6</v>
      </c>
      <c r="F257" s="1">
        <v>45016</v>
      </c>
      <c r="G257">
        <v>3.8173020198396898E-2</v>
      </c>
      <c r="K257" s="4">
        <v>42216</v>
      </c>
      <c r="L257" s="6">
        <v>8.6194228723882604E-3</v>
      </c>
      <c r="M257" s="6">
        <v>1.31132941829489E-2</v>
      </c>
      <c r="N257" s="6">
        <v>2.1270351569086399E-2</v>
      </c>
      <c r="O257" s="6">
        <v>-1.41093065744153E-2</v>
      </c>
      <c r="P257" s="6">
        <v>6.1516472522518399E-2</v>
      </c>
      <c r="Q257" s="6">
        <v>5.88194592353233E-2</v>
      </c>
      <c r="R257" s="6">
        <v>2.9461794223865499E-3</v>
      </c>
      <c r="S257" s="6">
        <v>3.7713815334029399E-2</v>
      </c>
      <c r="T257" s="6">
        <v>3.7679354741223997E-2</v>
      </c>
      <c r="U257" s="6">
        <v>8.5569767175521796E-4</v>
      </c>
      <c r="V257" s="6">
        <v>-5.40723194379082E-3</v>
      </c>
      <c r="W257" s="6">
        <v>-3.3142431882183403E-2</v>
      </c>
      <c r="X257" s="6">
        <v>-2.2343171600740001E-2</v>
      </c>
      <c r="Y257" s="6">
        <v>0.16753190555053091</v>
      </c>
      <c r="AA257">
        <v>8.6194228723882604E-3</v>
      </c>
      <c r="AB257">
        <v>1.31132941829489E-2</v>
      </c>
      <c r="AC257">
        <v>2.1270351569086399E-2</v>
      </c>
      <c r="AD257">
        <v>-1.41093065744153E-2</v>
      </c>
      <c r="AE257">
        <v>6.1516472522518399E-2</v>
      </c>
      <c r="AF257">
        <v>5.88194592353233E-2</v>
      </c>
      <c r="AG257">
        <v>2.9461794223865499E-3</v>
      </c>
      <c r="AH257">
        <v>3.7713815334029399E-2</v>
      </c>
      <c r="AI257">
        <v>3.7679354741223997E-2</v>
      </c>
      <c r="AJ257">
        <v>8.5569767175521796E-4</v>
      </c>
      <c r="AK257">
        <v>-5.40723194379082E-3</v>
      </c>
      <c r="AL257">
        <v>-3.3142431882183403E-2</v>
      </c>
      <c r="AM257">
        <v>-2.2343171600740001E-2</v>
      </c>
      <c r="AN257">
        <f>+IBOV!C182</f>
        <v>-0.12450459259567481</v>
      </c>
      <c r="AP257" s="1">
        <f t="shared" si="40"/>
        <v>42216</v>
      </c>
      <c r="AQ257">
        <f t="shared" si="41"/>
        <v>96.868594654381198</v>
      </c>
      <c r="AR257">
        <f t="shared" si="42"/>
        <v>110.96538971755689</v>
      </c>
      <c r="AS257">
        <f t="shared" si="43"/>
        <v>117.57690567788444</v>
      </c>
      <c r="AT257">
        <f t="shared" si="44"/>
        <v>81.479159244176117</v>
      </c>
      <c r="AU257">
        <f t="shared" si="45"/>
        <v>189.50298852871131</v>
      </c>
      <c r="AV257">
        <f t="shared" si="46"/>
        <v>335.79880507511029</v>
      </c>
      <c r="AW257">
        <f t="shared" si="47"/>
        <v>131.34350469907602</v>
      </c>
      <c r="AX257">
        <f t="shared" si="48"/>
        <v>142.23370772949147</v>
      </c>
      <c r="AY257">
        <f t="shared" si="49"/>
        <v>206.25780668975881</v>
      </c>
      <c r="AZ257">
        <f t="shared" si="50"/>
        <v>101.31709412732167</v>
      </c>
      <c r="BA257">
        <f t="shared" si="51"/>
        <v>106.04262320411223</v>
      </c>
      <c r="BB257">
        <f t="shared" si="52"/>
        <v>74.269934144878576</v>
      </c>
      <c r="BC257">
        <f t="shared" si="53"/>
        <v>128.81166359957001</v>
      </c>
      <c r="BD257">
        <f t="shared" si="54"/>
        <v>281.79124466393245</v>
      </c>
    </row>
    <row r="258" spans="1:56" x14ac:dyDescent="0.25">
      <c r="A258" t="s">
        <v>7</v>
      </c>
      <c r="B258" t="s">
        <v>8</v>
      </c>
      <c r="C258" t="s">
        <v>9</v>
      </c>
      <c r="D258" t="s">
        <v>10</v>
      </c>
      <c r="E258">
        <v>6</v>
      </c>
      <c r="F258" s="1">
        <v>45046</v>
      </c>
      <c r="G258">
        <v>3.4242179396842799E-2</v>
      </c>
      <c r="K258" s="4">
        <v>42247</v>
      </c>
      <c r="L258" s="6">
        <v>5.1838929312570899E-2</v>
      </c>
      <c r="M258" s="6">
        <v>1.04185069619703E-2</v>
      </c>
      <c r="N258" s="6">
        <v>2.20883448041224E-2</v>
      </c>
      <c r="O258" s="6">
        <v>1.85581358620533E-2</v>
      </c>
      <c r="P258" s="6">
        <v>1.65997681329553E-2</v>
      </c>
      <c r="Q258" s="6">
        <v>3.1541367701867502E-2</v>
      </c>
      <c r="R258" s="6">
        <v>-2.14810275842117E-2</v>
      </c>
      <c r="S258" s="6">
        <v>-1.15807320640219E-3</v>
      </c>
      <c r="T258" s="6">
        <v>2.7205158560011499E-2</v>
      </c>
      <c r="U258" s="6">
        <v>-1.49985671998695E-3</v>
      </c>
      <c r="V258" s="6">
        <v>-9.7066042735080398E-3</v>
      </c>
      <c r="W258" s="6">
        <v>-5.5728347864102898E-3</v>
      </c>
      <c r="X258" s="6">
        <v>-2.2889438550285499E-2</v>
      </c>
      <c r="Y258" s="6">
        <v>0.11594237621474654</v>
      </c>
      <c r="AA258">
        <v>5.1838929312570899E-2</v>
      </c>
      <c r="AB258">
        <v>1.04185069619703E-2</v>
      </c>
      <c r="AC258">
        <v>2.20883448041224E-2</v>
      </c>
      <c r="AD258">
        <v>1.85581358620533E-2</v>
      </c>
      <c r="AE258">
        <v>1.65997681329553E-2</v>
      </c>
      <c r="AF258">
        <v>3.1541367701867502E-2</v>
      </c>
      <c r="AG258">
        <v>-2.14810275842117E-2</v>
      </c>
      <c r="AH258">
        <v>-1.15807320640219E-3</v>
      </c>
      <c r="AI258">
        <v>2.7205158560011499E-2</v>
      </c>
      <c r="AJ258">
        <v>-1.49985671998695E-3</v>
      </c>
      <c r="AK258">
        <v>-9.7066042735080398E-3</v>
      </c>
      <c r="AL258">
        <v>-5.5728347864102898E-3</v>
      </c>
      <c r="AM258">
        <v>-2.2889438550285499E-2</v>
      </c>
      <c r="AN258">
        <f>+IBOV!C183</f>
        <v>-0.13280024713654281</v>
      </c>
      <c r="AP258" s="1">
        <f t="shared" si="40"/>
        <v>42247</v>
      </c>
      <c r="AQ258">
        <f t="shared" si="41"/>
        <v>101.89015888527776</v>
      </c>
      <c r="AR258">
        <f t="shared" si="42"/>
        <v>112.121483402867</v>
      </c>
      <c r="AS258">
        <f t="shared" si="43"/>
        <v>120.17398491149933</v>
      </c>
      <c r="AT258">
        <f t="shared" si="44"/>
        <v>82.99126055135541</v>
      </c>
      <c r="AU258">
        <f t="shared" si="45"/>
        <v>192.64869419879</v>
      </c>
      <c r="AV258">
        <f t="shared" si="46"/>
        <v>346.39035865983203</v>
      </c>
      <c r="AW258">
        <f t="shared" si="47"/>
        <v>128.52211125162813</v>
      </c>
      <c r="AX258">
        <f t="shared" si="48"/>
        <v>142.06899068352271</v>
      </c>
      <c r="AY258">
        <f t="shared" si="49"/>
        <v>211.8690830249939</v>
      </c>
      <c r="AZ258">
        <f t="shared" si="50"/>
        <v>101.16513300284525</v>
      </c>
      <c r="BA258">
        <f t="shared" si="51"/>
        <v>105.0133094245452</v>
      </c>
      <c r="BB258">
        <f t="shared" si="52"/>
        <v>73.856040072291606</v>
      </c>
      <c r="BC258">
        <f t="shared" si="53"/>
        <v>125.8632369410476</v>
      </c>
      <c r="BD258">
        <f t="shared" si="54"/>
        <v>244.3692977316482</v>
      </c>
    </row>
    <row r="259" spans="1:56" x14ac:dyDescent="0.25">
      <c r="A259" t="s">
        <v>7</v>
      </c>
      <c r="B259" t="s">
        <v>8</v>
      </c>
      <c r="C259" t="s">
        <v>9</v>
      </c>
      <c r="D259" t="s">
        <v>10</v>
      </c>
      <c r="E259">
        <v>6</v>
      </c>
      <c r="F259" s="1">
        <v>45077</v>
      </c>
      <c r="G259">
        <v>1.2279573686438399E-2</v>
      </c>
      <c r="K259" s="4">
        <v>42277</v>
      </c>
      <c r="L259" s="6">
        <v>7.0496943610537405E-2</v>
      </c>
      <c r="M259" s="6">
        <v>1.9771313590284001E-2</v>
      </c>
      <c r="N259" s="6">
        <v>1.0349401583057199E-2</v>
      </c>
      <c r="O259" s="6">
        <v>-2.27743793009728E-2</v>
      </c>
      <c r="P259" s="6">
        <v>3.2072383758346201E-2</v>
      </c>
      <c r="Q259" s="6">
        <v>5.9198327689891098E-2</v>
      </c>
      <c r="R259" s="6">
        <v>-2.6710047990130799E-3</v>
      </c>
      <c r="S259" s="6">
        <v>-3.1432970975485801E-2</v>
      </c>
      <c r="T259" s="6">
        <v>4.6585602285875603E-3</v>
      </c>
      <c r="U259" s="6">
        <v>1.55456830043541E-2</v>
      </c>
      <c r="V259" s="6">
        <v>9.87504052572853E-3</v>
      </c>
      <c r="W259" s="6">
        <v>-6.7254902188383899E-3</v>
      </c>
      <c r="X259" s="6">
        <v>-2.04903337881167E-2</v>
      </c>
      <c r="Y259" s="6">
        <v>0.1378734749083593</v>
      </c>
      <c r="AA259">
        <v>7.0496943610537405E-2</v>
      </c>
      <c r="AB259">
        <v>1.9771313590284001E-2</v>
      </c>
      <c r="AC259">
        <v>1.0349401583057199E-2</v>
      </c>
      <c r="AD259">
        <v>-2.27743793009728E-2</v>
      </c>
      <c r="AE259">
        <v>3.2072383758346201E-2</v>
      </c>
      <c r="AF259">
        <v>5.9198327689891098E-2</v>
      </c>
      <c r="AG259">
        <v>-2.6710047990130799E-3</v>
      </c>
      <c r="AH259">
        <v>-3.1432970975485801E-2</v>
      </c>
      <c r="AI259">
        <v>4.6585602285875603E-3</v>
      </c>
      <c r="AJ259">
        <v>1.55456830043541E-2</v>
      </c>
      <c r="AK259">
        <v>9.87504052572853E-3</v>
      </c>
      <c r="AL259">
        <v>-6.7254902188383899E-3</v>
      </c>
      <c r="AM259">
        <v>-2.04903337881167E-2</v>
      </c>
      <c r="AN259">
        <f>+IBOV!C184</f>
        <v>-0.11776754764547115</v>
      </c>
      <c r="AP259" s="1">
        <f t="shared" si="40"/>
        <v>42277</v>
      </c>
      <c r="AQ259">
        <f t="shared" si="41"/>
        <v>109.07310367068187</v>
      </c>
      <c r="AR259">
        <f t="shared" si="42"/>
        <v>114.3382724114329</v>
      </c>
      <c r="AS259">
        <f t="shared" si="43"/>
        <v>121.4177137411847</v>
      </c>
      <c r="AT259">
        <f t="shared" si="44"/>
        <v>81.101186104892975</v>
      </c>
      <c r="AU259">
        <f t="shared" si="45"/>
        <v>198.8273970496779</v>
      </c>
      <c r="AV259">
        <f t="shared" si="46"/>
        <v>366.89608862039569</v>
      </c>
      <c r="AW259">
        <f t="shared" si="47"/>
        <v>128.17882807569575</v>
      </c>
      <c r="AX259">
        <f t="shared" si="48"/>
        <v>137.60334022285099</v>
      </c>
      <c r="AY259">
        <f t="shared" si="49"/>
        <v>212.85608790884146</v>
      </c>
      <c r="AZ259">
        <f t="shared" si="50"/>
        <v>102.73781409160081</v>
      </c>
      <c r="BA259">
        <f t="shared" si="51"/>
        <v>106.05032011085346</v>
      </c>
      <c r="BB259">
        <f t="shared" si="52"/>
        <v>73.359321997183272</v>
      </c>
      <c r="BC259">
        <f t="shared" si="53"/>
        <v>123.28425720447271</v>
      </c>
      <c r="BD259">
        <f t="shared" si="54"/>
        <v>215.590524817946</v>
      </c>
    </row>
    <row r="260" spans="1:56" x14ac:dyDescent="0.25">
      <c r="A260" t="s">
        <v>7</v>
      </c>
      <c r="B260" t="s">
        <v>8</v>
      </c>
      <c r="C260" t="s">
        <v>9</v>
      </c>
      <c r="D260" t="s">
        <v>10</v>
      </c>
      <c r="E260">
        <v>6</v>
      </c>
      <c r="F260" s="1">
        <v>45107</v>
      </c>
      <c r="G260">
        <v>3.12175260460987E-2</v>
      </c>
      <c r="K260" s="4">
        <v>42308</v>
      </c>
      <c r="L260" s="6">
        <v>-7.5490887925145495E-2</v>
      </c>
      <c r="M260" s="6">
        <v>-1.0675057629369499E-2</v>
      </c>
      <c r="N260" s="6">
        <v>-5.6224808559691098E-3</v>
      </c>
      <c r="O260" s="6">
        <v>9.8087294423206597E-3</v>
      </c>
      <c r="P260" s="6">
        <v>-5.4301024114103098E-2</v>
      </c>
      <c r="Q260" s="6">
        <v>-0.10373037121223599</v>
      </c>
      <c r="R260" s="6">
        <v>-2.53839684741189E-2</v>
      </c>
      <c r="S260" s="6">
        <v>-1.90754389283436E-2</v>
      </c>
      <c r="T260" s="6">
        <v>-3.5802763853290502E-2</v>
      </c>
      <c r="U260" s="6">
        <v>-4.5372415483366799E-3</v>
      </c>
      <c r="V260" s="6">
        <v>8.62723068515521E-3</v>
      </c>
      <c r="W260" s="6">
        <v>3.5306112001398403E-2</v>
      </c>
      <c r="X260" s="6">
        <v>5.4195839038342998E-2</v>
      </c>
      <c r="Y260" s="6">
        <v>-0.2266813233736957</v>
      </c>
      <c r="AA260">
        <v>-7.5490887925145495E-2</v>
      </c>
      <c r="AB260">
        <v>-1.0675057629369499E-2</v>
      </c>
      <c r="AC260">
        <v>-5.6224808559691098E-3</v>
      </c>
      <c r="AD260">
        <v>9.8087294423206597E-3</v>
      </c>
      <c r="AE260">
        <v>-5.4301024114103098E-2</v>
      </c>
      <c r="AF260">
        <v>-0.10373037121223599</v>
      </c>
      <c r="AG260">
        <v>-2.53839684741189E-2</v>
      </c>
      <c r="AH260">
        <v>-1.90754389283436E-2</v>
      </c>
      <c r="AI260">
        <v>-3.5802763853290502E-2</v>
      </c>
      <c r="AJ260">
        <v>-4.5372415483366799E-3</v>
      </c>
      <c r="AK260">
        <v>8.62723068515521E-3</v>
      </c>
      <c r="AL260">
        <v>3.5306112001398403E-2</v>
      </c>
      <c r="AM260">
        <v>5.4195839038342998E-2</v>
      </c>
      <c r="AN260">
        <f>+IBOV!C185</f>
        <v>4.1915470209577421E-2</v>
      </c>
      <c r="AP260" s="1">
        <f t="shared" si="40"/>
        <v>42308</v>
      </c>
      <c r="AQ260">
        <f t="shared" si="41"/>
        <v>100.83907822583066</v>
      </c>
      <c r="AR260">
        <f t="shared" si="42"/>
        <v>113.11770476419831</v>
      </c>
      <c r="AS260">
        <f t="shared" si="43"/>
        <v>120.73504497009935</v>
      </c>
      <c r="AT260">
        <f t="shared" si="44"/>
        <v>81.896685696847157</v>
      </c>
      <c r="AU260">
        <f t="shared" si="45"/>
        <v>188.03086576793899</v>
      </c>
      <c r="AV260">
        <f t="shared" si="46"/>
        <v>328.8378211514846</v>
      </c>
      <c r="AW260">
        <f t="shared" si="47"/>
        <v>124.92514074477278</v>
      </c>
      <c r="AX260">
        <f t="shared" si="48"/>
        <v>134.97849611009391</v>
      </c>
      <c r="AY260">
        <f t="shared" si="49"/>
        <v>205.23525165870598</v>
      </c>
      <c r="AZ260">
        <f t="shared" si="50"/>
        <v>102.27166781291911</v>
      </c>
      <c r="BA260">
        <f t="shared" si="51"/>
        <v>106.96524068668434</v>
      </c>
      <c r="BB260">
        <f t="shared" si="52"/>
        <v>75.949354435962476</v>
      </c>
      <c r="BC260">
        <f t="shared" si="53"/>
        <v>129.96575096388798</v>
      </c>
      <c r="BD260">
        <f t="shared" si="54"/>
        <v>224.62710303841979</v>
      </c>
    </row>
    <row r="261" spans="1:56" x14ac:dyDescent="0.25">
      <c r="A261" t="s">
        <v>7</v>
      </c>
      <c r="B261" t="s">
        <v>8</v>
      </c>
      <c r="C261" t="s">
        <v>9</v>
      </c>
      <c r="D261" t="s">
        <v>10</v>
      </c>
      <c r="E261">
        <v>6</v>
      </c>
      <c r="F261" s="1">
        <v>45138</v>
      </c>
      <c r="G261">
        <v>1.5427656692083999E-2</v>
      </c>
      <c r="K261" s="4">
        <v>42338</v>
      </c>
      <c r="L261" s="6">
        <v>-2.9592303253689299E-2</v>
      </c>
      <c r="M261" s="6">
        <v>1.0724973251304301E-2</v>
      </c>
      <c r="N261" s="6">
        <v>3.31446877216496E-2</v>
      </c>
      <c r="O261" s="6">
        <v>-2.8150478900476001E-3</v>
      </c>
      <c r="P261" s="6">
        <v>-9.4081096333605996E-3</v>
      </c>
      <c r="Q261" s="6">
        <v>-1.19582521962028E-2</v>
      </c>
      <c r="R261" s="6">
        <v>6.9311991584471598E-3</v>
      </c>
      <c r="S261" s="6">
        <v>-3.0145904889056399E-2</v>
      </c>
      <c r="T261" s="6">
        <v>-6.0080612577829297E-2</v>
      </c>
      <c r="U261" s="6">
        <v>-1.6195426229635899E-2</v>
      </c>
      <c r="V261" s="6">
        <v>-3.5163843696821302E-2</v>
      </c>
      <c r="W261" s="6">
        <v>1.63212872777623E-3</v>
      </c>
      <c r="X261" s="6">
        <v>3.2970771993341398E-4</v>
      </c>
      <c r="Y261" s="6">
        <v>-0.14259680378753248</v>
      </c>
      <c r="AA261">
        <v>-2.9592303253689299E-2</v>
      </c>
      <c r="AB261">
        <v>1.0724973251304301E-2</v>
      </c>
      <c r="AC261">
        <v>3.31446877216496E-2</v>
      </c>
      <c r="AD261">
        <v>-2.8150478900476001E-3</v>
      </c>
      <c r="AE261">
        <v>-9.4081096333605996E-3</v>
      </c>
      <c r="AF261">
        <v>-1.19582521962028E-2</v>
      </c>
      <c r="AG261">
        <v>6.9311991584471598E-3</v>
      </c>
      <c r="AH261">
        <v>-3.0145904889056399E-2</v>
      </c>
      <c r="AI261">
        <v>-6.0080612577829297E-2</v>
      </c>
      <c r="AJ261">
        <v>-1.6195426229635899E-2</v>
      </c>
      <c r="AK261">
        <v>-3.5163843696821302E-2</v>
      </c>
      <c r="AL261">
        <v>1.63212872777623E-3</v>
      </c>
      <c r="AM261">
        <v>3.2970771993341398E-4</v>
      </c>
      <c r="AN261">
        <f>+IBOV!C186</f>
        <v>-1.5300228795433135E-2</v>
      </c>
      <c r="AP261" s="1">
        <f t="shared" si="40"/>
        <v>42338</v>
      </c>
      <c r="AQ261">
        <f t="shared" si="41"/>
        <v>97.855017643149381</v>
      </c>
      <c r="AR261">
        <f t="shared" si="42"/>
        <v>114.33088912204329</v>
      </c>
      <c r="AS261">
        <f t="shared" si="43"/>
        <v>124.73677033269263</v>
      </c>
      <c r="AT261">
        <f t="shared" si="44"/>
        <v>81.666142604574361</v>
      </c>
      <c r="AU261">
        <f t="shared" si="45"/>
        <v>186.26185076833852</v>
      </c>
      <c r="AV261">
        <f t="shared" si="46"/>
        <v>324.90549555450531</v>
      </c>
      <c r="AW261">
        <f t="shared" si="47"/>
        <v>125.79102177517183</v>
      </c>
      <c r="AX261">
        <f t="shared" si="48"/>
        <v>130.90944720429115</v>
      </c>
      <c r="AY261">
        <f t="shared" si="49"/>
        <v>192.90459201648596</v>
      </c>
      <c r="AZ261">
        <f t="shared" si="50"/>
        <v>100.61533456147315</v>
      </c>
      <c r="BA261">
        <f t="shared" si="51"/>
        <v>103.2039316821849</v>
      </c>
      <c r="BB261">
        <f t="shared" si="52"/>
        <v>76.07331355919348</v>
      </c>
      <c r="BC261">
        <f t="shared" si="53"/>
        <v>130.00860167530772</v>
      </c>
      <c r="BD261">
        <f t="shared" si="54"/>
        <v>221.19025696827663</v>
      </c>
    </row>
    <row r="262" spans="1:56" x14ac:dyDescent="0.25">
      <c r="A262" t="s">
        <v>7</v>
      </c>
      <c r="B262" t="s">
        <v>8</v>
      </c>
      <c r="C262" t="s">
        <v>9</v>
      </c>
      <c r="D262" t="s">
        <v>10</v>
      </c>
      <c r="E262">
        <v>6</v>
      </c>
      <c r="F262" s="1">
        <v>45169</v>
      </c>
      <c r="G262">
        <v>-1.03348853978094E-2</v>
      </c>
      <c r="K262" s="4">
        <v>42369</v>
      </c>
      <c r="L262" s="6">
        <v>5.2858658266744301E-3</v>
      </c>
      <c r="M262" s="6">
        <v>1.33417950068635E-4</v>
      </c>
      <c r="N262" s="6">
        <v>-2.5697471347454399E-3</v>
      </c>
      <c r="O262" s="6">
        <v>-4.4848527900124904E-3</v>
      </c>
      <c r="P262" s="6">
        <v>9.0086791486501203E-3</v>
      </c>
      <c r="Q262" s="6">
        <v>2.05161770542573E-2</v>
      </c>
      <c r="R262" s="6">
        <v>1.5078662796912401E-3</v>
      </c>
      <c r="S262" s="6">
        <v>-6.8709723116424501E-3</v>
      </c>
      <c r="T262" s="6">
        <v>3.68986179450003E-3</v>
      </c>
      <c r="U262" s="6">
        <v>5.1446289149927301E-3</v>
      </c>
      <c r="V262" s="6">
        <v>-7.7508195827405597E-4</v>
      </c>
      <c r="W262" s="6">
        <v>1.3752436740062801E-2</v>
      </c>
      <c r="X262" s="6">
        <v>-6.1078152254442396E-3</v>
      </c>
      <c r="Y262" s="6">
        <v>3.8230464288778611E-2</v>
      </c>
      <c r="AA262">
        <v>5.2858658266744301E-3</v>
      </c>
      <c r="AB262">
        <v>1.33417950068635E-4</v>
      </c>
      <c r="AC262">
        <v>-2.5697471347454399E-3</v>
      </c>
      <c r="AD262">
        <v>-4.4848527900124904E-3</v>
      </c>
      <c r="AE262">
        <v>9.0086791486501203E-3</v>
      </c>
      <c r="AF262">
        <v>2.05161770542573E-2</v>
      </c>
      <c r="AG262">
        <v>1.5078662796912401E-3</v>
      </c>
      <c r="AH262">
        <v>-6.8709723116424501E-3</v>
      </c>
      <c r="AI262">
        <v>3.68986179450003E-3</v>
      </c>
      <c r="AJ262">
        <v>5.1446289149927301E-3</v>
      </c>
      <c r="AK262">
        <v>-7.7508195827405597E-4</v>
      </c>
      <c r="AL262">
        <v>1.3752436740062801E-2</v>
      </c>
      <c r="AM262">
        <v>-6.1078152254442396E-3</v>
      </c>
      <c r="AN262">
        <f>+IBOV!C187</f>
        <v>-7.1529123274400641E-2</v>
      </c>
      <c r="AP262" s="1">
        <f t="shared" si="40"/>
        <v>42369</v>
      </c>
      <c r="AQ262">
        <f t="shared" si="41"/>
        <v>98.372266136877926</v>
      </c>
      <c r="AR262">
        <f t="shared" si="42"/>
        <v>114.34614291489949</v>
      </c>
      <c r="AS262">
        <f t="shared" si="43"/>
        <v>124.41622837453279</v>
      </c>
      <c r="AT262">
        <f t="shared" si="44"/>
        <v>81.299881977064672</v>
      </c>
      <c r="AU262">
        <f t="shared" si="45"/>
        <v>187.93982401954423</v>
      </c>
      <c r="AV262">
        <f t="shared" si="46"/>
        <v>331.57131422720272</v>
      </c>
      <c r="AW262">
        <f t="shared" si="47"/>
        <v>125.98069781519452</v>
      </c>
      <c r="AX262">
        <f t="shared" si="48"/>
        <v>130.00997201721805</v>
      </c>
      <c r="AY262">
        <f t="shared" si="49"/>
        <v>193.61638330055121</v>
      </c>
      <c r="AZ262">
        <f t="shared" si="50"/>
        <v>101.13296312094978</v>
      </c>
      <c r="BA262">
        <f t="shared" si="51"/>
        <v>103.1239401767151</v>
      </c>
      <c r="BB262">
        <f t="shared" si="52"/>
        <v>77.119506991523252</v>
      </c>
      <c r="BC262">
        <f t="shared" si="53"/>
        <v>129.21453315855655</v>
      </c>
      <c r="BD262">
        <f t="shared" si="54"/>
        <v>205.36871181049642</v>
      </c>
    </row>
    <row r="263" spans="1:56" x14ac:dyDescent="0.25">
      <c r="A263" t="s">
        <v>7</v>
      </c>
      <c r="B263" t="s">
        <v>8</v>
      </c>
      <c r="C263" t="s">
        <v>9</v>
      </c>
      <c r="D263" t="s">
        <v>10</v>
      </c>
      <c r="E263">
        <v>6</v>
      </c>
      <c r="F263" s="1">
        <v>45199</v>
      </c>
      <c r="G263">
        <v>1.2435108802717899E-2</v>
      </c>
      <c r="K263" s="4">
        <v>42400</v>
      </c>
      <c r="L263" s="6">
        <v>-4.0640936987097698E-2</v>
      </c>
      <c r="M263" s="6">
        <v>2.04882208410136E-2</v>
      </c>
      <c r="N263" s="6">
        <v>-3.51609332043919E-3</v>
      </c>
      <c r="O263" s="6">
        <v>-2.5998895300872401E-2</v>
      </c>
      <c r="P263" s="6">
        <v>1.3337246918451701E-2</v>
      </c>
      <c r="Q263" s="6">
        <v>3.3195151083387803E-2</v>
      </c>
      <c r="R263" s="6">
        <v>2.0227010304397601E-3</v>
      </c>
      <c r="S263" s="6">
        <v>2.5649957134961699E-2</v>
      </c>
      <c r="T263" s="6">
        <v>-1.6036990486651399E-3</v>
      </c>
      <c r="U263" s="6">
        <v>-2.497528068701E-2</v>
      </c>
      <c r="V263" s="6">
        <v>-1.9963332921293101E-2</v>
      </c>
      <c r="W263" s="6">
        <v>-2.9595937131429498E-2</v>
      </c>
      <c r="X263" s="6">
        <v>-3.9437565196065102E-2</v>
      </c>
      <c r="Y263" s="6">
        <v>-9.1038463584617563E-2</v>
      </c>
      <c r="AA263">
        <v>-4.0640936987097698E-2</v>
      </c>
      <c r="AB263">
        <v>2.04882208410136E-2</v>
      </c>
      <c r="AC263">
        <v>-3.51609332043919E-3</v>
      </c>
      <c r="AD263">
        <v>-2.5998895300872401E-2</v>
      </c>
      <c r="AE263">
        <v>1.3337246918451701E-2</v>
      </c>
      <c r="AF263">
        <v>3.3195151083387803E-2</v>
      </c>
      <c r="AG263">
        <v>2.0227010304397601E-3</v>
      </c>
      <c r="AH263">
        <v>2.5649957134961699E-2</v>
      </c>
      <c r="AI263">
        <v>-1.6036990486651399E-3</v>
      </c>
      <c r="AJ263">
        <v>-2.497528068701E-2</v>
      </c>
      <c r="AK263">
        <v>-1.9963332921293101E-2</v>
      </c>
      <c r="AL263">
        <v>-2.9595937131429498E-2</v>
      </c>
      <c r="AM263">
        <v>-3.9437565196065102E-2</v>
      </c>
      <c r="AN263">
        <f>+IBOV!C188</f>
        <v>-4.1099798658265074E-2</v>
      </c>
      <c r="AP263" s="1">
        <f t="shared" si="40"/>
        <v>42400</v>
      </c>
      <c r="AQ263">
        <f t="shared" si="41"/>
        <v>94.374325067531061</v>
      </c>
      <c r="AR263">
        <f t="shared" si="42"/>
        <v>116.68889194325804</v>
      </c>
      <c r="AS263">
        <f t="shared" si="43"/>
        <v>123.97876930499086</v>
      </c>
      <c r="AT263">
        <f t="shared" si="44"/>
        <v>79.186174857569682</v>
      </c>
      <c r="AU263">
        <f t="shared" si="45"/>
        <v>190.44642385830323</v>
      </c>
      <c r="AV263">
        <f t="shared" si="46"/>
        <v>342.57787409789222</v>
      </c>
      <c r="AW263">
        <f t="shared" si="47"/>
        <v>126.23551910248082</v>
      </c>
      <c r="AX263">
        <f t="shared" si="48"/>
        <v>133.34472222657726</v>
      </c>
      <c r="AY263">
        <f t="shared" si="49"/>
        <v>193.30588089084614</v>
      </c>
      <c r="AZ263">
        <f t="shared" si="50"/>
        <v>98.607138980295019</v>
      </c>
      <c r="BA263">
        <f t="shared" si="51"/>
        <v>101.06524262681181</v>
      </c>
      <c r="BB263">
        <f t="shared" si="52"/>
        <v>74.837082910995292</v>
      </c>
      <c r="BC263">
        <f t="shared" si="53"/>
        <v>124.11862658283685</v>
      </c>
      <c r="BD263">
        <f t="shared" si="54"/>
        <v>196.92809910437776</v>
      </c>
    </row>
    <row r="264" spans="1:56" x14ac:dyDescent="0.25">
      <c r="A264" t="s">
        <v>7</v>
      </c>
      <c r="B264" t="s">
        <v>8</v>
      </c>
      <c r="C264" t="s">
        <v>9</v>
      </c>
      <c r="D264" t="s">
        <v>10</v>
      </c>
      <c r="E264">
        <v>6</v>
      </c>
      <c r="F264" s="1">
        <v>45230</v>
      </c>
      <c r="G264">
        <v>1.82455776736044E-2</v>
      </c>
      <c r="K264" s="4">
        <v>42429</v>
      </c>
      <c r="L264" s="6">
        <v>-3.3923954552956301E-3</v>
      </c>
      <c r="M264" s="6">
        <v>3.0756065462379599E-2</v>
      </c>
      <c r="N264" s="6">
        <v>5.0510013763980302E-2</v>
      </c>
      <c r="O264" s="6">
        <v>2.3549071933765E-3</v>
      </c>
      <c r="P264" s="6">
        <v>-3.8791448617593101E-2</v>
      </c>
      <c r="Q264" s="6">
        <v>-1.32872317513727E-2</v>
      </c>
      <c r="R264" s="6">
        <v>8.00908658510695E-4</v>
      </c>
      <c r="S264" s="6">
        <v>-2.62495367662775E-2</v>
      </c>
      <c r="T264" s="6">
        <v>-9.8554372840468796E-3</v>
      </c>
      <c r="U264" s="6">
        <v>1.2650167117505599E-2</v>
      </c>
      <c r="V264" s="6">
        <v>4.7831962034724999E-2</v>
      </c>
      <c r="W264" s="6">
        <v>6.2693373739552402E-2</v>
      </c>
      <c r="X264" s="6">
        <v>4.1992442812248697E-2</v>
      </c>
      <c r="Y264" s="6">
        <v>0.15801379090769299</v>
      </c>
      <c r="AA264">
        <v>-3.3923954552956301E-3</v>
      </c>
      <c r="AB264">
        <v>3.0756065462379599E-2</v>
      </c>
      <c r="AC264">
        <v>5.0510013763980302E-2</v>
      </c>
      <c r="AD264">
        <v>2.3549071933765E-3</v>
      </c>
      <c r="AE264">
        <v>-3.8791448617593101E-2</v>
      </c>
      <c r="AF264">
        <v>-1.32872317513727E-2</v>
      </c>
      <c r="AG264">
        <v>8.00908658510695E-4</v>
      </c>
      <c r="AH264">
        <v>-2.62495367662775E-2</v>
      </c>
      <c r="AI264">
        <v>-9.8554372840468796E-3</v>
      </c>
      <c r="AJ264">
        <v>1.2650167117505599E-2</v>
      </c>
      <c r="AK264">
        <v>4.7831962034724999E-2</v>
      </c>
      <c r="AL264">
        <v>6.2693373739552402E-2</v>
      </c>
      <c r="AM264">
        <v>4.1992442812248697E-2</v>
      </c>
      <c r="AN264">
        <f>+IBOV!C189</f>
        <v>3.3280911293407378E-2</v>
      </c>
      <c r="AP264" s="1">
        <f t="shared" si="40"/>
        <v>42429</v>
      </c>
      <c r="AQ264">
        <f t="shared" si="41"/>
        <v>94.054170036075377</v>
      </c>
      <c r="AR264">
        <f t="shared" si="42"/>
        <v>120.27778314259741</v>
      </c>
      <c r="AS264">
        <f t="shared" si="43"/>
        <v>130.24093864902727</v>
      </c>
      <c r="AT264">
        <f t="shared" si="44"/>
        <v>79.372650950357752</v>
      </c>
      <c r="AU264">
        <f t="shared" si="45"/>
        <v>183.05873119279951</v>
      </c>
      <c r="AV264">
        <f t="shared" si="46"/>
        <v>338.02596249186092</v>
      </c>
      <c r="AW264">
        <f t="shared" si="47"/>
        <v>126.33662222274161</v>
      </c>
      <c r="AX264">
        <f t="shared" si="48"/>
        <v>129.84448503790165</v>
      </c>
      <c r="AY264">
        <f t="shared" si="49"/>
        <v>191.40076690508897</v>
      </c>
      <c r="AZ264">
        <f t="shared" si="50"/>
        <v>99.854535767374855</v>
      </c>
      <c r="BA264">
        <f t="shared" si="51"/>
        <v>105.89939147516773</v>
      </c>
      <c r="BB264">
        <f t="shared" si="52"/>
        <v>79.528872119512187</v>
      </c>
      <c r="BC264">
        <f t="shared" si="53"/>
        <v>129.33067091155146</v>
      </c>
      <c r="BD264">
        <f t="shared" si="54"/>
        <v>203.4820457018499</v>
      </c>
    </row>
    <row r="265" spans="1:56" x14ac:dyDescent="0.25">
      <c r="A265" t="s">
        <v>7</v>
      </c>
      <c r="B265" t="s">
        <v>8</v>
      </c>
      <c r="C265" t="s">
        <v>9</v>
      </c>
      <c r="D265" t="s">
        <v>10</v>
      </c>
      <c r="E265">
        <v>6</v>
      </c>
      <c r="F265" s="1">
        <v>45260</v>
      </c>
      <c r="G265">
        <v>1.3329299009889E-2</v>
      </c>
      <c r="K265" s="4">
        <v>42460</v>
      </c>
      <c r="L265" s="6">
        <v>-9.1311291002087999E-2</v>
      </c>
      <c r="M265" s="6">
        <v>2.3959370139802101E-2</v>
      </c>
      <c r="N265" s="6">
        <v>1.4694364226839099E-2</v>
      </c>
      <c r="O265" s="6">
        <v>-2.1463307831439401E-2</v>
      </c>
      <c r="P265" s="6">
        <v>-7.59242943779289E-2</v>
      </c>
      <c r="Q265" s="6">
        <v>-0.11360510644265299</v>
      </c>
      <c r="R265" s="6">
        <v>-2.48263768393552E-3</v>
      </c>
      <c r="S265" s="6">
        <v>3.18883719641289E-2</v>
      </c>
      <c r="T265" s="6">
        <v>-2.0136662268384599E-2</v>
      </c>
      <c r="U265" s="6">
        <v>-5.2466746643214997E-2</v>
      </c>
      <c r="V265" s="6">
        <v>4.7536093004864201E-2</v>
      </c>
      <c r="W265" s="6">
        <v>-2.8027227345762801E-3</v>
      </c>
      <c r="X265" s="6">
        <v>6.14017561482132E-2</v>
      </c>
      <c r="Y265" s="6">
        <v>-0.20071281350037318</v>
      </c>
      <c r="AA265">
        <v>-9.1311291002087999E-2</v>
      </c>
      <c r="AB265">
        <v>2.3959370139802101E-2</v>
      </c>
      <c r="AC265">
        <v>1.4694364226839099E-2</v>
      </c>
      <c r="AD265">
        <v>-2.1463307831439401E-2</v>
      </c>
      <c r="AE265">
        <v>-7.59242943779289E-2</v>
      </c>
      <c r="AF265">
        <v>-0.11360510644265299</v>
      </c>
      <c r="AG265">
        <v>-2.48263768393552E-3</v>
      </c>
      <c r="AH265">
        <v>3.18883719641289E-2</v>
      </c>
      <c r="AI265">
        <v>-2.0136662268384599E-2</v>
      </c>
      <c r="AJ265">
        <v>-5.2466746643214997E-2</v>
      </c>
      <c r="AK265">
        <v>4.7536093004864201E-2</v>
      </c>
      <c r="AL265">
        <v>-2.8027227345762801E-3</v>
      </c>
      <c r="AM265">
        <v>6.14017561482132E-2</v>
      </c>
      <c r="AN265">
        <f>+IBOV!C190</f>
        <v>0.28355409296585776</v>
      </c>
      <c r="AP265" s="1">
        <f t="shared" si="40"/>
        <v>42460</v>
      </c>
      <c r="AQ265">
        <f t="shared" si="41"/>
        <v>85.465962345951425</v>
      </c>
      <c r="AR265">
        <f t="shared" si="42"/>
        <v>123.15956306850576</v>
      </c>
      <c r="AS265">
        <f t="shared" si="43"/>
        <v>132.15474643878147</v>
      </c>
      <c r="AT265">
        <f t="shared" si="44"/>
        <v>77.66905130961284</v>
      </c>
      <c r="AU265">
        <f t="shared" si="45"/>
        <v>169.16012619726723</v>
      </c>
      <c r="AV265">
        <f t="shared" si="46"/>
        <v>299.62448704259282</v>
      </c>
      <c r="AW265">
        <f t="shared" si="47"/>
        <v>126.0229741635503</v>
      </c>
      <c r="AX265">
        <f t="shared" si="48"/>
        <v>133.98501427428104</v>
      </c>
      <c r="AY265">
        <f t="shared" si="49"/>
        <v>187.54659430401139</v>
      </c>
      <c r="AZ265">
        <f t="shared" si="50"/>
        <v>94.615493138092148</v>
      </c>
      <c r="BA265">
        <f t="shared" si="51"/>
        <v>110.93343479748984</v>
      </c>
      <c r="BB265">
        <f t="shared" si="52"/>
        <v>79.305974741567624</v>
      </c>
      <c r="BC265">
        <f t="shared" si="53"/>
        <v>137.27180122934735</v>
      </c>
      <c r="BD265">
        <f t="shared" si="54"/>
        <v>261.18021260567514</v>
      </c>
    </row>
    <row r="266" spans="1:56" x14ac:dyDescent="0.25">
      <c r="A266" t="s">
        <v>7</v>
      </c>
      <c r="B266" t="s">
        <v>8</v>
      </c>
      <c r="C266" t="s">
        <v>9</v>
      </c>
      <c r="D266" t="s">
        <v>10</v>
      </c>
      <c r="E266">
        <v>6</v>
      </c>
      <c r="F266" s="1">
        <v>45291</v>
      </c>
      <c r="G266">
        <v>-1.7474255606766399E-2</v>
      </c>
      <c r="K266" s="4">
        <v>42490</v>
      </c>
      <c r="L266" s="6">
        <v>-6.5782455572478596E-2</v>
      </c>
      <c r="M266" s="6">
        <v>5.5475711809172303E-2</v>
      </c>
      <c r="N266" s="6">
        <v>3.1651834883217198E-2</v>
      </c>
      <c r="O266" s="6">
        <v>-1.7707762917115202E-2</v>
      </c>
      <c r="P266" s="6">
        <v>-5.6751739080438499E-2</v>
      </c>
      <c r="Q266" s="6">
        <v>1.8261999412302499E-2</v>
      </c>
      <c r="R266" s="6">
        <v>-2.4910869717242001E-2</v>
      </c>
      <c r="S266" s="6">
        <v>-3.52725978305857E-2</v>
      </c>
      <c r="T266" s="6">
        <v>-6.1620360554293402E-2</v>
      </c>
      <c r="U266" s="6">
        <v>8.96826658292239E-3</v>
      </c>
      <c r="V266" s="6">
        <v>-6.1359032097542003E-2</v>
      </c>
      <c r="W266" s="6">
        <v>-5.9383071271135396E-3</v>
      </c>
      <c r="X266" s="6">
        <v>-1.4660110951070201E-2</v>
      </c>
      <c r="Y266" s="6">
        <v>-0.22964542316026476</v>
      </c>
      <c r="AA266">
        <v>-6.5782455572478596E-2</v>
      </c>
      <c r="AB266">
        <v>5.5475711809172303E-2</v>
      </c>
      <c r="AC266">
        <v>3.1651834883217198E-2</v>
      </c>
      <c r="AD266">
        <v>-1.7707762917115202E-2</v>
      </c>
      <c r="AE266">
        <v>-5.6751739080438499E-2</v>
      </c>
      <c r="AF266">
        <v>1.8261999412302499E-2</v>
      </c>
      <c r="AG266">
        <v>-2.4910869717242001E-2</v>
      </c>
      <c r="AH266">
        <v>-3.52725978305857E-2</v>
      </c>
      <c r="AI266">
        <v>-6.1620360554293402E-2</v>
      </c>
      <c r="AJ266">
        <v>8.96826658292239E-3</v>
      </c>
      <c r="AK266">
        <v>-6.1359032097542003E-2</v>
      </c>
      <c r="AL266">
        <v>-5.9383071271135396E-3</v>
      </c>
      <c r="AM266">
        <v>-1.4660110951070201E-2</v>
      </c>
      <c r="AN266">
        <f>+IBOV!C191</f>
        <v>0.12205158445287667</v>
      </c>
      <c r="AP266" s="1">
        <f t="shared" si="40"/>
        <v>42490</v>
      </c>
      <c r="AQ266">
        <f t="shared" si="41"/>
        <v>79.843801474969737</v>
      </c>
      <c r="AR266">
        <f t="shared" si="42"/>
        <v>129.99192749583776</v>
      </c>
      <c r="AS266">
        <f t="shared" si="43"/>
        <v>136.33768665209521</v>
      </c>
      <c r="AT266">
        <f t="shared" si="44"/>
        <v>76.293706163024964</v>
      </c>
      <c r="AU266">
        <f t="shared" si="45"/>
        <v>159.55999485250587</v>
      </c>
      <c r="AV266">
        <f t="shared" si="46"/>
        <v>305.09622924887611</v>
      </c>
      <c r="AW266">
        <f t="shared" si="47"/>
        <v>122.88363227278275</v>
      </c>
      <c r="AX266">
        <f t="shared" si="48"/>
        <v>129.25901475045904</v>
      </c>
      <c r="AY266">
        <f t="shared" si="49"/>
        <v>175.98990554226842</v>
      </c>
      <c r="AZ266">
        <f t="shared" si="50"/>
        <v>95.464030103429238</v>
      </c>
      <c r="BA266">
        <f t="shared" si="51"/>
        <v>104.12666661106007</v>
      </c>
      <c r="BB266">
        <f t="shared" si="52"/>
        <v>78.835031506537092</v>
      </c>
      <c r="BC266">
        <f t="shared" si="53"/>
        <v>135.25938139287186</v>
      </c>
      <c r="BD266">
        <f t="shared" si="54"/>
        <v>293.05767138193698</v>
      </c>
    </row>
    <row r="267" spans="1:56" x14ac:dyDescent="0.25">
      <c r="A267" t="s">
        <v>7</v>
      </c>
      <c r="B267" t="s">
        <v>8</v>
      </c>
      <c r="C267" t="s">
        <v>9</v>
      </c>
      <c r="D267" t="s">
        <v>10</v>
      </c>
      <c r="E267">
        <v>6</v>
      </c>
      <c r="F267" s="1">
        <v>45322</v>
      </c>
      <c r="G267">
        <v>9.5203367363508404E-3</v>
      </c>
      <c r="K267" s="4">
        <v>42521</v>
      </c>
      <c r="L267" s="6">
        <v>-1.6925449588923099E-4</v>
      </c>
      <c r="M267" s="6">
        <v>-4.1461898892972901E-2</v>
      </c>
      <c r="N267" s="6">
        <v>-3.0362202630206399E-2</v>
      </c>
      <c r="O267" s="6">
        <v>4.0127057431360797E-3</v>
      </c>
      <c r="P267" s="6">
        <v>4.8109254760736402E-2</v>
      </c>
      <c r="Q267" s="6">
        <v>-3.8977757978485801E-2</v>
      </c>
      <c r="R267" s="6">
        <v>1.6706850020329001E-2</v>
      </c>
      <c r="S267" s="6">
        <v>2.1405118300071701E-2</v>
      </c>
      <c r="T267" s="6">
        <v>4.7072712205607499E-2</v>
      </c>
      <c r="U267" s="6">
        <v>-6.5914347138794401E-3</v>
      </c>
      <c r="V267" s="6">
        <v>3.9099217844210103E-2</v>
      </c>
      <c r="W267" s="6">
        <v>1.2357891396157301E-2</v>
      </c>
      <c r="X267" s="6">
        <v>-5.1402154830387297E-3</v>
      </c>
      <c r="Y267" s="6">
        <v>6.6060986075775596E-2</v>
      </c>
      <c r="AA267">
        <v>-1.6925449588923099E-4</v>
      </c>
      <c r="AB267">
        <v>-4.1461898892972901E-2</v>
      </c>
      <c r="AC267">
        <v>-3.0362202630206399E-2</v>
      </c>
      <c r="AD267">
        <v>4.0127057431360797E-3</v>
      </c>
      <c r="AE267">
        <v>4.8109254760736402E-2</v>
      </c>
      <c r="AF267">
        <v>-3.8977757978485801E-2</v>
      </c>
      <c r="AG267">
        <v>1.6706850020329001E-2</v>
      </c>
      <c r="AH267">
        <v>2.1405118300071701E-2</v>
      </c>
      <c r="AI267">
        <v>4.7072712205607499E-2</v>
      </c>
      <c r="AJ267">
        <v>-6.5914347138794401E-3</v>
      </c>
      <c r="AK267">
        <v>3.9099217844210103E-2</v>
      </c>
      <c r="AL267">
        <v>1.2357891396157301E-2</v>
      </c>
      <c r="AM267">
        <v>-5.1402154830387297E-3</v>
      </c>
      <c r="AN267">
        <f>+IBOV!C192</f>
        <v>-0.13792000365593116</v>
      </c>
      <c r="AP267" s="1">
        <f t="shared" si="40"/>
        <v>42521</v>
      </c>
      <c r="AQ267">
        <f t="shared" si="41"/>
        <v>79.830287552601206</v>
      </c>
      <c r="AR267">
        <f t="shared" si="42"/>
        <v>124.60221534110266</v>
      </c>
      <c r="AS267">
        <f t="shared" si="43"/>
        <v>132.1981741838307</v>
      </c>
      <c r="AT267">
        <f t="shared" si="44"/>
        <v>76.599850355910476</v>
      </c>
      <c r="AU267">
        <f t="shared" si="45"/>
        <v>167.23630729448686</v>
      </c>
      <c r="AV267">
        <f t="shared" si="46"/>
        <v>293.20426226506481</v>
      </c>
      <c r="AW267">
        <f t="shared" si="47"/>
        <v>124.93663068711737</v>
      </c>
      <c r="AX267">
        <f t="shared" si="48"/>
        <v>132.02581925254333</v>
      </c>
      <c r="AY267">
        <f t="shared" si="49"/>
        <v>184.27422771695169</v>
      </c>
      <c r="AZ267">
        <f t="shared" si="50"/>
        <v>94.834785181478665</v>
      </c>
      <c r="BA267">
        <f t="shared" si="51"/>
        <v>108.19793783227733</v>
      </c>
      <c r="BB267">
        <f t="shared" si="52"/>
        <v>79.809266264107521</v>
      </c>
      <c r="BC267">
        <f t="shared" si="53"/>
        <v>134.56411902640997</v>
      </c>
      <c r="BD267">
        <f t="shared" si="54"/>
        <v>252.63915627354157</v>
      </c>
    </row>
    <row r="268" spans="1:56" x14ac:dyDescent="0.25">
      <c r="A268" t="s">
        <v>7</v>
      </c>
      <c r="B268" t="s">
        <v>8</v>
      </c>
      <c r="C268" t="s">
        <v>9</v>
      </c>
      <c r="D268" t="s">
        <v>10</v>
      </c>
      <c r="E268">
        <v>6</v>
      </c>
      <c r="F268" s="1">
        <v>45351</v>
      </c>
      <c r="G268">
        <v>4.9441145311065497E-3</v>
      </c>
      <c r="K268" s="4">
        <v>42551</v>
      </c>
      <c r="L268" s="6">
        <v>-3.0281832910242699E-2</v>
      </c>
      <c r="M268" s="6">
        <v>2.10766868608484E-2</v>
      </c>
      <c r="N268" s="6">
        <v>2.2960712384304301E-3</v>
      </c>
      <c r="O268" s="6">
        <v>2.6138516367902501E-2</v>
      </c>
      <c r="P268" s="6">
        <v>-4.1888601868420999E-2</v>
      </c>
      <c r="Q268" s="6">
        <v>7.7455954990199596E-2</v>
      </c>
      <c r="R268" s="6">
        <v>-3.4110744021883903E-2</v>
      </c>
      <c r="S268" s="6">
        <v>-1.0330143483290701E-3</v>
      </c>
      <c r="T268" s="6">
        <v>8.7562885815723E-3</v>
      </c>
      <c r="U268" s="6">
        <v>-1.5728336973209599E-3</v>
      </c>
      <c r="V268" s="6">
        <v>1.27198178915995E-2</v>
      </c>
      <c r="W268" s="6">
        <v>2.7878682322244702E-2</v>
      </c>
      <c r="X268" s="6">
        <v>-1.86168622546997E-2</v>
      </c>
      <c r="Y268" s="6">
        <v>4.8818129151900105E-2</v>
      </c>
      <c r="AA268">
        <v>-3.0281832910242699E-2</v>
      </c>
      <c r="AB268">
        <v>2.10766868608484E-2</v>
      </c>
      <c r="AC268">
        <v>2.2960712384304301E-3</v>
      </c>
      <c r="AD268">
        <v>2.6138516367902501E-2</v>
      </c>
      <c r="AE268">
        <v>-4.1888601868420999E-2</v>
      </c>
      <c r="AF268">
        <v>7.7455954990199596E-2</v>
      </c>
      <c r="AG268">
        <v>-3.4110744021883903E-2</v>
      </c>
      <c r="AH268">
        <v>-1.0330143483290701E-3</v>
      </c>
      <c r="AI268">
        <v>8.7562885815723E-3</v>
      </c>
      <c r="AJ268">
        <v>-1.5728336973209599E-3</v>
      </c>
      <c r="AK268">
        <v>1.27198178915995E-2</v>
      </c>
      <c r="AL268">
        <v>2.7878682322244702E-2</v>
      </c>
      <c r="AM268">
        <v>-1.86168622546997E-2</v>
      </c>
      <c r="AN268">
        <f>+IBOV!C193</f>
        <v>0.19492558675802107</v>
      </c>
      <c r="AP268" s="1">
        <f t="shared" si="40"/>
        <v>42551</v>
      </c>
      <c r="AQ268">
        <f t="shared" si="41"/>
        <v>77.412880123756707</v>
      </c>
      <c r="AR268">
        <f t="shared" si="42"/>
        <v>127.22841721601507</v>
      </c>
      <c r="AS268">
        <f t="shared" si="43"/>
        <v>132.50171060934721</v>
      </c>
      <c r="AT268">
        <f t="shared" si="44"/>
        <v>78.602056798217319</v>
      </c>
      <c r="AU268">
        <f t="shared" si="45"/>
        <v>160.23101220028317</v>
      </c>
      <c r="AV268">
        <f t="shared" si="46"/>
        <v>315.91467840600234</v>
      </c>
      <c r="AW268">
        <f t="shared" si="47"/>
        <v>120.67494925879247</v>
      </c>
      <c r="AX268">
        <f t="shared" si="48"/>
        <v>131.88943468690556</v>
      </c>
      <c r="AY268">
        <f t="shared" si="49"/>
        <v>185.88778603298769</v>
      </c>
      <c r="AZ268">
        <f t="shared" si="50"/>
        <v>94.685625835667039</v>
      </c>
      <c r="BA268">
        <f t="shared" si="51"/>
        <v>109.5741958977505</v>
      </c>
      <c r="BB268">
        <f t="shared" si="52"/>
        <v>82.034243444656028</v>
      </c>
      <c r="BC268">
        <f t="shared" si="53"/>
        <v>132.05895735807027</v>
      </c>
      <c r="BD268">
        <f t="shared" si="54"/>
        <v>301.88499204821306</v>
      </c>
    </row>
    <row r="269" spans="1:56" x14ac:dyDescent="0.25">
      <c r="A269" t="s">
        <v>7</v>
      </c>
      <c r="B269" t="s">
        <v>8</v>
      </c>
      <c r="C269" t="s">
        <v>9</v>
      </c>
      <c r="D269" t="s">
        <v>10</v>
      </c>
      <c r="E269">
        <v>6</v>
      </c>
      <c r="F269" s="1">
        <v>45382</v>
      </c>
      <c r="G269">
        <v>6.8723472174518196E-3</v>
      </c>
      <c r="K269" s="4">
        <v>42582</v>
      </c>
      <c r="L269" s="6">
        <v>-1.6080917382284999E-2</v>
      </c>
      <c r="M269" s="6">
        <v>2.5400348498038901E-2</v>
      </c>
      <c r="N269" s="6">
        <v>3.6324671816001901E-2</v>
      </c>
      <c r="O269" s="6">
        <v>1.7425059898988501E-2</v>
      </c>
      <c r="P269" s="6">
        <v>-4.5491763438097597E-2</v>
      </c>
      <c r="Q269" s="6">
        <v>-3.1287778549420199E-2</v>
      </c>
      <c r="R269" s="6">
        <v>-3.56108469104785E-2</v>
      </c>
      <c r="S269" s="6">
        <v>-1.6476688093198001E-2</v>
      </c>
      <c r="T269" s="6">
        <v>-2.7045079377945199E-2</v>
      </c>
      <c r="U269" s="6">
        <v>1.8733673971653299E-2</v>
      </c>
      <c r="V269" s="6">
        <v>-1.6285523214839601E-2</v>
      </c>
      <c r="W269" s="6">
        <v>2.8223876810698399E-2</v>
      </c>
      <c r="X269" s="6">
        <v>3.4556155164879997E-2</v>
      </c>
      <c r="Y269" s="6">
        <v>-2.7614810806003115E-2</v>
      </c>
      <c r="AA269">
        <v>-1.6080917382284999E-2</v>
      </c>
      <c r="AB269">
        <v>2.5400348498038901E-2</v>
      </c>
      <c r="AC269">
        <v>3.6324671816001901E-2</v>
      </c>
      <c r="AD269">
        <v>1.7425059898988501E-2</v>
      </c>
      <c r="AE269">
        <v>-4.5491763438097597E-2</v>
      </c>
      <c r="AF269">
        <v>-3.1287778549420199E-2</v>
      </c>
      <c r="AG269">
        <v>-3.56108469104785E-2</v>
      </c>
      <c r="AH269">
        <v>-1.6476688093198001E-2</v>
      </c>
      <c r="AI269">
        <v>-2.7045079377945199E-2</v>
      </c>
      <c r="AJ269">
        <v>1.8733673971653299E-2</v>
      </c>
      <c r="AK269">
        <v>-1.6285523214839601E-2</v>
      </c>
      <c r="AL269">
        <v>2.8223876810698399E-2</v>
      </c>
      <c r="AM269">
        <v>3.4556155164879997E-2</v>
      </c>
      <c r="AN269">
        <f>+IBOV!C194</f>
        <v>0.10156878185115148</v>
      </c>
      <c r="AP269" s="1">
        <f t="shared" si="40"/>
        <v>42582</v>
      </c>
      <c r="AQ269">
        <f t="shared" si="41"/>
        <v>76.168009994161849</v>
      </c>
      <c r="AR269">
        <f t="shared" si="42"/>
        <v>130.46006335215577</v>
      </c>
      <c r="AS269">
        <f t="shared" si="43"/>
        <v>137.31479176229061</v>
      </c>
      <c r="AT269">
        <f t="shared" si="44"/>
        <v>79.97170234610995</v>
      </c>
      <c r="AU269">
        <f t="shared" si="45"/>
        <v>152.94182089782097</v>
      </c>
      <c r="AV269">
        <f t="shared" si="46"/>
        <v>306.03040990752402</v>
      </c>
      <c r="AW269">
        <f t="shared" si="47"/>
        <v>116.37761211480785</v>
      </c>
      <c r="AX269">
        <f t="shared" si="48"/>
        <v>129.71633360878121</v>
      </c>
      <c r="AY269">
        <f t="shared" si="49"/>
        <v>180.86043610433504</v>
      </c>
      <c r="AZ269">
        <f t="shared" si="50"/>
        <v>96.459435479874372</v>
      </c>
      <c r="BA269">
        <f t="shared" si="51"/>
        <v>107.7897227867103</v>
      </c>
      <c r="BB269">
        <f t="shared" si="52"/>
        <v>84.349567825896841</v>
      </c>
      <c r="BC269">
        <f t="shared" si="53"/>
        <v>136.62240717944803</v>
      </c>
      <c r="BD269">
        <f t="shared" si="54"/>
        <v>332.54708294969464</v>
      </c>
    </row>
    <row r="270" spans="1:56" x14ac:dyDescent="0.25">
      <c r="A270" t="s">
        <v>7</v>
      </c>
      <c r="B270" t="s">
        <v>8</v>
      </c>
      <c r="C270" t="s">
        <v>9</v>
      </c>
      <c r="D270" t="s">
        <v>10</v>
      </c>
      <c r="E270">
        <v>6</v>
      </c>
      <c r="F270" s="1">
        <v>45412</v>
      </c>
      <c r="G270">
        <v>-2.26025498896439E-2</v>
      </c>
      <c r="K270" s="4">
        <v>42613</v>
      </c>
      <c r="L270" s="6">
        <v>1.8918484771630498E-2</v>
      </c>
      <c r="M270" s="6">
        <v>3.74541056019836E-4</v>
      </c>
      <c r="N270" s="6">
        <v>-1.7350717411038101E-2</v>
      </c>
      <c r="O270" s="6">
        <v>-6.9218292533992801E-4</v>
      </c>
      <c r="P270" s="6">
        <v>3.5446880140047599E-3</v>
      </c>
      <c r="Q270" s="6">
        <v>-5.07850482721088E-2</v>
      </c>
      <c r="R270" s="6">
        <v>6.5759873242876002E-4</v>
      </c>
      <c r="S270" s="6">
        <v>-9.7509850912556699E-3</v>
      </c>
      <c r="T270" s="6">
        <v>-3.6080979627575401E-4</v>
      </c>
      <c r="U270" s="6">
        <v>9.3820749580640298E-3</v>
      </c>
      <c r="V270" s="6">
        <v>4.7520038026461998E-3</v>
      </c>
      <c r="W270" s="6">
        <v>3.1094134879171301E-2</v>
      </c>
      <c r="X270" s="6">
        <v>4.3688222200493898E-2</v>
      </c>
      <c r="Y270" s="6">
        <v>3.3472004918441017E-2</v>
      </c>
      <c r="AA270">
        <v>1.8918484771630498E-2</v>
      </c>
      <c r="AB270">
        <v>3.74541056019836E-4</v>
      </c>
      <c r="AC270">
        <v>-1.7350717411038101E-2</v>
      </c>
      <c r="AD270">
        <v>-6.9218292533992801E-4</v>
      </c>
      <c r="AE270">
        <v>3.5446880140047599E-3</v>
      </c>
      <c r="AF270">
        <v>-5.07850482721088E-2</v>
      </c>
      <c r="AG270">
        <v>6.5759873242876002E-4</v>
      </c>
      <c r="AH270">
        <v>-9.7509850912556699E-3</v>
      </c>
      <c r="AI270">
        <v>-3.6080979627575401E-4</v>
      </c>
      <c r="AJ270">
        <v>9.3820749580640298E-3</v>
      </c>
      <c r="AK270">
        <v>4.7520038026461998E-3</v>
      </c>
      <c r="AL270">
        <v>3.1094134879171301E-2</v>
      </c>
      <c r="AM270">
        <v>4.3688222200493898E-2</v>
      </c>
      <c r="AN270">
        <f>+IBOV!C195</f>
        <v>8.4270087139499683E-3</v>
      </c>
      <c r="AP270" s="1">
        <f t="shared" si="40"/>
        <v>42613</v>
      </c>
      <c r="AQ270">
        <f t="shared" si="41"/>
        <v>77.608993331321813</v>
      </c>
      <c r="AR270">
        <f t="shared" si="42"/>
        <v>130.50892600205211</v>
      </c>
      <c r="AS270">
        <f t="shared" si="43"/>
        <v>134.93228161406756</v>
      </c>
      <c r="AT270">
        <f t="shared" si="44"/>
        <v>79.916347299235611</v>
      </c>
      <c r="AU270">
        <f t="shared" si="45"/>
        <v>153.48395193719753</v>
      </c>
      <c r="AV270">
        <f t="shared" si="46"/>
        <v>290.48864076763715</v>
      </c>
      <c r="AW270">
        <f t="shared" si="47"/>
        <v>116.45414188501762</v>
      </c>
      <c r="AX270">
        <f t="shared" si="48"/>
        <v>128.45147157366964</v>
      </c>
      <c r="AY270">
        <f t="shared" si="49"/>
        <v>180.79517988722989</v>
      </c>
      <c r="AZ270">
        <f t="shared" si="50"/>
        <v>97.364425133959088</v>
      </c>
      <c r="BA270">
        <f t="shared" si="51"/>
        <v>108.30193995927894</v>
      </c>
      <c r="BB270">
        <f t="shared" si="52"/>
        <v>86.972344664875095</v>
      </c>
      <c r="BC270">
        <f t="shared" si="53"/>
        <v>142.59119726187012</v>
      </c>
      <c r="BD270">
        <f t="shared" si="54"/>
        <v>335.34946011551034</v>
      </c>
    </row>
    <row r="271" spans="1:56" x14ac:dyDescent="0.25">
      <c r="A271" t="s">
        <v>7</v>
      </c>
      <c r="B271" t="s">
        <v>8</v>
      </c>
      <c r="C271" t="s">
        <v>9</v>
      </c>
      <c r="D271" t="s">
        <v>10</v>
      </c>
      <c r="E271">
        <v>6</v>
      </c>
      <c r="F271" s="1">
        <v>45443</v>
      </c>
      <c r="G271">
        <v>1.44126648788788E-2</v>
      </c>
      <c r="K271" s="4">
        <v>42643</v>
      </c>
      <c r="L271" s="6">
        <v>-3.4299657226916601E-2</v>
      </c>
      <c r="M271" s="6">
        <v>6.1995340850072101E-3</v>
      </c>
      <c r="N271" s="6">
        <v>-6.6214886931285303E-3</v>
      </c>
      <c r="O271" s="6">
        <v>-3.0107024778971399E-3</v>
      </c>
      <c r="P271" s="6">
        <v>1.4495784636905E-2</v>
      </c>
      <c r="Q271" s="6">
        <v>1.18787163225095E-3</v>
      </c>
      <c r="R271" s="6">
        <v>9.6987681463070897E-3</v>
      </c>
      <c r="S271" s="6">
        <v>7.0299874283915702E-3</v>
      </c>
      <c r="T271" s="6">
        <v>5.3438721146565997E-3</v>
      </c>
      <c r="U271" s="6">
        <v>-1.7894493185563699E-3</v>
      </c>
      <c r="V271" s="6">
        <v>-2.8475626517148302E-3</v>
      </c>
      <c r="W271" s="6">
        <v>-1.2034450712847099E-2</v>
      </c>
      <c r="X271" s="6">
        <v>-1.7300170194877899E-2</v>
      </c>
      <c r="Y271" s="6">
        <v>-3.3947663232420058E-2</v>
      </c>
      <c r="AA271">
        <v>-3.4299657226916601E-2</v>
      </c>
      <c r="AB271">
        <v>6.1995340850072101E-3</v>
      </c>
      <c r="AC271">
        <v>-6.6214886931285303E-3</v>
      </c>
      <c r="AD271">
        <v>-3.0107024778971399E-3</v>
      </c>
      <c r="AE271">
        <v>1.4495784636905E-2</v>
      </c>
      <c r="AF271">
        <v>1.18787163225095E-3</v>
      </c>
      <c r="AG271">
        <v>9.6987681463070897E-3</v>
      </c>
      <c r="AH271">
        <v>7.0299874283915702E-3</v>
      </c>
      <c r="AI271">
        <v>5.3438721146565997E-3</v>
      </c>
      <c r="AJ271">
        <v>-1.7894493185563699E-3</v>
      </c>
      <c r="AK271">
        <v>-2.8475626517148302E-3</v>
      </c>
      <c r="AL271">
        <v>-1.2034450712847099E-2</v>
      </c>
      <c r="AM271">
        <v>-1.7300170194877899E-2</v>
      </c>
      <c r="AN271">
        <f>+IBOV!C196</f>
        <v>6.2649447636542455E-3</v>
      </c>
      <c r="AP271" s="1">
        <f t="shared" si="40"/>
        <v>42643</v>
      </c>
      <c r="AQ271">
        <f t="shared" si="41"/>
        <v>74.94703146233141</v>
      </c>
      <c r="AR271">
        <f t="shared" si="42"/>
        <v>131.31802053719952</v>
      </c>
      <c r="AS271">
        <f t="shared" si="43"/>
        <v>134.03882903702197</v>
      </c>
      <c r="AT271">
        <f t="shared" si="44"/>
        <v>79.675742954397307</v>
      </c>
      <c r="AU271">
        <f t="shared" si="45"/>
        <v>155.70882224970021</v>
      </c>
      <c r="AV271">
        <f t="shared" si="46"/>
        <v>290.83370398349615</v>
      </c>
      <c r="AW271">
        <f t="shared" si="47"/>
        <v>117.58360360683754</v>
      </c>
      <c r="AX271">
        <f t="shared" si="48"/>
        <v>129.35448380399095</v>
      </c>
      <c r="AY271">
        <f t="shared" si="49"/>
        <v>181.7613262074936</v>
      </c>
      <c r="AZ271">
        <f t="shared" si="50"/>
        <v>97.190196429751495</v>
      </c>
      <c r="BA271">
        <f t="shared" si="51"/>
        <v>107.99354339994264</v>
      </c>
      <c r="BB271">
        <f t="shared" si="52"/>
        <v>85.925680269624905</v>
      </c>
      <c r="BC271">
        <f t="shared" si="53"/>
        <v>140.12434528094835</v>
      </c>
      <c r="BD271">
        <f t="shared" si="54"/>
        <v>337.45040595965526</v>
      </c>
    </row>
    <row r="272" spans="1:56" x14ac:dyDescent="0.25">
      <c r="A272" t="s">
        <v>7</v>
      </c>
      <c r="B272" t="s">
        <v>8</v>
      </c>
      <c r="C272" t="s">
        <v>9</v>
      </c>
      <c r="D272" t="s">
        <v>10</v>
      </c>
      <c r="E272">
        <v>6</v>
      </c>
      <c r="F272" s="1">
        <v>45473</v>
      </c>
      <c r="G272">
        <v>1.7679746791397599E-3</v>
      </c>
      <c r="K272" s="4">
        <v>42674</v>
      </c>
      <c r="L272" s="6">
        <v>1.9004346481006601E-2</v>
      </c>
      <c r="M272" s="6">
        <v>3.2053538280413497E-2</v>
      </c>
      <c r="N272" s="6">
        <v>3.33079325084766E-2</v>
      </c>
      <c r="O272" s="6">
        <v>-1.32187032936847E-2</v>
      </c>
      <c r="P272" s="6">
        <v>-3.48730712871421E-2</v>
      </c>
      <c r="Q272" s="6">
        <v>2.30362507287265E-2</v>
      </c>
      <c r="R272" s="6">
        <v>2.8890815419387601E-2</v>
      </c>
      <c r="S272" s="6">
        <v>1.47236181657719E-2</v>
      </c>
      <c r="T272" s="6">
        <v>-2.4758862175919199E-2</v>
      </c>
      <c r="U272" s="6">
        <v>-2.6489140306993501E-2</v>
      </c>
      <c r="V272" s="6">
        <v>-1.19257502806395E-2</v>
      </c>
      <c r="W272" s="6">
        <v>-1.3458661035889599E-3</v>
      </c>
      <c r="X272" s="6">
        <v>3.38577584171545E-2</v>
      </c>
      <c r="Y272" s="6">
        <v>7.2262866552969235E-2</v>
      </c>
      <c r="AA272">
        <v>1.9004346481006601E-2</v>
      </c>
      <c r="AB272">
        <v>3.2053538280413497E-2</v>
      </c>
      <c r="AC272">
        <v>3.33079325084766E-2</v>
      </c>
      <c r="AD272">
        <v>-1.32187032936847E-2</v>
      </c>
      <c r="AE272">
        <v>-3.48730712871421E-2</v>
      </c>
      <c r="AF272">
        <v>2.30362507287265E-2</v>
      </c>
      <c r="AG272">
        <v>2.8890815419387601E-2</v>
      </c>
      <c r="AH272">
        <v>1.47236181657719E-2</v>
      </c>
      <c r="AI272">
        <v>-2.4758862175919199E-2</v>
      </c>
      <c r="AJ272">
        <v>-2.6489140306993501E-2</v>
      </c>
      <c r="AK272">
        <v>-1.19257502806395E-2</v>
      </c>
      <c r="AL272">
        <v>-1.3458661035889599E-3</v>
      </c>
      <c r="AM272">
        <v>3.38577584171545E-2</v>
      </c>
      <c r="AN272">
        <f>+IBOV!C197</f>
        <v>0.11947850934635085</v>
      </c>
      <c r="AP272" s="1">
        <f t="shared" si="40"/>
        <v>42674</v>
      </c>
      <c r="AQ272">
        <f t="shared" si="41"/>
        <v>76.371350815964462</v>
      </c>
      <c r="AR272">
        <f t="shared" si="42"/>
        <v>135.52722773539676</v>
      </c>
      <c r="AS272">
        <f t="shared" si="43"/>
        <v>138.50338530810234</v>
      </c>
      <c r="AT272">
        <f t="shared" si="44"/>
        <v>78.622532948579234</v>
      </c>
      <c r="AU272">
        <f t="shared" si="45"/>
        <v>150.27877739134948</v>
      </c>
      <c r="AV272">
        <f t="shared" si="46"/>
        <v>297.5334221088242</v>
      </c>
      <c r="AW272">
        <f t="shared" si="47"/>
        <v>120.98068979498913</v>
      </c>
      <c r="AX272">
        <f t="shared" si="48"/>
        <v>131.25904983155144</v>
      </c>
      <c r="AY272">
        <f t="shared" si="49"/>
        <v>177.26112258300998</v>
      </c>
      <c r="AZ272">
        <f t="shared" si="50"/>
        <v>94.615711680059547</v>
      </c>
      <c r="BA272">
        <f t="shared" si="51"/>
        <v>106.70563936943353</v>
      </c>
      <c r="BB272">
        <f t="shared" si="52"/>
        <v>85.810035809122198</v>
      </c>
      <c r="BC272">
        <f t="shared" si="53"/>
        <v>144.86864151183264</v>
      </c>
      <c r="BD272">
        <f t="shared" si="54"/>
        <v>377.76847744203582</v>
      </c>
    </row>
    <row r="273" spans="1:56" x14ac:dyDescent="0.25">
      <c r="A273" t="s">
        <v>7</v>
      </c>
      <c r="B273" t="s">
        <v>8</v>
      </c>
      <c r="C273" t="s">
        <v>9</v>
      </c>
      <c r="D273" t="s">
        <v>10</v>
      </c>
      <c r="E273">
        <v>6</v>
      </c>
      <c r="F273" s="1">
        <v>45504</v>
      </c>
      <c r="G273">
        <v>-6.1241516047858902E-3</v>
      </c>
      <c r="K273" s="4">
        <v>42704</v>
      </c>
      <c r="L273" s="6">
        <v>2.6428102287732898E-2</v>
      </c>
      <c r="M273" s="6">
        <v>-7.1873855594876898E-3</v>
      </c>
      <c r="N273" s="6">
        <v>7.4074501412983301E-3</v>
      </c>
      <c r="O273" s="6">
        <v>-2.5451224541638302E-2</v>
      </c>
      <c r="P273" s="6">
        <v>-6.9320290878036404E-3</v>
      </c>
      <c r="Q273" s="6">
        <v>-1.2717894173272499E-2</v>
      </c>
      <c r="R273" s="6">
        <v>9.7715669766144791E-3</v>
      </c>
      <c r="S273" s="6">
        <v>-1.28809031805188E-2</v>
      </c>
      <c r="T273" s="6">
        <v>-1.61291258385051E-2</v>
      </c>
      <c r="U273" s="6">
        <v>2.4571181772382399E-2</v>
      </c>
      <c r="V273" s="6">
        <v>4.9601930499881802E-3</v>
      </c>
      <c r="W273" s="6">
        <v>-4.3591165276493598E-5</v>
      </c>
      <c r="X273" s="6">
        <v>4.3689039594972397E-2</v>
      </c>
      <c r="Y273" s="6">
        <v>3.5485380276486157E-2</v>
      </c>
      <c r="AA273">
        <v>2.6428102287732898E-2</v>
      </c>
      <c r="AB273">
        <v>-7.1873855594876898E-3</v>
      </c>
      <c r="AC273">
        <v>7.4074501412983301E-3</v>
      </c>
      <c r="AD273">
        <v>-2.5451224541638302E-2</v>
      </c>
      <c r="AE273">
        <v>-6.9320290878036404E-3</v>
      </c>
      <c r="AF273">
        <v>-1.2717894173272499E-2</v>
      </c>
      <c r="AG273">
        <v>9.7715669766144791E-3</v>
      </c>
      <c r="AH273">
        <v>-1.28809031805188E-2</v>
      </c>
      <c r="AI273">
        <v>-1.61291258385051E-2</v>
      </c>
      <c r="AJ273">
        <v>2.4571181772382399E-2</v>
      </c>
      <c r="AK273">
        <v>4.9601930499881802E-3</v>
      </c>
      <c r="AL273">
        <v>-4.3591165276493598E-5</v>
      </c>
      <c r="AM273">
        <v>4.3689039594972397E-2</v>
      </c>
      <c r="AN273">
        <f>+IBOV!C198</f>
        <v>-0.11308162722680137</v>
      </c>
      <c r="AP273" s="1">
        <f t="shared" si="40"/>
        <v>42704</v>
      </c>
      <c r="AQ273">
        <f t="shared" si="41"/>
        <v>78.389700687181104</v>
      </c>
      <c r="AR273">
        <f t="shared" si="42"/>
        <v>134.55314129585398</v>
      </c>
      <c r="AS273">
        <f t="shared" si="43"/>
        <v>139.52934222917315</v>
      </c>
      <c r="AT273">
        <f t="shared" si="44"/>
        <v>76.621493208472586</v>
      </c>
      <c r="AU273">
        <f t="shared" si="45"/>
        <v>149.23704053519307</v>
      </c>
      <c r="AV273">
        <f t="shared" si="46"/>
        <v>293.74942353343255</v>
      </c>
      <c r="AW273">
        <f t="shared" si="47"/>
        <v>122.1628607081979</v>
      </c>
      <c r="AX273">
        <f t="shared" si="48"/>
        <v>129.56831471910434</v>
      </c>
      <c r="AY273">
        <f t="shared" si="49"/>
        <v>174.40205563059394</v>
      </c>
      <c r="AZ273">
        <f t="shared" si="50"/>
        <v>96.940531530273617</v>
      </c>
      <c r="BA273">
        <f t="shared" si="51"/>
        <v>107.23491994022832</v>
      </c>
      <c r="BB273">
        <f t="shared" si="52"/>
        <v>85.806295249668864</v>
      </c>
      <c r="BC273">
        <f t="shared" si="53"/>
        <v>151.19781332691298</v>
      </c>
      <c r="BD273">
        <f t="shared" si="54"/>
        <v>335.04980329789919</v>
      </c>
    </row>
    <row r="274" spans="1:56" x14ac:dyDescent="0.25">
      <c r="A274" t="s">
        <v>7</v>
      </c>
      <c r="B274" t="s">
        <v>8</v>
      </c>
      <c r="C274" t="s">
        <v>9</v>
      </c>
      <c r="D274" t="s">
        <v>10</v>
      </c>
      <c r="E274">
        <v>6</v>
      </c>
      <c r="F274" s="1">
        <v>45535</v>
      </c>
      <c r="G274">
        <v>1.6898302078588501E-2</v>
      </c>
      <c r="K274" s="4">
        <v>42735</v>
      </c>
      <c r="L274" s="6">
        <v>2.7105827040553698E-2</v>
      </c>
      <c r="M274" s="6">
        <v>-2.6056179968250701E-2</v>
      </c>
      <c r="N274" s="6">
        <v>-1.8026631192893799E-2</v>
      </c>
      <c r="O274" s="6">
        <v>-2.77722009403637E-2</v>
      </c>
      <c r="P274" s="6">
        <v>-3.8313718135527001E-3</v>
      </c>
      <c r="Q274" s="6">
        <v>-2.5542954962380699E-2</v>
      </c>
      <c r="R274" s="6">
        <v>9.9494877056965705E-3</v>
      </c>
      <c r="S274" s="6">
        <v>-4.1972716233943204E-3</v>
      </c>
      <c r="T274" s="6">
        <v>-2.4317444637501598E-3</v>
      </c>
      <c r="U274" s="6">
        <v>-5.2958342260006697E-3</v>
      </c>
      <c r="V274" s="6">
        <v>-5.7689498136229899E-3</v>
      </c>
      <c r="W274" s="6">
        <v>4.2687256729917796E-3</v>
      </c>
      <c r="X274" s="6">
        <v>2.39340721344025E-2</v>
      </c>
      <c r="Y274" s="6">
        <v>-5.3665026450565201E-2</v>
      </c>
      <c r="AA274">
        <v>2.7105827040553698E-2</v>
      </c>
      <c r="AB274">
        <v>-2.6056179968250701E-2</v>
      </c>
      <c r="AC274">
        <v>-1.8026631192893799E-2</v>
      </c>
      <c r="AD274">
        <v>-2.77722009403637E-2</v>
      </c>
      <c r="AE274">
        <v>-3.8313718135527001E-3</v>
      </c>
      <c r="AF274">
        <v>-2.5542954962380699E-2</v>
      </c>
      <c r="AG274">
        <v>9.9494877056965705E-3</v>
      </c>
      <c r="AH274">
        <v>-4.1972716233943204E-3</v>
      </c>
      <c r="AI274">
        <v>-2.4317444637501598E-3</v>
      </c>
      <c r="AJ274">
        <v>-5.2958342260006697E-3</v>
      </c>
      <c r="AK274">
        <v>-5.7689498136229899E-3</v>
      </c>
      <c r="AL274">
        <v>4.2687256729917796E-3</v>
      </c>
      <c r="AM274">
        <v>2.39340721344025E-2</v>
      </c>
      <c r="AN274">
        <f>+IBOV!C199</f>
        <v>8.1642034155751109E-3</v>
      </c>
      <c r="AP274" s="1">
        <f t="shared" si="40"/>
        <v>42735</v>
      </c>
      <c r="AQ274">
        <f t="shared" si="41"/>
        <v>80.514518355768615</v>
      </c>
      <c r="AR274">
        <f t="shared" si="42"/>
        <v>131.04720043095574</v>
      </c>
      <c r="AS274">
        <f t="shared" si="43"/>
        <v>137.01409823622078</v>
      </c>
      <c r="AT274">
        <f t="shared" si="44"/>
        <v>74.493545702736171</v>
      </c>
      <c r="AU274">
        <f t="shared" si="45"/>
        <v>148.6652579445485</v>
      </c>
      <c r="AV274">
        <f t="shared" si="46"/>
        <v>286.24619523789278</v>
      </c>
      <c r="AW274">
        <f t="shared" si="47"/>
        <v>123.37831858890682</v>
      </c>
      <c r="AX274">
        <f t="shared" si="48"/>
        <v>129.0244813084428</v>
      </c>
      <c r="AY274">
        <f t="shared" si="49"/>
        <v>173.97795439734759</v>
      </c>
      <c r="AZ274">
        <f t="shared" si="50"/>
        <v>96.427150545508894</v>
      </c>
      <c r="BA274">
        <f t="shared" si="51"/>
        <v>106.61628706882527</v>
      </c>
      <c r="BB274">
        <f t="shared" si="52"/>
        <v>86.172578785105443</v>
      </c>
      <c r="BC274">
        <f t="shared" si="53"/>
        <v>154.81659269764324</v>
      </c>
      <c r="BD274">
        <f t="shared" si="54"/>
        <v>337.78521804637165</v>
      </c>
    </row>
    <row r="275" spans="1:56" x14ac:dyDescent="0.25">
      <c r="A275" t="s">
        <v>7</v>
      </c>
      <c r="B275" t="s">
        <v>8</v>
      </c>
      <c r="C275" t="s">
        <v>9</v>
      </c>
      <c r="D275" t="s">
        <v>10</v>
      </c>
      <c r="E275">
        <v>6</v>
      </c>
      <c r="F275" s="1">
        <v>45565</v>
      </c>
      <c r="G275">
        <v>1.2016691802146699E-2</v>
      </c>
      <c r="K275" s="4">
        <v>42766</v>
      </c>
      <c r="L275" s="6">
        <v>1.7076542962480901E-2</v>
      </c>
      <c r="M275" s="6">
        <v>3.32364077883502E-2</v>
      </c>
      <c r="N275" s="6">
        <v>1.8629750377451602E-2</v>
      </c>
      <c r="O275" s="6">
        <v>5.2343001885529197E-3</v>
      </c>
      <c r="P275" s="6">
        <v>-2.21067763449261E-2</v>
      </c>
      <c r="Q275" s="6">
        <v>3.8748165229733997E-2</v>
      </c>
      <c r="R275" s="6">
        <v>-5.5568608081087998E-3</v>
      </c>
      <c r="S275" s="6">
        <v>-3.3113537445633598E-2</v>
      </c>
      <c r="T275" s="6">
        <v>-3.1023044395130001E-2</v>
      </c>
      <c r="U275" s="6">
        <v>-1.3527556359012301E-3</v>
      </c>
      <c r="V275" s="6">
        <v>2.1182135337612901E-2</v>
      </c>
      <c r="W275" s="6">
        <v>3.48501520388469E-2</v>
      </c>
      <c r="X275" s="6">
        <v>9.7056625710342393E-3</v>
      </c>
      <c r="Y275" s="6">
        <v>8.5510141864363939E-2</v>
      </c>
      <c r="AA275">
        <v>1.7076542962480901E-2</v>
      </c>
      <c r="AB275">
        <v>3.32364077883502E-2</v>
      </c>
      <c r="AC275">
        <v>1.8629750377451602E-2</v>
      </c>
      <c r="AD275">
        <v>5.2343001885529197E-3</v>
      </c>
      <c r="AE275">
        <v>-2.21067763449261E-2</v>
      </c>
      <c r="AF275">
        <v>3.8748165229733997E-2</v>
      </c>
      <c r="AG275">
        <v>-5.5568608081087998E-3</v>
      </c>
      <c r="AH275">
        <v>-3.3113537445633598E-2</v>
      </c>
      <c r="AI275">
        <v>-3.1023044395130001E-2</v>
      </c>
      <c r="AJ275">
        <v>-1.3527556359012301E-3</v>
      </c>
      <c r="AK275">
        <v>2.1182135337612901E-2</v>
      </c>
      <c r="AL275">
        <v>3.48501520388469E-2</v>
      </c>
      <c r="AM275">
        <v>9.7056625710342393E-3</v>
      </c>
      <c r="AN275">
        <f>+IBOV!C200</f>
        <v>0.10587483149631272</v>
      </c>
      <c r="AP275" s="1">
        <f t="shared" si="40"/>
        <v>42766</v>
      </c>
      <c r="AQ275">
        <f t="shared" si="41"/>
        <v>81.889427987574351</v>
      </c>
      <c r="AR275">
        <f t="shared" si="42"/>
        <v>135.40273862400065</v>
      </c>
      <c r="AS275">
        <f t="shared" si="43"/>
        <v>139.56663668455317</v>
      </c>
      <c r="AT275">
        <f t="shared" si="44"/>
        <v>74.883467283053974</v>
      </c>
      <c r="AU275">
        <f t="shared" si="45"/>
        <v>145.37874833690762</v>
      </c>
      <c r="AV275">
        <f t="shared" si="46"/>
        <v>297.3377101073533</v>
      </c>
      <c r="AW275">
        <f t="shared" si="47"/>
        <v>122.69272244576976</v>
      </c>
      <c r="AX275">
        <f t="shared" si="48"/>
        <v>124.75202431523223</v>
      </c>
      <c r="AY275">
        <f t="shared" si="49"/>
        <v>168.58062859430476</v>
      </c>
      <c r="AZ275">
        <f t="shared" si="50"/>
        <v>96.29670817415456</v>
      </c>
      <c r="BA275">
        <f t="shared" si="51"/>
        <v>108.87464769071092</v>
      </c>
      <c r="BB275">
        <f t="shared" si="52"/>
        <v>89.17570625734588</v>
      </c>
      <c r="BC275">
        <f t="shared" si="53"/>
        <v>156.31919030676383</v>
      </c>
      <c r="BD275">
        <f t="shared" si="54"/>
        <v>373.54817108897652</v>
      </c>
    </row>
    <row r="276" spans="1:56" x14ac:dyDescent="0.25">
      <c r="A276" t="s">
        <v>7</v>
      </c>
      <c r="B276" t="s">
        <v>8</v>
      </c>
      <c r="C276" t="s">
        <v>9</v>
      </c>
      <c r="D276" t="s">
        <v>10</v>
      </c>
      <c r="E276">
        <v>6</v>
      </c>
      <c r="F276" s="1">
        <v>45596</v>
      </c>
      <c r="G276">
        <v>-7.9987597328537597E-3</v>
      </c>
      <c r="K276" s="4">
        <v>42794</v>
      </c>
      <c r="L276" s="6">
        <v>4.2239919237618301E-2</v>
      </c>
      <c r="M276" s="6">
        <v>1.34209031533409E-2</v>
      </c>
      <c r="N276" s="6">
        <v>2.64229795040576E-2</v>
      </c>
      <c r="O276" s="6">
        <v>-1.6409653605210298E-2</v>
      </c>
      <c r="P276" s="6">
        <v>-1.8965396755682599E-2</v>
      </c>
      <c r="Q276" s="6">
        <v>2.2045204688276299E-2</v>
      </c>
      <c r="R276" s="6">
        <v>1.9393083958025099E-2</v>
      </c>
      <c r="S276" s="6">
        <v>5.19334665733584E-3</v>
      </c>
      <c r="T276" s="6">
        <v>-7.3590030995887297E-4</v>
      </c>
      <c r="U276" s="6">
        <v>2.1643378798852399E-3</v>
      </c>
      <c r="V276" s="6">
        <v>-1.5254667682909799E-2</v>
      </c>
      <c r="W276" s="6">
        <v>2.7887179459453099E-2</v>
      </c>
      <c r="X276" s="6">
        <v>-1.2735507277997699E-3</v>
      </c>
      <c r="Y276" s="6">
        <v>0.10612778545643103</v>
      </c>
      <c r="AA276">
        <v>4.2239919237618301E-2</v>
      </c>
      <c r="AB276">
        <v>1.34209031533409E-2</v>
      </c>
      <c r="AC276">
        <v>2.64229795040576E-2</v>
      </c>
      <c r="AD276">
        <v>-1.6409653605210298E-2</v>
      </c>
      <c r="AE276">
        <v>-1.8965396755682599E-2</v>
      </c>
      <c r="AF276">
        <v>2.2045204688276299E-2</v>
      </c>
      <c r="AG276">
        <v>1.9393083958025099E-2</v>
      </c>
      <c r="AH276">
        <v>5.19334665733584E-3</v>
      </c>
      <c r="AI276">
        <v>-7.3590030995887297E-4</v>
      </c>
      <c r="AJ276">
        <v>2.1643378798852399E-3</v>
      </c>
      <c r="AK276">
        <v>-1.5254667682909799E-2</v>
      </c>
      <c r="AL276">
        <v>2.7887179459453099E-2</v>
      </c>
      <c r="AM276">
        <v>-1.2735507277997699E-3</v>
      </c>
      <c r="AN276">
        <f>+IBOV!C201</f>
        <v>2.3326267483496865E-2</v>
      </c>
      <c r="AP276" s="1">
        <f t="shared" si="40"/>
        <v>42794</v>
      </c>
      <c r="AQ276">
        <f t="shared" si="41"/>
        <v>85.348430812184262</v>
      </c>
      <c r="AR276">
        <f t="shared" si="42"/>
        <v>137.2199656657705</v>
      </c>
      <c r="AS276">
        <f t="shared" si="43"/>
        <v>143.25440306511936</v>
      </c>
      <c r="AT276">
        <f t="shared" si="44"/>
        <v>73.654655524181962</v>
      </c>
      <c r="AU276">
        <f t="shared" si="45"/>
        <v>142.62158269485363</v>
      </c>
      <c r="AV276">
        <f t="shared" si="46"/>
        <v>303.89258078821325</v>
      </c>
      <c r="AW276">
        <f t="shared" si="47"/>
        <v>125.07211271319926</v>
      </c>
      <c r="AX276">
        <f t="shared" si="48"/>
        <v>125.39990482370564</v>
      </c>
      <c r="AY276">
        <f t="shared" si="49"/>
        <v>168.45657005746915</v>
      </c>
      <c r="AZ276">
        <f t="shared" si="50"/>
        <v>96.505126787364134</v>
      </c>
      <c r="BA276">
        <f t="shared" si="51"/>
        <v>107.21380112109523</v>
      </c>
      <c r="BB276">
        <f t="shared" si="52"/>
        <v>91.662565181167963</v>
      </c>
      <c r="BC276">
        <f t="shared" si="53"/>
        <v>156.12010988817957</v>
      </c>
      <c r="BD276">
        <f t="shared" si="54"/>
        <v>382.26165564576905</v>
      </c>
    </row>
    <row r="277" spans="1:56" x14ac:dyDescent="0.25">
      <c r="A277" t="s">
        <v>7</v>
      </c>
      <c r="B277" t="s">
        <v>8</v>
      </c>
      <c r="C277" t="s">
        <v>9</v>
      </c>
      <c r="D277" t="s">
        <v>10</v>
      </c>
      <c r="E277">
        <v>6</v>
      </c>
      <c r="F277" s="1">
        <v>45626</v>
      </c>
      <c r="G277">
        <v>3.4405680867210499E-2</v>
      </c>
      <c r="K277" s="4">
        <v>42825</v>
      </c>
      <c r="L277" s="6">
        <v>-1.8230078273064901E-2</v>
      </c>
      <c r="M277" s="6">
        <v>-7.0164829246910506E-5</v>
      </c>
      <c r="N277" s="6">
        <v>2.92948063521958E-3</v>
      </c>
      <c r="O277" s="6">
        <v>1.7455918156311399E-2</v>
      </c>
      <c r="P277" s="6">
        <v>1.1688980061774301E-2</v>
      </c>
      <c r="Q277" s="6">
        <v>-2.32121076602128E-2</v>
      </c>
      <c r="R277" s="6">
        <v>1.06731987372528E-3</v>
      </c>
      <c r="S277" s="6">
        <v>4.02848849216602E-2</v>
      </c>
      <c r="T277" s="6">
        <v>3.5239380818384597E-2</v>
      </c>
      <c r="U277" s="6">
        <v>-9.8026004067368194E-3</v>
      </c>
      <c r="V277" s="6">
        <v>-1.0943454399463501E-2</v>
      </c>
      <c r="W277" s="6">
        <v>-1.02695748848505E-2</v>
      </c>
      <c r="X277" s="6">
        <v>-1.43959257338115E-2</v>
      </c>
      <c r="Y277" s="6">
        <v>2.1742058279688427E-2</v>
      </c>
      <c r="AA277">
        <v>-1.8230078273064901E-2</v>
      </c>
      <c r="AB277">
        <v>-7.0164829246910506E-5</v>
      </c>
      <c r="AC277">
        <v>2.92948063521958E-3</v>
      </c>
      <c r="AD277">
        <v>1.7455918156311399E-2</v>
      </c>
      <c r="AE277">
        <v>1.1688980061774301E-2</v>
      </c>
      <c r="AF277">
        <v>-2.32121076602128E-2</v>
      </c>
      <c r="AG277">
        <v>1.06731987372528E-3</v>
      </c>
      <c r="AH277">
        <v>4.02848849216602E-2</v>
      </c>
      <c r="AI277">
        <v>3.5239380818384597E-2</v>
      </c>
      <c r="AJ277">
        <v>-9.8026004067368194E-3</v>
      </c>
      <c r="AK277">
        <v>-1.0943454399463501E-2</v>
      </c>
      <c r="AL277">
        <v>-1.02695748848505E-2</v>
      </c>
      <c r="AM277">
        <v>-1.43959257338115E-2</v>
      </c>
      <c r="AN277">
        <f>+IBOV!C202</f>
        <v>-7.1558700907402573E-3</v>
      </c>
      <c r="AP277" s="1">
        <f t="shared" si="40"/>
        <v>42825</v>
      </c>
      <c r="AQ277">
        <f t="shared" si="41"/>
        <v>83.792522237994874</v>
      </c>
      <c r="AR277">
        <f t="shared" si="42"/>
        <v>137.21033765031029</v>
      </c>
      <c r="AS277">
        <f t="shared" si="43"/>
        <v>143.67406406480856</v>
      </c>
      <c r="AT277">
        <f t="shared" si="44"/>
        <v>74.940365162843392</v>
      </c>
      <c r="AU277">
        <f t="shared" si="45"/>
        <v>144.28868353135246</v>
      </c>
      <c r="AV277">
        <f t="shared" si="46"/>
        <v>296.83859348581734</v>
      </c>
      <c r="AW277">
        <f t="shared" si="47"/>
        <v>125.20560466474686</v>
      </c>
      <c r="AX277">
        <f t="shared" si="48"/>
        <v>130.45162555871576</v>
      </c>
      <c r="AY277">
        <f t="shared" si="49"/>
        <v>174.39287528108321</v>
      </c>
      <c r="AZ277">
        <f t="shared" si="50"/>
        <v>95.559125592266128</v>
      </c>
      <c r="BA277">
        <f t="shared" si="51"/>
        <v>106.04051177753337</v>
      </c>
      <c r="BB277">
        <f t="shared" si="52"/>
        <v>90.721229603902472</v>
      </c>
      <c r="BC277">
        <f t="shared" si="53"/>
        <v>153.87261638067483</v>
      </c>
      <c r="BD277">
        <f t="shared" si="54"/>
        <v>379.52624089729665</v>
      </c>
    </row>
    <row r="278" spans="1:56" x14ac:dyDescent="0.25">
      <c r="A278" t="s">
        <v>7</v>
      </c>
      <c r="B278" t="s">
        <v>8</v>
      </c>
      <c r="C278" t="s">
        <v>9</v>
      </c>
      <c r="D278" t="s">
        <v>10</v>
      </c>
      <c r="E278">
        <v>6</v>
      </c>
      <c r="F278" s="1">
        <v>45657</v>
      </c>
      <c r="G278">
        <v>1.5382034770655501E-2</v>
      </c>
      <c r="K278" s="4">
        <v>42855</v>
      </c>
      <c r="L278" s="6">
        <v>-2.7687940652041901E-2</v>
      </c>
      <c r="M278" s="6">
        <v>1.5709530897942602E-2</v>
      </c>
      <c r="N278" s="6">
        <v>-1.2490458665347299E-2</v>
      </c>
      <c r="O278" s="6">
        <v>2.3253151713485E-2</v>
      </c>
      <c r="P278" s="6">
        <v>-9.1735306159309599E-3</v>
      </c>
      <c r="Q278" s="6">
        <v>2.9498471958209398E-4</v>
      </c>
      <c r="R278" s="6">
        <v>2.8619430977684501E-3</v>
      </c>
      <c r="S278" s="6">
        <v>-6.35769229704108E-3</v>
      </c>
      <c r="T278" s="6">
        <v>3.0794082456092501E-2</v>
      </c>
      <c r="U278" s="6">
        <v>-2.1518077713757601E-3</v>
      </c>
      <c r="V278" s="6">
        <v>-1.7850121271578E-2</v>
      </c>
      <c r="W278" s="6">
        <v>2.4859775346016501E-2</v>
      </c>
      <c r="X278" s="6">
        <v>-3.0518976099129399E-2</v>
      </c>
      <c r="Y278" s="6">
        <v>-8.4570591415572549E-3</v>
      </c>
      <c r="AA278">
        <v>-2.7687940652041901E-2</v>
      </c>
      <c r="AB278">
        <v>1.5709530897942602E-2</v>
      </c>
      <c r="AC278">
        <v>-1.2490458665347299E-2</v>
      </c>
      <c r="AD278">
        <v>2.3253151713485E-2</v>
      </c>
      <c r="AE278">
        <v>-9.1735306159309599E-3</v>
      </c>
      <c r="AF278">
        <v>2.9498471958209398E-4</v>
      </c>
      <c r="AG278">
        <v>2.8619430977684501E-3</v>
      </c>
      <c r="AH278">
        <v>-6.35769229704108E-3</v>
      </c>
      <c r="AI278">
        <v>3.0794082456092501E-2</v>
      </c>
      <c r="AJ278">
        <v>-2.1518077713757601E-3</v>
      </c>
      <c r="AK278">
        <v>-1.7850121271578E-2</v>
      </c>
      <c r="AL278">
        <v>2.4859775346016501E-2</v>
      </c>
      <c r="AM278">
        <v>-3.0518976099129399E-2</v>
      </c>
      <c r="AN278">
        <f>+IBOV!C203</f>
        <v>-7.741167129813431E-3</v>
      </c>
      <c r="AP278" s="1">
        <f t="shared" si="40"/>
        <v>42855</v>
      </c>
      <c r="AQ278">
        <f t="shared" si="41"/>
        <v>81.472479855184361</v>
      </c>
      <c r="AR278">
        <f t="shared" si="42"/>
        <v>139.365847689145</v>
      </c>
      <c r="AS278">
        <f t="shared" si="43"/>
        <v>141.8795091063246</v>
      </c>
      <c r="AT278">
        <f t="shared" si="44"/>
        <v>76.682964843438967</v>
      </c>
      <c r="AU278">
        <f t="shared" si="45"/>
        <v>142.96504687544524</v>
      </c>
      <c r="AV278">
        <f t="shared" si="46"/>
        <v>296.92615633507791</v>
      </c>
      <c r="AW278">
        <f t="shared" si="47"/>
        <v>125.56393598081907</v>
      </c>
      <c r="AX278">
        <f t="shared" si="48"/>
        <v>129.62225426376463</v>
      </c>
      <c r="AY278">
        <f t="shared" si="49"/>
        <v>179.76314386224396</v>
      </c>
      <c r="AZ278">
        <f t="shared" si="50"/>
        <v>95.35350072319082</v>
      </c>
      <c r="BA278">
        <f t="shared" si="51"/>
        <v>104.1476757826042</v>
      </c>
      <c r="BB278">
        <f t="shared" si="52"/>
        <v>92.976538990969871</v>
      </c>
      <c r="BC278">
        <f t="shared" si="53"/>
        <v>149.17658167904253</v>
      </c>
      <c r="BD278">
        <f t="shared" si="54"/>
        <v>376.58826483636085</v>
      </c>
    </row>
    <row r="279" spans="1:56" x14ac:dyDescent="0.25">
      <c r="A279" t="s">
        <v>7</v>
      </c>
      <c r="B279" t="s">
        <v>8</v>
      </c>
      <c r="C279" t="s">
        <v>9</v>
      </c>
      <c r="D279" t="s">
        <v>10</v>
      </c>
      <c r="E279">
        <v>6</v>
      </c>
      <c r="F279" s="1">
        <v>45688</v>
      </c>
      <c r="G279">
        <v>-2.50415656369973E-2</v>
      </c>
      <c r="K279" s="4">
        <v>42886</v>
      </c>
      <c r="L279" s="6">
        <v>-4.0473957121583597E-3</v>
      </c>
      <c r="M279" s="6">
        <v>-6.81008364911782E-3</v>
      </c>
      <c r="N279" s="6">
        <v>-3.3783257790020102E-2</v>
      </c>
      <c r="O279" s="6">
        <v>2.87572359321044E-2</v>
      </c>
      <c r="P279" s="6">
        <v>2.9729442797594801E-2</v>
      </c>
      <c r="Q279" s="6">
        <v>8.58961012332931E-4</v>
      </c>
      <c r="R279" s="6">
        <v>1.1761572662383601E-2</v>
      </c>
      <c r="S279" s="6">
        <v>2.7044162638182399E-2</v>
      </c>
      <c r="T279" s="6">
        <v>4.8846360138526002E-2</v>
      </c>
      <c r="U279" s="6">
        <v>2.1267931156310999E-2</v>
      </c>
      <c r="V279" s="6">
        <v>-1.80393065609963E-3</v>
      </c>
      <c r="W279" s="6">
        <v>-6.6475340776399302E-3</v>
      </c>
      <c r="X279" s="6">
        <v>-2.3549681408440801E-2</v>
      </c>
      <c r="Y279" s="6">
        <v>9.162378304395849E-2</v>
      </c>
      <c r="AA279">
        <v>-4.0473957121583597E-3</v>
      </c>
      <c r="AB279">
        <v>-6.81008364911782E-3</v>
      </c>
      <c r="AC279">
        <v>-3.3783257790020102E-2</v>
      </c>
      <c r="AD279">
        <v>2.87572359321044E-2</v>
      </c>
      <c r="AE279">
        <v>2.9729442797594801E-2</v>
      </c>
      <c r="AF279">
        <v>8.58961012332931E-4</v>
      </c>
      <c r="AG279">
        <v>1.1761572662383601E-2</v>
      </c>
      <c r="AH279">
        <v>2.7044162638182399E-2</v>
      </c>
      <c r="AI279">
        <v>4.8846360138526002E-2</v>
      </c>
      <c r="AJ279">
        <v>2.1267931156310999E-2</v>
      </c>
      <c r="AK279">
        <v>-1.80393065609963E-3</v>
      </c>
      <c r="AL279">
        <v>-6.6475340776399302E-3</v>
      </c>
      <c r="AM279">
        <v>-2.3549681408440801E-2</v>
      </c>
      <c r="AN279">
        <f>+IBOV!C204</f>
        <v>-5.3806316818919342E-2</v>
      </c>
      <c r="AP279" s="1">
        <f t="shared" si="40"/>
        <v>42886</v>
      </c>
      <c r="AQ279">
        <f t="shared" si="41"/>
        <v>81.142728489559573</v>
      </c>
      <c r="AR279">
        <f t="shared" si="42"/>
        <v>138.41675460855171</v>
      </c>
      <c r="AS279">
        <f t="shared" si="43"/>
        <v>137.08635707506414</v>
      </c>
      <c r="AT279">
        <f t="shared" si="44"/>
        <v>78.888154955415018</v>
      </c>
      <c r="AU279">
        <f t="shared" si="45"/>
        <v>147.21531805858424</v>
      </c>
      <c r="AV279">
        <f t="shared" si="46"/>
        <v>297.1812043269116</v>
      </c>
      <c r="AW279">
        <f t="shared" si="47"/>
        <v>127.04076533763237</v>
      </c>
      <c r="AX279">
        <f t="shared" si="48"/>
        <v>133.12777958960172</v>
      </c>
      <c r="AY279">
        <f t="shared" si="49"/>
        <v>188.54391912697281</v>
      </c>
      <c r="AZ279">
        <f t="shared" si="50"/>
        <v>97.381472412084904</v>
      </c>
      <c r="BA279">
        <f t="shared" si="51"/>
        <v>103.95980059749843</v>
      </c>
      <c r="BB279">
        <f t="shared" si="52"/>
        <v>92.358474279606384</v>
      </c>
      <c r="BC279">
        <f t="shared" si="53"/>
        <v>145.66352070690081</v>
      </c>
      <c r="BD279">
        <f t="shared" si="54"/>
        <v>356.32543734828852</v>
      </c>
    </row>
    <row r="280" spans="1:56" x14ac:dyDescent="0.25">
      <c r="A280" t="s">
        <v>7</v>
      </c>
      <c r="B280" t="s">
        <v>8</v>
      </c>
      <c r="C280" t="s">
        <v>9</v>
      </c>
      <c r="D280" t="s">
        <v>10</v>
      </c>
      <c r="E280">
        <v>6</v>
      </c>
      <c r="F280" s="1">
        <v>45716</v>
      </c>
      <c r="G280">
        <v>-4.2067234323138704E-3</v>
      </c>
      <c r="K280" s="4">
        <v>42916</v>
      </c>
      <c r="L280" s="6">
        <v>-2.6015247881792401E-2</v>
      </c>
      <c r="M280" s="6">
        <v>-5.9482135540824101E-3</v>
      </c>
      <c r="N280" s="6">
        <v>-3.6011411415067598E-3</v>
      </c>
      <c r="O280" s="6">
        <v>-1.43254983407184E-2</v>
      </c>
      <c r="P280" s="6">
        <v>5.1695993488914396E-3</v>
      </c>
      <c r="Q280" s="6">
        <v>-2.6180740189057101E-2</v>
      </c>
      <c r="R280" s="6">
        <v>9.8544284595285803E-3</v>
      </c>
      <c r="S280" s="6">
        <v>1.2948603254903299E-2</v>
      </c>
      <c r="T280" s="6">
        <v>-2.9236737496283198E-3</v>
      </c>
      <c r="U280" s="6">
        <v>-5.4296658877718597E-3</v>
      </c>
      <c r="V280" s="6">
        <v>2.1144403568107501E-2</v>
      </c>
      <c r="W280" s="6">
        <v>-1.67421908773518E-3</v>
      </c>
      <c r="X280" s="6">
        <v>-9.0834490330641299E-3</v>
      </c>
      <c r="Y280" s="6">
        <v>-4.6064814233925742E-2</v>
      </c>
      <c r="AA280">
        <v>-2.6015247881792401E-2</v>
      </c>
      <c r="AB280">
        <v>-5.9482135540824101E-3</v>
      </c>
      <c r="AC280">
        <v>-3.6011411415067598E-3</v>
      </c>
      <c r="AD280">
        <v>-1.43254983407184E-2</v>
      </c>
      <c r="AE280">
        <v>5.1695993488914396E-3</v>
      </c>
      <c r="AF280">
        <v>-2.6180740189057101E-2</v>
      </c>
      <c r="AG280">
        <v>9.8544284595285803E-3</v>
      </c>
      <c r="AH280">
        <v>1.2948603254903299E-2</v>
      </c>
      <c r="AI280">
        <v>-2.9236737496283198E-3</v>
      </c>
      <c r="AJ280">
        <v>-5.4296658877718597E-3</v>
      </c>
      <c r="AK280">
        <v>2.1144403568107501E-2</v>
      </c>
      <c r="AL280">
        <v>-1.67421908773518E-3</v>
      </c>
      <c r="AM280">
        <v>-9.0834490330641299E-3</v>
      </c>
      <c r="AN280">
        <f>+IBOV!C205</f>
        <v>-2.1395248319246885E-2</v>
      </c>
      <c r="AP280" s="1">
        <f t="shared" si="40"/>
        <v>42916</v>
      </c>
      <c r="AQ280">
        <f t="shared" si="41"/>
        <v>79.031780294098695</v>
      </c>
      <c r="AR280">
        <f t="shared" si="42"/>
        <v>137.59342219267702</v>
      </c>
      <c r="AS280">
        <f t="shared" si="43"/>
        <v>136.59268975466185</v>
      </c>
      <c r="AT280">
        <f t="shared" si="44"/>
        <v>77.758042822498879</v>
      </c>
      <c r="AU280">
        <f t="shared" si="45"/>
        <v>147.97636227096675</v>
      </c>
      <c r="AV280">
        <f t="shared" si="46"/>
        <v>289.40078042735763</v>
      </c>
      <c r="AW280">
        <f t="shared" si="47"/>
        <v>128.29267947109582</v>
      </c>
      <c r="AX280">
        <f t="shared" si="48"/>
        <v>134.85159838971367</v>
      </c>
      <c r="AY280">
        <f t="shared" si="49"/>
        <v>187.99267821996924</v>
      </c>
      <c r="AZ280">
        <f t="shared" si="50"/>
        <v>96.852723553228017</v>
      </c>
      <c r="BA280">
        <f t="shared" si="51"/>
        <v>106.15796857619191</v>
      </c>
      <c r="BB280">
        <f t="shared" si="52"/>
        <v>92.203845959053368</v>
      </c>
      <c r="BC280">
        <f t="shared" si="53"/>
        <v>144.34039354058299</v>
      </c>
      <c r="BD280">
        <f t="shared" si="54"/>
        <v>348.70176613375764</v>
      </c>
    </row>
    <row r="281" spans="1:56" x14ac:dyDescent="0.25">
      <c r="A281" t="s">
        <v>7</v>
      </c>
      <c r="B281" t="s">
        <v>8</v>
      </c>
      <c r="C281" t="s">
        <v>9</v>
      </c>
      <c r="D281" t="s">
        <v>10</v>
      </c>
      <c r="E281">
        <v>6</v>
      </c>
      <c r="F281" s="1">
        <v>45747</v>
      </c>
      <c r="G281">
        <v>2.2469795069792499E-2</v>
      </c>
      <c r="K281" s="4">
        <v>42947</v>
      </c>
      <c r="L281" s="6">
        <v>6.6900546555223699E-3</v>
      </c>
      <c r="M281" s="6">
        <v>1.27028972866704E-2</v>
      </c>
      <c r="N281" s="6">
        <v>2.1121774266085198E-2</v>
      </c>
      <c r="O281" s="6">
        <v>-1.4837666154195099E-3</v>
      </c>
      <c r="P281" s="6">
        <v>-4.3595814980911397E-2</v>
      </c>
      <c r="Q281" s="6">
        <v>2.2838430929205299E-2</v>
      </c>
      <c r="R281" s="6">
        <v>2.01017971051752E-2</v>
      </c>
      <c r="S281" s="6">
        <v>-6.8763436400599903E-3</v>
      </c>
      <c r="T281" s="6">
        <v>-2.0220684326715099E-3</v>
      </c>
      <c r="U281" s="6">
        <v>-7.5648841143953196E-3</v>
      </c>
      <c r="V281" s="6">
        <v>1.50532553400969E-2</v>
      </c>
      <c r="W281" s="6">
        <v>3.8153279382034597E-2</v>
      </c>
      <c r="X281" s="6">
        <v>2.33025417503906E-3</v>
      </c>
      <c r="Y281" s="6">
        <v>7.7448865356371285E-2</v>
      </c>
      <c r="AA281">
        <v>6.6900546555223699E-3</v>
      </c>
      <c r="AB281">
        <v>1.27028972866704E-2</v>
      </c>
      <c r="AC281">
        <v>2.1121774266085198E-2</v>
      </c>
      <c r="AD281">
        <v>-1.4837666154195099E-3</v>
      </c>
      <c r="AE281">
        <v>-4.3595814980911397E-2</v>
      </c>
      <c r="AF281">
        <v>2.2838430929205299E-2</v>
      </c>
      <c r="AG281">
        <v>2.01017971051752E-2</v>
      </c>
      <c r="AH281">
        <v>-6.8763436400599903E-3</v>
      </c>
      <c r="AI281">
        <v>-2.0220684326715099E-3</v>
      </c>
      <c r="AJ281">
        <v>-7.5648841143953196E-3</v>
      </c>
      <c r="AK281">
        <v>1.50532553400969E-2</v>
      </c>
      <c r="AL281">
        <v>3.8153279382034597E-2</v>
      </c>
      <c r="AM281">
        <v>2.33025417503906E-3</v>
      </c>
      <c r="AN281">
        <f>+IBOV!C206</f>
        <v>0.10720749698747456</v>
      </c>
      <c r="AP281" s="1">
        <f t="shared" si="40"/>
        <v>42947</v>
      </c>
      <c r="AQ281">
        <f t="shared" si="41"/>
        <v>79.560507223789457</v>
      </c>
      <c r="AR281">
        <f t="shared" si="42"/>
        <v>139.34125730211207</v>
      </c>
      <c r="AS281">
        <f t="shared" si="43"/>
        <v>139.47776971405722</v>
      </c>
      <c r="AT281">
        <f t="shared" si="44"/>
        <v>77.64266803447849</v>
      </c>
      <c r="AU281">
        <f t="shared" si="45"/>
        <v>141.52521215985337</v>
      </c>
      <c r="AV281">
        <f t="shared" si="46"/>
        <v>296.01024016200597</v>
      </c>
      <c r="AW281">
        <f t="shared" si="47"/>
        <v>130.87159288390305</v>
      </c>
      <c r="AX281">
        <f t="shared" si="48"/>
        <v>133.92431245877464</v>
      </c>
      <c r="AY281">
        <f t="shared" si="49"/>
        <v>187.61254415976725</v>
      </c>
      <c r="AZ281">
        <f t="shared" si="50"/>
        <v>96.120043923384287</v>
      </c>
      <c r="BA281">
        <f t="shared" si="51"/>
        <v>107.7559915835553</v>
      </c>
      <c r="BB281">
        <f t="shared" si="52"/>
        <v>95.721725054027203</v>
      </c>
      <c r="BC281">
        <f t="shared" si="53"/>
        <v>144.67674334525771</v>
      </c>
      <c r="BD281">
        <f t="shared" si="54"/>
        <v>386.08520967606955</v>
      </c>
    </row>
    <row r="282" spans="1:56" x14ac:dyDescent="0.25">
      <c r="A282" t="s">
        <v>7</v>
      </c>
      <c r="B282" t="s">
        <v>8</v>
      </c>
      <c r="C282" t="s">
        <v>9</v>
      </c>
      <c r="D282" t="s">
        <v>10</v>
      </c>
      <c r="E282">
        <v>6</v>
      </c>
      <c r="F282" s="1">
        <v>45777</v>
      </c>
      <c r="G282">
        <v>-8.0527244904975703E-3</v>
      </c>
      <c r="K282" s="4">
        <v>42978</v>
      </c>
      <c r="L282" s="6">
        <v>-1.1322644931419899E-2</v>
      </c>
      <c r="M282" s="6">
        <v>-5.9375640175574297E-3</v>
      </c>
      <c r="N282" s="6">
        <v>6.8564780271469497E-3</v>
      </c>
      <c r="O282" s="6">
        <v>7.3901861290221402E-3</v>
      </c>
      <c r="P282" s="6">
        <v>-3.5561780338734902E-2</v>
      </c>
      <c r="Q282" s="6">
        <v>2.4685373743289898E-2</v>
      </c>
      <c r="R282" s="6">
        <v>-5.3308855939215296E-3</v>
      </c>
      <c r="S282" s="6">
        <v>-5.5798946567647202E-2</v>
      </c>
      <c r="T282" s="6">
        <v>-2.75312409170177E-2</v>
      </c>
      <c r="U282" s="6">
        <v>6.7503239638377803E-3</v>
      </c>
      <c r="V282" s="6">
        <v>-1.022223115402E-2</v>
      </c>
      <c r="W282" s="6">
        <v>3.5866922800142302E-2</v>
      </c>
      <c r="X282" s="6">
        <v>1.07051805487975E-2</v>
      </c>
      <c r="Y282" s="6">
        <v>-5.9450828308082085E-2</v>
      </c>
      <c r="AA282">
        <v>-1.1322644931419899E-2</v>
      </c>
      <c r="AB282">
        <v>-5.9375640175574297E-3</v>
      </c>
      <c r="AC282">
        <v>6.8564780271469497E-3</v>
      </c>
      <c r="AD282">
        <v>7.3901861290221402E-3</v>
      </c>
      <c r="AE282">
        <v>-3.5561780338734902E-2</v>
      </c>
      <c r="AF282">
        <v>2.4685373743289898E-2</v>
      </c>
      <c r="AG282">
        <v>-5.3308855939215296E-3</v>
      </c>
      <c r="AH282">
        <v>-5.5798946567647202E-2</v>
      </c>
      <c r="AI282">
        <v>-2.75312409170177E-2</v>
      </c>
      <c r="AJ282">
        <v>6.7503239638377803E-3</v>
      </c>
      <c r="AK282">
        <v>-1.022223115402E-2</v>
      </c>
      <c r="AL282">
        <v>3.5866922800142302E-2</v>
      </c>
      <c r="AM282">
        <v>1.07051805487975E-2</v>
      </c>
      <c r="AN282">
        <f>+IBOV!C207</f>
        <v>5.8201952928525591E-2</v>
      </c>
      <c r="AP282" s="1">
        <f t="shared" si="40"/>
        <v>42978</v>
      </c>
      <c r="AQ282">
        <f t="shared" si="41"/>
        <v>78.659671849930817</v>
      </c>
      <c r="AR282">
        <f t="shared" si="42"/>
        <v>138.51390966659383</v>
      </c>
      <c r="AS282">
        <f t="shared" si="43"/>
        <v>140.43409597737713</v>
      </c>
      <c r="AT282">
        <f t="shared" si="44"/>
        <v>78.216461802807174</v>
      </c>
      <c r="AU282">
        <f t="shared" si="45"/>
        <v>136.4923236526318</v>
      </c>
      <c r="AV282">
        <f t="shared" si="46"/>
        <v>303.31736357224611</v>
      </c>
      <c r="AW282">
        <f t="shared" si="47"/>
        <v>130.1739313947447</v>
      </c>
      <c r="AX282">
        <f t="shared" si="48"/>
        <v>126.45147690377858</v>
      </c>
      <c r="AY282">
        <f t="shared" si="49"/>
        <v>182.44733800745007</v>
      </c>
      <c r="AZ282">
        <f t="shared" si="50"/>
        <v>96.768885359285449</v>
      </c>
      <c r="BA282">
        <f t="shared" si="51"/>
        <v>106.65448492935757</v>
      </c>
      <c r="BB282">
        <f t="shared" si="52"/>
        <v>99.154968776836441</v>
      </c>
      <c r="BC282">
        <f t="shared" si="53"/>
        <v>146.22553400398073</v>
      </c>
      <c r="BD282">
        <f t="shared" si="54"/>
        <v>408.55612287603611</v>
      </c>
    </row>
    <row r="283" spans="1:56" x14ac:dyDescent="0.25">
      <c r="A283" t="s">
        <v>7</v>
      </c>
      <c r="B283" t="s">
        <v>8</v>
      </c>
      <c r="C283" t="s">
        <v>9</v>
      </c>
      <c r="D283" t="s">
        <v>10</v>
      </c>
      <c r="E283">
        <v>6</v>
      </c>
      <c r="F283" s="1">
        <v>45808</v>
      </c>
      <c r="G283">
        <v>3.0849592202189802E-3</v>
      </c>
      <c r="K283" s="4">
        <v>43008</v>
      </c>
      <c r="L283" s="6">
        <v>-1.95906226356093E-2</v>
      </c>
      <c r="M283" s="6">
        <v>5.4053561277831296E-3</v>
      </c>
      <c r="N283" s="6">
        <v>-1.9240577852413501E-3</v>
      </c>
      <c r="O283" s="6">
        <v>5.4587528804793499E-3</v>
      </c>
      <c r="P283" s="6">
        <v>-2.0918354537742101E-2</v>
      </c>
      <c r="Q283" s="6">
        <v>1.6924961660407498E-2</v>
      </c>
      <c r="R283" s="6">
        <v>-3.42787486555368E-3</v>
      </c>
      <c r="S283" s="6">
        <v>-9.7875378666313108E-3</v>
      </c>
      <c r="T283" s="6">
        <v>-3.7862625080306899E-3</v>
      </c>
      <c r="U283" s="6">
        <v>3.5606738742103298E-4</v>
      </c>
      <c r="V283" s="6">
        <v>-1.8661258885065202E-2</v>
      </c>
      <c r="W283" s="6">
        <v>9.3312034070674001E-4</v>
      </c>
      <c r="X283" s="6">
        <v>-1.53711847293372E-2</v>
      </c>
      <c r="Y283" s="6">
        <v>-6.4388895416413072E-2</v>
      </c>
      <c r="AA283">
        <v>-1.95906226356093E-2</v>
      </c>
      <c r="AB283">
        <v>5.4053561277831296E-3</v>
      </c>
      <c r="AC283">
        <v>-1.9240577852413501E-3</v>
      </c>
      <c r="AD283">
        <v>5.4587528804793499E-3</v>
      </c>
      <c r="AE283">
        <v>-2.0918354537742101E-2</v>
      </c>
      <c r="AF283">
        <v>1.6924961660407498E-2</v>
      </c>
      <c r="AG283">
        <v>-3.42787486555368E-3</v>
      </c>
      <c r="AH283">
        <v>-9.7875378666313108E-3</v>
      </c>
      <c r="AI283">
        <v>-3.7862625080306899E-3</v>
      </c>
      <c r="AJ283">
        <v>3.5606738742103298E-4</v>
      </c>
      <c r="AK283">
        <v>-1.8661258885065202E-2</v>
      </c>
      <c r="AL283">
        <v>9.3312034070674001E-4</v>
      </c>
      <c r="AM283">
        <v>-1.53711847293372E-2</v>
      </c>
      <c r="AN283">
        <f>+IBOV!C208</f>
        <v>4.2249365911223524E-2</v>
      </c>
      <c r="AP283" s="1">
        <f t="shared" si="40"/>
        <v>43008</v>
      </c>
      <c r="AQ283">
        <f t="shared" si="41"/>
        <v>77.118679902077957</v>
      </c>
      <c r="AR283">
        <f t="shared" si="42"/>
        <v>139.26262667699336</v>
      </c>
      <c r="AS283">
        <f t="shared" si="43"/>
        <v>140.16389266169853</v>
      </c>
      <c r="AT283">
        <f t="shared" si="44"/>
        <v>78.643426138974149</v>
      </c>
      <c r="AU283">
        <f t="shared" si="45"/>
        <v>133.63712883478581</v>
      </c>
      <c r="AV283">
        <f t="shared" si="46"/>
        <v>308.45099832164226</v>
      </c>
      <c r="AW283">
        <f t="shared" si="47"/>
        <v>129.72771144716634</v>
      </c>
      <c r="AX283">
        <f t="shared" si="48"/>
        <v>125.2138282852914</v>
      </c>
      <c r="AY283">
        <f t="shared" si="49"/>
        <v>181.75654449186246</v>
      </c>
      <c r="AZ283">
        <f t="shared" si="50"/>
        <v>96.80334160347897</v>
      </c>
      <c r="BA283">
        <f t="shared" si="51"/>
        <v>104.66417797483754</v>
      </c>
      <c r="BB283">
        <f t="shared" si="52"/>
        <v>99.247492295084257</v>
      </c>
      <c r="BC283">
        <f t="shared" si="53"/>
        <v>143.97787430865955</v>
      </c>
      <c r="BD283">
        <f t="shared" si="54"/>
        <v>425.81736000669656</v>
      </c>
    </row>
    <row r="284" spans="1:56" x14ac:dyDescent="0.25">
      <c r="A284" t="s">
        <v>7</v>
      </c>
      <c r="B284" t="s">
        <v>8</v>
      </c>
      <c r="C284" t="s">
        <v>9</v>
      </c>
      <c r="D284" t="s">
        <v>10</v>
      </c>
      <c r="E284">
        <v>6</v>
      </c>
      <c r="F284" s="1">
        <v>45838</v>
      </c>
      <c r="G284">
        <v>1.6936000116267301E-2</v>
      </c>
      <c r="K284" s="4">
        <v>43039</v>
      </c>
      <c r="L284" s="6">
        <v>4.3027830419540801E-2</v>
      </c>
      <c r="M284" s="6">
        <v>-1.0755299573366401E-2</v>
      </c>
      <c r="N284" s="6">
        <v>-1.6017585177028601E-2</v>
      </c>
      <c r="O284" s="6">
        <v>-1.0179807326423001E-2</v>
      </c>
      <c r="P284" s="6">
        <v>1.62302136322711E-2</v>
      </c>
      <c r="Q284" s="6">
        <v>1.9353817633957899E-2</v>
      </c>
      <c r="R284" s="6">
        <v>-2.0965118955915299E-3</v>
      </c>
      <c r="S284" s="6">
        <v>-7.2482191523229301E-4</v>
      </c>
      <c r="T284" s="6">
        <v>5.8923967461547702E-3</v>
      </c>
      <c r="U284" s="6">
        <v>1.02170894168541E-2</v>
      </c>
      <c r="V284" s="6">
        <v>-6.4945618039857801E-3</v>
      </c>
      <c r="W284" s="6">
        <v>-6.0607734352330998E-3</v>
      </c>
      <c r="X284" s="6">
        <v>-4.8385897751163903E-3</v>
      </c>
      <c r="Y284" s="6">
        <v>3.7553396946801577E-2</v>
      </c>
      <c r="AA284">
        <v>4.3027830419540801E-2</v>
      </c>
      <c r="AB284">
        <v>-1.0755299573366401E-2</v>
      </c>
      <c r="AC284">
        <v>-1.6017585177028601E-2</v>
      </c>
      <c r="AD284">
        <v>-1.0179807326423001E-2</v>
      </c>
      <c r="AE284">
        <v>1.62302136322711E-2</v>
      </c>
      <c r="AF284">
        <v>1.9353817633957899E-2</v>
      </c>
      <c r="AG284">
        <v>-2.0965118955915299E-3</v>
      </c>
      <c r="AH284">
        <v>-7.2482191523229301E-4</v>
      </c>
      <c r="AI284">
        <v>5.8923967461547702E-3</v>
      </c>
      <c r="AJ284">
        <v>1.02170894168541E-2</v>
      </c>
      <c r="AK284">
        <v>-6.4945618039857801E-3</v>
      </c>
      <c r="AL284">
        <v>-6.0607734352330998E-3</v>
      </c>
      <c r="AM284">
        <v>-4.8385897751163903E-3</v>
      </c>
      <c r="AN284">
        <f>+IBOV!C209</f>
        <v>-3.6459848562285235E-2</v>
      </c>
      <c r="AP284" s="1">
        <f t="shared" si="40"/>
        <v>43039</v>
      </c>
      <c r="AQ284">
        <f t="shared" si="41"/>
        <v>80.436929383083424</v>
      </c>
      <c r="AR284">
        <f t="shared" si="42"/>
        <v>137.76481540770843</v>
      </c>
      <c r="AS284">
        <f t="shared" si="43"/>
        <v>137.91880557224587</v>
      </c>
      <c r="AT284">
        <f t="shared" si="44"/>
        <v>77.842851213389622</v>
      </c>
      <c r="AU284">
        <f t="shared" si="45"/>
        <v>135.80608798497772</v>
      </c>
      <c r="AV284">
        <f t="shared" si="46"/>
        <v>314.42070269217157</v>
      </c>
      <c r="AW284">
        <f t="shared" si="47"/>
        <v>129.4557357569295</v>
      </c>
      <c r="AX284">
        <f t="shared" si="48"/>
        <v>125.12307055846009</v>
      </c>
      <c r="AY284">
        <f t="shared" si="49"/>
        <v>182.82752616321866</v>
      </c>
      <c r="AZ284">
        <f t="shared" si="50"/>
        <v>97.792390000491977</v>
      </c>
      <c r="BA284">
        <f t="shared" si="51"/>
        <v>103.9844300023166</v>
      </c>
      <c r="BB284">
        <f t="shared" si="52"/>
        <v>98.645975730268702</v>
      </c>
      <c r="BC284">
        <f t="shared" si="53"/>
        <v>143.28122443818668</v>
      </c>
      <c r="BD284">
        <f t="shared" si="54"/>
        <v>410.29212354566033</v>
      </c>
    </row>
    <row r="285" spans="1:56" x14ac:dyDescent="0.25">
      <c r="A285" t="s">
        <v>7</v>
      </c>
      <c r="B285" t="s">
        <v>8</v>
      </c>
      <c r="C285" t="s">
        <v>9</v>
      </c>
      <c r="D285" t="s">
        <v>10</v>
      </c>
      <c r="E285">
        <v>6</v>
      </c>
      <c r="F285" s="1">
        <v>45869</v>
      </c>
      <c r="G285">
        <v>3.1049283322469499E-2</v>
      </c>
      <c r="K285" s="4">
        <v>43069</v>
      </c>
      <c r="L285" s="6">
        <v>-5.9613958391672703E-2</v>
      </c>
      <c r="M285" s="6">
        <v>-3.74204792657776E-4</v>
      </c>
      <c r="N285" s="6">
        <v>4.4585810765560997E-3</v>
      </c>
      <c r="O285" s="6">
        <v>2.8567156606912301E-2</v>
      </c>
      <c r="P285" s="6">
        <v>-2.3003603234365701E-3</v>
      </c>
      <c r="Q285" s="6">
        <v>-1.1562846889102399E-2</v>
      </c>
      <c r="R285" s="6">
        <v>-5.4327581478592901E-3</v>
      </c>
      <c r="S285" s="6">
        <v>3.7438275465969797E-2</v>
      </c>
      <c r="T285" s="6">
        <v>2.9861040592973301E-2</v>
      </c>
      <c r="U285" s="6">
        <v>-3.3449524822325798E-3</v>
      </c>
      <c r="V285" s="6">
        <v>-2.7487489216587901E-2</v>
      </c>
      <c r="W285" s="6">
        <v>2.3512115826967099E-2</v>
      </c>
      <c r="X285" s="6">
        <v>1.6416971624755199E-3</v>
      </c>
      <c r="Y285" s="6">
        <v>1.5362296488304901E-2</v>
      </c>
      <c r="AA285">
        <v>-5.9613958391672703E-2</v>
      </c>
      <c r="AB285">
        <v>-3.74204792657776E-4</v>
      </c>
      <c r="AC285">
        <v>4.4585810765560997E-3</v>
      </c>
      <c r="AD285">
        <v>2.8567156606912301E-2</v>
      </c>
      <c r="AE285">
        <v>-2.3003603234365701E-3</v>
      </c>
      <c r="AF285">
        <v>-1.1562846889102399E-2</v>
      </c>
      <c r="AG285">
        <v>-5.4327581478592901E-3</v>
      </c>
      <c r="AH285">
        <v>3.7438275465969797E-2</v>
      </c>
      <c r="AI285">
        <v>2.9861040592973301E-2</v>
      </c>
      <c r="AJ285">
        <v>-3.3449524822325798E-3</v>
      </c>
      <c r="AK285">
        <v>-2.7487489216587901E-2</v>
      </c>
      <c r="AL285">
        <v>2.3512115826967099E-2</v>
      </c>
      <c r="AM285">
        <v>1.6416971624755199E-3</v>
      </c>
      <c r="AN285">
        <f>+IBOV!C210</f>
        <v>-3.6595018931975587E-2</v>
      </c>
      <c r="AP285" s="1">
        <f t="shared" si="40"/>
        <v>43069</v>
      </c>
      <c r="AQ285">
        <f t="shared" si="41"/>
        <v>75.641765621686375</v>
      </c>
      <c r="AR285">
        <f t="shared" si="42"/>
        <v>137.71326315352323</v>
      </c>
      <c r="AS285">
        <f t="shared" si="43"/>
        <v>138.53372774887151</v>
      </c>
      <c r="AT285">
        <f t="shared" si="44"/>
        <v>80.066600134731104</v>
      </c>
      <c r="AU285">
        <f t="shared" si="45"/>
        <v>135.49368504849593</v>
      </c>
      <c r="AV285">
        <f t="shared" si="46"/>
        <v>310.78510424817802</v>
      </c>
      <c r="AW285">
        <f t="shared" si="47"/>
        <v>128.75243405370892</v>
      </c>
      <c r="AX285">
        <f t="shared" si="48"/>
        <v>129.80746254117571</v>
      </c>
      <c r="AY285">
        <f t="shared" si="49"/>
        <v>188.28694634349142</v>
      </c>
      <c r="AZ285">
        <f t="shared" si="50"/>
        <v>97.465279102816382</v>
      </c>
      <c r="BA285">
        <f t="shared" si="51"/>
        <v>101.12615910393488</v>
      </c>
      <c r="BB285">
        <f t="shared" si="52"/>
        <v>100.96535133750297</v>
      </c>
      <c r="BC285">
        <f t="shared" si="53"/>
        <v>143.51644881778287</v>
      </c>
      <c r="BD285">
        <f t="shared" si="54"/>
        <v>395.27747551686645</v>
      </c>
    </row>
    <row r="286" spans="1:56" x14ac:dyDescent="0.25">
      <c r="A286" t="s">
        <v>7</v>
      </c>
      <c r="B286" t="s">
        <v>8</v>
      </c>
      <c r="C286" t="s">
        <v>9</v>
      </c>
      <c r="D286" t="s">
        <v>10</v>
      </c>
      <c r="E286">
        <v>6</v>
      </c>
      <c r="F286" s="1">
        <v>45900</v>
      </c>
      <c r="G286">
        <v>1.2853877996626101E-2</v>
      </c>
      <c r="K286" s="4">
        <v>43100</v>
      </c>
      <c r="L286" s="6">
        <v>-2.1228560556889101E-2</v>
      </c>
      <c r="M286" s="6">
        <v>2.0225356574426999E-2</v>
      </c>
      <c r="N286" s="6">
        <v>2.7605817877422199E-2</v>
      </c>
      <c r="O286" s="6">
        <v>5.3727762936351797E-3</v>
      </c>
      <c r="P286" s="6">
        <v>-1.8615882845620001E-2</v>
      </c>
      <c r="Q286" s="6">
        <v>-2.4677117186220802E-4</v>
      </c>
      <c r="R286" s="6">
        <v>1.5771326912305799E-2</v>
      </c>
      <c r="S286" s="6">
        <v>2.0587774324196399E-2</v>
      </c>
      <c r="T286" s="6">
        <v>1.67765402592987E-2</v>
      </c>
      <c r="U286" s="6">
        <v>2.9813054831865402E-2</v>
      </c>
      <c r="V286" s="6">
        <v>-1.43201827325621E-2</v>
      </c>
      <c r="W286" s="6">
        <v>-8.0281303876170995E-3</v>
      </c>
      <c r="X286" s="6">
        <v>3.0587933646568002E-2</v>
      </c>
      <c r="Y286" s="6">
        <v>0.10430105302516818</v>
      </c>
      <c r="AA286">
        <v>-2.1228560556889101E-2</v>
      </c>
      <c r="AB286">
        <v>2.0225356574426999E-2</v>
      </c>
      <c r="AC286">
        <v>2.7605817877422199E-2</v>
      </c>
      <c r="AD286">
        <v>5.3727762936351797E-3</v>
      </c>
      <c r="AE286">
        <v>-1.8615882845620001E-2</v>
      </c>
      <c r="AF286">
        <v>-2.4677117186220802E-4</v>
      </c>
      <c r="AG286">
        <v>1.5771326912305799E-2</v>
      </c>
      <c r="AH286">
        <v>2.0587774324196399E-2</v>
      </c>
      <c r="AI286">
        <v>1.67765402592987E-2</v>
      </c>
      <c r="AJ286">
        <v>2.9813054831865402E-2</v>
      </c>
      <c r="AK286">
        <v>-1.43201827325621E-2</v>
      </c>
      <c r="AL286">
        <v>-8.0281303876170995E-3</v>
      </c>
      <c r="AM286">
        <v>3.0587933646568002E-2</v>
      </c>
      <c r="AN286">
        <f>+IBOV!C211</f>
        <v>5.6369881288672374E-2</v>
      </c>
      <c r="AP286" s="1">
        <f t="shared" si="40"/>
        <v>43100</v>
      </c>
      <c r="AQ286">
        <f t="shared" si="41"/>
        <v>74.035999819556395</v>
      </c>
      <c r="AR286">
        <f t="shared" si="42"/>
        <v>140.49856300583113</v>
      </c>
      <c r="AS286">
        <f t="shared" si="43"/>
        <v>142.35806460698723</v>
      </c>
      <c r="AT286">
        <f t="shared" si="44"/>
        <v>80.496780065846949</v>
      </c>
      <c r="AU286">
        <f t="shared" si="45"/>
        <v>132.97135048131179</v>
      </c>
      <c r="AV286">
        <f t="shared" si="46"/>
        <v>310.70841144380535</v>
      </c>
      <c r="AW286">
        <f t="shared" si="47"/>
        <v>130.78303078192508</v>
      </c>
      <c r="AX286">
        <f t="shared" si="48"/>
        <v>132.47990928557002</v>
      </c>
      <c r="AY286">
        <f t="shared" si="49"/>
        <v>191.44574987912344</v>
      </c>
      <c r="AZ286">
        <f t="shared" si="50"/>
        <v>100.37101681291171</v>
      </c>
      <c r="BA286">
        <f t="shared" si="51"/>
        <v>99.678014026524394</v>
      </c>
      <c r="BB286">
        <f t="shared" si="52"/>
        <v>100.15478833233392</v>
      </c>
      <c r="BC286">
        <f t="shared" si="53"/>
        <v>147.9063204314123</v>
      </c>
      <c r="BD286">
        <f t="shared" si="54"/>
        <v>417.55921988783831</v>
      </c>
    </row>
    <row r="287" spans="1:56" x14ac:dyDescent="0.25">
      <c r="A287" t="s">
        <v>7</v>
      </c>
      <c r="B287" t="s">
        <v>8</v>
      </c>
      <c r="C287" t="s">
        <v>9</v>
      </c>
      <c r="D287" t="s">
        <v>10</v>
      </c>
      <c r="E287">
        <v>6</v>
      </c>
      <c r="F287" s="1">
        <v>45930</v>
      </c>
      <c r="G287">
        <v>-1.4034727465937299E-2</v>
      </c>
      <c r="K287" s="4">
        <v>43131</v>
      </c>
      <c r="L287" s="6">
        <v>6.1207383829752502E-3</v>
      </c>
      <c r="M287" s="6">
        <v>6.3482120793758503E-3</v>
      </c>
      <c r="N287" s="6">
        <v>-5.45777731817817E-3</v>
      </c>
      <c r="O287" s="6">
        <v>-4.3252204042818501E-2</v>
      </c>
      <c r="P287" s="6">
        <v>5.55938547938348E-3</v>
      </c>
      <c r="Q287" s="6">
        <v>-2.2085157335109601E-2</v>
      </c>
      <c r="R287" s="6">
        <v>-1.48649434932636E-2</v>
      </c>
      <c r="S287" s="6">
        <v>-3.12288916947885E-3</v>
      </c>
      <c r="T287" s="6">
        <v>-3.2208736107385602E-2</v>
      </c>
      <c r="U287" s="6">
        <v>-2.5712174465923701E-3</v>
      </c>
      <c r="V287" s="6">
        <v>-1.68483261765084E-3</v>
      </c>
      <c r="W287" s="6">
        <v>-4.4193341937352998E-2</v>
      </c>
      <c r="X287" s="6">
        <v>1.7127327726556601E-2</v>
      </c>
      <c r="Y287" s="6">
        <v>-0.13428543579953936</v>
      </c>
      <c r="AA287">
        <v>6.1207383829752502E-3</v>
      </c>
      <c r="AB287">
        <v>6.3482120793758503E-3</v>
      </c>
      <c r="AC287">
        <v>-5.45777731817817E-3</v>
      </c>
      <c r="AD287">
        <v>-4.3252204042818501E-2</v>
      </c>
      <c r="AE287">
        <v>5.55938547938348E-3</v>
      </c>
      <c r="AF287">
        <v>-2.2085157335109601E-2</v>
      </c>
      <c r="AG287">
        <v>-1.48649434932636E-2</v>
      </c>
      <c r="AH287">
        <v>-3.12288916947885E-3</v>
      </c>
      <c r="AI287">
        <v>-3.2208736107385602E-2</v>
      </c>
      <c r="AJ287">
        <v>-2.5712174465923701E-3</v>
      </c>
      <c r="AK287">
        <v>-1.68483261765084E-3</v>
      </c>
      <c r="AL287">
        <v>-4.4193341937352998E-2</v>
      </c>
      <c r="AM287">
        <v>1.7127327726556601E-2</v>
      </c>
      <c r="AN287">
        <f>+IBOV!C212</f>
        <v>0.15179068993581324</v>
      </c>
      <c r="AP287" s="1">
        <f t="shared" si="40"/>
        <v>43131</v>
      </c>
      <c r="AQ287">
        <f t="shared" si="41"/>
        <v>74.489154805373914</v>
      </c>
      <c r="AR287">
        <f t="shared" si="42"/>
        <v>141.39047768063969</v>
      </c>
      <c r="AS287">
        <f t="shared" si="43"/>
        <v>141.58110599091546</v>
      </c>
      <c r="AT287">
        <f t="shared" si="44"/>
        <v>77.015116909649052</v>
      </c>
      <c r="AU287">
        <f t="shared" si="45"/>
        <v>133.7105894763516</v>
      </c>
      <c r="AV287">
        <f t="shared" si="46"/>
        <v>303.84636729172695</v>
      </c>
      <c r="AW287">
        <f t="shared" si="47"/>
        <v>128.83894841947401</v>
      </c>
      <c r="AX287">
        <f t="shared" si="48"/>
        <v>132.06618921168857</v>
      </c>
      <c r="AY287">
        <f t="shared" si="49"/>
        <v>185.2795242423862</v>
      </c>
      <c r="AZ287">
        <f t="shared" si="50"/>
        <v>100.11294110335012</v>
      </c>
      <c r="BA287">
        <f t="shared" si="51"/>
        <v>99.510073257229848</v>
      </c>
      <c r="BB287">
        <f t="shared" si="52"/>
        <v>95.72861352489987</v>
      </c>
      <c r="BC287">
        <f t="shared" si="53"/>
        <v>150.43956045427021</v>
      </c>
      <c r="BD287">
        <f t="shared" si="54"/>
        <v>480.94082196367322</v>
      </c>
    </row>
    <row r="288" spans="1:56" x14ac:dyDescent="0.25">
      <c r="A288" t="s">
        <v>7</v>
      </c>
      <c r="B288" t="s">
        <v>8</v>
      </c>
      <c r="C288" t="s">
        <v>9</v>
      </c>
      <c r="D288" t="s">
        <v>10</v>
      </c>
      <c r="E288">
        <v>6</v>
      </c>
      <c r="F288" s="1">
        <v>45961</v>
      </c>
      <c r="G288">
        <v>-3.617139739262E-2</v>
      </c>
      <c r="K288" s="4">
        <v>43159</v>
      </c>
      <c r="L288" s="6">
        <v>3.7888018479929203E-2</v>
      </c>
      <c r="M288" s="6">
        <v>2.1299532318320201E-3</v>
      </c>
      <c r="N288" s="6">
        <v>7.2559448199884099E-3</v>
      </c>
      <c r="O288" s="6">
        <v>1.4272264972368901E-3</v>
      </c>
      <c r="P288" s="6">
        <v>4.67551766903958E-4</v>
      </c>
      <c r="Q288" s="6">
        <v>3.6959672751182802E-2</v>
      </c>
      <c r="R288" s="6">
        <v>1.9604010548401898E-2</v>
      </c>
      <c r="S288" s="6">
        <v>-6.5732729576927201E-3</v>
      </c>
      <c r="T288" s="6">
        <v>-1.01890973431827E-2</v>
      </c>
      <c r="U288" s="6">
        <v>4.8801325702452899E-3</v>
      </c>
      <c r="V288" s="6">
        <v>-1.95166893693338E-2</v>
      </c>
      <c r="W288" s="6">
        <v>2.5737226976398899E-4</v>
      </c>
      <c r="X288" s="6">
        <v>9.7231521906352095E-3</v>
      </c>
      <c r="Y288" s="6">
        <v>8.4313975455910461E-2</v>
      </c>
      <c r="AA288">
        <v>3.7888018479929203E-2</v>
      </c>
      <c r="AB288">
        <v>2.1299532318320201E-3</v>
      </c>
      <c r="AC288">
        <v>7.2559448199884099E-3</v>
      </c>
      <c r="AD288">
        <v>1.4272264972368901E-3</v>
      </c>
      <c r="AE288">
        <v>4.67551766903958E-4</v>
      </c>
      <c r="AF288">
        <v>3.6959672751182802E-2</v>
      </c>
      <c r="AG288">
        <v>1.9604010548401898E-2</v>
      </c>
      <c r="AH288">
        <v>-6.5732729576927201E-3</v>
      </c>
      <c r="AI288">
        <v>-1.01890973431827E-2</v>
      </c>
      <c r="AJ288">
        <v>4.8801325702452899E-3</v>
      </c>
      <c r="AK288">
        <v>-1.95166893693338E-2</v>
      </c>
      <c r="AL288">
        <v>2.5737226976398899E-4</v>
      </c>
      <c r="AM288">
        <v>9.7231521906352095E-3</v>
      </c>
      <c r="AN288">
        <f>+IBOV!C213</f>
        <v>-2.3826099063663841E-2</v>
      </c>
      <c r="AP288" s="1">
        <f t="shared" si="40"/>
        <v>43159</v>
      </c>
      <c r="AQ288">
        <f t="shared" si="41"/>
        <v>77.311401279194229</v>
      </c>
      <c r="AR288">
        <f t="shared" si="42"/>
        <v>141.69163278552583</v>
      </c>
      <c r="AS288">
        <f t="shared" si="43"/>
        <v>142.60841068353849</v>
      </c>
      <c r="AT288">
        <f t="shared" si="44"/>
        <v>77.125034925190292</v>
      </c>
      <c r="AU288">
        <f t="shared" si="45"/>
        <v>133.77310609871503</v>
      </c>
      <c r="AV288">
        <f t="shared" si="46"/>
        <v>315.07642959346487</v>
      </c>
      <c r="AW288">
        <f t="shared" si="47"/>
        <v>131.36470852333437</v>
      </c>
      <c r="AX288">
        <f t="shared" si="48"/>
        <v>131.19808210151785</v>
      </c>
      <c r="AY288">
        <f t="shared" si="49"/>
        <v>183.39169313418193</v>
      </c>
      <c r="AZ288">
        <f t="shared" si="50"/>
        <v>100.60150552793162</v>
      </c>
      <c r="BA288">
        <f t="shared" si="51"/>
        <v>97.567966068348838</v>
      </c>
      <c r="BB288">
        <f t="shared" si="52"/>
        <v>95.75325141544414</v>
      </c>
      <c r="BC288">
        <f t="shared" si="53"/>
        <v>151.90230719605933</v>
      </c>
      <c r="BD288">
        <f t="shared" si="54"/>
        <v>469.48187829580684</v>
      </c>
    </row>
    <row r="289" spans="1:56" x14ac:dyDescent="0.25">
      <c r="A289" t="s">
        <v>7</v>
      </c>
      <c r="B289" t="s">
        <v>8</v>
      </c>
      <c r="C289" t="s">
        <v>9</v>
      </c>
      <c r="D289" t="s">
        <v>10</v>
      </c>
      <c r="E289">
        <v>6</v>
      </c>
      <c r="F289" s="1">
        <v>45991</v>
      </c>
      <c r="G289">
        <v>1.1394085210785901E-2</v>
      </c>
      <c r="K289" s="4">
        <v>43190</v>
      </c>
      <c r="L289" s="6">
        <v>5.6196162699105899E-2</v>
      </c>
      <c r="M289" s="6">
        <v>-1.3791385042859199E-3</v>
      </c>
      <c r="N289" s="6">
        <v>-1.6362208492929301E-2</v>
      </c>
      <c r="O289" s="6">
        <v>2.4032171887905199E-2</v>
      </c>
      <c r="P289" s="6">
        <v>5.67700714169169E-3</v>
      </c>
      <c r="Q289" s="6">
        <v>5.0364965438403797E-2</v>
      </c>
      <c r="R289" s="6">
        <v>1.2806125913413799E-2</v>
      </c>
      <c r="S289" s="6">
        <v>3.70865984830774E-3</v>
      </c>
      <c r="T289" s="6">
        <v>5.7292346919737801E-3</v>
      </c>
      <c r="U289" s="6">
        <v>2.86882141270874E-2</v>
      </c>
      <c r="V289" s="6">
        <v>-2.4427135123166101E-2</v>
      </c>
      <c r="W289" s="6">
        <v>-8.1535561499753995E-3</v>
      </c>
      <c r="X289" s="6">
        <v>-1.08886419401658E-2</v>
      </c>
      <c r="Y289" s="6">
        <v>0.12599186153736674</v>
      </c>
      <c r="AA289">
        <v>5.6196162699105899E-2</v>
      </c>
      <c r="AB289">
        <v>-1.3791385042859199E-3</v>
      </c>
      <c r="AC289">
        <v>-1.6362208492929301E-2</v>
      </c>
      <c r="AD289">
        <v>2.4032171887905199E-2</v>
      </c>
      <c r="AE289">
        <v>5.67700714169169E-3</v>
      </c>
      <c r="AF289">
        <v>5.0364965438403797E-2</v>
      </c>
      <c r="AG289">
        <v>1.2806125913413799E-2</v>
      </c>
      <c r="AH289">
        <v>3.70865984830774E-3</v>
      </c>
      <c r="AI289">
        <v>5.7292346919737801E-3</v>
      </c>
      <c r="AJ289">
        <v>2.86882141270874E-2</v>
      </c>
      <c r="AK289">
        <v>-2.4427135123166101E-2</v>
      </c>
      <c r="AL289">
        <v>-8.1535561499753995E-3</v>
      </c>
      <c r="AM289">
        <v>-1.08886419401658E-2</v>
      </c>
      <c r="AN289">
        <f>+IBOV!C214</f>
        <v>-1.3189752001283583E-2</v>
      </c>
      <c r="AP289" s="1">
        <f t="shared" si="40"/>
        <v>43190</v>
      </c>
      <c r="AQ289">
        <f t="shared" si="41"/>
        <v>81.656005363975694</v>
      </c>
      <c r="AR289">
        <f t="shared" si="42"/>
        <v>141.49622039901615</v>
      </c>
      <c r="AS289">
        <f t="shared" si="43"/>
        <v>140.27502213508913</v>
      </c>
      <c r="AT289">
        <f t="shared" si="44"/>
        <v>78.978517021373165</v>
      </c>
      <c r="AU289">
        <f t="shared" si="45"/>
        <v>134.53253697740371</v>
      </c>
      <c r="AV289">
        <f t="shared" si="46"/>
        <v>330.94524308039536</v>
      </c>
      <c r="AW289">
        <f t="shared" si="47"/>
        <v>133.04698152126309</v>
      </c>
      <c r="AX289">
        <f t="shared" si="48"/>
        <v>131.68465116078275</v>
      </c>
      <c r="AY289">
        <f t="shared" si="49"/>
        <v>184.44238718470609</v>
      </c>
      <c r="AZ289">
        <f t="shared" si="50"/>
        <v>103.48758306002429</v>
      </c>
      <c r="BA289">
        <f t="shared" si="51"/>
        <v>95.184660177504796</v>
      </c>
      <c r="BB289">
        <f t="shared" si="52"/>
        <v>94.972521903485614</v>
      </c>
      <c r="BC289">
        <f t="shared" si="53"/>
        <v>150.24829736311636</v>
      </c>
      <c r="BD289">
        <f t="shared" si="54"/>
        <v>463.28952875198837</v>
      </c>
    </row>
    <row r="290" spans="1:56" x14ac:dyDescent="0.25">
      <c r="A290" t="s">
        <v>7</v>
      </c>
      <c r="B290" t="s">
        <v>8</v>
      </c>
      <c r="C290" t="s">
        <v>9</v>
      </c>
      <c r="D290" t="s">
        <v>10</v>
      </c>
      <c r="E290">
        <v>6</v>
      </c>
      <c r="F290" s="1">
        <v>46022</v>
      </c>
      <c r="G290">
        <v>-6.5301022066943507E-2</v>
      </c>
      <c r="K290" s="4">
        <v>43220</v>
      </c>
      <c r="L290" s="6">
        <v>3.0972629894116199E-2</v>
      </c>
      <c r="M290" s="6">
        <v>8.1404928905996696E-3</v>
      </c>
      <c r="N290" s="6">
        <v>2.51279598632883E-2</v>
      </c>
      <c r="O290" s="6">
        <v>1.42598940679203E-2</v>
      </c>
      <c r="P290" s="6">
        <v>-3.37447494063364E-2</v>
      </c>
      <c r="Q290" s="6">
        <v>4.97355924194572E-2</v>
      </c>
      <c r="R290" s="6">
        <v>3.023826569989E-2</v>
      </c>
      <c r="S290" s="6">
        <v>-2.2627008926012399E-2</v>
      </c>
      <c r="T290" s="6">
        <v>-2.1353155300884399E-2</v>
      </c>
      <c r="U290" s="6">
        <v>-1.407849721175E-2</v>
      </c>
      <c r="V290" s="6">
        <v>2.3788148367199499E-2</v>
      </c>
      <c r="W290" s="6">
        <v>5.3256538578022601E-2</v>
      </c>
      <c r="X290" s="6">
        <v>-1.23064533147056E-3</v>
      </c>
      <c r="Y290" s="6">
        <v>0.14248546560404002</v>
      </c>
      <c r="AA290">
        <v>3.0972629894116199E-2</v>
      </c>
      <c r="AB290">
        <v>8.1404928905996696E-3</v>
      </c>
      <c r="AC290">
        <v>2.51279598632883E-2</v>
      </c>
      <c r="AD290">
        <v>1.42598940679203E-2</v>
      </c>
      <c r="AE290">
        <v>-3.37447494063364E-2</v>
      </c>
      <c r="AF290">
        <v>4.97355924194572E-2</v>
      </c>
      <c r="AG290">
        <v>3.023826569989E-2</v>
      </c>
      <c r="AH290">
        <v>-2.2627008926012399E-2</v>
      </c>
      <c r="AI290">
        <v>-2.1353155300884399E-2</v>
      </c>
      <c r="AJ290">
        <v>-1.407849721175E-2</v>
      </c>
      <c r="AK290">
        <v>2.3788148367199499E-2</v>
      </c>
      <c r="AL290">
        <v>5.3256538578022601E-2</v>
      </c>
      <c r="AM290">
        <v>-1.23064533147056E-3</v>
      </c>
      <c r="AN290">
        <f>+IBOV!C215</f>
        <v>-5.7489539144197188E-2</v>
      </c>
      <c r="AP290" s="1">
        <f t="shared" si="40"/>
        <v>43220</v>
      </c>
      <c r="AQ290">
        <f t="shared" si="41"/>
        <v>84.185106596746081</v>
      </c>
      <c r="AR290">
        <f t="shared" si="42"/>
        <v>142.64806937522107</v>
      </c>
      <c r="AS290">
        <f t="shared" si="43"/>
        <v>143.79984726112153</v>
      </c>
      <c r="AT290">
        <f t="shared" si="44"/>
        <v>80.1047423077394</v>
      </c>
      <c r="AU290">
        <f t="shared" si="45"/>
        <v>129.99277023010254</v>
      </c>
      <c r="AV290">
        <f t="shared" si="46"/>
        <v>347.40500080340007</v>
      </c>
      <c r="AW290">
        <f t="shared" si="47"/>
        <v>137.07009149907142</v>
      </c>
      <c r="AX290">
        <f t="shared" si="48"/>
        <v>128.70502138354888</v>
      </c>
      <c r="AY290">
        <f t="shared" si="49"/>
        <v>180.50396024708522</v>
      </c>
      <c r="AZ290">
        <f t="shared" si="50"/>
        <v>102.030633410463</v>
      </c>
      <c r="BA290">
        <f t="shared" si="51"/>
        <v>97.448926996088758</v>
      </c>
      <c r="BB290">
        <f t="shared" si="52"/>
        <v>100.03042968009069</v>
      </c>
      <c r="BC290">
        <f t="shared" si="53"/>
        <v>150.06339499740506</v>
      </c>
      <c r="BD290">
        <f t="shared" si="54"/>
        <v>436.65522725370425</v>
      </c>
    </row>
    <row r="291" spans="1:56" x14ac:dyDescent="0.25">
      <c r="A291" t="s">
        <v>7</v>
      </c>
      <c r="B291" t="s">
        <v>11</v>
      </c>
      <c r="C291" t="s">
        <v>9</v>
      </c>
      <c r="D291" t="s">
        <v>10</v>
      </c>
      <c r="E291">
        <v>4</v>
      </c>
      <c r="F291" s="1">
        <v>35946</v>
      </c>
      <c r="G291">
        <v>2.8390387454216098E-2</v>
      </c>
      <c r="K291" s="4">
        <v>43251</v>
      </c>
      <c r="L291" s="6">
        <v>1.18069502600883E-2</v>
      </c>
      <c r="M291" s="6">
        <v>2.4571775315087902E-3</v>
      </c>
      <c r="N291" s="6">
        <v>-2.0059773830420801E-2</v>
      </c>
      <c r="O291" s="6">
        <v>1.76718981368904E-2</v>
      </c>
      <c r="P291" s="6">
        <v>1.5529662375084701E-2</v>
      </c>
      <c r="Q291" s="6">
        <v>4.7265435889533802E-2</v>
      </c>
      <c r="R291" s="6">
        <v>1.8410655344555198E-2</v>
      </c>
      <c r="S291" s="6">
        <v>-1.04331354639045E-2</v>
      </c>
      <c r="T291" s="6">
        <v>1.14539437065299E-4</v>
      </c>
      <c r="U291" s="6">
        <v>1.10999318308005E-2</v>
      </c>
      <c r="V291" s="6">
        <v>-1.1522463042003E-2</v>
      </c>
      <c r="W291" s="6">
        <v>1.1317843574873501E-2</v>
      </c>
      <c r="X291" s="6">
        <v>-8.4048089856963697E-3</v>
      </c>
      <c r="Y291" s="6">
        <v>8.5253913058375833E-2</v>
      </c>
      <c r="AA291">
        <v>1.18069502600883E-2</v>
      </c>
      <c r="AB291">
        <v>2.4571775315087902E-3</v>
      </c>
      <c r="AC291">
        <v>-2.0059773830420801E-2</v>
      </c>
      <c r="AD291">
        <v>1.76718981368904E-2</v>
      </c>
      <c r="AE291">
        <v>1.5529662375084701E-2</v>
      </c>
      <c r="AF291">
        <v>4.7265435889533802E-2</v>
      </c>
      <c r="AG291">
        <v>1.8410655344555198E-2</v>
      </c>
      <c r="AH291">
        <v>-1.04331354639045E-2</v>
      </c>
      <c r="AI291">
        <v>1.14539437065299E-4</v>
      </c>
      <c r="AJ291">
        <v>1.10999318308005E-2</v>
      </c>
      <c r="AK291">
        <v>-1.1522463042003E-2</v>
      </c>
      <c r="AL291">
        <v>1.1317843574873501E-2</v>
      </c>
      <c r="AM291">
        <v>-8.4048089856963697E-3</v>
      </c>
      <c r="AN291">
        <f>+IBOV!C216</f>
        <v>-0.15791915226425801</v>
      </c>
      <c r="AP291" s="1">
        <f t="shared" si="40"/>
        <v>43251</v>
      </c>
      <c r="AQ291">
        <f t="shared" si="41"/>
        <v>85.179075962974096</v>
      </c>
      <c r="AR291">
        <f t="shared" si="42"/>
        <v>142.99858100620295</v>
      </c>
      <c r="AS291">
        <f t="shared" si="43"/>
        <v>140.91525484821437</v>
      </c>
      <c r="AT291">
        <f t="shared" si="44"/>
        <v>81.520345154083628</v>
      </c>
      <c r="AU291">
        <f t="shared" si="45"/>
        <v>132.01151406297799</v>
      </c>
      <c r="AV291">
        <f t="shared" si="46"/>
        <v>363.82524959657655</v>
      </c>
      <c r="AW291">
        <f t="shared" si="47"/>
        <v>139.59364171170745</v>
      </c>
      <c r="AX291">
        <f t="shared" si="48"/>
        <v>127.36222446056959</v>
      </c>
      <c r="AY291">
        <f t="shared" si="49"/>
        <v>180.52463506908001</v>
      </c>
      <c r="AZ291">
        <f t="shared" si="50"/>
        <v>103.16316648597252</v>
      </c>
      <c r="BA291">
        <f t="shared" si="51"/>
        <v>96.326075336293471</v>
      </c>
      <c r="BB291">
        <f t="shared" si="52"/>
        <v>101.16255843593734</v>
      </c>
      <c r="BC291">
        <f t="shared" si="53"/>
        <v>148.80214082670676</v>
      </c>
      <c r="BD291">
        <f t="shared" si="54"/>
        <v>367.69900393404237</v>
      </c>
    </row>
    <row r="292" spans="1:56" x14ac:dyDescent="0.25">
      <c r="A292" t="s">
        <v>7</v>
      </c>
      <c r="B292" t="s">
        <v>11</v>
      </c>
      <c r="C292" t="s">
        <v>9</v>
      </c>
      <c r="D292" t="s">
        <v>10</v>
      </c>
      <c r="E292">
        <v>4</v>
      </c>
      <c r="F292" s="1">
        <v>35976</v>
      </c>
      <c r="G292">
        <v>-4.0877465332792198E-2</v>
      </c>
      <c r="K292" s="4">
        <v>43281</v>
      </c>
      <c r="L292" s="6">
        <v>-1.8438771500976601E-3</v>
      </c>
      <c r="M292" s="6">
        <v>8.1195426706024299E-3</v>
      </c>
      <c r="N292" s="6">
        <v>-9.2532133800945302E-3</v>
      </c>
      <c r="O292" s="6">
        <v>-8.9219136201577603E-3</v>
      </c>
      <c r="P292" s="6">
        <v>-8.3151688494321196E-3</v>
      </c>
      <c r="Q292" s="6">
        <v>4.5333031570538099E-2</v>
      </c>
      <c r="R292" s="6">
        <v>1.7854561218468901E-2</v>
      </c>
      <c r="S292" s="6">
        <v>-1.09045252094369E-2</v>
      </c>
      <c r="T292" s="6">
        <v>1.3547894116847899E-3</v>
      </c>
      <c r="U292" s="6">
        <v>8.7147544456822393E-3</v>
      </c>
      <c r="V292" s="6">
        <v>-2.9491982133770599E-2</v>
      </c>
      <c r="W292" s="6">
        <v>-5.8103630105835902E-3</v>
      </c>
      <c r="X292" s="6">
        <v>-1.7503349263060099E-2</v>
      </c>
      <c r="Y292" s="6">
        <v>-1.0667713299656793E-2</v>
      </c>
      <c r="AA292">
        <v>-1.8438771500976601E-3</v>
      </c>
      <c r="AB292">
        <v>8.1195426706024299E-3</v>
      </c>
      <c r="AC292">
        <v>-9.2532133800945302E-3</v>
      </c>
      <c r="AD292">
        <v>-8.9219136201577603E-3</v>
      </c>
      <c r="AE292">
        <v>-8.3151688494321196E-3</v>
      </c>
      <c r="AF292">
        <v>4.5333031570538099E-2</v>
      </c>
      <c r="AG292">
        <v>1.7854561218468901E-2</v>
      </c>
      <c r="AH292">
        <v>-1.09045252094369E-2</v>
      </c>
      <c r="AI292">
        <v>1.3547894116847899E-3</v>
      </c>
      <c r="AJ292">
        <v>8.7147544456822393E-3</v>
      </c>
      <c r="AK292">
        <v>-2.9491982133770599E-2</v>
      </c>
      <c r="AL292">
        <v>-5.8103630105835902E-3</v>
      </c>
      <c r="AM292">
        <v>-1.7503349263060099E-2</v>
      </c>
      <c r="AN292">
        <f>+IBOV!C217</f>
        <v>-8.5314940016845475E-2</v>
      </c>
      <c r="AP292" s="1">
        <f t="shared" si="40"/>
        <v>43281</v>
      </c>
      <c r="AQ292">
        <f t="shared" si="41"/>
        <v>85.02201621113953</v>
      </c>
      <c r="AR292">
        <f t="shared" si="42"/>
        <v>144.15966408651843</v>
      </c>
      <c r="AS292">
        <f t="shared" si="43"/>
        <v>139.61133592659345</v>
      </c>
      <c r="AT292">
        <f t="shared" si="44"/>
        <v>80.793027676333452</v>
      </c>
      <c r="AU292">
        <f t="shared" si="45"/>
        <v>130.91381603347514</v>
      </c>
      <c r="AV292">
        <f t="shared" si="46"/>
        <v>380.31855112269704</v>
      </c>
      <c r="AW292">
        <f t="shared" si="47"/>
        <v>142.08602493335815</v>
      </c>
      <c r="AX292">
        <f t="shared" si="48"/>
        <v>125.97339987320936</v>
      </c>
      <c r="AY292">
        <f t="shared" si="49"/>
        <v>180.76920793321986</v>
      </c>
      <c r="AZ292">
        <f t="shared" si="50"/>
        <v>104.06220814973682</v>
      </c>
      <c r="BA292">
        <f t="shared" si="51"/>
        <v>93.485228443459263</v>
      </c>
      <c r="BB292">
        <f t="shared" si="52"/>
        <v>100.57476724834517</v>
      </c>
      <c r="BC292">
        <f t="shared" si="53"/>
        <v>146.19760498472587</v>
      </c>
      <c r="BD292">
        <f t="shared" si="54"/>
        <v>336.32878546915572</v>
      </c>
    </row>
    <row r="293" spans="1:56" x14ac:dyDescent="0.25">
      <c r="A293" t="s">
        <v>7</v>
      </c>
      <c r="B293" t="s">
        <v>11</v>
      </c>
      <c r="C293" t="s">
        <v>9</v>
      </c>
      <c r="D293" t="s">
        <v>10</v>
      </c>
      <c r="E293">
        <v>2</v>
      </c>
      <c r="F293" s="1">
        <v>36007</v>
      </c>
      <c r="G293">
        <v>1.7335302175848E-2</v>
      </c>
      <c r="K293" s="4">
        <v>43312</v>
      </c>
      <c r="L293" s="6">
        <v>-2.5584183998541801E-2</v>
      </c>
      <c r="M293" s="6">
        <v>1.0393373140940099E-3</v>
      </c>
      <c r="N293" s="6">
        <v>-3.8581841384394198E-3</v>
      </c>
      <c r="O293" s="6">
        <v>1.8497975254790501E-2</v>
      </c>
      <c r="P293" s="6">
        <v>-1.46207730199553E-2</v>
      </c>
      <c r="Q293" s="6">
        <v>-1.54714900932247E-2</v>
      </c>
      <c r="R293" s="6">
        <v>7.0210728751752098E-3</v>
      </c>
      <c r="S293" s="6">
        <v>-8.9789711177082308E-3</v>
      </c>
      <c r="T293" s="6">
        <v>-5.1918899775707699E-3</v>
      </c>
      <c r="U293" s="6">
        <v>-4.9578203827771502E-3</v>
      </c>
      <c r="V293" s="6">
        <v>3.9701781453969198E-3</v>
      </c>
      <c r="W293" s="6">
        <v>1.04264223087414E-2</v>
      </c>
      <c r="X293" s="6">
        <v>-7.7476437420348195E-4</v>
      </c>
      <c r="Y293" s="6">
        <v>-3.8483091204222816E-2</v>
      </c>
      <c r="AA293">
        <v>-2.5584183998541801E-2</v>
      </c>
      <c r="AB293">
        <v>1.0393373140940099E-3</v>
      </c>
      <c r="AC293">
        <v>-3.8581841384394198E-3</v>
      </c>
      <c r="AD293">
        <v>1.8497975254790501E-2</v>
      </c>
      <c r="AE293">
        <v>-1.46207730199553E-2</v>
      </c>
      <c r="AF293">
        <v>-1.54714900932247E-2</v>
      </c>
      <c r="AG293">
        <v>7.0210728751752098E-3</v>
      </c>
      <c r="AH293">
        <v>-8.9789711177082308E-3</v>
      </c>
      <c r="AI293">
        <v>-5.1918899775707699E-3</v>
      </c>
      <c r="AJ293">
        <v>-4.9578203827771502E-3</v>
      </c>
      <c r="AK293">
        <v>3.9701781453969198E-3</v>
      </c>
      <c r="AL293">
        <v>1.04264223087414E-2</v>
      </c>
      <c r="AM293">
        <v>-7.7476437420348195E-4</v>
      </c>
      <c r="AN293">
        <f>+IBOV!C218</f>
        <v>0.12636755497595908</v>
      </c>
      <c r="AP293" s="1">
        <f t="shared" si="40"/>
        <v>43312</v>
      </c>
      <c r="AQ293">
        <f t="shared" si="41"/>
        <v>82.846797304466733</v>
      </c>
      <c r="AR293">
        <f t="shared" si="42"/>
        <v>144.30949460459081</v>
      </c>
      <c r="AS293">
        <f t="shared" si="43"/>
        <v>139.07268968477513</v>
      </c>
      <c r="AT293">
        <f t="shared" si="44"/>
        <v>82.287535103049876</v>
      </c>
      <c r="AU293">
        <f t="shared" si="45"/>
        <v>128.99975484407352</v>
      </c>
      <c r="AV293">
        <f t="shared" si="46"/>
        <v>374.43445642673265</v>
      </c>
      <c r="AW293">
        <f t="shared" si="47"/>
        <v>143.08362126895921</v>
      </c>
      <c r="AX293">
        <f t="shared" si="48"/>
        <v>124.84228835414831</v>
      </c>
      <c r="AY293">
        <f t="shared" si="49"/>
        <v>179.83067409429796</v>
      </c>
      <c r="AZ293">
        <f t="shared" si="50"/>
        <v>103.54628641309526</v>
      </c>
      <c r="BA293">
        <f t="shared" si="51"/>
        <v>93.856381454342923</v>
      </c>
      <c r="BB293">
        <f t="shared" si="52"/>
        <v>101.62340224527978</v>
      </c>
      <c r="BC293">
        <f t="shared" si="53"/>
        <v>146.08433628878984</v>
      </c>
      <c r="BD293">
        <f t="shared" si="54"/>
        <v>378.82983175692681</v>
      </c>
    </row>
    <row r="294" spans="1:56" x14ac:dyDescent="0.25">
      <c r="A294" t="s">
        <v>7</v>
      </c>
      <c r="B294" t="s">
        <v>11</v>
      </c>
      <c r="C294" t="s">
        <v>9</v>
      </c>
      <c r="D294" t="s">
        <v>10</v>
      </c>
      <c r="E294">
        <v>2</v>
      </c>
      <c r="F294" s="1">
        <v>36038</v>
      </c>
      <c r="G294">
        <v>-7.54710083371158E-2</v>
      </c>
      <c r="K294" s="4">
        <v>43343</v>
      </c>
      <c r="L294" s="6">
        <v>-1.7644069611558E-2</v>
      </c>
      <c r="M294" s="6">
        <v>8.73126379683648E-3</v>
      </c>
      <c r="N294" s="6">
        <v>-2.42596034406689E-3</v>
      </c>
      <c r="O294" s="6">
        <v>5.3033977345260802E-3</v>
      </c>
      <c r="P294" s="6">
        <v>2.5275601858905501E-2</v>
      </c>
      <c r="Q294" s="6">
        <v>3.9336014281290098E-2</v>
      </c>
      <c r="R294" s="6">
        <v>-3.3264758327006599E-3</v>
      </c>
      <c r="S294" s="6">
        <v>2.04846073717443E-2</v>
      </c>
      <c r="T294" s="6">
        <v>1.18211861714278E-2</v>
      </c>
      <c r="U294" s="6">
        <v>4.0333890066322504E-3</v>
      </c>
      <c r="V294" s="6">
        <v>3.2134511920590997E-2</v>
      </c>
      <c r="W294" s="6">
        <v>-1.1759861869379299E-2</v>
      </c>
      <c r="X294" s="6">
        <v>-1.53973661816388E-3</v>
      </c>
      <c r="Y294" s="6">
        <v>0.11042386786608477</v>
      </c>
      <c r="AA294">
        <v>-1.7644069611558E-2</v>
      </c>
      <c r="AB294">
        <v>8.73126379683648E-3</v>
      </c>
      <c r="AC294">
        <v>-2.42596034406689E-3</v>
      </c>
      <c r="AD294">
        <v>5.3033977345260802E-3</v>
      </c>
      <c r="AE294">
        <v>2.5275601858905501E-2</v>
      </c>
      <c r="AF294">
        <v>3.9336014281290098E-2</v>
      </c>
      <c r="AG294">
        <v>-3.3264758327006599E-3</v>
      </c>
      <c r="AH294">
        <v>2.04846073717443E-2</v>
      </c>
      <c r="AI294">
        <v>1.18211861714278E-2</v>
      </c>
      <c r="AJ294">
        <v>4.0333890066322504E-3</v>
      </c>
      <c r="AK294">
        <v>3.2134511920590997E-2</v>
      </c>
      <c r="AL294">
        <v>-1.1759861869379299E-2</v>
      </c>
      <c r="AM294">
        <v>-1.53973661816388E-3</v>
      </c>
      <c r="AN294">
        <f>+IBOV!C219</f>
        <v>-0.10110740894588455</v>
      </c>
      <c r="AP294" s="1">
        <f t="shared" si="40"/>
        <v>43343</v>
      </c>
      <c r="AQ294">
        <f t="shared" si="41"/>
        <v>81.385042645732085</v>
      </c>
      <c r="AR294">
        <f t="shared" si="42"/>
        <v>145.56949887037163</v>
      </c>
      <c r="AS294">
        <f t="shared" si="43"/>
        <v>138.73530485465716</v>
      </c>
      <c r="AT294">
        <f t="shared" si="44"/>
        <v>82.723938630295123</v>
      </c>
      <c r="AU294">
        <f t="shared" si="45"/>
        <v>132.26030128740874</v>
      </c>
      <c r="AV294">
        <f t="shared" si="46"/>
        <v>389.16321555214176</v>
      </c>
      <c r="AW294">
        <f t="shared" si="47"/>
        <v>142.60765706075273</v>
      </c>
      <c r="AX294">
        <f t="shared" si="48"/>
        <v>127.39963361447313</v>
      </c>
      <c r="AY294">
        <f t="shared" si="49"/>
        <v>181.95648597210004</v>
      </c>
      <c r="AZ294">
        <f t="shared" si="50"/>
        <v>103.96392886639143</v>
      </c>
      <c r="BA294">
        <f t="shared" si="51"/>
        <v>96.872410463011036</v>
      </c>
      <c r="BB294">
        <f t="shared" si="52"/>
        <v>100.42832507217892</v>
      </c>
      <c r="BC294">
        <f t="shared" si="53"/>
        <v>145.85940488686583</v>
      </c>
      <c r="BD294">
        <f t="shared" si="54"/>
        <v>340.52732903657858</v>
      </c>
    </row>
    <row r="295" spans="1:56" x14ac:dyDescent="0.25">
      <c r="A295" t="s">
        <v>7</v>
      </c>
      <c r="B295" t="s">
        <v>11</v>
      </c>
      <c r="C295" t="s">
        <v>9</v>
      </c>
      <c r="D295" t="s">
        <v>10</v>
      </c>
      <c r="E295">
        <v>2</v>
      </c>
      <c r="F295" s="1">
        <v>36068</v>
      </c>
      <c r="G295">
        <v>-0.20236442952816699</v>
      </c>
      <c r="K295" s="4">
        <v>43373</v>
      </c>
      <c r="L295" s="6">
        <v>-7.3953777005999798E-3</v>
      </c>
      <c r="M295" s="6">
        <v>1.99153046588312E-2</v>
      </c>
      <c r="N295" s="6">
        <v>7.1840074388779297E-3</v>
      </c>
      <c r="O295" s="6">
        <v>7.6404349041474199E-3</v>
      </c>
      <c r="P295" s="6">
        <v>-8.2560781995631602E-5</v>
      </c>
      <c r="Q295" s="6">
        <v>4.9059442742396799E-2</v>
      </c>
      <c r="R295" s="6">
        <v>1.3862523921302E-2</v>
      </c>
      <c r="S295" s="6">
        <v>-9.5682579419294599E-3</v>
      </c>
      <c r="T295" s="6">
        <v>-4.50721286458466E-3</v>
      </c>
      <c r="U295" s="6">
        <v>4.3270828888416603E-3</v>
      </c>
      <c r="V295" s="6">
        <v>4.6249423182589899E-2</v>
      </c>
      <c r="W295" s="6">
        <v>-1.0600467341232199E-3</v>
      </c>
      <c r="X295" s="6">
        <v>-7.8545543446885795E-3</v>
      </c>
      <c r="Y295" s="6">
        <v>0.11777020936906536</v>
      </c>
      <c r="AA295">
        <v>-7.3953777005999798E-3</v>
      </c>
      <c r="AB295">
        <v>1.99153046588312E-2</v>
      </c>
      <c r="AC295">
        <v>7.1840074388779297E-3</v>
      </c>
      <c r="AD295">
        <v>7.6404349041474199E-3</v>
      </c>
      <c r="AE295">
        <v>-8.2560781995631602E-5</v>
      </c>
      <c r="AF295">
        <v>4.9059442742396799E-2</v>
      </c>
      <c r="AG295">
        <v>1.3862523921302E-2</v>
      </c>
      <c r="AH295">
        <v>-9.5682579419294599E-3</v>
      </c>
      <c r="AI295">
        <v>-4.50721286458466E-3</v>
      </c>
      <c r="AJ295">
        <v>4.3270828888416603E-3</v>
      </c>
      <c r="AK295">
        <v>4.6249423182589899E-2</v>
      </c>
      <c r="AL295">
        <v>-1.0600467341232199E-3</v>
      </c>
      <c r="AM295">
        <v>-7.8545543446885795E-3</v>
      </c>
      <c r="AN295">
        <f>+IBOV!C220</f>
        <v>3.9441729674456916E-2</v>
      </c>
      <c r="AP295" s="1">
        <f t="shared" si="40"/>
        <v>43373</v>
      </c>
      <c r="AQ295">
        <f t="shared" si="41"/>
        <v>80.783169516187456</v>
      </c>
      <c r="AR295">
        <f t="shared" si="42"/>
        <v>148.46855978940846</v>
      </c>
      <c r="AS295">
        <f t="shared" si="43"/>
        <v>139.73198031676802</v>
      </c>
      <c r="AT295">
        <f t="shared" si="44"/>
        <v>83.355985498414583</v>
      </c>
      <c r="AU295">
        <f t="shared" si="45"/>
        <v>132.24938177350748</v>
      </c>
      <c r="AV295">
        <f t="shared" si="46"/>
        <v>408.25534604296905</v>
      </c>
      <c r="AW295">
        <f t="shared" si="47"/>
        <v>144.58455911811825</v>
      </c>
      <c r="AX295">
        <f t="shared" si="48"/>
        <v>126.18064105834254</v>
      </c>
      <c r="AY295">
        <f t="shared" si="49"/>
        <v>181.13636935773198</v>
      </c>
      <c r="AZ295">
        <f t="shared" si="50"/>
        <v>104.41378940404596</v>
      </c>
      <c r="BA295">
        <f t="shared" si="51"/>
        <v>101.35270356923238</v>
      </c>
      <c r="BB295">
        <f t="shared" si="52"/>
        <v>100.3218663541727</v>
      </c>
      <c r="BC295">
        <f t="shared" si="53"/>
        <v>144.71374426449799</v>
      </c>
      <c r="BD295">
        <f t="shared" si="54"/>
        <v>353.95831589520418</v>
      </c>
    </row>
    <row r="296" spans="1:56" x14ac:dyDescent="0.25">
      <c r="A296" t="s">
        <v>7</v>
      </c>
      <c r="B296" t="s">
        <v>11</v>
      </c>
      <c r="C296" t="s">
        <v>9</v>
      </c>
      <c r="D296" t="s">
        <v>10</v>
      </c>
      <c r="E296">
        <v>2</v>
      </c>
      <c r="F296" s="1">
        <v>36099</v>
      </c>
      <c r="G296">
        <v>0.174310289150236</v>
      </c>
      <c r="K296" s="4">
        <v>43404</v>
      </c>
      <c r="L296" s="6">
        <v>-1.9554772183340102E-2</v>
      </c>
      <c r="M296" s="6">
        <v>-3.5051472351541497E-2</v>
      </c>
      <c r="N296" s="6">
        <v>-1.3372868633575501E-2</v>
      </c>
      <c r="O296" s="6">
        <v>-5.4044799556477299E-2</v>
      </c>
      <c r="P296" s="6">
        <v>-8.03554429179512E-2</v>
      </c>
      <c r="Q296" s="6">
        <v>-0.121882381420543</v>
      </c>
      <c r="R296" s="6">
        <v>-3.0661185703671601E-2</v>
      </c>
      <c r="S296" s="6">
        <v>-6.2841539858243603E-2</v>
      </c>
      <c r="T296" s="6">
        <v>-8.7208054110596497E-2</v>
      </c>
      <c r="U296" s="6">
        <v>-5.0429575085962797E-2</v>
      </c>
      <c r="V296" s="6">
        <v>5.0529867540466601E-2</v>
      </c>
      <c r="W296" s="6">
        <v>1.17517924924733E-2</v>
      </c>
      <c r="X296" s="6">
        <v>4.2759737097266201E-2</v>
      </c>
      <c r="Y296" s="6">
        <v>-0.45036069469169687</v>
      </c>
      <c r="AA296">
        <v>-1.9554772183340102E-2</v>
      </c>
      <c r="AB296">
        <v>-3.5051472351541497E-2</v>
      </c>
      <c r="AC296">
        <v>-1.3372868633575501E-2</v>
      </c>
      <c r="AD296">
        <v>-5.4044799556477299E-2</v>
      </c>
      <c r="AE296">
        <v>-8.03554429179512E-2</v>
      </c>
      <c r="AF296">
        <v>-0.121882381420543</v>
      </c>
      <c r="AG296">
        <v>-3.0661185703671601E-2</v>
      </c>
      <c r="AH296">
        <v>-6.2841539858243603E-2</v>
      </c>
      <c r="AI296">
        <v>-8.7208054110596497E-2</v>
      </c>
      <c r="AJ296">
        <v>-5.0429575085962797E-2</v>
      </c>
      <c r="AK296">
        <v>5.0529867540466601E-2</v>
      </c>
      <c r="AL296">
        <v>1.17517924924733E-2</v>
      </c>
      <c r="AM296">
        <v>4.2759737097266201E-2</v>
      </c>
      <c r="AN296">
        <f>+IBOV!C221</f>
        <v>0.1903356555380562</v>
      </c>
      <c r="AP296" s="1">
        <f t="shared" si="40"/>
        <v>43404</v>
      </c>
      <c r="AQ296">
        <f t="shared" si="41"/>
        <v>79.20347304005027</v>
      </c>
      <c r="AR296">
        <f t="shared" si="42"/>
        <v>143.26451817087681</v>
      </c>
      <c r="AS296">
        <f t="shared" si="43"/>
        <v>137.86336290008254</v>
      </c>
      <c r="AT296">
        <f t="shared" si="44"/>
        <v>78.851027970320132</v>
      </c>
      <c r="AU296">
        <f t="shared" si="45"/>
        <v>121.62242412547207</v>
      </c>
      <c r="AV296">
        <f t="shared" si="46"/>
        <v>358.49621223958411</v>
      </c>
      <c r="AW296">
        <f t="shared" si="47"/>
        <v>140.15142510111414</v>
      </c>
      <c r="AX296">
        <f t="shared" si="48"/>
        <v>118.25125527393598</v>
      </c>
      <c r="AY296">
        <f t="shared" si="49"/>
        <v>165.33981905738588</v>
      </c>
      <c r="AZ296">
        <f t="shared" si="50"/>
        <v>99.148246371284714</v>
      </c>
      <c r="BA296">
        <f t="shared" si="51"/>
        <v>106.47404225545387</v>
      </c>
      <c r="BB296">
        <f t="shared" si="52"/>
        <v>101.50082811002457</v>
      </c>
      <c r="BC296">
        <f t="shared" si="53"/>
        <v>150.90166592360893</v>
      </c>
      <c r="BD296">
        <f t="shared" si="54"/>
        <v>421.32920398426427</v>
      </c>
    </row>
    <row r="297" spans="1:56" x14ac:dyDescent="0.25">
      <c r="A297" t="s">
        <v>7</v>
      </c>
      <c r="B297" t="s">
        <v>11</v>
      </c>
      <c r="C297" t="s">
        <v>9</v>
      </c>
      <c r="D297" t="s">
        <v>10</v>
      </c>
      <c r="E297">
        <v>2</v>
      </c>
      <c r="F297" s="1">
        <v>36129</v>
      </c>
      <c r="G297">
        <v>0.17261227823601299</v>
      </c>
      <c r="K297" s="4">
        <v>43434</v>
      </c>
      <c r="L297" s="6">
        <v>3.3643592299715003E-2</v>
      </c>
      <c r="M297" s="6">
        <v>-3.2925218849682497E-2</v>
      </c>
      <c r="N297" s="6">
        <v>-1.05833793527981E-2</v>
      </c>
      <c r="O297" s="6">
        <v>1.7860108115983798E-2</v>
      </c>
      <c r="P297" s="6">
        <v>1.53312468517536E-2</v>
      </c>
      <c r="Q297" s="6">
        <v>3.3638685775198001E-3</v>
      </c>
      <c r="R297" s="6">
        <v>-9.3446680683278906E-3</v>
      </c>
      <c r="S297" s="6">
        <v>-1.1269083716121399E-2</v>
      </c>
      <c r="T297" s="6">
        <v>2.4435421078621601E-2</v>
      </c>
      <c r="U297" s="6">
        <v>5.5790669309461402E-3</v>
      </c>
      <c r="V297" s="6">
        <v>-1.46863245966032E-2</v>
      </c>
      <c r="W297" s="6">
        <v>1.7758401941846701E-2</v>
      </c>
      <c r="X297" s="6">
        <v>-2.6052806013101198E-2</v>
      </c>
      <c r="Y297" s="6">
        <v>1.3110225199752357E-2</v>
      </c>
      <c r="AA297">
        <v>3.3643592299715003E-2</v>
      </c>
      <c r="AB297">
        <v>-3.2925218849682497E-2</v>
      </c>
      <c r="AC297">
        <v>-1.05833793527981E-2</v>
      </c>
      <c r="AD297">
        <v>1.7860108115983798E-2</v>
      </c>
      <c r="AE297">
        <v>1.53312468517536E-2</v>
      </c>
      <c r="AF297">
        <v>3.3638685775198001E-3</v>
      </c>
      <c r="AG297">
        <v>-9.3446680683278906E-3</v>
      </c>
      <c r="AH297">
        <v>-1.1269083716121399E-2</v>
      </c>
      <c r="AI297">
        <v>2.4435421078621601E-2</v>
      </c>
      <c r="AJ297">
        <v>5.5790669309461402E-3</v>
      </c>
      <c r="AK297">
        <v>-1.46863245966032E-2</v>
      </c>
      <c r="AL297">
        <v>1.7758401941846701E-2</v>
      </c>
      <c r="AM297">
        <v>-2.6052806013101198E-2</v>
      </c>
      <c r="AN297">
        <f>+IBOV!C222</f>
        <v>-8.7173843079135782E-3</v>
      </c>
      <c r="AP297" s="1">
        <f t="shared" si="40"/>
        <v>43434</v>
      </c>
      <c r="AQ297">
        <f t="shared" si="41"/>
        <v>81.86816239573119</v>
      </c>
      <c r="AR297">
        <f t="shared" si="42"/>
        <v>138.54750255670638</v>
      </c>
      <c r="AS297">
        <f t="shared" si="43"/>
        <v>136.40430263165848</v>
      </c>
      <c r="AT297">
        <f t="shared" si="44"/>
        <v>80.259315854926498</v>
      </c>
      <c r="AU297">
        <f t="shared" si="45"/>
        <v>123.48704753244836</v>
      </c>
      <c r="AV297">
        <f t="shared" si="46"/>
        <v>359.7021463830967</v>
      </c>
      <c r="AW297">
        <f t="shared" si="47"/>
        <v>138.8417565542411</v>
      </c>
      <c r="AX297">
        <f t="shared" si="48"/>
        <v>116.91867197871755</v>
      </c>
      <c r="AY297">
        <f t="shared" si="49"/>
        <v>169.3799671571162</v>
      </c>
      <c r="AZ297">
        <f t="shared" si="50"/>
        <v>99.701401073876042</v>
      </c>
      <c r="BA297">
        <f t="shared" si="51"/>
        <v>104.91032990977783</v>
      </c>
      <c r="BB297">
        <f t="shared" si="52"/>
        <v>103.30332061303267</v>
      </c>
      <c r="BC297">
        <f t="shared" si="53"/>
        <v>146.97025409424734</v>
      </c>
      <c r="BD297">
        <f t="shared" si="54"/>
        <v>417.65631539298613</v>
      </c>
    </row>
    <row r="298" spans="1:56" x14ac:dyDescent="0.25">
      <c r="A298" t="s">
        <v>7</v>
      </c>
      <c r="B298" t="s">
        <v>11</v>
      </c>
      <c r="C298" t="s">
        <v>9</v>
      </c>
      <c r="D298" t="s">
        <v>10</v>
      </c>
      <c r="E298">
        <v>4</v>
      </c>
      <c r="F298" s="1">
        <v>36160</v>
      </c>
      <c r="G298">
        <v>-2.48572265598529E-2</v>
      </c>
      <c r="K298" s="4">
        <v>43465</v>
      </c>
      <c r="L298" s="6">
        <v>-3.4719165851917498E-2</v>
      </c>
      <c r="M298" s="6">
        <v>3.2924557762589899E-3</v>
      </c>
      <c r="N298" s="6">
        <v>-2.1999237238674699E-2</v>
      </c>
      <c r="O298" s="6">
        <v>-2.7099191048789401E-2</v>
      </c>
      <c r="P298" s="6">
        <v>-1.4655990487323399E-3</v>
      </c>
      <c r="Q298" s="6">
        <v>3.8504597440098799E-2</v>
      </c>
      <c r="R298" s="6">
        <v>5.8434038483224197E-3</v>
      </c>
      <c r="S298" s="6">
        <v>-9.1579414462106198E-3</v>
      </c>
      <c r="T298" s="6">
        <v>8.6550895689367306E-3</v>
      </c>
      <c r="U298" s="6">
        <v>-3.9355590741473601E-3</v>
      </c>
      <c r="V298" s="6">
        <v>1.6902125407009E-2</v>
      </c>
      <c r="W298" s="6">
        <v>1.0403194851913E-2</v>
      </c>
      <c r="X298" s="6">
        <v>-1.08994668662248E-2</v>
      </c>
      <c r="Y298" s="6">
        <v>-2.5675293682157783E-2</v>
      </c>
      <c r="AA298">
        <v>-3.4719165851917498E-2</v>
      </c>
      <c r="AB298">
        <v>3.2924557762589899E-3</v>
      </c>
      <c r="AC298">
        <v>-2.1999237238674699E-2</v>
      </c>
      <c r="AD298">
        <v>-2.7099191048789401E-2</v>
      </c>
      <c r="AE298">
        <v>-1.4655990487323399E-3</v>
      </c>
      <c r="AF298">
        <v>3.8504597440098799E-2</v>
      </c>
      <c r="AG298">
        <v>5.8434038483224197E-3</v>
      </c>
      <c r="AH298">
        <v>-9.1579414462106198E-3</v>
      </c>
      <c r="AI298">
        <v>8.6550895689367306E-3</v>
      </c>
      <c r="AJ298">
        <v>-3.9355590741473601E-3</v>
      </c>
      <c r="AK298">
        <v>1.6902125407009E-2</v>
      </c>
      <c r="AL298">
        <v>1.0403194851913E-2</v>
      </c>
      <c r="AM298">
        <v>-1.08994668662248E-2</v>
      </c>
      <c r="AN298">
        <f>+IBOV!C223</f>
        <v>-2.5404129273268627E-2</v>
      </c>
      <c r="AP298" s="1">
        <f t="shared" si="40"/>
        <v>43465</v>
      </c>
      <c r="AQ298">
        <f t="shared" si="41"/>
        <v>79.025768087522081</v>
      </c>
      <c r="AR298">
        <f t="shared" si="42"/>
        <v>139.00366408178547</v>
      </c>
      <c r="AS298">
        <f t="shared" si="43"/>
        <v>133.40351201768866</v>
      </c>
      <c r="AT298">
        <f t="shared" si="44"/>
        <v>78.084353321128717</v>
      </c>
      <c r="AU298">
        <f t="shared" si="45"/>
        <v>123.30606503305404</v>
      </c>
      <c r="AV298">
        <f t="shared" si="46"/>
        <v>373.55233272791736</v>
      </c>
      <c r="AW298">
        <f t="shared" si="47"/>
        <v>139.653065008798</v>
      </c>
      <c r="AX298">
        <f t="shared" si="48"/>
        <v>115.84793762676775</v>
      </c>
      <c r="AY298">
        <f t="shared" si="49"/>
        <v>170.84596594404462</v>
      </c>
      <c r="AZ298">
        <f t="shared" si="50"/>
        <v>99.30902032017454</v>
      </c>
      <c r="BA298">
        <f t="shared" si="51"/>
        <v>106.68353746240358</v>
      </c>
      <c r="BB298">
        <f t="shared" si="52"/>
        <v>104.37800518621968</v>
      </c>
      <c r="BC298">
        <f t="shared" si="53"/>
        <v>145.36835667942646</v>
      </c>
      <c r="BD298">
        <f t="shared" si="54"/>
        <v>407.04612036494564</v>
      </c>
    </row>
    <row r="299" spans="1:56" x14ac:dyDescent="0.25">
      <c r="A299" t="s">
        <v>7</v>
      </c>
      <c r="B299" t="s">
        <v>11</v>
      </c>
      <c r="C299" t="s">
        <v>9</v>
      </c>
      <c r="D299" t="s">
        <v>10</v>
      </c>
      <c r="E299">
        <v>4</v>
      </c>
      <c r="F299" s="1">
        <v>36191</v>
      </c>
      <c r="G299">
        <v>3.8167257216758503E-2</v>
      </c>
      <c r="K299" s="4">
        <v>43496</v>
      </c>
      <c r="L299" s="6">
        <v>2.59892616453756E-2</v>
      </c>
      <c r="M299" s="6">
        <v>-3.96743210566365E-2</v>
      </c>
      <c r="N299" s="6">
        <v>2.87638731575343E-2</v>
      </c>
      <c r="O299" s="6">
        <v>-6.5658609224194101E-2</v>
      </c>
      <c r="P299" s="6">
        <v>-2.8041013122304101E-2</v>
      </c>
      <c r="Q299" s="6">
        <v>-2.1382705686751401E-2</v>
      </c>
      <c r="R299" s="6">
        <v>-2.6969188243469399E-2</v>
      </c>
      <c r="S299" s="6">
        <v>-8.9168686425175198E-3</v>
      </c>
      <c r="T299" s="6">
        <v>-3.3639267135529199E-2</v>
      </c>
      <c r="U299" s="6">
        <v>-4.0145825384082699E-2</v>
      </c>
      <c r="V299" s="6">
        <v>-8.1280435879691401E-3</v>
      </c>
      <c r="W299" s="6">
        <v>-4.0026296563141599E-2</v>
      </c>
      <c r="X299" s="6">
        <v>4.5067602471320502E-2</v>
      </c>
      <c r="Y299" s="6">
        <v>-0.21276140137236529</v>
      </c>
      <c r="AA299">
        <v>2.59892616453756E-2</v>
      </c>
      <c r="AB299">
        <v>-3.96743210566365E-2</v>
      </c>
      <c r="AC299">
        <v>2.87638731575343E-2</v>
      </c>
      <c r="AD299">
        <v>-6.5658609224194101E-2</v>
      </c>
      <c r="AE299">
        <v>-2.8041013122304101E-2</v>
      </c>
      <c r="AF299">
        <v>-2.1382705686751401E-2</v>
      </c>
      <c r="AG299">
        <v>-2.6969188243469399E-2</v>
      </c>
      <c r="AH299">
        <v>-8.9168686425175198E-3</v>
      </c>
      <c r="AI299">
        <v>-3.3639267135529199E-2</v>
      </c>
      <c r="AJ299">
        <v>-4.0145825384082699E-2</v>
      </c>
      <c r="AK299">
        <v>-8.1280435879691401E-3</v>
      </c>
      <c r="AL299">
        <v>-4.0026296563141599E-2</v>
      </c>
      <c r="AM299">
        <v>4.5067602471320502E-2</v>
      </c>
      <c r="AN299">
        <f>+IBOV!C224</f>
        <v>0.18769561051042771</v>
      </c>
      <c r="AP299" s="1">
        <f t="shared" si="40"/>
        <v>43496</v>
      </c>
      <c r="AQ299">
        <f t="shared" si="41"/>
        <v>81.079589451075464</v>
      </c>
      <c r="AR299">
        <f t="shared" si="42"/>
        <v>133.48878808495587</v>
      </c>
      <c r="AS299">
        <f t="shared" si="43"/>
        <v>137.24071371613508</v>
      </c>
      <c r="AT299">
        <f t="shared" si="44"/>
        <v>72.957443279892829</v>
      </c>
      <c r="AU299">
        <f t="shared" si="45"/>
        <v>119.84843804540249</v>
      </c>
      <c r="AV299">
        <f t="shared" si="46"/>
        <v>365.56477313859688</v>
      </c>
      <c r="AW299">
        <f t="shared" si="47"/>
        <v>135.88673520979825</v>
      </c>
      <c r="AX299">
        <f t="shared" si="48"/>
        <v>114.81493678444329</v>
      </c>
      <c r="AY299">
        <f t="shared" si="49"/>
        <v>165.09883285662536</v>
      </c>
      <c r="AZ299">
        <f t="shared" si="50"/>
        <v>95.322177731336495</v>
      </c>
      <c r="BA299">
        <f t="shared" si="51"/>
        <v>105.81640901979043</v>
      </c>
      <c r="BB299">
        <f t="shared" si="52"/>
        <v>100.20014019596692</v>
      </c>
      <c r="BC299">
        <f t="shared" si="53"/>
        <v>151.91975999016398</v>
      </c>
      <c r="BD299">
        <f t="shared" si="54"/>
        <v>483.44689043274514</v>
      </c>
    </row>
    <row r="300" spans="1:56" x14ac:dyDescent="0.25">
      <c r="A300" t="s">
        <v>7</v>
      </c>
      <c r="B300" t="s">
        <v>11</v>
      </c>
      <c r="C300" t="s">
        <v>9</v>
      </c>
      <c r="D300" t="s">
        <v>10</v>
      </c>
      <c r="E300">
        <v>4</v>
      </c>
      <c r="F300" s="1">
        <v>36311</v>
      </c>
      <c r="G300">
        <v>1.5469954651317799E-2</v>
      </c>
      <c r="K300" s="4">
        <v>43524</v>
      </c>
      <c r="L300" s="6">
        <v>-1.6820791205935302E-2</v>
      </c>
      <c r="M300" s="6">
        <v>-1.02963499817564E-2</v>
      </c>
      <c r="N300" s="6">
        <v>-1.1492492454131999E-2</v>
      </c>
      <c r="O300" s="6">
        <v>4.5021349602380398E-3</v>
      </c>
      <c r="P300" s="6">
        <v>-1.2806051824793E-2</v>
      </c>
      <c r="Q300" s="6">
        <v>-5.8665463773497403E-3</v>
      </c>
      <c r="R300" s="6">
        <v>1.75068285019668E-2</v>
      </c>
      <c r="S300" s="6">
        <v>2.73088164655797E-3</v>
      </c>
      <c r="T300" s="6">
        <v>1.6355741370853899E-4</v>
      </c>
      <c r="U300" s="6">
        <v>2.1574172052347298E-3</v>
      </c>
      <c r="V300" s="6">
        <v>-9.1523923051392998E-6</v>
      </c>
      <c r="W300" s="6">
        <v>8.2327252915239107E-3</v>
      </c>
      <c r="X300" s="6">
        <v>-8.7988582638238305E-3</v>
      </c>
      <c r="Y300" s="6">
        <v>-3.0796697480865422E-2</v>
      </c>
      <c r="AA300">
        <v>-1.6820791205935302E-2</v>
      </c>
      <c r="AB300">
        <v>-1.02963499817564E-2</v>
      </c>
      <c r="AC300">
        <v>-1.1492492454131999E-2</v>
      </c>
      <c r="AD300">
        <v>4.5021349602380398E-3</v>
      </c>
      <c r="AE300">
        <v>-1.2806051824793E-2</v>
      </c>
      <c r="AF300">
        <v>-5.8665463773497403E-3</v>
      </c>
      <c r="AG300">
        <v>1.75068285019668E-2</v>
      </c>
      <c r="AH300">
        <v>2.73088164655797E-3</v>
      </c>
      <c r="AI300">
        <v>1.6355741370853899E-4</v>
      </c>
      <c r="AJ300">
        <v>2.1574172052347298E-3</v>
      </c>
      <c r="AK300">
        <v>-9.1523923051392998E-6</v>
      </c>
      <c r="AL300">
        <v>8.2327252915239107E-3</v>
      </c>
      <c r="AM300">
        <v>-8.7988582638238305E-3</v>
      </c>
      <c r="AN300">
        <f>+IBOV!C225</f>
        <v>-5.2235730832759009E-2</v>
      </c>
      <c r="AP300" s="1">
        <f t="shared" si="40"/>
        <v>43524</v>
      </c>
      <c r="AQ300">
        <f t="shared" si="41"/>
        <v>79.715766605855976</v>
      </c>
      <c r="AR300">
        <f t="shared" si="42"/>
        <v>132.11434080419264</v>
      </c>
      <c r="AS300">
        <f t="shared" si="43"/>
        <v>135.66347584935269</v>
      </c>
      <c r="AT300">
        <f t="shared" si="44"/>
        <v>73.285907535892818</v>
      </c>
      <c r="AU300">
        <f t="shared" si="45"/>
        <v>118.31365273667257</v>
      </c>
      <c r="AV300">
        <f t="shared" si="46"/>
        <v>363.42017044305396</v>
      </c>
      <c r="AW300">
        <f t="shared" si="47"/>
        <v>138.26568097880835</v>
      </c>
      <c r="AX300">
        <f t="shared" si="48"/>
        <v>115.12848278805863</v>
      </c>
      <c r="AY300">
        <f t="shared" si="49"/>
        <v>165.12583599473368</v>
      </c>
      <c r="AZ300">
        <f t="shared" si="50"/>
        <v>95.527827437614533</v>
      </c>
      <c r="BA300">
        <f t="shared" si="51"/>
        <v>105.81544054650276</v>
      </c>
      <c r="BB300">
        <f t="shared" si="52"/>
        <v>101.02506042437251</v>
      </c>
      <c r="BC300">
        <f t="shared" si="53"/>
        <v>150.58303955453638</v>
      </c>
      <c r="BD300">
        <f t="shared" si="54"/>
        <v>458.19368879216591</v>
      </c>
    </row>
    <row r="301" spans="1:56" x14ac:dyDescent="0.25">
      <c r="A301" t="s">
        <v>7</v>
      </c>
      <c r="B301" t="s">
        <v>11</v>
      </c>
      <c r="C301" t="s">
        <v>9</v>
      </c>
      <c r="D301" t="s">
        <v>10</v>
      </c>
      <c r="E301">
        <v>4</v>
      </c>
      <c r="F301" s="1">
        <v>36341</v>
      </c>
      <c r="G301">
        <v>0.110427214469908</v>
      </c>
      <c r="K301" s="4">
        <v>43555</v>
      </c>
      <c r="L301" s="6">
        <v>-4.9471568594989497E-3</v>
      </c>
      <c r="M301" s="6">
        <v>1.50841461974298E-2</v>
      </c>
      <c r="N301" s="6">
        <v>2.8918578301952401E-3</v>
      </c>
      <c r="O301" s="6">
        <v>7.0337571837700398E-3</v>
      </c>
      <c r="P301" s="6">
        <v>-8.5371245043358406E-3</v>
      </c>
      <c r="Q301" s="6">
        <v>3.3836170057650401E-3</v>
      </c>
      <c r="R301" s="6">
        <v>9.3228904712174699E-3</v>
      </c>
      <c r="S301" s="6">
        <v>-1.3166912191039E-2</v>
      </c>
      <c r="T301" s="6">
        <v>1.28602683805073E-2</v>
      </c>
      <c r="U301" s="6">
        <v>1.6002158827222501E-2</v>
      </c>
      <c r="V301" s="6">
        <v>-1.9479108239671201E-2</v>
      </c>
      <c r="W301" s="6">
        <v>1.89274268335115E-2</v>
      </c>
      <c r="X301" s="6">
        <v>1.72519537024E-2</v>
      </c>
      <c r="Y301" s="6">
        <v>5.6627774637473899E-2</v>
      </c>
      <c r="AA301">
        <v>-4.9471568594989497E-3</v>
      </c>
      <c r="AB301">
        <v>1.50841461974298E-2</v>
      </c>
      <c r="AC301">
        <v>2.8918578301952401E-3</v>
      </c>
      <c r="AD301">
        <v>7.0337571837700398E-3</v>
      </c>
      <c r="AE301">
        <v>-8.5371245043358406E-3</v>
      </c>
      <c r="AF301">
        <v>3.3836170057650401E-3</v>
      </c>
      <c r="AG301">
        <v>9.3228904712174699E-3</v>
      </c>
      <c r="AH301">
        <v>-1.3166912191039E-2</v>
      </c>
      <c r="AI301">
        <v>1.28602683805073E-2</v>
      </c>
      <c r="AJ301">
        <v>1.6002158827222501E-2</v>
      </c>
      <c r="AK301">
        <v>-1.9479108239671201E-2</v>
      </c>
      <c r="AL301">
        <v>1.89274268335115E-2</v>
      </c>
      <c r="AM301">
        <v>1.72519537024E-2</v>
      </c>
      <c r="AN301">
        <f>+IBOV!C226</f>
        <v>-4.6744269314802245E-2</v>
      </c>
      <c r="AP301" s="1">
        <f t="shared" si="40"/>
        <v>43555</v>
      </c>
      <c r="AQ301">
        <f t="shared" si="41"/>
        <v>79.321400204281602</v>
      </c>
      <c r="AR301">
        <f t="shared" si="42"/>
        <v>134.10717283566015</v>
      </c>
      <c r="AS301">
        <f t="shared" si="43"/>
        <v>136.05579533425916</v>
      </c>
      <c r="AT301">
        <f t="shared" si="44"/>
        <v>73.801382814492513</v>
      </c>
      <c r="AU301">
        <f t="shared" si="45"/>
        <v>117.30359435269683</v>
      </c>
      <c r="AV301">
        <f t="shared" si="46"/>
        <v>364.64984511200311</v>
      </c>
      <c r="AW301">
        <f t="shared" si="47"/>
        <v>139.55471677850207</v>
      </c>
      <c r="AX301">
        <f t="shared" si="48"/>
        <v>113.61259616450072</v>
      </c>
      <c r="AY301">
        <f t="shared" si="49"/>
        <v>167.24939856218157</v>
      </c>
      <c r="AZ301">
        <f t="shared" si="50"/>
        <v>97.056478904690749</v>
      </c>
      <c r="BA301">
        <f t="shared" si="51"/>
        <v>103.75425012666894</v>
      </c>
      <c r="BB301">
        <f t="shared" si="52"/>
        <v>102.9372048639059</v>
      </c>
      <c r="BC301">
        <f t="shared" si="53"/>
        <v>153.18089118129794</v>
      </c>
      <c r="BD301">
        <f t="shared" si="54"/>
        <v>436.7757596049222</v>
      </c>
    </row>
    <row r="302" spans="1:56" x14ac:dyDescent="0.25">
      <c r="A302" t="s">
        <v>7</v>
      </c>
      <c r="B302" t="s">
        <v>11</v>
      </c>
      <c r="C302" t="s">
        <v>9</v>
      </c>
      <c r="D302" t="s">
        <v>10</v>
      </c>
      <c r="E302">
        <v>4</v>
      </c>
      <c r="F302" s="1">
        <v>36372</v>
      </c>
      <c r="G302">
        <v>1.9767958327147599E-2</v>
      </c>
      <c r="K302" s="4">
        <v>43585</v>
      </c>
      <c r="L302" s="6">
        <v>-2.40765285941253E-3</v>
      </c>
      <c r="M302" s="6">
        <v>2.56713225610209E-2</v>
      </c>
      <c r="N302" s="6">
        <v>1.7884638534438099E-2</v>
      </c>
      <c r="O302" s="6">
        <v>9.8769044986504306E-4</v>
      </c>
      <c r="P302" s="6">
        <v>-8.0495218446271898E-3</v>
      </c>
      <c r="Q302" s="6">
        <v>2.80034146933116E-2</v>
      </c>
      <c r="R302" s="6">
        <v>-1.47565577364995E-2</v>
      </c>
      <c r="S302" s="6">
        <v>-1.75354393006317E-2</v>
      </c>
      <c r="T302" s="6">
        <v>1.9596559037880799E-2</v>
      </c>
      <c r="U302" s="6">
        <v>1.76718650871329E-2</v>
      </c>
      <c r="V302" s="6">
        <v>-3.3580496271848503E-2</v>
      </c>
      <c r="W302" s="6">
        <v>-5.2892074588693997E-3</v>
      </c>
      <c r="X302" s="6">
        <v>2.49274907885878E-3</v>
      </c>
      <c r="Y302" s="6">
        <v>3.0689363970619294E-2</v>
      </c>
      <c r="AA302">
        <v>-2.40765285941253E-3</v>
      </c>
      <c r="AB302">
        <v>2.56713225610209E-2</v>
      </c>
      <c r="AC302">
        <v>1.7884638534438099E-2</v>
      </c>
      <c r="AD302">
        <v>9.8769044986504306E-4</v>
      </c>
      <c r="AE302">
        <v>-8.0495218446271898E-3</v>
      </c>
      <c r="AF302">
        <v>2.80034146933116E-2</v>
      </c>
      <c r="AG302">
        <v>-1.47565577364995E-2</v>
      </c>
      <c r="AH302">
        <v>-1.75354393006317E-2</v>
      </c>
      <c r="AI302">
        <v>1.9596559037880799E-2</v>
      </c>
      <c r="AJ302">
        <v>1.76718650871329E-2</v>
      </c>
      <c r="AK302">
        <v>-3.3580496271848503E-2</v>
      </c>
      <c r="AL302">
        <v>-5.2892074588693997E-3</v>
      </c>
      <c r="AM302">
        <v>2.49274907885878E-3</v>
      </c>
      <c r="AN302">
        <f>+IBOV!C227</f>
        <v>9.7582289542674783E-3</v>
      </c>
      <c r="AP302" s="1">
        <f t="shared" si="40"/>
        <v>43585</v>
      </c>
      <c r="AQ302">
        <f t="shared" si="41"/>
        <v>79.130421808267158</v>
      </c>
      <c r="AR302">
        <f t="shared" si="42"/>
        <v>137.54988132727098</v>
      </c>
      <c r="AS302">
        <f t="shared" si="43"/>
        <v>138.48910405432787</v>
      </c>
      <c r="AT302">
        <f t="shared" si="44"/>
        <v>73.874275735485227</v>
      </c>
      <c r="AU302">
        <f t="shared" si="45"/>
        <v>116.35935650750152</v>
      </c>
      <c r="AV302">
        <f t="shared" si="46"/>
        <v>374.86128594252642</v>
      </c>
      <c r="AW302">
        <f t="shared" si="47"/>
        <v>137.49536954295925</v>
      </c>
      <c r="AX302">
        <f t="shared" si="48"/>
        <v>111.62034938067093</v>
      </c>
      <c r="AY302">
        <f t="shared" si="49"/>
        <v>170.52691127515541</v>
      </c>
      <c r="AZ302">
        <f t="shared" si="50"/>
        <v>98.771647905726596</v>
      </c>
      <c r="BA302">
        <f t="shared" si="51"/>
        <v>100.27013091710189</v>
      </c>
      <c r="BB302">
        <f t="shared" si="52"/>
        <v>102.39274863214456</v>
      </c>
      <c r="BC302">
        <f t="shared" si="53"/>
        <v>153.56273270668891</v>
      </c>
      <c r="BD302">
        <f t="shared" si="54"/>
        <v>441.03791746882115</v>
      </c>
    </row>
    <row r="303" spans="1:56" x14ac:dyDescent="0.25">
      <c r="A303" t="s">
        <v>7</v>
      </c>
      <c r="B303" t="s">
        <v>11</v>
      </c>
      <c r="C303" t="s">
        <v>9</v>
      </c>
      <c r="D303" t="s">
        <v>10</v>
      </c>
      <c r="E303">
        <v>4</v>
      </c>
      <c r="F303" s="1">
        <v>36403</v>
      </c>
      <c r="G303">
        <v>7.2547591085254201E-2</v>
      </c>
      <c r="K303" s="4">
        <v>43616</v>
      </c>
      <c r="L303" s="6">
        <v>-4.34275876975641E-2</v>
      </c>
      <c r="M303" s="6">
        <v>2.9128165297395099E-2</v>
      </c>
      <c r="N303" s="6">
        <v>1.31936708207788E-3</v>
      </c>
      <c r="O303" s="6">
        <v>-1.8347813738689302E-2</v>
      </c>
      <c r="P303" s="6">
        <v>1.0609108817641699E-3</v>
      </c>
      <c r="Q303" s="6">
        <v>5.6855359130421002E-2</v>
      </c>
      <c r="R303" s="6">
        <v>2.4678172540295099E-2</v>
      </c>
      <c r="S303" s="6">
        <v>-6.58248841169079E-3</v>
      </c>
      <c r="T303" s="6">
        <v>8.7392180620891793E-3</v>
      </c>
      <c r="U303" s="6">
        <v>-4.0291940451817297E-3</v>
      </c>
      <c r="V303" s="6">
        <v>-1.81473518112906E-2</v>
      </c>
      <c r="W303" s="6">
        <v>7.4671764300038501E-3</v>
      </c>
      <c r="X303" s="6">
        <v>1.3249509235110399E-2</v>
      </c>
      <c r="Y303" s="6">
        <v>5.1963442954740161E-2</v>
      </c>
      <c r="AA303">
        <v>-4.34275876975641E-2</v>
      </c>
      <c r="AB303">
        <v>2.9128165297395099E-2</v>
      </c>
      <c r="AC303">
        <v>1.31936708207788E-3</v>
      </c>
      <c r="AD303">
        <v>-1.8347813738689302E-2</v>
      </c>
      <c r="AE303">
        <v>1.0609108817641699E-3</v>
      </c>
      <c r="AF303">
        <v>5.6855359130421002E-2</v>
      </c>
      <c r="AG303">
        <v>2.4678172540295099E-2</v>
      </c>
      <c r="AH303">
        <v>-6.58248841169079E-3</v>
      </c>
      <c r="AI303">
        <v>8.7392180620891793E-3</v>
      </c>
      <c r="AJ303">
        <v>-4.0291940451817297E-3</v>
      </c>
      <c r="AK303">
        <v>-1.81473518112906E-2</v>
      </c>
      <c r="AL303">
        <v>7.4671764300038501E-3</v>
      </c>
      <c r="AM303">
        <v>1.3249509235110399E-2</v>
      </c>
      <c r="AN303">
        <f>+IBOV!C228</f>
        <v>6.2819315705966439E-3</v>
      </c>
      <c r="AP303" s="1">
        <f t="shared" si="40"/>
        <v>43616</v>
      </c>
      <c r="AQ303">
        <f t="shared" si="41"/>
        <v>75.693978475643405</v>
      </c>
      <c r="AR303">
        <f t="shared" si="42"/>
        <v>141.55645700720882</v>
      </c>
      <c r="AS303">
        <f t="shared" si="43"/>
        <v>138.67182201944362</v>
      </c>
      <c r="AT303">
        <f t="shared" si="44"/>
        <v>72.518844284209962</v>
      </c>
      <c r="AU303">
        <f t="shared" si="45"/>
        <v>116.4828034150154</v>
      </c>
      <c r="AV303">
        <f t="shared" si="46"/>
        <v>396.1741589788802</v>
      </c>
      <c r="AW303">
        <f t="shared" si="47"/>
        <v>140.88850399603203</v>
      </c>
      <c r="AX303">
        <f t="shared" si="48"/>
        <v>110.88560972436379</v>
      </c>
      <c r="AY303">
        <f t="shared" si="49"/>
        <v>172.01718313824352</v>
      </c>
      <c r="AZ303">
        <f t="shared" si="50"/>
        <v>98.373677770152057</v>
      </c>
      <c r="BA303">
        <f t="shared" si="51"/>
        <v>98.450493575185078</v>
      </c>
      <c r="BB303">
        <f t="shared" si="52"/>
        <v>103.15733335133382</v>
      </c>
      <c r="BC303">
        <f t="shared" si="53"/>
        <v>155.59736355185495</v>
      </c>
      <c r="BD303">
        <f t="shared" si="54"/>
        <v>443.80848748639875</v>
      </c>
    </row>
    <row r="304" spans="1:56" x14ac:dyDescent="0.25">
      <c r="A304" t="s">
        <v>7</v>
      </c>
      <c r="B304" t="s">
        <v>11</v>
      </c>
      <c r="C304" t="s">
        <v>9</v>
      </c>
      <c r="D304" t="s">
        <v>10</v>
      </c>
      <c r="E304">
        <v>4</v>
      </c>
      <c r="F304" s="1">
        <v>36433</v>
      </c>
      <c r="G304">
        <v>-0.10659359419084601</v>
      </c>
      <c r="K304" s="4">
        <v>43646</v>
      </c>
      <c r="L304" s="6">
        <v>8.14636265244431E-5</v>
      </c>
      <c r="M304" s="6">
        <v>-2.5590487399184498E-3</v>
      </c>
      <c r="N304" s="6">
        <v>-9.5305932732898894E-3</v>
      </c>
      <c r="O304" s="6">
        <v>8.1501865702597997E-3</v>
      </c>
      <c r="P304" s="6">
        <v>6.2799522261668102E-3</v>
      </c>
      <c r="Q304" s="6">
        <v>-2.3518974936104602E-2</v>
      </c>
      <c r="R304" s="6">
        <v>-4.1323664393447701E-4</v>
      </c>
      <c r="S304" s="6">
        <v>-9.4906908269998501E-3</v>
      </c>
      <c r="T304" s="6">
        <v>5.1859051301584604E-4</v>
      </c>
      <c r="U304" s="6">
        <v>-1.71956792912611E-2</v>
      </c>
      <c r="V304" s="6">
        <v>1.3392986022459599E-2</v>
      </c>
      <c r="W304" s="6">
        <v>4.4878754045667303E-2</v>
      </c>
      <c r="X304" s="6">
        <v>-3.6465807194919699E-3</v>
      </c>
      <c r="Y304" s="6">
        <v>6.9471285730934584E-3</v>
      </c>
      <c r="AA304">
        <v>8.14636265244431E-5</v>
      </c>
      <c r="AB304">
        <v>-2.5590487399184498E-3</v>
      </c>
      <c r="AC304">
        <v>-9.5305932732898894E-3</v>
      </c>
      <c r="AD304">
        <v>8.1501865702597997E-3</v>
      </c>
      <c r="AE304">
        <v>6.2799522261668102E-3</v>
      </c>
      <c r="AF304">
        <v>-2.3518974936104602E-2</v>
      </c>
      <c r="AG304">
        <v>-4.1323664393447701E-4</v>
      </c>
      <c r="AH304">
        <v>-9.4906908269998501E-3</v>
      </c>
      <c r="AI304">
        <v>5.1859051301584604E-4</v>
      </c>
      <c r="AJ304">
        <v>-1.71956792912611E-2</v>
      </c>
      <c r="AK304">
        <v>1.3392986022459599E-2</v>
      </c>
      <c r="AL304">
        <v>4.4878754045667303E-2</v>
      </c>
      <c r="AM304">
        <v>-3.6465807194919699E-3</v>
      </c>
      <c r="AN304">
        <f>+IBOV!C229</f>
        <v>6.3064626248071631E-2</v>
      </c>
      <c r="AP304" s="1">
        <f t="shared" si="40"/>
        <v>43646</v>
      </c>
      <c r="AQ304">
        <f t="shared" si="41"/>
        <v>75.700144781636098</v>
      </c>
      <c r="AR304">
        <f t="shared" si="42"/>
        <v>141.19420713427721</v>
      </c>
      <c r="AS304">
        <f t="shared" si="43"/>
        <v>137.35019728531026</v>
      </c>
      <c r="AT304">
        <f t="shared" si="44"/>
        <v>73.109886394985892</v>
      </c>
      <c r="AU304">
        <f t="shared" si="45"/>
        <v>117.21430985563167</v>
      </c>
      <c r="AV304">
        <f t="shared" si="46"/>
        <v>386.85654886352364</v>
      </c>
      <c r="AW304">
        <f t="shared" si="47"/>
        <v>140.83028370347176</v>
      </c>
      <c r="AX304">
        <f t="shared" si="48"/>
        <v>109.83322868530648</v>
      </c>
      <c r="AY304">
        <f t="shared" si="49"/>
        <v>172.10638961749473</v>
      </c>
      <c r="AZ304">
        <f t="shared" si="50"/>
        <v>96.682075556514661</v>
      </c>
      <c r="BA304">
        <f t="shared" si="51"/>
        <v>99.769039659541775</v>
      </c>
      <c r="BB304">
        <f t="shared" si="52"/>
        <v>107.78690594281524</v>
      </c>
      <c r="BC304">
        <f t="shared" si="53"/>
        <v>155.02996520592296</v>
      </c>
      <c r="BD304">
        <f t="shared" si="54"/>
        <v>471.79710387545043</v>
      </c>
    </row>
    <row r="305" spans="1:56" x14ac:dyDescent="0.25">
      <c r="A305" t="s">
        <v>7</v>
      </c>
      <c r="B305" t="s">
        <v>11</v>
      </c>
      <c r="C305" t="s">
        <v>9</v>
      </c>
      <c r="D305" t="s">
        <v>10</v>
      </c>
      <c r="E305">
        <v>4</v>
      </c>
      <c r="F305" s="1">
        <v>36464</v>
      </c>
      <c r="G305">
        <v>-0.102295333851335</v>
      </c>
      <c r="K305" s="4">
        <v>43677</v>
      </c>
      <c r="L305" s="6">
        <v>9.1574815691219703E-3</v>
      </c>
      <c r="M305" s="6">
        <v>9.6876793127775394E-3</v>
      </c>
      <c r="N305" s="6">
        <v>-9.7882614364712198E-3</v>
      </c>
      <c r="O305" s="6">
        <v>1.2712298016422201E-2</v>
      </c>
      <c r="P305" s="6">
        <v>-2.3836389433699E-2</v>
      </c>
      <c r="Q305" s="6">
        <v>4.5303493693459401E-2</v>
      </c>
      <c r="R305" s="6">
        <v>1.13870975947724E-2</v>
      </c>
      <c r="S305" s="6">
        <v>-2.2427930837944799E-2</v>
      </c>
      <c r="T305" s="6">
        <v>3.5694970293510498E-3</v>
      </c>
      <c r="U305" s="6">
        <v>-8.2571712402991996E-3</v>
      </c>
      <c r="V305" s="6">
        <v>-1.52888410879852E-2</v>
      </c>
      <c r="W305" s="6">
        <v>2.41405491127273E-2</v>
      </c>
      <c r="X305" s="6">
        <v>-2.35070081990526E-2</v>
      </c>
      <c r="Y305" s="6">
        <v>1.2852494093179848E-2</v>
      </c>
      <c r="AA305">
        <v>9.1574815691219703E-3</v>
      </c>
      <c r="AB305">
        <v>9.6876793127775394E-3</v>
      </c>
      <c r="AC305">
        <v>-9.7882614364712198E-3</v>
      </c>
      <c r="AD305">
        <v>1.2712298016422201E-2</v>
      </c>
      <c r="AE305">
        <v>-2.3836389433699E-2</v>
      </c>
      <c r="AF305">
        <v>4.5303493693459401E-2</v>
      </c>
      <c r="AG305">
        <v>1.13870975947724E-2</v>
      </c>
      <c r="AH305">
        <v>-2.2427930837944799E-2</v>
      </c>
      <c r="AI305">
        <v>3.5694970293510498E-3</v>
      </c>
      <c r="AJ305">
        <v>-8.2571712402991996E-3</v>
      </c>
      <c r="AK305">
        <v>-1.52888410879852E-2</v>
      </c>
      <c r="AL305">
        <v>2.41405491127273E-2</v>
      </c>
      <c r="AM305">
        <v>-2.35070081990526E-2</v>
      </c>
      <c r="AN305">
        <f>+IBOV!C230</f>
        <v>1.7840668776700763E-2</v>
      </c>
      <c r="AP305" s="1">
        <f t="shared" si="40"/>
        <v>43677</v>
      </c>
      <c r="AQ305">
        <f t="shared" si="41"/>
        <v>76.393367462253792</v>
      </c>
      <c r="AR305">
        <f t="shared" si="42"/>
        <v>142.56205133381599</v>
      </c>
      <c r="AS305">
        <f t="shared" si="43"/>
        <v>136.00577764593075</v>
      </c>
      <c r="AT305">
        <f t="shared" si="44"/>
        <v>74.039281058785733</v>
      </c>
      <c r="AU305">
        <f t="shared" si="45"/>
        <v>114.42034391871057</v>
      </c>
      <c r="AV305">
        <f t="shared" si="46"/>
        <v>404.38250208523573</v>
      </c>
      <c r="AW305">
        <f t="shared" si="47"/>
        <v>142.43393188830268</v>
      </c>
      <c r="AX305">
        <f t="shared" si="48"/>
        <v>107.36989662864426</v>
      </c>
      <c r="AY305">
        <f t="shared" si="49"/>
        <v>172.7207228639667</v>
      </c>
      <c r="AZ305">
        <f t="shared" si="50"/>
        <v>95.883755102776973</v>
      </c>
      <c r="BA305">
        <f t="shared" si="51"/>
        <v>98.243686666686145</v>
      </c>
      <c r="BB305">
        <f t="shared" si="52"/>
        <v>110.38894103943669</v>
      </c>
      <c r="BC305">
        <f t="shared" si="53"/>
        <v>151.38567454272848</v>
      </c>
      <c r="BD305">
        <f t="shared" si="54"/>
        <v>480.21427973549902</v>
      </c>
    </row>
    <row r="306" spans="1:56" x14ac:dyDescent="0.25">
      <c r="A306" t="s">
        <v>7</v>
      </c>
      <c r="B306" t="s">
        <v>11</v>
      </c>
      <c r="C306" t="s">
        <v>9</v>
      </c>
      <c r="D306" t="s">
        <v>10</v>
      </c>
      <c r="E306">
        <v>2</v>
      </c>
      <c r="F306" s="1">
        <v>36494</v>
      </c>
      <c r="G306">
        <v>0.137215737523743</v>
      </c>
      <c r="K306" s="4">
        <v>43708</v>
      </c>
      <c r="L306" s="6">
        <v>2.27548705780296E-3</v>
      </c>
      <c r="M306" s="6">
        <v>1.5275661820275101E-2</v>
      </c>
      <c r="N306" s="6">
        <v>9.5209410948291096E-3</v>
      </c>
      <c r="O306" s="6">
        <v>-9.6679373383676097E-3</v>
      </c>
      <c r="P306" s="6">
        <v>-1.5028804633028E-2</v>
      </c>
      <c r="Q306" s="6">
        <v>5.2730591192430898E-2</v>
      </c>
      <c r="R306" s="6">
        <v>2.50770057980793E-2</v>
      </c>
      <c r="S306" s="6">
        <v>-2.2428515292133099E-2</v>
      </c>
      <c r="T306" s="6">
        <v>1.2294707908038899E-2</v>
      </c>
      <c r="U306" s="6">
        <v>3.6936657108286499E-3</v>
      </c>
      <c r="V306" s="6">
        <v>-2.9697902150216001E-2</v>
      </c>
      <c r="W306" s="6">
        <v>-4.6768633367937198E-4</v>
      </c>
      <c r="X306" s="6">
        <v>-4.6663646810584297E-2</v>
      </c>
      <c r="Y306" s="6">
        <v>-3.086431975723461E-3</v>
      </c>
      <c r="AA306">
        <v>2.27548705780296E-3</v>
      </c>
      <c r="AB306">
        <v>1.5275661820275101E-2</v>
      </c>
      <c r="AC306">
        <v>9.5209410948291096E-3</v>
      </c>
      <c r="AD306">
        <v>-9.6679373383676097E-3</v>
      </c>
      <c r="AE306">
        <v>-1.5028804633028E-2</v>
      </c>
      <c r="AF306">
        <v>5.2730591192430898E-2</v>
      </c>
      <c r="AG306">
        <v>2.50770057980793E-2</v>
      </c>
      <c r="AH306">
        <v>-2.2428515292133099E-2</v>
      </c>
      <c r="AI306">
        <v>1.2294707908038899E-2</v>
      </c>
      <c r="AJ306">
        <v>3.6936657108286499E-3</v>
      </c>
      <c r="AK306">
        <v>-2.9697902150216001E-2</v>
      </c>
      <c r="AL306">
        <v>-4.6768633367937198E-4</v>
      </c>
      <c r="AM306">
        <v>-4.6663646810584297E-2</v>
      </c>
      <c r="AN306">
        <f>+IBOV!C231</f>
        <v>-7.8875812254232125E-2</v>
      </c>
      <c r="AP306" s="1">
        <f t="shared" si="40"/>
        <v>43708</v>
      </c>
      <c r="AQ306">
        <f t="shared" si="41"/>
        <v>76.567199581216144</v>
      </c>
      <c r="AR306">
        <f t="shared" si="42"/>
        <v>144.73978101839606</v>
      </c>
      <c r="AS306">
        <f t="shared" si="43"/>
        <v>137.30068064345409</v>
      </c>
      <c r="AT306">
        <f t="shared" si="44"/>
        <v>73.323473928931605</v>
      </c>
      <c r="AU306">
        <f t="shared" si="45"/>
        <v>112.7007429239124</v>
      </c>
      <c r="AV306">
        <f t="shared" si="46"/>
        <v>425.70583048806463</v>
      </c>
      <c r="AW306">
        <f t="shared" si="47"/>
        <v>146.0057484241089</v>
      </c>
      <c r="AX306">
        <f t="shared" si="48"/>
        <v>104.96174926019395</v>
      </c>
      <c r="AY306">
        <f t="shared" si="49"/>
        <v>174.8442737012445</v>
      </c>
      <c r="AZ306">
        <f t="shared" si="50"/>
        <v>96.237917641225593</v>
      </c>
      <c r="BA306">
        <f t="shared" si="51"/>
        <v>95.326055273182419</v>
      </c>
      <c r="BB306">
        <f t="shared" si="52"/>
        <v>110.33731364032322</v>
      </c>
      <c r="BC306">
        <f t="shared" si="53"/>
        <v>144.32146689368454</v>
      </c>
      <c r="BD306">
        <f t="shared" si="54"/>
        <v>442.33698836528049</v>
      </c>
    </row>
    <row r="307" spans="1:56" x14ac:dyDescent="0.25">
      <c r="A307" t="s">
        <v>7</v>
      </c>
      <c r="B307" t="s">
        <v>11</v>
      </c>
      <c r="C307" t="s">
        <v>9</v>
      </c>
      <c r="D307" t="s">
        <v>10</v>
      </c>
      <c r="E307">
        <v>4</v>
      </c>
      <c r="F307" s="1">
        <v>36525</v>
      </c>
      <c r="G307">
        <v>-3.5008426325093697E-2</v>
      </c>
      <c r="K307" s="4">
        <v>43738</v>
      </c>
      <c r="L307" s="6">
        <v>2.8649995189112501E-2</v>
      </c>
      <c r="M307" s="6">
        <v>-1.38197196783018E-2</v>
      </c>
      <c r="N307" s="6">
        <v>-4.8494848114701604E-3</v>
      </c>
      <c r="O307" s="6">
        <v>3.19776108917472E-3</v>
      </c>
      <c r="P307" s="6">
        <v>1.07058567953393E-3</v>
      </c>
      <c r="Q307" s="6">
        <v>-2.4487788319386701E-2</v>
      </c>
      <c r="R307" s="6">
        <v>-1.23009679665699E-2</v>
      </c>
      <c r="S307" s="6">
        <v>-2.6683056561521402E-3</v>
      </c>
      <c r="T307" s="6">
        <v>-6.0384579437558596E-3</v>
      </c>
      <c r="U307" s="6">
        <v>1.32594816946747E-2</v>
      </c>
      <c r="V307" s="6">
        <v>-9.6164896565042405E-3</v>
      </c>
      <c r="W307" s="6">
        <v>-4.8534345505172197E-3</v>
      </c>
      <c r="X307" s="6">
        <v>2.59188240109495E-3</v>
      </c>
      <c r="Y307" s="6">
        <v>-2.9864942529067223E-2</v>
      </c>
      <c r="AA307">
        <v>2.8649995189112501E-2</v>
      </c>
      <c r="AB307">
        <v>-1.38197196783018E-2</v>
      </c>
      <c r="AC307">
        <v>-4.8494848114701604E-3</v>
      </c>
      <c r="AD307">
        <v>3.19776108917472E-3</v>
      </c>
      <c r="AE307">
        <v>1.07058567953393E-3</v>
      </c>
      <c r="AF307">
        <v>-2.4487788319386701E-2</v>
      </c>
      <c r="AG307">
        <v>-1.23009679665699E-2</v>
      </c>
      <c r="AH307">
        <v>-2.6683056561521402E-3</v>
      </c>
      <c r="AI307">
        <v>-6.0384579437558596E-3</v>
      </c>
      <c r="AJ307">
        <v>1.32594816946747E-2</v>
      </c>
      <c r="AK307">
        <v>-9.6164896565042405E-3</v>
      </c>
      <c r="AL307">
        <v>-4.8534345505172197E-3</v>
      </c>
      <c r="AM307">
        <v>2.59188240109495E-3</v>
      </c>
      <c r="AN307">
        <f>+IBOV!C232</f>
        <v>2.7812890284979019E-2</v>
      </c>
      <c r="AP307" s="1">
        <f t="shared" si="40"/>
        <v>43738</v>
      </c>
      <c r="AQ307">
        <f t="shared" si="41"/>
        <v>78.760849480861808</v>
      </c>
      <c r="AR307">
        <f t="shared" si="42"/>
        <v>142.73951781842305</v>
      </c>
      <c r="AS307">
        <f t="shared" si="43"/>
        <v>136.63484307806914</v>
      </c>
      <c r="AT307">
        <f t="shared" si="44"/>
        <v>73.55794488078466</v>
      </c>
      <c r="AU307">
        <f t="shared" si="45"/>
        <v>112.82139872535957</v>
      </c>
      <c r="AV307">
        <f t="shared" si="46"/>
        <v>415.28123622474419</v>
      </c>
      <c r="AW307">
        <f t="shared" si="47"/>
        <v>144.20973638980888</v>
      </c>
      <c r="AX307">
        <f t="shared" si="48"/>
        <v>104.68167923096335</v>
      </c>
      <c r="AY307">
        <f t="shared" si="49"/>
        <v>173.78848390779299</v>
      </c>
      <c r="AZ307">
        <f t="shared" si="50"/>
        <v>97.513982548523032</v>
      </c>
      <c r="BA307">
        <f t="shared" si="51"/>
        <v>94.409353248652508</v>
      </c>
      <c r="BB307">
        <f t="shared" si="52"/>
        <v>109.80179871009001</v>
      </c>
      <c r="BC307">
        <f t="shared" si="53"/>
        <v>144.69553116382647</v>
      </c>
      <c r="BD307">
        <f t="shared" si="54"/>
        <v>454.63965849167209</v>
      </c>
    </row>
    <row r="308" spans="1:56" x14ac:dyDescent="0.25">
      <c r="A308" t="s">
        <v>7</v>
      </c>
      <c r="B308" t="s">
        <v>11</v>
      </c>
      <c r="C308" t="s">
        <v>9</v>
      </c>
      <c r="D308" t="s">
        <v>10</v>
      </c>
      <c r="E308">
        <v>4</v>
      </c>
      <c r="F308" s="1">
        <v>36556</v>
      </c>
      <c r="G308">
        <v>-0.16395568050579701</v>
      </c>
      <c r="K308" s="4">
        <v>43769</v>
      </c>
      <c r="L308" s="6">
        <v>-1.7240719440120199E-2</v>
      </c>
      <c r="M308" s="6">
        <v>-8.5815078051690794E-3</v>
      </c>
      <c r="N308" s="6">
        <v>-2.8851483125561701E-2</v>
      </c>
      <c r="O308" s="6">
        <v>2.9302594804709599E-2</v>
      </c>
      <c r="P308" s="6">
        <v>-1.11036536315184E-2</v>
      </c>
      <c r="Q308" s="6">
        <v>2.5603798647349098E-2</v>
      </c>
      <c r="R308" s="6">
        <v>4.8772323715094599E-3</v>
      </c>
      <c r="S308" s="6">
        <v>-9.865254423976821E-4</v>
      </c>
      <c r="T308" s="6">
        <v>1.30086644378392E-2</v>
      </c>
      <c r="U308" s="6">
        <v>-2.5144094497531098E-2</v>
      </c>
      <c r="V308" s="6">
        <v>2.6920528781902001E-2</v>
      </c>
      <c r="W308" s="6">
        <v>1.2729651204050599E-2</v>
      </c>
      <c r="X308" s="6">
        <v>-2.13970184092694E-2</v>
      </c>
      <c r="Y308" s="6">
        <v>-8.6253210420760007E-4</v>
      </c>
      <c r="AA308">
        <v>-1.7240719440120199E-2</v>
      </c>
      <c r="AB308">
        <v>-8.5815078051690794E-3</v>
      </c>
      <c r="AC308">
        <v>-2.8851483125561701E-2</v>
      </c>
      <c r="AD308">
        <v>2.9302594804709599E-2</v>
      </c>
      <c r="AE308">
        <v>-1.11036536315184E-2</v>
      </c>
      <c r="AF308">
        <v>2.5603798647349098E-2</v>
      </c>
      <c r="AG308">
        <v>4.8772323715094599E-3</v>
      </c>
      <c r="AH308">
        <v>-9.865254423976821E-4</v>
      </c>
      <c r="AI308">
        <v>1.30086644378392E-2</v>
      </c>
      <c r="AJ308">
        <v>-2.5144094497531098E-2</v>
      </c>
      <c r="AK308">
        <v>2.6920528781902001E-2</v>
      </c>
      <c r="AL308">
        <v>1.2729651204050599E-2</v>
      </c>
      <c r="AM308">
        <v>-2.13970184092694E-2</v>
      </c>
      <c r="AN308">
        <f>+IBOV!C233</f>
        <v>5.8627508017924823E-2</v>
      </c>
      <c r="AP308" s="1">
        <f t="shared" si="40"/>
        <v>43769</v>
      </c>
      <c r="AQ308">
        <f t="shared" si="41"/>
        <v>77.402955772096732</v>
      </c>
      <c r="AR308">
        <f t="shared" si="42"/>
        <v>141.51459753215818</v>
      </c>
      <c r="AS308">
        <f t="shared" si="43"/>
        <v>132.69272520863845</v>
      </c>
      <c r="AT308">
        <f t="shared" si="44"/>
        <v>75.713383534293456</v>
      </c>
      <c r="AU308">
        <f t="shared" si="45"/>
        <v>111.56866899168975</v>
      </c>
      <c r="AV308">
        <f t="shared" si="46"/>
        <v>425.91401337906478</v>
      </c>
      <c r="AW308">
        <f t="shared" si="47"/>
        <v>144.91308078441608</v>
      </c>
      <c r="AX308">
        <f t="shared" si="48"/>
        <v>104.5784080910491</v>
      </c>
      <c r="AY308">
        <f t="shared" si="49"/>
        <v>176.04923997811028</v>
      </c>
      <c r="AZ308">
        <f t="shared" si="50"/>
        <v>95.062081756492375</v>
      </c>
      <c r="BA308">
        <f t="shared" si="51"/>
        <v>96.950902960063615</v>
      </c>
      <c r="BB308">
        <f t="shared" si="52"/>
        <v>111.19953730924684</v>
      </c>
      <c r="BC308">
        <f t="shared" si="53"/>
        <v>141.59947821977505</v>
      </c>
      <c r="BD308">
        <f t="shared" si="54"/>
        <v>481.29404871515919</v>
      </c>
    </row>
    <row r="309" spans="1:56" x14ac:dyDescent="0.25">
      <c r="A309" t="s">
        <v>7</v>
      </c>
      <c r="B309" t="s">
        <v>11</v>
      </c>
      <c r="C309" t="s">
        <v>9</v>
      </c>
      <c r="D309" t="s">
        <v>10</v>
      </c>
      <c r="E309">
        <v>4</v>
      </c>
      <c r="F309" s="1">
        <v>36585</v>
      </c>
      <c r="G309">
        <v>-1.8554320765753099E-2</v>
      </c>
      <c r="K309" s="4">
        <v>43799</v>
      </c>
      <c r="L309" s="6">
        <v>2.3875876988116499E-2</v>
      </c>
      <c r="M309" s="6">
        <v>-1.44289285180391E-2</v>
      </c>
      <c r="N309" s="6">
        <v>-9.1346313192226993E-3</v>
      </c>
      <c r="O309" s="6">
        <v>1.7100254896728499E-2</v>
      </c>
      <c r="P309" s="6">
        <v>-6.6884690439904396E-3</v>
      </c>
      <c r="Q309" s="6">
        <v>-1.7194388499226498E-2</v>
      </c>
      <c r="R309" s="6">
        <v>-7.5502397005167803E-3</v>
      </c>
      <c r="S309" s="6">
        <v>-6.78066037539441E-3</v>
      </c>
      <c r="T309" s="6">
        <v>-3.230929107471E-3</v>
      </c>
      <c r="U309" s="6">
        <v>6.3093021071906202E-3</v>
      </c>
      <c r="V309" s="6">
        <v>-2.6286991493010399E-2</v>
      </c>
      <c r="W309" s="6">
        <v>2.33974733495745E-2</v>
      </c>
      <c r="X309" s="6">
        <v>1.3106844539267399E-2</v>
      </c>
      <c r="Y309" s="6">
        <v>-7.5054861759938068E-3</v>
      </c>
      <c r="AA309">
        <v>2.3875876988116499E-2</v>
      </c>
      <c r="AB309">
        <v>-1.44289285180391E-2</v>
      </c>
      <c r="AC309">
        <v>-9.1346313192226993E-3</v>
      </c>
      <c r="AD309">
        <v>1.7100254896728499E-2</v>
      </c>
      <c r="AE309">
        <v>-6.6884690439904396E-3</v>
      </c>
      <c r="AF309">
        <v>-1.7194388499226498E-2</v>
      </c>
      <c r="AG309">
        <v>-7.5502397005167803E-3</v>
      </c>
      <c r="AH309">
        <v>-6.78066037539441E-3</v>
      </c>
      <c r="AI309">
        <v>-3.230929107471E-3</v>
      </c>
      <c r="AJ309">
        <v>6.3093021071906202E-3</v>
      </c>
      <c r="AK309">
        <v>-2.6286991493010399E-2</v>
      </c>
      <c r="AL309">
        <v>2.33974733495745E-2</v>
      </c>
      <c r="AM309">
        <v>1.3106844539267399E-2</v>
      </c>
      <c r="AN309">
        <f>+IBOV!C234</f>
        <v>-4.7756355630067415E-2</v>
      </c>
      <c r="AP309" s="1">
        <f t="shared" si="40"/>
        <v>43799</v>
      </c>
      <c r="AQ309">
        <f t="shared" si="41"/>
        <v>79.251019222627932</v>
      </c>
      <c r="AR309">
        <f t="shared" si="42"/>
        <v>139.47269352010758</v>
      </c>
      <c r="AS309">
        <f t="shared" si="43"/>
        <v>131.48062608511461</v>
      </c>
      <c r="AT309">
        <f t="shared" si="44"/>
        <v>77.00810169182364</v>
      </c>
      <c r="AU309">
        <f t="shared" si="45"/>
        <v>110.82244540285961</v>
      </c>
      <c r="AV309">
        <f t="shared" si="46"/>
        <v>418.59068236576041</v>
      </c>
      <c r="AW309">
        <f t="shared" si="47"/>
        <v>143.81895228875339</v>
      </c>
      <c r="AX309">
        <f t="shared" si="48"/>
        <v>103.86929742318429</v>
      </c>
      <c r="AY309">
        <f t="shared" si="49"/>
        <v>175.48043736431686</v>
      </c>
      <c r="AZ309">
        <f t="shared" si="50"/>
        <v>95.661857149232546</v>
      </c>
      <c r="BA309">
        <f t="shared" si="51"/>
        <v>94.402355398712743</v>
      </c>
      <c r="BB309">
        <f t="shared" si="52"/>
        <v>113.80132551992496</v>
      </c>
      <c r="BC309">
        <f t="shared" si="53"/>
        <v>143.45540056764304</v>
      </c>
      <c r="BD309">
        <f t="shared" si="54"/>
        <v>458.30919896208309</v>
      </c>
    </row>
    <row r="310" spans="1:56" x14ac:dyDescent="0.25">
      <c r="A310" t="s">
        <v>7</v>
      </c>
      <c r="B310" t="s">
        <v>11</v>
      </c>
      <c r="C310" t="s">
        <v>9</v>
      </c>
      <c r="D310" t="s">
        <v>10</v>
      </c>
      <c r="E310">
        <v>4</v>
      </c>
      <c r="F310" s="1">
        <v>36616</v>
      </c>
      <c r="G310">
        <v>9.7880226191768796E-2</v>
      </c>
      <c r="K310" s="4">
        <v>43830</v>
      </c>
      <c r="L310" s="6">
        <v>-2.4718493350099201E-2</v>
      </c>
      <c r="M310" s="6">
        <v>-1.3512884190909E-2</v>
      </c>
      <c r="N310" s="6">
        <v>-1.6015962276489701E-2</v>
      </c>
      <c r="O310" s="6">
        <v>-2.7584118408501099E-2</v>
      </c>
      <c r="P310" s="6">
        <v>5.6896904085360501E-4</v>
      </c>
      <c r="Q310" s="6">
        <v>-4.8494453250816097E-2</v>
      </c>
      <c r="R310" s="6">
        <v>-1.8955807055208201E-2</v>
      </c>
      <c r="S310" s="6">
        <v>-2.1649461116593001E-2</v>
      </c>
      <c r="T310" s="6">
        <v>-1.46050370096623E-2</v>
      </c>
      <c r="U310" s="6">
        <v>-1.36108035697336E-2</v>
      </c>
      <c r="V310" s="6">
        <v>-1.68152760225206E-2</v>
      </c>
      <c r="W310" s="6">
        <v>5.6303208343962699E-2</v>
      </c>
      <c r="X310" s="6">
        <v>1.44524966967033E-2</v>
      </c>
      <c r="Y310" s="6">
        <v>-0.14463762216901316</v>
      </c>
      <c r="AA310">
        <v>-2.4718493350099201E-2</v>
      </c>
      <c r="AB310">
        <v>-1.3512884190909E-2</v>
      </c>
      <c r="AC310">
        <v>-1.6015962276489701E-2</v>
      </c>
      <c r="AD310">
        <v>-2.7584118408501099E-2</v>
      </c>
      <c r="AE310">
        <v>5.6896904085360501E-4</v>
      </c>
      <c r="AF310">
        <v>-4.8494453250816097E-2</v>
      </c>
      <c r="AG310">
        <v>-1.8955807055208201E-2</v>
      </c>
      <c r="AH310">
        <v>-2.1649461116593001E-2</v>
      </c>
      <c r="AI310">
        <v>-1.46050370096623E-2</v>
      </c>
      <c r="AJ310">
        <v>-1.36108035697336E-2</v>
      </c>
      <c r="AK310">
        <v>-1.68152760225206E-2</v>
      </c>
      <c r="AL310">
        <v>5.6303208343962699E-2</v>
      </c>
      <c r="AM310">
        <v>1.44524966967033E-2</v>
      </c>
      <c r="AN310">
        <f>+IBOV!C235</f>
        <v>0.13388927242111115</v>
      </c>
      <c r="AP310" s="1">
        <f t="shared" si="40"/>
        <v>43830</v>
      </c>
      <c r="AQ310">
        <f t="shared" si="41"/>
        <v>77.292053430984822</v>
      </c>
      <c r="AR310">
        <f t="shared" si="42"/>
        <v>137.58801516477624</v>
      </c>
      <c r="AS310">
        <f t="shared" si="43"/>
        <v>129.37483733764617</v>
      </c>
      <c r="AT310">
        <f t="shared" si="44"/>
        <v>74.883901096342484</v>
      </c>
      <c r="AU310">
        <f t="shared" si="45"/>
        <v>110.88549994332554</v>
      </c>
      <c r="AV310">
        <f t="shared" si="46"/>
        <v>398.29135608854682</v>
      </c>
      <c r="AW310">
        <f t="shared" si="47"/>
        <v>141.09274797828559</v>
      </c>
      <c r="AX310">
        <f t="shared" si="48"/>
        <v>101.62058310741322</v>
      </c>
      <c r="AY310">
        <f t="shared" si="49"/>
        <v>172.91753908213929</v>
      </c>
      <c r="AZ310">
        <f t="shared" si="50"/>
        <v>94.35982240245842</v>
      </c>
      <c r="BA310">
        <f t="shared" si="51"/>
        <v>92.814953735507302</v>
      </c>
      <c r="BB310">
        <f t="shared" si="52"/>
        <v>120.20870526049242</v>
      </c>
      <c r="BC310">
        <f t="shared" si="53"/>
        <v>145.52868927047115</v>
      </c>
      <c r="BD310">
        <f t="shared" si="54"/>
        <v>519.67188415501869</v>
      </c>
    </row>
    <row r="311" spans="1:56" x14ac:dyDescent="0.25">
      <c r="A311" t="s">
        <v>7</v>
      </c>
      <c r="B311" t="s">
        <v>11</v>
      </c>
      <c r="C311" t="s">
        <v>9</v>
      </c>
      <c r="D311" t="s">
        <v>10</v>
      </c>
      <c r="E311">
        <v>4</v>
      </c>
      <c r="F311" s="1">
        <v>36646</v>
      </c>
      <c r="G311">
        <v>-1.29868621859214E-2</v>
      </c>
      <c r="K311" s="4">
        <v>43861</v>
      </c>
      <c r="L311" s="6">
        <v>-1.16196652384504E-2</v>
      </c>
      <c r="M311" s="6">
        <v>-3.7821014174183598E-2</v>
      </c>
      <c r="N311" s="6">
        <v>-4.0782717034478597E-2</v>
      </c>
      <c r="O311" s="6">
        <v>6.2475356552739697E-2</v>
      </c>
      <c r="P311" s="6">
        <v>-1.8884849690157201E-2</v>
      </c>
      <c r="Q311" s="6">
        <v>6.6060766065803897E-2</v>
      </c>
      <c r="R311" s="6">
        <v>1.7765067634393599E-2</v>
      </c>
      <c r="S311" s="6">
        <v>-1.51316009178337E-2</v>
      </c>
      <c r="T311" s="6">
        <v>2.0181508370108101E-2</v>
      </c>
      <c r="U311" s="6">
        <v>-4.17963133882836E-3</v>
      </c>
      <c r="V311" s="6">
        <v>-2.0761572682213101E-2</v>
      </c>
      <c r="W311" s="6">
        <v>1.58558551587532E-2</v>
      </c>
      <c r="X311" s="6">
        <v>-3.9543235192769102E-2</v>
      </c>
      <c r="Y311" s="6">
        <v>-6.3857324871155613E-3</v>
      </c>
      <c r="AA311">
        <v>-1.16196652384504E-2</v>
      </c>
      <c r="AB311">
        <v>-3.7821014174183598E-2</v>
      </c>
      <c r="AC311">
        <v>-4.0782717034478597E-2</v>
      </c>
      <c r="AD311">
        <v>6.2475356552739697E-2</v>
      </c>
      <c r="AE311">
        <v>-1.8884849690157201E-2</v>
      </c>
      <c r="AF311">
        <v>6.6060766065803897E-2</v>
      </c>
      <c r="AG311">
        <v>1.7765067634393599E-2</v>
      </c>
      <c r="AH311">
        <v>-1.51316009178337E-2</v>
      </c>
      <c r="AI311">
        <v>2.0181508370108101E-2</v>
      </c>
      <c r="AJ311">
        <v>-4.17963133882836E-3</v>
      </c>
      <c r="AK311">
        <v>-2.0761572682213101E-2</v>
      </c>
      <c r="AL311">
        <v>1.58558551587532E-2</v>
      </c>
      <c r="AM311">
        <v>-3.9543235192769102E-2</v>
      </c>
      <c r="AN311">
        <f>+IBOV!C236</f>
        <v>-7.7767326190460895E-2</v>
      </c>
      <c r="AP311" s="1">
        <f t="shared" si="40"/>
        <v>43861</v>
      </c>
      <c r="AQ311">
        <f t="shared" si="41"/>
        <v>76.393945644524365</v>
      </c>
      <c r="AR311">
        <f t="shared" si="42"/>
        <v>132.38429689303146</v>
      </c>
      <c r="AS311">
        <f t="shared" si="43"/>
        <v>124.09857995512326</v>
      </c>
      <c r="AT311">
        <f t="shared" si="44"/>
        <v>79.562299517396568</v>
      </c>
      <c r="AU311">
        <f t="shared" si="45"/>
        <v>108.7914439440779</v>
      </c>
      <c r="AV311">
        <f t="shared" si="46"/>
        <v>424.60278818914412</v>
      </c>
      <c r="AW311">
        <f t="shared" si="47"/>
        <v>143.5992701888423</v>
      </c>
      <c r="AX311">
        <f t="shared" si="48"/>
        <v>100.08290099879429</v>
      </c>
      <c r="AY311">
        <f t="shared" si="49"/>
        <v>176.40727584446395</v>
      </c>
      <c r="AZ311">
        <f t="shared" si="50"/>
        <v>93.965433131618823</v>
      </c>
      <c r="BA311">
        <f t="shared" si="51"/>
        <v>90.887969327531323</v>
      </c>
      <c r="BB311">
        <f t="shared" si="52"/>
        <v>122.11471707992403</v>
      </c>
      <c r="BC311">
        <f t="shared" si="53"/>
        <v>139.77401408335348</v>
      </c>
      <c r="BD311">
        <f t="shared" si="54"/>
        <v>479.25839122792394</v>
      </c>
    </row>
    <row r="312" spans="1:56" x14ac:dyDescent="0.25">
      <c r="A312" t="s">
        <v>7</v>
      </c>
      <c r="B312" t="s">
        <v>11</v>
      </c>
      <c r="C312" t="s">
        <v>9</v>
      </c>
      <c r="D312" t="s">
        <v>10</v>
      </c>
      <c r="E312">
        <v>4</v>
      </c>
      <c r="F312" s="1">
        <v>36677</v>
      </c>
      <c r="G312">
        <v>-0.14969715430899699</v>
      </c>
      <c r="K312" s="4">
        <v>43890</v>
      </c>
      <c r="L312" s="6">
        <v>-1.61411328540178E-2</v>
      </c>
      <c r="M312" s="6">
        <v>-1.04905726592763E-2</v>
      </c>
      <c r="N312" s="6">
        <v>-1.0085772929815001E-2</v>
      </c>
      <c r="O312" s="6">
        <v>1.7149815404957499E-3</v>
      </c>
      <c r="P312" s="6">
        <v>6.8523287939188E-3</v>
      </c>
      <c r="Q312" s="6">
        <v>3.0817257375077602E-2</v>
      </c>
      <c r="R312" s="6">
        <v>-7.3905244788582299E-3</v>
      </c>
      <c r="S312" s="6">
        <v>-2.3302788553193699E-3</v>
      </c>
      <c r="T312" s="6">
        <v>-7.8263833740019006E-5</v>
      </c>
      <c r="U312" s="6">
        <v>-6.69022472679205E-3</v>
      </c>
      <c r="V312" s="6">
        <v>-8.5621171986397307E-3</v>
      </c>
      <c r="W312" s="6">
        <v>-7.1422886072445204E-3</v>
      </c>
      <c r="X312" s="6">
        <v>-1.13526041751834E-2</v>
      </c>
      <c r="Y312" s="6">
        <v>-4.0879212609394269E-2</v>
      </c>
      <c r="AA312">
        <v>-1.61411328540178E-2</v>
      </c>
      <c r="AB312">
        <v>-1.04905726592763E-2</v>
      </c>
      <c r="AC312">
        <v>-1.0085772929815001E-2</v>
      </c>
      <c r="AD312">
        <v>1.7149815404957499E-3</v>
      </c>
      <c r="AE312">
        <v>6.8523287939188E-3</v>
      </c>
      <c r="AF312">
        <v>3.0817257375077602E-2</v>
      </c>
      <c r="AG312">
        <v>-7.3905244788582299E-3</v>
      </c>
      <c r="AH312">
        <v>-2.3302788553193699E-3</v>
      </c>
      <c r="AI312">
        <v>-7.8263833740019006E-5</v>
      </c>
      <c r="AJ312">
        <v>-6.69022472679205E-3</v>
      </c>
      <c r="AK312">
        <v>-8.5621171986397307E-3</v>
      </c>
      <c r="AL312">
        <v>-7.1422886072445204E-3</v>
      </c>
      <c r="AM312">
        <v>-1.13526041751834E-2</v>
      </c>
      <c r="AN312">
        <f>+IBOV!C237</f>
        <v>-0.12339801247009097</v>
      </c>
      <c r="AP312" s="1">
        <f t="shared" si="40"/>
        <v>43890</v>
      </c>
      <c r="AQ312">
        <f t="shared" si="41"/>
        <v>75.160860818633481</v>
      </c>
      <c r="AR312">
        <f t="shared" si="42"/>
        <v>130.9955098075279</v>
      </c>
      <c r="AS312">
        <f t="shared" si="43"/>
        <v>122.84694985678338</v>
      </c>
      <c r="AT312">
        <f t="shared" si="44"/>
        <v>79.698747392388299</v>
      </c>
      <c r="AU312">
        <f t="shared" si="45"/>
        <v>109.5369186879479</v>
      </c>
      <c r="AV312">
        <f t="shared" si="46"/>
        <v>437.68788159494454</v>
      </c>
      <c r="AW312">
        <f t="shared" si="47"/>
        <v>142.53799626736549</v>
      </c>
      <c r="AX312">
        <f t="shared" si="48"/>
        <v>99.849679930817771</v>
      </c>
      <c r="AY312">
        <f t="shared" si="49"/>
        <v>176.39346953475675</v>
      </c>
      <c r="AZ312">
        <f t="shared" si="50"/>
        <v>93.336783267417943</v>
      </c>
      <c r="BA312">
        <f t="shared" si="51"/>
        <v>90.109775882202626</v>
      </c>
      <c r="BB312">
        <f t="shared" si="52"/>
        <v>121.24253852734721</v>
      </c>
      <c r="BC312">
        <f t="shared" si="53"/>
        <v>138.18721502748866</v>
      </c>
      <c r="BD312">
        <f t="shared" si="54"/>
        <v>420.11885829078483</v>
      </c>
    </row>
    <row r="313" spans="1:56" x14ac:dyDescent="0.25">
      <c r="A313" t="s">
        <v>7</v>
      </c>
      <c r="B313" t="s">
        <v>11</v>
      </c>
      <c r="C313" t="s">
        <v>9</v>
      </c>
      <c r="D313" t="s">
        <v>10</v>
      </c>
      <c r="E313">
        <v>4</v>
      </c>
      <c r="F313" s="1">
        <v>36707</v>
      </c>
      <c r="G313">
        <v>6.4597026965672003E-2</v>
      </c>
      <c r="K313" s="4">
        <v>43921</v>
      </c>
      <c r="L313" s="6">
        <v>5.8218224589692398E-2</v>
      </c>
      <c r="M313" s="6">
        <v>-1.93636208545361E-3</v>
      </c>
      <c r="N313" s="6">
        <v>-7.7752387116170303E-3</v>
      </c>
      <c r="O313" s="6">
        <v>2.8719253108871398E-3</v>
      </c>
      <c r="P313" s="6">
        <v>8.6263601680514806E-2</v>
      </c>
      <c r="Q313" s="6">
        <v>-3.4232298921323401E-2</v>
      </c>
      <c r="R313" s="6">
        <v>-1.44147467075664E-2</v>
      </c>
      <c r="S313" s="6">
        <v>3.4879600073811703E-2</v>
      </c>
      <c r="T313" s="6">
        <v>2.5293336043498999E-2</v>
      </c>
      <c r="U313" s="6">
        <v>2.4653580949799001E-2</v>
      </c>
      <c r="V313" s="6">
        <v>-2.0933215352178399E-2</v>
      </c>
      <c r="W313" s="6">
        <v>-3.85250215902787E-2</v>
      </c>
      <c r="X313" s="6">
        <v>1.7274599714937999E-2</v>
      </c>
      <c r="Y313" s="6">
        <v>0.13163798499472448</v>
      </c>
      <c r="AA313">
        <v>5.8218224589692398E-2</v>
      </c>
      <c r="AB313">
        <v>-1.93636208545361E-3</v>
      </c>
      <c r="AC313">
        <v>-7.7752387116170303E-3</v>
      </c>
      <c r="AD313">
        <v>2.8719253108871398E-3</v>
      </c>
      <c r="AE313">
        <v>8.6263601680514806E-2</v>
      </c>
      <c r="AF313">
        <v>-3.4232298921323401E-2</v>
      </c>
      <c r="AG313">
        <v>-1.44147467075664E-2</v>
      </c>
      <c r="AH313">
        <v>3.4879600073811703E-2</v>
      </c>
      <c r="AI313">
        <v>2.5293336043498999E-2</v>
      </c>
      <c r="AJ313">
        <v>2.4653580949799001E-2</v>
      </c>
      <c r="AK313">
        <v>-2.0933215352178399E-2</v>
      </c>
      <c r="AL313">
        <v>-3.85250215902787E-2</v>
      </c>
      <c r="AM313">
        <v>1.7274599714937999E-2</v>
      </c>
      <c r="AN313">
        <f>+IBOV!C238</f>
        <v>-0.38581754715928562</v>
      </c>
      <c r="AP313" s="1">
        <f t="shared" si="40"/>
        <v>43921</v>
      </c>
      <c r="AQ313">
        <f t="shared" si="41"/>
        <v>79.536592694127307</v>
      </c>
      <c r="AR313">
        <f t="shared" si="42"/>
        <v>130.74185506897194</v>
      </c>
      <c r="AS313">
        <f t="shared" si="43"/>
        <v>121.89178549665284</v>
      </c>
      <c r="AT313">
        <f t="shared" si="44"/>
        <v>79.927636242270495</v>
      </c>
      <c r="AU313">
        <f t="shared" si="45"/>
        <v>118.98596781095597</v>
      </c>
      <c r="AV313">
        <f t="shared" si="46"/>
        <v>422.7048191979456</v>
      </c>
      <c r="AW313">
        <f t="shared" si="47"/>
        <v>140.48334715496736</v>
      </c>
      <c r="AX313">
        <f t="shared" si="48"/>
        <v>103.33239683430278</v>
      </c>
      <c r="AY313">
        <f t="shared" si="49"/>
        <v>180.85504883557806</v>
      </c>
      <c r="AZ313">
        <f t="shared" si="50"/>
        <v>95.637869209295076</v>
      </c>
      <c r="BA313">
        <f t="shared" si="51"/>
        <v>88.223488538323949</v>
      </c>
      <c r="BB313">
        <f t="shared" si="52"/>
        <v>116.57166711292096</v>
      </c>
      <c r="BC313">
        <f t="shared" si="53"/>
        <v>140.57434385281059</v>
      </c>
      <c r="BD313">
        <f t="shared" si="54"/>
        <v>258.02963086967475</v>
      </c>
    </row>
    <row r="314" spans="1:56" x14ac:dyDescent="0.25">
      <c r="A314" t="s">
        <v>7</v>
      </c>
      <c r="B314" t="s">
        <v>11</v>
      </c>
      <c r="C314" t="s">
        <v>9</v>
      </c>
      <c r="D314" t="s">
        <v>10</v>
      </c>
      <c r="E314">
        <v>4</v>
      </c>
      <c r="F314" s="1">
        <v>36738</v>
      </c>
      <c r="G314">
        <v>5.7379087095220299E-2</v>
      </c>
      <c r="K314" s="4">
        <v>43951</v>
      </c>
      <c r="L314" s="6">
        <v>3.75752068663656E-3</v>
      </c>
      <c r="M314" s="6">
        <v>-6.4382639959621804E-3</v>
      </c>
      <c r="N314" s="6">
        <v>-4.3260986573177097E-2</v>
      </c>
      <c r="O314" s="6">
        <v>1.01541329167585E-2</v>
      </c>
      <c r="P314" s="6">
        <v>-0.110484908374037</v>
      </c>
      <c r="Q314" s="6">
        <v>5.0910895784613497E-2</v>
      </c>
      <c r="R314" s="6">
        <v>2.5557369498109401E-2</v>
      </c>
      <c r="S314" s="6">
        <v>-3.04994290032993E-2</v>
      </c>
      <c r="T314" s="6">
        <v>-2.6574924882456401E-3</v>
      </c>
      <c r="U314" s="6">
        <v>9.0917631424295205E-3</v>
      </c>
      <c r="V314" s="6">
        <v>-2.35774122823567E-2</v>
      </c>
      <c r="W314" s="6">
        <v>-1.57790305117936E-2</v>
      </c>
      <c r="X314" s="6">
        <v>-3.9392796953518897E-2</v>
      </c>
      <c r="Y314" s="6">
        <v>-0.17261863815384293</v>
      </c>
      <c r="AA314">
        <v>3.75752068663656E-3</v>
      </c>
      <c r="AB314">
        <v>-6.4382639959621804E-3</v>
      </c>
      <c r="AC314">
        <v>-4.3260986573177097E-2</v>
      </c>
      <c r="AD314">
        <v>1.01541329167585E-2</v>
      </c>
      <c r="AE314">
        <v>-0.110484908374037</v>
      </c>
      <c r="AF314">
        <v>5.0910895784613497E-2</v>
      </c>
      <c r="AG314">
        <v>2.5557369498109401E-2</v>
      </c>
      <c r="AH314">
        <v>-3.04994290032993E-2</v>
      </c>
      <c r="AI314">
        <v>-2.6574924882456401E-3</v>
      </c>
      <c r="AJ314">
        <v>9.0917631424295205E-3</v>
      </c>
      <c r="AK314">
        <v>-2.35774122823567E-2</v>
      </c>
      <c r="AL314">
        <v>-1.57790305117936E-2</v>
      </c>
      <c r="AM314">
        <v>-3.9392796953518897E-2</v>
      </c>
      <c r="AN314">
        <f>+IBOV!C239</f>
        <v>4.7108360257957616E-2</v>
      </c>
      <c r="AP314" s="1">
        <f t="shared" si="40"/>
        <v>43951</v>
      </c>
      <c r="AQ314">
        <f t="shared" si="41"/>
        <v>79.835453086520076</v>
      </c>
      <c r="AR314">
        <f t="shared" si="42"/>
        <v>129.90010449071607</v>
      </c>
      <c r="AS314">
        <f t="shared" si="43"/>
        <v>116.61862660090156</v>
      </c>
      <c r="AT314">
        <f t="shared" si="44"/>
        <v>80.739232084396832</v>
      </c>
      <c r="AU314">
        <f t="shared" si="45"/>
        <v>105.83981405956638</v>
      </c>
      <c r="AV314">
        <f t="shared" si="46"/>
        <v>444.22510019578613</v>
      </c>
      <c r="AW314">
        <f t="shared" si="47"/>
        <v>144.07373196653805</v>
      </c>
      <c r="AX314">
        <f t="shared" si="48"/>
        <v>100.18081773331421</v>
      </c>
      <c r="AY314">
        <f t="shared" si="49"/>
        <v>180.37442790183621</v>
      </c>
      <c r="AZ314">
        <f t="shared" si="50"/>
        <v>96.507386063592634</v>
      </c>
      <c r="BA314">
        <f t="shared" si="51"/>
        <v>86.143406976068121</v>
      </c>
      <c r="BB314">
        <f t="shared" si="52"/>
        <v>114.73227922073553</v>
      </c>
      <c r="BC314">
        <f t="shared" si="53"/>
        <v>135.03672726854268</v>
      </c>
      <c r="BD314">
        <f t="shared" si="54"/>
        <v>270.18498367791119</v>
      </c>
    </row>
    <row r="315" spans="1:56" x14ac:dyDescent="0.25">
      <c r="A315" t="s">
        <v>7</v>
      </c>
      <c r="B315" t="s">
        <v>11</v>
      </c>
      <c r="C315" t="s">
        <v>9</v>
      </c>
      <c r="D315" t="s">
        <v>10</v>
      </c>
      <c r="E315">
        <v>4</v>
      </c>
      <c r="F315" s="1">
        <v>36769</v>
      </c>
      <c r="G315">
        <v>-6.9916753135925699E-2</v>
      </c>
      <c r="K315" s="4">
        <v>43982</v>
      </c>
      <c r="L315" s="6">
        <v>-5.9551399897388502E-2</v>
      </c>
      <c r="M315" s="6">
        <v>3.4619715996879102E-2</v>
      </c>
      <c r="N315" s="6">
        <v>3.6791980492919801E-3</v>
      </c>
      <c r="O315" s="6">
        <v>4.7023347332230897E-3</v>
      </c>
      <c r="P315" s="6">
        <v>-2.7194745837356898E-2</v>
      </c>
      <c r="Q315" s="6">
        <v>-1.05753314162498E-3</v>
      </c>
      <c r="R315" s="6">
        <v>-8.5110038179721202E-3</v>
      </c>
      <c r="S315" s="6">
        <v>-7.9636533121383805E-3</v>
      </c>
      <c r="T315" s="6">
        <v>-2.1879616184585799E-2</v>
      </c>
      <c r="U315" s="6">
        <v>7.0523750895194696E-3</v>
      </c>
      <c r="V315" s="6">
        <v>2.3540562424806399E-3</v>
      </c>
      <c r="W315" s="6">
        <v>-3.6639381502339301E-2</v>
      </c>
      <c r="X315" s="6">
        <v>-2.0759805286740499E-2</v>
      </c>
      <c r="Y315" s="6">
        <v>-0.13114945886875218</v>
      </c>
      <c r="AA315">
        <v>-5.9551399897388502E-2</v>
      </c>
      <c r="AB315">
        <v>3.4619715996879102E-2</v>
      </c>
      <c r="AC315">
        <v>3.6791980492919801E-3</v>
      </c>
      <c r="AD315">
        <v>4.7023347332230897E-3</v>
      </c>
      <c r="AE315">
        <v>-2.7194745837356898E-2</v>
      </c>
      <c r="AF315">
        <v>-1.05753314162498E-3</v>
      </c>
      <c r="AG315">
        <v>-8.5110038179721202E-3</v>
      </c>
      <c r="AH315">
        <v>-7.9636533121383805E-3</v>
      </c>
      <c r="AI315">
        <v>-2.1879616184585799E-2</v>
      </c>
      <c r="AJ315">
        <v>7.0523750895194696E-3</v>
      </c>
      <c r="AK315">
        <v>2.3540562424806399E-3</v>
      </c>
      <c r="AL315">
        <v>-3.6639381502339301E-2</v>
      </c>
      <c r="AM315">
        <v>-2.0759805286740499E-2</v>
      </c>
      <c r="AN315">
        <f>+IBOV!C240</f>
        <v>0.10215310263638888</v>
      </c>
      <c r="AP315" s="1">
        <f t="shared" ref="AP315:AP378" si="55">+K315</f>
        <v>43982</v>
      </c>
      <c r="AQ315">
        <f t="shared" si="41"/>
        <v>75.081140093775531</v>
      </c>
      <c r="AR315">
        <f t="shared" si="42"/>
        <v>134.39720921614958</v>
      </c>
      <c r="AS315">
        <f t="shared" si="43"/>
        <v>117.04768962440272</v>
      </c>
      <c r="AT315">
        <f t="shared" si="44"/>
        <v>81.118894979761052</v>
      </c>
      <c r="AU315">
        <f t="shared" si="45"/>
        <v>102.96152721674335</v>
      </c>
      <c r="AV315">
        <f t="shared" si="46"/>
        <v>443.75531742998743</v>
      </c>
      <c r="AW315">
        <f t="shared" si="47"/>
        <v>142.84751988370135</v>
      </c>
      <c r="AX315">
        <f t="shared" si="48"/>
        <v>99.383012432359578</v>
      </c>
      <c r="AY315">
        <f t="shared" si="49"/>
        <v>176.4279046498298</v>
      </c>
      <c r="AZ315">
        <f t="shared" si="50"/>
        <v>97.187992349022153</v>
      </c>
      <c r="BA315">
        <f t="shared" si="51"/>
        <v>86.346193401008691</v>
      </c>
      <c r="BB315">
        <f t="shared" si="52"/>
        <v>110.5285594717341</v>
      </c>
      <c r="BC315">
        <f t="shared" si="53"/>
        <v>132.23339110388906</v>
      </c>
      <c r="BD315">
        <f t="shared" si="54"/>
        <v>297.78521804637188</v>
      </c>
    </row>
    <row r="316" spans="1:56" x14ac:dyDescent="0.25">
      <c r="A316" t="s">
        <v>7</v>
      </c>
      <c r="B316" t="s">
        <v>11</v>
      </c>
      <c r="C316" t="s">
        <v>9</v>
      </c>
      <c r="D316" t="s">
        <v>10</v>
      </c>
      <c r="E316">
        <v>4</v>
      </c>
      <c r="F316" s="1">
        <v>36799</v>
      </c>
      <c r="G316">
        <v>6.6782329127160603E-2</v>
      </c>
      <c r="K316" s="4">
        <v>44012</v>
      </c>
      <c r="L316" s="6">
        <v>-4.75485541306516E-2</v>
      </c>
      <c r="M316" s="6">
        <v>1.35910554853809E-2</v>
      </c>
      <c r="N316" s="6">
        <v>-7.1903754722027801E-3</v>
      </c>
      <c r="O316" s="6">
        <v>5.2552039697389398E-2</v>
      </c>
      <c r="P316" s="6">
        <v>-3.6374593897260797E-2</v>
      </c>
      <c r="Q316" s="6">
        <v>-1.71736397805636E-4</v>
      </c>
      <c r="R316" s="6">
        <v>2.0943980780497699E-2</v>
      </c>
      <c r="S316" s="6">
        <v>-2.7061344332060599E-2</v>
      </c>
      <c r="T316" s="6">
        <v>-4.4263145197652402E-3</v>
      </c>
      <c r="U316" s="6">
        <v>-1.33089114128827E-2</v>
      </c>
      <c r="V316" s="6">
        <v>-3.1076814340870999E-2</v>
      </c>
      <c r="W316" s="6">
        <v>6.0113796536833297E-2</v>
      </c>
      <c r="X316" s="6">
        <v>-3.3563219404266799E-2</v>
      </c>
      <c r="Y316" s="6">
        <v>-5.3520991407665856E-2</v>
      </c>
      <c r="AA316">
        <v>-4.75485541306516E-2</v>
      </c>
      <c r="AB316">
        <v>1.35910554853809E-2</v>
      </c>
      <c r="AC316">
        <v>-7.1903754722027801E-3</v>
      </c>
      <c r="AD316">
        <v>5.2552039697389398E-2</v>
      </c>
      <c r="AE316">
        <v>-3.6374593897260797E-2</v>
      </c>
      <c r="AF316">
        <v>-1.71736397805636E-4</v>
      </c>
      <c r="AG316">
        <v>2.0943980780497699E-2</v>
      </c>
      <c r="AH316">
        <v>-2.7061344332060599E-2</v>
      </c>
      <c r="AI316">
        <v>-4.4263145197652402E-3</v>
      </c>
      <c r="AJ316">
        <v>-1.33089114128827E-2</v>
      </c>
      <c r="AK316">
        <v>-3.1076814340870999E-2</v>
      </c>
      <c r="AL316">
        <v>6.0113796536833297E-2</v>
      </c>
      <c r="AM316">
        <v>-3.3563219404266799E-2</v>
      </c>
      <c r="AN316">
        <f>+IBOV!C241</f>
        <v>7.0327520491112239E-2</v>
      </c>
      <c r="AP316" s="1">
        <f t="shared" si="55"/>
        <v>44012</v>
      </c>
      <c r="AQ316">
        <f t="shared" ref="AQ316:AQ379" si="56">+AQ315*(1+AA316)</f>
        <v>71.511140439835614</v>
      </c>
      <c r="AR316">
        <f t="shared" ref="AR316:AR379" si="57">+AR315*(1+AB316)</f>
        <v>136.22380914368659</v>
      </c>
      <c r="AS316">
        <f t="shared" ref="AS316:AS379" si="58">+AS315*(1+AC316)</f>
        <v>116.20607278784941</v>
      </c>
      <c r="AT316">
        <f t="shared" ref="AT316:AT379" si="59">+AT315*(1+AD316)</f>
        <v>85.381858368945814</v>
      </c>
      <c r="AU316">
        <f t="shared" ref="AU316:AU379" si="60">+AU315*(1+AE316)</f>
        <v>99.216343477192538</v>
      </c>
      <c r="AV316">
        <f t="shared" ref="AV316:AV379" si="61">+AV315*(1+AF316)</f>
        <v>443.67910849026492</v>
      </c>
      <c r="AW316">
        <f t="shared" ref="AW316:AW379" si="62">+AW315*(1+AG316)</f>
        <v>145.83931559468735</v>
      </c>
      <c r="AX316">
        <f t="shared" ref="AX316:AX379" si="63">+AX315*(1+AH316)</f>
        <v>96.693574512170031</v>
      </c>
      <c r="AY316">
        <f t="shared" ref="AY316:AY379" si="64">+AY315*(1+AI316)</f>
        <v>175.6469792537865</v>
      </c>
      <c r="AZ316">
        <f t="shared" ref="AZ316:AZ379" si="65">+AZ315*(1+AJ316)</f>
        <v>95.894525968453095</v>
      </c>
      <c r="BA316">
        <f t="shared" ref="BA316:BA379" si="66">+BA315*(1+AK316)</f>
        <v>83.662828779644613</v>
      </c>
      <c r="BB316">
        <f t="shared" ref="BB316:BB379" si="67">+BB315*(1+AL316)</f>
        <v>117.17285080732719</v>
      </c>
      <c r="BC316">
        <f t="shared" ref="BC316:BC379" si="68">+BC315*(1+AM316)</f>
        <v>127.79521278569902</v>
      </c>
      <c r="BD316">
        <f t="shared" ref="BD316:BD379" si="69">+BD315*(1+AN316)</f>
        <v>318.72771407047844</v>
      </c>
    </row>
    <row r="317" spans="1:56" x14ac:dyDescent="0.25">
      <c r="A317" t="s">
        <v>7</v>
      </c>
      <c r="B317" t="s">
        <v>11</v>
      </c>
      <c r="C317" t="s">
        <v>9</v>
      </c>
      <c r="D317" t="s">
        <v>10</v>
      </c>
      <c r="E317">
        <v>4</v>
      </c>
      <c r="F317" s="1">
        <v>36830</v>
      </c>
      <c r="G317">
        <v>-6.1767990436836099E-3</v>
      </c>
      <c r="K317" s="4">
        <v>44043</v>
      </c>
      <c r="L317" s="6">
        <v>-3.1653982686884803E-2</v>
      </c>
      <c r="M317" s="6">
        <v>2.05931396410616E-2</v>
      </c>
      <c r="N317" s="6">
        <v>-3.2961833187306999E-2</v>
      </c>
      <c r="O317" s="6">
        <v>1.9471808517000502E-2</v>
      </c>
      <c r="P317" s="6">
        <v>7.29211488600449E-3</v>
      </c>
      <c r="Q317" s="6">
        <v>9.1972026420474404E-2</v>
      </c>
      <c r="R317" s="6">
        <v>1.90023970035894E-2</v>
      </c>
      <c r="S317" s="6">
        <v>-2.2315122100448299E-2</v>
      </c>
      <c r="T317" s="6">
        <v>-1.6439231201695E-2</v>
      </c>
      <c r="U317" s="6">
        <v>1.8951828324096202E-2</v>
      </c>
      <c r="V317" s="6">
        <v>-1.7442559079663598E-2</v>
      </c>
      <c r="W317" s="6">
        <v>-2.5034487411197501E-2</v>
      </c>
      <c r="X317" s="6">
        <v>-4.9188851547981603E-2</v>
      </c>
      <c r="Y317" s="6">
        <v>-1.7752752422951212E-2</v>
      </c>
      <c r="AA317">
        <v>-3.1653982686884803E-2</v>
      </c>
      <c r="AB317">
        <v>2.05931396410616E-2</v>
      </c>
      <c r="AC317">
        <v>-3.2961833187306999E-2</v>
      </c>
      <c r="AD317">
        <v>1.9471808517000502E-2</v>
      </c>
      <c r="AE317">
        <v>7.29211488600449E-3</v>
      </c>
      <c r="AF317">
        <v>9.1972026420474404E-2</v>
      </c>
      <c r="AG317">
        <v>1.90023970035894E-2</v>
      </c>
      <c r="AH317">
        <v>-2.2315122100448299E-2</v>
      </c>
      <c r="AI317">
        <v>-1.6439231201695E-2</v>
      </c>
      <c r="AJ317">
        <v>1.8951828324096202E-2</v>
      </c>
      <c r="AK317">
        <v>-1.7442559079663598E-2</v>
      </c>
      <c r="AL317">
        <v>-2.5034487411197501E-2</v>
      </c>
      <c r="AM317">
        <v>-4.9188851547981603E-2</v>
      </c>
      <c r="AN317">
        <f>+IBOV!C242</f>
        <v>0.13143409386949023</v>
      </c>
      <c r="AP317" s="1">
        <f t="shared" si="55"/>
        <v>44043</v>
      </c>
      <c r="AQ317">
        <f t="shared" si="56"/>
        <v>69.247528038433671</v>
      </c>
      <c r="AR317">
        <f t="shared" si="57"/>
        <v>139.02908506781986</v>
      </c>
      <c r="AS317">
        <f t="shared" si="58"/>
        <v>112.37570760126427</v>
      </c>
      <c r="AT317">
        <f t="shared" si="59"/>
        <v>87.044397565931575</v>
      </c>
      <c r="AU317">
        <f t="shared" si="60"/>
        <v>99.939840452397519</v>
      </c>
      <c r="AV317">
        <f t="shared" si="61"/>
        <v>484.48517517854413</v>
      </c>
      <c r="AW317">
        <f t="shared" si="62"/>
        <v>148.61061216834935</v>
      </c>
      <c r="AX317">
        <f t="shared" si="63"/>
        <v>94.535845590602165</v>
      </c>
      <c r="AY317">
        <f t="shared" si="64"/>
        <v>172.75947795195418</v>
      </c>
      <c r="AZ317">
        <f t="shared" si="65"/>
        <v>97.711902561827799</v>
      </c>
      <c r="BA317">
        <f t="shared" si="66"/>
        <v>82.203534945883874</v>
      </c>
      <c r="BB317">
        <f t="shared" si="67"/>
        <v>114.23948854885704</v>
      </c>
      <c r="BC317">
        <f t="shared" si="68"/>
        <v>121.50911303544055</v>
      </c>
      <c r="BD317">
        <f t="shared" si="69"/>
        <v>360.61940236042574</v>
      </c>
    </row>
    <row r="318" spans="1:56" x14ac:dyDescent="0.25">
      <c r="A318" t="s">
        <v>7</v>
      </c>
      <c r="B318" t="s">
        <v>11</v>
      </c>
      <c r="C318" t="s">
        <v>9</v>
      </c>
      <c r="D318" t="s">
        <v>10</v>
      </c>
      <c r="E318">
        <v>4</v>
      </c>
      <c r="F318" s="1">
        <v>36860</v>
      </c>
      <c r="G318">
        <v>-2.17964998087475E-2</v>
      </c>
      <c r="K318" s="4">
        <v>44074</v>
      </c>
      <c r="L318" s="6">
        <v>2.1304524741280102E-2</v>
      </c>
      <c r="M318" s="6">
        <v>-2.1996014498958699E-2</v>
      </c>
      <c r="N318" s="6">
        <v>-3.7559683398366198E-2</v>
      </c>
      <c r="O318" s="6">
        <v>1.13521643619919E-2</v>
      </c>
      <c r="P318" s="6">
        <v>-3.6707003942021499E-3</v>
      </c>
      <c r="Q318" s="6">
        <v>7.7518960601538397E-3</v>
      </c>
      <c r="R318" s="6">
        <v>-4.6799503356846003E-3</v>
      </c>
      <c r="S318" s="6">
        <v>-1.78029332969366E-2</v>
      </c>
      <c r="T318" s="6">
        <v>-1.2629443546780901E-2</v>
      </c>
      <c r="U318" s="6">
        <v>5.2929836735440602E-3</v>
      </c>
      <c r="V318" s="6">
        <v>1.24547386316447E-2</v>
      </c>
      <c r="W318" s="6">
        <v>-3.0464707399505599E-3</v>
      </c>
      <c r="X318" s="6">
        <v>-4.3293255174706897E-2</v>
      </c>
      <c r="Y318" s="6">
        <v>-8.6522143916971994E-2</v>
      </c>
      <c r="AA318">
        <v>2.1304524741280102E-2</v>
      </c>
      <c r="AB318">
        <v>-2.1996014498958699E-2</v>
      </c>
      <c r="AC318">
        <v>-3.7559683398366198E-2</v>
      </c>
      <c r="AD318">
        <v>1.13521643619919E-2</v>
      </c>
      <c r="AE318">
        <v>-3.6707003942021499E-3</v>
      </c>
      <c r="AF318">
        <v>7.7518960601538397E-3</v>
      </c>
      <c r="AG318">
        <v>-4.6799503356846003E-3</v>
      </c>
      <c r="AH318">
        <v>-1.78029332969366E-2</v>
      </c>
      <c r="AI318">
        <v>-1.2629443546780901E-2</v>
      </c>
      <c r="AJ318">
        <v>5.2929836735440602E-3</v>
      </c>
      <c r="AK318">
        <v>1.24547386316447E-2</v>
      </c>
      <c r="AL318">
        <v>-3.0464707399505599E-3</v>
      </c>
      <c r="AM318">
        <v>-4.3293255174706897E-2</v>
      </c>
      <c r="AN318">
        <f>+IBOV!C243</f>
        <v>-8.3591748059568372E-2</v>
      </c>
      <c r="AP318" s="1">
        <f t="shared" si="55"/>
        <v>44074</v>
      </c>
      <c r="AQ318">
        <f t="shared" si="56"/>
        <v>70.722813712800971</v>
      </c>
      <c r="AR318">
        <f t="shared" si="57"/>
        <v>135.97099929689114</v>
      </c>
      <c r="AS318">
        <f t="shared" si="58"/>
        <v>108.15491160209341</v>
      </c>
      <c r="AT318">
        <f t="shared" si="59"/>
        <v>88.032539873890585</v>
      </c>
      <c r="AU318">
        <f t="shared" si="60"/>
        <v>99.572991240652399</v>
      </c>
      <c r="AV318">
        <f t="shared" si="61"/>
        <v>488.24085389921368</v>
      </c>
      <c r="AW318">
        <f t="shared" si="62"/>
        <v>147.91512188404579</v>
      </c>
      <c r="AX318">
        <f t="shared" si="63"/>
        <v>92.852830237383174</v>
      </c>
      <c r="AY318">
        <f t="shared" si="64"/>
        <v>170.57762187798863</v>
      </c>
      <c r="AZ318">
        <f t="shared" si="65"/>
        <v>98.229090066798477</v>
      </c>
      <c r="BA318">
        <f t="shared" si="66"/>
        <v>83.227358488232127</v>
      </c>
      <c r="BB318">
        <f t="shared" si="67"/>
        <v>113.89146128964603</v>
      </c>
      <c r="BC318">
        <f t="shared" si="68"/>
        <v>116.24858799874491</v>
      </c>
      <c r="BD318">
        <f t="shared" si="69"/>
        <v>330.47459613292091</v>
      </c>
    </row>
    <row r="319" spans="1:56" x14ac:dyDescent="0.25">
      <c r="A319" t="s">
        <v>7</v>
      </c>
      <c r="B319" t="s">
        <v>11</v>
      </c>
      <c r="C319" t="s">
        <v>9</v>
      </c>
      <c r="D319" t="s">
        <v>10</v>
      </c>
      <c r="E319">
        <v>4</v>
      </c>
      <c r="F319" s="1">
        <v>36891</v>
      </c>
      <c r="G319">
        <v>-4.4923427682353897E-2</v>
      </c>
      <c r="K319" s="4">
        <v>44104</v>
      </c>
      <c r="L319" s="6">
        <v>-9.5804596232995191E-3</v>
      </c>
      <c r="M319" s="6">
        <v>-1.0043110562691601E-2</v>
      </c>
      <c r="N319" s="6">
        <v>-3.5328788845619798E-3</v>
      </c>
      <c r="O319" s="6">
        <v>1.20141256039913E-2</v>
      </c>
      <c r="P319" s="6">
        <v>3.1405385960658297E-2</v>
      </c>
      <c r="Q319" s="6">
        <v>9.2228446384127992E-3</v>
      </c>
      <c r="R319" s="6">
        <v>-1.7257106144407001E-2</v>
      </c>
      <c r="S319" s="6">
        <v>1.6163575310716501E-2</v>
      </c>
      <c r="T319" s="6">
        <v>1.6275218272437601E-2</v>
      </c>
      <c r="U319" s="6">
        <v>1.1576544658045201E-3</v>
      </c>
      <c r="V319" s="6">
        <v>3.4249553225164799E-2</v>
      </c>
      <c r="W319" s="6">
        <v>-1.47984027519069E-2</v>
      </c>
      <c r="X319" s="6">
        <v>-5.2289300828456502E-3</v>
      </c>
      <c r="Y319" s="6">
        <v>6.004746942747316E-2</v>
      </c>
      <c r="AA319">
        <v>-9.5804596232995191E-3</v>
      </c>
      <c r="AB319">
        <v>-1.0043110562691601E-2</v>
      </c>
      <c r="AC319">
        <v>-3.5328788845619798E-3</v>
      </c>
      <c r="AD319">
        <v>1.20141256039913E-2</v>
      </c>
      <c r="AE319">
        <v>3.1405385960658297E-2</v>
      </c>
      <c r="AF319">
        <v>9.2228446384127992E-3</v>
      </c>
      <c r="AG319">
        <v>-1.7257106144407001E-2</v>
      </c>
      <c r="AH319">
        <v>1.6163575310716501E-2</v>
      </c>
      <c r="AI319">
        <v>1.6275218272437601E-2</v>
      </c>
      <c r="AJ319">
        <v>1.1576544658045201E-3</v>
      </c>
      <c r="AK319">
        <v>3.4249553225164799E-2</v>
      </c>
      <c r="AL319">
        <v>-1.47984027519069E-2</v>
      </c>
      <c r="AM319">
        <v>-5.2289300828456502E-3</v>
      </c>
      <c r="AN319">
        <f>+IBOV!C244</f>
        <v>-7.2433374364897274E-2</v>
      </c>
      <c r="AP319" s="1">
        <f t="shared" si="55"/>
        <v>44104</v>
      </c>
      <c r="AQ319">
        <f t="shared" si="56"/>
        <v>70.045256651579351</v>
      </c>
      <c r="AR319">
        <f t="shared" si="57"/>
        <v>134.60542751763279</v>
      </c>
      <c r="AS319">
        <f t="shared" si="58"/>
        <v>107.77281339863271</v>
      </c>
      <c r="AT319">
        <f t="shared" si="59"/>
        <v>89.090173865173881</v>
      </c>
      <c r="AU319">
        <f t="shared" si="60"/>
        <v>102.70011946182233</v>
      </c>
      <c r="AV319">
        <f t="shared" si="61"/>
        <v>492.74382344085217</v>
      </c>
      <c r="AW319">
        <f t="shared" si="62"/>
        <v>145.3625349253299</v>
      </c>
      <c r="AX319">
        <f t="shared" si="63"/>
        <v>94.353663951738298</v>
      </c>
      <c r="AY319">
        <f t="shared" si="64"/>
        <v>173.3538099064462</v>
      </c>
      <c r="AZ319">
        <f t="shared" si="65"/>
        <v>98.342805411586227</v>
      </c>
      <c r="BA319">
        <f t="shared" si="66"/>
        <v>86.077858332564702</v>
      </c>
      <c r="BB319">
        <f t="shared" si="67"/>
        <v>112.20604957547863</v>
      </c>
      <c r="BC319">
        <f t="shared" si="68"/>
        <v>115.64073225986995</v>
      </c>
      <c r="BD319">
        <f t="shared" si="69"/>
        <v>306.53720599313681</v>
      </c>
    </row>
    <row r="320" spans="1:56" x14ac:dyDescent="0.25">
      <c r="A320" t="s">
        <v>7</v>
      </c>
      <c r="B320" t="s">
        <v>11</v>
      </c>
      <c r="C320" t="s">
        <v>9</v>
      </c>
      <c r="D320" t="s">
        <v>10</v>
      </c>
      <c r="E320">
        <v>4</v>
      </c>
      <c r="F320" s="1">
        <v>36922</v>
      </c>
      <c r="G320">
        <v>-3.4383889258348798E-3</v>
      </c>
      <c r="K320" s="4">
        <v>44135</v>
      </c>
      <c r="L320" s="6">
        <v>-4.1070087790992901E-2</v>
      </c>
      <c r="M320" s="6">
        <v>1.06538535224283E-2</v>
      </c>
      <c r="N320" s="6">
        <v>-1.57041618435016E-2</v>
      </c>
      <c r="O320" s="6">
        <v>5.8603023360567297E-3</v>
      </c>
      <c r="P320" s="6">
        <v>5.4762511945526896E-3</v>
      </c>
      <c r="Q320" s="6">
        <v>4.9377277677650301E-2</v>
      </c>
      <c r="R320" s="6">
        <v>-4.84898036532928E-3</v>
      </c>
      <c r="S320" s="6">
        <v>1.6932712311901001E-2</v>
      </c>
      <c r="T320" s="6">
        <v>6.84376596561115E-3</v>
      </c>
      <c r="U320" s="6">
        <v>-1.01789097590922E-3</v>
      </c>
      <c r="V320" s="6">
        <v>-2.4770249551550799E-2</v>
      </c>
      <c r="W320" s="6">
        <v>-1.83353783497349E-2</v>
      </c>
      <c r="X320" s="6">
        <v>-2.3145405302949201E-2</v>
      </c>
      <c r="Y320" s="6">
        <v>-3.374799117176773E-2</v>
      </c>
      <c r="AA320">
        <v>-4.1070087790992901E-2</v>
      </c>
      <c r="AB320">
        <v>1.06538535224283E-2</v>
      </c>
      <c r="AC320">
        <v>-1.57041618435016E-2</v>
      </c>
      <c r="AD320">
        <v>5.8603023360567297E-3</v>
      </c>
      <c r="AE320">
        <v>5.4762511945526896E-3</v>
      </c>
      <c r="AF320">
        <v>4.9377277677650301E-2</v>
      </c>
      <c r="AG320">
        <v>-4.84898036532928E-3</v>
      </c>
      <c r="AH320">
        <v>1.6932712311901001E-2</v>
      </c>
      <c r="AI320">
        <v>6.84376596561115E-3</v>
      </c>
      <c r="AJ320">
        <v>-1.01789097590922E-3</v>
      </c>
      <c r="AK320">
        <v>-2.4770249551550799E-2</v>
      </c>
      <c r="AL320">
        <v>-1.83353783497349E-2</v>
      </c>
      <c r="AM320">
        <v>-2.3145405302949201E-2</v>
      </c>
      <c r="AN320">
        <f>+IBOV!C245</f>
        <v>-2.8922505597728021E-2</v>
      </c>
      <c r="AP320" s="1">
        <f t="shared" si="55"/>
        <v>44135</v>
      </c>
      <c r="AQ320">
        <f t="shared" si="56"/>
        <v>67.168491811556365</v>
      </c>
      <c r="AR320">
        <f t="shared" si="57"/>
        <v>136.03949402572948</v>
      </c>
      <c r="AS320">
        <f t="shared" si="58"/>
        <v>106.08033169469107</v>
      </c>
      <c r="AT320">
        <f t="shared" si="59"/>
        <v>89.612269219195667</v>
      </c>
      <c r="AU320">
        <f t="shared" si="60"/>
        <v>103.26253111370583</v>
      </c>
      <c r="AV320">
        <f t="shared" si="61"/>
        <v>517.07417203483817</v>
      </c>
      <c r="AW320">
        <f t="shared" si="62"/>
        <v>144.65767484762247</v>
      </c>
      <c r="AX320">
        <f t="shared" si="63"/>
        <v>95.951327399006857</v>
      </c>
      <c r="AY320">
        <f t="shared" si="64"/>
        <v>174.54020281069296</v>
      </c>
      <c r="AZ320">
        <f t="shared" si="65"/>
        <v>98.24270315741218</v>
      </c>
      <c r="BA320">
        <f t="shared" si="66"/>
        <v>83.945688300804036</v>
      </c>
      <c r="BB320">
        <f t="shared" si="67"/>
        <v>110.14870920338312</v>
      </c>
      <c r="BC320">
        <f t="shared" si="68"/>
        <v>112.96418064218543</v>
      </c>
      <c r="BD320">
        <f t="shared" si="69"/>
        <v>297.67138193688839</v>
      </c>
    </row>
    <row r="321" spans="1:56" x14ac:dyDescent="0.25">
      <c r="A321" t="s">
        <v>7</v>
      </c>
      <c r="B321" t="s">
        <v>11</v>
      </c>
      <c r="C321" t="s">
        <v>9</v>
      </c>
      <c r="D321" t="s">
        <v>10</v>
      </c>
      <c r="E321">
        <v>5</v>
      </c>
      <c r="F321" s="1">
        <v>36950</v>
      </c>
      <c r="G321">
        <v>1.29556749386265E-2</v>
      </c>
      <c r="K321" s="4">
        <v>44165</v>
      </c>
      <c r="L321" s="6">
        <v>4.8829778896436499E-2</v>
      </c>
      <c r="M321" s="6">
        <v>-7.2776556206748796E-3</v>
      </c>
      <c r="N321" s="6">
        <v>3.72424304819046E-2</v>
      </c>
      <c r="O321" s="6">
        <v>-2.4441518051462E-2</v>
      </c>
      <c r="P321" s="6">
        <v>5.0553370504505101E-3</v>
      </c>
      <c r="Q321" s="6">
        <v>-5.9759455086769303E-2</v>
      </c>
      <c r="R321" s="6">
        <v>-2.02517651617443E-2</v>
      </c>
      <c r="S321" s="6">
        <v>7.6128830760375504E-3</v>
      </c>
      <c r="T321" s="6">
        <v>-3.1268590845817301E-3</v>
      </c>
      <c r="U321" s="6">
        <v>3.67948738987238E-3</v>
      </c>
      <c r="V321" s="6">
        <v>-1.06079074863856E-2</v>
      </c>
      <c r="W321" s="6">
        <v>2.90184148721617E-2</v>
      </c>
      <c r="X321" s="6">
        <v>7.2350883544460898E-2</v>
      </c>
      <c r="Y321" s="6">
        <v>7.8324054819706335E-2</v>
      </c>
      <c r="AA321">
        <v>4.8829778896436499E-2</v>
      </c>
      <c r="AB321">
        <v>-7.2776556206748796E-3</v>
      </c>
      <c r="AC321">
        <v>3.72424304819046E-2</v>
      </c>
      <c r="AD321">
        <v>-2.4441518051462E-2</v>
      </c>
      <c r="AE321">
        <v>5.0553370504505101E-3</v>
      </c>
      <c r="AF321">
        <v>-5.9759455086769303E-2</v>
      </c>
      <c r="AG321">
        <v>-2.02517651617443E-2</v>
      </c>
      <c r="AH321">
        <v>7.6128830760375504E-3</v>
      </c>
      <c r="AI321">
        <v>-3.1268590845817301E-3</v>
      </c>
      <c r="AJ321">
        <v>3.67948738987238E-3</v>
      </c>
      <c r="AK321">
        <v>-1.06079074863856E-2</v>
      </c>
      <c r="AL321">
        <v>2.90184148721617E-2</v>
      </c>
      <c r="AM321">
        <v>7.2350883544460898E-2</v>
      </c>
      <c r="AN321">
        <f>+IBOV!C246</f>
        <v>0.23790027781839451</v>
      </c>
      <c r="AP321" s="1">
        <f t="shared" si="55"/>
        <v>44165</v>
      </c>
      <c r="AQ321">
        <f t="shared" si="56"/>
        <v>70.448314415521764</v>
      </c>
      <c r="AR321">
        <f t="shared" si="57"/>
        <v>135.04944543739938</v>
      </c>
      <c r="AS321">
        <f t="shared" si="58"/>
        <v>110.03102107332798</v>
      </c>
      <c r="AT321">
        <f t="shared" si="59"/>
        <v>87.422009323442225</v>
      </c>
      <c r="AU321">
        <f t="shared" si="60"/>
        <v>103.78455801316825</v>
      </c>
      <c r="AV321">
        <f t="shared" si="61"/>
        <v>486.17410127459385</v>
      </c>
      <c r="AW321">
        <f t="shared" si="62"/>
        <v>141.72810158776446</v>
      </c>
      <c r="AX321">
        <f t="shared" si="63"/>
        <v>96.681793635486102</v>
      </c>
      <c r="AY321">
        <f t="shared" si="64"/>
        <v>173.9944401919096</v>
      </c>
      <c r="AZ321">
        <f t="shared" si="65"/>
        <v>98.604185944826867</v>
      </c>
      <c r="BA321">
        <f t="shared" si="66"/>
        <v>83.055200205428136</v>
      </c>
      <c r="BB321">
        <f t="shared" si="67"/>
        <v>113.34505014467999</v>
      </c>
      <c r="BC321">
        <f t="shared" si="68"/>
        <v>121.13723892052361</v>
      </c>
      <c r="BD321">
        <f t="shared" si="69"/>
        <v>368.48748639825959</v>
      </c>
    </row>
    <row r="322" spans="1:56" x14ac:dyDescent="0.25">
      <c r="A322" t="s">
        <v>7</v>
      </c>
      <c r="B322" t="s">
        <v>11</v>
      </c>
      <c r="C322" t="s">
        <v>9</v>
      </c>
      <c r="D322" t="s">
        <v>10</v>
      </c>
      <c r="E322">
        <v>5</v>
      </c>
      <c r="F322" s="1">
        <v>36981</v>
      </c>
      <c r="G322">
        <v>-2.9746169907188001E-2</v>
      </c>
      <c r="K322" s="4">
        <v>44196</v>
      </c>
      <c r="L322" s="6">
        <v>1.0458725892823499E-2</v>
      </c>
      <c r="M322" s="6">
        <v>1.25183746010958E-3</v>
      </c>
      <c r="N322" s="6">
        <v>-1.09534134632769E-2</v>
      </c>
      <c r="O322" s="6">
        <v>-4.9284101110638502E-3</v>
      </c>
      <c r="P322" s="6">
        <v>-1.9990716250576499E-2</v>
      </c>
      <c r="Q322" s="6">
        <v>8.8696488731205593E-3</v>
      </c>
      <c r="R322" s="6">
        <v>-1.7369231416449402E-2</v>
      </c>
      <c r="S322" s="6">
        <v>-1.0826875318194601E-2</v>
      </c>
      <c r="T322" s="6">
        <v>-2.1282209421758399E-2</v>
      </c>
      <c r="U322" s="6">
        <v>-2.3302515390448901E-3</v>
      </c>
      <c r="V322" s="6">
        <v>-2.1185270714455699E-2</v>
      </c>
      <c r="W322" s="6">
        <v>-1.2535314165023599E-2</v>
      </c>
      <c r="X322" s="6">
        <v>3.68945086295838E-3</v>
      </c>
      <c r="Y322" s="6">
        <v>-9.7132029310831799E-2</v>
      </c>
      <c r="AA322">
        <v>1.0458725892823499E-2</v>
      </c>
      <c r="AB322">
        <v>1.25183746010958E-3</v>
      </c>
      <c r="AC322">
        <v>-1.09534134632769E-2</v>
      </c>
      <c r="AD322">
        <v>-4.9284101110638502E-3</v>
      </c>
      <c r="AE322">
        <v>-1.9990716250576499E-2</v>
      </c>
      <c r="AF322">
        <v>8.8696488731205593E-3</v>
      </c>
      <c r="AG322">
        <v>-1.7369231416449402E-2</v>
      </c>
      <c r="AH322">
        <v>-1.0826875318194601E-2</v>
      </c>
      <c r="AI322">
        <v>-2.1282209421758399E-2</v>
      </c>
      <c r="AJ322">
        <v>-2.3302515390448901E-3</v>
      </c>
      <c r="AK322">
        <v>-2.1185270714455699E-2</v>
      </c>
      <c r="AL322">
        <v>-1.2535314165023599E-2</v>
      </c>
      <c r="AM322">
        <v>3.68945086295838E-3</v>
      </c>
      <c r="AN322">
        <f>+IBOV!C247</f>
        <v>0.1232395645932145</v>
      </c>
      <c r="AP322" s="1">
        <f t="shared" si="55"/>
        <v>44196</v>
      </c>
      <c r="AQ322">
        <f t="shared" si="56"/>
        <v>71.185114025605145</v>
      </c>
      <c r="AR322">
        <f t="shared" si="57"/>
        <v>135.21850539216496</v>
      </c>
      <c r="AS322">
        <f t="shared" si="58"/>
        <v>108.82580580572528</v>
      </c>
      <c r="AT322">
        <f t="shared" si="59"/>
        <v>86.991157808763063</v>
      </c>
      <c r="AU322">
        <f t="shared" si="60"/>
        <v>101.70983036273552</v>
      </c>
      <c r="AV322">
        <f t="shared" si="61"/>
        <v>490.48629484410446</v>
      </c>
      <c r="AW322">
        <f t="shared" si="62"/>
        <v>139.26639339307252</v>
      </c>
      <c r="AX322">
        <f t="shared" si="63"/>
        <v>95.635031910255279</v>
      </c>
      <c r="AY322">
        <f t="shared" si="64"/>
        <v>170.29145407752375</v>
      </c>
      <c r="AZ322">
        <f t="shared" si="65"/>
        <v>98.374413388772666</v>
      </c>
      <c r="BA322">
        <f t="shared" si="66"/>
        <v>81.295653304832825</v>
      </c>
      <c r="BB322">
        <f t="shared" si="67"/>
        <v>111.92423433206606</v>
      </c>
      <c r="BC322">
        <f t="shared" si="68"/>
        <v>121.58416881119533</v>
      </c>
      <c r="BD322">
        <f t="shared" si="69"/>
        <v>413.89972378002915</v>
      </c>
    </row>
    <row r="323" spans="1:56" x14ac:dyDescent="0.25">
      <c r="A323" t="s">
        <v>7</v>
      </c>
      <c r="B323" t="s">
        <v>11</v>
      </c>
      <c r="C323" t="s">
        <v>9</v>
      </c>
      <c r="D323" t="s">
        <v>10</v>
      </c>
      <c r="E323">
        <v>5</v>
      </c>
      <c r="F323" s="1">
        <v>37011</v>
      </c>
      <c r="G323">
        <v>3.9403308520909099E-2</v>
      </c>
      <c r="K323" s="4">
        <v>44227</v>
      </c>
      <c r="L323" s="6">
        <v>5.9281187538774302E-2</v>
      </c>
      <c r="M323" s="6">
        <v>-6.0734793701536401E-2</v>
      </c>
      <c r="N323" s="6">
        <v>-7.8419695477231904E-2</v>
      </c>
      <c r="O323" s="6">
        <v>3.8633908644564598E-2</v>
      </c>
      <c r="P323" s="6">
        <v>-3.1972286609807703E-5</v>
      </c>
      <c r="Q323" s="6">
        <v>-2.24438106868565E-2</v>
      </c>
      <c r="R323" s="6">
        <v>7.6619071172740498E-3</v>
      </c>
      <c r="S323" s="6">
        <v>-5.6467698548614102E-2</v>
      </c>
      <c r="T323" s="6">
        <v>-1.6889748858169702E-2</v>
      </c>
      <c r="U323" s="6">
        <v>2.27363520490452E-2</v>
      </c>
      <c r="V323" s="6">
        <v>-4.2851275100546302E-2</v>
      </c>
      <c r="W323" s="6">
        <v>3.1172349143363001E-2</v>
      </c>
      <c r="X323" s="6">
        <v>-8.0817271041000102E-2</v>
      </c>
      <c r="Y323" s="6">
        <v>-0.19917056120754367</v>
      </c>
      <c r="AA323">
        <v>5.9281187538774302E-2</v>
      </c>
      <c r="AB323">
        <v>-6.0734793701536401E-2</v>
      </c>
      <c r="AC323">
        <v>-7.8419695477231904E-2</v>
      </c>
      <c r="AD323">
        <v>3.8633908644564598E-2</v>
      </c>
      <c r="AE323">
        <v>-3.1972286609807703E-5</v>
      </c>
      <c r="AF323">
        <v>-2.24438106868565E-2</v>
      </c>
      <c r="AG323">
        <v>7.6619071172740498E-3</v>
      </c>
      <c r="AH323">
        <v>-5.6467698548614102E-2</v>
      </c>
      <c r="AI323">
        <v>-1.6889748858169702E-2</v>
      </c>
      <c r="AJ323">
        <v>2.27363520490452E-2</v>
      </c>
      <c r="AK323">
        <v>-4.2851275100546302E-2</v>
      </c>
      <c r="AL323">
        <v>3.1172349143363001E-2</v>
      </c>
      <c r="AM323">
        <v>-8.0817271041000102E-2</v>
      </c>
      <c r="AN323">
        <f>+IBOV!C248</f>
        <v>-7.7688751552116742E-2</v>
      </c>
      <c r="AP323" s="1">
        <f t="shared" si="55"/>
        <v>44227</v>
      </c>
      <c r="AQ323">
        <f t="shared" si="56"/>
        <v>75.405052120126072</v>
      </c>
      <c r="AR323">
        <f t="shared" si="57"/>
        <v>127.00603736254172</v>
      </c>
      <c r="AS323">
        <f t="shared" si="58"/>
        <v>100.29171925437592</v>
      </c>
      <c r="AT323">
        <f t="shared" si="59"/>
        <v>90.351966252431723</v>
      </c>
      <c r="AU323">
        <f t="shared" si="60"/>
        <v>101.70657846688813</v>
      </c>
      <c r="AV323">
        <f t="shared" si="61"/>
        <v>479.47791329812571</v>
      </c>
      <c r="AW323">
        <f t="shared" si="62"/>
        <v>140.33343956380799</v>
      </c>
      <c r="AX323">
        <f t="shared" si="63"/>
        <v>90.23474175765989</v>
      </c>
      <c r="AY323">
        <f t="shared" si="64"/>
        <v>167.41527418546184</v>
      </c>
      <c r="AZ323">
        <f t="shared" si="65"/>
        <v>100.61108868419809</v>
      </c>
      <c r="BA323">
        <f t="shared" si="66"/>
        <v>77.812030900588795</v>
      </c>
      <c r="BB323">
        <f t="shared" si="67"/>
        <v>115.41317564226881</v>
      </c>
      <c r="BC323">
        <f t="shared" si="68"/>
        <v>111.75806808608624</v>
      </c>
      <c r="BD323">
        <f t="shared" si="69"/>
        <v>381.7443709717927</v>
      </c>
    </row>
    <row r="324" spans="1:56" x14ac:dyDescent="0.25">
      <c r="A324" t="s">
        <v>7</v>
      </c>
      <c r="B324" t="s">
        <v>11</v>
      </c>
      <c r="C324" t="s">
        <v>9</v>
      </c>
      <c r="D324" t="s">
        <v>10</v>
      </c>
      <c r="E324">
        <v>6</v>
      </c>
      <c r="F324" s="1">
        <v>37042</v>
      </c>
      <c r="G324">
        <v>1.81437497000582E-2</v>
      </c>
      <c r="K324" s="4">
        <v>44255</v>
      </c>
      <c r="L324" s="6">
        <v>1.72064660639853E-2</v>
      </c>
      <c r="M324" s="6">
        <v>-4.1782674664179297E-3</v>
      </c>
      <c r="N324" s="6">
        <v>1.18122242355487E-2</v>
      </c>
      <c r="O324" s="6">
        <v>-9.5474856388537196E-3</v>
      </c>
      <c r="P324" s="6">
        <v>7.1287385903041301E-3</v>
      </c>
      <c r="Q324" s="6">
        <v>3.5266256983244697E-2</v>
      </c>
      <c r="R324" s="6">
        <v>1.74162039556961E-2</v>
      </c>
      <c r="S324" s="6">
        <v>7.9145483494218894E-3</v>
      </c>
      <c r="T324" s="6">
        <v>1.4054985743863499E-2</v>
      </c>
      <c r="U324" s="6">
        <v>1.36519868120933E-2</v>
      </c>
      <c r="V324" s="6">
        <v>-1.1773803821675401E-2</v>
      </c>
      <c r="W324" s="6">
        <v>-7.49652549476901E-3</v>
      </c>
      <c r="X324" s="6">
        <v>-3.50784069936256E-3</v>
      </c>
      <c r="Y324" s="6">
        <v>8.7947487613078981E-2</v>
      </c>
      <c r="AA324">
        <v>1.72064660639853E-2</v>
      </c>
      <c r="AB324">
        <v>-4.1782674664179297E-3</v>
      </c>
      <c r="AC324">
        <v>1.18122242355487E-2</v>
      </c>
      <c r="AD324">
        <v>-9.5474856388537196E-3</v>
      </c>
      <c r="AE324">
        <v>7.1287385903041301E-3</v>
      </c>
      <c r="AF324">
        <v>3.5266256983244697E-2</v>
      </c>
      <c r="AG324">
        <v>1.74162039556961E-2</v>
      </c>
      <c r="AH324">
        <v>7.9145483494218894E-3</v>
      </c>
      <c r="AI324">
        <v>1.4054985743863499E-2</v>
      </c>
      <c r="AJ324">
        <v>1.36519868120933E-2</v>
      </c>
      <c r="AK324">
        <v>-1.1773803821675401E-2</v>
      </c>
      <c r="AL324">
        <v>-7.49652549476901E-3</v>
      </c>
      <c r="AM324">
        <v>-3.50784069936256E-3</v>
      </c>
      <c r="AN324">
        <f>+IBOV!C249</f>
        <v>-6.6980945907426537E-2</v>
      </c>
      <c r="AP324" s="1">
        <f t="shared" si="55"/>
        <v>44255</v>
      </c>
      <c r="AQ324">
        <f t="shared" si="56"/>
        <v>76.702506590484063</v>
      </c>
      <c r="AR324">
        <f t="shared" si="57"/>
        <v>126.47537216859115</v>
      </c>
      <c r="AS324">
        <f t="shared" si="58"/>
        <v>101.47638753117731</v>
      </c>
      <c r="AT324">
        <f t="shared" si="59"/>
        <v>89.489332152194436</v>
      </c>
      <c r="AU324">
        <f t="shared" si="60"/>
        <v>102.43161807769282</v>
      </c>
      <c r="AV324">
        <f t="shared" si="61"/>
        <v>496.38730460628733</v>
      </c>
      <c r="AW324">
        <f t="shared" si="62"/>
        <v>142.77751536905564</v>
      </c>
      <c r="AX324">
        <f t="shared" si="63"/>
        <v>90.94890898409848</v>
      </c>
      <c r="AY324">
        <f t="shared" si="64"/>
        <v>169.76829347744351</v>
      </c>
      <c r="AZ324">
        <f t="shared" si="65"/>
        <v>101.9846299400651</v>
      </c>
      <c r="BA324">
        <f t="shared" si="66"/>
        <v>76.895887313799122</v>
      </c>
      <c r="BB324">
        <f t="shared" si="67"/>
        <v>114.54797782863429</v>
      </c>
      <c r="BC324">
        <f t="shared" si="68"/>
        <v>111.36603858637173</v>
      </c>
      <c r="BD324">
        <f t="shared" si="69"/>
        <v>356.1747719092665</v>
      </c>
    </row>
    <row r="325" spans="1:56" x14ac:dyDescent="0.25">
      <c r="A325" t="s">
        <v>7</v>
      </c>
      <c r="B325" t="s">
        <v>11</v>
      </c>
      <c r="C325" t="s">
        <v>9</v>
      </c>
      <c r="D325" t="s">
        <v>10</v>
      </c>
      <c r="E325">
        <v>3</v>
      </c>
      <c r="F325" s="1">
        <v>37072</v>
      </c>
      <c r="G325">
        <v>-4.0034133918606697E-2</v>
      </c>
      <c r="K325" s="4">
        <v>44286</v>
      </c>
      <c r="L325" s="6">
        <v>5.4014588299453499E-2</v>
      </c>
      <c r="M325" s="6">
        <v>-2.0426093361938801E-2</v>
      </c>
      <c r="N325" s="6">
        <v>2.8594402334065801E-2</v>
      </c>
      <c r="O325" s="6">
        <v>-6.0672397960458098E-2</v>
      </c>
      <c r="P325" s="6">
        <v>-1.48176009013215E-2</v>
      </c>
      <c r="Q325" s="6">
        <v>-4.12707334717302E-2</v>
      </c>
      <c r="R325" s="6">
        <v>-1.50450427759988E-2</v>
      </c>
      <c r="S325" s="6">
        <v>1.9417427943354101E-2</v>
      </c>
      <c r="T325" s="6">
        <v>-3.9056480049718398E-4</v>
      </c>
      <c r="U325" s="6">
        <v>-4.6817571288575999E-3</v>
      </c>
      <c r="V325" s="6">
        <v>1.44256706346936E-2</v>
      </c>
      <c r="W325" s="6">
        <v>-1.3431683931329999E-3</v>
      </c>
      <c r="X325" s="6">
        <v>0.11685455880088801</v>
      </c>
      <c r="Y325" s="6">
        <v>7.4659289218519831E-2</v>
      </c>
      <c r="AA325">
        <v>5.4014588299453499E-2</v>
      </c>
      <c r="AB325">
        <v>-2.0426093361938801E-2</v>
      </c>
      <c r="AC325">
        <v>2.8594402334065801E-2</v>
      </c>
      <c r="AD325">
        <v>-6.0672397960458098E-2</v>
      </c>
      <c r="AE325">
        <v>-1.48176009013215E-2</v>
      </c>
      <c r="AF325">
        <v>-4.12707334717302E-2</v>
      </c>
      <c r="AG325">
        <v>-1.50450427759988E-2</v>
      </c>
      <c r="AH325">
        <v>1.9417427943354101E-2</v>
      </c>
      <c r="AI325">
        <v>-3.9056480049718398E-4</v>
      </c>
      <c r="AJ325">
        <v>-4.6817571288575999E-3</v>
      </c>
      <c r="AK325">
        <v>1.44256706346936E-2</v>
      </c>
      <c r="AL325">
        <v>-1.3431683931329999E-3</v>
      </c>
      <c r="AM325">
        <v>0.11685455880088801</v>
      </c>
      <c r="AN325">
        <f>+IBOV!C250</f>
        <v>4.8589732140758901E-2</v>
      </c>
      <c r="AP325" s="1">
        <f t="shared" si="55"/>
        <v>44286</v>
      </c>
      <c r="AQ325">
        <f t="shared" si="56"/>
        <v>80.845560905505181</v>
      </c>
      <c r="AR325">
        <f t="shared" si="57"/>
        <v>123.89197440868955</v>
      </c>
      <c r="AS325">
        <f t="shared" si="58"/>
        <v>104.37804418365138</v>
      </c>
      <c r="AT325">
        <f t="shared" si="59"/>
        <v>84.05979977864088</v>
      </c>
      <c r="AU325">
        <f t="shared" si="60"/>
        <v>100.91382724134098</v>
      </c>
      <c r="AV325">
        <f t="shared" si="61"/>
        <v>475.90103645913069</v>
      </c>
      <c r="AW325">
        <f t="shared" si="62"/>
        <v>140.62942154287737</v>
      </c>
      <c r="AX325">
        <f t="shared" si="63"/>
        <v>92.714902870823877</v>
      </c>
      <c r="AY325">
        <f t="shared" si="64"/>
        <v>169.70198795777074</v>
      </c>
      <c r="AZ325">
        <f t="shared" si="65"/>
        <v>101.50716267180931</v>
      </c>
      <c r="BA325">
        <f t="shared" si="66"/>
        <v>78.005162057350503</v>
      </c>
      <c r="BB325">
        <f t="shared" si="67"/>
        <v>114.39412060531757</v>
      </c>
      <c r="BC325">
        <f t="shared" si="68"/>
        <v>124.37966789078487</v>
      </c>
      <c r="BD325">
        <f t="shared" si="69"/>
        <v>373.48120867163368</v>
      </c>
    </row>
    <row r="326" spans="1:56" x14ac:dyDescent="0.25">
      <c r="A326" t="s">
        <v>7</v>
      </c>
      <c r="B326" t="s">
        <v>11</v>
      </c>
      <c r="C326" t="s">
        <v>9</v>
      </c>
      <c r="D326" t="s">
        <v>10</v>
      </c>
      <c r="E326">
        <v>3</v>
      </c>
      <c r="F326" s="1">
        <v>37103</v>
      </c>
      <c r="G326">
        <v>6.2704866503422996E-3</v>
      </c>
      <c r="K326" s="4">
        <v>44316</v>
      </c>
      <c r="L326" s="6">
        <v>-2.4952076807814701E-2</v>
      </c>
      <c r="M326" s="6">
        <v>1.6262482026722501E-2</v>
      </c>
      <c r="N326" s="6">
        <v>3.7543895290122399E-2</v>
      </c>
      <c r="O326" s="6">
        <v>-1.22351190619582E-2</v>
      </c>
      <c r="P326" s="6">
        <v>-3.1134953106566401E-2</v>
      </c>
      <c r="Q326" s="6">
        <v>5.3712514507983601E-3</v>
      </c>
      <c r="R326" s="6">
        <v>2.2807216735211699E-2</v>
      </c>
      <c r="S326" s="6">
        <v>5.5516514805030198E-2</v>
      </c>
      <c r="T326" s="6">
        <v>2.1077902862452799E-2</v>
      </c>
      <c r="U326" s="6">
        <v>1.7601488362911401E-2</v>
      </c>
      <c r="V326" s="6">
        <v>-4.1164238937566097E-3</v>
      </c>
      <c r="W326" s="6">
        <v>-8.9570173297350408E-3</v>
      </c>
      <c r="X326" s="6">
        <v>2.57783242871512E-2</v>
      </c>
      <c r="Y326" s="6">
        <v>0.12056348562056962</v>
      </c>
      <c r="AA326">
        <v>-2.4952076807814701E-2</v>
      </c>
      <c r="AB326">
        <v>1.6262482026722501E-2</v>
      </c>
      <c r="AC326">
        <v>3.7543895290122399E-2</v>
      </c>
      <c r="AD326">
        <v>-1.22351190619582E-2</v>
      </c>
      <c r="AE326">
        <v>-3.1134953106566401E-2</v>
      </c>
      <c r="AF326">
        <v>5.3712514507983601E-3</v>
      </c>
      <c r="AG326">
        <v>2.2807216735211699E-2</v>
      </c>
      <c r="AH326">
        <v>5.5516514805030198E-2</v>
      </c>
      <c r="AI326">
        <v>2.1077902862452799E-2</v>
      </c>
      <c r="AJ326">
        <v>1.7601488362911401E-2</v>
      </c>
      <c r="AK326">
        <v>-4.1164238937566097E-3</v>
      </c>
      <c r="AL326">
        <v>-8.9570173297350408E-3</v>
      </c>
      <c r="AM326">
        <v>2.57783242871512E-2</v>
      </c>
      <c r="AN326">
        <f>+IBOV!C251</f>
        <v>6.3079619361807948E-2</v>
      </c>
      <c r="AP326" s="1">
        <f t="shared" si="55"/>
        <v>44316</v>
      </c>
      <c r="AQ326">
        <f t="shared" si="56"/>
        <v>78.828296260220156</v>
      </c>
      <c r="AR326">
        <f t="shared" si="57"/>
        <v>125.90676541576603</v>
      </c>
      <c r="AS326">
        <f t="shared" si="58"/>
        <v>108.29680254507015</v>
      </c>
      <c r="AT326">
        <f t="shared" si="59"/>
        <v>83.031318120024849</v>
      </c>
      <c r="AU326">
        <f t="shared" si="60"/>
        <v>97.771879962377682</v>
      </c>
      <c r="AV326">
        <f t="shared" si="61"/>
        <v>478.45722059164825</v>
      </c>
      <c r="AW326">
        <f t="shared" si="62"/>
        <v>143.83678723935324</v>
      </c>
      <c r="AX326">
        <f t="shared" si="63"/>
        <v>97.862111148698915</v>
      </c>
      <c r="AY326">
        <f t="shared" si="64"/>
        <v>173.27894997550976</v>
      </c>
      <c r="AZ326">
        <f t="shared" si="65"/>
        <v>103.29383981432932</v>
      </c>
      <c r="BA326">
        <f t="shared" si="66"/>
        <v>77.684059744421262</v>
      </c>
      <c r="BB326">
        <f t="shared" si="67"/>
        <v>113.36949048463593</v>
      </c>
      <c r="BC326">
        <f t="shared" si="68"/>
        <v>127.58596730440169</v>
      </c>
      <c r="BD326">
        <f t="shared" si="69"/>
        <v>397.04026115342828</v>
      </c>
    </row>
    <row r="327" spans="1:56" x14ac:dyDescent="0.25">
      <c r="A327" t="s">
        <v>7</v>
      </c>
      <c r="B327" t="s">
        <v>11</v>
      </c>
      <c r="C327" t="s">
        <v>9</v>
      </c>
      <c r="D327" t="s">
        <v>10</v>
      </c>
      <c r="E327">
        <v>3</v>
      </c>
      <c r="F327" s="1">
        <v>37134</v>
      </c>
      <c r="G327">
        <v>-2.7156318602990299E-2</v>
      </c>
      <c r="K327" s="4">
        <v>44347</v>
      </c>
      <c r="L327" s="6">
        <v>-6.6629115204728901E-3</v>
      </c>
      <c r="M327" s="6">
        <v>-2.63173576773181E-2</v>
      </c>
      <c r="N327" s="6">
        <v>3.7560688254285801E-3</v>
      </c>
      <c r="O327" s="6">
        <v>-9.8902729799763608E-3</v>
      </c>
      <c r="P327" s="6">
        <v>9.5421938464895805E-4</v>
      </c>
      <c r="Q327" s="6">
        <v>-9.7597937294106596E-3</v>
      </c>
      <c r="R327" s="6">
        <v>-2.55710717873548E-2</v>
      </c>
      <c r="S327" s="6">
        <v>-3.7136537465758302E-3</v>
      </c>
      <c r="T327" s="6">
        <v>-1.6630138941306799E-2</v>
      </c>
      <c r="U327" s="6">
        <v>-6.4592410392800099E-3</v>
      </c>
      <c r="V327" s="6">
        <v>-8.7647137384259995E-3</v>
      </c>
      <c r="W327" s="6">
        <v>4.3606227886466301E-2</v>
      </c>
      <c r="X327" s="6">
        <v>1.8241530091699099E-2</v>
      </c>
      <c r="Y327" s="6">
        <v>-4.721110897187851E-2</v>
      </c>
      <c r="AA327">
        <v>-6.6629115204728901E-3</v>
      </c>
      <c r="AB327">
        <v>-2.63173576773181E-2</v>
      </c>
      <c r="AC327">
        <v>3.7560688254285801E-3</v>
      </c>
      <c r="AD327">
        <v>-9.8902729799763608E-3</v>
      </c>
      <c r="AE327">
        <v>9.5421938464895805E-4</v>
      </c>
      <c r="AF327">
        <v>-9.7597937294106596E-3</v>
      </c>
      <c r="AG327">
        <v>-2.55710717873548E-2</v>
      </c>
      <c r="AH327">
        <v>-3.7136537465758302E-3</v>
      </c>
      <c r="AI327">
        <v>-1.6630138941306799E-2</v>
      </c>
      <c r="AJ327">
        <v>-6.4592410392800099E-3</v>
      </c>
      <c r="AK327">
        <v>-8.7647137384259995E-3</v>
      </c>
      <c r="AL327">
        <v>4.3606227886466301E-2</v>
      </c>
      <c r="AM327">
        <v>1.8241530091699099E-2</v>
      </c>
      <c r="AN327">
        <f>+IBOV!C252</f>
        <v>9.4205892769804178E-2</v>
      </c>
      <c r="AP327" s="1">
        <f t="shared" si="55"/>
        <v>44347</v>
      </c>
      <c r="AQ327">
        <f t="shared" si="56"/>
        <v>78.303070296928681</v>
      </c>
      <c r="AR327">
        <f t="shared" si="57"/>
        <v>122.59323203632513</v>
      </c>
      <c r="AS327">
        <f t="shared" si="58"/>
        <v>108.70357278900327</v>
      </c>
      <c r="AT327">
        <f t="shared" si="59"/>
        <v>82.210115717930549</v>
      </c>
      <c r="AU327">
        <f t="shared" si="60"/>
        <v>97.865175785511354</v>
      </c>
      <c r="AV327">
        <f t="shared" si="61"/>
        <v>473.78757681032658</v>
      </c>
      <c r="AW327">
        <f t="shared" si="62"/>
        <v>140.15872642719324</v>
      </c>
      <c r="AX327">
        <f t="shared" si="63"/>
        <v>97.498685152983725</v>
      </c>
      <c r="AY327">
        <f t="shared" si="64"/>
        <v>170.39729696181328</v>
      </c>
      <c r="AZ327">
        <f t="shared" si="65"/>
        <v>102.62664000509579</v>
      </c>
      <c r="BA327">
        <f t="shared" si="66"/>
        <v>77.003181198722629</v>
      </c>
      <c r="BB327">
        <f t="shared" si="67"/>
        <v>118.31310632208155</v>
      </c>
      <c r="BC327">
        <f t="shared" si="68"/>
        <v>129.91333056626348</v>
      </c>
      <c r="BD327">
        <f t="shared" si="69"/>
        <v>434.44379342094317</v>
      </c>
    </row>
    <row r="328" spans="1:56" x14ac:dyDescent="0.25">
      <c r="A328" t="s">
        <v>7</v>
      </c>
      <c r="B328" t="s">
        <v>11</v>
      </c>
      <c r="C328" t="s">
        <v>9</v>
      </c>
      <c r="D328" t="s">
        <v>10</v>
      </c>
      <c r="E328">
        <v>3</v>
      </c>
      <c r="F328" s="1">
        <v>37164</v>
      </c>
      <c r="G328">
        <v>-5.95105289835903E-2</v>
      </c>
      <c r="K328" s="4">
        <v>44377</v>
      </c>
      <c r="L328" s="6">
        <v>-2.1078471445072799E-2</v>
      </c>
      <c r="M328" s="6">
        <v>2.0230220372553999E-3</v>
      </c>
      <c r="N328" s="6">
        <v>-2.93160272504343E-2</v>
      </c>
      <c r="O328" s="6">
        <v>2.6444197216582001E-2</v>
      </c>
      <c r="P328" s="6">
        <v>-2.2384270467067299E-2</v>
      </c>
      <c r="Q328" s="6">
        <v>1.4816511340878E-3</v>
      </c>
      <c r="R328" s="6">
        <v>1.1511793963633801E-2</v>
      </c>
      <c r="S328" s="6">
        <v>-1.8911968867200101E-2</v>
      </c>
      <c r="T328" s="6">
        <v>-6.3485639522624596E-3</v>
      </c>
      <c r="U328" s="6">
        <v>-6.4424259284372801E-3</v>
      </c>
      <c r="V328" s="6">
        <v>-9.11030705606416E-3</v>
      </c>
      <c r="W328" s="6">
        <v>4.7572126838084802E-2</v>
      </c>
      <c r="X328" s="6">
        <v>-2.7434442848065399E-2</v>
      </c>
      <c r="Y328" s="6">
        <v>-5.1993686624959998E-2</v>
      </c>
      <c r="AA328">
        <v>-2.1078471445072799E-2</v>
      </c>
      <c r="AB328">
        <v>2.0230220372553999E-3</v>
      </c>
      <c r="AC328">
        <v>-2.93160272504343E-2</v>
      </c>
      <c r="AD328">
        <v>2.6444197216582001E-2</v>
      </c>
      <c r="AE328">
        <v>-2.2384270467067299E-2</v>
      </c>
      <c r="AF328">
        <v>1.4816511340878E-3</v>
      </c>
      <c r="AG328">
        <v>1.1511793963633801E-2</v>
      </c>
      <c r="AH328">
        <v>-1.8911968867200101E-2</v>
      </c>
      <c r="AI328">
        <v>-6.3485639522624596E-3</v>
      </c>
      <c r="AJ328">
        <v>-6.4424259284372801E-3</v>
      </c>
      <c r="AK328">
        <v>-9.11030705606416E-3</v>
      </c>
      <c r="AL328">
        <v>4.7572126838084802E-2</v>
      </c>
      <c r="AM328">
        <v>-2.7434442848065399E-2</v>
      </c>
      <c r="AN328">
        <f>+IBOV!C253</f>
        <v>5.7896460705546993E-2</v>
      </c>
      <c r="AP328" s="1">
        <f t="shared" si="55"/>
        <v>44377</v>
      </c>
      <c r="AQ328">
        <f t="shared" si="56"/>
        <v>76.652561265613343</v>
      </c>
      <c r="AR328">
        <f t="shared" si="57"/>
        <v>122.84124084635299</v>
      </c>
      <c r="AS328">
        <f t="shared" si="58"/>
        <v>105.5168158869013</v>
      </c>
      <c r="AT328">
        <f t="shared" si="59"/>
        <v>84.384096231173544</v>
      </c>
      <c r="AU328">
        <f t="shared" si="60"/>
        <v>95.674535221421394</v>
      </c>
      <c r="AV328">
        <f t="shared" si="61"/>
        <v>474.48956471082431</v>
      </c>
      <c r="AW328">
        <f t="shared" si="62"/>
        <v>141.77220480802839</v>
      </c>
      <c r="AX328">
        <f t="shared" si="63"/>
        <v>95.654793054777542</v>
      </c>
      <c r="AY328">
        <f t="shared" si="64"/>
        <v>169.31551882475856</v>
      </c>
      <c r="AZ328">
        <f t="shared" si="65"/>
        <v>101.96547547857857</v>
      </c>
      <c r="BA328">
        <f t="shared" si="66"/>
        <v>76.301658573708522</v>
      </c>
      <c r="BB328">
        <f t="shared" si="67"/>
        <v>123.94151242264344</v>
      </c>
      <c r="BC328">
        <f t="shared" si="68"/>
        <v>126.3492307236415</v>
      </c>
      <c r="BD328">
        <f t="shared" si="69"/>
        <v>459.59655143550759</v>
      </c>
    </row>
    <row r="329" spans="1:56" x14ac:dyDescent="0.25">
      <c r="A329" t="s">
        <v>7</v>
      </c>
      <c r="B329" t="s">
        <v>11</v>
      </c>
      <c r="C329" t="s">
        <v>9</v>
      </c>
      <c r="D329" t="s">
        <v>10</v>
      </c>
      <c r="E329">
        <v>3</v>
      </c>
      <c r="F329" s="1">
        <v>37287</v>
      </c>
      <c r="G329">
        <v>-2.3167870656097701E-3</v>
      </c>
      <c r="K329" s="4">
        <v>44408</v>
      </c>
      <c r="L329" s="6">
        <v>-4.9055916707523598E-3</v>
      </c>
      <c r="M329" s="6">
        <v>1.1405911151040999E-3</v>
      </c>
      <c r="N329" s="6">
        <v>-3.0338839194104601E-5</v>
      </c>
      <c r="O329" s="6">
        <v>-2.3312840038607601E-2</v>
      </c>
      <c r="P329" s="6">
        <v>2.49515555557576E-2</v>
      </c>
      <c r="Q329" s="6">
        <v>3.4612963857481999E-2</v>
      </c>
      <c r="R329" s="6">
        <v>1.6159886554869898E-2</v>
      </c>
      <c r="S329" s="6">
        <v>1.5837429677505201E-2</v>
      </c>
      <c r="T329" s="6">
        <v>6.3553004177491204E-3</v>
      </c>
      <c r="U329" s="6">
        <v>-7.2518145233434203E-3</v>
      </c>
      <c r="V329" s="6">
        <v>1.37463728567569E-2</v>
      </c>
      <c r="W329" s="6">
        <v>-2.67919020767989E-2</v>
      </c>
      <c r="X329" s="6">
        <v>1.7650129059409998E-2</v>
      </c>
      <c r="Y329" s="6">
        <v>6.8161741945938423E-2</v>
      </c>
      <c r="AA329">
        <v>-4.9055916707523598E-3</v>
      </c>
      <c r="AB329">
        <v>1.1405911151040999E-3</v>
      </c>
      <c r="AC329">
        <v>-3.0338839194104601E-5</v>
      </c>
      <c r="AD329">
        <v>-2.3312840038607601E-2</v>
      </c>
      <c r="AE329">
        <v>2.49515555557576E-2</v>
      </c>
      <c r="AF329">
        <v>3.4612963857481999E-2</v>
      </c>
      <c r="AG329">
        <v>1.6159886554869898E-2</v>
      </c>
      <c r="AH329">
        <v>1.5837429677505201E-2</v>
      </c>
      <c r="AI329">
        <v>6.3553004177491204E-3</v>
      </c>
      <c r="AJ329">
        <v>-7.2518145233434203E-3</v>
      </c>
      <c r="AK329">
        <v>1.37463728567569E-2</v>
      </c>
      <c r="AL329">
        <v>-2.67919020767989E-2</v>
      </c>
      <c r="AM329">
        <v>1.7650129059409998E-2</v>
      </c>
      <c r="AN329">
        <f>+IBOV!C254</f>
        <v>-7.7456836890799186E-2</v>
      </c>
      <c r="AP329" s="1">
        <f t="shared" si="55"/>
        <v>44408</v>
      </c>
      <c r="AQ329">
        <f t="shared" si="56"/>
        <v>76.276535099526924</v>
      </c>
      <c r="AR329">
        <f t="shared" si="57"/>
        <v>122.9813524742307</v>
      </c>
      <c r="AS329">
        <f t="shared" si="58"/>
        <v>105.51361462919184</v>
      </c>
      <c r="AT329">
        <f t="shared" si="59"/>
        <v>82.41686329393373</v>
      </c>
      <c r="AU329">
        <f t="shared" si="60"/>
        <v>98.061763702269971</v>
      </c>
      <c r="AV329">
        <f t="shared" si="61"/>
        <v>490.9130548649124</v>
      </c>
      <c r="AW329">
        <f t="shared" si="62"/>
        <v>144.06322755435991</v>
      </c>
      <c r="AX329">
        <f t="shared" si="63"/>
        <v>97.169719113098893</v>
      </c>
      <c r="AY329">
        <f t="shared" si="64"/>
        <v>170.39156981227694</v>
      </c>
      <c r="AZ329">
        <f t="shared" si="65"/>
        <v>101.2260407626234</v>
      </c>
      <c r="BA329">
        <f t="shared" si="66"/>
        <v>77.350529622051681</v>
      </c>
      <c r="BB329">
        <f t="shared" si="67"/>
        <v>120.62088355856562</v>
      </c>
      <c r="BC329">
        <f t="shared" si="68"/>
        <v>128.57931095247093</v>
      </c>
      <c r="BD329">
        <f t="shared" si="69"/>
        <v>423.99765631539367</v>
      </c>
    </row>
    <row r="330" spans="1:56" x14ac:dyDescent="0.25">
      <c r="A330" t="s">
        <v>7</v>
      </c>
      <c r="B330" t="s">
        <v>11</v>
      </c>
      <c r="C330" t="s">
        <v>9</v>
      </c>
      <c r="D330" t="s">
        <v>10</v>
      </c>
      <c r="E330">
        <v>3</v>
      </c>
      <c r="F330" s="1">
        <v>37315</v>
      </c>
      <c r="G330">
        <v>7.3164346564504504E-2</v>
      </c>
      <c r="K330" s="4">
        <v>44439</v>
      </c>
      <c r="L330" s="6">
        <v>3.5383856263982501E-2</v>
      </c>
      <c r="M330" s="6">
        <v>-5.7611444301373001E-3</v>
      </c>
      <c r="N330" s="6">
        <v>3.7215400509262503E-2</v>
      </c>
      <c r="O330" s="6">
        <v>3.2525105139917399E-3</v>
      </c>
      <c r="P330" s="6">
        <v>5.1895271804457702E-2</v>
      </c>
      <c r="Q330" s="6">
        <v>-5.8921987650068397E-4</v>
      </c>
      <c r="R330" s="6">
        <v>-1.7350018751452301E-2</v>
      </c>
      <c r="S330" s="6">
        <v>6.3769541099323E-3</v>
      </c>
      <c r="T330" s="6">
        <v>3.7371442340310701E-3</v>
      </c>
      <c r="U330" s="6">
        <v>1.7377844024336401E-2</v>
      </c>
      <c r="V330" s="6">
        <v>2.3519935472457502E-3</v>
      </c>
      <c r="W330" s="6">
        <v>1.42038900722281E-3</v>
      </c>
      <c r="X330" s="6">
        <v>2.5005275561731301E-2</v>
      </c>
      <c r="Y330" s="6">
        <v>0.16031625651810377</v>
      </c>
      <c r="AA330">
        <v>3.5383856263982501E-2</v>
      </c>
      <c r="AB330">
        <v>-5.7611444301373001E-3</v>
      </c>
      <c r="AC330">
        <v>3.7215400509262503E-2</v>
      </c>
      <c r="AD330">
        <v>3.2525105139917399E-3</v>
      </c>
      <c r="AE330">
        <v>5.1895271804457702E-2</v>
      </c>
      <c r="AF330">
        <v>-5.8921987650068397E-4</v>
      </c>
      <c r="AG330">
        <v>-1.7350018751452301E-2</v>
      </c>
      <c r="AH330">
        <v>6.3769541099323E-3</v>
      </c>
      <c r="AI330">
        <v>3.7371442340310701E-3</v>
      </c>
      <c r="AJ330">
        <v>1.7377844024336401E-2</v>
      </c>
      <c r="AK330">
        <v>2.3519935472457502E-3</v>
      </c>
      <c r="AL330">
        <v>1.42038900722281E-3</v>
      </c>
      <c r="AM330">
        <v>2.5005275561731301E-2</v>
      </c>
      <c r="AN330">
        <f>+IBOV!C255</f>
        <v>-2.6737735662817008E-2</v>
      </c>
      <c r="AP330" s="1">
        <f t="shared" si="55"/>
        <v>44439</v>
      </c>
      <c r="AQ330">
        <f t="shared" si="56"/>
        <v>78.975493053803206</v>
      </c>
      <c r="AR330">
        <f t="shared" si="57"/>
        <v>122.27283914041304</v>
      </c>
      <c r="AS330">
        <f t="shared" si="58"/>
        <v>109.44034605679718</v>
      </c>
      <c r="AT330">
        <f t="shared" si="59"/>
        <v>82.684925008327468</v>
      </c>
      <c r="AU330">
        <f t="shared" si="60"/>
        <v>103.15070558322377</v>
      </c>
      <c r="AV330">
        <f t="shared" si="61"/>
        <v>490.62379913535227</v>
      </c>
      <c r="AW330">
        <f t="shared" si="62"/>
        <v>141.56372785489702</v>
      </c>
      <c r="AX330">
        <f t="shared" si="63"/>
        <v>97.789365952758132</v>
      </c>
      <c r="AY330">
        <f t="shared" si="64"/>
        <v>171.02834768492838</v>
      </c>
      <c r="AZ330">
        <f t="shared" si="65"/>
        <v>102.98513111019739</v>
      </c>
      <c r="BA330">
        <f t="shared" si="66"/>
        <v>77.532457568598787</v>
      </c>
      <c r="BB330">
        <f t="shared" si="67"/>
        <v>120.79221213561372</v>
      </c>
      <c r="BC330">
        <f t="shared" si="68"/>
        <v>131.79447205437501</v>
      </c>
      <c r="BD330">
        <f t="shared" si="69"/>
        <v>412.66091905917875</v>
      </c>
    </row>
    <row r="331" spans="1:56" x14ac:dyDescent="0.25">
      <c r="A331" t="s">
        <v>7</v>
      </c>
      <c r="B331" t="s">
        <v>11</v>
      </c>
      <c r="C331" t="s">
        <v>9</v>
      </c>
      <c r="D331" t="s">
        <v>10</v>
      </c>
      <c r="E331">
        <v>3</v>
      </c>
      <c r="F331" s="1">
        <v>37346</v>
      </c>
      <c r="G331">
        <v>0.118455319510871</v>
      </c>
      <c r="K331" s="4">
        <v>44469</v>
      </c>
      <c r="L331" s="6">
        <v>-7.4338431187216097E-3</v>
      </c>
      <c r="M331" s="6">
        <v>-8.6068415646879601E-3</v>
      </c>
      <c r="N331" s="6">
        <v>1.4671506032539999E-2</v>
      </c>
      <c r="O331" s="6">
        <v>-1.50981151810305E-2</v>
      </c>
      <c r="P331" s="6">
        <v>3.7031059245394203E-2</v>
      </c>
      <c r="Q331" s="6">
        <v>3.2434907074818102E-2</v>
      </c>
      <c r="R331" s="6">
        <v>-1.6302968847664199E-3</v>
      </c>
      <c r="S331" s="6">
        <v>2.7209136297267501E-2</v>
      </c>
      <c r="T331" s="6">
        <v>1.6288781415821799E-2</v>
      </c>
      <c r="U331" s="6">
        <v>-1.06125526891437E-3</v>
      </c>
      <c r="V331" s="6">
        <v>-2.7483906819416801E-3</v>
      </c>
      <c r="W331" s="6">
        <v>-1.9771190649283201E-2</v>
      </c>
      <c r="X331" s="6">
        <v>5.46006696584923E-2</v>
      </c>
      <c r="Y331" s="6">
        <v>0.12588612637498817</v>
      </c>
      <c r="AA331">
        <v>-7.4338431187216097E-3</v>
      </c>
      <c r="AB331">
        <v>-8.6068415646879601E-3</v>
      </c>
      <c r="AC331">
        <v>1.4671506032539999E-2</v>
      </c>
      <c r="AD331">
        <v>-1.50981151810305E-2</v>
      </c>
      <c r="AE331">
        <v>3.7031059245394203E-2</v>
      </c>
      <c r="AF331">
        <v>3.2434907074818102E-2</v>
      </c>
      <c r="AG331">
        <v>-1.6302968847664199E-3</v>
      </c>
      <c r="AH331">
        <v>2.7209136297267501E-2</v>
      </c>
      <c r="AI331">
        <v>1.6288781415821799E-2</v>
      </c>
      <c r="AJ331">
        <v>-1.06125526891437E-3</v>
      </c>
      <c r="AK331">
        <v>-2.7483906819416801E-3</v>
      </c>
      <c r="AL331">
        <v>-1.9771190649283201E-2</v>
      </c>
      <c r="AM331">
        <v>5.46006696584923E-2</v>
      </c>
      <c r="AN331">
        <f>+IBOV!C256</f>
        <v>-0.11730486038709464</v>
      </c>
      <c r="AP331" s="1">
        <f t="shared" si="55"/>
        <v>44469</v>
      </c>
      <c r="AQ331">
        <f t="shared" si="56"/>
        <v>78.388401628217537</v>
      </c>
      <c r="AR331">
        <f t="shared" si="57"/>
        <v>121.22045618626693</v>
      </c>
      <c r="AS331">
        <f t="shared" si="58"/>
        <v>111.04600075417274</v>
      </c>
      <c r="AT331">
        <f t="shared" si="59"/>
        <v>81.436538486816872</v>
      </c>
      <c r="AU331">
        <f t="shared" si="60"/>
        <v>106.97048547288034</v>
      </c>
      <c r="AV331">
        <f t="shared" si="61"/>
        <v>506.53713646900161</v>
      </c>
      <c r="AW331">
        <f t="shared" si="62"/>
        <v>141.33293695037926</v>
      </c>
      <c r="AX331">
        <f t="shared" si="63"/>
        <v>100.4501301393901</v>
      </c>
      <c r="AY331">
        <f t="shared" si="64"/>
        <v>173.81419105627737</v>
      </c>
      <c r="AZ331">
        <f t="shared" si="65"/>
        <v>102.87583759718686</v>
      </c>
      <c r="BA331">
        <f t="shared" si="66"/>
        <v>77.319368084669208</v>
      </c>
      <c r="BB331">
        <f t="shared" si="67"/>
        <v>118.40400628053185</v>
      </c>
      <c r="BC331">
        <f t="shared" si="68"/>
        <v>138.99053848583131</v>
      </c>
      <c r="BD331">
        <f t="shared" si="69"/>
        <v>364.2537875617316</v>
      </c>
    </row>
    <row r="332" spans="1:56" x14ac:dyDescent="0.25">
      <c r="A332" t="s">
        <v>7</v>
      </c>
      <c r="B332" t="s">
        <v>11</v>
      </c>
      <c r="C332" t="s">
        <v>9</v>
      </c>
      <c r="D332" t="s">
        <v>10</v>
      </c>
      <c r="E332">
        <v>3</v>
      </c>
      <c r="F332" s="1">
        <v>37376</v>
      </c>
      <c r="G332">
        <v>0.205413684684393</v>
      </c>
      <c r="K332" s="4">
        <v>44500</v>
      </c>
      <c r="L332" s="6">
        <v>3.9868647959547199E-2</v>
      </c>
      <c r="M332" s="6">
        <v>1.03271779453614E-2</v>
      </c>
      <c r="N332" s="6">
        <v>4.4610240926401402E-2</v>
      </c>
      <c r="O332" s="6">
        <v>-3.1742930905505097E-2</v>
      </c>
      <c r="P332" s="6">
        <v>6.4274293876334904E-2</v>
      </c>
      <c r="Q332" s="6">
        <v>4.0227969876874201E-2</v>
      </c>
      <c r="R332" s="6">
        <v>-1.16365906918661E-2</v>
      </c>
      <c r="S332" s="6">
        <v>5.63459552464501E-2</v>
      </c>
      <c r="T332" s="6">
        <v>3.71604587516218E-2</v>
      </c>
      <c r="U332" s="6">
        <v>-8.4789438729813299E-4</v>
      </c>
      <c r="V332" s="6">
        <v>-1.1808537552387699E-3</v>
      </c>
      <c r="W332" s="6">
        <v>-3.78635865763048E-2</v>
      </c>
      <c r="X332" s="6">
        <v>8.79220913318179E-2</v>
      </c>
      <c r="Y332" s="6">
        <v>0.29746497959819601</v>
      </c>
      <c r="AA332">
        <v>3.9868647959547199E-2</v>
      </c>
      <c r="AB332">
        <v>1.03271779453614E-2</v>
      </c>
      <c r="AC332">
        <v>4.4610240926401402E-2</v>
      </c>
      <c r="AD332">
        <v>-3.1742930905505097E-2</v>
      </c>
      <c r="AE332">
        <v>6.4274293876334904E-2</v>
      </c>
      <c r="AF332">
        <v>4.0227969876874201E-2</v>
      </c>
      <c r="AG332">
        <v>-1.16365906918661E-2</v>
      </c>
      <c r="AH332">
        <v>5.63459552464501E-2</v>
      </c>
      <c r="AI332">
        <v>3.71604587516218E-2</v>
      </c>
      <c r="AJ332">
        <v>-8.4789438729813299E-4</v>
      </c>
      <c r="AK332">
        <v>-1.1808537552387699E-3</v>
      </c>
      <c r="AL332">
        <v>-3.78635865763048E-2</v>
      </c>
      <c r="AM332">
        <v>8.79220913318179E-2</v>
      </c>
      <c r="AN332">
        <f>+IBOV!C257</f>
        <v>-8.7459269165896969E-2</v>
      </c>
      <c r="AP332" s="1">
        <f t="shared" si="55"/>
        <v>44500</v>
      </c>
      <c r="AQ332">
        <f t="shared" si="56"/>
        <v>81.513641216844533</v>
      </c>
      <c r="AR332">
        <f t="shared" si="57"/>
        <v>122.47232140792038</v>
      </c>
      <c r="AS332">
        <f t="shared" si="58"/>
        <v>115.99978960172973</v>
      </c>
      <c r="AT332">
        <f t="shared" si="59"/>
        <v>78.851504072446346</v>
      </c>
      <c r="AU332">
        <f t="shared" si="60"/>
        <v>113.84593789225848</v>
      </c>
      <c r="AV332">
        <f t="shared" si="61"/>
        <v>526.91409713639473</v>
      </c>
      <c r="AW332">
        <f t="shared" si="62"/>
        <v>139.68830341180839</v>
      </c>
      <c r="AX332">
        <f t="shared" si="63"/>
        <v>106.11008867672426</v>
      </c>
      <c r="AY332">
        <f t="shared" si="64"/>
        <v>180.27320613347069</v>
      </c>
      <c r="AZ332">
        <f t="shared" si="65"/>
        <v>102.78860975189961</v>
      </c>
      <c r="BA332">
        <f t="shared" si="66"/>
        <v>77.228065218513734</v>
      </c>
      <c r="BB332">
        <f t="shared" si="67"/>
        <v>113.92080593774759</v>
      </c>
      <c r="BC332">
        <f t="shared" si="68"/>
        <v>151.21087730484112</v>
      </c>
      <c r="BD332">
        <f t="shared" si="69"/>
        <v>332.39641751067268</v>
      </c>
    </row>
    <row r="333" spans="1:56" x14ac:dyDescent="0.25">
      <c r="A333" t="s">
        <v>7</v>
      </c>
      <c r="B333" t="s">
        <v>11</v>
      </c>
      <c r="C333" t="s">
        <v>9</v>
      </c>
      <c r="D333" t="s">
        <v>10</v>
      </c>
      <c r="E333">
        <v>3</v>
      </c>
      <c r="F333" s="1">
        <v>37407</v>
      </c>
      <c r="G333">
        <v>-9.1156265629049202E-2</v>
      </c>
      <c r="K333" s="4">
        <v>44530</v>
      </c>
      <c r="L333" s="6">
        <v>4.06951202863658E-3</v>
      </c>
      <c r="M333" s="6">
        <v>-2.5692209790114301E-2</v>
      </c>
      <c r="N333" s="6">
        <v>4.1523727410409203E-2</v>
      </c>
      <c r="O333" s="6">
        <v>-6.3383556398297694E-2</v>
      </c>
      <c r="P333" s="6">
        <v>9.3499769283963592E-3</v>
      </c>
      <c r="Q333" s="6">
        <v>9.1200990358162697E-3</v>
      </c>
      <c r="R333" s="6">
        <v>-5.0266770313581403E-3</v>
      </c>
      <c r="S333" s="6">
        <v>2.17335924998085E-2</v>
      </c>
      <c r="T333" s="6">
        <v>-1.56739836324865E-2</v>
      </c>
      <c r="U333" s="6">
        <v>-3.1226153639624101E-3</v>
      </c>
      <c r="V333" s="6">
        <v>-1.98310210986084E-2</v>
      </c>
      <c r="W333" s="6">
        <v>-8.5095201049630101E-3</v>
      </c>
      <c r="X333" s="6">
        <v>8.3415090970439199E-2</v>
      </c>
      <c r="Y333" s="6">
        <v>2.7972415453715642E-2</v>
      </c>
      <c r="AA333">
        <v>4.06951202863658E-3</v>
      </c>
      <c r="AB333">
        <v>-2.5692209790114301E-2</v>
      </c>
      <c r="AC333">
        <v>4.1523727410409203E-2</v>
      </c>
      <c r="AD333">
        <v>-6.3383556398297694E-2</v>
      </c>
      <c r="AE333">
        <v>9.3499769283963592E-3</v>
      </c>
      <c r="AF333">
        <v>9.1200990358162697E-3</v>
      </c>
      <c r="AG333">
        <v>-5.0266770313581403E-3</v>
      </c>
      <c r="AH333">
        <v>2.17335924998085E-2</v>
      </c>
      <c r="AI333">
        <v>-1.56739836324865E-2</v>
      </c>
      <c r="AJ333">
        <v>-3.1226153639624101E-3</v>
      </c>
      <c r="AK333">
        <v>-1.98310210986084E-2</v>
      </c>
      <c r="AL333">
        <v>-8.5095201049630101E-3</v>
      </c>
      <c r="AM333">
        <v>8.3415090970439199E-2</v>
      </c>
      <c r="AN333">
        <f>+IBOV!C258</f>
        <v>-1.1256213580986718E-2</v>
      </c>
      <c r="AP333" s="1">
        <f t="shared" si="55"/>
        <v>44530</v>
      </c>
      <c r="AQ333">
        <f t="shared" si="56"/>
        <v>81.845361960274445</v>
      </c>
      <c r="AR333">
        <f t="shared" si="57"/>
        <v>119.32573683282577</v>
      </c>
      <c r="AS333">
        <f t="shared" si="58"/>
        <v>120.81653324481678</v>
      </c>
      <c r="AT333">
        <f t="shared" si="59"/>
        <v>73.853615316979841</v>
      </c>
      <c r="AU333">
        <f t="shared" si="60"/>
        <v>114.91039478494275</v>
      </c>
      <c r="AV333">
        <f t="shared" si="61"/>
        <v>531.71960588564639</v>
      </c>
      <c r="AW333">
        <f t="shared" si="62"/>
        <v>138.98613542549887</v>
      </c>
      <c r="AX333">
        <f t="shared" si="63"/>
        <v>108.41624210414274</v>
      </c>
      <c r="AY333">
        <f t="shared" si="64"/>
        <v>177.44760685115881</v>
      </c>
      <c r="AZ333">
        <f t="shared" si="65"/>
        <v>102.467640459848</v>
      </c>
      <c r="BA333">
        <f t="shared" si="66"/>
        <v>75.696553827760681</v>
      </c>
      <c r="BB333">
        <f t="shared" si="67"/>
        <v>112.95139454924674</v>
      </c>
      <c r="BC333">
        <f t="shared" si="68"/>
        <v>163.82414639094435</v>
      </c>
      <c r="BD333">
        <f t="shared" si="69"/>
        <v>328.65489244161773</v>
      </c>
    </row>
    <row r="334" spans="1:56" x14ac:dyDescent="0.25">
      <c r="A334" t="s">
        <v>7</v>
      </c>
      <c r="B334" t="s">
        <v>11</v>
      </c>
      <c r="C334" t="s">
        <v>9</v>
      </c>
      <c r="D334" t="s">
        <v>10</v>
      </c>
      <c r="E334">
        <v>3</v>
      </c>
      <c r="F334" s="1">
        <v>37437</v>
      </c>
      <c r="G334">
        <v>4.3552314746701003E-3</v>
      </c>
      <c r="K334" s="4">
        <v>44561</v>
      </c>
      <c r="L334" s="6">
        <v>1.1083353336419501E-2</v>
      </c>
      <c r="M334" s="6">
        <v>1.7478014660705501E-2</v>
      </c>
      <c r="N334" s="6">
        <v>1.06466712984518E-3</v>
      </c>
      <c r="O334" s="6">
        <v>1.6070945747468899E-2</v>
      </c>
      <c r="P334" s="6">
        <v>-6.6700022641319598E-3</v>
      </c>
      <c r="Q334" s="6">
        <v>-6.4355363895475396E-3</v>
      </c>
      <c r="R334" s="6">
        <v>3.07203303850914E-2</v>
      </c>
      <c r="S334" s="6">
        <v>3.4226347329151197E-2</v>
      </c>
      <c r="T334" s="6">
        <v>3.6859101718883597E-2</v>
      </c>
      <c r="U334" s="6">
        <v>2.7373206902516201E-2</v>
      </c>
      <c r="V334" s="6">
        <v>-8.7028135905935504E-4</v>
      </c>
      <c r="W334" s="6">
        <v>4.3129998765076498E-2</v>
      </c>
      <c r="X334" s="6">
        <v>3.8406149796961997E-2</v>
      </c>
      <c r="Y334" s="6">
        <v>0.24243629575938114</v>
      </c>
      <c r="AA334">
        <v>1.1083353336419501E-2</v>
      </c>
      <c r="AB334">
        <v>1.7478014660705501E-2</v>
      </c>
      <c r="AC334">
        <v>1.06466712984518E-3</v>
      </c>
      <c r="AD334">
        <v>1.6070945747468899E-2</v>
      </c>
      <c r="AE334">
        <v>-6.6700022641319598E-3</v>
      </c>
      <c r="AF334">
        <v>-6.4355363895475396E-3</v>
      </c>
      <c r="AG334">
        <v>3.07203303850914E-2</v>
      </c>
      <c r="AH334">
        <v>3.4226347329151197E-2</v>
      </c>
      <c r="AI334">
        <v>3.6859101718883597E-2</v>
      </c>
      <c r="AJ334">
        <v>2.7373206902516201E-2</v>
      </c>
      <c r="AK334">
        <v>-8.7028135905935504E-4</v>
      </c>
      <c r="AL334">
        <v>4.3129998765076498E-2</v>
      </c>
      <c r="AM334">
        <v>3.8406149796961997E-2</v>
      </c>
      <c r="AN334">
        <f>+IBOV!C259</f>
        <v>4.1314778781797346E-2</v>
      </c>
      <c r="AP334" s="1">
        <f t="shared" si="55"/>
        <v>44561</v>
      </c>
      <c r="AQ334">
        <f t="shared" si="56"/>
        <v>82.752483025827303</v>
      </c>
      <c r="AR334">
        <f t="shared" si="57"/>
        <v>121.41131381058938</v>
      </c>
      <c r="AS334">
        <f t="shared" si="58"/>
        <v>120.94516263650438</v>
      </c>
      <c r="AT334">
        <f t="shared" si="59"/>
        <v>75.040512761993455</v>
      </c>
      <c r="AU334">
        <f t="shared" si="60"/>
        <v>114.14394219155488</v>
      </c>
      <c r="AV334">
        <f t="shared" si="61"/>
        <v>528.29770501293342</v>
      </c>
      <c r="AW334">
        <f t="shared" si="62"/>
        <v>143.25583542471725</v>
      </c>
      <c r="AX334">
        <f t="shared" si="63"/>
        <v>112.12693406252046</v>
      </c>
      <c r="AY334">
        <f t="shared" si="64"/>
        <v>183.98816624185812</v>
      </c>
      <c r="AZ334">
        <f t="shared" si="65"/>
        <v>105.27250838296804</v>
      </c>
      <c r="BA334">
        <f t="shared" si="66"/>
        <v>75.63067652801935</v>
      </c>
      <c r="BB334">
        <f t="shared" si="67"/>
        <v>117.82298805666942</v>
      </c>
      <c r="BC334">
        <f t="shared" si="68"/>
        <v>170.11600109759442</v>
      </c>
      <c r="BD334">
        <f t="shared" si="69"/>
        <v>342.23319661839855</v>
      </c>
    </row>
    <row r="335" spans="1:56" x14ac:dyDescent="0.25">
      <c r="A335" t="s">
        <v>7</v>
      </c>
      <c r="B335" t="s">
        <v>11</v>
      </c>
      <c r="C335" t="s">
        <v>9</v>
      </c>
      <c r="D335" t="s">
        <v>10</v>
      </c>
      <c r="E335">
        <v>2</v>
      </c>
      <c r="F335" s="1">
        <v>37894</v>
      </c>
      <c r="G335">
        <v>6.7290312209734193E-2</v>
      </c>
      <c r="K335" s="4">
        <v>44592</v>
      </c>
      <c r="L335" s="6">
        <v>-1.2969099214531101E-2</v>
      </c>
      <c r="M335" s="6">
        <v>-2.03728032458248E-2</v>
      </c>
      <c r="N335" s="6">
        <v>6.0072107918763299E-3</v>
      </c>
      <c r="O335" s="6">
        <v>-6.1246566863566903E-3</v>
      </c>
      <c r="P335" s="6">
        <v>-4.3210712842285098E-3</v>
      </c>
      <c r="Q335" s="6">
        <v>-4.3775943530456503E-2</v>
      </c>
      <c r="R335" s="6">
        <v>-1.88672425743549E-2</v>
      </c>
      <c r="S335" s="6">
        <v>1.30771331893152E-2</v>
      </c>
      <c r="T335" s="6">
        <v>-7.8773870614986894E-3</v>
      </c>
      <c r="U335" s="6">
        <v>-1.2521218492853099E-2</v>
      </c>
      <c r="V335" s="6">
        <v>1.7219503172422899E-2</v>
      </c>
      <c r="W335" s="6">
        <v>-8.5202146701477098E-3</v>
      </c>
      <c r="X335" s="6">
        <v>2.8728077520613401E-3</v>
      </c>
      <c r="Y335" s="6">
        <v>-9.6172981854576262E-2</v>
      </c>
      <c r="AA335">
        <v>-1.2969099214531101E-2</v>
      </c>
      <c r="AB335">
        <v>-2.03728032458248E-2</v>
      </c>
      <c r="AC335">
        <v>6.0072107918763299E-3</v>
      </c>
      <c r="AD335">
        <v>-6.1246566863566903E-3</v>
      </c>
      <c r="AE335">
        <v>-4.3210712842285098E-3</v>
      </c>
      <c r="AF335">
        <v>-4.3775943530456503E-2</v>
      </c>
      <c r="AG335">
        <v>-1.88672425743549E-2</v>
      </c>
      <c r="AH335">
        <v>1.30771331893152E-2</v>
      </c>
      <c r="AI335">
        <v>-7.8773870614986894E-3</v>
      </c>
      <c r="AJ335">
        <v>-1.2521218492853099E-2</v>
      </c>
      <c r="AK335">
        <v>1.7219503172422899E-2</v>
      </c>
      <c r="AL335">
        <v>-8.5202146701477098E-3</v>
      </c>
      <c r="AM335">
        <v>2.8728077520613401E-3</v>
      </c>
      <c r="AN335">
        <f>+IBOV!C260</f>
        <v>0.12646686200368817</v>
      </c>
      <c r="AP335" s="1">
        <f t="shared" si="55"/>
        <v>44592</v>
      </c>
      <c r="AQ335">
        <f t="shared" si="56"/>
        <v>81.679257863216549</v>
      </c>
      <c r="AR335">
        <f t="shared" si="57"/>
        <v>118.93782500250914</v>
      </c>
      <c r="AS335">
        <f t="shared" si="58"/>
        <v>121.67170572271962</v>
      </c>
      <c r="AT335">
        <f t="shared" si="59"/>
        <v>74.580915383758082</v>
      </c>
      <c r="AU335">
        <f t="shared" si="60"/>
        <v>113.65071808068231</v>
      </c>
      <c r="AV335">
        <f t="shared" si="61"/>
        <v>505.17097451101745</v>
      </c>
      <c r="AW335">
        <f t="shared" si="62"/>
        <v>140.55299282756724</v>
      </c>
      <c r="AX335">
        <f t="shared" si="63"/>
        <v>113.5932329133656</v>
      </c>
      <c r="AY335">
        <f t="shared" si="64"/>
        <v>182.53882024163565</v>
      </c>
      <c r="AZ335">
        <f t="shared" si="65"/>
        <v>103.95436830421419</v>
      </c>
      <c r="BA335">
        <f t="shared" si="66"/>
        <v>76.932999202426075</v>
      </c>
      <c r="BB335">
        <f t="shared" si="67"/>
        <v>116.81911090534834</v>
      </c>
      <c r="BC335">
        <f t="shared" si="68"/>
        <v>170.60471166429727</v>
      </c>
      <c r="BD335">
        <f t="shared" si="69"/>
        <v>385.51435506821866</v>
      </c>
    </row>
    <row r="336" spans="1:56" x14ac:dyDescent="0.25">
      <c r="A336" t="s">
        <v>7</v>
      </c>
      <c r="B336" t="s">
        <v>11</v>
      </c>
      <c r="C336" t="s">
        <v>9</v>
      </c>
      <c r="D336" t="s">
        <v>10</v>
      </c>
      <c r="E336">
        <v>2</v>
      </c>
      <c r="F336" s="1">
        <v>37925</v>
      </c>
      <c r="G336">
        <v>-2.55452445218914E-2</v>
      </c>
      <c r="K336" s="4">
        <v>44620</v>
      </c>
      <c r="L336" s="6">
        <v>3.17481069849323E-3</v>
      </c>
      <c r="M336" s="6">
        <v>1.59717023520232E-2</v>
      </c>
      <c r="N336" s="6">
        <v>3.3071597089463001E-2</v>
      </c>
      <c r="O336" s="6">
        <v>-5.8757360021571003E-3</v>
      </c>
      <c r="P336" s="6">
        <v>5.2938191240916699E-2</v>
      </c>
      <c r="Q336" s="6">
        <v>2.9707551423963401E-2</v>
      </c>
      <c r="R336" s="6">
        <v>1.94377150714466E-2</v>
      </c>
      <c r="S336" s="6">
        <v>3.2671255489045502E-2</v>
      </c>
      <c r="T336" s="6">
        <v>1.9190764605223402E-2</v>
      </c>
      <c r="U336" s="6">
        <v>1.9801208912393699E-2</v>
      </c>
      <c r="V336" s="6">
        <v>1.1953969962124199E-3</v>
      </c>
      <c r="W336" s="6">
        <v>-4.4792153512610997E-2</v>
      </c>
      <c r="X336" s="6">
        <v>2.5321858192064301E-2</v>
      </c>
      <c r="Y336" s="6">
        <v>0.20181416255647736</v>
      </c>
      <c r="AA336">
        <v>3.17481069849323E-3</v>
      </c>
      <c r="AB336">
        <v>1.59717023520232E-2</v>
      </c>
      <c r="AC336">
        <v>3.3071597089463001E-2</v>
      </c>
      <c r="AD336">
        <v>-5.8757360021571003E-3</v>
      </c>
      <c r="AE336">
        <v>5.2938191240916699E-2</v>
      </c>
      <c r="AF336">
        <v>2.9707551423963401E-2</v>
      </c>
      <c r="AG336">
        <v>1.94377150714466E-2</v>
      </c>
      <c r="AH336">
        <v>3.2671255489045502E-2</v>
      </c>
      <c r="AI336">
        <v>1.9190764605223402E-2</v>
      </c>
      <c r="AJ336">
        <v>1.9801208912393699E-2</v>
      </c>
      <c r="AK336">
        <v>1.1953969962124199E-3</v>
      </c>
      <c r="AL336">
        <v>-4.4792153512610997E-2</v>
      </c>
      <c r="AM336">
        <v>2.5321858192064301E-2</v>
      </c>
      <c r="AN336">
        <f>+IBOV!C261</f>
        <v>4.0167269537576988E-2</v>
      </c>
      <c r="AP336" s="1">
        <f t="shared" si="55"/>
        <v>44620</v>
      </c>
      <c r="AQ336">
        <f t="shared" si="56"/>
        <v>81.938574044925673</v>
      </c>
      <c r="AR336">
        <f t="shared" si="57"/>
        <v>120.83746454184624</v>
      </c>
      <c r="AS336">
        <f t="shared" si="58"/>
        <v>125.69558335156913</v>
      </c>
      <c r="AT336">
        <f t="shared" si="59"/>
        <v>74.142697614163907</v>
      </c>
      <c r="AU336">
        <f t="shared" si="60"/>
        <v>119.66718152910497</v>
      </c>
      <c r="AV336">
        <f t="shared" si="61"/>
        <v>520.17836721419712</v>
      </c>
      <c r="AW336">
        <f t="shared" si="62"/>
        <v>143.28502185458856</v>
      </c>
      <c r="AX336">
        <f t="shared" si="63"/>
        <v>117.30446644770483</v>
      </c>
      <c r="AY336">
        <f t="shared" si="64"/>
        <v>186.04187977220806</v>
      </c>
      <c r="AZ336">
        <f t="shared" si="65"/>
        <v>106.01279046836186</v>
      </c>
      <c r="BA336">
        <f t="shared" si="66"/>
        <v>77.024964678582265</v>
      </c>
      <c r="BB336">
        <f t="shared" si="67"/>
        <v>111.58653135646925</v>
      </c>
      <c r="BC336">
        <f t="shared" si="68"/>
        <v>174.92473997995862</v>
      </c>
      <c r="BD336">
        <f t="shared" si="69"/>
        <v>400.99941407884899</v>
      </c>
    </row>
    <row r="337" spans="1:56" x14ac:dyDescent="0.25">
      <c r="A337" t="s">
        <v>7</v>
      </c>
      <c r="B337" t="s">
        <v>11</v>
      </c>
      <c r="C337" t="s">
        <v>9</v>
      </c>
      <c r="D337" t="s">
        <v>10</v>
      </c>
      <c r="E337">
        <v>2</v>
      </c>
      <c r="F337" s="1">
        <v>37955</v>
      </c>
      <c r="G337">
        <v>1.83878776055133E-2</v>
      </c>
      <c r="K337" s="4">
        <v>44651</v>
      </c>
      <c r="L337" s="6">
        <v>-1.44018993763416E-2</v>
      </c>
      <c r="M337" s="6">
        <v>-1.23473837474243E-2</v>
      </c>
      <c r="N337" s="6">
        <v>-3.8657372017836598E-3</v>
      </c>
      <c r="O337" s="6">
        <v>-7.8130592051565903E-3</v>
      </c>
      <c r="P337" s="6">
        <v>-5.6770407329172498E-3</v>
      </c>
      <c r="Q337" s="6">
        <v>-1.00102168414556E-2</v>
      </c>
      <c r="R337" s="6">
        <v>1.6518234052579199E-4</v>
      </c>
      <c r="S337" s="6">
        <v>6.6290214774064396E-3</v>
      </c>
      <c r="T337" s="6">
        <v>-4.86510640208517E-3</v>
      </c>
      <c r="U337" s="6">
        <v>-1.0003776181234599E-2</v>
      </c>
      <c r="V337" s="6">
        <v>-1.13659164559929E-2</v>
      </c>
      <c r="W337" s="6">
        <v>-4.5097214825185897E-3</v>
      </c>
      <c r="X337" s="6">
        <v>-6.4764989473768296E-3</v>
      </c>
      <c r="Y337" s="6">
        <v>-8.4542152756354849E-2</v>
      </c>
      <c r="AA337">
        <v>-1.44018993763416E-2</v>
      </c>
      <c r="AB337">
        <v>-1.23473837474243E-2</v>
      </c>
      <c r="AC337">
        <v>-3.8657372017836598E-3</v>
      </c>
      <c r="AD337">
        <v>-7.8130592051565903E-3</v>
      </c>
      <c r="AE337">
        <v>-5.6770407329172498E-3</v>
      </c>
      <c r="AF337">
        <v>-1.00102168414556E-2</v>
      </c>
      <c r="AG337">
        <v>1.6518234052579199E-4</v>
      </c>
      <c r="AH337">
        <v>6.6290214774064396E-3</v>
      </c>
      <c r="AI337">
        <v>-4.86510640208517E-3</v>
      </c>
      <c r="AJ337">
        <v>-1.0003776181234599E-2</v>
      </c>
      <c r="AK337">
        <v>-1.13659164559929E-2</v>
      </c>
      <c r="AL337">
        <v>-4.5097214825185897E-3</v>
      </c>
      <c r="AM337">
        <v>-6.4764989473768296E-3</v>
      </c>
      <c r="AN337">
        <f>+IBOV!C262</f>
        <v>0.14958858130476704</v>
      </c>
      <c r="AP337" s="1">
        <f t="shared" si="55"/>
        <v>44651</v>
      </c>
      <c r="AQ337">
        <f t="shared" si="56"/>
        <v>80.758502946489742</v>
      </c>
      <c r="AR337">
        <f t="shared" si="57"/>
        <v>119.3454379960823</v>
      </c>
      <c r="AS337">
        <f t="shared" si="58"/>
        <v>125.20967725890708</v>
      </c>
      <c r="AT337">
        <f t="shared" si="59"/>
        <v>73.563416328074425</v>
      </c>
      <c r="AU337">
        <f t="shared" si="60"/>
        <v>118.98782606517082</v>
      </c>
      <c r="AV337">
        <f t="shared" si="61"/>
        <v>514.97126896214866</v>
      </c>
      <c r="AW337">
        <f t="shared" si="62"/>
        <v>143.30869000986078</v>
      </c>
      <c r="AX337">
        <f t="shared" si="63"/>
        <v>118.08208027518238</v>
      </c>
      <c r="AY337">
        <f t="shared" si="64"/>
        <v>185.13676623187234</v>
      </c>
      <c r="AZ337">
        <f t="shared" si="65"/>
        <v>104.95226224016824</v>
      </c>
      <c r="BA337">
        <f t="shared" si="66"/>
        <v>76.149505365019692</v>
      </c>
      <c r="BB337">
        <f t="shared" si="67"/>
        <v>111.08330717885124</v>
      </c>
      <c r="BC337">
        <f t="shared" si="68"/>
        <v>173.79184008560824</v>
      </c>
      <c r="BD337">
        <f t="shared" si="69"/>
        <v>460.98434753494683</v>
      </c>
    </row>
    <row r="338" spans="1:56" x14ac:dyDescent="0.25">
      <c r="A338" t="s">
        <v>7</v>
      </c>
      <c r="B338" t="s">
        <v>11</v>
      </c>
      <c r="C338" t="s">
        <v>9</v>
      </c>
      <c r="D338" t="s">
        <v>10</v>
      </c>
      <c r="E338">
        <v>5</v>
      </c>
      <c r="F338" s="1">
        <v>37986</v>
      </c>
      <c r="G338">
        <v>-8.3525984224309697E-3</v>
      </c>
      <c r="K338" s="4">
        <v>44681</v>
      </c>
      <c r="L338" s="6">
        <v>4.5406349584625E-2</v>
      </c>
      <c r="M338" s="6">
        <v>-1.1210196960540801E-3</v>
      </c>
      <c r="N338" s="6">
        <v>3.2754275473026201E-2</v>
      </c>
      <c r="O338" s="6">
        <v>-4.3776484616502201E-2</v>
      </c>
      <c r="P338" s="6">
        <v>5.7209716751654503E-2</v>
      </c>
      <c r="Q338" s="6">
        <v>0.113573944282383</v>
      </c>
      <c r="R338" s="6">
        <v>2.4062580698108401E-2</v>
      </c>
      <c r="S338" s="6">
        <v>5.2183602152402503E-2</v>
      </c>
      <c r="T338" s="6">
        <v>2.76876304406127E-2</v>
      </c>
      <c r="U338" s="6">
        <v>-1.3864111221903E-2</v>
      </c>
      <c r="V338" s="6">
        <v>7.8695542619322007E-3</v>
      </c>
      <c r="W338" s="6">
        <v>-1.1338601431324201E-2</v>
      </c>
      <c r="X338" s="6">
        <v>8.4924955863527093E-2</v>
      </c>
      <c r="Y338" s="6">
        <v>0.37557239254248814</v>
      </c>
      <c r="AA338">
        <v>4.5406349584625E-2</v>
      </c>
      <c r="AB338">
        <v>-1.1210196960540801E-3</v>
      </c>
      <c r="AC338">
        <v>3.2754275473026201E-2</v>
      </c>
      <c r="AD338">
        <v>-4.3776484616502201E-2</v>
      </c>
      <c r="AE338">
        <v>5.7209716751654503E-2</v>
      </c>
      <c r="AF338">
        <v>0.113573944282383</v>
      </c>
      <c r="AG338">
        <v>2.4062580698108401E-2</v>
      </c>
      <c r="AH338">
        <v>5.2183602152402503E-2</v>
      </c>
      <c r="AI338">
        <v>2.76876304406127E-2</v>
      </c>
      <c r="AJ338">
        <v>-1.3864111221903E-2</v>
      </c>
      <c r="AK338">
        <v>7.8695542619322007E-3</v>
      </c>
      <c r="AL338">
        <v>-1.1338601431324201E-2</v>
      </c>
      <c r="AM338">
        <v>8.4924955863527093E-2</v>
      </c>
      <c r="AN338">
        <f>+IBOV!C263</f>
        <v>-0.13329750262375217</v>
      </c>
      <c r="AP338" s="1">
        <f t="shared" si="55"/>
        <v>44681</v>
      </c>
      <c r="AQ338">
        <f t="shared" si="56"/>
        <v>84.425451763209026</v>
      </c>
      <c r="AR338">
        <f t="shared" si="57"/>
        <v>119.21164940945449</v>
      </c>
      <c r="AS338">
        <f t="shared" si="58"/>
        <v>129.31082951973403</v>
      </c>
      <c r="AT338">
        <f t="shared" si="59"/>
        <v>70.343068564851123</v>
      </c>
      <c r="AU338">
        <f t="shared" si="60"/>
        <v>125.79508589125439</v>
      </c>
      <c r="AV338">
        <f t="shared" si="61"/>
        <v>573.45858717028386</v>
      </c>
      <c r="AW338">
        <f t="shared" si="62"/>
        <v>146.75706692796325</v>
      </c>
      <c r="AX338">
        <f t="shared" si="63"/>
        <v>124.24402857359054</v>
      </c>
      <c r="AY338">
        <f t="shared" si="64"/>
        <v>190.26276459627053</v>
      </c>
      <c r="AZ338">
        <f t="shared" si="65"/>
        <v>103.49719240348021</v>
      </c>
      <c r="BA338">
        <f t="shared" si="66"/>
        <v>76.748768029509023</v>
      </c>
      <c r="BB338">
        <f t="shared" si="67"/>
        <v>109.8237778330769</v>
      </c>
      <c r="BC338">
        <f t="shared" si="68"/>
        <v>188.55110443431965</v>
      </c>
      <c r="BD338">
        <f t="shared" si="69"/>
        <v>399.53628525989859</v>
      </c>
    </row>
    <row r="339" spans="1:56" x14ac:dyDescent="0.25">
      <c r="A339" t="s">
        <v>7</v>
      </c>
      <c r="B339" t="s">
        <v>11</v>
      </c>
      <c r="C339" t="s">
        <v>9</v>
      </c>
      <c r="D339" t="s">
        <v>10</v>
      </c>
      <c r="E339">
        <v>2</v>
      </c>
      <c r="F339" s="1">
        <v>38017</v>
      </c>
      <c r="G339">
        <v>9.5841169075660995E-2</v>
      </c>
      <c r="K339" s="4">
        <v>44712</v>
      </c>
      <c r="L339" s="6">
        <v>1.65021737082615E-2</v>
      </c>
      <c r="M339" s="6">
        <v>2.5367734859250399E-2</v>
      </c>
      <c r="N339" s="6">
        <v>3.9209155214230899E-2</v>
      </c>
      <c r="O339" s="6">
        <v>-5.2590522982766397E-2</v>
      </c>
      <c r="P339" s="6">
        <v>1.5654699774264501E-2</v>
      </c>
      <c r="Q339" s="6">
        <v>7.0733583512039302E-2</v>
      </c>
      <c r="R339" s="6">
        <v>8.8258439891185803E-3</v>
      </c>
      <c r="S339" s="6">
        <v>5.5052745539388701E-2</v>
      </c>
      <c r="T339" s="6">
        <v>-6.3353398714411703E-4</v>
      </c>
      <c r="U339" s="6">
        <v>9.16043206559191E-3</v>
      </c>
      <c r="V339" s="6">
        <v>-3.5272021471428001E-2</v>
      </c>
      <c r="W339" s="6">
        <v>-5.2767121070812398E-2</v>
      </c>
      <c r="X339" s="6">
        <v>6.0279188223716397E-2</v>
      </c>
      <c r="Y339" s="6">
        <v>0.15952235737371129</v>
      </c>
      <c r="AA339">
        <v>1.65021737082615E-2</v>
      </c>
      <c r="AB339">
        <v>2.5367734859250399E-2</v>
      </c>
      <c r="AC339">
        <v>3.9209155214230899E-2</v>
      </c>
      <c r="AD339">
        <v>-5.2590522982766397E-2</v>
      </c>
      <c r="AE339">
        <v>1.5654699774264501E-2</v>
      </c>
      <c r="AF339">
        <v>7.0733583512039302E-2</v>
      </c>
      <c r="AG339">
        <v>8.8258439891185803E-3</v>
      </c>
      <c r="AH339">
        <v>5.5052745539388701E-2</v>
      </c>
      <c r="AI339">
        <v>-6.3353398714411703E-4</v>
      </c>
      <c r="AJ339">
        <v>9.16043206559191E-3</v>
      </c>
      <c r="AK339">
        <v>-3.5272021471428001E-2</v>
      </c>
      <c r="AL339">
        <v>-5.2767121070812398E-2</v>
      </c>
      <c r="AM339">
        <v>6.0279188223716397E-2</v>
      </c>
      <c r="AN339">
        <f>+IBOV!C264</f>
        <v>7.5679933630265372E-2</v>
      </c>
      <c r="AP339" s="1">
        <f t="shared" si="55"/>
        <v>44712</v>
      </c>
      <c r="AQ339">
        <f t="shared" si="56"/>
        <v>85.818655233603963</v>
      </c>
      <c r="AR339">
        <f t="shared" si="57"/>
        <v>122.23577892380746</v>
      </c>
      <c r="AS339">
        <f t="shared" si="58"/>
        <v>134.38099790525422</v>
      </c>
      <c r="AT339">
        <f t="shared" si="59"/>
        <v>66.643689800813007</v>
      </c>
      <c r="AU339">
        <f t="shared" si="60"/>
        <v>127.76437019395981</v>
      </c>
      <c r="AV339">
        <f t="shared" si="61"/>
        <v>614.02136803658925</v>
      </c>
      <c r="AW339">
        <f t="shared" si="62"/>
        <v>148.05232190497011</v>
      </c>
      <c r="AX339">
        <f t="shared" si="63"/>
        <v>131.08400346344098</v>
      </c>
      <c r="AY339">
        <f t="shared" si="64"/>
        <v>190.14222666841079</v>
      </c>
      <c r="AZ339">
        <f t="shared" si="65"/>
        <v>104.44527140347178</v>
      </c>
      <c r="BA339">
        <f t="shared" si="66"/>
        <v>74.041683835666532</v>
      </c>
      <c r="BB339">
        <f t="shared" si="67"/>
        <v>104.02869325170494</v>
      </c>
      <c r="BC339">
        <f t="shared" si="68"/>
        <v>199.91681194830562</v>
      </c>
      <c r="BD339">
        <f t="shared" si="69"/>
        <v>429.77316481125047</v>
      </c>
    </row>
    <row r="340" spans="1:56" x14ac:dyDescent="0.25">
      <c r="A340" t="s">
        <v>7</v>
      </c>
      <c r="B340" t="s">
        <v>11</v>
      </c>
      <c r="C340" t="s">
        <v>9</v>
      </c>
      <c r="D340" t="s">
        <v>10</v>
      </c>
      <c r="E340">
        <v>2</v>
      </c>
      <c r="F340" s="1">
        <v>38046</v>
      </c>
      <c r="G340">
        <v>1.15056824111954E-2</v>
      </c>
      <c r="K340" s="4">
        <v>44742</v>
      </c>
      <c r="L340" s="6">
        <v>1.31160715076955E-2</v>
      </c>
      <c r="M340" s="6">
        <v>2.28971061636522E-2</v>
      </c>
      <c r="N340" s="6">
        <v>4.9847293820198597E-2</v>
      </c>
      <c r="O340" s="6">
        <v>8.6172640437276998E-3</v>
      </c>
      <c r="P340" s="6">
        <v>8.11177939257927E-2</v>
      </c>
      <c r="Q340" s="6">
        <v>7.0303943774671904E-2</v>
      </c>
      <c r="R340" s="6">
        <v>7.6697911111003403E-4</v>
      </c>
      <c r="S340" s="6">
        <v>3.7644219193103998E-2</v>
      </c>
      <c r="T340" s="6">
        <v>1.95847787732128E-2</v>
      </c>
      <c r="U340" s="6">
        <v>-8.3265381648441796E-3</v>
      </c>
      <c r="V340" s="6">
        <v>-1.6114574889024201E-2</v>
      </c>
      <c r="W340" s="6">
        <v>-2.8606005986871502E-2</v>
      </c>
      <c r="X340" s="6">
        <v>1.6636720131045401E-2</v>
      </c>
      <c r="Y340" s="6">
        <v>0.26748505140347095</v>
      </c>
      <c r="AA340">
        <v>1.31160715076955E-2</v>
      </c>
      <c r="AB340">
        <v>2.28971061636522E-2</v>
      </c>
      <c r="AC340">
        <v>4.9847293820198597E-2</v>
      </c>
      <c r="AD340">
        <v>8.6172640437276998E-3</v>
      </c>
      <c r="AE340">
        <v>8.11177939257927E-2</v>
      </c>
      <c r="AF340">
        <v>7.0303943774671904E-2</v>
      </c>
      <c r="AG340">
        <v>7.6697911111003403E-4</v>
      </c>
      <c r="AH340">
        <v>3.7644219193103998E-2</v>
      </c>
      <c r="AI340">
        <v>1.95847787732128E-2</v>
      </c>
      <c r="AJ340">
        <v>-8.3265381648441796E-3</v>
      </c>
      <c r="AK340">
        <v>-1.6114574889024201E-2</v>
      </c>
      <c r="AL340">
        <v>-2.8606005986871502E-2</v>
      </c>
      <c r="AM340">
        <v>1.6636720131045401E-2</v>
      </c>
      <c r="AN340">
        <f>+IBOV!C265</f>
        <v>-0.18660044795014108</v>
      </c>
      <c r="AP340" s="1">
        <f t="shared" si="55"/>
        <v>44742</v>
      </c>
      <c r="AQ340">
        <f t="shared" si="56"/>
        <v>86.944258852342173</v>
      </c>
      <c r="AR340">
        <f t="shared" si="57"/>
        <v>125.03462453082261</v>
      </c>
      <c r="AS340">
        <f t="shared" si="58"/>
        <v>141.07952699168891</v>
      </c>
      <c r="AT340">
        <f t="shared" si="59"/>
        <v>67.217976072674887</v>
      </c>
      <c r="AU340">
        <f t="shared" si="60"/>
        <v>138.12833404641214</v>
      </c>
      <c r="AV340">
        <f t="shared" si="61"/>
        <v>657.18949177148079</v>
      </c>
      <c r="AW340">
        <f t="shared" si="62"/>
        <v>148.16587494322255</v>
      </c>
      <c r="AX340">
        <f t="shared" si="63"/>
        <v>136.01855842252834</v>
      </c>
      <c r="AY340">
        <f t="shared" si="64"/>
        <v>193.86612011315771</v>
      </c>
      <c r="AZ340">
        <f t="shared" si="65"/>
        <v>103.57560386499325</v>
      </c>
      <c r="BA340">
        <f t="shared" si="66"/>
        <v>72.848533576587229</v>
      </c>
      <c r="BB340">
        <f t="shared" si="67"/>
        <v>101.05284782974024</v>
      </c>
      <c r="BC340">
        <f t="shared" si="68"/>
        <v>203.24277199818042</v>
      </c>
      <c r="BD340">
        <f t="shared" si="69"/>
        <v>349.57729974052131</v>
      </c>
    </row>
    <row r="341" spans="1:56" x14ac:dyDescent="0.25">
      <c r="A341" t="s">
        <v>7</v>
      </c>
      <c r="B341" t="s">
        <v>11</v>
      </c>
      <c r="C341" t="s">
        <v>9</v>
      </c>
      <c r="D341" t="s">
        <v>10</v>
      </c>
      <c r="E341">
        <v>2</v>
      </c>
      <c r="F341" s="1">
        <v>38077</v>
      </c>
      <c r="G341">
        <v>1.90132565508776E-2</v>
      </c>
      <c r="K341" s="4">
        <v>44773</v>
      </c>
      <c r="L341" s="6">
        <v>-4.2090015661796203E-2</v>
      </c>
      <c r="M341" s="6">
        <v>-1.4861565990509499E-2</v>
      </c>
      <c r="N341" s="6">
        <v>-1.6527803850219201E-2</v>
      </c>
      <c r="O341" s="6">
        <v>1.25764382347571E-2</v>
      </c>
      <c r="P341" s="6">
        <v>-1.02760711995674E-2</v>
      </c>
      <c r="Q341" s="6">
        <v>-3.5202242725708703E-2</v>
      </c>
      <c r="R341" s="6">
        <v>-2.44488609468918E-2</v>
      </c>
      <c r="S341" s="6">
        <v>-4.1274129495513401E-2</v>
      </c>
      <c r="T341" s="6">
        <v>-3.8438906583071197E-2</v>
      </c>
      <c r="U341" s="6">
        <v>-4.4655302201800102E-3</v>
      </c>
      <c r="V341" s="6">
        <v>2.3524490174756298E-2</v>
      </c>
      <c r="W341" s="6">
        <v>2.60676297563243E-2</v>
      </c>
      <c r="X341" s="6">
        <v>-5.9158099250536403E-2</v>
      </c>
      <c r="Y341" s="6">
        <v>-0.22457466775815615</v>
      </c>
      <c r="AA341">
        <v>-4.2090015661796203E-2</v>
      </c>
      <c r="AB341">
        <v>-1.4861565990509499E-2</v>
      </c>
      <c r="AC341">
        <v>-1.6527803850219201E-2</v>
      </c>
      <c r="AD341">
        <v>1.25764382347571E-2</v>
      </c>
      <c r="AE341">
        <v>-1.02760711995674E-2</v>
      </c>
      <c r="AF341">
        <v>-3.5202242725708703E-2</v>
      </c>
      <c r="AG341">
        <v>-2.44488609468918E-2</v>
      </c>
      <c r="AH341">
        <v>-4.1274129495513401E-2</v>
      </c>
      <c r="AI341">
        <v>-3.8438906583071197E-2</v>
      </c>
      <c r="AJ341">
        <v>-4.4655302201800102E-3</v>
      </c>
      <c r="AK341">
        <v>2.3524490174756298E-2</v>
      </c>
      <c r="AL341">
        <v>2.60676297563243E-2</v>
      </c>
      <c r="AM341">
        <v>-5.9158099250536403E-2</v>
      </c>
      <c r="AN341">
        <f>+IBOV!C266</f>
        <v>5.9510583277463835E-2</v>
      </c>
      <c r="AP341" s="1">
        <f t="shared" si="55"/>
        <v>44773</v>
      </c>
      <c r="AQ341">
        <f t="shared" si="56"/>
        <v>83.284773635543829</v>
      </c>
      <c r="AR341">
        <f t="shared" si="57"/>
        <v>123.17641420725921</v>
      </c>
      <c r="AS341">
        <f t="shared" si="58"/>
        <v>138.74779224228857</v>
      </c>
      <c r="AT341">
        <f t="shared" si="59"/>
        <v>68.063338797018261</v>
      </c>
      <c r="AU341">
        <f t="shared" si="60"/>
        <v>136.70891745107357</v>
      </c>
      <c r="AV341">
        <f t="shared" si="61"/>
        <v>634.05494776535602</v>
      </c>
      <c r="AW341">
        <f t="shared" si="62"/>
        <v>144.54338806966115</v>
      </c>
      <c r="AX341">
        <f t="shared" si="63"/>
        <v>130.40451082840386</v>
      </c>
      <c r="AY341">
        <f t="shared" si="64"/>
        <v>186.41411843250557</v>
      </c>
      <c r="AZ341">
        <f t="shared" si="65"/>
        <v>103.11308387586074</v>
      </c>
      <c r="BA341">
        <f t="shared" si="66"/>
        <v>74.562258188955056</v>
      </c>
      <c r="BB341">
        <f t="shared" si="67"/>
        <v>103.68705605278809</v>
      </c>
      <c r="BC341">
        <f t="shared" si="68"/>
        <v>191.21931592035793</v>
      </c>
      <c r="BD341">
        <f t="shared" si="69"/>
        <v>370.38084874864052</v>
      </c>
    </row>
    <row r="342" spans="1:56" x14ac:dyDescent="0.25">
      <c r="A342" t="s">
        <v>7</v>
      </c>
      <c r="B342" t="s">
        <v>11</v>
      </c>
      <c r="C342" t="s">
        <v>9</v>
      </c>
      <c r="D342" t="s">
        <v>10</v>
      </c>
      <c r="E342">
        <v>2</v>
      </c>
      <c r="F342" s="1">
        <v>38107</v>
      </c>
      <c r="G342">
        <v>-3.6816177747304002E-2</v>
      </c>
      <c r="K342" s="4">
        <v>44804</v>
      </c>
      <c r="L342" s="6">
        <v>-9.7900595331650297E-3</v>
      </c>
      <c r="M342" s="6">
        <v>-3.2178748335626402E-2</v>
      </c>
      <c r="N342" s="6">
        <v>-3.9321075975549097E-2</v>
      </c>
      <c r="O342" s="6">
        <v>1.2687629791484E-3</v>
      </c>
      <c r="P342" s="6">
        <v>-7.4419019228242206E-2</v>
      </c>
      <c r="Q342" s="6">
        <v>-6.2195525256662998E-2</v>
      </c>
      <c r="R342" s="6">
        <v>-2.37377133254951E-2</v>
      </c>
      <c r="S342" s="6">
        <v>-6.0934298113086503E-2</v>
      </c>
      <c r="T342" s="6">
        <v>-6.1259720888536602E-2</v>
      </c>
      <c r="U342" s="6">
        <v>-1.7097722254771899E-3</v>
      </c>
      <c r="V342" s="6">
        <v>-4.4160380265448898E-2</v>
      </c>
      <c r="W342" s="6">
        <v>6.4560260099397193E-2</v>
      </c>
      <c r="X342" s="6">
        <v>-5.2762852325467201E-2</v>
      </c>
      <c r="Y342" s="6">
        <v>-0.39664014239421158</v>
      </c>
      <c r="AA342">
        <v>-9.7900595331650297E-3</v>
      </c>
      <c r="AB342">
        <v>-3.2178748335626402E-2</v>
      </c>
      <c r="AC342">
        <v>-3.9321075975549097E-2</v>
      </c>
      <c r="AD342">
        <v>1.2687629791484E-3</v>
      </c>
      <c r="AE342">
        <v>-7.4419019228242206E-2</v>
      </c>
      <c r="AF342">
        <v>-6.2195525256662998E-2</v>
      </c>
      <c r="AG342">
        <v>-2.37377133254951E-2</v>
      </c>
      <c r="AH342">
        <v>-6.0934298113086503E-2</v>
      </c>
      <c r="AI342">
        <v>-6.1259720888536602E-2</v>
      </c>
      <c r="AJ342">
        <v>-1.7097722254771899E-3</v>
      </c>
      <c r="AK342">
        <v>-4.4160380265448898E-2</v>
      </c>
      <c r="AL342">
        <v>6.4560260099397193E-2</v>
      </c>
      <c r="AM342">
        <v>-5.2762852325467201E-2</v>
      </c>
      <c r="AN342">
        <f>+IBOV!C267</f>
        <v>5.1684316623502147E-2</v>
      </c>
      <c r="AP342" s="1">
        <f t="shared" si="55"/>
        <v>44804</v>
      </c>
      <c r="AQ342">
        <f t="shared" si="56"/>
        <v>82.469410743445678</v>
      </c>
      <c r="AR342">
        <f t="shared" si="57"/>
        <v>119.21275137359895</v>
      </c>
      <c r="AS342">
        <f t="shared" si="58"/>
        <v>133.29207976208983</v>
      </c>
      <c r="AT342">
        <f t="shared" si="59"/>
        <v>68.149695041521156</v>
      </c>
      <c r="AU342">
        <f t="shared" si="60"/>
        <v>126.53517389460995</v>
      </c>
      <c r="AV342">
        <f t="shared" si="61"/>
        <v>594.6195672475036</v>
      </c>
      <c r="AW342">
        <f t="shared" si="62"/>
        <v>141.11225856056774</v>
      </c>
      <c r="AX342">
        <f t="shared" si="63"/>
        <v>122.45840349029469</v>
      </c>
      <c r="AY342">
        <f t="shared" si="64"/>
        <v>174.99444156764767</v>
      </c>
      <c r="AZ342">
        <f t="shared" si="65"/>
        <v>102.9367839889665</v>
      </c>
      <c r="BA342">
        <f t="shared" si="66"/>
        <v>71.269560513880222</v>
      </c>
      <c r="BB342">
        <f t="shared" si="67"/>
        <v>110.38111936049688</v>
      </c>
      <c r="BC342">
        <f t="shared" si="68"/>
        <v>181.13003939267523</v>
      </c>
      <c r="BD342">
        <f t="shared" si="69"/>
        <v>389.52372980664671</v>
      </c>
    </row>
    <row r="343" spans="1:56" x14ac:dyDescent="0.25">
      <c r="A343" t="s">
        <v>7</v>
      </c>
      <c r="B343" t="s">
        <v>11</v>
      </c>
      <c r="C343" t="s">
        <v>9</v>
      </c>
      <c r="D343" t="s">
        <v>10</v>
      </c>
      <c r="E343">
        <v>6</v>
      </c>
      <c r="F343" s="1">
        <v>38138</v>
      </c>
      <c r="G343">
        <v>-5.6247884048272797E-3</v>
      </c>
      <c r="K343" s="4">
        <v>44834</v>
      </c>
      <c r="L343" s="6">
        <v>-3.0456219493144299E-2</v>
      </c>
      <c r="M343" s="6">
        <v>1.8789544173151099E-2</v>
      </c>
      <c r="N343" s="6">
        <v>2.80817753554709E-3</v>
      </c>
      <c r="O343" s="6">
        <v>4.8010697874755502E-2</v>
      </c>
      <c r="P343" s="6">
        <v>-9.0327557376190092E-3</v>
      </c>
      <c r="Q343" s="6">
        <v>-1.3085065984021101E-2</v>
      </c>
      <c r="R343" s="6">
        <v>-5.4710314311527102E-3</v>
      </c>
      <c r="S343" s="6">
        <v>1.88824167127957E-2</v>
      </c>
      <c r="T343" s="6">
        <v>2.3898307894889999E-2</v>
      </c>
      <c r="U343" s="6">
        <v>2.13043789352486E-2</v>
      </c>
      <c r="V343" s="6">
        <v>1.37152204102731E-3</v>
      </c>
      <c r="W343" s="6">
        <v>1.54276598054593E-2</v>
      </c>
      <c r="X343" s="6">
        <v>-2.4048010765089299E-2</v>
      </c>
      <c r="Y343" s="6">
        <v>6.8399621561848173E-2</v>
      </c>
      <c r="AA343">
        <v>-3.0456219493144299E-2</v>
      </c>
      <c r="AB343">
        <v>1.8789544173151099E-2</v>
      </c>
      <c r="AC343">
        <v>2.80817753554709E-3</v>
      </c>
      <c r="AD343">
        <v>4.8010697874755502E-2</v>
      </c>
      <c r="AE343">
        <v>-9.0327557376190092E-3</v>
      </c>
      <c r="AF343">
        <v>-1.3085065984021101E-2</v>
      </c>
      <c r="AG343">
        <v>-5.4710314311527102E-3</v>
      </c>
      <c r="AH343">
        <v>1.88824167127957E-2</v>
      </c>
      <c r="AI343">
        <v>2.3898307894889999E-2</v>
      </c>
      <c r="AJ343">
        <v>2.13043789352486E-2</v>
      </c>
      <c r="AK343">
        <v>1.37152204102731E-3</v>
      </c>
      <c r="AL343">
        <v>1.54276598054593E-2</v>
      </c>
      <c r="AM343">
        <v>-2.4048010765089299E-2</v>
      </c>
      <c r="AN343">
        <f>+IBOV!C268</f>
        <v>-2.9159969400297414E-2</v>
      </c>
      <c r="AP343" s="1">
        <f t="shared" si="55"/>
        <v>44834</v>
      </c>
      <c r="AQ343">
        <f t="shared" si="56"/>
        <v>79.957704268373021</v>
      </c>
      <c r="AR343">
        <f t="shared" si="57"/>
        <v>121.45270463153606</v>
      </c>
      <c r="AS343">
        <f t="shared" si="58"/>
        <v>133.66638758614408</v>
      </c>
      <c r="AT343">
        <f t="shared" si="59"/>
        <v>71.421609460416349</v>
      </c>
      <c r="AU343">
        <f t="shared" si="60"/>
        <v>125.3922125766028</v>
      </c>
      <c r="AV343">
        <f t="shared" si="61"/>
        <v>586.8389309746799</v>
      </c>
      <c r="AW343">
        <f t="shared" si="62"/>
        <v>140.34022895866192</v>
      </c>
      <c r="AX343">
        <f t="shared" si="63"/>
        <v>124.7707140949821</v>
      </c>
      <c r="AY343">
        <f t="shared" si="64"/>
        <v>179.17651261212566</v>
      </c>
      <c r="AZ343">
        <f t="shared" si="65"/>
        <v>105.12978824144326</v>
      </c>
      <c r="BA343">
        <f t="shared" si="66"/>
        <v>71.367308286979338</v>
      </c>
      <c r="BB343">
        <f t="shared" si="67"/>
        <v>112.08404171893642</v>
      </c>
      <c r="BC343">
        <f t="shared" si="68"/>
        <v>176.77422225547912</v>
      </c>
      <c r="BD343">
        <f t="shared" si="69"/>
        <v>378.16522976479519</v>
      </c>
    </row>
    <row r="344" spans="1:56" x14ac:dyDescent="0.25">
      <c r="A344" t="s">
        <v>7</v>
      </c>
      <c r="B344" t="s">
        <v>11</v>
      </c>
      <c r="C344" t="s">
        <v>9</v>
      </c>
      <c r="D344" t="s">
        <v>10</v>
      </c>
      <c r="E344">
        <v>5</v>
      </c>
      <c r="F344" s="1">
        <v>38168</v>
      </c>
      <c r="G344">
        <v>5.2717830828647401E-2</v>
      </c>
      <c r="K344" s="4">
        <v>44865</v>
      </c>
      <c r="L344" s="6">
        <v>-1.1402621666413299E-2</v>
      </c>
      <c r="M344" s="6">
        <v>-3.5846467633429599E-3</v>
      </c>
      <c r="N344" s="6">
        <v>-1.03883658210378E-2</v>
      </c>
      <c r="O344" s="6">
        <v>4.3505968832459302E-2</v>
      </c>
      <c r="P344" s="6">
        <v>5.7162562966913098E-3</v>
      </c>
      <c r="Q344" s="6">
        <v>2.7911079502615E-2</v>
      </c>
      <c r="R344" s="6">
        <v>1.15080255890086E-2</v>
      </c>
      <c r="S344" s="6">
        <v>2.08714414850939E-2</v>
      </c>
      <c r="T344" s="6">
        <v>1.2499552433901601E-3</v>
      </c>
      <c r="U344" s="6">
        <v>-7.24849175244932E-3</v>
      </c>
      <c r="V344" s="6">
        <v>-2.2389056060954701E-2</v>
      </c>
      <c r="W344" s="6">
        <v>-2.0789047219668601E-2</v>
      </c>
      <c r="X344" s="6">
        <v>-7.3547773506234301E-2</v>
      </c>
      <c r="Y344" s="6">
        <v>-3.8587275840842712E-2</v>
      </c>
      <c r="AA344">
        <v>-1.1402621666413299E-2</v>
      </c>
      <c r="AB344">
        <v>-3.5846467633429599E-3</v>
      </c>
      <c r="AC344">
        <v>-1.03883658210378E-2</v>
      </c>
      <c r="AD344">
        <v>4.3505968832459302E-2</v>
      </c>
      <c r="AE344">
        <v>5.7162562966913098E-3</v>
      </c>
      <c r="AF344">
        <v>2.7911079502615E-2</v>
      </c>
      <c r="AG344">
        <v>1.15080255890086E-2</v>
      </c>
      <c r="AH344">
        <v>2.08714414850939E-2</v>
      </c>
      <c r="AI344">
        <v>1.2499552433901601E-3</v>
      </c>
      <c r="AJ344">
        <v>-7.24849175244932E-3</v>
      </c>
      <c r="AK344">
        <v>-2.2389056060954701E-2</v>
      </c>
      <c r="AL344">
        <v>-2.0789047219668601E-2</v>
      </c>
      <c r="AM344">
        <v>-7.3547773506234301E-2</v>
      </c>
      <c r="AN344">
        <f>+IBOV!C269</f>
        <v>0.1025998574571596</v>
      </c>
      <c r="AP344" s="1">
        <f t="shared" si="55"/>
        <v>44865</v>
      </c>
      <c r="AQ344">
        <f t="shared" si="56"/>
        <v>79.045976817285805</v>
      </c>
      <c r="AR344">
        <f t="shared" si="57"/>
        <v>121.01733958697939</v>
      </c>
      <c r="AS344">
        <f t="shared" si="58"/>
        <v>132.2778122539226</v>
      </c>
      <c r="AT344">
        <f t="shared" si="59"/>
        <v>74.528875775565297</v>
      </c>
      <c r="AU344">
        <f t="shared" si="60"/>
        <v>126.10898660129986</v>
      </c>
      <c r="AV344">
        <f t="shared" si="61"/>
        <v>603.21823903234372</v>
      </c>
      <c r="AW344">
        <f t="shared" si="62"/>
        <v>141.95526790468551</v>
      </c>
      <c r="AX344">
        <f t="shared" si="63"/>
        <v>127.3748587532689</v>
      </c>
      <c r="AY344">
        <f t="shared" si="64"/>
        <v>179.40047523355756</v>
      </c>
      <c r="AZ344">
        <f t="shared" si="65"/>
        <v>104.36775583843841</v>
      </c>
      <c r="BA344">
        <f t="shared" si="66"/>
        <v>69.769461620822725</v>
      </c>
      <c r="BB344">
        <f t="shared" si="67"/>
        <v>109.75392128307014</v>
      </c>
      <c r="BC344">
        <f t="shared" si="68"/>
        <v>163.77287179529242</v>
      </c>
      <c r="BD344">
        <f t="shared" si="69"/>
        <v>416.96492843391718</v>
      </c>
    </row>
    <row r="345" spans="1:56" x14ac:dyDescent="0.25">
      <c r="A345" t="s">
        <v>7</v>
      </c>
      <c r="B345" t="s">
        <v>11</v>
      </c>
      <c r="C345" t="s">
        <v>9</v>
      </c>
      <c r="D345" t="s">
        <v>10</v>
      </c>
      <c r="E345">
        <v>5</v>
      </c>
      <c r="F345" s="1">
        <v>38199</v>
      </c>
      <c r="G345">
        <v>-5.6502870836044099E-2</v>
      </c>
      <c r="K345" s="4">
        <v>44895</v>
      </c>
      <c r="L345" s="6">
        <v>-3.5708476788585797E-2</v>
      </c>
      <c r="M345" s="6">
        <v>5.3659128233459898E-2</v>
      </c>
      <c r="N345" s="6">
        <v>5.5450813812747503E-2</v>
      </c>
      <c r="O345" s="6">
        <v>-1.2843271645959901E-3</v>
      </c>
      <c r="P345" s="6">
        <v>7.2471700855955501E-2</v>
      </c>
      <c r="Q345" s="6">
        <v>-2.2565420363534199E-2</v>
      </c>
      <c r="R345" s="6">
        <v>-1.5950983400763601E-2</v>
      </c>
      <c r="S345" s="6">
        <v>8.7892735405427205E-2</v>
      </c>
      <c r="T345" s="6">
        <v>5.6595512975580103E-2</v>
      </c>
      <c r="U345" s="6">
        <v>2.1506099391456202E-2</v>
      </c>
      <c r="V345" s="6">
        <v>1.6607939413897599E-2</v>
      </c>
      <c r="W345" s="6">
        <v>-3.6397042928421899E-2</v>
      </c>
      <c r="X345" s="6">
        <v>9.0572604084281E-2</v>
      </c>
      <c r="Y345" s="6">
        <v>0.3428502835269035</v>
      </c>
      <c r="AA345">
        <v>-3.5708476788585797E-2</v>
      </c>
      <c r="AB345">
        <v>5.3659128233459898E-2</v>
      </c>
      <c r="AC345">
        <v>5.5450813812747503E-2</v>
      </c>
      <c r="AD345">
        <v>-1.2843271645959901E-3</v>
      </c>
      <c r="AE345">
        <v>7.2471700855955501E-2</v>
      </c>
      <c r="AF345">
        <v>-2.2565420363534199E-2</v>
      </c>
      <c r="AG345">
        <v>-1.5950983400763601E-2</v>
      </c>
      <c r="AH345">
        <v>8.7892735405427205E-2</v>
      </c>
      <c r="AI345">
        <v>5.6595512975580103E-2</v>
      </c>
      <c r="AJ345">
        <v>2.1506099391456202E-2</v>
      </c>
      <c r="AK345">
        <v>1.6607939413897599E-2</v>
      </c>
      <c r="AL345">
        <v>-3.6397042928421899E-2</v>
      </c>
      <c r="AM345">
        <v>9.0572604084281E-2</v>
      </c>
      <c r="AN345">
        <f>+IBOV!C270</f>
        <v>-3.6426925331427551E-2</v>
      </c>
      <c r="AP345" s="1">
        <f t="shared" si="55"/>
        <v>44895</v>
      </c>
      <c r="AQ345">
        <f t="shared" si="56"/>
        <v>76.223365388874669</v>
      </c>
      <c r="AR345">
        <f t="shared" si="57"/>
        <v>127.51102453034929</v>
      </c>
      <c r="AS345">
        <f t="shared" si="58"/>
        <v>139.61272459277242</v>
      </c>
      <c r="AT345">
        <f t="shared" si="59"/>
        <v>74.433156315859932</v>
      </c>
      <c r="AU345">
        <f t="shared" si="60"/>
        <v>135.24831935351696</v>
      </c>
      <c r="AV345">
        <f t="shared" si="61"/>
        <v>589.60636589762805</v>
      </c>
      <c r="AW345">
        <f t="shared" si="62"/>
        <v>139.69094178268693</v>
      </c>
      <c r="AX345">
        <f t="shared" si="63"/>
        <v>138.57018351097364</v>
      </c>
      <c r="AY345">
        <f t="shared" si="64"/>
        <v>189.55373715746362</v>
      </c>
      <c r="AZ345">
        <f t="shared" si="65"/>
        <v>106.6122991687631</v>
      </c>
      <c r="BA345">
        <f t="shared" si="66"/>
        <v>70.928188612361609</v>
      </c>
      <c r="BB345">
        <f t="shared" si="67"/>
        <v>105.7592030985676</v>
      </c>
      <c r="BC345">
        <f t="shared" si="68"/>
        <v>178.60620727215314</v>
      </c>
      <c r="BD345">
        <f t="shared" si="69"/>
        <v>401.77617812003086</v>
      </c>
    </row>
    <row r="346" spans="1:56" x14ac:dyDescent="0.25">
      <c r="A346" t="s">
        <v>7</v>
      </c>
      <c r="B346" t="s">
        <v>11</v>
      </c>
      <c r="C346" t="s">
        <v>9</v>
      </c>
      <c r="D346" t="s">
        <v>10</v>
      </c>
      <c r="E346">
        <v>5</v>
      </c>
      <c r="F346" s="1">
        <v>38230</v>
      </c>
      <c r="G346">
        <v>1.7508128717128799E-2</v>
      </c>
      <c r="K346" s="4">
        <v>44926</v>
      </c>
      <c r="L346" s="6">
        <v>5.01524833351013E-3</v>
      </c>
      <c r="M346" s="6">
        <v>1.8368888628193501E-2</v>
      </c>
      <c r="N346" s="6">
        <v>1.1373516842930099E-2</v>
      </c>
      <c r="O346" s="6">
        <v>6.6656729665378004E-3</v>
      </c>
      <c r="P346" s="6">
        <v>1.47476779832832E-2</v>
      </c>
      <c r="Q346" s="6">
        <v>1.19713750585269E-2</v>
      </c>
      <c r="R346" s="6">
        <v>4.83895119269823E-3</v>
      </c>
      <c r="S346" s="6">
        <v>3.6973184050222402E-2</v>
      </c>
      <c r="T346" s="6">
        <v>3.0610601374948601E-2</v>
      </c>
      <c r="U346" s="6">
        <v>7.1787782099630897E-3</v>
      </c>
      <c r="V346" s="6">
        <v>-1.72317492962712E-2</v>
      </c>
      <c r="W346" s="6">
        <v>3.4513900227402499E-4</v>
      </c>
      <c r="X346" s="6">
        <v>2.6341253283789199E-2</v>
      </c>
      <c r="Y346" s="6">
        <v>0.15719853763060598</v>
      </c>
      <c r="AA346">
        <v>5.01524833351013E-3</v>
      </c>
      <c r="AB346">
        <v>1.8368888628193501E-2</v>
      </c>
      <c r="AC346">
        <v>1.1373516842930099E-2</v>
      </c>
      <c r="AD346">
        <v>6.6656729665378004E-3</v>
      </c>
      <c r="AE346">
        <v>1.47476779832832E-2</v>
      </c>
      <c r="AF346">
        <v>1.19713750585269E-2</v>
      </c>
      <c r="AG346">
        <v>4.83895119269823E-3</v>
      </c>
      <c r="AH346">
        <v>3.6973184050222402E-2</v>
      </c>
      <c r="AI346">
        <v>3.0610601374948601E-2</v>
      </c>
      <c r="AJ346">
        <v>7.1787782099630897E-3</v>
      </c>
      <c r="AK346">
        <v>-1.72317492962712E-2</v>
      </c>
      <c r="AL346">
        <v>3.4513900227402499E-4</v>
      </c>
      <c r="AM346">
        <v>2.6341253283789199E-2</v>
      </c>
      <c r="AN346">
        <f>+IBOV!C271</f>
        <v>-4.5208144966062624E-2</v>
      </c>
      <c r="AP346" s="1">
        <f t="shared" si="55"/>
        <v>44926</v>
      </c>
      <c r="AQ346">
        <f t="shared" si="56"/>
        <v>76.605644495115754</v>
      </c>
      <c r="AR346">
        <f t="shared" si="57"/>
        <v>129.85326033881412</v>
      </c>
      <c r="AS346">
        <f t="shared" si="58"/>
        <v>141.20061226741569</v>
      </c>
      <c r="AT346">
        <f t="shared" si="59"/>
        <v>74.929303393728645</v>
      </c>
      <c r="AU346">
        <f t="shared" si="60"/>
        <v>137.24291801512288</v>
      </c>
      <c r="AV346">
        <f t="shared" si="61"/>
        <v>596.66476484068357</v>
      </c>
      <c r="AW346">
        <f t="shared" si="62"/>
        <v>140.36689943203541</v>
      </c>
      <c r="AX346">
        <f t="shared" si="63"/>
        <v>143.69356440979794</v>
      </c>
      <c r="AY346">
        <f t="shared" si="64"/>
        <v>195.35609104472249</v>
      </c>
      <c r="AZ346">
        <f t="shared" si="65"/>
        <v>107.37764521894988</v>
      </c>
      <c r="BA346">
        <f t="shared" si="66"/>
        <v>69.705971848154746</v>
      </c>
      <c r="BB346">
        <f t="shared" si="67"/>
        <v>105.79570472440632</v>
      </c>
      <c r="BC346">
        <f t="shared" si="68"/>
        <v>183.31091861596587</v>
      </c>
      <c r="BD346">
        <f t="shared" si="69"/>
        <v>383.61262241566993</v>
      </c>
    </row>
    <row r="347" spans="1:56" x14ac:dyDescent="0.25">
      <c r="A347" t="s">
        <v>7</v>
      </c>
      <c r="B347" t="s">
        <v>11</v>
      </c>
      <c r="C347" t="s">
        <v>9</v>
      </c>
      <c r="D347" t="s">
        <v>10</v>
      </c>
      <c r="E347">
        <v>6</v>
      </c>
      <c r="F347" s="1">
        <v>38260</v>
      </c>
      <c r="G347">
        <v>3.5902285205134603E-2</v>
      </c>
      <c r="K347" s="4">
        <v>44957</v>
      </c>
      <c r="L347" s="6">
        <v>-3.0120869417343599E-2</v>
      </c>
      <c r="M347" s="6">
        <v>-1.5659403671863501E-2</v>
      </c>
      <c r="N347" s="6">
        <v>-8.4677948728936398E-5</v>
      </c>
      <c r="O347" s="6">
        <v>5.1528865843289797E-4</v>
      </c>
      <c r="P347" s="6">
        <v>-2.94738066356212E-2</v>
      </c>
      <c r="Q347" s="6">
        <v>-1.1732275728142E-2</v>
      </c>
      <c r="R347" s="6">
        <v>-2.3309676083630602E-3</v>
      </c>
      <c r="S347" s="6">
        <v>-9.8111886282729495E-3</v>
      </c>
      <c r="T347" s="6">
        <v>-1.40329587382877E-2</v>
      </c>
      <c r="U347" s="6">
        <v>7.6796809525610001E-3</v>
      </c>
      <c r="V347" s="6">
        <v>1.63540005284314E-3</v>
      </c>
      <c r="W347" s="6">
        <v>-2.5028235274918102E-2</v>
      </c>
      <c r="X347" s="6">
        <v>-1.55181043809319E-2</v>
      </c>
      <c r="Y347" s="6">
        <v>-0.1439621183686359</v>
      </c>
      <c r="AA347">
        <v>-3.0120869417343599E-2</v>
      </c>
      <c r="AB347">
        <v>-1.5659403671863501E-2</v>
      </c>
      <c r="AC347">
        <v>-8.4677948728936398E-5</v>
      </c>
      <c r="AD347">
        <v>5.1528865843289797E-4</v>
      </c>
      <c r="AE347">
        <v>-2.94738066356212E-2</v>
      </c>
      <c r="AF347">
        <v>-1.1732275728142E-2</v>
      </c>
      <c r="AG347">
        <v>-2.3309676083630602E-3</v>
      </c>
      <c r="AH347">
        <v>-9.8111886282729495E-3</v>
      </c>
      <c r="AI347">
        <v>-1.40329587382877E-2</v>
      </c>
      <c r="AJ347">
        <v>7.6796809525610001E-3</v>
      </c>
      <c r="AK347">
        <v>1.63540005284314E-3</v>
      </c>
      <c r="AL347">
        <v>-2.5028235274918102E-2</v>
      </c>
      <c r="AM347">
        <v>-1.55181043809319E-2</v>
      </c>
      <c r="AN347">
        <f>+IBOV!C272</f>
        <v>8.4730156097944098E-2</v>
      </c>
      <c r="AP347" s="1">
        <f t="shared" si="55"/>
        <v>44957</v>
      </c>
      <c r="AQ347">
        <f t="shared" si="56"/>
        <v>74.298215880646922</v>
      </c>
      <c r="AR347">
        <f t="shared" si="57"/>
        <v>127.81983571706105</v>
      </c>
      <c r="AS347">
        <f t="shared" si="58"/>
        <v>141.18865568920961</v>
      </c>
      <c r="AT347">
        <f t="shared" si="59"/>
        <v>74.967913613951723</v>
      </c>
      <c r="AU347">
        <f t="shared" si="60"/>
        <v>133.19784678743673</v>
      </c>
      <c r="AV347">
        <f t="shared" si="61"/>
        <v>589.66452930230571</v>
      </c>
      <c r="AW347">
        <f t="shared" si="62"/>
        <v>140.03970873617297</v>
      </c>
      <c r="AX347">
        <f t="shared" si="63"/>
        <v>142.28375974470453</v>
      </c>
      <c r="AY347">
        <f t="shared" si="64"/>
        <v>192.61466707981873</v>
      </c>
      <c r="AZ347">
        <f t="shared" si="65"/>
        <v>108.20227127566871</v>
      </c>
      <c r="BA347">
        <f t="shared" si="66"/>
        <v>69.819968998198704</v>
      </c>
      <c r="BB347">
        <f t="shared" si="67"/>
        <v>103.1478249354881</v>
      </c>
      <c r="BC347">
        <f t="shared" si="68"/>
        <v>180.46628064671879</v>
      </c>
      <c r="BD347">
        <f t="shared" si="69"/>
        <v>416.11617979409135</v>
      </c>
    </row>
    <row r="348" spans="1:56" x14ac:dyDescent="0.25">
      <c r="A348" t="s">
        <v>7</v>
      </c>
      <c r="B348" t="s">
        <v>11</v>
      </c>
      <c r="C348" t="s">
        <v>9</v>
      </c>
      <c r="D348" t="s">
        <v>10</v>
      </c>
      <c r="E348">
        <v>6</v>
      </c>
      <c r="F348" s="1">
        <v>38291</v>
      </c>
      <c r="G348">
        <v>3.0517690543484102E-2</v>
      </c>
      <c r="K348" s="4">
        <v>44985</v>
      </c>
      <c r="L348" s="6">
        <v>-1.38321431229176E-2</v>
      </c>
      <c r="M348" s="6">
        <v>1.33466451777719E-2</v>
      </c>
      <c r="N348" s="6">
        <v>5.8685577503567697E-3</v>
      </c>
      <c r="O348" s="6">
        <v>4.2637889664314003E-3</v>
      </c>
      <c r="P348" s="6">
        <v>5.6986508367169598E-2</v>
      </c>
      <c r="Q348" s="6">
        <v>4.7184513163209402E-2</v>
      </c>
      <c r="R348" s="6">
        <v>1.8007676534426701E-2</v>
      </c>
      <c r="S348" s="6">
        <v>1.9383022236984401E-2</v>
      </c>
      <c r="T348" s="6">
        <v>1.7478316885225598E-2</v>
      </c>
      <c r="U348" s="6">
        <v>-1.4275535037755201E-2</v>
      </c>
      <c r="V348" s="6">
        <v>9.7213882222947409E-3</v>
      </c>
      <c r="W348" s="6">
        <v>-7.0889782574497396E-3</v>
      </c>
      <c r="X348" s="6">
        <v>2.4996645177143E-2</v>
      </c>
      <c r="Y348" s="6">
        <v>0.18204040606289099</v>
      </c>
      <c r="AA348">
        <v>-1.38321431229176E-2</v>
      </c>
      <c r="AB348">
        <v>1.33466451777719E-2</v>
      </c>
      <c r="AC348">
        <v>5.8685577503567697E-3</v>
      </c>
      <c r="AD348">
        <v>4.2637889664314003E-3</v>
      </c>
      <c r="AE348">
        <v>5.6986508367169598E-2</v>
      </c>
      <c r="AF348">
        <v>4.7184513163209402E-2</v>
      </c>
      <c r="AG348">
        <v>1.8007676534426701E-2</v>
      </c>
      <c r="AH348">
        <v>1.9383022236984401E-2</v>
      </c>
      <c r="AI348">
        <v>1.7478316885225598E-2</v>
      </c>
      <c r="AJ348">
        <v>-1.4275535037755201E-2</v>
      </c>
      <c r="AK348">
        <v>9.7213882222947409E-3</v>
      </c>
      <c r="AL348">
        <v>-7.0889782574497396E-3</v>
      </c>
      <c r="AM348">
        <v>2.4996645177143E-2</v>
      </c>
      <c r="AN348">
        <f>+IBOV!C273</f>
        <v>-0.10118398661125572</v>
      </c>
      <c r="AP348" s="1">
        <f t="shared" si="55"/>
        <v>44985</v>
      </c>
      <c r="AQ348">
        <f t="shared" si="56"/>
        <v>73.270512324808379</v>
      </c>
      <c r="AR348">
        <f t="shared" si="57"/>
        <v>129.52580171105777</v>
      </c>
      <c r="AS348">
        <f t="shared" si="58"/>
        <v>142.01722946881696</v>
      </c>
      <c r="AT348">
        <f t="shared" si="59"/>
        <v>75.287560976855275</v>
      </c>
      <c r="AU348">
        <f t="shared" si="60"/>
        <v>140.78832699787799</v>
      </c>
      <c r="AV348">
        <f t="shared" si="61"/>
        <v>617.48756304704796</v>
      </c>
      <c r="AW348">
        <f t="shared" si="62"/>
        <v>142.56149851306932</v>
      </c>
      <c r="AX348">
        <f t="shared" si="63"/>
        <v>145.04164902379787</v>
      </c>
      <c r="AY348">
        <f t="shared" si="64"/>
        <v>195.98124726778201</v>
      </c>
      <c r="AZ348">
        <f t="shared" si="65"/>
        <v>106.65762596090821</v>
      </c>
      <c r="BA348">
        <f t="shared" si="66"/>
        <v>70.498716022498783</v>
      </c>
      <c r="BB348">
        <f t="shared" si="67"/>
        <v>102.4166122472172</v>
      </c>
      <c r="BC348">
        <f t="shared" si="68"/>
        <v>184.97733223048354</v>
      </c>
      <c r="BD348">
        <f t="shared" si="69"/>
        <v>374.01188582907912</v>
      </c>
    </row>
    <row r="349" spans="1:56" x14ac:dyDescent="0.25">
      <c r="A349" t="s">
        <v>7</v>
      </c>
      <c r="B349" t="s">
        <v>11</v>
      </c>
      <c r="C349" t="s">
        <v>9</v>
      </c>
      <c r="D349" t="s">
        <v>10</v>
      </c>
      <c r="E349">
        <v>6</v>
      </c>
      <c r="F349" s="1">
        <v>38321</v>
      </c>
      <c r="G349">
        <v>3.99780679267221E-4</v>
      </c>
      <c r="K349" s="4">
        <v>45016</v>
      </c>
      <c r="L349" s="6">
        <v>3.8173020198396898E-2</v>
      </c>
      <c r="M349" s="6">
        <v>2.8833611478542999E-2</v>
      </c>
      <c r="N349" s="6">
        <v>3.4717580241478398E-2</v>
      </c>
      <c r="O349" s="6">
        <v>-1.7810822147296401E-2</v>
      </c>
      <c r="P349" s="6">
        <v>4.5608281704875901E-2</v>
      </c>
      <c r="Q349" s="6">
        <v>4.4547064333214502E-2</v>
      </c>
      <c r="R349" s="6">
        <v>-1.26891819011391E-3</v>
      </c>
      <c r="S349" s="6">
        <v>2.9912294925415799E-2</v>
      </c>
      <c r="T349" s="6">
        <v>2.2925025924581101E-2</v>
      </c>
      <c r="U349" s="6">
        <v>1.39526088660395E-4</v>
      </c>
      <c r="V349" s="6">
        <v>-1.6643472164314901E-2</v>
      </c>
      <c r="W349" s="6">
        <v>5.3478271172269498E-3</v>
      </c>
      <c r="X349" s="6">
        <v>2.20823506377897E-2</v>
      </c>
      <c r="Y349" s="6">
        <v>0.23656337014845746</v>
      </c>
      <c r="AA349">
        <v>3.8173020198396898E-2</v>
      </c>
      <c r="AB349">
        <v>2.8833611478542999E-2</v>
      </c>
      <c r="AC349">
        <v>3.4717580241478398E-2</v>
      </c>
      <c r="AD349">
        <v>-1.7810822147296401E-2</v>
      </c>
      <c r="AE349">
        <v>4.5608281704875901E-2</v>
      </c>
      <c r="AF349">
        <v>4.4547064333214502E-2</v>
      </c>
      <c r="AG349">
        <v>-1.26891819011391E-3</v>
      </c>
      <c r="AH349">
        <v>2.9912294925415799E-2</v>
      </c>
      <c r="AI349">
        <v>2.2925025924581101E-2</v>
      </c>
      <c r="AJ349">
        <v>1.39526088660395E-4</v>
      </c>
      <c r="AK349">
        <v>-1.6643472164314901E-2</v>
      </c>
      <c r="AL349">
        <v>5.3478271172269498E-3</v>
      </c>
      <c r="AM349">
        <v>2.20823506377897E-2</v>
      </c>
      <c r="AN349">
        <f>+IBOV!C274</f>
        <v>4.0328356071186455E-3</v>
      </c>
      <c r="AP349" s="1">
        <f t="shared" si="55"/>
        <v>45016</v>
      </c>
      <c r="AQ349">
        <f t="shared" si="56"/>
        <v>76.067469071730187</v>
      </c>
      <c r="AR349">
        <f t="shared" si="57"/>
        <v>133.2604983540412</v>
      </c>
      <c r="AS349">
        <f t="shared" si="58"/>
        <v>146.94772402857305</v>
      </c>
      <c r="AT349">
        <f t="shared" si="59"/>
        <v>73.946627618392782</v>
      </c>
      <c r="AU349">
        <f t="shared" si="60"/>
        <v>147.2094406763554</v>
      </c>
      <c r="AV349">
        <f t="shared" si="61"/>
        <v>644.99482124306462</v>
      </c>
      <c r="AW349">
        <f t="shared" si="62"/>
        <v>142.38059963439619</v>
      </c>
      <c r="AX349">
        <f t="shared" si="63"/>
        <v>149.38017760586635</v>
      </c>
      <c r="AY349">
        <f t="shared" si="64"/>
        <v>200.47412244212762</v>
      </c>
      <c r="AZ349">
        <f t="shared" si="65"/>
        <v>106.67250748228433</v>
      </c>
      <c r="BA349">
        <f t="shared" si="66"/>
        <v>69.325372604758385</v>
      </c>
      <c r="BB349">
        <f t="shared" si="67"/>
        <v>102.96431858344738</v>
      </c>
      <c r="BC349">
        <f t="shared" si="68"/>
        <v>189.06206654083999</v>
      </c>
      <c r="BD349">
        <f t="shared" si="69"/>
        <v>375.52021427973625</v>
      </c>
    </row>
    <row r="350" spans="1:56" x14ac:dyDescent="0.25">
      <c r="A350" t="s">
        <v>7</v>
      </c>
      <c r="B350" t="s">
        <v>11</v>
      </c>
      <c r="C350" t="s">
        <v>9</v>
      </c>
      <c r="D350" t="s">
        <v>10</v>
      </c>
      <c r="E350">
        <v>6</v>
      </c>
      <c r="F350" s="1">
        <v>38352</v>
      </c>
      <c r="G350">
        <v>1.2368429453675301E-2</v>
      </c>
      <c r="K350" s="4">
        <v>45046</v>
      </c>
      <c r="L350" s="6">
        <v>3.4242179396842799E-2</v>
      </c>
      <c r="M350" s="6">
        <v>-5.3385461549077199E-3</v>
      </c>
      <c r="N350" s="6">
        <v>1.2352237770937699E-3</v>
      </c>
      <c r="O350" s="6">
        <v>-1.10688156272267E-2</v>
      </c>
      <c r="P350" s="6">
        <v>-3.2104453944956902E-3</v>
      </c>
      <c r="Q350" s="6">
        <v>3.0336749558689201E-3</v>
      </c>
      <c r="R350" s="6">
        <v>1.0976459696393799E-2</v>
      </c>
      <c r="S350" s="6">
        <v>-8.1042521723348002E-3</v>
      </c>
      <c r="T350" s="6">
        <v>-1.46327835015786E-2</v>
      </c>
      <c r="U350" s="6">
        <v>-1.9233913812167201E-3</v>
      </c>
      <c r="V350" s="6">
        <v>-9.4021921599550702E-3</v>
      </c>
      <c r="W350" s="6">
        <v>-5.1995266832918904E-3</v>
      </c>
      <c r="X350" s="6">
        <v>-1.41536867398292E-2</v>
      </c>
      <c r="Y350" s="6">
        <v>-2.3546101988637099E-2</v>
      </c>
      <c r="AA350">
        <v>3.4242179396842799E-2</v>
      </c>
      <c r="AB350">
        <v>-5.3385461549077199E-3</v>
      </c>
      <c r="AC350">
        <v>1.2352237770937699E-3</v>
      </c>
      <c r="AD350">
        <v>-1.10688156272267E-2</v>
      </c>
      <c r="AE350">
        <v>-3.2104453944956902E-3</v>
      </c>
      <c r="AF350">
        <v>3.0336749558689201E-3</v>
      </c>
      <c r="AG350">
        <v>1.0976459696393799E-2</v>
      </c>
      <c r="AH350">
        <v>-8.1042521723348002E-3</v>
      </c>
      <c r="AI350">
        <v>-1.46327835015786E-2</v>
      </c>
      <c r="AJ350">
        <v>-1.9233913812167201E-3</v>
      </c>
      <c r="AK350">
        <v>-9.4021921599550702E-3</v>
      </c>
      <c r="AL350">
        <v>-5.1995266832918904E-3</v>
      </c>
      <c r="AM350">
        <v>-1.41536867398292E-2</v>
      </c>
      <c r="AN350">
        <f>+IBOV!C275</f>
        <v>3.2507567415755556E-2</v>
      </c>
      <c r="AP350" s="1">
        <f t="shared" si="55"/>
        <v>45046</v>
      </c>
      <c r="AQ350">
        <f t="shared" si="56"/>
        <v>78.672184993948164</v>
      </c>
      <c r="AR350">
        <f t="shared" si="57"/>
        <v>132.54908103295216</v>
      </c>
      <c r="AS350">
        <f t="shared" si="58"/>
        <v>147.12923735128297</v>
      </c>
      <c r="AT350">
        <f t="shared" si="59"/>
        <v>73.128126031029595</v>
      </c>
      <c r="AU350">
        <f t="shared" si="60"/>
        <v>146.73683280550972</v>
      </c>
      <c r="AV350">
        <f t="shared" si="61"/>
        <v>646.95152587893483</v>
      </c>
      <c r="AW350">
        <f t="shared" si="62"/>
        <v>143.94343454783152</v>
      </c>
      <c r="AX350">
        <f t="shared" si="63"/>
        <v>148.16956297700025</v>
      </c>
      <c r="AY350">
        <f t="shared" si="64"/>
        <v>197.54062801076302</v>
      </c>
      <c r="AZ350">
        <f t="shared" si="65"/>
        <v>106.46733450078014</v>
      </c>
      <c r="BA350">
        <f t="shared" si="66"/>
        <v>68.673562129967962</v>
      </c>
      <c r="BB350">
        <f t="shared" si="67"/>
        <v>102.42895286154577</v>
      </c>
      <c r="BC350">
        <f t="shared" si="68"/>
        <v>186.38614127663621</v>
      </c>
      <c r="BD350">
        <f t="shared" si="69"/>
        <v>387.72746296141378</v>
      </c>
    </row>
    <row r="351" spans="1:56" x14ac:dyDescent="0.25">
      <c r="A351" t="s">
        <v>7</v>
      </c>
      <c r="B351" t="s">
        <v>11</v>
      </c>
      <c r="C351" t="s">
        <v>9</v>
      </c>
      <c r="D351" t="s">
        <v>10</v>
      </c>
      <c r="E351">
        <v>6</v>
      </c>
      <c r="F351" s="1">
        <v>38383</v>
      </c>
      <c r="G351">
        <v>-4.89764901816011E-2</v>
      </c>
      <c r="K351" s="4">
        <v>45077</v>
      </c>
      <c r="L351" s="6">
        <v>1.2279573686438399E-2</v>
      </c>
      <c r="M351" s="6">
        <v>-2.6090609893759499E-3</v>
      </c>
      <c r="N351" s="6">
        <v>-1.25753581438681E-2</v>
      </c>
      <c r="O351" s="6">
        <v>1.88795077025814E-3</v>
      </c>
      <c r="P351" s="6">
        <v>-0.102815357305353</v>
      </c>
      <c r="Q351" s="6">
        <v>-9.2541385567055101E-2</v>
      </c>
      <c r="R351" s="6">
        <v>8.5717340931593007E-3</v>
      </c>
      <c r="S351" s="6">
        <v>-8.3043060517509107E-2</v>
      </c>
      <c r="T351" s="6">
        <v>-7.1135334423932703E-2</v>
      </c>
      <c r="U351" s="6">
        <v>-1.0301584538061801E-2</v>
      </c>
      <c r="V351" s="6">
        <v>-2.55760325752118E-2</v>
      </c>
      <c r="W351" s="6">
        <v>6.4421206118383603E-2</v>
      </c>
      <c r="X351" s="6">
        <v>-3.0692311838013402E-2</v>
      </c>
      <c r="Y351" s="6">
        <v>-0.34412902123014155</v>
      </c>
      <c r="AA351">
        <v>1.2279573686438399E-2</v>
      </c>
      <c r="AB351">
        <v>-2.6090609893759499E-3</v>
      </c>
      <c r="AC351">
        <v>-1.25753581438681E-2</v>
      </c>
      <c r="AD351">
        <v>1.88795077025814E-3</v>
      </c>
      <c r="AE351">
        <v>-0.102815357305353</v>
      </c>
      <c r="AF351">
        <v>-9.2541385567055101E-2</v>
      </c>
      <c r="AG351">
        <v>8.5717340931593007E-3</v>
      </c>
      <c r="AH351">
        <v>-8.3043060517509107E-2</v>
      </c>
      <c r="AI351">
        <v>-7.1135334423932703E-2</v>
      </c>
      <c r="AJ351">
        <v>-1.0301584538061801E-2</v>
      </c>
      <c r="AK351">
        <v>-2.55760325752118E-2</v>
      </c>
      <c r="AL351">
        <v>6.4421206118383603E-2</v>
      </c>
      <c r="AM351">
        <v>-3.0692311838013402E-2</v>
      </c>
      <c r="AN351">
        <f>+IBOV!C276</f>
        <v>1.9455202518036785E-2</v>
      </c>
      <c r="AP351" s="1">
        <f t="shared" si="55"/>
        <v>45077</v>
      </c>
      <c r="AQ351">
        <f t="shared" si="56"/>
        <v>79.638245886654474</v>
      </c>
      <c r="AR351">
        <f t="shared" si="57"/>
        <v>132.20325239645146</v>
      </c>
      <c r="AS351">
        <f t="shared" si="58"/>
        <v>145.27903449815639</v>
      </c>
      <c r="AT351">
        <f t="shared" si="59"/>
        <v>73.2661883328974</v>
      </c>
      <c r="AU351">
        <f t="shared" si="60"/>
        <v>131.65003291075541</v>
      </c>
      <c r="AV351">
        <f t="shared" si="61"/>
        <v>587.08173527937765</v>
      </c>
      <c r="AW351">
        <f t="shared" si="62"/>
        <v>145.1772793932316</v>
      </c>
      <c r="AX351">
        <f t="shared" si="63"/>
        <v>135.86510899184836</v>
      </c>
      <c r="AY351">
        <f t="shared" si="64"/>
        <v>183.48850937490369</v>
      </c>
      <c r="AZ351">
        <f t="shared" si="65"/>
        <v>105.37055225387824</v>
      </c>
      <c r="BA351">
        <f t="shared" si="66"/>
        <v>66.917164867876068</v>
      </c>
      <c r="BB351">
        <f t="shared" si="67"/>
        <v>109.0275495463296</v>
      </c>
      <c r="BC351">
        <f t="shared" si="68"/>
        <v>180.66551970628967</v>
      </c>
      <c r="BD351">
        <f t="shared" si="69"/>
        <v>395.27077927513267</v>
      </c>
    </row>
    <row r="352" spans="1:56" x14ac:dyDescent="0.25">
      <c r="A352" t="s">
        <v>7</v>
      </c>
      <c r="B352" t="s">
        <v>11</v>
      </c>
      <c r="C352" t="s">
        <v>9</v>
      </c>
      <c r="D352" t="s">
        <v>10</v>
      </c>
      <c r="E352">
        <v>6</v>
      </c>
      <c r="F352" s="1">
        <v>38411</v>
      </c>
      <c r="G352">
        <v>-4.9367316619234297E-2</v>
      </c>
      <c r="K352" s="4">
        <v>45107</v>
      </c>
      <c r="L352" s="6">
        <v>3.12175260460987E-2</v>
      </c>
      <c r="M352" s="6">
        <v>-8.4256655644903405E-3</v>
      </c>
      <c r="N352" s="6">
        <v>2.2413694394010598E-3</v>
      </c>
      <c r="O352" s="6">
        <v>-3.2522744876476398E-2</v>
      </c>
      <c r="P352" s="6">
        <v>-9.8768678886232298E-3</v>
      </c>
      <c r="Q352" s="6">
        <v>-2.6166418026471499E-2</v>
      </c>
      <c r="R352" s="6">
        <v>-1.60664491938355E-2</v>
      </c>
      <c r="S352" s="6">
        <v>-3.9982435809465103E-2</v>
      </c>
      <c r="T352" s="6">
        <v>-3.28959735684154E-2</v>
      </c>
      <c r="U352" s="6">
        <v>-6.7262381777724702E-3</v>
      </c>
      <c r="V352" s="6">
        <v>-1.8735759471591701E-2</v>
      </c>
      <c r="W352" s="6">
        <v>2.4235059643394199E-2</v>
      </c>
      <c r="X352" s="6">
        <v>4.92511050899932E-3</v>
      </c>
      <c r="Y352" s="6">
        <v>-0.12877948693924834</v>
      </c>
      <c r="AA352">
        <v>3.12175260460987E-2</v>
      </c>
      <c r="AB352">
        <v>-8.4256655644903405E-3</v>
      </c>
      <c r="AC352">
        <v>2.2413694394010598E-3</v>
      </c>
      <c r="AD352">
        <v>-3.2522744876476398E-2</v>
      </c>
      <c r="AE352">
        <v>-9.8768678886232298E-3</v>
      </c>
      <c r="AF352">
        <v>-2.6166418026471499E-2</v>
      </c>
      <c r="AG352">
        <v>-1.60664491938355E-2</v>
      </c>
      <c r="AH352">
        <v>-3.9982435809465103E-2</v>
      </c>
      <c r="AI352">
        <v>-3.28959735684154E-2</v>
      </c>
      <c r="AJ352">
        <v>-6.7262381777724702E-3</v>
      </c>
      <c r="AK352">
        <v>-1.8735759471591701E-2</v>
      </c>
      <c r="AL352">
        <v>2.4235059643394199E-2</v>
      </c>
      <c r="AM352">
        <v>4.92511050899932E-3</v>
      </c>
      <c r="AN352">
        <f>+IBOV!C277</f>
        <v>0.15307371408000336</v>
      </c>
      <c r="AP352" s="1">
        <f t="shared" si="55"/>
        <v>45107</v>
      </c>
      <c r="AQ352">
        <f t="shared" si="56"/>
        <v>82.124354901886718</v>
      </c>
      <c r="AR352">
        <f t="shared" si="57"/>
        <v>131.08935200522106</v>
      </c>
      <c r="AS352">
        <f t="shared" si="58"/>
        <v>145.60465848626623</v>
      </c>
      <c r="AT352">
        <f t="shared" si="59"/>
        <v>70.883370781674699</v>
      </c>
      <c r="AU352">
        <f t="shared" si="60"/>
        <v>130.34974292816298</v>
      </c>
      <c r="AV352">
        <f t="shared" si="61"/>
        <v>571.71990917835114</v>
      </c>
      <c r="AW352">
        <f t="shared" si="62"/>
        <v>142.84479600976098</v>
      </c>
      <c r="AX352">
        <f t="shared" si="63"/>
        <v>130.43289099283581</v>
      </c>
      <c r="AY352">
        <f t="shared" si="64"/>
        <v>177.45247622039889</v>
      </c>
      <c r="AZ352">
        <f t="shared" si="65"/>
        <v>104.66180482249524</v>
      </c>
      <c r="BA352">
        <f t="shared" si="66"/>
        <v>65.663420962390703</v>
      </c>
      <c r="BB352">
        <f t="shared" si="67"/>
        <v>111.66983871235801</v>
      </c>
      <c r="BC352">
        <f t="shared" si="68"/>
        <v>181.55531735600894</v>
      </c>
      <c r="BD352">
        <f t="shared" si="69"/>
        <v>455.77634552607446</v>
      </c>
    </row>
    <row r="353" spans="1:56" x14ac:dyDescent="0.25">
      <c r="A353" t="s">
        <v>7</v>
      </c>
      <c r="B353" t="s">
        <v>11</v>
      </c>
      <c r="C353" t="s">
        <v>9</v>
      </c>
      <c r="D353" t="s">
        <v>10</v>
      </c>
      <c r="E353">
        <v>7</v>
      </c>
      <c r="F353" s="1">
        <v>38442</v>
      </c>
      <c r="G353">
        <v>2.01808222438708E-2</v>
      </c>
      <c r="K353" s="4">
        <v>45138</v>
      </c>
      <c r="L353" s="6">
        <v>1.5427656692083999E-2</v>
      </c>
      <c r="M353" s="6">
        <v>-6.00256438310436E-3</v>
      </c>
      <c r="N353" s="6">
        <v>-2.38536753352416E-2</v>
      </c>
      <c r="O353" s="6">
        <v>1.17233169736262E-2</v>
      </c>
      <c r="P353" s="6">
        <v>-3.2591796921375697E-2</v>
      </c>
      <c r="Q353" s="6">
        <v>-3.7874026956154203E-2</v>
      </c>
      <c r="R353" s="6">
        <v>-1.37943601702694E-2</v>
      </c>
      <c r="S353" s="6">
        <v>7.4375674077940796E-5</v>
      </c>
      <c r="T353" s="6">
        <v>-1.1012604175481999E-2</v>
      </c>
      <c r="U353" s="6">
        <v>1.95419492390808E-2</v>
      </c>
      <c r="V353" s="6">
        <v>-1.13560321179094E-2</v>
      </c>
      <c r="W353" s="6">
        <v>1.6014489096914698E-2</v>
      </c>
      <c r="X353" s="6">
        <v>7.7498614938488596E-3</v>
      </c>
      <c r="Y353" s="6">
        <v>-6.5953410889904182E-2</v>
      </c>
      <c r="AA353">
        <v>1.5427656692083999E-2</v>
      </c>
      <c r="AB353">
        <v>-6.00256438310436E-3</v>
      </c>
      <c r="AC353">
        <v>-2.38536753352416E-2</v>
      </c>
      <c r="AD353">
        <v>1.17233169736262E-2</v>
      </c>
      <c r="AE353">
        <v>-3.2591796921375697E-2</v>
      </c>
      <c r="AF353">
        <v>-3.7874026956154203E-2</v>
      </c>
      <c r="AG353">
        <v>-1.37943601702694E-2</v>
      </c>
      <c r="AH353">
        <v>7.4375674077940796E-5</v>
      </c>
      <c r="AI353">
        <v>-1.1012604175481999E-2</v>
      </c>
      <c r="AJ353">
        <v>1.95419492390808E-2</v>
      </c>
      <c r="AK353">
        <v>-1.13560321179094E-2</v>
      </c>
      <c r="AL353">
        <v>1.6014489096914698E-2</v>
      </c>
      <c r="AM353">
        <v>7.7498614938488596E-3</v>
      </c>
      <c r="AN353">
        <f>+IBOV!C278</f>
        <v>4.4402735640458602E-2</v>
      </c>
      <c r="AP353" s="1">
        <f t="shared" si="55"/>
        <v>45138</v>
      </c>
      <c r="AQ353">
        <f t="shared" si="56"/>
        <v>83.391341255371884</v>
      </c>
      <c r="AR353">
        <f t="shared" si="57"/>
        <v>130.3024797298703</v>
      </c>
      <c r="AS353">
        <f t="shared" si="58"/>
        <v>142.13145223543611</v>
      </c>
      <c r="AT353">
        <f t="shared" si="59"/>
        <v>71.714359005507347</v>
      </c>
      <c r="AU353">
        <f t="shared" si="60"/>
        <v>126.10141057789477</v>
      </c>
      <c r="AV353">
        <f t="shared" si="61"/>
        <v>550.06657392676027</v>
      </c>
      <c r="AW353">
        <f t="shared" si="62"/>
        <v>140.8743434451537</v>
      </c>
      <c r="AX353">
        <f t="shared" si="63"/>
        <v>130.44259202702534</v>
      </c>
      <c r="AY353">
        <f t="shared" si="64"/>
        <v>175.49826233982452</v>
      </c>
      <c r="AZ353">
        <f t="shared" si="65"/>
        <v>106.70710049960701</v>
      </c>
      <c r="BA353">
        <f t="shared" si="66"/>
        <v>64.91774504496999</v>
      </c>
      <c r="BB353">
        <f t="shared" si="67"/>
        <v>113.4581741268713</v>
      </c>
      <c r="BC353">
        <f t="shared" si="68"/>
        <v>182.9623459189898</v>
      </c>
      <c r="BD353">
        <f t="shared" si="69"/>
        <v>476.01406210764304</v>
      </c>
    </row>
    <row r="354" spans="1:56" x14ac:dyDescent="0.25">
      <c r="A354" t="s">
        <v>7</v>
      </c>
      <c r="B354" t="s">
        <v>11</v>
      </c>
      <c r="C354" t="s">
        <v>9</v>
      </c>
      <c r="D354" t="s">
        <v>10</v>
      </c>
      <c r="E354">
        <v>6</v>
      </c>
      <c r="F354" s="1">
        <v>38472</v>
      </c>
      <c r="G354">
        <v>2.1707605503623901E-2</v>
      </c>
      <c r="K354" s="4">
        <v>45169</v>
      </c>
      <c r="L354" s="6">
        <v>-1.03348853978094E-2</v>
      </c>
      <c r="M354" s="6">
        <v>-7.2763495144735502E-3</v>
      </c>
      <c r="N354" s="6">
        <v>-4.2049563529164896E-3</v>
      </c>
      <c r="O354" s="6">
        <v>4.9556392209698999E-3</v>
      </c>
      <c r="P354" s="6">
        <v>3.6826907051074602E-2</v>
      </c>
      <c r="Q354" s="6">
        <v>1.00605219407059E-2</v>
      </c>
      <c r="R354" s="6">
        <v>8.6164268159717207E-3</v>
      </c>
      <c r="S354" s="6">
        <v>4.6623924390779198E-2</v>
      </c>
      <c r="T354" s="6">
        <v>4.0968588907911399E-2</v>
      </c>
      <c r="U354" s="6">
        <v>5.2646933200312003E-3</v>
      </c>
      <c r="V354" s="6">
        <v>8.6552750971097599E-3</v>
      </c>
      <c r="W354" s="6">
        <v>1.3698351154585601E-3</v>
      </c>
      <c r="X354" s="6">
        <v>3.85063815538415E-2</v>
      </c>
      <c r="Y354" s="6">
        <v>0.18003200214865431</v>
      </c>
      <c r="AA354">
        <v>-1.03348853978094E-2</v>
      </c>
      <c r="AB354">
        <v>-7.2763495144735502E-3</v>
      </c>
      <c r="AC354">
        <v>-4.2049563529164896E-3</v>
      </c>
      <c r="AD354">
        <v>4.9556392209698999E-3</v>
      </c>
      <c r="AE354">
        <v>3.6826907051074602E-2</v>
      </c>
      <c r="AF354">
        <v>1.00605219407059E-2</v>
      </c>
      <c r="AG354">
        <v>8.6164268159717207E-3</v>
      </c>
      <c r="AH354">
        <v>4.6623924390779198E-2</v>
      </c>
      <c r="AI354">
        <v>4.0968588907911399E-2</v>
      </c>
      <c r="AJ354">
        <v>5.2646933200312003E-3</v>
      </c>
      <c r="AK354">
        <v>8.6552750971097599E-3</v>
      </c>
      <c r="AL354">
        <v>1.3698351154585601E-3</v>
      </c>
      <c r="AM354">
        <v>3.85063815538415E-2</v>
      </c>
      <c r="AN354">
        <f>+IBOV!C279</f>
        <v>-8.9165702469166219E-2</v>
      </c>
      <c r="AP354" s="1">
        <f t="shared" si="55"/>
        <v>45169</v>
      </c>
      <c r="AQ354">
        <f t="shared" si="56"/>
        <v>82.529501300328008</v>
      </c>
      <c r="AR354">
        <f t="shared" si="57"/>
        <v>129.35435334475315</v>
      </c>
      <c r="AS354">
        <f t="shared" si="58"/>
        <v>141.53379568240948</v>
      </c>
      <c r="AT354">
        <f t="shared" si="59"/>
        <v>72.069749495701757</v>
      </c>
      <c r="AU354">
        <f t="shared" si="60"/>
        <v>130.74533550425627</v>
      </c>
      <c r="AV354">
        <f t="shared" si="61"/>
        <v>555.60053076259942</v>
      </c>
      <c r="AW354">
        <f t="shared" si="62"/>
        <v>142.08817691569692</v>
      </c>
      <c r="AX354">
        <f t="shared" si="63"/>
        <v>136.52433757503061</v>
      </c>
      <c r="AY354">
        <f t="shared" si="64"/>
        <v>182.68817850367759</v>
      </c>
      <c r="AZ354">
        <f t="shared" si="65"/>
        <v>107.26888065880718</v>
      </c>
      <c r="BA354">
        <f t="shared" si="66"/>
        <v>65.479625987018238</v>
      </c>
      <c r="BB354">
        <f t="shared" si="67"/>
        <v>113.6135931179261</v>
      </c>
      <c r="BC354">
        <f t="shared" si="68"/>
        <v>190.00756382093238</v>
      </c>
      <c r="BD354">
        <f t="shared" si="69"/>
        <v>433.56993387461375</v>
      </c>
    </row>
    <row r="355" spans="1:56" x14ac:dyDescent="0.25">
      <c r="A355" t="s">
        <v>7</v>
      </c>
      <c r="B355" t="s">
        <v>11</v>
      </c>
      <c r="C355" t="s">
        <v>9</v>
      </c>
      <c r="D355" t="s">
        <v>10</v>
      </c>
      <c r="E355">
        <v>7</v>
      </c>
      <c r="F355" s="1">
        <v>38503</v>
      </c>
      <c r="G355">
        <v>2.9571108135210598E-2</v>
      </c>
      <c r="K355" s="4">
        <v>45199</v>
      </c>
      <c r="L355" s="6">
        <v>1.2435108802717899E-2</v>
      </c>
      <c r="M355" s="6">
        <v>4.2180679096117503E-3</v>
      </c>
      <c r="N355" s="6">
        <v>1.48702683563756E-2</v>
      </c>
      <c r="O355" s="6">
        <v>3.8921558898427E-3</v>
      </c>
      <c r="P355" s="6">
        <v>2.3432174299357501E-2</v>
      </c>
      <c r="Q355" s="6">
        <v>1.3658399011679499E-2</v>
      </c>
      <c r="R355" s="6">
        <v>5.9485598363286799E-3</v>
      </c>
      <c r="S355" s="6">
        <v>2.60215005653857E-2</v>
      </c>
      <c r="T355" s="6">
        <v>2.3892933571009401E-2</v>
      </c>
      <c r="U355" s="6">
        <v>1.4272456274717399E-2</v>
      </c>
      <c r="V355" s="6">
        <v>-3.43663613677423E-2</v>
      </c>
      <c r="W355" s="6">
        <v>-9.1816748678526499E-3</v>
      </c>
      <c r="X355" s="6">
        <v>2.92677113415802E-2</v>
      </c>
      <c r="Y355" s="6">
        <v>0.1283612996230114</v>
      </c>
      <c r="AA355">
        <v>1.2435108802717899E-2</v>
      </c>
      <c r="AB355">
        <v>4.2180679096117503E-3</v>
      </c>
      <c r="AC355">
        <v>1.48702683563756E-2</v>
      </c>
      <c r="AD355">
        <v>3.8921558898427E-3</v>
      </c>
      <c r="AE355">
        <v>2.3432174299357501E-2</v>
      </c>
      <c r="AF355">
        <v>1.3658399011679499E-2</v>
      </c>
      <c r="AG355">
        <v>5.9485598363286799E-3</v>
      </c>
      <c r="AH355">
        <v>2.60215005653857E-2</v>
      </c>
      <c r="AI355">
        <v>2.3892933571009401E-2</v>
      </c>
      <c r="AJ355">
        <v>1.4272456274717399E-2</v>
      </c>
      <c r="AK355">
        <v>-3.43663613677423E-2</v>
      </c>
      <c r="AL355">
        <v>-9.1816748678526499E-3</v>
      </c>
      <c r="AM355">
        <v>2.92677113415802E-2</v>
      </c>
      <c r="AN355">
        <f>+IBOV!C280</f>
        <v>-5.8341345132879585E-3</v>
      </c>
      <c r="AP355" s="1">
        <f t="shared" si="55"/>
        <v>45199</v>
      </c>
      <c r="AQ355">
        <f t="shared" si="56"/>
        <v>83.555764628431632</v>
      </c>
      <c r="AR355">
        <f t="shared" si="57"/>
        <v>129.89997879156525</v>
      </c>
      <c r="AS355">
        <f t="shared" si="58"/>
        <v>143.63844120570332</v>
      </c>
      <c r="AT355">
        <f t="shared" si="59"/>
        <v>72.350256195680927</v>
      </c>
      <c r="AU355">
        <f t="shared" si="60"/>
        <v>133.80898299461998</v>
      </c>
      <c r="AV355">
        <f t="shared" si="61"/>
        <v>563.18914450285592</v>
      </c>
      <c r="AW355">
        <f t="shared" si="62"/>
        <v>142.93339693811481</v>
      </c>
      <c r="AX355">
        <f t="shared" si="63"/>
        <v>140.07690570242818</v>
      </c>
      <c r="AY355">
        <f t="shared" si="64"/>
        <v>187.05313501687468</v>
      </c>
      <c r="AZ355">
        <f t="shared" si="65"/>
        <v>108.79987106764789</v>
      </c>
      <c r="BA355">
        <f t="shared" si="66"/>
        <v>63.229329498123761</v>
      </c>
      <c r="BB355">
        <f t="shared" si="67"/>
        <v>112.57043004534881</v>
      </c>
      <c r="BC355">
        <f t="shared" si="68"/>
        <v>195.56865035156031</v>
      </c>
      <c r="BD355">
        <f t="shared" si="69"/>
        <v>431.04042855947188</v>
      </c>
    </row>
    <row r="356" spans="1:56" x14ac:dyDescent="0.25">
      <c r="A356" t="s">
        <v>7</v>
      </c>
      <c r="B356" t="s">
        <v>11</v>
      </c>
      <c r="C356" t="s">
        <v>9</v>
      </c>
      <c r="D356" t="s">
        <v>10</v>
      </c>
      <c r="E356">
        <v>7</v>
      </c>
      <c r="F356" s="1">
        <v>38533</v>
      </c>
      <c r="G356">
        <v>-2.5584082904701801E-2</v>
      </c>
      <c r="K356" s="4">
        <v>45230</v>
      </c>
      <c r="L356" s="6">
        <v>1.82455776736044E-2</v>
      </c>
      <c r="M356" s="6">
        <v>1.19846502441339E-2</v>
      </c>
      <c r="N356" s="6">
        <v>3.3348328643813901E-2</v>
      </c>
      <c r="O356" s="6">
        <v>-1.6852362695548202E-2</v>
      </c>
      <c r="P356" s="6">
        <v>5.27740282210339E-2</v>
      </c>
      <c r="Q356" s="6">
        <v>2.7536199595081901E-2</v>
      </c>
      <c r="R356" s="6">
        <v>-5.4832832539574196E-3</v>
      </c>
      <c r="S356" s="6">
        <v>4.4949721746731598E-2</v>
      </c>
      <c r="T356" s="6">
        <v>3.7684954487986998E-2</v>
      </c>
      <c r="U356" s="6">
        <v>1.4327183446161299E-2</v>
      </c>
      <c r="V356" s="6">
        <v>-1.7389036297097201E-2</v>
      </c>
      <c r="W356" s="6">
        <v>-3.3368426039871599E-2</v>
      </c>
      <c r="X356" s="6">
        <v>5.5177783840786698E-2</v>
      </c>
      <c r="Y356" s="6">
        <v>0.22293531961286017</v>
      </c>
      <c r="AA356">
        <v>1.82455776736044E-2</v>
      </c>
      <c r="AB356">
        <v>1.19846502441339E-2</v>
      </c>
      <c r="AC356">
        <v>3.3348328643813901E-2</v>
      </c>
      <c r="AD356">
        <v>-1.6852362695548202E-2</v>
      </c>
      <c r="AE356">
        <v>5.27740282210339E-2</v>
      </c>
      <c r="AF356">
        <v>2.7536199595081901E-2</v>
      </c>
      <c r="AG356">
        <v>-5.4832832539574196E-3</v>
      </c>
      <c r="AH356">
        <v>4.4949721746731598E-2</v>
      </c>
      <c r="AI356">
        <v>3.7684954487986998E-2</v>
      </c>
      <c r="AJ356">
        <v>1.4327183446161299E-2</v>
      </c>
      <c r="AK356">
        <v>-1.7389036297097201E-2</v>
      </c>
      <c r="AL356">
        <v>-3.3368426039871599E-2</v>
      </c>
      <c r="AM356">
        <v>5.5177783840786698E-2</v>
      </c>
      <c r="AN356">
        <f>+IBOV!C281</f>
        <v>-2.9345740673134446E-2</v>
      </c>
      <c r="AP356" s="1">
        <f t="shared" si="55"/>
        <v>45230</v>
      </c>
      <c r="AQ356">
        <f t="shared" si="56"/>
        <v>85.080287822037079</v>
      </c>
      <c r="AR356">
        <f t="shared" si="57"/>
        <v>131.45678460410255</v>
      </c>
      <c r="AS356">
        <f t="shared" si="58"/>
        <v>148.42854314891625</v>
      </c>
      <c r="AT356">
        <f t="shared" si="59"/>
        <v>71.130983437155479</v>
      </c>
      <c r="AU356">
        <f t="shared" si="60"/>
        <v>140.8706220394059</v>
      </c>
      <c r="AV356">
        <f t="shared" si="61"/>
        <v>578.69723319566992</v>
      </c>
      <c r="AW356">
        <f t="shared" si="62"/>
        <v>142.1496526362528</v>
      </c>
      <c r="AX356">
        <f t="shared" si="63"/>
        <v>146.37332363689549</v>
      </c>
      <c r="AY356">
        <f t="shared" si="64"/>
        <v>194.10222389682087</v>
      </c>
      <c r="AZ356">
        <f t="shared" si="65"/>
        <v>110.35866677935277</v>
      </c>
      <c r="BA356">
        <f t="shared" si="66"/>
        <v>62.129832392439766</v>
      </c>
      <c r="BB356">
        <f t="shared" si="67"/>
        <v>108.81413197610405</v>
      </c>
      <c r="BC356">
        <f t="shared" si="68"/>
        <v>206.35969506669312</v>
      </c>
      <c r="BD356">
        <f t="shared" si="69"/>
        <v>418.39122792332887</v>
      </c>
    </row>
    <row r="357" spans="1:56" x14ac:dyDescent="0.25">
      <c r="A357" t="s">
        <v>7</v>
      </c>
      <c r="B357" t="s">
        <v>11</v>
      </c>
      <c r="C357" t="s">
        <v>9</v>
      </c>
      <c r="D357" t="s">
        <v>10</v>
      </c>
      <c r="E357">
        <v>7</v>
      </c>
      <c r="F357" s="1">
        <v>38564</v>
      </c>
      <c r="G357">
        <v>-2.7702100506927702E-2</v>
      </c>
      <c r="K357" s="4">
        <v>45260</v>
      </c>
      <c r="L357" s="6">
        <v>1.3329299009889E-2</v>
      </c>
      <c r="M357" s="6">
        <v>1.00256958125431E-2</v>
      </c>
      <c r="N357" s="6">
        <v>4.3597777824632103E-2</v>
      </c>
      <c r="O357" s="6">
        <v>-4.14166389746604E-2</v>
      </c>
      <c r="P357" s="6">
        <v>-4.1051774661234601E-2</v>
      </c>
      <c r="Q357" s="6">
        <v>-1.49647894196097E-2</v>
      </c>
      <c r="R357" s="6">
        <v>-4.6429151623219998E-2</v>
      </c>
      <c r="S357" s="6">
        <v>-6.3687034595957995E-2</v>
      </c>
      <c r="T357" s="6">
        <v>-4.7864431871170801E-2</v>
      </c>
      <c r="U357" s="6">
        <v>-5.33338864569029E-3</v>
      </c>
      <c r="V357" s="6">
        <v>3.3751308009526998E-2</v>
      </c>
      <c r="W357" s="6">
        <v>-4.5409197120297104E-3</v>
      </c>
      <c r="X357" s="6">
        <v>1.75535916196198E-2</v>
      </c>
      <c r="Y357" s="6">
        <v>-0.14703045722736252</v>
      </c>
      <c r="AA357">
        <v>1.3329299009889E-2</v>
      </c>
      <c r="AB357">
        <v>1.00256958125431E-2</v>
      </c>
      <c r="AC357">
        <v>4.3597777824632103E-2</v>
      </c>
      <c r="AD357">
        <v>-4.14166389746604E-2</v>
      </c>
      <c r="AE357">
        <v>-4.1051774661234601E-2</v>
      </c>
      <c r="AF357">
        <v>-1.49647894196097E-2</v>
      </c>
      <c r="AG357">
        <v>-4.6429151623219998E-2</v>
      </c>
      <c r="AH357">
        <v>-6.3687034595957995E-2</v>
      </c>
      <c r="AI357">
        <v>-4.7864431871170801E-2</v>
      </c>
      <c r="AJ357">
        <v>-5.33338864569029E-3</v>
      </c>
      <c r="AK357">
        <v>3.3751308009526998E-2</v>
      </c>
      <c r="AL357">
        <v>-4.5409197120297104E-3</v>
      </c>
      <c r="AM357">
        <v>1.75535916196198E-2</v>
      </c>
      <c r="AN357">
        <f>+IBOV!C282</f>
        <v>0.14242615814281034</v>
      </c>
      <c r="AP357" s="1">
        <f t="shared" si="55"/>
        <v>45260</v>
      </c>
      <c r="AQ357">
        <f t="shared" si="56"/>
        <v>86.214348418264422</v>
      </c>
      <c r="AR357">
        <f t="shared" si="57"/>
        <v>132.77473033903829</v>
      </c>
      <c r="AS357">
        <f t="shared" si="58"/>
        <v>154.89969779595651</v>
      </c>
      <c r="AT357">
        <f t="shared" si="59"/>
        <v>68.184977176226255</v>
      </c>
      <c r="AU357">
        <f t="shared" si="60"/>
        <v>135.08763300705627</v>
      </c>
      <c r="AV357">
        <f t="shared" si="61"/>
        <v>570.03715096318592</v>
      </c>
      <c r="AW357">
        <f t="shared" si="62"/>
        <v>135.54976486081617</v>
      </c>
      <c r="AX357">
        <f t="shared" si="63"/>
        <v>137.05124071050716</v>
      </c>
      <c r="AY357">
        <f t="shared" si="64"/>
        <v>184.81163122506874</v>
      </c>
      <c r="AZ357">
        <f t="shared" si="65"/>
        <v>109.77008111899825</v>
      </c>
      <c r="BA357">
        <f t="shared" si="66"/>
        <v>64.226795502097289</v>
      </c>
      <c r="BB357">
        <f t="shared" si="67"/>
        <v>108.32001573926635</v>
      </c>
      <c r="BC357">
        <f t="shared" si="68"/>
        <v>209.98204888064313</v>
      </c>
      <c r="BD357">
        <f t="shared" si="69"/>
        <v>477.98108311710149</v>
      </c>
    </row>
    <row r="358" spans="1:56" x14ac:dyDescent="0.25">
      <c r="A358" t="s">
        <v>7</v>
      </c>
      <c r="B358" t="s">
        <v>11</v>
      </c>
      <c r="C358" t="s">
        <v>9</v>
      </c>
      <c r="D358" t="s">
        <v>10</v>
      </c>
      <c r="E358">
        <v>7</v>
      </c>
      <c r="F358" s="1">
        <v>38595</v>
      </c>
      <c r="G358">
        <v>-1.39213733262303E-2</v>
      </c>
      <c r="K358" s="4">
        <v>45291</v>
      </c>
      <c r="L358" s="6">
        <v>-1.7474255606766399E-2</v>
      </c>
      <c r="M358" s="6">
        <v>-4.0857514285138098E-3</v>
      </c>
      <c r="N358" s="6">
        <v>-1.02391119625321E-2</v>
      </c>
      <c r="O358" s="6">
        <v>8.3877146350228304E-3</v>
      </c>
      <c r="P358" s="6">
        <v>-2.5845067341724701E-3</v>
      </c>
      <c r="Q358" s="6">
        <v>-1.88340764485346E-2</v>
      </c>
      <c r="R358" s="6">
        <v>1.6690682550881901E-3</v>
      </c>
      <c r="S358" s="6">
        <v>-7.9505336490447696E-4</v>
      </c>
      <c r="T358" s="6">
        <v>-3.1522075278323501E-3</v>
      </c>
      <c r="U358" s="6">
        <v>2.4391035811650598E-3</v>
      </c>
      <c r="V358" s="6">
        <v>-5.2758214866108098E-3</v>
      </c>
      <c r="W358" s="6">
        <v>1.9191540424191099E-2</v>
      </c>
      <c r="X358" s="6">
        <v>2.52596653519553E-3</v>
      </c>
      <c r="Y358" s="6">
        <v>-2.8227391129204304E-2</v>
      </c>
      <c r="AA358">
        <v>-1.7474255606766399E-2</v>
      </c>
      <c r="AB358">
        <v>-4.0857514285138098E-3</v>
      </c>
      <c r="AC358">
        <v>-1.02391119625321E-2</v>
      </c>
      <c r="AD358">
        <v>8.3877146350228304E-3</v>
      </c>
      <c r="AE358">
        <v>-2.5845067341724701E-3</v>
      </c>
      <c r="AF358">
        <v>-1.88340764485346E-2</v>
      </c>
      <c r="AG358">
        <v>1.6690682550881901E-3</v>
      </c>
      <c r="AH358">
        <v>-7.9505336490447696E-4</v>
      </c>
      <c r="AI358">
        <v>-3.1522075278323501E-3</v>
      </c>
      <c r="AJ358">
        <v>2.4391035811650598E-3</v>
      </c>
      <c r="AK358">
        <v>-5.2758214866108098E-3</v>
      </c>
      <c r="AL358">
        <v>1.9191540424191099E-2</v>
      </c>
      <c r="AM358">
        <v>2.52596653519553E-3</v>
      </c>
      <c r="AN358">
        <f>+IBOV!C283</f>
        <v>6.4376825603631227E-2</v>
      </c>
      <c r="AP358" s="1">
        <f t="shared" si="55"/>
        <v>45291</v>
      </c>
      <c r="AQ358">
        <f t="shared" si="56"/>
        <v>84.707816857032853</v>
      </c>
      <c r="AR358">
        <f t="shared" si="57"/>
        <v>132.23224579488502</v>
      </c>
      <c r="AS358">
        <f t="shared" si="58"/>
        <v>153.31366244726132</v>
      </c>
      <c r="AT358">
        <f t="shared" si="59"/>
        <v>68.756893307175986</v>
      </c>
      <c r="AU358">
        <f t="shared" si="60"/>
        <v>134.73849810984612</v>
      </c>
      <c r="AV358">
        <f t="shared" si="61"/>
        <v>559.30102768344045</v>
      </c>
      <c r="AW358">
        <f t="shared" si="62"/>
        <v>135.77600667033002</v>
      </c>
      <c r="AX358">
        <f t="shared" si="63"/>
        <v>136.94227766041593</v>
      </c>
      <c r="AY358">
        <f t="shared" si="64"/>
        <v>184.22906660989011</v>
      </c>
      <c r="AZ358">
        <f t="shared" si="65"/>
        <v>110.03782171696038</v>
      </c>
      <c r="BA358">
        <f t="shared" si="66"/>
        <v>63.88794639437117</v>
      </c>
      <c r="BB358">
        <f t="shared" si="67"/>
        <v>110.3988437000755</v>
      </c>
      <c r="BC358">
        <f t="shared" si="68"/>
        <v>210.51245650910744</v>
      </c>
      <c r="BD358">
        <f t="shared" si="69"/>
        <v>508.75198794676589</v>
      </c>
    </row>
    <row r="359" spans="1:56" x14ac:dyDescent="0.25">
      <c r="A359" t="s">
        <v>7</v>
      </c>
      <c r="B359" t="s">
        <v>11</v>
      </c>
      <c r="C359" t="s">
        <v>9</v>
      </c>
      <c r="D359" t="s">
        <v>10</v>
      </c>
      <c r="E359">
        <v>7</v>
      </c>
      <c r="F359" s="1">
        <v>38625</v>
      </c>
      <c r="G359">
        <v>-1.6256366485819199E-2</v>
      </c>
      <c r="K359" s="4">
        <v>45322</v>
      </c>
      <c r="L359" s="6">
        <v>9.5203367363508404E-3</v>
      </c>
      <c r="M359" s="6">
        <v>1.85519865812354E-2</v>
      </c>
      <c r="N359" s="6">
        <v>2.1052137369668999E-2</v>
      </c>
      <c r="O359" s="6">
        <v>-1.6365893262705902E-2</v>
      </c>
      <c r="P359" s="6">
        <v>1.55259321186815E-2</v>
      </c>
      <c r="Q359" s="6">
        <v>3.6973168857442E-2</v>
      </c>
      <c r="R359" s="6">
        <v>2.14490098574713E-2</v>
      </c>
      <c r="S359" s="6">
        <v>1.8393546520637599E-2</v>
      </c>
      <c r="T359" s="6">
        <v>8.7698763781667508E-3</v>
      </c>
      <c r="U359" s="6">
        <v>-4.5611890381481602E-3</v>
      </c>
      <c r="V359" s="6">
        <v>-2.3282564972804398E-3</v>
      </c>
      <c r="W359" s="6">
        <v>-2.42810128252593E-2</v>
      </c>
      <c r="X359" s="6">
        <v>1.7857347472271901E-2</v>
      </c>
      <c r="Y359" s="6">
        <v>0.12055699026853249</v>
      </c>
      <c r="AA359">
        <v>9.5203367363508404E-3</v>
      </c>
      <c r="AB359">
        <v>1.85519865812354E-2</v>
      </c>
      <c r="AC359">
        <v>2.1052137369668999E-2</v>
      </c>
      <c r="AD359">
        <v>-1.6365893262705902E-2</v>
      </c>
      <c r="AE359">
        <v>1.55259321186815E-2</v>
      </c>
      <c r="AF359">
        <v>3.6973168857442E-2</v>
      </c>
      <c r="AG359">
        <v>2.14490098574713E-2</v>
      </c>
      <c r="AH359">
        <v>1.8393546520637599E-2</v>
      </c>
      <c r="AI359">
        <v>8.7698763781667508E-3</v>
      </c>
      <c r="AJ359">
        <v>-4.5611890381481602E-3</v>
      </c>
      <c r="AK359">
        <v>-2.3282564972804398E-3</v>
      </c>
      <c r="AL359">
        <v>-2.42810128252593E-2</v>
      </c>
      <c r="AM359">
        <v>1.7857347472271901E-2</v>
      </c>
      <c r="AN359">
        <f>+IBOV!C284</f>
        <v>-5.8350855371615218E-2</v>
      </c>
      <c r="AP359" s="1">
        <f t="shared" si="55"/>
        <v>45322</v>
      </c>
      <c r="AQ359">
        <f t="shared" si="56"/>
        <v>85.514263797712943</v>
      </c>
      <c r="AR359">
        <f t="shared" si="57"/>
        <v>134.68541664447835</v>
      </c>
      <c r="AS359">
        <f t="shared" si="58"/>
        <v>156.54124272974815</v>
      </c>
      <c r="AT359">
        <f t="shared" si="59"/>
        <v>67.631625330235494</v>
      </c>
      <c r="AU359">
        <f t="shared" si="60"/>
        <v>136.83043888527268</v>
      </c>
      <c r="AV359">
        <f t="shared" si="61"/>
        <v>579.98015902212114</v>
      </c>
      <c r="AW359">
        <f t="shared" si="62"/>
        <v>138.68826757581002</v>
      </c>
      <c r="AX359">
        <f t="shared" si="63"/>
        <v>139.46113181520485</v>
      </c>
      <c r="AY359">
        <f t="shared" si="64"/>
        <v>185.8447327493239</v>
      </c>
      <c r="AZ359">
        <f t="shared" si="65"/>
        <v>109.53591841076327</v>
      </c>
      <c r="BA359">
        <f t="shared" si="66"/>
        <v>63.739198868080571</v>
      </c>
      <c r="BB359">
        <f t="shared" si="67"/>
        <v>107.71824796030018</v>
      </c>
      <c r="BC359">
        <f t="shared" si="68"/>
        <v>214.27165059223208</v>
      </c>
      <c r="BD359">
        <f t="shared" si="69"/>
        <v>479.06587427806244</v>
      </c>
    </row>
    <row r="360" spans="1:56" x14ac:dyDescent="0.25">
      <c r="A360" t="s">
        <v>7</v>
      </c>
      <c r="B360" t="s">
        <v>11</v>
      </c>
      <c r="C360" t="s">
        <v>9</v>
      </c>
      <c r="D360" t="s">
        <v>10</v>
      </c>
      <c r="E360">
        <v>7</v>
      </c>
      <c r="F360" s="1">
        <v>38656</v>
      </c>
      <c r="G360">
        <v>4.92032368375502E-2</v>
      </c>
      <c r="K360" s="4">
        <v>45351</v>
      </c>
      <c r="L360" s="6">
        <v>4.9441145311065497E-3</v>
      </c>
      <c r="M360" s="6">
        <v>1.95981166449468E-2</v>
      </c>
      <c r="N360" s="6">
        <v>3.0056903322847502E-3</v>
      </c>
      <c r="O360" s="6">
        <v>9.74287555267234E-3</v>
      </c>
      <c r="P360" s="6">
        <v>7.3223184804931396E-3</v>
      </c>
      <c r="Q360" s="6">
        <v>3.3601964617842998E-3</v>
      </c>
      <c r="R360" s="6">
        <v>7.5583296904698002E-3</v>
      </c>
      <c r="S360" s="6">
        <v>-1.6056223792853901E-4</v>
      </c>
      <c r="T360" s="6">
        <v>2.1743225897751701E-2</v>
      </c>
      <c r="U360" s="6">
        <v>4.2391678173658003E-3</v>
      </c>
      <c r="V360" s="6">
        <v>-5.5122984915312399E-3</v>
      </c>
      <c r="W360" s="6">
        <v>-1.1890951679956499E-2</v>
      </c>
      <c r="X360" s="6">
        <v>1.0962607596731899E-2</v>
      </c>
      <c r="Y360" s="6">
        <v>7.4912830596190791E-2</v>
      </c>
      <c r="AA360">
        <v>4.9441145311065497E-3</v>
      </c>
      <c r="AB360">
        <v>1.95981166449468E-2</v>
      </c>
      <c r="AC360">
        <v>3.0056903322847502E-3</v>
      </c>
      <c r="AD360">
        <v>9.74287555267234E-3</v>
      </c>
      <c r="AE360">
        <v>7.3223184804931396E-3</v>
      </c>
      <c r="AF360">
        <v>3.3601964617842998E-3</v>
      </c>
      <c r="AG360">
        <v>7.5583296904698002E-3</v>
      </c>
      <c r="AH360">
        <v>-1.6056223792853901E-4</v>
      </c>
      <c r="AI360">
        <v>2.1743225897751701E-2</v>
      </c>
      <c r="AJ360">
        <v>4.2391678173658003E-3</v>
      </c>
      <c r="AK360">
        <v>-5.5122984915312399E-3</v>
      </c>
      <c r="AL360">
        <v>-1.1890951679956499E-2</v>
      </c>
      <c r="AM360">
        <v>1.0962607596731899E-2</v>
      </c>
      <c r="AN360">
        <f>+IBOV!C285</f>
        <v>2.7326414369079899E-3</v>
      </c>
      <c r="AP360" s="1">
        <f t="shared" si="55"/>
        <v>45351</v>
      </c>
      <c r="AQ360">
        <f t="shared" si="56"/>
        <v>85.937056111972097</v>
      </c>
      <c r="AR360">
        <f t="shared" si="57"/>
        <v>137.32499715025011</v>
      </c>
      <c r="AS360">
        <f t="shared" si="58"/>
        <v>157.01175722962481</v>
      </c>
      <c r="AT360">
        <f t="shared" si="59"/>
        <v>68.290551839252942</v>
      </c>
      <c r="AU360">
        <f t="shared" si="60"/>
        <v>137.8323549366163</v>
      </c>
      <c r="AV360">
        <f t="shared" si="61"/>
        <v>581.92900630037229</v>
      </c>
      <c r="AW360">
        <f t="shared" si="62"/>
        <v>139.73651922634807</v>
      </c>
      <c r="AX360">
        <f t="shared" si="63"/>
        <v>139.43873962377657</v>
      </c>
      <c r="AY360">
        <f t="shared" si="64"/>
        <v>189.88559675539975</v>
      </c>
      <c r="AZ360">
        <f t="shared" si="65"/>
        <v>110.00025955093579</v>
      </c>
      <c r="BA360">
        <f t="shared" si="66"/>
        <v>63.387849378308644</v>
      </c>
      <c r="BB360">
        <f t="shared" si="67"/>
        <v>106.43737547875467</v>
      </c>
      <c r="BC360">
        <f t="shared" si="68"/>
        <v>216.62062661677876</v>
      </c>
      <c r="BD360">
        <f t="shared" si="69"/>
        <v>480.37498953712321</v>
      </c>
    </row>
    <row r="361" spans="1:56" x14ac:dyDescent="0.25">
      <c r="A361" t="s">
        <v>7</v>
      </c>
      <c r="B361" t="s">
        <v>11</v>
      </c>
      <c r="C361" t="s">
        <v>9</v>
      </c>
      <c r="D361" t="s">
        <v>10</v>
      </c>
      <c r="E361">
        <v>7</v>
      </c>
      <c r="F361" s="1">
        <v>38686</v>
      </c>
      <c r="G361">
        <v>-1.54025224013725E-2</v>
      </c>
      <c r="K361" s="4">
        <v>45382</v>
      </c>
      <c r="L361" s="6">
        <v>6.8723472174518196E-3</v>
      </c>
      <c r="M361" s="6">
        <v>-1.28175610036448E-3</v>
      </c>
      <c r="N361" s="6">
        <v>-3.1595944982792203E-2</v>
      </c>
      <c r="O361" s="6">
        <v>9.9091879461092203E-3</v>
      </c>
      <c r="P361" s="6">
        <v>-2.44162412992407E-2</v>
      </c>
      <c r="Q361" s="6">
        <v>7.7482622518285505E-4</v>
      </c>
      <c r="R361" s="6">
        <v>-1.07507295778961E-3</v>
      </c>
      <c r="S361" s="6">
        <v>-2.4387608002694999E-2</v>
      </c>
      <c r="T361" s="6">
        <v>-7.1812065009278E-3</v>
      </c>
      <c r="U361" s="6">
        <v>3.76313274008621E-3</v>
      </c>
      <c r="V361" s="6">
        <v>-1.5985906748337601E-2</v>
      </c>
      <c r="W361" s="6">
        <v>9.2157415160411798E-3</v>
      </c>
      <c r="X361" s="6">
        <v>-1.7266489172374399E-2</v>
      </c>
      <c r="Y361" s="6">
        <v>-9.2654990119650518E-2</v>
      </c>
      <c r="AA361">
        <v>6.8723472174518196E-3</v>
      </c>
      <c r="AB361">
        <v>-1.28175610036448E-3</v>
      </c>
      <c r="AC361">
        <v>-3.1595944982792203E-2</v>
      </c>
      <c r="AD361">
        <v>9.9091879461092203E-3</v>
      </c>
      <c r="AE361">
        <v>-2.44162412992407E-2</v>
      </c>
      <c r="AF361">
        <v>7.7482622518285505E-4</v>
      </c>
      <c r="AG361">
        <v>-1.07507295778961E-3</v>
      </c>
      <c r="AH361">
        <v>-2.4387608002694999E-2</v>
      </c>
      <c r="AI361">
        <v>-7.1812065009278E-3</v>
      </c>
      <c r="AJ361">
        <v>3.76313274008621E-3</v>
      </c>
      <c r="AK361">
        <v>-1.5985906748337601E-2</v>
      </c>
      <c r="AL361">
        <v>9.2157415160411798E-3</v>
      </c>
      <c r="AM361">
        <v>-1.7266489172374399E-2</v>
      </c>
      <c r="AN361">
        <f>+IBOV!C286</f>
        <v>-1.7874069530792513E-2</v>
      </c>
      <c r="AP361" s="1">
        <f t="shared" si="55"/>
        <v>45382</v>
      </c>
      <c r="AQ361">
        <f t="shared" si="56"/>
        <v>86.527645400419217</v>
      </c>
      <c r="AR361">
        <f t="shared" si="57"/>
        <v>137.14897999742024</v>
      </c>
      <c r="AS361">
        <f t="shared" si="58"/>
        <v>152.05082238654606</v>
      </c>
      <c r="AT361">
        <f t="shared" si="59"/>
        <v>68.967255752371614</v>
      </c>
      <c r="AU361">
        <f t="shared" si="60"/>
        <v>134.46700689964129</v>
      </c>
      <c r="AV361">
        <f t="shared" si="61"/>
        <v>582.37990015564833</v>
      </c>
      <c r="AW361">
        <f t="shared" si="62"/>
        <v>139.58629227331215</v>
      </c>
      <c r="AX361">
        <f t="shared" si="63"/>
        <v>136.03816230144204</v>
      </c>
      <c r="AY361">
        <f t="shared" si="64"/>
        <v>188.5219890735473</v>
      </c>
      <c r="AZ361">
        <f t="shared" si="65"/>
        <v>110.4142051290699</v>
      </c>
      <c r="BA361">
        <f t="shared" si="66"/>
        <v>62.374537129169333</v>
      </c>
      <c r="BB361">
        <f t="shared" si="67"/>
        <v>107.41827481881271</v>
      </c>
      <c r="BC361">
        <f t="shared" si="68"/>
        <v>212.88034891278721</v>
      </c>
      <c r="BD361">
        <f t="shared" si="69"/>
        <v>471.78873357328297</v>
      </c>
    </row>
    <row r="362" spans="1:56" x14ac:dyDescent="0.25">
      <c r="A362" t="s">
        <v>7</v>
      </c>
      <c r="B362" t="s">
        <v>11</v>
      </c>
      <c r="C362" t="s">
        <v>9</v>
      </c>
      <c r="D362" t="s">
        <v>10</v>
      </c>
      <c r="E362">
        <v>7</v>
      </c>
      <c r="F362" s="1">
        <v>38717</v>
      </c>
      <c r="G362">
        <v>-3.1391174383346002E-2</v>
      </c>
      <c r="K362" s="4">
        <v>45412</v>
      </c>
      <c r="L362" s="6">
        <v>-2.26025498896439E-2</v>
      </c>
      <c r="M362" s="6">
        <v>1.40555193522383E-2</v>
      </c>
      <c r="N362" s="6">
        <v>1.7959800116913002E-2</v>
      </c>
      <c r="O362" s="6">
        <v>2.3549400101463201E-2</v>
      </c>
      <c r="P362" s="6">
        <v>4.3013378209852099E-2</v>
      </c>
      <c r="Q362" s="6">
        <v>9.3566181965340396E-3</v>
      </c>
      <c r="R362" s="6">
        <v>-3.21225279235955E-3</v>
      </c>
      <c r="S362" s="6">
        <v>2.4663991575722698E-2</v>
      </c>
      <c r="T362" s="6">
        <v>2.2256713448752501E-2</v>
      </c>
      <c r="U362" s="6">
        <v>-2.91053977915891E-4</v>
      </c>
      <c r="V362" s="6">
        <v>4.4191518520687997E-3</v>
      </c>
      <c r="W362" s="6">
        <v>-1.0967022432807901E-2</v>
      </c>
      <c r="X362" s="6">
        <v>9.9970191609468403E-3</v>
      </c>
      <c r="Y362" s="6">
        <v>0.13219871292176422</v>
      </c>
      <c r="AA362">
        <v>-2.26025498896439E-2</v>
      </c>
      <c r="AB362">
        <v>1.40555193522383E-2</v>
      </c>
      <c r="AC362">
        <v>1.7959800116913002E-2</v>
      </c>
      <c r="AD362">
        <v>2.3549400101463201E-2</v>
      </c>
      <c r="AE362">
        <v>4.3013378209852099E-2</v>
      </c>
      <c r="AF362">
        <v>9.3566181965340396E-3</v>
      </c>
      <c r="AG362">
        <v>-3.21225279235955E-3</v>
      </c>
      <c r="AH362">
        <v>2.4663991575722698E-2</v>
      </c>
      <c r="AI362">
        <v>2.2256713448752501E-2</v>
      </c>
      <c r="AJ362">
        <v>-2.91053977915891E-4</v>
      </c>
      <c r="AK362">
        <v>4.4191518520687997E-3</v>
      </c>
      <c r="AL362">
        <v>-1.0967022432807901E-2</v>
      </c>
      <c r="AM362">
        <v>9.9970191609468403E-3</v>
      </c>
      <c r="AN362">
        <f>+IBOV!C287</f>
        <v>-4.2874428275903709E-2</v>
      </c>
      <c r="AP362" s="1">
        <f t="shared" si="55"/>
        <v>45412</v>
      </c>
      <c r="AQ362">
        <f t="shared" si="56"/>
        <v>84.57189997842282</v>
      </c>
      <c r="AR362">
        <f t="shared" si="57"/>
        <v>139.07668013991372</v>
      </c>
      <c r="AS362">
        <f t="shared" si="58"/>
        <v>154.78162476422068</v>
      </c>
      <c r="AT362">
        <f t="shared" si="59"/>
        <v>70.591393251984144</v>
      </c>
      <c r="AU362">
        <f t="shared" si="60"/>
        <v>140.25088712416235</v>
      </c>
      <c r="AV362">
        <f t="shared" si="61"/>
        <v>587.82900652674039</v>
      </c>
      <c r="AW362">
        <f t="shared" si="62"/>
        <v>139.1379058161821</v>
      </c>
      <c r="AX362">
        <f t="shared" si="63"/>
        <v>139.3934063904216</v>
      </c>
      <c r="AY362">
        <f t="shared" si="64"/>
        <v>192.71786896314612</v>
      </c>
      <c r="AZ362">
        <f t="shared" si="65"/>
        <v>110.38206863544866</v>
      </c>
      <c r="BA362">
        <f t="shared" si="66"/>
        <v>62.650179680445639</v>
      </c>
      <c r="BB362">
        <f t="shared" si="67"/>
        <v>106.24021618918127</v>
      </c>
      <c r="BC362">
        <f t="shared" si="68"/>
        <v>215.0085178398574</v>
      </c>
      <c r="BD362">
        <f t="shared" si="69"/>
        <v>451.56106135431583</v>
      </c>
    </row>
    <row r="363" spans="1:56" x14ac:dyDescent="0.25">
      <c r="A363" t="s">
        <v>7</v>
      </c>
      <c r="B363" t="s">
        <v>11</v>
      </c>
      <c r="C363" t="s">
        <v>9</v>
      </c>
      <c r="D363" t="s">
        <v>10</v>
      </c>
      <c r="E363">
        <v>7</v>
      </c>
      <c r="F363" s="1">
        <v>38748</v>
      </c>
      <c r="G363">
        <v>-3.14580347384616E-2</v>
      </c>
      <c r="K363" s="4">
        <v>45443</v>
      </c>
      <c r="L363" s="6">
        <v>1.44126648788788E-2</v>
      </c>
      <c r="M363" s="6">
        <v>-9.6041390151311301E-3</v>
      </c>
      <c r="N363" s="6">
        <v>2.8007503167306901E-2</v>
      </c>
      <c r="O363" s="6">
        <v>-2.5967060762034699E-2</v>
      </c>
      <c r="P363" s="6">
        <v>8.5133013049378805E-4</v>
      </c>
      <c r="Q363" s="6">
        <v>-2.13353765631626E-2</v>
      </c>
      <c r="R363" s="6">
        <v>-1.5869469494915699E-2</v>
      </c>
      <c r="S363" s="6">
        <v>-2.7824734221703899E-2</v>
      </c>
      <c r="T363" s="6">
        <v>-1.8546732126678799E-2</v>
      </c>
      <c r="U363" s="6">
        <v>8.7073763577306795E-3</v>
      </c>
      <c r="V363" s="6">
        <v>-2.6090674777313101E-2</v>
      </c>
      <c r="W363" s="6">
        <v>-1.14238077401003E-2</v>
      </c>
      <c r="X363" s="6">
        <v>1.13890218721087E-2</v>
      </c>
      <c r="Y363" s="6">
        <v>-9.3294098294521344E-2</v>
      </c>
      <c r="AA363">
        <v>1.44126648788788E-2</v>
      </c>
      <c r="AB363">
        <v>-9.6041390151311301E-3</v>
      </c>
      <c r="AC363">
        <v>2.8007503167306901E-2</v>
      </c>
      <c r="AD363">
        <v>-2.5967060762034699E-2</v>
      </c>
      <c r="AE363">
        <v>8.5133013049378805E-4</v>
      </c>
      <c r="AF363">
        <v>-2.13353765631626E-2</v>
      </c>
      <c r="AG363">
        <v>-1.5869469494915699E-2</v>
      </c>
      <c r="AH363">
        <v>-2.7824734221703899E-2</v>
      </c>
      <c r="AI363">
        <v>-1.8546732126678799E-2</v>
      </c>
      <c r="AJ363">
        <v>8.7073763577306795E-3</v>
      </c>
      <c r="AK363">
        <v>-2.6090674777313101E-2</v>
      </c>
      <c r="AL363">
        <v>-1.14238077401003E-2</v>
      </c>
      <c r="AM363">
        <v>1.13890218721087E-2</v>
      </c>
      <c r="AN363">
        <f>+IBOV!C288</f>
        <v>-4.6085119003484887E-2</v>
      </c>
      <c r="AP363" s="1">
        <f t="shared" si="55"/>
        <v>45443</v>
      </c>
      <c r="AQ363">
        <f t="shared" si="56"/>
        <v>85.790806430981874</v>
      </c>
      <c r="AR363">
        <f t="shared" si="57"/>
        <v>137.74096837008707</v>
      </c>
      <c r="AS363">
        <f t="shared" si="58"/>
        <v>159.1166716100455</v>
      </c>
      <c r="AT363">
        <f t="shared" si="59"/>
        <v>68.758342254133183</v>
      </c>
      <c r="AU363">
        <f t="shared" si="60"/>
        <v>140.37028693019963</v>
      </c>
      <c r="AV363">
        <f t="shared" si="61"/>
        <v>575.28745331774257</v>
      </c>
      <c r="AW363">
        <f t="shared" si="62"/>
        <v>136.92986106424573</v>
      </c>
      <c r="AX363">
        <f t="shared" si="63"/>
        <v>135.51482190535015</v>
      </c>
      <c r="AY363">
        <f t="shared" si="64"/>
        <v>189.14358227146226</v>
      </c>
      <c r="AZ363">
        <f t="shared" si="65"/>
        <v>111.34320685020238</v>
      </c>
      <c r="BA363">
        <f t="shared" si="66"/>
        <v>61.015594217662901</v>
      </c>
      <c r="BB363">
        <f t="shared" si="67"/>
        <v>105.02654838516936</v>
      </c>
      <c r="BC363">
        <f t="shared" si="68"/>
        <v>217.45725455222521</v>
      </c>
      <c r="BD363">
        <f t="shared" si="69"/>
        <v>430.75081610446222</v>
      </c>
    </row>
    <row r="364" spans="1:56" x14ac:dyDescent="0.25">
      <c r="A364" t="s">
        <v>7</v>
      </c>
      <c r="B364" t="s">
        <v>11</v>
      </c>
      <c r="C364" t="s">
        <v>9</v>
      </c>
      <c r="D364" t="s">
        <v>10</v>
      </c>
      <c r="E364">
        <v>7</v>
      </c>
      <c r="F364" s="1">
        <v>38776</v>
      </c>
      <c r="G364">
        <v>1.0004784764487301E-2</v>
      </c>
      <c r="K364" s="4">
        <v>45473</v>
      </c>
      <c r="L364" s="6">
        <v>1.7679746791397599E-3</v>
      </c>
      <c r="M364" s="6">
        <v>6.0162054933128196E-3</v>
      </c>
      <c r="N364" s="6">
        <v>-2.7644026688323801E-3</v>
      </c>
      <c r="O364" s="6">
        <v>-4.7686844846782598E-3</v>
      </c>
      <c r="P364" s="6">
        <v>6.8831407390844796E-3</v>
      </c>
      <c r="Q364" s="6">
        <v>3.6051172734155902E-2</v>
      </c>
      <c r="R364" s="6">
        <v>-6.6033410599717597E-3</v>
      </c>
      <c r="S364" s="6">
        <v>4.8351743932893198E-3</v>
      </c>
      <c r="T364" s="6">
        <v>1.25907038272388E-2</v>
      </c>
      <c r="U364" s="6">
        <v>4.7379504084064904E-3</v>
      </c>
      <c r="V364" s="6">
        <v>2.9336600049319401E-3</v>
      </c>
      <c r="W364" s="6">
        <v>-6.0852261407937799E-2</v>
      </c>
      <c r="X364" s="6">
        <v>-3.9477354011805002E-3</v>
      </c>
      <c r="Y364" s="6">
        <v>-3.120442743041193E-3</v>
      </c>
      <c r="AA364">
        <v>1.7679746791397599E-3</v>
      </c>
      <c r="AB364">
        <v>6.0162054933128196E-3</v>
      </c>
      <c r="AC364">
        <v>-2.7644026688323801E-3</v>
      </c>
      <c r="AD364">
        <v>-4.7686844846782598E-3</v>
      </c>
      <c r="AE364">
        <v>6.8831407390844796E-3</v>
      </c>
      <c r="AF364">
        <v>3.6051172734155902E-2</v>
      </c>
      <c r="AG364">
        <v>-6.6033410599717597E-3</v>
      </c>
      <c r="AH364">
        <v>4.8351743932893198E-3</v>
      </c>
      <c r="AI364">
        <v>1.25907038272388E-2</v>
      </c>
      <c r="AJ364">
        <v>4.7379504084064904E-3</v>
      </c>
      <c r="AK364">
        <v>2.9336600049319401E-3</v>
      </c>
      <c r="AL364">
        <v>-6.0852261407937799E-2</v>
      </c>
      <c r="AM364">
        <v>-3.9477354011805002E-3</v>
      </c>
      <c r="AN364">
        <f>+IBOV!C289</f>
        <v>-4.6205146341558034E-2</v>
      </c>
      <c r="AP364" s="1">
        <f t="shared" si="55"/>
        <v>45473</v>
      </c>
      <c r="AQ364">
        <f t="shared" si="56"/>
        <v>85.942482404454822</v>
      </c>
      <c r="AR364">
        <f t="shared" si="57"/>
        <v>138.56964634064943</v>
      </c>
      <c r="AS364">
        <f t="shared" si="58"/>
        <v>158.67680905839097</v>
      </c>
      <c r="AT364">
        <f t="shared" si="59"/>
        <v>68.430455414233705</v>
      </c>
      <c r="AU364">
        <f t="shared" si="60"/>
        <v>141.33647537072588</v>
      </c>
      <c r="AV364">
        <f t="shared" si="61"/>
        <v>596.0272406690932</v>
      </c>
      <c r="AW364">
        <f t="shared" si="62"/>
        <v>136.02566649034398</v>
      </c>
      <c r="AX364">
        <f t="shared" si="63"/>
        <v>136.17005970213805</v>
      </c>
      <c r="AY364">
        <f t="shared" si="64"/>
        <v>191.52503309666523</v>
      </c>
      <c r="AZ364">
        <f t="shared" si="65"/>
        <v>111.87074544257158</v>
      </c>
      <c r="BA364">
        <f t="shared" si="66"/>
        <v>61.194593226096416</v>
      </c>
      <c r="BB364">
        <f t="shared" si="67"/>
        <v>98.635445408061614</v>
      </c>
      <c r="BC364">
        <f t="shared" si="68"/>
        <v>216.59879085018585</v>
      </c>
      <c r="BD364">
        <f t="shared" si="69"/>
        <v>410.84791160960998</v>
      </c>
    </row>
    <row r="365" spans="1:56" x14ac:dyDescent="0.25">
      <c r="A365" t="s">
        <v>7</v>
      </c>
      <c r="B365" t="s">
        <v>11</v>
      </c>
      <c r="C365" t="s">
        <v>9</v>
      </c>
      <c r="D365" t="s">
        <v>10</v>
      </c>
      <c r="E365">
        <v>7</v>
      </c>
      <c r="F365" s="1">
        <v>38807</v>
      </c>
      <c r="G365">
        <v>-2.43586494151374E-2</v>
      </c>
      <c r="K365" s="4">
        <v>45504</v>
      </c>
      <c r="L365" s="6">
        <v>-6.1241516047858902E-3</v>
      </c>
      <c r="M365" s="6">
        <v>-2.1398667825601098E-3</v>
      </c>
      <c r="N365" s="6">
        <v>-3.1287191783625302E-2</v>
      </c>
      <c r="O365" s="6">
        <v>3.6179110634475799E-2</v>
      </c>
      <c r="P365" s="6">
        <v>4.0671793033579201E-3</v>
      </c>
      <c r="Q365" s="6">
        <v>-3.4964073658841199E-3</v>
      </c>
      <c r="R365" s="6">
        <v>2.78087392564292E-2</v>
      </c>
      <c r="S365" s="6">
        <v>2.5704216936123299E-2</v>
      </c>
      <c r="T365" s="6">
        <v>3.5235616442013097E-2</v>
      </c>
      <c r="U365" s="6">
        <v>-1.67921274305985E-3</v>
      </c>
      <c r="V365" s="6">
        <v>-1.9667813072261901E-2</v>
      </c>
      <c r="W365" s="6">
        <v>-1.7338506115579001E-2</v>
      </c>
      <c r="X365" s="6">
        <v>-3.1388911976659398E-2</v>
      </c>
      <c r="Y365" s="6">
        <v>1.5872801127983747E-2</v>
      </c>
      <c r="AA365">
        <v>-6.1241516047858902E-3</v>
      </c>
      <c r="AB365">
        <v>-2.1398667825601098E-3</v>
      </c>
      <c r="AC365">
        <v>-3.1287191783625302E-2</v>
      </c>
      <c r="AD365">
        <v>3.6179110634475799E-2</v>
      </c>
      <c r="AE365">
        <v>4.0671793033579201E-3</v>
      </c>
      <c r="AF365">
        <v>-3.4964073658841199E-3</v>
      </c>
      <c r="AG365">
        <v>2.78087392564292E-2</v>
      </c>
      <c r="AH365">
        <v>2.5704216936123299E-2</v>
      </c>
      <c r="AI365">
        <v>3.5235616442013097E-2</v>
      </c>
      <c r="AJ365">
        <v>-1.67921274305985E-3</v>
      </c>
      <c r="AK365">
        <v>-1.9667813072261901E-2</v>
      </c>
      <c r="AL365">
        <v>-1.7338506115579001E-2</v>
      </c>
      <c r="AM365">
        <v>-3.1388911976659398E-2</v>
      </c>
      <c r="AN365">
        <f>+IBOV!C290</f>
        <v>1.6098932442343727E-2</v>
      </c>
      <c r="AP365" s="1">
        <f t="shared" si="55"/>
        <v>45504</v>
      </c>
      <c r="AQ365">
        <f t="shared" si="56"/>
        <v>85.416157612918298</v>
      </c>
      <c r="AR365">
        <f t="shared" si="57"/>
        <v>138.27312575737398</v>
      </c>
      <c r="AS365">
        <f t="shared" si="58"/>
        <v>153.71225730176741</v>
      </c>
      <c r="AT365">
        <f t="shared" si="59"/>
        <v>70.90620843143283</v>
      </c>
      <c r="AU365">
        <f t="shared" si="60"/>
        <v>141.91131615816326</v>
      </c>
      <c r="AV365">
        <f t="shared" si="61"/>
        <v>593.94328663455019</v>
      </c>
      <c r="AW365">
        <f t="shared" si="62"/>
        <v>139.80836878195595</v>
      </c>
      <c r="AX365">
        <f t="shared" si="63"/>
        <v>139.67020445692665</v>
      </c>
      <c r="AY365">
        <f t="shared" si="64"/>
        <v>198.2735357019032</v>
      </c>
      <c r="AZ365">
        <f t="shared" si="65"/>
        <v>111.68289066124881</v>
      </c>
      <c r="BA365">
        <f t="shared" si="66"/>
        <v>59.991029405492441</v>
      </c>
      <c r="BB365">
        <f t="shared" si="67"/>
        <v>96.925254134641079</v>
      </c>
      <c r="BC365">
        <f t="shared" si="68"/>
        <v>209.79999046993851</v>
      </c>
      <c r="BD365">
        <f t="shared" si="69"/>
        <v>417.46212438269112</v>
      </c>
    </row>
    <row r="366" spans="1:56" x14ac:dyDescent="0.25">
      <c r="A366" t="s">
        <v>7</v>
      </c>
      <c r="B366" t="s">
        <v>11</v>
      </c>
      <c r="C366" t="s">
        <v>9</v>
      </c>
      <c r="D366" t="s">
        <v>10</v>
      </c>
      <c r="E366">
        <v>7</v>
      </c>
      <c r="F366" s="1">
        <v>38837</v>
      </c>
      <c r="G366">
        <v>7.2540274477905103E-4</v>
      </c>
      <c r="K366" s="4">
        <v>45535</v>
      </c>
      <c r="L366" s="6">
        <v>1.6898302078588501E-2</v>
      </c>
      <c r="M366" s="6">
        <v>3.5712272663880502E-2</v>
      </c>
      <c r="N366" s="6">
        <v>3.18644153031813E-2</v>
      </c>
      <c r="O366" s="6">
        <v>-1.1335485528374999E-2</v>
      </c>
      <c r="P366" s="6">
        <v>1.9851803145106602E-2</v>
      </c>
      <c r="Q366" s="6">
        <v>2.6818166519842299E-2</v>
      </c>
      <c r="R366" s="6">
        <v>8.2527128747006892E-3</v>
      </c>
      <c r="S366" s="6">
        <v>1.14794007806655E-2</v>
      </c>
      <c r="T366" s="6">
        <v>1.7333475001495301E-2</v>
      </c>
      <c r="U366" s="6">
        <v>2.5602270295893999E-3</v>
      </c>
      <c r="V366" s="6">
        <v>2.7917092442720299E-2</v>
      </c>
      <c r="W366" s="6">
        <v>-3.1864945689066101E-2</v>
      </c>
      <c r="X366" s="6">
        <v>-1.66148102282231E-3</v>
      </c>
      <c r="Y366" s="6">
        <v>0.15382595559950696</v>
      </c>
      <c r="AA366">
        <v>1.6898302078588501E-2</v>
      </c>
      <c r="AB366">
        <v>3.5712272663880502E-2</v>
      </c>
      <c r="AC366">
        <v>3.18644153031813E-2</v>
      </c>
      <c r="AD366">
        <v>-1.1335485528374999E-2</v>
      </c>
      <c r="AE366">
        <v>1.9851803145106602E-2</v>
      </c>
      <c r="AF366">
        <v>2.6818166519842299E-2</v>
      </c>
      <c r="AG366">
        <v>8.2527128747006892E-3</v>
      </c>
      <c r="AH366">
        <v>1.14794007806655E-2</v>
      </c>
      <c r="AI366">
        <v>1.7333475001495301E-2</v>
      </c>
      <c r="AJ366">
        <v>2.5602270295893999E-3</v>
      </c>
      <c r="AK366">
        <v>2.7917092442720299E-2</v>
      </c>
      <c r="AL366">
        <v>-3.1864945689066101E-2</v>
      </c>
      <c r="AM366">
        <v>-1.66148102282231E-3</v>
      </c>
      <c r="AN366">
        <f>+IBOV!C291</f>
        <v>7.5622265620300722E-2</v>
      </c>
      <c r="AP366" s="1">
        <f t="shared" si="55"/>
        <v>45535</v>
      </c>
      <c r="AQ366">
        <f t="shared" si="56"/>
        <v>86.859545646653714</v>
      </c>
      <c r="AR366">
        <f t="shared" si="57"/>
        <v>143.21117332650837</v>
      </c>
      <c r="AS366">
        <f t="shared" si="58"/>
        <v>158.61020850562039</v>
      </c>
      <c r="AT366">
        <f t="shared" si="59"/>
        <v>70.10245213188638</v>
      </c>
      <c r="AU366">
        <f t="shared" si="60"/>
        <v>144.72851167059812</v>
      </c>
      <c r="AV366">
        <f t="shared" si="61"/>
        <v>609.87175659885804</v>
      </c>
      <c r="AW366">
        <f t="shared" si="62"/>
        <v>140.96216710699372</v>
      </c>
      <c r="AX366">
        <f t="shared" si="63"/>
        <v>141.27353471100523</v>
      </c>
      <c r="AY366">
        <f t="shared" si="64"/>
        <v>201.71030507645023</v>
      </c>
      <c r="AZ366">
        <f t="shared" si="65"/>
        <v>111.96882421666243</v>
      </c>
      <c r="BA366">
        <f t="shared" si="66"/>
        <v>61.665804519139527</v>
      </c>
      <c r="BB366">
        <f t="shared" si="67"/>
        <v>93.836736175741819</v>
      </c>
      <c r="BC366">
        <f t="shared" si="68"/>
        <v>209.45141176718442</v>
      </c>
      <c r="BD366">
        <f t="shared" si="69"/>
        <v>449.03155603917401</v>
      </c>
    </row>
    <row r="367" spans="1:56" x14ac:dyDescent="0.25">
      <c r="A367" t="s">
        <v>7</v>
      </c>
      <c r="B367" t="s">
        <v>11</v>
      </c>
      <c r="C367" t="s">
        <v>9</v>
      </c>
      <c r="D367" t="s">
        <v>10</v>
      </c>
      <c r="E367">
        <v>7</v>
      </c>
      <c r="F367" s="1">
        <v>38868</v>
      </c>
      <c r="G367">
        <v>2.4488991761546501E-2</v>
      </c>
      <c r="K367" s="4">
        <v>45565</v>
      </c>
      <c r="L367" s="6">
        <v>1.2016691802146699E-2</v>
      </c>
      <c r="M367" s="6">
        <v>1.13577722315285E-2</v>
      </c>
      <c r="N367" s="6">
        <v>1.49227413116159E-2</v>
      </c>
      <c r="O367" s="6">
        <v>2.3361193753369799E-2</v>
      </c>
      <c r="P367" s="6">
        <v>2.0490414079227401E-2</v>
      </c>
      <c r="Q367" s="6">
        <v>1.7434749144219198E-2</v>
      </c>
      <c r="R367" s="6">
        <v>6.4704290443696596E-3</v>
      </c>
      <c r="S367" s="6">
        <v>1.1178007052965001E-2</v>
      </c>
      <c r="T367" s="6">
        <v>1.36976721289272E-2</v>
      </c>
      <c r="U367" s="6">
        <v>-8.9865022211522306E-3</v>
      </c>
      <c r="V367" s="6">
        <v>1.43440403918177E-3</v>
      </c>
      <c r="W367" s="6">
        <v>1.6309992113991902E-2</v>
      </c>
      <c r="X367" s="6">
        <v>1.39044703883971E-2</v>
      </c>
      <c r="Y367" s="6">
        <v>0.15359203486878789</v>
      </c>
      <c r="AA367">
        <v>1.2016691802146699E-2</v>
      </c>
      <c r="AB367">
        <v>1.13577722315285E-2</v>
      </c>
      <c r="AC367">
        <v>1.49227413116159E-2</v>
      </c>
      <c r="AD367">
        <v>2.3361193753369799E-2</v>
      </c>
      <c r="AE367">
        <v>2.0490414079227401E-2</v>
      </c>
      <c r="AF367">
        <v>1.7434749144219198E-2</v>
      </c>
      <c r="AG367">
        <v>6.4704290443696596E-3</v>
      </c>
      <c r="AH367">
        <v>1.1178007052965001E-2</v>
      </c>
      <c r="AI367">
        <v>1.36976721289272E-2</v>
      </c>
      <c r="AJ367">
        <v>-8.9865022211522306E-3</v>
      </c>
      <c r="AK367">
        <v>1.43440403918177E-3</v>
      </c>
      <c r="AL367">
        <v>1.6309992113991902E-2</v>
      </c>
      <c r="AM367">
        <v>1.39044703883971E-2</v>
      </c>
      <c r="AN367">
        <f>+IBOV!C292</f>
        <v>-1.2724202081057623E-2</v>
      </c>
      <c r="AP367" s="1">
        <f t="shared" si="55"/>
        <v>45565</v>
      </c>
      <c r="AQ367">
        <f t="shared" si="56"/>
        <v>87.90331003676404</v>
      </c>
      <c r="AR367">
        <f t="shared" si="57"/>
        <v>144.83773321416081</v>
      </c>
      <c r="AS367">
        <f t="shared" si="58"/>
        <v>160.97710761653124</v>
      </c>
      <c r="AT367">
        <f t="shared" si="59"/>
        <v>71.740129098725703</v>
      </c>
      <c r="AU367">
        <f t="shared" si="60"/>
        <v>147.69405880379898</v>
      </c>
      <c r="AV367">
        <f t="shared" si="61"/>
        <v>620.50471768530349</v>
      </c>
      <c r="AW367">
        <f t="shared" si="62"/>
        <v>141.87425280720009</v>
      </c>
      <c r="AX367">
        <f t="shared" si="63"/>
        <v>142.85269127840215</v>
      </c>
      <c r="AY367">
        <f t="shared" si="64"/>
        <v>204.47326670041332</v>
      </c>
      <c r="AZ367">
        <f t="shared" si="65"/>
        <v>110.96261612913958</v>
      </c>
      <c r="BA367">
        <f t="shared" si="66"/>
        <v>61.75425819822118</v>
      </c>
      <c r="BB367">
        <f t="shared" si="67"/>
        <v>95.36721260277092</v>
      </c>
      <c r="BC367">
        <f t="shared" si="68"/>
        <v>212.36372271990919</v>
      </c>
      <c r="BD367">
        <f t="shared" si="69"/>
        <v>443.31798777935978</v>
      </c>
    </row>
    <row r="368" spans="1:56" x14ac:dyDescent="0.25">
      <c r="A368" t="s">
        <v>7</v>
      </c>
      <c r="B368" t="s">
        <v>11</v>
      </c>
      <c r="C368" t="s">
        <v>9</v>
      </c>
      <c r="D368" t="s">
        <v>10</v>
      </c>
      <c r="E368">
        <v>7</v>
      </c>
      <c r="F368" s="1">
        <v>38898</v>
      </c>
      <c r="G368">
        <v>-9.4804122154294491E-3</v>
      </c>
      <c r="K368" s="4">
        <v>45596</v>
      </c>
      <c r="L368" s="6">
        <v>-7.9987597328537597E-3</v>
      </c>
      <c r="M368" s="6">
        <v>-1.29865931082356E-3</v>
      </c>
      <c r="N368" s="6">
        <v>7.2429765001684396E-3</v>
      </c>
      <c r="O368" s="6">
        <v>-1.70079323867257E-2</v>
      </c>
      <c r="P368" s="6">
        <v>-1.11658990676605E-2</v>
      </c>
      <c r="Q368" s="6">
        <v>2.4873156076347502E-2</v>
      </c>
      <c r="R368" s="6">
        <v>5.7078975520318499E-3</v>
      </c>
      <c r="S368" s="6">
        <v>-1.48791678688312E-2</v>
      </c>
      <c r="T368" s="6">
        <v>-3.8299694995516799E-3</v>
      </c>
      <c r="U368" s="6">
        <v>6.4111333372301703E-3</v>
      </c>
      <c r="V368" s="6">
        <v>8.5915529556122201E-3</v>
      </c>
      <c r="W368" s="6">
        <v>-2.5194887630106098E-2</v>
      </c>
      <c r="X368" s="6">
        <v>-1.3761081915254099E-3</v>
      </c>
      <c r="Y368" s="6">
        <v>-2.9924667266687726E-2</v>
      </c>
      <c r="AA368">
        <v>-7.9987597328537597E-3</v>
      </c>
      <c r="AB368">
        <v>-1.29865931082356E-3</v>
      </c>
      <c r="AC368">
        <v>7.2429765001684396E-3</v>
      </c>
      <c r="AD368">
        <v>-1.70079323867257E-2</v>
      </c>
      <c r="AE368">
        <v>-1.11658990676605E-2</v>
      </c>
      <c r="AF368">
        <v>2.4873156076347502E-2</v>
      </c>
      <c r="AG368">
        <v>5.7078975520318499E-3</v>
      </c>
      <c r="AH368">
        <v>-1.48791678688312E-2</v>
      </c>
      <c r="AI368">
        <v>-3.8299694995516799E-3</v>
      </c>
      <c r="AJ368">
        <v>6.4111333372301703E-3</v>
      </c>
      <c r="AK368">
        <v>8.5915529556122201E-3</v>
      </c>
      <c r="AL368">
        <v>-2.5194887630106098E-2</v>
      </c>
      <c r="AM368">
        <v>-1.3761081915254099E-3</v>
      </c>
      <c r="AN368">
        <f>+IBOV!C293</f>
        <v>-5.798365657664184E-2</v>
      </c>
      <c r="AP368" s="1">
        <f t="shared" si="55"/>
        <v>45596</v>
      </c>
      <c r="AQ368">
        <f t="shared" si="56"/>
        <v>87.200192580057404</v>
      </c>
      <c r="AR368">
        <f t="shared" si="57"/>
        <v>144.64963834336368</v>
      </c>
      <c r="AS368">
        <f t="shared" si="58"/>
        <v>162.14306102406286</v>
      </c>
      <c r="AT368">
        <f t="shared" si="59"/>
        <v>70.519977833599597</v>
      </c>
      <c r="AU368">
        <f t="shared" si="60"/>
        <v>146.04492185030264</v>
      </c>
      <c r="AV368">
        <f t="shared" si="61"/>
        <v>635.93862837439997</v>
      </c>
      <c r="AW368">
        <f t="shared" si="62"/>
        <v>142.68405650749466</v>
      </c>
      <c r="AX368">
        <f t="shared" si="63"/>
        <v>140.72716210435649</v>
      </c>
      <c r="AY368">
        <f t="shared" si="64"/>
        <v>203.69014032547702</v>
      </c>
      <c r="AZ368">
        <f t="shared" si="65"/>
        <v>111.67401225659137</v>
      </c>
      <c r="BA368">
        <f t="shared" si="66"/>
        <v>62.284823177765745</v>
      </c>
      <c r="BB368">
        <f t="shared" si="67"/>
        <v>92.964446397647663</v>
      </c>
      <c r="BC368">
        <f t="shared" si="68"/>
        <v>212.07148726149148</v>
      </c>
      <c r="BD368">
        <f t="shared" si="69"/>
        <v>417.61278982171348</v>
      </c>
    </row>
    <row r="369" spans="1:56" x14ac:dyDescent="0.25">
      <c r="A369" t="s">
        <v>7</v>
      </c>
      <c r="B369" t="s">
        <v>11</v>
      </c>
      <c r="C369" t="s">
        <v>9</v>
      </c>
      <c r="D369" t="s">
        <v>10</v>
      </c>
      <c r="E369">
        <v>7</v>
      </c>
      <c r="F369" s="1">
        <v>38929</v>
      </c>
      <c r="G369">
        <v>-2.8798945777051201E-2</v>
      </c>
      <c r="K369" s="4">
        <v>45626</v>
      </c>
      <c r="L369" s="6">
        <v>3.4405680867210499E-2</v>
      </c>
      <c r="M369" s="6">
        <v>-1.13507804318608E-2</v>
      </c>
      <c r="N369" s="6">
        <v>-1.32150348328249E-2</v>
      </c>
      <c r="O369" s="6">
        <v>-1.7081759761721101E-2</v>
      </c>
      <c r="P369" s="6">
        <v>1.14804005249785E-2</v>
      </c>
      <c r="Q369" s="6">
        <v>5.2479849864259603E-2</v>
      </c>
      <c r="R369" s="6">
        <v>-6.7546607370624597E-3</v>
      </c>
      <c r="S369" s="6">
        <v>-5.4433569953060302E-3</v>
      </c>
      <c r="T369" s="6">
        <v>7.2286327618821197E-4</v>
      </c>
      <c r="U369" s="6">
        <v>1.9157468207096101E-2</v>
      </c>
      <c r="V369" s="6">
        <v>-2.2165143469274399E-2</v>
      </c>
      <c r="W369" s="6">
        <v>-2.22211214252153E-2</v>
      </c>
      <c r="X369" s="6">
        <v>-1.27625541013133E-2</v>
      </c>
      <c r="Y369" s="6">
        <v>7.2518509851546321E-3</v>
      </c>
      <c r="AA369">
        <v>3.4405680867210499E-2</v>
      </c>
      <c r="AB369">
        <v>-1.13507804318608E-2</v>
      </c>
      <c r="AC369">
        <v>-1.32150348328249E-2</v>
      </c>
      <c r="AD369">
        <v>-1.7081759761721101E-2</v>
      </c>
      <c r="AE369">
        <v>1.14804005249785E-2</v>
      </c>
      <c r="AF369">
        <v>5.2479849864259603E-2</v>
      </c>
      <c r="AG369">
        <v>-6.7546607370624597E-3</v>
      </c>
      <c r="AH369">
        <v>-5.4433569953060302E-3</v>
      </c>
      <c r="AI369">
        <v>7.2286327618821197E-4</v>
      </c>
      <c r="AJ369">
        <v>1.9157468207096101E-2</v>
      </c>
      <c r="AK369">
        <v>-2.2165143469274399E-2</v>
      </c>
      <c r="AL369">
        <v>-2.22211214252153E-2</v>
      </c>
      <c r="AM369">
        <v>-1.27625541013133E-2</v>
      </c>
      <c r="AN369">
        <f>+IBOV!C294</f>
        <v>-8.1355402247245134E-2</v>
      </c>
      <c r="AP369" s="1">
        <f t="shared" si="55"/>
        <v>45626</v>
      </c>
      <c r="AQ369">
        <f t="shared" si="56"/>
        <v>90.200374577526148</v>
      </c>
      <c r="AR369">
        <f t="shared" si="57"/>
        <v>143.00775205898009</v>
      </c>
      <c r="AS369">
        <f t="shared" si="58"/>
        <v>160.00033482472901</v>
      </c>
      <c r="AT369">
        <f t="shared" si="59"/>
        <v>69.315372513844153</v>
      </c>
      <c r="AU369">
        <f t="shared" si="60"/>
        <v>147.72157604778329</v>
      </c>
      <c r="AV369">
        <f t="shared" si="61"/>
        <v>669.31259211437168</v>
      </c>
      <c r="AW369">
        <f t="shared" si="62"/>
        <v>141.72027411319868</v>
      </c>
      <c r="AX369">
        <f t="shared" si="63"/>
        <v>139.96113392208616</v>
      </c>
      <c r="AY369">
        <f t="shared" si="64"/>
        <v>203.83738044763993</v>
      </c>
      <c r="AZ369">
        <f t="shared" si="65"/>
        <v>113.81340359595588</v>
      </c>
      <c r="BA369">
        <f t="shared" si="66"/>
        <v>60.904271136072175</v>
      </c>
      <c r="BB369">
        <f t="shared" si="67"/>
        <v>90.898672146017617</v>
      </c>
      <c r="BC369">
        <f t="shared" si="68"/>
        <v>209.36491343197071</v>
      </c>
      <c r="BD369">
        <f t="shared" si="69"/>
        <v>383.63773332217374</v>
      </c>
    </row>
    <row r="370" spans="1:56" x14ac:dyDescent="0.25">
      <c r="A370" t="s">
        <v>7</v>
      </c>
      <c r="B370" t="s">
        <v>11</v>
      </c>
      <c r="C370" t="s">
        <v>9</v>
      </c>
      <c r="D370" t="s">
        <v>10</v>
      </c>
      <c r="E370">
        <v>7</v>
      </c>
      <c r="F370" s="1">
        <v>38960</v>
      </c>
      <c r="G370">
        <v>1.29548942510567E-2</v>
      </c>
      <c r="K370" s="4">
        <v>45657</v>
      </c>
      <c r="L370" s="6">
        <v>1.5382034770655501E-2</v>
      </c>
      <c r="M370" s="6">
        <v>2.78805723498167E-4</v>
      </c>
      <c r="N370" s="6">
        <v>9.1952025185098205E-5</v>
      </c>
      <c r="O370" s="6">
        <v>1.0058487665512201E-2</v>
      </c>
      <c r="P370" s="6">
        <v>4.1603030045114398E-2</v>
      </c>
      <c r="Q370" s="6">
        <v>2.96601075551748E-2</v>
      </c>
      <c r="R370" s="6">
        <v>2.09674937948725E-3</v>
      </c>
      <c r="S370" s="6">
        <v>3.3932099989361003E-2</v>
      </c>
      <c r="T370" s="6">
        <v>3.1839180798057302E-2</v>
      </c>
      <c r="U370" s="6">
        <v>-2.25782631191705E-3</v>
      </c>
      <c r="V370" s="6">
        <v>1.6226269411671601E-2</v>
      </c>
      <c r="W370" s="6">
        <v>-3.2142193914948297E-2</v>
      </c>
      <c r="X370" s="6">
        <v>-4.5158301585078104E-3</v>
      </c>
      <c r="Y370" s="6">
        <v>0.14225286697834416</v>
      </c>
      <c r="AA370">
        <v>1.5382034770655501E-2</v>
      </c>
      <c r="AB370">
        <v>2.78805723498167E-4</v>
      </c>
      <c r="AC370">
        <v>9.1952025185098205E-5</v>
      </c>
      <c r="AD370">
        <v>1.0058487665512201E-2</v>
      </c>
      <c r="AE370">
        <v>4.1603030045114398E-2</v>
      </c>
      <c r="AF370">
        <v>2.96601075551748E-2</v>
      </c>
      <c r="AG370">
        <v>2.09674937948725E-3</v>
      </c>
      <c r="AH370">
        <v>3.3932099989361003E-2</v>
      </c>
      <c r="AI370">
        <v>3.1839180798057302E-2</v>
      </c>
      <c r="AJ370">
        <v>-2.25782631191705E-3</v>
      </c>
      <c r="AK370">
        <v>1.6226269411671601E-2</v>
      </c>
      <c r="AL370">
        <v>-3.2142193914948297E-2</v>
      </c>
      <c r="AM370">
        <v>-4.5158301585078104E-3</v>
      </c>
      <c r="AN370">
        <f>+IBOV!C295</f>
        <v>-7.714931534346281E-2</v>
      </c>
      <c r="AP370" s="1">
        <f t="shared" si="55"/>
        <v>45657</v>
      </c>
      <c r="AQ370">
        <f t="shared" si="56"/>
        <v>91.587839875603805</v>
      </c>
      <c r="AR370">
        <f t="shared" si="57"/>
        <v>143.04762343875873</v>
      </c>
      <c r="AS370">
        <f t="shared" si="58"/>
        <v>160.01504717954646</v>
      </c>
      <c r="AT370">
        <f t="shared" si="59"/>
        <v>70.012580333305024</v>
      </c>
      <c r="AU370">
        <f t="shared" si="60"/>
        <v>153.86724121441088</v>
      </c>
      <c r="AV370">
        <f t="shared" si="61"/>
        <v>689.16447558451682</v>
      </c>
      <c r="AW370">
        <f t="shared" si="62"/>
        <v>142.01742601000629</v>
      </c>
      <c r="AX370">
        <f t="shared" si="63"/>
        <v>144.71030911295475</v>
      </c>
      <c r="AY370">
        <f t="shared" si="64"/>
        <v>210.32739565711475</v>
      </c>
      <c r="AZ370">
        <f t="shared" si="65"/>
        <v>113.55643269866809</v>
      </c>
      <c r="BA370">
        <f t="shared" si="66"/>
        <v>61.892520247847585</v>
      </c>
      <c r="BB370">
        <f t="shared" si="67"/>
        <v>87.97698939928901</v>
      </c>
      <c r="BC370">
        <f t="shared" si="68"/>
        <v>208.41945704176123</v>
      </c>
      <c r="BD370">
        <f t="shared" si="69"/>
        <v>354.04034485645008</v>
      </c>
    </row>
    <row r="371" spans="1:56" x14ac:dyDescent="0.25">
      <c r="A371" t="s">
        <v>7</v>
      </c>
      <c r="B371" t="s">
        <v>11</v>
      </c>
      <c r="C371" t="s">
        <v>9</v>
      </c>
      <c r="D371" t="s">
        <v>10</v>
      </c>
      <c r="E371">
        <v>7</v>
      </c>
      <c r="F371" s="1">
        <v>38990</v>
      </c>
      <c r="G371">
        <v>-2.4876342305919698E-2</v>
      </c>
      <c r="K371" s="4">
        <v>45688</v>
      </c>
      <c r="L371" s="6">
        <v>-2.50415656369973E-2</v>
      </c>
      <c r="M371" s="6">
        <v>1.71094834112227E-2</v>
      </c>
      <c r="N371" s="6">
        <v>-1.42357883942093E-2</v>
      </c>
      <c r="O371" s="6">
        <v>1.24993207437276E-2</v>
      </c>
      <c r="P371" s="6">
        <v>5.6854071550832396E-3</v>
      </c>
      <c r="Q371" s="6">
        <v>-2.7110235935837598E-2</v>
      </c>
      <c r="R371" s="6">
        <v>-1.04297313945582E-2</v>
      </c>
      <c r="S371" s="6">
        <v>-3.30624351203992E-3</v>
      </c>
      <c r="T371" s="6">
        <v>-5.6929552546627904E-3</v>
      </c>
      <c r="U371" s="6">
        <v>-8.6746949625197203E-3</v>
      </c>
      <c r="V371" s="6">
        <v>2.8469957653567201E-2</v>
      </c>
      <c r="W371" s="6">
        <v>2.7939090262726701E-2</v>
      </c>
      <c r="X371" s="6">
        <v>4.1491391570475699E-3</v>
      </c>
      <c r="Y371" s="6">
        <v>1.3611832925501813E-3</v>
      </c>
      <c r="AA371">
        <v>-2.50415656369973E-2</v>
      </c>
      <c r="AB371">
        <v>1.71094834112227E-2</v>
      </c>
      <c r="AC371">
        <v>-1.42357883942093E-2</v>
      </c>
      <c r="AD371">
        <v>1.24993207437276E-2</v>
      </c>
      <c r="AE371">
        <v>5.6854071550832396E-3</v>
      </c>
      <c r="AF371">
        <v>-2.7110235935837598E-2</v>
      </c>
      <c r="AG371">
        <v>-1.04297313945582E-2</v>
      </c>
      <c r="AH371">
        <v>-3.30624351203992E-3</v>
      </c>
      <c r="AI371">
        <v>-5.6929552546627904E-3</v>
      </c>
      <c r="AJ371">
        <v>-8.6746949625197203E-3</v>
      </c>
      <c r="AK371">
        <v>2.8469957653567201E-2</v>
      </c>
      <c r="AL371">
        <v>2.7939090262726701E-2</v>
      </c>
      <c r="AM371">
        <v>4.1491391570475699E-3</v>
      </c>
      <c r="AN371">
        <f>+IBOV!C296</f>
        <v>0.12528016038886758</v>
      </c>
      <c r="AP371" s="1">
        <f t="shared" si="55"/>
        <v>45688</v>
      </c>
      <c r="AQ371">
        <f t="shared" si="56"/>
        <v>89.294336971808065</v>
      </c>
      <c r="AR371">
        <f t="shared" si="57"/>
        <v>145.495094378999</v>
      </c>
      <c r="AS371">
        <f t="shared" si="58"/>
        <v>157.73710682800902</v>
      </c>
      <c r="AT371">
        <f t="shared" si="59"/>
        <v>70.887690030987002</v>
      </c>
      <c r="AU371">
        <f t="shared" si="60"/>
        <v>154.74203912854421</v>
      </c>
      <c r="AV371">
        <f t="shared" si="61"/>
        <v>670.48106405282272</v>
      </c>
      <c r="AW371">
        <f t="shared" si="62"/>
        <v>140.53622240337538</v>
      </c>
      <c r="AX371">
        <f t="shared" si="63"/>
        <v>144.23186159232475</v>
      </c>
      <c r="AY371">
        <f t="shared" si="64"/>
        <v>209.13001120480905</v>
      </c>
      <c r="AZ371">
        <f t="shared" si="65"/>
        <v>112.57136528397524</v>
      </c>
      <c r="BA371">
        <f t="shared" si="66"/>
        <v>63.654597678376355</v>
      </c>
      <c r="BB371">
        <f t="shared" si="67"/>
        <v>90.434986447158707</v>
      </c>
      <c r="BC371">
        <f t="shared" si="68"/>
        <v>209.2842183720638</v>
      </c>
      <c r="BD371">
        <f t="shared" si="69"/>
        <v>398.39457604419613</v>
      </c>
    </row>
    <row r="372" spans="1:56" x14ac:dyDescent="0.25">
      <c r="A372" t="s">
        <v>7</v>
      </c>
      <c r="B372" t="s">
        <v>11</v>
      </c>
      <c r="C372" t="s">
        <v>9</v>
      </c>
      <c r="D372" t="s">
        <v>10</v>
      </c>
      <c r="E372">
        <v>7</v>
      </c>
      <c r="F372" s="1">
        <v>39021</v>
      </c>
      <c r="G372">
        <v>2.0920758768939101E-2</v>
      </c>
      <c r="K372" s="4">
        <v>45716</v>
      </c>
      <c r="L372" s="6">
        <v>-4.2067234323138704E-3</v>
      </c>
      <c r="M372" s="6">
        <v>1.20694938956981E-2</v>
      </c>
      <c r="N372" s="6">
        <v>2.2823359948192099E-2</v>
      </c>
      <c r="O372" s="6">
        <v>1.20598777945973E-2</v>
      </c>
      <c r="P372" s="6">
        <v>3.5419957326628101E-2</v>
      </c>
      <c r="Q372" s="6">
        <v>1.09793035350105E-2</v>
      </c>
      <c r="R372" s="6">
        <v>-3.29854844692867E-3</v>
      </c>
      <c r="S372" s="6">
        <v>-2.7457076140599999E-3</v>
      </c>
      <c r="T372" s="6">
        <v>-1.6591894192689801E-2</v>
      </c>
      <c r="U372" s="6">
        <v>1.42009703019161E-3</v>
      </c>
      <c r="V372" s="6">
        <v>-1.64525802185819E-2</v>
      </c>
      <c r="W372" s="6">
        <v>2.8026086415053001E-2</v>
      </c>
      <c r="X372" s="6">
        <v>2.0779736458701601E-2</v>
      </c>
      <c r="Y372" s="6">
        <v>0.10028245849949806</v>
      </c>
      <c r="AA372">
        <v>-4.2067234323138704E-3</v>
      </c>
      <c r="AB372">
        <v>1.20694938956981E-2</v>
      </c>
      <c r="AC372">
        <v>2.2823359948192099E-2</v>
      </c>
      <c r="AD372">
        <v>1.20598777945973E-2</v>
      </c>
      <c r="AE372">
        <v>3.5419957326628101E-2</v>
      </c>
      <c r="AF372">
        <v>1.09793035350105E-2</v>
      </c>
      <c r="AG372">
        <v>-3.29854844692867E-3</v>
      </c>
      <c r="AH372">
        <v>-2.7457076140599999E-3</v>
      </c>
      <c r="AI372">
        <v>-1.6591894192689801E-2</v>
      </c>
      <c r="AJ372">
        <v>1.42009703019161E-3</v>
      </c>
      <c r="AK372">
        <v>-1.64525802185819E-2</v>
      </c>
      <c r="AL372">
        <v>2.8026086415053001E-2</v>
      </c>
      <c r="AM372">
        <v>2.0779736458701601E-2</v>
      </c>
      <c r="AN372">
        <f>+IBOV!C297</f>
        <v>-4.8163508851546966E-2</v>
      </c>
      <c r="AP372" s="1">
        <f t="shared" si="55"/>
        <v>45716</v>
      </c>
      <c r="AQ372">
        <f t="shared" si="56"/>
        <v>88.918700392095829</v>
      </c>
      <c r="AR372">
        <f t="shared" si="57"/>
        <v>147.25114653246033</v>
      </c>
      <c r="AS372">
        <f t="shared" si="58"/>
        <v>161.33719759433112</v>
      </c>
      <c r="AT372">
        <f t="shared" si="59"/>
        <v>71.742586909902002</v>
      </c>
      <c r="AU372">
        <f t="shared" si="60"/>
        <v>160.22299555111266</v>
      </c>
      <c r="AV372">
        <f t="shared" si="61"/>
        <v>677.84247916953552</v>
      </c>
      <c r="AW372">
        <f t="shared" si="62"/>
        <v>140.0726568652295</v>
      </c>
      <c r="AX372">
        <f t="shared" si="63"/>
        <v>143.83584307176065</v>
      </c>
      <c r="AY372">
        <f t="shared" si="64"/>
        <v>205.66014818638283</v>
      </c>
      <c r="AZ372">
        <f t="shared" si="65"/>
        <v>112.73122754549964</v>
      </c>
      <c r="BA372">
        <f t="shared" si="66"/>
        <v>62.60731530379131</v>
      </c>
      <c r="BB372">
        <f t="shared" si="67"/>
        <v>92.969525192270922</v>
      </c>
      <c r="BC372">
        <f t="shared" si="68"/>
        <v>213.63308927480065</v>
      </c>
      <c r="BD372">
        <f t="shared" si="69"/>
        <v>379.2064953544832</v>
      </c>
    </row>
    <row r="373" spans="1:56" x14ac:dyDescent="0.25">
      <c r="A373" t="s">
        <v>7</v>
      </c>
      <c r="B373" t="s">
        <v>11</v>
      </c>
      <c r="C373" t="s">
        <v>9</v>
      </c>
      <c r="D373" t="s">
        <v>10</v>
      </c>
      <c r="E373">
        <v>7</v>
      </c>
      <c r="F373" s="1">
        <v>39051</v>
      </c>
      <c r="G373">
        <v>-1.1074622199278E-2</v>
      </c>
      <c r="K373" s="4">
        <v>45747</v>
      </c>
      <c r="L373" s="6">
        <v>2.2469795069792499E-2</v>
      </c>
      <c r="M373" s="6">
        <v>2.2348616102608999E-2</v>
      </c>
      <c r="N373" s="6">
        <v>4.16378072298089E-2</v>
      </c>
      <c r="O373" s="6">
        <v>-4.0630487567156801E-2</v>
      </c>
      <c r="P373" s="6">
        <v>-2.9774254276400298E-2</v>
      </c>
      <c r="Q373" s="6">
        <v>-8.4283029904363097E-3</v>
      </c>
      <c r="R373" s="6">
        <v>-3.9352902567437497E-3</v>
      </c>
      <c r="S373" s="6">
        <v>7.8739948530375196E-3</v>
      </c>
      <c r="T373" s="6">
        <v>1.4560954465372001E-2</v>
      </c>
      <c r="U373" s="6">
        <v>-4.4520771088760501E-3</v>
      </c>
      <c r="V373" s="6">
        <v>-3.14430959506671E-3</v>
      </c>
      <c r="W373" s="6">
        <v>-3.0777108444943999E-2</v>
      </c>
      <c r="X373" s="6">
        <v>4.6919422598682897E-2</v>
      </c>
      <c r="Y373" s="6">
        <v>3.4668760079678909E-2</v>
      </c>
      <c r="AA373">
        <v>2.2469795069792499E-2</v>
      </c>
      <c r="AB373">
        <v>2.2348616102608999E-2</v>
      </c>
      <c r="AC373">
        <v>4.16378072298089E-2</v>
      </c>
      <c r="AD373">
        <v>-4.0630487567156801E-2</v>
      </c>
      <c r="AE373">
        <v>-2.9774254276400298E-2</v>
      </c>
      <c r="AF373">
        <v>-8.4283029904363097E-3</v>
      </c>
      <c r="AG373">
        <v>-3.9352902567437497E-3</v>
      </c>
      <c r="AH373">
        <v>7.8739948530375196E-3</v>
      </c>
      <c r="AI373">
        <v>1.4560954465372001E-2</v>
      </c>
      <c r="AJ373">
        <v>-4.4520771088760501E-3</v>
      </c>
      <c r="AK373">
        <v>-3.14430959506671E-3</v>
      </c>
      <c r="AL373">
        <v>-3.0777108444943999E-2</v>
      </c>
      <c r="AM373">
        <v>4.6919422598682897E-2</v>
      </c>
      <c r="AN373">
        <f>+IBOV!C298</f>
        <v>7.2166131759366703E-2</v>
      </c>
      <c r="AP373" s="1">
        <f t="shared" si="55"/>
        <v>45747</v>
      </c>
      <c r="AQ373">
        <f t="shared" si="56"/>
        <v>90.916685367778499</v>
      </c>
      <c r="AR373">
        <f t="shared" si="57"/>
        <v>150.5420058769833</v>
      </c>
      <c r="AS373">
        <f t="shared" si="58"/>
        <v>168.05492472676147</v>
      </c>
      <c r="AT373">
        <f t="shared" si="59"/>
        <v>68.827650624423555</v>
      </c>
      <c r="AU373">
        <f t="shared" si="60"/>
        <v>155.45247534064728</v>
      </c>
      <c r="AV373">
        <f t="shared" si="61"/>
        <v>672.12941737530616</v>
      </c>
      <c r="AW373">
        <f t="shared" si="62"/>
        <v>139.52143030343154</v>
      </c>
      <c r="AX373">
        <f t="shared" si="63"/>
        <v>144.96840575979002</v>
      </c>
      <c r="AY373">
        <f t="shared" si="64"/>
        <v>208.65475623946639</v>
      </c>
      <c r="AZ373">
        <f t="shared" si="65"/>
        <v>112.22933942788882</v>
      </c>
      <c r="BA373">
        <f t="shared" si="66"/>
        <v>62.41045852156023</v>
      </c>
      <c r="BB373">
        <f t="shared" si="67"/>
        <v>90.108192033353447</v>
      </c>
      <c r="BC373">
        <f t="shared" si="68"/>
        <v>223.65663047154717</v>
      </c>
      <c r="BD373">
        <f t="shared" si="69"/>
        <v>406.57236126224251</v>
      </c>
    </row>
    <row r="374" spans="1:56" x14ac:dyDescent="0.25">
      <c r="A374" t="s">
        <v>7</v>
      </c>
      <c r="B374" t="s">
        <v>11</v>
      </c>
      <c r="C374" t="s">
        <v>9</v>
      </c>
      <c r="D374" t="s">
        <v>10</v>
      </c>
      <c r="E374">
        <v>7</v>
      </c>
      <c r="F374" s="1">
        <v>39082</v>
      </c>
      <c r="G374">
        <v>2.1152113963519301E-3</v>
      </c>
      <c r="K374" s="4">
        <v>45777</v>
      </c>
      <c r="L374" s="6">
        <v>-8.0527244904975703E-3</v>
      </c>
      <c r="M374" s="6">
        <v>1.5696092152879201E-2</v>
      </c>
      <c r="N374" s="6">
        <v>2.7197099498292202E-2</v>
      </c>
      <c r="O374" s="6">
        <v>-2.2405282125832301E-2</v>
      </c>
      <c r="P374" s="6">
        <v>-1.2959967600132899E-2</v>
      </c>
      <c r="Q374" s="6">
        <v>-1.7667484597776999E-2</v>
      </c>
      <c r="R374" s="6">
        <v>1.6708021203782401E-2</v>
      </c>
      <c r="S374" s="6">
        <v>-2.7248380900420002E-2</v>
      </c>
      <c r="T374" s="6">
        <v>-2.30672436272241E-2</v>
      </c>
      <c r="U374" s="6">
        <v>-5.6424125217296901E-3</v>
      </c>
      <c r="V374" s="6">
        <v>-7.1561638460618101E-3</v>
      </c>
      <c r="W374" s="6">
        <v>-7.1957507525205197E-3</v>
      </c>
      <c r="X374" s="6">
        <v>-1.3449269972594E-2</v>
      </c>
      <c r="Y374" s="6">
        <v>-8.5243467579836085E-2</v>
      </c>
      <c r="AA374">
        <v>-8.0527244904975703E-3</v>
      </c>
      <c r="AB374">
        <v>1.5696092152879201E-2</v>
      </c>
      <c r="AC374">
        <v>2.7197099498292202E-2</v>
      </c>
      <c r="AD374">
        <v>-2.2405282125832301E-2</v>
      </c>
      <c r="AE374">
        <v>-1.2959967600132899E-2</v>
      </c>
      <c r="AF374">
        <v>-1.7667484597776999E-2</v>
      </c>
      <c r="AG374">
        <v>1.6708021203782401E-2</v>
      </c>
      <c r="AH374">
        <v>-2.7248380900420002E-2</v>
      </c>
      <c r="AI374">
        <v>-2.30672436272241E-2</v>
      </c>
      <c r="AJ374">
        <v>-5.6424125217296901E-3</v>
      </c>
      <c r="AK374">
        <v>-7.1561638460618101E-3</v>
      </c>
      <c r="AL374">
        <v>-7.1957507525205197E-3</v>
      </c>
      <c r="AM374">
        <v>-1.3449269972594E-2</v>
      </c>
      <c r="AN374">
        <f>+IBOV!C299</f>
        <v>4.6037732741511794E-2</v>
      </c>
      <c r="AP374" s="1">
        <f t="shared" si="55"/>
        <v>45777</v>
      </c>
      <c r="AQ374">
        <f t="shared" si="56"/>
        <v>90.184558348922522</v>
      </c>
      <c r="AR374">
        <f t="shared" si="57"/>
        <v>152.90492707410772</v>
      </c>
      <c r="AS374">
        <f t="shared" si="58"/>
        <v>172.62553123573321</v>
      </c>
      <c r="AT374">
        <f t="shared" si="59"/>
        <v>67.285547694125128</v>
      </c>
      <c r="AU374">
        <f t="shared" si="60"/>
        <v>153.43781629687203</v>
      </c>
      <c r="AV374">
        <f t="shared" si="61"/>
        <v>660.25458124611509</v>
      </c>
      <c r="AW374">
        <f t="shared" si="62"/>
        <v>141.85255731932332</v>
      </c>
      <c r="AX374">
        <f t="shared" si="63"/>
        <v>141.01825142112062</v>
      </c>
      <c r="AY374">
        <f t="shared" si="64"/>
        <v>203.84166614331156</v>
      </c>
      <c r="AZ374">
        <f t="shared" si="65"/>
        <v>111.59609519779545</v>
      </c>
      <c r="BA374">
        <f t="shared" si="66"/>
        <v>61.9638390546721</v>
      </c>
      <c r="BB374">
        <f t="shared" si="67"/>
        <v>89.459795942721172</v>
      </c>
      <c r="BC374">
        <f t="shared" si="68"/>
        <v>220.64861206717464</v>
      </c>
      <c r="BD374">
        <f t="shared" si="69"/>
        <v>425.29003097011901</v>
      </c>
    </row>
    <row r="375" spans="1:56" x14ac:dyDescent="0.25">
      <c r="A375" t="s">
        <v>7</v>
      </c>
      <c r="B375" t="s">
        <v>11</v>
      </c>
      <c r="C375" t="s">
        <v>9</v>
      </c>
      <c r="D375" t="s">
        <v>10</v>
      </c>
      <c r="E375">
        <v>7</v>
      </c>
      <c r="F375" s="1">
        <v>39113</v>
      </c>
      <c r="G375">
        <v>7.6270220526772001E-3</v>
      </c>
      <c r="K375" s="4">
        <v>45808</v>
      </c>
      <c r="L375" s="6">
        <v>3.0849592202189802E-3</v>
      </c>
      <c r="M375" s="6">
        <v>-9.9131160256114795E-3</v>
      </c>
      <c r="N375" s="6">
        <v>6.6943715940811803E-3</v>
      </c>
      <c r="O375" s="6">
        <v>-6.4869131087082997E-3</v>
      </c>
      <c r="P375" s="6">
        <v>-4.1901650007289397E-2</v>
      </c>
      <c r="Q375" s="6">
        <v>-7.72826407695806E-3</v>
      </c>
      <c r="R375" s="6">
        <v>1.5388402924439101E-2</v>
      </c>
      <c r="S375" s="6">
        <v>-4.7444107127540602E-2</v>
      </c>
      <c r="T375" s="6">
        <v>-3.8532216745643999E-2</v>
      </c>
      <c r="U375" s="6">
        <v>4.2869497613077798E-3</v>
      </c>
      <c r="V375" s="6">
        <v>-2.4782326707795899E-2</v>
      </c>
      <c r="W375" s="6">
        <v>6.5645086009125206E-2</v>
      </c>
      <c r="X375" s="6">
        <v>-2.0614013337714E-2</v>
      </c>
      <c r="Y375" s="6">
        <v>-0.10230283762808948</v>
      </c>
      <c r="AA375">
        <v>3.0849592202189802E-3</v>
      </c>
      <c r="AB375">
        <v>-9.9131160256114795E-3</v>
      </c>
      <c r="AC375">
        <v>6.6943715940811803E-3</v>
      </c>
      <c r="AD375">
        <v>-6.4869131087082997E-3</v>
      </c>
      <c r="AE375">
        <v>-4.1901650007289397E-2</v>
      </c>
      <c r="AF375">
        <v>-7.72826407695806E-3</v>
      </c>
      <c r="AG375">
        <v>1.5388402924439101E-2</v>
      </c>
      <c r="AH375">
        <v>-4.7444107127540602E-2</v>
      </c>
      <c r="AI375">
        <v>-3.8532216745643999E-2</v>
      </c>
      <c r="AJ375">
        <v>4.2869497613077798E-3</v>
      </c>
      <c r="AK375">
        <v>-2.4782326707795899E-2</v>
      </c>
      <c r="AL375">
        <v>6.5645086009125206E-2</v>
      </c>
      <c r="AM375">
        <v>-2.0614013337714E-2</v>
      </c>
      <c r="AN375">
        <f>+IBOV!C300</f>
        <v>6.2862383732145144E-3</v>
      </c>
      <c r="AP375" s="1">
        <f t="shared" si="55"/>
        <v>45808</v>
      </c>
      <c r="AQ375">
        <f t="shared" si="56"/>
        <v>90.462774033722397</v>
      </c>
      <c r="AR375">
        <f t="shared" si="57"/>
        <v>151.38916279113442</v>
      </c>
      <c r="AS375">
        <f t="shared" si="58"/>
        <v>173.78115068845088</v>
      </c>
      <c r="AT375">
        <f t="shared" si="59"/>
        <v>66.849072192761497</v>
      </c>
      <c r="AU375">
        <f t="shared" si="60"/>
        <v>147.00851862051772</v>
      </c>
      <c r="AV375">
        <f t="shared" si="61"/>
        <v>655.15195948422377</v>
      </c>
      <c r="AW375">
        <f t="shared" si="62"/>
        <v>144.03544162721516</v>
      </c>
      <c r="AX375">
        <f t="shared" si="63"/>
        <v>134.32776639375851</v>
      </c>
      <c r="AY375">
        <f t="shared" si="64"/>
        <v>195.98719488168427</v>
      </c>
      <c r="AZ375">
        <f t="shared" si="65"/>
        <v>112.07450205146652</v>
      </c>
      <c r="BA375">
        <f t="shared" si="66"/>
        <v>60.428230951149935</v>
      </c>
      <c r="BB375">
        <f t="shared" si="67"/>
        <v>95.332391941739886</v>
      </c>
      <c r="BC375">
        <f t="shared" si="68"/>
        <v>216.10015863507383</v>
      </c>
      <c r="BD375">
        <f t="shared" si="69"/>
        <v>427.96350548254895</v>
      </c>
    </row>
    <row r="376" spans="1:56" x14ac:dyDescent="0.25">
      <c r="A376" t="s">
        <v>7</v>
      </c>
      <c r="B376" t="s">
        <v>11</v>
      </c>
      <c r="C376" t="s">
        <v>9</v>
      </c>
      <c r="D376" t="s">
        <v>10</v>
      </c>
      <c r="E376">
        <v>7</v>
      </c>
      <c r="F376" s="1">
        <v>39141</v>
      </c>
      <c r="G376">
        <v>5.5740864757144598E-3</v>
      </c>
      <c r="K376" s="4">
        <v>45838</v>
      </c>
      <c r="L376" s="6">
        <v>1.6936000116267301E-2</v>
      </c>
      <c r="M376" s="6">
        <v>-1.15389364745093E-2</v>
      </c>
      <c r="N376" s="6">
        <v>-3.42048183838236E-3</v>
      </c>
      <c r="O376" s="6">
        <v>1.04047951957498E-2</v>
      </c>
      <c r="P376" s="6">
        <v>8.6922782083144502E-3</v>
      </c>
      <c r="Q376" s="6">
        <v>5.2377333971169804E-3</v>
      </c>
      <c r="R376" s="6">
        <v>-8.3263289725781005E-3</v>
      </c>
      <c r="S376" s="6">
        <v>1.18550722300639E-2</v>
      </c>
      <c r="T376" s="6">
        <v>1.94043839983347E-2</v>
      </c>
      <c r="U376" s="6">
        <v>-6.0167641735746399E-3</v>
      </c>
      <c r="V376" s="6">
        <v>-1.7036255271032901E-2</v>
      </c>
      <c r="W376" s="6">
        <v>-3.9464361957578598E-3</v>
      </c>
      <c r="X376" s="6">
        <v>-7.7074858402457098E-3</v>
      </c>
      <c r="Y376" s="6">
        <v>1.4537574379766258E-2</v>
      </c>
      <c r="AA376">
        <v>1.6936000116267301E-2</v>
      </c>
      <c r="AB376">
        <v>-1.15389364745093E-2</v>
      </c>
      <c r="AC376">
        <v>-3.42048183838236E-3</v>
      </c>
      <c r="AD376">
        <v>1.04047951957498E-2</v>
      </c>
      <c r="AE376">
        <v>8.6922782083144502E-3</v>
      </c>
      <c r="AF376">
        <v>5.2377333971169804E-3</v>
      </c>
      <c r="AG376">
        <v>-8.3263289725781005E-3</v>
      </c>
      <c r="AH376">
        <v>1.18550722300639E-2</v>
      </c>
      <c r="AI376">
        <v>1.94043839983347E-2</v>
      </c>
      <c r="AJ376">
        <v>-6.0167641735746399E-3</v>
      </c>
      <c r="AK376">
        <v>-1.7036255271032901E-2</v>
      </c>
      <c r="AL376">
        <v>-3.9464361957578598E-3</v>
      </c>
      <c r="AM376">
        <v>-7.7074858402457098E-3</v>
      </c>
      <c r="AN376">
        <f>+IBOV!C301</f>
        <v>8.0044906197681343E-2</v>
      </c>
      <c r="AP376" s="1">
        <f t="shared" si="55"/>
        <v>45838</v>
      </c>
      <c r="AQ376">
        <f t="shared" si="56"/>
        <v>91.994851585275384</v>
      </c>
      <c r="AR376">
        <f t="shared" si="57"/>
        <v>149.64229285875837</v>
      </c>
      <c r="AS376">
        <f t="shared" si="58"/>
        <v>173.18673541866784</v>
      </c>
      <c r="AT376">
        <f t="shared" si="59"/>
        <v>67.544623097953078</v>
      </c>
      <c r="AU376">
        <f t="shared" si="60"/>
        <v>148.28635756335945</v>
      </c>
      <c r="AV376">
        <f t="shared" si="61"/>
        <v>658.5834707826009</v>
      </c>
      <c r="AW376">
        <f t="shared" si="62"/>
        <v>142.83615515651638</v>
      </c>
      <c r="AX376">
        <f t="shared" si="63"/>
        <v>135.92023176685967</v>
      </c>
      <c r="AY376">
        <f t="shared" si="64"/>
        <v>199.79020566992492</v>
      </c>
      <c r="AZ376">
        <f t="shared" si="65"/>
        <v>111.40017620275204</v>
      </c>
      <c r="BA376">
        <f t="shared" si="66"/>
        <v>59.398760183089209</v>
      </c>
      <c r="BB376">
        <f t="shared" si="67"/>
        <v>94.956168739552822</v>
      </c>
      <c r="BC376">
        <f t="shared" si="68"/>
        <v>214.43456972231914</v>
      </c>
      <c r="BD376">
        <f t="shared" si="69"/>
        <v>462.21980413493048</v>
      </c>
    </row>
    <row r="377" spans="1:56" x14ac:dyDescent="0.25">
      <c r="A377" t="s">
        <v>7</v>
      </c>
      <c r="B377" t="s">
        <v>11</v>
      </c>
      <c r="C377" t="s">
        <v>9</v>
      </c>
      <c r="D377" t="s">
        <v>10</v>
      </c>
      <c r="E377">
        <v>7</v>
      </c>
      <c r="F377" s="1">
        <v>39172</v>
      </c>
      <c r="G377">
        <v>1.26754969046849E-2</v>
      </c>
      <c r="K377" s="4">
        <v>45869</v>
      </c>
      <c r="L377" s="6">
        <v>3.1049283322469499E-2</v>
      </c>
      <c r="M377" s="6">
        <v>-1.0719494682542401E-2</v>
      </c>
      <c r="N377" s="6">
        <v>1.09208268337821E-2</v>
      </c>
      <c r="O377" s="6">
        <v>-8.7008471860890307E-3</v>
      </c>
      <c r="P377" s="6">
        <v>1.74134382854534E-2</v>
      </c>
      <c r="Q377" s="6">
        <v>-1.8622141213700299E-2</v>
      </c>
      <c r="R377" s="6">
        <v>-8.5733235063274807E-3</v>
      </c>
      <c r="S377" s="6">
        <v>-9.3250558829613191E-3</v>
      </c>
      <c r="T377" s="6">
        <v>-4.9307418509496402E-4</v>
      </c>
      <c r="U377" s="6">
        <v>-7.3666076821382398E-3</v>
      </c>
      <c r="V377" s="6">
        <v>-1.7796107640500499E-4</v>
      </c>
      <c r="W377" s="6">
        <v>1.4103659570735699E-2</v>
      </c>
      <c r="X377" s="6">
        <v>3.4946098050593503E-2</v>
      </c>
      <c r="Y377" s="6">
        <v>4.4454800647775461E-2</v>
      </c>
      <c r="AA377">
        <v>3.1049283322469499E-2</v>
      </c>
      <c r="AB377">
        <v>-1.0719494682542401E-2</v>
      </c>
      <c r="AC377">
        <v>1.09208268337821E-2</v>
      </c>
      <c r="AD377">
        <v>-8.7008471860890307E-3</v>
      </c>
      <c r="AE377">
        <v>1.74134382854534E-2</v>
      </c>
      <c r="AF377">
        <v>-1.8622141213700299E-2</v>
      </c>
      <c r="AG377">
        <v>-8.5733235063274807E-3</v>
      </c>
      <c r="AH377">
        <v>-9.3250558829613191E-3</v>
      </c>
      <c r="AI377">
        <v>-4.9307418509496402E-4</v>
      </c>
      <c r="AJ377">
        <v>-7.3666076821382398E-3</v>
      </c>
      <c r="AK377">
        <v>-1.7796107640500499E-4</v>
      </c>
      <c r="AL377">
        <v>1.4103659570735699E-2</v>
      </c>
      <c r="AM377">
        <v>3.4946098050593503E-2</v>
      </c>
      <c r="AN377">
        <f>+IBOV!C302</f>
        <v>-7.9722716193359799E-2</v>
      </c>
      <c r="AP377" s="1">
        <f t="shared" si="55"/>
        <v>45869</v>
      </c>
      <c r="AQ377">
        <f t="shared" si="56"/>
        <v>94.851225796355138</v>
      </c>
      <c r="AR377">
        <f t="shared" si="57"/>
        <v>148.03820309617547</v>
      </c>
      <c r="AS377">
        <f t="shared" si="58"/>
        <v>175.07807776608314</v>
      </c>
      <c r="AT377">
        <f t="shared" si="59"/>
        <v>66.956927654135811</v>
      </c>
      <c r="AU377">
        <f t="shared" si="60"/>
        <v>150.86853289936369</v>
      </c>
      <c r="AV377">
        <f t="shared" si="61"/>
        <v>646.31923638867841</v>
      </c>
      <c r="AW377">
        <f t="shared" si="62"/>
        <v>141.61157458995959</v>
      </c>
      <c r="AX377">
        <f t="shared" si="63"/>
        <v>134.65276801000866</v>
      </c>
      <c r="AY377">
        <f t="shared" si="64"/>
        <v>199.69169427707428</v>
      </c>
      <c r="AZ377">
        <f t="shared" si="65"/>
        <v>110.57953480894528</v>
      </c>
      <c r="BA377">
        <f t="shared" si="66"/>
        <v>59.388189515789904</v>
      </c>
      <c r="BB377">
        <f t="shared" si="67"/>
        <v>96.295398217596812</v>
      </c>
      <c r="BC377">
        <f t="shared" si="68"/>
        <v>221.92822122127214</v>
      </c>
      <c r="BD377">
        <f t="shared" si="69"/>
        <v>425.37038587093105</v>
      </c>
    </row>
    <row r="378" spans="1:56" x14ac:dyDescent="0.25">
      <c r="A378" t="s">
        <v>7</v>
      </c>
      <c r="B378" t="s">
        <v>11</v>
      </c>
      <c r="C378" t="s">
        <v>9</v>
      </c>
      <c r="D378" t="s">
        <v>10</v>
      </c>
      <c r="E378">
        <v>7</v>
      </c>
      <c r="F378" s="1">
        <v>39202</v>
      </c>
      <c r="G378">
        <v>-1.5752671173413599E-2</v>
      </c>
      <c r="K378" s="4">
        <v>45900</v>
      </c>
      <c r="L378" s="6">
        <v>1.2853877996626101E-2</v>
      </c>
      <c r="M378" s="6">
        <v>-5.0381715878173696E-3</v>
      </c>
      <c r="N378" s="6">
        <v>8.6872478863036194E-3</v>
      </c>
      <c r="O378" s="6">
        <v>-2.6780752989375101E-2</v>
      </c>
      <c r="P378" s="6">
        <v>1.81786032271062E-2</v>
      </c>
      <c r="Q378" s="6">
        <v>1.4772140969834599E-2</v>
      </c>
      <c r="R378" s="6">
        <v>7.4435688213507403E-4</v>
      </c>
      <c r="S378" s="6">
        <v>-8.8408207288399198E-5</v>
      </c>
      <c r="T378" s="6">
        <v>-6.2546630912843496E-3</v>
      </c>
      <c r="U378" s="6">
        <v>-1.06117552907283E-2</v>
      </c>
      <c r="V378" s="6">
        <v>7.5617020543492603E-3</v>
      </c>
      <c r="W378" s="6">
        <v>-4.9780888862832797E-3</v>
      </c>
      <c r="X378" s="6">
        <v>1.1530325408665301E-2</v>
      </c>
      <c r="Y378" s="6">
        <v>2.0576414372243362E-2</v>
      </c>
      <c r="AA378">
        <v>1.2853877996626101E-2</v>
      </c>
      <c r="AB378">
        <v>-5.0381715878173696E-3</v>
      </c>
      <c r="AC378">
        <v>8.6872478863036194E-3</v>
      </c>
      <c r="AD378">
        <v>-2.6780752989375101E-2</v>
      </c>
      <c r="AE378">
        <v>1.81786032271062E-2</v>
      </c>
      <c r="AF378">
        <v>1.4772140969834599E-2</v>
      </c>
      <c r="AG378">
        <v>7.4435688213507403E-4</v>
      </c>
      <c r="AH378">
        <v>-8.8408207288399198E-5</v>
      </c>
      <c r="AI378">
        <v>-6.2546630912843496E-3</v>
      </c>
      <c r="AJ378">
        <v>-1.06117552907283E-2</v>
      </c>
      <c r="AK378">
        <v>7.5617020543492603E-3</v>
      </c>
      <c r="AL378">
        <v>-4.9780888862832797E-3</v>
      </c>
      <c r="AM378">
        <v>1.1530325408665301E-2</v>
      </c>
      <c r="AN378">
        <f>+IBOV!C303</f>
        <v>0.11111198567464919</v>
      </c>
      <c r="AP378" s="1">
        <f t="shared" si="55"/>
        <v>45900</v>
      </c>
      <c r="AQ378">
        <f t="shared" si="56"/>
        <v>96.070431880571917</v>
      </c>
      <c r="AR378">
        <f t="shared" si="57"/>
        <v>147.29236122742478</v>
      </c>
      <c r="AS378">
        <f t="shared" si="58"/>
        <v>176.59902442709463</v>
      </c>
      <c r="AT378">
        <f t="shared" si="59"/>
        <v>65.163770713702945</v>
      </c>
      <c r="AU378">
        <f t="shared" si="60"/>
        <v>153.61111209839686</v>
      </c>
      <c r="AV378">
        <f t="shared" si="61"/>
        <v>655.86675526012789</v>
      </c>
      <c r="AW378">
        <f t="shared" si="62"/>
        <v>141.7169841400956</v>
      </c>
      <c r="AX378">
        <f t="shared" si="63"/>
        <v>134.64086360018248</v>
      </c>
      <c r="AY378">
        <f t="shared" si="64"/>
        <v>198.44269000724344</v>
      </c>
      <c r="AZ378">
        <f t="shared" si="65"/>
        <v>109.40609184539018</v>
      </c>
      <c r="BA378">
        <f t="shared" si="66"/>
        <v>59.837265310455535</v>
      </c>
      <c r="BB378">
        <f t="shared" si="67"/>
        <v>95.816031165929573</v>
      </c>
      <c r="BC378">
        <f t="shared" si="68"/>
        <v>224.48712582931969</v>
      </c>
      <c r="BD378">
        <f t="shared" si="69"/>
        <v>472.63413409224194</v>
      </c>
    </row>
    <row r="379" spans="1:56" x14ac:dyDescent="0.25">
      <c r="A379" t="s">
        <v>7</v>
      </c>
      <c r="B379" t="s">
        <v>11</v>
      </c>
      <c r="C379" t="s">
        <v>9</v>
      </c>
      <c r="D379" t="s">
        <v>10</v>
      </c>
      <c r="E379">
        <v>7</v>
      </c>
      <c r="F379" s="1">
        <v>39233</v>
      </c>
      <c r="G379">
        <v>3.9241573152588001E-3</v>
      </c>
      <c r="K379" s="4">
        <v>45930</v>
      </c>
      <c r="L379" s="6">
        <v>-1.4034727465937299E-2</v>
      </c>
      <c r="M379" s="6">
        <v>1.5203103011781001E-2</v>
      </c>
      <c r="N379" s="6">
        <v>7.3647241124662702E-3</v>
      </c>
      <c r="O379" s="6">
        <v>-9.7625730565374901E-3</v>
      </c>
      <c r="P379" s="6">
        <v>1.38639457824955E-3</v>
      </c>
      <c r="Q379" s="6">
        <v>1.31844703210964E-2</v>
      </c>
      <c r="R379" s="6">
        <v>-1.6044942433723201E-3</v>
      </c>
      <c r="S379" s="6">
        <v>9.1376925077899691E-3</v>
      </c>
      <c r="T379" s="6">
        <v>-5.0403232534071904E-3</v>
      </c>
      <c r="U379" s="6">
        <v>-1.48098128752537E-2</v>
      </c>
      <c r="V379" s="6">
        <v>-5.8312473271096999E-3</v>
      </c>
      <c r="W379" s="6">
        <v>-1.09833177680532E-2</v>
      </c>
      <c r="X379" s="6">
        <v>8.9776568532466093E-3</v>
      </c>
      <c r="Y379" s="6">
        <v>-6.8124546050411031E-3</v>
      </c>
      <c r="AA379">
        <v>-1.4034727465937299E-2</v>
      </c>
      <c r="AB379">
        <v>1.5203103011781001E-2</v>
      </c>
      <c r="AC379">
        <v>7.3647241124662702E-3</v>
      </c>
      <c r="AD379">
        <v>-9.7625730565374901E-3</v>
      </c>
      <c r="AE379">
        <v>1.38639457824955E-3</v>
      </c>
      <c r="AF379">
        <v>1.31844703210964E-2</v>
      </c>
      <c r="AG379">
        <v>-1.6044942433723201E-3</v>
      </c>
      <c r="AH379">
        <v>9.1376925077899691E-3</v>
      </c>
      <c r="AI379">
        <v>-5.0403232534071904E-3</v>
      </c>
      <c r="AJ379">
        <v>-1.48098128752537E-2</v>
      </c>
      <c r="AK379">
        <v>-5.8312473271096999E-3</v>
      </c>
      <c r="AL379">
        <v>-1.09833177680532E-2</v>
      </c>
      <c r="AM379">
        <v>8.9776568532466093E-3</v>
      </c>
      <c r="AN379">
        <f>+IBOV!C304</f>
        <v>5.0845116318608108E-2</v>
      </c>
      <c r="AP379" s="1">
        <f t="shared" ref="AP379:AP382" si="70">+K379</f>
        <v>45930</v>
      </c>
      <c r="AQ379">
        <f t="shared" si="56"/>
        <v>94.722109551593206</v>
      </c>
      <c r="AR379">
        <f t="shared" si="57"/>
        <v>149.53166216801378</v>
      </c>
      <c r="AS379">
        <f t="shared" si="58"/>
        <v>177.89962752053088</v>
      </c>
      <c r="AT379">
        <f t="shared" si="59"/>
        <v>64.527604641470958</v>
      </c>
      <c r="AU379">
        <f t="shared" si="60"/>
        <v>153.82407771136894</v>
      </c>
      <c r="AV379">
        <f t="shared" si="61"/>
        <v>664.51401102944885</v>
      </c>
      <c r="AW379">
        <f t="shared" si="62"/>
        <v>141.48960005485475</v>
      </c>
      <c r="AX379">
        <f t="shared" si="63"/>
        <v>135.87117041074424</v>
      </c>
      <c r="AY379">
        <f t="shared" si="64"/>
        <v>197.44247470233125</v>
      </c>
      <c r="AZ379">
        <f t="shared" si="65"/>
        <v>107.78580809774712</v>
      </c>
      <c r="BA379">
        <f t="shared" si="66"/>
        <v>59.488339417052387</v>
      </c>
      <c r="BB379">
        <f t="shared" si="67"/>
        <v>94.763653248360484</v>
      </c>
      <c r="BC379">
        <f t="shared" si="68"/>
        <v>226.50249421298693</v>
      </c>
      <c r="BD379">
        <f t="shared" si="69"/>
        <v>496.6652716163066</v>
      </c>
    </row>
    <row r="380" spans="1:56" x14ac:dyDescent="0.25">
      <c r="A380" t="s">
        <v>7</v>
      </c>
      <c r="B380" t="s">
        <v>11</v>
      </c>
      <c r="C380" t="s">
        <v>9</v>
      </c>
      <c r="D380" t="s">
        <v>10</v>
      </c>
      <c r="E380">
        <v>7</v>
      </c>
      <c r="F380" s="1">
        <v>39263</v>
      </c>
      <c r="G380">
        <v>1.09341712523094E-2</v>
      </c>
      <c r="K380" s="4">
        <v>45961</v>
      </c>
      <c r="L380" s="6">
        <v>-3.617139739262E-2</v>
      </c>
      <c r="M380" s="6">
        <v>2.7509614800495699E-2</v>
      </c>
      <c r="N380" s="6">
        <v>-1.43675674692071E-2</v>
      </c>
      <c r="O380" s="6">
        <v>8.6772392330464292E-3</v>
      </c>
      <c r="P380" s="6">
        <v>3.0661437275596601E-2</v>
      </c>
      <c r="Q380" s="6">
        <v>-1.04216941981613E-2</v>
      </c>
      <c r="R380" s="6">
        <v>-2.0261209684804E-2</v>
      </c>
      <c r="S380" s="6">
        <v>2.8271948891761298E-2</v>
      </c>
      <c r="T380" s="6">
        <v>2.45148018698726E-2</v>
      </c>
      <c r="U380" s="6">
        <v>4.5587840519331598E-3</v>
      </c>
      <c r="V380" s="6">
        <v>1.6248107096262E-2</v>
      </c>
      <c r="W380" s="6">
        <v>-3.8253241085946998E-3</v>
      </c>
      <c r="X380" s="6">
        <v>-7.0072101431693703E-3</v>
      </c>
      <c r="Y380" s="6">
        <v>4.838753022241131E-2</v>
      </c>
      <c r="AA380">
        <v>-3.617139739262E-2</v>
      </c>
      <c r="AB380">
        <v>2.7509614800495699E-2</v>
      </c>
      <c r="AC380">
        <v>-1.43675674692071E-2</v>
      </c>
      <c r="AD380">
        <v>8.6772392330464292E-3</v>
      </c>
      <c r="AE380">
        <v>3.0661437275596601E-2</v>
      </c>
      <c r="AF380">
        <v>-1.04216941981613E-2</v>
      </c>
      <c r="AG380">
        <v>-2.0261209684804E-2</v>
      </c>
      <c r="AH380">
        <v>2.8271948891761298E-2</v>
      </c>
      <c r="AI380">
        <v>2.45148018698726E-2</v>
      </c>
      <c r="AJ380">
        <v>4.5587840519331598E-3</v>
      </c>
      <c r="AK380">
        <v>1.6248107096262E-2</v>
      </c>
      <c r="AL380">
        <v>-3.8253241085946998E-3</v>
      </c>
      <c r="AM380">
        <v>-7.0072101431693703E-3</v>
      </c>
      <c r="AN380">
        <f>+IBOV!C305</f>
        <v>5.4839677366078643E-3</v>
      </c>
      <c r="AP380" s="1">
        <f t="shared" si="70"/>
        <v>45961</v>
      </c>
      <c r="AQ380">
        <f t="shared" ref="AQ380:AQ382" si="71">+AQ379*(1+AA380)</f>
        <v>91.295878485135248</v>
      </c>
      <c r="AR380">
        <f t="shared" ref="AR380:AR382" si="72">+AR379*(1+AB380)</f>
        <v>153.64522059473367</v>
      </c>
      <c r="AS380">
        <f t="shared" ref="AS380:AS382" si="73">+AS379*(1+AC380)</f>
        <v>175.34364261938285</v>
      </c>
      <c r="AT380">
        <f t="shared" ref="AT380:AT382" si="74">+AT379*(1+AD380)</f>
        <v>65.087526104080439</v>
      </c>
      <c r="AU380">
        <f t="shared" ref="AU380:AU382" si="75">+AU379*(1+AE380)</f>
        <v>158.54054502159258</v>
      </c>
      <c r="AV380">
        <f t="shared" ref="AV380:AV382" si="76">+AV379*(1+AF380)</f>
        <v>657.58864921610632</v>
      </c>
      <c r="AW380">
        <f t="shared" ref="AW380:AW382" si="77">+AW379*(1+AG380)</f>
        <v>138.62284959992428</v>
      </c>
      <c r="AX380">
        <f t="shared" ref="AX380:AX382" si="78">+AX379*(1+AH380)</f>
        <v>139.71251319646061</v>
      </c>
      <c r="AY380">
        <f t="shared" ref="AY380:AY382" si="79">+AY379*(1+AI380)</f>
        <v>202.28273785035626</v>
      </c>
      <c r="AZ380">
        <f t="shared" ref="AZ380:AZ382" si="80">+AZ379*(1+AJ380)</f>
        <v>108.27718032072787</v>
      </c>
      <c r="BA380">
        <f t="shared" ref="BA380:BA382" si="81">+BA379*(1+AK380)</f>
        <v>60.45491232687943</v>
      </c>
      <c r="BB380">
        <f t="shared" ref="BB380:BB382" si="82">+BB379*(1+AL380)</f>
        <v>94.401151560971016</v>
      </c>
      <c r="BC380">
        <f t="shared" ref="BC380:BC382" si="83">+BC379*(1+AM380)</f>
        <v>224.91534363808452</v>
      </c>
      <c r="BD380">
        <f t="shared" ref="BD380:BD382" si="84">+BD379*(1+AN380)</f>
        <v>499.388967941744</v>
      </c>
    </row>
    <row r="381" spans="1:56" x14ac:dyDescent="0.25">
      <c r="A381" t="s">
        <v>7</v>
      </c>
      <c r="B381" t="s">
        <v>11</v>
      </c>
      <c r="C381" t="s">
        <v>9</v>
      </c>
      <c r="D381" t="s">
        <v>10</v>
      </c>
      <c r="E381">
        <v>7</v>
      </c>
      <c r="F381" s="1">
        <v>39294</v>
      </c>
      <c r="G381">
        <v>-2.39838568287658E-2</v>
      </c>
      <c r="K381" s="4">
        <v>45991</v>
      </c>
      <c r="L381" s="6">
        <v>1.1394085210785901E-2</v>
      </c>
      <c r="M381" s="6">
        <v>-1.1290775986798E-2</v>
      </c>
      <c r="N381" s="6">
        <v>3.5443898641761302E-3</v>
      </c>
      <c r="O381" s="6">
        <v>-1.5495897413619199E-2</v>
      </c>
      <c r="P381" s="6">
        <v>7.2998653913613201E-3</v>
      </c>
      <c r="Q381" s="6">
        <v>3.8461057492329503E-2</v>
      </c>
      <c r="R381" s="6">
        <v>6.1368177148145801E-3</v>
      </c>
      <c r="S381" s="6">
        <v>1.3676545198568001E-2</v>
      </c>
      <c r="T381" s="6">
        <v>1.6515191189514399E-2</v>
      </c>
      <c r="U381" s="6">
        <v>-1.7894373545661001E-2</v>
      </c>
      <c r="V381" s="6">
        <v>-1.2194188918454999E-2</v>
      </c>
      <c r="W381" s="6">
        <v>-1.1928099379265001E-2</v>
      </c>
      <c r="X381" s="6">
        <v>-8.3575691476892294E-3</v>
      </c>
      <c r="Y381" s="6">
        <v>1.9867047670062407E-2</v>
      </c>
      <c r="AA381">
        <v>1.1394085210785901E-2</v>
      </c>
      <c r="AB381">
        <v>-1.1290775986798E-2</v>
      </c>
      <c r="AC381">
        <v>3.5443898641761302E-3</v>
      </c>
      <c r="AD381">
        <v>-1.5495897413619199E-2</v>
      </c>
      <c r="AE381">
        <v>7.2998653913613201E-3</v>
      </c>
      <c r="AF381">
        <v>3.8461057492329503E-2</v>
      </c>
      <c r="AG381">
        <v>6.1368177148145801E-3</v>
      </c>
      <c r="AH381">
        <v>1.3676545198568001E-2</v>
      </c>
      <c r="AI381">
        <v>1.6515191189514399E-2</v>
      </c>
      <c r="AJ381">
        <v>-1.7894373545661001E-2</v>
      </c>
      <c r="AK381">
        <v>-1.2194188918454999E-2</v>
      </c>
      <c r="AL381">
        <v>-1.1928099379265001E-2</v>
      </c>
      <c r="AM381">
        <v>-8.3575691476892294E-3</v>
      </c>
      <c r="AN381">
        <f>+IBOV!C306</f>
        <v>7.8280982870168714E-2</v>
      </c>
      <c r="AP381" s="1">
        <f t="shared" si="70"/>
        <v>45991</v>
      </c>
      <c r="AQ381">
        <f t="shared" si="71"/>
        <v>92.336111503988434</v>
      </c>
      <c r="AR381">
        <f t="shared" si="72"/>
        <v>151.91044682755637</v>
      </c>
      <c r="AS381">
        <f t="shared" si="73"/>
        <v>175.96512884903069</v>
      </c>
      <c r="AT381">
        <f t="shared" si="74"/>
        <v>64.078936476665348</v>
      </c>
      <c r="AU381">
        <f t="shared" si="75"/>
        <v>159.69786965932329</v>
      </c>
      <c r="AV381">
        <f t="shared" si="76"/>
        <v>682.88020405991028</v>
      </c>
      <c r="AW381">
        <f t="shared" si="77"/>
        <v>139.47355275902717</v>
      </c>
      <c r="AX381">
        <f t="shared" si="78"/>
        <v>141.62329769799754</v>
      </c>
      <c r="AY381">
        <f t="shared" si="79"/>
        <v>205.62347594029333</v>
      </c>
      <c r="AZ381">
        <f t="shared" si="80"/>
        <v>106.33962800959786</v>
      </c>
      <c r="BA381">
        <f t="shared" si="81"/>
        <v>59.717713704916825</v>
      </c>
      <c r="BB381">
        <f t="shared" si="82"/>
        <v>93.275125243634704</v>
      </c>
      <c r="BC381">
        <f t="shared" si="83"/>
        <v>223.03559810125293</v>
      </c>
      <c r="BD381">
        <f t="shared" si="84"/>
        <v>538.48162718674291</v>
      </c>
    </row>
    <row r="382" spans="1:56" x14ac:dyDescent="0.25">
      <c r="A382" t="s">
        <v>7</v>
      </c>
      <c r="B382" t="s">
        <v>11</v>
      </c>
      <c r="C382" t="s">
        <v>9</v>
      </c>
      <c r="D382" t="s">
        <v>10</v>
      </c>
      <c r="E382">
        <v>7</v>
      </c>
      <c r="F382" s="1">
        <v>39325</v>
      </c>
      <c r="G382">
        <v>7.23047167886408E-4</v>
      </c>
      <c r="K382" s="4">
        <v>46022</v>
      </c>
      <c r="L382" s="6">
        <v>-6.5301022066943507E-2</v>
      </c>
      <c r="M382" s="6">
        <v>3.71393920739822E-3</v>
      </c>
      <c r="N382" s="6">
        <v>-3.1573601000489698E-2</v>
      </c>
      <c r="O382" s="6">
        <v>2.19809086856751E-2</v>
      </c>
      <c r="P382" s="6">
        <v>3.8789292545677499E-2</v>
      </c>
      <c r="Q382" s="6">
        <v>-2.9191863118486001E-2</v>
      </c>
      <c r="R382" s="6">
        <v>-1.5735929977000799E-2</v>
      </c>
      <c r="S382" s="6">
        <v>1.5337075477642299E-2</v>
      </c>
      <c r="T382" s="6">
        <v>1.35961370645994E-3</v>
      </c>
      <c r="U382" s="6">
        <v>2.4494725843504001E-2</v>
      </c>
      <c r="V382" s="6">
        <v>1.11509857316402E-2</v>
      </c>
      <c r="W382" s="6">
        <v>4.7390303124395204E-3</v>
      </c>
      <c r="X382" s="6">
        <v>3.3887577783508799E-3</v>
      </c>
      <c r="Y382" s="6">
        <v>-1.6848086874132341E-2</v>
      </c>
      <c r="AA382">
        <v>-6.5301022066943507E-2</v>
      </c>
      <c r="AB382">
        <v>3.71393920739822E-3</v>
      </c>
      <c r="AC382">
        <v>-3.1573601000489698E-2</v>
      </c>
      <c r="AD382">
        <v>2.19809086856751E-2</v>
      </c>
      <c r="AE382">
        <v>3.8789292545677499E-2</v>
      </c>
      <c r="AF382">
        <v>-2.9191863118486001E-2</v>
      </c>
      <c r="AG382">
        <v>-1.5735929977000799E-2</v>
      </c>
      <c r="AH382">
        <v>1.5337075477642299E-2</v>
      </c>
      <c r="AI382">
        <v>1.35961370645994E-3</v>
      </c>
      <c r="AJ382">
        <v>2.4494725843504001E-2</v>
      </c>
      <c r="AK382">
        <v>1.11509857316402E-2</v>
      </c>
      <c r="AL382">
        <v>4.7390303124395204E-3</v>
      </c>
      <c r="AM382">
        <v>3.3887577783508799E-3</v>
      </c>
      <c r="AN382">
        <f>+IBOV!C307</f>
        <v>-2.1622075346170888E-2</v>
      </c>
      <c r="AP382" s="1">
        <f t="shared" si="70"/>
        <v>46022</v>
      </c>
      <c r="AQ382">
        <f t="shared" si="71"/>
        <v>86.306469049090722</v>
      </c>
      <c r="AR382">
        <f t="shared" si="72"/>
        <v>152.47463299204261</v>
      </c>
      <c r="AS382">
        <f t="shared" si="73"/>
        <v>170.40927608075165</v>
      </c>
      <c r="AT382">
        <f t="shared" si="74"/>
        <v>65.487449728034093</v>
      </c>
      <c r="AU382">
        <f t="shared" si="75"/>
        <v>165.89243704446025</v>
      </c>
      <c r="AV382">
        <f t="shared" si="76"/>
        <v>662.94565861666956</v>
      </c>
      <c r="AW382">
        <f t="shared" si="77"/>
        <v>137.2788066991676</v>
      </c>
      <c r="AX382">
        <f t="shared" si="78"/>
        <v>143.79538490418435</v>
      </c>
      <c r="AY382">
        <f t="shared" si="79"/>
        <v>205.90304443655171</v>
      </c>
      <c r="AZ382">
        <f t="shared" si="80"/>
        <v>108.94438804399316</v>
      </c>
      <c r="BA382">
        <f t="shared" si="81"/>
        <v>60.383625078366535</v>
      </c>
      <c r="BB382">
        <f t="shared" si="82"/>
        <v>93.717158889560878</v>
      </c>
      <c r="BC382">
        <f t="shared" si="83"/>
        <v>223.79141171916768</v>
      </c>
      <c r="BD382">
        <f t="shared" si="84"/>
        <v>526.83853687118244</v>
      </c>
    </row>
    <row r="383" spans="1:56" x14ac:dyDescent="0.25">
      <c r="A383" t="s">
        <v>7</v>
      </c>
      <c r="B383" t="s">
        <v>11</v>
      </c>
      <c r="C383" t="s">
        <v>9</v>
      </c>
      <c r="D383" t="s">
        <v>10</v>
      </c>
      <c r="E383">
        <v>7</v>
      </c>
      <c r="F383" s="1">
        <v>39355</v>
      </c>
      <c r="G383">
        <v>-1.5566026811829101E-2</v>
      </c>
      <c r="K383" s="4" t="s">
        <v>24</v>
      </c>
      <c r="L383">
        <v>-0.3285520850390134</v>
      </c>
      <c r="M383">
        <v>0.84713196522405299</v>
      </c>
      <c r="N383">
        <v>0.84324502874275986</v>
      </c>
      <c r="O383">
        <v>0.16176726948649348</v>
      </c>
      <c r="P383">
        <v>0.27675206909985645</v>
      </c>
      <c r="Q383">
        <v>2.6060725353766827</v>
      </c>
      <c r="R383">
        <v>1.6487502423702309</v>
      </c>
      <c r="S383">
        <v>0.44716311609253884</v>
      </c>
      <c r="T383">
        <v>1.4528191272052244</v>
      </c>
      <c r="U383">
        <v>0.65643530601573918</v>
      </c>
      <c r="V383">
        <v>1.4175648319296916</v>
      </c>
      <c r="W383">
        <v>0.63618596376756764</v>
      </c>
      <c r="X383">
        <v>2.6032001684929051</v>
      </c>
      <c r="Y383">
        <v>13.268535538764747</v>
      </c>
    </row>
    <row r="384" spans="1:56" x14ac:dyDescent="0.25">
      <c r="A384" t="s">
        <v>7</v>
      </c>
      <c r="B384" t="s">
        <v>11</v>
      </c>
      <c r="C384" t="s">
        <v>9</v>
      </c>
      <c r="D384" t="s">
        <v>10</v>
      </c>
      <c r="E384">
        <v>7</v>
      </c>
      <c r="F384" s="1">
        <v>39386</v>
      </c>
      <c r="G384">
        <v>-6.0167105543994298E-3</v>
      </c>
    </row>
    <row r="385" spans="1:7" x14ac:dyDescent="0.25">
      <c r="A385" t="s">
        <v>7</v>
      </c>
      <c r="B385" t="s">
        <v>11</v>
      </c>
      <c r="C385" t="s">
        <v>9</v>
      </c>
      <c r="D385" t="s">
        <v>10</v>
      </c>
      <c r="E385">
        <v>7</v>
      </c>
      <c r="F385" s="1">
        <v>39416</v>
      </c>
      <c r="G385">
        <v>1.14553327666583E-2</v>
      </c>
    </row>
    <row r="386" spans="1:7" x14ac:dyDescent="0.25">
      <c r="A386" t="s">
        <v>7</v>
      </c>
      <c r="B386" t="s">
        <v>11</v>
      </c>
      <c r="C386" t="s">
        <v>9</v>
      </c>
      <c r="D386" t="s">
        <v>10</v>
      </c>
      <c r="E386">
        <v>7</v>
      </c>
      <c r="F386" s="1">
        <v>39447</v>
      </c>
      <c r="G386">
        <v>1.42932412056352E-2</v>
      </c>
    </row>
    <row r="387" spans="1:7" x14ac:dyDescent="0.25">
      <c r="A387" t="s">
        <v>7</v>
      </c>
      <c r="B387" t="s">
        <v>11</v>
      </c>
      <c r="C387" t="s">
        <v>9</v>
      </c>
      <c r="D387" t="s">
        <v>10</v>
      </c>
      <c r="E387">
        <v>7</v>
      </c>
      <c r="F387" s="1">
        <v>39478</v>
      </c>
      <c r="G387">
        <v>1.09398488577306E-2</v>
      </c>
    </row>
    <row r="388" spans="1:7" x14ac:dyDescent="0.25">
      <c r="A388" t="s">
        <v>7</v>
      </c>
      <c r="B388" t="s">
        <v>11</v>
      </c>
      <c r="C388" t="s">
        <v>9</v>
      </c>
      <c r="D388" t="s">
        <v>10</v>
      </c>
      <c r="E388">
        <v>7</v>
      </c>
      <c r="F388" s="1">
        <v>39507</v>
      </c>
      <c r="G388">
        <v>-3.7121525630360599E-2</v>
      </c>
    </row>
    <row r="389" spans="1:7" x14ac:dyDescent="0.25">
      <c r="A389" t="s">
        <v>7</v>
      </c>
      <c r="B389" t="s">
        <v>11</v>
      </c>
      <c r="C389" t="s">
        <v>9</v>
      </c>
      <c r="D389" t="s">
        <v>10</v>
      </c>
      <c r="E389">
        <v>7</v>
      </c>
      <c r="F389" s="1">
        <v>39538</v>
      </c>
      <c r="G389">
        <v>1.1775238111736801E-2</v>
      </c>
    </row>
    <row r="390" spans="1:7" x14ac:dyDescent="0.25">
      <c r="A390" t="s">
        <v>7</v>
      </c>
      <c r="B390" t="s">
        <v>11</v>
      </c>
      <c r="C390" t="s">
        <v>9</v>
      </c>
      <c r="D390" t="s">
        <v>10</v>
      </c>
      <c r="E390">
        <v>7</v>
      </c>
      <c r="F390" s="1">
        <v>39568</v>
      </c>
      <c r="G390">
        <v>-1.83455700945074E-2</v>
      </c>
    </row>
    <row r="391" spans="1:7" x14ac:dyDescent="0.25">
      <c r="A391" t="s">
        <v>7</v>
      </c>
      <c r="B391" t="s">
        <v>11</v>
      </c>
      <c r="C391" t="s">
        <v>9</v>
      </c>
      <c r="D391" t="s">
        <v>10</v>
      </c>
      <c r="E391">
        <v>7</v>
      </c>
      <c r="F391" s="1">
        <v>39599</v>
      </c>
      <c r="G391">
        <v>-1.4169095227587599E-3</v>
      </c>
    </row>
    <row r="392" spans="1:7" x14ac:dyDescent="0.25">
      <c r="A392" t="s">
        <v>7</v>
      </c>
      <c r="B392" t="s">
        <v>11</v>
      </c>
      <c r="C392" t="s">
        <v>9</v>
      </c>
      <c r="D392" t="s">
        <v>10</v>
      </c>
      <c r="E392">
        <v>7</v>
      </c>
      <c r="F392" s="1">
        <v>39629</v>
      </c>
      <c r="G392">
        <v>1.06928489798072E-2</v>
      </c>
    </row>
    <row r="393" spans="1:7" x14ac:dyDescent="0.25">
      <c r="A393" t="s">
        <v>7</v>
      </c>
      <c r="B393" t="s">
        <v>11</v>
      </c>
      <c r="C393" t="s">
        <v>9</v>
      </c>
      <c r="D393" t="s">
        <v>10</v>
      </c>
      <c r="E393">
        <v>7</v>
      </c>
      <c r="F393" s="1">
        <v>39660</v>
      </c>
      <c r="G393">
        <v>-3.8184178505774602E-2</v>
      </c>
    </row>
    <row r="394" spans="1:7" x14ac:dyDescent="0.25">
      <c r="A394" t="s">
        <v>7</v>
      </c>
      <c r="B394" t="s">
        <v>11</v>
      </c>
      <c r="C394" t="s">
        <v>9</v>
      </c>
      <c r="D394" t="s">
        <v>10</v>
      </c>
      <c r="E394">
        <v>7</v>
      </c>
      <c r="F394" s="1">
        <v>39691</v>
      </c>
      <c r="G394">
        <v>2.80778109919247E-2</v>
      </c>
    </row>
    <row r="395" spans="1:7" x14ac:dyDescent="0.25">
      <c r="A395" t="s">
        <v>7</v>
      </c>
      <c r="B395" t="s">
        <v>11</v>
      </c>
      <c r="C395" t="s">
        <v>9</v>
      </c>
      <c r="D395" t="s">
        <v>10</v>
      </c>
      <c r="E395">
        <v>7</v>
      </c>
      <c r="F395" s="1">
        <v>39721</v>
      </c>
      <c r="G395">
        <v>3.1153948285847902E-2</v>
      </c>
    </row>
    <row r="396" spans="1:7" x14ac:dyDescent="0.25">
      <c r="A396" t="s">
        <v>7</v>
      </c>
      <c r="B396" t="s">
        <v>11</v>
      </c>
      <c r="C396" t="s">
        <v>9</v>
      </c>
      <c r="D396" t="s">
        <v>10</v>
      </c>
      <c r="E396">
        <v>7</v>
      </c>
      <c r="F396" s="1">
        <v>39752</v>
      </c>
      <c r="G396">
        <v>2.36825339674911E-2</v>
      </c>
    </row>
    <row r="397" spans="1:7" x14ac:dyDescent="0.25">
      <c r="A397" t="s">
        <v>7</v>
      </c>
      <c r="B397" t="s">
        <v>11</v>
      </c>
      <c r="C397" t="s">
        <v>9</v>
      </c>
      <c r="D397" t="s">
        <v>10</v>
      </c>
      <c r="E397">
        <v>7</v>
      </c>
      <c r="F397" s="1">
        <v>39782</v>
      </c>
      <c r="G397">
        <v>-8.7948498727748094E-3</v>
      </c>
    </row>
    <row r="398" spans="1:7" x14ac:dyDescent="0.25">
      <c r="A398" t="s">
        <v>7</v>
      </c>
      <c r="B398" t="s">
        <v>11</v>
      </c>
      <c r="C398" t="s">
        <v>9</v>
      </c>
      <c r="D398" t="s">
        <v>10</v>
      </c>
      <c r="E398">
        <v>7</v>
      </c>
      <c r="F398" s="1">
        <v>39813</v>
      </c>
      <c r="G398">
        <v>3.7419360465948903E-2</v>
      </c>
    </row>
    <row r="399" spans="1:7" x14ac:dyDescent="0.25">
      <c r="A399" t="s">
        <v>7</v>
      </c>
      <c r="B399" t="s">
        <v>11</v>
      </c>
      <c r="C399" t="s">
        <v>9</v>
      </c>
      <c r="D399" t="s">
        <v>10</v>
      </c>
      <c r="E399">
        <v>7</v>
      </c>
      <c r="F399" s="1">
        <v>39844</v>
      </c>
      <c r="G399">
        <v>1.62014710225242E-2</v>
      </c>
    </row>
    <row r="400" spans="1:7" x14ac:dyDescent="0.25">
      <c r="A400" t="s">
        <v>7</v>
      </c>
      <c r="B400" t="s">
        <v>11</v>
      </c>
      <c r="C400" t="s">
        <v>9</v>
      </c>
      <c r="D400" t="s">
        <v>10</v>
      </c>
      <c r="E400">
        <v>7</v>
      </c>
      <c r="F400" s="1">
        <v>39872</v>
      </c>
      <c r="G400">
        <v>1.76248651691665E-2</v>
      </c>
    </row>
    <row r="401" spans="1:7" x14ac:dyDescent="0.25">
      <c r="A401" t="s">
        <v>7</v>
      </c>
      <c r="B401" t="s">
        <v>11</v>
      </c>
      <c r="C401" t="s">
        <v>9</v>
      </c>
      <c r="D401" t="s">
        <v>10</v>
      </c>
      <c r="E401">
        <v>7</v>
      </c>
      <c r="F401" s="1">
        <v>39903</v>
      </c>
      <c r="G401">
        <v>4.1465116389175397E-2</v>
      </c>
    </row>
    <row r="402" spans="1:7" x14ac:dyDescent="0.25">
      <c r="A402" t="s">
        <v>7</v>
      </c>
      <c r="B402" t="s">
        <v>11</v>
      </c>
      <c r="C402" t="s">
        <v>9</v>
      </c>
      <c r="D402" t="s">
        <v>10</v>
      </c>
      <c r="E402">
        <v>7</v>
      </c>
      <c r="F402" s="1">
        <v>39933</v>
      </c>
      <c r="G402">
        <v>-8.0168979341126198E-2</v>
      </c>
    </row>
    <row r="403" spans="1:7" x14ac:dyDescent="0.25">
      <c r="A403" t="s">
        <v>7</v>
      </c>
      <c r="B403" t="s">
        <v>11</v>
      </c>
      <c r="C403" t="s">
        <v>9</v>
      </c>
      <c r="D403" t="s">
        <v>10</v>
      </c>
      <c r="E403">
        <v>7</v>
      </c>
      <c r="F403" s="1">
        <v>39964</v>
      </c>
      <c r="G403">
        <v>-4.96998612754928E-2</v>
      </c>
    </row>
    <row r="404" spans="1:7" x14ac:dyDescent="0.25">
      <c r="A404" t="s">
        <v>7</v>
      </c>
      <c r="B404" t="s">
        <v>11</v>
      </c>
      <c r="C404" t="s">
        <v>9</v>
      </c>
      <c r="D404" t="s">
        <v>10</v>
      </c>
      <c r="E404">
        <v>7</v>
      </c>
      <c r="F404" s="1">
        <v>39994</v>
      </c>
      <c r="G404">
        <v>1.0880099677804501E-2</v>
      </c>
    </row>
    <row r="405" spans="1:7" x14ac:dyDescent="0.25">
      <c r="A405" t="s">
        <v>7</v>
      </c>
      <c r="B405" t="s">
        <v>11</v>
      </c>
      <c r="C405" t="s">
        <v>9</v>
      </c>
      <c r="D405" t="s">
        <v>10</v>
      </c>
      <c r="E405">
        <v>7</v>
      </c>
      <c r="F405" s="1">
        <v>40025</v>
      </c>
      <c r="G405">
        <v>-5.3628685036100097E-2</v>
      </c>
    </row>
    <row r="406" spans="1:7" x14ac:dyDescent="0.25">
      <c r="A406" t="s">
        <v>7</v>
      </c>
      <c r="B406" t="s">
        <v>11</v>
      </c>
      <c r="C406" t="s">
        <v>9</v>
      </c>
      <c r="D406" t="s">
        <v>10</v>
      </c>
      <c r="E406">
        <v>7</v>
      </c>
      <c r="F406" s="1">
        <v>40056</v>
      </c>
      <c r="G406">
        <v>-2.2621411361249E-2</v>
      </c>
    </row>
    <row r="407" spans="1:7" x14ac:dyDescent="0.25">
      <c r="A407" t="s">
        <v>7</v>
      </c>
      <c r="B407" t="s">
        <v>11</v>
      </c>
      <c r="C407" t="s">
        <v>9</v>
      </c>
      <c r="D407" t="s">
        <v>10</v>
      </c>
      <c r="E407">
        <v>7</v>
      </c>
      <c r="F407" s="1">
        <v>40086</v>
      </c>
      <c r="G407">
        <v>6.3363774963225601E-3</v>
      </c>
    </row>
    <row r="408" spans="1:7" x14ac:dyDescent="0.25">
      <c r="A408" t="s">
        <v>7</v>
      </c>
      <c r="B408" t="s">
        <v>11</v>
      </c>
      <c r="C408" t="s">
        <v>9</v>
      </c>
      <c r="D408" t="s">
        <v>10</v>
      </c>
      <c r="E408">
        <v>7</v>
      </c>
      <c r="F408" s="1">
        <v>40117</v>
      </c>
      <c r="G408">
        <v>-1.24152476471668E-2</v>
      </c>
    </row>
    <row r="409" spans="1:7" x14ac:dyDescent="0.25">
      <c r="A409" t="s">
        <v>7</v>
      </c>
      <c r="B409" t="s">
        <v>11</v>
      </c>
      <c r="C409" t="s">
        <v>9</v>
      </c>
      <c r="D409" t="s">
        <v>10</v>
      </c>
      <c r="E409">
        <v>7</v>
      </c>
      <c r="F409" s="1">
        <v>40147</v>
      </c>
      <c r="G409">
        <v>-3.1346828157982502E-2</v>
      </c>
    </row>
    <row r="410" spans="1:7" x14ac:dyDescent="0.25">
      <c r="A410" t="s">
        <v>7</v>
      </c>
      <c r="B410" t="s">
        <v>11</v>
      </c>
      <c r="C410" t="s">
        <v>9</v>
      </c>
      <c r="D410" t="s">
        <v>10</v>
      </c>
      <c r="E410">
        <v>7</v>
      </c>
      <c r="F410" s="1">
        <v>40178</v>
      </c>
      <c r="G410">
        <v>-3.72391371264843E-3</v>
      </c>
    </row>
    <row r="411" spans="1:7" x14ac:dyDescent="0.25">
      <c r="A411" t="s">
        <v>7</v>
      </c>
      <c r="B411" t="s">
        <v>11</v>
      </c>
      <c r="C411" t="s">
        <v>9</v>
      </c>
      <c r="D411" t="s">
        <v>10</v>
      </c>
      <c r="E411">
        <v>7</v>
      </c>
      <c r="F411" s="1">
        <v>40209</v>
      </c>
      <c r="G411">
        <v>0.106357246354101</v>
      </c>
    </row>
    <row r="412" spans="1:7" x14ac:dyDescent="0.25">
      <c r="A412" t="s">
        <v>7</v>
      </c>
      <c r="B412" t="s">
        <v>11</v>
      </c>
      <c r="C412" t="s">
        <v>9</v>
      </c>
      <c r="D412" t="s">
        <v>10</v>
      </c>
      <c r="E412">
        <v>7</v>
      </c>
      <c r="F412" s="1">
        <v>40237</v>
      </c>
      <c r="G412">
        <v>-4.6617915043996897E-3</v>
      </c>
    </row>
    <row r="413" spans="1:7" x14ac:dyDescent="0.25">
      <c r="A413" t="s">
        <v>7</v>
      </c>
      <c r="B413" t="s">
        <v>11</v>
      </c>
      <c r="C413" t="s">
        <v>9</v>
      </c>
      <c r="D413" t="s">
        <v>10</v>
      </c>
      <c r="E413">
        <v>7</v>
      </c>
      <c r="F413" s="1">
        <v>40268</v>
      </c>
      <c r="G413">
        <v>5.6578459729271197E-2</v>
      </c>
    </row>
    <row r="414" spans="1:7" x14ac:dyDescent="0.25">
      <c r="A414" t="s">
        <v>7</v>
      </c>
      <c r="B414" t="s">
        <v>11</v>
      </c>
      <c r="C414" t="s">
        <v>9</v>
      </c>
      <c r="D414" t="s">
        <v>10</v>
      </c>
      <c r="E414">
        <v>7</v>
      </c>
      <c r="F414" s="1">
        <v>40298</v>
      </c>
      <c r="G414">
        <v>-1.48140631901341E-2</v>
      </c>
    </row>
    <row r="415" spans="1:7" x14ac:dyDescent="0.25">
      <c r="A415" t="s">
        <v>7</v>
      </c>
      <c r="B415" t="s">
        <v>11</v>
      </c>
      <c r="C415" t="s">
        <v>9</v>
      </c>
      <c r="D415" t="s">
        <v>10</v>
      </c>
      <c r="E415">
        <v>7</v>
      </c>
      <c r="F415" s="1">
        <v>40329</v>
      </c>
      <c r="G415">
        <v>9.0988331973890901E-3</v>
      </c>
    </row>
    <row r="416" spans="1:7" x14ac:dyDescent="0.25">
      <c r="A416" t="s">
        <v>7</v>
      </c>
      <c r="B416" t="s">
        <v>11</v>
      </c>
      <c r="C416" t="s">
        <v>9</v>
      </c>
      <c r="D416" t="s">
        <v>10</v>
      </c>
      <c r="E416">
        <v>7</v>
      </c>
      <c r="F416" s="1">
        <v>40359</v>
      </c>
      <c r="G416">
        <v>9.2266113541265397E-3</v>
      </c>
    </row>
    <row r="417" spans="1:7" x14ac:dyDescent="0.25">
      <c r="A417" t="s">
        <v>7</v>
      </c>
      <c r="B417" t="s">
        <v>11</v>
      </c>
      <c r="C417" t="s">
        <v>9</v>
      </c>
      <c r="D417" t="s">
        <v>10</v>
      </c>
      <c r="E417">
        <v>7</v>
      </c>
      <c r="F417" s="1">
        <v>40390</v>
      </c>
      <c r="G417">
        <v>-4.0645099586601799E-3</v>
      </c>
    </row>
    <row r="418" spans="1:7" x14ac:dyDescent="0.25">
      <c r="A418" t="s">
        <v>7</v>
      </c>
      <c r="B418" t="s">
        <v>11</v>
      </c>
      <c r="C418" t="s">
        <v>9</v>
      </c>
      <c r="D418" t="s">
        <v>10</v>
      </c>
      <c r="E418">
        <v>7</v>
      </c>
      <c r="F418" s="1">
        <v>40421</v>
      </c>
      <c r="G418">
        <v>2.48781644168675E-2</v>
      </c>
    </row>
    <row r="419" spans="1:7" x14ac:dyDescent="0.25">
      <c r="A419" t="s">
        <v>7</v>
      </c>
      <c r="B419" t="s">
        <v>11</v>
      </c>
      <c r="C419" t="s">
        <v>9</v>
      </c>
      <c r="D419" t="s">
        <v>10</v>
      </c>
      <c r="E419">
        <v>7</v>
      </c>
      <c r="F419" s="1">
        <v>40451</v>
      </c>
      <c r="G419">
        <v>-1.7790071771845401E-2</v>
      </c>
    </row>
    <row r="420" spans="1:7" x14ac:dyDescent="0.25">
      <c r="A420" t="s">
        <v>7</v>
      </c>
      <c r="B420" t="s">
        <v>11</v>
      </c>
      <c r="C420" t="s">
        <v>9</v>
      </c>
      <c r="D420" t="s">
        <v>10</v>
      </c>
      <c r="E420">
        <v>7</v>
      </c>
      <c r="F420" s="1">
        <v>40482</v>
      </c>
      <c r="G420">
        <v>7.3944882961441295E-4</v>
      </c>
    </row>
    <row r="421" spans="1:7" x14ac:dyDescent="0.25">
      <c r="A421" t="s">
        <v>7</v>
      </c>
      <c r="B421" t="s">
        <v>11</v>
      </c>
      <c r="C421" t="s">
        <v>9</v>
      </c>
      <c r="D421" t="s">
        <v>10</v>
      </c>
      <c r="E421">
        <v>7</v>
      </c>
      <c r="F421" s="1">
        <v>40512</v>
      </c>
      <c r="G421">
        <v>-7.8778832640756004E-3</v>
      </c>
    </row>
    <row r="422" spans="1:7" x14ac:dyDescent="0.25">
      <c r="A422" t="s">
        <v>7</v>
      </c>
      <c r="B422" t="s">
        <v>11</v>
      </c>
      <c r="C422" t="s">
        <v>9</v>
      </c>
      <c r="D422" t="s">
        <v>10</v>
      </c>
      <c r="E422">
        <v>7</v>
      </c>
      <c r="F422" s="1">
        <v>40543</v>
      </c>
      <c r="G422">
        <v>-3.0604222259161002E-3</v>
      </c>
    </row>
    <row r="423" spans="1:7" x14ac:dyDescent="0.25">
      <c r="A423" t="s">
        <v>7</v>
      </c>
      <c r="B423" t="s">
        <v>11</v>
      </c>
      <c r="C423" t="s">
        <v>9</v>
      </c>
      <c r="D423" t="s">
        <v>10</v>
      </c>
      <c r="E423">
        <v>7</v>
      </c>
      <c r="F423" s="1">
        <v>40574</v>
      </c>
      <c r="G423">
        <v>1.5721447643184301E-3</v>
      </c>
    </row>
    <row r="424" spans="1:7" x14ac:dyDescent="0.25">
      <c r="A424" t="s">
        <v>7</v>
      </c>
      <c r="B424" t="s">
        <v>11</v>
      </c>
      <c r="C424" t="s">
        <v>9</v>
      </c>
      <c r="D424" t="s">
        <v>10</v>
      </c>
      <c r="E424">
        <v>7</v>
      </c>
      <c r="F424" s="1">
        <v>40602</v>
      </c>
      <c r="G424">
        <v>2.23382737953023E-3</v>
      </c>
    </row>
    <row r="425" spans="1:7" x14ac:dyDescent="0.25">
      <c r="A425" t="s">
        <v>7</v>
      </c>
      <c r="B425" t="s">
        <v>11</v>
      </c>
      <c r="C425" t="s">
        <v>9</v>
      </c>
      <c r="D425" t="s">
        <v>10</v>
      </c>
      <c r="E425">
        <v>7</v>
      </c>
      <c r="F425" s="1">
        <v>40633</v>
      </c>
      <c r="G425">
        <v>1.7096162482926299E-3</v>
      </c>
    </row>
    <row r="426" spans="1:7" x14ac:dyDescent="0.25">
      <c r="A426" t="s">
        <v>7</v>
      </c>
      <c r="B426" t="s">
        <v>11</v>
      </c>
      <c r="C426" t="s">
        <v>9</v>
      </c>
      <c r="D426" t="s">
        <v>10</v>
      </c>
      <c r="E426">
        <v>7</v>
      </c>
      <c r="F426" s="1">
        <v>40663</v>
      </c>
      <c r="G426">
        <v>-1.5580501170088801E-3</v>
      </c>
    </row>
    <row r="427" spans="1:7" x14ac:dyDescent="0.25">
      <c r="A427" t="s">
        <v>7</v>
      </c>
      <c r="B427" t="s">
        <v>11</v>
      </c>
      <c r="C427" t="s">
        <v>9</v>
      </c>
      <c r="D427" t="s">
        <v>10</v>
      </c>
      <c r="E427">
        <v>7</v>
      </c>
      <c r="F427" s="1">
        <v>40694</v>
      </c>
      <c r="G427">
        <v>8.5534097485394991E-3</v>
      </c>
    </row>
    <row r="428" spans="1:7" x14ac:dyDescent="0.25">
      <c r="A428" t="s">
        <v>7</v>
      </c>
      <c r="B428" t="s">
        <v>11</v>
      </c>
      <c r="C428" t="s">
        <v>9</v>
      </c>
      <c r="D428" t="s">
        <v>10</v>
      </c>
      <c r="E428">
        <v>7</v>
      </c>
      <c r="F428" s="1">
        <v>40724</v>
      </c>
      <c r="G428">
        <v>2.45658769507099E-3</v>
      </c>
    </row>
    <row r="429" spans="1:7" x14ac:dyDescent="0.25">
      <c r="A429" t="s">
        <v>7</v>
      </c>
      <c r="B429" t="s">
        <v>11</v>
      </c>
      <c r="C429" t="s">
        <v>9</v>
      </c>
      <c r="D429" t="s">
        <v>10</v>
      </c>
      <c r="E429">
        <v>7</v>
      </c>
      <c r="F429" s="1">
        <v>40755</v>
      </c>
      <c r="G429">
        <v>2.26871194634586E-2</v>
      </c>
    </row>
    <row r="430" spans="1:7" x14ac:dyDescent="0.25">
      <c r="A430" t="s">
        <v>7</v>
      </c>
      <c r="B430" t="s">
        <v>11</v>
      </c>
      <c r="C430" t="s">
        <v>9</v>
      </c>
      <c r="D430" t="s">
        <v>10</v>
      </c>
      <c r="E430">
        <v>7</v>
      </c>
      <c r="F430" s="1">
        <v>40786</v>
      </c>
      <c r="G430">
        <v>-3.8564088311160401E-3</v>
      </c>
    </row>
    <row r="431" spans="1:7" x14ac:dyDescent="0.25">
      <c r="A431" t="s">
        <v>7</v>
      </c>
      <c r="B431" t="s">
        <v>11</v>
      </c>
      <c r="C431" t="s">
        <v>9</v>
      </c>
      <c r="D431" t="s">
        <v>10</v>
      </c>
      <c r="E431">
        <v>7</v>
      </c>
      <c r="F431" s="1">
        <v>40816</v>
      </c>
      <c r="G431">
        <v>3.36818372075708E-2</v>
      </c>
    </row>
    <row r="432" spans="1:7" x14ac:dyDescent="0.25">
      <c r="A432" t="s">
        <v>7</v>
      </c>
      <c r="B432" t="s">
        <v>11</v>
      </c>
      <c r="C432" t="s">
        <v>9</v>
      </c>
      <c r="D432" t="s">
        <v>10</v>
      </c>
      <c r="E432">
        <v>7</v>
      </c>
      <c r="F432" s="1">
        <v>40847</v>
      </c>
      <c r="G432">
        <v>2.4430300810794999E-2</v>
      </c>
    </row>
    <row r="433" spans="1:7" x14ac:dyDescent="0.25">
      <c r="A433" t="s">
        <v>7</v>
      </c>
      <c r="B433" t="s">
        <v>11</v>
      </c>
      <c r="C433" t="s">
        <v>9</v>
      </c>
      <c r="D433" t="s">
        <v>10</v>
      </c>
      <c r="E433">
        <v>7</v>
      </c>
      <c r="F433" s="1">
        <v>40877</v>
      </c>
      <c r="G433">
        <v>2.1787033132097299E-2</v>
      </c>
    </row>
    <row r="434" spans="1:7" x14ac:dyDescent="0.25">
      <c r="A434" t="s">
        <v>7</v>
      </c>
      <c r="B434" t="s">
        <v>11</v>
      </c>
      <c r="C434" t="s">
        <v>9</v>
      </c>
      <c r="D434" t="s">
        <v>10</v>
      </c>
      <c r="E434">
        <v>7</v>
      </c>
      <c r="F434" s="1">
        <v>40908</v>
      </c>
      <c r="G434">
        <v>-2.5804074875595598E-3</v>
      </c>
    </row>
    <row r="435" spans="1:7" x14ac:dyDescent="0.25">
      <c r="A435" t="s">
        <v>7</v>
      </c>
      <c r="B435" t="s">
        <v>11</v>
      </c>
      <c r="C435" t="s">
        <v>9</v>
      </c>
      <c r="D435" t="s">
        <v>10</v>
      </c>
      <c r="E435">
        <v>7</v>
      </c>
      <c r="F435" s="1">
        <v>40939</v>
      </c>
      <c r="G435">
        <v>-1.8303583424231398E-2</v>
      </c>
    </row>
    <row r="436" spans="1:7" x14ac:dyDescent="0.25">
      <c r="A436" t="s">
        <v>7</v>
      </c>
      <c r="B436" t="s">
        <v>11</v>
      </c>
      <c r="C436" t="s">
        <v>9</v>
      </c>
      <c r="D436" t="s">
        <v>10</v>
      </c>
      <c r="E436">
        <v>7</v>
      </c>
      <c r="F436" s="1">
        <v>40968</v>
      </c>
      <c r="G436">
        <v>-1.33267985019521E-2</v>
      </c>
    </row>
    <row r="437" spans="1:7" x14ac:dyDescent="0.25">
      <c r="A437" t="s">
        <v>7</v>
      </c>
      <c r="B437" t="s">
        <v>11</v>
      </c>
      <c r="C437" t="s">
        <v>9</v>
      </c>
      <c r="D437" t="s">
        <v>10</v>
      </c>
      <c r="E437">
        <v>7</v>
      </c>
      <c r="F437" s="1">
        <v>40999</v>
      </c>
      <c r="G437">
        <v>3.8535751471111498E-3</v>
      </c>
    </row>
    <row r="438" spans="1:7" x14ac:dyDescent="0.25">
      <c r="A438" t="s">
        <v>7</v>
      </c>
      <c r="B438" t="s">
        <v>11</v>
      </c>
      <c r="C438" t="s">
        <v>9</v>
      </c>
      <c r="D438" t="s">
        <v>10</v>
      </c>
      <c r="E438">
        <v>7</v>
      </c>
      <c r="F438" s="1">
        <v>41029</v>
      </c>
      <c r="G438">
        <v>9.83958168873845E-3</v>
      </c>
    </row>
    <row r="439" spans="1:7" x14ac:dyDescent="0.25">
      <c r="A439" t="s">
        <v>7</v>
      </c>
      <c r="B439" t="s">
        <v>11</v>
      </c>
      <c r="C439" t="s">
        <v>9</v>
      </c>
      <c r="D439" t="s">
        <v>10</v>
      </c>
      <c r="E439">
        <v>7</v>
      </c>
      <c r="F439" s="1">
        <v>41060</v>
      </c>
      <c r="G439">
        <v>3.1406615850660402E-2</v>
      </c>
    </row>
    <row r="440" spans="1:7" x14ac:dyDescent="0.25">
      <c r="A440" t="s">
        <v>7</v>
      </c>
      <c r="B440" t="s">
        <v>11</v>
      </c>
      <c r="C440" t="s">
        <v>9</v>
      </c>
      <c r="D440" t="s">
        <v>10</v>
      </c>
      <c r="E440">
        <v>7</v>
      </c>
      <c r="F440" s="1">
        <v>41090</v>
      </c>
      <c r="G440">
        <v>3.43341300648791E-2</v>
      </c>
    </row>
    <row r="441" spans="1:7" x14ac:dyDescent="0.25">
      <c r="A441" t="s">
        <v>7</v>
      </c>
      <c r="B441" t="s">
        <v>11</v>
      </c>
      <c r="C441" t="s">
        <v>9</v>
      </c>
      <c r="D441" t="s">
        <v>10</v>
      </c>
      <c r="E441">
        <v>7</v>
      </c>
      <c r="F441" s="1">
        <v>41121</v>
      </c>
      <c r="G441">
        <v>-1.4200569226109599E-2</v>
      </c>
    </row>
    <row r="442" spans="1:7" x14ac:dyDescent="0.25">
      <c r="A442" t="s">
        <v>7</v>
      </c>
      <c r="B442" t="s">
        <v>11</v>
      </c>
      <c r="C442" t="s">
        <v>9</v>
      </c>
      <c r="D442" t="s">
        <v>10</v>
      </c>
      <c r="E442">
        <v>7</v>
      </c>
      <c r="F442" s="1">
        <v>41152</v>
      </c>
      <c r="G442">
        <v>-1.09355278702385E-2</v>
      </c>
    </row>
    <row r="443" spans="1:7" x14ac:dyDescent="0.25">
      <c r="A443" t="s">
        <v>7</v>
      </c>
      <c r="B443" t="s">
        <v>11</v>
      </c>
      <c r="C443" t="s">
        <v>9</v>
      </c>
      <c r="D443" t="s">
        <v>10</v>
      </c>
      <c r="E443">
        <v>7</v>
      </c>
      <c r="F443" s="1">
        <v>41182</v>
      </c>
      <c r="G443">
        <v>-3.74031638188507E-3</v>
      </c>
    </row>
    <row r="444" spans="1:7" x14ac:dyDescent="0.25">
      <c r="A444" t="s">
        <v>7</v>
      </c>
      <c r="B444" t="s">
        <v>11</v>
      </c>
      <c r="C444" t="s">
        <v>9</v>
      </c>
      <c r="D444" t="s">
        <v>10</v>
      </c>
      <c r="E444">
        <v>7</v>
      </c>
      <c r="F444" s="1">
        <v>41213</v>
      </c>
      <c r="G444">
        <v>8.4827192903209198E-3</v>
      </c>
    </row>
    <row r="445" spans="1:7" x14ac:dyDescent="0.25">
      <c r="A445" t="s">
        <v>7</v>
      </c>
      <c r="B445" t="s">
        <v>11</v>
      </c>
      <c r="C445" t="s">
        <v>9</v>
      </c>
      <c r="D445" t="s">
        <v>10</v>
      </c>
      <c r="E445">
        <v>7</v>
      </c>
      <c r="F445" s="1">
        <v>41243</v>
      </c>
      <c r="G445">
        <v>1.3091023444304401E-2</v>
      </c>
    </row>
    <row r="446" spans="1:7" x14ac:dyDescent="0.25">
      <c r="A446" t="s">
        <v>7</v>
      </c>
      <c r="B446" t="s">
        <v>11</v>
      </c>
      <c r="C446" t="s">
        <v>9</v>
      </c>
      <c r="D446" t="s">
        <v>10</v>
      </c>
      <c r="E446">
        <v>7</v>
      </c>
      <c r="F446" s="1">
        <v>41274</v>
      </c>
      <c r="G446">
        <v>-2.3453002339354798E-2</v>
      </c>
    </row>
    <row r="447" spans="1:7" x14ac:dyDescent="0.25">
      <c r="A447" t="s">
        <v>7</v>
      </c>
      <c r="B447" t="s">
        <v>11</v>
      </c>
      <c r="C447" t="s">
        <v>9</v>
      </c>
      <c r="D447" t="s">
        <v>10</v>
      </c>
      <c r="E447">
        <v>7</v>
      </c>
      <c r="F447" s="1">
        <v>41305</v>
      </c>
      <c r="G447">
        <v>1.9772568822233501E-2</v>
      </c>
    </row>
    <row r="448" spans="1:7" x14ac:dyDescent="0.25">
      <c r="A448" t="s">
        <v>7</v>
      </c>
      <c r="B448" t="s">
        <v>11</v>
      </c>
      <c r="C448" t="s">
        <v>9</v>
      </c>
      <c r="D448" t="s">
        <v>10</v>
      </c>
      <c r="E448">
        <v>7</v>
      </c>
      <c r="F448" s="1">
        <v>41333</v>
      </c>
      <c r="G448">
        <v>2.2117300999009399E-2</v>
      </c>
    </row>
    <row r="449" spans="1:7" x14ac:dyDescent="0.25">
      <c r="A449" t="s">
        <v>7</v>
      </c>
      <c r="B449" t="s">
        <v>11</v>
      </c>
      <c r="C449" t="s">
        <v>9</v>
      </c>
      <c r="D449" t="s">
        <v>10</v>
      </c>
      <c r="E449">
        <v>7</v>
      </c>
      <c r="F449" s="1">
        <v>41364</v>
      </c>
      <c r="G449">
        <v>1.3366487562040501E-2</v>
      </c>
    </row>
    <row r="450" spans="1:7" x14ac:dyDescent="0.25">
      <c r="A450" t="s">
        <v>7</v>
      </c>
      <c r="B450" t="s">
        <v>11</v>
      </c>
      <c r="C450" t="s">
        <v>9</v>
      </c>
      <c r="D450" t="s">
        <v>10</v>
      </c>
      <c r="E450">
        <v>7</v>
      </c>
      <c r="F450" s="1">
        <v>41394</v>
      </c>
      <c r="G450">
        <v>2.79669292682752E-3</v>
      </c>
    </row>
    <row r="451" spans="1:7" x14ac:dyDescent="0.25">
      <c r="A451" t="s">
        <v>7</v>
      </c>
      <c r="B451" t="s">
        <v>11</v>
      </c>
      <c r="C451" t="s">
        <v>9</v>
      </c>
      <c r="D451" t="s">
        <v>10</v>
      </c>
      <c r="E451">
        <v>7</v>
      </c>
      <c r="F451" s="1">
        <v>41425</v>
      </c>
      <c r="G451">
        <v>1.16882436368354E-2</v>
      </c>
    </row>
    <row r="452" spans="1:7" x14ac:dyDescent="0.25">
      <c r="A452" t="s">
        <v>7</v>
      </c>
      <c r="B452" t="s">
        <v>11</v>
      </c>
      <c r="C452" t="s">
        <v>9</v>
      </c>
      <c r="D452" t="s">
        <v>10</v>
      </c>
      <c r="E452">
        <v>7</v>
      </c>
      <c r="F452" s="1">
        <v>41455</v>
      </c>
      <c r="G452">
        <v>1.71783257317508E-3</v>
      </c>
    </row>
    <row r="453" spans="1:7" x14ac:dyDescent="0.25">
      <c r="A453" t="s">
        <v>7</v>
      </c>
      <c r="B453" t="s">
        <v>11</v>
      </c>
      <c r="C453" t="s">
        <v>9</v>
      </c>
      <c r="D453" t="s">
        <v>10</v>
      </c>
      <c r="E453">
        <v>7</v>
      </c>
      <c r="F453" s="1">
        <v>41486</v>
      </c>
      <c r="G453">
        <v>1.5713013424615601E-2</v>
      </c>
    </row>
    <row r="454" spans="1:7" x14ac:dyDescent="0.25">
      <c r="A454" t="s">
        <v>7</v>
      </c>
      <c r="B454" t="s">
        <v>11</v>
      </c>
      <c r="C454" t="s">
        <v>9</v>
      </c>
      <c r="D454" t="s">
        <v>10</v>
      </c>
      <c r="E454">
        <v>7</v>
      </c>
      <c r="F454" s="1">
        <v>41517</v>
      </c>
      <c r="G454">
        <v>-5.3938068495821903E-3</v>
      </c>
    </row>
    <row r="455" spans="1:7" x14ac:dyDescent="0.25">
      <c r="A455" t="s">
        <v>7</v>
      </c>
      <c r="B455" t="s">
        <v>11</v>
      </c>
      <c r="C455" t="s">
        <v>9</v>
      </c>
      <c r="D455" t="s">
        <v>10</v>
      </c>
      <c r="E455">
        <v>7</v>
      </c>
      <c r="F455" s="1">
        <v>41547</v>
      </c>
      <c r="G455">
        <v>-5.8890588306736097E-3</v>
      </c>
    </row>
    <row r="456" spans="1:7" x14ac:dyDescent="0.25">
      <c r="A456" t="s">
        <v>7</v>
      </c>
      <c r="B456" t="s">
        <v>11</v>
      </c>
      <c r="C456" t="s">
        <v>9</v>
      </c>
      <c r="D456" t="s">
        <v>10</v>
      </c>
      <c r="E456">
        <v>7</v>
      </c>
      <c r="F456" s="1">
        <v>41578</v>
      </c>
      <c r="G456">
        <v>3.0736851195356001E-2</v>
      </c>
    </row>
    <row r="457" spans="1:7" x14ac:dyDescent="0.25">
      <c r="A457" t="s">
        <v>7</v>
      </c>
      <c r="B457" t="s">
        <v>11</v>
      </c>
      <c r="C457" t="s">
        <v>9</v>
      </c>
      <c r="D457" t="s">
        <v>10</v>
      </c>
      <c r="E457">
        <v>7</v>
      </c>
      <c r="F457" s="1">
        <v>41608</v>
      </c>
      <c r="G457">
        <v>3.4825180415491599E-3</v>
      </c>
    </row>
    <row r="458" spans="1:7" x14ac:dyDescent="0.25">
      <c r="A458" t="s">
        <v>7</v>
      </c>
      <c r="B458" t="s">
        <v>11</v>
      </c>
      <c r="C458" t="s">
        <v>9</v>
      </c>
      <c r="D458" t="s">
        <v>10</v>
      </c>
      <c r="E458">
        <v>7</v>
      </c>
      <c r="F458" s="1">
        <v>41639</v>
      </c>
      <c r="G458">
        <v>6.8641991785366001E-3</v>
      </c>
    </row>
    <row r="459" spans="1:7" x14ac:dyDescent="0.25">
      <c r="A459" t="s">
        <v>7</v>
      </c>
      <c r="B459" t="s">
        <v>11</v>
      </c>
      <c r="C459" t="s">
        <v>9</v>
      </c>
      <c r="D459" t="s">
        <v>10</v>
      </c>
      <c r="E459">
        <v>7</v>
      </c>
      <c r="F459" s="1">
        <v>41670</v>
      </c>
      <c r="G459">
        <v>-1.9570611454068201E-2</v>
      </c>
    </row>
    <row r="460" spans="1:7" x14ac:dyDescent="0.25">
      <c r="A460" t="s">
        <v>7</v>
      </c>
      <c r="B460" t="s">
        <v>11</v>
      </c>
      <c r="C460" t="s">
        <v>9</v>
      </c>
      <c r="D460" t="s">
        <v>10</v>
      </c>
      <c r="E460">
        <v>7</v>
      </c>
      <c r="F460" s="1">
        <v>41698</v>
      </c>
      <c r="G460">
        <v>5.7565766965810899E-3</v>
      </c>
    </row>
    <row r="461" spans="1:7" x14ac:dyDescent="0.25">
      <c r="A461" t="s">
        <v>7</v>
      </c>
      <c r="B461" t="s">
        <v>11</v>
      </c>
      <c r="C461" t="s">
        <v>9</v>
      </c>
      <c r="D461" t="s">
        <v>10</v>
      </c>
      <c r="E461">
        <v>7</v>
      </c>
      <c r="F461" s="1">
        <v>41729</v>
      </c>
      <c r="G461">
        <v>-8.2070097613548294E-3</v>
      </c>
    </row>
    <row r="462" spans="1:7" x14ac:dyDescent="0.25">
      <c r="A462" t="s">
        <v>7</v>
      </c>
      <c r="B462" t="s">
        <v>11</v>
      </c>
      <c r="C462" t="s">
        <v>9</v>
      </c>
      <c r="D462" t="s">
        <v>10</v>
      </c>
      <c r="E462">
        <v>7</v>
      </c>
      <c r="F462" s="1">
        <v>41759</v>
      </c>
      <c r="G462">
        <v>-7.79825063479946E-3</v>
      </c>
    </row>
    <row r="463" spans="1:7" x14ac:dyDescent="0.25">
      <c r="A463" t="s">
        <v>7</v>
      </c>
      <c r="B463" t="s">
        <v>11</v>
      </c>
      <c r="C463" t="s">
        <v>9</v>
      </c>
      <c r="D463" t="s">
        <v>10</v>
      </c>
      <c r="E463">
        <v>7</v>
      </c>
      <c r="F463" s="1">
        <v>41790</v>
      </c>
      <c r="G463">
        <v>3.4912401783863001E-3</v>
      </c>
    </row>
    <row r="464" spans="1:7" x14ac:dyDescent="0.25">
      <c r="A464" t="s">
        <v>7</v>
      </c>
      <c r="B464" t="s">
        <v>11</v>
      </c>
      <c r="C464" t="s">
        <v>9</v>
      </c>
      <c r="D464" t="s">
        <v>10</v>
      </c>
      <c r="E464">
        <v>7</v>
      </c>
      <c r="F464" s="1">
        <v>41820</v>
      </c>
      <c r="G464">
        <v>1.1490669612065701E-3</v>
      </c>
    </row>
    <row r="465" spans="1:7" x14ac:dyDescent="0.25">
      <c r="A465" t="s">
        <v>7</v>
      </c>
      <c r="B465" t="s">
        <v>11</v>
      </c>
      <c r="C465" t="s">
        <v>9</v>
      </c>
      <c r="D465" t="s">
        <v>10</v>
      </c>
      <c r="E465">
        <v>7</v>
      </c>
      <c r="F465" s="1">
        <v>41851</v>
      </c>
      <c r="G465">
        <v>-7.7937063274613402E-3</v>
      </c>
    </row>
    <row r="466" spans="1:7" x14ac:dyDescent="0.25">
      <c r="A466" t="s">
        <v>7</v>
      </c>
      <c r="B466" t="s">
        <v>11</v>
      </c>
      <c r="C466" t="s">
        <v>9</v>
      </c>
      <c r="D466" t="s">
        <v>10</v>
      </c>
      <c r="E466">
        <v>7</v>
      </c>
      <c r="F466" s="1">
        <v>41882</v>
      </c>
      <c r="G466">
        <v>-3.2471873060685802E-2</v>
      </c>
    </row>
    <row r="467" spans="1:7" x14ac:dyDescent="0.25">
      <c r="A467" t="s">
        <v>7</v>
      </c>
      <c r="B467" t="s">
        <v>11</v>
      </c>
      <c r="C467" t="s">
        <v>9</v>
      </c>
      <c r="D467" t="s">
        <v>10</v>
      </c>
      <c r="E467">
        <v>7</v>
      </c>
      <c r="F467" s="1">
        <v>41912</v>
      </c>
      <c r="G467">
        <v>6.9811928131976904E-3</v>
      </c>
    </row>
    <row r="468" spans="1:7" x14ac:dyDescent="0.25">
      <c r="A468" t="s">
        <v>7</v>
      </c>
      <c r="B468" t="s">
        <v>11</v>
      </c>
      <c r="C468" t="s">
        <v>9</v>
      </c>
      <c r="D468" t="s">
        <v>10</v>
      </c>
      <c r="E468">
        <v>7</v>
      </c>
      <c r="F468" s="1">
        <v>41943</v>
      </c>
      <c r="G468">
        <v>-2.86073732365222E-2</v>
      </c>
    </row>
    <row r="469" spans="1:7" x14ac:dyDescent="0.25">
      <c r="A469" t="s">
        <v>7</v>
      </c>
      <c r="B469" t="s">
        <v>11</v>
      </c>
      <c r="C469" t="s">
        <v>9</v>
      </c>
      <c r="D469" t="s">
        <v>10</v>
      </c>
      <c r="E469">
        <v>7</v>
      </c>
      <c r="F469" s="1">
        <v>41973</v>
      </c>
      <c r="G469">
        <v>1.5344743840493499E-4</v>
      </c>
    </row>
    <row r="470" spans="1:7" x14ac:dyDescent="0.25">
      <c r="A470" t="s">
        <v>7</v>
      </c>
      <c r="B470" t="s">
        <v>11</v>
      </c>
      <c r="C470" t="s">
        <v>9</v>
      </c>
      <c r="D470" t="s">
        <v>10</v>
      </c>
      <c r="E470">
        <v>7</v>
      </c>
      <c r="F470" s="1">
        <v>42004</v>
      </c>
      <c r="G470">
        <v>8.8408228486801608E-3</v>
      </c>
    </row>
    <row r="471" spans="1:7" x14ac:dyDescent="0.25">
      <c r="A471" t="s">
        <v>7</v>
      </c>
      <c r="B471" t="s">
        <v>11</v>
      </c>
      <c r="C471" t="s">
        <v>9</v>
      </c>
      <c r="D471" t="s">
        <v>10</v>
      </c>
      <c r="E471">
        <v>7</v>
      </c>
      <c r="F471" s="1">
        <v>42035</v>
      </c>
      <c r="G471">
        <v>1.28958584181545E-2</v>
      </c>
    </row>
    <row r="472" spans="1:7" x14ac:dyDescent="0.25">
      <c r="A472" t="s">
        <v>7</v>
      </c>
      <c r="B472" t="s">
        <v>11</v>
      </c>
      <c r="C472" t="s">
        <v>9</v>
      </c>
      <c r="D472" t="s">
        <v>10</v>
      </c>
      <c r="E472">
        <v>7</v>
      </c>
      <c r="F472" s="1">
        <v>42063</v>
      </c>
      <c r="G472">
        <v>1.4051064434227699E-2</v>
      </c>
    </row>
    <row r="473" spans="1:7" x14ac:dyDescent="0.25">
      <c r="A473" t="s">
        <v>7</v>
      </c>
      <c r="B473" t="s">
        <v>11</v>
      </c>
      <c r="C473" t="s">
        <v>9</v>
      </c>
      <c r="D473" t="s">
        <v>10</v>
      </c>
      <c r="E473">
        <v>7</v>
      </c>
      <c r="F473" s="1">
        <v>42094</v>
      </c>
      <c r="G473">
        <v>7.7774776941453103E-3</v>
      </c>
    </row>
    <row r="474" spans="1:7" x14ac:dyDescent="0.25">
      <c r="A474" t="s">
        <v>7</v>
      </c>
      <c r="B474" t="s">
        <v>11</v>
      </c>
      <c r="C474" t="s">
        <v>9</v>
      </c>
      <c r="D474" t="s">
        <v>10</v>
      </c>
      <c r="E474">
        <v>7</v>
      </c>
      <c r="F474" s="1">
        <v>42124</v>
      </c>
      <c r="G474">
        <v>-4.4565290481757402E-3</v>
      </c>
    </row>
    <row r="475" spans="1:7" x14ac:dyDescent="0.25">
      <c r="A475" t="s">
        <v>7</v>
      </c>
      <c r="B475" t="s">
        <v>11</v>
      </c>
      <c r="C475" t="s">
        <v>9</v>
      </c>
      <c r="D475" t="s">
        <v>10</v>
      </c>
      <c r="E475">
        <v>7</v>
      </c>
      <c r="F475" s="1">
        <v>42155</v>
      </c>
      <c r="G475">
        <v>-1.7587964212639799E-2</v>
      </c>
    </row>
    <row r="476" spans="1:7" x14ac:dyDescent="0.25">
      <c r="A476" t="s">
        <v>7</v>
      </c>
      <c r="B476" t="s">
        <v>11</v>
      </c>
      <c r="C476" t="s">
        <v>9</v>
      </c>
      <c r="D476" t="s">
        <v>10</v>
      </c>
      <c r="E476">
        <v>7</v>
      </c>
      <c r="F476" s="1">
        <v>42185</v>
      </c>
      <c r="G476">
        <v>-1.8961875887246401E-2</v>
      </c>
    </row>
    <row r="477" spans="1:7" x14ac:dyDescent="0.25">
      <c r="A477" t="s">
        <v>7</v>
      </c>
      <c r="B477" t="s">
        <v>11</v>
      </c>
      <c r="C477" t="s">
        <v>9</v>
      </c>
      <c r="D477" t="s">
        <v>10</v>
      </c>
      <c r="E477">
        <v>7</v>
      </c>
      <c r="F477" s="1">
        <v>42216</v>
      </c>
      <c r="G477">
        <v>1.31132941829489E-2</v>
      </c>
    </row>
    <row r="478" spans="1:7" x14ac:dyDescent="0.25">
      <c r="A478" t="s">
        <v>7</v>
      </c>
      <c r="B478" t="s">
        <v>11</v>
      </c>
      <c r="C478" t="s">
        <v>9</v>
      </c>
      <c r="D478" t="s">
        <v>10</v>
      </c>
      <c r="E478">
        <v>7</v>
      </c>
      <c r="F478" s="1">
        <v>42247</v>
      </c>
      <c r="G478">
        <v>1.04185069619703E-2</v>
      </c>
    </row>
    <row r="479" spans="1:7" x14ac:dyDescent="0.25">
      <c r="A479" t="s">
        <v>7</v>
      </c>
      <c r="B479" t="s">
        <v>11</v>
      </c>
      <c r="C479" t="s">
        <v>9</v>
      </c>
      <c r="D479" t="s">
        <v>10</v>
      </c>
      <c r="E479">
        <v>7</v>
      </c>
      <c r="F479" s="1">
        <v>42277</v>
      </c>
      <c r="G479">
        <v>1.9771313590284001E-2</v>
      </c>
    </row>
    <row r="480" spans="1:7" x14ac:dyDescent="0.25">
      <c r="A480" t="s">
        <v>7</v>
      </c>
      <c r="B480" t="s">
        <v>11</v>
      </c>
      <c r="C480" t="s">
        <v>9</v>
      </c>
      <c r="D480" t="s">
        <v>10</v>
      </c>
      <c r="E480">
        <v>7</v>
      </c>
      <c r="F480" s="1">
        <v>42308</v>
      </c>
      <c r="G480">
        <v>-1.0675057629369499E-2</v>
      </c>
    </row>
    <row r="481" spans="1:7" x14ac:dyDescent="0.25">
      <c r="A481" t="s">
        <v>7</v>
      </c>
      <c r="B481" t="s">
        <v>11</v>
      </c>
      <c r="C481" t="s">
        <v>9</v>
      </c>
      <c r="D481" t="s">
        <v>10</v>
      </c>
      <c r="E481">
        <v>7</v>
      </c>
      <c r="F481" s="1">
        <v>42338</v>
      </c>
      <c r="G481">
        <v>1.0724973251304301E-2</v>
      </c>
    </row>
    <row r="482" spans="1:7" x14ac:dyDescent="0.25">
      <c r="A482" t="s">
        <v>7</v>
      </c>
      <c r="B482" t="s">
        <v>11</v>
      </c>
      <c r="C482" t="s">
        <v>9</v>
      </c>
      <c r="D482" t="s">
        <v>10</v>
      </c>
      <c r="E482">
        <v>7</v>
      </c>
      <c r="F482" s="1">
        <v>42369</v>
      </c>
      <c r="G482">
        <v>1.33417950068635E-4</v>
      </c>
    </row>
    <row r="483" spans="1:7" x14ac:dyDescent="0.25">
      <c r="A483" t="s">
        <v>7</v>
      </c>
      <c r="B483" t="s">
        <v>11</v>
      </c>
      <c r="C483" t="s">
        <v>9</v>
      </c>
      <c r="D483" t="s">
        <v>10</v>
      </c>
      <c r="E483">
        <v>7</v>
      </c>
      <c r="F483" s="1">
        <v>42400</v>
      </c>
      <c r="G483">
        <v>2.04882208410136E-2</v>
      </c>
    </row>
    <row r="484" spans="1:7" x14ac:dyDescent="0.25">
      <c r="A484" t="s">
        <v>7</v>
      </c>
      <c r="B484" t="s">
        <v>11</v>
      </c>
      <c r="C484" t="s">
        <v>9</v>
      </c>
      <c r="D484" t="s">
        <v>10</v>
      </c>
      <c r="E484">
        <v>7</v>
      </c>
      <c r="F484" s="1">
        <v>42429</v>
      </c>
      <c r="G484">
        <v>3.0756065462379599E-2</v>
      </c>
    </row>
    <row r="485" spans="1:7" x14ac:dyDescent="0.25">
      <c r="A485" t="s">
        <v>7</v>
      </c>
      <c r="B485" t="s">
        <v>11</v>
      </c>
      <c r="C485" t="s">
        <v>9</v>
      </c>
      <c r="D485" t="s">
        <v>10</v>
      </c>
      <c r="E485">
        <v>7</v>
      </c>
      <c r="F485" s="1">
        <v>42460</v>
      </c>
      <c r="G485">
        <v>2.3959370139802101E-2</v>
      </c>
    </row>
    <row r="486" spans="1:7" x14ac:dyDescent="0.25">
      <c r="A486" t="s">
        <v>7</v>
      </c>
      <c r="B486" t="s">
        <v>11</v>
      </c>
      <c r="C486" t="s">
        <v>9</v>
      </c>
      <c r="D486" t="s">
        <v>10</v>
      </c>
      <c r="E486">
        <v>7</v>
      </c>
      <c r="F486" s="1">
        <v>42490</v>
      </c>
      <c r="G486">
        <v>5.5475711809172303E-2</v>
      </c>
    </row>
    <row r="487" spans="1:7" x14ac:dyDescent="0.25">
      <c r="A487" t="s">
        <v>7</v>
      </c>
      <c r="B487" t="s">
        <v>11</v>
      </c>
      <c r="C487" t="s">
        <v>9</v>
      </c>
      <c r="D487" t="s">
        <v>10</v>
      </c>
      <c r="E487">
        <v>7</v>
      </c>
      <c r="F487" s="1">
        <v>42521</v>
      </c>
      <c r="G487">
        <v>-4.1461898892972901E-2</v>
      </c>
    </row>
    <row r="488" spans="1:7" x14ac:dyDescent="0.25">
      <c r="A488" t="s">
        <v>7</v>
      </c>
      <c r="B488" t="s">
        <v>11</v>
      </c>
      <c r="C488" t="s">
        <v>9</v>
      </c>
      <c r="D488" t="s">
        <v>10</v>
      </c>
      <c r="E488">
        <v>7</v>
      </c>
      <c r="F488" s="1">
        <v>42551</v>
      </c>
      <c r="G488">
        <v>2.10766868608484E-2</v>
      </c>
    </row>
    <row r="489" spans="1:7" x14ac:dyDescent="0.25">
      <c r="A489" t="s">
        <v>7</v>
      </c>
      <c r="B489" t="s">
        <v>11</v>
      </c>
      <c r="C489" t="s">
        <v>9</v>
      </c>
      <c r="D489" t="s">
        <v>10</v>
      </c>
      <c r="E489">
        <v>7</v>
      </c>
      <c r="F489" s="1">
        <v>42582</v>
      </c>
      <c r="G489">
        <v>2.5400348498038901E-2</v>
      </c>
    </row>
    <row r="490" spans="1:7" x14ac:dyDescent="0.25">
      <c r="A490" t="s">
        <v>7</v>
      </c>
      <c r="B490" t="s">
        <v>11</v>
      </c>
      <c r="C490" t="s">
        <v>9</v>
      </c>
      <c r="D490" t="s">
        <v>10</v>
      </c>
      <c r="E490">
        <v>7</v>
      </c>
      <c r="F490" s="1">
        <v>42613</v>
      </c>
      <c r="G490">
        <v>3.74541056019836E-4</v>
      </c>
    </row>
    <row r="491" spans="1:7" x14ac:dyDescent="0.25">
      <c r="A491" t="s">
        <v>7</v>
      </c>
      <c r="B491" t="s">
        <v>11</v>
      </c>
      <c r="C491" t="s">
        <v>9</v>
      </c>
      <c r="D491" t="s">
        <v>10</v>
      </c>
      <c r="E491">
        <v>7</v>
      </c>
      <c r="F491" s="1">
        <v>42643</v>
      </c>
      <c r="G491">
        <v>6.1995340850072101E-3</v>
      </c>
    </row>
    <row r="492" spans="1:7" x14ac:dyDescent="0.25">
      <c r="A492" t="s">
        <v>7</v>
      </c>
      <c r="B492" t="s">
        <v>11</v>
      </c>
      <c r="C492" t="s">
        <v>9</v>
      </c>
      <c r="D492" t="s">
        <v>10</v>
      </c>
      <c r="E492">
        <v>7</v>
      </c>
      <c r="F492" s="1">
        <v>42674</v>
      </c>
      <c r="G492">
        <v>3.2053538280413497E-2</v>
      </c>
    </row>
    <row r="493" spans="1:7" x14ac:dyDescent="0.25">
      <c r="A493" t="s">
        <v>7</v>
      </c>
      <c r="B493" t="s">
        <v>11</v>
      </c>
      <c r="C493" t="s">
        <v>9</v>
      </c>
      <c r="D493" t="s">
        <v>10</v>
      </c>
      <c r="E493">
        <v>7</v>
      </c>
      <c r="F493" s="1">
        <v>42704</v>
      </c>
      <c r="G493">
        <v>-7.1873855594876898E-3</v>
      </c>
    </row>
    <row r="494" spans="1:7" x14ac:dyDescent="0.25">
      <c r="A494" t="s">
        <v>7</v>
      </c>
      <c r="B494" t="s">
        <v>11</v>
      </c>
      <c r="C494" t="s">
        <v>9</v>
      </c>
      <c r="D494" t="s">
        <v>10</v>
      </c>
      <c r="E494">
        <v>7</v>
      </c>
      <c r="F494" s="1">
        <v>42735</v>
      </c>
      <c r="G494">
        <v>-2.6056179968250701E-2</v>
      </c>
    </row>
    <row r="495" spans="1:7" x14ac:dyDescent="0.25">
      <c r="A495" t="s">
        <v>7</v>
      </c>
      <c r="B495" t="s">
        <v>11</v>
      </c>
      <c r="C495" t="s">
        <v>9</v>
      </c>
      <c r="D495" t="s">
        <v>10</v>
      </c>
      <c r="E495">
        <v>7</v>
      </c>
      <c r="F495" s="1">
        <v>42766</v>
      </c>
      <c r="G495">
        <v>3.32364077883502E-2</v>
      </c>
    </row>
    <row r="496" spans="1:7" x14ac:dyDescent="0.25">
      <c r="A496" t="s">
        <v>7</v>
      </c>
      <c r="B496" t="s">
        <v>11</v>
      </c>
      <c r="C496" t="s">
        <v>9</v>
      </c>
      <c r="D496" t="s">
        <v>10</v>
      </c>
      <c r="E496">
        <v>7</v>
      </c>
      <c r="F496" s="1">
        <v>42794</v>
      </c>
      <c r="G496">
        <v>1.34209031533409E-2</v>
      </c>
    </row>
    <row r="497" spans="1:7" x14ac:dyDescent="0.25">
      <c r="A497" t="s">
        <v>7</v>
      </c>
      <c r="B497" t="s">
        <v>11</v>
      </c>
      <c r="C497" t="s">
        <v>9</v>
      </c>
      <c r="D497" t="s">
        <v>10</v>
      </c>
      <c r="E497">
        <v>7</v>
      </c>
      <c r="F497" s="1">
        <v>42825</v>
      </c>
      <c r="G497">
        <v>-7.0164829246910506E-5</v>
      </c>
    </row>
    <row r="498" spans="1:7" x14ac:dyDescent="0.25">
      <c r="A498" t="s">
        <v>7</v>
      </c>
      <c r="B498" t="s">
        <v>11</v>
      </c>
      <c r="C498" t="s">
        <v>9</v>
      </c>
      <c r="D498" t="s">
        <v>10</v>
      </c>
      <c r="E498">
        <v>7</v>
      </c>
      <c r="F498" s="1">
        <v>42855</v>
      </c>
      <c r="G498">
        <v>1.5709530897942602E-2</v>
      </c>
    </row>
    <row r="499" spans="1:7" x14ac:dyDescent="0.25">
      <c r="A499" t="s">
        <v>7</v>
      </c>
      <c r="B499" t="s">
        <v>11</v>
      </c>
      <c r="C499" t="s">
        <v>9</v>
      </c>
      <c r="D499" t="s">
        <v>10</v>
      </c>
      <c r="E499">
        <v>7</v>
      </c>
      <c r="F499" s="1">
        <v>42886</v>
      </c>
      <c r="G499">
        <v>-6.81008364911782E-3</v>
      </c>
    </row>
    <row r="500" spans="1:7" x14ac:dyDescent="0.25">
      <c r="A500" t="s">
        <v>7</v>
      </c>
      <c r="B500" t="s">
        <v>11</v>
      </c>
      <c r="C500" t="s">
        <v>9</v>
      </c>
      <c r="D500" t="s">
        <v>10</v>
      </c>
      <c r="E500">
        <v>7</v>
      </c>
      <c r="F500" s="1">
        <v>42916</v>
      </c>
      <c r="G500">
        <v>-5.9482135540824101E-3</v>
      </c>
    </row>
    <row r="501" spans="1:7" x14ac:dyDescent="0.25">
      <c r="A501" t="s">
        <v>7</v>
      </c>
      <c r="B501" t="s">
        <v>11</v>
      </c>
      <c r="C501" t="s">
        <v>9</v>
      </c>
      <c r="D501" t="s">
        <v>10</v>
      </c>
      <c r="E501">
        <v>7</v>
      </c>
      <c r="F501" s="1">
        <v>42947</v>
      </c>
      <c r="G501">
        <v>1.27028972866704E-2</v>
      </c>
    </row>
    <row r="502" spans="1:7" x14ac:dyDescent="0.25">
      <c r="A502" t="s">
        <v>7</v>
      </c>
      <c r="B502" t="s">
        <v>11</v>
      </c>
      <c r="C502" t="s">
        <v>9</v>
      </c>
      <c r="D502" t="s">
        <v>10</v>
      </c>
      <c r="E502">
        <v>7</v>
      </c>
      <c r="F502" s="1">
        <v>42978</v>
      </c>
      <c r="G502">
        <v>-5.9375640175574297E-3</v>
      </c>
    </row>
    <row r="503" spans="1:7" x14ac:dyDescent="0.25">
      <c r="A503" t="s">
        <v>7</v>
      </c>
      <c r="B503" t="s">
        <v>11</v>
      </c>
      <c r="C503" t="s">
        <v>9</v>
      </c>
      <c r="D503" t="s">
        <v>10</v>
      </c>
      <c r="E503">
        <v>7</v>
      </c>
      <c r="F503" s="1">
        <v>43008</v>
      </c>
      <c r="G503">
        <v>5.4053561277831296E-3</v>
      </c>
    </row>
    <row r="504" spans="1:7" x14ac:dyDescent="0.25">
      <c r="A504" t="s">
        <v>7</v>
      </c>
      <c r="B504" t="s">
        <v>11</v>
      </c>
      <c r="C504" t="s">
        <v>9</v>
      </c>
      <c r="D504" t="s">
        <v>10</v>
      </c>
      <c r="E504">
        <v>7</v>
      </c>
      <c r="F504" s="1">
        <v>43039</v>
      </c>
      <c r="G504">
        <v>-1.0755299573366401E-2</v>
      </c>
    </row>
    <row r="505" spans="1:7" x14ac:dyDescent="0.25">
      <c r="A505" t="s">
        <v>7</v>
      </c>
      <c r="B505" t="s">
        <v>11</v>
      </c>
      <c r="C505" t="s">
        <v>9</v>
      </c>
      <c r="D505" t="s">
        <v>10</v>
      </c>
      <c r="E505">
        <v>7</v>
      </c>
      <c r="F505" s="1">
        <v>43069</v>
      </c>
      <c r="G505">
        <v>-3.74204792657776E-4</v>
      </c>
    </row>
    <row r="506" spans="1:7" x14ac:dyDescent="0.25">
      <c r="A506" t="s">
        <v>7</v>
      </c>
      <c r="B506" t="s">
        <v>11</v>
      </c>
      <c r="C506" t="s">
        <v>9</v>
      </c>
      <c r="D506" t="s">
        <v>10</v>
      </c>
      <c r="E506">
        <v>7</v>
      </c>
      <c r="F506" s="1">
        <v>43100</v>
      </c>
      <c r="G506">
        <v>2.0225356574426999E-2</v>
      </c>
    </row>
    <row r="507" spans="1:7" x14ac:dyDescent="0.25">
      <c r="A507" t="s">
        <v>7</v>
      </c>
      <c r="B507" t="s">
        <v>11</v>
      </c>
      <c r="C507" t="s">
        <v>9</v>
      </c>
      <c r="D507" t="s">
        <v>10</v>
      </c>
      <c r="E507">
        <v>7</v>
      </c>
      <c r="F507" s="1">
        <v>43131</v>
      </c>
      <c r="G507">
        <v>6.3482120793758503E-3</v>
      </c>
    </row>
    <row r="508" spans="1:7" x14ac:dyDescent="0.25">
      <c r="A508" t="s">
        <v>7</v>
      </c>
      <c r="B508" t="s">
        <v>11</v>
      </c>
      <c r="C508" t="s">
        <v>9</v>
      </c>
      <c r="D508" t="s">
        <v>10</v>
      </c>
      <c r="E508">
        <v>7</v>
      </c>
      <c r="F508" s="1">
        <v>43159</v>
      </c>
      <c r="G508">
        <v>2.1299532318320201E-3</v>
      </c>
    </row>
    <row r="509" spans="1:7" x14ac:dyDescent="0.25">
      <c r="A509" t="s">
        <v>7</v>
      </c>
      <c r="B509" t="s">
        <v>11</v>
      </c>
      <c r="C509" t="s">
        <v>9</v>
      </c>
      <c r="D509" t="s">
        <v>10</v>
      </c>
      <c r="E509">
        <v>7</v>
      </c>
      <c r="F509" s="1">
        <v>43190</v>
      </c>
      <c r="G509">
        <v>-1.3791385042859199E-3</v>
      </c>
    </row>
    <row r="510" spans="1:7" x14ac:dyDescent="0.25">
      <c r="A510" t="s">
        <v>7</v>
      </c>
      <c r="B510" t="s">
        <v>11</v>
      </c>
      <c r="C510" t="s">
        <v>9</v>
      </c>
      <c r="D510" t="s">
        <v>10</v>
      </c>
      <c r="E510">
        <v>7</v>
      </c>
      <c r="F510" s="1">
        <v>43220</v>
      </c>
      <c r="G510">
        <v>8.1404928905996696E-3</v>
      </c>
    </row>
    <row r="511" spans="1:7" x14ac:dyDescent="0.25">
      <c r="A511" t="s">
        <v>7</v>
      </c>
      <c r="B511" t="s">
        <v>11</v>
      </c>
      <c r="C511" t="s">
        <v>9</v>
      </c>
      <c r="D511" t="s">
        <v>10</v>
      </c>
      <c r="E511">
        <v>7</v>
      </c>
      <c r="F511" s="1">
        <v>43251</v>
      </c>
      <c r="G511">
        <v>2.4571775315087902E-3</v>
      </c>
    </row>
    <row r="512" spans="1:7" x14ac:dyDescent="0.25">
      <c r="A512" t="s">
        <v>7</v>
      </c>
      <c r="B512" t="s">
        <v>11</v>
      </c>
      <c r="C512" t="s">
        <v>9</v>
      </c>
      <c r="D512" t="s">
        <v>10</v>
      </c>
      <c r="E512">
        <v>7</v>
      </c>
      <c r="F512" s="1">
        <v>43281</v>
      </c>
      <c r="G512">
        <v>8.1195426706024299E-3</v>
      </c>
    </row>
    <row r="513" spans="1:7" x14ac:dyDescent="0.25">
      <c r="A513" t="s">
        <v>7</v>
      </c>
      <c r="B513" t="s">
        <v>11</v>
      </c>
      <c r="C513" t="s">
        <v>9</v>
      </c>
      <c r="D513" t="s">
        <v>10</v>
      </c>
      <c r="E513">
        <v>7</v>
      </c>
      <c r="F513" s="1">
        <v>43312</v>
      </c>
      <c r="G513">
        <v>1.0393373140940099E-3</v>
      </c>
    </row>
    <row r="514" spans="1:7" x14ac:dyDescent="0.25">
      <c r="A514" t="s">
        <v>7</v>
      </c>
      <c r="B514" t="s">
        <v>11</v>
      </c>
      <c r="C514" t="s">
        <v>9</v>
      </c>
      <c r="D514" t="s">
        <v>10</v>
      </c>
      <c r="E514">
        <v>7</v>
      </c>
      <c r="F514" s="1">
        <v>43343</v>
      </c>
      <c r="G514">
        <v>8.73126379683648E-3</v>
      </c>
    </row>
    <row r="515" spans="1:7" x14ac:dyDescent="0.25">
      <c r="A515" t="s">
        <v>7</v>
      </c>
      <c r="B515" t="s">
        <v>11</v>
      </c>
      <c r="C515" t="s">
        <v>9</v>
      </c>
      <c r="D515" t="s">
        <v>10</v>
      </c>
      <c r="E515">
        <v>7</v>
      </c>
      <c r="F515" s="1">
        <v>43373</v>
      </c>
      <c r="G515">
        <v>1.99153046588312E-2</v>
      </c>
    </row>
    <row r="516" spans="1:7" x14ac:dyDescent="0.25">
      <c r="A516" t="s">
        <v>7</v>
      </c>
      <c r="B516" t="s">
        <v>11</v>
      </c>
      <c r="C516" t="s">
        <v>9</v>
      </c>
      <c r="D516" t="s">
        <v>10</v>
      </c>
      <c r="E516">
        <v>7</v>
      </c>
      <c r="F516" s="1">
        <v>43404</v>
      </c>
      <c r="G516">
        <v>-3.5051472351541497E-2</v>
      </c>
    </row>
    <row r="517" spans="1:7" x14ac:dyDescent="0.25">
      <c r="A517" t="s">
        <v>7</v>
      </c>
      <c r="B517" t="s">
        <v>11</v>
      </c>
      <c r="C517" t="s">
        <v>9</v>
      </c>
      <c r="D517" t="s">
        <v>10</v>
      </c>
      <c r="E517">
        <v>7</v>
      </c>
      <c r="F517" s="1">
        <v>43434</v>
      </c>
      <c r="G517">
        <v>-3.2925218849682497E-2</v>
      </c>
    </row>
    <row r="518" spans="1:7" x14ac:dyDescent="0.25">
      <c r="A518" t="s">
        <v>7</v>
      </c>
      <c r="B518" t="s">
        <v>11</v>
      </c>
      <c r="C518" t="s">
        <v>9</v>
      </c>
      <c r="D518" t="s">
        <v>10</v>
      </c>
      <c r="E518">
        <v>7</v>
      </c>
      <c r="F518" s="1">
        <v>43465</v>
      </c>
      <c r="G518">
        <v>3.2924557762589899E-3</v>
      </c>
    </row>
    <row r="519" spans="1:7" x14ac:dyDescent="0.25">
      <c r="A519" t="s">
        <v>7</v>
      </c>
      <c r="B519" t="s">
        <v>11</v>
      </c>
      <c r="C519" t="s">
        <v>9</v>
      </c>
      <c r="D519" t="s">
        <v>10</v>
      </c>
      <c r="E519">
        <v>7</v>
      </c>
      <c r="F519" s="1">
        <v>43496</v>
      </c>
      <c r="G519">
        <v>-3.96743210566365E-2</v>
      </c>
    </row>
    <row r="520" spans="1:7" x14ac:dyDescent="0.25">
      <c r="A520" t="s">
        <v>7</v>
      </c>
      <c r="B520" t="s">
        <v>11</v>
      </c>
      <c r="C520" t="s">
        <v>9</v>
      </c>
      <c r="D520" t="s">
        <v>10</v>
      </c>
      <c r="E520">
        <v>7</v>
      </c>
      <c r="F520" s="1">
        <v>43524</v>
      </c>
      <c r="G520">
        <v>-1.02963499817564E-2</v>
      </c>
    </row>
    <row r="521" spans="1:7" x14ac:dyDescent="0.25">
      <c r="A521" t="s">
        <v>7</v>
      </c>
      <c r="B521" t="s">
        <v>11</v>
      </c>
      <c r="C521" t="s">
        <v>9</v>
      </c>
      <c r="D521" t="s">
        <v>10</v>
      </c>
      <c r="E521">
        <v>7</v>
      </c>
      <c r="F521" s="1">
        <v>43555</v>
      </c>
      <c r="G521">
        <v>1.50841461974298E-2</v>
      </c>
    </row>
    <row r="522" spans="1:7" x14ac:dyDescent="0.25">
      <c r="A522" t="s">
        <v>7</v>
      </c>
      <c r="B522" t="s">
        <v>11</v>
      </c>
      <c r="C522" t="s">
        <v>9</v>
      </c>
      <c r="D522" t="s">
        <v>10</v>
      </c>
      <c r="E522">
        <v>7</v>
      </c>
      <c r="F522" s="1">
        <v>43585</v>
      </c>
      <c r="G522">
        <v>2.56713225610209E-2</v>
      </c>
    </row>
    <row r="523" spans="1:7" x14ac:dyDescent="0.25">
      <c r="A523" t="s">
        <v>7</v>
      </c>
      <c r="B523" t="s">
        <v>11</v>
      </c>
      <c r="C523" t="s">
        <v>9</v>
      </c>
      <c r="D523" t="s">
        <v>10</v>
      </c>
      <c r="E523">
        <v>7</v>
      </c>
      <c r="F523" s="1">
        <v>43616</v>
      </c>
      <c r="G523">
        <v>2.9128165297395099E-2</v>
      </c>
    </row>
    <row r="524" spans="1:7" x14ac:dyDescent="0.25">
      <c r="A524" t="s">
        <v>7</v>
      </c>
      <c r="B524" t="s">
        <v>11</v>
      </c>
      <c r="C524" t="s">
        <v>9</v>
      </c>
      <c r="D524" t="s">
        <v>10</v>
      </c>
      <c r="E524">
        <v>7</v>
      </c>
      <c r="F524" s="1">
        <v>43646</v>
      </c>
      <c r="G524">
        <v>-2.5590487399184498E-3</v>
      </c>
    </row>
    <row r="525" spans="1:7" x14ac:dyDescent="0.25">
      <c r="A525" t="s">
        <v>7</v>
      </c>
      <c r="B525" t="s">
        <v>11</v>
      </c>
      <c r="C525" t="s">
        <v>9</v>
      </c>
      <c r="D525" t="s">
        <v>10</v>
      </c>
      <c r="E525">
        <v>7</v>
      </c>
      <c r="F525" s="1">
        <v>43677</v>
      </c>
      <c r="G525">
        <v>9.6876793127775394E-3</v>
      </c>
    </row>
    <row r="526" spans="1:7" x14ac:dyDescent="0.25">
      <c r="A526" t="s">
        <v>7</v>
      </c>
      <c r="B526" t="s">
        <v>11</v>
      </c>
      <c r="C526" t="s">
        <v>9</v>
      </c>
      <c r="D526" t="s">
        <v>10</v>
      </c>
      <c r="E526">
        <v>7</v>
      </c>
      <c r="F526" s="1">
        <v>43708</v>
      </c>
      <c r="G526">
        <v>1.5275661820275101E-2</v>
      </c>
    </row>
    <row r="527" spans="1:7" x14ac:dyDescent="0.25">
      <c r="A527" t="s">
        <v>7</v>
      </c>
      <c r="B527" t="s">
        <v>11</v>
      </c>
      <c r="C527" t="s">
        <v>9</v>
      </c>
      <c r="D527" t="s">
        <v>10</v>
      </c>
      <c r="E527">
        <v>7</v>
      </c>
      <c r="F527" s="1">
        <v>43738</v>
      </c>
      <c r="G527">
        <v>-1.38197196783018E-2</v>
      </c>
    </row>
    <row r="528" spans="1:7" x14ac:dyDescent="0.25">
      <c r="A528" t="s">
        <v>7</v>
      </c>
      <c r="B528" t="s">
        <v>11</v>
      </c>
      <c r="C528" t="s">
        <v>9</v>
      </c>
      <c r="D528" t="s">
        <v>10</v>
      </c>
      <c r="E528">
        <v>7</v>
      </c>
      <c r="F528" s="1">
        <v>43769</v>
      </c>
      <c r="G528">
        <v>-8.5815078051690794E-3</v>
      </c>
    </row>
    <row r="529" spans="1:7" x14ac:dyDescent="0.25">
      <c r="A529" t="s">
        <v>7</v>
      </c>
      <c r="B529" t="s">
        <v>11</v>
      </c>
      <c r="C529" t="s">
        <v>9</v>
      </c>
      <c r="D529" t="s">
        <v>10</v>
      </c>
      <c r="E529">
        <v>7</v>
      </c>
      <c r="F529" s="1">
        <v>43799</v>
      </c>
      <c r="G529">
        <v>-1.44289285180391E-2</v>
      </c>
    </row>
    <row r="530" spans="1:7" x14ac:dyDescent="0.25">
      <c r="A530" t="s">
        <v>7</v>
      </c>
      <c r="B530" t="s">
        <v>11</v>
      </c>
      <c r="C530" t="s">
        <v>9</v>
      </c>
      <c r="D530" t="s">
        <v>10</v>
      </c>
      <c r="E530">
        <v>7</v>
      </c>
      <c r="F530" s="1">
        <v>43830</v>
      </c>
      <c r="G530">
        <v>-1.3512884190909E-2</v>
      </c>
    </row>
    <row r="531" spans="1:7" x14ac:dyDescent="0.25">
      <c r="A531" t="s">
        <v>7</v>
      </c>
      <c r="B531" t="s">
        <v>11</v>
      </c>
      <c r="C531" t="s">
        <v>9</v>
      </c>
      <c r="D531" t="s">
        <v>10</v>
      </c>
      <c r="E531">
        <v>7</v>
      </c>
      <c r="F531" s="1">
        <v>43861</v>
      </c>
      <c r="G531">
        <v>-3.7821014174183598E-2</v>
      </c>
    </row>
    <row r="532" spans="1:7" x14ac:dyDescent="0.25">
      <c r="A532" t="s">
        <v>7</v>
      </c>
      <c r="B532" t="s">
        <v>11</v>
      </c>
      <c r="C532" t="s">
        <v>9</v>
      </c>
      <c r="D532" t="s">
        <v>10</v>
      </c>
      <c r="E532">
        <v>7</v>
      </c>
      <c r="F532" s="1">
        <v>43890</v>
      </c>
      <c r="G532">
        <v>-1.04905726592763E-2</v>
      </c>
    </row>
    <row r="533" spans="1:7" x14ac:dyDescent="0.25">
      <c r="A533" t="s">
        <v>7</v>
      </c>
      <c r="B533" t="s">
        <v>11</v>
      </c>
      <c r="C533" t="s">
        <v>9</v>
      </c>
      <c r="D533" t="s">
        <v>10</v>
      </c>
      <c r="E533">
        <v>7</v>
      </c>
      <c r="F533" s="1">
        <v>43921</v>
      </c>
      <c r="G533">
        <v>-1.93636208545361E-3</v>
      </c>
    </row>
    <row r="534" spans="1:7" x14ac:dyDescent="0.25">
      <c r="A534" t="s">
        <v>7</v>
      </c>
      <c r="B534" t="s">
        <v>11</v>
      </c>
      <c r="C534" t="s">
        <v>9</v>
      </c>
      <c r="D534" t="s">
        <v>10</v>
      </c>
      <c r="E534">
        <v>7</v>
      </c>
      <c r="F534" s="1">
        <v>43951</v>
      </c>
      <c r="G534">
        <v>-6.4382639959621804E-3</v>
      </c>
    </row>
    <row r="535" spans="1:7" x14ac:dyDescent="0.25">
      <c r="A535" t="s">
        <v>7</v>
      </c>
      <c r="B535" t="s">
        <v>11</v>
      </c>
      <c r="C535" t="s">
        <v>9</v>
      </c>
      <c r="D535" t="s">
        <v>10</v>
      </c>
      <c r="E535">
        <v>7</v>
      </c>
      <c r="F535" s="1">
        <v>43982</v>
      </c>
      <c r="G535">
        <v>3.4619715996879102E-2</v>
      </c>
    </row>
    <row r="536" spans="1:7" x14ac:dyDescent="0.25">
      <c r="A536" t="s">
        <v>7</v>
      </c>
      <c r="B536" t="s">
        <v>11</v>
      </c>
      <c r="C536" t="s">
        <v>9</v>
      </c>
      <c r="D536" t="s">
        <v>10</v>
      </c>
      <c r="E536">
        <v>7</v>
      </c>
      <c r="F536" s="1">
        <v>44012</v>
      </c>
      <c r="G536">
        <v>1.35910554853809E-2</v>
      </c>
    </row>
    <row r="537" spans="1:7" x14ac:dyDescent="0.25">
      <c r="A537" t="s">
        <v>7</v>
      </c>
      <c r="B537" t="s">
        <v>11</v>
      </c>
      <c r="C537" t="s">
        <v>9</v>
      </c>
      <c r="D537" t="s">
        <v>10</v>
      </c>
      <c r="E537">
        <v>7</v>
      </c>
      <c r="F537" s="1">
        <v>44043</v>
      </c>
      <c r="G537">
        <v>2.05931396410616E-2</v>
      </c>
    </row>
    <row r="538" spans="1:7" x14ac:dyDescent="0.25">
      <c r="A538" t="s">
        <v>7</v>
      </c>
      <c r="B538" t="s">
        <v>11</v>
      </c>
      <c r="C538" t="s">
        <v>9</v>
      </c>
      <c r="D538" t="s">
        <v>10</v>
      </c>
      <c r="E538">
        <v>7</v>
      </c>
      <c r="F538" s="1">
        <v>44074</v>
      </c>
      <c r="G538">
        <v>-2.1996014498958699E-2</v>
      </c>
    </row>
    <row r="539" spans="1:7" x14ac:dyDescent="0.25">
      <c r="A539" t="s">
        <v>7</v>
      </c>
      <c r="B539" t="s">
        <v>11</v>
      </c>
      <c r="C539" t="s">
        <v>9</v>
      </c>
      <c r="D539" t="s">
        <v>10</v>
      </c>
      <c r="E539">
        <v>7</v>
      </c>
      <c r="F539" s="1">
        <v>44104</v>
      </c>
      <c r="G539">
        <v>-1.0043110562691601E-2</v>
      </c>
    </row>
    <row r="540" spans="1:7" x14ac:dyDescent="0.25">
      <c r="A540" t="s">
        <v>7</v>
      </c>
      <c r="B540" t="s">
        <v>11</v>
      </c>
      <c r="C540" t="s">
        <v>9</v>
      </c>
      <c r="D540" t="s">
        <v>10</v>
      </c>
      <c r="E540">
        <v>7</v>
      </c>
      <c r="F540" s="1">
        <v>44135</v>
      </c>
      <c r="G540">
        <v>1.06538535224283E-2</v>
      </c>
    </row>
    <row r="541" spans="1:7" x14ac:dyDescent="0.25">
      <c r="A541" t="s">
        <v>7</v>
      </c>
      <c r="B541" t="s">
        <v>11</v>
      </c>
      <c r="C541" t="s">
        <v>9</v>
      </c>
      <c r="D541" t="s">
        <v>10</v>
      </c>
      <c r="E541">
        <v>7</v>
      </c>
      <c r="F541" s="1">
        <v>44165</v>
      </c>
      <c r="G541">
        <v>-7.2776556206748796E-3</v>
      </c>
    </row>
    <row r="542" spans="1:7" x14ac:dyDescent="0.25">
      <c r="A542" t="s">
        <v>7</v>
      </c>
      <c r="B542" t="s">
        <v>11</v>
      </c>
      <c r="C542" t="s">
        <v>9</v>
      </c>
      <c r="D542" t="s">
        <v>10</v>
      </c>
      <c r="E542">
        <v>7</v>
      </c>
      <c r="F542" s="1">
        <v>44196</v>
      </c>
      <c r="G542">
        <v>1.25183746010958E-3</v>
      </c>
    </row>
    <row r="543" spans="1:7" x14ac:dyDescent="0.25">
      <c r="A543" t="s">
        <v>7</v>
      </c>
      <c r="B543" t="s">
        <v>11</v>
      </c>
      <c r="C543" t="s">
        <v>9</v>
      </c>
      <c r="D543" t="s">
        <v>10</v>
      </c>
      <c r="E543">
        <v>7</v>
      </c>
      <c r="F543" s="1">
        <v>44227</v>
      </c>
      <c r="G543">
        <v>-6.0734793701536401E-2</v>
      </c>
    </row>
    <row r="544" spans="1:7" x14ac:dyDescent="0.25">
      <c r="A544" t="s">
        <v>7</v>
      </c>
      <c r="B544" t="s">
        <v>11</v>
      </c>
      <c r="C544" t="s">
        <v>9</v>
      </c>
      <c r="D544" t="s">
        <v>10</v>
      </c>
      <c r="E544">
        <v>7</v>
      </c>
      <c r="F544" s="1">
        <v>44255</v>
      </c>
      <c r="G544">
        <v>-4.1782674664179297E-3</v>
      </c>
    </row>
    <row r="545" spans="1:7" x14ac:dyDescent="0.25">
      <c r="A545" t="s">
        <v>7</v>
      </c>
      <c r="B545" t="s">
        <v>11</v>
      </c>
      <c r="C545" t="s">
        <v>9</v>
      </c>
      <c r="D545" t="s">
        <v>10</v>
      </c>
      <c r="E545">
        <v>7</v>
      </c>
      <c r="F545" s="1">
        <v>44286</v>
      </c>
      <c r="G545">
        <v>-2.0426093361938801E-2</v>
      </c>
    </row>
    <row r="546" spans="1:7" x14ac:dyDescent="0.25">
      <c r="A546" t="s">
        <v>7</v>
      </c>
      <c r="B546" t="s">
        <v>11</v>
      </c>
      <c r="C546" t="s">
        <v>9</v>
      </c>
      <c r="D546" t="s">
        <v>10</v>
      </c>
      <c r="E546">
        <v>7</v>
      </c>
      <c r="F546" s="1">
        <v>44316</v>
      </c>
      <c r="G546">
        <v>1.6262482026722501E-2</v>
      </c>
    </row>
    <row r="547" spans="1:7" x14ac:dyDescent="0.25">
      <c r="A547" t="s">
        <v>7</v>
      </c>
      <c r="B547" t="s">
        <v>11</v>
      </c>
      <c r="C547" t="s">
        <v>9</v>
      </c>
      <c r="D547" t="s">
        <v>10</v>
      </c>
      <c r="E547">
        <v>7</v>
      </c>
      <c r="F547" s="1">
        <v>44347</v>
      </c>
      <c r="G547">
        <v>-2.63173576773181E-2</v>
      </c>
    </row>
    <row r="548" spans="1:7" x14ac:dyDescent="0.25">
      <c r="A548" t="s">
        <v>7</v>
      </c>
      <c r="B548" t="s">
        <v>11</v>
      </c>
      <c r="C548" t="s">
        <v>9</v>
      </c>
      <c r="D548" t="s">
        <v>10</v>
      </c>
      <c r="E548">
        <v>7</v>
      </c>
      <c r="F548" s="1">
        <v>44377</v>
      </c>
      <c r="G548">
        <v>2.0230220372553999E-3</v>
      </c>
    </row>
    <row r="549" spans="1:7" x14ac:dyDescent="0.25">
      <c r="A549" t="s">
        <v>7</v>
      </c>
      <c r="B549" t="s">
        <v>11</v>
      </c>
      <c r="C549" t="s">
        <v>9</v>
      </c>
      <c r="D549" t="s">
        <v>10</v>
      </c>
      <c r="E549">
        <v>7</v>
      </c>
      <c r="F549" s="1">
        <v>44408</v>
      </c>
      <c r="G549">
        <v>1.1405911151040999E-3</v>
      </c>
    </row>
    <row r="550" spans="1:7" x14ac:dyDescent="0.25">
      <c r="A550" t="s">
        <v>7</v>
      </c>
      <c r="B550" t="s">
        <v>11</v>
      </c>
      <c r="C550" t="s">
        <v>9</v>
      </c>
      <c r="D550" t="s">
        <v>10</v>
      </c>
      <c r="E550">
        <v>7</v>
      </c>
      <c r="F550" s="1">
        <v>44439</v>
      </c>
      <c r="G550">
        <v>-5.7611444301373001E-3</v>
      </c>
    </row>
    <row r="551" spans="1:7" x14ac:dyDescent="0.25">
      <c r="A551" t="s">
        <v>7</v>
      </c>
      <c r="B551" t="s">
        <v>11</v>
      </c>
      <c r="C551" t="s">
        <v>9</v>
      </c>
      <c r="D551" t="s">
        <v>10</v>
      </c>
      <c r="E551">
        <v>7</v>
      </c>
      <c r="F551" s="1">
        <v>44469</v>
      </c>
      <c r="G551">
        <v>-8.6068415646879601E-3</v>
      </c>
    </row>
    <row r="552" spans="1:7" x14ac:dyDescent="0.25">
      <c r="A552" t="s">
        <v>7</v>
      </c>
      <c r="B552" t="s">
        <v>11</v>
      </c>
      <c r="C552" t="s">
        <v>9</v>
      </c>
      <c r="D552" t="s">
        <v>10</v>
      </c>
      <c r="E552">
        <v>7</v>
      </c>
      <c r="F552" s="1">
        <v>44500</v>
      </c>
      <c r="G552">
        <v>1.03271779453614E-2</v>
      </c>
    </row>
    <row r="553" spans="1:7" x14ac:dyDescent="0.25">
      <c r="A553" t="s">
        <v>7</v>
      </c>
      <c r="B553" t="s">
        <v>11</v>
      </c>
      <c r="C553" t="s">
        <v>9</v>
      </c>
      <c r="D553" t="s">
        <v>10</v>
      </c>
      <c r="E553">
        <v>7</v>
      </c>
      <c r="F553" s="1">
        <v>44530</v>
      </c>
      <c r="G553">
        <v>-2.5692209790114301E-2</v>
      </c>
    </row>
    <row r="554" spans="1:7" x14ac:dyDescent="0.25">
      <c r="A554" t="s">
        <v>7</v>
      </c>
      <c r="B554" t="s">
        <v>11</v>
      </c>
      <c r="C554" t="s">
        <v>9</v>
      </c>
      <c r="D554" t="s">
        <v>10</v>
      </c>
      <c r="E554">
        <v>7</v>
      </c>
      <c r="F554" s="1">
        <v>44561</v>
      </c>
      <c r="G554">
        <v>1.7478014660705501E-2</v>
      </c>
    </row>
    <row r="555" spans="1:7" x14ac:dyDescent="0.25">
      <c r="A555" t="s">
        <v>7</v>
      </c>
      <c r="B555" t="s">
        <v>11</v>
      </c>
      <c r="C555" t="s">
        <v>9</v>
      </c>
      <c r="D555" t="s">
        <v>10</v>
      </c>
      <c r="E555">
        <v>7</v>
      </c>
      <c r="F555" s="1">
        <v>44592</v>
      </c>
      <c r="G555">
        <v>-2.03728032458248E-2</v>
      </c>
    </row>
    <row r="556" spans="1:7" x14ac:dyDescent="0.25">
      <c r="A556" t="s">
        <v>7</v>
      </c>
      <c r="B556" t="s">
        <v>11</v>
      </c>
      <c r="C556" t="s">
        <v>9</v>
      </c>
      <c r="D556" t="s">
        <v>10</v>
      </c>
      <c r="E556">
        <v>7</v>
      </c>
      <c r="F556" s="1">
        <v>44620</v>
      </c>
      <c r="G556">
        <v>1.59717023520232E-2</v>
      </c>
    </row>
    <row r="557" spans="1:7" x14ac:dyDescent="0.25">
      <c r="A557" t="s">
        <v>7</v>
      </c>
      <c r="B557" t="s">
        <v>11</v>
      </c>
      <c r="C557" t="s">
        <v>9</v>
      </c>
      <c r="D557" t="s">
        <v>10</v>
      </c>
      <c r="E557">
        <v>7</v>
      </c>
      <c r="F557" s="1">
        <v>44651</v>
      </c>
      <c r="G557">
        <v>-1.23473837474243E-2</v>
      </c>
    </row>
    <row r="558" spans="1:7" x14ac:dyDescent="0.25">
      <c r="A558" t="s">
        <v>7</v>
      </c>
      <c r="B558" t="s">
        <v>11</v>
      </c>
      <c r="C558" t="s">
        <v>9</v>
      </c>
      <c r="D558" t="s">
        <v>10</v>
      </c>
      <c r="E558">
        <v>7</v>
      </c>
      <c r="F558" s="1">
        <v>44681</v>
      </c>
      <c r="G558">
        <v>-1.1210196960540801E-3</v>
      </c>
    </row>
    <row r="559" spans="1:7" x14ac:dyDescent="0.25">
      <c r="A559" t="s">
        <v>7</v>
      </c>
      <c r="B559" t="s">
        <v>11</v>
      </c>
      <c r="C559" t="s">
        <v>9</v>
      </c>
      <c r="D559" t="s">
        <v>10</v>
      </c>
      <c r="E559">
        <v>7</v>
      </c>
      <c r="F559" s="1">
        <v>44712</v>
      </c>
      <c r="G559">
        <v>2.5367734859250399E-2</v>
      </c>
    </row>
    <row r="560" spans="1:7" x14ac:dyDescent="0.25">
      <c r="A560" t="s">
        <v>7</v>
      </c>
      <c r="B560" t="s">
        <v>11</v>
      </c>
      <c r="C560" t="s">
        <v>9</v>
      </c>
      <c r="D560" t="s">
        <v>10</v>
      </c>
      <c r="E560">
        <v>7</v>
      </c>
      <c r="F560" s="1">
        <v>44742</v>
      </c>
      <c r="G560">
        <v>2.28971061636522E-2</v>
      </c>
    </row>
    <row r="561" spans="1:7" x14ac:dyDescent="0.25">
      <c r="A561" t="s">
        <v>7</v>
      </c>
      <c r="B561" t="s">
        <v>11</v>
      </c>
      <c r="C561" t="s">
        <v>9</v>
      </c>
      <c r="D561" t="s">
        <v>10</v>
      </c>
      <c r="E561">
        <v>7</v>
      </c>
      <c r="F561" s="1">
        <v>44773</v>
      </c>
      <c r="G561">
        <v>-1.4861565990509499E-2</v>
      </c>
    </row>
    <row r="562" spans="1:7" x14ac:dyDescent="0.25">
      <c r="A562" t="s">
        <v>7</v>
      </c>
      <c r="B562" t="s">
        <v>11</v>
      </c>
      <c r="C562" t="s">
        <v>9</v>
      </c>
      <c r="D562" t="s">
        <v>10</v>
      </c>
      <c r="E562">
        <v>7</v>
      </c>
      <c r="F562" s="1">
        <v>44804</v>
      </c>
      <c r="G562">
        <v>-3.2178748335626402E-2</v>
      </c>
    </row>
    <row r="563" spans="1:7" x14ac:dyDescent="0.25">
      <c r="A563" t="s">
        <v>7</v>
      </c>
      <c r="B563" t="s">
        <v>11</v>
      </c>
      <c r="C563" t="s">
        <v>9</v>
      </c>
      <c r="D563" t="s">
        <v>10</v>
      </c>
      <c r="E563">
        <v>7</v>
      </c>
      <c r="F563" s="1">
        <v>44834</v>
      </c>
      <c r="G563">
        <v>1.8789544173151099E-2</v>
      </c>
    </row>
    <row r="564" spans="1:7" x14ac:dyDescent="0.25">
      <c r="A564" t="s">
        <v>7</v>
      </c>
      <c r="B564" t="s">
        <v>11</v>
      </c>
      <c r="C564" t="s">
        <v>9</v>
      </c>
      <c r="D564" t="s">
        <v>10</v>
      </c>
      <c r="E564">
        <v>7</v>
      </c>
      <c r="F564" s="1">
        <v>44865</v>
      </c>
      <c r="G564">
        <v>-3.5846467633429599E-3</v>
      </c>
    </row>
    <row r="565" spans="1:7" x14ac:dyDescent="0.25">
      <c r="A565" t="s">
        <v>7</v>
      </c>
      <c r="B565" t="s">
        <v>11</v>
      </c>
      <c r="C565" t="s">
        <v>9</v>
      </c>
      <c r="D565" t="s">
        <v>10</v>
      </c>
      <c r="E565">
        <v>7</v>
      </c>
      <c r="F565" s="1">
        <v>44895</v>
      </c>
      <c r="G565">
        <v>5.3659128233459898E-2</v>
      </c>
    </row>
    <row r="566" spans="1:7" x14ac:dyDescent="0.25">
      <c r="A566" t="s">
        <v>7</v>
      </c>
      <c r="B566" t="s">
        <v>11</v>
      </c>
      <c r="C566" t="s">
        <v>9</v>
      </c>
      <c r="D566" t="s">
        <v>10</v>
      </c>
      <c r="E566">
        <v>7</v>
      </c>
      <c r="F566" s="1">
        <v>44926</v>
      </c>
      <c r="G566">
        <v>1.8368888628193501E-2</v>
      </c>
    </row>
    <row r="567" spans="1:7" x14ac:dyDescent="0.25">
      <c r="A567" t="s">
        <v>7</v>
      </c>
      <c r="B567" t="s">
        <v>11</v>
      </c>
      <c r="C567" t="s">
        <v>9</v>
      </c>
      <c r="D567" t="s">
        <v>10</v>
      </c>
      <c r="E567">
        <v>7</v>
      </c>
      <c r="F567" s="1">
        <v>44957</v>
      </c>
      <c r="G567">
        <v>-1.5659403671863501E-2</v>
      </c>
    </row>
    <row r="568" spans="1:7" x14ac:dyDescent="0.25">
      <c r="A568" t="s">
        <v>7</v>
      </c>
      <c r="B568" t="s">
        <v>11</v>
      </c>
      <c r="C568" t="s">
        <v>9</v>
      </c>
      <c r="D568" t="s">
        <v>10</v>
      </c>
      <c r="E568">
        <v>7</v>
      </c>
      <c r="F568" s="1">
        <v>44985</v>
      </c>
      <c r="G568">
        <v>1.33466451777719E-2</v>
      </c>
    </row>
    <row r="569" spans="1:7" x14ac:dyDescent="0.25">
      <c r="A569" t="s">
        <v>7</v>
      </c>
      <c r="B569" t="s">
        <v>11</v>
      </c>
      <c r="C569" t="s">
        <v>9</v>
      </c>
      <c r="D569" t="s">
        <v>10</v>
      </c>
      <c r="E569">
        <v>7</v>
      </c>
      <c r="F569" s="1">
        <v>45016</v>
      </c>
      <c r="G569">
        <v>2.8833611478542999E-2</v>
      </c>
    </row>
    <row r="570" spans="1:7" x14ac:dyDescent="0.25">
      <c r="A570" t="s">
        <v>7</v>
      </c>
      <c r="B570" t="s">
        <v>11</v>
      </c>
      <c r="C570" t="s">
        <v>9</v>
      </c>
      <c r="D570" t="s">
        <v>10</v>
      </c>
      <c r="E570">
        <v>7</v>
      </c>
      <c r="F570" s="1">
        <v>45046</v>
      </c>
      <c r="G570">
        <v>-5.3385461549077199E-3</v>
      </c>
    </row>
    <row r="571" spans="1:7" x14ac:dyDescent="0.25">
      <c r="A571" t="s">
        <v>7</v>
      </c>
      <c r="B571" t="s">
        <v>11</v>
      </c>
      <c r="C571" t="s">
        <v>9</v>
      </c>
      <c r="D571" t="s">
        <v>10</v>
      </c>
      <c r="E571">
        <v>7</v>
      </c>
      <c r="F571" s="1">
        <v>45077</v>
      </c>
      <c r="G571">
        <v>-2.6090609893759499E-3</v>
      </c>
    </row>
    <row r="572" spans="1:7" x14ac:dyDescent="0.25">
      <c r="A572" t="s">
        <v>7</v>
      </c>
      <c r="B572" t="s">
        <v>11</v>
      </c>
      <c r="C572" t="s">
        <v>9</v>
      </c>
      <c r="D572" t="s">
        <v>10</v>
      </c>
      <c r="E572">
        <v>7</v>
      </c>
      <c r="F572" s="1">
        <v>45107</v>
      </c>
      <c r="G572">
        <v>-8.4256655644903405E-3</v>
      </c>
    </row>
    <row r="573" spans="1:7" x14ac:dyDescent="0.25">
      <c r="A573" t="s">
        <v>7</v>
      </c>
      <c r="B573" t="s">
        <v>11</v>
      </c>
      <c r="C573" t="s">
        <v>9</v>
      </c>
      <c r="D573" t="s">
        <v>10</v>
      </c>
      <c r="E573">
        <v>7</v>
      </c>
      <c r="F573" s="1">
        <v>45138</v>
      </c>
      <c r="G573">
        <v>-6.00256438310436E-3</v>
      </c>
    </row>
    <row r="574" spans="1:7" x14ac:dyDescent="0.25">
      <c r="A574" t="s">
        <v>7</v>
      </c>
      <c r="B574" t="s">
        <v>11</v>
      </c>
      <c r="C574" t="s">
        <v>9</v>
      </c>
      <c r="D574" t="s">
        <v>10</v>
      </c>
      <c r="E574">
        <v>7</v>
      </c>
      <c r="F574" s="1">
        <v>45169</v>
      </c>
      <c r="G574">
        <v>-7.2763495144735502E-3</v>
      </c>
    </row>
    <row r="575" spans="1:7" x14ac:dyDescent="0.25">
      <c r="A575" t="s">
        <v>7</v>
      </c>
      <c r="B575" t="s">
        <v>11</v>
      </c>
      <c r="C575" t="s">
        <v>9</v>
      </c>
      <c r="D575" t="s">
        <v>10</v>
      </c>
      <c r="E575">
        <v>7</v>
      </c>
      <c r="F575" s="1">
        <v>45199</v>
      </c>
      <c r="G575">
        <v>4.2180679096117503E-3</v>
      </c>
    </row>
    <row r="576" spans="1:7" x14ac:dyDescent="0.25">
      <c r="A576" t="s">
        <v>7</v>
      </c>
      <c r="B576" t="s">
        <v>11</v>
      </c>
      <c r="C576" t="s">
        <v>9</v>
      </c>
      <c r="D576" t="s">
        <v>10</v>
      </c>
      <c r="E576">
        <v>7</v>
      </c>
      <c r="F576" s="1">
        <v>45230</v>
      </c>
      <c r="G576">
        <v>1.19846502441339E-2</v>
      </c>
    </row>
    <row r="577" spans="1:7" x14ac:dyDescent="0.25">
      <c r="A577" t="s">
        <v>7</v>
      </c>
      <c r="B577" t="s">
        <v>11</v>
      </c>
      <c r="C577" t="s">
        <v>9</v>
      </c>
      <c r="D577" t="s">
        <v>10</v>
      </c>
      <c r="E577">
        <v>7</v>
      </c>
      <c r="F577" s="1">
        <v>45260</v>
      </c>
      <c r="G577">
        <v>1.00256958125431E-2</v>
      </c>
    </row>
    <row r="578" spans="1:7" x14ac:dyDescent="0.25">
      <c r="A578" t="s">
        <v>7</v>
      </c>
      <c r="B578" t="s">
        <v>11</v>
      </c>
      <c r="C578" t="s">
        <v>9</v>
      </c>
      <c r="D578" t="s">
        <v>10</v>
      </c>
      <c r="E578">
        <v>7</v>
      </c>
      <c r="F578" s="1">
        <v>45291</v>
      </c>
      <c r="G578">
        <v>-4.0857514285138098E-3</v>
      </c>
    </row>
    <row r="579" spans="1:7" x14ac:dyDescent="0.25">
      <c r="A579" t="s">
        <v>7</v>
      </c>
      <c r="B579" t="s">
        <v>11</v>
      </c>
      <c r="C579" t="s">
        <v>9</v>
      </c>
      <c r="D579" t="s">
        <v>10</v>
      </c>
      <c r="E579">
        <v>7</v>
      </c>
      <c r="F579" s="1">
        <v>45322</v>
      </c>
      <c r="G579">
        <v>1.85519865812354E-2</v>
      </c>
    </row>
    <row r="580" spans="1:7" x14ac:dyDescent="0.25">
      <c r="A580" t="s">
        <v>7</v>
      </c>
      <c r="B580" t="s">
        <v>11</v>
      </c>
      <c r="C580" t="s">
        <v>9</v>
      </c>
      <c r="D580" t="s">
        <v>10</v>
      </c>
      <c r="E580">
        <v>7</v>
      </c>
      <c r="F580" s="1">
        <v>45351</v>
      </c>
      <c r="G580">
        <v>1.95981166449468E-2</v>
      </c>
    </row>
    <row r="581" spans="1:7" x14ac:dyDescent="0.25">
      <c r="A581" t="s">
        <v>7</v>
      </c>
      <c r="B581" t="s">
        <v>11</v>
      </c>
      <c r="C581" t="s">
        <v>9</v>
      </c>
      <c r="D581" t="s">
        <v>10</v>
      </c>
      <c r="E581">
        <v>7</v>
      </c>
      <c r="F581" s="1">
        <v>45382</v>
      </c>
      <c r="G581">
        <v>-1.28175610036448E-3</v>
      </c>
    </row>
    <row r="582" spans="1:7" x14ac:dyDescent="0.25">
      <c r="A582" t="s">
        <v>7</v>
      </c>
      <c r="B582" t="s">
        <v>11</v>
      </c>
      <c r="C582" t="s">
        <v>9</v>
      </c>
      <c r="D582" t="s">
        <v>10</v>
      </c>
      <c r="E582">
        <v>7</v>
      </c>
      <c r="F582" s="1">
        <v>45412</v>
      </c>
      <c r="G582">
        <v>1.40555193522383E-2</v>
      </c>
    </row>
    <row r="583" spans="1:7" x14ac:dyDescent="0.25">
      <c r="A583" t="s">
        <v>7</v>
      </c>
      <c r="B583" t="s">
        <v>11</v>
      </c>
      <c r="C583" t="s">
        <v>9</v>
      </c>
      <c r="D583" t="s">
        <v>10</v>
      </c>
      <c r="E583">
        <v>7</v>
      </c>
      <c r="F583" s="1">
        <v>45443</v>
      </c>
      <c r="G583">
        <v>-9.6041390151311301E-3</v>
      </c>
    </row>
    <row r="584" spans="1:7" x14ac:dyDescent="0.25">
      <c r="A584" t="s">
        <v>7</v>
      </c>
      <c r="B584" t="s">
        <v>11</v>
      </c>
      <c r="C584" t="s">
        <v>9</v>
      </c>
      <c r="D584" t="s">
        <v>10</v>
      </c>
      <c r="E584">
        <v>7</v>
      </c>
      <c r="F584" s="1">
        <v>45473</v>
      </c>
      <c r="G584">
        <v>6.0162054933128196E-3</v>
      </c>
    </row>
    <row r="585" spans="1:7" x14ac:dyDescent="0.25">
      <c r="A585" t="s">
        <v>7</v>
      </c>
      <c r="B585" t="s">
        <v>11</v>
      </c>
      <c r="C585" t="s">
        <v>9</v>
      </c>
      <c r="D585" t="s">
        <v>10</v>
      </c>
      <c r="E585">
        <v>7</v>
      </c>
      <c r="F585" s="1">
        <v>45504</v>
      </c>
      <c r="G585">
        <v>-2.1398667825601098E-3</v>
      </c>
    </row>
    <row r="586" spans="1:7" x14ac:dyDescent="0.25">
      <c r="A586" t="s">
        <v>7</v>
      </c>
      <c r="B586" t="s">
        <v>11</v>
      </c>
      <c r="C586" t="s">
        <v>9</v>
      </c>
      <c r="D586" t="s">
        <v>10</v>
      </c>
      <c r="E586">
        <v>7</v>
      </c>
      <c r="F586" s="1">
        <v>45535</v>
      </c>
      <c r="G586">
        <v>3.5712272663880502E-2</v>
      </c>
    </row>
    <row r="587" spans="1:7" x14ac:dyDescent="0.25">
      <c r="A587" t="s">
        <v>7</v>
      </c>
      <c r="B587" t="s">
        <v>11</v>
      </c>
      <c r="C587" t="s">
        <v>9</v>
      </c>
      <c r="D587" t="s">
        <v>10</v>
      </c>
      <c r="E587">
        <v>7</v>
      </c>
      <c r="F587" s="1">
        <v>45565</v>
      </c>
      <c r="G587">
        <v>1.13577722315285E-2</v>
      </c>
    </row>
    <row r="588" spans="1:7" x14ac:dyDescent="0.25">
      <c r="A588" t="s">
        <v>7</v>
      </c>
      <c r="B588" t="s">
        <v>11</v>
      </c>
      <c r="C588" t="s">
        <v>9</v>
      </c>
      <c r="D588" t="s">
        <v>10</v>
      </c>
      <c r="E588">
        <v>7</v>
      </c>
      <c r="F588" s="1">
        <v>45596</v>
      </c>
      <c r="G588">
        <v>-1.29865931082356E-3</v>
      </c>
    </row>
    <row r="589" spans="1:7" x14ac:dyDescent="0.25">
      <c r="A589" t="s">
        <v>7</v>
      </c>
      <c r="B589" t="s">
        <v>11</v>
      </c>
      <c r="C589" t="s">
        <v>9</v>
      </c>
      <c r="D589" t="s">
        <v>10</v>
      </c>
      <c r="E589">
        <v>7</v>
      </c>
      <c r="F589" s="1">
        <v>45626</v>
      </c>
      <c r="G589">
        <v>-1.13507804318608E-2</v>
      </c>
    </row>
    <row r="590" spans="1:7" x14ac:dyDescent="0.25">
      <c r="A590" t="s">
        <v>7</v>
      </c>
      <c r="B590" t="s">
        <v>11</v>
      </c>
      <c r="C590" t="s">
        <v>9</v>
      </c>
      <c r="D590" t="s">
        <v>10</v>
      </c>
      <c r="E590">
        <v>7</v>
      </c>
      <c r="F590" s="1">
        <v>45657</v>
      </c>
      <c r="G590">
        <v>2.78805723498167E-4</v>
      </c>
    </row>
    <row r="591" spans="1:7" x14ac:dyDescent="0.25">
      <c r="A591" t="s">
        <v>7</v>
      </c>
      <c r="B591" t="s">
        <v>11</v>
      </c>
      <c r="C591" t="s">
        <v>9</v>
      </c>
      <c r="D591" t="s">
        <v>10</v>
      </c>
      <c r="E591">
        <v>7</v>
      </c>
      <c r="F591" s="1">
        <v>45688</v>
      </c>
      <c r="G591">
        <v>1.71094834112227E-2</v>
      </c>
    </row>
    <row r="592" spans="1:7" x14ac:dyDescent="0.25">
      <c r="A592" t="s">
        <v>7</v>
      </c>
      <c r="B592" t="s">
        <v>11</v>
      </c>
      <c r="C592" t="s">
        <v>9</v>
      </c>
      <c r="D592" t="s">
        <v>10</v>
      </c>
      <c r="E592">
        <v>7</v>
      </c>
      <c r="F592" s="1">
        <v>45716</v>
      </c>
      <c r="G592">
        <v>1.20694938956981E-2</v>
      </c>
    </row>
    <row r="593" spans="1:7" x14ac:dyDescent="0.25">
      <c r="A593" t="s">
        <v>7</v>
      </c>
      <c r="B593" t="s">
        <v>11</v>
      </c>
      <c r="C593" t="s">
        <v>9</v>
      </c>
      <c r="D593" t="s">
        <v>10</v>
      </c>
      <c r="E593">
        <v>7</v>
      </c>
      <c r="F593" s="1">
        <v>45747</v>
      </c>
      <c r="G593">
        <v>2.2348616102608999E-2</v>
      </c>
    </row>
    <row r="594" spans="1:7" x14ac:dyDescent="0.25">
      <c r="A594" t="s">
        <v>7</v>
      </c>
      <c r="B594" t="s">
        <v>11</v>
      </c>
      <c r="C594" t="s">
        <v>9</v>
      </c>
      <c r="D594" t="s">
        <v>10</v>
      </c>
      <c r="E594">
        <v>7</v>
      </c>
      <c r="F594" s="1">
        <v>45777</v>
      </c>
      <c r="G594">
        <v>1.5696092152879201E-2</v>
      </c>
    </row>
    <row r="595" spans="1:7" x14ac:dyDescent="0.25">
      <c r="A595" t="s">
        <v>7</v>
      </c>
      <c r="B595" t="s">
        <v>11</v>
      </c>
      <c r="C595" t="s">
        <v>9</v>
      </c>
      <c r="D595" t="s">
        <v>10</v>
      </c>
      <c r="E595">
        <v>7</v>
      </c>
      <c r="F595" s="1">
        <v>45808</v>
      </c>
      <c r="G595">
        <v>-9.9131160256114795E-3</v>
      </c>
    </row>
    <row r="596" spans="1:7" x14ac:dyDescent="0.25">
      <c r="A596" t="s">
        <v>7</v>
      </c>
      <c r="B596" t="s">
        <v>11</v>
      </c>
      <c r="C596" t="s">
        <v>9</v>
      </c>
      <c r="D596" t="s">
        <v>10</v>
      </c>
      <c r="E596">
        <v>7</v>
      </c>
      <c r="F596" s="1">
        <v>45838</v>
      </c>
      <c r="G596">
        <v>-1.15389364745093E-2</v>
      </c>
    </row>
    <row r="597" spans="1:7" x14ac:dyDescent="0.25">
      <c r="A597" t="s">
        <v>7</v>
      </c>
      <c r="B597" t="s">
        <v>11</v>
      </c>
      <c r="C597" t="s">
        <v>9</v>
      </c>
      <c r="D597" t="s">
        <v>10</v>
      </c>
      <c r="E597">
        <v>7</v>
      </c>
      <c r="F597" s="1">
        <v>45869</v>
      </c>
      <c r="G597">
        <v>-1.0719494682542401E-2</v>
      </c>
    </row>
    <row r="598" spans="1:7" x14ac:dyDescent="0.25">
      <c r="A598" t="s">
        <v>7</v>
      </c>
      <c r="B598" t="s">
        <v>11</v>
      </c>
      <c r="C598" t="s">
        <v>9</v>
      </c>
      <c r="D598" t="s">
        <v>10</v>
      </c>
      <c r="E598">
        <v>7</v>
      </c>
      <c r="F598" s="1">
        <v>45900</v>
      </c>
      <c r="G598">
        <v>-5.0381715878173696E-3</v>
      </c>
    </row>
    <row r="599" spans="1:7" x14ac:dyDescent="0.25">
      <c r="A599" t="s">
        <v>7</v>
      </c>
      <c r="B599" t="s">
        <v>11</v>
      </c>
      <c r="C599" t="s">
        <v>9</v>
      </c>
      <c r="D599" t="s">
        <v>10</v>
      </c>
      <c r="E599">
        <v>7</v>
      </c>
      <c r="F599" s="1">
        <v>45930</v>
      </c>
      <c r="G599">
        <v>1.5203103011781001E-2</v>
      </c>
    </row>
    <row r="600" spans="1:7" x14ac:dyDescent="0.25">
      <c r="A600" t="s">
        <v>7</v>
      </c>
      <c r="B600" t="s">
        <v>11</v>
      </c>
      <c r="C600" t="s">
        <v>9</v>
      </c>
      <c r="D600" t="s">
        <v>10</v>
      </c>
      <c r="E600">
        <v>7</v>
      </c>
      <c r="F600" s="1">
        <v>45961</v>
      </c>
      <c r="G600">
        <v>2.7509614800495699E-2</v>
      </c>
    </row>
    <row r="601" spans="1:7" x14ac:dyDescent="0.25">
      <c r="A601" t="s">
        <v>7</v>
      </c>
      <c r="B601" t="s">
        <v>11</v>
      </c>
      <c r="C601" t="s">
        <v>9</v>
      </c>
      <c r="D601" t="s">
        <v>10</v>
      </c>
      <c r="E601">
        <v>7</v>
      </c>
      <c r="F601" s="1">
        <v>45991</v>
      </c>
      <c r="G601">
        <v>-1.1290775986798E-2</v>
      </c>
    </row>
    <row r="602" spans="1:7" x14ac:dyDescent="0.25">
      <c r="A602" t="s">
        <v>7</v>
      </c>
      <c r="B602" t="s">
        <v>11</v>
      </c>
      <c r="C602" t="s">
        <v>9</v>
      </c>
      <c r="D602" t="s">
        <v>10</v>
      </c>
      <c r="E602">
        <v>7</v>
      </c>
      <c r="F602" s="1">
        <v>46022</v>
      </c>
      <c r="G602">
        <v>3.71393920739822E-3</v>
      </c>
    </row>
    <row r="603" spans="1:7" x14ac:dyDescent="0.25">
      <c r="A603" t="s">
        <v>7</v>
      </c>
      <c r="B603" t="s">
        <v>12</v>
      </c>
      <c r="C603" t="s">
        <v>9</v>
      </c>
      <c r="D603" t="s">
        <v>10</v>
      </c>
      <c r="E603">
        <v>11</v>
      </c>
      <c r="F603" s="1">
        <v>35946</v>
      </c>
      <c r="G603">
        <v>1.16205066536139E-2</v>
      </c>
    </row>
    <row r="604" spans="1:7" x14ac:dyDescent="0.25">
      <c r="A604" t="s">
        <v>7</v>
      </c>
      <c r="B604" t="s">
        <v>12</v>
      </c>
      <c r="C604" t="s">
        <v>9</v>
      </c>
      <c r="D604" t="s">
        <v>10</v>
      </c>
      <c r="E604">
        <v>11</v>
      </c>
      <c r="F604" s="1">
        <v>35976</v>
      </c>
      <c r="G604">
        <v>2.0026753943103201E-2</v>
      </c>
    </row>
    <row r="605" spans="1:7" x14ac:dyDescent="0.25">
      <c r="A605" t="s">
        <v>7</v>
      </c>
      <c r="B605" t="s">
        <v>12</v>
      </c>
      <c r="C605" t="s">
        <v>9</v>
      </c>
      <c r="D605" t="s">
        <v>10</v>
      </c>
      <c r="E605">
        <v>5</v>
      </c>
      <c r="F605" s="1">
        <v>36007</v>
      </c>
      <c r="G605">
        <v>6.7332758260613607E-2</v>
      </c>
    </row>
    <row r="606" spans="1:7" x14ac:dyDescent="0.25">
      <c r="A606" t="s">
        <v>7</v>
      </c>
      <c r="B606" t="s">
        <v>12</v>
      </c>
      <c r="C606" t="s">
        <v>9</v>
      </c>
      <c r="D606" t="s">
        <v>10</v>
      </c>
      <c r="E606">
        <v>5</v>
      </c>
      <c r="F606" s="1">
        <v>36038</v>
      </c>
      <c r="G606">
        <v>-7.9637763127923394E-2</v>
      </c>
    </row>
    <row r="607" spans="1:7" x14ac:dyDescent="0.25">
      <c r="A607" t="s">
        <v>7</v>
      </c>
      <c r="B607" t="s">
        <v>12</v>
      </c>
      <c r="C607" t="s">
        <v>9</v>
      </c>
      <c r="D607" t="s">
        <v>10</v>
      </c>
      <c r="E607">
        <v>5</v>
      </c>
      <c r="F607" s="1">
        <v>36068</v>
      </c>
      <c r="G607">
        <v>-3.8870208747539901E-2</v>
      </c>
    </row>
    <row r="608" spans="1:7" x14ac:dyDescent="0.25">
      <c r="A608" t="s">
        <v>7</v>
      </c>
      <c r="B608" t="s">
        <v>12</v>
      </c>
      <c r="C608" t="s">
        <v>9</v>
      </c>
      <c r="D608" t="s">
        <v>10</v>
      </c>
      <c r="E608">
        <v>5</v>
      </c>
      <c r="F608" s="1">
        <v>36099</v>
      </c>
      <c r="G608">
        <v>0.14656121365020999</v>
      </c>
    </row>
    <row r="609" spans="1:7" x14ac:dyDescent="0.25">
      <c r="A609" t="s">
        <v>7</v>
      </c>
      <c r="B609" t="s">
        <v>12</v>
      </c>
      <c r="C609" t="s">
        <v>9</v>
      </c>
      <c r="D609" t="s">
        <v>10</v>
      </c>
      <c r="E609">
        <v>5</v>
      </c>
      <c r="F609" s="1">
        <v>36129</v>
      </c>
      <c r="G609">
        <v>7.2383855772240296E-2</v>
      </c>
    </row>
    <row r="610" spans="1:7" x14ac:dyDescent="0.25">
      <c r="A610" t="s">
        <v>7</v>
      </c>
      <c r="B610" t="s">
        <v>12</v>
      </c>
      <c r="C610" t="s">
        <v>9</v>
      </c>
      <c r="D610" t="s">
        <v>10</v>
      </c>
      <c r="E610">
        <v>12</v>
      </c>
      <c r="F610" s="1">
        <v>36160</v>
      </c>
      <c r="G610">
        <v>-0.16772182715593001</v>
      </c>
    </row>
    <row r="611" spans="1:7" x14ac:dyDescent="0.25">
      <c r="A611" t="s">
        <v>7</v>
      </c>
      <c r="B611" t="s">
        <v>12</v>
      </c>
      <c r="C611" t="s">
        <v>9</v>
      </c>
      <c r="D611" t="s">
        <v>10</v>
      </c>
      <c r="E611">
        <v>12</v>
      </c>
      <c r="F611" s="1">
        <v>36191</v>
      </c>
      <c r="G611">
        <v>-5.03440675461794E-2</v>
      </c>
    </row>
    <row r="612" spans="1:7" x14ac:dyDescent="0.25">
      <c r="A612" t="s">
        <v>7</v>
      </c>
      <c r="B612" t="s">
        <v>12</v>
      </c>
      <c r="C612" t="s">
        <v>9</v>
      </c>
      <c r="D612" t="s">
        <v>10</v>
      </c>
      <c r="E612">
        <v>12</v>
      </c>
      <c r="F612" s="1">
        <v>36311</v>
      </c>
      <c r="G612">
        <v>1.03199574847653E-2</v>
      </c>
    </row>
    <row r="613" spans="1:7" x14ac:dyDescent="0.25">
      <c r="A613" t="s">
        <v>7</v>
      </c>
      <c r="B613" t="s">
        <v>12</v>
      </c>
      <c r="C613" t="s">
        <v>9</v>
      </c>
      <c r="D613" t="s">
        <v>10</v>
      </c>
      <c r="E613">
        <v>12</v>
      </c>
      <c r="F613" s="1">
        <v>36341</v>
      </c>
      <c r="G613">
        <v>5.3193548392026897E-2</v>
      </c>
    </row>
    <row r="614" spans="1:7" x14ac:dyDescent="0.25">
      <c r="A614" t="s">
        <v>7</v>
      </c>
      <c r="B614" t="s">
        <v>12</v>
      </c>
      <c r="C614" t="s">
        <v>9</v>
      </c>
      <c r="D614" t="s">
        <v>10</v>
      </c>
      <c r="E614">
        <v>12</v>
      </c>
      <c r="F614" s="1">
        <v>36372</v>
      </c>
      <c r="G614">
        <v>4.2333075490102396E-3</v>
      </c>
    </row>
    <row r="615" spans="1:7" x14ac:dyDescent="0.25">
      <c r="A615" t="s">
        <v>7</v>
      </c>
      <c r="B615" t="s">
        <v>12</v>
      </c>
      <c r="C615" t="s">
        <v>9</v>
      </c>
      <c r="D615" t="s">
        <v>10</v>
      </c>
      <c r="E615">
        <v>12</v>
      </c>
      <c r="F615" s="1">
        <v>36403</v>
      </c>
      <c r="G615">
        <v>5.0514319524396903E-2</v>
      </c>
    </row>
    <row r="616" spans="1:7" x14ac:dyDescent="0.25">
      <c r="A616" t="s">
        <v>7</v>
      </c>
      <c r="B616" t="s">
        <v>12</v>
      </c>
      <c r="C616" t="s">
        <v>9</v>
      </c>
      <c r="D616" t="s">
        <v>10</v>
      </c>
      <c r="E616">
        <v>12</v>
      </c>
      <c r="F616" s="1">
        <v>36433</v>
      </c>
      <c r="G616">
        <v>-8.8127995422896996E-2</v>
      </c>
    </row>
    <row r="617" spans="1:7" x14ac:dyDescent="0.25">
      <c r="A617" t="s">
        <v>7</v>
      </c>
      <c r="B617" t="s">
        <v>12</v>
      </c>
      <c r="C617" t="s">
        <v>9</v>
      </c>
      <c r="D617" t="s">
        <v>10</v>
      </c>
      <c r="E617">
        <v>13</v>
      </c>
      <c r="F617" s="1">
        <v>36464</v>
      </c>
      <c r="G617">
        <v>-6.2691473664072003E-2</v>
      </c>
    </row>
    <row r="618" spans="1:7" x14ac:dyDescent="0.25">
      <c r="A618" t="s">
        <v>7</v>
      </c>
      <c r="B618" t="s">
        <v>12</v>
      </c>
      <c r="C618" t="s">
        <v>9</v>
      </c>
      <c r="D618" t="s">
        <v>10</v>
      </c>
      <c r="E618">
        <v>5</v>
      </c>
      <c r="F618" s="1">
        <v>36494</v>
      </c>
      <c r="G618">
        <v>4.8465697842107899E-2</v>
      </c>
    </row>
    <row r="619" spans="1:7" x14ac:dyDescent="0.25">
      <c r="A619" t="s">
        <v>7</v>
      </c>
      <c r="B619" t="s">
        <v>12</v>
      </c>
      <c r="C619" t="s">
        <v>9</v>
      </c>
      <c r="D619" t="s">
        <v>10</v>
      </c>
      <c r="E619">
        <v>13</v>
      </c>
      <c r="F619" s="1">
        <v>36525</v>
      </c>
      <c r="G619">
        <v>3.5258991503222502E-2</v>
      </c>
    </row>
    <row r="620" spans="1:7" x14ac:dyDescent="0.25">
      <c r="A620" t="s">
        <v>7</v>
      </c>
      <c r="B620" t="s">
        <v>12</v>
      </c>
      <c r="C620" t="s">
        <v>9</v>
      </c>
      <c r="D620" t="s">
        <v>10</v>
      </c>
      <c r="E620">
        <v>16</v>
      </c>
      <c r="F620" s="1">
        <v>36556</v>
      </c>
      <c r="G620">
        <v>-9.3491416604873895E-2</v>
      </c>
    </row>
    <row r="621" spans="1:7" x14ac:dyDescent="0.25">
      <c r="A621" t="s">
        <v>7</v>
      </c>
      <c r="B621" t="s">
        <v>12</v>
      </c>
      <c r="C621" t="s">
        <v>9</v>
      </c>
      <c r="D621" t="s">
        <v>10</v>
      </c>
      <c r="E621">
        <v>16</v>
      </c>
      <c r="F621" s="1">
        <v>36585</v>
      </c>
      <c r="G621">
        <v>-6.3894364687049898E-3</v>
      </c>
    </row>
    <row r="622" spans="1:7" x14ac:dyDescent="0.25">
      <c r="A622" t="s">
        <v>7</v>
      </c>
      <c r="B622" t="s">
        <v>12</v>
      </c>
      <c r="C622" t="s">
        <v>9</v>
      </c>
      <c r="D622" t="s">
        <v>10</v>
      </c>
      <c r="E622">
        <v>16</v>
      </c>
      <c r="F622" s="1">
        <v>36616</v>
      </c>
      <c r="G622">
        <v>4.59970026561769E-2</v>
      </c>
    </row>
    <row r="623" spans="1:7" x14ac:dyDescent="0.25">
      <c r="A623" t="s">
        <v>7</v>
      </c>
      <c r="B623" t="s">
        <v>12</v>
      </c>
      <c r="C623" t="s">
        <v>9</v>
      </c>
      <c r="D623" t="s">
        <v>10</v>
      </c>
      <c r="E623">
        <v>16</v>
      </c>
      <c r="F623" s="1">
        <v>36646</v>
      </c>
      <c r="G623">
        <v>4.2964596125733299E-4</v>
      </c>
    </row>
    <row r="624" spans="1:7" x14ac:dyDescent="0.25">
      <c r="A624" t="s">
        <v>7</v>
      </c>
      <c r="B624" t="s">
        <v>12</v>
      </c>
      <c r="C624" t="s">
        <v>9</v>
      </c>
      <c r="D624" t="s">
        <v>10</v>
      </c>
      <c r="E624">
        <v>17</v>
      </c>
      <c r="F624" s="1">
        <v>36677</v>
      </c>
      <c r="G624">
        <v>-0.15504847365208699</v>
      </c>
    </row>
    <row r="625" spans="1:7" x14ac:dyDescent="0.25">
      <c r="A625" t="s">
        <v>7</v>
      </c>
      <c r="B625" t="s">
        <v>12</v>
      </c>
      <c r="C625" t="s">
        <v>9</v>
      </c>
      <c r="D625" t="s">
        <v>10</v>
      </c>
      <c r="E625">
        <v>14</v>
      </c>
      <c r="F625" s="1">
        <v>36707</v>
      </c>
      <c r="G625">
        <v>6.6077674627222902E-2</v>
      </c>
    </row>
    <row r="626" spans="1:7" x14ac:dyDescent="0.25">
      <c r="A626" t="s">
        <v>7</v>
      </c>
      <c r="B626" t="s">
        <v>12</v>
      </c>
      <c r="C626" t="s">
        <v>9</v>
      </c>
      <c r="D626" t="s">
        <v>10</v>
      </c>
      <c r="E626">
        <v>17</v>
      </c>
      <c r="F626" s="1">
        <v>36738</v>
      </c>
      <c r="G626">
        <v>3.0372895386463199E-2</v>
      </c>
    </row>
    <row r="627" spans="1:7" x14ac:dyDescent="0.25">
      <c r="A627" t="s">
        <v>7</v>
      </c>
      <c r="B627" t="s">
        <v>12</v>
      </c>
      <c r="C627" t="s">
        <v>9</v>
      </c>
      <c r="D627" t="s">
        <v>10</v>
      </c>
      <c r="E627">
        <v>17</v>
      </c>
      <c r="F627" s="1">
        <v>36769</v>
      </c>
      <c r="G627">
        <v>8.2548802119339501E-2</v>
      </c>
    </row>
    <row r="628" spans="1:7" x14ac:dyDescent="0.25">
      <c r="A628" t="s">
        <v>7</v>
      </c>
      <c r="B628" t="s">
        <v>12</v>
      </c>
      <c r="C628" t="s">
        <v>9</v>
      </c>
      <c r="D628" t="s">
        <v>10</v>
      </c>
      <c r="E628">
        <v>17</v>
      </c>
      <c r="F628" s="1">
        <v>36799</v>
      </c>
      <c r="G628">
        <v>-1.9843295868449001E-2</v>
      </c>
    </row>
    <row r="629" spans="1:7" x14ac:dyDescent="0.25">
      <c r="A629" t="s">
        <v>7</v>
      </c>
      <c r="B629" t="s">
        <v>12</v>
      </c>
      <c r="C629" t="s">
        <v>9</v>
      </c>
      <c r="D629" t="s">
        <v>10</v>
      </c>
      <c r="E629">
        <v>17</v>
      </c>
      <c r="F629" s="1">
        <v>36830</v>
      </c>
      <c r="G629">
        <v>3.6872718255854101E-2</v>
      </c>
    </row>
    <row r="630" spans="1:7" x14ac:dyDescent="0.25">
      <c r="A630" t="s">
        <v>7</v>
      </c>
      <c r="B630" t="s">
        <v>12</v>
      </c>
      <c r="C630" t="s">
        <v>9</v>
      </c>
      <c r="D630" t="s">
        <v>10</v>
      </c>
      <c r="E630">
        <v>17</v>
      </c>
      <c r="F630" s="1">
        <v>36860</v>
      </c>
      <c r="G630">
        <v>-2.7345530432037201E-2</v>
      </c>
    </row>
    <row r="631" spans="1:7" x14ac:dyDescent="0.25">
      <c r="A631" t="s">
        <v>7</v>
      </c>
      <c r="B631" t="s">
        <v>12</v>
      </c>
      <c r="C631" t="s">
        <v>9</v>
      </c>
      <c r="D631" t="s">
        <v>10</v>
      </c>
      <c r="E631">
        <v>17</v>
      </c>
      <c r="F631" s="1">
        <v>36891</v>
      </c>
      <c r="G631">
        <v>1.1741293058193899E-2</v>
      </c>
    </row>
    <row r="632" spans="1:7" x14ac:dyDescent="0.25">
      <c r="A632" t="s">
        <v>7</v>
      </c>
      <c r="B632" t="s">
        <v>12</v>
      </c>
      <c r="C632" t="s">
        <v>9</v>
      </c>
      <c r="D632" t="s">
        <v>10</v>
      </c>
      <c r="E632">
        <v>17</v>
      </c>
      <c r="F632" s="1">
        <v>36922</v>
      </c>
      <c r="G632">
        <v>2.52292018127146E-2</v>
      </c>
    </row>
    <row r="633" spans="1:7" x14ac:dyDescent="0.25">
      <c r="A633" t="s">
        <v>7</v>
      </c>
      <c r="B633" t="s">
        <v>12</v>
      </c>
      <c r="C633" t="s">
        <v>9</v>
      </c>
      <c r="D633" t="s">
        <v>10</v>
      </c>
      <c r="E633">
        <v>18</v>
      </c>
      <c r="F633" s="1">
        <v>36950</v>
      </c>
      <c r="G633">
        <v>6.5743133742104401E-2</v>
      </c>
    </row>
    <row r="634" spans="1:7" x14ac:dyDescent="0.25">
      <c r="A634" t="s">
        <v>7</v>
      </c>
      <c r="B634" t="s">
        <v>12</v>
      </c>
      <c r="C634" t="s">
        <v>9</v>
      </c>
      <c r="D634" t="s">
        <v>10</v>
      </c>
      <c r="E634">
        <v>18</v>
      </c>
      <c r="F634" s="1">
        <v>36981</v>
      </c>
      <c r="G634">
        <v>-7.3395601812455802E-2</v>
      </c>
    </row>
    <row r="635" spans="1:7" x14ac:dyDescent="0.25">
      <c r="A635" t="s">
        <v>7</v>
      </c>
      <c r="B635" t="s">
        <v>12</v>
      </c>
      <c r="C635" t="s">
        <v>9</v>
      </c>
      <c r="D635" t="s">
        <v>10</v>
      </c>
      <c r="E635">
        <v>17</v>
      </c>
      <c r="F635" s="1">
        <v>37011</v>
      </c>
      <c r="G635">
        <v>-5.0901330635782602E-2</v>
      </c>
    </row>
    <row r="636" spans="1:7" x14ac:dyDescent="0.25">
      <c r="A636" t="s">
        <v>7</v>
      </c>
      <c r="B636" t="s">
        <v>12</v>
      </c>
      <c r="C636" t="s">
        <v>9</v>
      </c>
      <c r="D636" t="s">
        <v>10</v>
      </c>
      <c r="E636">
        <v>18</v>
      </c>
      <c r="F636" s="1">
        <v>37042</v>
      </c>
      <c r="G636">
        <v>-1.1797124575915201E-3</v>
      </c>
    </row>
    <row r="637" spans="1:7" x14ac:dyDescent="0.25">
      <c r="A637" t="s">
        <v>7</v>
      </c>
      <c r="B637" t="s">
        <v>12</v>
      </c>
      <c r="C637" t="s">
        <v>9</v>
      </c>
      <c r="D637" t="s">
        <v>10</v>
      </c>
      <c r="E637">
        <v>6</v>
      </c>
      <c r="F637" s="1">
        <v>37072</v>
      </c>
      <c r="G637">
        <v>8.3462817658041405E-4</v>
      </c>
    </row>
    <row r="638" spans="1:7" x14ac:dyDescent="0.25">
      <c r="A638" t="s">
        <v>7</v>
      </c>
      <c r="B638" t="s">
        <v>12</v>
      </c>
      <c r="C638" t="s">
        <v>9</v>
      </c>
      <c r="D638" t="s">
        <v>10</v>
      </c>
      <c r="E638">
        <v>6</v>
      </c>
      <c r="F638" s="1">
        <v>37103</v>
      </c>
      <c r="G638">
        <v>2.71227290540083E-2</v>
      </c>
    </row>
    <row r="639" spans="1:7" x14ac:dyDescent="0.25">
      <c r="A639" t="s">
        <v>7</v>
      </c>
      <c r="B639" t="s">
        <v>12</v>
      </c>
      <c r="C639" t="s">
        <v>9</v>
      </c>
      <c r="D639" t="s">
        <v>10</v>
      </c>
      <c r="E639">
        <v>6</v>
      </c>
      <c r="F639" s="1">
        <v>37134</v>
      </c>
      <c r="G639">
        <v>0.10065299019578899</v>
      </c>
    </row>
    <row r="640" spans="1:7" x14ac:dyDescent="0.25">
      <c r="A640" t="s">
        <v>7</v>
      </c>
      <c r="B640" t="s">
        <v>12</v>
      </c>
      <c r="C640" t="s">
        <v>9</v>
      </c>
      <c r="D640" t="s">
        <v>10</v>
      </c>
      <c r="E640">
        <v>6</v>
      </c>
      <c r="F640" s="1">
        <v>37164</v>
      </c>
      <c r="G640">
        <v>4.2898802901001697E-2</v>
      </c>
    </row>
    <row r="641" spans="1:7" x14ac:dyDescent="0.25">
      <c r="A641" t="s">
        <v>7</v>
      </c>
      <c r="B641" t="s">
        <v>12</v>
      </c>
      <c r="C641" t="s">
        <v>9</v>
      </c>
      <c r="D641" t="s">
        <v>10</v>
      </c>
      <c r="E641">
        <v>6</v>
      </c>
      <c r="F641" s="1">
        <v>37287</v>
      </c>
      <c r="G641">
        <v>3.9217664933438999E-2</v>
      </c>
    </row>
    <row r="642" spans="1:7" x14ac:dyDescent="0.25">
      <c r="A642" t="s">
        <v>7</v>
      </c>
      <c r="B642" t="s">
        <v>12</v>
      </c>
      <c r="C642" t="s">
        <v>9</v>
      </c>
      <c r="D642" t="s">
        <v>10</v>
      </c>
      <c r="E642">
        <v>6</v>
      </c>
      <c r="F642" s="1">
        <v>37315</v>
      </c>
      <c r="G642">
        <v>2.7174611135134901E-2</v>
      </c>
    </row>
    <row r="643" spans="1:7" x14ac:dyDescent="0.25">
      <c r="A643" t="s">
        <v>7</v>
      </c>
      <c r="B643" t="s">
        <v>12</v>
      </c>
      <c r="C643" t="s">
        <v>9</v>
      </c>
      <c r="D643" t="s">
        <v>10</v>
      </c>
      <c r="E643">
        <v>7</v>
      </c>
      <c r="F643" s="1">
        <v>37346</v>
      </c>
      <c r="G643">
        <v>4.8710314181321997E-2</v>
      </c>
    </row>
    <row r="644" spans="1:7" x14ac:dyDescent="0.25">
      <c r="A644" t="s">
        <v>7</v>
      </c>
      <c r="B644" t="s">
        <v>12</v>
      </c>
      <c r="C644" t="s">
        <v>9</v>
      </c>
      <c r="D644" t="s">
        <v>10</v>
      </c>
      <c r="E644">
        <v>6</v>
      </c>
      <c r="F644" s="1">
        <v>37376</v>
      </c>
      <c r="G644">
        <v>6.0737519881275098E-2</v>
      </c>
    </row>
    <row r="645" spans="1:7" x14ac:dyDescent="0.25">
      <c r="A645" t="s">
        <v>7</v>
      </c>
      <c r="B645" t="s">
        <v>12</v>
      </c>
      <c r="C645" t="s">
        <v>9</v>
      </c>
      <c r="D645" t="s">
        <v>10</v>
      </c>
      <c r="E645">
        <v>5</v>
      </c>
      <c r="F645" s="1">
        <v>37407</v>
      </c>
      <c r="G645">
        <v>-9.0820346941935901E-2</v>
      </c>
    </row>
    <row r="646" spans="1:7" x14ac:dyDescent="0.25">
      <c r="A646" t="s">
        <v>7</v>
      </c>
      <c r="B646" t="s">
        <v>12</v>
      </c>
      <c r="C646" t="s">
        <v>9</v>
      </c>
      <c r="D646" t="s">
        <v>10</v>
      </c>
      <c r="E646">
        <v>5</v>
      </c>
      <c r="F646" s="1">
        <v>37437</v>
      </c>
      <c r="G646">
        <v>2.9913362125932399E-2</v>
      </c>
    </row>
    <row r="647" spans="1:7" x14ac:dyDescent="0.25">
      <c r="A647" t="s">
        <v>7</v>
      </c>
      <c r="B647" t="s">
        <v>12</v>
      </c>
      <c r="C647" t="s">
        <v>9</v>
      </c>
      <c r="D647" t="s">
        <v>10</v>
      </c>
      <c r="E647">
        <v>5</v>
      </c>
      <c r="F647" s="1">
        <v>37894</v>
      </c>
      <c r="G647">
        <v>-9.3941279610322108E-3</v>
      </c>
    </row>
    <row r="648" spans="1:7" x14ac:dyDescent="0.25">
      <c r="A648" t="s">
        <v>7</v>
      </c>
      <c r="B648" t="s">
        <v>12</v>
      </c>
      <c r="C648" t="s">
        <v>9</v>
      </c>
      <c r="D648" t="s">
        <v>10</v>
      </c>
      <c r="E648">
        <v>5</v>
      </c>
      <c r="F648" s="1">
        <v>37925</v>
      </c>
      <c r="G648">
        <v>-8.2961643921203698E-2</v>
      </c>
    </row>
    <row r="649" spans="1:7" x14ac:dyDescent="0.25">
      <c r="A649" t="s">
        <v>7</v>
      </c>
      <c r="B649" t="s">
        <v>12</v>
      </c>
      <c r="C649" t="s">
        <v>9</v>
      </c>
      <c r="D649" t="s">
        <v>10</v>
      </c>
      <c r="E649">
        <v>6</v>
      </c>
      <c r="F649" s="1">
        <v>37955</v>
      </c>
      <c r="G649">
        <v>-6.3182852388746394E-2</v>
      </c>
    </row>
    <row r="650" spans="1:7" x14ac:dyDescent="0.25">
      <c r="A650" t="s">
        <v>7</v>
      </c>
      <c r="B650" t="s">
        <v>12</v>
      </c>
      <c r="C650" t="s">
        <v>9</v>
      </c>
      <c r="D650" t="s">
        <v>10</v>
      </c>
      <c r="E650">
        <v>14</v>
      </c>
      <c r="F650" s="1">
        <v>37986</v>
      </c>
      <c r="G650">
        <v>1.6083089897297401E-2</v>
      </c>
    </row>
    <row r="651" spans="1:7" x14ac:dyDescent="0.25">
      <c r="A651" t="s">
        <v>7</v>
      </c>
      <c r="B651" t="s">
        <v>12</v>
      </c>
      <c r="C651" t="s">
        <v>9</v>
      </c>
      <c r="D651" t="s">
        <v>10</v>
      </c>
      <c r="E651">
        <v>6</v>
      </c>
      <c r="F651" s="1">
        <v>38017</v>
      </c>
      <c r="G651">
        <v>0.17249432711514201</v>
      </c>
    </row>
    <row r="652" spans="1:7" x14ac:dyDescent="0.25">
      <c r="A652" t="s">
        <v>7</v>
      </c>
      <c r="B652" t="s">
        <v>12</v>
      </c>
      <c r="C652" t="s">
        <v>9</v>
      </c>
      <c r="D652" t="s">
        <v>10</v>
      </c>
      <c r="E652">
        <v>6</v>
      </c>
      <c r="F652" s="1">
        <v>38046</v>
      </c>
      <c r="G652">
        <v>-6.0372520724478199E-2</v>
      </c>
    </row>
    <row r="653" spans="1:7" x14ac:dyDescent="0.25">
      <c r="A653" t="s">
        <v>7</v>
      </c>
      <c r="B653" t="s">
        <v>12</v>
      </c>
      <c r="C653" t="s">
        <v>9</v>
      </c>
      <c r="D653" t="s">
        <v>10</v>
      </c>
      <c r="E653">
        <v>6</v>
      </c>
      <c r="F653" s="1">
        <v>38077</v>
      </c>
      <c r="G653">
        <v>3.1900719634638799E-3</v>
      </c>
    </row>
    <row r="654" spans="1:7" x14ac:dyDescent="0.25">
      <c r="A654" t="s">
        <v>7</v>
      </c>
      <c r="B654" t="s">
        <v>12</v>
      </c>
      <c r="C654" t="s">
        <v>9</v>
      </c>
      <c r="D654" t="s">
        <v>10</v>
      </c>
      <c r="E654">
        <v>6</v>
      </c>
      <c r="F654" s="1">
        <v>38107</v>
      </c>
      <c r="G654">
        <v>-1.2036001717888699E-2</v>
      </c>
    </row>
    <row r="655" spans="1:7" x14ac:dyDescent="0.25">
      <c r="A655" t="s">
        <v>7</v>
      </c>
      <c r="B655" t="s">
        <v>12</v>
      </c>
      <c r="C655" t="s">
        <v>9</v>
      </c>
      <c r="D655" t="s">
        <v>10</v>
      </c>
      <c r="E655">
        <v>16</v>
      </c>
      <c r="F655" s="1">
        <v>38138</v>
      </c>
      <c r="G655">
        <v>-1.54764440475281E-2</v>
      </c>
    </row>
    <row r="656" spans="1:7" x14ac:dyDescent="0.25">
      <c r="A656" t="s">
        <v>7</v>
      </c>
      <c r="B656" t="s">
        <v>12</v>
      </c>
      <c r="C656" t="s">
        <v>9</v>
      </c>
      <c r="D656" t="s">
        <v>10</v>
      </c>
      <c r="E656">
        <v>15</v>
      </c>
      <c r="F656" s="1">
        <v>38168</v>
      </c>
      <c r="G656">
        <v>6.60249953385212E-3</v>
      </c>
    </row>
    <row r="657" spans="1:7" x14ac:dyDescent="0.25">
      <c r="A657" t="s">
        <v>7</v>
      </c>
      <c r="B657" t="s">
        <v>12</v>
      </c>
      <c r="C657" t="s">
        <v>9</v>
      </c>
      <c r="D657" t="s">
        <v>10</v>
      </c>
      <c r="E657">
        <v>17</v>
      </c>
      <c r="F657" s="1">
        <v>38199</v>
      </c>
      <c r="G657">
        <v>-5.0385220881633698E-2</v>
      </c>
    </row>
    <row r="658" spans="1:7" x14ac:dyDescent="0.25">
      <c r="A658" t="s">
        <v>7</v>
      </c>
      <c r="B658" t="s">
        <v>12</v>
      </c>
      <c r="C658" t="s">
        <v>9</v>
      </c>
      <c r="D658" t="s">
        <v>10</v>
      </c>
      <c r="E658">
        <v>19</v>
      </c>
      <c r="F658" s="1">
        <v>38230</v>
      </c>
      <c r="G658">
        <v>1.37947290280514E-3</v>
      </c>
    </row>
    <row r="659" spans="1:7" x14ac:dyDescent="0.25">
      <c r="A659" t="s">
        <v>7</v>
      </c>
      <c r="B659" t="s">
        <v>12</v>
      </c>
      <c r="C659" t="s">
        <v>9</v>
      </c>
      <c r="D659" t="s">
        <v>10</v>
      </c>
      <c r="E659">
        <v>20</v>
      </c>
      <c r="F659" s="1">
        <v>38260</v>
      </c>
      <c r="G659">
        <v>6.3366381884111698E-3</v>
      </c>
    </row>
    <row r="660" spans="1:7" x14ac:dyDescent="0.25">
      <c r="A660" t="s">
        <v>7</v>
      </c>
      <c r="B660" t="s">
        <v>12</v>
      </c>
      <c r="C660" t="s">
        <v>9</v>
      </c>
      <c r="D660" t="s">
        <v>10</v>
      </c>
      <c r="E660">
        <v>20</v>
      </c>
      <c r="F660" s="1">
        <v>38291</v>
      </c>
      <c r="G660">
        <v>5.0072854622615704E-3</v>
      </c>
    </row>
    <row r="661" spans="1:7" x14ac:dyDescent="0.25">
      <c r="A661" t="s">
        <v>7</v>
      </c>
      <c r="B661" t="s">
        <v>12</v>
      </c>
      <c r="C661" t="s">
        <v>9</v>
      </c>
      <c r="D661" t="s">
        <v>10</v>
      </c>
      <c r="E661">
        <v>20</v>
      </c>
      <c r="F661" s="1">
        <v>38321</v>
      </c>
      <c r="G661">
        <v>3.1121961486679499E-2</v>
      </c>
    </row>
    <row r="662" spans="1:7" x14ac:dyDescent="0.25">
      <c r="A662" t="s">
        <v>7</v>
      </c>
      <c r="B662" t="s">
        <v>12</v>
      </c>
      <c r="C662" t="s">
        <v>9</v>
      </c>
      <c r="D662" t="s">
        <v>10</v>
      </c>
      <c r="E662">
        <v>20</v>
      </c>
      <c r="F662" s="1">
        <v>38352</v>
      </c>
      <c r="G662">
        <v>-3.2818319085311097E-2</v>
      </c>
    </row>
    <row r="663" spans="1:7" x14ac:dyDescent="0.25">
      <c r="A663" t="s">
        <v>7</v>
      </c>
      <c r="B663" t="s">
        <v>12</v>
      </c>
      <c r="C663" t="s">
        <v>9</v>
      </c>
      <c r="D663" t="s">
        <v>10</v>
      </c>
      <c r="E663">
        <v>20</v>
      </c>
      <c r="F663" s="1">
        <v>38383</v>
      </c>
      <c r="G663">
        <v>4.4189078632250797E-3</v>
      </c>
    </row>
    <row r="664" spans="1:7" x14ac:dyDescent="0.25">
      <c r="A664" t="s">
        <v>7</v>
      </c>
      <c r="B664" t="s">
        <v>12</v>
      </c>
      <c r="C664" t="s">
        <v>9</v>
      </c>
      <c r="D664" t="s">
        <v>10</v>
      </c>
      <c r="E664">
        <v>20</v>
      </c>
      <c r="F664" s="1">
        <v>38411</v>
      </c>
      <c r="G664">
        <v>-8.9550644229175191E-3</v>
      </c>
    </row>
    <row r="665" spans="1:7" x14ac:dyDescent="0.25">
      <c r="A665" t="s">
        <v>7</v>
      </c>
      <c r="B665" t="s">
        <v>12</v>
      </c>
      <c r="C665" t="s">
        <v>9</v>
      </c>
      <c r="D665" t="s">
        <v>10</v>
      </c>
      <c r="E665">
        <v>20</v>
      </c>
      <c r="F665" s="1">
        <v>38442</v>
      </c>
      <c r="G665">
        <v>-5.5619708731571502E-3</v>
      </c>
    </row>
    <row r="666" spans="1:7" x14ac:dyDescent="0.25">
      <c r="A666" t="s">
        <v>7</v>
      </c>
      <c r="B666" t="s">
        <v>12</v>
      </c>
      <c r="C666" t="s">
        <v>9</v>
      </c>
      <c r="D666" t="s">
        <v>10</v>
      </c>
      <c r="E666">
        <v>20</v>
      </c>
      <c r="F666" s="1">
        <v>38472</v>
      </c>
      <c r="G666">
        <v>1.1873168540020299E-2</v>
      </c>
    </row>
    <row r="667" spans="1:7" x14ac:dyDescent="0.25">
      <c r="A667" t="s">
        <v>7</v>
      </c>
      <c r="B667" t="s">
        <v>12</v>
      </c>
      <c r="C667" t="s">
        <v>9</v>
      </c>
      <c r="D667" t="s">
        <v>10</v>
      </c>
      <c r="E667">
        <v>20</v>
      </c>
      <c r="F667" s="1">
        <v>38503</v>
      </c>
      <c r="G667">
        <v>5.5043489024399497E-2</v>
      </c>
    </row>
    <row r="668" spans="1:7" x14ac:dyDescent="0.25">
      <c r="A668" t="s">
        <v>7</v>
      </c>
      <c r="B668" t="s">
        <v>12</v>
      </c>
      <c r="C668" t="s">
        <v>9</v>
      </c>
      <c r="D668" t="s">
        <v>10</v>
      </c>
      <c r="E668">
        <v>20</v>
      </c>
      <c r="F668" s="1">
        <v>38533</v>
      </c>
      <c r="G668">
        <v>7.32033335458408E-3</v>
      </c>
    </row>
    <row r="669" spans="1:7" x14ac:dyDescent="0.25">
      <c r="A669" t="s">
        <v>7</v>
      </c>
      <c r="B669" t="s">
        <v>12</v>
      </c>
      <c r="C669" t="s">
        <v>9</v>
      </c>
      <c r="D669" t="s">
        <v>10</v>
      </c>
      <c r="E669">
        <v>20</v>
      </c>
      <c r="F669" s="1">
        <v>38564</v>
      </c>
      <c r="G669">
        <v>-7.1023323435771404E-2</v>
      </c>
    </row>
    <row r="670" spans="1:7" x14ac:dyDescent="0.25">
      <c r="A670" t="s">
        <v>7</v>
      </c>
      <c r="B670" t="s">
        <v>12</v>
      </c>
      <c r="C670" t="s">
        <v>9</v>
      </c>
      <c r="D670" t="s">
        <v>10</v>
      </c>
      <c r="E670">
        <v>21</v>
      </c>
      <c r="F670" s="1">
        <v>38595</v>
      </c>
      <c r="G670">
        <v>1.0150408382893199E-2</v>
      </c>
    </row>
    <row r="671" spans="1:7" x14ac:dyDescent="0.25">
      <c r="A671" t="s">
        <v>7</v>
      </c>
      <c r="B671" t="s">
        <v>12</v>
      </c>
      <c r="C671" t="s">
        <v>9</v>
      </c>
      <c r="D671" t="s">
        <v>10</v>
      </c>
      <c r="E671">
        <v>21</v>
      </c>
      <c r="F671" s="1">
        <v>38625</v>
      </c>
      <c r="G671">
        <v>-3.7651831689290198E-2</v>
      </c>
    </row>
    <row r="672" spans="1:7" x14ac:dyDescent="0.25">
      <c r="A672" t="s">
        <v>7</v>
      </c>
      <c r="B672" t="s">
        <v>12</v>
      </c>
      <c r="C672" t="s">
        <v>9</v>
      </c>
      <c r="D672" t="s">
        <v>10</v>
      </c>
      <c r="E672">
        <v>21</v>
      </c>
      <c r="F672" s="1">
        <v>38656</v>
      </c>
      <c r="G672">
        <v>3.6841128329059898E-2</v>
      </c>
    </row>
    <row r="673" spans="1:7" x14ac:dyDescent="0.25">
      <c r="A673" t="s">
        <v>7</v>
      </c>
      <c r="B673" t="s">
        <v>12</v>
      </c>
      <c r="C673" t="s">
        <v>9</v>
      </c>
      <c r="D673" t="s">
        <v>10</v>
      </c>
      <c r="E673">
        <v>22</v>
      </c>
      <c r="F673" s="1">
        <v>38686</v>
      </c>
      <c r="G673">
        <v>-2.6500342787326402E-2</v>
      </c>
    </row>
    <row r="674" spans="1:7" x14ac:dyDescent="0.25">
      <c r="A674" t="s">
        <v>7</v>
      </c>
      <c r="B674" t="s">
        <v>12</v>
      </c>
      <c r="C674" t="s">
        <v>9</v>
      </c>
      <c r="D674" t="s">
        <v>10</v>
      </c>
      <c r="E674">
        <v>22</v>
      </c>
      <c r="F674" s="1">
        <v>38717</v>
      </c>
      <c r="G674">
        <v>-8.1326330567795896E-2</v>
      </c>
    </row>
    <row r="675" spans="1:7" x14ac:dyDescent="0.25">
      <c r="A675" t="s">
        <v>7</v>
      </c>
      <c r="B675" t="s">
        <v>12</v>
      </c>
      <c r="C675" t="s">
        <v>9</v>
      </c>
      <c r="D675" t="s">
        <v>10</v>
      </c>
      <c r="E675">
        <v>22</v>
      </c>
      <c r="F675" s="1">
        <v>38748</v>
      </c>
      <c r="G675">
        <v>-3.2202239599415199E-3</v>
      </c>
    </row>
    <row r="676" spans="1:7" x14ac:dyDescent="0.25">
      <c r="A676" t="s">
        <v>7</v>
      </c>
      <c r="B676" t="s">
        <v>12</v>
      </c>
      <c r="C676" t="s">
        <v>9</v>
      </c>
      <c r="D676" t="s">
        <v>10</v>
      </c>
      <c r="E676">
        <v>21</v>
      </c>
      <c r="F676" s="1">
        <v>38776</v>
      </c>
      <c r="G676">
        <v>2.7420288291488199E-2</v>
      </c>
    </row>
    <row r="677" spans="1:7" x14ac:dyDescent="0.25">
      <c r="A677" t="s">
        <v>7</v>
      </c>
      <c r="B677" t="s">
        <v>12</v>
      </c>
      <c r="C677" t="s">
        <v>9</v>
      </c>
      <c r="D677" t="s">
        <v>10</v>
      </c>
      <c r="E677">
        <v>21</v>
      </c>
      <c r="F677" s="1">
        <v>38807</v>
      </c>
      <c r="G677">
        <v>-4.6406642277380399E-4</v>
      </c>
    </row>
    <row r="678" spans="1:7" x14ac:dyDescent="0.25">
      <c r="A678" t="s">
        <v>7</v>
      </c>
      <c r="B678" t="s">
        <v>12</v>
      </c>
      <c r="C678" t="s">
        <v>9</v>
      </c>
      <c r="D678" t="s">
        <v>10</v>
      </c>
      <c r="E678">
        <v>21</v>
      </c>
      <c r="F678" s="1">
        <v>38837</v>
      </c>
      <c r="G678">
        <v>2.5639382008217E-3</v>
      </c>
    </row>
    <row r="679" spans="1:7" x14ac:dyDescent="0.25">
      <c r="A679" t="s">
        <v>7</v>
      </c>
      <c r="B679" t="s">
        <v>12</v>
      </c>
      <c r="C679" t="s">
        <v>9</v>
      </c>
      <c r="D679" t="s">
        <v>10</v>
      </c>
      <c r="E679">
        <v>22</v>
      </c>
      <c r="F679" s="1">
        <v>38868</v>
      </c>
      <c r="G679">
        <v>3.1743326566668999E-2</v>
      </c>
    </row>
    <row r="680" spans="1:7" x14ac:dyDescent="0.25">
      <c r="A680" t="s">
        <v>7</v>
      </c>
      <c r="B680" t="s">
        <v>12</v>
      </c>
      <c r="C680" t="s">
        <v>9</v>
      </c>
      <c r="D680" t="s">
        <v>10</v>
      </c>
      <c r="E680">
        <v>22</v>
      </c>
      <c r="F680" s="1">
        <v>38898</v>
      </c>
      <c r="G680">
        <v>8.6509410592041196E-3</v>
      </c>
    </row>
    <row r="681" spans="1:7" x14ac:dyDescent="0.25">
      <c r="A681" t="s">
        <v>7</v>
      </c>
      <c r="B681" t="s">
        <v>12</v>
      </c>
      <c r="C681" t="s">
        <v>9</v>
      </c>
      <c r="D681" t="s">
        <v>10</v>
      </c>
      <c r="E681">
        <v>22</v>
      </c>
      <c r="F681" s="1">
        <v>38929</v>
      </c>
      <c r="G681">
        <v>-3.1074032712942901E-2</v>
      </c>
    </row>
    <row r="682" spans="1:7" x14ac:dyDescent="0.25">
      <c r="A682" t="s">
        <v>7</v>
      </c>
      <c r="B682" t="s">
        <v>12</v>
      </c>
      <c r="C682" t="s">
        <v>9</v>
      </c>
      <c r="D682" t="s">
        <v>10</v>
      </c>
      <c r="E682">
        <v>22</v>
      </c>
      <c r="F682" s="1">
        <v>38960</v>
      </c>
      <c r="G682">
        <v>-2.78727042403299E-2</v>
      </c>
    </row>
    <row r="683" spans="1:7" x14ac:dyDescent="0.25">
      <c r="A683" t="s">
        <v>7</v>
      </c>
      <c r="B683" t="s">
        <v>12</v>
      </c>
      <c r="C683" t="s">
        <v>9</v>
      </c>
      <c r="D683" t="s">
        <v>10</v>
      </c>
      <c r="E683">
        <v>22</v>
      </c>
      <c r="F683" s="1">
        <v>38990</v>
      </c>
      <c r="G683">
        <v>-8.1285629091912108E-3</v>
      </c>
    </row>
    <row r="684" spans="1:7" x14ac:dyDescent="0.25">
      <c r="A684" t="s">
        <v>7</v>
      </c>
      <c r="B684" t="s">
        <v>12</v>
      </c>
      <c r="C684" t="s">
        <v>9</v>
      </c>
      <c r="D684" t="s">
        <v>10</v>
      </c>
      <c r="E684">
        <v>22</v>
      </c>
      <c r="F684" s="1">
        <v>39021</v>
      </c>
      <c r="G684">
        <v>1.8346843374919201E-2</v>
      </c>
    </row>
    <row r="685" spans="1:7" x14ac:dyDescent="0.25">
      <c r="A685" t="s">
        <v>7</v>
      </c>
      <c r="B685" t="s">
        <v>12</v>
      </c>
      <c r="C685" t="s">
        <v>9</v>
      </c>
      <c r="D685" t="s">
        <v>10</v>
      </c>
      <c r="E685">
        <v>22</v>
      </c>
      <c r="F685" s="1">
        <v>39051</v>
      </c>
      <c r="G685">
        <v>-1.6475542670507701E-2</v>
      </c>
    </row>
    <row r="686" spans="1:7" x14ac:dyDescent="0.25">
      <c r="A686" t="s">
        <v>7</v>
      </c>
      <c r="B686" t="s">
        <v>12</v>
      </c>
      <c r="C686" t="s">
        <v>9</v>
      </c>
      <c r="D686" t="s">
        <v>10</v>
      </c>
      <c r="E686">
        <v>22</v>
      </c>
      <c r="F686" s="1">
        <v>39082</v>
      </c>
      <c r="G686">
        <v>-9.7465873048156997E-3</v>
      </c>
    </row>
    <row r="687" spans="1:7" x14ac:dyDescent="0.25">
      <c r="A687" t="s">
        <v>7</v>
      </c>
      <c r="B687" t="s">
        <v>12</v>
      </c>
      <c r="C687" t="s">
        <v>9</v>
      </c>
      <c r="D687" t="s">
        <v>10</v>
      </c>
      <c r="E687">
        <v>22</v>
      </c>
      <c r="F687" s="1">
        <v>39113</v>
      </c>
      <c r="G687">
        <v>3.0508504191137899E-2</v>
      </c>
    </row>
    <row r="688" spans="1:7" x14ac:dyDescent="0.25">
      <c r="A688" t="s">
        <v>7</v>
      </c>
      <c r="B688" t="s">
        <v>12</v>
      </c>
      <c r="C688" t="s">
        <v>9</v>
      </c>
      <c r="D688" t="s">
        <v>10</v>
      </c>
      <c r="E688">
        <v>22</v>
      </c>
      <c r="F688" s="1">
        <v>39141</v>
      </c>
      <c r="G688">
        <v>1.2113668692964699E-4</v>
      </c>
    </row>
    <row r="689" spans="1:7" x14ac:dyDescent="0.25">
      <c r="A689" t="s">
        <v>7</v>
      </c>
      <c r="B689" t="s">
        <v>12</v>
      </c>
      <c r="C689" t="s">
        <v>9</v>
      </c>
      <c r="D689" t="s">
        <v>10</v>
      </c>
      <c r="E689">
        <v>22</v>
      </c>
      <c r="F689" s="1">
        <v>39172</v>
      </c>
      <c r="G689">
        <v>7.8100784346157902E-3</v>
      </c>
    </row>
    <row r="690" spans="1:7" x14ac:dyDescent="0.25">
      <c r="A690" t="s">
        <v>7</v>
      </c>
      <c r="B690" t="s">
        <v>12</v>
      </c>
      <c r="C690" t="s">
        <v>9</v>
      </c>
      <c r="D690" t="s">
        <v>10</v>
      </c>
      <c r="E690">
        <v>22</v>
      </c>
      <c r="F690" s="1">
        <v>39202</v>
      </c>
      <c r="G690">
        <v>3.9257809921322898E-3</v>
      </c>
    </row>
    <row r="691" spans="1:7" x14ac:dyDescent="0.25">
      <c r="A691" t="s">
        <v>7</v>
      </c>
      <c r="B691" t="s">
        <v>12</v>
      </c>
      <c r="C691" t="s">
        <v>9</v>
      </c>
      <c r="D691" t="s">
        <v>10</v>
      </c>
      <c r="E691">
        <v>22</v>
      </c>
      <c r="F691" s="1">
        <v>39233</v>
      </c>
      <c r="G691">
        <v>-2.79820655913607E-2</v>
      </c>
    </row>
    <row r="692" spans="1:7" x14ac:dyDescent="0.25">
      <c r="A692" t="s">
        <v>7</v>
      </c>
      <c r="B692" t="s">
        <v>12</v>
      </c>
      <c r="C692" t="s">
        <v>9</v>
      </c>
      <c r="D692" t="s">
        <v>10</v>
      </c>
      <c r="E692">
        <v>22</v>
      </c>
      <c r="F692" s="1">
        <v>39263</v>
      </c>
      <c r="G692">
        <v>1.9864341997534601E-2</v>
      </c>
    </row>
    <row r="693" spans="1:7" x14ac:dyDescent="0.25">
      <c r="A693" t="s">
        <v>7</v>
      </c>
      <c r="B693" t="s">
        <v>12</v>
      </c>
      <c r="C693" t="s">
        <v>9</v>
      </c>
      <c r="D693" t="s">
        <v>10</v>
      </c>
      <c r="E693">
        <v>22</v>
      </c>
      <c r="F693" s="1">
        <v>39294</v>
      </c>
      <c r="G693">
        <v>2.0194251847199099E-2</v>
      </c>
    </row>
    <row r="694" spans="1:7" x14ac:dyDescent="0.25">
      <c r="A694" t="s">
        <v>7</v>
      </c>
      <c r="B694" t="s">
        <v>12</v>
      </c>
      <c r="C694" t="s">
        <v>9</v>
      </c>
      <c r="D694" t="s">
        <v>10</v>
      </c>
      <c r="E694">
        <v>22</v>
      </c>
      <c r="F694" s="1">
        <v>39325</v>
      </c>
      <c r="G694">
        <v>2.2302616500446199E-2</v>
      </c>
    </row>
    <row r="695" spans="1:7" x14ac:dyDescent="0.25">
      <c r="A695" t="s">
        <v>7</v>
      </c>
      <c r="B695" t="s">
        <v>12</v>
      </c>
      <c r="C695" t="s">
        <v>9</v>
      </c>
      <c r="D695" t="s">
        <v>10</v>
      </c>
      <c r="E695">
        <v>22</v>
      </c>
      <c r="F695" s="1">
        <v>39355</v>
      </c>
      <c r="G695">
        <v>-1.8707472415171501E-2</v>
      </c>
    </row>
    <row r="696" spans="1:7" x14ac:dyDescent="0.25">
      <c r="A696" t="s">
        <v>7</v>
      </c>
      <c r="B696" t="s">
        <v>12</v>
      </c>
      <c r="C696" t="s">
        <v>9</v>
      </c>
      <c r="D696" t="s">
        <v>10</v>
      </c>
      <c r="E696">
        <v>22</v>
      </c>
      <c r="F696" s="1">
        <v>39386</v>
      </c>
      <c r="G696">
        <v>-9.7930265193303702E-3</v>
      </c>
    </row>
    <row r="697" spans="1:7" x14ac:dyDescent="0.25">
      <c r="A697" t="s">
        <v>7</v>
      </c>
      <c r="B697" t="s">
        <v>12</v>
      </c>
      <c r="C697" t="s">
        <v>9</v>
      </c>
      <c r="D697" t="s">
        <v>10</v>
      </c>
      <c r="E697">
        <v>22</v>
      </c>
      <c r="F697" s="1">
        <v>39416</v>
      </c>
      <c r="G697">
        <v>-8.1530362355239899E-3</v>
      </c>
    </row>
    <row r="698" spans="1:7" x14ac:dyDescent="0.25">
      <c r="A698" t="s">
        <v>7</v>
      </c>
      <c r="B698" t="s">
        <v>12</v>
      </c>
      <c r="C698" t="s">
        <v>9</v>
      </c>
      <c r="D698" t="s">
        <v>10</v>
      </c>
      <c r="E698">
        <v>22</v>
      </c>
      <c r="F698" s="1">
        <v>39447</v>
      </c>
      <c r="G698">
        <v>2.6957996632978602E-2</v>
      </c>
    </row>
    <row r="699" spans="1:7" x14ac:dyDescent="0.25">
      <c r="A699" t="s">
        <v>7</v>
      </c>
      <c r="B699" t="s">
        <v>12</v>
      </c>
      <c r="C699" t="s">
        <v>9</v>
      </c>
      <c r="D699" t="s">
        <v>10</v>
      </c>
      <c r="E699">
        <v>22</v>
      </c>
      <c r="F699" s="1">
        <v>39478</v>
      </c>
      <c r="G699">
        <v>4.3589225427996002E-2</v>
      </c>
    </row>
    <row r="700" spans="1:7" x14ac:dyDescent="0.25">
      <c r="A700" t="s">
        <v>7</v>
      </c>
      <c r="B700" t="s">
        <v>12</v>
      </c>
      <c r="C700" t="s">
        <v>9</v>
      </c>
      <c r="D700" t="s">
        <v>10</v>
      </c>
      <c r="E700">
        <v>22</v>
      </c>
      <c r="F700" s="1">
        <v>39507</v>
      </c>
      <c r="G700">
        <v>-1.73307459998676E-2</v>
      </c>
    </row>
    <row r="701" spans="1:7" x14ac:dyDescent="0.25">
      <c r="A701" t="s">
        <v>7</v>
      </c>
      <c r="B701" t="s">
        <v>12</v>
      </c>
      <c r="C701" t="s">
        <v>9</v>
      </c>
      <c r="D701" t="s">
        <v>10</v>
      </c>
      <c r="E701">
        <v>22</v>
      </c>
      <c r="F701" s="1">
        <v>39538</v>
      </c>
      <c r="G701">
        <v>1.47974843324317E-3</v>
      </c>
    </row>
    <row r="702" spans="1:7" x14ac:dyDescent="0.25">
      <c r="A702" t="s">
        <v>7</v>
      </c>
      <c r="B702" t="s">
        <v>12</v>
      </c>
      <c r="C702" t="s">
        <v>9</v>
      </c>
      <c r="D702" t="s">
        <v>10</v>
      </c>
      <c r="E702">
        <v>22</v>
      </c>
      <c r="F702" s="1">
        <v>39568</v>
      </c>
      <c r="G702">
        <v>-8.7627478519743396E-3</v>
      </c>
    </row>
    <row r="703" spans="1:7" x14ac:dyDescent="0.25">
      <c r="A703" t="s">
        <v>7</v>
      </c>
      <c r="B703" t="s">
        <v>12</v>
      </c>
      <c r="C703" t="s">
        <v>9</v>
      </c>
      <c r="D703" t="s">
        <v>10</v>
      </c>
      <c r="E703">
        <v>22</v>
      </c>
      <c r="F703" s="1">
        <v>39599</v>
      </c>
      <c r="G703">
        <v>-2.83308519920112E-2</v>
      </c>
    </row>
    <row r="704" spans="1:7" x14ac:dyDescent="0.25">
      <c r="A704" t="s">
        <v>7</v>
      </c>
      <c r="B704" t="s">
        <v>12</v>
      </c>
      <c r="C704" t="s">
        <v>9</v>
      </c>
      <c r="D704" t="s">
        <v>10</v>
      </c>
      <c r="E704">
        <v>22</v>
      </c>
      <c r="F704" s="1">
        <v>39629</v>
      </c>
      <c r="G704">
        <v>6.5509650012032898E-3</v>
      </c>
    </row>
    <row r="705" spans="1:7" x14ac:dyDescent="0.25">
      <c r="A705" t="s">
        <v>7</v>
      </c>
      <c r="B705" t="s">
        <v>12</v>
      </c>
      <c r="C705" t="s">
        <v>9</v>
      </c>
      <c r="D705" t="s">
        <v>10</v>
      </c>
      <c r="E705">
        <v>22</v>
      </c>
      <c r="F705" s="1">
        <v>39660</v>
      </c>
      <c r="G705">
        <v>1.47165331221386E-2</v>
      </c>
    </row>
    <row r="706" spans="1:7" x14ac:dyDescent="0.25">
      <c r="A706" t="s">
        <v>7</v>
      </c>
      <c r="B706" t="s">
        <v>12</v>
      </c>
      <c r="C706" t="s">
        <v>9</v>
      </c>
      <c r="D706" t="s">
        <v>10</v>
      </c>
      <c r="E706">
        <v>22</v>
      </c>
      <c r="F706" s="1">
        <v>39691</v>
      </c>
      <c r="G706">
        <v>6.3089517507194395E-2</v>
      </c>
    </row>
    <row r="707" spans="1:7" x14ac:dyDescent="0.25">
      <c r="A707" t="s">
        <v>7</v>
      </c>
      <c r="B707" t="s">
        <v>12</v>
      </c>
      <c r="C707" t="s">
        <v>9</v>
      </c>
      <c r="D707" t="s">
        <v>10</v>
      </c>
      <c r="E707">
        <v>22</v>
      </c>
      <c r="F707" s="1">
        <v>39721</v>
      </c>
      <c r="G707">
        <v>4.8570349212210998E-2</v>
      </c>
    </row>
    <row r="708" spans="1:7" x14ac:dyDescent="0.25">
      <c r="A708" t="s">
        <v>7</v>
      </c>
      <c r="B708" t="s">
        <v>12</v>
      </c>
      <c r="C708" t="s">
        <v>9</v>
      </c>
      <c r="D708" t="s">
        <v>10</v>
      </c>
      <c r="E708">
        <v>22</v>
      </c>
      <c r="F708" s="1">
        <v>39752</v>
      </c>
      <c r="G708">
        <v>6.3876882166869195E-2</v>
      </c>
    </row>
    <row r="709" spans="1:7" x14ac:dyDescent="0.25">
      <c r="A709" t="s">
        <v>7</v>
      </c>
      <c r="B709" t="s">
        <v>12</v>
      </c>
      <c r="C709" t="s">
        <v>9</v>
      </c>
      <c r="D709" t="s">
        <v>10</v>
      </c>
      <c r="E709">
        <v>22</v>
      </c>
      <c r="F709" s="1">
        <v>39782</v>
      </c>
      <c r="G709">
        <v>-2.8063621187134302E-2</v>
      </c>
    </row>
    <row r="710" spans="1:7" x14ac:dyDescent="0.25">
      <c r="A710" t="s">
        <v>7</v>
      </c>
      <c r="B710" t="s">
        <v>12</v>
      </c>
      <c r="C710" t="s">
        <v>9</v>
      </c>
      <c r="D710" t="s">
        <v>10</v>
      </c>
      <c r="E710">
        <v>22</v>
      </c>
      <c r="F710" s="1">
        <v>39813</v>
      </c>
      <c r="G710">
        <v>2.1138982265076201E-2</v>
      </c>
    </row>
    <row r="711" spans="1:7" x14ac:dyDescent="0.25">
      <c r="A711" t="s">
        <v>7</v>
      </c>
      <c r="B711" t="s">
        <v>12</v>
      </c>
      <c r="C711" t="s">
        <v>9</v>
      </c>
      <c r="D711" t="s">
        <v>10</v>
      </c>
      <c r="E711">
        <v>22</v>
      </c>
      <c r="F711" s="1">
        <v>39844</v>
      </c>
      <c r="G711">
        <v>2.7412860826258299E-2</v>
      </c>
    </row>
    <row r="712" spans="1:7" x14ac:dyDescent="0.25">
      <c r="A712" t="s">
        <v>7</v>
      </c>
      <c r="B712" t="s">
        <v>12</v>
      </c>
      <c r="C712" t="s">
        <v>9</v>
      </c>
      <c r="D712" t="s">
        <v>10</v>
      </c>
      <c r="E712">
        <v>22</v>
      </c>
      <c r="F712" s="1">
        <v>39872</v>
      </c>
      <c r="G712">
        <v>3.70459179153795E-4</v>
      </c>
    </row>
    <row r="713" spans="1:7" x14ac:dyDescent="0.25">
      <c r="A713" t="s">
        <v>7</v>
      </c>
      <c r="B713" t="s">
        <v>12</v>
      </c>
      <c r="C713" t="s">
        <v>9</v>
      </c>
      <c r="D713" t="s">
        <v>10</v>
      </c>
      <c r="E713">
        <v>22</v>
      </c>
      <c r="F713" s="1">
        <v>39903</v>
      </c>
      <c r="G713">
        <v>-5.3698775986877403E-3</v>
      </c>
    </row>
    <row r="714" spans="1:7" x14ac:dyDescent="0.25">
      <c r="A714" t="s">
        <v>7</v>
      </c>
      <c r="B714" t="s">
        <v>12</v>
      </c>
      <c r="C714" t="s">
        <v>9</v>
      </c>
      <c r="D714" t="s">
        <v>10</v>
      </c>
      <c r="E714">
        <v>22</v>
      </c>
      <c r="F714" s="1">
        <v>39933</v>
      </c>
      <c r="G714">
        <v>-0.10080241567008701</v>
      </c>
    </row>
    <row r="715" spans="1:7" x14ac:dyDescent="0.25">
      <c r="A715" t="s">
        <v>7</v>
      </c>
      <c r="B715" t="s">
        <v>12</v>
      </c>
      <c r="C715" t="s">
        <v>9</v>
      </c>
      <c r="D715" t="s">
        <v>10</v>
      </c>
      <c r="E715">
        <v>21</v>
      </c>
      <c r="F715" s="1">
        <v>39964</v>
      </c>
      <c r="G715">
        <v>-9.13196939522916E-2</v>
      </c>
    </row>
    <row r="716" spans="1:7" x14ac:dyDescent="0.25">
      <c r="A716" t="s">
        <v>7</v>
      </c>
      <c r="B716" t="s">
        <v>12</v>
      </c>
      <c r="C716" t="s">
        <v>9</v>
      </c>
      <c r="D716" t="s">
        <v>10</v>
      </c>
      <c r="E716">
        <v>21</v>
      </c>
      <c r="F716" s="1">
        <v>39994</v>
      </c>
      <c r="G716">
        <v>1.07936149649056E-2</v>
      </c>
    </row>
    <row r="717" spans="1:7" x14ac:dyDescent="0.25">
      <c r="A717" t="s">
        <v>7</v>
      </c>
      <c r="B717" t="s">
        <v>12</v>
      </c>
      <c r="C717" t="s">
        <v>9</v>
      </c>
      <c r="D717" t="s">
        <v>10</v>
      </c>
      <c r="E717">
        <v>21</v>
      </c>
      <c r="F717" s="1">
        <v>40025</v>
      </c>
      <c r="G717">
        <v>-3.88267748248435E-2</v>
      </c>
    </row>
    <row r="718" spans="1:7" x14ac:dyDescent="0.25">
      <c r="A718" t="s">
        <v>7</v>
      </c>
      <c r="B718" t="s">
        <v>12</v>
      </c>
      <c r="C718" t="s">
        <v>9</v>
      </c>
      <c r="D718" t="s">
        <v>10</v>
      </c>
      <c r="E718">
        <v>21</v>
      </c>
      <c r="F718" s="1">
        <v>40056</v>
      </c>
      <c r="G718">
        <v>6.2279100311579899E-3</v>
      </c>
    </row>
    <row r="719" spans="1:7" x14ac:dyDescent="0.25">
      <c r="A719" t="s">
        <v>7</v>
      </c>
      <c r="B719" t="s">
        <v>12</v>
      </c>
      <c r="C719" t="s">
        <v>9</v>
      </c>
      <c r="D719" t="s">
        <v>10</v>
      </c>
      <c r="E719">
        <v>21</v>
      </c>
      <c r="F719" s="1">
        <v>40086</v>
      </c>
      <c r="G719">
        <v>-2.8403383452300701E-2</v>
      </c>
    </row>
    <row r="720" spans="1:7" x14ac:dyDescent="0.25">
      <c r="A720" t="s">
        <v>7</v>
      </c>
      <c r="B720" t="s">
        <v>12</v>
      </c>
      <c r="C720" t="s">
        <v>9</v>
      </c>
      <c r="D720" t="s">
        <v>10</v>
      </c>
      <c r="E720">
        <v>21</v>
      </c>
      <c r="F720" s="1">
        <v>40117</v>
      </c>
      <c r="G720">
        <v>-1.8191577853849401E-2</v>
      </c>
    </row>
    <row r="721" spans="1:7" x14ac:dyDescent="0.25">
      <c r="A721" t="s">
        <v>7</v>
      </c>
      <c r="B721" t="s">
        <v>12</v>
      </c>
      <c r="C721" t="s">
        <v>9</v>
      </c>
      <c r="D721" t="s">
        <v>10</v>
      </c>
      <c r="E721">
        <v>21</v>
      </c>
      <c r="F721" s="1">
        <v>40147</v>
      </c>
      <c r="G721">
        <v>-3.4277946679263302E-2</v>
      </c>
    </row>
    <row r="722" spans="1:7" x14ac:dyDescent="0.25">
      <c r="A722" t="s">
        <v>7</v>
      </c>
      <c r="B722" t="s">
        <v>12</v>
      </c>
      <c r="C722" t="s">
        <v>9</v>
      </c>
      <c r="D722" t="s">
        <v>10</v>
      </c>
      <c r="E722">
        <v>21</v>
      </c>
      <c r="F722" s="1">
        <v>40178</v>
      </c>
      <c r="G722">
        <v>-2.3342031643933101E-3</v>
      </c>
    </row>
    <row r="723" spans="1:7" x14ac:dyDescent="0.25">
      <c r="A723" t="s">
        <v>7</v>
      </c>
      <c r="B723" t="s">
        <v>12</v>
      </c>
      <c r="C723" t="s">
        <v>9</v>
      </c>
      <c r="D723" t="s">
        <v>10</v>
      </c>
      <c r="E723">
        <v>22</v>
      </c>
      <c r="F723" s="1">
        <v>40209</v>
      </c>
      <c r="G723">
        <v>0.15032837724817999</v>
      </c>
    </row>
    <row r="724" spans="1:7" x14ac:dyDescent="0.25">
      <c r="A724" t="s">
        <v>7</v>
      </c>
      <c r="B724" t="s">
        <v>12</v>
      </c>
      <c r="C724" t="s">
        <v>9</v>
      </c>
      <c r="D724" t="s">
        <v>10</v>
      </c>
      <c r="E724">
        <v>22</v>
      </c>
      <c r="F724" s="1">
        <v>40237</v>
      </c>
      <c r="G724">
        <v>-9.2653470820114395E-3</v>
      </c>
    </row>
    <row r="725" spans="1:7" x14ac:dyDescent="0.25">
      <c r="A725" t="s">
        <v>7</v>
      </c>
      <c r="B725" t="s">
        <v>12</v>
      </c>
      <c r="C725" t="s">
        <v>9</v>
      </c>
      <c r="D725" t="s">
        <v>10</v>
      </c>
      <c r="E725">
        <v>22</v>
      </c>
      <c r="F725" s="1">
        <v>40268</v>
      </c>
      <c r="G725">
        <v>3.2200647939320898E-2</v>
      </c>
    </row>
    <row r="726" spans="1:7" x14ac:dyDescent="0.25">
      <c r="A726" t="s">
        <v>7</v>
      </c>
      <c r="B726" t="s">
        <v>12</v>
      </c>
      <c r="C726" t="s">
        <v>9</v>
      </c>
      <c r="D726" t="s">
        <v>10</v>
      </c>
      <c r="E726">
        <v>22</v>
      </c>
      <c r="F726" s="1">
        <v>40298</v>
      </c>
      <c r="G726">
        <v>-8.1256517337591795E-3</v>
      </c>
    </row>
    <row r="727" spans="1:7" x14ac:dyDescent="0.25">
      <c r="A727" t="s">
        <v>7</v>
      </c>
      <c r="B727" t="s">
        <v>12</v>
      </c>
      <c r="C727" t="s">
        <v>9</v>
      </c>
      <c r="D727" t="s">
        <v>10</v>
      </c>
      <c r="E727">
        <v>21</v>
      </c>
      <c r="F727" s="1">
        <v>40329</v>
      </c>
      <c r="G727">
        <v>-1.35465036336062E-2</v>
      </c>
    </row>
    <row r="728" spans="1:7" x14ac:dyDescent="0.25">
      <c r="A728" t="s">
        <v>7</v>
      </c>
      <c r="B728" t="s">
        <v>12</v>
      </c>
      <c r="C728" t="s">
        <v>9</v>
      </c>
      <c r="D728" t="s">
        <v>10</v>
      </c>
      <c r="E728">
        <v>21</v>
      </c>
      <c r="F728" s="1">
        <v>40359</v>
      </c>
      <c r="G728">
        <v>-3.7230930164288299E-3</v>
      </c>
    </row>
    <row r="729" spans="1:7" x14ac:dyDescent="0.25">
      <c r="A729" t="s">
        <v>7</v>
      </c>
      <c r="B729" t="s">
        <v>12</v>
      </c>
      <c r="C729" t="s">
        <v>9</v>
      </c>
      <c r="D729" t="s">
        <v>10</v>
      </c>
      <c r="E729">
        <v>21</v>
      </c>
      <c r="F729" s="1">
        <v>40390</v>
      </c>
      <c r="G729">
        <v>4.8355748105930497E-3</v>
      </c>
    </row>
    <row r="730" spans="1:7" x14ac:dyDescent="0.25">
      <c r="A730" t="s">
        <v>7</v>
      </c>
      <c r="B730" t="s">
        <v>12</v>
      </c>
      <c r="C730" t="s">
        <v>9</v>
      </c>
      <c r="D730" t="s">
        <v>10</v>
      </c>
      <c r="E730">
        <v>21</v>
      </c>
      <c r="F730" s="1">
        <v>40421</v>
      </c>
      <c r="G730">
        <v>9.6417236695250496E-3</v>
      </c>
    </row>
    <row r="731" spans="1:7" x14ac:dyDescent="0.25">
      <c r="A731" t="s">
        <v>7</v>
      </c>
      <c r="B731" t="s">
        <v>12</v>
      </c>
      <c r="C731" t="s">
        <v>9</v>
      </c>
      <c r="D731" t="s">
        <v>10</v>
      </c>
      <c r="E731">
        <v>21</v>
      </c>
      <c r="F731" s="1">
        <v>40451</v>
      </c>
      <c r="G731">
        <v>-3.0095226647651901E-3</v>
      </c>
    </row>
    <row r="732" spans="1:7" x14ac:dyDescent="0.25">
      <c r="A732" t="s">
        <v>7</v>
      </c>
      <c r="B732" t="s">
        <v>12</v>
      </c>
      <c r="C732" t="s">
        <v>9</v>
      </c>
      <c r="D732" t="s">
        <v>10</v>
      </c>
      <c r="E732">
        <v>21</v>
      </c>
      <c r="F732" s="1">
        <v>40482</v>
      </c>
      <c r="G732">
        <v>1.03324532894654E-2</v>
      </c>
    </row>
    <row r="733" spans="1:7" x14ac:dyDescent="0.25">
      <c r="A733" t="s">
        <v>7</v>
      </c>
      <c r="B733" t="s">
        <v>12</v>
      </c>
      <c r="C733" t="s">
        <v>9</v>
      </c>
      <c r="D733" t="s">
        <v>10</v>
      </c>
      <c r="E733">
        <v>21</v>
      </c>
      <c r="F733" s="1">
        <v>40512</v>
      </c>
      <c r="G733">
        <v>3.8606553254872402E-3</v>
      </c>
    </row>
    <row r="734" spans="1:7" x14ac:dyDescent="0.25">
      <c r="A734" t="s">
        <v>7</v>
      </c>
      <c r="B734" t="s">
        <v>12</v>
      </c>
      <c r="C734" t="s">
        <v>9</v>
      </c>
      <c r="D734" t="s">
        <v>10</v>
      </c>
      <c r="E734">
        <v>21</v>
      </c>
      <c r="F734" s="1">
        <v>40543</v>
      </c>
      <c r="G734">
        <v>1.09352849289917E-2</v>
      </c>
    </row>
    <row r="735" spans="1:7" x14ac:dyDescent="0.25">
      <c r="A735" t="s">
        <v>7</v>
      </c>
      <c r="B735" t="s">
        <v>12</v>
      </c>
      <c r="C735" t="s">
        <v>9</v>
      </c>
      <c r="D735" t="s">
        <v>10</v>
      </c>
      <c r="E735">
        <v>21</v>
      </c>
      <c r="F735" s="1">
        <v>40574</v>
      </c>
      <c r="G735">
        <v>2.50404371223211E-2</v>
      </c>
    </row>
    <row r="736" spans="1:7" x14ac:dyDescent="0.25">
      <c r="A736" t="s">
        <v>7</v>
      </c>
      <c r="B736" t="s">
        <v>12</v>
      </c>
      <c r="C736" t="s">
        <v>9</v>
      </c>
      <c r="D736" t="s">
        <v>10</v>
      </c>
      <c r="E736">
        <v>21</v>
      </c>
      <c r="F736" s="1">
        <v>40602</v>
      </c>
      <c r="G736">
        <v>3.9157225836016201E-4</v>
      </c>
    </row>
    <row r="737" spans="1:7" x14ac:dyDescent="0.25">
      <c r="A737" t="s">
        <v>7</v>
      </c>
      <c r="B737" t="s">
        <v>12</v>
      </c>
      <c r="C737" t="s">
        <v>9</v>
      </c>
      <c r="D737" t="s">
        <v>10</v>
      </c>
      <c r="E737">
        <v>21</v>
      </c>
      <c r="F737" s="1">
        <v>40633</v>
      </c>
      <c r="G737">
        <v>-1.0158358953716599E-3</v>
      </c>
    </row>
    <row r="738" spans="1:7" x14ac:dyDescent="0.25">
      <c r="A738" t="s">
        <v>7</v>
      </c>
      <c r="B738" t="s">
        <v>12</v>
      </c>
      <c r="C738" t="s">
        <v>9</v>
      </c>
      <c r="D738" t="s">
        <v>10</v>
      </c>
      <c r="E738">
        <v>21</v>
      </c>
      <c r="F738" s="1">
        <v>40663</v>
      </c>
      <c r="G738">
        <v>-7.8624252713259592E-3</v>
      </c>
    </row>
    <row r="739" spans="1:7" x14ac:dyDescent="0.25">
      <c r="A739" t="s">
        <v>7</v>
      </c>
      <c r="B739" t="s">
        <v>12</v>
      </c>
      <c r="C739" t="s">
        <v>9</v>
      </c>
      <c r="D739" t="s">
        <v>10</v>
      </c>
      <c r="E739">
        <v>21</v>
      </c>
      <c r="F739" s="1">
        <v>40694</v>
      </c>
      <c r="G739">
        <v>2.0611411806976801E-2</v>
      </c>
    </row>
    <row r="740" spans="1:7" x14ac:dyDescent="0.25">
      <c r="A740" t="s">
        <v>7</v>
      </c>
      <c r="B740" t="s">
        <v>12</v>
      </c>
      <c r="C740" t="s">
        <v>9</v>
      </c>
      <c r="D740" t="s">
        <v>10</v>
      </c>
      <c r="E740">
        <v>21</v>
      </c>
      <c r="F740" s="1">
        <v>40724</v>
      </c>
      <c r="G740">
        <v>2.6581532424883501E-3</v>
      </c>
    </row>
    <row r="741" spans="1:7" x14ac:dyDescent="0.25">
      <c r="A741" t="s">
        <v>7</v>
      </c>
      <c r="B741" t="s">
        <v>12</v>
      </c>
      <c r="C741" t="s">
        <v>9</v>
      </c>
      <c r="D741" t="s">
        <v>10</v>
      </c>
      <c r="E741">
        <v>21</v>
      </c>
      <c r="F741" s="1">
        <v>40755</v>
      </c>
      <c r="G741">
        <v>1.44667969538162E-2</v>
      </c>
    </row>
    <row r="742" spans="1:7" x14ac:dyDescent="0.25">
      <c r="A742" t="s">
        <v>7</v>
      </c>
      <c r="B742" t="s">
        <v>12</v>
      </c>
      <c r="C742" t="s">
        <v>9</v>
      </c>
      <c r="D742" t="s">
        <v>10</v>
      </c>
      <c r="E742">
        <v>22</v>
      </c>
      <c r="F742" s="1">
        <v>40786</v>
      </c>
      <c r="G742">
        <v>-1.5320339414571799E-3</v>
      </c>
    </row>
    <row r="743" spans="1:7" x14ac:dyDescent="0.25">
      <c r="A743" t="s">
        <v>7</v>
      </c>
      <c r="B743" t="s">
        <v>12</v>
      </c>
      <c r="C743" t="s">
        <v>9</v>
      </c>
      <c r="D743" t="s">
        <v>10</v>
      </c>
      <c r="E743">
        <v>22</v>
      </c>
      <c r="F743" s="1">
        <v>40816</v>
      </c>
      <c r="G743">
        <v>3.6470404571363101E-2</v>
      </c>
    </row>
    <row r="744" spans="1:7" x14ac:dyDescent="0.25">
      <c r="A744" t="s">
        <v>7</v>
      </c>
      <c r="B744" t="s">
        <v>12</v>
      </c>
      <c r="C744" t="s">
        <v>9</v>
      </c>
      <c r="D744" t="s">
        <v>10</v>
      </c>
      <c r="E744">
        <v>22</v>
      </c>
      <c r="F744" s="1">
        <v>40847</v>
      </c>
      <c r="G744">
        <v>2.61392322798585E-3</v>
      </c>
    </row>
    <row r="745" spans="1:7" x14ac:dyDescent="0.25">
      <c r="A745" t="s">
        <v>7</v>
      </c>
      <c r="B745" t="s">
        <v>12</v>
      </c>
      <c r="C745" t="s">
        <v>9</v>
      </c>
      <c r="D745" t="s">
        <v>10</v>
      </c>
      <c r="E745">
        <v>22</v>
      </c>
      <c r="F745" s="1">
        <v>40877</v>
      </c>
      <c r="G745">
        <v>1.89878496239849E-2</v>
      </c>
    </row>
    <row r="746" spans="1:7" x14ac:dyDescent="0.25">
      <c r="A746" t="s">
        <v>7</v>
      </c>
      <c r="B746" t="s">
        <v>12</v>
      </c>
      <c r="C746" t="s">
        <v>9</v>
      </c>
      <c r="D746" t="s">
        <v>10</v>
      </c>
      <c r="E746">
        <v>22</v>
      </c>
      <c r="F746" s="1">
        <v>40908</v>
      </c>
      <c r="G746">
        <v>1.6065040749200999E-2</v>
      </c>
    </row>
    <row r="747" spans="1:7" x14ac:dyDescent="0.25">
      <c r="A747" t="s">
        <v>7</v>
      </c>
      <c r="B747" t="s">
        <v>12</v>
      </c>
      <c r="C747" t="s">
        <v>9</v>
      </c>
      <c r="D747" t="s">
        <v>10</v>
      </c>
      <c r="E747">
        <v>22</v>
      </c>
      <c r="F747" s="1">
        <v>40939</v>
      </c>
      <c r="G747">
        <v>-3.7222090711761198E-2</v>
      </c>
    </row>
    <row r="748" spans="1:7" x14ac:dyDescent="0.25">
      <c r="A748" t="s">
        <v>7</v>
      </c>
      <c r="B748" t="s">
        <v>12</v>
      </c>
      <c r="C748" t="s">
        <v>9</v>
      </c>
      <c r="D748" t="s">
        <v>10</v>
      </c>
      <c r="E748">
        <v>22</v>
      </c>
      <c r="F748" s="1">
        <v>40968</v>
      </c>
      <c r="G748">
        <v>-1.7897949911620501E-2</v>
      </c>
    </row>
    <row r="749" spans="1:7" x14ac:dyDescent="0.25">
      <c r="A749" t="s">
        <v>7</v>
      </c>
      <c r="B749" t="s">
        <v>12</v>
      </c>
      <c r="C749" t="s">
        <v>9</v>
      </c>
      <c r="D749" t="s">
        <v>10</v>
      </c>
      <c r="E749">
        <v>22</v>
      </c>
      <c r="F749" s="1">
        <v>40999</v>
      </c>
      <c r="G749">
        <v>7.2210553854097298E-3</v>
      </c>
    </row>
    <row r="750" spans="1:7" x14ac:dyDescent="0.25">
      <c r="A750" t="s">
        <v>7</v>
      </c>
      <c r="B750" t="s">
        <v>12</v>
      </c>
      <c r="C750" t="s">
        <v>9</v>
      </c>
      <c r="D750" t="s">
        <v>10</v>
      </c>
      <c r="E750">
        <v>22</v>
      </c>
      <c r="F750" s="1">
        <v>41029</v>
      </c>
      <c r="G750">
        <v>1.9934211754808199E-2</v>
      </c>
    </row>
    <row r="751" spans="1:7" x14ac:dyDescent="0.25">
      <c r="A751" t="s">
        <v>7</v>
      </c>
      <c r="B751" t="s">
        <v>12</v>
      </c>
      <c r="C751" t="s">
        <v>9</v>
      </c>
      <c r="D751" t="s">
        <v>10</v>
      </c>
      <c r="E751">
        <v>22</v>
      </c>
      <c r="F751" s="1">
        <v>41060</v>
      </c>
      <c r="G751">
        <v>2.1850082707388901E-2</v>
      </c>
    </row>
    <row r="752" spans="1:7" x14ac:dyDescent="0.25">
      <c r="A752" t="s">
        <v>7</v>
      </c>
      <c r="B752" t="s">
        <v>12</v>
      </c>
      <c r="C752" t="s">
        <v>9</v>
      </c>
      <c r="D752" t="s">
        <v>10</v>
      </c>
      <c r="E752">
        <v>22</v>
      </c>
      <c r="F752" s="1">
        <v>41090</v>
      </c>
      <c r="G752">
        <v>5.6475045484324797E-2</v>
      </c>
    </row>
    <row r="753" spans="1:7" x14ac:dyDescent="0.25">
      <c r="A753" t="s">
        <v>7</v>
      </c>
      <c r="B753" t="s">
        <v>12</v>
      </c>
      <c r="C753" t="s">
        <v>9</v>
      </c>
      <c r="D753" t="s">
        <v>10</v>
      </c>
      <c r="E753">
        <v>22</v>
      </c>
      <c r="F753" s="1">
        <v>41121</v>
      </c>
      <c r="G753">
        <v>-1.2188336464133E-2</v>
      </c>
    </row>
    <row r="754" spans="1:7" x14ac:dyDescent="0.25">
      <c r="A754" t="s">
        <v>7</v>
      </c>
      <c r="B754" t="s">
        <v>12</v>
      </c>
      <c r="C754" t="s">
        <v>9</v>
      </c>
      <c r="D754" t="s">
        <v>10</v>
      </c>
      <c r="E754">
        <v>22</v>
      </c>
      <c r="F754" s="1">
        <v>41152</v>
      </c>
      <c r="G754">
        <v>-1.8951398507618199E-2</v>
      </c>
    </row>
    <row r="755" spans="1:7" x14ac:dyDescent="0.25">
      <c r="A755" t="s">
        <v>7</v>
      </c>
      <c r="B755" t="s">
        <v>12</v>
      </c>
      <c r="C755" t="s">
        <v>9</v>
      </c>
      <c r="D755" t="s">
        <v>10</v>
      </c>
      <c r="E755">
        <v>22</v>
      </c>
      <c r="F755" s="1">
        <v>41182</v>
      </c>
      <c r="G755">
        <v>1.3694908275899999E-2</v>
      </c>
    </row>
    <row r="756" spans="1:7" x14ac:dyDescent="0.25">
      <c r="A756" t="s">
        <v>7</v>
      </c>
      <c r="B756" t="s">
        <v>12</v>
      </c>
      <c r="C756" t="s">
        <v>9</v>
      </c>
      <c r="D756" t="s">
        <v>10</v>
      </c>
      <c r="E756">
        <v>22</v>
      </c>
      <c r="F756" s="1">
        <v>41213</v>
      </c>
      <c r="G756">
        <v>1.45467138858375E-2</v>
      </c>
    </row>
    <row r="757" spans="1:7" x14ac:dyDescent="0.25">
      <c r="A757" t="s">
        <v>7</v>
      </c>
      <c r="B757" t="s">
        <v>12</v>
      </c>
      <c r="C757" t="s">
        <v>9</v>
      </c>
      <c r="D757" t="s">
        <v>10</v>
      </c>
      <c r="E757">
        <v>22</v>
      </c>
      <c r="F757" s="1">
        <v>41243</v>
      </c>
      <c r="G757">
        <v>2.40714493549638E-3</v>
      </c>
    </row>
    <row r="758" spans="1:7" x14ac:dyDescent="0.25">
      <c r="A758" t="s">
        <v>7</v>
      </c>
      <c r="B758" t="s">
        <v>12</v>
      </c>
      <c r="C758" t="s">
        <v>9</v>
      </c>
      <c r="D758" t="s">
        <v>10</v>
      </c>
      <c r="E758">
        <v>22</v>
      </c>
      <c r="F758" s="1">
        <v>41274</v>
      </c>
      <c r="G758">
        <v>-6.2658704567937597E-3</v>
      </c>
    </row>
    <row r="759" spans="1:7" x14ac:dyDescent="0.25">
      <c r="A759" t="s">
        <v>7</v>
      </c>
      <c r="B759" t="s">
        <v>12</v>
      </c>
      <c r="C759" t="s">
        <v>9</v>
      </c>
      <c r="D759" t="s">
        <v>10</v>
      </c>
      <c r="E759">
        <v>22</v>
      </c>
      <c r="F759" s="1">
        <v>41305</v>
      </c>
      <c r="G759">
        <v>3.7213457364768603E-2</v>
      </c>
    </row>
    <row r="760" spans="1:7" x14ac:dyDescent="0.25">
      <c r="A760" t="s">
        <v>7</v>
      </c>
      <c r="B760" t="s">
        <v>12</v>
      </c>
      <c r="C760" t="s">
        <v>9</v>
      </c>
      <c r="D760" t="s">
        <v>10</v>
      </c>
      <c r="E760">
        <v>22</v>
      </c>
      <c r="F760" s="1">
        <v>41333</v>
      </c>
      <c r="G760">
        <v>1.13748633807667E-3</v>
      </c>
    </row>
    <row r="761" spans="1:7" x14ac:dyDescent="0.25">
      <c r="A761" t="s">
        <v>7</v>
      </c>
      <c r="B761" t="s">
        <v>12</v>
      </c>
      <c r="C761" t="s">
        <v>9</v>
      </c>
      <c r="D761" t="s">
        <v>10</v>
      </c>
      <c r="E761">
        <v>22</v>
      </c>
      <c r="F761" s="1">
        <v>41364</v>
      </c>
      <c r="G761">
        <v>1.2664332120583099E-2</v>
      </c>
    </row>
    <row r="762" spans="1:7" x14ac:dyDescent="0.25">
      <c r="A762" t="s">
        <v>7</v>
      </c>
      <c r="B762" t="s">
        <v>12</v>
      </c>
      <c r="C762" t="s">
        <v>9</v>
      </c>
      <c r="D762" t="s">
        <v>10</v>
      </c>
      <c r="E762">
        <v>22</v>
      </c>
      <c r="F762" s="1">
        <v>41394</v>
      </c>
      <c r="G762">
        <v>-1.7605131935877798E-2</v>
      </c>
    </row>
    <row r="763" spans="1:7" x14ac:dyDescent="0.25">
      <c r="A763" t="s">
        <v>7</v>
      </c>
      <c r="B763" t="s">
        <v>12</v>
      </c>
      <c r="C763" t="s">
        <v>9</v>
      </c>
      <c r="D763" t="s">
        <v>10</v>
      </c>
      <c r="E763">
        <v>22</v>
      </c>
      <c r="F763" s="1">
        <v>41425</v>
      </c>
      <c r="G763">
        <v>1.5565981430081499E-2</v>
      </c>
    </row>
    <row r="764" spans="1:7" x14ac:dyDescent="0.25">
      <c r="A764" t="s">
        <v>7</v>
      </c>
      <c r="B764" t="s">
        <v>12</v>
      </c>
      <c r="C764" t="s">
        <v>9</v>
      </c>
      <c r="D764" t="s">
        <v>10</v>
      </c>
      <c r="E764">
        <v>22</v>
      </c>
      <c r="F764" s="1">
        <v>41455</v>
      </c>
      <c r="G764">
        <v>1.3237026408438201E-2</v>
      </c>
    </row>
    <row r="765" spans="1:7" x14ac:dyDescent="0.25">
      <c r="A765" t="s">
        <v>7</v>
      </c>
      <c r="B765" t="s">
        <v>12</v>
      </c>
      <c r="C765" t="s">
        <v>9</v>
      </c>
      <c r="D765" t="s">
        <v>10</v>
      </c>
      <c r="E765">
        <v>22</v>
      </c>
      <c r="F765" s="1">
        <v>41486</v>
      </c>
      <c r="G765">
        <v>1.7821390324074399E-2</v>
      </c>
    </row>
    <row r="766" spans="1:7" x14ac:dyDescent="0.25">
      <c r="A766" t="s">
        <v>7</v>
      </c>
      <c r="B766" t="s">
        <v>12</v>
      </c>
      <c r="C766" t="s">
        <v>9</v>
      </c>
      <c r="D766" t="s">
        <v>10</v>
      </c>
      <c r="E766">
        <v>22</v>
      </c>
      <c r="F766" s="1">
        <v>41517</v>
      </c>
      <c r="G766">
        <v>1.9386561802321099E-2</v>
      </c>
    </row>
    <row r="767" spans="1:7" x14ac:dyDescent="0.25">
      <c r="A767" t="s">
        <v>7</v>
      </c>
      <c r="B767" t="s">
        <v>12</v>
      </c>
      <c r="C767" t="s">
        <v>9</v>
      </c>
      <c r="D767" t="s">
        <v>10</v>
      </c>
      <c r="E767">
        <v>22</v>
      </c>
      <c r="F767" s="1">
        <v>41547</v>
      </c>
      <c r="G767">
        <v>1.16376547367151E-3</v>
      </c>
    </row>
    <row r="768" spans="1:7" x14ac:dyDescent="0.25">
      <c r="A768" t="s">
        <v>7</v>
      </c>
      <c r="B768" t="s">
        <v>12</v>
      </c>
      <c r="C768" t="s">
        <v>9</v>
      </c>
      <c r="D768" t="s">
        <v>10</v>
      </c>
      <c r="E768">
        <v>22</v>
      </c>
      <c r="F768" s="1">
        <v>41578</v>
      </c>
      <c r="G768">
        <v>2.78356974621373E-2</v>
      </c>
    </row>
    <row r="769" spans="1:7" x14ac:dyDescent="0.25">
      <c r="A769" t="s">
        <v>7</v>
      </c>
      <c r="B769" t="s">
        <v>12</v>
      </c>
      <c r="C769" t="s">
        <v>9</v>
      </c>
      <c r="D769" t="s">
        <v>10</v>
      </c>
      <c r="E769">
        <v>22</v>
      </c>
      <c r="F769" s="1">
        <v>41608</v>
      </c>
      <c r="G769">
        <v>-4.3272908509176802E-3</v>
      </c>
    </row>
    <row r="770" spans="1:7" x14ac:dyDescent="0.25">
      <c r="A770" t="s">
        <v>7</v>
      </c>
      <c r="B770" t="s">
        <v>12</v>
      </c>
      <c r="C770" t="s">
        <v>9</v>
      </c>
      <c r="D770" t="s">
        <v>10</v>
      </c>
      <c r="E770">
        <v>22</v>
      </c>
      <c r="F770" s="1">
        <v>41639</v>
      </c>
      <c r="G770">
        <v>7.6576315189509202E-3</v>
      </c>
    </row>
    <row r="771" spans="1:7" x14ac:dyDescent="0.25">
      <c r="A771" t="s">
        <v>7</v>
      </c>
      <c r="B771" t="s">
        <v>12</v>
      </c>
      <c r="C771" t="s">
        <v>9</v>
      </c>
      <c r="D771" t="s">
        <v>10</v>
      </c>
      <c r="E771">
        <v>22</v>
      </c>
      <c r="F771" s="1">
        <v>41670</v>
      </c>
      <c r="G771">
        <v>-1.4702666367512499E-2</v>
      </c>
    </row>
    <row r="772" spans="1:7" x14ac:dyDescent="0.25">
      <c r="A772" t="s">
        <v>7</v>
      </c>
      <c r="B772" t="s">
        <v>12</v>
      </c>
      <c r="C772" t="s">
        <v>9</v>
      </c>
      <c r="D772" t="s">
        <v>10</v>
      </c>
      <c r="E772">
        <v>22</v>
      </c>
      <c r="F772" s="1">
        <v>41698</v>
      </c>
      <c r="G772">
        <v>-4.0009059756969502E-3</v>
      </c>
    </row>
    <row r="773" spans="1:7" x14ac:dyDescent="0.25">
      <c r="A773" t="s">
        <v>7</v>
      </c>
      <c r="B773" t="s">
        <v>12</v>
      </c>
      <c r="C773" t="s">
        <v>9</v>
      </c>
      <c r="D773" t="s">
        <v>10</v>
      </c>
      <c r="E773">
        <v>22</v>
      </c>
      <c r="F773" s="1">
        <v>41729</v>
      </c>
      <c r="G773">
        <v>-1.1149700166469699E-2</v>
      </c>
    </row>
    <row r="774" spans="1:7" x14ac:dyDescent="0.25">
      <c r="A774" t="s">
        <v>7</v>
      </c>
      <c r="B774" t="s">
        <v>12</v>
      </c>
      <c r="C774" t="s">
        <v>9</v>
      </c>
      <c r="D774" t="s">
        <v>10</v>
      </c>
      <c r="E774">
        <v>22</v>
      </c>
      <c r="F774" s="1">
        <v>41759</v>
      </c>
      <c r="G774">
        <v>3.9551337746504301E-4</v>
      </c>
    </row>
    <row r="775" spans="1:7" x14ac:dyDescent="0.25">
      <c r="A775" t="s">
        <v>7</v>
      </c>
      <c r="B775" t="s">
        <v>12</v>
      </c>
      <c r="C775" t="s">
        <v>9</v>
      </c>
      <c r="D775" t="s">
        <v>10</v>
      </c>
      <c r="E775">
        <v>22</v>
      </c>
      <c r="F775" s="1">
        <v>41790</v>
      </c>
      <c r="G775">
        <v>-1.06096139210559E-2</v>
      </c>
    </row>
    <row r="776" spans="1:7" x14ac:dyDescent="0.25">
      <c r="A776" t="s">
        <v>7</v>
      </c>
      <c r="B776" t="s">
        <v>12</v>
      </c>
      <c r="C776" t="s">
        <v>9</v>
      </c>
      <c r="D776" t="s">
        <v>10</v>
      </c>
      <c r="E776">
        <v>22</v>
      </c>
      <c r="F776" s="1">
        <v>41820</v>
      </c>
      <c r="G776">
        <v>1.91944699395355E-2</v>
      </c>
    </row>
    <row r="777" spans="1:7" x14ac:dyDescent="0.25">
      <c r="A777" t="s">
        <v>7</v>
      </c>
      <c r="B777" t="s">
        <v>12</v>
      </c>
      <c r="C777" t="s">
        <v>9</v>
      </c>
      <c r="D777" t="s">
        <v>10</v>
      </c>
      <c r="E777">
        <v>22</v>
      </c>
      <c r="F777" s="1">
        <v>41851</v>
      </c>
      <c r="G777">
        <v>-1.08540682967516E-4</v>
      </c>
    </row>
    <row r="778" spans="1:7" x14ac:dyDescent="0.25">
      <c r="A778" t="s">
        <v>7</v>
      </c>
      <c r="B778" t="s">
        <v>12</v>
      </c>
      <c r="C778" t="s">
        <v>9</v>
      </c>
      <c r="D778" t="s">
        <v>10</v>
      </c>
      <c r="E778">
        <v>22</v>
      </c>
      <c r="F778" s="1">
        <v>41882</v>
      </c>
      <c r="G778">
        <v>-1.40548244628663E-2</v>
      </c>
    </row>
    <row r="779" spans="1:7" x14ac:dyDescent="0.25">
      <c r="A779" t="s">
        <v>7</v>
      </c>
      <c r="B779" t="s">
        <v>12</v>
      </c>
      <c r="C779" t="s">
        <v>9</v>
      </c>
      <c r="D779" t="s">
        <v>10</v>
      </c>
      <c r="E779">
        <v>22</v>
      </c>
      <c r="F779" s="1">
        <v>41912</v>
      </c>
      <c r="G779">
        <v>-1.21314616419743E-2</v>
      </c>
    </row>
    <row r="780" spans="1:7" x14ac:dyDescent="0.25">
      <c r="A780" t="s">
        <v>7</v>
      </c>
      <c r="B780" t="s">
        <v>12</v>
      </c>
      <c r="C780" t="s">
        <v>9</v>
      </c>
      <c r="D780" t="s">
        <v>10</v>
      </c>
      <c r="E780">
        <v>22</v>
      </c>
      <c r="F780" s="1">
        <v>41943</v>
      </c>
      <c r="G780">
        <v>-2.87386818428896E-2</v>
      </c>
    </row>
    <row r="781" spans="1:7" x14ac:dyDescent="0.25">
      <c r="A781" t="s">
        <v>7</v>
      </c>
      <c r="B781" t="s">
        <v>12</v>
      </c>
      <c r="C781" t="s">
        <v>9</v>
      </c>
      <c r="D781" t="s">
        <v>10</v>
      </c>
      <c r="E781">
        <v>22</v>
      </c>
      <c r="F781" s="1">
        <v>41973</v>
      </c>
      <c r="G781">
        <v>-1.20092003260963E-2</v>
      </c>
    </row>
    <row r="782" spans="1:7" x14ac:dyDescent="0.25">
      <c r="A782" t="s">
        <v>7</v>
      </c>
      <c r="B782" t="s">
        <v>12</v>
      </c>
      <c r="C782" t="s">
        <v>9</v>
      </c>
      <c r="D782" t="s">
        <v>10</v>
      </c>
      <c r="E782">
        <v>22</v>
      </c>
      <c r="F782" s="1">
        <v>42004</v>
      </c>
      <c r="G782">
        <v>-7.3192147745213595E-4</v>
      </c>
    </row>
    <row r="783" spans="1:7" x14ac:dyDescent="0.25">
      <c r="A783" t="s">
        <v>7</v>
      </c>
      <c r="B783" t="s">
        <v>12</v>
      </c>
      <c r="C783" t="s">
        <v>9</v>
      </c>
      <c r="D783" t="s">
        <v>10</v>
      </c>
      <c r="E783">
        <v>22</v>
      </c>
      <c r="F783" s="1">
        <v>42035</v>
      </c>
      <c r="G783">
        <v>4.3895392730279098E-3</v>
      </c>
    </row>
    <row r="784" spans="1:7" x14ac:dyDescent="0.25">
      <c r="A784" t="s">
        <v>7</v>
      </c>
      <c r="B784" t="s">
        <v>12</v>
      </c>
      <c r="C784" t="s">
        <v>9</v>
      </c>
      <c r="D784" t="s">
        <v>10</v>
      </c>
      <c r="E784">
        <v>22</v>
      </c>
      <c r="F784" s="1">
        <v>42063</v>
      </c>
      <c r="G784">
        <v>2.9031724874941201E-2</v>
      </c>
    </row>
    <row r="785" spans="1:7" x14ac:dyDescent="0.25">
      <c r="A785" t="s">
        <v>7</v>
      </c>
      <c r="B785" t="s">
        <v>12</v>
      </c>
      <c r="C785" t="s">
        <v>9</v>
      </c>
      <c r="D785" t="s">
        <v>10</v>
      </c>
      <c r="E785">
        <v>22</v>
      </c>
      <c r="F785" s="1">
        <v>42094</v>
      </c>
      <c r="G785">
        <v>7.2841766653482303E-3</v>
      </c>
    </row>
    <row r="786" spans="1:7" x14ac:dyDescent="0.25">
      <c r="A786" t="s">
        <v>7</v>
      </c>
      <c r="B786" t="s">
        <v>12</v>
      </c>
      <c r="C786" t="s">
        <v>9</v>
      </c>
      <c r="D786" t="s">
        <v>10</v>
      </c>
      <c r="E786">
        <v>22</v>
      </c>
      <c r="F786" s="1">
        <v>42124</v>
      </c>
      <c r="G786">
        <v>-2.30337094476235E-2</v>
      </c>
    </row>
    <row r="787" spans="1:7" x14ac:dyDescent="0.25">
      <c r="A787" t="s">
        <v>7</v>
      </c>
      <c r="B787" t="s">
        <v>12</v>
      </c>
      <c r="C787" t="s">
        <v>9</v>
      </c>
      <c r="D787" t="s">
        <v>10</v>
      </c>
      <c r="E787">
        <v>22</v>
      </c>
      <c r="F787" s="1">
        <v>42155</v>
      </c>
      <c r="G787">
        <v>-1.1807228494971201E-2</v>
      </c>
    </row>
    <row r="788" spans="1:7" x14ac:dyDescent="0.25">
      <c r="A788" t="s">
        <v>7</v>
      </c>
      <c r="B788" t="s">
        <v>12</v>
      </c>
      <c r="C788" t="s">
        <v>9</v>
      </c>
      <c r="D788" t="s">
        <v>10</v>
      </c>
      <c r="E788">
        <v>22</v>
      </c>
      <c r="F788" s="1">
        <v>42185</v>
      </c>
      <c r="G788">
        <v>-1.8011652350391601E-2</v>
      </c>
    </row>
    <row r="789" spans="1:7" x14ac:dyDescent="0.25">
      <c r="A789" t="s">
        <v>7</v>
      </c>
      <c r="B789" t="s">
        <v>12</v>
      </c>
      <c r="C789" t="s">
        <v>9</v>
      </c>
      <c r="D789" t="s">
        <v>10</v>
      </c>
      <c r="E789">
        <v>22</v>
      </c>
      <c r="F789" s="1">
        <v>42216</v>
      </c>
      <c r="G789">
        <v>2.1270351569086399E-2</v>
      </c>
    </row>
    <row r="790" spans="1:7" x14ac:dyDescent="0.25">
      <c r="A790" t="s">
        <v>7</v>
      </c>
      <c r="B790" t="s">
        <v>12</v>
      </c>
      <c r="C790" t="s">
        <v>9</v>
      </c>
      <c r="D790" t="s">
        <v>10</v>
      </c>
      <c r="E790">
        <v>22</v>
      </c>
      <c r="F790" s="1">
        <v>42247</v>
      </c>
      <c r="G790">
        <v>2.20883448041224E-2</v>
      </c>
    </row>
    <row r="791" spans="1:7" x14ac:dyDescent="0.25">
      <c r="A791" t="s">
        <v>7</v>
      </c>
      <c r="B791" t="s">
        <v>12</v>
      </c>
      <c r="C791" t="s">
        <v>9</v>
      </c>
      <c r="D791" t="s">
        <v>10</v>
      </c>
      <c r="E791">
        <v>22</v>
      </c>
      <c r="F791" s="1">
        <v>42277</v>
      </c>
      <c r="G791">
        <v>1.0349401583057199E-2</v>
      </c>
    </row>
    <row r="792" spans="1:7" x14ac:dyDescent="0.25">
      <c r="A792" t="s">
        <v>7</v>
      </c>
      <c r="B792" t="s">
        <v>12</v>
      </c>
      <c r="C792" t="s">
        <v>9</v>
      </c>
      <c r="D792" t="s">
        <v>10</v>
      </c>
      <c r="E792">
        <v>22</v>
      </c>
      <c r="F792" s="1">
        <v>42308</v>
      </c>
      <c r="G792">
        <v>-5.6224808559691098E-3</v>
      </c>
    </row>
    <row r="793" spans="1:7" x14ac:dyDescent="0.25">
      <c r="A793" t="s">
        <v>7</v>
      </c>
      <c r="B793" t="s">
        <v>12</v>
      </c>
      <c r="C793" t="s">
        <v>9</v>
      </c>
      <c r="D793" t="s">
        <v>10</v>
      </c>
      <c r="E793">
        <v>22</v>
      </c>
      <c r="F793" s="1">
        <v>42338</v>
      </c>
      <c r="G793">
        <v>3.31446877216496E-2</v>
      </c>
    </row>
    <row r="794" spans="1:7" x14ac:dyDescent="0.25">
      <c r="A794" t="s">
        <v>7</v>
      </c>
      <c r="B794" t="s">
        <v>12</v>
      </c>
      <c r="C794" t="s">
        <v>9</v>
      </c>
      <c r="D794" t="s">
        <v>10</v>
      </c>
      <c r="E794">
        <v>22</v>
      </c>
      <c r="F794" s="1">
        <v>42369</v>
      </c>
      <c r="G794">
        <v>-2.5697471347454399E-3</v>
      </c>
    </row>
    <row r="795" spans="1:7" x14ac:dyDescent="0.25">
      <c r="A795" t="s">
        <v>7</v>
      </c>
      <c r="B795" t="s">
        <v>12</v>
      </c>
      <c r="C795" t="s">
        <v>9</v>
      </c>
      <c r="D795" t="s">
        <v>10</v>
      </c>
      <c r="E795">
        <v>22</v>
      </c>
      <c r="F795" s="1">
        <v>42400</v>
      </c>
      <c r="G795">
        <v>-3.51609332043919E-3</v>
      </c>
    </row>
    <row r="796" spans="1:7" x14ac:dyDescent="0.25">
      <c r="A796" t="s">
        <v>7</v>
      </c>
      <c r="B796" t="s">
        <v>12</v>
      </c>
      <c r="C796" t="s">
        <v>9</v>
      </c>
      <c r="D796" t="s">
        <v>10</v>
      </c>
      <c r="E796">
        <v>22</v>
      </c>
      <c r="F796" s="1">
        <v>42429</v>
      </c>
      <c r="G796">
        <v>5.0510013763980302E-2</v>
      </c>
    </row>
    <row r="797" spans="1:7" x14ac:dyDescent="0.25">
      <c r="A797" t="s">
        <v>7</v>
      </c>
      <c r="B797" t="s">
        <v>12</v>
      </c>
      <c r="C797" t="s">
        <v>9</v>
      </c>
      <c r="D797" t="s">
        <v>10</v>
      </c>
      <c r="E797">
        <v>22</v>
      </c>
      <c r="F797" s="1">
        <v>42460</v>
      </c>
      <c r="G797">
        <v>1.4694364226839099E-2</v>
      </c>
    </row>
    <row r="798" spans="1:7" x14ac:dyDescent="0.25">
      <c r="A798" t="s">
        <v>7</v>
      </c>
      <c r="B798" t="s">
        <v>12</v>
      </c>
      <c r="C798" t="s">
        <v>9</v>
      </c>
      <c r="D798" t="s">
        <v>10</v>
      </c>
      <c r="E798">
        <v>22</v>
      </c>
      <c r="F798" s="1">
        <v>42490</v>
      </c>
      <c r="G798">
        <v>3.1651834883217198E-2</v>
      </c>
    </row>
    <row r="799" spans="1:7" x14ac:dyDescent="0.25">
      <c r="A799" t="s">
        <v>7</v>
      </c>
      <c r="B799" t="s">
        <v>12</v>
      </c>
      <c r="C799" t="s">
        <v>9</v>
      </c>
      <c r="D799" t="s">
        <v>10</v>
      </c>
      <c r="E799">
        <v>22</v>
      </c>
      <c r="F799" s="1">
        <v>42521</v>
      </c>
      <c r="G799">
        <v>-3.0362202630206399E-2</v>
      </c>
    </row>
    <row r="800" spans="1:7" x14ac:dyDescent="0.25">
      <c r="A800" t="s">
        <v>7</v>
      </c>
      <c r="B800" t="s">
        <v>12</v>
      </c>
      <c r="C800" t="s">
        <v>9</v>
      </c>
      <c r="D800" t="s">
        <v>10</v>
      </c>
      <c r="E800">
        <v>22</v>
      </c>
      <c r="F800" s="1">
        <v>42551</v>
      </c>
      <c r="G800">
        <v>2.2960712384304301E-3</v>
      </c>
    </row>
    <row r="801" spans="1:7" x14ac:dyDescent="0.25">
      <c r="A801" t="s">
        <v>7</v>
      </c>
      <c r="B801" t="s">
        <v>12</v>
      </c>
      <c r="C801" t="s">
        <v>9</v>
      </c>
      <c r="D801" t="s">
        <v>10</v>
      </c>
      <c r="E801">
        <v>22</v>
      </c>
      <c r="F801" s="1">
        <v>42582</v>
      </c>
      <c r="G801">
        <v>3.6324671816001901E-2</v>
      </c>
    </row>
    <row r="802" spans="1:7" x14ac:dyDescent="0.25">
      <c r="A802" t="s">
        <v>7</v>
      </c>
      <c r="B802" t="s">
        <v>12</v>
      </c>
      <c r="C802" t="s">
        <v>9</v>
      </c>
      <c r="D802" t="s">
        <v>10</v>
      </c>
      <c r="E802">
        <v>22</v>
      </c>
      <c r="F802" s="1">
        <v>42613</v>
      </c>
      <c r="G802">
        <v>-1.7350717411038101E-2</v>
      </c>
    </row>
    <row r="803" spans="1:7" x14ac:dyDescent="0.25">
      <c r="A803" t="s">
        <v>7</v>
      </c>
      <c r="B803" t="s">
        <v>12</v>
      </c>
      <c r="C803" t="s">
        <v>9</v>
      </c>
      <c r="D803" t="s">
        <v>10</v>
      </c>
      <c r="E803">
        <v>22</v>
      </c>
      <c r="F803" s="1">
        <v>42643</v>
      </c>
      <c r="G803">
        <v>-6.6214886931285303E-3</v>
      </c>
    </row>
    <row r="804" spans="1:7" x14ac:dyDescent="0.25">
      <c r="A804" t="s">
        <v>7</v>
      </c>
      <c r="B804" t="s">
        <v>12</v>
      </c>
      <c r="C804" t="s">
        <v>9</v>
      </c>
      <c r="D804" t="s">
        <v>10</v>
      </c>
      <c r="E804">
        <v>22</v>
      </c>
      <c r="F804" s="1">
        <v>42674</v>
      </c>
      <c r="G804">
        <v>3.33079325084766E-2</v>
      </c>
    </row>
    <row r="805" spans="1:7" x14ac:dyDescent="0.25">
      <c r="A805" t="s">
        <v>7</v>
      </c>
      <c r="B805" t="s">
        <v>12</v>
      </c>
      <c r="C805" t="s">
        <v>9</v>
      </c>
      <c r="D805" t="s">
        <v>10</v>
      </c>
      <c r="E805">
        <v>22</v>
      </c>
      <c r="F805" s="1">
        <v>42704</v>
      </c>
      <c r="G805">
        <v>7.4074501412983301E-3</v>
      </c>
    </row>
    <row r="806" spans="1:7" x14ac:dyDescent="0.25">
      <c r="A806" t="s">
        <v>7</v>
      </c>
      <c r="B806" t="s">
        <v>12</v>
      </c>
      <c r="C806" t="s">
        <v>9</v>
      </c>
      <c r="D806" t="s">
        <v>10</v>
      </c>
      <c r="E806">
        <v>22</v>
      </c>
      <c r="F806" s="1">
        <v>42735</v>
      </c>
      <c r="G806">
        <v>-1.8026631192893799E-2</v>
      </c>
    </row>
    <row r="807" spans="1:7" x14ac:dyDescent="0.25">
      <c r="A807" t="s">
        <v>7</v>
      </c>
      <c r="B807" t="s">
        <v>12</v>
      </c>
      <c r="C807" t="s">
        <v>9</v>
      </c>
      <c r="D807" t="s">
        <v>10</v>
      </c>
      <c r="E807">
        <v>22</v>
      </c>
      <c r="F807" s="1">
        <v>42766</v>
      </c>
      <c r="G807">
        <v>1.8629750377451602E-2</v>
      </c>
    </row>
    <row r="808" spans="1:7" x14ac:dyDescent="0.25">
      <c r="A808" t="s">
        <v>7</v>
      </c>
      <c r="B808" t="s">
        <v>12</v>
      </c>
      <c r="C808" t="s">
        <v>9</v>
      </c>
      <c r="D808" t="s">
        <v>10</v>
      </c>
      <c r="E808">
        <v>22</v>
      </c>
      <c r="F808" s="1">
        <v>42794</v>
      </c>
      <c r="G808">
        <v>2.64229795040576E-2</v>
      </c>
    </row>
    <row r="809" spans="1:7" x14ac:dyDescent="0.25">
      <c r="A809" t="s">
        <v>7</v>
      </c>
      <c r="B809" t="s">
        <v>12</v>
      </c>
      <c r="C809" t="s">
        <v>9</v>
      </c>
      <c r="D809" t="s">
        <v>10</v>
      </c>
      <c r="E809">
        <v>22</v>
      </c>
      <c r="F809" s="1">
        <v>42825</v>
      </c>
      <c r="G809">
        <v>2.92948063521958E-3</v>
      </c>
    </row>
    <row r="810" spans="1:7" x14ac:dyDescent="0.25">
      <c r="A810" t="s">
        <v>7</v>
      </c>
      <c r="B810" t="s">
        <v>12</v>
      </c>
      <c r="C810" t="s">
        <v>9</v>
      </c>
      <c r="D810" t="s">
        <v>10</v>
      </c>
      <c r="E810">
        <v>22</v>
      </c>
      <c r="F810" s="1">
        <v>42855</v>
      </c>
      <c r="G810">
        <v>-1.2490458665347299E-2</v>
      </c>
    </row>
    <row r="811" spans="1:7" x14ac:dyDescent="0.25">
      <c r="A811" t="s">
        <v>7</v>
      </c>
      <c r="B811" t="s">
        <v>12</v>
      </c>
      <c r="C811" t="s">
        <v>9</v>
      </c>
      <c r="D811" t="s">
        <v>10</v>
      </c>
      <c r="E811">
        <v>22</v>
      </c>
      <c r="F811" s="1">
        <v>42886</v>
      </c>
      <c r="G811">
        <v>-3.3783257790020102E-2</v>
      </c>
    </row>
    <row r="812" spans="1:7" x14ac:dyDescent="0.25">
      <c r="A812" t="s">
        <v>7</v>
      </c>
      <c r="B812" t="s">
        <v>12</v>
      </c>
      <c r="C812" t="s">
        <v>9</v>
      </c>
      <c r="D812" t="s">
        <v>10</v>
      </c>
      <c r="E812">
        <v>22</v>
      </c>
      <c r="F812" s="1">
        <v>42916</v>
      </c>
      <c r="G812">
        <v>-3.6011411415067598E-3</v>
      </c>
    </row>
    <row r="813" spans="1:7" x14ac:dyDescent="0.25">
      <c r="A813" t="s">
        <v>7</v>
      </c>
      <c r="B813" t="s">
        <v>12</v>
      </c>
      <c r="C813" t="s">
        <v>9</v>
      </c>
      <c r="D813" t="s">
        <v>10</v>
      </c>
      <c r="E813">
        <v>22</v>
      </c>
      <c r="F813" s="1">
        <v>42947</v>
      </c>
      <c r="G813">
        <v>2.1121774266085198E-2</v>
      </c>
    </row>
    <row r="814" spans="1:7" x14ac:dyDescent="0.25">
      <c r="A814" t="s">
        <v>7</v>
      </c>
      <c r="B814" t="s">
        <v>12</v>
      </c>
      <c r="C814" t="s">
        <v>9</v>
      </c>
      <c r="D814" t="s">
        <v>10</v>
      </c>
      <c r="E814">
        <v>22</v>
      </c>
      <c r="F814" s="1">
        <v>42978</v>
      </c>
      <c r="G814">
        <v>6.8564780271469497E-3</v>
      </c>
    </row>
    <row r="815" spans="1:7" x14ac:dyDescent="0.25">
      <c r="A815" t="s">
        <v>7</v>
      </c>
      <c r="B815" t="s">
        <v>12</v>
      </c>
      <c r="C815" t="s">
        <v>9</v>
      </c>
      <c r="D815" t="s">
        <v>10</v>
      </c>
      <c r="E815">
        <v>22</v>
      </c>
      <c r="F815" s="1">
        <v>43008</v>
      </c>
      <c r="G815">
        <v>-1.9240577852413501E-3</v>
      </c>
    </row>
    <row r="816" spans="1:7" x14ac:dyDescent="0.25">
      <c r="A816" t="s">
        <v>7</v>
      </c>
      <c r="B816" t="s">
        <v>12</v>
      </c>
      <c r="C816" t="s">
        <v>9</v>
      </c>
      <c r="D816" t="s">
        <v>10</v>
      </c>
      <c r="E816">
        <v>22</v>
      </c>
      <c r="F816" s="1">
        <v>43039</v>
      </c>
      <c r="G816">
        <v>-1.6017585177028601E-2</v>
      </c>
    </row>
    <row r="817" spans="1:7" x14ac:dyDescent="0.25">
      <c r="A817" t="s">
        <v>7</v>
      </c>
      <c r="B817" t="s">
        <v>12</v>
      </c>
      <c r="C817" t="s">
        <v>9</v>
      </c>
      <c r="D817" t="s">
        <v>10</v>
      </c>
      <c r="E817">
        <v>22</v>
      </c>
      <c r="F817" s="1">
        <v>43069</v>
      </c>
      <c r="G817">
        <v>4.4585810765560997E-3</v>
      </c>
    </row>
    <row r="818" spans="1:7" x14ac:dyDescent="0.25">
      <c r="A818" t="s">
        <v>7</v>
      </c>
      <c r="B818" t="s">
        <v>12</v>
      </c>
      <c r="C818" t="s">
        <v>9</v>
      </c>
      <c r="D818" t="s">
        <v>10</v>
      </c>
      <c r="E818">
        <v>22</v>
      </c>
      <c r="F818" s="1">
        <v>43100</v>
      </c>
      <c r="G818">
        <v>2.7605817877422199E-2</v>
      </c>
    </row>
    <row r="819" spans="1:7" x14ac:dyDescent="0.25">
      <c r="A819" t="s">
        <v>7</v>
      </c>
      <c r="B819" t="s">
        <v>12</v>
      </c>
      <c r="C819" t="s">
        <v>9</v>
      </c>
      <c r="D819" t="s">
        <v>10</v>
      </c>
      <c r="E819">
        <v>22</v>
      </c>
      <c r="F819" s="1">
        <v>43131</v>
      </c>
      <c r="G819">
        <v>-5.45777731817817E-3</v>
      </c>
    </row>
    <row r="820" spans="1:7" x14ac:dyDescent="0.25">
      <c r="A820" t="s">
        <v>7</v>
      </c>
      <c r="B820" t="s">
        <v>12</v>
      </c>
      <c r="C820" t="s">
        <v>9</v>
      </c>
      <c r="D820" t="s">
        <v>10</v>
      </c>
      <c r="E820">
        <v>22</v>
      </c>
      <c r="F820" s="1">
        <v>43159</v>
      </c>
      <c r="G820">
        <v>7.2559448199884099E-3</v>
      </c>
    </row>
    <row r="821" spans="1:7" x14ac:dyDescent="0.25">
      <c r="A821" t="s">
        <v>7</v>
      </c>
      <c r="B821" t="s">
        <v>12</v>
      </c>
      <c r="C821" t="s">
        <v>9</v>
      </c>
      <c r="D821" t="s">
        <v>10</v>
      </c>
      <c r="E821">
        <v>22</v>
      </c>
      <c r="F821" s="1">
        <v>43190</v>
      </c>
      <c r="G821">
        <v>-1.6362208492929301E-2</v>
      </c>
    </row>
    <row r="822" spans="1:7" x14ac:dyDescent="0.25">
      <c r="A822" t="s">
        <v>7</v>
      </c>
      <c r="B822" t="s">
        <v>12</v>
      </c>
      <c r="C822" t="s">
        <v>9</v>
      </c>
      <c r="D822" t="s">
        <v>10</v>
      </c>
      <c r="E822">
        <v>22</v>
      </c>
      <c r="F822" s="1">
        <v>43220</v>
      </c>
      <c r="G822">
        <v>2.51279598632883E-2</v>
      </c>
    </row>
    <row r="823" spans="1:7" x14ac:dyDescent="0.25">
      <c r="A823" t="s">
        <v>7</v>
      </c>
      <c r="B823" t="s">
        <v>12</v>
      </c>
      <c r="C823" t="s">
        <v>9</v>
      </c>
      <c r="D823" t="s">
        <v>10</v>
      </c>
      <c r="E823">
        <v>22</v>
      </c>
      <c r="F823" s="1">
        <v>43251</v>
      </c>
      <c r="G823">
        <v>-2.0059773830420801E-2</v>
      </c>
    </row>
    <row r="824" spans="1:7" x14ac:dyDescent="0.25">
      <c r="A824" t="s">
        <v>7</v>
      </c>
      <c r="B824" t="s">
        <v>12</v>
      </c>
      <c r="C824" t="s">
        <v>9</v>
      </c>
      <c r="D824" t="s">
        <v>10</v>
      </c>
      <c r="E824">
        <v>22</v>
      </c>
      <c r="F824" s="1">
        <v>43281</v>
      </c>
      <c r="G824">
        <v>-9.2532133800945302E-3</v>
      </c>
    </row>
    <row r="825" spans="1:7" x14ac:dyDescent="0.25">
      <c r="A825" t="s">
        <v>7</v>
      </c>
      <c r="B825" t="s">
        <v>12</v>
      </c>
      <c r="C825" t="s">
        <v>9</v>
      </c>
      <c r="D825" t="s">
        <v>10</v>
      </c>
      <c r="E825">
        <v>22</v>
      </c>
      <c r="F825" s="1">
        <v>43312</v>
      </c>
      <c r="G825">
        <v>-3.8581841384394198E-3</v>
      </c>
    </row>
    <row r="826" spans="1:7" x14ac:dyDescent="0.25">
      <c r="A826" t="s">
        <v>7</v>
      </c>
      <c r="B826" t="s">
        <v>12</v>
      </c>
      <c r="C826" t="s">
        <v>9</v>
      </c>
      <c r="D826" t="s">
        <v>10</v>
      </c>
      <c r="E826">
        <v>22</v>
      </c>
      <c r="F826" s="1">
        <v>43343</v>
      </c>
      <c r="G826">
        <v>-2.42596034406689E-3</v>
      </c>
    </row>
    <row r="827" spans="1:7" x14ac:dyDescent="0.25">
      <c r="A827" t="s">
        <v>7</v>
      </c>
      <c r="B827" t="s">
        <v>12</v>
      </c>
      <c r="C827" t="s">
        <v>9</v>
      </c>
      <c r="D827" t="s">
        <v>10</v>
      </c>
      <c r="E827">
        <v>22</v>
      </c>
      <c r="F827" s="1">
        <v>43373</v>
      </c>
      <c r="G827">
        <v>7.1840074388779297E-3</v>
      </c>
    </row>
    <row r="828" spans="1:7" x14ac:dyDescent="0.25">
      <c r="A828" t="s">
        <v>7</v>
      </c>
      <c r="B828" t="s">
        <v>12</v>
      </c>
      <c r="C828" t="s">
        <v>9</v>
      </c>
      <c r="D828" t="s">
        <v>10</v>
      </c>
      <c r="E828">
        <v>22</v>
      </c>
      <c r="F828" s="1">
        <v>43404</v>
      </c>
      <c r="G828">
        <v>-1.3372868633575501E-2</v>
      </c>
    </row>
    <row r="829" spans="1:7" x14ac:dyDescent="0.25">
      <c r="A829" t="s">
        <v>7</v>
      </c>
      <c r="B829" t="s">
        <v>12</v>
      </c>
      <c r="C829" t="s">
        <v>9</v>
      </c>
      <c r="D829" t="s">
        <v>10</v>
      </c>
      <c r="E829">
        <v>22</v>
      </c>
      <c r="F829" s="1">
        <v>43434</v>
      </c>
      <c r="G829">
        <v>-1.05833793527981E-2</v>
      </c>
    </row>
    <row r="830" spans="1:7" x14ac:dyDescent="0.25">
      <c r="A830" t="s">
        <v>7</v>
      </c>
      <c r="B830" t="s">
        <v>12</v>
      </c>
      <c r="C830" t="s">
        <v>9</v>
      </c>
      <c r="D830" t="s">
        <v>10</v>
      </c>
      <c r="E830">
        <v>22</v>
      </c>
      <c r="F830" s="1">
        <v>43465</v>
      </c>
      <c r="G830">
        <v>-2.1999237238674699E-2</v>
      </c>
    </row>
    <row r="831" spans="1:7" x14ac:dyDescent="0.25">
      <c r="A831" t="s">
        <v>7</v>
      </c>
      <c r="B831" t="s">
        <v>12</v>
      </c>
      <c r="C831" t="s">
        <v>9</v>
      </c>
      <c r="D831" t="s">
        <v>10</v>
      </c>
      <c r="E831">
        <v>22</v>
      </c>
      <c r="F831" s="1">
        <v>43496</v>
      </c>
      <c r="G831">
        <v>2.87638731575343E-2</v>
      </c>
    </row>
    <row r="832" spans="1:7" x14ac:dyDescent="0.25">
      <c r="A832" t="s">
        <v>7</v>
      </c>
      <c r="B832" t="s">
        <v>12</v>
      </c>
      <c r="C832" t="s">
        <v>9</v>
      </c>
      <c r="D832" t="s">
        <v>10</v>
      </c>
      <c r="E832">
        <v>22</v>
      </c>
      <c r="F832" s="1">
        <v>43524</v>
      </c>
      <c r="G832">
        <v>-1.1492492454131999E-2</v>
      </c>
    </row>
    <row r="833" spans="1:7" x14ac:dyDescent="0.25">
      <c r="A833" t="s">
        <v>7</v>
      </c>
      <c r="B833" t="s">
        <v>12</v>
      </c>
      <c r="C833" t="s">
        <v>9</v>
      </c>
      <c r="D833" t="s">
        <v>10</v>
      </c>
      <c r="E833">
        <v>22</v>
      </c>
      <c r="F833" s="1">
        <v>43555</v>
      </c>
      <c r="G833">
        <v>2.8918578301952401E-3</v>
      </c>
    </row>
    <row r="834" spans="1:7" x14ac:dyDescent="0.25">
      <c r="A834" t="s">
        <v>7</v>
      </c>
      <c r="B834" t="s">
        <v>12</v>
      </c>
      <c r="C834" t="s">
        <v>9</v>
      </c>
      <c r="D834" t="s">
        <v>10</v>
      </c>
      <c r="E834">
        <v>22</v>
      </c>
      <c r="F834" s="1">
        <v>43585</v>
      </c>
      <c r="G834">
        <v>1.7884638534438099E-2</v>
      </c>
    </row>
    <row r="835" spans="1:7" x14ac:dyDescent="0.25">
      <c r="A835" t="s">
        <v>7</v>
      </c>
      <c r="B835" t="s">
        <v>12</v>
      </c>
      <c r="C835" t="s">
        <v>9</v>
      </c>
      <c r="D835" t="s">
        <v>10</v>
      </c>
      <c r="E835">
        <v>22</v>
      </c>
      <c r="F835" s="1">
        <v>43616</v>
      </c>
      <c r="G835">
        <v>1.31936708207788E-3</v>
      </c>
    </row>
    <row r="836" spans="1:7" x14ac:dyDescent="0.25">
      <c r="A836" t="s">
        <v>7</v>
      </c>
      <c r="B836" t="s">
        <v>12</v>
      </c>
      <c r="C836" t="s">
        <v>9</v>
      </c>
      <c r="D836" t="s">
        <v>10</v>
      </c>
      <c r="E836">
        <v>22</v>
      </c>
      <c r="F836" s="1">
        <v>43646</v>
      </c>
      <c r="G836">
        <v>-9.5305932732898894E-3</v>
      </c>
    </row>
    <row r="837" spans="1:7" x14ac:dyDescent="0.25">
      <c r="A837" t="s">
        <v>7</v>
      </c>
      <c r="B837" t="s">
        <v>12</v>
      </c>
      <c r="C837" t="s">
        <v>9</v>
      </c>
      <c r="D837" t="s">
        <v>10</v>
      </c>
      <c r="E837">
        <v>22</v>
      </c>
      <c r="F837" s="1">
        <v>43677</v>
      </c>
      <c r="G837">
        <v>-9.7882614364712198E-3</v>
      </c>
    </row>
    <row r="838" spans="1:7" x14ac:dyDescent="0.25">
      <c r="A838" t="s">
        <v>7</v>
      </c>
      <c r="B838" t="s">
        <v>12</v>
      </c>
      <c r="C838" t="s">
        <v>9</v>
      </c>
      <c r="D838" t="s">
        <v>10</v>
      </c>
      <c r="E838">
        <v>22</v>
      </c>
      <c r="F838" s="1">
        <v>43708</v>
      </c>
      <c r="G838">
        <v>9.5209410948291096E-3</v>
      </c>
    </row>
    <row r="839" spans="1:7" x14ac:dyDescent="0.25">
      <c r="A839" t="s">
        <v>7</v>
      </c>
      <c r="B839" t="s">
        <v>12</v>
      </c>
      <c r="C839" t="s">
        <v>9</v>
      </c>
      <c r="D839" t="s">
        <v>10</v>
      </c>
      <c r="E839">
        <v>22</v>
      </c>
      <c r="F839" s="1">
        <v>43738</v>
      </c>
      <c r="G839">
        <v>-4.8494848114701604E-3</v>
      </c>
    </row>
    <row r="840" spans="1:7" x14ac:dyDescent="0.25">
      <c r="A840" t="s">
        <v>7</v>
      </c>
      <c r="B840" t="s">
        <v>12</v>
      </c>
      <c r="C840" t="s">
        <v>9</v>
      </c>
      <c r="D840" t="s">
        <v>10</v>
      </c>
      <c r="E840">
        <v>22</v>
      </c>
      <c r="F840" s="1">
        <v>43769</v>
      </c>
      <c r="G840">
        <v>-2.8851483125561701E-2</v>
      </c>
    </row>
    <row r="841" spans="1:7" x14ac:dyDescent="0.25">
      <c r="A841" t="s">
        <v>7</v>
      </c>
      <c r="B841" t="s">
        <v>12</v>
      </c>
      <c r="C841" t="s">
        <v>9</v>
      </c>
      <c r="D841" t="s">
        <v>10</v>
      </c>
      <c r="E841">
        <v>22</v>
      </c>
      <c r="F841" s="1">
        <v>43799</v>
      </c>
      <c r="G841">
        <v>-9.1346313192226993E-3</v>
      </c>
    </row>
    <row r="842" spans="1:7" x14ac:dyDescent="0.25">
      <c r="A842" t="s">
        <v>7</v>
      </c>
      <c r="B842" t="s">
        <v>12</v>
      </c>
      <c r="C842" t="s">
        <v>9</v>
      </c>
      <c r="D842" t="s">
        <v>10</v>
      </c>
      <c r="E842">
        <v>22</v>
      </c>
      <c r="F842" s="1">
        <v>43830</v>
      </c>
      <c r="G842">
        <v>-1.6015962276489701E-2</v>
      </c>
    </row>
    <row r="843" spans="1:7" x14ac:dyDescent="0.25">
      <c r="A843" t="s">
        <v>7</v>
      </c>
      <c r="B843" t="s">
        <v>12</v>
      </c>
      <c r="C843" t="s">
        <v>9</v>
      </c>
      <c r="D843" t="s">
        <v>10</v>
      </c>
      <c r="E843">
        <v>22</v>
      </c>
      <c r="F843" s="1">
        <v>43861</v>
      </c>
      <c r="G843">
        <v>-4.0782717034478597E-2</v>
      </c>
    </row>
    <row r="844" spans="1:7" x14ac:dyDescent="0.25">
      <c r="A844" t="s">
        <v>7</v>
      </c>
      <c r="B844" t="s">
        <v>12</v>
      </c>
      <c r="C844" t="s">
        <v>9</v>
      </c>
      <c r="D844" t="s">
        <v>10</v>
      </c>
      <c r="E844">
        <v>22</v>
      </c>
      <c r="F844" s="1">
        <v>43890</v>
      </c>
      <c r="G844">
        <v>-1.0085772929815001E-2</v>
      </c>
    </row>
    <row r="845" spans="1:7" x14ac:dyDescent="0.25">
      <c r="A845" t="s">
        <v>7</v>
      </c>
      <c r="B845" t="s">
        <v>12</v>
      </c>
      <c r="C845" t="s">
        <v>9</v>
      </c>
      <c r="D845" t="s">
        <v>10</v>
      </c>
      <c r="E845">
        <v>22</v>
      </c>
      <c r="F845" s="1">
        <v>43921</v>
      </c>
      <c r="G845">
        <v>-7.7752387116170303E-3</v>
      </c>
    </row>
    <row r="846" spans="1:7" x14ac:dyDescent="0.25">
      <c r="A846" t="s">
        <v>7</v>
      </c>
      <c r="B846" t="s">
        <v>12</v>
      </c>
      <c r="C846" t="s">
        <v>9</v>
      </c>
      <c r="D846" t="s">
        <v>10</v>
      </c>
      <c r="E846">
        <v>22</v>
      </c>
      <c r="F846" s="1">
        <v>43951</v>
      </c>
      <c r="G846">
        <v>-4.3260986573177097E-2</v>
      </c>
    </row>
    <row r="847" spans="1:7" x14ac:dyDescent="0.25">
      <c r="A847" t="s">
        <v>7</v>
      </c>
      <c r="B847" t="s">
        <v>12</v>
      </c>
      <c r="C847" t="s">
        <v>9</v>
      </c>
      <c r="D847" t="s">
        <v>10</v>
      </c>
      <c r="E847">
        <v>22</v>
      </c>
      <c r="F847" s="1">
        <v>43982</v>
      </c>
      <c r="G847">
        <v>3.6791980492919801E-3</v>
      </c>
    </row>
    <row r="848" spans="1:7" x14ac:dyDescent="0.25">
      <c r="A848" t="s">
        <v>7</v>
      </c>
      <c r="B848" t="s">
        <v>12</v>
      </c>
      <c r="C848" t="s">
        <v>9</v>
      </c>
      <c r="D848" t="s">
        <v>10</v>
      </c>
      <c r="E848">
        <v>22</v>
      </c>
      <c r="F848" s="1">
        <v>44012</v>
      </c>
      <c r="G848">
        <v>-7.1903754722027801E-3</v>
      </c>
    </row>
    <row r="849" spans="1:7" x14ac:dyDescent="0.25">
      <c r="A849" t="s">
        <v>7</v>
      </c>
      <c r="B849" t="s">
        <v>12</v>
      </c>
      <c r="C849" t="s">
        <v>9</v>
      </c>
      <c r="D849" t="s">
        <v>10</v>
      </c>
      <c r="E849">
        <v>22</v>
      </c>
      <c r="F849" s="1">
        <v>44043</v>
      </c>
      <c r="G849">
        <v>-3.2961833187306999E-2</v>
      </c>
    </row>
    <row r="850" spans="1:7" x14ac:dyDescent="0.25">
      <c r="A850" t="s">
        <v>7</v>
      </c>
      <c r="B850" t="s">
        <v>12</v>
      </c>
      <c r="C850" t="s">
        <v>9</v>
      </c>
      <c r="D850" t="s">
        <v>10</v>
      </c>
      <c r="E850">
        <v>22</v>
      </c>
      <c r="F850" s="1">
        <v>44074</v>
      </c>
      <c r="G850">
        <v>-3.7559683398366198E-2</v>
      </c>
    </row>
    <row r="851" spans="1:7" x14ac:dyDescent="0.25">
      <c r="A851" t="s">
        <v>7</v>
      </c>
      <c r="B851" t="s">
        <v>12</v>
      </c>
      <c r="C851" t="s">
        <v>9</v>
      </c>
      <c r="D851" t="s">
        <v>10</v>
      </c>
      <c r="E851">
        <v>22</v>
      </c>
      <c r="F851" s="1">
        <v>44104</v>
      </c>
      <c r="G851">
        <v>-3.5328788845619798E-3</v>
      </c>
    </row>
    <row r="852" spans="1:7" x14ac:dyDescent="0.25">
      <c r="A852" t="s">
        <v>7</v>
      </c>
      <c r="B852" t="s">
        <v>12</v>
      </c>
      <c r="C852" t="s">
        <v>9</v>
      </c>
      <c r="D852" t="s">
        <v>10</v>
      </c>
      <c r="E852">
        <v>22</v>
      </c>
      <c r="F852" s="1">
        <v>44135</v>
      </c>
      <c r="G852">
        <v>-1.57041618435016E-2</v>
      </c>
    </row>
    <row r="853" spans="1:7" x14ac:dyDescent="0.25">
      <c r="A853" t="s">
        <v>7</v>
      </c>
      <c r="B853" t="s">
        <v>12</v>
      </c>
      <c r="C853" t="s">
        <v>9</v>
      </c>
      <c r="D853" t="s">
        <v>10</v>
      </c>
      <c r="E853">
        <v>22</v>
      </c>
      <c r="F853" s="1">
        <v>44165</v>
      </c>
      <c r="G853">
        <v>3.72424304819046E-2</v>
      </c>
    </row>
    <row r="854" spans="1:7" x14ac:dyDescent="0.25">
      <c r="A854" t="s">
        <v>7</v>
      </c>
      <c r="B854" t="s">
        <v>12</v>
      </c>
      <c r="C854" t="s">
        <v>9</v>
      </c>
      <c r="D854" t="s">
        <v>10</v>
      </c>
      <c r="E854">
        <v>22</v>
      </c>
      <c r="F854" s="1">
        <v>44196</v>
      </c>
      <c r="G854">
        <v>-1.09534134632769E-2</v>
      </c>
    </row>
    <row r="855" spans="1:7" x14ac:dyDescent="0.25">
      <c r="A855" t="s">
        <v>7</v>
      </c>
      <c r="B855" t="s">
        <v>12</v>
      </c>
      <c r="C855" t="s">
        <v>9</v>
      </c>
      <c r="D855" t="s">
        <v>10</v>
      </c>
      <c r="E855">
        <v>22</v>
      </c>
      <c r="F855" s="1">
        <v>44227</v>
      </c>
      <c r="G855">
        <v>-7.8419695477231904E-2</v>
      </c>
    </row>
    <row r="856" spans="1:7" x14ac:dyDescent="0.25">
      <c r="A856" t="s">
        <v>7</v>
      </c>
      <c r="B856" t="s">
        <v>12</v>
      </c>
      <c r="C856" t="s">
        <v>9</v>
      </c>
      <c r="D856" t="s">
        <v>10</v>
      </c>
      <c r="E856">
        <v>22</v>
      </c>
      <c r="F856" s="1">
        <v>44255</v>
      </c>
      <c r="G856">
        <v>1.18122242355487E-2</v>
      </c>
    </row>
    <row r="857" spans="1:7" x14ac:dyDescent="0.25">
      <c r="A857" t="s">
        <v>7</v>
      </c>
      <c r="B857" t="s">
        <v>12</v>
      </c>
      <c r="C857" t="s">
        <v>9</v>
      </c>
      <c r="D857" t="s">
        <v>10</v>
      </c>
      <c r="E857">
        <v>22</v>
      </c>
      <c r="F857" s="1">
        <v>44286</v>
      </c>
      <c r="G857">
        <v>2.8594402334065801E-2</v>
      </c>
    </row>
    <row r="858" spans="1:7" x14ac:dyDescent="0.25">
      <c r="A858" t="s">
        <v>7</v>
      </c>
      <c r="B858" t="s">
        <v>12</v>
      </c>
      <c r="C858" t="s">
        <v>9</v>
      </c>
      <c r="D858" t="s">
        <v>10</v>
      </c>
      <c r="E858">
        <v>22</v>
      </c>
      <c r="F858" s="1">
        <v>44316</v>
      </c>
      <c r="G858">
        <v>3.7543895290122399E-2</v>
      </c>
    </row>
    <row r="859" spans="1:7" x14ac:dyDescent="0.25">
      <c r="A859" t="s">
        <v>7</v>
      </c>
      <c r="B859" t="s">
        <v>12</v>
      </c>
      <c r="C859" t="s">
        <v>9</v>
      </c>
      <c r="D859" t="s">
        <v>10</v>
      </c>
      <c r="E859">
        <v>22</v>
      </c>
      <c r="F859" s="1">
        <v>44347</v>
      </c>
      <c r="G859">
        <v>3.7560688254285801E-3</v>
      </c>
    </row>
    <row r="860" spans="1:7" x14ac:dyDescent="0.25">
      <c r="A860" t="s">
        <v>7</v>
      </c>
      <c r="B860" t="s">
        <v>12</v>
      </c>
      <c r="C860" t="s">
        <v>9</v>
      </c>
      <c r="D860" t="s">
        <v>10</v>
      </c>
      <c r="E860">
        <v>22</v>
      </c>
      <c r="F860" s="1">
        <v>44377</v>
      </c>
      <c r="G860">
        <v>-2.93160272504343E-2</v>
      </c>
    </row>
    <row r="861" spans="1:7" x14ac:dyDescent="0.25">
      <c r="A861" t="s">
        <v>7</v>
      </c>
      <c r="B861" t="s">
        <v>12</v>
      </c>
      <c r="C861" t="s">
        <v>9</v>
      </c>
      <c r="D861" t="s">
        <v>10</v>
      </c>
      <c r="E861">
        <v>22</v>
      </c>
      <c r="F861" s="1">
        <v>44408</v>
      </c>
      <c r="G861">
        <v>-3.0338839194104601E-5</v>
      </c>
    </row>
    <row r="862" spans="1:7" x14ac:dyDescent="0.25">
      <c r="A862" t="s">
        <v>7</v>
      </c>
      <c r="B862" t="s">
        <v>12</v>
      </c>
      <c r="C862" t="s">
        <v>9</v>
      </c>
      <c r="D862" t="s">
        <v>10</v>
      </c>
      <c r="E862">
        <v>22</v>
      </c>
      <c r="F862" s="1">
        <v>44439</v>
      </c>
      <c r="G862">
        <v>3.7215400509262503E-2</v>
      </c>
    </row>
    <row r="863" spans="1:7" x14ac:dyDescent="0.25">
      <c r="A863" t="s">
        <v>7</v>
      </c>
      <c r="B863" t="s">
        <v>12</v>
      </c>
      <c r="C863" t="s">
        <v>9</v>
      </c>
      <c r="D863" t="s">
        <v>10</v>
      </c>
      <c r="E863">
        <v>22</v>
      </c>
      <c r="F863" s="1">
        <v>44469</v>
      </c>
      <c r="G863">
        <v>1.4671506032539999E-2</v>
      </c>
    </row>
    <row r="864" spans="1:7" x14ac:dyDescent="0.25">
      <c r="A864" t="s">
        <v>7</v>
      </c>
      <c r="B864" t="s">
        <v>12</v>
      </c>
      <c r="C864" t="s">
        <v>9</v>
      </c>
      <c r="D864" t="s">
        <v>10</v>
      </c>
      <c r="E864">
        <v>22</v>
      </c>
      <c r="F864" s="1">
        <v>44500</v>
      </c>
      <c r="G864">
        <v>4.4610240926401402E-2</v>
      </c>
    </row>
    <row r="865" spans="1:7" x14ac:dyDescent="0.25">
      <c r="A865" t="s">
        <v>7</v>
      </c>
      <c r="B865" t="s">
        <v>12</v>
      </c>
      <c r="C865" t="s">
        <v>9</v>
      </c>
      <c r="D865" t="s">
        <v>10</v>
      </c>
      <c r="E865">
        <v>22</v>
      </c>
      <c r="F865" s="1">
        <v>44530</v>
      </c>
      <c r="G865">
        <v>4.1523727410409203E-2</v>
      </c>
    </row>
    <row r="866" spans="1:7" x14ac:dyDescent="0.25">
      <c r="A866" t="s">
        <v>7</v>
      </c>
      <c r="B866" t="s">
        <v>12</v>
      </c>
      <c r="C866" t="s">
        <v>9</v>
      </c>
      <c r="D866" t="s">
        <v>10</v>
      </c>
      <c r="E866">
        <v>22</v>
      </c>
      <c r="F866" s="1">
        <v>44561</v>
      </c>
      <c r="G866">
        <v>1.06466712984518E-3</v>
      </c>
    </row>
    <row r="867" spans="1:7" x14ac:dyDescent="0.25">
      <c r="A867" t="s">
        <v>7</v>
      </c>
      <c r="B867" t="s">
        <v>12</v>
      </c>
      <c r="C867" t="s">
        <v>9</v>
      </c>
      <c r="D867" t="s">
        <v>10</v>
      </c>
      <c r="E867">
        <v>22</v>
      </c>
      <c r="F867" s="1">
        <v>44592</v>
      </c>
      <c r="G867">
        <v>6.0072107918763299E-3</v>
      </c>
    </row>
    <row r="868" spans="1:7" x14ac:dyDescent="0.25">
      <c r="A868" t="s">
        <v>7</v>
      </c>
      <c r="B868" t="s">
        <v>12</v>
      </c>
      <c r="C868" t="s">
        <v>9</v>
      </c>
      <c r="D868" t="s">
        <v>10</v>
      </c>
      <c r="E868">
        <v>22</v>
      </c>
      <c r="F868" s="1">
        <v>44620</v>
      </c>
      <c r="G868">
        <v>3.3071597089463001E-2</v>
      </c>
    </row>
    <row r="869" spans="1:7" x14ac:dyDescent="0.25">
      <c r="A869" t="s">
        <v>7</v>
      </c>
      <c r="B869" t="s">
        <v>12</v>
      </c>
      <c r="C869" t="s">
        <v>9</v>
      </c>
      <c r="D869" t="s">
        <v>10</v>
      </c>
      <c r="E869">
        <v>22</v>
      </c>
      <c r="F869" s="1">
        <v>44651</v>
      </c>
      <c r="G869">
        <v>-3.8657372017836598E-3</v>
      </c>
    </row>
    <row r="870" spans="1:7" x14ac:dyDescent="0.25">
      <c r="A870" t="s">
        <v>7</v>
      </c>
      <c r="B870" t="s">
        <v>12</v>
      </c>
      <c r="C870" t="s">
        <v>9</v>
      </c>
      <c r="D870" t="s">
        <v>10</v>
      </c>
      <c r="E870">
        <v>22</v>
      </c>
      <c r="F870" s="1">
        <v>44681</v>
      </c>
      <c r="G870">
        <v>3.2754275473026201E-2</v>
      </c>
    </row>
    <row r="871" spans="1:7" x14ac:dyDescent="0.25">
      <c r="A871" t="s">
        <v>7</v>
      </c>
      <c r="B871" t="s">
        <v>12</v>
      </c>
      <c r="C871" t="s">
        <v>9</v>
      </c>
      <c r="D871" t="s">
        <v>10</v>
      </c>
      <c r="E871">
        <v>22</v>
      </c>
      <c r="F871" s="1">
        <v>44712</v>
      </c>
      <c r="G871">
        <v>3.9209155214230899E-2</v>
      </c>
    </row>
    <row r="872" spans="1:7" x14ac:dyDescent="0.25">
      <c r="A872" t="s">
        <v>7</v>
      </c>
      <c r="B872" t="s">
        <v>12</v>
      </c>
      <c r="C872" t="s">
        <v>9</v>
      </c>
      <c r="D872" t="s">
        <v>10</v>
      </c>
      <c r="E872">
        <v>22</v>
      </c>
      <c r="F872" s="1">
        <v>44742</v>
      </c>
      <c r="G872">
        <v>4.9847293820198597E-2</v>
      </c>
    </row>
    <row r="873" spans="1:7" x14ac:dyDescent="0.25">
      <c r="A873" t="s">
        <v>7</v>
      </c>
      <c r="B873" t="s">
        <v>12</v>
      </c>
      <c r="C873" t="s">
        <v>9</v>
      </c>
      <c r="D873" t="s">
        <v>10</v>
      </c>
      <c r="E873">
        <v>22</v>
      </c>
      <c r="F873" s="1">
        <v>44773</v>
      </c>
      <c r="G873">
        <v>-1.6527803850219201E-2</v>
      </c>
    </row>
    <row r="874" spans="1:7" x14ac:dyDescent="0.25">
      <c r="A874" t="s">
        <v>7</v>
      </c>
      <c r="B874" t="s">
        <v>12</v>
      </c>
      <c r="C874" t="s">
        <v>9</v>
      </c>
      <c r="D874" t="s">
        <v>10</v>
      </c>
      <c r="E874">
        <v>22</v>
      </c>
      <c r="F874" s="1">
        <v>44804</v>
      </c>
      <c r="G874">
        <v>-3.9321075975549097E-2</v>
      </c>
    </row>
    <row r="875" spans="1:7" x14ac:dyDescent="0.25">
      <c r="A875" t="s">
        <v>7</v>
      </c>
      <c r="B875" t="s">
        <v>12</v>
      </c>
      <c r="C875" t="s">
        <v>9</v>
      </c>
      <c r="D875" t="s">
        <v>10</v>
      </c>
      <c r="E875">
        <v>22</v>
      </c>
      <c r="F875" s="1">
        <v>44834</v>
      </c>
      <c r="G875">
        <v>2.80817753554709E-3</v>
      </c>
    </row>
    <row r="876" spans="1:7" x14ac:dyDescent="0.25">
      <c r="A876" t="s">
        <v>7</v>
      </c>
      <c r="B876" t="s">
        <v>12</v>
      </c>
      <c r="C876" t="s">
        <v>9</v>
      </c>
      <c r="D876" t="s">
        <v>10</v>
      </c>
      <c r="E876">
        <v>22</v>
      </c>
      <c r="F876" s="1">
        <v>44865</v>
      </c>
      <c r="G876">
        <v>-1.03883658210378E-2</v>
      </c>
    </row>
    <row r="877" spans="1:7" x14ac:dyDescent="0.25">
      <c r="A877" t="s">
        <v>7</v>
      </c>
      <c r="B877" t="s">
        <v>12</v>
      </c>
      <c r="C877" t="s">
        <v>9</v>
      </c>
      <c r="D877" t="s">
        <v>10</v>
      </c>
      <c r="E877">
        <v>22</v>
      </c>
      <c r="F877" s="1">
        <v>44895</v>
      </c>
      <c r="G877">
        <v>5.5450813812747503E-2</v>
      </c>
    </row>
    <row r="878" spans="1:7" x14ac:dyDescent="0.25">
      <c r="A878" t="s">
        <v>7</v>
      </c>
      <c r="B878" t="s">
        <v>12</v>
      </c>
      <c r="C878" t="s">
        <v>9</v>
      </c>
      <c r="D878" t="s">
        <v>10</v>
      </c>
      <c r="E878">
        <v>22</v>
      </c>
      <c r="F878" s="1">
        <v>44926</v>
      </c>
      <c r="G878">
        <v>1.1373516842930099E-2</v>
      </c>
    </row>
    <row r="879" spans="1:7" x14ac:dyDescent="0.25">
      <c r="A879" t="s">
        <v>7</v>
      </c>
      <c r="B879" t="s">
        <v>12</v>
      </c>
      <c r="C879" t="s">
        <v>9</v>
      </c>
      <c r="D879" t="s">
        <v>10</v>
      </c>
      <c r="E879">
        <v>22</v>
      </c>
      <c r="F879" s="1">
        <v>44957</v>
      </c>
      <c r="G879">
        <v>-8.4677948728936398E-5</v>
      </c>
    </row>
    <row r="880" spans="1:7" x14ac:dyDescent="0.25">
      <c r="A880" t="s">
        <v>7</v>
      </c>
      <c r="B880" t="s">
        <v>12</v>
      </c>
      <c r="C880" t="s">
        <v>9</v>
      </c>
      <c r="D880" t="s">
        <v>10</v>
      </c>
      <c r="E880">
        <v>22</v>
      </c>
      <c r="F880" s="1">
        <v>44985</v>
      </c>
      <c r="G880">
        <v>5.8685577503567697E-3</v>
      </c>
    </row>
    <row r="881" spans="1:7" x14ac:dyDescent="0.25">
      <c r="A881" t="s">
        <v>7</v>
      </c>
      <c r="B881" t="s">
        <v>12</v>
      </c>
      <c r="C881" t="s">
        <v>9</v>
      </c>
      <c r="D881" t="s">
        <v>10</v>
      </c>
      <c r="E881">
        <v>22</v>
      </c>
      <c r="F881" s="1">
        <v>45016</v>
      </c>
      <c r="G881">
        <v>3.4717580241478398E-2</v>
      </c>
    </row>
    <row r="882" spans="1:7" x14ac:dyDescent="0.25">
      <c r="A882" t="s">
        <v>7</v>
      </c>
      <c r="B882" t="s">
        <v>12</v>
      </c>
      <c r="C882" t="s">
        <v>9</v>
      </c>
      <c r="D882" t="s">
        <v>10</v>
      </c>
      <c r="E882">
        <v>22</v>
      </c>
      <c r="F882" s="1">
        <v>45046</v>
      </c>
      <c r="G882">
        <v>1.2352237770937699E-3</v>
      </c>
    </row>
    <row r="883" spans="1:7" x14ac:dyDescent="0.25">
      <c r="A883" t="s">
        <v>7</v>
      </c>
      <c r="B883" t="s">
        <v>12</v>
      </c>
      <c r="C883" t="s">
        <v>9</v>
      </c>
      <c r="D883" t="s">
        <v>10</v>
      </c>
      <c r="E883">
        <v>22</v>
      </c>
      <c r="F883" s="1">
        <v>45077</v>
      </c>
      <c r="G883">
        <v>-1.25753581438681E-2</v>
      </c>
    </row>
    <row r="884" spans="1:7" x14ac:dyDescent="0.25">
      <c r="A884" t="s">
        <v>7</v>
      </c>
      <c r="B884" t="s">
        <v>12</v>
      </c>
      <c r="C884" t="s">
        <v>9</v>
      </c>
      <c r="D884" t="s">
        <v>10</v>
      </c>
      <c r="E884">
        <v>22</v>
      </c>
      <c r="F884" s="1">
        <v>45107</v>
      </c>
      <c r="G884">
        <v>2.2413694394010598E-3</v>
      </c>
    </row>
    <row r="885" spans="1:7" x14ac:dyDescent="0.25">
      <c r="A885" t="s">
        <v>7</v>
      </c>
      <c r="B885" t="s">
        <v>12</v>
      </c>
      <c r="C885" t="s">
        <v>9</v>
      </c>
      <c r="D885" t="s">
        <v>10</v>
      </c>
      <c r="E885">
        <v>22</v>
      </c>
      <c r="F885" s="1">
        <v>45138</v>
      </c>
      <c r="G885">
        <v>-2.38536753352416E-2</v>
      </c>
    </row>
    <row r="886" spans="1:7" x14ac:dyDescent="0.25">
      <c r="A886" t="s">
        <v>7</v>
      </c>
      <c r="B886" t="s">
        <v>12</v>
      </c>
      <c r="C886" t="s">
        <v>9</v>
      </c>
      <c r="D886" t="s">
        <v>10</v>
      </c>
      <c r="E886">
        <v>22</v>
      </c>
      <c r="F886" s="1">
        <v>45169</v>
      </c>
      <c r="G886">
        <v>-4.2049563529164896E-3</v>
      </c>
    </row>
    <row r="887" spans="1:7" x14ac:dyDescent="0.25">
      <c r="A887" t="s">
        <v>7</v>
      </c>
      <c r="B887" t="s">
        <v>12</v>
      </c>
      <c r="C887" t="s">
        <v>9</v>
      </c>
      <c r="D887" t="s">
        <v>10</v>
      </c>
      <c r="E887">
        <v>22</v>
      </c>
      <c r="F887" s="1">
        <v>45199</v>
      </c>
      <c r="G887">
        <v>1.48702683563756E-2</v>
      </c>
    </row>
    <row r="888" spans="1:7" x14ac:dyDescent="0.25">
      <c r="A888" t="s">
        <v>7</v>
      </c>
      <c r="B888" t="s">
        <v>12</v>
      </c>
      <c r="C888" t="s">
        <v>9</v>
      </c>
      <c r="D888" t="s">
        <v>10</v>
      </c>
      <c r="E888">
        <v>22</v>
      </c>
      <c r="F888" s="1">
        <v>45230</v>
      </c>
      <c r="G888">
        <v>3.3348328643813901E-2</v>
      </c>
    </row>
    <row r="889" spans="1:7" x14ac:dyDescent="0.25">
      <c r="A889" t="s">
        <v>7</v>
      </c>
      <c r="B889" t="s">
        <v>12</v>
      </c>
      <c r="C889" t="s">
        <v>9</v>
      </c>
      <c r="D889" t="s">
        <v>10</v>
      </c>
      <c r="E889">
        <v>22</v>
      </c>
      <c r="F889" s="1">
        <v>45260</v>
      </c>
      <c r="G889">
        <v>4.3597777824632103E-2</v>
      </c>
    </row>
    <row r="890" spans="1:7" x14ac:dyDescent="0.25">
      <c r="A890" t="s">
        <v>7</v>
      </c>
      <c r="B890" t="s">
        <v>12</v>
      </c>
      <c r="C890" t="s">
        <v>9</v>
      </c>
      <c r="D890" t="s">
        <v>10</v>
      </c>
      <c r="E890">
        <v>22</v>
      </c>
      <c r="F890" s="1">
        <v>45291</v>
      </c>
      <c r="G890">
        <v>-1.02391119625321E-2</v>
      </c>
    </row>
    <row r="891" spans="1:7" x14ac:dyDescent="0.25">
      <c r="A891" t="s">
        <v>7</v>
      </c>
      <c r="B891" t="s">
        <v>12</v>
      </c>
      <c r="C891" t="s">
        <v>9</v>
      </c>
      <c r="D891" t="s">
        <v>10</v>
      </c>
      <c r="E891">
        <v>22</v>
      </c>
      <c r="F891" s="1">
        <v>45322</v>
      </c>
      <c r="G891">
        <v>2.1052137369668999E-2</v>
      </c>
    </row>
    <row r="892" spans="1:7" x14ac:dyDescent="0.25">
      <c r="A892" t="s">
        <v>7</v>
      </c>
      <c r="B892" t="s">
        <v>12</v>
      </c>
      <c r="C892" t="s">
        <v>9</v>
      </c>
      <c r="D892" t="s">
        <v>10</v>
      </c>
      <c r="E892">
        <v>22</v>
      </c>
      <c r="F892" s="1">
        <v>45351</v>
      </c>
      <c r="G892">
        <v>3.0056903322847502E-3</v>
      </c>
    </row>
    <row r="893" spans="1:7" x14ac:dyDescent="0.25">
      <c r="A893" t="s">
        <v>7</v>
      </c>
      <c r="B893" t="s">
        <v>12</v>
      </c>
      <c r="C893" t="s">
        <v>9</v>
      </c>
      <c r="D893" t="s">
        <v>10</v>
      </c>
      <c r="E893">
        <v>22</v>
      </c>
      <c r="F893" s="1">
        <v>45382</v>
      </c>
      <c r="G893">
        <v>-3.1595944982792203E-2</v>
      </c>
    </row>
    <row r="894" spans="1:7" x14ac:dyDescent="0.25">
      <c r="A894" t="s">
        <v>7</v>
      </c>
      <c r="B894" t="s">
        <v>12</v>
      </c>
      <c r="C894" t="s">
        <v>9</v>
      </c>
      <c r="D894" t="s">
        <v>10</v>
      </c>
      <c r="E894">
        <v>22</v>
      </c>
      <c r="F894" s="1">
        <v>45412</v>
      </c>
      <c r="G894">
        <v>1.7959800116913002E-2</v>
      </c>
    </row>
    <row r="895" spans="1:7" x14ac:dyDescent="0.25">
      <c r="A895" t="s">
        <v>7</v>
      </c>
      <c r="B895" t="s">
        <v>12</v>
      </c>
      <c r="C895" t="s">
        <v>9</v>
      </c>
      <c r="D895" t="s">
        <v>10</v>
      </c>
      <c r="E895">
        <v>22</v>
      </c>
      <c r="F895" s="1">
        <v>45443</v>
      </c>
      <c r="G895">
        <v>2.8007503167306901E-2</v>
      </c>
    </row>
    <row r="896" spans="1:7" x14ac:dyDescent="0.25">
      <c r="A896" t="s">
        <v>7</v>
      </c>
      <c r="B896" t="s">
        <v>12</v>
      </c>
      <c r="C896" t="s">
        <v>9</v>
      </c>
      <c r="D896" t="s">
        <v>10</v>
      </c>
      <c r="E896">
        <v>22</v>
      </c>
      <c r="F896" s="1">
        <v>45473</v>
      </c>
      <c r="G896">
        <v>-2.7644026688323801E-3</v>
      </c>
    </row>
    <row r="897" spans="1:7" x14ac:dyDescent="0.25">
      <c r="A897" t="s">
        <v>7</v>
      </c>
      <c r="B897" t="s">
        <v>12</v>
      </c>
      <c r="C897" t="s">
        <v>9</v>
      </c>
      <c r="D897" t="s">
        <v>10</v>
      </c>
      <c r="E897">
        <v>22</v>
      </c>
      <c r="F897" s="1">
        <v>45504</v>
      </c>
      <c r="G897">
        <v>-3.1287191783625302E-2</v>
      </c>
    </row>
    <row r="898" spans="1:7" x14ac:dyDescent="0.25">
      <c r="A898" t="s">
        <v>7</v>
      </c>
      <c r="B898" t="s">
        <v>12</v>
      </c>
      <c r="C898" t="s">
        <v>9</v>
      </c>
      <c r="D898" t="s">
        <v>10</v>
      </c>
      <c r="E898">
        <v>22</v>
      </c>
      <c r="F898" s="1">
        <v>45535</v>
      </c>
      <c r="G898">
        <v>3.18644153031813E-2</v>
      </c>
    </row>
    <row r="899" spans="1:7" x14ac:dyDescent="0.25">
      <c r="A899" t="s">
        <v>7</v>
      </c>
      <c r="B899" t="s">
        <v>12</v>
      </c>
      <c r="C899" t="s">
        <v>9</v>
      </c>
      <c r="D899" t="s">
        <v>10</v>
      </c>
      <c r="E899">
        <v>22</v>
      </c>
      <c r="F899" s="1">
        <v>45565</v>
      </c>
      <c r="G899">
        <v>1.49227413116159E-2</v>
      </c>
    </row>
    <row r="900" spans="1:7" x14ac:dyDescent="0.25">
      <c r="A900" t="s">
        <v>7</v>
      </c>
      <c r="B900" t="s">
        <v>12</v>
      </c>
      <c r="C900" t="s">
        <v>9</v>
      </c>
      <c r="D900" t="s">
        <v>10</v>
      </c>
      <c r="E900">
        <v>22</v>
      </c>
      <c r="F900" s="1">
        <v>45596</v>
      </c>
      <c r="G900">
        <v>7.2429765001684396E-3</v>
      </c>
    </row>
    <row r="901" spans="1:7" x14ac:dyDescent="0.25">
      <c r="A901" t="s">
        <v>7</v>
      </c>
      <c r="B901" t="s">
        <v>12</v>
      </c>
      <c r="C901" t="s">
        <v>9</v>
      </c>
      <c r="D901" t="s">
        <v>10</v>
      </c>
      <c r="E901">
        <v>22</v>
      </c>
      <c r="F901" s="1">
        <v>45626</v>
      </c>
      <c r="G901">
        <v>-1.32150348328249E-2</v>
      </c>
    </row>
    <row r="902" spans="1:7" x14ac:dyDescent="0.25">
      <c r="A902" t="s">
        <v>7</v>
      </c>
      <c r="B902" t="s">
        <v>12</v>
      </c>
      <c r="C902" t="s">
        <v>9</v>
      </c>
      <c r="D902" t="s">
        <v>10</v>
      </c>
      <c r="E902">
        <v>22</v>
      </c>
      <c r="F902" s="1">
        <v>45657</v>
      </c>
      <c r="G902">
        <v>9.1952025185098205E-5</v>
      </c>
    </row>
    <row r="903" spans="1:7" x14ac:dyDescent="0.25">
      <c r="A903" t="s">
        <v>7</v>
      </c>
      <c r="B903" t="s">
        <v>12</v>
      </c>
      <c r="C903" t="s">
        <v>9</v>
      </c>
      <c r="D903" t="s">
        <v>10</v>
      </c>
      <c r="E903">
        <v>22</v>
      </c>
      <c r="F903" s="1">
        <v>45688</v>
      </c>
      <c r="G903">
        <v>-1.42357883942093E-2</v>
      </c>
    </row>
    <row r="904" spans="1:7" x14ac:dyDescent="0.25">
      <c r="A904" t="s">
        <v>7</v>
      </c>
      <c r="B904" t="s">
        <v>12</v>
      </c>
      <c r="C904" t="s">
        <v>9</v>
      </c>
      <c r="D904" t="s">
        <v>10</v>
      </c>
      <c r="E904">
        <v>22</v>
      </c>
      <c r="F904" s="1">
        <v>45716</v>
      </c>
      <c r="G904">
        <v>2.2823359948192099E-2</v>
      </c>
    </row>
    <row r="905" spans="1:7" x14ac:dyDescent="0.25">
      <c r="A905" t="s">
        <v>7</v>
      </c>
      <c r="B905" t="s">
        <v>12</v>
      </c>
      <c r="C905" t="s">
        <v>9</v>
      </c>
      <c r="D905" t="s">
        <v>10</v>
      </c>
      <c r="E905">
        <v>22</v>
      </c>
      <c r="F905" s="1">
        <v>45747</v>
      </c>
      <c r="G905">
        <v>4.16378072298089E-2</v>
      </c>
    </row>
    <row r="906" spans="1:7" x14ac:dyDescent="0.25">
      <c r="A906" t="s">
        <v>7</v>
      </c>
      <c r="B906" t="s">
        <v>12</v>
      </c>
      <c r="C906" t="s">
        <v>9</v>
      </c>
      <c r="D906" t="s">
        <v>10</v>
      </c>
      <c r="E906">
        <v>22</v>
      </c>
      <c r="F906" s="1">
        <v>45777</v>
      </c>
      <c r="G906">
        <v>2.7197099498292202E-2</v>
      </c>
    </row>
    <row r="907" spans="1:7" x14ac:dyDescent="0.25">
      <c r="A907" t="s">
        <v>7</v>
      </c>
      <c r="B907" t="s">
        <v>12</v>
      </c>
      <c r="C907" t="s">
        <v>9</v>
      </c>
      <c r="D907" t="s">
        <v>10</v>
      </c>
      <c r="E907">
        <v>22</v>
      </c>
      <c r="F907" s="1">
        <v>45808</v>
      </c>
      <c r="G907">
        <v>6.6943715940811803E-3</v>
      </c>
    </row>
    <row r="908" spans="1:7" x14ac:dyDescent="0.25">
      <c r="A908" t="s">
        <v>7</v>
      </c>
      <c r="B908" t="s">
        <v>12</v>
      </c>
      <c r="C908" t="s">
        <v>9</v>
      </c>
      <c r="D908" t="s">
        <v>10</v>
      </c>
      <c r="E908">
        <v>22</v>
      </c>
      <c r="F908" s="1">
        <v>45838</v>
      </c>
      <c r="G908">
        <v>-3.42048183838236E-3</v>
      </c>
    </row>
    <row r="909" spans="1:7" x14ac:dyDescent="0.25">
      <c r="A909" t="s">
        <v>7</v>
      </c>
      <c r="B909" t="s">
        <v>12</v>
      </c>
      <c r="C909" t="s">
        <v>9</v>
      </c>
      <c r="D909" t="s">
        <v>10</v>
      </c>
      <c r="E909">
        <v>22</v>
      </c>
      <c r="F909" s="1">
        <v>45869</v>
      </c>
      <c r="G909">
        <v>1.09208268337821E-2</v>
      </c>
    </row>
    <row r="910" spans="1:7" x14ac:dyDescent="0.25">
      <c r="A910" t="s">
        <v>7</v>
      </c>
      <c r="B910" t="s">
        <v>12</v>
      </c>
      <c r="C910" t="s">
        <v>9</v>
      </c>
      <c r="D910" t="s">
        <v>10</v>
      </c>
      <c r="E910">
        <v>22</v>
      </c>
      <c r="F910" s="1">
        <v>45900</v>
      </c>
      <c r="G910">
        <v>8.6872478863036194E-3</v>
      </c>
    </row>
    <row r="911" spans="1:7" x14ac:dyDescent="0.25">
      <c r="A911" t="s">
        <v>7</v>
      </c>
      <c r="B911" t="s">
        <v>12</v>
      </c>
      <c r="C911" t="s">
        <v>9</v>
      </c>
      <c r="D911" t="s">
        <v>10</v>
      </c>
      <c r="E911">
        <v>22</v>
      </c>
      <c r="F911" s="1">
        <v>45930</v>
      </c>
      <c r="G911">
        <v>7.3647241124662702E-3</v>
      </c>
    </row>
    <row r="912" spans="1:7" x14ac:dyDescent="0.25">
      <c r="A912" t="s">
        <v>7</v>
      </c>
      <c r="B912" t="s">
        <v>12</v>
      </c>
      <c r="C912" t="s">
        <v>9</v>
      </c>
      <c r="D912" t="s">
        <v>10</v>
      </c>
      <c r="E912">
        <v>22</v>
      </c>
      <c r="F912" s="1">
        <v>45961</v>
      </c>
      <c r="G912">
        <v>-1.43675674692071E-2</v>
      </c>
    </row>
    <row r="913" spans="1:7" x14ac:dyDescent="0.25">
      <c r="A913" t="s">
        <v>7</v>
      </c>
      <c r="B913" t="s">
        <v>12</v>
      </c>
      <c r="C913" t="s">
        <v>9</v>
      </c>
      <c r="D913" t="s">
        <v>10</v>
      </c>
      <c r="E913">
        <v>22</v>
      </c>
      <c r="F913" s="1">
        <v>45991</v>
      </c>
      <c r="G913">
        <v>3.5443898641761302E-3</v>
      </c>
    </row>
    <row r="914" spans="1:7" x14ac:dyDescent="0.25">
      <c r="A914" t="s">
        <v>7</v>
      </c>
      <c r="B914" t="s">
        <v>12</v>
      </c>
      <c r="C914" t="s">
        <v>9</v>
      </c>
      <c r="D914" t="s">
        <v>10</v>
      </c>
      <c r="E914">
        <v>22</v>
      </c>
      <c r="F914" s="1">
        <v>46022</v>
      </c>
      <c r="G914">
        <v>-3.1573601000489698E-2</v>
      </c>
    </row>
    <row r="915" spans="1:7" x14ac:dyDescent="0.25">
      <c r="A915" t="s">
        <v>7</v>
      </c>
      <c r="B915" t="s">
        <v>13</v>
      </c>
      <c r="C915" t="s">
        <v>9</v>
      </c>
      <c r="D915" t="s">
        <v>10</v>
      </c>
      <c r="E915">
        <v>1</v>
      </c>
      <c r="F915" s="1">
        <v>34577</v>
      </c>
      <c r="G915">
        <v>0.16546080969259599</v>
      </c>
    </row>
    <row r="916" spans="1:7" x14ac:dyDescent="0.25">
      <c r="A916" t="s">
        <v>7</v>
      </c>
      <c r="B916" t="s">
        <v>13</v>
      </c>
      <c r="C916" t="s">
        <v>9</v>
      </c>
      <c r="D916" t="s">
        <v>10</v>
      </c>
      <c r="E916">
        <v>1</v>
      </c>
      <c r="F916" s="1">
        <v>34607</v>
      </c>
      <c r="G916">
        <v>1.8357256581183298E-2</v>
      </c>
    </row>
    <row r="917" spans="1:7" x14ac:dyDescent="0.25">
      <c r="A917" t="s">
        <v>7</v>
      </c>
      <c r="B917" t="s">
        <v>13</v>
      </c>
      <c r="C917" t="s">
        <v>9</v>
      </c>
      <c r="D917" t="s">
        <v>10</v>
      </c>
      <c r="E917">
        <v>2</v>
      </c>
      <c r="F917" s="1">
        <v>34638</v>
      </c>
      <c r="G917">
        <v>-4.6947135917029099E-2</v>
      </c>
    </row>
    <row r="918" spans="1:7" x14ac:dyDescent="0.25">
      <c r="A918" t="s">
        <v>7</v>
      </c>
      <c r="B918" t="s">
        <v>13</v>
      </c>
      <c r="C918" t="s">
        <v>9</v>
      </c>
      <c r="D918" t="s">
        <v>10</v>
      </c>
      <c r="E918">
        <v>1</v>
      </c>
      <c r="F918" s="1">
        <v>34668</v>
      </c>
      <c r="G918">
        <v>-1.1795994299744299E-2</v>
      </c>
    </row>
    <row r="919" spans="1:7" x14ac:dyDescent="0.25">
      <c r="A919" t="s">
        <v>7</v>
      </c>
      <c r="B919" t="s">
        <v>13</v>
      </c>
      <c r="C919" t="s">
        <v>9</v>
      </c>
      <c r="D919" t="s">
        <v>10</v>
      </c>
      <c r="E919">
        <v>1</v>
      </c>
      <c r="F919" s="1">
        <v>34699</v>
      </c>
      <c r="G919">
        <v>4.8756712939353401E-2</v>
      </c>
    </row>
    <row r="920" spans="1:7" x14ac:dyDescent="0.25">
      <c r="A920" t="s">
        <v>7</v>
      </c>
      <c r="B920" t="s">
        <v>13</v>
      </c>
      <c r="C920" t="s">
        <v>9</v>
      </c>
      <c r="D920" t="s">
        <v>10</v>
      </c>
      <c r="E920">
        <v>1</v>
      </c>
      <c r="F920" s="1">
        <v>34730</v>
      </c>
      <c r="G920">
        <v>2.9423900029358501E-2</v>
      </c>
    </row>
    <row r="921" spans="1:7" x14ac:dyDescent="0.25">
      <c r="A921" t="s">
        <v>7</v>
      </c>
      <c r="B921" t="s">
        <v>13</v>
      </c>
      <c r="C921" t="s">
        <v>9</v>
      </c>
      <c r="D921" t="s">
        <v>10</v>
      </c>
      <c r="E921">
        <v>1</v>
      </c>
      <c r="F921" s="1">
        <v>34758</v>
      </c>
      <c r="G921">
        <v>0.22937944205255001</v>
      </c>
    </row>
    <row r="922" spans="1:7" x14ac:dyDescent="0.25">
      <c r="A922" t="s">
        <v>7</v>
      </c>
      <c r="B922" t="s">
        <v>13</v>
      </c>
      <c r="C922" t="s">
        <v>9</v>
      </c>
      <c r="D922" t="s">
        <v>10</v>
      </c>
      <c r="E922">
        <v>1</v>
      </c>
      <c r="F922" s="1">
        <v>34789</v>
      </c>
      <c r="G922">
        <v>0.118049379061967</v>
      </c>
    </row>
    <row r="923" spans="1:7" x14ac:dyDescent="0.25">
      <c r="A923" t="s">
        <v>7</v>
      </c>
      <c r="B923" t="s">
        <v>13</v>
      </c>
      <c r="C923" t="s">
        <v>9</v>
      </c>
      <c r="D923" t="s">
        <v>10</v>
      </c>
      <c r="E923">
        <v>1</v>
      </c>
      <c r="F923" s="1">
        <v>34819</v>
      </c>
      <c r="G923">
        <v>-0.24181510140599999</v>
      </c>
    </row>
    <row r="924" spans="1:7" x14ac:dyDescent="0.25">
      <c r="A924" t="s">
        <v>7</v>
      </c>
      <c r="B924" t="s">
        <v>13</v>
      </c>
      <c r="C924" t="s">
        <v>9</v>
      </c>
      <c r="D924" t="s">
        <v>10</v>
      </c>
      <c r="E924">
        <v>1</v>
      </c>
      <c r="F924" s="1">
        <v>34850</v>
      </c>
      <c r="G924">
        <v>4.5477709044928899E-3</v>
      </c>
    </row>
    <row r="925" spans="1:7" x14ac:dyDescent="0.25">
      <c r="A925" t="s">
        <v>7</v>
      </c>
      <c r="B925" t="s">
        <v>13</v>
      </c>
      <c r="C925" t="s">
        <v>9</v>
      </c>
      <c r="D925" t="s">
        <v>10</v>
      </c>
      <c r="E925">
        <v>1</v>
      </c>
      <c r="F925" s="1">
        <v>34880</v>
      </c>
      <c r="G925">
        <v>-6.2764441708291693E-2</v>
      </c>
    </row>
    <row r="926" spans="1:7" x14ac:dyDescent="0.25">
      <c r="A926" t="s">
        <v>7</v>
      </c>
      <c r="B926" t="s">
        <v>13</v>
      </c>
      <c r="C926" t="s">
        <v>9</v>
      </c>
      <c r="D926" t="s">
        <v>10</v>
      </c>
      <c r="E926">
        <v>2</v>
      </c>
      <c r="F926" s="1">
        <v>34911</v>
      </c>
      <c r="G926">
        <v>-0.129865142269944</v>
      </c>
    </row>
    <row r="927" spans="1:7" x14ac:dyDescent="0.25">
      <c r="A927" t="s">
        <v>7</v>
      </c>
      <c r="B927" t="s">
        <v>13</v>
      </c>
      <c r="C927" t="s">
        <v>9</v>
      </c>
      <c r="D927" t="s">
        <v>10</v>
      </c>
      <c r="E927">
        <v>1</v>
      </c>
      <c r="F927" s="1">
        <v>34942</v>
      </c>
      <c r="G927">
        <v>8.3455228348730693E-3</v>
      </c>
    </row>
    <row r="928" spans="1:7" x14ac:dyDescent="0.25">
      <c r="A928" t="s">
        <v>7</v>
      </c>
      <c r="B928" t="s">
        <v>13</v>
      </c>
      <c r="C928" t="s">
        <v>9</v>
      </c>
      <c r="D928" t="s">
        <v>10</v>
      </c>
      <c r="E928">
        <v>2</v>
      </c>
      <c r="F928" s="1">
        <v>34972</v>
      </c>
      <c r="G928">
        <v>-0.16668090007330699</v>
      </c>
    </row>
    <row r="929" spans="1:7" x14ac:dyDescent="0.25">
      <c r="A929" t="s">
        <v>7</v>
      </c>
      <c r="B929" t="s">
        <v>13</v>
      </c>
      <c r="C929" t="s">
        <v>9</v>
      </c>
      <c r="D929" t="s">
        <v>10</v>
      </c>
      <c r="E929">
        <v>1</v>
      </c>
      <c r="F929" s="1">
        <v>35003</v>
      </c>
      <c r="G929">
        <v>-0.19784674670396901</v>
      </c>
    </row>
    <row r="930" spans="1:7" x14ac:dyDescent="0.25">
      <c r="A930" t="s">
        <v>7</v>
      </c>
      <c r="B930" t="s">
        <v>13</v>
      </c>
      <c r="C930" t="s">
        <v>9</v>
      </c>
      <c r="D930" t="s">
        <v>10</v>
      </c>
      <c r="E930">
        <v>1</v>
      </c>
      <c r="F930" s="1">
        <v>35033</v>
      </c>
      <c r="G930">
        <v>0.70449624428954905</v>
      </c>
    </row>
    <row r="931" spans="1:7" x14ac:dyDescent="0.25">
      <c r="A931" t="s">
        <v>7</v>
      </c>
      <c r="B931" t="s">
        <v>13</v>
      </c>
      <c r="C931" t="s">
        <v>9</v>
      </c>
      <c r="D931" t="s">
        <v>10</v>
      </c>
      <c r="E931">
        <v>1</v>
      </c>
      <c r="F931" s="1">
        <v>35064</v>
      </c>
      <c r="G931">
        <v>-0.15461503619450701</v>
      </c>
    </row>
    <row r="932" spans="1:7" x14ac:dyDescent="0.25">
      <c r="A932" t="s">
        <v>7</v>
      </c>
      <c r="B932" t="s">
        <v>13</v>
      </c>
      <c r="C932" t="s">
        <v>9</v>
      </c>
      <c r="D932" t="s">
        <v>10</v>
      </c>
      <c r="E932">
        <v>2</v>
      </c>
      <c r="F932" s="1">
        <v>35095</v>
      </c>
      <c r="G932">
        <v>6.3752729597937194E-2</v>
      </c>
    </row>
    <row r="933" spans="1:7" x14ac:dyDescent="0.25">
      <c r="A933" t="s">
        <v>7</v>
      </c>
      <c r="B933" t="s">
        <v>13</v>
      </c>
      <c r="C933" t="s">
        <v>9</v>
      </c>
      <c r="D933" t="s">
        <v>10</v>
      </c>
      <c r="E933">
        <v>1</v>
      </c>
      <c r="F933" s="1">
        <v>35124</v>
      </c>
      <c r="G933">
        <v>0.40196476431594202</v>
      </c>
    </row>
    <row r="934" spans="1:7" x14ac:dyDescent="0.25">
      <c r="A934" t="s">
        <v>7</v>
      </c>
      <c r="B934" t="s">
        <v>13</v>
      </c>
      <c r="C934" t="s">
        <v>9</v>
      </c>
      <c r="D934" t="s">
        <v>10</v>
      </c>
      <c r="E934">
        <v>2</v>
      </c>
      <c r="F934" s="1">
        <v>35155</v>
      </c>
      <c r="G934">
        <v>-8.0779664020886502E-2</v>
      </c>
    </row>
    <row r="935" spans="1:7" x14ac:dyDescent="0.25">
      <c r="A935" t="s">
        <v>7</v>
      </c>
      <c r="B935" t="s">
        <v>13</v>
      </c>
      <c r="C935" t="s">
        <v>9</v>
      </c>
      <c r="D935" t="s">
        <v>10</v>
      </c>
      <c r="E935">
        <v>2</v>
      </c>
      <c r="F935" s="1">
        <v>35185</v>
      </c>
      <c r="G935">
        <v>1.2043078736889401E-2</v>
      </c>
    </row>
    <row r="936" spans="1:7" x14ac:dyDescent="0.25">
      <c r="A936" t="s">
        <v>7</v>
      </c>
      <c r="B936" t="s">
        <v>13</v>
      </c>
      <c r="C936" t="s">
        <v>9</v>
      </c>
      <c r="D936" t="s">
        <v>10</v>
      </c>
      <c r="E936">
        <v>2</v>
      </c>
      <c r="F936" s="1">
        <v>35216</v>
      </c>
      <c r="G936">
        <v>-0.104451499853655</v>
      </c>
    </row>
    <row r="937" spans="1:7" x14ac:dyDescent="0.25">
      <c r="A937" t="s">
        <v>7</v>
      </c>
      <c r="B937" t="s">
        <v>13</v>
      </c>
      <c r="C937" t="s">
        <v>9</v>
      </c>
      <c r="D937" t="s">
        <v>10</v>
      </c>
      <c r="E937">
        <v>2</v>
      </c>
      <c r="F937" s="1">
        <v>35246</v>
      </c>
      <c r="G937">
        <v>-0.24091661946794299</v>
      </c>
    </row>
    <row r="938" spans="1:7" x14ac:dyDescent="0.25">
      <c r="A938" t="s">
        <v>7</v>
      </c>
      <c r="B938" t="s">
        <v>13</v>
      </c>
      <c r="C938" t="s">
        <v>9</v>
      </c>
      <c r="D938" t="s">
        <v>10</v>
      </c>
      <c r="E938">
        <v>2</v>
      </c>
      <c r="F938" s="1">
        <v>35277</v>
      </c>
      <c r="G938">
        <v>-0.14026359793531201</v>
      </c>
    </row>
    <row r="939" spans="1:7" x14ac:dyDescent="0.25">
      <c r="A939" t="s">
        <v>7</v>
      </c>
      <c r="B939" t="s">
        <v>13</v>
      </c>
      <c r="C939" t="s">
        <v>9</v>
      </c>
      <c r="D939" t="s">
        <v>10</v>
      </c>
      <c r="E939">
        <v>2</v>
      </c>
      <c r="F939" s="1">
        <v>35308</v>
      </c>
      <c r="G939">
        <v>-0.105171651255697</v>
      </c>
    </row>
    <row r="940" spans="1:7" x14ac:dyDescent="0.25">
      <c r="A940" t="s">
        <v>7</v>
      </c>
      <c r="B940" t="s">
        <v>13</v>
      </c>
      <c r="C940" t="s">
        <v>9</v>
      </c>
      <c r="D940" t="s">
        <v>10</v>
      </c>
      <c r="E940">
        <v>2</v>
      </c>
      <c r="F940" s="1">
        <v>35338</v>
      </c>
      <c r="G940">
        <v>2.30962830187698E-2</v>
      </c>
    </row>
    <row r="941" spans="1:7" x14ac:dyDescent="0.25">
      <c r="A941" t="s">
        <v>7</v>
      </c>
      <c r="B941" t="s">
        <v>13</v>
      </c>
      <c r="C941" t="s">
        <v>9</v>
      </c>
      <c r="D941" t="s">
        <v>10</v>
      </c>
      <c r="E941">
        <v>2</v>
      </c>
      <c r="F941" s="1">
        <v>35369</v>
      </c>
      <c r="G941">
        <v>-0.21037044004541799</v>
      </c>
    </row>
    <row r="942" spans="1:7" x14ac:dyDescent="0.25">
      <c r="A942" t="s">
        <v>7</v>
      </c>
      <c r="B942" t="s">
        <v>13</v>
      </c>
      <c r="C942" t="s">
        <v>9</v>
      </c>
      <c r="D942" t="s">
        <v>10</v>
      </c>
      <c r="E942">
        <v>2</v>
      </c>
      <c r="F942" s="1">
        <v>35399</v>
      </c>
      <c r="G942">
        <v>0.25318209873408798</v>
      </c>
    </row>
    <row r="943" spans="1:7" x14ac:dyDescent="0.25">
      <c r="A943" t="s">
        <v>7</v>
      </c>
      <c r="B943" t="s">
        <v>13</v>
      </c>
      <c r="C943" t="s">
        <v>9</v>
      </c>
      <c r="D943" t="s">
        <v>10</v>
      </c>
      <c r="E943">
        <v>2</v>
      </c>
      <c r="F943" s="1">
        <v>35430</v>
      </c>
      <c r="G943">
        <v>4.0334368412650798E-2</v>
      </c>
    </row>
    <row r="944" spans="1:7" x14ac:dyDescent="0.25">
      <c r="A944" t="s">
        <v>7</v>
      </c>
      <c r="B944" t="s">
        <v>13</v>
      </c>
      <c r="C944" t="s">
        <v>9</v>
      </c>
      <c r="D944" t="s">
        <v>10</v>
      </c>
      <c r="E944">
        <v>1</v>
      </c>
      <c r="F944" s="1">
        <v>35461</v>
      </c>
      <c r="G944">
        <v>-2.5930112719941799E-2</v>
      </c>
    </row>
    <row r="945" spans="1:7" x14ac:dyDescent="0.25">
      <c r="A945" t="s">
        <v>7</v>
      </c>
      <c r="B945" t="s">
        <v>13</v>
      </c>
      <c r="C945" t="s">
        <v>9</v>
      </c>
      <c r="D945" t="s">
        <v>10</v>
      </c>
      <c r="E945">
        <v>2</v>
      </c>
      <c r="F945" s="1">
        <v>35489</v>
      </c>
      <c r="G945">
        <v>-0.22524759776657799</v>
      </c>
    </row>
    <row r="946" spans="1:7" x14ac:dyDescent="0.25">
      <c r="A946" t="s">
        <v>7</v>
      </c>
      <c r="B946" t="s">
        <v>13</v>
      </c>
      <c r="C946" t="s">
        <v>9</v>
      </c>
      <c r="D946" t="s">
        <v>10</v>
      </c>
      <c r="E946">
        <v>2</v>
      </c>
      <c r="F946" s="1">
        <v>35520</v>
      </c>
      <c r="G946">
        <v>-2.2072595108937401E-2</v>
      </c>
    </row>
    <row r="947" spans="1:7" x14ac:dyDescent="0.25">
      <c r="A947" t="s">
        <v>7</v>
      </c>
      <c r="B947" t="s">
        <v>13</v>
      </c>
      <c r="C947" t="s">
        <v>9</v>
      </c>
      <c r="D947" t="s">
        <v>10</v>
      </c>
      <c r="E947">
        <v>2</v>
      </c>
      <c r="F947" s="1">
        <v>35550</v>
      </c>
      <c r="G947">
        <v>-1.9824186078979698E-2</v>
      </c>
    </row>
    <row r="948" spans="1:7" x14ac:dyDescent="0.25">
      <c r="A948" t="s">
        <v>7</v>
      </c>
      <c r="B948" t="s">
        <v>13</v>
      </c>
      <c r="C948" t="s">
        <v>9</v>
      </c>
      <c r="D948" t="s">
        <v>10</v>
      </c>
      <c r="E948">
        <v>6</v>
      </c>
      <c r="F948" s="1">
        <v>35581</v>
      </c>
      <c r="G948">
        <v>1.3823416138073899E-2</v>
      </c>
    </row>
    <row r="949" spans="1:7" x14ac:dyDescent="0.25">
      <c r="A949" t="s">
        <v>7</v>
      </c>
      <c r="B949" t="s">
        <v>13</v>
      </c>
      <c r="C949" t="s">
        <v>9</v>
      </c>
      <c r="D949" t="s">
        <v>10</v>
      </c>
      <c r="E949">
        <v>4</v>
      </c>
      <c r="F949" s="1">
        <v>35611</v>
      </c>
      <c r="G949">
        <v>-3.71895612005817E-2</v>
      </c>
    </row>
    <row r="950" spans="1:7" x14ac:dyDescent="0.25">
      <c r="A950" t="s">
        <v>7</v>
      </c>
      <c r="B950" t="s">
        <v>13</v>
      </c>
      <c r="C950" t="s">
        <v>9</v>
      </c>
      <c r="D950" t="s">
        <v>10</v>
      </c>
      <c r="E950">
        <v>4</v>
      </c>
      <c r="F950" s="1">
        <v>35642</v>
      </c>
      <c r="G950">
        <v>-2.4597641090607299E-2</v>
      </c>
    </row>
    <row r="951" spans="1:7" x14ac:dyDescent="0.25">
      <c r="A951" t="s">
        <v>7</v>
      </c>
      <c r="B951" t="s">
        <v>13</v>
      </c>
      <c r="C951" t="s">
        <v>9</v>
      </c>
      <c r="D951" t="s">
        <v>10</v>
      </c>
      <c r="E951">
        <v>4</v>
      </c>
      <c r="F951" s="1">
        <v>35673</v>
      </c>
      <c r="G951">
        <v>-2.97062590631175E-2</v>
      </c>
    </row>
    <row r="952" spans="1:7" x14ac:dyDescent="0.25">
      <c r="A952" t="s">
        <v>7</v>
      </c>
      <c r="B952" t="s">
        <v>13</v>
      </c>
      <c r="C952" t="s">
        <v>9</v>
      </c>
      <c r="D952" t="s">
        <v>10</v>
      </c>
      <c r="E952">
        <v>5</v>
      </c>
      <c r="F952" s="1">
        <v>35703</v>
      </c>
      <c r="G952">
        <v>2.6061992723962601E-2</v>
      </c>
    </row>
    <row r="953" spans="1:7" x14ac:dyDescent="0.25">
      <c r="A953" t="s">
        <v>7</v>
      </c>
      <c r="B953" t="s">
        <v>13</v>
      </c>
      <c r="C953" t="s">
        <v>9</v>
      </c>
      <c r="D953" t="s">
        <v>10</v>
      </c>
      <c r="E953">
        <v>5</v>
      </c>
      <c r="F953" s="1">
        <v>35734</v>
      </c>
      <c r="G953">
        <v>1.9234961438399499E-2</v>
      </c>
    </row>
    <row r="954" spans="1:7" x14ac:dyDescent="0.25">
      <c r="A954" t="s">
        <v>7</v>
      </c>
      <c r="B954" t="s">
        <v>13</v>
      </c>
      <c r="C954" t="s">
        <v>9</v>
      </c>
      <c r="D954" t="s">
        <v>10</v>
      </c>
      <c r="E954">
        <v>5</v>
      </c>
      <c r="F954" s="1">
        <v>35764</v>
      </c>
      <c r="G954">
        <v>-8.4617307395309302E-2</v>
      </c>
    </row>
    <row r="955" spans="1:7" x14ac:dyDescent="0.25">
      <c r="A955" t="s">
        <v>7</v>
      </c>
      <c r="B955" t="s">
        <v>13</v>
      </c>
      <c r="C955" t="s">
        <v>9</v>
      </c>
      <c r="D955" t="s">
        <v>10</v>
      </c>
      <c r="E955">
        <v>5</v>
      </c>
      <c r="F955" s="1">
        <v>35795</v>
      </c>
      <c r="G955">
        <v>-4.5991391775876099E-2</v>
      </c>
    </row>
    <row r="956" spans="1:7" x14ac:dyDescent="0.25">
      <c r="A956" t="s">
        <v>7</v>
      </c>
      <c r="B956" t="s">
        <v>13</v>
      </c>
      <c r="C956" t="s">
        <v>9</v>
      </c>
      <c r="D956" t="s">
        <v>10</v>
      </c>
      <c r="E956">
        <v>5</v>
      </c>
      <c r="F956" s="1">
        <v>35826</v>
      </c>
      <c r="G956">
        <v>-3.3976421802427198E-3</v>
      </c>
    </row>
    <row r="957" spans="1:7" x14ac:dyDescent="0.25">
      <c r="A957" t="s">
        <v>7</v>
      </c>
      <c r="B957" t="s">
        <v>13</v>
      </c>
      <c r="C957" t="s">
        <v>9</v>
      </c>
      <c r="D957" t="s">
        <v>10</v>
      </c>
      <c r="E957">
        <v>5</v>
      </c>
      <c r="F957" s="1">
        <v>35854</v>
      </c>
      <c r="G957">
        <v>2.1532395708296299E-2</v>
      </c>
    </row>
    <row r="958" spans="1:7" x14ac:dyDescent="0.25">
      <c r="A958" t="s">
        <v>7</v>
      </c>
      <c r="B958" t="s">
        <v>13</v>
      </c>
      <c r="C958" t="s">
        <v>9</v>
      </c>
      <c r="D958" t="s">
        <v>10</v>
      </c>
      <c r="E958">
        <v>5</v>
      </c>
      <c r="F958" s="1">
        <v>35885</v>
      </c>
      <c r="G958">
        <v>5.8533454332795699E-2</v>
      </c>
    </row>
    <row r="959" spans="1:7" x14ac:dyDescent="0.25">
      <c r="A959" t="s">
        <v>7</v>
      </c>
      <c r="B959" t="s">
        <v>13</v>
      </c>
      <c r="C959" t="s">
        <v>9</v>
      </c>
      <c r="D959" t="s">
        <v>10</v>
      </c>
      <c r="E959">
        <v>5</v>
      </c>
      <c r="F959" s="1">
        <v>35915</v>
      </c>
      <c r="G959">
        <v>-3.7487453237522499E-2</v>
      </c>
    </row>
    <row r="960" spans="1:7" x14ac:dyDescent="0.25">
      <c r="A960" t="s">
        <v>7</v>
      </c>
      <c r="B960" t="s">
        <v>13</v>
      </c>
      <c r="C960" t="s">
        <v>9</v>
      </c>
      <c r="D960" t="s">
        <v>10</v>
      </c>
      <c r="E960">
        <v>7</v>
      </c>
      <c r="F960" s="1">
        <v>35946</v>
      </c>
      <c r="G960">
        <v>4.0094952115533097E-3</v>
      </c>
    </row>
    <row r="961" spans="1:7" x14ac:dyDescent="0.25">
      <c r="A961" t="s">
        <v>7</v>
      </c>
      <c r="B961" t="s">
        <v>13</v>
      </c>
      <c r="C961" t="s">
        <v>9</v>
      </c>
      <c r="D961" t="s">
        <v>10</v>
      </c>
      <c r="E961">
        <v>7</v>
      </c>
      <c r="F961" s="1">
        <v>35976</v>
      </c>
      <c r="G961">
        <v>7.7865106501298298E-2</v>
      </c>
    </row>
    <row r="962" spans="1:7" x14ac:dyDescent="0.25">
      <c r="A962" t="s">
        <v>7</v>
      </c>
      <c r="B962" t="s">
        <v>13</v>
      </c>
      <c r="C962" t="s">
        <v>9</v>
      </c>
      <c r="D962" t="s">
        <v>10</v>
      </c>
      <c r="E962">
        <v>7</v>
      </c>
      <c r="F962" s="1">
        <v>36007</v>
      </c>
      <c r="G962">
        <v>-5.1137177067767201E-2</v>
      </c>
    </row>
    <row r="963" spans="1:7" x14ac:dyDescent="0.25">
      <c r="A963" t="s">
        <v>7</v>
      </c>
      <c r="B963" t="s">
        <v>13</v>
      </c>
      <c r="C963" t="s">
        <v>9</v>
      </c>
      <c r="D963" t="s">
        <v>10</v>
      </c>
      <c r="E963">
        <v>7</v>
      </c>
      <c r="F963" s="1">
        <v>36038</v>
      </c>
      <c r="G963">
        <v>4.84471987947689E-2</v>
      </c>
    </row>
    <row r="964" spans="1:7" x14ac:dyDescent="0.25">
      <c r="A964" t="s">
        <v>7</v>
      </c>
      <c r="B964" t="s">
        <v>13</v>
      </c>
      <c r="C964" t="s">
        <v>9</v>
      </c>
      <c r="D964" t="s">
        <v>10</v>
      </c>
      <c r="E964">
        <v>7</v>
      </c>
      <c r="F964" s="1">
        <v>36068</v>
      </c>
      <c r="G964">
        <v>-1.41427256123355E-2</v>
      </c>
    </row>
    <row r="965" spans="1:7" x14ac:dyDescent="0.25">
      <c r="A965" t="s">
        <v>7</v>
      </c>
      <c r="B965" t="s">
        <v>13</v>
      </c>
      <c r="C965" t="s">
        <v>9</v>
      </c>
      <c r="D965" t="s">
        <v>10</v>
      </c>
      <c r="E965">
        <v>7</v>
      </c>
      <c r="F965" s="1">
        <v>36099</v>
      </c>
      <c r="G965">
        <v>-5.4134262787007503E-2</v>
      </c>
    </row>
    <row r="966" spans="1:7" x14ac:dyDescent="0.25">
      <c r="A966" t="s">
        <v>7</v>
      </c>
      <c r="B966" t="s">
        <v>13</v>
      </c>
      <c r="C966" t="s">
        <v>9</v>
      </c>
      <c r="D966" t="s">
        <v>10</v>
      </c>
      <c r="E966">
        <v>7</v>
      </c>
      <c r="F966" s="1">
        <v>36129</v>
      </c>
      <c r="G966">
        <v>-0.14348758154980901</v>
      </c>
    </row>
    <row r="967" spans="1:7" x14ac:dyDescent="0.25">
      <c r="A967" t="s">
        <v>7</v>
      </c>
      <c r="B967" t="s">
        <v>13</v>
      </c>
      <c r="C967" t="s">
        <v>9</v>
      </c>
      <c r="D967" t="s">
        <v>10</v>
      </c>
      <c r="E967">
        <v>8</v>
      </c>
      <c r="F967" s="1">
        <v>36160</v>
      </c>
      <c r="G967">
        <v>5.5351466597871303E-2</v>
      </c>
    </row>
    <row r="968" spans="1:7" x14ac:dyDescent="0.25">
      <c r="A968" t="s">
        <v>7</v>
      </c>
      <c r="B968" t="s">
        <v>13</v>
      </c>
      <c r="C968" t="s">
        <v>9</v>
      </c>
      <c r="D968" t="s">
        <v>10</v>
      </c>
      <c r="E968">
        <v>8</v>
      </c>
      <c r="F968" s="1">
        <v>36191</v>
      </c>
      <c r="G968">
        <v>0.14255577170623401</v>
      </c>
    </row>
    <row r="969" spans="1:7" x14ac:dyDescent="0.25">
      <c r="A969" t="s">
        <v>7</v>
      </c>
      <c r="B969" t="s">
        <v>13</v>
      </c>
      <c r="C969" t="s">
        <v>9</v>
      </c>
      <c r="D969" t="s">
        <v>10</v>
      </c>
      <c r="E969">
        <v>3</v>
      </c>
      <c r="F969" s="1">
        <v>36219</v>
      </c>
      <c r="G969">
        <v>0.11023237563200899</v>
      </c>
    </row>
    <row r="970" spans="1:7" x14ac:dyDescent="0.25">
      <c r="A970" t="s">
        <v>7</v>
      </c>
      <c r="B970" t="s">
        <v>13</v>
      </c>
      <c r="C970" t="s">
        <v>9</v>
      </c>
      <c r="D970" t="s">
        <v>10</v>
      </c>
      <c r="E970">
        <v>6</v>
      </c>
      <c r="F970" s="1">
        <v>36250</v>
      </c>
      <c r="G970">
        <v>-0.133408509330673</v>
      </c>
    </row>
    <row r="971" spans="1:7" x14ac:dyDescent="0.25">
      <c r="A971" t="s">
        <v>7</v>
      </c>
      <c r="B971" t="s">
        <v>13</v>
      </c>
      <c r="C971" t="s">
        <v>9</v>
      </c>
      <c r="D971" t="s">
        <v>10</v>
      </c>
      <c r="E971">
        <v>6</v>
      </c>
      <c r="F971" s="1">
        <v>36280</v>
      </c>
      <c r="G971">
        <v>-0.116063943056724</v>
      </c>
    </row>
    <row r="972" spans="1:7" x14ac:dyDescent="0.25">
      <c r="A972" t="s">
        <v>7</v>
      </c>
      <c r="B972" t="s">
        <v>13</v>
      </c>
      <c r="C972" t="s">
        <v>9</v>
      </c>
      <c r="D972" t="s">
        <v>10</v>
      </c>
      <c r="E972">
        <v>7</v>
      </c>
      <c r="F972" s="1">
        <v>36311</v>
      </c>
      <c r="G972">
        <v>4.3697059310324297E-2</v>
      </c>
    </row>
    <row r="973" spans="1:7" x14ac:dyDescent="0.25">
      <c r="A973" t="s">
        <v>7</v>
      </c>
      <c r="B973" t="s">
        <v>13</v>
      </c>
      <c r="C973" t="s">
        <v>9</v>
      </c>
      <c r="D973" t="s">
        <v>10</v>
      </c>
      <c r="E973">
        <v>7</v>
      </c>
      <c r="F973" s="1">
        <v>36341</v>
      </c>
      <c r="G973">
        <v>-7.22859093661432E-3</v>
      </c>
    </row>
    <row r="974" spans="1:7" x14ac:dyDescent="0.25">
      <c r="A974" t="s">
        <v>7</v>
      </c>
      <c r="B974" t="s">
        <v>13</v>
      </c>
      <c r="C974" t="s">
        <v>9</v>
      </c>
      <c r="D974" t="s">
        <v>10</v>
      </c>
      <c r="E974">
        <v>7</v>
      </c>
      <c r="F974" s="1">
        <v>36372</v>
      </c>
      <c r="G974">
        <v>7.1017464527555604E-3</v>
      </c>
    </row>
    <row r="975" spans="1:7" x14ac:dyDescent="0.25">
      <c r="A975" t="s">
        <v>7</v>
      </c>
      <c r="B975" t="s">
        <v>13</v>
      </c>
      <c r="C975" t="s">
        <v>9</v>
      </c>
      <c r="D975" t="s">
        <v>10</v>
      </c>
      <c r="E975">
        <v>7</v>
      </c>
      <c r="F975" s="1">
        <v>36403</v>
      </c>
      <c r="G975">
        <v>-2.3395142036350298E-2</v>
      </c>
    </row>
    <row r="976" spans="1:7" x14ac:dyDescent="0.25">
      <c r="A976" t="s">
        <v>7</v>
      </c>
      <c r="B976" t="s">
        <v>13</v>
      </c>
      <c r="C976" t="s">
        <v>9</v>
      </c>
      <c r="D976" t="s">
        <v>10</v>
      </c>
      <c r="E976">
        <v>7</v>
      </c>
      <c r="F976" s="1">
        <v>36433</v>
      </c>
      <c r="G976">
        <v>-4.7685936207891397E-2</v>
      </c>
    </row>
    <row r="977" spans="1:7" x14ac:dyDescent="0.25">
      <c r="A977" t="s">
        <v>7</v>
      </c>
      <c r="B977" t="s">
        <v>13</v>
      </c>
      <c r="C977" t="s">
        <v>9</v>
      </c>
      <c r="D977" t="s">
        <v>10</v>
      </c>
      <c r="E977">
        <v>7</v>
      </c>
      <c r="F977" s="1">
        <v>36464</v>
      </c>
      <c r="G977">
        <v>-3.82684487844017E-2</v>
      </c>
    </row>
    <row r="978" spans="1:7" x14ac:dyDescent="0.25">
      <c r="A978" t="s">
        <v>7</v>
      </c>
      <c r="B978" t="s">
        <v>13</v>
      </c>
      <c r="C978" t="s">
        <v>9</v>
      </c>
      <c r="D978" t="s">
        <v>10</v>
      </c>
      <c r="E978">
        <v>4</v>
      </c>
      <c r="F978" s="1">
        <v>36494</v>
      </c>
      <c r="G978">
        <v>-3.2330632096572798E-3</v>
      </c>
    </row>
    <row r="979" spans="1:7" x14ac:dyDescent="0.25">
      <c r="A979" t="s">
        <v>7</v>
      </c>
      <c r="B979" t="s">
        <v>13</v>
      </c>
      <c r="C979" t="s">
        <v>9</v>
      </c>
      <c r="D979" t="s">
        <v>10</v>
      </c>
      <c r="E979">
        <v>7</v>
      </c>
      <c r="F979" s="1">
        <v>36525</v>
      </c>
      <c r="G979">
        <v>0.14272603596962399</v>
      </c>
    </row>
    <row r="980" spans="1:7" x14ac:dyDescent="0.25">
      <c r="A980" t="s">
        <v>7</v>
      </c>
      <c r="B980" t="s">
        <v>13</v>
      </c>
      <c r="C980" t="s">
        <v>9</v>
      </c>
      <c r="D980" t="s">
        <v>10</v>
      </c>
      <c r="E980">
        <v>8</v>
      </c>
      <c r="F980" s="1">
        <v>36556</v>
      </c>
      <c r="G980">
        <v>-7.9107184271702297E-2</v>
      </c>
    </row>
    <row r="981" spans="1:7" x14ac:dyDescent="0.25">
      <c r="A981" t="s">
        <v>7</v>
      </c>
      <c r="B981" t="s">
        <v>13</v>
      </c>
      <c r="C981" t="s">
        <v>9</v>
      </c>
      <c r="D981" t="s">
        <v>10</v>
      </c>
      <c r="E981">
        <v>8</v>
      </c>
      <c r="F981" s="1">
        <v>36585</v>
      </c>
      <c r="G981">
        <v>-2.17604357981569E-2</v>
      </c>
    </row>
    <row r="982" spans="1:7" x14ac:dyDescent="0.25">
      <c r="A982" t="s">
        <v>7</v>
      </c>
      <c r="B982" t="s">
        <v>13</v>
      </c>
      <c r="C982" t="s">
        <v>9</v>
      </c>
      <c r="D982" t="s">
        <v>10</v>
      </c>
      <c r="E982">
        <v>8</v>
      </c>
      <c r="F982" s="1">
        <v>36616</v>
      </c>
      <c r="G982">
        <v>5.1424689153900298E-2</v>
      </c>
    </row>
    <row r="983" spans="1:7" x14ac:dyDescent="0.25">
      <c r="A983" t="s">
        <v>7</v>
      </c>
      <c r="B983" t="s">
        <v>13</v>
      </c>
      <c r="C983" t="s">
        <v>9</v>
      </c>
      <c r="D983" t="s">
        <v>10</v>
      </c>
      <c r="E983">
        <v>8</v>
      </c>
      <c r="F983" s="1">
        <v>36646</v>
      </c>
      <c r="G983">
        <v>-2.6564100223750199E-3</v>
      </c>
    </row>
    <row r="984" spans="1:7" x14ac:dyDescent="0.25">
      <c r="A984" t="s">
        <v>7</v>
      </c>
      <c r="B984" t="s">
        <v>13</v>
      </c>
      <c r="C984" t="s">
        <v>9</v>
      </c>
      <c r="D984" t="s">
        <v>10</v>
      </c>
      <c r="E984">
        <v>8</v>
      </c>
      <c r="F984" s="1">
        <v>36677</v>
      </c>
      <c r="G984">
        <v>-1.9080427838248499E-2</v>
      </c>
    </row>
    <row r="985" spans="1:7" x14ac:dyDescent="0.25">
      <c r="A985" t="s">
        <v>7</v>
      </c>
      <c r="B985" t="s">
        <v>13</v>
      </c>
      <c r="C985" t="s">
        <v>9</v>
      </c>
      <c r="D985" t="s">
        <v>10</v>
      </c>
      <c r="E985">
        <v>8</v>
      </c>
      <c r="F985" s="1">
        <v>36707</v>
      </c>
      <c r="G985">
        <v>3.7899040142853001E-3</v>
      </c>
    </row>
    <row r="986" spans="1:7" x14ac:dyDescent="0.25">
      <c r="A986" t="s">
        <v>7</v>
      </c>
      <c r="B986" t="s">
        <v>13</v>
      </c>
      <c r="C986" t="s">
        <v>9</v>
      </c>
      <c r="D986" t="s">
        <v>10</v>
      </c>
      <c r="E986">
        <v>8</v>
      </c>
      <c r="F986" s="1">
        <v>36738</v>
      </c>
      <c r="G986">
        <v>-5.8549106716274002E-2</v>
      </c>
    </row>
    <row r="987" spans="1:7" x14ac:dyDescent="0.25">
      <c r="A987" t="s">
        <v>7</v>
      </c>
      <c r="B987" t="s">
        <v>13</v>
      </c>
      <c r="C987" t="s">
        <v>9</v>
      </c>
      <c r="D987" t="s">
        <v>10</v>
      </c>
      <c r="E987">
        <v>8</v>
      </c>
      <c r="F987" s="1">
        <v>36769</v>
      </c>
      <c r="G987">
        <v>1.9786172899075301E-2</v>
      </c>
    </row>
    <row r="988" spans="1:7" x14ac:dyDescent="0.25">
      <c r="A988" t="s">
        <v>7</v>
      </c>
      <c r="B988" t="s">
        <v>13</v>
      </c>
      <c r="C988" t="s">
        <v>9</v>
      </c>
      <c r="D988" t="s">
        <v>10</v>
      </c>
      <c r="E988">
        <v>8</v>
      </c>
      <c r="F988" s="1">
        <v>36799</v>
      </c>
      <c r="G988">
        <v>-2.6729304087555701E-2</v>
      </c>
    </row>
    <row r="989" spans="1:7" x14ac:dyDescent="0.25">
      <c r="A989" t="s">
        <v>7</v>
      </c>
      <c r="B989" t="s">
        <v>13</v>
      </c>
      <c r="C989" t="s">
        <v>9</v>
      </c>
      <c r="D989" t="s">
        <v>10</v>
      </c>
      <c r="E989">
        <v>8</v>
      </c>
      <c r="F989" s="1">
        <v>36830</v>
      </c>
      <c r="G989">
        <v>6.7043630845192104E-2</v>
      </c>
    </row>
    <row r="990" spans="1:7" x14ac:dyDescent="0.25">
      <c r="A990" t="s">
        <v>7</v>
      </c>
      <c r="B990" t="s">
        <v>13</v>
      </c>
      <c r="C990" t="s">
        <v>9</v>
      </c>
      <c r="D990" t="s">
        <v>10</v>
      </c>
      <c r="E990">
        <v>8</v>
      </c>
      <c r="F990" s="1">
        <v>36860</v>
      </c>
      <c r="G990">
        <v>-4.7876114926691297E-2</v>
      </c>
    </row>
    <row r="991" spans="1:7" x14ac:dyDescent="0.25">
      <c r="A991" t="s">
        <v>7</v>
      </c>
      <c r="B991" t="s">
        <v>13</v>
      </c>
      <c r="C991" t="s">
        <v>9</v>
      </c>
      <c r="D991" t="s">
        <v>10</v>
      </c>
      <c r="E991">
        <v>8</v>
      </c>
      <c r="F991" s="1">
        <v>36891</v>
      </c>
      <c r="G991">
        <v>9.7247298788003308E-3</v>
      </c>
    </row>
    <row r="992" spans="1:7" x14ac:dyDescent="0.25">
      <c r="A992" t="s">
        <v>7</v>
      </c>
      <c r="B992" t="s">
        <v>13</v>
      </c>
      <c r="C992" t="s">
        <v>9</v>
      </c>
      <c r="D992" t="s">
        <v>10</v>
      </c>
      <c r="E992">
        <v>8</v>
      </c>
      <c r="F992" s="1">
        <v>36922</v>
      </c>
      <c r="G992">
        <v>3.2671544564426502E-2</v>
      </c>
    </row>
    <row r="993" spans="1:7" x14ac:dyDescent="0.25">
      <c r="A993" t="s">
        <v>7</v>
      </c>
      <c r="B993" t="s">
        <v>13</v>
      </c>
      <c r="C993" t="s">
        <v>9</v>
      </c>
      <c r="D993" t="s">
        <v>10</v>
      </c>
      <c r="E993">
        <v>8</v>
      </c>
      <c r="F993" s="1">
        <v>36950</v>
      </c>
      <c r="G993">
        <v>4.2916452385520797E-2</v>
      </c>
    </row>
    <row r="994" spans="1:7" x14ac:dyDescent="0.25">
      <c r="A994" t="s">
        <v>7</v>
      </c>
      <c r="B994" t="s">
        <v>13</v>
      </c>
      <c r="C994" t="s">
        <v>9</v>
      </c>
      <c r="D994" t="s">
        <v>10</v>
      </c>
      <c r="E994">
        <v>8</v>
      </c>
      <c r="F994" s="1">
        <v>36981</v>
      </c>
      <c r="G994">
        <v>7.2855780102878704E-3</v>
      </c>
    </row>
    <row r="995" spans="1:7" x14ac:dyDescent="0.25">
      <c r="A995" t="s">
        <v>7</v>
      </c>
      <c r="B995" t="s">
        <v>13</v>
      </c>
      <c r="C995" t="s">
        <v>9</v>
      </c>
      <c r="D995" t="s">
        <v>10</v>
      </c>
      <c r="E995">
        <v>6</v>
      </c>
      <c r="F995" s="1">
        <v>37011</v>
      </c>
      <c r="G995">
        <v>6.9159298816114601E-2</v>
      </c>
    </row>
    <row r="996" spans="1:7" x14ac:dyDescent="0.25">
      <c r="A996" t="s">
        <v>7</v>
      </c>
      <c r="B996" t="s">
        <v>13</v>
      </c>
      <c r="C996" t="s">
        <v>9</v>
      </c>
      <c r="D996" t="s">
        <v>10</v>
      </c>
      <c r="E996">
        <v>8</v>
      </c>
      <c r="F996" s="1">
        <v>37042</v>
      </c>
      <c r="G996">
        <v>2.9727908316005199E-2</v>
      </c>
    </row>
    <row r="997" spans="1:7" x14ac:dyDescent="0.25">
      <c r="A997" t="s">
        <v>7</v>
      </c>
      <c r="B997" t="s">
        <v>13</v>
      </c>
      <c r="C997" t="s">
        <v>9</v>
      </c>
      <c r="D997" t="s">
        <v>10</v>
      </c>
      <c r="E997">
        <v>5</v>
      </c>
      <c r="F997" s="1">
        <v>37072</v>
      </c>
      <c r="G997">
        <v>-5.9018103150980897E-2</v>
      </c>
    </row>
    <row r="998" spans="1:7" x14ac:dyDescent="0.25">
      <c r="A998" t="s">
        <v>7</v>
      </c>
      <c r="B998" t="s">
        <v>13</v>
      </c>
      <c r="C998" t="s">
        <v>9</v>
      </c>
      <c r="D998" t="s">
        <v>10</v>
      </c>
      <c r="E998">
        <v>5</v>
      </c>
      <c r="F998" s="1">
        <v>37103</v>
      </c>
      <c r="G998">
        <v>5.5314298251109298E-2</v>
      </c>
    </row>
    <row r="999" spans="1:7" x14ac:dyDescent="0.25">
      <c r="A999" t="s">
        <v>7</v>
      </c>
      <c r="B999" t="s">
        <v>13</v>
      </c>
      <c r="C999" t="s">
        <v>9</v>
      </c>
      <c r="D999" t="s">
        <v>10</v>
      </c>
      <c r="E999">
        <v>5</v>
      </c>
      <c r="F999" s="1">
        <v>37134</v>
      </c>
      <c r="G999">
        <v>1.53294096933142E-3</v>
      </c>
    </row>
    <row r="1000" spans="1:7" x14ac:dyDescent="0.25">
      <c r="A1000" t="s">
        <v>7</v>
      </c>
      <c r="B1000" t="s">
        <v>13</v>
      </c>
      <c r="C1000" t="s">
        <v>9</v>
      </c>
      <c r="D1000" t="s">
        <v>10</v>
      </c>
      <c r="E1000">
        <v>5</v>
      </c>
      <c r="F1000" s="1">
        <v>37164</v>
      </c>
      <c r="G1000">
        <v>2.6055533133774698E-2</v>
      </c>
    </row>
    <row r="1001" spans="1:7" x14ac:dyDescent="0.25">
      <c r="A1001" t="s">
        <v>7</v>
      </c>
      <c r="B1001" t="s">
        <v>13</v>
      </c>
      <c r="C1001" t="s">
        <v>9</v>
      </c>
      <c r="D1001" t="s">
        <v>10</v>
      </c>
      <c r="E1001">
        <v>1</v>
      </c>
      <c r="F1001" s="1">
        <v>37195</v>
      </c>
      <c r="G1001">
        <v>-7.8587343325896994E-2</v>
      </c>
    </row>
    <row r="1002" spans="1:7" x14ac:dyDescent="0.25">
      <c r="A1002" t="s">
        <v>7</v>
      </c>
      <c r="B1002" t="s">
        <v>13</v>
      </c>
      <c r="C1002" t="s">
        <v>9</v>
      </c>
      <c r="D1002" t="s">
        <v>10</v>
      </c>
      <c r="E1002">
        <v>2</v>
      </c>
      <c r="F1002" s="1">
        <v>37225</v>
      </c>
      <c r="G1002">
        <v>-5.4244315683000897E-3</v>
      </c>
    </row>
    <row r="1003" spans="1:7" x14ac:dyDescent="0.25">
      <c r="A1003" t="s">
        <v>7</v>
      </c>
      <c r="B1003" t="s">
        <v>13</v>
      </c>
      <c r="C1003" t="s">
        <v>9</v>
      </c>
      <c r="D1003" t="s">
        <v>10</v>
      </c>
      <c r="E1003">
        <v>1</v>
      </c>
      <c r="F1003" s="1">
        <v>37256</v>
      </c>
      <c r="G1003">
        <v>0.21515772635434</v>
      </c>
    </row>
    <row r="1004" spans="1:7" x14ac:dyDescent="0.25">
      <c r="A1004" t="s">
        <v>7</v>
      </c>
      <c r="B1004" t="s">
        <v>13</v>
      </c>
      <c r="C1004" t="s">
        <v>9</v>
      </c>
      <c r="D1004" t="s">
        <v>10</v>
      </c>
      <c r="E1004">
        <v>5</v>
      </c>
      <c r="F1004" s="1">
        <v>37287</v>
      </c>
      <c r="G1004">
        <v>3.6418097462276103E-2</v>
      </c>
    </row>
    <row r="1005" spans="1:7" x14ac:dyDescent="0.25">
      <c r="A1005" t="s">
        <v>7</v>
      </c>
      <c r="B1005" t="s">
        <v>13</v>
      </c>
      <c r="C1005" t="s">
        <v>9</v>
      </c>
      <c r="D1005" t="s">
        <v>10</v>
      </c>
      <c r="E1005">
        <v>5</v>
      </c>
      <c r="F1005" s="1">
        <v>37315</v>
      </c>
      <c r="G1005">
        <v>8.0536006028855602E-4</v>
      </c>
    </row>
    <row r="1006" spans="1:7" x14ac:dyDescent="0.25">
      <c r="A1006" t="s">
        <v>7</v>
      </c>
      <c r="B1006" t="s">
        <v>13</v>
      </c>
      <c r="C1006" t="s">
        <v>9</v>
      </c>
      <c r="D1006" t="s">
        <v>10</v>
      </c>
      <c r="E1006">
        <v>5</v>
      </c>
      <c r="F1006" s="1">
        <v>37346</v>
      </c>
      <c r="G1006">
        <v>-9.9884387711251191E-3</v>
      </c>
    </row>
    <row r="1007" spans="1:7" x14ac:dyDescent="0.25">
      <c r="A1007" t="s">
        <v>7</v>
      </c>
      <c r="B1007" t="s">
        <v>13</v>
      </c>
      <c r="C1007" t="s">
        <v>9</v>
      </c>
      <c r="D1007" t="s">
        <v>10</v>
      </c>
      <c r="E1007">
        <v>5</v>
      </c>
      <c r="F1007" s="1">
        <v>37376</v>
      </c>
      <c r="G1007">
        <v>3.3446872309819103E-2</v>
      </c>
    </row>
    <row r="1008" spans="1:7" x14ac:dyDescent="0.25">
      <c r="A1008" t="s">
        <v>7</v>
      </c>
      <c r="B1008" t="s">
        <v>13</v>
      </c>
      <c r="C1008" t="s">
        <v>9</v>
      </c>
      <c r="D1008" t="s">
        <v>10</v>
      </c>
      <c r="E1008">
        <v>5</v>
      </c>
      <c r="F1008" s="1">
        <v>37407</v>
      </c>
      <c r="G1008">
        <v>-3.5849949692536798E-2</v>
      </c>
    </row>
    <row r="1009" spans="1:7" x14ac:dyDescent="0.25">
      <c r="A1009" t="s">
        <v>7</v>
      </c>
      <c r="B1009" t="s">
        <v>13</v>
      </c>
      <c r="C1009" t="s">
        <v>9</v>
      </c>
      <c r="D1009" t="s">
        <v>10</v>
      </c>
      <c r="E1009">
        <v>5</v>
      </c>
      <c r="F1009" s="1">
        <v>37437</v>
      </c>
      <c r="G1009">
        <v>7.1070983259407397E-3</v>
      </c>
    </row>
    <row r="1010" spans="1:7" x14ac:dyDescent="0.25">
      <c r="A1010" t="s">
        <v>7</v>
      </c>
      <c r="B1010" t="s">
        <v>13</v>
      </c>
      <c r="C1010" t="s">
        <v>9</v>
      </c>
      <c r="D1010" t="s">
        <v>10</v>
      </c>
      <c r="E1010">
        <v>4</v>
      </c>
      <c r="F1010" s="1">
        <v>37468</v>
      </c>
      <c r="G1010">
        <v>8.2256376981594201E-3</v>
      </c>
    </row>
    <row r="1011" spans="1:7" x14ac:dyDescent="0.25">
      <c r="A1011" t="s">
        <v>7</v>
      </c>
      <c r="B1011" t="s">
        <v>13</v>
      </c>
      <c r="C1011" t="s">
        <v>9</v>
      </c>
      <c r="D1011" t="s">
        <v>10</v>
      </c>
      <c r="E1011">
        <v>1</v>
      </c>
      <c r="F1011" s="1">
        <v>37499</v>
      </c>
      <c r="G1011">
        <v>-0.164105867070099</v>
      </c>
    </row>
    <row r="1012" spans="1:7" x14ac:dyDescent="0.25">
      <c r="A1012" t="s">
        <v>7</v>
      </c>
      <c r="B1012" t="s">
        <v>13</v>
      </c>
      <c r="C1012" t="s">
        <v>9</v>
      </c>
      <c r="D1012" t="s">
        <v>10</v>
      </c>
      <c r="E1012">
        <v>4</v>
      </c>
      <c r="F1012" s="1">
        <v>37529</v>
      </c>
      <c r="G1012">
        <v>7.0888572936745803E-2</v>
      </c>
    </row>
    <row r="1013" spans="1:7" x14ac:dyDescent="0.25">
      <c r="A1013" t="s">
        <v>7</v>
      </c>
      <c r="B1013" t="s">
        <v>13</v>
      </c>
      <c r="C1013" t="s">
        <v>9</v>
      </c>
      <c r="D1013" t="s">
        <v>10</v>
      </c>
      <c r="E1013">
        <v>1</v>
      </c>
      <c r="F1013" s="1">
        <v>37560</v>
      </c>
      <c r="G1013">
        <v>-0.56377913876714503</v>
      </c>
    </row>
    <row r="1014" spans="1:7" x14ac:dyDescent="0.25">
      <c r="A1014" t="s">
        <v>7</v>
      </c>
      <c r="B1014" t="s">
        <v>13</v>
      </c>
      <c r="C1014" t="s">
        <v>9</v>
      </c>
      <c r="D1014" t="s">
        <v>10</v>
      </c>
      <c r="E1014">
        <v>1</v>
      </c>
      <c r="F1014" s="1">
        <v>37590</v>
      </c>
      <c r="G1014">
        <v>0.20644781963475001</v>
      </c>
    </row>
    <row r="1015" spans="1:7" x14ac:dyDescent="0.25">
      <c r="A1015" t="s">
        <v>7</v>
      </c>
      <c r="B1015" t="s">
        <v>13</v>
      </c>
      <c r="C1015" t="s">
        <v>9</v>
      </c>
      <c r="D1015" t="s">
        <v>10</v>
      </c>
      <c r="E1015">
        <v>1</v>
      </c>
      <c r="F1015" s="1">
        <v>37621</v>
      </c>
      <c r="G1015">
        <v>-0.19973559262419499</v>
      </c>
    </row>
    <row r="1016" spans="1:7" x14ac:dyDescent="0.25">
      <c r="A1016" t="s">
        <v>7</v>
      </c>
      <c r="B1016" t="s">
        <v>13</v>
      </c>
      <c r="C1016" t="s">
        <v>9</v>
      </c>
      <c r="D1016" t="s">
        <v>10</v>
      </c>
      <c r="E1016">
        <v>2</v>
      </c>
      <c r="F1016" s="1">
        <v>37652</v>
      </c>
      <c r="G1016">
        <v>7.06094345604385E-2</v>
      </c>
    </row>
    <row r="1017" spans="1:7" x14ac:dyDescent="0.25">
      <c r="A1017" t="s">
        <v>7</v>
      </c>
      <c r="B1017" t="s">
        <v>13</v>
      </c>
      <c r="C1017" t="s">
        <v>9</v>
      </c>
      <c r="D1017" t="s">
        <v>10</v>
      </c>
      <c r="E1017">
        <v>1</v>
      </c>
      <c r="F1017" s="1">
        <v>37680</v>
      </c>
      <c r="G1017">
        <v>-0.123223100872093</v>
      </c>
    </row>
    <row r="1018" spans="1:7" x14ac:dyDescent="0.25">
      <c r="A1018" t="s">
        <v>7</v>
      </c>
      <c r="B1018" t="s">
        <v>13</v>
      </c>
      <c r="C1018" t="s">
        <v>9</v>
      </c>
      <c r="D1018" t="s">
        <v>10</v>
      </c>
      <c r="E1018">
        <v>1</v>
      </c>
      <c r="F1018" s="1">
        <v>37711</v>
      </c>
      <c r="G1018">
        <v>0.13002633717341999</v>
      </c>
    </row>
    <row r="1019" spans="1:7" x14ac:dyDescent="0.25">
      <c r="A1019" t="s">
        <v>7</v>
      </c>
      <c r="B1019" t="s">
        <v>13</v>
      </c>
      <c r="C1019" t="s">
        <v>9</v>
      </c>
      <c r="D1019" t="s">
        <v>10</v>
      </c>
      <c r="E1019">
        <v>1</v>
      </c>
      <c r="F1019" s="1">
        <v>37741</v>
      </c>
      <c r="G1019">
        <v>0.92303314434679096</v>
      </c>
    </row>
    <row r="1020" spans="1:7" x14ac:dyDescent="0.25">
      <c r="A1020" t="s">
        <v>7</v>
      </c>
      <c r="B1020" t="s">
        <v>13</v>
      </c>
      <c r="C1020" t="s">
        <v>9</v>
      </c>
      <c r="D1020" t="s">
        <v>10</v>
      </c>
      <c r="E1020">
        <v>1</v>
      </c>
      <c r="F1020" s="1">
        <v>37772</v>
      </c>
      <c r="G1020">
        <v>-9.1197047247126503E-2</v>
      </c>
    </row>
    <row r="1021" spans="1:7" x14ac:dyDescent="0.25">
      <c r="A1021" t="s">
        <v>7</v>
      </c>
      <c r="B1021" t="s">
        <v>13</v>
      </c>
      <c r="C1021" t="s">
        <v>9</v>
      </c>
      <c r="D1021" t="s">
        <v>10</v>
      </c>
      <c r="E1021">
        <v>2</v>
      </c>
      <c r="F1021" s="1">
        <v>37802</v>
      </c>
      <c r="G1021">
        <v>0.19647263908009899</v>
      </c>
    </row>
    <row r="1022" spans="1:7" x14ac:dyDescent="0.25">
      <c r="A1022" t="s">
        <v>7</v>
      </c>
      <c r="B1022" t="s">
        <v>13</v>
      </c>
      <c r="C1022" t="s">
        <v>9</v>
      </c>
      <c r="D1022" t="s">
        <v>10</v>
      </c>
      <c r="E1022">
        <v>1</v>
      </c>
      <c r="F1022" s="1">
        <v>37833</v>
      </c>
      <c r="G1022">
        <v>-0.163160829083595</v>
      </c>
    </row>
    <row r="1023" spans="1:7" x14ac:dyDescent="0.25">
      <c r="A1023" t="s">
        <v>7</v>
      </c>
      <c r="B1023" t="s">
        <v>13</v>
      </c>
      <c r="C1023" t="s">
        <v>9</v>
      </c>
      <c r="D1023" t="s">
        <v>10</v>
      </c>
      <c r="E1023">
        <v>1</v>
      </c>
      <c r="F1023" s="1">
        <v>37864</v>
      </c>
      <c r="G1023">
        <v>0.30065187816224698</v>
      </c>
    </row>
    <row r="1024" spans="1:7" x14ac:dyDescent="0.25">
      <c r="A1024" t="s">
        <v>7</v>
      </c>
      <c r="B1024" t="s">
        <v>13</v>
      </c>
      <c r="C1024" t="s">
        <v>9</v>
      </c>
      <c r="D1024" t="s">
        <v>10</v>
      </c>
      <c r="E1024">
        <v>5</v>
      </c>
      <c r="F1024" s="1">
        <v>37894</v>
      </c>
      <c r="G1024">
        <v>-4.3093304729111402E-2</v>
      </c>
    </row>
    <row r="1025" spans="1:7" x14ac:dyDescent="0.25">
      <c r="A1025" t="s">
        <v>7</v>
      </c>
      <c r="B1025" t="s">
        <v>13</v>
      </c>
      <c r="C1025" t="s">
        <v>9</v>
      </c>
      <c r="D1025" t="s">
        <v>10</v>
      </c>
      <c r="E1025">
        <v>5</v>
      </c>
      <c r="F1025" s="1">
        <v>37925</v>
      </c>
      <c r="G1025">
        <v>2.0568074470399201E-2</v>
      </c>
    </row>
    <row r="1026" spans="1:7" x14ac:dyDescent="0.25">
      <c r="A1026" t="s">
        <v>7</v>
      </c>
      <c r="B1026" t="s">
        <v>13</v>
      </c>
      <c r="C1026" t="s">
        <v>9</v>
      </c>
      <c r="D1026" t="s">
        <v>10</v>
      </c>
      <c r="E1026">
        <v>5</v>
      </c>
      <c r="F1026" s="1">
        <v>37955</v>
      </c>
      <c r="G1026">
        <v>-6.4098273878663195E-2</v>
      </c>
    </row>
    <row r="1027" spans="1:7" x14ac:dyDescent="0.25">
      <c r="A1027" t="s">
        <v>7</v>
      </c>
      <c r="B1027" t="s">
        <v>13</v>
      </c>
      <c r="C1027" t="s">
        <v>9</v>
      </c>
      <c r="D1027" t="s">
        <v>10</v>
      </c>
      <c r="E1027">
        <v>6</v>
      </c>
      <c r="F1027" s="1">
        <v>37986</v>
      </c>
      <c r="G1027">
        <v>4.0232852278214498E-3</v>
      </c>
    </row>
    <row r="1028" spans="1:7" x14ac:dyDescent="0.25">
      <c r="A1028" t="s">
        <v>7</v>
      </c>
      <c r="B1028" t="s">
        <v>13</v>
      </c>
      <c r="C1028" t="s">
        <v>9</v>
      </c>
      <c r="D1028" t="s">
        <v>10</v>
      </c>
      <c r="E1028">
        <v>5</v>
      </c>
      <c r="F1028" s="1">
        <v>38017</v>
      </c>
      <c r="G1028">
        <v>-9.5592909099183904E-3</v>
      </c>
    </row>
    <row r="1029" spans="1:7" x14ac:dyDescent="0.25">
      <c r="A1029" t="s">
        <v>7</v>
      </c>
      <c r="B1029" t="s">
        <v>13</v>
      </c>
      <c r="C1029" t="s">
        <v>9</v>
      </c>
      <c r="D1029" t="s">
        <v>10</v>
      </c>
      <c r="E1029">
        <v>5</v>
      </c>
      <c r="F1029" s="1">
        <v>38046</v>
      </c>
      <c r="G1029">
        <v>-2.4988080461760001E-2</v>
      </c>
    </row>
    <row r="1030" spans="1:7" x14ac:dyDescent="0.25">
      <c r="A1030" t="s">
        <v>7</v>
      </c>
      <c r="B1030" t="s">
        <v>13</v>
      </c>
      <c r="C1030" t="s">
        <v>9</v>
      </c>
      <c r="D1030" t="s">
        <v>10</v>
      </c>
      <c r="E1030">
        <v>5</v>
      </c>
      <c r="F1030" s="1">
        <v>38077</v>
      </c>
      <c r="G1030">
        <v>-2.0045795828006599E-2</v>
      </c>
    </row>
    <row r="1031" spans="1:7" x14ac:dyDescent="0.25">
      <c r="A1031" t="s">
        <v>7</v>
      </c>
      <c r="B1031" t="s">
        <v>13</v>
      </c>
      <c r="C1031" t="s">
        <v>9</v>
      </c>
      <c r="D1031" t="s">
        <v>10</v>
      </c>
      <c r="E1031">
        <v>5</v>
      </c>
      <c r="F1031" s="1">
        <v>38107</v>
      </c>
      <c r="G1031">
        <v>-2.95159105395825E-2</v>
      </c>
    </row>
    <row r="1032" spans="1:7" x14ac:dyDescent="0.25">
      <c r="A1032" t="s">
        <v>7</v>
      </c>
      <c r="B1032" t="s">
        <v>13</v>
      </c>
      <c r="C1032" t="s">
        <v>9</v>
      </c>
      <c r="D1032" t="s">
        <v>10</v>
      </c>
      <c r="E1032">
        <v>9</v>
      </c>
      <c r="F1032" s="1">
        <v>38138</v>
      </c>
      <c r="G1032">
        <v>-7.9165641550399696E-3</v>
      </c>
    </row>
    <row r="1033" spans="1:7" x14ac:dyDescent="0.25">
      <c r="A1033" t="s">
        <v>7</v>
      </c>
      <c r="B1033" t="s">
        <v>13</v>
      </c>
      <c r="C1033" t="s">
        <v>9</v>
      </c>
      <c r="D1033" t="s">
        <v>10</v>
      </c>
      <c r="E1033">
        <v>8</v>
      </c>
      <c r="F1033" s="1">
        <v>38168</v>
      </c>
      <c r="G1033">
        <v>-7.6647875171691601E-3</v>
      </c>
    </row>
    <row r="1034" spans="1:7" x14ac:dyDescent="0.25">
      <c r="A1034" t="s">
        <v>7</v>
      </c>
      <c r="B1034" t="s">
        <v>13</v>
      </c>
      <c r="C1034" t="s">
        <v>9</v>
      </c>
      <c r="D1034" t="s">
        <v>10</v>
      </c>
      <c r="E1034">
        <v>8</v>
      </c>
      <c r="F1034" s="1">
        <v>38199</v>
      </c>
      <c r="G1034">
        <v>1.1295216874387601E-2</v>
      </c>
    </row>
    <row r="1035" spans="1:7" x14ac:dyDescent="0.25">
      <c r="A1035" t="s">
        <v>7</v>
      </c>
      <c r="B1035" t="s">
        <v>13</v>
      </c>
      <c r="C1035" t="s">
        <v>9</v>
      </c>
      <c r="D1035" t="s">
        <v>10</v>
      </c>
      <c r="E1035">
        <v>8</v>
      </c>
      <c r="F1035" s="1">
        <v>38230</v>
      </c>
      <c r="G1035">
        <v>1.2813063242166099E-2</v>
      </c>
    </row>
    <row r="1036" spans="1:7" x14ac:dyDescent="0.25">
      <c r="A1036" t="s">
        <v>7</v>
      </c>
      <c r="B1036" t="s">
        <v>13</v>
      </c>
      <c r="C1036" t="s">
        <v>9</v>
      </c>
      <c r="D1036" t="s">
        <v>10</v>
      </c>
      <c r="E1036">
        <v>9</v>
      </c>
      <c r="F1036" s="1">
        <v>38260</v>
      </c>
      <c r="G1036">
        <v>5.6210955784203501E-2</v>
      </c>
    </row>
    <row r="1037" spans="1:7" x14ac:dyDescent="0.25">
      <c r="A1037" t="s">
        <v>7</v>
      </c>
      <c r="B1037" t="s">
        <v>13</v>
      </c>
      <c r="C1037" t="s">
        <v>9</v>
      </c>
      <c r="D1037" t="s">
        <v>10</v>
      </c>
      <c r="E1037">
        <v>9</v>
      </c>
      <c r="F1037" s="1">
        <v>38291</v>
      </c>
      <c r="G1037">
        <v>1.9348209498174999E-2</v>
      </c>
    </row>
    <row r="1038" spans="1:7" x14ac:dyDescent="0.25">
      <c r="A1038" t="s">
        <v>7</v>
      </c>
      <c r="B1038" t="s">
        <v>13</v>
      </c>
      <c r="C1038" t="s">
        <v>9</v>
      </c>
      <c r="D1038" t="s">
        <v>10</v>
      </c>
      <c r="E1038">
        <v>9</v>
      </c>
      <c r="F1038" s="1">
        <v>38321</v>
      </c>
      <c r="G1038">
        <v>-3.8725137024588199E-2</v>
      </c>
    </row>
    <row r="1039" spans="1:7" x14ac:dyDescent="0.25">
      <c r="A1039" t="s">
        <v>7</v>
      </c>
      <c r="B1039" t="s">
        <v>13</v>
      </c>
      <c r="C1039" t="s">
        <v>9</v>
      </c>
      <c r="D1039" t="s">
        <v>10</v>
      </c>
      <c r="E1039">
        <v>9</v>
      </c>
      <c r="F1039" s="1">
        <v>38352</v>
      </c>
      <c r="G1039">
        <v>2.84960343267814E-2</v>
      </c>
    </row>
    <row r="1040" spans="1:7" x14ac:dyDescent="0.25">
      <c r="A1040" t="s">
        <v>7</v>
      </c>
      <c r="B1040" t="s">
        <v>13</v>
      </c>
      <c r="C1040" t="s">
        <v>9</v>
      </c>
      <c r="D1040" t="s">
        <v>10</v>
      </c>
      <c r="E1040">
        <v>9</v>
      </c>
      <c r="F1040" s="1">
        <v>38383</v>
      </c>
      <c r="G1040">
        <v>-7.2563354479240103E-2</v>
      </c>
    </row>
    <row r="1041" spans="1:7" x14ac:dyDescent="0.25">
      <c r="A1041" t="s">
        <v>7</v>
      </c>
      <c r="B1041" t="s">
        <v>13</v>
      </c>
      <c r="C1041" t="s">
        <v>9</v>
      </c>
      <c r="D1041" t="s">
        <v>10</v>
      </c>
      <c r="E1041">
        <v>9</v>
      </c>
      <c r="F1041" s="1">
        <v>38411</v>
      </c>
      <c r="G1041">
        <v>-1.1494512550755299E-2</v>
      </c>
    </row>
    <row r="1042" spans="1:7" x14ac:dyDescent="0.25">
      <c r="A1042" t="s">
        <v>7</v>
      </c>
      <c r="B1042" t="s">
        <v>13</v>
      </c>
      <c r="C1042" t="s">
        <v>9</v>
      </c>
      <c r="D1042" t="s">
        <v>10</v>
      </c>
      <c r="E1042">
        <v>9</v>
      </c>
      <c r="F1042" s="1">
        <v>38442</v>
      </c>
      <c r="G1042">
        <v>2.3869495985324299E-2</v>
      </c>
    </row>
    <row r="1043" spans="1:7" x14ac:dyDescent="0.25">
      <c r="A1043" t="s">
        <v>7</v>
      </c>
      <c r="B1043" t="s">
        <v>13</v>
      </c>
      <c r="C1043" t="s">
        <v>9</v>
      </c>
      <c r="D1043" t="s">
        <v>10</v>
      </c>
      <c r="E1043">
        <v>9</v>
      </c>
      <c r="F1043" s="1">
        <v>38472</v>
      </c>
      <c r="G1043">
        <v>-3.0001075661625801E-2</v>
      </c>
    </row>
    <row r="1044" spans="1:7" x14ac:dyDescent="0.25">
      <c r="A1044" t="s">
        <v>7</v>
      </c>
      <c r="B1044" t="s">
        <v>13</v>
      </c>
      <c r="C1044" t="s">
        <v>9</v>
      </c>
      <c r="D1044" t="s">
        <v>10</v>
      </c>
      <c r="E1044">
        <v>9</v>
      </c>
      <c r="F1044" s="1">
        <v>38503</v>
      </c>
      <c r="G1044">
        <v>-2.6241912282002001E-2</v>
      </c>
    </row>
    <row r="1045" spans="1:7" x14ac:dyDescent="0.25">
      <c r="A1045" t="s">
        <v>7</v>
      </c>
      <c r="B1045" t="s">
        <v>13</v>
      </c>
      <c r="C1045" t="s">
        <v>9</v>
      </c>
      <c r="D1045" t="s">
        <v>10</v>
      </c>
      <c r="E1045">
        <v>9</v>
      </c>
      <c r="F1045" s="1">
        <v>38533</v>
      </c>
      <c r="G1045">
        <v>-1.44662674631768E-2</v>
      </c>
    </row>
    <row r="1046" spans="1:7" x14ac:dyDescent="0.25">
      <c r="A1046" t="s">
        <v>7</v>
      </c>
      <c r="B1046" t="s">
        <v>13</v>
      </c>
      <c r="C1046" t="s">
        <v>9</v>
      </c>
      <c r="D1046" t="s">
        <v>10</v>
      </c>
      <c r="E1046">
        <v>9</v>
      </c>
      <c r="F1046" s="1">
        <v>38564</v>
      </c>
      <c r="G1046">
        <v>-3.4432395907804503E-2</v>
      </c>
    </row>
    <row r="1047" spans="1:7" x14ac:dyDescent="0.25">
      <c r="A1047" t="s">
        <v>7</v>
      </c>
      <c r="B1047" t="s">
        <v>13</v>
      </c>
      <c r="C1047" t="s">
        <v>9</v>
      </c>
      <c r="D1047" t="s">
        <v>10</v>
      </c>
      <c r="E1047">
        <v>9</v>
      </c>
      <c r="F1047" s="1">
        <v>38595</v>
      </c>
      <c r="G1047">
        <v>-8.8822243206417503E-2</v>
      </c>
    </row>
    <row r="1048" spans="1:7" x14ac:dyDescent="0.25">
      <c r="A1048" t="s">
        <v>7</v>
      </c>
      <c r="B1048" t="s">
        <v>13</v>
      </c>
      <c r="C1048" t="s">
        <v>9</v>
      </c>
      <c r="D1048" t="s">
        <v>10</v>
      </c>
      <c r="E1048">
        <v>9</v>
      </c>
      <c r="F1048" s="1">
        <v>38625</v>
      </c>
      <c r="G1048">
        <v>-1.49485178062092E-2</v>
      </c>
    </row>
    <row r="1049" spans="1:7" x14ac:dyDescent="0.25">
      <c r="A1049" t="s">
        <v>7</v>
      </c>
      <c r="B1049" t="s">
        <v>13</v>
      </c>
      <c r="C1049" t="s">
        <v>9</v>
      </c>
      <c r="D1049" t="s">
        <v>10</v>
      </c>
      <c r="E1049">
        <v>9</v>
      </c>
      <c r="F1049" s="1">
        <v>38656</v>
      </c>
      <c r="G1049">
        <v>2.7847826513615399E-2</v>
      </c>
    </row>
    <row r="1050" spans="1:7" x14ac:dyDescent="0.25">
      <c r="A1050" t="s">
        <v>7</v>
      </c>
      <c r="B1050" t="s">
        <v>13</v>
      </c>
      <c r="C1050" t="s">
        <v>9</v>
      </c>
      <c r="D1050" t="s">
        <v>10</v>
      </c>
      <c r="E1050">
        <v>9</v>
      </c>
      <c r="F1050" s="1">
        <v>38686</v>
      </c>
      <c r="G1050">
        <v>2.4480552606368298E-2</v>
      </c>
    </row>
    <row r="1051" spans="1:7" x14ac:dyDescent="0.25">
      <c r="A1051" t="s">
        <v>7</v>
      </c>
      <c r="B1051" t="s">
        <v>13</v>
      </c>
      <c r="C1051" t="s">
        <v>9</v>
      </c>
      <c r="D1051" t="s">
        <v>10</v>
      </c>
      <c r="E1051">
        <v>9</v>
      </c>
      <c r="F1051" s="1">
        <v>38717</v>
      </c>
      <c r="G1051">
        <v>9.9790157014476195E-3</v>
      </c>
    </row>
    <row r="1052" spans="1:7" x14ac:dyDescent="0.25">
      <c r="A1052" t="s">
        <v>7</v>
      </c>
      <c r="B1052" t="s">
        <v>13</v>
      </c>
      <c r="C1052" t="s">
        <v>9</v>
      </c>
      <c r="D1052" t="s">
        <v>10</v>
      </c>
      <c r="E1052">
        <v>9</v>
      </c>
      <c r="F1052" s="1">
        <v>38748</v>
      </c>
      <c r="G1052">
        <v>-0.103093682970225</v>
      </c>
    </row>
    <row r="1053" spans="1:7" x14ac:dyDescent="0.25">
      <c r="A1053" t="s">
        <v>7</v>
      </c>
      <c r="B1053" t="s">
        <v>13</v>
      </c>
      <c r="C1053" t="s">
        <v>9</v>
      </c>
      <c r="D1053" t="s">
        <v>10</v>
      </c>
      <c r="E1053">
        <v>9</v>
      </c>
      <c r="F1053" s="1">
        <v>38776</v>
      </c>
      <c r="G1053">
        <v>3.4371669728751997E-2</v>
      </c>
    </row>
    <row r="1054" spans="1:7" x14ac:dyDescent="0.25">
      <c r="A1054" t="s">
        <v>7</v>
      </c>
      <c r="B1054" t="s">
        <v>13</v>
      </c>
      <c r="C1054" t="s">
        <v>9</v>
      </c>
      <c r="D1054" t="s">
        <v>10</v>
      </c>
      <c r="E1054">
        <v>9</v>
      </c>
      <c r="F1054" s="1">
        <v>38807</v>
      </c>
      <c r="G1054">
        <v>2.8724777230948701E-2</v>
      </c>
    </row>
    <row r="1055" spans="1:7" x14ac:dyDescent="0.25">
      <c r="A1055" t="s">
        <v>7</v>
      </c>
      <c r="B1055" t="s">
        <v>13</v>
      </c>
      <c r="C1055" t="s">
        <v>9</v>
      </c>
      <c r="D1055" t="s">
        <v>10</v>
      </c>
      <c r="E1055">
        <v>9</v>
      </c>
      <c r="F1055" s="1">
        <v>38837</v>
      </c>
      <c r="G1055">
        <v>1.01255330876875E-3</v>
      </c>
    </row>
    <row r="1056" spans="1:7" x14ac:dyDescent="0.25">
      <c r="A1056" t="s">
        <v>7</v>
      </c>
      <c r="B1056" t="s">
        <v>13</v>
      </c>
      <c r="C1056" t="s">
        <v>9</v>
      </c>
      <c r="D1056" t="s">
        <v>10</v>
      </c>
      <c r="E1056">
        <v>9</v>
      </c>
      <c r="F1056" s="1">
        <v>38868</v>
      </c>
      <c r="G1056">
        <v>-1.32633154595919E-2</v>
      </c>
    </row>
    <row r="1057" spans="1:7" x14ac:dyDescent="0.25">
      <c r="A1057" t="s">
        <v>7</v>
      </c>
      <c r="B1057" t="s">
        <v>13</v>
      </c>
      <c r="C1057" t="s">
        <v>9</v>
      </c>
      <c r="D1057" t="s">
        <v>10</v>
      </c>
      <c r="E1057">
        <v>9</v>
      </c>
      <c r="F1057" s="1">
        <v>38898</v>
      </c>
      <c r="G1057">
        <v>8.7624865084101108E-3</v>
      </c>
    </row>
    <row r="1058" spans="1:7" x14ac:dyDescent="0.25">
      <c r="A1058" t="s">
        <v>7</v>
      </c>
      <c r="B1058" t="s">
        <v>13</v>
      </c>
      <c r="C1058" t="s">
        <v>9</v>
      </c>
      <c r="D1058" t="s">
        <v>10</v>
      </c>
      <c r="E1058">
        <v>9</v>
      </c>
      <c r="F1058" s="1">
        <v>38929</v>
      </c>
      <c r="G1058">
        <v>1.15209525214387E-2</v>
      </c>
    </row>
    <row r="1059" spans="1:7" x14ac:dyDescent="0.25">
      <c r="A1059" t="s">
        <v>7</v>
      </c>
      <c r="B1059" t="s">
        <v>13</v>
      </c>
      <c r="C1059" t="s">
        <v>9</v>
      </c>
      <c r="D1059" t="s">
        <v>10</v>
      </c>
      <c r="E1059">
        <v>9</v>
      </c>
      <c r="F1059" s="1">
        <v>38960</v>
      </c>
      <c r="G1059">
        <v>4.3372817380444698E-2</v>
      </c>
    </row>
    <row r="1060" spans="1:7" x14ac:dyDescent="0.25">
      <c r="A1060" t="s">
        <v>7</v>
      </c>
      <c r="B1060" t="s">
        <v>13</v>
      </c>
      <c r="C1060" t="s">
        <v>9</v>
      </c>
      <c r="D1060" t="s">
        <v>10</v>
      </c>
      <c r="E1060">
        <v>9</v>
      </c>
      <c r="F1060" s="1">
        <v>38990</v>
      </c>
      <c r="G1060">
        <v>-1.44541743225029E-2</v>
      </c>
    </row>
    <row r="1061" spans="1:7" x14ac:dyDescent="0.25">
      <c r="A1061" t="s">
        <v>7</v>
      </c>
      <c r="B1061" t="s">
        <v>13</v>
      </c>
      <c r="C1061" t="s">
        <v>9</v>
      </c>
      <c r="D1061" t="s">
        <v>10</v>
      </c>
      <c r="E1061">
        <v>9</v>
      </c>
      <c r="F1061" s="1">
        <v>39021</v>
      </c>
      <c r="G1061">
        <v>5.85176297774567E-3</v>
      </c>
    </row>
    <row r="1062" spans="1:7" x14ac:dyDescent="0.25">
      <c r="A1062" t="s">
        <v>7</v>
      </c>
      <c r="B1062" t="s">
        <v>13</v>
      </c>
      <c r="C1062" t="s">
        <v>9</v>
      </c>
      <c r="D1062" t="s">
        <v>10</v>
      </c>
      <c r="E1062">
        <v>9</v>
      </c>
      <c r="F1062" s="1">
        <v>39051</v>
      </c>
      <c r="G1062">
        <v>3.8183123168899699E-2</v>
      </c>
    </row>
    <row r="1063" spans="1:7" x14ac:dyDescent="0.25">
      <c r="A1063" t="s">
        <v>7</v>
      </c>
      <c r="B1063" t="s">
        <v>13</v>
      </c>
      <c r="C1063" t="s">
        <v>9</v>
      </c>
      <c r="D1063" t="s">
        <v>10</v>
      </c>
      <c r="E1063">
        <v>9</v>
      </c>
      <c r="F1063" s="1">
        <v>39082</v>
      </c>
      <c r="G1063">
        <v>-9.7037932736423593E-3</v>
      </c>
    </row>
    <row r="1064" spans="1:7" x14ac:dyDescent="0.25">
      <c r="A1064" t="s">
        <v>7</v>
      </c>
      <c r="B1064" t="s">
        <v>13</v>
      </c>
      <c r="C1064" t="s">
        <v>9</v>
      </c>
      <c r="D1064" t="s">
        <v>10</v>
      </c>
      <c r="E1064">
        <v>9</v>
      </c>
      <c r="F1064" s="1">
        <v>39113</v>
      </c>
      <c r="G1064">
        <v>1.5932714869622801E-2</v>
      </c>
    </row>
    <row r="1065" spans="1:7" x14ac:dyDescent="0.25">
      <c r="A1065" t="s">
        <v>7</v>
      </c>
      <c r="B1065" t="s">
        <v>13</v>
      </c>
      <c r="C1065" t="s">
        <v>9</v>
      </c>
      <c r="D1065" t="s">
        <v>10</v>
      </c>
      <c r="E1065">
        <v>9</v>
      </c>
      <c r="F1065" s="1">
        <v>39141</v>
      </c>
      <c r="G1065">
        <v>-3.7228831146929299E-2</v>
      </c>
    </row>
    <row r="1066" spans="1:7" x14ac:dyDescent="0.25">
      <c r="A1066" t="s">
        <v>7</v>
      </c>
      <c r="B1066" t="s">
        <v>13</v>
      </c>
      <c r="C1066" t="s">
        <v>9</v>
      </c>
      <c r="D1066" t="s">
        <v>10</v>
      </c>
      <c r="E1066">
        <v>9</v>
      </c>
      <c r="F1066" s="1">
        <v>39172</v>
      </c>
      <c r="G1066">
        <v>-1.39600742936656E-2</v>
      </c>
    </row>
    <row r="1067" spans="1:7" x14ac:dyDescent="0.25">
      <c r="A1067" t="s">
        <v>7</v>
      </c>
      <c r="B1067" t="s">
        <v>13</v>
      </c>
      <c r="C1067" t="s">
        <v>9</v>
      </c>
      <c r="D1067" t="s">
        <v>10</v>
      </c>
      <c r="E1067">
        <v>9</v>
      </c>
      <c r="F1067" s="1">
        <v>39202</v>
      </c>
      <c r="G1067">
        <v>4.4682229823592802E-4</v>
      </c>
    </row>
    <row r="1068" spans="1:7" x14ac:dyDescent="0.25">
      <c r="A1068" t="s">
        <v>7</v>
      </c>
      <c r="B1068" t="s">
        <v>13</v>
      </c>
      <c r="C1068" t="s">
        <v>9</v>
      </c>
      <c r="D1068" t="s">
        <v>10</v>
      </c>
      <c r="E1068">
        <v>9</v>
      </c>
      <c r="F1068" s="1">
        <v>39233</v>
      </c>
      <c r="G1068">
        <v>8.0571012270908796E-3</v>
      </c>
    </row>
    <row r="1069" spans="1:7" x14ac:dyDescent="0.25">
      <c r="A1069" t="s">
        <v>7</v>
      </c>
      <c r="B1069" t="s">
        <v>13</v>
      </c>
      <c r="C1069" t="s">
        <v>9</v>
      </c>
      <c r="D1069" t="s">
        <v>10</v>
      </c>
      <c r="E1069">
        <v>9</v>
      </c>
      <c r="F1069" s="1">
        <v>39263</v>
      </c>
      <c r="G1069">
        <v>-7.2697161459619897E-3</v>
      </c>
    </row>
    <row r="1070" spans="1:7" x14ac:dyDescent="0.25">
      <c r="A1070" t="s">
        <v>7</v>
      </c>
      <c r="B1070" t="s">
        <v>13</v>
      </c>
      <c r="C1070" t="s">
        <v>9</v>
      </c>
      <c r="D1070" t="s">
        <v>10</v>
      </c>
      <c r="E1070">
        <v>9</v>
      </c>
      <c r="F1070" s="1">
        <v>39294</v>
      </c>
      <c r="G1070">
        <v>-6.29704748903655E-3</v>
      </c>
    </row>
    <row r="1071" spans="1:7" x14ac:dyDescent="0.25">
      <c r="A1071" t="s">
        <v>7</v>
      </c>
      <c r="B1071" t="s">
        <v>13</v>
      </c>
      <c r="C1071" t="s">
        <v>9</v>
      </c>
      <c r="D1071" t="s">
        <v>10</v>
      </c>
      <c r="E1071">
        <v>9</v>
      </c>
      <c r="F1071" s="1">
        <v>39325</v>
      </c>
      <c r="G1071">
        <v>6.8292751794793802E-3</v>
      </c>
    </row>
    <row r="1072" spans="1:7" x14ac:dyDescent="0.25">
      <c r="A1072" t="s">
        <v>7</v>
      </c>
      <c r="B1072" t="s">
        <v>13</v>
      </c>
      <c r="C1072" t="s">
        <v>9</v>
      </c>
      <c r="D1072" t="s">
        <v>10</v>
      </c>
      <c r="E1072">
        <v>9</v>
      </c>
      <c r="F1072" s="1">
        <v>39355</v>
      </c>
      <c r="G1072">
        <v>2.3881209325098602E-3</v>
      </c>
    </row>
    <row r="1073" spans="1:7" x14ac:dyDescent="0.25">
      <c r="A1073" t="s">
        <v>7</v>
      </c>
      <c r="B1073" t="s">
        <v>13</v>
      </c>
      <c r="C1073" t="s">
        <v>9</v>
      </c>
      <c r="D1073" t="s">
        <v>10</v>
      </c>
      <c r="E1073">
        <v>9</v>
      </c>
      <c r="F1073" s="1">
        <v>39386</v>
      </c>
      <c r="G1073">
        <v>-2.7117984178178799E-2</v>
      </c>
    </row>
    <row r="1074" spans="1:7" x14ac:dyDescent="0.25">
      <c r="A1074" t="s">
        <v>7</v>
      </c>
      <c r="B1074" t="s">
        <v>13</v>
      </c>
      <c r="C1074" t="s">
        <v>9</v>
      </c>
      <c r="D1074" t="s">
        <v>10</v>
      </c>
      <c r="E1074">
        <v>9</v>
      </c>
      <c r="F1074" s="1">
        <v>39416</v>
      </c>
      <c r="G1074">
        <v>1.0862831293508401E-3</v>
      </c>
    </row>
    <row r="1075" spans="1:7" x14ac:dyDescent="0.25">
      <c r="A1075" t="s">
        <v>7</v>
      </c>
      <c r="B1075" t="s">
        <v>13</v>
      </c>
      <c r="C1075" t="s">
        <v>9</v>
      </c>
      <c r="D1075" t="s">
        <v>10</v>
      </c>
      <c r="E1075">
        <v>9</v>
      </c>
      <c r="F1075" s="1">
        <v>39447</v>
      </c>
      <c r="G1075">
        <v>-2.3397692719809099E-2</v>
      </c>
    </row>
    <row r="1076" spans="1:7" x14ac:dyDescent="0.25">
      <c r="A1076" t="s">
        <v>7</v>
      </c>
      <c r="B1076" t="s">
        <v>13</v>
      </c>
      <c r="C1076" t="s">
        <v>9</v>
      </c>
      <c r="D1076" t="s">
        <v>10</v>
      </c>
      <c r="E1076">
        <v>9</v>
      </c>
      <c r="F1076" s="1">
        <v>39478</v>
      </c>
      <c r="G1076">
        <v>-1.9724729066059599E-2</v>
      </c>
    </row>
    <row r="1077" spans="1:7" x14ac:dyDescent="0.25">
      <c r="A1077" t="s">
        <v>7</v>
      </c>
      <c r="B1077" t="s">
        <v>13</v>
      </c>
      <c r="C1077" t="s">
        <v>9</v>
      </c>
      <c r="D1077" t="s">
        <v>10</v>
      </c>
      <c r="E1077">
        <v>9</v>
      </c>
      <c r="F1077" s="1">
        <v>39507</v>
      </c>
      <c r="G1077">
        <v>-4.4613386944012097E-3</v>
      </c>
    </row>
    <row r="1078" spans="1:7" x14ac:dyDescent="0.25">
      <c r="A1078" t="s">
        <v>7</v>
      </c>
      <c r="B1078" t="s">
        <v>13</v>
      </c>
      <c r="C1078" t="s">
        <v>9</v>
      </c>
      <c r="D1078" t="s">
        <v>10</v>
      </c>
      <c r="E1078">
        <v>9</v>
      </c>
      <c r="F1078" s="1">
        <v>39538</v>
      </c>
      <c r="G1078">
        <v>-5.5466798145880503E-3</v>
      </c>
    </row>
    <row r="1079" spans="1:7" x14ac:dyDescent="0.25">
      <c r="A1079" t="s">
        <v>7</v>
      </c>
      <c r="B1079" t="s">
        <v>13</v>
      </c>
      <c r="C1079" t="s">
        <v>9</v>
      </c>
      <c r="D1079" t="s">
        <v>10</v>
      </c>
      <c r="E1079">
        <v>9</v>
      </c>
      <c r="F1079" s="1">
        <v>39568</v>
      </c>
      <c r="G1079">
        <v>-1.2129850404602099E-2</v>
      </c>
    </row>
    <row r="1080" spans="1:7" x14ac:dyDescent="0.25">
      <c r="A1080" t="s">
        <v>7</v>
      </c>
      <c r="B1080" t="s">
        <v>13</v>
      </c>
      <c r="C1080" t="s">
        <v>9</v>
      </c>
      <c r="D1080" t="s">
        <v>10</v>
      </c>
      <c r="E1080">
        <v>10</v>
      </c>
      <c r="F1080" s="1">
        <v>39599</v>
      </c>
      <c r="G1080">
        <v>4.8800452767539301E-3</v>
      </c>
    </row>
    <row r="1081" spans="1:7" x14ac:dyDescent="0.25">
      <c r="A1081" t="s">
        <v>7</v>
      </c>
      <c r="B1081" t="s">
        <v>13</v>
      </c>
      <c r="C1081" t="s">
        <v>9</v>
      </c>
      <c r="D1081" t="s">
        <v>10</v>
      </c>
      <c r="E1081">
        <v>10</v>
      </c>
      <c r="F1081" s="1">
        <v>39629</v>
      </c>
      <c r="G1081">
        <v>2.0833655941876202E-2</v>
      </c>
    </row>
    <row r="1082" spans="1:7" x14ac:dyDescent="0.25">
      <c r="A1082" t="s">
        <v>7</v>
      </c>
      <c r="B1082" t="s">
        <v>13</v>
      </c>
      <c r="C1082" t="s">
        <v>9</v>
      </c>
      <c r="D1082" t="s">
        <v>10</v>
      </c>
      <c r="E1082">
        <v>10</v>
      </c>
      <c r="F1082" s="1">
        <v>39660</v>
      </c>
      <c r="G1082">
        <v>-1.6103275787560899E-2</v>
      </c>
    </row>
    <row r="1083" spans="1:7" x14ac:dyDescent="0.25">
      <c r="A1083" t="s">
        <v>7</v>
      </c>
      <c r="B1083" t="s">
        <v>13</v>
      </c>
      <c r="C1083" t="s">
        <v>9</v>
      </c>
      <c r="D1083" t="s">
        <v>10</v>
      </c>
      <c r="E1083">
        <v>10</v>
      </c>
      <c r="F1083" s="1">
        <v>39691</v>
      </c>
      <c r="G1083">
        <v>-5.2603860848557298E-3</v>
      </c>
    </row>
    <row r="1084" spans="1:7" x14ac:dyDescent="0.25">
      <c r="A1084" t="s">
        <v>7</v>
      </c>
      <c r="B1084" t="s">
        <v>13</v>
      </c>
      <c r="C1084" t="s">
        <v>9</v>
      </c>
      <c r="D1084" t="s">
        <v>10</v>
      </c>
      <c r="E1084">
        <v>10</v>
      </c>
      <c r="F1084" s="1">
        <v>39721</v>
      </c>
      <c r="G1084">
        <v>-3.7489441037160098E-4</v>
      </c>
    </row>
    <row r="1085" spans="1:7" x14ac:dyDescent="0.25">
      <c r="A1085" t="s">
        <v>7</v>
      </c>
      <c r="B1085" t="s">
        <v>13</v>
      </c>
      <c r="C1085" t="s">
        <v>9</v>
      </c>
      <c r="D1085" t="s">
        <v>10</v>
      </c>
      <c r="E1085">
        <v>10</v>
      </c>
      <c r="F1085" s="1">
        <v>39752</v>
      </c>
      <c r="G1085">
        <v>1.12199990938505E-2</v>
      </c>
    </row>
    <row r="1086" spans="1:7" x14ac:dyDescent="0.25">
      <c r="A1086" t="s">
        <v>7</v>
      </c>
      <c r="B1086" t="s">
        <v>13</v>
      </c>
      <c r="C1086" t="s">
        <v>9</v>
      </c>
      <c r="D1086" t="s">
        <v>10</v>
      </c>
      <c r="E1086">
        <v>10</v>
      </c>
      <c r="F1086" s="1">
        <v>39782</v>
      </c>
      <c r="G1086">
        <v>1.97715486669407E-2</v>
      </c>
    </row>
    <row r="1087" spans="1:7" x14ac:dyDescent="0.25">
      <c r="A1087" t="s">
        <v>7</v>
      </c>
      <c r="B1087" t="s">
        <v>13</v>
      </c>
      <c r="C1087" t="s">
        <v>9</v>
      </c>
      <c r="D1087" t="s">
        <v>10</v>
      </c>
      <c r="E1087">
        <v>10</v>
      </c>
      <c r="F1087" s="1">
        <v>39813</v>
      </c>
      <c r="G1087">
        <v>6.8959363220735797E-3</v>
      </c>
    </row>
    <row r="1088" spans="1:7" x14ac:dyDescent="0.25">
      <c r="A1088" t="s">
        <v>7</v>
      </c>
      <c r="B1088" t="s">
        <v>13</v>
      </c>
      <c r="C1088" t="s">
        <v>9</v>
      </c>
      <c r="D1088" t="s">
        <v>10</v>
      </c>
      <c r="E1088">
        <v>10</v>
      </c>
      <c r="F1088" s="1">
        <v>39844</v>
      </c>
      <c r="G1088">
        <v>-3.5509015089750301E-3</v>
      </c>
    </row>
    <row r="1089" spans="1:7" x14ac:dyDescent="0.25">
      <c r="A1089" t="s">
        <v>7</v>
      </c>
      <c r="B1089" t="s">
        <v>13</v>
      </c>
      <c r="C1089" t="s">
        <v>9</v>
      </c>
      <c r="D1089" t="s">
        <v>10</v>
      </c>
      <c r="E1089">
        <v>10</v>
      </c>
      <c r="F1089" s="1">
        <v>39872</v>
      </c>
      <c r="G1089">
        <v>3.4504594460033401E-3</v>
      </c>
    </row>
    <row r="1090" spans="1:7" x14ac:dyDescent="0.25">
      <c r="A1090" t="s">
        <v>7</v>
      </c>
      <c r="B1090" t="s">
        <v>13</v>
      </c>
      <c r="C1090" t="s">
        <v>9</v>
      </c>
      <c r="D1090" t="s">
        <v>10</v>
      </c>
      <c r="E1090">
        <v>10</v>
      </c>
      <c r="F1090" s="1">
        <v>39903</v>
      </c>
      <c r="G1090">
        <v>-2.63703820521109E-2</v>
      </c>
    </row>
    <row r="1091" spans="1:7" x14ac:dyDescent="0.25">
      <c r="A1091" t="s">
        <v>7</v>
      </c>
      <c r="B1091" t="s">
        <v>13</v>
      </c>
      <c r="C1091" t="s">
        <v>9</v>
      </c>
      <c r="D1091" t="s">
        <v>10</v>
      </c>
      <c r="E1091">
        <v>10</v>
      </c>
      <c r="F1091" s="1">
        <v>39933</v>
      </c>
      <c r="G1091">
        <v>-5.5541569158866202E-3</v>
      </c>
    </row>
    <row r="1092" spans="1:7" x14ac:dyDescent="0.25">
      <c r="A1092" t="s">
        <v>7</v>
      </c>
      <c r="B1092" t="s">
        <v>13</v>
      </c>
      <c r="C1092" t="s">
        <v>9</v>
      </c>
      <c r="D1092" t="s">
        <v>10</v>
      </c>
      <c r="E1092">
        <v>10</v>
      </c>
      <c r="F1092" s="1">
        <v>39964</v>
      </c>
      <c r="G1092">
        <v>-1.1629426874943799E-3</v>
      </c>
    </row>
    <row r="1093" spans="1:7" x14ac:dyDescent="0.25">
      <c r="A1093" t="s">
        <v>7</v>
      </c>
      <c r="B1093" t="s">
        <v>13</v>
      </c>
      <c r="C1093" t="s">
        <v>9</v>
      </c>
      <c r="D1093" t="s">
        <v>10</v>
      </c>
      <c r="E1093">
        <v>10</v>
      </c>
      <c r="F1093" s="1">
        <v>39994</v>
      </c>
      <c r="G1093">
        <v>9.0857654603629704E-4</v>
      </c>
    </row>
    <row r="1094" spans="1:7" x14ac:dyDescent="0.25">
      <c r="A1094" t="s">
        <v>7</v>
      </c>
      <c r="B1094" t="s">
        <v>13</v>
      </c>
      <c r="C1094" t="s">
        <v>9</v>
      </c>
      <c r="D1094" t="s">
        <v>10</v>
      </c>
      <c r="E1094">
        <v>10</v>
      </c>
      <c r="F1094" s="1">
        <v>40025</v>
      </c>
      <c r="G1094">
        <v>9.9028049849110792E-3</v>
      </c>
    </row>
    <row r="1095" spans="1:7" x14ac:dyDescent="0.25">
      <c r="A1095" t="s">
        <v>7</v>
      </c>
      <c r="B1095" t="s">
        <v>13</v>
      </c>
      <c r="C1095" t="s">
        <v>9</v>
      </c>
      <c r="D1095" t="s">
        <v>10</v>
      </c>
      <c r="E1095">
        <v>10</v>
      </c>
      <c r="F1095" s="1">
        <v>40056</v>
      </c>
      <c r="G1095">
        <v>-1.7648905587688401E-2</v>
      </c>
    </row>
    <row r="1096" spans="1:7" x14ac:dyDescent="0.25">
      <c r="A1096" t="s">
        <v>7</v>
      </c>
      <c r="B1096" t="s">
        <v>13</v>
      </c>
      <c r="C1096" t="s">
        <v>9</v>
      </c>
      <c r="D1096" t="s">
        <v>10</v>
      </c>
      <c r="E1096">
        <v>10</v>
      </c>
      <c r="F1096" s="1">
        <v>40086</v>
      </c>
      <c r="G1096">
        <v>1.9157757500199501E-2</v>
      </c>
    </row>
    <row r="1097" spans="1:7" x14ac:dyDescent="0.25">
      <c r="A1097" t="s">
        <v>7</v>
      </c>
      <c r="B1097" t="s">
        <v>13</v>
      </c>
      <c r="C1097" t="s">
        <v>9</v>
      </c>
      <c r="D1097" t="s">
        <v>10</v>
      </c>
      <c r="E1097">
        <v>10</v>
      </c>
      <c r="F1097" s="1">
        <v>40117</v>
      </c>
      <c r="G1097">
        <v>4.2934693296325301E-2</v>
      </c>
    </row>
    <row r="1098" spans="1:7" x14ac:dyDescent="0.25">
      <c r="A1098" t="s">
        <v>7</v>
      </c>
      <c r="B1098" t="s">
        <v>13</v>
      </c>
      <c r="C1098" t="s">
        <v>9</v>
      </c>
      <c r="D1098" t="s">
        <v>10</v>
      </c>
      <c r="E1098">
        <v>10</v>
      </c>
      <c r="F1098" s="1">
        <v>40147</v>
      </c>
      <c r="G1098">
        <v>-5.1520423973458202E-4</v>
      </c>
    </row>
    <row r="1099" spans="1:7" x14ac:dyDescent="0.25">
      <c r="A1099" t="s">
        <v>7</v>
      </c>
      <c r="B1099" t="s">
        <v>13</v>
      </c>
      <c r="C1099" t="s">
        <v>9</v>
      </c>
      <c r="D1099" t="s">
        <v>10</v>
      </c>
      <c r="E1099">
        <v>10</v>
      </c>
      <c r="F1099" s="1">
        <v>40178</v>
      </c>
      <c r="G1099">
        <v>-1.6285674386883602E-2</v>
      </c>
    </row>
    <row r="1100" spans="1:7" x14ac:dyDescent="0.25">
      <c r="A1100" t="s">
        <v>7</v>
      </c>
      <c r="B1100" t="s">
        <v>13</v>
      </c>
      <c r="C1100" t="s">
        <v>9</v>
      </c>
      <c r="D1100" t="s">
        <v>10</v>
      </c>
      <c r="E1100">
        <v>10</v>
      </c>
      <c r="F1100" s="1">
        <v>40209</v>
      </c>
      <c r="G1100">
        <v>0.121449035412961</v>
      </c>
    </row>
    <row r="1101" spans="1:7" x14ac:dyDescent="0.25">
      <c r="A1101" t="s">
        <v>7</v>
      </c>
      <c r="B1101" t="s">
        <v>13</v>
      </c>
      <c r="C1101" t="s">
        <v>9</v>
      </c>
      <c r="D1101" t="s">
        <v>10</v>
      </c>
      <c r="E1101">
        <v>10</v>
      </c>
      <c r="F1101" s="1">
        <v>40237</v>
      </c>
      <c r="G1101">
        <v>-1.8646122295806901E-2</v>
      </c>
    </row>
    <row r="1102" spans="1:7" x14ac:dyDescent="0.25">
      <c r="A1102" t="s">
        <v>7</v>
      </c>
      <c r="B1102" t="s">
        <v>13</v>
      </c>
      <c r="C1102" t="s">
        <v>9</v>
      </c>
      <c r="D1102" t="s">
        <v>10</v>
      </c>
      <c r="E1102">
        <v>10</v>
      </c>
      <c r="F1102" s="1">
        <v>40268</v>
      </c>
      <c r="G1102">
        <v>2.0533971589153802E-3</v>
      </c>
    </row>
    <row r="1103" spans="1:7" x14ac:dyDescent="0.25">
      <c r="A1103" t="s">
        <v>7</v>
      </c>
      <c r="B1103" t="s">
        <v>13</v>
      </c>
      <c r="C1103" t="s">
        <v>9</v>
      </c>
      <c r="D1103" t="s">
        <v>10</v>
      </c>
      <c r="E1103">
        <v>10</v>
      </c>
      <c r="F1103" s="1">
        <v>40298</v>
      </c>
      <c r="G1103">
        <v>9.0459118992111502E-3</v>
      </c>
    </row>
    <row r="1104" spans="1:7" x14ac:dyDescent="0.25">
      <c r="A1104" t="s">
        <v>7</v>
      </c>
      <c r="B1104" t="s">
        <v>13</v>
      </c>
      <c r="C1104" t="s">
        <v>9</v>
      </c>
      <c r="D1104" t="s">
        <v>10</v>
      </c>
      <c r="E1104">
        <v>10</v>
      </c>
      <c r="F1104" s="1">
        <v>40329</v>
      </c>
      <c r="G1104">
        <v>7.73870566421162E-3</v>
      </c>
    </row>
    <row r="1105" spans="1:7" x14ac:dyDescent="0.25">
      <c r="A1105" t="s">
        <v>7</v>
      </c>
      <c r="B1105" t="s">
        <v>13</v>
      </c>
      <c r="C1105" t="s">
        <v>9</v>
      </c>
      <c r="D1105" t="s">
        <v>10</v>
      </c>
      <c r="E1105">
        <v>10</v>
      </c>
      <c r="F1105" s="1">
        <v>40359</v>
      </c>
      <c r="G1105">
        <v>-4.19114387285565E-4</v>
      </c>
    </row>
    <row r="1106" spans="1:7" x14ac:dyDescent="0.25">
      <c r="A1106" t="s">
        <v>7</v>
      </c>
      <c r="B1106" t="s">
        <v>13</v>
      </c>
      <c r="C1106" t="s">
        <v>9</v>
      </c>
      <c r="D1106" t="s">
        <v>10</v>
      </c>
      <c r="E1106">
        <v>10</v>
      </c>
      <c r="F1106" s="1">
        <v>40390</v>
      </c>
      <c r="G1106">
        <v>1.73967359756542E-2</v>
      </c>
    </row>
    <row r="1107" spans="1:7" x14ac:dyDescent="0.25">
      <c r="A1107" t="s">
        <v>7</v>
      </c>
      <c r="B1107" t="s">
        <v>13</v>
      </c>
      <c r="C1107" t="s">
        <v>9</v>
      </c>
      <c r="D1107" t="s">
        <v>10</v>
      </c>
      <c r="E1107">
        <v>10</v>
      </c>
      <c r="F1107" s="1">
        <v>40421</v>
      </c>
      <c r="G1107">
        <v>3.53981526167894E-2</v>
      </c>
    </row>
    <row r="1108" spans="1:7" x14ac:dyDescent="0.25">
      <c r="A1108" t="s">
        <v>7</v>
      </c>
      <c r="B1108" t="s">
        <v>13</v>
      </c>
      <c r="C1108" t="s">
        <v>9</v>
      </c>
      <c r="D1108" t="s">
        <v>10</v>
      </c>
      <c r="E1108">
        <v>10</v>
      </c>
      <c r="F1108" s="1">
        <v>40451</v>
      </c>
      <c r="G1108">
        <v>4.0085420290871697E-3</v>
      </c>
    </row>
    <row r="1109" spans="1:7" x14ac:dyDescent="0.25">
      <c r="A1109" t="s">
        <v>7</v>
      </c>
      <c r="B1109" t="s">
        <v>13</v>
      </c>
      <c r="C1109" t="s">
        <v>9</v>
      </c>
      <c r="D1109" t="s">
        <v>10</v>
      </c>
      <c r="E1109">
        <v>10</v>
      </c>
      <c r="F1109" s="1">
        <v>40482</v>
      </c>
      <c r="G1109">
        <v>2.2335034848863001E-2</v>
      </c>
    </row>
    <row r="1110" spans="1:7" x14ac:dyDescent="0.25">
      <c r="A1110" t="s">
        <v>7</v>
      </c>
      <c r="B1110" t="s">
        <v>13</v>
      </c>
      <c r="C1110" t="s">
        <v>9</v>
      </c>
      <c r="D1110" t="s">
        <v>10</v>
      </c>
      <c r="E1110">
        <v>10</v>
      </c>
      <c r="F1110" s="1">
        <v>40512</v>
      </c>
      <c r="G1110">
        <v>1.4487823383770099E-2</v>
      </c>
    </row>
    <row r="1111" spans="1:7" x14ac:dyDescent="0.25">
      <c r="A1111" t="s">
        <v>7</v>
      </c>
      <c r="B1111" t="s">
        <v>13</v>
      </c>
      <c r="C1111" t="s">
        <v>9</v>
      </c>
      <c r="D1111" t="s">
        <v>10</v>
      </c>
      <c r="E1111">
        <v>10</v>
      </c>
      <c r="F1111" s="1">
        <v>40543</v>
      </c>
      <c r="G1111">
        <v>-4.5639711716098E-2</v>
      </c>
    </row>
    <row r="1112" spans="1:7" x14ac:dyDescent="0.25">
      <c r="A1112" t="s">
        <v>7</v>
      </c>
      <c r="B1112" t="s">
        <v>13</v>
      </c>
      <c r="C1112" t="s">
        <v>9</v>
      </c>
      <c r="D1112" t="s">
        <v>10</v>
      </c>
      <c r="E1112">
        <v>10</v>
      </c>
      <c r="F1112" s="1">
        <v>40574</v>
      </c>
      <c r="G1112">
        <v>-2.7772414477695899E-2</v>
      </c>
    </row>
    <row r="1113" spans="1:7" x14ac:dyDescent="0.25">
      <c r="A1113" t="s">
        <v>7</v>
      </c>
      <c r="B1113" t="s">
        <v>13</v>
      </c>
      <c r="C1113" t="s">
        <v>9</v>
      </c>
      <c r="D1113" t="s">
        <v>10</v>
      </c>
      <c r="E1113">
        <v>10</v>
      </c>
      <c r="F1113" s="1">
        <v>40602</v>
      </c>
      <c r="G1113">
        <v>1.3380565696647801E-2</v>
      </c>
    </row>
    <row r="1114" spans="1:7" x14ac:dyDescent="0.25">
      <c r="A1114" t="s">
        <v>7</v>
      </c>
      <c r="B1114" t="s">
        <v>13</v>
      </c>
      <c r="C1114" t="s">
        <v>9</v>
      </c>
      <c r="D1114" t="s">
        <v>10</v>
      </c>
      <c r="E1114">
        <v>10</v>
      </c>
      <c r="F1114" s="1">
        <v>40633</v>
      </c>
      <c r="G1114">
        <v>2.02357287696605E-2</v>
      </c>
    </row>
    <row r="1115" spans="1:7" x14ac:dyDescent="0.25">
      <c r="A1115" t="s">
        <v>7</v>
      </c>
      <c r="B1115" t="s">
        <v>13</v>
      </c>
      <c r="C1115" t="s">
        <v>9</v>
      </c>
      <c r="D1115" t="s">
        <v>10</v>
      </c>
      <c r="E1115">
        <v>10</v>
      </c>
      <c r="F1115" s="1">
        <v>40663</v>
      </c>
      <c r="G1115">
        <v>-1.15033463585712E-2</v>
      </c>
    </row>
    <row r="1116" spans="1:7" x14ac:dyDescent="0.25">
      <c r="A1116" t="s">
        <v>7</v>
      </c>
      <c r="B1116" t="s">
        <v>13</v>
      </c>
      <c r="C1116" t="s">
        <v>9</v>
      </c>
      <c r="D1116" t="s">
        <v>10</v>
      </c>
      <c r="E1116">
        <v>10</v>
      </c>
      <c r="F1116" s="1">
        <v>40694</v>
      </c>
      <c r="G1116">
        <v>-3.7909835986536101E-3</v>
      </c>
    </row>
    <row r="1117" spans="1:7" x14ac:dyDescent="0.25">
      <c r="A1117" t="s">
        <v>7</v>
      </c>
      <c r="B1117" t="s">
        <v>13</v>
      </c>
      <c r="C1117" t="s">
        <v>9</v>
      </c>
      <c r="D1117" t="s">
        <v>10</v>
      </c>
      <c r="E1117">
        <v>10</v>
      </c>
      <c r="F1117" s="1">
        <v>40724</v>
      </c>
      <c r="G1117">
        <v>-6.46519998278522E-3</v>
      </c>
    </row>
    <row r="1118" spans="1:7" x14ac:dyDescent="0.25">
      <c r="A1118" t="s">
        <v>7</v>
      </c>
      <c r="B1118" t="s">
        <v>13</v>
      </c>
      <c r="C1118" t="s">
        <v>9</v>
      </c>
      <c r="D1118" t="s">
        <v>10</v>
      </c>
      <c r="E1118">
        <v>10</v>
      </c>
      <c r="F1118" s="1">
        <v>40755</v>
      </c>
      <c r="G1118">
        <v>-1.1734502070269799E-2</v>
      </c>
    </row>
    <row r="1119" spans="1:7" x14ac:dyDescent="0.25">
      <c r="A1119" t="s">
        <v>7</v>
      </c>
      <c r="B1119" t="s">
        <v>13</v>
      </c>
      <c r="C1119" t="s">
        <v>9</v>
      </c>
      <c r="D1119" t="s">
        <v>10</v>
      </c>
      <c r="E1119">
        <v>10</v>
      </c>
      <c r="F1119" s="1">
        <v>40786</v>
      </c>
      <c r="G1119">
        <v>1.9568734461956699E-3</v>
      </c>
    </row>
    <row r="1120" spans="1:7" x14ac:dyDescent="0.25">
      <c r="A1120" t="s">
        <v>7</v>
      </c>
      <c r="B1120" t="s">
        <v>13</v>
      </c>
      <c r="C1120" t="s">
        <v>9</v>
      </c>
      <c r="D1120" t="s">
        <v>10</v>
      </c>
      <c r="E1120">
        <v>10</v>
      </c>
      <c r="F1120" s="1">
        <v>40816</v>
      </c>
      <c r="G1120">
        <v>1.7598662316360499E-4</v>
      </c>
    </row>
    <row r="1121" spans="1:7" x14ac:dyDescent="0.25">
      <c r="A1121" t="s">
        <v>7</v>
      </c>
      <c r="B1121" t="s">
        <v>13</v>
      </c>
      <c r="C1121" t="s">
        <v>9</v>
      </c>
      <c r="D1121" t="s">
        <v>10</v>
      </c>
      <c r="E1121">
        <v>10</v>
      </c>
      <c r="F1121" s="1">
        <v>40847</v>
      </c>
      <c r="G1121">
        <v>-1.9518124102480199E-2</v>
      </c>
    </row>
    <row r="1122" spans="1:7" x14ac:dyDescent="0.25">
      <c r="A1122" t="s">
        <v>7</v>
      </c>
      <c r="B1122" t="s">
        <v>13</v>
      </c>
      <c r="C1122" t="s">
        <v>9</v>
      </c>
      <c r="D1122" t="s">
        <v>10</v>
      </c>
      <c r="E1122">
        <v>10</v>
      </c>
      <c r="F1122" s="1">
        <v>40877</v>
      </c>
      <c r="G1122">
        <v>-1.90897781167517E-2</v>
      </c>
    </row>
    <row r="1123" spans="1:7" x14ac:dyDescent="0.25">
      <c r="A1123" t="s">
        <v>7</v>
      </c>
      <c r="B1123" t="s">
        <v>13</v>
      </c>
      <c r="C1123" t="s">
        <v>9</v>
      </c>
      <c r="D1123" t="s">
        <v>10</v>
      </c>
      <c r="E1123">
        <v>10</v>
      </c>
      <c r="F1123" s="1">
        <v>40908</v>
      </c>
      <c r="G1123">
        <v>-1.6551132131246701E-2</v>
      </c>
    </row>
    <row r="1124" spans="1:7" x14ac:dyDescent="0.25">
      <c r="A1124" t="s">
        <v>7</v>
      </c>
      <c r="B1124" t="s">
        <v>13</v>
      </c>
      <c r="C1124" t="s">
        <v>9</v>
      </c>
      <c r="D1124" t="s">
        <v>10</v>
      </c>
      <c r="E1124">
        <v>10</v>
      </c>
      <c r="F1124" s="1">
        <v>40939</v>
      </c>
      <c r="G1124">
        <v>2.3256423953395999E-2</v>
      </c>
    </row>
    <row r="1125" spans="1:7" x14ac:dyDescent="0.25">
      <c r="A1125" t="s">
        <v>7</v>
      </c>
      <c r="B1125" t="s">
        <v>13</v>
      </c>
      <c r="C1125" t="s">
        <v>9</v>
      </c>
      <c r="D1125" t="s">
        <v>10</v>
      </c>
      <c r="E1125">
        <v>10</v>
      </c>
      <c r="F1125" s="1">
        <v>40968</v>
      </c>
      <c r="G1125">
        <v>1.5813457956881001E-2</v>
      </c>
    </row>
    <row r="1126" spans="1:7" x14ac:dyDescent="0.25">
      <c r="A1126" t="s">
        <v>7</v>
      </c>
      <c r="B1126" t="s">
        <v>13</v>
      </c>
      <c r="C1126" t="s">
        <v>9</v>
      </c>
      <c r="D1126" t="s">
        <v>10</v>
      </c>
      <c r="E1126">
        <v>10</v>
      </c>
      <c r="F1126" s="1">
        <v>40999</v>
      </c>
      <c r="G1126">
        <v>1.28270611184287E-2</v>
      </c>
    </row>
    <row r="1127" spans="1:7" x14ac:dyDescent="0.25">
      <c r="A1127" t="s">
        <v>7</v>
      </c>
      <c r="B1127" t="s">
        <v>13</v>
      </c>
      <c r="C1127" t="s">
        <v>9</v>
      </c>
      <c r="D1127" t="s">
        <v>10</v>
      </c>
      <c r="E1127">
        <v>10</v>
      </c>
      <c r="F1127" s="1">
        <v>41029</v>
      </c>
      <c r="G1127">
        <v>4.2696553696954303E-3</v>
      </c>
    </row>
    <row r="1128" spans="1:7" x14ac:dyDescent="0.25">
      <c r="A1128" t="s">
        <v>7</v>
      </c>
      <c r="B1128" t="s">
        <v>13</v>
      </c>
      <c r="C1128" t="s">
        <v>9</v>
      </c>
      <c r="D1128" t="s">
        <v>10</v>
      </c>
      <c r="E1128">
        <v>11</v>
      </c>
      <c r="F1128" s="1">
        <v>41060</v>
      </c>
      <c r="G1128">
        <v>1.3664035692061999E-2</v>
      </c>
    </row>
    <row r="1129" spans="1:7" x14ac:dyDescent="0.25">
      <c r="A1129" t="s">
        <v>7</v>
      </c>
      <c r="B1129" t="s">
        <v>13</v>
      </c>
      <c r="C1129" t="s">
        <v>9</v>
      </c>
      <c r="D1129" t="s">
        <v>10</v>
      </c>
      <c r="E1129">
        <v>11</v>
      </c>
      <c r="F1129" s="1">
        <v>41090</v>
      </c>
      <c r="G1129">
        <v>-1.6144104561094001E-2</v>
      </c>
    </row>
    <row r="1130" spans="1:7" x14ac:dyDescent="0.25">
      <c r="A1130" t="s">
        <v>7</v>
      </c>
      <c r="B1130" t="s">
        <v>13</v>
      </c>
      <c r="C1130" t="s">
        <v>9</v>
      </c>
      <c r="D1130" t="s">
        <v>10</v>
      </c>
      <c r="E1130">
        <v>11</v>
      </c>
      <c r="F1130" s="1">
        <v>41121</v>
      </c>
      <c r="G1130">
        <v>6.7752455915671603E-4</v>
      </c>
    </row>
    <row r="1131" spans="1:7" x14ac:dyDescent="0.25">
      <c r="A1131" t="s">
        <v>7</v>
      </c>
      <c r="B1131" t="s">
        <v>13</v>
      </c>
      <c r="C1131" t="s">
        <v>9</v>
      </c>
      <c r="D1131" t="s">
        <v>10</v>
      </c>
      <c r="E1131">
        <v>11</v>
      </c>
      <c r="F1131" s="1">
        <v>41152</v>
      </c>
      <c r="G1131">
        <v>-1.8795098218529899E-2</v>
      </c>
    </row>
    <row r="1132" spans="1:7" x14ac:dyDescent="0.25">
      <c r="A1132" t="s">
        <v>7</v>
      </c>
      <c r="B1132" t="s">
        <v>13</v>
      </c>
      <c r="C1132" t="s">
        <v>9</v>
      </c>
      <c r="D1132" t="s">
        <v>10</v>
      </c>
      <c r="E1132">
        <v>11</v>
      </c>
      <c r="F1132" s="1">
        <v>41182</v>
      </c>
      <c r="G1132">
        <v>-4.1348164032301198E-3</v>
      </c>
    </row>
    <row r="1133" spans="1:7" x14ac:dyDescent="0.25">
      <c r="A1133" t="s">
        <v>7</v>
      </c>
      <c r="B1133" t="s">
        <v>13</v>
      </c>
      <c r="C1133" t="s">
        <v>9</v>
      </c>
      <c r="D1133" t="s">
        <v>10</v>
      </c>
      <c r="E1133">
        <v>11</v>
      </c>
      <c r="F1133" s="1">
        <v>41213</v>
      </c>
      <c r="G1133">
        <v>-8.5278937161465795E-3</v>
      </c>
    </row>
    <row r="1134" spans="1:7" x14ac:dyDescent="0.25">
      <c r="A1134" t="s">
        <v>7</v>
      </c>
      <c r="B1134" t="s">
        <v>13</v>
      </c>
      <c r="C1134" t="s">
        <v>9</v>
      </c>
      <c r="D1134" t="s">
        <v>10</v>
      </c>
      <c r="E1134">
        <v>11</v>
      </c>
      <c r="F1134" s="1">
        <v>41243</v>
      </c>
      <c r="G1134">
        <v>1.6553383540082701E-3</v>
      </c>
    </row>
    <row r="1135" spans="1:7" x14ac:dyDescent="0.25">
      <c r="A1135" t="s">
        <v>7</v>
      </c>
      <c r="B1135" t="s">
        <v>13</v>
      </c>
      <c r="C1135" t="s">
        <v>9</v>
      </c>
      <c r="D1135" t="s">
        <v>10</v>
      </c>
      <c r="E1135">
        <v>11</v>
      </c>
      <c r="F1135" s="1">
        <v>41274</v>
      </c>
      <c r="G1135">
        <v>-2.64138778571337E-2</v>
      </c>
    </row>
    <row r="1136" spans="1:7" x14ac:dyDescent="0.25">
      <c r="A1136" t="s">
        <v>7</v>
      </c>
      <c r="B1136" t="s">
        <v>13</v>
      </c>
      <c r="C1136" t="s">
        <v>9</v>
      </c>
      <c r="D1136" t="s">
        <v>10</v>
      </c>
      <c r="E1136">
        <v>11</v>
      </c>
      <c r="F1136" s="1">
        <v>41305</v>
      </c>
      <c r="G1136">
        <v>-4.9452230728382696E-3</v>
      </c>
    </row>
    <row r="1137" spans="1:7" x14ac:dyDescent="0.25">
      <c r="A1137" t="s">
        <v>7</v>
      </c>
      <c r="B1137" t="s">
        <v>13</v>
      </c>
      <c r="C1137" t="s">
        <v>9</v>
      </c>
      <c r="D1137" t="s">
        <v>10</v>
      </c>
      <c r="E1137">
        <v>11</v>
      </c>
      <c r="F1137" s="1">
        <v>41333</v>
      </c>
      <c r="G1137">
        <v>-3.0489916144104201E-3</v>
      </c>
    </row>
    <row r="1138" spans="1:7" x14ac:dyDescent="0.25">
      <c r="A1138" t="s">
        <v>7</v>
      </c>
      <c r="B1138" t="s">
        <v>13</v>
      </c>
      <c r="C1138" t="s">
        <v>9</v>
      </c>
      <c r="D1138" t="s">
        <v>10</v>
      </c>
      <c r="E1138">
        <v>11</v>
      </c>
      <c r="F1138" s="1">
        <v>41364</v>
      </c>
      <c r="G1138">
        <v>-2.38198700637124E-2</v>
      </c>
    </row>
    <row r="1139" spans="1:7" x14ac:dyDescent="0.25">
      <c r="A1139" t="s">
        <v>7</v>
      </c>
      <c r="B1139" t="s">
        <v>13</v>
      </c>
      <c r="C1139" t="s">
        <v>9</v>
      </c>
      <c r="D1139" t="s">
        <v>10</v>
      </c>
      <c r="E1139">
        <v>11</v>
      </c>
      <c r="F1139" s="1">
        <v>41394</v>
      </c>
      <c r="G1139">
        <v>3.6960991685918601E-3</v>
      </c>
    </row>
    <row r="1140" spans="1:7" x14ac:dyDescent="0.25">
      <c r="A1140" t="s">
        <v>7</v>
      </c>
      <c r="B1140" t="s">
        <v>13</v>
      </c>
      <c r="C1140" t="s">
        <v>9</v>
      </c>
      <c r="D1140" t="s">
        <v>10</v>
      </c>
      <c r="E1140">
        <v>11</v>
      </c>
      <c r="F1140" s="1">
        <v>41425</v>
      </c>
      <c r="G1140">
        <v>1.6724778777555301E-2</v>
      </c>
    </row>
    <row r="1141" spans="1:7" x14ac:dyDescent="0.25">
      <c r="A1141" t="s">
        <v>7</v>
      </c>
      <c r="B1141" t="s">
        <v>13</v>
      </c>
      <c r="C1141" t="s">
        <v>9</v>
      </c>
      <c r="D1141" t="s">
        <v>10</v>
      </c>
      <c r="E1141">
        <v>11</v>
      </c>
      <c r="F1141" s="1">
        <v>41455</v>
      </c>
      <c r="G1141">
        <v>5.0460839274542998E-3</v>
      </c>
    </row>
    <row r="1142" spans="1:7" x14ac:dyDescent="0.25">
      <c r="A1142" t="s">
        <v>7</v>
      </c>
      <c r="B1142" t="s">
        <v>13</v>
      </c>
      <c r="C1142" t="s">
        <v>9</v>
      </c>
      <c r="D1142" t="s">
        <v>10</v>
      </c>
      <c r="E1142">
        <v>11</v>
      </c>
      <c r="F1142" s="1">
        <v>41486</v>
      </c>
      <c r="G1142">
        <v>-1.38350134125625E-2</v>
      </c>
    </row>
    <row r="1143" spans="1:7" x14ac:dyDescent="0.25">
      <c r="A1143" t="s">
        <v>7</v>
      </c>
      <c r="B1143" t="s">
        <v>13</v>
      </c>
      <c r="C1143" t="s">
        <v>9</v>
      </c>
      <c r="D1143" t="s">
        <v>10</v>
      </c>
      <c r="E1143">
        <v>11</v>
      </c>
      <c r="F1143" s="1">
        <v>41517</v>
      </c>
      <c r="G1143">
        <v>-2.6865384938044901E-2</v>
      </c>
    </row>
    <row r="1144" spans="1:7" x14ac:dyDescent="0.25">
      <c r="A1144" t="s">
        <v>7</v>
      </c>
      <c r="B1144" t="s">
        <v>13</v>
      </c>
      <c r="C1144" t="s">
        <v>9</v>
      </c>
      <c r="D1144" t="s">
        <v>10</v>
      </c>
      <c r="E1144">
        <v>11</v>
      </c>
      <c r="F1144" s="1">
        <v>41547</v>
      </c>
      <c r="G1144">
        <v>-7.1272988189462396E-3</v>
      </c>
    </row>
    <row r="1145" spans="1:7" x14ac:dyDescent="0.25">
      <c r="A1145" t="s">
        <v>7</v>
      </c>
      <c r="B1145" t="s">
        <v>13</v>
      </c>
      <c r="C1145" t="s">
        <v>9</v>
      </c>
      <c r="D1145" t="s">
        <v>10</v>
      </c>
      <c r="E1145">
        <v>11</v>
      </c>
      <c r="F1145" s="1">
        <v>41578</v>
      </c>
      <c r="G1145">
        <v>-3.5401242861494799E-2</v>
      </c>
    </row>
    <row r="1146" spans="1:7" x14ac:dyDescent="0.25">
      <c r="A1146" t="s">
        <v>7</v>
      </c>
      <c r="B1146" t="s">
        <v>13</v>
      </c>
      <c r="C1146" t="s">
        <v>9</v>
      </c>
      <c r="D1146" t="s">
        <v>10</v>
      </c>
      <c r="E1146">
        <v>11</v>
      </c>
      <c r="F1146" s="1">
        <v>41608</v>
      </c>
      <c r="G1146">
        <v>9.8112208153109705E-3</v>
      </c>
    </row>
    <row r="1147" spans="1:7" x14ac:dyDescent="0.25">
      <c r="A1147" t="s">
        <v>7</v>
      </c>
      <c r="B1147" t="s">
        <v>13</v>
      </c>
      <c r="C1147" t="s">
        <v>9</v>
      </c>
      <c r="D1147" t="s">
        <v>10</v>
      </c>
      <c r="E1147">
        <v>11</v>
      </c>
      <c r="F1147" s="1">
        <v>41639</v>
      </c>
      <c r="G1147">
        <v>3.6940020911604298E-4</v>
      </c>
    </row>
    <row r="1148" spans="1:7" x14ac:dyDescent="0.25">
      <c r="A1148" t="s">
        <v>7</v>
      </c>
      <c r="B1148" t="s">
        <v>13</v>
      </c>
      <c r="C1148" t="s">
        <v>9</v>
      </c>
      <c r="D1148" t="s">
        <v>10</v>
      </c>
      <c r="E1148">
        <v>11</v>
      </c>
      <c r="F1148" s="1">
        <v>41670</v>
      </c>
      <c r="G1148">
        <v>1.8915374725156999E-2</v>
      </c>
    </row>
    <row r="1149" spans="1:7" x14ac:dyDescent="0.25">
      <c r="A1149" t="s">
        <v>7</v>
      </c>
      <c r="B1149" t="s">
        <v>13</v>
      </c>
      <c r="C1149" t="s">
        <v>9</v>
      </c>
      <c r="D1149" t="s">
        <v>10</v>
      </c>
      <c r="E1149">
        <v>11</v>
      </c>
      <c r="F1149" s="1">
        <v>41698</v>
      </c>
      <c r="G1149">
        <v>1.75948164049433E-2</v>
      </c>
    </row>
    <row r="1150" spans="1:7" x14ac:dyDescent="0.25">
      <c r="A1150" t="s">
        <v>7</v>
      </c>
      <c r="B1150" t="s">
        <v>13</v>
      </c>
      <c r="C1150" t="s">
        <v>9</v>
      </c>
      <c r="D1150" t="s">
        <v>10</v>
      </c>
      <c r="E1150">
        <v>11</v>
      </c>
      <c r="F1150" s="1">
        <v>41729</v>
      </c>
      <c r="G1150">
        <v>-2.0320155234816398E-3</v>
      </c>
    </row>
    <row r="1151" spans="1:7" x14ac:dyDescent="0.25">
      <c r="A1151" t="s">
        <v>7</v>
      </c>
      <c r="B1151" t="s">
        <v>13</v>
      </c>
      <c r="C1151" t="s">
        <v>9</v>
      </c>
      <c r="D1151" t="s">
        <v>10</v>
      </c>
      <c r="E1151">
        <v>11</v>
      </c>
      <c r="F1151" s="1">
        <v>41759</v>
      </c>
      <c r="G1151">
        <v>-9.0680374234344708E-3</v>
      </c>
    </row>
    <row r="1152" spans="1:7" x14ac:dyDescent="0.25">
      <c r="A1152" t="s">
        <v>7</v>
      </c>
      <c r="B1152" t="s">
        <v>13</v>
      </c>
      <c r="C1152" t="s">
        <v>9</v>
      </c>
      <c r="D1152" t="s">
        <v>10</v>
      </c>
      <c r="E1152">
        <v>11</v>
      </c>
      <c r="F1152" s="1">
        <v>41790</v>
      </c>
      <c r="G1152">
        <v>2.15604508581098E-2</v>
      </c>
    </row>
    <row r="1153" spans="1:7" x14ac:dyDescent="0.25">
      <c r="A1153" t="s">
        <v>7</v>
      </c>
      <c r="B1153" t="s">
        <v>13</v>
      </c>
      <c r="C1153" t="s">
        <v>9</v>
      </c>
      <c r="D1153" t="s">
        <v>10</v>
      </c>
      <c r="E1153">
        <v>11</v>
      </c>
      <c r="F1153" s="1">
        <v>41820</v>
      </c>
      <c r="G1153">
        <v>-1.5750901458656701E-2</v>
      </c>
    </row>
    <row r="1154" spans="1:7" x14ac:dyDescent="0.25">
      <c r="A1154" t="s">
        <v>7</v>
      </c>
      <c r="B1154" t="s">
        <v>13</v>
      </c>
      <c r="C1154" t="s">
        <v>9</v>
      </c>
      <c r="D1154" t="s">
        <v>10</v>
      </c>
      <c r="E1154">
        <v>11</v>
      </c>
      <c r="F1154" s="1">
        <v>41851</v>
      </c>
      <c r="G1154">
        <v>-2.4356015700862699E-2</v>
      </c>
    </row>
    <row r="1155" spans="1:7" x14ac:dyDescent="0.25">
      <c r="A1155" t="s">
        <v>7</v>
      </c>
      <c r="B1155" t="s">
        <v>13</v>
      </c>
      <c r="C1155" t="s">
        <v>9</v>
      </c>
      <c r="D1155" t="s">
        <v>10</v>
      </c>
      <c r="E1155">
        <v>11</v>
      </c>
      <c r="F1155" s="1">
        <v>41882</v>
      </c>
      <c r="G1155">
        <v>-2.6246309469766999E-3</v>
      </c>
    </row>
    <row r="1156" spans="1:7" x14ac:dyDescent="0.25">
      <c r="A1156" t="s">
        <v>7</v>
      </c>
      <c r="B1156" t="s">
        <v>13</v>
      </c>
      <c r="C1156" t="s">
        <v>9</v>
      </c>
      <c r="D1156" t="s">
        <v>10</v>
      </c>
      <c r="E1156">
        <v>11</v>
      </c>
      <c r="F1156" s="1">
        <v>41912</v>
      </c>
      <c r="G1156">
        <v>3.0887263085481599E-2</v>
      </c>
    </row>
    <row r="1157" spans="1:7" x14ac:dyDescent="0.25">
      <c r="A1157" t="s">
        <v>7</v>
      </c>
      <c r="B1157" t="s">
        <v>13</v>
      </c>
      <c r="C1157" t="s">
        <v>9</v>
      </c>
      <c r="D1157" t="s">
        <v>10</v>
      </c>
      <c r="E1157">
        <v>11</v>
      </c>
      <c r="F1157" s="1">
        <v>41943</v>
      </c>
      <c r="G1157">
        <v>-8.3103989261534492E-3</v>
      </c>
    </row>
    <row r="1158" spans="1:7" x14ac:dyDescent="0.25">
      <c r="A1158" t="s">
        <v>7</v>
      </c>
      <c r="B1158" t="s">
        <v>13</v>
      </c>
      <c r="C1158" t="s">
        <v>9</v>
      </c>
      <c r="D1158" t="s">
        <v>10</v>
      </c>
      <c r="E1158">
        <v>11</v>
      </c>
      <c r="F1158" s="1">
        <v>41973</v>
      </c>
      <c r="G1158">
        <v>2.18038548612133E-2</v>
      </c>
    </row>
    <row r="1159" spans="1:7" x14ac:dyDescent="0.25">
      <c r="A1159" t="s">
        <v>7</v>
      </c>
      <c r="B1159" t="s">
        <v>13</v>
      </c>
      <c r="C1159" t="s">
        <v>9</v>
      </c>
      <c r="D1159" t="s">
        <v>10</v>
      </c>
      <c r="E1159">
        <v>11</v>
      </c>
      <c r="F1159" s="1">
        <v>42004</v>
      </c>
      <c r="G1159">
        <v>7.97960481466067E-3</v>
      </c>
    </row>
    <row r="1160" spans="1:7" x14ac:dyDescent="0.25">
      <c r="A1160" t="s">
        <v>7</v>
      </c>
      <c r="B1160" t="s">
        <v>13</v>
      </c>
      <c r="C1160" t="s">
        <v>9</v>
      </c>
      <c r="D1160" t="s">
        <v>10</v>
      </c>
      <c r="E1160">
        <v>11</v>
      </c>
      <c r="F1160" s="1">
        <v>42035</v>
      </c>
      <c r="G1160">
        <v>2.4840935570351899E-2</v>
      </c>
    </row>
    <row r="1161" spans="1:7" x14ac:dyDescent="0.25">
      <c r="A1161" t="s">
        <v>7</v>
      </c>
      <c r="B1161" t="s">
        <v>13</v>
      </c>
      <c r="C1161" t="s">
        <v>9</v>
      </c>
      <c r="D1161" t="s">
        <v>10</v>
      </c>
      <c r="E1161">
        <v>11</v>
      </c>
      <c r="F1161" s="1">
        <v>42063</v>
      </c>
      <c r="G1161">
        <v>-4.1374238111409799E-2</v>
      </c>
    </row>
    <row r="1162" spans="1:7" x14ac:dyDescent="0.25">
      <c r="A1162" t="s">
        <v>7</v>
      </c>
      <c r="B1162" t="s">
        <v>13</v>
      </c>
      <c r="C1162" t="s">
        <v>9</v>
      </c>
      <c r="D1162" t="s">
        <v>10</v>
      </c>
      <c r="E1162">
        <v>11</v>
      </c>
      <c r="F1162" s="1">
        <v>42094</v>
      </c>
      <c r="G1162">
        <v>-1.47440582443224E-2</v>
      </c>
    </row>
    <row r="1163" spans="1:7" x14ac:dyDescent="0.25">
      <c r="A1163" t="s">
        <v>7</v>
      </c>
      <c r="B1163" t="s">
        <v>13</v>
      </c>
      <c r="C1163" t="s">
        <v>9</v>
      </c>
      <c r="D1163" t="s">
        <v>10</v>
      </c>
      <c r="E1163">
        <v>11</v>
      </c>
      <c r="F1163" s="1">
        <v>42124</v>
      </c>
      <c r="G1163">
        <v>-3.2135899506603803E-2</v>
      </c>
    </row>
    <row r="1164" spans="1:7" x14ac:dyDescent="0.25">
      <c r="A1164" t="s">
        <v>7</v>
      </c>
      <c r="B1164" t="s">
        <v>13</v>
      </c>
      <c r="C1164" t="s">
        <v>9</v>
      </c>
      <c r="D1164" t="s">
        <v>10</v>
      </c>
      <c r="E1164">
        <v>11</v>
      </c>
      <c r="F1164" s="1">
        <v>42155</v>
      </c>
      <c r="G1164">
        <v>1.8723784030557598E-2</v>
      </c>
    </row>
    <row r="1165" spans="1:7" x14ac:dyDescent="0.25">
      <c r="A1165" t="s">
        <v>7</v>
      </c>
      <c r="B1165" t="s">
        <v>13</v>
      </c>
      <c r="C1165" t="s">
        <v>9</v>
      </c>
      <c r="D1165" t="s">
        <v>10</v>
      </c>
      <c r="E1165">
        <v>11</v>
      </c>
      <c r="F1165" s="1">
        <v>42185</v>
      </c>
      <c r="G1165">
        <v>1.0393389285531501E-2</v>
      </c>
    </row>
    <row r="1166" spans="1:7" x14ac:dyDescent="0.25">
      <c r="A1166" t="s">
        <v>7</v>
      </c>
      <c r="B1166" t="s">
        <v>13</v>
      </c>
      <c r="C1166" t="s">
        <v>9</v>
      </c>
      <c r="D1166" t="s">
        <v>10</v>
      </c>
      <c r="E1166">
        <v>11</v>
      </c>
      <c r="F1166" s="1">
        <v>42216</v>
      </c>
      <c r="G1166">
        <v>-1.41093065744153E-2</v>
      </c>
    </row>
    <row r="1167" spans="1:7" x14ac:dyDescent="0.25">
      <c r="A1167" t="s">
        <v>7</v>
      </c>
      <c r="B1167" t="s">
        <v>13</v>
      </c>
      <c r="C1167" t="s">
        <v>9</v>
      </c>
      <c r="D1167" t="s">
        <v>10</v>
      </c>
      <c r="E1167">
        <v>11</v>
      </c>
      <c r="F1167" s="1">
        <v>42247</v>
      </c>
      <c r="G1167">
        <v>1.85581358620533E-2</v>
      </c>
    </row>
    <row r="1168" spans="1:7" x14ac:dyDescent="0.25">
      <c r="A1168" t="s">
        <v>7</v>
      </c>
      <c r="B1168" t="s">
        <v>13</v>
      </c>
      <c r="C1168" t="s">
        <v>9</v>
      </c>
      <c r="D1168" t="s">
        <v>10</v>
      </c>
      <c r="E1168">
        <v>11</v>
      </c>
      <c r="F1168" s="1">
        <v>42277</v>
      </c>
      <c r="G1168">
        <v>-2.27743793009728E-2</v>
      </c>
    </row>
    <row r="1169" spans="1:7" x14ac:dyDescent="0.25">
      <c r="A1169" t="s">
        <v>7</v>
      </c>
      <c r="B1169" t="s">
        <v>13</v>
      </c>
      <c r="C1169" t="s">
        <v>9</v>
      </c>
      <c r="D1169" t="s">
        <v>10</v>
      </c>
      <c r="E1169">
        <v>11</v>
      </c>
      <c r="F1169" s="1">
        <v>42308</v>
      </c>
      <c r="G1169">
        <v>9.8087294423206597E-3</v>
      </c>
    </row>
    <row r="1170" spans="1:7" x14ac:dyDescent="0.25">
      <c r="A1170" t="s">
        <v>7</v>
      </c>
      <c r="B1170" t="s">
        <v>13</v>
      </c>
      <c r="C1170" t="s">
        <v>9</v>
      </c>
      <c r="D1170" t="s">
        <v>10</v>
      </c>
      <c r="E1170">
        <v>11</v>
      </c>
      <c r="F1170" s="1">
        <v>42338</v>
      </c>
      <c r="G1170">
        <v>-2.8150478900476001E-3</v>
      </c>
    </row>
    <row r="1171" spans="1:7" x14ac:dyDescent="0.25">
      <c r="A1171" t="s">
        <v>7</v>
      </c>
      <c r="B1171" t="s">
        <v>13</v>
      </c>
      <c r="C1171" t="s">
        <v>9</v>
      </c>
      <c r="D1171" t="s">
        <v>10</v>
      </c>
      <c r="E1171">
        <v>11</v>
      </c>
      <c r="F1171" s="1">
        <v>42369</v>
      </c>
      <c r="G1171">
        <v>-4.4848527900124904E-3</v>
      </c>
    </row>
    <row r="1172" spans="1:7" x14ac:dyDescent="0.25">
      <c r="A1172" t="s">
        <v>7</v>
      </c>
      <c r="B1172" t="s">
        <v>13</v>
      </c>
      <c r="C1172" t="s">
        <v>9</v>
      </c>
      <c r="D1172" t="s">
        <v>10</v>
      </c>
      <c r="E1172">
        <v>11</v>
      </c>
      <c r="F1172" s="1">
        <v>42400</v>
      </c>
      <c r="G1172">
        <v>-2.5998895300872401E-2</v>
      </c>
    </row>
    <row r="1173" spans="1:7" x14ac:dyDescent="0.25">
      <c r="A1173" t="s">
        <v>7</v>
      </c>
      <c r="B1173" t="s">
        <v>13</v>
      </c>
      <c r="C1173" t="s">
        <v>9</v>
      </c>
      <c r="D1173" t="s">
        <v>10</v>
      </c>
      <c r="E1173">
        <v>11</v>
      </c>
      <c r="F1173" s="1">
        <v>42429</v>
      </c>
      <c r="G1173">
        <v>2.3549071933765E-3</v>
      </c>
    </row>
    <row r="1174" spans="1:7" x14ac:dyDescent="0.25">
      <c r="A1174" t="s">
        <v>7</v>
      </c>
      <c r="B1174" t="s">
        <v>13</v>
      </c>
      <c r="C1174" t="s">
        <v>9</v>
      </c>
      <c r="D1174" t="s">
        <v>10</v>
      </c>
      <c r="E1174">
        <v>11</v>
      </c>
      <c r="F1174" s="1">
        <v>42460</v>
      </c>
      <c r="G1174">
        <v>-2.1463307831439401E-2</v>
      </c>
    </row>
    <row r="1175" spans="1:7" x14ac:dyDescent="0.25">
      <c r="A1175" t="s">
        <v>7</v>
      </c>
      <c r="B1175" t="s">
        <v>13</v>
      </c>
      <c r="C1175" t="s">
        <v>9</v>
      </c>
      <c r="D1175" t="s">
        <v>10</v>
      </c>
      <c r="E1175">
        <v>11</v>
      </c>
      <c r="F1175" s="1">
        <v>42490</v>
      </c>
      <c r="G1175">
        <v>-1.7707762917115202E-2</v>
      </c>
    </row>
    <row r="1176" spans="1:7" x14ac:dyDescent="0.25">
      <c r="A1176" t="s">
        <v>7</v>
      </c>
      <c r="B1176" t="s">
        <v>13</v>
      </c>
      <c r="C1176" t="s">
        <v>9</v>
      </c>
      <c r="D1176" t="s">
        <v>10</v>
      </c>
      <c r="E1176">
        <v>11</v>
      </c>
      <c r="F1176" s="1">
        <v>42521</v>
      </c>
      <c r="G1176">
        <v>4.0127057431360797E-3</v>
      </c>
    </row>
    <row r="1177" spans="1:7" x14ac:dyDescent="0.25">
      <c r="A1177" t="s">
        <v>7</v>
      </c>
      <c r="B1177" t="s">
        <v>13</v>
      </c>
      <c r="C1177" t="s">
        <v>9</v>
      </c>
      <c r="D1177" t="s">
        <v>10</v>
      </c>
      <c r="E1177">
        <v>11</v>
      </c>
      <c r="F1177" s="1">
        <v>42551</v>
      </c>
      <c r="G1177">
        <v>2.6138516367902501E-2</v>
      </c>
    </row>
    <row r="1178" spans="1:7" x14ac:dyDescent="0.25">
      <c r="A1178" t="s">
        <v>7</v>
      </c>
      <c r="B1178" t="s">
        <v>13</v>
      </c>
      <c r="C1178" t="s">
        <v>9</v>
      </c>
      <c r="D1178" t="s">
        <v>10</v>
      </c>
      <c r="E1178">
        <v>11</v>
      </c>
      <c r="F1178" s="1">
        <v>42582</v>
      </c>
      <c r="G1178">
        <v>1.7425059898988501E-2</v>
      </c>
    </row>
    <row r="1179" spans="1:7" x14ac:dyDescent="0.25">
      <c r="A1179" t="s">
        <v>7</v>
      </c>
      <c r="B1179" t="s">
        <v>13</v>
      </c>
      <c r="C1179" t="s">
        <v>9</v>
      </c>
      <c r="D1179" t="s">
        <v>10</v>
      </c>
      <c r="E1179">
        <v>11</v>
      </c>
      <c r="F1179" s="1">
        <v>42613</v>
      </c>
      <c r="G1179">
        <v>-6.9218292533992801E-4</v>
      </c>
    </row>
    <row r="1180" spans="1:7" x14ac:dyDescent="0.25">
      <c r="A1180" t="s">
        <v>7</v>
      </c>
      <c r="B1180" t="s">
        <v>13</v>
      </c>
      <c r="C1180" t="s">
        <v>9</v>
      </c>
      <c r="D1180" t="s">
        <v>10</v>
      </c>
      <c r="E1180">
        <v>11</v>
      </c>
      <c r="F1180" s="1">
        <v>42643</v>
      </c>
      <c r="G1180">
        <v>-3.0107024778971399E-3</v>
      </c>
    </row>
    <row r="1181" spans="1:7" x14ac:dyDescent="0.25">
      <c r="A1181" t="s">
        <v>7</v>
      </c>
      <c r="B1181" t="s">
        <v>13</v>
      </c>
      <c r="C1181" t="s">
        <v>9</v>
      </c>
      <c r="D1181" t="s">
        <v>10</v>
      </c>
      <c r="E1181">
        <v>11</v>
      </c>
      <c r="F1181" s="1">
        <v>42674</v>
      </c>
      <c r="G1181">
        <v>-1.32187032936847E-2</v>
      </c>
    </row>
    <row r="1182" spans="1:7" x14ac:dyDescent="0.25">
      <c r="A1182" t="s">
        <v>7</v>
      </c>
      <c r="B1182" t="s">
        <v>13</v>
      </c>
      <c r="C1182" t="s">
        <v>9</v>
      </c>
      <c r="D1182" t="s">
        <v>10</v>
      </c>
      <c r="E1182">
        <v>11</v>
      </c>
      <c r="F1182" s="1">
        <v>42704</v>
      </c>
      <c r="G1182">
        <v>-2.5451224541638302E-2</v>
      </c>
    </row>
    <row r="1183" spans="1:7" x14ac:dyDescent="0.25">
      <c r="A1183" t="s">
        <v>7</v>
      </c>
      <c r="B1183" t="s">
        <v>13</v>
      </c>
      <c r="C1183" t="s">
        <v>9</v>
      </c>
      <c r="D1183" t="s">
        <v>10</v>
      </c>
      <c r="E1183">
        <v>11</v>
      </c>
      <c r="F1183" s="1">
        <v>42735</v>
      </c>
      <c r="G1183">
        <v>-2.77722009403637E-2</v>
      </c>
    </row>
    <row r="1184" spans="1:7" x14ac:dyDescent="0.25">
      <c r="A1184" t="s">
        <v>7</v>
      </c>
      <c r="B1184" t="s">
        <v>13</v>
      </c>
      <c r="C1184" t="s">
        <v>9</v>
      </c>
      <c r="D1184" t="s">
        <v>10</v>
      </c>
      <c r="E1184">
        <v>11</v>
      </c>
      <c r="F1184" s="1">
        <v>42766</v>
      </c>
      <c r="G1184">
        <v>5.2343001885529197E-3</v>
      </c>
    </row>
    <row r="1185" spans="1:7" x14ac:dyDescent="0.25">
      <c r="A1185" t="s">
        <v>7</v>
      </c>
      <c r="B1185" t="s">
        <v>13</v>
      </c>
      <c r="C1185" t="s">
        <v>9</v>
      </c>
      <c r="D1185" t="s">
        <v>10</v>
      </c>
      <c r="E1185">
        <v>11</v>
      </c>
      <c r="F1185" s="1">
        <v>42794</v>
      </c>
      <c r="G1185">
        <v>-1.6409653605210298E-2</v>
      </c>
    </row>
    <row r="1186" spans="1:7" x14ac:dyDescent="0.25">
      <c r="A1186" t="s">
        <v>7</v>
      </c>
      <c r="B1186" t="s">
        <v>13</v>
      </c>
      <c r="C1186" t="s">
        <v>9</v>
      </c>
      <c r="D1186" t="s">
        <v>10</v>
      </c>
      <c r="E1186">
        <v>11</v>
      </c>
      <c r="F1186" s="1">
        <v>42825</v>
      </c>
      <c r="G1186">
        <v>1.7455918156311399E-2</v>
      </c>
    </row>
    <row r="1187" spans="1:7" x14ac:dyDescent="0.25">
      <c r="A1187" t="s">
        <v>7</v>
      </c>
      <c r="B1187" t="s">
        <v>13</v>
      </c>
      <c r="C1187" t="s">
        <v>9</v>
      </c>
      <c r="D1187" t="s">
        <v>10</v>
      </c>
      <c r="E1187">
        <v>11</v>
      </c>
      <c r="F1187" s="1">
        <v>42855</v>
      </c>
      <c r="G1187">
        <v>2.3253151713485E-2</v>
      </c>
    </row>
    <row r="1188" spans="1:7" x14ac:dyDescent="0.25">
      <c r="A1188" t="s">
        <v>7</v>
      </c>
      <c r="B1188" t="s">
        <v>13</v>
      </c>
      <c r="C1188" t="s">
        <v>9</v>
      </c>
      <c r="D1188" t="s">
        <v>10</v>
      </c>
      <c r="E1188">
        <v>11</v>
      </c>
      <c r="F1188" s="1">
        <v>42886</v>
      </c>
      <c r="G1188">
        <v>2.87572359321044E-2</v>
      </c>
    </row>
    <row r="1189" spans="1:7" x14ac:dyDescent="0.25">
      <c r="A1189" t="s">
        <v>7</v>
      </c>
      <c r="B1189" t="s">
        <v>13</v>
      </c>
      <c r="C1189" t="s">
        <v>9</v>
      </c>
      <c r="D1189" t="s">
        <v>10</v>
      </c>
      <c r="E1189">
        <v>11</v>
      </c>
      <c r="F1189" s="1">
        <v>42916</v>
      </c>
      <c r="G1189">
        <v>-1.43254983407184E-2</v>
      </c>
    </row>
    <row r="1190" spans="1:7" x14ac:dyDescent="0.25">
      <c r="A1190" t="s">
        <v>7</v>
      </c>
      <c r="B1190" t="s">
        <v>13</v>
      </c>
      <c r="C1190" t="s">
        <v>9</v>
      </c>
      <c r="D1190" t="s">
        <v>10</v>
      </c>
      <c r="E1190">
        <v>11</v>
      </c>
      <c r="F1190" s="1">
        <v>42947</v>
      </c>
      <c r="G1190">
        <v>-1.4837666154195099E-3</v>
      </c>
    </row>
    <row r="1191" spans="1:7" x14ac:dyDescent="0.25">
      <c r="A1191" t="s">
        <v>7</v>
      </c>
      <c r="B1191" t="s">
        <v>13</v>
      </c>
      <c r="C1191" t="s">
        <v>9</v>
      </c>
      <c r="D1191" t="s">
        <v>10</v>
      </c>
      <c r="E1191">
        <v>11</v>
      </c>
      <c r="F1191" s="1">
        <v>42978</v>
      </c>
      <c r="G1191">
        <v>7.3901861290221402E-3</v>
      </c>
    </row>
    <row r="1192" spans="1:7" x14ac:dyDescent="0.25">
      <c r="A1192" t="s">
        <v>7</v>
      </c>
      <c r="B1192" t="s">
        <v>13</v>
      </c>
      <c r="C1192" t="s">
        <v>9</v>
      </c>
      <c r="D1192" t="s">
        <v>10</v>
      </c>
      <c r="E1192">
        <v>11</v>
      </c>
      <c r="F1192" s="1">
        <v>43008</v>
      </c>
      <c r="G1192">
        <v>5.4587528804793499E-3</v>
      </c>
    </row>
    <row r="1193" spans="1:7" x14ac:dyDescent="0.25">
      <c r="A1193" t="s">
        <v>7</v>
      </c>
      <c r="B1193" t="s">
        <v>13</v>
      </c>
      <c r="C1193" t="s">
        <v>9</v>
      </c>
      <c r="D1193" t="s">
        <v>10</v>
      </c>
      <c r="E1193">
        <v>11</v>
      </c>
      <c r="F1193" s="1">
        <v>43039</v>
      </c>
      <c r="G1193">
        <v>-1.0179807326423001E-2</v>
      </c>
    </row>
    <row r="1194" spans="1:7" x14ac:dyDescent="0.25">
      <c r="A1194" t="s">
        <v>7</v>
      </c>
      <c r="B1194" t="s">
        <v>13</v>
      </c>
      <c r="C1194" t="s">
        <v>9</v>
      </c>
      <c r="D1194" t="s">
        <v>10</v>
      </c>
      <c r="E1194">
        <v>11</v>
      </c>
      <c r="F1194" s="1">
        <v>43069</v>
      </c>
      <c r="G1194">
        <v>2.8567156606912301E-2</v>
      </c>
    </row>
    <row r="1195" spans="1:7" x14ac:dyDescent="0.25">
      <c r="A1195" t="s">
        <v>7</v>
      </c>
      <c r="B1195" t="s">
        <v>13</v>
      </c>
      <c r="C1195" t="s">
        <v>9</v>
      </c>
      <c r="D1195" t="s">
        <v>10</v>
      </c>
      <c r="E1195">
        <v>11</v>
      </c>
      <c r="F1195" s="1">
        <v>43100</v>
      </c>
      <c r="G1195">
        <v>5.3727762936351797E-3</v>
      </c>
    </row>
    <row r="1196" spans="1:7" x14ac:dyDescent="0.25">
      <c r="A1196" t="s">
        <v>7</v>
      </c>
      <c r="B1196" t="s">
        <v>13</v>
      </c>
      <c r="C1196" t="s">
        <v>9</v>
      </c>
      <c r="D1196" t="s">
        <v>10</v>
      </c>
      <c r="E1196">
        <v>11</v>
      </c>
      <c r="F1196" s="1">
        <v>43131</v>
      </c>
      <c r="G1196">
        <v>-4.3252204042818501E-2</v>
      </c>
    </row>
    <row r="1197" spans="1:7" x14ac:dyDescent="0.25">
      <c r="A1197" t="s">
        <v>7</v>
      </c>
      <c r="B1197" t="s">
        <v>13</v>
      </c>
      <c r="C1197" t="s">
        <v>9</v>
      </c>
      <c r="D1197" t="s">
        <v>10</v>
      </c>
      <c r="E1197">
        <v>11</v>
      </c>
      <c r="F1197" s="1">
        <v>43159</v>
      </c>
      <c r="G1197">
        <v>1.4272264972368901E-3</v>
      </c>
    </row>
    <row r="1198" spans="1:7" x14ac:dyDescent="0.25">
      <c r="A1198" t="s">
        <v>7</v>
      </c>
      <c r="B1198" t="s">
        <v>13</v>
      </c>
      <c r="C1198" t="s">
        <v>9</v>
      </c>
      <c r="D1198" t="s">
        <v>10</v>
      </c>
      <c r="E1198">
        <v>11</v>
      </c>
      <c r="F1198" s="1">
        <v>43190</v>
      </c>
      <c r="G1198">
        <v>2.4032171887905199E-2</v>
      </c>
    </row>
    <row r="1199" spans="1:7" x14ac:dyDescent="0.25">
      <c r="A1199" t="s">
        <v>7</v>
      </c>
      <c r="B1199" t="s">
        <v>13</v>
      </c>
      <c r="C1199" t="s">
        <v>9</v>
      </c>
      <c r="D1199" t="s">
        <v>10</v>
      </c>
      <c r="E1199">
        <v>11</v>
      </c>
      <c r="F1199" s="1">
        <v>43220</v>
      </c>
      <c r="G1199">
        <v>1.42598940679203E-2</v>
      </c>
    </row>
    <row r="1200" spans="1:7" x14ac:dyDescent="0.25">
      <c r="A1200" t="s">
        <v>7</v>
      </c>
      <c r="B1200" t="s">
        <v>13</v>
      </c>
      <c r="C1200" t="s">
        <v>9</v>
      </c>
      <c r="D1200" t="s">
        <v>10</v>
      </c>
      <c r="E1200">
        <v>11</v>
      </c>
      <c r="F1200" s="1">
        <v>43251</v>
      </c>
      <c r="G1200">
        <v>1.76718981368904E-2</v>
      </c>
    </row>
    <row r="1201" spans="1:7" x14ac:dyDescent="0.25">
      <c r="A1201" t="s">
        <v>7</v>
      </c>
      <c r="B1201" t="s">
        <v>13</v>
      </c>
      <c r="C1201" t="s">
        <v>9</v>
      </c>
      <c r="D1201" t="s">
        <v>10</v>
      </c>
      <c r="E1201">
        <v>11</v>
      </c>
      <c r="F1201" s="1">
        <v>43281</v>
      </c>
      <c r="G1201">
        <v>-8.9219136201577603E-3</v>
      </c>
    </row>
    <row r="1202" spans="1:7" x14ac:dyDescent="0.25">
      <c r="A1202" t="s">
        <v>7</v>
      </c>
      <c r="B1202" t="s">
        <v>13</v>
      </c>
      <c r="C1202" t="s">
        <v>9</v>
      </c>
      <c r="D1202" t="s">
        <v>10</v>
      </c>
      <c r="E1202">
        <v>11</v>
      </c>
      <c r="F1202" s="1">
        <v>43312</v>
      </c>
      <c r="G1202">
        <v>1.8497975254790501E-2</v>
      </c>
    </row>
    <row r="1203" spans="1:7" x14ac:dyDescent="0.25">
      <c r="A1203" t="s">
        <v>7</v>
      </c>
      <c r="B1203" t="s">
        <v>13</v>
      </c>
      <c r="C1203" t="s">
        <v>9</v>
      </c>
      <c r="D1203" t="s">
        <v>10</v>
      </c>
      <c r="E1203">
        <v>11</v>
      </c>
      <c r="F1203" s="1">
        <v>43343</v>
      </c>
      <c r="G1203">
        <v>5.3033977345260802E-3</v>
      </c>
    </row>
    <row r="1204" spans="1:7" x14ac:dyDescent="0.25">
      <c r="A1204" t="s">
        <v>7</v>
      </c>
      <c r="B1204" t="s">
        <v>13</v>
      </c>
      <c r="C1204" t="s">
        <v>9</v>
      </c>
      <c r="D1204" t="s">
        <v>10</v>
      </c>
      <c r="E1204">
        <v>11</v>
      </c>
      <c r="F1204" s="1">
        <v>43373</v>
      </c>
      <c r="G1204">
        <v>7.6404349041474199E-3</v>
      </c>
    </row>
    <row r="1205" spans="1:7" x14ac:dyDescent="0.25">
      <c r="A1205" t="s">
        <v>7</v>
      </c>
      <c r="B1205" t="s">
        <v>13</v>
      </c>
      <c r="C1205" t="s">
        <v>9</v>
      </c>
      <c r="D1205" t="s">
        <v>10</v>
      </c>
      <c r="E1205">
        <v>11</v>
      </c>
      <c r="F1205" s="1">
        <v>43404</v>
      </c>
      <c r="G1205">
        <v>-5.4044799556477299E-2</v>
      </c>
    </row>
    <row r="1206" spans="1:7" x14ac:dyDescent="0.25">
      <c r="A1206" t="s">
        <v>7</v>
      </c>
      <c r="B1206" t="s">
        <v>13</v>
      </c>
      <c r="C1206" t="s">
        <v>9</v>
      </c>
      <c r="D1206" t="s">
        <v>10</v>
      </c>
      <c r="E1206">
        <v>11</v>
      </c>
      <c r="F1206" s="1">
        <v>43434</v>
      </c>
      <c r="G1206">
        <v>1.7860108115983798E-2</v>
      </c>
    </row>
    <row r="1207" spans="1:7" x14ac:dyDescent="0.25">
      <c r="A1207" t="s">
        <v>7</v>
      </c>
      <c r="B1207" t="s">
        <v>13</v>
      </c>
      <c r="C1207" t="s">
        <v>9</v>
      </c>
      <c r="D1207" t="s">
        <v>10</v>
      </c>
      <c r="E1207">
        <v>11</v>
      </c>
      <c r="F1207" s="1">
        <v>43465</v>
      </c>
      <c r="G1207">
        <v>-2.7099191048789401E-2</v>
      </c>
    </row>
    <row r="1208" spans="1:7" x14ac:dyDescent="0.25">
      <c r="A1208" t="s">
        <v>7</v>
      </c>
      <c r="B1208" t="s">
        <v>13</v>
      </c>
      <c r="C1208" t="s">
        <v>9</v>
      </c>
      <c r="D1208" t="s">
        <v>10</v>
      </c>
      <c r="E1208">
        <v>11</v>
      </c>
      <c r="F1208" s="1">
        <v>43496</v>
      </c>
      <c r="G1208">
        <v>-6.5658609224194101E-2</v>
      </c>
    </row>
    <row r="1209" spans="1:7" x14ac:dyDescent="0.25">
      <c r="A1209" t="s">
        <v>7</v>
      </c>
      <c r="B1209" t="s">
        <v>13</v>
      </c>
      <c r="C1209" t="s">
        <v>9</v>
      </c>
      <c r="D1209" t="s">
        <v>10</v>
      </c>
      <c r="E1209">
        <v>11</v>
      </c>
      <c r="F1209" s="1">
        <v>43524</v>
      </c>
      <c r="G1209">
        <v>4.5021349602380398E-3</v>
      </c>
    </row>
    <row r="1210" spans="1:7" x14ac:dyDescent="0.25">
      <c r="A1210" t="s">
        <v>7</v>
      </c>
      <c r="B1210" t="s">
        <v>13</v>
      </c>
      <c r="C1210" t="s">
        <v>9</v>
      </c>
      <c r="D1210" t="s">
        <v>10</v>
      </c>
      <c r="E1210">
        <v>11</v>
      </c>
      <c r="F1210" s="1">
        <v>43555</v>
      </c>
      <c r="G1210">
        <v>7.0337571837700398E-3</v>
      </c>
    </row>
    <row r="1211" spans="1:7" x14ac:dyDescent="0.25">
      <c r="A1211" t="s">
        <v>7</v>
      </c>
      <c r="B1211" t="s">
        <v>13</v>
      </c>
      <c r="C1211" t="s">
        <v>9</v>
      </c>
      <c r="D1211" t="s">
        <v>10</v>
      </c>
      <c r="E1211">
        <v>11</v>
      </c>
      <c r="F1211" s="1">
        <v>43585</v>
      </c>
      <c r="G1211">
        <v>9.8769044986504306E-4</v>
      </c>
    </row>
    <row r="1212" spans="1:7" x14ac:dyDescent="0.25">
      <c r="A1212" t="s">
        <v>7</v>
      </c>
      <c r="B1212" t="s">
        <v>13</v>
      </c>
      <c r="C1212" t="s">
        <v>9</v>
      </c>
      <c r="D1212" t="s">
        <v>10</v>
      </c>
      <c r="E1212">
        <v>11</v>
      </c>
      <c r="F1212" s="1">
        <v>43616</v>
      </c>
      <c r="G1212">
        <v>-1.8347813738689302E-2</v>
      </c>
    </row>
    <row r="1213" spans="1:7" x14ac:dyDescent="0.25">
      <c r="A1213" t="s">
        <v>7</v>
      </c>
      <c r="B1213" t="s">
        <v>13</v>
      </c>
      <c r="C1213" t="s">
        <v>9</v>
      </c>
      <c r="D1213" t="s">
        <v>10</v>
      </c>
      <c r="E1213">
        <v>11</v>
      </c>
      <c r="F1213" s="1">
        <v>43646</v>
      </c>
      <c r="G1213">
        <v>8.1501865702597997E-3</v>
      </c>
    </row>
    <row r="1214" spans="1:7" x14ac:dyDescent="0.25">
      <c r="A1214" t="s">
        <v>7</v>
      </c>
      <c r="B1214" t="s">
        <v>13</v>
      </c>
      <c r="C1214" t="s">
        <v>9</v>
      </c>
      <c r="D1214" t="s">
        <v>10</v>
      </c>
      <c r="E1214">
        <v>11</v>
      </c>
      <c r="F1214" s="1">
        <v>43677</v>
      </c>
      <c r="G1214">
        <v>1.2712298016422201E-2</v>
      </c>
    </row>
    <row r="1215" spans="1:7" x14ac:dyDescent="0.25">
      <c r="A1215" t="s">
        <v>7</v>
      </c>
      <c r="B1215" t="s">
        <v>13</v>
      </c>
      <c r="C1215" t="s">
        <v>9</v>
      </c>
      <c r="D1215" t="s">
        <v>10</v>
      </c>
      <c r="E1215">
        <v>11</v>
      </c>
      <c r="F1215" s="1">
        <v>43708</v>
      </c>
      <c r="G1215">
        <v>-9.6679373383676097E-3</v>
      </c>
    </row>
    <row r="1216" spans="1:7" x14ac:dyDescent="0.25">
      <c r="A1216" t="s">
        <v>7</v>
      </c>
      <c r="B1216" t="s">
        <v>13</v>
      </c>
      <c r="C1216" t="s">
        <v>9</v>
      </c>
      <c r="D1216" t="s">
        <v>10</v>
      </c>
      <c r="E1216">
        <v>11</v>
      </c>
      <c r="F1216" s="1">
        <v>43738</v>
      </c>
      <c r="G1216">
        <v>3.19776108917472E-3</v>
      </c>
    </row>
    <row r="1217" spans="1:7" x14ac:dyDescent="0.25">
      <c r="A1217" t="s">
        <v>7</v>
      </c>
      <c r="B1217" t="s">
        <v>13</v>
      </c>
      <c r="C1217" t="s">
        <v>9</v>
      </c>
      <c r="D1217" t="s">
        <v>10</v>
      </c>
      <c r="E1217">
        <v>11</v>
      </c>
      <c r="F1217" s="1">
        <v>43769</v>
      </c>
      <c r="G1217">
        <v>2.9302594804709599E-2</v>
      </c>
    </row>
    <row r="1218" spans="1:7" x14ac:dyDescent="0.25">
      <c r="A1218" t="s">
        <v>7</v>
      </c>
      <c r="B1218" t="s">
        <v>13</v>
      </c>
      <c r="C1218" t="s">
        <v>9</v>
      </c>
      <c r="D1218" t="s">
        <v>10</v>
      </c>
      <c r="E1218">
        <v>11</v>
      </c>
      <c r="F1218" s="1">
        <v>43799</v>
      </c>
      <c r="G1218">
        <v>1.7100254896728499E-2</v>
      </c>
    </row>
    <row r="1219" spans="1:7" x14ac:dyDescent="0.25">
      <c r="A1219" t="s">
        <v>7</v>
      </c>
      <c r="B1219" t="s">
        <v>13</v>
      </c>
      <c r="C1219" t="s">
        <v>9</v>
      </c>
      <c r="D1219" t="s">
        <v>10</v>
      </c>
      <c r="E1219">
        <v>11</v>
      </c>
      <c r="F1219" s="1">
        <v>43830</v>
      </c>
      <c r="G1219">
        <v>-2.7584118408501099E-2</v>
      </c>
    </row>
    <row r="1220" spans="1:7" x14ac:dyDescent="0.25">
      <c r="A1220" t="s">
        <v>7</v>
      </c>
      <c r="B1220" t="s">
        <v>13</v>
      </c>
      <c r="C1220" t="s">
        <v>9</v>
      </c>
      <c r="D1220" t="s">
        <v>10</v>
      </c>
      <c r="E1220">
        <v>11</v>
      </c>
      <c r="F1220" s="1">
        <v>43861</v>
      </c>
      <c r="G1220">
        <v>6.2475356552739697E-2</v>
      </c>
    </row>
    <row r="1221" spans="1:7" x14ac:dyDescent="0.25">
      <c r="A1221" t="s">
        <v>7</v>
      </c>
      <c r="B1221" t="s">
        <v>13</v>
      </c>
      <c r="C1221" t="s">
        <v>9</v>
      </c>
      <c r="D1221" t="s">
        <v>10</v>
      </c>
      <c r="E1221">
        <v>11</v>
      </c>
      <c r="F1221" s="1">
        <v>43890</v>
      </c>
      <c r="G1221">
        <v>1.7149815404957499E-3</v>
      </c>
    </row>
    <row r="1222" spans="1:7" x14ac:dyDescent="0.25">
      <c r="A1222" t="s">
        <v>7</v>
      </c>
      <c r="B1222" t="s">
        <v>13</v>
      </c>
      <c r="C1222" t="s">
        <v>9</v>
      </c>
      <c r="D1222" t="s">
        <v>10</v>
      </c>
      <c r="E1222">
        <v>11</v>
      </c>
      <c r="F1222" s="1">
        <v>43921</v>
      </c>
      <c r="G1222">
        <v>2.8719253108871398E-3</v>
      </c>
    </row>
    <row r="1223" spans="1:7" x14ac:dyDescent="0.25">
      <c r="A1223" t="s">
        <v>7</v>
      </c>
      <c r="B1223" t="s">
        <v>13</v>
      </c>
      <c r="C1223" t="s">
        <v>9</v>
      </c>
      <c r="D1223" t="s">
        <v>10</v>
      </c>
      <c r="E1223">
        <v>11</v>
      </c>
      <c r="F1223" s="1">
        <v>43951</v>
      </c>
      <c r="G1223">
        <v>1.01541329167585E-2</v>
      </c>
    </row>
    <row r="1224" spans="1:7" x14ac:dyDescent="0.25">
      <c r="A1224" t="s">
        <v>7</v>
      </c>
      <c r="B1224" t="s">
        <v>13</v>
      </c>
      <c r="C1224" t="s">
        <v>9</v>
      </c>
      <c r="D1224" t="s">
        <v>10</v>
      </c>
      <c r="E1224">
        <v>11</v>
      </c>
      <c r="F1224" s="1">
        <v>43982</v>
      </c>
      <c r="G1224">
        <v>4.7023347332230897E-3</v>
      </c>
    </row>
    <row r="1225" spans="1:7" x14ac:dyDescent="0.25">
      <c r="A1225" t="s">
        <v>7</v>
      </c>
      <c r="B1225" t="s">
        <v>13</v>
      </c>
      <c r="C1225" t="s">
        <v>9</v>
      </c>
      <c r="D1225" t="s">
        <v>10</v>
      </c>
      <c r="E1225">
        <v>11</v>
      </c>
      <c r="F1225" s="1">
        <v>44012</v>
      </c>
      <c r="G1225">
        <v>5.2552039697389398E-2</v>
      </c>
    </row>
    <row r="1226" spans="1:7" x14ac:dyDescent="0.25">
      <c r="A1226" t="s">
        <v>7</v>
      </c>
      <c r="B1226" t="s">
        <v>13</v>
      </c>
      <c r="C1226" t="s">
        <v>9</v>
      </c>
      <c r="D1226" t="s">
        <v>10</v>
      </c>
      <c r="E1226">
        <v>11</v>
      </c>
      <c r="F1226" s="1">
        <v>44043</v>
      </c>
      <c r="G1226">
        <v>1.9471808517000502E-2</v>
      </c>
    </row>
    <row r="1227" spans="1:7" x14ac:dyDescent="0.25">
      <c r="A1227" t="s">
        <v>7</v>
      </c>
      <c r="B1227" t="s">
        <v>13</v>
      </c>
      <c r="C1227" t="s">
        <v>9</v>
      </c>
      <c r="D1227" t="s">
        <v>10</v>
      </c>
      <c r="E1227">
        <v>11</v>
      </c>
      <c r="F1227" s="1">
        <v>44074</v>
      </c>
      <c r="G1227">
        <v>1.13521643619919E-2</v>
      </c>
    </row>
    <row r="1228" spans="1:7" x14ac:dyDescent="0.25">
      <c r="A1228" t="s">
        <v>7</v>
      </c>
      <c r="B1228" t="s">
        <v>13</v>
      </c>
      <c r="C1228" t="s">
        <v>9</v>
      </c>
      <c r="D1228" t="s">
        <v>10</v>
      </c>
      <c r="E1228">
        <v>11</v>
      </c>
      <c r="F1228" s="1">
        <v>44104</v>
      </c>
      <c r="G1228">
        <v>1.20141256039913E-2</v>
      </c>
    </row>
    <row r="1229" spans="1:7" x14ac:dyDescent="0.25">
      <c r="A1229" t="s">
        <v>7</v>
      </c>
      <c r="B1229" t="s">
        <v>13</v>
      </c>
      <c r="C1229" t="s">
        <v>9</v>
      </c>
      <c r="D1229" t="s">
        <v>10</v>
      </c>
      <c r="E1229">
        <v>11</v>
      </c>
      <c r="F1229" s="1">
        <v>44135</v>
      </c>
      <c r="G1229">
        <v>5.8603023360567297E-3</v>
      </c>
    </row>
    <row r="1230" spans="1:7" x14ac:dyDescent="0.25">
      <c r="A1230" t="s">
        <v>7</v>
      </c>
      <c r="B1230" t="s">
        <v>13</v>
      </c>
      <c r="C1230" t="s">
        <v>9</v>
      </c>
      <c r="D1230" t="s">
        <v>10</v>
      </c>
      <c r="E1230">
        <v>11</v>
      </c>
      <c r="F1230" s="1">
        <v>44165</v>
      </c>
      <c r="G1230">
        <v>-2.4441518051462E-2</v>
      </c>
    </row>
    <row r="1231" spans="1:7" x14ac:dyDescent="0.25">
      <c r="A1231" t="s">
        <v>7</v>
      </c>
      <c r="B1231" t="s">
        <v>13</v>
      </c>
      <c r="C1231" t="s">
        <v>9</v>
      </c>
      <c r="D1231" t="s">
        <v>10</v>
      </c>
      <c r="E1231">
        <v>11</v>
      </c>
      <c r="F1231" s="1">
        <v>44196</v>
      </c>
      <c r="G1231">
        <v>-4.9284101110638502E-3</v>
      </c>
    </row>
    <row r="1232" spans="1:7" x14ac:dyDescent="0.25">
      <c r="A1232" t="s">
        <v>7</v>
      </c>
      <c r="B1232" t="s">
        <v>13</v>
      </c>
      <c r="C1232" t="s">
        <v>9</v>
      </c>
      <c r="D1232" t="s">
        <v>10</v>
      </c>
      <c r="E1232">
        <v>11</v>
      </c>
      <c r="F1232" s="1">
        <v>44227</v>
      </c>
      <c r="G1232">
        <v>3.8633908644564598E-2</v>
      </c>
    </row>
    <row r="1233" spans="1:7" x14ac:dyDescent="0.25">
      <c r="A1233" t="s">
        <v>7</v>
      </c>
      <c r="B1233" t="s">
        <v>13</v>
      </c>
      <c r="C1233" t="s">
        <v>9</v>
      </c>
      <c r="D1233" t="s">
        <v>10</v>
      </c>
      <c r="E1233">
        <v>11</v>
      </c>
      <c r="F1233" s="1">
        <v>44255</v>
      </c>
      <c r="G1233">
        <v>-9.5474856388537196E-3</v>
      </c>
    </row>
    <row r="1234" spans="1:7" x14ac:dyDescent="0.25">
      <c r="A1234" t="s">
        <v>7</v>
      </c>
      <c r="B1234" t="s">
        <v>13</v>
      </c>
      <c r="C1234" t="s">
        <v>9</v>
      </c>
      <c r="D1234" t="s">
        <v>10</v>
      </c>
      <c r="E1234">
        <v>11</v>
      </c>
      <c r="F1234" s="1">
        <v>44286</v>
      </c>
      <c r="G1234">
        <v>-6.0672397960458098E-2</v>
      </c>
    </row>
    <row r="1235" spans="1:7" x14ac:dyDescent="0.25">
      <c r="A1235" t="s">
        <v>7</v>
      </c>
      <c r="B1235" t="s">
        <v>13</v>
      </c>
      <c r="C1235" t="s">
        <v>9</v>
      </c>
      <c r="D1235" t="s">
        <v>10</v>
      </c>
      <c r="E1235">
        <v>11</v>
      </c>
      <c r="F1235" s="1">
        <v>44316</v>
      </c>
      <c r="G1235">
        <v>-1.22351190619582E-2</v>
      </c>
    </row>
    <row r="1236" spans="1:7" x14ac:dyDescent="0.25">
      <c r="A1236" t="s">
        <v>7</v>
      </c>
      <c r="B1236" t="s">
        <v>13</v>
      </c>
      <c r="C1236" t="s">
        <v>9</v>
      </c>
      <c r="D1236" t="s">
        <v>10</v>
      </c>
      <c r="E1236">
        <v>11</v>
      </c>
      <c r="F1236" s="1">
        <v>44347</v>
      </c>
      <c r="G1236">
        <v>-9.8902729799763608E-3</v>
      </c>
    </row>
    <row r="1237" spans="1:7" x14ac:dyDescent="0.25">
      <c r="A1237" t="s">
        <v>7</v>
      </c>
      <c r="B1237" t="s">
        <v>13</v>
      </c>
      <c r="C1237" t="s">
        <v>9</v>
      </c>
      <c r="D1237" t="s">
        <v>10</v>
      </c>
      <c r="E1237">
        <v>11</v>
      </c>
      <c r="F1237" s="1">
        <v>44377</v>
      </c>
      <c r="G1237">
        <v>2.6444197216582001E-2</v>
      </c>
    </row>
    <row r="1238" spans="1:7" x14ac:dyDescent="0.25">
      <c r="A1238" t="s">
        <v>7</v>
      </c>
      <c r="B1238" t="s">
        <v>13</v>
      </c>
      <c r="C1238" t="s">
        <v>9</v>
      </c>
      <c r="D1238" t="s">
        <v>10</v>
      </c>
      <c r="E1238">
        <v>11</v>
      </c>
      <c r="F1238" s="1">
        <v>44408</v>
      </c>
      <c r="G1238">
        <v>-2.3312840038607601E-2</v>
      </c>
    </row>
    <row r="1239" spans="1:7" x14ac:dyDescent="0.25">
      <c r="A1239" t="s">
        <v>7</v>
      </c>
      <c r="B1239" t="s">
        <v>13</v>
      </c>
      <c r="C1239" t="s">
        <v>9</v>
      </c>
      <c r="D1239" t="s">
        <v>10</v>
      </c>
      <c r="E1239">
        <v>11</v>
      </c>
      <c r="F1239" s="1">
        <v>44439</v>
      </c>
      <c r="G1239">
        <v>3.2525105139917399E-3</v>
      </c>
    </row>
    <row r="1240" spans="1:7" x14ac:dyDescent="0.25">
      <c r="A1240" t="s">
        <v>7</v>
      </c>
      <c r="B1240" t="s">
        <v>13</v>
      </c>
      <c r="C1240" t="s">
        <v>9</v>
      </c>
      <c r="D1240" t="s">
        <v>10</v>
      </c>
      <c r="E1240">
        <v>11</v>
      </c>
      <c r="F1240" s="1">
        <v>44469</v>
      </c>
      <c r="G1240">
        <v>-1.50981151810305E-2</v>
      </c>
    </row>
    <row r="1241" spans="1:7" x14ac:dyDescent="0.25">
      <c r="A1241" t="s">
        <v>7</v>
      </c>
      <c r="B1241" t="s">
        <v>13</v>
      </c>
      <c r="C1241" t="s">
        <v>9</v>
      </c>
      <c r="D1241" t="s">
        <v>10</v>
      </c>
      <c r="E1241">
        <v>11</v>
      </c>
      <c r="F1241" s="1">
        <v>44500</v>
      </c>
      <c r="G1241">
        <v>-3.1742930905505097E-2</v>
      </c>
    </row>
    <row r="1242" spans="1:7" x14ac:dyDescent="0.25">
      <c r="A1242" t="s">
        <v>7</v>
      </c>
      <c r="B1242" t="s">
        <v>13</v>
      </c>
      <c r="C1242" t="s">
        <v>9</v>
      </c>
      <c r="D1242" t="s">
        <v>10</v>
      </c>
      <c r="E1242">
        <v>11</v>
      </c>
      <c r="F1242" s="1">
        <v>44530</v>
      </c>
      <c r="G1242">
        <v>-6.3383556398297694E-2</v>
      </c>
    </row>
    <row r="1243" spans="1:7" x14ac:dyDescent="0.25">
      <c r="A1243" t="s">
        <v>7</v>
      </c>
      <c r="B1243" t="s">
        <v>13</v>
      </c>
      <c r="C1243" t="s">
        <v>9</v>
      </c>
      <c r="D1243" t="s">
        <v>10</v>
      </c>
      <c r="E1243">
        <v>11</v>
      </c>
      <c r="F1243" s="1">
        <v>44561</v>
      </c>
      <c r="G1243">
        <v>1.6070945747468899E-2</v>
      </c>
    </row>
    <row r="1244" spans="1:7" x14ac:dyDescent="0.25">
      <c r="A1244" t="s">
        <v>7</v>
      </c>
      <c r="B1244" t="s">
        <v>13</v>
      </c>
      <c r="C1244" t="s">
        <v>9</v>
      </c>
      <c r="D1244" t="s">
        <v>10</v>
      </c>
      <c r="E1244">
        <v>11</v>
      </c>
      <c r="F1244" s="1">
        <v>44592</v>
      </c>
      <c r="G1244">
        <v>-6.1246566863566903E-3</v>
      </c>
    </row>
    <row r="1245" spans="1:7" x14ac:dyDescent="0.25">
      <c r="A1245" t="s">
        <v>7</v>
      </c>
      <c r="B1245" t="s">
        <v>13</v>
      </c>
      <c r="C1245" t="s">
        <v>9</v>
      </c>
      <c r="D1245" t="s">
        <v>10</v>
      </c>
      <c r="E1245">
        <v>11</v>
      </c>
      <c r="F1245" s="1">
        <v>44620</v>
      </c>
      <c r="G1245">
        <v>-5.8757360021571003E-3</v>
      </c>
    </row>
    <row r="1246" spans="1:7" x14ac:dyDescent="0.25">
      <c r="A1246" t="s">
        <v>7</v>
      </c>
      <c r="B1246" t="s">
        <v>13</v>
      </c>
      <c r="C1246" t="s">
        <v>9</v>
      </c>
      <c r="D1246" t="s">
        <v>10</v>
      </c>
      <c r="E1246">
        <v>11</v>
      </c>
      <c r="F1246" s="1">
        <v>44651</v>
      </c>
      <c r="G1246">
        <v>-7.8130592051565903E-3</v>
      </c>
    </row>
    <row r="1247" spans="1:7" x14ac:dyDescent="0.25">
      <c r="A1247" t="s">
        <v>7</v>
      </c>
      <c r="B1247" t="s">
        <v>13</v>
      </c>
      <c r="C1247" t="s">
        <v>9</v>
      </c>
      <c r="D1247" t="s">
        <v>10</v>
      </c>
      <c r="E1247">
        <v>11</v>
      </c>
      <c r="F1247" s="1">
        <v>44681</v>
      </c>
      <c r="G1247">
        <v>-4.3776484616502201E-2</v>
      </c>
    </row>
    <row r="1248" spans="1:7" x14ac:dyDescent="0.25">
      <c r="A1248" t="s">
        <v>7</v>
      </c>
      <c r="B1248" t="s">
        <v>13</v>
      </c>
      <c r="C1248" t="s">
        <v>9</v>
      </c>
      <c r="D1248" t="s">
        <v>10</v>
      </c>
      <c r="E1248">
        <v>11</v>
      </c>
      <c r="F1248" s="1">
        <v>44712</v>
      </c>
      <c r="G1248">
        <v>-5.2590522982766397E-2</v>
      </c>
    </row>
    <row r="1249" spans="1:7" x14ac:dyDescent="0.25">
      <c r="A1249" t="s">
        <v>7</v>
      </c>
      <c r="B1249" t="s">
        <v>13</v>
      </c>
      <c r="C1249" t="s">
        <v>9</v>
      </c>
      <c r="D1249" t="s">
        <v>10</v>
      </c>
      <c r="E1249">
        <v>11</v>
      </c>
      <c r="F1249" s="1">
        <v>44742</v>
      </c>
      <c r="G1249">
        <v>8.6172640437276998E-3</v>
      </c>
    </row>
    <row r="1250" spans="1:7" x14ac:dyDescent="0.25">
      <c r="A1250" t="s">
        <v>7</v>
      </c>
      <c r="B1250" t="s">
        <v>13</v>
      </c>
      <c r="C1250" t="s">
        <v>9</v>
      </c>
      <c r="D1250" t="s">
        <v>10</v>
      </c>
      <c r="E1250">
        <v>11</v>
      </c>
      <c r="F1250" s="1">
        <v>44773</v>
      </c>
      <c r="G1250">
        <v>1.25764382347571E-2</v>
      </c>
    </row>
    <row r="1251" spans="1:7" x14ac:dyDescent="0.25">
      <c r="A1251" t="s">
        <v>7</v>
      </c>
      <c r="B1251" t="s">
        <v>13</v>
      </c>
      <c r="C1251" t="s">
        <v>9</v>
      </c>
      <c r="D1251" t="s">
        <v>10</v>
      </c>
      <c r="E1251">
        <v>11</v>
      </c>
      <c r="F1251" s="1">
        <v>44804</v>
      </c>
      <c r="G1251">
        <v>1.2687629791484E-3</v>
      </c>
    </row>
    <row r="1252" spans="1:7" x14ac:dyDescent="0.25">
      <c r="A1252" t="s">
        <v>7</v>
      </c>
      <c r="B1252" t="s">
        <v>13</v>
      </c>
      <c r="C1252" t="s">
        <v>9</v>
      </c>
      <c r="D1252" t="s">
        <v>10</v>
      </c>
      <c r="E1252">
        <v>11</v>
      </c>
      <c r="F1252" s="1">
        <v>44834</v>
      </c>
      <c r="G1252">
        <v>4.8010697874755502E-2</v>
      </c>
    </row>
    <row r="1253" spans="1:7" x14ac:dyDescent="0.25">
      <c r="A1253" t="s">
        <v>7</v>
      </c>
      <c r="B1253" t="s">
        <v>13</v>
      </c>
      <c r="C1253" t="s">
        <v>9</v>
      </c>
      <c r="D1253" t="s">
        <v>10</v>
      </c>
      <c r="E1253">
        <v>11</v>
      </c>
      <c r="F1253" s="1">
        <v>44865</v>
      </c>
      <c r="G1253">
        <v>4.3505968832459302E-2</v>
      </c>
    </row>
    <row r="1254" spans="1:7" x14ac:dyDescent="0.25">
      <c r="A1254" t="s">
        <v>7</v>
      </c>
      <c r="B1254" t="s">
        <v>13</v>
      </c>
      <c r="C1254" t="s">
        <v>9</v>
      </c>
      <c r="D1254" t="s">
        <v>10</v>
      </c>
      <c r="E1254">
        <v>11</v>
      </c>
      <c r="F1254" s="1">
        <v>44895</v>
      </c>
      <c r="G1254">
        <v>-1.2843271645959901E-3</v>
      </c>
    </row>
    <row r="1255" spans="1:7" x14ac:dyDescent="0.25">
      <c r="A1255" t="s">
        <v>7</v>
      </c>
      <c r="B1255" t="s">
        <v>13</v>
      </c>
      <c r="C1255" t="s">
        <v>9</v>
      </c>
      <c r="D1255" t="s">
        <v>10</v>
      </c>
      <c r="E1255">
        <v>11</v>
      </c>
      <c r="F1255" s="1">
        <v>44926</v>
      </c>
      <c r="G1255">
        <v>6.6656729665378004E-3</v>
      </c>
    </row>
    <row r="1256" spans="1:7" x14ac:dyDescent="0.25">
      <c r="A1256" t="s">
        <v>7</v>
      </c>
      <c r="B1256" t="s">
        <v>13</v>
      </c>
      <c r="C1256" t="s">
        <v>9</v>
      </c>
      <c r="D1256" t="s">
        <v>10</v>
      </c>
      <c r="E1256">
        <v>11</v>
      </c>
      <c r="F1256" s="1">
        <v>44957</v>
      </c>
      <c r="G1256">
        <v>5.1528865843289797E-4</v>
      </c>
    </row>
    <row r="1257" spans="1:7" x14ac:dyDescent="0.25">
      <c r="A1257" t="s">
        <v>7</v>
      </c>
      <c r="B1257" t="s">
        <v>13</v>
      </c>
      <c r="C1257" t="s">
        <v>9</v>
      </c>
      <c r="D1257" t="s">
        <v>10</v>
      </c>
      <c r="E1257">
        <v>11</v>
      </c>
      <c r="F1257" s="1">
        <v>44985</v>
      </c>
      <c r="G1257">
        <v>4.2637889664314003E-3</v>
      </c>
    </row>
    <row r="1258" spans="1:7" x14ac:dyDescent="0.25">
      <c r="A1258" t="s">
        <v>7</v>
      </c>
      <c r="B1258" t="s">
        <v>13</v>
      </c>
      <c r="C1258" t="s">
        <v>9</v>
      </c>
      <c r="D1258" t="s">
        <v>10</v>
      </c>
      <c r="E1258">
        <v>11</v>
      </c>
      <c r="F1258" s="1">
        <v>45016</v>
      </c>
      <c r="G1258">
        <v>-1.7810822147296401E-2</v>
      </c>
    </row>
    <row r="1259" spans="1:7" x14ac:dyDescent="0.25">
      <c r="A1259" t="s">
        <v>7</v>
      </c>
      <c r="B1259" t="s">
        <v>13</v>
      </c>
      <c r="C1259" t="s">
        <v>9</v>
      </c>
      <c r="D1259" t="s">
        <v>10</v>
      </c>
      <c r="E1259">
        <v>11</v>
      </c>
      <c r="F1259" s="1">
        <v>45046</v>
      </c>
      <c r="G1259">
        <v>-1.10688156272267E-2</v>
      </c>
    </row>
    <row r="1260" spans="1:7" x14ac:dyDescent="0.25">
      <c r="A1260" t="s">
        <v>7</v>
      </c>
      <c r="B1260" t="s">
        <v>13</v>
      </c>
      <c r="C1260" t="s">
        <v>9</v>
      </c>
      <c r="D1260" t="s">
        <v>10</v>
      </c>
      <c r="E1260">
        <v>11</v>
      </c>
      <c r="F1260" s="1">
        <v>45077</v>
      </c>
      <c r="G1260">
        <v>1.88795077025814E-3</v>
      </c>
    </row>
    <row r="1261" spans="1:7" x14ac:dyDescent="0.25">
      <c r="A1261" t="s">
        <v>7</v>
      </c>
      <c r="B1261" t="s">
        <v>13</v>
      </c>
      <c r="C1261" t="s">
        <v>9</v>
      </c>
      <c r="D1261" t="s">
        <v>10</v>
      </c>
      <c r="E1261">
        <v>11</v>
      </c>
      <c r="F1261" s="1">
        <v>45107</v>
      </c>
      <c r="G1261">
        <v>-3.2522744876476398E-2</v>
      </c>
    </row>
    <row r="1262" spans="1:7" x14ac:dyDescent="0.25">
      <c r="A1262" t="s">
        <v>7</v>
      </c>
      <c r="B1262" t="s">
        <v>13</v>
      </c>
      <c r="C1262" t="s">
        <v>9</v>
      </c>
      <c r="D1262" t="s">
        <v>10</v>
      </c>
      <c r="E1262">
        <v>11</v>
      </c>
      <c r="F1262" s="1">
        <v>45138</v>
      </c>
      <c r="G1262">
        <v>1.17233169736262E-2</v>
      </c>
    </row>
    <row r="1263" spans="1:7" x14ac:dyDescent="0.25">
      <c r="A1263" t="s">
        <v>7</v>
      </c>
      <c r="B1263" t="s">
        <v>13</v>
      </c>
      <c r="C1263" t="s">
        <v>9</v>
      </c>
      <c r="D1263" t="s">
        <v>10</v>
      </c>
      <c r="E1263">
        <v>11</v>
      </c>
      <c r="F1263" s="1">
        <v>45169</v>
      </c>
      <c r="G1263">
        <v>4.9556392209698999E-3</v>
      </c>
    </row>
    <row r="1264" spans="1:7" x14ac:dyDescent="0.25">
      <c r="A1264" t="s">
        <v>7</v>
      </c>
      <c r="B1264" t="s">
        <v>13</v>
      </c>
      <c r="C1264" t="s">
        <v>9</v>
      </c>
      <c r="D1264" t="s">
        <v>10</v>
      </c>
      <c r="E1264">
        <v>11</v>
      </c>
      <c r="F1264" s="1">
        <v>45199</v>
      </c>
      <c r="G1264">
        <v>3.8921558898427E-3</v>
      </c>
    </row>
    <row r="1265" spans="1:7" x14ac:dyDescent="0.25">
      <c r="A1265" t="s">
        <v>7</v>
      </c>
      <c r="B1265" t="s">
        <v>13</v>
      </c>
      <c r="C1265" t="s">
        <v>9</v>
      </c>
      <c r="D1265" t="s">
        <v>10</v>
      </c>
      <c r="E1265">
        <v>11</v>
      </c>
      <c r="F1265" s="1">
        <v>45230</v>
      </c>
      <c r="G1265">
        <v>-1.6852362695548202E-2</v>
      </c>
    </row>
    <row r="1266" spans="1:7" x14ac:dyDescent="0.25">
      <c r="A1266" t="s">
        <v>7</v>
      </c>
      <c r="B1266" t="s">
        <v>13</v>
      </c>
      <c r="C1266" t="s">
        <v>9</v>
      </c>
      <c r="D1266" t="s">
        <v>10</v>
      </c>
      <c r="E1266">
        <v>11</v>
      </c>
      <c r="F1266" s="1">
        <v>45260</v>
      </c>
      <c r="G1266">
        <v>-4.14166389746604E-2</v>
      </c>
    </row>
    <row r="1267" spans="1:7" x14ac:dyDescent="0.25">
      <c r="A1267" t="s">
        <v>7</v>
      </c>
      <c r="B1267" t="s">
        <v>13</v>
      </c>
      <c r="C1267" t="s">
        <v>9</v>
      </c>
      <c r="D1267" t="s">
        <v>10</v>
      </c>
      <c r="E1267">
        <v>11</v>
      </c>
      <c r="F1267" s="1">
        <v>45291</v>
      </c>
      <c r="G1267">
        <v>8.3877146350228304E-3</v>
      </c>
    </row>
    <row r="1268" spans="1:7" x14ac:dyDescent="0.25">
      <c r="A1268" t="s">
        <v>7</v>
      </c>
      <c r="B1268" t="s">
        <v>13</v>
      </c>
      <c r="C1268" t="s">
        <v>9</v>
      </c>
      <c r="D1268" t="s">
        <v>10</v>
      </c>
      <c r="E1268">
        <v>11</v>
      </c>
      <c r="F1268" s="1">
        <v>45322</v>
      </c>
      <c r="G1268">
        <v>-1.6365893262705902E-2</v>
      </c>
    </row>
    <row r="1269" spans="1:7" x14ac:dyDescent="0.25">
      <c r="A1269" t="s">
        <v>7</v>
      </c>
      <c r="B1269" t="s">
        <v>13</v>
      </c>
      <c r="C1269" t="s">
        <v>9</v>
      </c>
      <c r="D1269" t="s">
        <v>10</v>
      </c>
      <c r="E1269">
        <v>11</v>
      </c>
      <c r="F1269" s="1">
        <v>45351</v>
      </c>
      <c r="G1269">
        <v>9.74287555267234E-3</v>
      </c>
    </row>
    <row r="1270" spans="1:7" x14ac:dyDescent="0.25">
      <c r="A1270" t="s">
        <v>7</v>
      </c>
      <c r="B1270" t="s">
        <v>13</v>
      </c>
      <c r="C1270" t="s">
        <v>9</v>
      </c>
      <c r="D1270" t="s">
        <v>10</v>
      </c>
      <c r="E1270">
        <v>11</v>
      </c>
      <c r="F1270" s="1">
        <v>45382</v>
      </c>
      <c r="G1270">
        <v>9.9091879461092203E-3</v>
      </c>
    </row>
    <row r="1271" spans="1:7" x14ac:dyDescent="0.25">
      <c r="A1271" t="s">
        <v>7</v>
      </c>
      <c r="B1271" t="s">
        <v>13</v>
      </c>
      <c r="C1271" t="s">
        <v>9</v>
      </c>
      <c r="D1271" t="s">
        <v>10</v>
      </c>
      <c r="E1271">
        <v>11</v>
      </c>
      <c r="F1271" s="1">
        <v>45412</v>
      </c>
      <c r="G1271">
        <v>2.3549400101463201E-2</v>
      </c>
    </row>
    <row r="1272" spans="1:7" x14ac:dyDescent="0.25">
      <c r="A1272" t="s">
        <v>7</v>
      </c>
      <c r="B1272" t="s">
        <v>13</v>
      </c>
      <c r="C1272" t="s">
        <v>9</v>
      </c>
      <c r="D1272" t="s">
        <v>10</v>
      </c>
      <c r="E1272">
        <v>11</v>
      </c>
      <c r="F1272" s="1">
        <v>45443</v>
      </c>
      <c r="G1272">
        <v>-2.5967060762034699E-2</v>
      </c>
    </row>
    <row r="1273" spans="1:7" x14ac:dyDescent="0.25">
      <c r="A1273" t="s">
        <v>7</v>
      </c>
      <c r="B1273" t="s">
        <v>13</v>
      </c>
      <c r="C1273" t="s">
        <v>9</v>
      </c>
      <c r="D1273" t="s">
        <v>10</v>
      </c>
      <c r="E1273">
        <v>11</v>
      </c>
      <c r="F1273" s="1">
        <v>45473</v>
      </c>
      <c r="G1273">
        <v>-4.7686844846782598E-3</v>
      </c>
    </row>
    <row r="1274" spans="1:7" x14ac:dyDescent="0.25">
      <c r="A1274" t="s">
        <v>7</v>
      </c>
      <c r="B1274" t="s">
        <v>13</v>
      </c>
      <c r="C1274" t="s">
        <v>9</v>
      </c>
      <c r="D1274" t="s">
        <v>10</v>
      </c>
      <c r="E1274">
        <v>11</v>
      </c>
      <c r="F1274" s="1">
        <v>45504</v>
      </c>
      <c r="G1274">
        <v>3.6179110634475799E-2</v>
      </c>
    </row>
    <row r="1275" spans="1:7" x14ac:dyDescent="0.25">
      <c r="A1275" t="s">
        <v>7</v>
      </c>
      <c r="B1275" t="s">
        <v>13</v>
      </c>
      <c r="C1275" t="s">
        <v>9</v>
      </c>
      <c r="D1275" t="s">
        <v>10</v>
      </c>
      <c r="E1275">
        <v>11</v>
      </c>
      <c r="F1275" s="1">
        <v>45535</v>
      </c>
      <c r="G1275">
        <v>-1.1335485528374999E-2</v>
      </c>
    </row>
    <row r="1276" spans="1:7" x14ac:dyDescent="0.25">
      <c r="A1276" t="s">
        <v>7</v>
      </c>
      <c r="B1276" t="s">
        <v>13</v>
      </c>
      <c r="C1276" t="s">
        <v>9</v>
      </c>
      <c r="D1276" t="s">
        <v>10</v>
      </c>
      <c r="E1276">
        <v>11</v>
      </c>
      <c r="F1276" s="1">
        <v>45565</v>
      </c>
      <c r="G1276">
        <v>2.3361193753369799E-2</v>
      </c>
    </row>
    <row r="1277" spans="1:7" x14ac:dyDescent="0.25">
      <c r="A1277" t="s">
        <v>7</v>
      </c>
      <c r="B1277" t="s">
        <v>13</v>
      </c>
      <c r="C1277" t="s">
        <v>9</v>
      </c>
      <c r="D1277" t="s">
        <v>10</v>
      </c>
      <c r="E1277">
        <v>11</v>
      </c>
      <c r="F1277" s="1">
        <v>45596</v>
      </c>
      <c r="G1277">
        <v>-1.70079323867257E-2</v>
      </c>
    </row>
    <row r="1278" spans="1:7" x14ac:dyDescent="0.25">
      <c r="A1278" t="s">
        <v>7</v>
      </c>
      <c r="B1278" t="s">
        <v>13</v>
      </c>
      <c r="C1278" t="s">
        <v>9</v>
      </c>
      <c r="D1278" t="s">
        <v>10</v>
      </c>
      <c r="E1278">
        <v>11</v>
      </c>
      <c r="F1278" s="1">
        <v>45626</v>
      </c>
      <c r="G1278">
        <v>-1.7081759761721101E-2</v>
      </c>
    </row>
    <row r="1279" spans="1:7" x14ac:dyDescent="0.25">
      <c r="A1279" t="s">
        <v>7</v>
      </c>
      <c r="B1279" t="s">
        <v>13</v>
      </c>
      <c r="C1279" t="s">
        <v>9</v>
      </c>
      <c r="D1279" t="s">
        <v>10</v>
      </c>
      <c r="E1279">
        <v>11</v>
      </c>
      <c r="F1279" s="1">
        <v>45657</v>
      </c>
      <c r="G1279">
        <v>1.0058487665512201E-2</v>
      </c>
    </row>
    <row r="1280" spans="1:7" x14ac:dyDescent="0.25">
      <c r="A1280" t="s">
        <v>7</v>
      </c>
      <c r="B1280" t="s">
        <v>13</v>
      </c>
      <c r="C1280" t="s">
        <v>9</v>
      </c>
      <c r="D1280" t="s">
        <v>10</v>
      </c>
      <c r="E1280">
        <v>11</v>
      </c>
      <c r="F1280" s="1">
        <v>45688</v>
      </c>
      <c r="G1280">
        <v>1.24993207437276E-2</v>
      </c>
    </row>
    <row r="1281" spans="1:7" x14ac:dyDescent="0.25">
      <c r="A1281" t="s">
        <v>7</v>
      </c>
      <c r="B1281" t="s">
        <v>13</v>
      </c>
      <c r="C1281" t="s">
        <v>9</v>
      </c>
      <c r="D1281" t="s">
        <v>10</v>
      </c>
      <c r="E1281">
        <v>11</v>
      </c>
      <c r="F1281" s="1">
        <v>45716</v>
      </c>
      <c r="G1281">
        <v>1.20598777945973E-2</v>
      </c>
    </row>
    <row r="1282" spans="1:7" x14ac:dyDescent="0.25">
      <c r="A1282" t="s">
        <v>7</v>
      </c>
      <c r="B1282" t="s">
        <v>13</v>
      </c>
      <c r="C1282" t="s">
        <v>9</v>
      </c>
      <c r="D1282" t="s">
        <v>10</v>
      </c>
      <c r="E1282">
        <v>11</v>
      </c>
      <c r="F1282" s="1">
        <v>45747</v>
      </c>
      <c r="G1282">
        <v>-4.0630487567156801E-2</v>
      </c>
    </row>
    <row r="1283" spans="1:7" x14ac:dyDescent="0.25">
      <c r="A1283" t="s">
        <v>7</v>
      </c>
      <c r="B1283" t="s">
        <v>13</v>
      </c>
      <c r="C1283" t="s">
        <v>9</v>
      </c>
      <c r="D1283" t="s">
        <v>10</v>
      </c>
      <c r="E1283">
        <v>11</v>
      </c>
      <c r="F1283" s="1">
        <v>45777</v>
      </c>
      <c r="G1283">
        <v>-2.2405282125832301E-2</v>
      </c>
    </row>
    <row r="1284" spans="1:7" x14ac:dyDescent="0.25">
      <c r="A1284" t="s">
        <v>7</v>
      </c>
      <c r="B1284" t="s">
        <v>13</v>
      </c>
      <c r="C1284" t="s">
        <v>9</v>
      </c>
      <c r="D1284" t="s">
        <v>10</v>
      </c>
      <c r="E1284">
        <v>11</v>
      </c>
      <c r="F1284" s="1">
        <v>45808</v>
      </c>
      <c r="G1284">
        <v>-6.4869131087082997E-3</v>
      </c>
    </row>
    <row r="1285" spans="1:7" x14ac:dyDescent="0.25">
      <c r="A1285" t="s">
        <v>7</v>
      </c>
      <c r="B1285" t="s">
        <v>13</v>
      </c>
      <c r="C1285" t="s">
        <v>9</v>
      </c>
      <c r="D1285" t="s">
        <v>10</v>
      </c>
      <c r="E1285">
        <v>11</v>
      </c>
      <c r="F1285" s="1">
        <v>45838</v>
      </c>
      <c r="G1285">
        <v>1.04047951957498E-2</v>
      </c>
    </row>
    <row r="1286" spans="1:7" x14ac:dyDescent="0.25">
      <c r="A1286" t="s">
        <v>7</v>
      </c>
      <c r="B1286" t="s">
        <v>13</v>
      </c>
      <c r="C1286" t="s">
        <v>9</v>
      </c>
      <c r="D1286" t="s">
        <v>10</v>
      </c>
      <c r="E1286">
        <v>11</v>
      </c>
      <c r="F1286" s="1">
        <v>45869</v>
      </c>
      <c r="G1286">
        <v>-8.7008471860890307E-3</v>
      </c>
    </row>
    <row r="1287" spans="1:7" x14ac:dyDescent="0.25">
      <c r="A1287" t="s">
        <v>7</v>
      </c>
      <c r="B1287" t="s">
        <v>13</v>
      </c>
      <c r="C1287" t="s">
        <v>9</v>
      </c>
      <c r="D1287" t="s">
        <v>10</v>
      </c>
      <c r="E1287">
        <v>11</v>
      </c>
      <c r="F1287" s="1">
        <v>45900</v>
      </c>
      <c r="G1287">
        <v>-2.6780752989375101E-2</v>
      </c>
    </row>
    <row r="1288" spans="1:7" x14ac:dyDescent="0.25">
      <c r="A1288" t="s">
        <v>7</v>
      </c>
      <c r="B1288" t="s">
        <v>13</v>
      </c>
      <c r="C1288" t="s">
        <v>9</v>
      </c>
      <c r="D1288" t="s">
        <v>10</v>
      </c>
      <c r="E1288">
        <v>11</v>
      </c>
      <c r="F1288" s="1">
        <v>45930</v>
      </c>
      <c r="G1288">
        <v>-9.7625730565374901E-3</v>
      </c>
    </row>
    <row r="1289" spans="1:7" x14ac:dyDescent="0.25">
      <c r="A1289" t="s">
        <v>7</v>
      </c>
      <c r="B1289" t="s">
        <v>13</v>
      </c>
      <c r="C1289" t="s">
        <v>9</v>
      </c>
      <c r="D1289" t="s">
        <v>10</v>
      </c>
      <c r="E1289">
        <v>11</v>
      </c>
      <c r="F1289" s="1">
        <v>45961</v>
      </c>
      <c r="G1289">
        <v>8.6772392330464292E-3</v>
      </c>
    </row>
    <row r="1290" spans="1:7" x14ac:dyDescent="0.25">
      <c r="A1290" t="s">
        <v>7</v>
      </c>
      <c r="B1290" t="s">
        <v>13</v>
      </c>
      <c r="C1290" t="s">
        <v>9</v>
      </c>
      <c r="D1290" t="s">
        <v>10</v>
      </c>
      <c r="E1290">
        <v>11</v>
      </c>
      <c r="F1290" s="1">
        <v>45991</v>
      </c>
      <c r="G1290">
        <v>-1.5495897413619199E-2</v>
      </c>
    </row>
    <row r="1291" spans="1:7" x14ac:dyDescent="0.25">
      <c r="A1291" t="s">
        <v>7</v>
      </c>
      <c r="B1291" t="s">
        <v>13</v>
      </c>
      <c r="C1291" t="s">
        <v>9</v>
      </c>
      <c r="D1291" t="s">
        <v>10</v>
      </c>
      <c r="E1291">
        <v>11</v>
      </c>
      <c r="F1291" s="1">
        <v>46022</v>
      </c>
      <c r="G1291">
        <v>2.19809086856751E-2</v>
      </c>
    </row>
    <row r="1292" spans="1:7" x14ac:dyDescent="0.25">
      <c r="A1292" t="s">
        <v>7</v>
      </c>
      <c r="B1292" t="s">
        <v>14</v>
      </c>
      <c r="C1292" t="s">
        <v>9</v>
      </c>
      <c r="D1292" t="s">
        <v>10</v>
      </c>
      <c r="E1292">
        <v>2</v>
      </c>
      <c r="F1292" s="1">
        <v>34607</v>
      </c>
      <c r="G1292">
        <v>0.130411330424895</v>
      </c>
    </row>
    <row r="1293" spans="1:7" x14ac:dyDescent="0.25">
      <c r="A1293" t="s">
        <v>7</v>
      </c>
      <c r="B1293" t="s">
        <v>14</v>
      </c>
      <c r="C1293" t="s">
        <v>9</v>
      </c>
      <c r="D1293" t="s">
        <v>10</v>
      </c>
      <c r="E1293">
        <v>2</v>
      </c>
      <c r="F1293" s="1">
        <v>34638</v>
      </c>
      <c r="G1293">
        <v>1.08868173483724E-2</v>
      </c>
    </row>
    <row r="1294" spans="1:7" x14ac:dyDescent="0.25">
      <c r="A1294" t="s">
        <v>7</v>
      </c>
      <c r="B1294" t="s">
        <v>14</v>
      </c>
      <c r="C1294" t="s">
        <v>9</v>
      </c>
      <c r="D1294" t="s">
        <v>10</v>
      </c>
      <c r="E1294">
        <v>2</v>
      </c>
      <c r="F1294" s="1">
        <v>34668</v>
      </c>
      <c r="G1294">
        <v>-4.1691176801321103E-2</v>
      </c>
    </row>
    <row r="1295" spans="1:7" x14ac:dyDescent="0.25">
      <c r="A1295" t="s">
        <v>7</v>
      </c>
      <c r="B1295" t="s">
        <v>14</v>
      </c>
      <c r="C1295" t="s">
        <v>9</v>
      </c>
      <c r="D1295" t="s">
        <v>10</v>
      </c>
      <c r="E1295">
        <v>2</v>
      </c>
      <c r="F1295" s="1">
        <v>34699</v>
      </c>
      <c r="G1295">
        <v>-4.06883493002042E-2</v>
      </c>
    </row>
    <row r="1296" spans="1:7" x14ac:dyDescent="0.25">
      <c r="A1296" t="s">
        <v>7</v>
      </c>
      <c r="B1296" t="s">
        <v>14</v>
      </c>
      <c r="C1296" t="s">
        <v>9</v>
      </c>
      <c r="D1296" t="s">
        <v>10</v>
      </c>
      <c r="E1296">
        <v>2</v>
      </c>
      <c r="F1296" s="1">
        <v>34730</v>
      </c>
      <c r="G1296">
        <v>-3.1835711547151299E-2</v>
      </c>
    </row>
    <row r="1297" spans="1:7" x14ac:dyDescent="0.25">
      <c r="A1297" t="s">
        <v>7</v>
      </c>
      <c r="B1297" t="s">
        <v>14</v>
      </c>
      <c r="C1297" t="s">
        <v>9</v>
      </c>
      <c r="D1297" t="s">
        <v>10</v>
      </c>
      <c r="E1297">
        <v>7</v>
      </c>
      <c r="F1297" s="1">
        <v>34758</v>
      </c>
      <c r="G1297">
        <v>2.0588606330711801E-2</v>
      </c>
    </row>
    <row r="1298" spans="1:7" x14ac:dyDescent="0.25">
      <c r="A1298" t="s">
        <v>7</v>
      </c>
      <c r="B1298" t="s">
        <v>14</v>
      </c>
      <c r="C1298" t="s">
        <v>9</v>
      </c>
      <c r="D1298" t="s">
        <v>10</v>
      </c>
      <c r="E1298">
        <v>2</v>
      </c>
      <c r="F1298" s="1">
        <v>34789</v>
      </c>
      <c r="G1298">
        <v>-5.0686071457849598E-2</v>
      </c>
    </row>
    <row r="1299" spans="1:7" x14ac:dyDescent="0.25">
      <c r="A1299" t="s">
        <v>7</v>
      </c>
      <c r="B1299" t="s">
        <v>14</v>
      </c>
      <c r="C1299" t="s">
        <v>9</v>
      </c>
      <c r="D1299" t="s">
        <v>10</v>
      </c>
      <c r="E1299">
        <v>2</v>
      </c>
      <c r="F1299" s="1">
        <v>34819</v>
      </c>
      <c r="G1299">
        <v>-0.122954255930443</v>
      </c>
    </row>
    <row r="1300" spans="1:7" x14ac:dyDescent="0.25">
      <c r="A1300" t="s">
        <v>7</v>
      </c>
      <c r="B1300" t="s">
        <v>14</v>
      </c>
      <c r="C1300" t="s">
        <v>9</v>
      </c>
      <c r="D1300" t="s">
        <v>10</v>
      </c>
      <c r="E1300">
        <v>5</v>
      </c>
      <c r="F1300" s="1">
        <v>34911</v>
      </c>
      <c r="G1300">
        <v>4.6900840954570797E-2</v>
      </c>
    </row>
    <row r="1301" spans="1:7" x14ac:dyDescent="0.25">
      <c r="A1301" t="s">
        <v>7</v>
      </c>
      <c r="B1301" t="s">
        <v>14</v>
      </c>
      <c r="C1301" t="s">
        <v>9</v>
      </c>
      <c r="D1301" t="s">
        <v>10</v>
      </c>
      <c r="E1301">
        <v>6</v>
      </c>
      <c r="F1301" s="1">
        <v>34942</v>
      </c>
      <c r="G1301">
        <v>-9.8095849256584801E-3</v>
      </c>
    </row>
    <row r="1302" spans="1:7" x14ac:dyDescent="0.25">
      <c r="A1302" t="s">
        <v>7</v>
      </c>
      <c r="B1302" t="s">
        <v>14</v>
      </c>
      <c r="C1302" t="s">
        <v>9</v>
      </c>
      <c r="D1302" t="s">
        <v>10</v>
      </c>
      <c r="E1302">
        <v>5</v>
      </c>
      <c r="F1302" s="1">
        <v>34972</v>
      </c>
      <c r="G1302">
        <v>9.6714637701450692E-3</v>
      </c>
    </row>
    <row r="1303" spans="1:7" x14ac:dyDescent="0.25">
      <c r="A1303" t="s">
        <v>7</v>
      </c>
      <c r="B1303" t="s">
        <v>14</v>
      </c>
      <c r="C1303" t="s">
        <v>9</v>
      </c>
      <c r="D1303" t="s">
        <v>10</v>
      </c>
      <c r="E1303">
        <v>9</v>
      </c>
      <c r="F1303" s="1">
        <v>35003</v>
      </c>
      <c r="G1303">
        <v>-6.4903185991593299E-3</v>
      </c>
    </row>
    <row r="1304" spans="1:7" x14ac:dyDescent="0.25">
      <c r="A1304" t="s">
        <v>7</v>
      </c>
      <c r="B1304" t="s">
        <v>14</v>
      </c>
      <c r="C1304" t="s">
        <v>9</v>
      </c>
      <c r="D1304" t="s">
        <v>10</v>
      </c>
      <c r="E1304">
        <v>2</v>
      </c>
      <c r="F1304" s="1">
        <v>35033</v>
      </c>
      <c r="G1304">
        <v>4.9512414831929304E-4</v>
      </c>
    </row>
    <row r="1305" spans="1:7" x14ac:dyDescent="0.25">
      <c r="A1305" t="s">
        <v>7</v>
      </c>
      <c r="B1305" t="s">
        <v>14</v>
      </c>
      <c r="C1305" t="s">
        <v>9</v>
      </c>
      <c r="D1305" t="s">
        <v>10</v>
      </c>
      <c r="E1305">
        <v>2</v>
      </c>
      <c r="F1305" s="1">
        <v>35064</v>
      </c>
      <c r="G1305">
        <v>-5.76474858253002E-3</v>
      </c>
    </row>
    <row r="1306" spans="1:7" x14ac:dyDescent="0.25">
      <c r="A1306" t="s">
        <v>7</v>
      </c>
      <c r="B1306" t="s">
        <v>14</v>
      </c>
      <c r="C1306" t="s">
        <v>9</v>
      </c>
      <c r="D1306" t="s">
        <v>10</v>
      </c>
      <c r="E1306">
        <v>5</v>
      </c>
      <c r="F1306" s="1">
        <v>35155</v>
      </c>
      <c r="G1306">
        <v>5.0752696146169597E-2</v>
      </c>
    </row>
    <row r="1307" spans="1:7" x14ac:dyDescent="0.25">
      <c r="A1307" t="s">
        <v>7</v>
      </c>
      <c r="B1307" t="s">
        <v>14</v>
      </c>
      <c r="C1307" t="s">
        <v>9</v>
      </c>
      <c r="D1307" t="s">
        <v>10</v>
      </c>
      <c r="E1307">
        <v>6</v>
      </c>
      <c r="F1307" s="1">
        <v>35185</v>
      </c>
      <c r="G1307">
        <v>9.7958936512133804E-2</v>
      </c>
    </row>
    <row r="1308" spans="1:7" x14ac:dyDescent="0.25">
      <c r="A1308" t="s">
        <v>7</v>
      </c>
      <c r="B1308" t="s">
        <v>14</v>
      </c>
      <c r="C1308" t="s">
        <v>9</v>
      </c>
      <c r="D1308" t="s">
        <v>10</v>
      </c>
      <c r="E1308">
        <v>1</v>
      </c>
      <c r="F1308" s="1">
        <v>35246</v>
      </c>
      <c r="G1308">
        <v>-4.7405592638380803E-2</v>
      </c>
    </row>
    <row r="1309" spans="1:7" x14ac:dyDescent="0.25">
      <c r="A1309" t="s">
        <v>7</v>
      </c>
      <c r="B1309" t="s">
        <v>14</v>
      </c>
      <c r="C1309" t="s">
        <v>9</v>
      </c>
      <c r="D1309" t="s">
        <v>10</v>
      </c>
      <c r="E1309">
        <v>7</v>
      </c>
      <c r="F1309" s="1">
        <v>35277</v>
      </c>
      <c r="G1309">
        <v>-1.37601441825274E-2</v>
      </c>
    </row>
    <row r="1310" spans="1:7" x14ac:dyDescent="0.25">
      <c r="A1310" t="s">
        <v>7</v>
      </c>
      <c r="B1310" t="s">
        <v>14</v>
      </c>
      <c r="C1310" t="s">
        <v>9</v>
      </c>
      <c r="D1310" t="s">
        <v>10</v>
      </c>
      <c r="E1310">
        <v>9</v>
      </c>
      <c r="F1310" s="1">
        <v>35308</v>
      </c>
      <c r="G1310">
        <v>2.3962401037058399E-2</v>
      </c>
    </row>
    <row r="1311" spans="1:7" x14ac:dyDescent="0.25">
      <c r="A1311" t="s">
        <v>7</v>
      </c>
      <c r="B1311" t="s">
        <v>14</v>
      </c>
      <c r="C1311" t="s">
        <v>9</v>
      </c>
      <c r="D1311" t="s">
        <v>10</v>
      </c>
      <c r="E1311">
        <v>5</v>
      </c>
      <c r="F1311" s="1">
        <v>35338</v>
      </c>
      <c r="G1311">
        <v>8.6610155562406796E-3</v>
      </c>
    </row>
    <row r="1312" spans="1:7" x14ac:dyDescent="0.25">
      <c r="A1312" t="s">
        <v>7</v>
      </c>
      <c r="B1312" t="s">
        <v>14</v>
      </c>
      <c r="C1312" t="s">
        <v>9</v>
      </c>
      <c r="D1312" t="s">
        <v>10</v>
      </c>
      <c r="E1312">
        <v>10</v>
      </c>
      <c r="F1312" s="1">
        <v>35369</v>
      </c>
      <c r="G1312">
        <v>-8.4009071482303004E-3</v>
      </c>
    </row>
    <row r="1313" spans="1:7" x14ac:dyDescent="0.25">
      <c r="A1313" t="s">
        <v>7</v>
      </c>
      <c r="B1313" t="s">
        <v>14</v>
      </c>
      <c r="C1313" t="s">
        <v>9</v>
      </c>
      <c r="D1313" t="s">
        <v>10</v>
      </c>
      <c r="E1313">
        <v>5</v>
      </c>
      <c r="F1313" s="1">
        <v>35399</v>
      </c>
      <c r="G1313">
        <v>-9.6047917395337606E-2</v>
      </c>
    </row>
    <row r="1314" spans="1:7" x14ac:dyDescent="0.25">
      <c r="A1314" t="s">
        <v>7</v>
      </c>
      <c r="B1314" t="s">
        <v>14</v>
      </c>
      <c r="C1314" t="s">
        <v>9</v>
      </c>
      <c r="D1314" t="s">
        <v>10</v>
      </c>
      <c r="E1314">
        <v>10</v>
      </c>
      <c r="F1314" s="1">
        <v>35430</v>
      </c>
      <c r="G1314">
        <v>-8.2897046733125507E-2</v>
      </c>
    </row>
    <row r="1315" spans="1:7" x14ac:dyDescent="0.25">
      <c r="A1315" t="s">
        <v>7</v>
      </c>
      <c r="B1315" t="s">
        <v>14</v>
      </c>
      <c r="C1315" t="s">
        <v>9</v>
      </c>
      <c r="D1315" t="s">
        <v>10</v>
      </c>
      <c r="E1315">
        <v>5</v>
      </c>
      <c r="F1315" s="1">
        <v>35461</v>
      </c>
      <c r="G1315">
        <v>-6.9684026223239506E-2</v>
      </c>
    </row>
    <row r="1316" spans="1:7" x14ac:dyDescent="0.25">
      <c r="A1316" t="s">
        <v>7</v>
      </c>
      <c r="B1316" t="s">
        <v>14</v>
      </c>
      <c r="C1316" t="s">
        <v>9</v>
      </c>
      <c r="D1316" t="s">
        <v>10</v>
      </c>
      <c r="E1316">
        <v>12</v>
      </c>
      <c r="F1316" s="1">
        <v>35489</v>
      </c>
      <c r="G1316">
        <v>3.7026866356381298E-2</v>
      </c>
    </row>
    <row r="1317" spans="1:7" x14ac:dyDescent="0.25">
      <c r="A1317" t="s">
        <v>7</v>
      </c>
      <c r="B1317" t="s">
        <v>14</v>
      </c>
      <c r="C1317" t="s">
        <v>9</v>
      </c>
      <c r="D1317" t="s">
        <v>10</v>
      </c>
      <c r="E1317">
        <v>12</v>
      </c>
      <c r="F1317" s="1">
        <v>35520</v>
      </c>
      <c r="G1317">
        <v>-4.2097200006227298E-2</v>
      </c>
    </row>
    <row r="1318" spans="1:7" x14ac:dyDescent="0.25">
      <c r="A1318" t="s">
        <v>7</v>
      </c>
      <c r="B1318" t="s">
        <v>14</v>
      </c>
      <c r="C1318" t="s">
        <v>9</v>
      </c>
      <c r="D1318" t="s">
        <v>10</v>
      </c>
      <c r="E1318">
        <v>12</v>
      </c>
      <c r="F1318" s="1">
        <v>35550</v>
      </c>
      <c r="G1318">
        <v>1.8288399515587401E-3</v>
      </c>
    </row>
    <row r="1319" spans="1:7" x14ac:dyDescent="0.25">
      <c r="A1319" t="s">
        <v>7</v>
      </c>
      <c r="B1319" t="s">
        <v>14</v>
      </c>
      <c r="C1319" t="s">
        <v>9</v>
      </c>
      <c r="D1319" t="s">
        <v>10</v>
      </c>
      <c r="E1319">
        <v>12</v>
      </c>
      <c r="F1319" s="1">
        <v>35581</v>
      </c>
      <c r="G1319">
        <v>1.47959124300776E-2</v>
      </c>
    </row>
    <row r="1320" spans="1:7" x14ac:dyDescent="0.25">
      <c r="A1320" t="s">
        <v>7</v>
      </c>
      <c r="B1320" t="s">
        <v>14</v>
      </c>
      <c r="C1320" t="s">
        <v>9</v>
      </c>
      <c r="D1320" t="s">
        <v>10</v>
      </c>
      <c r="E1320">
        <v>10</v>
      </c>
      <c r="F1320" s="1">
        <v>35611</v>
      </c>
      <c r="G1320">
        <v>-3.9057163406282201E-2</v>
      </c>
    </row>
    <row r="1321" spans="1:7" x14ac:dyDescent="0.25">
      <c r="A1321" t="s">
        <v>7</v>
      </c>
      <c r="B1321" t="s">
        <v>14</v>
      </c>
      <c r="C1321" t="s">
        <v>9</v>
      </c>
      <c r="D1321" t="s">
        <v>10</v>
      </c>
      <c r="E1321">
        <v>10</v>
      </c>
      <c r="F1321" s="1">
        <v>35642</v>
      </c>
      <c r="G1321">
        <v>-4.57609683002453E-2</v>
      </c>
    </row>
    <row r="1322" spans="1:7" x14ac:dyDescent="0.25">
      <c r="A1322" t="s">
        <v>7</v>
      </c>
      <c r="B1322" t="s">
        <v>14</v>
      </c>
      <c r="C1322" t="s">
        <v>9</v>
      </c>
      <c r="D1322" t="s">
        <v>10</v>
      </c>
      <c r="E1322">
        <v>9</v>
      </c>
      <c r="F1322" s="1">
        <v>35673</v>
      </c>
      <c r="G1322">
        <v>2.3228764957554601E-2</v>
      </c>
    </row>
    <row r="1323" spans="1:7" x14ac:dyDescent="0.25">
      <c r="A1323" t="s">
        <v>7</v>
      </c>
      <c r="B1323" t="s">
        <v>14</v>
      </c>
      <c r="C1323" t="s">
        <v>9</v>
      </c>
      <c r="D1323" t="s">
        <v>10</v>
      </c>
      <c r="E1323">
        <v>2</v>
      </c>
      <c r="F1323" s="1">
        <v>35703</v>
      </c>
      <c r="G1323">
        <v>-2.5724382132671498E-3</v>
      </c>
    </row>
    <row r="1324" spans="1:7" x14ac:dyDescent="0.25">
      <c r="A1324" t="s">
        <v>7</v>
      </c>
      <c r="B1324" t="s">
        <v>14</v>
      </c>
      <c r="C1324" t="s">
        <v>9</v>
      </c>
      <c r="D1324" t="s">
        <v>10</v>
      </c>
      <c r="E1324">
        <v>8</v>
      </c>
      <c r="F1324" s="1">
        <v>35734</v>
      </c>
      <c r="G1324">
        <v>2.7473543334245201E-2</v>
      </c>
    </row>
    <row r="1325" spans="1:7" x14ac:dyDescent="0.25">
      <c r="A1325" t="s">
        <v>7</v>
      </c>
      <c r="B1325" t="s">
        <v>14</v>
      </c>
      <c r="C1325" t="s">
        <v>9</v>
      </c>
      <c r="D1325" t="s">
        <v>10</v>
      </c>
      <c r="E1325">
        <v>10</v>
      </c>
      <c r="F1325" s="1">
        <v>35764</v>
      </c>
      <c r="G1325">
        <v>-5.28281885835113E-2</v>
      </c>
    </row>
    <row r="1326" spans="1:7" x14ac:dyDescent="0.25">
      <c r="A1326" t="s">
        <v>7</v>
      </c>
      <c r="B1326" t="s">
        <v>14</v>
      </c>
      <c r="C1326" t="s">
        <v>9</v>
      </c>
      <c r="D1326" t="s">
        <v>10</v>
      </c>
      <c r="E1326">
        <v>10</v>
      </c>
      <c r="F1326" s="1">
        <v>35795</v>
      </c>
      <c r="G1326">
        <v>1.7896161415583998E-2</v>
      </c>
    </row>
    <row r="1327" spans="1:7" x14ac:dyDescent="0.25">
      <c r="A1327" t="s">
        <v>7</v>
      </c>
      <c r="B1327" t="s">
        <v>14</v>
      </c>
      <c r="C1327" t="s">
        <v>9</v>
      </c>
      <c r="D1327" t="s">
        <v>10</v>
      </c>
      <c r="E1327">
        <v>10</v>
      </c>
      <c r="F1327" s="1">
        <v>35826</v>
      </c>
      <c r="G1327">
        <v>0.107610641971953</v>
      </c>
    </row>
    <row r="1328" spans="1:7" x14ac:dyDescent="0.25">
      <c r="A1328" t="s">
        <v>7</v>
      </c>
      <c r="B1328" t="s">
        <v>14</v>
      </c>
      <c r="C1328" t="s">
        <v>9</v>
      </c>
      <c r="D1328" t="s">
        <v>10</v>
      </c>
      <c r="E1328">
        <v>10</v>
      </c>
      <c r="F1328" s="1">
        <v>35854</v>
      </c>
      <c r="G1328">
        <v>-9.0394393665790204E-3</v>
      </c>
    </row>
    <row r="1329" spans="1:7" x14ac:dyDescent="0.25">
      <c r="A1329" t="s">
        <v>7</v>
      </c>
      <c r="B1329" t="s">
        <v>14</v>
      </c>
      <c r="C1329" t="s">
        <v>9</v>
      </c>
      <c r="D1329" t="s">
        <v>10</v>
      </c>
      <c r="E1329">
        <v>11</v>
      </c>
      <c r="F1329" s="1">
        <v>35885</v>
      </c>
      <c r="G1329">
        <v>-3.1073789324783701E-2</v>
      </c>
    </row>
    <row r="1330" spans="1:7" x14ac:dyDescent="0.25">
      <c r="A1330" t="s">
        <v>7</v>
      </c>
      <c r="B1330" t="s">
        <v>14</v>
      </c>
      <c r="C1330" t="s">
        <v>9</v>
      </c>
      <c r="D1330" t="s">
        <v>10</v>
      </c>
      <c r="E1330">
        <v>11</v>
      </c>
      <c r="F1330" s="1">
        <v>35915</v>
      </c>
      <c r="G1330">
        <v>4.5555303494435498E-2</v>
      </c>
    </row>
    <row r="1331" spans="1:7" x14ac:dyDescent="0.25">
      <c r="A1331" t="s">
        <v>7</v>
      </c>
      <c r="B1331" t="s">
        <v>14</v>
      </c>
      <c r="C1331" t="s">
        <v>9</v>
      </c>
      <c r="D1331" t="s">
        <v>10</v>
      </c>
      <c r="E1331">
        <v>11</v>
      </c>
      <c r="F1331" s="1">
        <v>35946</v>
      </c>
      <c r="G1331">
        <v>8.2515309810487995E-3</v>
      </c>
    </row>
    <row r="1332" spans="1:7" x14ac:dyDescent="0.25">
      <c r="A1332" t="s">
        <v>7</v>
      </c>
      <c r="B1332" t="s">
        <v>14</v>
      </c>
      <c r="C1332" t="s">
        <v>9</v>
      </c>
      <c r="D1332" t="s">
        <v>10</v>
      </c>
      <c r="E1332">
        <v>11</v>
      </c>
      <c r="F1332" s="1">
        <v>35976</v>
      </c>
      <c r="G1332">
        <v>6.5126195296924705E-2</v>
      </c>
    </row>
    <row r="1333" spans="1:7" x14ac:dyDescent="0.25">
      <c r="A1333" t="s">
        <v>7</v>
      </c>
      <c r="B1333" t="s">
        <v>14</v>
      </c>
      <c r="C1333" t="s">
        <v>9</v>
      </c>
      <c r="D1333" t="s">
        <v>10</v>
      </c>
      <c r="E1333">
        <v>5</v>
      </c>
      <c r="F1333" s="1">
        <v>36007</v>
      </c>
      <c r="G1333">
        <v>-4.4600555208003302E-2</v>
      </c>
    </row>
    <row r="1334" spans="1:7" x14ac:dyDescent="0.25">
      <c r="A1334" t="s">
        <v>7</v>
      </c>
      <c r="B1334" t="s">
        <v>14</v>
      </c>
      <c r="C1334" t="s">
        <v>9</v>
      </c>
      <c r="D1334" t="s">
        <v>10</v>
      </c>
      <c r="E1334">
        <v>11</v>
      </c>
      <c r="F1334" s="1">
        <v>36038</v>
      </c>
      <c r="G1334">
        <v>6.8917103872854393E-2</v>
      </c>
    </row>
    <row r="1335" spans="1:7" x14ac:dyDescent="0.25">
      <c r="A1335" t="s">
        <v>7</v>
      </c>
      <c r="B1335" t="s">
        <v>14</v>
      </c>
      <c r="C1335" t="s">
        <v>9</v>
      </c>
      <c r="D1335" t="s">
        <v>10</v>
      </c>
      <c r="E1335">
        <v>5</v>
      </c>
      <c r="F1335" s="1">
        <v>36068</v>
      </c>
      <c r="G1335">
        <v>5.3824890943105601E-2</v>
      </c>
    </row>
    <row r="1336" spans="1:7" x14ac:dyDescent="0.25">
      <c r="A1336" t="s">
        <v>7</v>
      </c>
      <c r="B1336" t="s">
        <v>14</v>
      </c>
      <c r="C1336" t="s">
        <v>9</v>
      </c>
      <c r="D1336" t="s">
        <v>10</v>
      </c>
      <c r="E1336">
        <v>10</v>
      </c>
      <c r="F1336" s="1">
        <v>36099</v>
      </c>
      <c r="G1336">
        <v>-6.5674832018894305E-2</v>
      </c>
    </row>
    <row r="1337" spans="1:7" x14ac:dyDescent="0.25">
      <c r="A1337" t="s">
        <v>7</v>
      </c>
      <c r="B1337" t="s">
        <v>14</v>
      </c>
      <c r="C1337" t="s">
        <v>9</v>
      </c>
      <c r="D1337" t="s">
        <v>10</v>
      </c>
      <c r="E1337">
        <v>11</v>
      </c>
      <c r="F1337" s="1">
        <v>36129</v>
      </c>
      <c r="G1337">
        <v>-0.168251572219724</v>
      </c>
    </row>
    <row r="1338" spans="1:7" x14ac:dyDescent="0.25">
      <c r="A1338" t="s">
        <v>7</v>
      </c>
      <c r="B1338" t="s">
        <v>14</v>
      </c>
      <c r="C1338" t="s">
        <v>9</v>
      </c>
      <c r="D1338" t="s">
        <v>10</v>
      </c>
      <c r="E1338">
        <v>12</v>
      </c>
      <c r="F1338" s="1">
        <v>36160</v>
      </c>
      <c r="G1338">
        <v>9.2709311362261806E-2</v>
      </c>
    </row>
    <row r="1339" spans="1:7" x14ac:dyDescent="0.25">
      <c r="A1339" t="s">
        <v>7</v>
      </c>
      <c r="B1339" t="s">
        <v>14</v>
      </c>
      <c r="C1339" t="s">
        <v>9</v>
      </c>
      <c r="D1339" t="s">
        <v>10</v>
      </c>
      <c r="E1339">
        <v>12</v>
      </c>
      <c r="F1339" s="1">
        <v>36191</v>
      </c>
      <c r="G1339">
        <v>0.17540542887247701</v>
      </c>
    </row>
    <row r="1340" spans="1:7" x14ac:dyDescent="0.25">
      <c r="A1340" t="s">
        <v>7</v>
      </c>
      <c r="B1340" t="s">
        <v>14</v>
      </c>
      <c r="C1340" t="s">
        <v>9</v>
      </c>
      <c r="D1340" t="s">
        <v>10</v>
      </c>
      <c r="E1340">
        <v>1</v>
      </c>
      <c r="F1340" s="1">
        <v>36219</v>
      </c>
      <c r="G1340">
        <v>3.84711179636315E-2</v>
      </c>
    </row>
    <row r="1341" spans="1:7" x14ac:dyDescent="0.25">
      <c r="A1341" t="s">
        <v>7</v>
      </c>
      <c r="B1341" t="s">
        <v>14</v>
      </c>
      <c r="C1341" t="s">
        <v>9</v>
      </c>
      <c r="D1341" t="s">
        <v>10</v>
      </c>
      <c r="E1341">
        <v>11</v>
      </c>
      <c r="F1341" s="1">
        <v>36250</v>
      </c>
      <c r="G1341">
        <v>-0.246762946746693</v>
      </c>
    </row>
    <row r="1342" spans="1:7" x14ac:dyDescent="0.25">
      <c r="A1342" t="s">
        <v>7</v>
      </c>
      <c r="B1342" t="s">
        <v>14</v>
      </c>
      <c r="C1342" t="s">
        <v>9</v>
      </c>
      <c r="D1342" t="s">
        <v>10</v>
      </c>
      <c r="E1342">
        <v>11</v>
      </c>
      <c r="F1342" s="1">
        <v>36280</v>
      </c>
      <c r="G1342">
        <v>-6.1430991649458797E-2</v>
      </c>
    </row>
    <row r="1343" spans="1:7" x14ac:dyDescent="0.25">
      <c r="A1343" t="s">
        <v>7</v>
      </c>
      <c r="B1343" t="s">
        <v>14</v>
      </c>
      <c r="C1343" t="s">
        <v>9</v>
      </c>
      <c r="D1343" t="s">
        <v>10</v>
      </c>
      <c r="E1343">
        <v>11</v>
      </c>
      <c r="F1343" s="1">
        <v>36311</v>
      </c>
      <c r="G1343">
        <v>1.8132081169511201E-2</v>
      </c>
    </row>
    <row r="1344" spans="1:7" x14ac:dyDescent="0.25">
      <c r="A1344" t="s">
        <v>7</v>
      </c>
      <c r="B1344" t="s">
        <v>14</v>
      </c>
      <c r="C1344" t="s">
        <v>9</v>
      </c>
      <c r="D1344" t="s">
        <v>10</v>
      </c>
      <c r="E1344">
        <v>11</v>
      </c>
      <c r="F1344" s="1">
        <v>36341</v>
      </c>
      <c r="G1344">
        <v>-1.09672904701549E-2</v>
      </c>
    </row>
    <row r="1345" spans="1:7" x14ac:dyDescent="0.25">
      <c r="A1345" t="s">
        <v>7</v>
      </c>
      <c r="B1345" t="s">
        <v>14</v>
      </c>
      <c r="C1345" t="s">
        <v>9</v>
      </c>
      <c r="D1345" t="s">
        <v>10</v>
      </c>
      <c r="E1345">
        <v>11</v>
      </c>
      <c r="F1345" s="1">
        <v>36372</v>
      </c>
      <c r="G1345">
        <v>-1.7802334603820001E-3</v>
      </c>
    </row>
    <row r="1346" spans="1:7" x14ac:dyDescent="0.25">
      <c r="A1346" t="s">
        <v>7</v>
      </c>
      <c r="B1346" t="s">
        <v>14</v>
      </c>
      <c r="C1346" t="s">
        <v>9</v>
      </c>
      <c r="D1346" t="s">
        <v>10</v>
      </c>
      <c r="E1346">
        <v>11</v>
      </c>
      <c r="F1346" s="1">
        <v>36403</v>
      </c>
      <c r="G1346">
        <v>-3.8015696057138698E-2</v>
      </c>
    </row>
    <row r="1347" spans="1:7" x14ac:dyDescent="0.25">
      <c r="A1347" t="s">
        <v>7</v>
      </c>
      <c r="B1347" t="s">
        <v>14</v>
      </c>
      <c r="C1347" t="s">
        <v>9</v>
      </c>
      <c r="D1347" t="s">
        <v>10</v>
      </c>
      <c r="E1347">
        <v>11</v>
      </c>
      <c r="F1347" s="1">
        <v>36433</v>
      </c>
      <c r="G1347">
        <v>-4.2027802979897798E-2</v>
      </c>
    </row>
    <row r="1348" spans="1:7" x14ac:dyDescent="0.25">
      <c r="A1348" t="s">
        <v>7</v>
      </c>
      <c r="B1348" t="s">
        <v>14</v>
      </c>
      <c r="C1348" t="s">
        <v>9</v>
      </c>
      <c r="D1348" t="s">
        <v>10</v>
      </c>
      <c r="E1348">
        <v>11</v>
      </c>
      <c r="F1348" s="1">
        <v>36464</v>
      </c>
      <c r="G1348">
        <v>-3.9092855352090498E-2</v>
      </c>
    </row>
    <row r="1349" spans="1:7" x14ac:dyDescent="0.25">
      <c r="A1349" t="s">
        <v>7</v>
      </c>
      <c r="B1349" t="s">
        <v>14</v>
      </c>
      <c r="C1349" t="s">
        <v>9</v>
      </c>
      <c r="D1349" t="s">
        <v>10</v>
      </c>
      <c r="E1349">
        <v>11</v>
      </c>
      <c r="F1349" s="1">
        <v>36494</v>
      </c>
      <c r="G1349">
        <v>-1.8319849395687701E-2</v>
      </c>
    </row>
    <row r="1350" spans="1:7" x14ac:dyDescent="0.25">
      <c r="A1350" t="s">
        <v>7</v>
      </c>
      <c r="B1350" t="s">
        <v>14</v>
      </c>
      <c r="C1350" t="s">
        <v>9</v>
      </c>
      <c r="D1350" t="s">
        <v>10</v>
      </c>
      <c r="E1350">
        <v>12</v>
      </c>
      <c r="F1350" s="1">
        <v>36525</v>
      </c>
      <c r="G1350">
        <v>4.3393797805899401E-2</v>
      </c>
    </row>
    <row r="1351" spans="1:7" x14ac:dyDescent="0.25">
      <c r="A1351" t="s">
        <v>7</v>
      </c>
      <c r="B1351" t="s">
        <v>14</v>
      </c>
      <c r="C1351" t="s">
        <v>9</v>
      </c>
      <c r="D1351" t="s">
        <v>10</v>
      </c>
      <c r="E1351">
        <v>12</v>
      </c>
      <c r="F1351" s="1">
        <v>36556</v>
      </c>
      <c r="G1351">
        <v>-1.0405931376836699E-2</v>
      </c>
    </row>
    <row r="1352" spans="1:7" x14ac:dyDescent="0.25">
      <c r="A1352" t="s">
        <v>7</v>
      </c>
      <c r="B1352" t="s">
        <v>14</v>
      </c>
      <c r="C1352" t="s">
        <v>9</v>
      </c>
      <c r="D1352" t="s">
        <v>10</v>
      </c>
      <c r="E1352">
        <v>12</v>
      </c>
      <c r="F1352" s="1">
        <v>36585</v>
      </c>
      <c r="G1352">
        <v>-7.8157074865445694E-2</v>
      </c>
    </row>
    <row r="1353" spans="1:7" x14ac:dyDescent="0.25">
      <c r="A1353" t="s">
        <v>7</v>
      </c>
      <c r="B1353" t="s">
        <v>14</v>
      </c>
      <c r="C1353" t="s">
        <v>9</v>
      </c>
      <c r="D1353" t="s">
        <v>10</v>
      </c>
      <c r="E1353">
        <v>12</v>
      </c>
      <c r="F1353" s="1">
        <v>36616</v>
      </c>
      <c r="G1353">
        <v>-1.6049771697238199E-2</v>
      </c>
    </row>
    <row r="1354" spans="1:7" x14ac:dyDescent="0.25">
      <c r="A1354" t="s">
        <v>7</v>
      </c>
      <c r="B1354" t="s">
        <v>14</v>
      </c>
      <c r="C1354" t="s">
        <v>9</v>
      </c>
      <c r="D1354" t="s">
        <v>10</v>
      </c>
      <c r="E1354">
        <v>12</v>
      </c>
      <c r="F1354" s="1">
        <v>36646</v>
      </c>
      <c r="G1354">
        <v>4.57493909167953E-2</v>
      </c>
    </row>
    <row r="1355" spans="1:7" x14ac:dyDescent="0.25">
      <c r="A1355" t="s">
        <v>7</v>
      </c>
      <c r="B1355" t="s">
        <v>14</v>
      </c>
      <c r="C1355" t="s">
        <v>9</v>
      </c>
      <c r="D1355" t="s">
        <v>10</v>
      </c>
      <c r="E1355">
        <v>12</v>
      </c>
      <c r="F1355" s="1">
        <v>36677</v>
      </c>
      <c r="G1355">
        <v>-5.3198228010245797E-2</v>
      </c>
    </row>
    <row r="1356" spans="1:7" x14ac:dyDescent="0.25">
      <c r="A1356" t="s">
        <v>7</v>
      </c>
      <c r="B1356" t="s">
        <v>14</v>
      </c>
      <c r="C1356" t="s">
        <v>9</v>
      </c>
      <c r="D1356" t="s">
        <v>10</v>
      </c>
      <c r="E1356">
        <v>12</v>
      </c>
      <c r="F1356" s="1">
        <v>36707</v>
      </c>
      <c r="G1356">
        <v>9.3810679016958401E-2</v>
      </c>
    </row>
    <row r="1357" spans="1:7" x14ac:dyDescent="0.25">
      <c r="A1357" t="s">
        <v>7</v>
      </c>
      <c r="B1357" t="s">
        <v>14</v>
      </c>
      <c r="C1357" t="s">
        <v>9</v>
      </c>
      <c r="D1357" t="s">
        <v>10</v>
      </c>
      <c r="E1357">
        <v>12</v>
      </c>
      <c r="F1357" s="1">
        <v>36738</v>
      </c>
      <c r="G1357">
        <v>-2.1678302281648999E-2</v>
      </c>
    </row>
    <row r="1358" spans="1:7" x14ac:dyDescent="0.25">
      <c r="A1358" t="s">
        <v>7</v>
      </c>
      <c r="B1358" t="s">
        <v>14</v>
      </c>
      <c r="C1358" t="s">
        <v>9</v>
      </c>
      <c r="D1358" t="s">
        <v>10</v>
      </c>
      <c r="E1358">
        <v>12</v>
      </c>
      <c r="F1358" s="1">
        <v>36769</v>
      </c>
      <c r="G1358">
        <v>-1.07916643933671E-2</v>
      </c>
    </row>
    <row r="1359" spans="1:7" x14ac:dyDescent="0.25">
      <c r="A1359" t="s">
        <v>7</v>
      </c>
      <c r="B1359" t="s">
        <v>14</v>
      </c>
      <c r="C1359" t="s">
        <v>9</v>
      </c>
      <c r="D1359" t="s">
        <v>10</v>
      </c>
      <c r="E1359">
        <v>12</v>
      </c>
      <c r="F1359" s="1">
        <v>36799</v>
      </c>
      <c r="G1359">
        <v>1.50013488886748E-2</v>
      </c>
    </row>
    <row r="1360" spans="1:7" x14ac:dyDescent="0.25">
      <c r="A1360" t="s">
        <v>7</v>
      </c>
      <c r="B1360" t="s">
        <v>14</v>
      </c>
      <c r="C1360" t="s">
        <v>9</v>
      </c>
      <c r="D1360" t="s">
        <v>10</v>
      </c>
      <c r="E1360">
        <v>12</v>
      </c>
      <c r="F1360" s="1">
        <v>36830</v>
      </c>
      <c r="G1360">
        <v>2.1603506465024298E-2</v>
      </c>
    </row>
    <row r="1361" spans="1:7" x14ac:dyDescent="0.25">
      <c r="A1361" t="s">
        <v>7</v>
      </c>
      <c r="B1361" t="s">
        <v>14</v>
      </c>
      <c r="C1361" t="s">
        <v>9</v>
      </c>
      <c r="D1361" t="s">
        <v>10</v>
      </c>
      <c r="E1361">
        <v>12</v>
      </c>
      <c r="F1361" s="1">
        <v>36860</v>
      </c>
      <c r="G1361">
        <v>1.2490750730799799E-2</v>
      </c>
    </row>
    <row r="1362" spans="1:7" x14ac:dyDescent="0.25">
      <c r="A1362" t="s">
        <v>7</v>
      </c>
      <c r="B1362" t="s">
        <v>14</v>
      </c>
      <c r="C1362" t="s">
        <v>9</v>
      </c>
      <c r="D1362" t="s">
        <v>10</v>
      </c>
      <c r="E1362">
        <v>12</v>
      </c>
      <c r="F1362" s="1">
        <v>36891</v>
      </c>
      <c r="G1362">
        <v>-4.8305869808704903E-3</v>
      </c>
    </row>
    <row r="1363" spans="1:7" x14ac:dyDescent="0.25">
      <c r="A1363" t="s">
        <v>7</v>
      </c>
      <c r="B1363" t="s">
        <v>14</v>
      </c>
      <c r="C1363" t="s">
        <v>9</v>
      </c>
      <c r="D1363" t="s">
        <v>10</v>
      </c>
      <c r="E1363">
        <v>12</v>
      </c>
      <c r="F1363" s="1">
        <v>36922</v>
      </c>
      <c r="G1363">
        <v>4.4746469720635902E-2</v>
      </c>
    </row>
    <row r="1364" spans="1:7" x14ac:dyDescent="0.25">
      <c r="A1364" t="s">
        <v>7</v>
      </c>
      <c r="B1364" t="s">
        <v>14</v>
      </c>
      <c r="C1364" t="s">
        <v>9</v>
      </c>
      <c r="D1364" t="s">
        <v>10</v>
      </c>
      <c r="E1364">
        <v>12</v>
      </c>
      <c r="F1364" s="1">
        <v>36950</v>
      </c>
      <c r="G1364">
        <v>-4.0297907262009998E-2</v>
      </c>
    </row>
    <row r="1365" spans="1:7" x14ac:dyDescent="0.25">
      <c r="A1365" t="s">
        <v>7</v>
      </c>
      <c r="B1365" t="s">
        <v>14</v>
      </c>
      <c r="C1365" t="s">
        <v>9</v>
      </c>
      <c r="D1365" t="s">
        <v>10</v>
      </c>
      <c r="E1365">
        <v>12</v>
      </c>
      <c r="F1365" s="1">
        <v>36981</v>
      </c>
      <c r="G1365">
        <v>2.0893975088350199E-3</v>
      </c>
    </row>
    <row r="1366" spans="1:7" x14ac:dyDescent="0.25">
      <c r="A1366" t="s">
        <v>7</v>
      </c>
      <c r="B1366" t="s">
        <v>14</v>
      </c>
      <c r="C1366" t="s">
        <v>9</v>
      </c>
      <c r="D1366" t="s">
        <v>10</v>
      </c>
      <c r="E1366">
        <v>12</v>
      </c>
      <c r="F1366" s="1">
        <v>37011</v>
      </c>
      <c r="G1366">
        <v>7.7005923609261798E-2</v>
      </c>
    </row>
    <row r="1367" spans="1:7" x14ac:dyDescent="0.25">
      <c r="A1367" t="s">
        <v>7</v>
      </c>
      <c r="B1367" t="s">
        <v>14</v>
      </c>
      <c r="C1367" t="s">
        <v>9</v>
      </c>
      <c r="D1367" t="s">
        <v>10</v>
      </c>
      <c r="E1367">
        <v>12</v>
      </c>
      <c r="F1367" s="1">
        <v>37042</v>
      </c>
      <c r="G1367">
        <v>3.95547185220173E-2</v>
      </c>
    </row>
    <row r="1368" spans="1:7" x14ac:dyDescent="0.25">
      <c r="A1368" t="s">
        <v>7</v>
      </c>
      <c r="B1368" t="s">
        <v>14</v>
      </c>
      <c r="C1368" t="s">
        <v>9</v>
      </c>
      <c r="D1368" t="s">
        <v>10</v>
      </c>
      <c r="E1368">
        <v>11</v>
      </c>
      <c r="F1368" s="1">
        <v>37072</v>
      </c>
      <c r="G1368">
        <v>-2.1518255604820201E-2</v>
      </c>
    </row>
    <row r="1369" spans="1:7" x14ac:dyDescent="0.25">
      <c r="A1369" t="s">
        <v>7</v>
      </c>
      <c r="B1369" t="s">
        <v>14</v>
      </c>
      <c r="C1369" t="s">
        <v>9</v>
      </c>
      <c r="D1369" t="s">
        <v>10</v>
      </c>
      <c r="E1369">
        <v>11</v>
      </c>
      <c r="F1369" s="1">
        <v>37103</v>
      </c>
      <c r="G1369">
        <v>2.8394817154276501E-2</v>
      </c>
    </row>
    <row r="1370" spans="1:7" x14ac:dyDescent="0.25">
      <c r="A1370" t="s">
        <v>7</v>
      </c>
      <c r="B1370" t="s">
        <v>14</v>
      </c>
      <c r="C1370" t="s">
        <v>9</v>
      </c>
      <c r="D1370" t="s">
        <v>10</v>
      </c>
      <c r="E1370">
        <v>11</v>
      </c>
      <c r="F1370" s="1">
        <v>37134</v>
      </c>
      <c r="G1370">
        <v>1.53285812633364E-2</v>
      </c>
    </row>
    <row r="1371" spans="1:7" x14ac:dyDescent="0.25">
      <c r="A1371" t="s">
        <v>7</v>
      </c>
      <c r="B1371" t="s">
        <v>14</v>
      </c>
      <c r="C1371" t="s">
        <v>9</v>
      </c>
      <c r="D1371" t="s">
        <v>10</v>
      </c>
      <c r="E1371">
        <v>11</v>
      </c>
      <c r="F1371" s="1">
        <v>37164</v>
      </c>
      <c r="G1371">
        <v>6.2584505862999396E-3</v>
      </c>
    </row>
    <row r="1372" spans="1:7" x14ac:dyDescent="0.25">
      <c r="A1372" t="s">
        <v>7</v>
      </c>
      <c r="B1372" t="s">
        <v>14</v>
      </c>
      <c r="C1372" t="s">
        <v>9</v>
      </c>
      <c r="D1372" t="s">
        <v>10</v>
      </c>
      <c r="E1372">
        <v>5</v>
      </c>
      <c r="F1372" s="1">
        <v>37195</v>
      </c>
      <c r="G1372">
        <v>-3.8539676198376401E-2</v>
      </c>
    </row>
    <row r="1373" spans="1:7" x14ac:dyDescent="0.25">
      <c r="A1373" t="s">
        <v>7</v>
      </c>
      <c r="B1373" t="s">
        <v>14</v>
      </c>
      <c r="C1373" t="s">
        <v>9</v>
      </c>
      <c r="D1373" t="s">
        <v>10</v>
      </c>
      <c r="E1373">
        <v>5</v>
      </c>
      <c r="F1373" s="1">
        <v>37225</v>
      </c>
      <c r="G1373">
        <v>-2.4876907366383198E-2</v>
      </c>
    </row>
    <row r="1374" spans="1:7" x14ac:dyDescent="0.25">
      <c r="A1374" t="s">
        <v>7</v>
      </c>
      <c r="B1374" t="s">
        <v>14</v>
      </c>
      <c r="C1374" t="s">
        <v>9</v>
      </c>
      <c r="D1374" t="s">
        <v>10</v>
      </c>
      <c r="E1374">
        <v>5</v>
      </c>
      <c r="F1374" s="1">
        <v>37256</v>
      </c>
      <c r="G1374">
        <v>-3.0134602289929899E-2</v>
      </c>
    </row>
    <row r="1375" spans="1:7" x14ac:dyDescent="0.25">
      <c r="A1375" t="s">
        <v>7</v>
      </c>
      <c r="B1375" t="s">
        <v>14</v>
      </c>
      <c r="C1375" t="s">
        <v>9</v>
      </c>
      <c r="D1375" t="s">
        <v>10</v>
      </c>
      <c r="E1375">
        <v>5</v>
      </c>
      <c r="F1375" s="1">
        <v>37287</v>
      </c>
      <c r="G1375">
        <v>2.2628424342308602E-3</v>
      </c>
    </row>
    <row r="1376" spans="1:7" x14ac:dyDescent="0.25">
      <c r="A1376" t="s">
        <v>7</v>
      </c>
      <c r="B1376" t="s">
        <v>14</v>
      </c>
      <c r="C1376" t="s">
        <v>9</v>
      </c>
      <c r="D1376" t="s">
        <v>10</v>
      </c>
      <c r="E1376">
        <v>11</v>
      </c>
      <c r="F1376" s="1">
        <v>37315</v>
      </c>
      <c r="G1376">
        <v>2.6439767154903399E-2</v>
      </c>
    </row>
    <row r="1377" spans="1:7" x14ac:dyDescent="0.25">
      <c r="A1377" t="s">
        <v>7</v>
      </c>
      <c r="B1377" t="s">
        <v>14</v>
      </c>
      <c r="C1377" t="s">
        <v>9</v>
      </c>
      <c r="D1377" t="s">
        <v>10</v>
      </c>
      <c r="E1377">
        <v>6</v>
      </c>
      <c r="F1377" s="1">
        <v>37346</v>
      </c>
      <c r="G1377">
        <v>6.1792554475388402E-2</v>
      </c>
    </row>
    <row r="1378" spans="1:7" x14ac:dyDescent="0.25">
      <c r="A1378" t="s">
        <v>7</v>
      </c>
      <c r="B1378" t="s">
        <v>14</v>
      </c>
      <c r="C1378" t="s">
        <v>9</v>
      </c>
      <c r="D1378" t="s">
        <v>10</v>
      </c>
      <c r="E1378">
        <v>5</v>
      </c>
      <c r="F1378" s="1">
        <v>37376</v>
      </c>
      <c r="G1378">
        <v>-4.8033715494102097E-2</v>
      </c>
    </row>
    <row r="1379" spans="1:7" x14ac:dyDescent="0.25">
      <c r="A1379" t="s">
        <v>7</v>
      </c>
      <c r="B1379" t="s">
        <v>14</v>
      </c>
      <c r="C1379" t="s">
        <v>9</v>
      </c>
      <c r="D1379" t="s">
        <v>10</v>
      </c>
      <c r="E1379">
        <v>11</v>
      </c>
      <c r="F1379" s="1">
        <v>37407</v>
      </c>
      <c r="G1379">
        <v>-1.6693370376604798E-2</v>
      </c>
    </row>
    <row r="1380" spans="1:7" x14ac:dyDescent="0.25">
      <c r="A1380" t="s">
        <v>7</v>
      </c>
      <c r="B1380" t="s">
        <v>14</v>
      </c>
      <c r="C1380" t="s">
        <v>9</v>
      </c>
      <c r="D1380" t="s">
        <v>10</v>
      </c>
      <c r="E1380">
        <v>11</v>
      </c>
      <c r="F1380" s="1">
        <v>37437</v>
      </c>
      <c r="G1380">
        <v>2.1655641527062999E-3</v>
      </c>
    </row>
    <row r="1381" spans="1:7" x14ac:dyDescent="0.25">
      <c r="A1381" t="s">
        <v>7</v>
      </c>
      <c r="B1381" t="s">
        <v>14</v>
      </c>
      <c r="C1381" t="s">
        <v>9</v>
      </c>
      <c r="D1381" t="s">
        <v>10</v>
      </c>
      <c r="E1381">
        <v>6</v>
      </c>
      <c r="F1381" s="1">
        <v>37468</v>
      </c>
      <c r="G1381">
        <v>1.2908297241145599E-2</v>
      </c>
    </row>
    <row r="1382" spans="1:7" x14ac:dyDescent="0.25">
      <c r="A1382" t="s">
        <v>7</v>
      </c>
      <c r="B1382" t="s">
        <v>14</v>
      </c>
      <c r="C1382" t="s">
        <v>9</v>
      </c>
      <c r="D1382" t="s">
        <v>10</v>
      </c>
      <c r="E1382">
        <v>1</v>
      </c>
      <c r="F1382" s="1">
        <v>37499</v>
      </c>
      <c r="G1382">
        <v>-2.5344523260546498E-2</v>
      </c>
    </row>
    <row r="1383" spans="1:7" x14ac:dyDescent="0.25">
      <c r="A1383" t="s">
        <v>7</v>
      </c>
      <c r="B1383" t="s">
        <v>14</v>
      </c>
      <c r="C1383" t="s">
        <v>9</v>
      </c>
      <c r="D1383" t="s">
        <v>10</v>
      </c>
      <c r="E1383">
        <v>6</v>
      </c>
      <c r="F1383" s="1">
        <v>37529</v>
      </c>
      <c r="G1383">
        <v>-2.8768578253185399E-2</v>
      </c>
    </row>
    <row r="1384" spans="1:7" x14ac:dyDescent="0.25">
      <c r="A1384" t="s">
        <v>7</v>
      </c>
      <c r="B1384" t="s">
        <v>14</v>
      </c>
      <c r="C1384" t="s">
        <v>9</v>
      </c>
      <c r="D1384" t="s">
        <v>10</v>
      </c>
      <c r="E1384">
        <v>5</v>
      </c>
      <c r="F1384" s="1">
        <v>37652</v>
      </c>
      <c r="G1384">
        <v>-1.9400398531232401E-2</v>
      </c>
    </row>
    <row r="1385" spans="1:7" x14ac:dyDescent="0.25">
      <c r="A1385" t="s">
        <v>7</v>
      </c>
      <c r="B1385" t="s">
        <v>14</v>
      </c>
      <c r="C1385" t="s">
        <v>9</v>
      </c>
      <c r="D1385" t="s">
        <v>10</v>
      </c>
      <c r="E1385">
        <v>6</v>
      </c>
      <c r="F1385" s="1">
        <v>37772</v>
      </c>
      <c r="G1385">
        <v>2.9850754990845801E-2</v>
      </c>
    </row>
    <row r="1386" spans="1:7" x14ac:dyDescent="0.25">
      <c r="A1386" t="s">
        <v>7</v>
      </c>
      <c r="B1386" t="s">
        <v>14</v>
      </c>
      <c r="C1386" t="s">
        <v>9</v>
      </c>
      <c r="D1386" t="s">
        <v>10</v>
      </c>
      <c r="E1386">
        <v>6</v>
      </c>
      <c r="F1386" s="1">
        <v>37802</v>
      </c>
      <c r="G1386">
        <v>-1.3653973467958099E-2</v>
      </c>
    </row>
    <row r="1387" spans="1:7" x14ac:dyDescent="0.25">
      <c r="A1387" t="s">
        <v>7</v>
      </c>
      <c r="B1387" t="s">
        <v>14</v>
      </c>
      <c r="C1387" t="s">
        <v>9</v>
      </c>
      <c r="D1387" t="s">
        <v>10</v>
      </c>
      <c r="E1387">
        <v>6</v>
      </c>
      <c r="F1387" s="1">
        <v>37833</v>
      </c>
      <c r="G1387">
        <v>-4.2878488769498298E-2</v>
      </c>
    </row>
    <row r="1388" spans="1:7" x14ac:dyDescent="0.25">
      <c r="A1388" t="s">
        <v>7</v>
      </c>
      <c r="B1388" t="s">
        <v>14</v>
      </c>
      <c r="C1388" t="s">
        <v>9</v>
      </c>
      <c r="D1388" t="s">
        <v>10</v>
      </c>
      <c r="E1388">
        <v>12</v>
      </c>
      <c r="F1388" s="1">
        <v>37894</v>
      </c>
      <c r="G1388">
        <v>1.41479810704342E-3</v>
      </c>
    </row>
    <row r="1389" spans="1:7" x14ac:dyDescent="0.25">
      <c r="A1389" t="s">
        <v>7</v>
      </c>
      <c r="B1389" t="s">
        <v>14</v>
      </c>
      <c r="C1389" t="s">
        <v>9</v>
      </c>
      <c r="D1389" t="s">
        <v>10</v>
      </c>
      <c r="E1389">
        <v>11</v>
      </c>
      <c r="F1389" s="1">
        <v>37925</v>
      </c>
      <c r="G1389">
        <v>-5.5808288076802999E-2</v>
      </c>
    </row>
    <row r="1390" spans="1:7" x14ac:dyDescent="0.25">
      <c r="A1390" t="s">
        <v>7</v>
      </c>
      <c r="B1390" t="s">
        <v>14</v>
      </c>
      <c r="C1390" t="s">
        <v>9</v>
      </c>
      <c r="D1390" t="s">
        <v>10</v>
      </c>
      <c r="E1390">
        <v>11</v>
      </c>
      <c r="F1390" s="1">
        <v>37955</v>
      </c>
      <c r="G1390">
        <v>2.6227377497237501E-2</v>
      </c>
    </row>
    <row r="1391" spans="1:7" x14ac:dyDescent="0.25">
      <c r="A1391" t="s">
        <v>7</v>
      </c>
      <c r="B1391" t="s">
        <v>14</v>
      </c>
      <c r="C1391" t="s">
        <v>9</v>
      </c>
      <c r="D1391" t="s">
        <v>10</v>
      </c>
      <c r="E1391">
        <v>12</v>
      </c>
      <c r="F1391" s="1">
        <v>37986</v>
      </c>
      <c r="G1391">
        <v>-6.9301157121120893E-2</v>
      </c>
    </row>
    <row r="1392" spans="1:7" x14ac:dyDescent="0.25">
      <c r="A1392" t="s">
        <v>7</v>
      </c>
      <c r="B1392" t="s">
        <v>14</v>
      </c>
      <c r="C1392" t="s">
        <v>9</v>
      </c>
      <c r="D1392" t="s">
        <v>10</v>
      </c>
      <c r="E1392">
        <v>11</v>
      </c>
      <c r="F1392" s="1">
        <v>38017</v>
      </c>
      <c r="G1392">
        <v>3.4731936173990302E-4</v>
      </c>
    </row>
    <row r="1393" spans="1:7" x14ac:dyDescent="0.25">
      <c r="A1393" t="s">
        <v>7</v>
      </c>
      <c r="B1393" t="s">
        <v>14</v>
      </c>
      <c r="C1393" t="s">
        <v>9</v>
      </c>
      <c r="D1393" t="s">
        <v>10</v>
      </c>
      <c r="E1393">
        <v>12</v>
      </c>
      <c r="F1393" s="1">
        <v>38046</v>
      </c>
      <c r="G1393">
        <v>1.6066339555729101E-2</v>
      </c>
    </row>
    <row r="1394" spans="1:7" x14ac:dyDescent="0.25">
      <c r="A1394" t="s">
        <v>7</v>
      </c>
      <c r="B1394" t="s">
        <v>14</v>
      </c>
      <c r="C1394" t="s">
        <v>9</v>
      </c>
      <c r="D1394" t="s">
        <v>10</v>
      </c>
      <c r="E1394">
        <v>12</v>
      </c>
      <c r="F1394" s="1">
        <v>38077</v>
      </c>
      <c r="G1394">
        <v>1.57311637322868E-2</v>
      </c>
    </row>
    <row r="1395" spans="1:7" x14ac:dyDescent="0.25">
      <c r="A1395" t="s">
        <v>7</v>
      </c>
      <c r="B1395" t="s">
        <v>14</v>
      </c>
      <c r="C1395" t="s">
        <v>9</v>
      </c>
      <c r="D1395" t="s">
        <v>10</v>
      </c>
      <c r="E1395">
        <v>12</v>
      </c>
      <c r="F1395" s="1">
        <v>38107</v>
      </c>
      <c r="G1395">
        <v>4.18213703760794E-2</v>
      </c>
    </row>
    <row r="1396" spans="1:7" x14ac:dyDescent="0.25">
      <c r="A1396" t="s">
        <v>7</v>
      </c>
      <c r="B1396" t="s">
        <v>14</v>
      </c>
      <c r="C1396" t="s">
        <v>9</v>
      </c>
      <c r="D1396" t="s">
        <v>10</v>
      </c>
      <c r="E1396">
        <v>14</v>
      </c>
      <c r="F1396" s="1">
        <v>38138</v>
      </c>
      <c r="G1396">
        <v>1.3424193421957701E-2</v>
      </c>
    </row>
    <row r="1397" spans="1:7" x14ac:dyDescent="0.25">
      <c r="A1397" t="s">
        <v>7</v>
      </c>
      <c r="B1397" t="s">
        <v>14</v>
      </c>
      <c r="C1397" t="s">
        <v>9</v>
      </c>
      <c r="D1397" t="s">
        <v>10</v>
      </c>
      <c r="E1397">
        <v>13</v>
      </c>
      <c r="F1397" s="1">
        <v>38168</v>
      </c>
      <c r="G1397">
        <v>2.1278684522802901E-2</v>
      </c>
    </row>
    <row r="1398" spans="1:7" x14ac:dyDescent="0.25">
      <c r="A1398" t="s">
        <v>7</v>
      </c>
      <c r="B1398" t="s">
        <v>14</v>
      </c>
      <c r="C1398" t="s">
        <v>9</v>
      </c>
      <c r="D1398" t="s">
        <v>10</v>
      </c>
      <c r="E1398">
        <v>13</v>
      </c>
      <c r="F1398" s="1">
        <v>38199</v>
      </c>
      <c r="G1398">
        <v>2.9304349488522199E-2</v>
      </c>
    </row>
    <row r="1399" spans="1:7" x14ac:dyDescent="0.25">
      <c r="A1399" t="s">
        <v>7</v>
      </c>
      <c r="B1399" t="s">
        <v>14</v>
      </c>
      <c r="C1399" t="s">
        <v>9</v>
      </c>
      <c r="D1399" t="s">
        <v>10</v>
      </c>
      <c r="E1399">
        <v>13</v>
      </c>
      <c r="F1399" s="1">
        <v>38230</v>
      </c>
      <c r="G1399">
        <v>4.270958178565E-2</v>
      </c>
    </row>
    <row r="1400" spans="1:7" x14ac:dyDescent="0.25">
      <c r="A1400" t="s">
        <v>7</v>
      </c>
      <c r="B1400" t="s">
        <v>14</v>
      </c>
      <c r="C1400" t="s">
        <v>9</v>
      </c>
      <c r="D1400" t="s">
        <v>10</v>
      </c>
      <c r="E1400">
        <v>14</v>
      </c>
      <c r="F1400" s="1">
        <v>38260</v>
      </c>
      <c r="G1400">
        <v>2.5991596394461899E-2</v>
      </c>
    </row>
    <row r="1401" spans="1:7" x14ac:dyDescent="0.25">
      <c r="A1401" t="s">
        <v>7</v>
      </c>
      <c r="B1401" t="s">
        <v>14</v>
      </c>
      <c r="C1401" t="s">
        <v>9</v>
      </c>
      <c r="D1401" t="s">
        <v>10</v>
      </c>
      <c r="E1401">
        <v>14</v>
      </c>
      <c r="F1401" s="1">
        <v>38291</v>
      </c>
      <c r="G1401">
        <v>2.0077249879734201E-2</v>
      </c>
    </row>
    <row r="1402" spans="1:7" x14ac:dyDescent="0.25">
      <c r="A1402" t="s">
        <v>7</v>
      </c>
      <c r="B1402" t="s">
        <v>14</v>
      </c>
      <c r="C1402" t="s">
        <v>9</v>
      </c>
      <c r="D1402" t="s">
        <v>10</v>
      </c>
      <c r="E1402">
        <v>14</v>
      </c>
      <c r="F1402" s="1">
        <v>38321</v>
      </c>
      <c r="G1402">
        <v>-7.8112700024789303E-2</v>
      </c>
    </row>
    <row r="1403" spans="1:7" x14ac:dyDescent="0.25">
      <c r="A1403" t="s">
        <v>7</v>
      </c>
      <c r="B1403" t="s">
        <v>14</v>
      </c>
      <c r="C1403" t="s">
        <v>9</v>
      </c>
      <c r="D1403" t="s">
        <v>10</v>
      </c>
      <c r="E1403">
        <v>14</v>
      </c>
      <c r="F1403" s="1">
        <v>38352</v>
      </c>
      <c r="G1403">
        <v>1.16627042004463E-3</v>
      </c>
    </row>
    <row r="1404" spans="1:7" x14ac:dyDescent="0.25">
      <c r="A1404" t="s">
        <v>7</v>
      </c>
      <c r="B1404" t="s">
        <v>14</v>
      </c>
      <c r="C1404" t="s">
        <v>9</v>
      </c>
      <c r="D1404" t="s">
        <v>10</v>
      </c>
      <c r="E1404">
        <v>14</v>
      </c>
      <c r="F1404" s="1">
        <v>38383</v>
      </c>
      <c r="G1404">
        <v>8.2792454499017506E-3</v>
      </c>
    </row>
    <row r="1405" spans="1:7" x14ac:dyDescent="0.25">
      <c r="A1405" t="s">
        <v>7</v>
      </c>
      <c r="B1405" t="s">
        <v>14</v>
      </c>
      <c r="C1405" t="s">
        <v>9</v>
      </c>
      <c r="D1405" t="s">
        <v>10</v>
      </c>
      <c r="E1405">
        <v>14</v>
      </c>
      <c r="F1405" s="1">
        <v>38411</v>
      </c>
      <c r="G1405">
        <v>-9.4331675374380794E-2</v>
      </c>
    </row>
    <row r="1406" spans="1:7" x14ac:dyDescent="0.25">
      <c r="A1406" t="s">
        <v>7</v>
      </c>
      <c r="B1406" t="s">
        <v>14</v>
      </c>
      <c r="C1406" t="s">
        <v>9</v>
      </c>
      <c r="D1406" t="s">
        <v>10</v>
      </c>
      <c r="E1406">
        <v>14</v>
      </c>
      <c r="F1406" s="1">
        <v>38442</v>
      </c>
      <c r="G1406">
        <v>3.3016558179119302E-3</v>
      </c>
    </row>
    <row r="1407" spans="1:7" x14ac:dyDescent="0.25">
      <c r="A1407" t="s">
        <v>7</v>
      </c>
      <c r="B1407" t="s">
        <v>14</v>
      </c>
      <c r="C1407" t="s">
        <v>9</v>
      </c>
      <c r="D1407" t="s">
        <v>10</v>
      </c>
      <c r="E1407">
        <v>14</v>
      </c>
      <c r="F1407" s="1">
        <v>38472</v>
      </c>
      <c r="G1407">
        <v>2.37237453962789E-2</v>
      </c>
    </row>
    <row r="1408" spans="1:7" x14ac:dyDescent="0.25">
      <c r="A1408" t="s">
        <v>7</v>
      </c>
      <c r="B1408" t="s">
        <v>14</v>
      </c>
      <c r="C1408" t="s">
        <v>9</v>
      </c>
      <c r="D1408" t="s">
        <v>10</v>
      </c>
      <c r="E1408">
        <v>14</v>
      </c>
      <c r="F1408" s="1">
        <v>38503</v>
      </c>
      <c r="G1408">
        <v>2.13608470946503E-2</v>
      </c>
    </row>
    <row r="1409" spans="1:7" x14ac:dyDescent="0.25">
      <c r="A1409" t="s">
        <v>7</v>
      </c>
      <c r="B1409" t="s">
        <v>14</v>
      </c>
      <c r="C1409" t="s">
        <v>9</v>
      </c>
      <c r="D1409" t="s">
        <v>10</v>
      </c>
      <c r="E1409">
        <v>14</v>
      </c>
      <c r="F1409" s="1">
        <v>38533</v>
      </c>
      <c r="G1409">
        <v>2.71846929300298E-2</v>
      </c>
    </row>
    <row r="1410" spans="1:7" x14ac:dyDescent="0.25">
      <c r="A1410" t="s">
        <v>7</v>
      </c>
      <c r="B1410" t="s">
        <v>14</v>
      </c>
      <c r="C1410" t="s">
        <v>9</v>
      </c>
      <c r="D1410" t="s">
        <v>10</v>
      </c>
      <c r="E1410">
        <v>14</v>
      </c>
      <c r="F1410" s="1">
        <v>38564</v>
      </c>
      <c r="G1410">
        <v>-2.8463162289904999E-2</v>
      </c>
    </row>
    <row r="1411" spans="1:7" x14ac:dyDescent="0.25">
      <c r="A1411" t="s">
        <v>7</v>
      </c>
      <c r="B1411" t="s">
        <v>14</v>
      </c>
      <c r="C1411" t="s">
        <v>9</v>
      </c>
      <c r="D1411" t="s">
        <v>10</v>
      </c>
      <c r="E1411">
        <v>14</v>
      </c>
      <c r="F1411" s="1">
        <v>38595</v>
      </c>
      <c r="G1411">
        <v>2.1747207925833002E-2</v>
      </c>
    </row>
    <row r="1412" spans="1:7" x14ac:dyDescent="0.25">
      <c r="A1412" t="s">
        <v>7</v>
      </c>
      <c r="B1412" t="s">
        <v>14</v>
      </c>
      <c r="C1412" t="s">
        <v>9</v>
      </c>
      <c r="D1412" t="s">
        <v>10</v>
      </c>
      <c r="E1412">
        <v>14</v>
      </c>
      <c r="F1412" s="1">
        <v>38625</v>
      </c>
      <c r="G1412">
        <v>-2.4538242590810298E-2</v>
      </c>
    </row>
    <row r="1413" spans="1:7" x14ac:dyDescent="0.25">
      <c r="A1413" t="s">
        <v>7</v>
      </c>
      <c r="B1413" t="s">
        <v>14</v>
      </c>
      <c r="C1413" t="s">
        <v>9</v>
      </c>
      <c r="D1413" t="s">
        <v>10</v>
      </c>
      <c r="E1413">
        <v>14</v>
      </c>
      <c r="F1413" s="1">
        <v>38656</v>
      </c>
      <c r="G1413">
        <v>1.1390395153131099E-2</v>
      </c>
    </row>
    <row r="1414" spans="1:7" x14ac:dyDescent="0.25">
      <c r="A1414" t="s">
        <v>7</v>
      </c>
      <c r="B1414" t="s">
        <v>14</v>
      </c>
      <c r="C1414" t="s">
        <v>9</v>
      </c>
      <c r="D1414" t="s">
        <v>10</v>
      </c>
      <c r="E1414">
        <v>15</v>
      </c>
      <c r="F1414" s="1">
        <v>38686</v>
      </c>
      <c r="G1414">
        <v>2.67824241947577E-3</v>
      </c>
    </row>
    <row r="1415" spans="1:7" x14ac:dyDescent="0.25">
      <c r="A1415" t="s">
        <v>7</v>
      </c>
      <c r="B1415" t="s">
        <v>14</v>
      </c>
      <c r="C1415" t="s">
        <v>9</v>
      </c>
      <c r="D1415" t="s">
        <v>10</v>
      </c>
      <c r="E1415">
        <v>14</v>
      </c>
      <c r="F1415" s="1">
        <v>38717</v>
      </c>
      <c r="G1415">
        <v>-1.5858113033562299E-2</v>
      </c>
    </row>
    <row r="1416" spans="1:7" x14ac:dyDescent="0.25">
      <c r="A1416" t="s">
        <v>7</v>
      </c>
      <c r="B1416" t="s">
        <v>14</v>
      </c>
      <c r="C1416" t="s">
        <v>9</v>
      </c>
      <c r="D1416" t="s">
        <v>10</v>
      </c>
      <c r="E1416">
        <v>14</v>
      </c>
      <c r="F1416" s="1">
        <v>38748</v>
      </c>
      <c r="G1416">
        <v>-8.8253090527605008E-3</v>
      </c>
    </row>
    <row r="1417" spans="1:7" x14ac:dyDescent="0.25">
      <c r="A1417" t="s">
        <v>7</v>
      </c>
      <c r="B1417" t="s">
        <v>14</v>
      </c>
      <c r="C1417" t="s">
        <v>9</v>
      </c>
      <c r="D1417" t="s">
        <v>10</v>
      </c>
      <c r="E1417">
        <v>15</v>
      </c>
      <c r="F1417" s="1">
        <v>38776</v>
      </c>
      <c r="G1417">
        <v>6.7696079179717702E-3</v>
      </c>
    </row>
    <row r="1418" spans="1:7" x14ac:dyDescent="0.25">
      <c r="A1418" t="s">
        <v>7</v>
      </c>
      <c r="B1418" t="s">
        <v>14</v>
      </c>
      <c r="C1418" t="s">
        <v>9</v>
      </c>
      <c r="D1418" t="s">
        <v>10</v>
      </c>
      <c r="E1418">
        <v>16</v>
      </c>
      <c r="F1418" s="1">
        <v>38807</v>
      </c>
      <c r="G1418">
        <v>-4.0063152507637499E-2</v>
      </c>
    </row>
    <row r="1419" spans="1:7" x14ac:dyDescent="0.25">
      <c r="A1419" t="s">
        <v>7</v>
      </c>
      <c r="B1419" t="s">
        <v>14</v>
      </c>
      <c r="C1419" t="s">
        <v>9</v>
      </c>
      <c r="D1419" t="s">
        <v>10</v>
      </c>
      <c r="E1419">
        <v>16</v>
      </c>
      <c r="F1419" s="1">
        <v>38837</v>
      </c>
      <c r="G1419">
        <v>1.00230786328911E-2</v>
      </c>
    </row>
    <row r="1420" spans="1:7" x14ac:dyDescent="0.25">
      <c r="A1420" t="s">
        <v>7</v>
      </c>
      <c r="B1420" t="s">
        <v>14</v>
      </c>
      <c r="C1420" t="s">
        <v>9</v>
      </c>
      <c r="D1420" t="s">
        <v>10</v>
      </c>
      <c r="E1420">
        <v>17</v>
      </c>
      <c r="F1420" s="1">
        <v>38868</v>
      </c>
      <c r="G1420">
        <v>9.3128787051665295E-3</v>
      </c>
    </row>
    <row r="1421" spans="1:7" x14ac:dyDescent="0.25">
      <c r="A1421" t="s">
        <v>7</v>
      </c>
      <c r="B1421" t="s">
        <v>14</v>
      </c>
      <c r="C1421" t="s">
        <v>9</v>
      </c>
      <c r="D1421" t="s">
        <v>10</v>
      </c>
      <c r="E1421">
        <v>17</v>
      </c>
      <c r="F1421" s="1">
        <v>38898</v>
      </c>
      <c r="G1421">
        <v>-1.32244905940562E-2</v>
      </c>
    </row>
    <row r="1422" spans="1:7" x14ac:dyDescent="0.25">
      <c r="A1422" t="s">
        <v>7</v>
      </c>
      <c r="B1422" t="s">
        <v>14</v>
      </c>
      <c r="C1422" t="s">
        <v>9</v>
      </c>
      <c r="D1422" t="s">
        <v>10</v>
      </c>
      <c r="E1422">
        <v>17</v>
      </c>
      <c r="F1422" s="1">
        <v>38929</v>
      </c>
      <c r="G1422">
        <v>-3.3377793588027001E-3</v>
      </c>
    </row>
    <row r="1423" spans="1:7" x14ac:dyDescent="0.25">
      <c r="A1423" t="s">
        <v>7</v>
      </c>
      <c r="B1423" t="s">
        <v>14</v>
      </c>
      <c r="C1423" t="s">
        <v>9</v>
      </c>
      <c r="D1423" t="s">
        <v>10</v>
      </c>
      <c r="E1423">
        <v>17</v>
      </c>
      <c r="F1423" s="1">
        <v>38960</v>
      </c>
      <c r="G1423">
        <v>3.9570762478944803E-2</v>
      </c>
    </row>
    <row r="1424" spans="1:7" x14ac:dyDescent="0.25">
      <c r="A1424" t="s">
        <v>7</v>
      </c>
      <c r="B1424" t="s">
        <v>14</v>
      </c>
      <c r="C1424" t="s">
        <v>9</v>
      </c>
      <c r="D1424" t="s">
        <v>10</v>
      </c>
      <c r="E1424">
        <v>16</v>
      </c>
      <c r="F1424" s="1">
        <v>38990</v>
      </c>
      <c r="G1424">
        <v>1.09855510266791E-3</v>
      </c>
    </row>
    <row r="1425" spans="1:7" x14ac:dyDescent="0.25">
      <c r="A1425" t="s">
        <v>7</v>
      </c>
      <c r="B1425" t="s">
        <v>14</v>
      </c>
      <c r="C1425" t="s">
        <v>9</v>
      </c>
      <c r="D1425" t="s">
        <v>10</v>
      </c>
      <c r="E1425">
        <v>16</v>
      </c>
      <c r="F1425" s="1">
        <v>39021</v>
      </c>
      <c r="G1425">
        <v>-3.1004213150894001E-2</v>
      </c>
    </row>
    <row r="1426" spans="1:7" x14ac:dyDescent="0.25">
      <c r="A1426" t="s">
        <v>7</v>
      </c>
      <c r="B1426" t="s">
        <v>14</v>
      </c>
      <c r="C1426" t="s">
        <v>9</v>
      </c>
      <c r="D1426" t="s">
        <v>10</v>
      </c>
      <c r="E1426">
        <v>16</v>
      </c>
      <c r="F1426" s="1">
        <v>39051</v>
      </c>
      <c r="G1426">
        <v>3.02582493036969E-3</v>
      </c>
    </row>
    <row r="1427" spans="1:7" x14ac:dyDescent="0.25">
      <c r="A1427" t="s">
        <v>7</v>
      </c>
      <c r="B1427" t="s">
        <v>14</v>
      </c>
      <c r="C1427" t="s">
        <v>9</v>
      </c>
      <c r="D1427" t="s">
        <v>10</v>
      </c>
      <c r="E1427">
        <v>17</v>
      </c>
      <c r="F1427" s="1">
        <v>39082</v>
      </c>
      <c r="G1427">
        <v>-2.3762193168237699E-2</v>
      </c>
    </row>
    <row r="1428" spans="1:7" x14ac:dyDescent="0.25">
      <c r="A1428" t="s">
        <v>7</v>
      </c>
      <c r="B1428" t="s">
        <v>14</v>
      </c>
      <c r="C1428" t="s">
        <v>9</v>
      </c>
      <c r="D1428" t="s">
        <v>10</v>
      </c>
      <c r="E1428">
        <v>17</v>
      </c>
      <c r="F1428" s="1">
        <v>39113</v>
      </c>
      <c r="G1428">
        <v>4.8338549870634998E-3</v>
      </c>
    </row>
    <row r="1429" spans="1:7" x14ac:dyDescent="0.25">
      <c r="A1429" t="s">
        <v>7</v>
      </c>
      <c r="B1429" t="s">
        <v>14</v>
      </c>
      <c r="C1429" t="s">
        <v>9</v>
      </c>
      <c r="D1429" t="s">
        <v>10</v>
      </c>
      <c r="E1429">
        <v>17</v>
      </c>
      <c r="F1429" s="1">
        <v>39141</v>
      </c>
      <c r="G1429">
        <v>2.3250176672193E-2</v>
      </c>
    </row>
    <row r="1430" spans="1:7" x14ac:dyDescent="0.25">
      <c r="A1430" t="s">
        <v>7</v>
      </c>
      <c r="B1430" t="s">
        <v>14</v>
      </c>
      <c r="C1430" t="s">
        <v>9</v>
      </c>
      <c r="D1430" t="s">
        <v>10</v>
      </c>
      <c r="E1430">
        <v>16</v>
      </c>
      <c r="F1430" s="1">
        <v>39172</v>
      </c>
      <c r="G1430">
        <v>-2.3497404846914701E-2</v>
      </c>
    </row>
    <row r="1431" spans="1:7" x14ac:dyDescent="0.25">
      <c r="A1431" t="s">
        <v>7</v>
      </c>
      <c r="B1431" t="s">
        <v>14</v>
      </c>
      <c r="C1431" t="s">
        <v>9</v>
      </c>
      <c r="D1431" t="s">
        <v>10</v>
      </c>
      <c r="E1431">
        <v>16</v>
      </c>
      <c r="F1431" s="1">
        <v>39202</v>
      </c>
      <c r="G1431">
        <v>-5.17798831654398E-3</v>
      </c>
    </row>
    <row r="1432" spans="1:7" x14ac:dyDescent="0.25">
      <c r="A1432" t="s">
        <v>7</v>
      </c>
      <c r="B1432" t="s">
        <v>14</v>
      </c>
      <c r="C1432" t="s">
        <v>9</v>
      </c>
      <c r="D1432" t="s">
        <v>10</v>
      </c>
      <c r="E1432">
        <v>16</v>
      </c>
      <c r="F1432" s="1">
        <v>39233</v>
      </c>
      <c r="G1432">
        <v>-3.0388542805560699E-2</v>
      </c>
    </row>
    <row r="1433" spans="1:7" x14ac:dyDescent="0.25">
      <c r="A1433" t="s">
        <v>7</v>
      </c>
      <c r="B1433" t="s">
        <v>14</v>
      </c>
      <c r="C1433" t="s">
        <v>9</v>
      </c>
      <c r="D1433" t="s">
        <v>10</v>
      </c>
      <c r="E1433">
        <v>17</v>
      </c>
      <c r="F1433" s="1">
        <v>39263</v>
      </c>
      <c r="G1433">
        <v>1.29430229841893E-2</v>
      </c>
    </row>
    <row r="1434" spans="1:7" x14ac:dyDescent="0.25">
      <c r="A1434" t="s">
        <v>7</v>
      </c>
      <c r="B1434" t="s">
        <v>14</v>
      </c>
      <c r="C1434" t="s">
        <v>9</v>
      </c>
      <c r="D1434" t="s">
        <v>10</v>
      </c>
      <c r="E1434">
        <v>16</v>
      </c>
      <c r="F1434" s="1">
        <v>39294</v>
      </c>
      <c r="G1434">
        <v>-2.1790775171588402E-2</v>
      </c>
    </row>
    <row r="1435" spans="1:7" x14ac:dyDescent="0.25">
      <c r="A1435" t="s">
        <v>7</v>
      </c>
      <c r="B1435" t="s">
        <v>14</v>
      </c>
      <c r="C1435" t="s">
        <v>9</v>
      </c>
      <c r="D1435" t="s">
        <v>10</v>
      </c>
      <c r="E1435">
        <v>17</v>
      </c>
      <c r="F1435" s="1">
        <v>39325</v>
      </c>
      <c r="G1435">
        <v>2.8094364260278799E-2</v>
      </c>
    </row>
    <row r="1436" spans="1:7" x14ac:dyDescent="0.25">
      <c r="A1436" t="s">
        <v>7</v>
      </c>
      <c r="B1436" t="s">
        <v>14</v>
      </c>
      <c r="C1436" t="s">
        <v>9</v>
      </c>
      <c r="D1436" t="s">
        <v>10</v>
      </c>
      <c r="E1436">
        <v>17</v>
      </c>
      <c r="F1436" s="1">
        <v>39355</v>
      </c>
      <c r="G1436">
        <v>-6.95462782176087E-3</v>
      </c>
    </row>
    <row r="1437" spans="1:7" x14ac:dyDescent="0.25">
      <c r="A1437" t="s">
        <v>7</v>
      </c>
      <c r="B1437" t="s">
        <v>14</v>
      </c>
      <c r="C1437" t="s">
        <v>9</v>
      </c>
      <c r="D1437" t="s">
        <v>10</v>
      </c>
      <c r="E1437">
        <v>17</v>
      </c>
      <c r="F1437" s="1">
        <v>39386</v>
      </c>
      <c r="G1437">
        <v>-2.5053073440720001E-3</v>
      </c>
    </row>
    <row r="1438" spans="1:7" x14ac:dyDescent="0.25">
      <c r="A1438" t="s">
        <v>7</v>
      </c>
      <c r="B1438" t="s">
        <v>14</v>
      </c>
      <c r="C1438" t="s">
        <v>9</v>
      </c>
      <c r="D1438" t="s">
        <v>10</v>
      </c>
      <c r="E1438">
        <v>17</v>
      </c>
      <c r="F1438" s="1">
        <v>39416</v>
      </c>
      <c r="G1438">
        <v>5.7685805831281601E-3</v>
      </c>
    </row>
    <row r="1439" spans="1:7" x14ac:dyDescent="0.25">
      <c r="A1439" t="s">
        <v>7</v>
      </c>
      <c r="B1439" t="s">
        <v>14</v>
      </c>
      <c r="C1439" t="s">
        <v>9</v>
      </c>
      <c r="D1439" t="s">
        <v>10</v>
      </c>
      <c r="E1439">
        <v>17</v>
      </c>
      <c r="F1439" s="1">
        <v>39447</v>
      </c>
      <c r="G1439">
        <v>2.5150084973091999E-2</v>
      </c>
    </row>
    <row r="1440" spans="1:7" x14ac:dyDescent="0.25">
      <c r="A1440" t="s">
        <v>7</v>
      </c>
      <c r="B1440" t="s">
        <v>14</v>
      </c>
      <c r="C1440" t="s">
        <v>9</v>
      </c>
      <c r="D1440" t="s">
        <v>10</v>
      </c>
      <c r="E1440">
        <v>17</v>
      </c>
      <c r="F1440" s="1">
        <v>39478</v>
      </c>
      <c r="G1440">
        <v>2.0852261221235999E-2</v>
      </c>
    </row>
    <row r="1441" spans="1:7" x14ac:dyDescent="0.25">
      <c r="A1441" t="s">
        <v>7</v>
      </c>
      <c r="B1441" t="s">
        <v>14</v>
      </c>
      <c r="C1441" t="s">
        <v>9</v>
      </c>
      <c r="D1441" t="s">
        <v>10</v>
      </c>
      <c r="E1441">
        <v>17</v>
      </c>
      <c r="F1441" s="1">
        <v>39507</v>
      </c>
      <c r="G1441">
        <v>-8.8955096300471596E-3</v>
      </c>
    </row>
    <row r="1442" spans="1:7" x14ac:dyDescent="0.25">
      <c r="A1442" t="s">
        <v>7</v>
      </c>
      <c r="B1442" t="s">
        <v>14</v>
      </c>
      <c r="C1442" t="s">
        <v>9</v>
      </c>
      <c r="D1442" t="s">
        <v>10</v>
      </c>
      <c r="E1442">
        <v>17</v>
      </c>
      <c r="F1442" s="1">
        <v>39538</v>
      </c>
      <c r="G1442">
        <v>3.6195718744858101E-2</v>
      </c>
    </row>
    <row r="1443" spans="1:7" x14ac:dyDescent="0.25">
      <c r="A1443" t="s">
        <v>7</v>
      </c>
      <c r="B1443" t="s">
        <v>14</v>
      </c>
      <c r="C1443" t="s">
        <v>9</v>
      </c>
      <c r="D1443" t="s">
        <v>10</v>
      </c>
      <c r="E1443">
        <v>17</v>
      </c>
      <c r="F1443" s="1">
        <v>39568</v>
      </c>
      <c r="G1443">
        <v>-3.2907443724859702E-2</v>
      </c>
    </row>
    <row r="1444" spans="1:7" x14ac:dyDescent="0.25">
      <c r="A1444" t="s">
        <v>7</v>
      </c>
      <c r="B1444" t="s">
        <v>14</v>
      </c>
      <c r="C1444" t="s">
        <v>9</v>
      </c>
      <c r="D1444" t="s">
        <v>10</v>
      </c>
      <c r="E1444">
        <v>17</v>
      </c>
      <c r="F1444" s="1">
        <v>39599</v>
      </c>
      <c r="G1444">
        <v>-2.2774351408191999E-2</v>
      </c>
    </row>
    <row r="1445" spans="1:7" x14ac:dyDescent="0.25">
      <c r="A1445" t="s">
        <v>7</v>
      </c>
      <c r="B1445" t="s">
        <v>14</v>
      </c>
      <c r="C1445" t="s">
        <v>9</v>
      </c>
      <c r="D1445" t="s">
        <v>10</v>
      </c>
      <c r="E1445">
        <v>17</v>
      </c>
      <c r="F1445" s="1">
        <v>39629</v>
      </c>
      <c r="G1445">
        <v>2.7455344670157401E-2</v>
      </c>
    </row>
    <row r="1446" spans="1:7" x14ac:dyDescent="0.25">
      <c r="A1446" t="s">
        <v>7</v>
      </c>
      <c r="B1446" t="s">
        <v>14</v>
      </c>
      <c r="C1446" t="s">
        <v>9</v>
      </c>
      <c r="D1446" t="s">
        <v>10</v>
      </c>
      <c r="E1446">
        <v>17</v>
      </c>
      <c r="F1446" s="1">
        <v>39660</v>
      </c>
      <c r="G1446">
        <v>-1.81898630762568E-2</v>
      </c>
    </row>
    <row r="1447" spans="1:7" x14ac:dyDescent="0.25">
      <c r="A1447" t="s">
        <v>7</v>
      </c>
      <c r="B1447" t="s">
        <v>14</v>
      </c>
      <c r="C1447" t="s">
        <v>9</v>
      </c>
      <c r="D1447" t="s">
        <v>10</v>
      </c>
      <c r="E1447">
        <v>17</v>
      </c>
      <c r="F1447" s="1">
        <v>39691</v>
      </c>
      <c r="G1447">
        <v>4.1356059707591701E-2</v>
      </c>
    </row>
    <row r="1448" spans="1:7" x14ac:dyDescent="0.25">
      <c r="A1448" t="s">
        <v>7</v>
      </c>
      <c r="B1448" t="s">
        <v>14</v>
      </c>
      <c r="C1448" t="s">
        <v>9</v>
      </c>
      <c r="D1448" t="s">
        <v>10</v>
      </c>
      <c r="E1448">
        <v>17</v>
      </c>
      <c r="F1448" s="1">
        <v>39721</v>
      </c>
      <c r="G1448">
        <v>8.7768419543028997E-2</v>
      </c>
    </row>
    <row r="1449" spans="1:7" x14ac:dyDescent="0.25">
      <c r="A1449" t="s">
        <v>7</v>
      </c>
      <c r="B1449" t="s">
        <v>14</v>
      </c>
      <c r="C1449" t="s">
        <v>9</v>
      </c>
      <c r="D1449" t="s">
        <v>10</v>
      </c>
      <c r="E1449">
        <v>17</v>
      </c>
      <c r="F1449" s="1">
        <v>39752</v>
      </c>
      <c r="G1449">
        <v>8.9825727537781397E-2</v>
      </c>
    </row>
    <row r="1450" spans="1:7" x14ac:dyDescent="0.25">
      <c r="A1450" t="s">
        <v>7</v>
      </c>
      <c r="B1450" t="s">
        <v>14</v>
      </c>
      <c r="C1450" t="s">
        <v>9</v>
      </c>
      <c r="D1450" t="s">
        <v>10</v>
      </c>
      <c r="E1450">
        <v>17</v>
      </c>
      <c r="F1450" s="1">
        <v>39782</v>
      </c>
      <c r="G1450">
        <v>3.3907429355094103E-2</v>
      </c>
    </row>
    <row r="1451" spans="1:7" x14ac:dyDescent="0.25">
      <c r="A1451" t="s">
        <v>7</v>
      </c>
      <c r="B1451" t="s">
        <v>14</v>
      </c>
      <c r="C1451" t="s">
        <v>9</v>
      </c>
      <c r="D1451" t="s">
        <v>10</v>
      </c>
      <c r="E1451">
        <v>17</v>
      </c>
      <c r="F1451" s="1">
        <v>39813</v>
      </c>
      <c r="G1451">
        <v>-7.1901829006622398E-2</v>
      </c>
    </row>
    <row r="1452" spans="1:7" x14ac:dyDescent="0.25">
      <c r="A1452" t="s">
        <v>7</v>
      </c>
      <c r="B1452" t="s">
        <v>14</v>
      </c>
      <c r="C1452" t="s">
        <v>9</v>
      </c>
      <c r="D1452" t="s">
        <v>10</v>
      </c>
      <c r="E1452">
        <v>16</v>
      </c>
      <c r="F1452" s="1">
        <v>39844</v>
      </c>
      <c r="G1452">
        <v>-4.1425995180592E-2</v>
      </c>
    </row>
    <row r="1453" spans="1:7" x14ac:dyDescent="0.25">
      <c r="A1453" t="s">
        <v>7</v>
      </c>
      <c r="B1453" t="s">
        <v>14</v>
      </c>
      <c r="C1453" t="s">
        <v>9</v>
      </c>
      <c r="D1453" t="s">
        <v>10</v>
      </c>
      <c r="E1453">
        <v>17</v>
      </c>
      <c r="F1453" s="1">
        <v>39872</v>
      </c>
      <c r="G1453">
        <v>6.7066071032609004E-2</v>
      </c>
    </row>
    <row r="1454" spans="1:7" x14ac:dyDescent="0.25">
      <c r="A1454" t="s">
        <v>7</v>
      </c>
      <c r="B1454" t="s">
        <v>14</v>
      </c>
      <c r="C1454" t="s">
        <v>9</v>
      </c>
      <c r="D1454" t="s">
        <v>10</v>
      </c>
      <c r="E1454">
        <v>17</v>
      </c>
      <c r="F1454" s="1">
        <v>39903</v>
      </c>
      <c r="G1454">
        <v>-8.0688334683448604E-2</v>
      </c>
    </row>
    <row r="1455" spans="1:7" x14ac:dyDescent="0.25">
      <c r="A1455" t="s">
        <v>7</v>
      </c>
      <c r="B1455" t="s">
        <v>14</v>
      </c>
      <c r="C1455" t="s">
        <v>9</v>
      </c>
      <c r="D1455" t="s">
        <v>10</v>
      </c>
      <c r="E1455">
        <v>17</v>
      </c>
      <c r="F1455" s="1">
        <v>39933</v>
      </c>
      <c r="G1455">
        <v>-0.13169304563376</v>
      </c>
    </row>
    <row r="1456" spans="1:7" x14ac:dyDescent="0.25">
      <c r="A1456" t="s">
        <v>7</v>
      </c>
      <c r="B1456" t="s">
        <v>14</v>
      </c>
      <c r="C1456" t="s">
        <v>9</v>
      </c>
      <c r="D1456" t="s">
        <v>10</v>
      </c>
      <c r="E1456">
        <v>17</v>
      </c>
      <c r="F1456" s="1">
        <v>39964</v>
      </c>
      <c r="G1456">
        <v>-5.0184452814376203E-2</v>
      </c>
    </row>
    <row r="1457" spans="1:7" x14ac:dyDescent="0.25">
      <c r="A1457" t="s">
        <v>7</v>
      </c>
      <c r="B1457" t="s">
        <v>14</v>
      </c>
      <c r="C1457" t="s">
        <v>9</v>
      </c>
      <c r="D1457" t="s">
        <v>10</v>
      </c>
      <c r="E1457">
        <v>17</v>
      </c>
      <c r="F1457" s="1">
        <v>39994</v>
      </c>
      <c r="G1457">
        <v>3.6352299154603099E-2</v>
      </c>
    </row>
    <row r="1458" spans="1:7" x14ac:dyDescent="0.25">
      <c r="A1458" t="s">
        <v>7</v>
      </c>
      <c r="B1458" t="s">
        <v>14</v>
      </c>
      <c r="C1458" t="s">
        <v>9</v>
      </c>
      <c r="D1458" t="s">
        <v>10</v>
      </c>
      <c r="E1458">
        <v>17</v>
      </c>
      <c r="F1458" s="1">
        <v>40025</v>
      </c>
      <c r="G1458">
        <v>-5.5132782064204397E-2</v>
      </c>
    </row>
    <row r="1459" spans="1:7" x14ac:dyDescent="0.25">
      <c r="A1459" t="s">
        <v>7</v>
      </c>
      <c r="B1459" t="s">
        <v>14</v>
      </c>
      <c r="C1459" t="s">
        <v>9</v>
      </c>
      <c r="D1459" t="s">
        <v>10</v>
      </c>
      <c r="E1459">
        <v>17</v>
      </c>
      <c r="F1459" s="1">
        <v>40056</v>
      </c>
      <c r="G1459">
        <v>-1.6559984467869299E-2</v>
      </c>
    </row>
    <row r="1460" spans="1:7" x14ac:dyDescent="0.25">
      <c r="A1460" t="s">
        <v>7</v>
      </c>
      <c r="B1460" t="s">
        <v>14</v>
      </c>
      <c r="C1460" t="s">
        <v>9</v>
      </c>
      <c r="D1460" t="s">
        <v>10</v>
      </c>
      <c r="E1460">
        <v>17</v>
      </c>
      <c r="F1460" s="1">
        <v>40086</v>
      </c>
      <c r="G1460">
        <v>-2.78883482906007E-2</v>
      </c>
    </row>
    <row r="1461" spans="1:7" x14ac:dyDescent="0.25">
      <c r="A1461" t="s">
        <v>7</v>
      </c>
      <c r="B1461" t="s">
        <v>14</v>
      </c>
      <c r="C1461" t="s">
        <v>9</v>
      </c>
      <c r="D1461" t="s">
        <v>10</v>
      </c>
      <c r="E1461">
        <v>17</v>
      </c>
      <c r="F1461" s="1">
        <v>40117</v>
      </c>
      <c r="G1461">
        <v>1.78254305136065E-3</v>
      </c>
    </row>
    <row r="1462" spans="1:7" x14ac:dyDescent="0.25">
      <c r="A1462" t="s">
        <v>7</v>
      </c>
      <c r="B1462" t="s">
        <v>14</v>
      </c>
      <c r="C1462" t="s">
        <v>9</v>
      </c>
      <c r="D1462" t="s">
        <v>10</v>
      </c>
      <c r="E1462">
        <v>17</v>
      </c>
      <c r="F1462" s="1">
        <v>40147</v>
      </c>
      <c r="G1462">
        <v>-2.91799424945107E-2</v>
      </c>
    </row>
    <row r="1463" spans="1:7" x14ac:dyDescent="0.25">
      <c r="A1463" t="s">
        <v>7</v>
      </c>
      <c r="B1463" t="s">
        <v>14</v>
      </c>
      <c r="C1463" t="s">
        <v>9</v>
      </c>
      <c r="D1463" t="s">
        <v>10</v>
      </c>
      <c r="E1463">
        <v>17</v>
      </c>
      <c r="F1463" s="1">
        <v>40178</v>
      </c>
      <c r="G1463">
        <v>3.8866064118714201E-3</v>
      </c>
    </row>
    <row r="1464" spans="1:7" x14ac:dyDescent="0.25">
      <c r="A1464" t="s">
        <v>7</v>
      </c>
      <c r="B1464" t="s">
        <v>14</v>
      </c>
      <c r="C1464" t="s">
        <v>9</v>
      </c>
      <c r="D1464" t="s">
        <v>10</v>
      </c>
      <c r="E1464">
        <v>17</v>
      </c>
      <c r="F1464" s="1">
        <v>40209</v>
      </c>
      <c r="G1464">
        <v>2.6785675084432501E-2</v>
      </c>
    </row>
    <row r="1465" spans="1:7" x14ac:dyDescent="0.25">
      <c r="A1465" t="s">
        <v>7</v>
      </c>
      <c r="B1465" t="s">
        <v>14</v>
      </c>
      <c r="C1465" t="s">
        <v>9</v>
      </c>
      <c r="D1465" t="s">
        <v>10</v>
      </c>
      <c r="E1465">
        <v>17</v>
      </c>
      <c r="F1465" s="1">
        <v>40237</v>
      </c>
      <c r="G1465">
        <v>3.0482374952796299E-3</v>
      </c>
    </row>
    <row r="1466" spans="1:7" x14ac:dyDescent="0.25">
      <c r="A1466" t="s">
        <v>7</v>
      </c>
      <c r="B1466" t="s">
        <v>14</v>
      </c>
      <c r="C1466" t="s">
        <v>9</v>
      </c>
      <c r="D1466" t="s">
        <v>10</v>
      </c>
      <c r="E1466">
        <v>17</v>
      </c>
      <c r="F1466" s="1">
        <v>40268</v>
      </c>
      <c r="G1466">
        <v>1.1321452902039101E-2</v>
      </c>
    </row>
    <row r="1467" spans="1:7" x14ac:dyDescent="0.25">
      <c r="A1467" t="s">
        <v>7</v>
      </c>
      <c r="B1467" t="s">
        <v>14</v>
      </c>
      <c r="C1467" t="s">
        <v>9</v>
      </c>
      <c r="D1467" t="s">
        <v>10</v>
      </c>
      <c r="E1467">
        <v>17</v>
      </c>
      <c r="F1467" s="1">
        <v>40298</v>
      </c>
      <c r="G1467">
        <v>2.85238020729837E-2</v>
      </c>
    </row>
    <row r="1468" spans="1:7" x14ac:dyDescent="0.25">
      <c r="A1468" t="s">
        <v>7</v>
      </c>
      <c r="B1468" t="s">
        <v>14</v>
      </c>
      <c r="C1468" t="s">
        <v>9</v>
      </c>
      <c r="D1468" t="s">
        <v>10</v>
      </c>
      <c r="E1468">
        <v>17</v>
      </c>
      <c r="F1468" s="1">
        <v>40329</v>
      </c>
      <c r="G1468">
        <v>2.1192626743009601E-2</v>
      </c>
    </row>
    <row r="1469" spans="1:7" x14ac:dyDescent="0.25">
      <c r="A1469" t="s">
        <v>7</v>
      </c>
      <c r="B1469" t="s">
        <v>14</v>
      </c>
      <c r="C1469" t="s">
        <v>9</v>
      </c>
      <c r="D1469" t="s">
        <v>10</v>
      </c>
      <c r="E1469">
        <v>17</v>
      </c>
      <c r="F1469" s="1">
        <v>40359</v>
      </c>
      <c r="G1469">
        <v>2.834032602159E-2</v>
      </c>
    </row>
    <row r="1470" spans="1:7" x14ac:dyDescent="0.25">
      <c r="A1470" t="s">
        <v>7</v>
      </c>
      <c r="B1470" t="s">
        <v>14</v>
      </c>
      <c r="C1470" t="s">
        <v>9</v>
      </c>
      <c r="D1470" t="s">
        <v>10</v>
      </c>
      <c r="E1470">
        <v>17</v>
      </c>
      <c r="F1470" s="1">
        <v>40390</v>
      </c>
      <c r="G1470">
        <v>-2.9212611187138599E-2</v>
      </c>
    </row>
    <row r="1471" spans="1:7" x14ac:dyDescent="0.25">
      <c r="A1471" t="s">
        <v>7</v>
      </c>
      <c r="B1471" t="s">
        <v>14</v>
      </c>
      <c r="C1471" t="s">
        <v>9</v>
      </c>
      <c r="D1471" t="s">
        <v>10</v>
      </c>
      <c r="E1471">
        <v>17</v>
      </c>
      <c r="F1471" s="1">
        <v>40421</v>
      </c>
      <c r="G1471">
        <v>2.8797493002852701E-2</v>
      </c>
    </row>
    <row r="1472" spans="1:7" x14ac:dyDescent="0.25">
      <c r="A1472" t="s">
        <v>7</v>
      </c>
      <c r="B1472" t="s">
        <v>14</v>
      </c>
      <c r="C1472" t="s">
        <v>9</v>
      </c>
      <c r="D1472" t="s">
        <v>10</v>
      </c>
      <c r="E1472">
        <v>17</v>
      </c>
      <c r="F1472" s="1">
        <v>40451</v>
      </c>
      <c r="G1472">
        <v>-5.5135047856472797E-3</v>
      </c>
    </row>
    <row r="1473" spans="1:7" x14ac:dyDescent="0.25">
      <c r="A1473" t="s">
        <v>7</v>
      </c>
      <c r="B1473" t="s">
        <v>14</v>
      </c>
      <c r="C1473" t="s">
        <v>9</v>
      </c>
      <c r="D1473" t="s">
        <v>10</v>
      </c>
      <c r="E1473">
        <v>18</v>
      </c>
      <c r="F1473" s="1">
        <v>40482</v>
      </c>
      <c r="G1473">
        <v>8.6084956298579998E-3</v>
      </c>
    </row>
    <row r="1474" spans="1:7" x14ac:dyDescent="0.25">
      <c r="A1474" t="s">
        <v>7</v>
      </c>
      <c r="B1474" t="s">
        <v>14</v>
      </c>
      <c r="C1474" t="s">
        <v>9</v>
      </c>
      <c r="D1474" t="s">
        <v>10</v>
      </c>
      <c r="E1474">
        <v>18</v>
      </c>
      <c r="F1474" s="1">
        <v>40512</v>
      </c>
      <c r="G1474">
        <v>2.6145055720524099E-2</v>
      </c>
    </row>
    <row r="1475" spans="1:7" x14ac:dyDescent="0.25">
      <c r="A1475" t="s">
        <v>7</v>
      </c>
      <c r="B1475" t="s">
        <v>14</v>
      </c>
      <c r="C1475" t="s">
        <v>9</v>
      </c>
      <c r="D1475" t="s">
        <v>10</v>
      </c>
      <c r="E1475">
        <v>18</v>
      </c>
      <c r="F1475" s="1">
        <v>40543</v>
      </c>
      <c r="G1475">
        <v>1.3477724587881001E-2</v>
      </c>
    </row>
    <row r="1476" spans="1:7" x14ac:dyDescent="0.25">
      <c r="A1476" t="s">
        <v>7</v>
      </c>
      <c r="B1476" t="s">
        <v>14</v>
      </c>
      <c r="C1476" t="s">
        <v>9</v>
      </c>
      <c r="D1476" t="s">
        <v>10</v>
      </c>
      <c r="E1476">
        <v>18</v>
      </c>
      <c r="F1476" s="1">
        <v>40574</v>
      </c>
      <c r="G1476">
        <v>2.3301299315044498E-2</v>
      </c>
    </row>
    <row r="1477" spans="1:7" x14ac:dyDescent="0.25">
      <c r="A1477" t="s">
        <v>7</v>
      </c>
      <c r="B1477" t="s">
        <v>14</v>
      </c>
      <c r="C1477" t="s">
        <v>9</v>
      </c>
      <c r="D1477" t="s">
        <v>10</v>
      </c>
      <c r="E1477">
        <v>18</v>
      </c>
      <c r="F1477" s="1">
        <v>40602</v>
      </c>
      <c r="G1477">
        <v>5.1730958618405399E-3</v>
      </c>
    </row>
    <row r="1478" spans="1:7" x14ac:dyDescent="0.25">
      <c r="A1478" t="s">
        <v>7</v>
      </c>
      <c r="B1478" t="s">
        <v>14</v>
      </c>
      <c r="C1478" t="s">
        <v>9</v>
      </c>
      <c r="D1478" t="s">
        <v>10</v>
      </c>
      <c r="E1478">
        <v>18</v>
      </c>
      <c r="F1478" s="1">
        <v>40633</v>
      </c>
      <c r="G1478">
        <v>1.1477136355090499E-2</v>
      </c>
    </row>
    <row r="1479" spans="1:7" x14ac:dyDescent="0.25">
      <c r="A1479" t="s">
        <v>7</v>
      </c>
      <c r="B1479" t="s">
        <v>14</v>
      </c>
      <c r="C1479" t="s">
        <v>9</v>
      </c>
      <c r="D1479" t="s">
        <v>10</v>
      </c>
      <c r="E1479">
        <v>18</v>
      </c>
      <c r="F1479" s="1">
        <v>40663</v>
      </c>
      <c r="G1479">
        <v>5.7653153093642599E-3</v>
      </c>
    </row>
    <row r="1480" spans="1:7" x14ac:dyDescent="0.25">
      <c r="A1480" t="s">
        <v>7</v>
      </c>
      <c r="B1480" t="s">
        <v>14</v>
      </c>
      <c r="C1480" t="s">
        <v>9</v>
      </c>
      <c r="D1480" t="s">
        <v>10</v>
      </c>
      <c r="E1480">
        <v>18</v>
      </c>
      <c r="F1480" s="1">
        <v>40694</v>
      </c>
      <c r="G1480">
        <v>1.85079694224345E-2</v>
      </c>
    </row>
    <row r="1481" spans="1:7" x14ac:dyDescent="0.25">
      <c r="A1481" t="s">
        <v>7</v>
      </c>
      <c r="B1481" t="s">
        <v>14</v>
      </c>
      <c r="C1481" t="s">
        <v>9</v>
      </c>
      <c r="D1481" t="s">
        <v>10</v>
      </c>
      <c r="E1481">
        <v>18</v>
      </c>
      <c r="F1481" s="1">
        <v>40724</v>
      </c>
      <c r="G1481">
        <v>1.83036618706999E-2</v>
      </c>
    </row>
    <row r="1482" spans="1:7" x14ac:dyDescent="0.25">
      <c r="A1482" t="s">
        <v>7</v>
      </c>
      <c r="B1482" t="s">
        <v>14</v>
      </c>
      <c r="C1482" t="s">
        <v>9</v>
      </c>
      <c r="D1482" t="s">
        <v>10</v>
      </c>
      <c r="E1482">
        <v>18</v>
      </c>
      <c r="F1482" s="1">
        <v>40755</v>
      </c>
      <c r="G1482">
        <v>1.79083690182648E-2</v>
      </c>
    </row>
    <row r="1483" spans="1:7" x14ac:dyDescent="0.25">
      <c r="A1483" t="s">
        <v>7</v>
      </c>
      <c r="B1483" t="s">
        <v>14</v>
      </c>
      <c r="C1483" t="s">
        <v>9</v>
      </c>
      <c r="D1483" t="s">
        <v>10</v>
      </c>
      <c r="E1483">
        <v>18</v>
      </c>
      <c r="F1483" s="1">
        <v>40786</v>
      </c>
      <c r="G1483">
        <v>4.3695784380479502E-3</v>
      </c>
    </row>
    <row r="1484" spans="1:7" x14ac:dyDescent="0.25">
      <c r="A1484" t="s">
        <v>7</v>
      </c>
      <c r="B1484" t="s">
        <v>14</v>
      </c>
      <c r="C1484" t="s">
        <v>9</v>
      </c>
      <c r="D1484" t="s">
        <v>10</v>
      </c>
      <c r="E1484">
        <v>18</v>
      </c>
      <c r="F1484" s="1">
        <v>40816</v>
      </c>
      <c r="G1484">
        <v>6.8696466145203805E-2</v>
      </c>
    </row>
    <row r="1485" spans="1:7" x14ac:dyDescent="0.25">
      <c r="A1485" t="s">
        <v>7</v>
      </c>
      <c r="B1485" t="s">
        <v>14</v>
      </c>
      <c r="C1485" t="s">
        <v>9</v>
      </c>
      <c r="D1485" t="s">
        <v>10</v>
      </c>
      <c r="E1485">
        <v>18</v>
      </c>
      <c r="F1485" s="1">
        <v>40847</v>
      </c>
      <c r="G1485">
        <v>-1.39169551915662E-2</v>
      </c>
    </row>
    <row r="1486" spans="1:7" x14ac:dyDescent="0.25">
      <c r="A1486" t="s">
        <v>7</v>
      </c>
      <c r="B1486" t="s">
        <v>14</v>
      </c>
      <c r="C1486" t="s">
        <v>9</v>
      </c>
      <c r="D1486" t="s">
        <v>10</v>
      </c>
      <c r="E1486">
        <v>18</v>
      </c>
      <c r="F1486" s="1">
        <v>40877</v>
      </c>
      <c r="G1486">
        <v>4.5663214944066298E-2</v>
      </c>
    </row>
    <row r="1487" spans="1:7" x14ac:dyDescent="0.25">
      <c r="A1487" t="s">
        <v>7</v>
      </c>
      <c r="B1487" t="s">
        <v>14</v>
      </c>
      <c r="C1487" t="s">
        <v>9</v>
      </c>
      <c r="D1487" t="s">
        <v>10</v>
      </c>
      <c r="E1487">
        <v>18</v>
      </c>
      <c r="F1487" s="1">
        <v>40908</v>
      </c>
      <c r="G1487">
        <v>4.32195988363493E-2</v>
      </c>
    </row>
    <row r="1488" spans="1:7" x14ac:dyDescent="0.25">
      <c r="A1488" t="s">
        <v>7</v>
      </c>
      <c r="B1488" t="s">
        <v>14</v>
      </c>
      <c r="C1488" t="s">
        <v>9</v>
      </c>
      <c r="D1488" t="s">
        <v>10</v>
      </c>
      <c r="E1488">
        <v>18</v>
      </c>
      <c r="F1488" s="1">
        <v>40939</v>
      </c>
      <c r="G1488">
        <v>-6.5668945925019095E-2</v>
      </c>
    </row>
    <row r="1489" spans="1:7" x14ac:dyDescent="0.25">
      <c r="A1489" t="s">
        <v>7</v>
      </c>
      <c r="B1489" t="s">
        <v>14</v>
      </c>
      <c r="C1489" t="s">
        <v>9</v>
      </c>
      <c r="D1489" t="s">
        <v>10</v>
      </c>
      <c r="E1489">
        <v>18</v>
      </c>
      <c r="F1489" s="1">
        <v>40968</v>
      </c>
      <c r="G1489">
        <v>7.4421833185100896E-3</v>
      </c>
    </row>
    <row r="1490" spans="1:7" x14ac:dyDescent="0.25">
      <c r="A1490" t="s">
        <v>7</v>
      </c>
      <c r="B1490" t="s">
        <v>14</v>
      </c>
      <c r="C1490" t="s">
        <v>9</v>
      </c>
      <c r="D1490" t="s">
        <v>10</v>
      </c>
      <c r="E1490">
        <v>18</v>
      </c>
      <c r="F1490" s="1">
        <v>40999</v>
      </c>
      <c r="G1490">
        <v>3.1512414932646997E-2</v>
      </c>
    </row>
    <row r="1491" spans="1:7" x14ac:dyDescent="0.25">
      <c r="A1491" t="s">
        <v>7</v>
      </c>
      <c r="B1491" t="s">
        <v>14</v>
      </c>
      <c r="C1491" t="s">
        <v>9</v>
      </c>
      <c r="D1491" t="s">
        <v>10</v>
      </c>
      <c r="E1491">
        <v>18</v>
      </c>
      <c r="F1491" s="1">
        <v>41029</v>
      </c>
      <c r="G1491">
        <v>5.4645252183101699E-2</v>
      </c>
    </row>
    <row r="1492" spans="1:7" x14ac:dyDescent="0.25">
      <c r="A1492" t="s">
        <v>7</v>
      </c>
      <c r="B1492" t="s">
        <v>14</v>
      </c>
      <c r="C1492" t="s">
        <v>9</v>
      </c>
      <c r="D1492" t="s">
        <v>10</v>
      </c>
      <c r="E1492">
        <v>18</v>
      </c>
      <c r="F1492" s="1">
        <v>41060</v>
      </c>
      <c r="G1492">
        <v>5.5898729096928598E-2</v>
      </c>
    </row>
    <row r="1493" spans="1:7" x14ac:dyDescent="0.25">
      <c r="A1493" t="s">
        <v>7</v>
      </c>
      <c r="B1493" t="s">
        <v>14</v>
      </c>
      <c r="C1493" t="s">
        <v>9</v>
      </c>
      <c r="D1493" t="s">
        <v>10</v>
      </c>
      <c r="E1493">
        <v>18</v>
      </c>
      <c r="F1493" s="1">
        <v>41090</v>
      </c>
      <c r="G1493">
        <v>5.6922304449979401E-2</v>
      </c>
    </row>
    <row r="1494" spans="1:7" x14ac:dyDescent="0.25">
      <c r="A1494" t="s">
        <v>7</v>
      </c>
      <c r="B1494" t="s">
        <v>14</v>
      </c>
      <c r="C1494" t="s">
        <v>9</v>
      </c>
      <c r="D1494" t="s">
        <v>10</v>
      </c>
      <c r="E1494">
        <v>18</v>
      </c>
      <c r="F1494" s="1">
        <v>41121</v>
      </c>
      <c r="G1494">
        <v>-2.0463546500250201E-2</v>
      </c>
    </row>
    <row r="1495" spans="1:7" x14ac:dyDescent="0.25">
      <c r="A1495" t="s">
        <v>7</v>
      </c>
      <c r="B1495" t="s">
        <v>14</v>
      </c>
      <c r="C1495" t="s">
        <v>9</v>
      </c>
      <c r="D1495" t="s">
        <v>10</v>
      </c>
      <c r="E1495">
        <v>18</v>
      </c>
      <c r="F1495" s="1">
        <v>41152</v>
      </c>
      <c r="G1495">
        <v>-2.5724804304463202E-2</v>
      </c>
    </row>
    <row r="1496" spans="1:7" x14ac:dyDescent="0.25">
      <c r="A1496" t="s">
        <v>7</v>
      </c>
      <c r="B1496" t="s">
        <v>14</v>
      </c>
      <c r="C1496" t="s">
        <v>9</v>
      </c>
      <c r="D1496" t="s">
        <v>10</v>
      </c>
      <c r="E1496">
        <v>18</v>
      </c>
      <c r="F1496" s="1">
        <v>41182</v>
      </c>
      <c r="G1496">
        <v>-1.29795462486969E-2</v>
      </c>
    </row>
    <row r="1497" spans="1:7" x14ac:dyDescent="0.25">
      <c r="A1497" t="s">
        <v>7</v>
      </c>
      <c r="B1497" t="s">
        <v>14</v>
      </c>
      <c r="C1497" t="s">
        <v>9</v>
      </c>
      <c r="D1497" t="s">
        <v>10</v>
      </c>
      <c r="E1497">
        <v>18</v>
      </c>
      <c r="F1497" s="1">
        <v>41213</v>
      </c>
      <c r="G1497">
        <v>3.92083153182258E-2</v>
      </c>
    </row>
    <row r="1498" spans="1:7" x14ac:dyDescent="0.25">
      <c r="A1498" t="s">
        <v>7</v>
      </c>
      <c r="B1498" t="s">
        <v>14</v>
      </c>
      <c r="C1498" t="s">
        <v>9</v>
      </c>
      <c r="D1498" t="s">
        <v>10</v>
      </c>
      <c r="E1498">
        <v>18</v>
      </c>
      <c r="F1498" s="1">
        <v>41243</v>
      </c>
      <c r="G1498">
        <v>1.9639566201705198E-2</v>
      </c>
    </row>
    <row r="1499" spans="1:7" x14ac:dyDescent="0.25">
      <c r="A1499" t="s">
        <v>7</v>
      </c>
      <c r="B1499" t="s">
        <v>14</v>
      </c>
      <c r="C1499" t="s">
        <v>9</v>
      </c>
      <c r="D1499" t="s">
        <v>10</v>
      </c>
      <c r="E1499">
        <v>18</v>
      </c>
      <c r="F1499" s="1">
        <v>41274</v>
      </c>
      <c r="G1499">
        <v>-3.2160328303295398E-2</v>
      </c>
    </row>
    <row r="1500" spans="1:7" x14ac:dyDescent="0.25">
      <c r="A1500" t="s">
        <v>7</v>
      </c>
      <c r="B1500" t="s">
        <v>14</v>
      </c>
      <c r="C1500" t="s">
        <v>9</v>
      </c>
      <c r="D1500" t="s">
        <v>10</v>
      </c>
      <c r="E1500">
        <v>18</v>
      </c>
      <c r="F1500" s="1">
        <v>41305</v>
      </c>
      <c r="G1500">
        <v>2.1048038276514001E-2</v>
      </c>
    </row>
    <row r="1501" spans="1:7" x14ac:dyDescent="0.25">
      <c r="A1501" t="s">
        <v>7</v>
      </c>
      <c r="B1501" t="s">
        <v>14</v>
      </c>
      <c r="C1501" t="s">
        <v>9</v>
      </c>
      <c r="D1501" t="s">
        <v>10</v>
      </c>
      <c r="E1501">
        <v>18</v>
      </c>
      <c r="F1501" s="1">
        <v>41333</v>
      </c>
      <c r="G1501">
        <v>2.8118078121940501E-2</v>
      </c>
    </row>
    <row r="1502" spans="1:7" x14ac:dyDescent="0.25">
      <c r="A1502" t="s">
        <v>7</v>
      </c>
      <c r="B1502" t="s">
        <v>14</v>
      </c>
      <c r="C1502" t="s">
        <v>9</v>
      </c>
      <c r="D1502" t="s">
        <v>10</v>
      </c>
      <c r="E1502">
        <v>18</v>
      </c>
      <c r="F1502" s="1">
        <v>41364</v>
      </c>
      <c r="G1502">
        <v>3.6650760230582599E-2</v>
      </c>
    </row>
    <row r="1503" spans="1:7" x14ac:dyDescent="0.25">
      <c r="A1503" t="s">
        <v>7</v>
      </c>
      <c r="B1503" t="s">
        <v>14</v>
      </c>
      <c r="C1503" t="s">
        <v>9</v>
      </c>
      <c r="D1503" t="s">
        <v>10</v>
      </c>
      <c r="E1503">
        <v>18</v>
      </c>
      <c r="F1503" s="1">
        <v>41394</v>
      </c>
      <c r="G1503">
        <v>2.34433802731717E-2</v>
      </c>
    </row>
    <row r="1504" spans="1:7" x14ac:dyDescent="0.25">
      <c r="A1504" t="s">
        <v>7</v>
      </c>
      <c r="B1504" t="s">
        <v>14</v>
      </c>
      <c r="C1504" t="s">
        <v>9</v>
      </c>
      <c r="D1504" t="s">
        <v>10</v>
      </c>
      <c r="E1504">
        <v>18</v>
      </c>
      <c r="F1504" s="1">
        <v>41425</v>
      </c>
      <c r="G1504">
        <v>1.9899137749046801E-2</v>
      </c>
    </row>
    <row r="1505" spans="1:7" x14ac:dyDescent="0.25">
      <c r="A1505" t="s">
        <v>7</v>
      </c>
      <c r="B1505" t="s">
        <v>14</v>
      </c>
      <c r="C1505" t="s">
        <v>9</v>
      </c>
      <c r="D1505" t="s">
        <v>10</v>
      </c>
      <c r="E1505">
        <v>18</v>
      </c>
      <c r="F1505" s="1">
        <v>41455</v>
      </c>
      <c r="G1505">
        <v>3.07853768400373E-2</v>
      </c>
    </row>
    <row r="1506" spans="1:7" x14ac:dyDescent="0.25">
      <c r="A1506" t="s">
        <v>7</v>
      </c>
      <c r="B1506" t="s">
        <v>14</v>
      </c>
      <c r="C1506" t="s">
        <v>9</v>
      </c>
      <c r="D1506" t="s">
        <v>10</v>
      </c>
      <c r="E1506">
        <v>18</v>
      </c>
      <c r="F1506" s="1">
        <v>41486</v>
      </c>
      <c r="G1506">
        <v>3.2364655808304098E-3</v>
      </c>
    </row>
    <row r="1507" spans="1:7" x14ac:dyDescent="0.25">
      <c r="A1507" t="s">
        <v>7</v>
      </c>
      <c r="B1507" t="s">
        <v>14</v>
      </c>
      <c r="C1507" t="s">
        <v>9</v>
      </c>
      <c r="D1507" t="s">
        <v>10</v>
      </c>
      <c r="E1507">
        <v>18</v>
      </c>
      <c r="F1507" s="1">
        <v>41517</v>
      </c>
      <c r="G1507">
        <v>-1.6559904348294699E-2</v>
      </c>
    </row>
    <row r="1508" spans="1:7" x14ac:dyDescent="0.25">
      <c r="A1508" t="s">
        <v>7</v>
      </c>
      <c r="B1508" t="s">
        <v>14</v>
      </c>
      <c r="C1508" t="s">
        <v>9</v>
      </c>
      <c r="D1508" t="s">
        <v>10</v>
      </c>
      <c r="E1508">
        <v>18</v>
      </c>
      <c r="F1508" s="1">
        <v>41547</v>
      </c>
      <c r="G1508">
        <v>-2.77543827638101E-3</v>
      </c>
    </row>
    <row r="1509" spans="1:7" x14ac:dyDescent="0.25">
      <c r="A1509" t="s">
        <v>7</v>
      </c>
      <c r="B1509" t="s">
        <v>14</v>
      </c>
      <c r="C1509" t="s">
        <v>9</v>
      </c>
      <c r="D1509" t="s">
        <v>10</v>
      </c>
      <c r="E1509">
        <v>18</v>
      </c>
      <c r="F1509" s="1">
        <v>41578</v>
      </c>
      <c r="G1509">
        <v>-3.4036695143570403E-4</v>
      </c>
    </row>
    <row r="1510" spans="1:7" x14ac:dyDescent="0.25">
      <c r="A1510" t="s">
        <v>7</v>
      </c>
      <c r="B1510" t="s">
        <v>14</v>
      </c>
      <c r="C1510" t="s">
        <v>9</v>
      </c>
      <c r="D1510" t="s">
        <v>10</v>
      </c>
      <c r="E1510">
        <v>18</v>
      </c>
      <c r="F1510" s="1">
        <v>41608</v>
      </c>
      <c r="G1510">
        <v>6.7973227851728796E-3</v>
      </c>
    </row>
    <row r="1511" spans="1:7" x14ac:dyDescent="0.25">
      <c r="A1511" t="s">
        <v>7</v>
      </c>
      <c r="B1511" t="s">
        <v>14</v>
      </c>
      <c r="C1511" t="s">
        <v>9</v>
      </c>
      <c r="D1511" t="s">
        <v>10</v>
      </c>
      <c r="E1511">
        <v>18</v>
      </c>
      <c r="F1511" s="1">
        <v>41639</v>
      </c>
      <c r="G1511">
        <v>-1.3339204260492499E-2</v>
      </c>
    </row>
    <row r="1512" spans="1:7" x14ac:dyDescent="0.25">
      <c r="A1512" t="s">
        <v>7</v>
      </c>
      <c r="B1512" t="s">
        <v>14</v>
      </c>
      <c r="C1512" t="s">
        <v>9</v>
      </c>
      <c r="D1512" t="s">
        <v>10</v>
      </c>
      <c r="E1512">
        <v>18</v>
      </c>
      <c r="F1512" s="1">
        <v>41670</v>
      </c>
      <c r="G1512">
        <v>1.92680516166773E-3</v>
      </c>
    </row>
    <row r="1513" spans="1:7" x14ac:dyDescent="0.25">
      <c r="A1513" t="s">
        <v>7</v>
      </c>
      <c r="B1513" t="s">
        <v>14</v>
      </c>
      <c r="C1513" t="s">
        <v>9</v>
      </c>
      <c r="D1513" t="s">
        <v>10</v>
      </c>
      <c r="E1513">
        <v>18</v>
      </c>
      <c r="F1513" s="1">
        <v>41698</v>
      </c>
      <c r="G1513">
        <v>2.1741389983311599E-2</v>
      </c>
    </row>
    <row r="1514" spans="1:7" x14ac:dyDescent="0.25">
      <c r="A1514" t="s">
        <v>7</v>
      </c>
      <c r="B1514" t="s">
        <v>14</v>
      </c>
      <c r="C1514" t="s">
        <v>9</v>
      </c>
      <c r="D1514" t="s">
        <v>10</v>
      </c>
      <c r="E1514">
        <v>18</v>
      </c>
      <c r="F1514" s="1">
        <v>41729</v>
      </c>
      <c r="G1514">
        <v>-7.1113303940350397E-3</v>
      </c>
    </row>
    <row r="1515" spans="1:7" x14ac:dyDescent="0.25">
      <c r="A1515" t="s">
        <v>7</v>
      </c>
      <c r="B1515" t="s">
        <v>14</v>
      </c>
      <c r="C1515" t="s">
        <v>9</v>
      </c>
      <c r="D1515" t="s">
        <v>10</v>
      </c>
      <c r="E1515">
        <v>18</v>
      </c>
      <c r="F1515" s="1">
        <v>41759</v>
      </c>
      <c r="G1515">
        <v>2.2032534362987799E-2</v>
      </c>
    </row>
    <row r="1516" spans="1:7" x14ac:dyDescent="0.25">
      <c r="A1516" t="s">
        <v>7</v>
      </c>
      <c r="B1516" t="s">
        <v>14</v>
      </c>
      <c r="C1516" t="s">
        <v>9</v>
      </c>
      <c r="D1516" t="s">
        <v>10</v>
      </c>
      <c r="E1516">
        <v>18</v>
      </c>
      <c r="F1516" s="1">
        <v>41790</v>
      </c>
      <c r="G1516">
        <v>-1.6646571395590001E-2</v>
      </c>
    </row>
    <row r="1517" spans="1:7" x14ac:dyDescent="0.25">
      <c r="A1517" t="s">
        <v>7</v>
      </c>
      <c r="B1517" t="s">
        <v>14</v>
      </c>
      <c r="C1517" t="s">
        <v>9</v>
      </c>
      <c r="D1517" t="s">
        <v>10</v>
      </c>
      <c r="E1517">
        <v>18</v>
      </c>
      <c r="F1517" s="1">
        <v>41820</v>
      </c>
      <c r="G1517">
        <v>-2.0365308790617102E-2</v>
      </c>
    </row>
    <row r="1518" spans="1:7" x14ac:dyDescent="0.25">
      <c r="A1518" t="s">
        <v>7</v>
      </c>
      <c r="B1518" t="s">
        <v>14</v>
      </c>
      <c r="C1518" t="s">
        <v>9</v>
      </c>
      <c r="D1518" t="s">
        <v>10</v>
      </c>
      <c r="E1518">
        <v>18</v>
      </c>
      <c r="F1518" s="1">
        <v>41851</v>
      </c>
      <c r="G1518">
        <v>-2.8762110713394198E-2</v>
      </c>
    </row>
    <row r="1519" spans="1:7" x14ac:dyDescent="0.25">
      <c r="A1519" t="s">
        <v>7</v>
      </c>
      <c r="B1519" t="s">
        <v>14</v>
      </c>
      <c r="C1519" t="s">
        <v>9</v>
      </c>
      <c r="D1519" t="s">
        <v>10</v>
      </c>
      <c r="E1519">
        <v>18</v>
      </c>
      <c r="F1519" s="1">
        <v>41882</v>
      </c>
      <c r="G1519">
        <v>5.1692847405110298E-3</v>
      </c>
    </row>
    <row r="1520" spans="1:7" x14ac:dyDescent="0.25">
      <c r="A1520" t="s">
        <v>7</v>
      </c>
      <c r="B1520" t="s">
        <v>14</v>
      </c>
      <c r="C1520" t="s">
        <v>9</v>
      </c>
      <c r="D1520" t="s">
        <v>10</v>
      </c>
      <c r="E1520">
        <v>18</v>
      </c>
      <c r="F1520" s="1">
        <v>41912</v>
      </c>
      <c r="G1520">
        <v>4.7995405315005998E-2</v>
      </c>
    </row>
    <row r="1521" spans="1:7" x14ac:dyDescent="0.25">
      <c r="A1521" t="s">
        <v>7</v>
      </c>
      <c r="B1521" t="s">
        <v>14</v>
      </c>
      <c r="C1521" t="s">
        <v>9</v>
      </c>
      <c r="D1521" t="s">
        <v>10</v>
      </c>
      <c r="E1521">
        <v>18</v>
      </c>
      <c r="F1521" s="1">
        <v>41943</v>
      </c>
      <c r="G1521">
        <v>-1.6048748373578899E-2</v>
      </c>
    </row>
    <row r="1522" spans="1:7" x14ac:dyDescent="0.25">
      <c r="A1522" t="s">
        <v>7</v>
      </c>
      <c r="B1522" t="s">
        <v>14</v>
      </c>
      <c r="C1522" t="s">
        <v>9</v>
      </c>
      <c r="D1522" t="s">
        <v>10</v>
      </c>
      <c r="E1522">
        <v>18</v>
      </c>
      <c r="F1522" s="1">
        <v>41973</v>
      </c>
      <c r="G1522">
        <v>2.21183833428285E-2</v>
      </c>
    </row>
    <row r="1523" spans="1:7" x14ac:dyDescent="0.25">
      <c r="A1523" t="s">
        <v>7</v>
      </c>
      <c r="B1523" t="s">
        <v>14</v>
      </c>
      <c r="C1523" t="s">
        <v>9</v>
      </c>
      <c r="D1523" t="s">
        <v>10</v>
      </c>
      <c r="E1523">
        <v>18</v>
      </c>
      <c r="F1523" s="1">
        <v>42004</v>
      </c>
      <c r="G1523">
        <v>4.4997174034647001E-2</v>
      </c>
    </row>
    <row r="1524" spans="1:7" x14ac:dyDescent="0.25">
      <c r="A1524" t="s">
        <v>7</v>
      </c>
      <c r="B1524" t="s">
        <v>14</v>
      </c>
      <c r="C1524" t="s">
        <v>9</v>
      </c>
      <c r="D1524" t="s">
        <v>10</v>
      </c>
      <c r="E1524">
        <v>18</v>
      </c>
      <c r="F1524" s="1">
        <v>42035</v>
      </c>
      <c r="G1524">
        <v>7.1097944221665696E-2</v>
      </c>
    </row>
    <row r="1525" spans="1:7" x14ac:dyDescent="0.25">
      <c r="A1525" t="s">
        <v>7</v>
      </c>
      <c r="B1525" t="s">
        <v>14</v>
      </c>
      <c r="C1525" t="s">
        <v>9</v>
      </c>
      <c r="D1525" t="s">
        <v>10</v>
      </c>
      <c r="E1525">
        <v>18</v>
      </c>
      <c r="F1525" s="1">
        <v>42063</v>
      </c>
      <c r="G1525">
        <v>-7.68316275493973E-3</v>
      </c>
    </row>
    <row r="1526" spans="1:7" x14ac:dyDescent="0.25">
      <c r="A1526" t="s">
        <v>7</v>
      </c>
      <c r="B1526" t="s">
        <v>14</v>
      </c>
      <c r="C1526" t="s">
        <v>9</v>
      </c>
      <c r="D1526" t="s">
        <v>10</v>
      </c>
      <c r="E1526">
        <v>18</v>
      </c>
      <c r="F1526" s="1">
        <v>42094</v>
      </c>
      <c r="G1526">
        <v>1.3538153293368001E-2</v>
      </c>
    </row>
    <row r="1527" spans="1:7" x14ac:dyDescent="0.25">
      <c r="A1527" t="s">
        <v>7</v>
      </c>
      <c r="B1527" t="s">
        <v>14</v>
      </c>
      <c r="C1527" t="s">
        <v>9</v>
      </c>
      <c r="D1527" t="s">
        <v>10</v>
      </c>
      <c r="E1527">
        <v>18</v>
      </c>
      <c r="F1527" s="1">
        <v>42124</v>
      </c>
      <c r="G1527">
        <v>-4.7569035191129899E-2</v>
      </c>
    </row>
    <row r="1528" spans="1:7" x14ac:dyDescent="0.25">
      <c r="A1528" t="s">
        <v>7</v>
      </c>
      <c r="B1528" t="s">
        <v>14</v>
      </c>
      <c r="C1528" t="s">
        <v>9</v>
      </c>
      <c r="D1528" t="s">
        <v>10</v>
      </c>
      <c r="E1528">
        <v>18</v>
      </c>
      <c r="F1528" s="1">
        <v>42155</v>
      </c>
      <c r="G1528">
        <v>3.1618941633452601E-2</v>
      </c>
    </row>
    <row r="1529" spans="1:7" x14ac:dyDescent="0.25">
      <c r="A1529" t="s">
        <v>7</v>
      </c>
      <c r="B1529" t="s">
        <v>14</v>
      </c>
      <c r="C1529" t="s">
        <v>9</v>
      </c>
      <c r="D1529" t="s">
        <v>10</v>
      </c>
      <c r="E1529">
        <v>18</v>
      </c>
      <c r="F1529" s="1">
        <v>42185</v>
      </c>
      <c r="G1529">
        <v>1.46074963113597E-2</v>
      </c>
    </row>
    <row r="1530" spans="1:7" x14ac:dyDescent="0.25">
      <c r="A1530" t="s">
        <v>7</v>
      </c>
      <c r="B1530" t="s">
        <v>14</v>
      </c>
      <c r="C1530" t="s">
        <v>9</v>
      </c>
      <c r="D1530" t="s">
        <v>10</v>
      </c>
      <c r="E1530">
        <v>18</v>
      </c>
      <c r="F1530" s="1">
        <v>42216</v>
      </c>
      <c r="G1530">
        <v>6.1516472522518399E-2</v>
      </c>
    </row>
    <row r="1531" spans="1:7" x14ac:dyDescent="0.25">
      <c r="A1531" t="s">
        <v>7</v>
      </c>
      <c r="B1531" t="s">
        <v>14</v>
      </c>
      <c r="C1531" t="s">
        <v>9</v>
      </c>
      <c r="D1531" t="s">
        <v>10</v>
      </c>
      <c r="E1531">
        <v>18</v>
      </c>
      <c r="F1531" s="1">
        <v>42247</v>
      </c>
      <c r="G1531">
        <v>1.65997681329553E-2</v>
      </c>
    </row>
    <row r="1532" spans="1:7" x14ac:dyDescent="0.25">
      <c r="A1532" t="s">
        <v>7</v>
      </c>
      <c r="B1532" t="s">
        <v>14</v>
      </c>
      <c r="C1532" t="s">
        <v>9</v>
      </c>
      <c r="D1532" t="s">
        <v>10</v>
      </c>
      <c r="E1532">
        <v>18</v>
      </c>
      <c r="F1532" s="1">
        <v>42277</v>
      </c>
      <c r="G1532">
        <v>3.2072383758346201E-2</v>
      </c>
    </row>
    <row r="1533" spans="1:7" x14ac:dyDescent="0.25">
      <c r="A1533" t="s">
        <v>7</v>
      </c>
      <c r="B1533" t="s">
        <v>14</v>
      </c>
      <c r="C1533" t="s">
        <v>9</v>
      </c>
      <c r="D1533" t="s">
        <v>10</v>
      </c>
      <c r="E1533">
        <v>18</v>
      </c>
      <c r="F1533" s="1">
        <v>42308</v>
      </c>
      <c r="G1533">
        <v>-5.4301024114103098E-2</v>
      </c>
    </row>
    <row r="1534" spans="1:7" x14ac:dyDescent="0.25">
      <c r="A1534" t="s">
        <v>7</v>
      </c>
      <c r="B1534" t="s">
        <v>14</v>
      </c>
      <c r="C1534" t="s">
        <v>9</v>
      </c>
      <c r="D1534" t="s">
        <v>10</v>
      </c>
      <c r="E1534">
        <v>18</v>
      </c>
      <c r="F1534" s="1">
        <v>42338</v>
      </c>
      <c r="G1534">
        <v>-9.4081096333605996E-3</v>
      </c>
    </row>
    <row r="1535" spans="1:7" x14ac:dyDescent="0.25">
      <c r="A1535" t="s">
        <v>7</v>
      </c>
      <c r="B1535" t="s">
        <v>14</v>
      </c>
      <c r="C1535" t="s">
        <v>9</v>
      </c>
      <c r="D1535" t="s">
        <v>10</v>
      </c>
      <c r="E1535">
        <v>18</v>
      </c>
      <c r="F1535" s="1">
        <v>42369</v>
      </c>
      <c r="G1535">
        <v>9.0086791486501203E-3</v>
      </c>
    </row>
    <row r="1536" spans="1:7" x14ac:dyDescent="0.25">
      <c r="A1536" t="s">
        <v>7</v>
      </c>
      <c r="B1536" t="s">
        <v>14</v>
      </c>
      <c r="C1536" t="s">
        <v>9</v>
      </c>
      <c r="D1536" t="s">
        <v>10</v>
      </c>
      <c r="E1536">
        <v>18</v>
      </c>
      <c r="F1536" s="1">
        <v>42400</v>
      </c>
      <c r="G1536">
        <v>1.3337246918451701E-2</v>
      </c>
    </row>
    <row r="1537" spans="1:7" x14ac:dyDescent="0.25">
      <c r="A1537" t="s">
        <v>7</v>
      </c>
      <c r="B1537" t="s">
        <v>14</v>
      </c>
      <c r="C1537" t="s">
        <v>9</v>
      </c>
      <c r="D1537" t="s">
        <v>10</v>
      </c>
      <c r="E1537">
        <v>18</v>
      </c>
      <c r="F1537" s="1">
        <v>42429</v>
      </c>
      <c r="G1537">
        <v>-3.8791448617593101E-2</v>
      </c>
    </row>
    <row r="1538" spans="1:7" x14ac:dyDescent="0.25">
      <c r="A1538" t="s">
        <v>7</v>
      </c>
      <c r="B1538" t="s">
        <v>14</v>
      </c>
      <c r="C1538" t="s">
        <v>9</v>
      </c>
      <c r="D1538" t="s">
        <v>10</v>
      </c>
      <c r="E1538">
        <v>18</v>
      </c>
      <c r="F1538" s="1">
        <v>42460</v>
      </c>
      <c r="G1538">
        <v>-7.59242943779289E-2</v>
      </c>
    </row>
    <row r="1539" spans="1:7" x14ac:dyDescent="0.25">
      <c r="A1539" t="s">
        <v>7</v>
      </c>
      <c r="B1539" t="s">
        <v>14</v>
      </c>
      <c r="C1539" t="s">
        <v>9</v>
      </c>
      <c r="D1539" t="s">
        <v>10</v>
      </c>
      <c r="E1539">
        <v>18</v>
      </c>
      <c r="F1539" s="1">
        <v>42490</v>
      </c>
      <c r="G1539">
        <v>-5.6751739080438499E-2</v>
      </c>
    </row>
    <row r="1540" spans="1:7" x14ac:dyDescent="0.25">
      <c r="A1540" t="s">
        <v>7</v>
      </c>
      <c r="B1540" t="s">
        <v>14</v>
      </c>
      <c r="C1540" t="s">
        <v>9</v>
      </c>
      <c r="D1540" t="s">
        <v>10</v>
      </c>
      <c r="E1540">
        <v>18</v>
      </c>
      <c r="F1540" s="1">
        <v>42521</v>
      </c>
      <c r="G1540">
        <v>4.8109254760736402E-2</v>
      </c>
    </row>
    <row r="1541" spans="1:7" x14ac:dyDescent="0.25">
      <c r="A1541" t="s">
        <v>7</v>
      </c>
      <c r="B1541" t="s">
        <v>14</v>
      </c>
      <c r="C1541" t="s">
        <v>9</v>
      </c>
      <c r="D1541" t="s">
        <v>10</v>
      </c>
      <c r="E1541">
        <v>18</v>
      </c>
      <c r="F1541" s="1">
        <v>42551</v>
      </c>
      <c r="G1541">
        <v>-4.1888601868420999E-2</v>
      </c>
    </row>
    <row r="1542" spans="1:7" x14ac:dyDescent="0.25">
      <c r="A1542" t="s">
        <v>7</v>
      </c>
      <c r="B1542" t="s">
        <v>14</v>
      </c>
      <c r="C1542" t="s">
        <v>9</v>
      </c>
      <c r="D1542" t="s">
        <v>10</v>
      </c>
      <c r="E1542">
        <v>18</v>
      </c>
      <c r="F1542" s="1">
        <v>42582</v>
      </c>
      <c r="G1542">
        <v>-4.5491763438097597E-2</v>
      </c>
    </row>
    <row r="1543" spans="1:7" x14ac:dyDescent="0.25">
      <c r="A1543" t="s">
        <v>7</v>
      </c>
      <c r="B1543" t="s">
        <v>14</v>
      </c>
      <c r="C1543" t="s">
        <v>9</v>
      </c>
      <c r="D1543" t="s">
        <v>10</v>
      </c>
      <c r="E1543">
        <v>18</v>
      </c>
      <c r="F1543" s="1">
        <v>42613</v>
      </c>
      <c r="G1543">
        <v>3.5446880140047599E-3</v>
      </c>
    </row>
    <row r="1544" spans="1:7" x14ac:dyDescent="0.25">
      <c r="A1544" t="s">
        <v>7</v>
      </c>
      <c r="B1544" t="s">
        <v>14</v>
      </c>
      <c r="C1544" t="s">
        <v>9</v>
      </c>
      <c r="D1544" t="s">
        <v>10</v>
      </c>
      <c r="E1544">
        <v>18</v>
      </c>
      <c r="F1544" s="1">
        <v>42643</v>
      </c>
      <c r="G1544">
        <v>1.4495784636905E-2</v>
      </c>
    </row>
    <row r="1545" spans="1:7" x14ac:dyDescent="0.25">
      <c r="A1545" t="s">
        <v>7</v>
      </c>
      <c r="B1545" t="s">
        <v>14</v>
      </c>
      <c r="C1545" t="s">
        <v>9</v>
      </c>
      <c r="D1545" t="s">
        <v>10</v>
      </c>
      <c r="E1545">
        <v>18</v>
      </c>
      <c r="F1545" s="1">
        <v>42674</v>
      </c>
      <c r="G1545">
        <v>-3.48730712871421E-2</v>
      </c>
    </row>
    <row r="1546" spans="1:7" x14ac:dyDescent="0.25">
      <c r="A1546" t="s">
        <v>7</v>
      </c>
      <c r="B1546" t="s">
        <v>14</v>
      </c>
      <c r="C1546" t="s">
        <v>9</v>
      </c>
      <c r="D1546" t="s">
        <v>10</v>
      </c>
      <c r="E1546">
        <v>18</v>
      </c>
      <c r="F1546" s="1">
        <v>42704</v>
      </c>
      <c r="G1546">
        <v>-6.9320290878036404E-3</v>
      </c>
    </row>
    <row r="1547" spans="1:7" x14ac:dyDescent="0.25">
      <c r="A1547" t="s">
        <v>7</v>
      </c>
      <c r="B1547" t="s">
        <v>14</v>
      </c>
      <c r="C1547" t="s">
        <v>9</v>
      </c>
      <c r="D1547" t="s">
        <v>10</v>
      </c>
      <c r="E1547">
        <v>18</v>
      </c>
      <c r="F1547" s="1">
        <v>42735</v>
      </c>
      <c r="G1547">
        <v>-3.8313718135527001E-3</v>
      </c>
    </row>
    <row r="1548" spans="1:7" x14ac:dyDescent="0.25">
      <c r="A1548" t="s">
        <v>7</v>
      </c>
      <c r="B1548" t="s">
        <v>14</v>
      </c>
      <c r="C1548" t="s">
        <v>9</v>
      </c>
      <c r="D1548" t="s">
        <v>10</v>
      </c>
      <c r="E1548">
        <v>18</v>
      </c>
      <c r="F1548" s="1">
        <v>42766</v>
      </c>
      <c r="G1548">
        <v>-2.21067763449261E-2</v>
      </c>
    </row>
    <row r="1549" spans="1:7" x14ac:dyDescent="0.25">
      <c r="A1549" t="s">
        <v>7</v>
      </c>
      <c r="B1549" t="s">
        <v>14</v>
      </c>
      <c r="C1549" t="s">
        <v>9</v>
      </c>
      <c r="D1549" t="s">
        <v>10</v>
      </c>
      <c r="E1549">
        <v>18</v>
      </c>
      <c r="F1549" s="1">
        <v>42794</v>
      </c>
      <c r="G1549">
        <v>-1.8965396755682599E-2</v>
      </c>
    </row>
    <row r="1550" spans="1:7" x14ac:dyDescent="0.25">
      <c r="A1550" t="s">
        <v>7</v>
      </c>
      <c r="B1550" t="s">
        <v>14</v>
      </c>
      <c r="C1550" t="s">
        <v>9</v>
      </c>
      <c r="D1550" t="s">
        <v>10</v>
      </c>
      <c r="E1550">
        <v>18</v>
      </c>
      <c r="F1550" s="1">
        <v>42825</v>
      </c>
      <c r="G1550">
        <v>1.1688980061774301E-2</v>
      </c>
    </row>
    <row r="1551" spans="1:7" x14ac:dyDescent="0.25">
      <c r="A1551" t="s">
        <v>7</v>
      </c>
      <c r="B1551" t="s">
        <v>14</v>
      </c>
      <c r="C1551" t="s">
        <v>9</v>
      </c>
      <c r="D1551" t="s">
        <v>10</v>
      </c>
      <c r="E1551">
        <v>18</v>
      </c>
      <c r="F1551" s="1">
        <v>42855</v>
      </c>
      <c r="G1551">
        <v>-9.1735306159309599E-3</v>
      </c>
    </row>
    <row r="1552" spans="1:7" x14ac:dyDescent="0.25">
      <c r="A1552" t="s">
        <v>7</v>
      </c>
      <c r="B1552" t="s">
        <v>14</v>
      </c>
      <c r="C1552" t="s">
        <v>9</v>
      </c>
      <c r="D1552" t="s">
        <v>10</v>
      </c>
      <c r="E1552">
        <v>18</v>
      </c>
      <c r="F1552" s="1">
        <v>42886</v>
      </c>
      <c r="G1552">
        <v>2.9729442797594801E-2</v>
      </c>
    </row>
    <row r="1553" spans="1:7" x14ac:dyDescent="0.25">
      <c r="A1553" t="s">
        <v>7</v>
      </c>
      <c r="B1553" t="s">
        <v>14</v>
      </c>
      <c r="C1553" t="s">
        <v>9</v>
      </c>
      <c r="D1553" t="s">
        <v>10</v>
      </c>
      <c r="E1553">
        <v>18</v>
      </c>
      <c r="F1553" s="1">
        <v>42916</v>
      </c>
      <c r="G1553">
        <v>5.1695993488914396E-3</v>
      </c>
    </row>
    <row r="1554" spans="1:7" x14ac:dyDescent="0.25">
      <c r="A1554" t="s">
        <v>7</v>
      </c>
      <c r="B1554" t="s">
        <v>14</v>
      </c>
      <c r="C1554" t="s">
        <v>9</v>
      </c>
      <c r="D1554" t="s">
        <v>10</v>
      </c>
      <c r="E1554">
        <v>18</v>
      </c>
      <c r="F1554" s="1">
        <v>42947</v>
      </c>
      <c r="G1554">
        <v>-4.3595814980911397E-2</v>
      </c>
    </row>
    <row r="1555" spans="1:7" x14ac:dyDescent="0.25">
      <c r="A1555" t="s">
        <v>7</v>
      </c>
      <c r="B1555" t="s">
        <v>14</v>
      </c>
      <c r="C1555" t="s">
        <v>9</v>
      </c>
      <c r="D1555" t="s">
        <v>10</v>
      </c>
      <c r="E1555">
        <v>18</v>
      </c>
      <c r="F1555" s="1">
        <v>42978</v>
      </c>
      <c r="G1555">
        <v>-3.5561780338734902E-2</v>
      </c>
    </row>
    <row r="1556" spans="1:7" x14ac:dyDescent="0.25">
      <c r="A1556" t="s">
        <v>7</v>
      </c>
      <c r="B1556" t="s">
        <v>14</v>
      </c>
      <c r="C1556" t="s">
        <v>9</v>
      </c>
      <c r="D1556" t="s">
        <v>10</v>
      </c>
      <c r="E1556">
        <v>18</v>
      </c>
      <c r="F1556" s="1">
        <v>43008</v>
      </c>
      <c r="G1556">
        <v>-2.0918354537742101E-2</v>
      </c>
    </row>
    <row r="1557" spans="1:7" x14ac:dyDescent="0.25">
      <c r="A1557" t="s">
        <v>7</v>
      </c>
      <c r="B1557" t="s">
        <v>14</v>
      </c>
      <c r="C1557" t="s">
        <v>9</v>
      </c>
      <c r="D1557" t="s">
        <v>10</v>
      </c>
      <c r="E1557">
        <v>18</v>
      </c>
      <c r="F1557" s="1">
        <v>43039</v>
      </c>
      <c r="G1557">
        <v>1.62302136322711E-2</v>
      </c>
    </row>
    <row r="1558" spans="1:7" x14ac:dyDescent="0.25">
      <c r="A1558" t="s">
        <v>7</v>
      </c>
      <c r="B1558" t="s">
        <v>14</v>
      </c>
      <c r="C1558" t="s">
        <v>9</v>
      </c>
      <c r="D1558" t="s">
        <v>10</v>
      </c>
      <c r="E1558">
        <v>18</v>
      </c>
      <c r="F1558" s="1">
        <v>43069</v>
      </c>
      <c r="G1558">
        <v>-2.3003603234365701E-3</v>
      </c>
    </row>
    <row r="1559" spans="1:7" x14ac:dyDescent="0.25">
      <c r="A1559" t="s">
        <v>7</v>
      </c>
      <c r="B1559" t="s">
        <v>14</v>
      </c>
      <c r="C1559" t="s">
        <v>9</v>
      </c>
      <c r="D1559" t="s">
        <v>10</v>
      </c>
      <c r="E1559">
        <v>18</v>
      </c>
      <c r="F1559" s="1">
        <v>43100</v>
      </c>
      <c r="G1559">
        <v>-1.8615882845620001E-2</v>
      </c>
    </row>
    <row r="1560" spans="1:7" x14ac:dyDescent="0.25">
      <c r="A1560" t="s">
        <v>7</v>
      </c>
      <c r="B1560" t="s">
        <v>14</v>
      </c>
      <c r="C1560" t="s">
        <v>9</v>
      </c>
      <c r="D1560" t="s">
        <v>10</v>
      </c>
      <c r="E1560">
        <v>18</v>
      </c>
      <c r="F1560" s="1">
        <v>43131</v>
      </c>
      <c r="G1560">
        <v>5.55938547938348E-3</v>
      </c>
    </row>
    <row r="1561" spans="1:7" x14ac:dyDescent="0.25">
      <c r="A1561" t="s">
        <v>7</v>
      </c>
      <c r="B1561" t="s">
        <v>14</v>
      </c>
      <c r="C1561" t="s">
        <v>9</v>
      </c>
      <c r="D1561" t="s">
        <v>10</v>
      </c>
      <c r="E1561">
        <v>18</v>
      </c>
      <c r="F1561" s="1">
        <v>43159</v>
      </c>
      <c r="G1561">
        <v>4.67551766903958E-4</v>
      </c>
    </row>
    <row r="1562" spans="1:7" x14ac:dyDescent="0.25">
      <c r="A1562" t="s">
        <v>7</v>
      </c>
      <c r="B1562" t="s">
        <v>14</v>
      </c>
      <c r="C1562" t="s">
        <v>9</v>
      </c>
      <c r="D1562" t="s">
        <v>10</v>
      </c>
      <c r="E1562">
        <v>18</v>
      </c>
      <c r="F1562" s="1">
        <v>43190</v>
      </c>
      <c r="G1562">
        <v>5.67700714169169E-3</v>
      </c>
    </row>
    <row r="1563" spans="1:7" x14ac:dyDescent="0.25">
      <c r="A1563" t="s">
        <v>7</v>
      </c>
      <c r="B1563" t="s">
        <v>14</v>
      </c>
      <c r="C1563" t="s">
        <v>9</v>
      </c>
      <c r="D1563" t="s">
        <v>10</v>
      </c>
      <c r="E1563">
        <v>18</v>
      </c>
      <c r="F1563" s="1">
        <v>43220</v>
      </c>
      <c r="G1563">
        <v>-3.37447494063364E-2</v>
      </c>
    </row>
    <row r="1564" spans="1:7" x14ac:dyDescent="0.25">
      <c r="A1564" t="s">
        <v>7</v>
      </c>
      <c r="B1564" t="s">
        <v>14</v>
      </c>
      <c r="C1564" t="s">
        <v>9</v>
      </c>
      <c r="D1564" t="s">
        <v>10</v>
      </c>
      <c r="E1564">
        <v>18</v>
      </c>
      <c r="F1564" s="1">
        <v>43251</v>
      </c>
      <c r="G1564">
        <v>1.5529662375084701E-2</v>
      </c>
    </row>
    <row r="1565" spans="1:7" x14ac:dyDescent="0.25">
      <c r="A1565" t="s">
        <v>7</v>
      </c>
      <c r="B1565" t="s">
        <v>14</v>
      </c>
      <c r="C1565" t="s">
        <v>9</v>
      </c>
      <c r="D1565" t="s">
        <v>10</v>
      </c>
      <c r="E1565">
        <v>18</v>
      </c>
      <c r="F1565" s="1">
        <v>43281</v>
      </c>
      <c r="G1565">
        <v>-8.3151688494321196E-3</v>
      </c>
    </row>
    <row r="1566" spans="1:7" x14ac:dyDescent="0.25">
      <c r="A1566" t="s">
        <v>7</v>
      </c>
      <c r="B1566" t="s">
        <v>14</v>
      </c>
      <c r="C1566" t="s">
        <v>9</v>
      </c>
      <c r="D1566" t="s">
        <v>10</v>
      </c>
      <c r="E1566">
        <v>18</v>
      </c>
      <c r="F1566" s="1">
        <v>43312</v>
      </c>
      <c r="G1566">
        <v>-1.46207730199553E-2</v>
      </c>
    </row>
    <row r="1567" spans="1:7" x14ac:dyDescent="0.25">
      <c r="A1567" t="s">
        <v>7</v>
      </c>
      <c r="B1567" t="s">
        <v>14</v>
      </c>
      <c r="C1567" t="s">
        <v>9</v>
      </c>
      <c r="D1567" t="s">
        <v>10</v>
      </c>
      <c r="E1567">
        <v>18</v>
      </c>
      <c r="F1567" s="1">
        <v>43343</v>
      </c>
      <c r="G1567">
        <v>2.5275601858905501E-2</v>
      </c>
    </row>
    <row r="1568" spans="1:7" x14ac:dyDescent="0.25">
      <c r="A1568" t="s">
        <v>7</v>
      </c>
      <c r="B1568" t="s">
        <v>14</v>
      </c>
      <c r="C1568" t="s">
        <v>9</v>
      </c>
      <c r="D1568" t="s">
        <v>10</v>
      </c>
      <c r="E1568">
        <v>18</v>
      </c>
      <c r="F1568" s="1">
        <v>43373</v>
      </c>
      <c r="G1568">
        <v>-8.2560781995631602E-5</v>
      </c>
    </row>
    <row r="1569" spans="1:7" x14ac:dyDescent="0.25">
      <c r="A1569" t="s">
        <v>7</v>
      </c>
      <c r="B1569" t="s">
        <v>14</v>
      </c>
      <c r="C1569" t="s">
        <v>9</v>
      </c>
      <c r="D1569" t="s">
        <v>10</v>
      </c>
      <c r="E1569">
        <v>18</v>
      </c>
      <c r="F1569" s="1">
        <v>43404</v>
      </c>
      <c r="G1569">
        <v>-8.03554429179512E-2</v>
      </c>
    </row>
    <row r="1570" spans="1:7" x14ac:dyDescent="0.25">
      <c r="A1570" t="s">
        <v>7</v>
      </c>
      <c r="B1570" t="s">
        <v>14</v>
      </c>
      <c r="C1570" t="s">
        <v>9</v>
      </c>
      <c r="D1570" t="s">
        <v>10</v>
      </c>
      <c r="E1570">
        <v>18</v>
      </c>
      <c r="F1570" s="1">
        <v>43434</v>
      </c>
      <c r="G1570">
        <v>1.53312468517536E-2</v>
      </c>
    </row>
    <row r="1571" spans="1:7" x14ac:dyDescent="0.25">
      <c r="A1571" t="s">
        <v>7</v>
      </c>
      <c r="B1571" t="s">
        <v>14</v>
      </c>
      <c r="C1571" t="s">
        <v>9</v>
      </c>
      <c r="D1571" t="s">
        <v>10</v>
      </c>
      <c r="E1571">
        <v>18</v>
      </c>
      <c r="F1571" s="1">
        <v>43465</v>
      </c>
      <c r="G1571">
        <v>-1.4655990487323399E-3</v>
      </c>
    </row>
    <row r="1572" spans="1:7" x14ac:dyDescent="0.25">
      <c r="A1572" t="s">
        <v>7</v>
      </c>
      <c r="B1572" t="s">
        <v>14</v>
      </c>
      <c r="C1572" t="s">
        <v>9</v>
      </c>
      <c r="D1572" t="s">
        <v>10</v>
      </c>
      <c r="E1572">
        <v>18</v>
      </c>
      <c r="F1572" s="1">
        <v>43496</v>
      </c>
      <c r="G1572">
        <v>-2.8041013122304101E-2</v>
      </c>
    </row>
    <row r="1573" spans="1:7" x14ac:dyDescent="0.25">
      <c r="A1573" t="s">
        <v>7</v>
      </c>
      <c r="B1573" t="s">
        <v>14</v>
      </c>
      <c r="C1573" t="s">
        <v>9</v>
      </c>
      <c r="D1573" t="s">
        <v>10</v>
      </c>
      <c r="E1573">
        <v>18</v>
      </c>
      <c r="F1573" s="1">
        <v>43524</v>
      </c>
      <c r="G1573">
        <v>-1.2806051824793E-2</v>
      </c>
    </row>
    <row r="1574" spans="1:7" x14ac:dyDescent="0.25">
      <c r="A1574" t="s">
        <v>7</v>
      </c>
      <c r="B1574" t="s">
        <v>14</v>
      </c>
      <c r="C1574" t="s">
        <v>9</v>
      </c>
      <c r="D1574" t="s">
        <v>10</v>
      </c>
      <c r="E1574">
        <v>18</v>
      </c>
      <c r="F1574" s="1">
        <v>43555</v>
      </c>
      <c r="G1574">
        <v>-8.5371245043358406E-3</v>
      </c>
    </row>
    <row r="1575" spans="1:7" x14ac:dyDescent="0.25">
      <c r="A1575" t="s">
        <v>7</v>
      </c>
      <c r="B1575" t="s">
        <v>14</v>
      </c>
      <c r="C1575" t="s">
        <v>9</v>
      </c>
      <c r="D1575" t="s">
        <v>10</v>
      </c>
      <c r="E1575">
        <v>18</v>
      </c>
      <c r="F1575" s="1">
        <v>43585</v>
      </c>
      <c r="G1575">
        <v>-8.0495218446271898E-3</v>
      </c>
    </row>
    <row r="1576" spans="1:7" x14ac:dyDescent="0.25">
      <c r="A1576" t="s">
        <v>7</v>
      </c>
      <c r="B1576" t="s">
        <v>14</v>
      </c>
      <c r="C1576" t="s">
        <v>9</v>
      </c>
      <c r="D1576" t="s">
        <v>10</v>
      </c>
      <c r="E1576">
        <v>18</v>
      </c>
      <c r="F1576" s="1">
        <v>43616</v>
      </c>
      <c r="G1576">
        <v>1.0609108817641699E-3</v>
      </c>
    </row>
    <row r="1577" spans="1:7" x14ac:dyDescent="0.25">
      <c r="A1577" t="s">
        <v>7</v>
      </c>
      <c r="B1577" t="s">
        <v>14</v>
      </c>
      <c r="C1577" t="s">
        <v>9</v>
      </c>
      <c r="D1577" t="s">
        <v>10</v>
      </c>
      <c r="E1577">
        <v>18</v>
      </c>
      <c r="F1577" s="1">
        <v>43646</v>
      </c>
      <c r="G1577">
        <v>6.2799522261668102E-3</v>
      </c>
    </row>
    <row r="1578" spans="1:7" x14ac:dyDescent="0.25">
      <c r="A1578" t="s">
        <v>7</v>
      </c>
      <c r="B1578" t="s">
        <v>14</v>
      </c>
      <c r="C1578" t="s">
        <v>9</v>
      </c>
      <c r="D1578" t="s">
        <v>10</v>
      </c>
      <c r="E1578">
        <v>18</v>
      </c>
      <c r="F1578" s="1">
        <v>43677</v>
      </c>
      <c r="G1578">
        <v>-2.3836389433699E-2</v>
      </c>
    </row>
    <row r="1579" spans="1:7" x14ac:dyDescent="0.25">
      <c r="A1579" t="s">
        <v>7</v>
      </c>
      <c r="B1579" t="s">
        <v>14</v>
      </c>
      <c r="C1579" t="s">
        <v>9</v>
      </c>
      <c r="D1579" t="s">
        <v>10</v>
      </c>
      <c r="E1579">
        <v>18</v>
      </c>
      <c r="F1579" s="1">
        <v>43708</v>
      </c>
      <c r="G1579">
        <v>-1.5028804633028E-2</v>
      </c>
    </row>
    <row r="1580" spans="1:7" x14ac:dyDescent="0.25">
      <c r="A1580" t="s">
        <v>7</v>
      </c>
      <c r="B1580" t="s">
        <v>14</v>
      </c>
      <c r="C1580" t="s">
        <v>9</v>
      </c>
      <c r="D1580" t="s">
        <v>10</v>
      </c>
      <c r="E1580">
        <v>18</v>
      </c>
      <c r="F1580" s="1">
        <v>43738</v>
      </c>
      <c r="G1580">
        <v>1.07058567953393E-3</v>
      </c>
    </row>
    <row r="1581" spans="1:7" x14ac:dyDescent="0.25">
      <c r="A1581" t="s">
        <v>7</v>
      </c>
      <c r="B1581" t="s">
        <v>14</v>
      </c>
      <c r="C1581" t="s">
        <v>9</v>
      </c>
      <c r="D1581" t="s">
        <v>10</v>
      </c>
      <c r="E1581">
        <v>18</v>
      </c>
      <c r="F1581" s="1">
        <v>43769</v>
      </c>
      <c r="G1581">
        <v>-1.11036536315184E-2</v>
      </c>
    </row>
    <row r="1582" spans="1:7" x14ac:dyDescent="0.25">
      <c r="A1582" t="s">
        <v>7</v>
      </c>
      <c r="B1582" t="s">
        <v>14</v>
      </c>
      <c r="C1582" t="s">
        <v>9</v>
      </c>
      <c r="D1582" t="s">
        <v>10</v>
      </c>
      <c r="E1582">
        <v>18</v>
      </c>
      <c r="F1582" s="1">
        <v>43799</v>
      </c>
      <c r="G1582">
        <v>-6.6884690439904396E-3</v>
      </c>
    </row>
    <row r="1583" spans="1:7" x14ac:dyDescent="0.25">
      <c r="A1583" t="s">
        <v>7</v>
      </c>
      <c r="B1583" t="s">
        <v>14</v>
      </c>
      <c r="C1583" t="s">
        <v>9</v>
      </c>
      <c r="D1583" t="s">
        <v>10</v>
      </c>
      <c r="E1583">
        <v>18</v>
      </c>
      <c r="F1583" s="1">
        <v>43830</v>
      </c>
      <c r="G1583">
        <v>5.6896904085360501E-4</v>
      </c>
    </row>
    <row r="1584" spans="1:7" x14ac:dyDescent="0.25">
      <c r="A1584" t="s">
        <v>7</v>
      </c>
      <c r="B1584" t="s">
        <v>14</v>
      </c>
      <c r="C1584" t="s">
        <v>9</v>
      </c>
      <c r="D1584" t="s">
        <v>10</v>
      </c>
      <c r="E1584">
        <v>18</v>
      </c>
      <c r="F1584" s="1">
        <v>43861</v>
      </c>
      <c r="G1584">
        <v>-1.8884849690157201E-2</v>
      </c>
    </row>
    <row r="1585" spans="1:7" x14ac:dyDescent="0.25">
      <c r="A1585" t="s">
        <v>7</v>
      </c>
      <c r="B1585" t="s">
        <v>14</v>
      </c>
      <c r="C1585" t="s">
        <v>9</v>
      </c>
      <c r="D1585" t="s">
        <v>10</v>
      </c>
      <c r="E1585">
        <v>18</v>
      </c>
      <c r="F1585" s="1">
        <v>43890</v>
      </c>
      <c r="G1585">
        <v>6.8523287939188E-3</v>
      </c>
    </row>
    <row r="1586" spans="1:7" x14ac:dyDescent="0.25">
      <c r="A1586" t="s">
        <v>7</v>
      </c>
      <c r="B1586" t="s">
        <v>14</v>
      </c>
      <c r="C1586" t="s">
        <v>9</v>
      </c>
      <c r="D1586" t="s">
        <v>10</v>
      </c>
      <c r="E1586">
        <v>18</v>
      </c>
      <c r="F1586" s="1">
        <v>43921</v>
      </c>
      <c r="G1586">
        <v>8.6263601680514806E-2</v>
      </c>
    </row>
    <row r="1587" spans="1:7" x14ac:dyDescent="0.25">
      <c r="A1587" t="s">
        <v>7</v>
      </c>
      <c r="B1587" t="s">
        <v>14</v>
      </c>
      <c r="C1587" t="s">
        <v>9</v>
      </c>
      <c r="D1587" t="s">
        <v>10</v>
      </c>
      <c r="E1587">
        <v>18</v>
      </c>
      <c r="F1587" s="1">
        <v>43951</v>
      </c>
      <c r="G1587">
        <v>-0.110484908374037</v>
      </c>
    </row>
    <row r="1588" spans="1:7" x14ac:dyDescent="0.25">
      <c r="A1588" t="s">
        <v>7</v>
      </c>
      <c r="B1588" t="s">
        <v>14</v>
      </c>
      <c r="C1588" t="s">
        <v>9</v>
      </c>
      <c r="D1588" t="s">
        <v>10</v>
      </c>
      <c r="E1588">
        <v>18</v>
      </c>
      <c r="F1588" s="1">
        <v>43982</v>
      </c>
      <c r="G1588">
        <v>-2.7194745837356898E-2</v>
      </c>
    </row>
    <row r="1589" spans="1:7" x14ac:dyDescent="0.25">
      <c r="A1589" t="s">
        <v>7</v>
      </c>
      <c r="B1589" t="s">
        <v>14</v>
      </c>
      <c r="C1589" t="s">
        <v>9</v>
      </c>
      <c r="D1589" t="s">
        <v>10</v>
      </c>
      <c r="E1589">
        <v>18</v>
      </c>
      <c r="F1589" s="1">
        <v>44012</v>
      </c>
      <c r="G1589">
        <v>-3.6374593897260797E-2</v>
      </c>
    </row>
    <row r="1590" spans="1:7" x14ac:dyDescent="0.25">
      <c r="A1590" t="s">
        <v>7</v>
      </c>
      <c r="B1590" t="s">
        <v>14</v>
      </c>
      <c r="C1590" t="s">
        <v>9</v>
      </c>
      <c r="D1590" t="s">
        <v>10</v>
      </c>
      <c r="E1590">
        <v>18</v>
      </c>
      <c r="F1590" s="1">
        <v>44043</v>
      </c>
      <c r="G1590">
        <v>7.29211488600449E-3</v>
      </c>
    </row>
    <row r="1591" spans="1:7" x14ac:dyDescent="0.25">
      <c r="A1591" t="s">
        <v>7</v>
      </c>
      <c r="B1591" t="s">
        <v>14</v>
      </c>
      <c r="C1591" t="s">
        <v>9</v>
      </c>
      <c r="D1591" t="s">
        <v>10</v>
      </c>
      <c r="E1591">
        <v>18</v>
      </c>
      <c r="F1591" s="1">
        <v>44074</v>
      </c>
      <c r="G1591">
        <v>-3.6707003942021499E-3</v>
      </c>
    </row>
    <row r="1592" spans="1:7" x14ac:dyDescent="0.25">
      <c r="A1592" t="s">
        <v>7</v>
      </c>
      <c r="B1592" t="s">
        <v>14</v>
      </c>
      <c r="C1592" t="s">
        <v>9</v>
      </c>
      <c r="D1592" t="s">
        <v>10</v>
      </c>
      <c r="E1592">
        <v>18</v>
      </c>
      <c r="F1592" s="1">
        <v>44104</v>
      </c>
      <c r="G1592">
        <v>3.1405385960658297E-2</v>
      </c>
    </row>
    <row r="1593" spans="1:7" x14ac:dyDescent="0.25">
      <c r="A1593" t="s">
        <v>7</v>
      </c>
      <c r="B1593" t="s">
        <v>14</v>
      </c>
      <c r="C1593" t="s">
        <v>9</v>
      </c>
      <c r="D1593" t="s">
        <v>10</v>
      </c>
      <c r="E1593">
        <v>18</v>
      </c>
      <c r="F1593" s="1">
        <v>44135</v>
      </c>
      <c r="G1593">
        <v>5.4762511945526896E-3</v>
      </c>
    </row>
    <row r="1594" spans="1:7" x14ac:dyDescent="0.25">
      <c r="A1594" t="s">
        <v>7</v>
      </c>
      <c r="B1594" t="s">
        <v>14</v>
      </c>
      <c r="C1594" t="s">
        <v>9</v>
      </c>
      <c r="D1594" t="s">
        <v>10</v>
      </c>
      <c r="E1594">
        <v>18</v>
      </c>
      <c r="F1594" s="1">
        <v>44165</v>
      </c>
      <c r="G1594">
        <v>5.0553370504505101E-3</v>
      </c>
    </row>
    <row r="1595" spans="1:7" x14ac:dyDescent="0.25">
      <c r="A1595" t="s">
        <v>7</v>
      </c>
      <c r="B1595" t="s">
        <v>14</v>
      </c>
      <c r="C1595" t="s">
        <v>9</v>
      </c>
      <c r="D1595" t="s">
        <v>10</v>
      </c>
      <c r="E1595">
        <v>18</v>
      </c>
      <c r="F1595" s="1">
        <v>44196</v>
      </c>
      <c r="G1595">
        <v>-1.9990716250576499E-2</v>
      </c>
    </row>
    <row r="1596" spans="1:7" x14ac:dyDescent="0.25">
      <c r="A1596" t="s">
        <v>7</v>
      </c>
      <c r="B1596" t="s">
        <v>14</v>
      </c>
      <c r="C1596" t="s">
        <v>9</v>
      </c>
      <c r="D1596" t="s">
        <v>10</v>
      </c>
      <c r="E1596">
        <v>18</v>
      </c>
      <c r="F1596" s="1">
        <v>44227</v>
      </c>
      <c r="G1596">
        <v>-3.1972286609807703E-5</v>
      </c>
    </row>
    <row r="1597" spans="1:7" x14ac:dyDescent="0.25">
      <c r="A1597" t="s">
        <v>7</v>
      </c>
      <c r="B1597" t="s">
        <v>14</v>
      </c>
      <c r="C1597" t="s">
        <v>9</v>
      </c>
      <c r="D1597" t="s">
        <v>10</v>
      </c>
      <c r="E1597">
        <v>18</v>
      </c>
      <c r="F1597" s="1">
        <v>44255</v>
      </c>
      <c r="G1597">
        <v>7.1287385903041301E-3</v>
      </c>
    </row>
    <row r="1598" spans="1:7" x14ac:dyDescent="0.25">
      <c r="A1598" t="s">
        <v>7</v>
      </c>
      <c r="B1598" t="s">
        <v>14</v>
      </c>
      <c r="C1598" t="s">
        <v>9</v>
      </c>
      <c r="D1598" t="s">
        <v>10</v>
      </c>
      <c r="E1598">
        <v>18</v>
      </c>
      <c r="F1598" s="1">
        <v>44286</v>
      </c>
      <c r="G1598">
        <v>-1.48176009013215E-2</v>
      </c>
    </row>
    <row r="1599" spans="1:7" x14ac:dyDescent="0.25">
      <c r="A1599" t="s">
        <v>7</v>
      </c>
      <c r="B1599" t="s">
        <v>14</v>
      </c>
      <c r="C1599" t="s">
        <v>9</v>
      </c>
      <c r="D1599" t="s">
        <v>10</v>
      </c>
      <c r="E1599">
        <v>18</v>
      </c>
      <c r="F1599" s="1">
        <v>44316</v>
      </c>
      <c r="G1599">
        <v>-3.1134953106566401E-2</v>
      </c>
    </row>
    <row r="1600" spans="1:7" x14ac:dyDescent="0.25">
      <c r="A1600" t="s">
        <v>7</v>
      </c>
      <c r="B1600" t="s">
        <v>14</v>
      </c>
      <c r="C1600" t="s">
        <v>9</v>
      </c>
      <c r="D1600" t="s">
        <v>10</v>
      </c>
      <c r="E1600">
        <v>18</v>
      </c>
      <c r="F1600" s="1">
        <v>44347</v>
      </c>
      <c r="G1600">
        <v>9.5421938464895805E-4</v>
      </c>
    </row>
    <row r="1601" spans="1:7" x14ac:dyDescent="0.25">
      <c r="A1601" t="s">
        <v>7</v>
      </c>
      <c r="B1601" t="s">
        <v>14</v>
      </c>
      <c r="C1601" t="s">
        <v>9</v>
      </c>
      <c r="D1601" t="s">
        <v>10</v>
      </c>
      <c r="E1601">
        <v>18</v>
      </c>
      <c r="F1601" s="1">
        <v>44377</v>
      </c>
      <c r="G1601">
        <v>-2.2384270467067299E-2</v>
      </c>
    </row>
    <row r="1602" spans="1:7" x14ac:dyDescent="0.25">
      <c r="A1602" t="s">
        <v>7</v>
      </c>
      <c r="B1602" t="s">
        <v>14</v>
      </c>
      <c r="C1602" t="s">
        <v>9</v>
      </c>
      <c r="D1602" t="s">
        <v>10</v>
      </c>
      <c r="E1602">
        <v>18</v>
      </c>
      <c r="F1602" s="1">
        <v>44408</v>
      </c>
      <c r="G1602">
        <v>2.49515555557576E-2</v>
      </c>
    </row>
    <row r="1603" spans="1:7" x14ac:dyDescent="0.25">
      <c r="A1603" t="s">
        <v>7</v>
      </c>
      <c r="B1603" t="s">
        <v>14</v>
      </c>
      <c r="C1603" t="s">
        <v>9</v>
      </c>
      <c r="D1603" t="s">
        <v>10</v>
      </c>
      <c r="E1603">
        <v>18</v>
      </c>
      <c r="F1603" s="1">
        <v>44439</v>
      </c>
      <c r="G1603">
        <v>5.1895271804457702E-2</v>
      </c>
    </row>
    <row r="1604" spans="1:7" x14ac:dyDescent="0.25">
      <c r="A1604" t="s">
        <v>7</v>
      </c>
      <c r="B1604" t="s">
        <v>14</v>
      </c>
      <c r="C1604" t="s">
        <v>9</v>
      </c>
      <c r="D1604" t="s">
        <v>10</v>
      </c>
      <c r="E1604">
        <v>18</v>
      </c>
      <c r="F1604" s="1">
        <v>44469</v>
      </c>
      <c r="G1604">
        <v>3.7031059245394203E-2</v>
      </c>
    </row>
    <row r="1605" spans="1:7" x14ac:dyDescent="0.25">
      <c r="A1605" t="s">
        <v>7</v>
      </c>
      <c r="B1605" t="s">
        <v>14</v>
      </c>
      <c r="C1605" t="s">
        <v>9</v>
      </c>
      <c r="D1605" t="s">
        <v>10</v>
      </c>
      <c r="E1605">
        <v>18</v>
      </c>
      <c r="F1605" s="1">
        <v>44500</v>
      </c>
      <c r="G1605">
        <v>6.4274293876334904E-2</v>
      </c>
    </row>
    <row r="1606" spans="1:7" x14ac:dyDescent="0.25">
      <c r="A1606" t="s">
        <v>7</v>
      </c>
      <c r="B1606" t="s">
        <v>14</v>
      </c>
      <c r="C1606" t="s">
        <v>9</v>
      </c>
      <c r="D1606" t="s">
        <v>10</v>
      </c>
      <c r="E1606">
        <v>18</v>
      </c>
      <c r="F1606" s="1">
        <v>44530</v>
      </c>
      <c r="G1606">
        <v>9.3499769283963592E-3</v>
      </c>
    </row>
    <row r="1607" spans="1:7" x14ac:dyDescent="0.25">
      <c r="A1607" t="s">
        <v>7</v>
      </c>
      <c r="B1607" t="s">
        <v>14</v>
      </c>
      <c r="C1607" t="s">
        <v>9</v>
      </c>
      <c r="D1607" t="s">
        <v>10</v>
      </c>
      <c r="E1607">
        <v>18</v>
      </c>
      <c r="F1607" s="1">
        <v>44561</v>
      </c>
      <c r="G1607">
        <v>-6.6700022641319598E-3</v>
      </c>
    </row>
    <row r="1608" spans="1:7" x14ac:dyDescent="0.25">
      <c r="A1608" t="s">
        <v>7</v>
      </c>
      <c r="B1608" t="s">
        <v>14</v>
      </c>
      <c r="C1608" t="s">
        <v>9</v>
      </c>
      <c r="D1608" t="s">
        <v>10</v>
      </c>
      <c r="E1608">
        <v>18</v>
      </c>
      <c r="F1608" s="1">
        <v>44592</v>
      </c>
      <c r="G1608">
        <v>-4.3210712842285098E-3</v>
      </c>
    </row>
    <row r="1609" spans="1:7" x14ac:dyDescent="0.25">
      <c r="A1609" t="s">
        <v>7</v>
      </c>
      <c r="B1609" t="s">
        <v>14</v>
      </c>
      <c r="C1609" t="s">
        <v>9</v>
      </c>
      <c r="D1609" t="s">
        <v>10</v>
      </c>
      <c r="E1609">
        <v>18</v>
      </c>
      <c r="F1609" s="1">
        <v>44620</v>
      </c>
      <c r="G1609">
        <v>5.2938191240916699E-2</v>
      </c>
    </row>
    <row r="1610" spans="1:7" x14ac:dyDescent="0.25">
      <c r="A1610" t="s">
        <v>7</v>
      </c>
      <c r="B1610" t="s">
        <v>14</v>
      </c>
      <c r="C1610" t="s">
        <v>9</v>
      </c>
      <c r="D1610" t="s">
        <v>10</v>
      </c>
      <c r="E1610">
        <v>18</v>
      </c>
      <c r="F1610" s="1">
        <v>44651</v>
      </c>
      <c r="G1610">
        <v>-5.6770407329172498E-3</v>
      </c>
    </row>
    <row r="1611" spans="1:7" x14ac:dyDescent="0.25">
      <c r="A1611" t="s">
        <v>7</v>
      </c>
      <c r="B1611" t="s">
        <v>14</v>
      </c>
      <c r="C1611" t="s">
        <v>9</v>
      </c>
      <c r="D1611" t="s">
        <v>10</v>
      </c>
      <c r="E1611">
        <v>18</v>
      </c>
      <c r="F1611" s="1">
        <v>44681</v>
      </c>
      <c r="G1611">
        <v>5.7209716751654503E-2</v>
      </c>
    </row>
    <row r="1612" spans="1:7" x14ac:dyDescent="0.25">
      <c r="A1612" t="s">
        <v>7</v>
      </c>
      <c r="B1612" t="s">
        <v>14</v>
      </c>
      <c r="C1612" t="s">
        <v>9</v>
      </c>
      <c r="D1612" t="s">
        <v>10</v>
      </c>
      <c r="E1612">
        <v>18</v>
      </c>
      <c r="F1612" s="1">
        <v>44712</v>
      </c>
      <c r="G1612">
        <v>1.5654699774264501E-2</v>
      </c>
    </row>
    <row r="1613" spans="1:7" x14ac:dyDescent="0.25">
      <c r="A1613" t="s">
        <v>7</v>
      </c>
      <c r="B1613" t="s">
        <v>14</v>
      </c>
      <c r="C1613" t="s">
        <v>9</v>
      </c>
      <c r="D1613" t="s">
        <v>10</v>
      </c>
      <c r="E1613">
        <v>18</v>
      </c>
      <c r="F1613" s="1">
        <v>44742</v>
      </c>
      <c r="G1613">
        <v>8.11177939257927E-2</v>
      </c>
    </row>
    <row r="1614" spans="1:7" x14ac:dyDescent="0.25">
      <c r="A1614" t="s">
        <v>7</v>
      </c>
      <c r="B1614" t="s">
        <v>14</v>
      </c>
      <c r="C1614" t="s">
        <v>9</v>
      </c>
      <c r="D1614" t="s">
        <v>10</v>
      </c>
      <c r="E1614">
        <v>18</v>
      </c>
      <c r="F1614" s="1">
        <v>44773</v>
      </c>
      <c r="G1614">
        <v>-1.02760711995674E-2</v>
      </c>
    </row>
    <row r="1615" spans="1:7" x14ac:dyDescent="0.25">
      <c r="A1615" t="s">
        <v>7</v>
      </c>
      <c r="B1615" t="s">
        <v>14</v>
      </c>
      <c r="C1615" t="s">
        <v>9</v>
      </c>
      <c r="D1615" t="s">
        <v>10</v>
      </c>
      <c r="E1615">
        <v>18</v>
      </c>
      <c r="F1615" s="1">
        <v>44804</v>
      </c>
      <c r="G1615">
        <v>-7.4419019228242206E-2</v>
      </c>
    </row>
    <row r="1616" spans="1:7" x14ac:dyDescent="0.25">
      <c r="A1616" t="s">
        <v>7</v>
      </c>
      <c r="B1616" t="s">
        <v>14</v>
      </c>
      <c r="C1616" t="s">
        <v>9</v>
      </c>
      <c r="D1616" t="s">
        <v>10</v>
      </c>
      <c r="E1616">
        <v>18</v>
      </c>
      <c r="F1616" s="1">
        <v>44834</v>
      </c>
      <c r="G1616">
        <v>-9.0327557376190092E-3</v>
      </c>
    </row>
    <row r="1617" spans="1:7" x14ac:dyDescent="0.25">
      <c r="A1617" t="s">
        <v>7</v>
      </c>
      <c r="B1617" t="s">
        <v>14</v>
      </c>
      <c r="C1617" t="s">
        <v>9</v>
      </c>
      <c r="D1617" t="s">
        <v>10</v>
      </c>
      <c r="E1617">
        <v>18</v>
      </c>
      <c r="F1617" s="1">
        <v>44865</v>
      </c>
      <c r="G1617">
        <v>5.7162562966913098E-3</v>
      </c>
    </row>
    <row r="1618" spans="1:7" x14ac:dyDescent="0.25">
      <c r="A1618" t="s">
        <v>7</v>
      </c>
      <c r="B1618" t="s">
        <v>14</v>
      </c>
      <c r="C1618" t="s">
        <v>9</v>
      </c>
      <c r="D1618" t="s">
        <v>10</v>
      </c>
      <c r="E1618">
        <v>18</v>
      </c>
      <c r="F1618" s="1">
        <v>44895</v>
      </c>
      <c r="G1618">
        <v>7.2471700855955501E-2</v>
      </c>
    </row>
    <row r="1619" spans="1:7" x14ac:dyDescent="0.25">
      <c r="A1619" t="s">
        <v>7</v>
      </c>
      <c r="B1619" t="s">
        <v>14</v>
      </c>
      <c r="C1619" t="s">
        <v>9</v>
      </c>
      <c r="D1619" t="s">
        <v>10</v>
      </c>
      <c r="E1619">
        <v>18</v>
      </c>
      <c r="F1619" s="1">
        <v>44926</v>
      </c>
      <c r="G1619">
        <v>1.47476779832832E-2</v>
      </c>
    </row>
    <row r="1620" spans="1:7" x14ac:dyDescent="0.25">
      <c r="A1620" t="s">
        <v>7</v>
      </c>
      <c r="B1620" t="s">
        <v>14</v>
      </c>
      <c r="C1620" t="s">
        <v>9</v>
      </c>
      <c r="D1620" t="s">
        <v>10</v>
      </c>
      <c r="E1620">
        <v>18</v>
      </c>
      <c r="F1620" s="1">
        <v>44957</v>
      </c>
      <c r="G1620">
        <v>-2.94738066356212E-2</v>
      </c>
    </row>
    <row r="1621" spans="1:7" x14ac:dyDescent="0.25">
      <c r="A1621" t="s">
        <v>7</v>
      </c>
      <c r="B1621" t="s">
        <v>14</v>
      </c>
      <c r="C1621" t="s">
        <v>9</v>
      </c>
      <c r="D1621" t="s">
        <v>10</v>
      </c>
      <c r="E1621">
        <v>18</v>
      </c>
      <c r="F1621" s="1">
        <v>44985</v>
      </c>
      <c r="G1621">
        <v>5.6986508367169598E-2</v>
      </c>
    </row>
    <row r="1622" spans="1:7" x14ac:dyDescent="0.25">
      <c r="A1622" t="s">
        <v>7</v>
      </c>
      <c r="B1622" t="s">
        <v>14</v>
      </c>
      <c r="C1622" t="s">
        <v>9</v>
      </c>
      <c r="D1622" t="s">
        <v>10</v>
      </c>
      <c r="E1622">
        <v>18</v>
      </c>
      <c r="F1622" s="1">
        <v>45016</v>
      </c>
      <c r="G1622">
        <v>4.5608281704875901E-2</v>
      </c>
    </row>
    <row r="1623" spans="1:7" x14ac:dyDescent="0.25">
      <c r="A1623" t="s">
        <v>7</v>
      </c>
      <c r="B1623" t="s">
        <v>14</v>
      </c>
      <c r="C1623" t="s">
        <v>9</v>
      </c>
      <c r="D1623" t="s">
        <v>10</v>
      </c>
      <c r="E1623">
        <v>18</v>
      </c>
      <c r="F1623" s="1">
        <v>45046</v>
      </c>
      <c r="G1623">
        <v>-3.2104453944956902E-3</v>
      </c>
    </row>
    <row r="1624" spans="1:7" x14ac:dyDescent="0.25">
      <c r="A1624" t="s">
        <v>7</v>
      </c>
      <c r="B1624" t="s">
        <v>14</v>
      </c>
      <c r="C1624" t="s">
        <v>9</v>
      </c>
      <c r="D1624" t="s">
        <v>10</v>
      </c>
      <c r="E1624">
        <v>18</v>
      </c>
      <c r="F1624" s="1">
        <v>45077</v>
      </c>
      <c r="G1624">
        <v>-0.102815357305353</v>
      </c>
    </row>
    <row r="1625" spans="1:7" x14ac:dyDescent="0.25">
      <c r="A1625" t="s">
        <v>7</v>
      </c>
      <c r="B1625" t="s">
        <v>14</v>
      </c>
      <c r="C1625" t="s">
        <v>9</v>
      </c>
      <c r="D1625" t="s">
        <v>10</v>
      </c>
      <c r="E1625">
        <v>18</v>
      </c>
      <c r="F1625" s="1">
        <v>45107</v>
      </c>
      <c r="G1625">
        <v>-9.8768678886232298E-3</v>
      </c>
    </row>
    <row r="1626" spans="1:7" x14ac:dyDescent="0.25">
      <c r="A1626" t="s">
        <v>7</v>
      </c>
      <c r="B1626" t="s">
        <v>14</v>
      </c>
      <c r="C1626" t="s">
        <v>9</v>
      </c>
      <c r="D1626" t="s">
        <v>10</v>
      </c>
      <c r="E1626">
        <v>18</v>
      </c>
      <c r="F1626" s="1">
        <v>45138</v>
      </c>
      <c r="G1626">
        <v>-3.2591796921375697E-2</v>
      </c>
    </row>
    <row r="1627" spans="1:7" x14ac:dyDescent="0.25">
      <c r="A1627" t="s">
        <v>7</v>
      </c>
      <c r="B1627" t="s">
        <v>14</v>
      </c>
      <c r="C1627" t="s">
        <v>9</v>
      </c>
      <c r="D1627" t="s">
        <v>10</v>
      </c>
      <c r="E1627">
        <v>18</v>
      </c>
      <c r="F1627" s="1">
        <v>45169</v>
      </c>
      <c r="G1627">
        <v>3.6826907051074602E-2</v>
      </c>
    </row>
    <row r="1628" spans="1:7" x14ac:dyDescent="0.25">
      <c r="A1628" t="s">
        <v>7</v>
      </c>
      <c r="B1628" t="s">
        <v>14</v>
      </c>
      <c r="C1628" t="s">
        <v>9</v>
      </c>
      <c r="D1628" t="s">
        <v>10</v>
      </c>
      <c r="E1628">
        <v>18</v>
      </c>
      <c r="F1628" s="1">
        <v>45199</v>
      </c>
      <c r="G1628">
        <v>2.3432174299357501E-2</v>
      </c>
    </row>
    <row r="1629" spans="1:7" x14ac:dyDescent="0.25">
      <c r="A1629" t="s">
        <v>7</v>
      </c>
      <c r="B1629" t="s">
        <v>14</v>
      </c>
      <c r="C1629" t="s">
        <v>9</v>
      </c>
      <c r="D1629" t="s">
        <v>10</v>
      </c>
      <c r="E1629">
        <v>18</v>
      </c>
      <c r="F1629" s="1">
        <v>45230</v>
      </c>
      <c r="G1629">
        <v>5.27740282210339E-2</v>
      </c>
    </row>
    <row r="1630" spans="1:7" x14ac:dyDescent="0.25">
      <c r="A1630" t="s">
        <v>7</v>
      </c>
      <c r="B1630" t="s">
        <v>14</v>
      </c>
      <c r="C1630" t="s">
        <v>9</v>
      </c>
      <c r="D1630" t="s">
        <v>10</v>
      </c>
      <c r="E1630">
        <v>18</v>
      </c>
      <c r="F1630" s="1">
        <v>45260</v>
      </c>
      <c r="G1630">
        <v>-4.1051774661234601E-2</v>
      </c>
    </row>
    <row r="1631" spans="1:7" x14ac:dyDescent="0.25">
      <c r="A1631" t="s">
        <v>7</v>
      </c>
      <c r="B1631" t="s">
        <v>14</v>
      </c>
      <c r="C1631" t="s">
        <v>9</v>
      </c>
      <c r="D1631" t="s">
        <v>10</v>
      </c>
      <c r="E1631">
        <v>18</v>
      </c>
      <c r="F1631" s="1">
        <v>45291</v>
      </c>
      <c r="G1631">
        <v>-2.5845067341724701E-3</v>
      </c>
    </row>
    <row r="1632" spans="1:7" x14ac:dyDescent="0.25">
      <c r="A1632" t="s">
        <v>7</v>
      </c>
      <c r="B1632" t="s">
        <v>14</v>
      </c>
      <c r="C1632" t="s">
        <v>9</v>
      </c>
      <c r="D1632" t="s">
        <v>10</v>
      </c>
      <c r="E1632">
        <v>18</v>
      </c>
      <c r="F1632" s="1">
        <v>45322</v>
      </c>
      <c r="G1632">
        <v>1.55259321186815E-2</v>
      </c>
    </row>
    <row r="1633" spans="1:7" x14ac:dyDescent="0.25">
      <c r="A1633" t="s">
        <v>7</v>
      </c>
      <c r="B1633" t="s">
        <v>14</v>
      </c>
      <c r="C1633" t="s">
        <v>9</v>
      </c>
      <c r="D1633" t="s">
        <v>10</v>
      </c>
      <c r="E1633">
        <v>18</v>
      </c>
      <c r="F1633" s="1">
        <v>45351</v>
      </c>
      <c r="G1633">
        <v>7.3223184804931396E-3</v>
      </c>
    </row>
    <row r="1634" spans="1:7" x14ac:dyDescent="0.25">
      <c r="A1634" t="s">
        <v>7</v>
      </c>
      <c r="B1634" t="s">
        <v>14</v>
      </c>
      <c r="C1634" t="s">
        <v>9</v>
      </c>
      <c r="D1634" t="s">
        <v>10</v>
      </c>
      <c r="E1634">
        <v>18</v>
      </c>
      <c r="F1634" s="1">
        <v>45382</v>
      </c>
      <c r="G1634">
        <v>-2.44162412992407E-2</v>
      </c>
    </row>
    <row r="1635" spans="1:7" x14ac:dyDescent="0.25">
      <c r="A1635" t="s">
        <v>7</v>
      </c>
      <c r="B1635" t="s">
        <v>14</v>
      </c>
      <c r="C1635" t="s">
        <v>9</v>
      </c>
      <c r="D1635" t="s">
        <v>10</v>
      </c>
      <c r="E1635">
        <v>18</v>
      </c>
      <c r="F1635" s="1">
        <v>45412</v>
      </c>
      <c r="G1635">
        <v>4.3013378209852099E-2</v>
      </c>
    </row>
    <row r="1636" spans="1:7" x14ac:dyDescent="0.25">
      <c r="A1636" t="s">
        <v>7</v>
      </c>
      <c r="B1636" t="s">
        <v>14</v>
      </c>
      <c r="C1636" t="s">
        <v>9</v>
      </c>
      <c r="D1636" t="s">
        <v>10</v>
      </c>
      <c r="E1636">
        <v>18</v>
      </c>
      <c r="F1636" s="1">
        <v>45443</v>
      </c>
      <c r="G1636">
        <v>8.5133013049378805E-4</v>
      </c>
    </row>
    <row r="1637" spans="1:7" x14ac:dyDescent="0.25">
      <c r="A1637" t="s">
        <v>7</v>
      </c>
      <c r="B1637" t="s">
        <v>14</v>
      </c>
      <c r="C1637" t="s">
        <v>9</v>
      </c>
      <c r="D1637" t="s">
        <v>10</v>
      </c>
      <c r="E1637">
        <v>18</v>
      </c>
      <c r="F1637" s="1">
        <v>45473</v>
      </c>
      <c r="G1637">
        <v>6.8831407390844796E-3</v>
      </c>
    </row>
    <row r="1638" spans="1:7" x14ac:dyDescent="0.25">
      <c r="A1638" t="s">
        <v>7</v>
      </c>
      <c r="B1638" t="s">
        <v>14</v>
      </c>
      <c r="C1638" t="s">
        <v>9</v>
      </c>
      <c r="D1638" t="s">
        <v>10</v>
      </c>
      <c r="E1638">
        <v>18</v>
      </c>
      <c r="F1638" s="1">
        <v>45504</v>
      </c>
      <c r="G1638">
        <v>4.0671793033579201E-3</v>
      </c>
    </row>
    <row r="1639" spans="1:7" x14ac:dyDescent="0.25">
      <c r="A1639" t="s">
        <v>7</v>
      </c>
      <c r="B1639" t="s">
        <v>14</v>
      </c>
      <c r="C1639" t="s">
        <v>9</v>
      </c>
      <c r="D1639" t="s">
        <v>10</v>
      </c>
      <c r="E1639">
        <v>18</v>
      </c>
      <c r="F1639" s="1">
        <v>45535</v>
      </c>
      <c r="G1639">
        <v>1.9851803145106602E-2</v>
      </c>
    </row>
    <row r="1640" spans="1:7" x14ac:dyDescent="0.25">
      <c r="A1640" t="s">
        <v>7</v>
      </c>
      <c r="B1640" t="s">
        <v>14</v>
      </c>
      <c r="C1640" t="s">
        <v>9</v>
      </c>
      <c r="D1640" t="s">
        <v>10</v>
      </c>
      <c r="E1640">
        <v>18</v>
      </c>
      <c r="F1640" s="1">
        <v>45565</v>
      </c>
      <c r="G1640">
        <v>2.0490414079227401E-2</v>
      </c>
    </row>
    <row r="1641" spans="1:7" x14ac:dyDescent="0.25">
      <c r="A1641" t="s">
        <v>7</v>
      </c>
      <c r="B1641" t="s">
        <v>14</v>
      </c>
      <c r="C1641" t="s">
        <v>9</v>
      </c>
      <c r="D1641" t="s">
        <v>10</v>
      </c>
      <c r="E1641">
        <v>18</v>
      </c>
      <c r="F1641" s="1">
        <v>45596</v>
      </c>
      <c r="G1641">
        <v>-1.11658990676605E-2</v>
      </c>
    </row>
    <row r="1642" spans="1:7" x14ac:dyDescent="0.25">
      <c r="A1642" t="s">
        <v>7</v>
      </c>
      <c r="B1642" t="s">
        <v>14</v>
      </c>
      <c r="C1642" t="s">
        <v>9</v>
      </c>
      <c r="D1642" t="s">
        <v>10</v>
      </c>
      <c r="E1642">
        <v>18</v>
      </c>
      <c r="F1642" s="1">
        <v>45626</v>
      </c>
      <c r="G1642">
        <v>1.14804005249785E-2</v>
      </c>
    </row>
    <row r="1643" spans="1:7" x14ac:dyDescent="0.25">
      <c r="A1643" t="s">
        <v>7</v>
      </c>
      <c r="B1643" t="s">
        <v>14</v>
      </c>
      <c r="C1643" t="s">
        <v>9</v>
      </c>
      <c r="D1643" t="s">
        <v>10</v>
      </c>
      <c r="E1643">
        <v>18</v>
      </c>
      <c r="F1643" s="1">
        <v>45657</v>
      </c>
      <c r="G1643">
        <v>4.1603030045114398E-2</v>
      </c>
    </row>
    <row r="1644" spans="1:7" x14ac:dyDescent="0.25">
      <c r="A1644" t="s">
        <v>7</v>
      </c>
      <c r="B1644" t="s">
        <v>14</v>
      </c>
      <c r="C1644" t="s">
        <v>9</v>
      </c>
      <c r="D1644" t="s">
        <v>10</v>
      </c>
      <c r="E1644">
        <v>17</v>
      </c>
      <c r="F1644" s="1">
        <v>45688</v>
      </c>
      <c r="G1644">
        <v>5.6854071550832396E-3</v>
      </c>
    </row>
    <row r="1645" spans="1:7" x14ac:dyDescent="0.25">
      <c r="A1645" t="s">
        <v>7</v>
      </c>
      <c r="B1645" t="s">
        <v>14</v>
      </c>
      <c r="C1645" t="s">
        <v>9</v>
      </c>
      <c r="D1645" t="s">
        <v>10</v>
      </c>
      <c r="E1645">
        <v>17</v>
      </c>
      <c r="F1645" s="1">
        <v>45716</v>
      </c>
      <c r="G1645">
        <v>3.5419957326628101E-2</v>
      </c>
    </row>
    <row r="1646" spans="1:7" x14ac:dyDescent="0.25">
      <c r="A1646" t="s">
        <v>7</v>
      </c>
      <c r="B1646" t="s">
        <v>14</v>
      </c>
      <c r="C1646" t="s">
        <v>9</v>
      </c>
      <c r="D1646" t="s">
        <v>10</v>
      </c>
      <c r="E1646">
        <v>16</v>
      </c>
      <c r="F1646" s="1">
        <v>45747</v>
      </c>
      <c r="G1646">
        <v>-2.9774254276400298E-2</v>
      </c>
    </row>
    <row r="1647" spans="1:7" x14ac:dyDescent="0.25">
      <c r="A1647" t="s">
        <v>7</v>
      </c>
      <c r="B1647" t="s">
        <v>14</v>
      </c>
      <c r="C1647" t="s">
        <v>9</v>
      </c>
      <c r="D1647" t="s">
        <v>10</v>
      </c>
      <c r="E1647">
        <v>17</v>
      </c>
      <c r="F1647" s="1">
        <v>45777</v>
      </c>
      <c r="G1647">
        <v>-1.2959967600132899E-2</v>
      </c>
    </row>
    <row r="1648" spans="1:7" x14ac:dyDescent="0.25">
      <c r="A1648" t="s">
        <v>7</v>
      </c>
      <c r="B1648" t="s">
        <v>14</v>
      </c>
      <c r="C1648" t="s">
        <v>9</v>
      </c>
      <c r="D1648" t="s">
        <v>10</v>
      </c>
      <c r="E1648">
        <v>17</v>
      </c>
      <c r="F1648" s="1">
        <v>45808</v>
      </c>
      <c r="G1648">
        <v>-4.1901650007289397E-2</v>
      </c>
    </row>
    <row r="1649" spans="1:7" x14ac:dyDescent="0.25">
      <c r="A1649" t="s">
        <v>7</v>
      </c>
      <c r="B1649" t="s">
        <v>14</v>
      </c>
      <c r="C1649" t="s">
        <v>9</v>
      </c>
      <c r="D1649" t="s">
        <v>10</v>
      </c>
      <c r="E1649">
        <v>18</v>
      </c>
      <c r="F1649" s="1">
        <v>45838</v>
      </c>
      <c r="G1649">
        <v>8.6922782083144502E-3</v>
      </c>
    </row>
    <row r="1650" spans="1:7" x14ac:dyDescent="0.25">
      <c r="A1650" t="s">
        <v>7</v>
      </c>
      <c r="B1650" t="s">
        <v>14</v>
      </c>
      <c r="C1650" t="s">
        <v>9</v>
      </c>
      <c r="D1650" t="s">
        <v>10</v>
      </c>
      <c r="E1650">
        <v>18</v>
      </c>
      <c r="F1650" s="1">
        <v>45869</v>
      </c>
      <c r="G1650">
        <v>1.74134382854534E-2</v>
      </c>
    </row>
    <row r="1651" spans="1:7" x14ac:dyDescent="0.25">
      <c r="A1651" t="s">
        <v>7</v>
      </c>
      <c r="B1651" t="s">
        <v>14</v>
      </c>
      <c r="C1651" t="s">
        <v>9</v>
      </c>
      <c r="D1651" t="s">
        <v>10</v>
      </c>
      <c r="E1651">
        <v>18</v>
      </c>
      <c r="F1651" s="1">
        <v>45900</v>
      </c>
      <c r="G1651">
        <v>1.81786032271062E-2</v>
      </c>
    </row>
    <row r="1652" spans="1:7" x14ac:dyDescent="0.25">
      <c r="A1652" t="s">
        <v>7</v>
      </c>
      <c r="B1652" t="s">
        <v>14</v>
      </c>
      <c r="C1652" t="s">
        <v>9</v>
      </c>
      <c r="D1652" t="s">
        <v>10</v>
      </c>
      <c r="E1652">
        <v>18</v>
      </c>
      <c r="F1652" s="1">
        <v>45930</v>
      </c>
      <c r="G1652">
        <v>1.38639457824955E-3</v>
      </c>
    </row>
    <row r="1653" spans="1:7" x14ac:dyDescent="0.25">
      <c r="A1653" t="s">
        <v>7</v>
      </c>
      <c r="B1653" t="s">
        <v>14</v>
      </c>
      <c r="C1653" t="s">
        <v>9</v>
      </c>
      <c r="D1653" t="s">
        <v>10</v>
      </c>
      <c r="E1653">
        <v>18</v>
      </c>
      <c r="F1653" s="1">
        <v>45961</v>
      </c>
      <c r="G1653">
        <v>3.0661437275596601E-2</v>
      </c>
    </row>
    <row r="1654" spans="1:7" x14ac:dyDescent="0.25">
      <c r="A1654" t="s">
        <v>7</v>
      </c>
      <c r="B1654" t="s">
        <v>14</v>
      </c>
      <c r="C1654" t="s">
        <v>9</v>
      </c>
      <c r="D1654" t="s">
        <v>10</v>
      </c>
      <c r="E1654">
        <v>17</v>
      </c>
      <c r="F1654" s="1">
        <v>45991</v>
      </c>
      <c r="G1654">
        <v>7.2998653913613201E-3</v>
      </c>
    </row>
    <row r="1655" spans="1:7" x14ac:dyDescent="0.25">
      <c r="A1655" t="s">
        <v>7</v>
      </c>
      <c r="B1655" t="s">
        <v>14</v>
      </c>
      <c r="C1655" t="s">
        <v>9</v>
      </c>
      <c r="D1655" t="s">
        <v>10</v>
      </c>
      <c r="E1655">
        <v>17</v>
      </c>
      <c r="F1655" s="1">
        <v>46022</v>
      </c>
      <c r="G1655">
        <v>3.8789292545677499E-2</v>
      </c>
    </row>
    <row r="1656" spans="1:7" x14ac:dyDescent="0.25">
      <c r="A1656" t="s">
        <v>7</v>
      </c>
      <c r="B1656" t="s">
        <v>15</v>
      </c>
      <c r="C1656" t="s">
        <v>9</v>
      </c>
      <c r="D1656" t="s">
        <v>10</v>
      </c>
      <c r="E1656">
        <v>2</v>
      </c>
      <c r="F1656" s="1">
        <v>34577</v>
      </c>
      <c r="G1656">
        <v>7.7600370143212499E-2</v>
      </c>
    </row>
    <row r="1657" spans="1:7" x14ac:dyDescent="0.25">
      <c r="A1657" t="s">
        <v>7</v>
      </c>
      <c r="B1657" t="s">
        <v>15</v>
      </c>
      <c r="C1657" t="s">
        <v>9</v>
      </c>
      <c r="D1657" t="s">
        <v>10</v>
      </c>
      <c r="E1657">
        <v>5</v>
      </c>
      <c r="F1657" s="1">
        <v>34607</v>
      </c>
      <c r="G1657">
        <v>-6.24960341790535E-2</v>
      </c>
    </row>
    <row r="1658" spans="1:7" x14ac:dyDescent="0.25">
      <c r="A1658" t="s">
        <v>7</v>
      </c>
      <c r="B1658" t="s">
        <v>15</v>
      </c>
      <c r="C1658" t="s">
        <v>9</v>
      </c>
      <c r="D1658" t="s">
        <v>10</v>
      </c>
      <c r="E1658">
        <v>5</v>
      </c>
      <c r="F1658" s="1">
        <v>34638</v>
      </c>
      <c r="G1658">
        <v>-3.6445179000933102E-2</v>
      </c>
    </row>
    <row r="1659" spans="1:7" x14ac:dyDescent="0.25">
      <c r="A1659" t="s">
        <v>7</v>
      </c>
      <c r="B1659" t="s">
        <v>15</v>
      </c>
      <c r="C1659" t="s">
        <v>9</v>
      </c>
      <c r="D1659" t="s">
        <v>10</v>
      </c>
      <c r="E1659">
        <v>6</v>
      </c>
      <c r="F1659" s="1">
        <v>34668</v>
      </c>
      <c r="G1659">
        <v>1.3445286692980399E-3</v>
      </c>
    </row>
    <row r="1660" spans="1:7" x14ac:dyDescent="0.25">
      <c r="A1660" t="s">
        <v>7</v>
      </c>
      <c r="B1660" t="s">
        <v>15</v>
      </c>
      <c r="C1660" t="s">
        <v>9</v>
      </c>
      <c r="D1660" t="s">
        <v>10</v>
      </c>
      <c r="E1660">
        <v>6</v>
      </c>
      <c r="F1660" s="1">
        <v>34699</v>
      </c>
      <c r="G1660">
        <v>5.9017873784089299E-2</v>
      </c>
    </row>
    <row r="1661" spans="1:7" x14ac:dyDescent="0.25">
      <c r="A1661" t="s">
        <v>7</v>
      </c>
      <c r="B1661" t="s">
        <v>15</v>
      </c>
      <c r="C1661" t="s">
        <v>9</v>
      </c>
      <c r="D1661" t="s">
        <v>10</v>
      </c>
      <c r="E1661">
        <v>6</v>
      </c>
      <c r="F1661" s="1">
        <v>34730</v>
      </c>
      <c r="G1661">
        <v>8.8315499702154202E-2</v>
      </c>
    </row>
    <row r="1662" spans="1:7" x14ac:dyDescent="0.25">
      <c r="A1662" t="s">
        <v>7</v>
      </c>
      <c r="B1662" t="s">
        <v>15</v>
      </c>
      <c r="C1662" t="s">
        <v>9</v>
      </c>
      <c r="D1662" t="s">
        <v>10</v>
      </c>
      <c r="E1662">
        <v>6</v>
      </c>
      <c r="F1662" s="1">
        <v>34758</v>
      </c>
      <c r="G1662">
        <v>-8.1537476955812399E-2</v>
      </c>
    </row>
    <row r="1663" spans="1:7" x14ac:dyDescent="0.25">
      <c r="A1663" t="s">
        <v>7</v>
      </c>
      <c r="B1663" t="s">
        <v>15</v>
      </c>
      <c r="C1663" t="s">
        <v>9</v>
      </c>
      <c r="D1663" t="s">
        <v>10</v>
      </c>
      <c r="E1663">
        <v>6</v>
      </c>
      <c r="F1663" s="1">
        <v>34789</v>
      </c>
      <c r="G1663">
        <v>-1.7655659235593899E-2</v>
      </c>
    </row>
    <row r="1664" spans="1:7" x14ac:dyDescent="0.25">
      <c r="A1664" t="s">
        <v>7</v>
      </c>
      <c r="B1664" t="s">
        <v>15</v>
      </c>
      <c r="C1664" t="s">
        <v>9</v>
      </c>
      <c r="D1664" t="s">
        <v>10</v>
      </c>
      <c r="E1664">
        <v>6</v>
      </c>
      <c r="F1664" s="1">
        <v>34819</v>
      </c>
      <c r="G1664">
        <v>-6.9489660844356899E-2</v>
      </c>
    </row>
    <row r="1665" spans="1:7" x14ac:dyDescent="0.25">
      <c r="A1665" t="s">
        <v>7</v>
      </c>
      <c r="B1665" t="s">
        <v>15</v>
      </c>
      <c r="C1665" t="s">
        <v>9</v>
      </c>
      <c r="D1665" t="s">
        <v>10</v>
      </c>
      <c r="E1665">
        <v>5</v>
      </c>
      <c r="F1665" s="1">
        <v>34850</v>
      </c>
      <c r="G1665">
        <v>-6.9661245712129893E-2</v>
      </c>
    </row>
    <row r="1666" spans="1:7" x14ac:dyDescent="0.25">
      <c r="A1666" t="s">
        <v>7</v>
      </c>
      <c r="B1666" t="s">
        <v>15</v>
      </c>
      <c r="C1666" t="s">
        <v>9</v>
      </c>
      <c r="D1666" t="s">
        <v>10</v>
      </c>
      <c r="E1666">
        <v>5</v>
      </c>
      <c r="F1666" s="1">
        <v>34880</v>
      </c>
      <c r="G1666">
        <v>-3.73228616185085E-2</v>
      </c>
    </row>
    <row r="1667" spans="1:7" x14ac:dyDescent="0.25">
      <c r="A1667" t="s">
        <v>7</v>
      </c>
      <c r="B1667" t="s">
        <v>15</v>
      </c>
      <c r="C1667" t="s">
        <v>9</v>
      </c>
      <c r="D1667" t="s">
        <v>10</v>
      </c>
      <c r="E1667">
        <v>5</v>
      </c>
      <c r="F1667" s="1">
        <v>34911</v>
      </c>
      <c r="G1667">
        <v>2.4352422364070599E-2</v>
      </c>
    </row>
    <row r="1668" spans="1:7" x14ac:dyDescent="0.25">
      <c r="A1668" t="s">
        <v>7</v>
      </c>
      <c r="B1668" t="s">
        <v>15</v>
      </c>
      <c r="C1668" t="s">
        <v>9</v>
      </c>
      <c r="D1668" t="s">
        <v>10</v>
      </c>
      <c r="E1668">
        <v>6</v>
      </c>
      <c r="F1668" s="1">
        <v>34942</v>
      </c>
      <c r="G1668">
        <v>1.81402829616061E-3</v>
      </c>
    </row>
    <row r="1669" spans="1:7" x14ac:dyDescent="0.25">
      <c r="A1669" t="s">
        <v>7</v>
      </c>
      <c r="B1669" t="s">
        <v>15</v>
      </c>
      <c r="C1669" t="s">
        <v>9</v>
      </c>
      <c r="D1669" t="s">
        <v>10</v>
      </c>
      <c r="E1669">
        <v>5</v>
      </c>
      <c r="F1669" s="1">
        <v>34972</v>
      </c>
      <c r="G1669">
        <v>-5.1220589682625502E-2</v>
      </c>
    </row>
    <row r="1670" spans="1:7" x14ac:dyDescent="0.25">
      <c r="A1670" t="s">
        <v>7</v>
      </c>
      <c r="B1670" t="s">
        <v>15</v>
      </c>
      <c r="C1670" t="s">
        <v>9</v>
      </c>
      <c r="D1670" t="s">
        <v>10</v>
      </c>
      <c r="E1670">
        <v>6</v>
      </c>
      <c r="F1670" s="1">
        <v>35003</v>
      </c>
      <c r="G1670">
        <v>2.6141584854924401E-2</v>
      </c>
    </row>
    <row r="1671" spans="1:7" x14ac:dyDescent="0.25">
      <c r="A1671" t="s">
        <v>7</v>
      </c>
      <c r="B1671" t="s">
        <v>15</v>
      </c>
      <c r="C1671" t="s">
        <v>9</v>
      </c>
      <c r="D1671" t="s">
        <v>10</v>
      </c>
      <c r="E1671">
        <v>6</v>
      </c>
      <c r="F1671" s="1">
        <v>35033</v>
      </c>
      <c r="G1671">
        <v>4.1245045972655801E-3</v>
      </c>
    </row>
    <row r="1672" spans="1:7" x14ac:dyDescent="0.25">
      <c r="A1672" t="s">
        <v>7</v>
      </c>
      <c r="B1672" t="s">
        <v>15</v>
      </c>
      <c r="C1672" t="s">
        <v>9</v>
      </c>
      <c r="D1672" t="s">
        <v>10</v>
      </c>
      <c r="E1672">
        <v>6</v>
      </c>
      <c r="F1672" s="1">
        <v>35064</v>
      </c>
      <c r="G1672">
        <v>-5.9687877069752503E-2</v>
      </c>
    </row>
    <row r="1673" spans="1:7" x14ac:dyDescent="0.25">
      <c r="A1673" t="s">
        <v>7</v>
      </c>
      <c r="B1673" t="s">
        <v>15</v>
      </c>
      <c r="C1673" t="s">
        <v>9</v>
      </c>
      <c r="D1673" t="s">
        <v>10</v>
      </c>
      <c r="E1673">
        <v>5</v>
      </c>
      <c r="F1673" s="1">
        <v>35095</v>
      </c>
      <c r="G1673">
        <v>7.9635403801213506E-2</v>
      </c>
    </row>
    <row r="1674" spans="1:7" x14ac:dyDescent="0.25">
      <c r="A1674" t="s">
        <v>7</v>
      </c>
      <c r="B1674" t="s">
        <v>15</v>
      </c>
      <c r="C1674" t="s">
        <v>9</v>
      </c>
      <c r="D1674" t="s">
        <v>10</v>
      </c>
      <c r="E1674">
        <v>5</v>
      </c>
      <c r="F1674" s="1">
        <v>35124</v>
      </c>
      <c r="G1674">
        <v>2.5143110902878001E-2</v>
      </c>
    </row>
    <row r="1675" spans="1:7" x14ac:dyDescent="0.25">
      <c r="A1675" t="s">
        <v>7</v>
      </c>
      <c r="B1675" t="s">
        <v>15</v>
      </c>
      <c r="C1675" t="s">
        <v>9</v>
      </c>
      <c r="D1675" t="s">
        <v>10</v>
      </c>
      <c r="E1675">
        <v>5</v>
      </c>
      <c r="F1675" s="1">
        <v>35155</v>
      </c>
      <c r="G1675">
        <v>-9.5335397212564007E-3</v>
      </c>
    </row>
    <row r="1676" spans="1:7" x14ac:dyDescent="0.25">
      <c r="A1676" t="s">
        <v>7</v>
      </c>
      <c r="B1676" t="s">
        <v>15</v>
      </c>
      <c r="C1676" t="s">
        <v>9</v>
      </c>
      <c r="D1676" t="s">
        <v>10</v>
      </c>
      <c r="E1676">
        <v>5</v>
      </c>
      <c r="F1676" s="1">
        <v>35185</v>
      </c>
      <c r="G1676">
        <v>7.3170109712517098E-2</v>
      </c>
    </row>
    <row r="1677" spans="1:7" x14ac:dyDescent="0.25">
      <c r="A1677" t="s">
        <v>7</v>
      </c>
      <c r="B1677" t="s">
        <v>15</v>
      </c>
      <c r="C1677" t="s">
        <v>9</v>
      </c>
      <c r="D1677" t="s">
        <v>10</v>
      </c>
      <c r="E1677">
        <v>5</v>
      </c>
      <c r="F1677" s="1">
        <v>35216</v>
      </c>
      <c r="G1677">
        <v>1.3899618155034901E-2</v>
      </c>
    </row>
    <row r="1678" spans="1:7" x14ac:dyDescent="0.25">
      <c r="A1678" t="s">
        <v>7</v>
      </c>
      <c r="B1678" t="s">
        <v>15</v>
      </c>
      <c r="C1678" t="s">
        <v>9</v>
      </c>
      <c r="D1678" t="s">
        <v>10</v>
      </c>
      <c r="E1678">
        <v>5</v>
      </c>
      <c r="F1678" s="1">
        <v>35246</v>
      </c>
      <c r="G1678">
        <v>0.17837117334246699</v>
      </c>
    </row>
    <row r="1679" spans="1:7" x14ac:dyDescent="0.25">
      <c r="A1679" t="s">
        <v>7</v>
      </c>
      <c r="B1679" t="s">
        <v>15</v>
      </c>
      <c r="C1679" t="s">
        <v>9</v>
      </c>
      <c r="D1679" t="s">
        <v>10</v>
      </c>
      <c r="E1679">
        <v>5</v>
      </c>
      <c r="F1679" s="1">
        <v>35277</v>
      </c>
      <c r="G1679">
        <v>-2.3581917727839002E-2</v>
      </c>
    </row>
    <row r="1680" spans="1:7" x14ac:dyDescent="0.25">
      <c r="A1680" t="s">
        <v>7</v>
      </c>
      <c r="B1680" t="s">
        <v>15</v>
      </c>
      <c r="C1680" t="s">
        <v>9</v>
      </c>
      <c r="D1680" t="s">
        <v>10</v>
      </c>
      <c r="E1680">
        <v>6</v>
      </c>
      <c r="F1680" s="1">
        <v>35308</v>
      </c>
      <c r="G1680">
        <v>-7.6911941047952098E-2</v>
      </c>
    </row>
    <row r="1681" spans="1:7" x14ac:dyDescent="0.25">
      <c r="A1681" t="s">
        <v>7</v>
      </c>
      <c r="B1681" t="s">
        <v>15</v>
      </c>
      <c r="C1681" t="s">
        <v>9</v>
      </c>
      <c r="D1681" t="s">
        <v>10</v>
      </c>
      <c r="E1681">
        <v>6</v>
      </c>
      <c r="F1681" s="1">
        <v>35338</v>
      </c>
      <c r="G1681">
        <v>-4.7393531329724403E-2</v>
      </c>
    </row>
    <row r="1682" spans="1:7" x14ac:dyDescent="0.25">
      <c r="A1682" t="s">
        <v>7</v>
      </c>
      <c r="B1682" t="s">
        <v>15</v>
      </c>
      <c r="C1682" t="s">
        <v>9</v>
      </c>
      <c r="D1682" t="s">
        <v>10</v>
      </c>
      <c r="E1682">
        <v>6</v>
      </c>
      <c r="F1682" s="1">
        <v>35369</v>
      </c>
      <c r="G1682">
        <v>-6.2735035668568199E-3</v>
      </c>
    </row>
    <row r="1683" spans="1:7" x14ac:dyDescent="0.25">
      <c r="A1683" t="s">
        <v>7</v>
      </c>
      <c r="B1683" t="s">
        <v>15</v>
      </c>
      <c r="C1683" t="s">
        <v>9</v>
      </c>
      <c r="D1683" t="s">
        <v>10</v>
      </c>
      <c r="E1683">
        <v>6</v>
      </c>
      <c r="F1683" s="1">
        <v>35399</v>
      </c>
      <c r="G1683">
        <v>-9.3464246562700096E-3</v>
      </c>
    </row>
    <row r="1684" spans="1:7" x14ac:dyDescent="0.25">
      <c r="A1684" t="s">
        <v>7</v>
      </c>
      <c r="B1684" t="s">
        <v>15</v>
      </c>
      <c r="C1684" t="s">
        <v>9</v>
      </c>
      <c r="D1684" t="s">
        <v>10</v>
      </c>
      <c r="E1684">
        <v>6</v>
      </c>
      <c r="F1684" s="1">
        <v>35430</v>
      </c>
      <c r="G1684">
        <v>3.2304562437410101E-3</v>
      </c>
    </row>
    <row r="1685" spans="1:7" x14ac:dyDescent="0.25">
      <c r="A1685" t="s">
        <v>7</v>
      </c>
      <c r="B1685" t="s">
        <v>15</v>
      </c>
      <c r="C1685" t="s">
        <v>9</v>
      </c>
      <c r="D1685" t="s">
        <v>10</v>
      </c>
      <c r="E1685">
        <v>6</v>
      </c>
      <c r="F1685" s="1">
        <v>35461</v>
      </c>
      <c r="G1685">
        <v>2.54763110898709E-2</v>
      </c>
    </row>
    <row r="1686" spans="1:7" x14ac:dyDescent="0.25">
      <c r="A1686" t="s">
        <v>7</v>
      </c>
      <c r="B1686" t="s">
        <v>15</v>
      </c>
      <c r="C1686" t="s">
        <v>9</v>
      </c>
      <c r="D1686" t="s">
        <v>10</v>
      </c>
      <c r="E1686">
        <v>6</v>
      </c>
      <c r="F1686" s="1">
        <v>35489</v>
      </c>
      <c r="G1686">
        <v>8.6172404032334199E-2</v>
      </c>
    </row>
    <row r="1687" spans="1:7" x14ac:dyDescent="0.25">
      <c r="A1687" t="s">
        <v>7</v>
      </c>
      <c r="B1687" t="s">
        <v>15</v>
      </c>
      <c r="C1687" t="s">
        <v>9</v>
      </c>
      <c r="D1687" t="s">
        <v>10</v>
      </c>
      <c r="E1687">
        <v>6</v>
      </c>
      <c r="F1687" s="1">
        <v>35520</v>
      </c>
      <c r="G1687">
        <v>2.50464697460226E-2</v>
      </c>
    </row>
    <row r="1688" spans="1:7" x14ac:dyDescent="0.25">
      <c r="A1688" t="s">
        <v>7</v>
      </c>
      <c r="B1688" t="s">
        <v>15</v>
      </c>
      <c r="C1688" t="s">
        <v>9</v>
      </c>
      <c r="D1688" t="s">
        <v>10</v>
      </c>
      <c r="E1688">
        <v>6</v>
      </c>
      <c r="F1688" s="1">
        <v>35550</v>
      </c>
      <c r="G1688">
        <v>0.124740843395441</v>
      </c>
    </row>
    <row r="1689" spans="1:7" x14ac:dyDescent="0.25">
      <c r="A1689" t="s">
        <v>7</v>
      </c>
      <c r="B1689" t="s">
        <v>15</v>
      </c>
      <c r="C1689" t="s">
        <v>9</v>
      </c>
      <c r="D1689" t="s">
        <v>10</v>
      </c>
      <c r="E1689">
        <v>6</v>
      </c>
      <c r="F1689" s="1">
        <v>35581</v>
      </c>
      <c r="G1689">
        <v>-1.8272862008821601E-2</v>
      </c>
    </row>
    <row r="1690" spans="1:7" x14ac:dyDescent="0.25">
      <c r="A1690" t="s">
        <v>7</v>
      </c>
      <c r="B1690" t="s">
        <v>15</v>
      </c>
      <c r="C1690" t="s">
        <v>9</v>
      </c>
      <c r="D1690" t="s">
        <v>10</v>
      </c>
      <c r="E1690">
        <v>6</v>
      </c>
      <c r="F1690" s="1">
        <v>35611</v>
      </c>
      <c r="G1690">
        <v>-8.2586740971654804E-2</v>
      </c>
    </row>
    <row r="1691" spans="1:7" x14ac:dyDescent="0.25">
      <c r="A1691" t="s">
        <v>7</v>
      </c>
      <c r="B1691" t="s">
        <v>15</v>
      </c>
      <c r="C1691" t="s">
        <v>9</v>
      </c>
      <c r="D1691" t="s">
        <v>10</v>
      </c>
      <c r="E1691">
        <v>6</v>
      </c>
      <c r="F1691" s="1">
        <v>35642</v>
      </c>
      <c r="G1691">
        <v>2.1655992315955902E-3</v>
      </c>
    </row>
    <row r="1692" spans="1:7" x14ac:dyDescent="0.25">
      <c r="A1692" t="s">
        <v>7</v>
      </c>
      <c r="B1692" t="s">
        <v>15</v>
      </c>
      <c r="C1692" t="s">
        <v>9</v>
      </c>
      <c r="D1692" t="s">
        <v>10</v>
      </c>
      <c r="E1692">
        <v>6</v>
      </c>
      <c r="F1692" s="1">
        <v>35673</v>
      </c>
      <c r="G1692">
        <v>-8.6171350571380007E-2</v>
      </c>
    </row>
    <row r="1693" spans="1:7" x14ac:dyDescent="0.25">
      <c r="A1693" t="s">
        <v>7</v>
      </c>
      <c r="B1693" t="s">
        <v>15</v>
      </c>
      <c r="C1693" t="s">
        <v>9</v>
      </c>
      <c r="D1693" t="s">
        <v>10</v>
      </c>
      <c r="E1693">
        <v>6</v>
      </c>
      <c r="F1693" s="1">
        <v>35703</v>
      </c>
      <c r="G1693">
        <v>3.3173597287668999E-2</v>
      </c>
    </row>
    <row r="1694" spans="1:7" x14ac:dyDescent="0.25">
      <c r="A1694" t="s">
        <v>7</v>
      </c>
      <c r="B1694" t="s">
        <v>15</v>
      </c>
      <c r="C1694" t="s">
        <v>9</v>
      </c>
      <c r="D1694" t="s">
        <v>10</v>
      </c>
      <c r="E1694">
        <v>6</v>
      </c>
      <c r="F1694" s="1">
        <v>35734</v>
      </c>
      <c r="G1694">
        <v>9.2348227162043398E-2</v>
      </c>
    </row>
    <row r="1695" spans="1:7" x14ac:dyDescent="0.25">
      <c r="A1695" t="s">
        <v>7</v>
      </c>
      <c r="B1695" t="s">
        <v>15</v>
      </c>
      <c r="C1695" t="s">
        <v>9</v>
      </c>
      <c r="D1695" t="s">
        <v>10</v>
      </c>
      <c r="E1695">
        <v>6</v>
      </c>
      <c r="F1695" s="1">
        <v>35764</v>
      </c>
      <c r="G1695">
        <v>2.4441563592054998E-3</v>
      </c>
    </row>
    <row r="1696" spans="1:7" x14ac:dyDescent="0.25">
      <c r="A1696" t="s">
        <v>7</v>
      </c>
      <c r="B1696" t="s">
        <v>15</v>
      </c>
      <c r="C1696" t="s">
        <v>9</v>
      </c>
      <c r="D1696" t="s">
        <v>10</v>
      </c>
      <c r="E1696">
        <v>6</v>
      </c>
      <c r="F1696" s="1">
        <v>35795</v>
      </c>
      <c r="G1696">
        <v>9.6243045954432296E-3</v>
      </c>
    </row>
    <row r="1697" spans="1:7" x14ac:dyDescent="0.25">
      <c r="A1697" t="s">
        <v>7</v>
      </c>
      <c r="B1697" t="s">
        <v>15</v>
      </c>
      <c r="C1697" t="s">
        <v>9</v>
      </c>
      <c r="D1697" t="s">
        <v>10</v>
      </c>
      <c r="E1697">
        <v>6</v>
      </c>
      <c r="F1697" s="1">
        <v>35826</v>
      </c>
      <c r="G1697">
        <v>-0.13793352679644699</v>
      </c>
    </row>
    <row r="1698" spans="1:7" x14ac:dyDescent="0.25">
      <c r="A1698" t="s">
        <v>7</v>
      </c>
      <c r="B1698" t="s">
        <v>15</v>
      </c>
      <c r="C1698" t="s">
        <v>9</v>
      </c>
      <c r="D1698" t="s">
        <v>10</v>
      </c>
      <c r="E1698">
        <v>6</v>
      </c>
      <c r="F1698" s="1">
        <v>35854</v>
      </c>
      <c r="G1698">
        <v>3.5652992796898798E-2</v>
      </c>
    </row>
    <row r="1699" spans="1:7" x14ac:dyDescent="0.25">
      <c r="A1699" t="s">
        <v>7</v>
      </c>
      <c r="B1699" t="s">
        <v>15</v>
      </c>
      <c r="C1699" t="s">
        <v>9</v>
      </c>
      <c r="D1699" t="s">
        <v>10</v>
      </c>
      <c r="E1699">
        <v>6</v>
      </c>
      <c r="F1699" s="1">
        <v>35885</v>
      </c>
      <c r="G1699">
        <v>-6.2786608660989299E-2</v>
      </c>
    </row>
    <row r="1700" spans="1:7" x14ac:dyDescent="0.25">
      <c r="A1700" t="s">
        <v>7</v>
      </c>
      <c r="B1700" t="s">
        <v>15</v>
      </c>
      <c r="C1700" t="s">
        <v>9</v>
      </c>
      <c r="D1700" t="s">
        <v>10</v>
      </c>
      <c r="E1700">
        <v>6</v>
      </c>
      <c r="F1700" s="1">
        <v>35915</v>
      </c>
      <c r="G1700">
        <v>8.4186230390378203E-2</v>
      </c>
    </row>
    <row r="1701" spans="1:7" x14ac:dyDescent="0.25">
      <c r="A1701" t="s">
        <v>7</v>
      </c>
      <c r="B1701" t="s">
        <v>15</v>
      </c>
      <c r="C1701" t="s">
        <v>9</v>
      </c>
      <c r="D1701" t="s">
        <v>10</v>
      </c>
      <c r="E1701">
        <v>6</v>
      </c>
      <c r="F1701" s="1">
        <v>35946</v>
      </c>
      <c r="G1701">
        <v>4.4638035680462401E-2</v>
      </c>
    </row>
    <row r="1702" spans="1:7" x14ac:dyDescent="0.25">
      <c r="A1702" t="s">
        <v>7</v>
      </c>
      <c r="B1702" t="s">
        <v>15</v>
      </c>
      <c r="C1702" t="s">
        <v>9</v>
      </c>
      <c r="D1702" t="s">
        <v>10</v>
      </c>
      <c r="E1702">
        <v>6</v>
      </c>
      <c r="F1702" s="1">
        <v>35976</v>
      </c>
      <c r="G1702">
        <v>0.185700033018496</v>
      </c>
    </row>
    <row r="1703" spans="1:7" x14ac:dyDescent="0.25">
      <c r="A1703" t="s">
        <v>7</v>
      </c>
      <c r="B1703" t="s">
        <v>15</v>
      </c>
      <c r="C1703" t="s">
        <v>9</v>
      </c>
      <c r="D1703" t="s">
        <v>10</v>
      </c>
      <c r="E1703">
        <v>6</v>
      </c>
      <c r="F1703" s="1">
        <v>36007</v>
      </c>
      <c r="G1703">
        <v>-9.2594859528172604E-2</v>
      </c>
    </row>
    <row r="1704" spans="1:7" x14ac:dyDescent="0.25">
      <c r="A1704" t="s">
        <v>7</v>
      </c>
      <c r="B1704" t="s">
        <v>15</v>
      </c>
      <c r="C1704" t="s">
        <v>9</v>
      </c>
      <c r="D1704" t="s">
        <v>10</v>
      </c>
      <c r="E1704">
        <v>6</v>
      </c>
      <c r="F1704" s="1">
        <v>36038</v>
      </c>
      <c r="G1704">
        <v>7.3891118146489798E-2</v>
      </c>
    </row>
    <row r="1705" spans="1:7" x14ac:dyDescent="0.25">
      <c r="A1705" t="s">
        <v>7</v>
      </c>
      <c r="B1705" t="s">
        <v>15</v>
      </c>
      <c r="C1705" t="s">
        <v>9</v>
      </c>
      <c r="D1705" t="s">
        <v>10</v>
      </c>
      <c r="E1705">
        <v>6</v>
      </c>
      <c r="F1705" s="1">
        <v>36068</v>
      </c>
      <c r="G1705">
        <v>0.113265056479447</v>
      </c>
    </row>
    <row r="1706" spans="1:7" x14ac:dyDescent="0.25">
      <c r="A1706" t="s">
        <v>7</v>
      </c>
      <c r="B1706" t="s">
        <v>15</v>
      </c>
      <c r="C1706" t="s">
        <v>9</v>
      </c>
      <c r="D1706" t="s">
        <v>10</v>
      </c>
      <c r="E1706">
        <v>6</v>
      </c>
      <c r="F1706" s="1">
        <v>36099</v>
      </c>
      <c r="G1706">
        <v>-5.9757629517962603E-2</v>
      </c>
    </row>
    <row r="1707" spans="1:7" x14ac:dyDescent="0.25">
      <c r="A1707" t="s">
        <v>7</v>
      </c>
      <c r="B1707" t="s">
        <v>15</v>
      </c>
      <c r="C1707" t="s">
        <v>9</v>
      </c>
      <c r="D1707" t="s">
        <v>10</v>
      </c>
      <c r="E1707">
        <v>6</v>
      </c>
      <c r="F1707" s="1">
        <v>36129</v>
      </c>
      <c r="G1707">
        <v>-0.28172355899547502</v>
      </c>
    </row>
    <row r="1708" spans="1:7" x14ac:dyDescent="0.25">
      <c r="A1708" t="s">
        <v>7</v>
      </c>
      <c r="B1708" t="s">
        <v>15</v>
      </c>
      <c r="C1708" t="s">
        <v>9</v>
      </c>
      <c r="D1708" t="s">
        <v>10</v>
      </c>
      <c r="E1708">
        <v>6</v>
      </c>
      <c r="F1708" s="1">
        <v>36160</v>
      </c>
      <c r="G1708">
        <v>0.192296218234975</v>
      </c>
    </row>
    <row r="1709" spans="1:7" x14ac:dyDescent="0.25">
      <c r="A1709" t="s">
        <v>7</v>
      </c>
      <c r="B1709" t="s">
        <v>15</v>
      </c>
      <c r="C1709" t="s">
        <v>9</v>
      </c>
      <c r="D1709" t="s">
        <v>10</v>
      </c>
      <c r="E1709">
        <v>6</v>
      </c>
      <c r="F1709" s="1">
        <v>36191</v>
      </c>
      <c r="G1709">
        <v>0.15065184250727801</v>
      </c>
    </row>
    <row r="1710" spans="1:7" x14ac:dyDescent="0.25">
      <c r="A1710" t="s">
        <v>7</v>
      </c>
      <c r="B1710" t="s">
        <v>15</v>
      </c>
      <c r="C1710" t="s">
        <v>9</v>
      </c>
      <c r="D1710" t="s">
        <v>10</v>
      </c>
      <c r="E1710">
        <v>5</v>
      </c>
      <c r="F1710" s="1">
        <v>36219</v>
      </c>
      <c r="G1710">
        <v>-0.21567579224439701</v>
      </c>
    </row>
    <row r="1711" spans="1:7" x14ac:dyDescent="0.25">
      <c r="A1711" t="s">
        <v>7</v>
      </c>
      <c r="B1711" t="s">
        <v>15</v>
      </c>
      <c r="C1711" t="s">
        <v>9</v>
      </c>
      <c r="D1711" t="s">
        <v>10</v>
      </c>
      <c r="E1711">
        <v>6</v>
      </c>
      <c r="F1711" s="1">
        <v>36250</v>
      </c>
      <c r="G1711">
        <v>-0.40904910379245302</v>
      </c>
    </row>
    <row r="1712" spans="1:7" x14ac:dyDescent="0.25">
      <c r="A1712" t="s">
        <v>7</v>
      </c>
      <c r="B1712" t="s">
        <v>15</v>
      </c>
      <c r="C1712" t="s">
        <v>9</v>
      </c>
      <c r="D1712" t="s">
        <v>10</v>
      </c>
      <c r="E1712">
        <v>6</v>
      </c>
      <c r="F1712" s="1">
        <v>36280</v>
      </c>
      <c r="G1712">
        <v>-9.2560804678756506E-2</v>
      </c>
    </row>
    <row r="1713" spans="1:7" x14ac:dyDescent="0.25">
      <c r="A1713" t="s">
        <v>7</v>
      </c>
      <c r="B1713" t="s">
        <v>15</v>
      </c>
      <c r="C1713" t="s">
        <v>9</v>
      </c>
      <c r="D1713" t="s">
        <v>10</v>
      </c>
      <c r="E1713">
        <v>6</v>
      </c>
      <c r="F1713" s="1">
        <v>36311</v>
      </c>
      <c r="G1713">
        <v>-1.8859715219806E-3</v>
      </c>
    </row>
    <row r="1714" spans="1:7" x14ac:dyDescent="0.25">
      <c r="A1714" t="s">
        <v>7</v>
      </c>
      <c r="B1714" t="s">
        <v>15</v>
      </c>
      <c r="C1714" t="s">
        <v>9</v>
      </c>
      <c r="D1714" t="s">
        <v>10</v>
      </c>
      <c r="E1714">
        <v>6</v>
      </c>
      <c r="F1714" s="1">
        <v>36341</v>
      </c>
      <c r="G1714">
        <v>0.17755866962437</v>
      </c>
    </row>
    <row r="1715" spans="1:7" x14ac:dyDescent="0.25">
      <c r="A1715" t="s">
        <v>7</v>
      </c>
      <c r="B1715" t="s">
        <v>15</v>
      </c>
      <c r="C1715" t="s">
        <v>9</v>
      </c>
      <c r="D1715" t="s">
        <v>10</v>
      </c>
      <c r="E1715">
        <v>6</v>
      </c>
      <c r="F1715" s="1">
        <v>36372</v>
      </c>
      <c r="G1715">
        <v>1.7215513137682301E-2</v>
      </c>
    </row>
    <row r="1716" spans="1:7" x14ac:dyDescent="0.25">
      <c r="A1716" t="s">
        <v>7</v>
      </c>
      <c r="B1716" t="s">
        <v>15</v>
      </c>
      <c r="C1716" t="s">
        <v>9</v>
      </c>
      <c r="D1716" t="s">
        <v>10</v>
      </c>
      <c r="E1716">
        <v>6</v>
      </c>
      <c r="F1716" s="1">
        <v>36403</v>
      </c>
      <c r="G1716">
        <v>4.4790660591901101E-2</v>
      </c>
    </row>
    <row r="1717" spans="1:7" x14ac:dyDescent="0.25">
      <c r="A1717" t="s">
        <v>7</v>
      </c>
      <c r="B1717" t="s">
        <v>15</v>
      </c>
      <c r="C1717" t="s">
        <v>9</v>
      </c>
      <c r="D1717" t="s">
        <v>10</v>
      </c>
      <c r="E1717">
        <v>6</v>
      </c>
      <c r="F1717" s="1">
        <v>36433</v>
      </c>
      <c r="G1717">
        <v>-6.9886499402834104E-2</v>
      </c>
    </row>
    <row r="1718" spans="1:7" x14ac:dyDescent="0.25">
      <c r="A1718" t="s">
        <v>7</v>
      </c>
      <c r="B1718" t="s">
        <v>15</v>
      </c>
      <c r="C1718" t="s">
        <v>9</v>
      </c>
      <c r="D1718" t="s">
        <v>10</v>
      </c>
      <c r="E1718">
        <v>6</v>
      </c>
      <c r="F1718" s="1">
        <v>36464</v>
      </c>
      <c r="G1718">
        <v>-4.1841634622499901E-2</v>
      </c>
    </row>
    <row r="1719" spans="1:7" x14ac:dyDescent="0.25">
      <c r="A1719" t="s">
        <v>7</v>
      </c>
      <c r="B1719" t="s">
        <v>15</v>
      </c>
      <c r="C1719" t="s">
        <v>9</v>
      </c>
      <c r="D1719" t="s">
        <v>10</v>
      </c>
      <c r="E1719">
        <v>6</v>
      </c>
      <c r="F1719" s="1">
        <v>36494</v>
      </c>
      <c r="G1719">
        <v>2.8130362362812598E-2</v>
      </c>
    </row>
    <row r="1720" spans="1:7" x14ac:dyDescent="0.25">
      <c r="A1720" t="s">
        <v>7</v>
      </c>
      <c r="B1720" t="s">
        <v>15</v>
      </c>
      <c r="C1720" t="s">
        <v>9</v>
      </c>
      <c r="D1720" t="s">
        <v>10</v>
      </c>
      <c r="E1720">
        <v>6</v>
      </c>
      <c r="F1720" s="1">
        <v>36525</v>
      </c>
      <c r="G1720">
        <v>-1.4068388454721199E-2</v>
      </c>
    </row>
    <row r="1721" spans="1:7" x14ac:dyDescent="0.25">
      <c r="A1721" t="s">
        <v>7</v>
      </c>
      <c r="B1721" t="s">
        <v>15</v>
      </c>
      <c r="C1721" t="s">
        <v>9</v>
      </c>
      <c r="D1721" t="s">
        <v>10</v>
      </c>
      <c r="E1721">
        <v>6</v>
      </c>
      <c r="F1721" s="1">
        <v>36556</v>
      </c>
      <c r="G1721">
        <v>1.6074161073276302E-2</v>
      </c>
    </row>
    <row r="1722" spans="1:7" x14ac:dyDescent="0.25">
      <c r="A1722" t="s">
        <v>7</v>
      </c>
      <c r="B1722" t="s">
        <v>15</v>
      </c>
      <c r="C1722" t="s">
        <v>9</v>
      </c>
      <c r="D1722" t="s">
        <v>10</v>
      </c>
      <c r="E1722">
        <v>6</v>
      </c>
      <c r="F1722" s="1">
        <v>36585</v>
      </c>
      <c r="G1722">
        <v>4.77648569550349E-2</v>
      </c>
    </row>
    <row r="1723" spans="1:7" x14ac:dyDescent="0.25">
      <c r="A1723" t="s">
        <v>7</v>
      </c>
      <c r="B1723" t="s">
        <v>15</v>
      </c>
      <c r="C1723" t="s">
        <v>9</v>
      </c>
      <c r="D1723" t="s">
        <v>10</v>
      </c>
      <c r="E1723">
        <v>6</v>
      </c>
      <c r="F1723" s="1">
        <v>36616</v>
      </c>
      <c r="G1723">
        <v>-1.7232529263925701E-2</v>
      </c>
    </row>
    <row r="1724" spans="1:7" x14ac:dyDescent="0.25">
      <c r="A1724" t="s">
        <v>7</v>
      </c>
      <c r="B1724" t="s">
        <v>15</v>
      </c>
      <c r="C1724" t="s">
        <v>9</v>
      </c>
      <c r="D1724" t="s">
        <v>10</v>
      </c>
      <c r="E1724">
        <v>6</v>
      </c>
      <c r="F1724" s="1">
        <v>36646</v>
      </c>
      <c r="G1724">
        <v>-7.3981648043595499E-2</v>
      </c>
    </row>
    <row r="1725" spans="1:7" x14ac:dyDescent="0.25">
      <c r="A1725" t="s">
        <v>7</v>
      </c>
      <c r="B1725" t="s">
        <v>15</v>
      </c>
      <c r="C1725" t="s">
        <v>9</v>
      </c>
      <c r="D1725" t="s">
        <v>10</v>
      </c>
      <c r="E1725">
        <v>6</v>
      </c>
      <c r="F1725" s="1">
        <v>36677</v>
      </c>
      <c r="G1725">
        <v>9.2794470128321704E-2</v>
      </c>
    </row>
    <row r="1726" spans="1:7" x14ac:dyDescent="0.25">
      <c r="A1726" t="s">
        <v>7</v>
      </c>
      <c r="B1726" t="s">
        <v>15</v>
      </c>
      <c r="C1726" t="s">
        <v>9</v>
      </c>
      <c r="D1726" t="s">
        <v>10</v>
      </c>
      <c r="E1726">
        <v>6</v>
      </c>
      <c r="F1726" s="1">
        <v>36707</v>
      </c>
      <c r="G1726">
        <v>5.0450317158688002E-2</v>
      </c>
    </row>
    <row r="1727" spans="1:7" x14ac:dyDescent="0.25">
      <c r="A1727" t="s">
        <v>7</v>
      </c>
      <c r="B1727" t="s">
        <v>15</v>
      </c>
      <c r="C1727" t="s">
        <v>9</v>
      </c>
      <c r="D1727" t="s">
        <v>10</v>
      </c>
      <c r="E1727">
        <v>6</v>
      </c>
      <c r="F1727" s="1">
        <v>36738</v>
      </c>
      <c r="G1727">
        <v>-7.4850067549593604E-3</v>
      </c>
    </row>
    <row r="1728" spans="1:7" x14ac:dyDescent="0.25">
      <c r="A1728" t="s">
        <v>7</v>
      </c>
      <c r="B1728" t="s">
        <v>15</v>
      </c>
      <c r="C1728" t="s">
        <v>9</v>
      </c>
      <c r="D1728" t="s">
        <v>10</v>
      </c>
      <c r="E1728">
        <v>6</v>
      </c>
      <c r="F1728" s="1">
        <v>36769</v>
      </c>
      <c r="G1728">
        <v>-9.7980215032503606E-2</v>
      </c>
    </row>
    <row r="1729" spans="1:7" x14ac:dyDescent="0.25">
      <c r="A1729" t="s">
        <v>7</v>
      </c>
      <c r="B1729" t="s">
        <v>15</v>
      </c>
      <c r="C1729" t="s">
        <v>9</v>
      </c>
      <c r="D1729" t="s">
        <v>10</v>
      </c>
      <c r="E1729">
        <v>6</v>
      </c>
      <c r="F1729" s="1">
        <v>36799</v>
      </c>
      <c r="G1729">
        <v>5.88649422866203E-2</v>
      </c>
    </row>
    <row r="1730" spans="1:7" x14ac:dyDescent="0.25">
      <c r="A1730" t="s">
        <v>7</v>
      </c>
      <c r="B1730" t="s">
        <v>15</v>
      </c>
      <c r="C1730" t="s">
        <v>9</v>
      </c>
      <c r="D1730" t="s">
        <v>10</v>
      </c>
      <c r="E1730">
        <v>6</v>
      </c>
      <c r="F1730" s="1">
        <v>36830</v>
      </c>
      <c r="G1730">
        <v>-3.2956256489236599E-2</v>
      </c>
    </row>
    <row r="1731" spans="1:7" x14ac:dyDescent="0.25">
      <c r="A1731" t="s">
        <v>7</v>
      </c>
      <c r="B1731" t="s">
        <v>15</v>
      </c>
      <c r="C1731" t="s">
        <v>9</v>
      </c>
      <c r="D1731" t="s">
        <v>10</v>
      </c>
      <c r="E1731">
        <v>6</v>
      </c>
      <c r="F1731" s="1">
        <v>36860</v>
      </c>
      <c r="G1731">
        <v>2.0222554031203301E-2</v>
      </c>
    </row>
    <row r="1732" spans="1:7" x14ac:dyDescent="0.25">
      <c r="A1732" t="s">
        <v>7</v>
      </c>
      <c r="B1732" t="s">
        <v>15</v>
      </c>
      <c r="C1732" t="s">
        <v>9</v>
      </c>
      <c r="D1732" t="s">
        <v>10</v>
      </c>
      <c r="E1732">
        <v>6</v>
      </c>
      <c r="F1732" s="1">
        <v>36891</v>
      </c>
      <c r="G1732">
        <v>-1.57057884646934E-2</v>
      </c>
    </row>
    <row r="1733" spans="1:7" x14ac:dyDescent="0.25">
      <c r="A1733" t="s">
        <v>7</v>
      </c>
      <c r="B1733" t="s">
        <v>15</v>
      </c>
      <c r="C1733" t="s">
        <v>9</v>
      </c>
      <c r="D1733" t="s">
        <v>10</v>
      </c>
      <c r="E1733">
        <v>6</v>
      </c>
      <c r="F1733" s="1">
        <v>36922</v>
      </c>
      <c r="G1733">
        <v>-5.6000032026946402E-2</v>
      </c>
    </row>
    <row r="1734" spans="1:7" x14ac:dyDescent="0.25">
      <c r="A1734" t="s">
        <v>7</v>
      </c>
      <c r="B1734" t="s">
        <v>15</v>
      </c>
      <c r="C1734" t="s">
        <v>9</v>
      </c>
      <c r="D1734" t="s">
        <v>10</v>
      </c>
      <c r="E1734">
        <v>6</v>
      </c>
      <c r="F1734" s="1">
        <v>36950</v>
      </c>
      <c r="G1734">
        <v>7.2729909938500495E-2</v>
      </c>
    </row>
    <row r="1735" spans="1:7" x14ac:dyDescent="0.25">
      <c r="A1735" t="s">
        <v>7</v>
      </c>
      <c r="B1735" t="s">
        <v>15</v>
      </c>
      <c r="C1735" t="s">
        <v>9</v>
      </c>
      <c r="D1735" t="s">
        <v>10</v>
      </c>
      <c r="E1735">
        <v>6</v>
      </c>
      <c r="F1735" s="1">
        <v>36981</v>
      </c>
      <c r="G1735">
        <v>6.3056191875203005E-2</v>
      </c>
    </row>
    <row r="1736" spans="1:7" x14ac:dyDescent="0.25">
      <c r="A1736" t="s">
        <v>7</v>
      </c>
      <c r="B1736" t="s">
        <v>15</v>
      </c>
      <c r="C1736" t="s">
        <v>9</v>
      </c>
      <c r="D1736" t="s">
        <v>10</v>
      </c>
      <c r="E1736">
        <v>6</v>
      </c>
      <c r="F1736" s="1">
        <v>37011</v>
      </c>
      <c r="G1736">
        <v>-1.8419046801356E-2</v>
      </c>
    </row>
    <row r="1737" spans="1:7" x14ac:dyDescent="0.25">
      <c r="A1737" t="s">
        <v>7</v>
      </c>
      <c r="B1737" t="s">
        <v>15</v>
      </c>
      <c r="C1737" t="s">
        <v>9</v>
      </c>
      <c r="D1737" t="s">
        <v>10</v>
      </c>
      <c r="E1737">
        <v>6</v>
      </c>
      <c r="F1737" s="1">
        <v>37042</v>
      </c>
      <c r="G1737">
        <v>7.6504687287303101E-3</v>
      </c>
    </row>
    <row r="1738" spans="1:7" x14ac:dyDescent="0.25">
      <c r="A1738" t="s">
        <v>7</v>
      </c>
      <c r="B1738" t="s">
        <v>15</v>
      </c>
      <c r="C1738" t="s">
        <v>9</v>
      </c>
      <c r="D1738" t="s">
        <v>10</v>
      </c>
      <c r="E1738">
        <v>6</v>
      </c>
      <c r="F1738" s="1">
        <v>37072</v>
      </c>
      <c r="G1738">
        <v>0.13364026145281199</v>
      </c>
    </row>
    <row r="1739" spans="1:7" x14ac:dyDescent="0.25">
      <c r="A1739" t="s">
        <v>7</v>
      </c>
      <c r="B1739" t="s">
        <v>15</v>
      </c>
      <c r="C1739" t="s">
        <v>9</v>
      </c>
      <c r="D1739" t="s">
        <v>10</v>
      </c>
      <c r="E1739">
        <v>6</v>
      </c>
      <c r="F1739" s="1">
        <v>37103</v>
      </c>
      <c r="G1739">
        <v>1.38341479404999E-2</v>
      </c>
    </row>
    <row r="1740" spans="1:7" x14ac:dyDescent="0.25">
      <c r="A1740" t="s">
        <v>7</v>
      </c>
      <c r="B1740" t="s">
        <v>15</v>
      </c>
      <c r="C1740" t="s">
        <v>9</v>
      </c>
      <c r="D1740" t="s">
        <v>10</v>
      </c>
      <c r="E1740">
        <v>6</v>
      </c>
      <c r="F1740" s="1">
        <v>37134</v>
      </c>
      <c r="G1740">
        <v>6.5226394404657396E-3</v>
      </c>
    </row>
    <row r="1741" spans="1:7" x14ac:dyDescent="0.25">
      <c r="A1741" t="s">
        <v>7</v>
      </c>
      <c r="B1741" t="s">
        <v>15</v>
      </c>
      <c r="C1741" t="s">
        <v>9</v>
      </c>
      <c r="D1741" t="s">
        <v>10</v>
      </c>
      <c r="E1741">
        <v>6</v>
      </c>
      <c r="F1741" s="1">
        <v>37164</v>
      </c>
      <c r="G1741">
        <v>6.2547742465816195E-2</v>
      </c>
    </row>
    <row r="1742" spans="1:7" x14ac:dyDescent="0.25">
      <c r="A1742" t="s">
        <v>7</v>
      </c>
      <c r="B1742" t="s">
        <v>15</v>
      </c>
      <c r="C1742" t="s">
        <v>9</v>
      </c>
      <c r="D1742" t="s">
        <v>10</v>
      </c>
      <c r="E1742">
        <v>6</v>
      </c>
      <c r="F1742" s="1">
        <v>37195</v>
      </c>
      <c r="G1742">
        <v>-5.8828802242717797E-2</v>
      </c>
    </row>
    <row r="1743" spans="1:7" x14ac:dyDescent="0.25">
      <c r="A1743" t="s">
        <v>7</v>
      </c>
      <c r="B1743" t="s">
        <v>15</v>
      </c>
      <c r="C1743" t="s">
        <v>9</v>
      </c>
      <c r="D1743" t="s">
        <v>10</v>
      </c>
      <c r="E1743">
        <v>6</v>
      </c>
      <c r="F1743" s="1">
        <v>37225</v>
      </c>
      <c r="G1743">
        <v>-0.100074354569509</v>
      </c>
    </row>
    <row r="1744" spans="1:7" x14ac:dyDescent="0.25">
      <c r="A1744" t="s">
        <v>7</v>
      </c>
      <c r="B1744" t="s">
        <v>15</v>
      </c>
      <c r="C1744" t="s">
        <v>9</v>
      </c>
      <c r="D1744" t="s">
        <v>10</v>
      </c>
      <c r="E1744">
        <v>6</v>
      </c>
      <c r="F1744" s="1">
        <v>37256</v>
      </c>
      <c r="G1744">
        <v>3.8239729380083902E-2</v>
      </c>
    </row>
    <row r="1745" spans="1:7" x14ac:dyDescent="0.25">
      <c r="A1745" t="s">
        <v>7</v>
      </c>
      <c r="B1745" t="s">
        <v>15</v>
      </c>
      <c r="C1745" t="s">
        <v>9</v>
      </c>
      <c r="D1745" t="s">
        <v>10</v>
      </c>
      <c r="E1745">
        <v>6</v>
      </c>
      <c r="F1745" s="1">
        <v>37287</v>
      </c>
      <c r="G1745">
        <v>-1.4988766399112299E-2</v>
      </c>
    </row>
    <row r="1746" spans="1:7" x14ac:dyDescent="0.25">
      <c r="A1746" t="s">
        <v>7</v>
      </c>
      <c r="B1746" t="s">
        <v>15</v>
      </c>
      <c r="C1746" t="s">
        <v>9</v>
      </c>
      <c r="D1746" t="s">
        <v>10</v>
      </c>
      <c r="E1746">
        <v>6</v>
      </c>
      <c r="F1746" s="1">
        <v>37315</v>
      </c>
      <c r="G1746">
        <v>6.7042055890338598E-2</v>
      </c>
    </row>
    <row r="1747" spans="1:7" x14ac:dyDescent="0.25">
      <c r="A1747" t="s">
        <v>7</v>
      </c>
      <c r="B1747" t="s">
        <v>15</v>
      </c>
      <c r="C1747" t="s">
        <v>9</v>
      </c>
      <c r="D1747" t="s">
        <v>10</v>
      </c>
      <c r="E1747">
        <v>6</v>
      </c>
      <c r="F1747" s="1">
        <v>37346</v>
      </c>
      <c r="G1747">
        <v>5.5149928138603602E-2</v>
      </c>
    </row>
    <row r="1748" spans="1:7" x14ac:dyDescent="0.25">
      <c r="A1748" t="s">
        <v>7</v>
      </c>
      <c r="B1748" t="s">
        <v>15</v>
      </c>
      <c r="C1748" t="s">
        <v>9</v>
      </c>
      <c r="D1748" t="s">
        <v>10</v>
      </c>
      <c r="E1748">
        <v>6</v>
      </c>
      <c r="F1748" s="1">
        <v>37376</v>
      </c>
      <c r="G1748">
        <v>8.8473631847169804E-2</v>
      </c>
    </row>
    <row r="1749" spans="1:7" x14ac:dyDescent="0.25">
      <c r="A1749" t="s">
        <v>7</v>
      </c>
      <c r="B1749" t="s">
        <v>15</v>
      </c>
      <c r="C1749" t="s">
        <v>9</v>
      </c>
      <c r="D1749" t="s">
        <v>10</v>
      </c>
      <c r="E1749">
        <v>6</v>
      </c>
      <c r="F1749" s="1">
        <v>37407</v>
      </c>
      <c r="G1749">
        <v>-5.95893321000713E-2</v>
      </c>
    </row>
    <row r="1750" spans="1:7" x14ac:dyDescent="0.25">
      <c r="A1750" t="s">
        <v>7</v>
      </c>
      <c r="B1750" t="s">
        <v>15</v>
      </c>
      <c r="C1750" t="s">
        <v>9</v>
      </c>
      <c r="D1750" t="s">
        <v>10</v>
      </c>
      <c r="E1750">
        <v>6</v>
      </c>
      <c r="F1750" s="1">
        <v>37437</v>
      </c>
      <c r="G1750">
        <v>-3.2500590699607403E-2</v>
      </c>
    </row>
    <row r="1751" spans="1:7" x14ac:dyDescent="0.25">
      <c r="A1751" t="s">
        <v>7</v>
      </c>
      <c r="B1751" t="s">
        <v>15</v>
      </c>
      <c r="C1751" t="s">
        <v>9</v>
      </c>
      <c r="D1751" t="s">
        <v>10</v>
      </c>
      <c r="E1751">
        <v>6</v>
      </c>
      <c r="F1751" s="1">
        <v>37468</v>
      </c>
      <c r="G1751">
        <v>2.5664614786767001E-2</v>
      </c>
    </row>
    <row r="1752" spans="1:7" x14ac:dyDescent="0.25">
      <c r="A1752" t="s">
        <v>7</v>
      </c>
      <c r="B1752" t="s">
        <v>15</v>
      </c>
      <c r="C1752" t="s">
        <v>9</v>
      </c>
      <c r="D1752" t="s">
        <v>10</v>
      </c>
      <c r="E1752">
        <v>5</v>
      </c>
      <c r="F1752" s="1">
        <v>37499</v>
      </c>
      <c r="G1752">
        <v>-0.13330970560750199</v>
      </c>
    </row>
    <row r="1753" spans="1:7" x14ac:dyDescent="0.25">
      <c r="A1753" t="s">
        <v>7</v>
      </c>
      <c r="B1753" t="s">
        <v>15</v>
      </c>
      <c r="C1753" t="s">
        <v>9</v>
      </c>
      <c r="D1753" t="s">
        <v>10</v>
      </c>
      <c r="E1753">
        <v>6</v>
      </c>
      <c r="F1753" s="1">
        <v>37529</v>
      </c>
      <c r="G1753">
        <v>2.40677969854497E-2</v>
      </c>
    </row>
    <row r="1754" spans="1:7" x14ac:dyDescent="0.25">
      <c r="A1754" t="s">
        <v>7</v>
      </c>
      <c r="B1754" t="s">
        <v>15</v>
      </c>
      <c r="C1754" t="s">
        <v>9</v>
      </c>
      <c r="D1754" t="s">
        <v>10</v>
      </c>
      <c r="E1754">
        <v>5</v>
      </c>
      <c r="F1754" s="1">
        <v>37560</v>
      </c>
      <c r="G1754">
        <v>0.24621079833792001</v>
      </c>
    </row>
    <row r="1755" spans="1:7" x14ac:dyDescent="0.25">
      <c r="A1755" t="s">
        <v>7</v>
      </c>
      <c r="B1755" t="s">
        <v>15</v>
      </c>
      <c r="C1755" t="s">
        <v>9</v>
      </c>
      <c r="D1755" t="s">
        <v>10</v>
      </c>
      <c r="E1755">
        <v>5</v>
      </c>
      <c r="F1755" s="1">
        <v>37590</v>
      </c>
      <c r="G1755">
        <v>-1.9844254358374401E-3</v>
      </c>
    </row>
    <row r="1756" spans="1:7" x14ac:dyDescent="0.25">
      <c r="A1756" t="s">
        <v>7</v>
      </c>
      <c r="B1756" t="s">
        <v>15</v>
      </c>
      <c r="C1756" t="s">
        <v>9</v>
      </c>
      <c r="D1756" t="s">
        <v>10</v>
      </c>
      <c r="E1756">
        <v>5</v>
      </c>
      <c r="F1756" s="1">
        <v>37621</v>
      </c>
      <c r="G1756">
        <v>3.6609427419051502E-2</v>
      </c>
    </row>
    <row r="1757" spans="1:7" x14ac:dyDescent="0.25">
      <c r="A1757" t="s">
        <v>7</v>
      </c>
      <c r="B1757" t="s">
        <v>15</v>
      </c>
      <c r="C1757" t="s">
        <v>9</v>
      </c>
      <c r="D1757" t="s">
        <v>10</v>
      </c>
      <c r="E1757">
        <v>6</v>
      </c>
      <c r="F1757" s="1">
        <v>37652</v>
      </c>
      <c r="G1757">
        <v>4.6367127834443397E-2</v>
      </c>
    </row>
    <row r="1758" spans="1:7" x14ac:dyDescent="0.25">
      <c r="A1758" t="s">
        <v>7</v>
      </c>
      <c r="B1758" t="s">
        <v>15</v>
      </c>
      <c r="C1758" t="s">
        <v>9</v>
      </c>
      <c r="D1758" t="s">
        <v>10</v>
      </c>
      <c r="E1758">
        <v>5</v>
      </c>
      <c r="F1758" s="1">
        <v>37680</v>
      </c>
      <c r="G1758">
        <v>0.11616748903271799</v>
      </c>
    </row>
    <row r="1759" spans="1:7" x14ac:dyDescent="0.25">
      <c r="A1759" t="s">
        <v>7</v>
      </c>
      <c r="B1759" t="s">
        <v>15</v>
      </c>
      <c r="C1759" t="s">
        <v>9</v>
      </c>
      <c r="D1759" t="s">
        <v>10</v>
      </c>
      <c r="E1759">
        <v>5</v>
      </c>
      <c r="F1759" s="1">
        <v>37711</v>
      </c>
      <c r="G1759">
        <v>1.7434420906389001E-2</v>
      </c>
    </row>
    <row r="1760" spans="1:7" x14ac:dyDescent="0.25">
      <c r="A1760" t="s">
        <v>7</v>
      </c>
      <c r="B1760" t="s">
        <v>15</v>
      </c>
      <c r="C1760" t="s">
        <v>9</v>
      </c>
      <c r="D1760" t="s">
        <v>10</v>
      </c>
      <c r="E1760">
        <v>5</v>
      </c>
      <c r="F1760" s="1">
        <v>37741</v>
      </c>
      <c r="G1760">
        <v>-0.11624887948428</v>
      </c>
    </row>
    <row r="1761" spans="1:7" x14ac:dyDescent="0.25">
      <c r="A1761" t="s">
        <v>7</v>
      </c>
      <c r="B1761" t="s">
        <v>15</v>
      </c>
      <c r="C1761" t="s">
        <v>9</v>
      </c>
      <c r="D1761" t="s">
        <v>10</v>
      </c>
      <c r="E1761">
        <v>6</v>
      </c>
      <c r="F1761" s="1">
        <v>37772</v>
      </c>
      <c r="G1761">
        <v>3.9414640739009299E-2</v>
      </c>
    </row>
    <row r="1762" spans="1:7" x14ac:dyDescent="0.25">
      <c r="A1762" t="s">
        <v>7</v>
      </c>
      <c r="B1762" t="s">
        <v>15</v>
      </c>
      <c r="C1762" t="s">
        <v>9</v>
      </c>
      <c r="D1762" t="s">
        <v>10</v>
      </c>
      <c r="E1762">
        <v>6</v>
      </c>
      <c r="F1762" s="1">
        <v>37802</v>
      </c>
      <c r="G1762">
        <v>2.32659958499305E-3</v>
      </c>
    </row>
    <row r="1763" spans="1:7" x14ac:dyDescent="0.25">
      <c r="A1763" t="s">
        <v>7</v>
      </c>
      <c r="B1763" t="s">
        <v>15</v>
      </c>
      <c r="C1763" t="s">
        <v>9</v>
      </c>
      <c r="D1763" t="s">
        <v>10</v>
      </c>
      <c r="E1763">
        <v>6</v>
      </c>
      <c r="F1763" s="1">
        <v>37833</v>
      </c>
      <c r="G1763">
        <v>4.62009617540447E-2</v>
      </c>
    </row>
    <row r="1764" spans="1:7" x14ac:dyDescent="0.25">
      <c r="A1764" t="s">
        <v>7</v>
      </c>
      <c r="B1764" t="s">
        <v>15</v>
      </c>
      <c r="C1764" t="s">
        <v>9</v>
      </c>
      <c r="D1764" t="s">
        <v>10</v>
      </c>
      <c r="E1764">
        <v>5</v>
      </c>
      <c r="F1764" s="1">
        <v>37864</v>
      </c>
      <c r="G1764">
        <v>9.1497243836908201E-2</v>
      </c>
    </row>
    <row r="1765" spans="1:7" x14ac:dyDescent="0.25">
      <c r="A1765" t="s">
        <v>7</v>
      </c>
      <c r="B1765" t="s">
        <v>15</v>
      </c>
      <c r="C1765" t="s">
        <v>9</v>
      </c>
      <c r="D1765" t="s">
        <v>10</v>
      </c>
      <c r="E1765">
        <v>6</v>
      </c>
      <c r="F1765" s="1">
        <v>37894</v>
      </c>
      <c r="G1765">
        <v>-8.8646056198412801E-2</v>
      </c>
    </row>
    <row r="1766" spans="1:7" x14ac:dyDescent="0.25">
      <c r="A1766" t="s">
        <v>7</v>
      </c>
      <c r="B1766" t="s">
        <v>15</v>
      </c>
      <c r="C1766" t="s">
        <v>9</v>
      </c>
      <c r="D1766" t="s">
        <v>10</v>
      </c>
      <c r="E1766">
        <v>6</v>
      </c>
      <c r="F1766" s="1">
        <v>37925</v>
      </c>
      <c r="G1766">
        <v>6.0513063665356699E-2</v>
      </c>
    </row>
    <row r="1767" spans="1:7" x14ac:dyDescent="0.25">
      <c r="A1767" t="s">
        <v>7</v>
      </c>
      <c r="B1767" t="s">
        <v>15</v>
      </c>
      <c r="C1767" t="s">
        <v>9</v>
      </c>
      <c r="D1767" t="s">
        <v>10</v>
      </c>
      <c r="E1767">
        <v>6</v>
      </c>
      <c r="F1767" s="1">
        <v>37955</v>
      </c>
      <c r="G1767">
        <v>7.4221653994812703E-2</v>
      </c>
    </row>
    <row r="1768" spans="1:7" x14ac:dyDescent="0.25">
      <c r="A1768" t="s">
        <v>7</v>
      </c>
      <c r="B1768" t="s">
        <v>15</v>
      </c>
      <c r="C1768" t="s">
        <v>9</v>
      </c>
      <c r="D1768" t="s">
        <v>10</v>
      </c>
      <c r="E1768">
        <v>6</v>
      </c>
      <c r="F1768" s="1">
        <v>37986</v>
      </c>
      <c r="G1768">
        <v>-6.3427592858945003E-2</v>
      </c>
    </row>
    <row r="1769" spans="1:7" x14ac:dyDescent="0.25">
      <c r="A1769" t="s">
        <v>7</v>
      </c>
      <c r="B1769" t="s">
        <v>15</v>
      </c>
      <c r="C1769" t="s">
        <v>9</v>
      </c>
      <c r="D1769" t="s">
        <v>10</v>
      </c>
      <c r="E1769">
        <v>6</v>
      </c>
      <c r="F1769" s="1">
        <v>38017</v>
      </c>
      <c r="G1769">
        <v>-0.14380576957889801</v>
      </c>
    </row>
    <row r="1770" spans="1:7" x14ac:dyDescent="0.25">
      <c r="A1770" t="s">
        <v>7</v>
      </c>
      <c r="B1770" t="s">
        <v>15</v>
      </c>
      <c r="C1770" t="s">
        <v>9</v>
      </c>
      <c r="D1770" t="s">
        <v>10</v>
      </c>
      <c r="E1770">
        <v>6</v>
      </c>
      <c r="F1770" s="1">
        <v>38046</v>
      </c>
      <c r="G1770">
        <v>6.9609988856134994E-2</v>
      </c>
    </row>
    <row r="1771" spans="1:7" x14ac:dyDescent="0.25">
      <c r="A1771" t="s">
        <v>7</v>
      </c>
      <c r="B1771" t="s">
        <v>15</v>
      </c>
      <c r="C1771" t="s">
        <v>9</v>
      </c>
      <c r="D1771" t="s">
        <v>10</v>
      </c>
      <c r="E1771">
        <v>6</v>
      </c>
      <c r="F1771" s="1">
        <v>38077</v>
      </c>
      <c r="G1771">
        <v>1.1692676526899299E-2</v>
      </c>
    </row>
    <row r="1772" spans="1:7" x14ac:dyDescent="0.25">
      <c r="A1772" t="s">
        <v>7</v>
      </c>
      <c r="B1772" t="s">
        <v>15</v>
      </c>
      <c r="C1772" t="s">
        <v>9</v>
      </c>
      <c r="D1772" t="s">
        <v>10</v>
      </c>
      <c r="E1772">
        <v>6</v>
      </c>
      <c r="F1772" s="1">
        <v>38107</v>
      </c>
      <c r="G1772">
        <v>-5.4052326641893703E-2</v>
      </c>
    </row>
    <row r="1773" spans="1:7" x14ac:dyDescent="0.25">
      <c r="A1773" t="s">
        <v>7</v>
      </c>
      <c r="B1773" t="s">
        <v>15</v>
      </c>
      <c r="C1773" t="s">
        <v>9</v>
      </c>
      <c r="D1773" t="s">
        <v>10</v>
      </c>
      <c r="E1773">
        <v>6</v>
      </c>
      <c r="F1773" s="1">
        <v>38138</v>
      </c>
      <c r="G1773">
        <v>1.85868662462336E-2</v>
      </c>
    </row>
    <row r="1774" spans="1:7" x14ac:dyDescent="0.25">
      <c r="A1774" t="s">
        <v>7</v>
      </c>
      <c r="B1774" t="s">
        <v>15</v>
      </c>
      <c r="C1774" t="s">
        <v>9</v>
      </c>
      <c r="D1774" t="s">
        <v>10</v>
      </c>
      <c r="E1774">
        <v>6</v>
      </c>
      <c r="F1774" s="1">
        <v>38168</v>
      </c>
      <c r="G1774">
        <v>1.8701177277632701E-2</v>
      </c>
    </row>
    <row r="1775" spans="1:7" x14ac:dyDescent="0.25">
      <c r="A1775" t="s">
        <v>7</v>
      </c>
      <c r="B1775" t="s">
        <v>15</v>
      </c>
      <c r="C1775" t="s">
        <v>9</v>
      </c>
      <c r="D1775" t="s">
        <v>10</v>
      </c>
      <c r="E1775">
        <v>6</v>
      </c>
      <c r="F1775" s="1">
        <v>38199</v>
      </c>
      <c r="G1775">
        <v>4.1061645174181503E-2</v>
      </c>
    </row>
    <row r="1776" spans="1:7" x14ac:dyDescent="0.25">
      <c r="A1776" t="s">
        <v>7</v>
      </c>
      <c r="B1776" t="s">
        <v>15</v>
      </c>
      <c r="C1776" t="s">
        <v>9</v>
      </c>
      <c r="D1776" t="s">
        <v>10</v>
      </c>
      <c r="E1776">
        <v>6</v>
      </c>
      <c r="F1776" s="1">
        <v>38230</v>
      </c>
      <c r="G1776">
        <v>0.11163623082705</v>
      </c>
    </row>
    <row r="1777" spans="1:7" x14ac:dyDescent="0.25">
      <c r="A1777" t="s">
        <v>7</v>
      </c>
      <c r="B1777" t="s">
        <v>15</v>
      </c>
      <c r="C1777" t="s">
        <v>9</v>
      </c>
      <c r="D1777" t="s">
        <v>10</v>
      </c>
      <c r="E1777">
        <v>6</v>
      </c>
      <c r="F1777" s="1">
        <v>38260</v>
      </c>
      <c r="G1777">
        <v>1.1035209768009899E-2</v>
      </c>
    </row>
    <row r="1778" spans="1:7" x14ac:dyDescent="0.25">
      <c r="A1778" t="s">
        <v>7</v>
      </c>
      <c r="B1778" t="s">
        <v>15</v>
      </c>
      <c r="C1778" t="s">
        <v>9</v>
      </c>
      <c r="D1778" t="s">
        <v>10</v>
      </c>
      <c r="E1778">
        <v>6</v>
      </c>
      <c r="F1778" s="1">
        <v>38291</v>
      </c>
      <c r="G1778">
        <v>3.9760997798712602E-2</v>
      </c>
    </row>
    <row r="1779" spans="1:7" x14ac:dyDescent="0.25">
      <c r="A1779" t="s">
        <v>7</v>
      </c>
      <c r="B1779" t="s">
        <v>15</v>
      </c>
      <c r="C1779" t="s">
        <v>9</v>
      </c>
      <c r="D1779" t="s">
        <v>10</v>
      </c>
      <c r="E1779">
        <v>6</v>
      </c>
      <c r="F1779" s="1">
        <v>38321</v>
      </c>
      <c r="G1779">
        <v>9.9570417067676706E-2</v>
      </c>
    </row>
    <row r="1780" spans="1:7" x14ac:dyDescent="0.25">
      <c r="A1780" t="s">
        <v>7</v>
      </c>
      <c r="B1780" t="s">
        <v>15</v>
      </c>
      <c r="C1780" t="s">
        <v>9</v>
      </c>
      <c r="D1780" t="s">
        <v>10</v>
      </c>
      <c r="E1780">
        <v>6</v>
      </c>
      <c r="F1780" s="1">
        <v>38352</v>
      </c>
      <c r="G1780">
        <v>1.47143928415167E-2</v>
      </c>
    </row>
    <row r="1781" spans="1:7" x14ac:dyDescent="0.25">
      <c r="A1781" t="s">
        <v>7</v>
      </c>
      <c r="B1781" t="s">
        <v>15</v>
      </c>
      <c r="C1781" t="s">
        <v>9</v>
      </c>
      <c r="D1781" t="s">
        <v>10</v>
      </c>
      <c r="E1781">
        <v>6</v>
      </c>
      <c r="F1781" s="1">
        <v>38383</v>
      </c>
      <c r="G1781">
        <v>1.35460990515922E-3</v>
      </c>
    </row>
    <row r="1782" spans="1:7" x14ac:dyDescent="0.25">
      <c r="A1782" t="s">
        <v>7</v>
      </c>
      <c r="B1782" t="s">
        <v>15</v>
      </c>
      <c r="C1782" t="s">
        <v>9</v>
      </c>
      <c r="D1782" t="s">
        <v>10</v>
      </c>
      <c r="E1782">
        <v>6</v>
      </c>
      <c r="F1782" s="1">
        <v>38411</v>
      </c>
      <c r="G1782">
        <v>7.1111663699129296E-3</v>
      </c>
    </row>
    <row r="1783" spans="1:7" x14ac:dyDescent="0.25">
      <c r="A1783" t="s">
        <v>7</v>
      </c>
      <c r="B1783" t="s">
        <v>15</v>
      </c>
      <c r="C1783" t="s">
        <v>9</v>
      </c>
      <c r="D1783" t="s">
        <v>10</v>
      </c>
      <c r="E1783">
        <v>6</v>
      </c>
      <c r="F1783" s="1">
        <v>38442</v>
      </c>
      <c r="G1783">
        <v>-7.6004503518108904E-2</v>
      </c>
    </row>
    <row r="1784" spans="1:7" x14ac:dyDescent="0.25">
      <c r="A1784" t="s">
        <v>7</v>
      </c>
      <c r="B1784" t="s">
        <v>15</v>
      </c>
      <c r="C1784" t="s">
        <v>9</v>
      </c>
      <c r="D1784" t="s">
        <v>10</v>
      </c>
      <c r="E1784">
        <v>6</v>
      </c>
      <c r="F1784" s="1">
        <v>38472</v>
      </c>
      <c r="G1784">
        <v>-1.36811761538126E-2</v>
      </c>
    </row>
    <row r="1785" spans="1:7" x14ac:dyDescent="0.25">
      <c r="A1785" t="s">
        <v>7</v>
      </c>
      <c r="B1785" t="s">
        <v>15</v>
      </c>
      <c r="C1785" t="s">
        <v>9</v>
      </c>
      <c r="D1785" t="s">
        <v>10</v>
      </c>
      <c r="E1785">
        <v>6</v>
      </c>
      <c r="F1785" s="1">
        <v>38503</v>
      </c>
      <c r="G1785">
        <v>-4.42848680815228E-2</v>
      </c>
    </row>
    <row r="1786" spans="1:7" x14ac:dyDescent="0.25">
      <c r="A1786" t="s">
        <v>7</v>
      </c>
      <c r="B1786" t="s">
        <v>15</v>
      </c>
      <c r="C1786" t="s">
        <v>9</v>
      </c>
      <c r="D1786" t="s">
        <v>10</v>
      </c>
      <c r="E1786">
        <v>6</v>
      </c>
      <c r="F1786" s="1">
        <v>38533</v>
      </c>
      <c r="G1786">
        <v>-2.0289070465072602E-3</v>
      </c>
    </row>
    <row r="1787" spans="1:7" x14ac:dyDescent="0.25">
      <c r="A1787" t="s">
        <v>7</v>
      </c>
      <c r="B1787" t="s">
        <v>15</v>
      </c>
      <c r="C1787" t="s">
        <v>9</v>
      </c>
      <c r="D1787" t="s">
        <v>10</v>
      </c>
      <c r="E1787">
        <v>6</v>
      </c>
      <c r="F1787" s="1">
        <v>38564</v>
      </c>
      <c r="G1787">
        <v>-1.41992495903146E-2</v>
      </c>
    </row>
    <row r="1788" spans="1:7" x14ac:dyDescent="0.25">
      <c r="A1788" t="s">
        <v>7</v>
      </c>
      <c r="B1788" t="s">
        <v>15</v>
      </c>
      <c r="C1788" t="s">
        <v>9</v>
      </c>
      <c r="D1788" t="s">
        <v>10</v>
      </c>
      <c r="E1788">
        <v>6</v>
      </c>
      <c r="F1788" s="1">
        <v>38595</v>
      </c>
      <c r="G1788">
        <v>5.1873055191010299E-2</v>
      </c>
    </row>
    <row r="1789" spans="1:7" x14ac:dyDescent="0.25">
      <c r="A1789" t="s">
        <v>7</v>
      </c>
      <c r="B1789" t="s">
        <v>15</v>
      </c>
      <c r="C1789" t="s">
        <v>9</v>
      </c>
      <c r="D1789" t="s">
        <v>10</v>
      </c>
      <c r="E1789">
        <v>6</v>
      </c>
      <c r="F1789" s="1">
        <v>38625</v>
      </c>
      <c r="G1789">
        <v>5.1794673504983499E-2</v>
      </c>
    </row>
    <row r="1790" spans="1:7" x14ac:dyDescent="0.25">
      <c r="A1790" t="s">
        <v>7</v>
      </c>
      <c r="B1790" t="s">
        <v>15</v>
      </c>
      <c r="C1790" t="s">
        <v>9</v>
      </c>
      <c r="D1790" t="s">
        <v>10</v>
      </c>
      <c r="E1790">
        <v>6</v>
      </c>
      <c r="F1790" s="1">
        <v>38656</v>
      </c>
      <c r="G1790">
        <v>4.3316964496418801E-2</v>
      </c>
    </row>
    <row r="1791" spans="1:7" x14ac:dyDescent="0.25">
      <c r="A1791" t="s">
        <v>7</v>
      </c>
      <c r="B1791" t="s">
        <v>15</v>
      </c>
      <c r="C1791" t="s">
        <v>9</v>
      </c>
      <c r="D1791" t="s">
        <v>10</v>
      </c>
      <c r="E1791">
        <v>6</v>
      </c>
      <c r="F1791" s="1">
        <v>38686</v>
      </c>
      <c r="G1791">
        <v>-5.2244782320299603E-2</v>
      </c>
    </row>
    <row r="1792" spans="1:7" x14ac:dyDescent="0.25">
      <c r="A1792" t="s">
        <v>7</v>
      </c>
      <c r="B1792" t="s">
        <v>15</v>
      </c>
      <c r="C1792" t="s">
        <v>9</v>
      </c>
      <c r="D1792" t="s">
        <v>10</v>
      </c>
      <c r="E1792">
        <v>6</v>
      </c>
      <c r="F1792" s="1">
        <v>38717</v>
      </c>
      <c r="G1792">
        <v>1.79292489004594E-2</v>
      </c>
    </row>
    <row r="1793" spans="1:7" x14ac:dyDescent="0.25">
      <c r="A1793" t="s">
        <v>7</v>
      </c>
      <c r="B1793" t="s">
        <v>15</v>
      </c>
      <c r="C1793" t="s">
        <v>9</v>
      </c>
      <c r="D1793" t="s">
        <v>10</v>
      </c>
      <c r="E1793">
        <v>6</v>
      </c>
      <c r="F1793" s="1">
        <v>38748</v>
      </c>
      <c r="G1793">
        <v>2.88047545786893E-2</v>
      </c>
    </row>
    <row r="1794" spans="1:7" x14ac:dyDescent="0.25">
      <c r="A1794" t="s">
        <v>7</v>
      </c>
      <c r="B1794" t="s">
        <v>15</v>
      </c>
      <c r="C1794" t="s">
        <v>9</v>
      </c>
      <c r="D1794" t="s">
        <v>10</v>
      </c>
      <c r="E1794">
        <v>6</v>
      </c>
      <c r="F1794" s="1">
        <v>38776</v>
      </c>
      <c r="G1794">
        <v>-4.3927932091392299E-2</v>
      </c>
    </row>
    <row r="1795" spans="1:7" x14ac:dyDescent="0.25">
      <c r="A1795" t="s">
        <v>7</v>
      </c>
      <c r="B1795" t="s">
        <v>15</v>
      </c>
      <c r="C1795" t="s">
        <v>9</v>
      </c>
      <c r="D1795" t="s">
        <v>10</v>
      </c>
      <c r="E1795">
        <v>6</v>
      </c>
      <c r="F1795" s="1">
        <v>38807</v>
      </c>
      <c r="G1795">
        <v>8.8791786471909308E-3</v>
      </c>
    </row>
    <row r="1796" spans="1:7" x14ac:dyDescent="0.25">
      <c r="A1796" t="s">
        <v>7</v>
      </c>
      <c r="B1796" t="s">
        <v>15</v>
      </c>
      <c r="C1796" t="s">
        <v>9</v>
      </c>
      <c r="D1796" t="s">
        <v>10</v>
      </c>
      <c r="E1796">
        <v>6</v>
      </c>
      <c r="F1796" s="1">
        <v>38837</v>
      </c>
      <c r="G1796">
        <v>4.5013887596083997E-2</v>
      </c>
    </row>
    <row r="1797" spans="1:7" x14ac:dyDescent="0.25">
      <c r="A1797" t="s">
        <v>7</v>
      </c>
      <c r="B1797" t="s">
        <v>15</v>
      </c>
      <c r="C1797" t="s">
        <v>9</v>
      </c>
      <c r="D1797" t="s">
        <v>10</v>
      </c>
      <c r="E1797">
        <v>6</v>
      </c>
      <c r="F1797" s="1">
        <v>38868</v>
      </c>
      <c r="G1797">
        <v>-4.2534821940214303E-2</v>
      </c>
    </row>
    <row r="1798" spans="1:7" x14ac:dyDescent="0.25">
      <c r="A1798" t="s">
        <v>7</v>
      </c>
      <c r="B1798" t="s">
        <v>15</v>
      </c>
      <c r="C1798" t="s">
        <v>9</v>
      </c>
      <c r="D1798" t="s">
        <v>10</v>
      </c>
      <c r="E1798">
        <v>6</v>
      </c>
      <c r="F1798" s="1">
        <v>38898</v>
      </c>
      <c r="G1798">
        <v>-3.6380515928641902E-2</v>
      </c>
    </row>
    <row r="1799" spans="1:7" x14ac:dyDescent="0.25">
      <c r="A1799" t="s">
        <v>7</v>
      </c>
      <c r="B1799" t="s">
        <v>15</v>
      </c>
      <c r="C1799" t="s">
        <v>9</v>
      </c>
      <c r="D1799" t="s">
        <v>10</v>
      </c>
      <c r="E1799">
        <v>6</v>
      </c>
      <c r="F1799" s="1">
        <v>38929</v>
      </c>
      <c r="G1799">
        <v>6.3197364630236796E-3</v>
      </c>
    </row>
    <row r="1800" spans="1:7" x14ac:dyDescent="0.25">
      <c r="A1800" t="s">
        <v>7</v>
      </c>
      <c r="B1800" t="s">
        <v>15</v>
      </c>
      <c r="C1800" t="s">
        <v>9</v>
      </c>
      <c r="D1800" t="s">
        <v>10</v>
      </c>
      <c r="E1800">
        <v>6</v>
      </c>
      <c r="F1800" s="1">
        <v>38960</v>
      </c>
      <c r="G1800">
        <v>-2.01828376531113E-2</v>
      </c>
    </row>
    <row r="1801" spans="1:7" x14ac:dyDescent="0.25">
      <c r="A1801" t="s">
        <v>7</v>
      </c>
      <c r="B1801" t="s">
        <v>15</v>
      </c>
      <c r="C1801" t="s">
        <v>9</v>
      </c>
      <c r="D1801" t="s">
        <v>10</v>
      </c>
      <c r="E1801">
        <v>6</v>
      </c>
      <c r="F1801" s="1">
        <v>38990</v>
      </c>
      <c r="G1801">
        <v>-7.9406640881644099E-3</v>
      </c>
    </row>
    <row r="1802" spans="1:7" x14ac:dyDescent="0.25">
      <c r="A1802" t="s">
        <v>7</v>
      </c>
      <c r="B1802" t="s">
        <v>15</v>
      </c>
      <c r="C1802" t="s">
        <v>9</v>
      </c>
      <c r="D1802" t="s">
        <v>10</v>
      </c>
      <c r="E1802">
        <v>6</v>
      </c>
      <c r="F1802" s="1">
        <v>39021</v>
      </c>
      <c r="G1802">
        <v>-2.2725568676934101E-2</v>
      </c>
    </row>
    <row r="1803" spans="1:7" x14ac:dyDescent="0.25">
      <c r="A1803" t="s">
        <v>7</v>
      </c>
      <c r="B1803" t="s">
        <v>15</v>
      </c>
      <c r="C1803" t="s">
        <v>9</v>
      </c>
      <c r="D1803" t="s">
        <v>10</v>
      </c>
      <c r="E1803">
        <v>6</v>
      </c>
      <c r="F1803" s="1">
        <v>39051</v>
      </c>
      <c r="G1803">
        <v>-5.4548590715742903E-2</v>
      </c>
    </row>
    <row r="1804" spans="1:7" x14ac:dyDescent="0.25">
      <c r="A1804" t="s">
        <v>7</v>
      </c>
      <c r="B1804" t="s">
        <v>15</v>
      </c>
      <c r="C1804" t="s">
        <v>9</v>
      </c>
      <c r="D1804" t="s">
        <v>10</v>
      </c>
      <c r="E1804">
        <v>6</v>
      </c>
      <c r="F1804" s="1">
        <v>39082</v>
      </c>
      <c r="G1804">
        <v>1.26572391927053E-3</v>
      </c>
    </row>
    <row r="1805" spans="1:7" x14ac:dyDescent="0.25">
      <c r="A1805" t="s">
        <v>7</v>
      </c>
      <c r="B1805" t="s">
        <v>15</v>
      </c>
      <c r="C1805" t="s">
        <v>9</v>
      </c>
      <c r="D1805" t="s">
        <v>10</v>
      </c>
      <c r="E1805">
        <v>6</v>
      </c>
      <c r="F1805" s="1">
        <v>39113</v>
      </c>
      <c r="G1805">
        <v>2.91991799147596E-2</v>
      </c>
    </row>
    <row r="1806" spans="1:7" x14ac:dyDescent="0.25">
      <c r="A1806" t="s">
        <v>7</v>
      </c>
      <c r="B1806" t="s">
        <v>15</v>
      </c>
      <c r="C1806" t="s">
        <v>9</v>
      </c>
      <c r="D1806" t="s">
        <v>10</v>
      </c>
      <c r="E1806">
        <v>6</v>
      </c>
      <c r="F1806" s="1">
        <v>39141</v>
      </c>
      <c r="G1806">
        <v>-2.0025980058723601E-2</v>
      </c>
    </row>
    <row r="1807" spans="1:7" x14ac:dyDescent="0.25">
      <c r="A1807" t="s">
        <v>7</v>
      </c>
      <c r="B1807" t="s">
        <v>15</v>
      </c>
      <c r="C1807" t="s">
        <v>9</v>
      </c>
      <c r="D1807" t="s">
        <v>10</v>
      </c>
      <c r="E1807">
        <v>6</v>
      </c>
      <c r="F1807" s="1">
        <v>39172</v>
      </c>
      <c r="G1807">
        <v>-1.0784149048268601E-2</v>
      </c>
    </row>
    <row r="1808" spans="1:7" x14ac:dyDescent="0.25">
      <c r="A1808" t="s">
        <v>7</v>
      </c>
      <c r="B1808" t="s">
        <v>15</v>
      </c>
      <c r="C1808" t="s">
        <v>9</v>
      </c>
      <c r="D1808" t="s">
        <v>10</v>
      </c>
      <c r="E1808">
        <v>6</v>
      </c>
      <c r="F1808" s="1">
        <v>39202</v>
      </c>
      <c r="G1808">
        <v>-9.5955466245481007E-3</v>
      </c>
    </row>
    <row r="1809" spans="1:7" x14ac:dyDescent="0.25">
      <c r="A1809" t="s">
        <v>7</v>
      </c>
      <c r="B1809" t="s">
        <v>15</v>
      </c>
      <c r="C1809" t="s">
        <v>9</v>
      </c>
      <c r="D1809" t="s">
        <v>10</v>
      </c>
      <c r="E1809">
        <v>6</v>
      </c>
      <c r="F1809" s="1">
        <v>39233</v>
      </c>
      <c r="G1809">
        <v>-1.23079068032823E-2</v>
      </c>
    </row>
    <row r="1810" spans="1:7" x14ac:dyDescent="0.25">
      <c r="A1810" t="s">
        <v>7</v>
      </c>
      <c r="B1810" t="s">
        <v>15</v>
      </c>
      <c r="C1810" t="s">
        <v>9</v>
      </c>
      <c r="D1810" t="s">
        <v>10</v>
      </c>
      <c r="E1810">
        <v>6</v>
      </c>
      <c r="F1810" s="1">
        <v>39263</v>
      </c>
      <c r="G1810">
        <v>4.7677620833910798E-2</v>
      </c>
    </row>
    <row r="1811" spans="1:7" x14ac:dyDescent="0.25">
      <c r="A1811" t="s">
        <v>7</v>
      </c>
      <c r="B1811" t="s">
        <v>15</v>
      </c>
      <c r="C1811" t="s">
        <v>9</v>
      </c>
      <c r="D1811" t="s">
        <v>10</v>
      </c>
      <c r="E1811">
        <v>6</v>
      </c>
      <c r="F1811" s="1">
        <v>39294</v>
      </c>
      <c r="G1811">
        <v>2.1790361260576398E-2</v>
      </c>
    </row>
    <row r="1812" spans="1:7" x14ac:dyDescent="0.25">
      <c r="A1812" t="s">
        <v>7</v>
      </c>
      <c r="B1812" t="s">
        <v>15</v>
      </c>
      <c r="C1812" t="s">
        <v>9</v>
      </c>
      <c r="D1812" t="s">
        <v>10</v>
      </c>
      <c r="E1812">
        <v>6</v>
      </c>
      <c r="F1812" s="1">
        <v>39325</v>
      </c>
      <c r="G1812">
        <v>1.33339572646098E-2</v>
      </c>
    </row>
    <row r="1813" spans="1:7" x14ac:dyDescent="0.25">
      <c r="A1813" t="s">
        <v>7</v>
      </c>
      <c r="B1813" t="s">
        <v>15</v>
      </c>
      <c r="C1813" t="s">
        <v>9</v>
      </c>
      <c r="D1813" t="s">
        <v>10</v>
      </c>
      <c r="E1813">
        <v>6</v>
      </c>
      <c r="F1813" s="1">
        <v>39355</v>
      </c>
      <c r="G1813">
        <v>2.4086006462879998E-2</v>
      </c>
    </row>
    <row r="1814" spans="1:7" x14ac:dyDescent="0.25">
      <c r="A1814" t="s">
        <v>7</v>
      </c>
      <c r="B1814" t="s">
        <v>15</v>
      </c>
      <c r="C1814" t="s">
        <v>9</v>
      </c>
      <c r="D1814" t="s">
        <v>10</v>
      </c>
      <c r="E1814">
        <v>6</v>
      </c>
      <c r="F1814" s="1">
        <v>39386</v>
      </c>
      <c r="G1814">
        <v>7.2050937913493596E-2</v>
      </c>
    </row>
    <row r="1815" spans="1:7" x14ac:dyDescent="0.25">
      <c r="A1815" t="s">
        <v>7</v>
      </c>
      <c r="B1815" t="s">
        <v>15</v>
      </c>
      <c r="C1815" t="s">
        <v>9</v>
      </c>
      <c r="D1815" t="s">
        <v>10</v>
      </c>
      <c r="E1815">
        <v>6</v>
      </c>
      <c r="F1815" s="1">
        <v>39416</v>
      </c>
      <c r="G1815">
        <v>5.42903252002854E-2</v>
      </c>
    </row>
    <row r="1816" spans="1:7" x14ac:dyDescent="0.25">
      <c r="A1816" t="s">
        <v>7</v>
      </c>
      <c r="B1816" t="s">
        <v>15</v>
      </c>
      <c r="C1816" t="s">
        <v>9</v>
      </c>
      <c r="D1816" t="s">
        <v>10</v>
      </c>
      <c r="E1816">
        <v>8</v>
      </c>
      <c r="F1816" s="1">
        <v>39447</v>
      </c>
      <c r="G1816">
        <v>4.35339258746993E-2</v>
      </c>
    </row>
    <row r="1817" spans="1:7" x14ac:dyDescent="0.25">
      <c r="A1817" t="s">
        <v>7</v>
      </c>
      <c r="B1817" t="s">
        <v>15</v>
      </c>
      <c r="C1817" t="s">
        <v>9</v>
      </c>
      <c r="D1817" t="s">
        <v>10</v>
      </c>
      <c r="E1817">
        <v>8</v>
      </c>
      <c r="F1817" s="1">
        <v>39478</v>
      </c>
      <c r="G1817">
        <v>5.4896027034462801E-4</v>
      </c>
    </row>
    <row r="1818" spans="1:7" x14ac:dyDescent="0.25">
      <c r="A1818" t="s">
        <v>7</v>
      </c>
      <c r="B1818" t="s">
        <v>15</v>
      </c>
      <c r="C1818" t="s">
        <v>9</v>
      </c>
      <c r="D1818" t="s">
        <v>10</v>
      </c>
      <c r="E1818">
        <v>8</v>
      </c>
      <c r="F1818" s="1">
        <v>39507</v>
      </c>
      <c r="G1818">
        <v>-9.6917194751774197E-3</v>
      </c>
    </row>
    <row r="1819" spans="1:7" x14ac:dyDescent="0.25">
      <c r="A1819" t="s">
        <v>7</v>
      </c>
      <c r="B1819" t="s">
        <v>15</v>
      </c>
      <c r="C1819" t="s">
        <v>9</v>
      </c>
      <c r="D1819" t="s">
        <v>10</v>
      </c>
      <c r="E1819">
        <v>8</v>
      </c>
      <c r="F1819" s="1">
        <v>39538</v>
      </c>
      <c r="G1819">
        <v>7.2495925115210096E-3</v>
      </c>
    </row>
    <row r="1820" spans="1:7" x14ac:dyDescent="0.25">
      <c r="A1820" t="s">
        <v>7</v>
      </c>
      <c r="B1820" t="s">
        <v>15</v>
      </c>
      <c r="C1820" t="s">
        <v>9</v>
      </c>
      <c r="D1820" t="s">
        <v>10</v>
      </c>
      <c r="E1820">
        <v>8</v>
      </c>
      <c r="F1820" s="1">
        <v>39568</v>
      </c>
      <c r="G1820">
        <v>4.8477002791430898E-2</v>
      </c>
    </row>
    <row r="1821" spans="1:7" x14ac:dyDescent="0.25">
      <c r="A1821" t="s">
        <v>7</v>
      </c>
      <c r="B1821" t="s">
        <v>15</v>
      </c>
      <c r="C1821" t="s">
        <v>9</v>
      </c>
      <c r="D1821" t="s">
        <v>10</v>
      </c>
      <c r="E1821">
        <v>8</v>
      </c>
      <c r="F1821" s="1">
        <v>39599</v>
      </c>
      <c r="G1821">
        <v>-3.5924562546334603E-2</v>
      </c>
    </row>
    <row r="1822" spans="1:7" x14ac:dyDescent="0.25">
      <c r="A1822" t="s">
        <v>7</v>
      </c>
      <c r="B1822" t="s">
        <v>15</v>
      </c>
      <c r="C1822" t="s">
        <v>9</v>
      </c>
      <c r="D1822" t="s">
        <v>10</v>
      </c>
      <c r="E1822">
        <v>8</v>
      </c>
      <c r="F1822" s="1">
        <v>39629</v>
      </c>
      <c r="G1822">
        <v>3.1613355660439303E-2</v>
      </c>
    </row>
    <row r="1823" spans="1:7" x14ac:dyDescent="0.25">
      <c r="A1823" t="s">
        <v>7</v>
      </c>
      <c r="B1823" t="s">
        <v>15</v>
      </c>
      <c r="C1823" t="s">
        <v>9</v>
      </c>
      <c r="D1823" t="s">
        <v>10</v>
      </c>
      <c r="E1823">
        <v>8</v>
      </c>
      <c r="F1823" s="1">
        <v>39660</v>
      </c>
      <c r="G1823">
        <v>-1.3282258305504301E-2</v>
      </c>
    </row>
    <row r="1824" spans="1:7" x14ac:dyDescent="0.25">
      <c r="A1824" t="s">
        <v>7</v>
      </c>
      <c r="B1824" t="s">
        <v>15</v>
      </c>
      <c r="C1824" t="s">
        <v>9</v>
      </c>
      <c r="D1824" t="s">
        <v>10</v>
      </c>
      <c r="E1824">
        <v>8</v>
      </c>
      <c r="F1824" s="1">
        <v>39691</v>
      </c>
      <c r="G1824">
        <v>-1.71369373192987E-2</v>
      </c>
    </row>
    <row r="1825" spans="1:7" x14ac:dyDescent="0.25">
      <c r="A1825" t="s">
        <v>7</v>
      </c>
      <c r="B1825" t="s">
        <v>15</v>
      </c>
      <c r="C1825" t="s">
        <v>9</v>
      </c>
      <c r="D1825" t="s">
        <v>10</v>
      </c>
      <c r="E1825">
        <v>8</v>
      </c>
      <c r="F1825" s="1">
        <v>39721</v>
      </c>
      <c r="G1825">
        <v>4.20205813387192E-2</v>
      </c>
    </row>
    <row r="1826" spans="1:7" x14ac:dyDescent="0.25">
      <c r="A1826" t="s">
        <v>7</v>
      </c>
      <c r="B1826" t="s">
        <v>15</v>
      </c>
      <c r="C1826" t="s">
        <v>9</v>
      </c>
      <c r="D1826" t="s">
        <v>10</v>
      </c>
      <c r="E1826">
        <v>8</v>
      </c>
      <c r="F1826" s="1">
        <v>39752</v>
      </c>
      <c r="G1826">
        <v>7.7835652194148397E-2</v>
      </c>
    </row>
    <row r="1827" spans="1:7" x14ac:dyDescent="0.25">
      <c r="A1827" t="s">
        <v>7</v>
      </c>
      <c r="B1827" t="s">
        <v>15</v>
      </c>
      <c r="C1827" t="s">
        <v>9</v>
      </c>
      <c r="D1827" t="s">
        <v>10</v>
      </c>
      <c r="E1827">
        <v>8</v>
      </c>
      <c r="F1827" s="1">
        <v>39782</v>
      </c>
      <c r="G1827">
        <v>0.118334780845603</v>
      </c>
    </row>
    <row r="1828" spans="1:7" x14ac:dyDescent="0.25">
      <c r="A1828" t="s">
        <v>7</v>
      </c>
      <c r="B1828" t="s">
        <v>15</v>
      </c>
      <c r="C1828" t="s">
        <v>9</v>
      </c>
      <c r="D1828" t="s">
        <v>10</v>
      </c>
      <c r="E1828">
        <v>8</v>
      </c>
      <c r="F1828" s="1">
        <v>39813</v>
      </c>
      <c r="G1828">
        <v>-9.3680957205918097E-2</v>
      </c>
    </row>
    <row r="1829" spans="1:7" x14ac:dyDescent="0.25">
      <c r="A1829" t="s">
        <v>7</v>
      </c>
      <c r="B1829" t="s">
        <v>15</v>
      </c>
      <c r="C1829" t="s">
        <v>9</v>
      </c>
      <c r="D1829" t="s">
        <v>10</v>
      </c>
      <c r="E1829">
        <v>8</v>
      </c>
      <c r="F1829" s="1">
        <v>39844</v>
      </c>
      <c r="G1829">
        <v>-4.3251058925284698E-2</v>
      </c>
    </row>
    <row r="1830" spans="1:7" x14ac:dyDescent="0.25">
      <c r="A1830" t="s">
        <v>7</v>
      </c>
      <c r="B1830" t="s">
        <v>15</v>
      </c>
      <c r="C1830" t="s">
        <v>9</v>
      </c>
      <c r="D1830" t="s">
        <v>10</v>
      </c>
      <c r="E1830">
        <v>8</v>
      </c>
      <c r="F1830" s="1">
        <v>39872</v>
      </c>
      <c r="G1830">
        <v>9.4790489290547994E-2</v>
      </c>
    </row>
    <row r="1831" spans="1:7" x14ac:dyDescent="0.25">
      <c r="A1831" t="s">
        <v>7</v>
      </c>
      <c r="B1831" t="s">
        <v>15</v>
      </c>
      <c r="C1831" t="s">
        <v>9</v>
      </c>
      <c r="D1831" t="s">
        <v>10</v>
      </c>
      <c r="E1831">
        <v>8</v>
      </c>
      <c r="F1831" s="1">
        <v>39903</v>
      </c>
      <c r="G1831">
        <v>-2.9886287261517899E-2</v>
      </c>
    </row>
    <row r="1832" spans="1:7" x14ac:dyDescent="0.25">
      <c r="A1832" t="s">
        <v>7</v>
      </c>
      <c r="B1832" t="s">
        <v>15</v>
      </c>
      <c r="C1832" t="s">
        <v>9</v>
      </c>
      <c r="D1832" t="s">
        <v>10</v>
      </c>
      <c r="E1832">
        <v>8</v>
      </c>
      <c r="F1832" s="1">
        <v>39933</v>
      </c>
      <c r="G1832">
        <v>-0.212754278424819</v>
      </c>
    </row>
    <row r="1833" spans="1:7" x14ac:dyDescent="0.25">
      <c r="A1833" t="s">
        <v>7</v>
      </c>
      <c r="B1833" t="s">
        <v>15</v>
      </c>
      <c r="C1833" t="s">
        <v>9</v>
      </c>
      <c r="D1833" t="s">
        <v>10</v>
      </c>
      <c r="E1833">
        <v>8</v>
      </c>
      <c r="F1833" s="1">
        <v>39964</v>
      </c>
      <c r="G1833">
        <v>-8.7309445365830504E-2</v>
      </c>
    </row>
    <row r="1834" spans="1:7" x14ac:dyDescent="0.25">
      <c r="A1834" t="s">
        <v>7</v>
      </c>
      <c r="B1834" t="s">
        <v>15</v>
      </c>
      <c r="C1834" t="s">
        <v>9</v>
      </c>
      <c r="D1834" t="s">
        <v>10</v>
      </c>
      <c r="E1834">
        <v>8</v>
      </c>
      <c r="F1834" s="1">
        <v>39994</v>
      </c>
      <c r="G1834">
        <v>1.21390598580187E-2</v>
      </c>
    </row>
    <row r="1835" spans="1:7" x14ac:dyDescent="0.25">
      <c r="A1835" t="s">
        <v>7</v>
      </c>
      <c r="B1835" t="s">
        <v>15</v>
      </c>
      <c r="C1835" t="s">
        <v>9</v>
      </c>
      <c r="D1835" t="s">
        <v>10</v>
      </c>
      <c r="E1835">
        <v>8</v>
      </c>
      <c r="F1835" s="1">
        <v>40025</v>
      </c>
      <c r="G1835">
        <v>1.1186701649805E-2</v>
      </c>
    </row>
    <row r="1836" spans="1:7" x14ac:dyDescent="0.25">
      <c r="A1836" t="s">
        <v>7</v>
      </c>
      <c r="B1836" t="s">
        <v>15</v>
      </c>
      <c r="C1836" t="s">
        <v>9</v>
      </c>
      <c r="D1836" t="s">
        <v>10</v>
      </c>
      <c r="E1836">
        <v>8</v>
      </c>
      <c r="F1836" s="1">
        <v>40056</v>
      </c>
      <c r="G1836">
        <v>-2.10556855418596E-2</v>
      </c>
    </row>
    <row r="1837" spans="1:7" x14ac:dyDescent="0.25">
      <c r="A1837" t="s">
        <v>7</v>
      </c>
      <c r="B1837" t="s">
        <v>15</v>
      </c>
      <c r="C1837" t="s">
        <v>9</v>
      </c>
      <c r="D1837" t="s">
        <v>10</v>
      </c>
      <c r="E1837">
        <v>8</v>
      </c>
      <c r="F1837" s="1">
        <v>40086</v>
      </c>
      <c r="G1837">
        <v>2.71320435469816E-2</v>
      </c>
    </row>
    <row r="1838" spans="1:7" x14ac:dyDescent="0.25">
      <c r="A1838" t="s">
        <v>7</v>
      </c>
      <c r="B1838" t="s">
        <v>15</v>
      </c>
      <c r="C1838" t="s">
        <v>9</v>
      </c>
      <c r="D1838" t="s">
        <v>10</v>
      </c>
      <c r="E1838">
        <v>8</v>
      </c>
      <c r="F1838" s="1">
        <v>40117</v>
      </c>
      <c r="G1838">
        <v>2.9925920407348301E-3</v>
      </c>
    </row>
    <row r="1839" spans="1:7" x14ac:dyDescent="0.25">
      <c r="A1839" t="s">
        <v>7</v>
      </c>
      <c r="B1839" t="s">
        <v>15</v>
      </c>
      <c r="C1839" t="s">
        <v>9</v>
      </c>
      <c r="D1839" t="s">
        <v>10</v>
      </c>
      <c r="E1839">
        <v>8</v>
      </c>
      <c r="F1839" s="1">
        <v>40147</v>
      </c>
      <c r="G1839">
        <v>3.6398213081545998E-2</v>
      </c>
    </row>
    <row r="1840" spans="1:7" x14ac:dyDescent="0.25">
      <c r="A1840" t="s">
        <v>7</v>
      </c>
      <c r="B1840" t="s">
        <v>15</v>
      </c>
      <c r="C1840" t="s">
        <v>9</v>
      </c>
      <c r="D1840" t="s">
        <v>10</v>
      </c>
      <c r="E1840">
        <v>8</v>
      </c>
      <c r="F1840" s="1">
        <v>40178</v>
      </c>
      <c r="G1840">
        <v>-1.3545420073594799E-2</v>
      </c>
    </row>
    <row r="1841" spans="1:7" x14ac:dyDescent="0.25">
      <c r="A1841" t="s">
        <v>7</v>
      </c>
      <c r="B1841" t="s">
        <v>15</v>
      </c>
      <c r="C1841" t="s">
        <v>9</v>
      </c>
      <c r="D1841" t="s">
        <v>10</v>
      </c>
      <c r="E1841">
        <v>8</v>
      </c>
      <c r="F1841" s="1">
        <v>40209</v>
      </c>
      <c r="G1841">
        <v>1.15357535013727E-2</v>
      </c>
    </row>
    <row r="1842" spans="1:7" x14ac:dyDescent="0.25">
      <c r="A1842" t="s">
        <v>7</v>
      </c>
      <c r="B1842" t="s">
        <v>15</v>
      </c>
      <c r="C1842" t="s">
        <v>9</v>
      </c>
      <c r="D1842" t="s">
        <v>10</v>
      </c>
      <c r="E1842">
        <v>8</v>
      </c>
      <c r="F1842" s="1">
        <v>40237</v>
      </c>
      <c r="G1842">
        <v>-7.3241959433168E-4</v>
      </c>
    </row>
    <row r="1843" spans="1:7" x14ac:dyDescent="0.25">
      <c r="A1843" t="s">
        <v>7</v>
      </c>
      <c r="B1843" t="s">
        <v>15</v>
      </c>
      <c r="C1843" t="s">
        <v>9</v>
      </c>
      <c r="D1843" t="s">
        <v>10</v>
      </c>
      <c r="E1843">
        <v>8</v>
      </c>
      <c r="F1843" s="1">
        <v>40268</v>
      </c>
      <c r="G1843">
        <v>-3.7914264439121402E-2</v>
      </c>
    </row>
    <row r="1844" spans="1:7" x14ac:dyDescent="0.25">
      <c r="A1844" t="s">
        <v>7</v>
      </c>
      <c r="B1844" t="s">
        <v>15</v>
      </c>
      <c r="C1844" t="s">
        <v>9</v>
      </c>
      <c r="D1844" t="s">
        <v>10</v>
      </c>
      <c r="E1844">
        <v>8</v>
      </c>
      <c r="F1844" s="1">
        <v>40298</v>
      </c>
      <c r="G1844">
        <v>-8.8561966471818795E-3</v>
      </c>
    </row>
    <row r="1845" spans="1:7" x14ac:dyDescent="0.25">
      <c r="A1845" t="s">
        <v>7</v>
      </c>
      <c r="B1845" t="s">
        <v>15</v>
      </c>
      <c r="C1845" t="s">
        <v>9</v>
      </c>
      <c r="D1845" t="s">
        <v>10</v>
      </c>
      <c r="E1845">
        <v>8</v>
      </c>
      <c r="F1845" s="1">
        <v>40329</v>
      </c>
      <c r="G1845">
        <v>1.2994860166084001E-3</v>
      </c>
    </row>
    <row r="1846" spans="1:7" x14ac:dyDescent="0.25">
      <c r="A1846" t="s">
        <v>7</v>
      </c>
      <c r="B1846" t="s">
        <v>15</v>
      </c>
      <c r="C1846" t="s">
        <v>9</v>
      </c>
      <c r="D1846" t="s">
        <v>10</v>
      </c>
      <c r="E1846">
        <v>8</v>
      </c>
      <c r="F1846" s="1">
        <v>40359</v>
      </c>
      <c r="G1846">
        <v>2.0957764237656301E-2</v>
      </c>
    </row>
    <row r="1847" spans="1:7" x14ac:dyDescent="0.25">
      <c r="A1847" t="s">
        <v>7</v>
      </c>
      <c r="B1847" t="s">
        <v>15</v>
      </c>
      <c r="C1847" t="s">
        <v>9</v>
      </c>
      <c r="D1847" t="s">
        <v>10</v>
      </c>
      <c r="E1847">
        <v>8</v>
      </c>
      <c r="F1847" s="1">
        <v>40390</v>
      </c>
      <c r="G1847">
        <v>-1.8555911119034301E-2</v>
      </c>
    </row>
    <row r="1848" spans="1:7" x14ac:dyDescent="0.25">
      <c r="A1848" t="s">
        <v>7</v>
      </c>
      <c r="B1848" t="s">
        <v>15</v>
      </c>
      <c r="C1848" t="s">
        <v>9</v>
      </c>
      <c r="D1848" t="s">
        <v>10</v>
      </c>
      <c r="E1848">
        <v>8</v>
      </c>
      <c r="F1848" s="1">
        <v>40421</v>
      </c>
      <c r="G1848">
        <v>3.8573705673526297E-2</v>
      </c>
    </row>
    <row r="1849" spans="1:7" x14ac:dyDescent="0.25">
      <c r="A1849" t="s">
        <v>7</v>
      </c>
      <c r="B1849" t="s">
        <v>15</v>
      </c>
      <c r="C1849" t="s">
        <v>9</v>
      </c>
      <c r="D1849" t="s">
        <v>10</v>
      </c>
      <c r="E1849">
        <v>8</v>
      </c>
      <c r="F1849" s="1">
        <v>40451</v>
      </c>
      <c r="G1849">
        <v>9.7795629749622501E-3</v>
      </c>
    </row>
    <row r="1850" spans="1:7" x14ac:dyDescent="0.25">
      <c r="A1850" t="s">
        <v>7</v>
      </c>
      <c r="B1850" t="s">
        <v>15</v>
      </c>
      <c r="C1850" t="s">
        <v>9</v>
      </c>
      <c r="D1850" t="s">
        <v>10</v>
      </c>
      <c r="E1850">
        <v>8</v>
      </c>
      <c r="F1850" s="1">
        <v>40482</v>
      </c>
      <c r="G1850">
        <v>6.4558208924881205E-2</v>
      </c>
    </row>
    <row r="1851" spans="1:7" x14ac:dyDescent="0.25">
      <c r="A1851" t="s">
        <v>7</v>
      </c>
      <c r="B1851" t="s">
        <v>15</v>
      </c>
      <c r="C1851" t="s">
        <v>9</v>
      </c>
      <c r="D1851" t="s">
        <v>10</v>
      </c>
      <c r="E1851">
        <v>8</v>
      </c>
      <c r="F1851" s="1">
        <v>40512</v>
      </c>
      <c r="G1851">
        <v>2.3493164886457599E-2</v>
      </c>
    </row>
    <row r="1852" spans="1:7" x14ac:dyDescent="0.25">
      <c r="A1852" t="s">
        <v>7</v>
      </c>
      <c r="B1852" t="s">
        <v>15</v>
      </c>
      <c r="C1852" t="s">
        <v>9</v>
      </c>
      <c r="D1852" t="s">
        <v>10</v>
      </c>
      <c r="E1852">
        <v>8</v>
      </c>
      <c r="F1852" s="1">
        <v>40543</v>
      </c>
      <c r="G1852">
        <v>-1.0757856982233501E-2</v>
      </c>
    </row>
    <row r="1853" spans="1:7" x14ac:dyDescent="0.25">
      <c r="A1853" t="s">
        <v>7</v>
      </c>
      <c r="B1853" t="s">
        <v>15</v>
      </c>
      <c r="C1853" t="s">
        <v>9</v>
      </c>
      <c r="D1853" t="s">
        <v>10</v>
      </c>
      <c r="E1853">
        <v>8</v>
      </c>
      <c r="F1853" s="1">
        <v>40574</v>
      </c>
      <c r="G1853">
        <v>-2.6762495873095499E-3</v>
      </c>
    </row>
    <row r="1854" spans="1:7" x14ac:dyDescent="0.25">
      <c r="A1854" t="s">
        <v>7</v>
      </c>
      <c r="B1854" t="s">
        <v>15</v>
      </c>
      <c r="C1854" t="s">
        <v>9</v>
      </c>
      <c r="D1854" t="s">
        <v>10</v>
      </c>
      <c r="E1854">
        <v>8</v>
      </c>
      <c r="F1854" s="1">
        <v>40602</v>
      </c>
      <c r="G1854">
        <v>1.3386082501568501E-2</v>
      </c>
    </row>
    <row r="1855" spans="1:7" x14ac:dyDescent="0.25">
      <c r="A1855" t="s">
        <v>7</v>
      </c>
      <c r="B1855" t="s">
        <v>15</v>
      </c>
      <c r="C1855" t="s">
        <v>9</v>
      </c>
      <c r="D1855" t="s">
        <v>10</v>
      </c>
      <c r="E1855">
        <v>8</v>
      </c>
      <c r="F1855" s="1">
        <v>40633</v>
      </c>
      <c r="G1855">
        <v>1.02609950783254E-2</v>
      </c>
    </row>
    <row r="1856" spans="1:7" x14ac:dyDescent="0.25">
      <c r="A1856" t="s">
        <v>7</v>
      </c>
      <c r="B1856" t="s">
        <v>15</v>
      </c>
      <c r="C1856" t="s">
        <v>9</v>
      </c>
      <c r="D1856" t="s">
        <v>10</v>
      </c>
      <c r="E1856">
        <v>8</v>
      </c>
      <c r="F1856" s="1">
        <v>40663</v>
      </c>
      <c r="G1856">
        <v>6.9137942276141897E-3</v>
      </c>
    </row>
    <row r="1857" spans="1:7" x14ac:dyDescent="0.25">
      <c r="A1857" t="s">
        <v>7</v>
      </c>
      <c r="B1857" t="s">
        <v>15</v>
      </c>
      <c r="C1857" t="s">
        <v>9</v>
      </c>
      <c r="D1857" t="s">
        <v>10</v>
      </c>
      <c r="E1857">
        <v>8</v>
      </c>
      <c r="F1857" s="1">
        <v>40694</v>
      </c>
      <c r="G1857">
        <v>2.2248963805406301E-2</v>
      </c>
    </row>
    <row r="1858" spans="1:7" x14ac:dyDescent="0.25">
      <c r="A1858" t="s">
        <v>7</v>
      </c>
      <c r="B1858" t="s">
        <v>15</v>
      </c>
      <c r="C1858" t="s">
        <v>9</v>
      </c>
      <c r="D1858" t="s">
        <v>10</v>
      </c>
      <c r="E1858">
        <v>8</v>
      </c>
      <c r="F1858" s="1">
        <v>40724</v>
      </c>
      <c r="G1858">
        <v>3.0375068365538101E-2</v>
      </c>
    </row>
    <row r="1859" spans="1:7" x14ac:dyDescent="0.25">
      <c r="A1859" t="s">
        <v>7</v>
      </c>
      <c r="B1859" t="s">
        <v>15</v>
      </c>
      <c r="C1859" t="s">
        <v>9</v>
      </c>
      <c r="D1859" t="s">
        <v>10</v>
      </c>
      <c r="E1859">
        <v>8</v>
      </c>
      <c r="F1859" s="1">
        <v>40755</v>
      </c>
      <c r="G1859">
        <v>6.2535982267850995E-2</v>
      </c>
    </row>
    <row r="1860" spans="1:7" x14ac:dyDescent="0.25">
      <c r="A1860" t="s">
        <v>7</v>
      </c>
      <c r="B1860" t="s">
        <v>15</v>
      </c>
      <c r="C1860" t="s">
        <v>9</v>
      </c>
      <c r="D1860" t="s">
        <v>10</v>
      </c>
      <c r="E1860">
        <v>8</v>
      </c>
      <c r="F1860" s="1">
        <v>40786</v>
      </c>
      <c r="G1860">
        <v>1.23682502299874E-2</v>
      </c>
    </row>
    <row r="1861" spans="1:7" x14ac:dyDescent="0.25">
      <c r="A1861" t="s">
        <v>7</v>
      </c>
      <c r="B1861" t="s">
        <v>15</v>
      </c>
      <c r="C1861" t="s">
        <v>9</v>
      </c>
      <c r="D1861" t="s">
        <v>10</v>
      </c>
      <c r="E1861">
        <v>8</v>
      </c>
      <c r="F1861" s="1">
        <v>40816</v>
      </c>
      <c r="G1861">
        <v>6.6966035785044301E-2</v>
      </c>
    </row>
    <row r="1862" spans="1:7" x14ac:dyDescent="0.25">
      <c r="A1862" t="s">
        <v>7</v>
      </c>
      <c r="B1862" t="s">
        <v>15</v>
      </c>
      <c r="C1862" t="s">
        <v>9</v>
      </c>
      <c r="D1862" t="s">
        <v>10</v>
      </c>
      <c r="E1862">
        <v>8</v>
      </c>
      <c r="F1862" s="1">
        <v>40847</v>
      </c>
      <c r="G1862">
        <v>-6.7226648676462497E-2</v>
      </c>
    </row>
    <row r="1863" spans="1:7" x14ac:dyDescent="0.25">
      <c r="A1863" t="s">
        <v>7</v>
      </c>
      <c r="B1863" t="s">
        <v>15</v>
      </c>
      <c r="C1863" t="s">
        <v>9</v>
      </c>
      <c r="D1863" t="s">
        <v>10</v>
      </c>
      <c r="E1863">
        <v>8</v>
      </c>
      <c r="F1863" s="1">
        <v>40877</v>
      </c>
      <c r="G1863">
        <v>4.6393151577450803E-2</v>
      </c>
    </row>
    <row r="1864" spans="1:7" x14ac:dyDescent="0.25">
      <c r="A1864" t="s">
        <v>7</v>
      </c>
      <c r="B1864" t="s">
        <v>15</v>
      </c>
      <c r="C1864" t="s">
        <v>9</v>
      </c>
      <c r="D1864" t="s">
        <v>10</v>
      </c>
      <c r="E1864">
        <v>8</v>
      </c>
      <c r="F1864" s="1">
        <v>40908</v>
      </c>
      <c r="G1864">
        <v>8.8169282029060894E-3</v>
      </c>
    </row>
    <row r="1865" spans="1:7" x14ac:dyDescent="0.25">
      <c r="A1865" t="s">
        <v>7</v>
      </c>
      <c r="B1865" t="s">
        <v>15</v>
      </c>
      <c r="C1865" t="s">
        <v>9</v>
      </c>
      <c r="D1865" t="s">
        <v>10</v>
      </c>
      <c r="E1865">
        <v>8</v>
      </c>
      <c r="F1865" s="1">
        <v>40939</v>
      </c>
      <c r="G1865">
        <v>-5.5839985021990897E-2</v>
      </c>
    </row>
    <row r="1866" spans="1:7" x14ac:dyDescent="0.25">
      <c r="A1866" t="s">
        <v>7</v>
      </c>
      <c r="B1866" t="s">
        <v>15</v>
      </c>
      <c r="C1866" t="s">
        <v>9</v>
      </c>
      <c r="D1866" t="s">
        <v>10</v>
      </c>
      <c r="E1866">
        <v>8</v>
      </c>
      <c r="F1866" s="1">
        <v>40968</v>
      </c>
      <c r="G1866">
        <v>9.1118224624827104E-3</v>
      </c>
    </row>
    <row r="1867" spans="1:7" x14ac:dyDescent="0.25">
      <c r="A1867" t="s">
        <v>7</v>
      </c>
      <c r="B1867" t="s">
        <v>15</v>
      </c>
      <c r="C1867" t="s">
        <v>9</v>
      </c>
      <c r="D1867" t="s">
        <v>10</v>
      </c>
      <c r="E1867">
        <v>8</v>
      </c>
      <c r="F1867" s="1">
        <v>40999</v>
      </c>
      <c r="G1867">
        <v>2.4841859360306199E-2</v>
      </c>
    </row>
    <row r="1868" spans="1:7" x14ac:dyDescent="0.25">
      <c r="A1868" t="s">
        <v>7</v>
      </c>
      <c r="B1868" t="s">
        <v>15</v>
      </c>
      <c r="C1868" t="s">
        <v>9</v>
      </c>
      <c r="D1868" t="s">
        <v>10</v>
      </c>
      <c r="E1868">
        <v>8</v>
      </c>
      <c r="F1868" s="1">
        <v>41029</v>
      </c>
      <c r="G1868">
        <v>2.8193191694495499E-2</v>
      </c>
    </row>
    <row r="1869" spans="1:7" x14ac:dyDescent="0.25">
      <c r="A1869" t="s">
        <v>7</v>
      </c>
      <c r="B1869" t="s">
        <v>15</v>
      </c>
      <c r="C1869" t="s">
        <v>9</v>
      </c>
      <c r="D1869" t="s">
        <v>10</v>
      </c>
      <c r="E1869">
        <v>8</v>
      </c>
      <c r="F1869" s="1">
        <v>41060</v>
      </c>
      <c r="G1869">
        <v>4.0275332804913799E-2</v>
      </c>
    </row>
    <row r="1870" spans="1:7" x14ac:dyDescent="0.25">
      <c r="A1870" t="s">
        <v>7</v>
      </c>
      <c r="B1870" t="s">
        <v>15</v>
      </c>
      <c r="C1870" t="s">
        <v>9</v>
      </c>
      <c r="D1870" t="s">
        <v>10</v>
      </c>
      <c r="E1870">
        <v>8</v>
      </c>
      <c r="F1870" s="1">
        <v>41090</v>
      </c>
      <c r="G1870">
        <v>9.5336889917684797E-2</v>
      </c>
    </row>
    <row r="1871" spans="1:7" x14ac:dyDescent="0.25">
      <c r="A1871" t="s">
        <v>7</v>
      </c>
      <c r="B1871" t="s">
        <v>15</v>
      </c>
      <c r="C1871" t="s">
        <v>9</v>
      </c>
      <c r="D1871" t="s">
        <v>10</v>
      </c>
      <c r="E1871">
        <v>8</v>
      </c>
      <c r="F1871" s="1">
        <v>41121</v>
      </c>
      <c r="G1871">
        <v>2.5383060869250101E-2</v>
      </c>
    </row>
    <row r="1872" spans="1:7" x14ac:dyDescent="0.25">
      <c r="A1872" t="s">
        <v>7</v>
      </c>
      <c r="B1872" t="s">
        <v>15</v>
      </c>
      <c r="C1872" t="s">
        <v>9</v>
      </c>
      <c r="D1872" t="s">
        <v>10</v>
      </c>
      <c r="E1872">
        <v>8</v>
      </c>
      <c r="F1872" s="1">
        <v>41152</v>
      </c>
      <c r="G1872">
        <v>-4.1812107274667602E-2</v>
      </c>
    </row>
    <row r="1873" spans="1:7" x14ac:dyDescent="0.25">
      <c r="A1873" t="s">
        <v>7</v>
      </c>
      <c r="B1873" t="s">
        <v>15</v>
      </c>
      <c r="C1873" t="s">
        <v>9</v>
      </c>
      <c r="D1873" t="s">
        <v>10</v>
      </c>
      <c r="E1873">
        <v>8</v>
      </c>
      <c r="F1873" s="1">
        <v>41182</v>
      </c>
      <c r="G1873">
        <v>-1.3817401937177501E-2</v>
      </c>
    </row>
    <row r="1874" spans="1:7" x14ac:dyDescent="0.25">
      <c r="A1874" t="s">
        <v>7</v>
      </c>
      <c r="B1874" t="s">
        <v>15</v>
      </c>
      <c r="C1874" t="s">
        <v>9</v>
      </c>
      <c r="D1874" t="s">
        <v>10</v>
      </c>
      <c r="E1874">
        <v>8</v>
      </c>
      <c r="F1874" s="1">
        <v>41213</v>
      </c>
      <c r="G1874">
        <v>4.4879957051349402E-2</v>
      </c>
    </row>
    <row r="1875" spans="1:7" x14ac:dyDescent="0.25">
      <c r="A1875" t="s">
        <v>7</v>
      </c>
      <c r="B1875" t="s">
        <v>15</v>
      </c>
      <c r="C1875" t="s">
        <v>9</v>
      </c>
      <c r="D1875" t="s">
        <v>10</v>
      </c>
      <c r="E1875">
        <v>8</v>
      </c>
      <c r="F1875" s="1">
        <v>41243</v>
      </c>
      <c r="G1875">
        <v>2.3239759234809199E-2</v>
      </c>
    </row>
    <row r="1876" spans="1:7" x14ac:dyDescent="0.25">
      <c r="A1876" t="s">
        <v>7</v>
      </c>
      <c r="B1876" t="s">
        <v>15</v>
      </c>
      <c r="C1876" t="s">
        <v>9</v>
      </c>
      <c r="D1876" t="s">
        <v>10</v>
      </c>
      <c r="E1876">
        <v>8</v>
      </c>
      <c r="F1876" s="1">
        <v>41274</v>
      </c>
      <c r="G1876">
        <v>2.64349847380526E-3</v>
      </c>
    </row>
    <row r="1877" spans="1:7" x14ac:dyDescent="0.25">
      <c r="A1877" t="s">
        <v>7</v>
      </c>
      <c r="B1877" t="s">
        <v>15</v>
      </c>
      <c r="C1877" t="s">
        <v>9</v>
      </c>
      <c r="D1877" t="s">
        <v>10</v>
      </c>
      <c r="E1877">
        <v>8</v>
      </c>
      <c r="F1877" s="1">
        <v>41305</v>
      </c>
      <c r="G1877">
        <v>1.23187980650682E-2</v>
      </c>
    </row>
    <row r="1878" spans="1:7" x14ac:dyDescent="0.25">
      <c r="A1878" t="s">
        <v>7</v>
      </c>
      <c r="B1878" t="s">
        <v>15</v>
      </c>
      <c r="C1878" t="s">
        <v>9</v>
      </c>
      <c r="D1878" t="s">
        <v>10</v>
      </c>
      <c r="E1878">
        <v>8</v>
      </c>
      <c r="F1878" s="1">
        <v>41333</v>
      </c>
      <c r="G1878">
        <v>2.0574277740935201E-2</v>
      </c>
    </row>
    <row r="1879" spans="1:7" x14ac:dyDescent="0.25">
      <c r="A1879" t="s">
        <v>7</v>
      </c>
      <c r="B1879" t="s">
        <v>15</v>
      </c>
      <c r="C1879" t="s">
        <v>9</v>
      </c>
      <c r="D1879" t="s">
        <v>10</v>
      </c>
      <c r="E1879">
        <v>8</v>
      </c>
      <c r="F1879" s="1">
        <v>41364</v>
      </c>
      <c r="G1879">
        <v>3.27256380249141E-2</v>
      </c>
    </row>
    <row r="1880" spans="1:7" x14ac:dyDescent="0.25">
      <c r="A1880" t="s">
        <v>7</v>
      </c>
      <c r="B1880" t="s">
        <v>15</v>
      </c>
      <c r="C1880" t="s">
        <v>9</v>
      </c>
      <c r="D1880" t="s">
        <v>10</v>
      </c>
      <c r="E1880">
        <v>8</v>
      </c>
      <c r="F1880" s="1">
        <v>41394</v>
      </c>
      <c r="G1880">
        <v>9.5796214901715405E-3</v>
      </c>
    </row>
    <row r="1881" spans="1:7" x14ac:dyDescent="0.25">
      <c r="A1881" t="s">
        <v>7</v>
      </c>
      <c r="B1881" t="s">
        <v>15</v>
      </c>
      <c r="C1881" t="s">
        <v>9</v>
      </c>
      <c r="D1881" t="s">
        <v>10</v>
      </c>
      <c r="E1881">
        <v>8</v>
      </c>
      <c r="F1881" s="1">
        <v>41425</v>
      </c>
      <c r="G1881">
        <v>2.2088113920983001E-2</v>
      </c>
    </row>
    <row r="1882" spans="1:7" x14ac:dyDescent="0.25">
      <c r="A1882" t="s">
        <v>7</v>
      </c>
      <c r="B1882" t="s">
        <v>15</v>
      </c>
      <c r="C1882" t="s">
        <v>9</v>
      </c>
      <c r="D1882" t="s">
        <v>10</v>
      </c>
      <c r="E1882">
        <v>8</v>
      </c>
      <c r="F1882" s="1">
        <v>41455</v>
      </c>
      <c r="G1882">
        <v>2.8461023541044302E-2</v>
      </c>
    </row>
    <row r="1883" spans="1:7" x14ac:dyDescent="0.25">
      <c r="A1883" t="s">
        <v>7</v>
      </c>
      <c r="B1883" t="s">
        <v>15</v>
      </c>
      <c r="C1883" t="s">
        <v>9</v>
      </c>
      <c r="D1883" t="s">
        <v>10</v>
      </c>
      <c r="E1883">
        <v>8</v>
      </c>
      <c r="F1883" s="1">
        <v>41486</v>
      </c>
      <c r="G1883">
        <v>1.3214281399062401E-2</v>
      </c>
    </row>
    <row r="1884" spans="1:7" x14ac:dyDescent="0.25">
      <c r="A1884" t="s">
        <v>7</v>
      </c>
      <c r="B1884" t="s">
        <v>15</v>
      </c>
      <c r="C1884" t="s">
        <v>9</v>
      </c>
      <c r="D1884" t="s">
        <v>10</v>
      </c>
      <c r="E1884">
        <v>8</v>
      </c>
      <c r="F1884" s="1">
        <v>41517</v>
      </c>
      <c r="G1884">
        <v>4.8767939567076903E-2</v>
      </c>
    </row>
    <row r="1885" spans="1:7" x14ac:dyDescent="0.25">
      <c r="A1885" t="s">
        <v>7</v>
      </c>
      <c r="B1885" t="s">
        <v>15</v>
      </c>
      <c r="C1885" t="s">
        <v>9</v>
      </c>
      <c r="D1885" t="s">
        <v>10</v>
      </c>
      <c r="E1885">
        <v>8</v>
      </c>
      <c r="F1885" s="1">
        <v>41547</v>
      </c>
      <c r="G1885">
        <v>-4.36370681395499E-2</v>
      </c>
    </row>
    <row r="1886" spans="1:7" x14ac:dyDescent="0.25">
      <c r="A1886" t="s">
        <v>7</v>
      </c>
      <c r="B1886" t="s">
        <v>15</v>
      </c>
      <c r="C1886" t="s">
        <v>9</v>
      </c>
      <c r="D1886" t="s">
        <v>10</v>
      </c>
      <c r="E1886">
        <v>8</v>
      </c>
      <c r="F1886" s="1">
        <v>41578</v>
      </c>
      <c r="G1886">
        <v>5.3398155767892003E-2</v>
      </c>
    </row>
    <row r="1887" spans="1:7" x14ac:dyDescent="0.25">
      <c r="A1887" t="s">
        <v>7</v>
      </c>
      <c r="B1887" t="s">
        <v>15</v>
      </c>
      <c r="C1887" t="s">
        <v>9</v>
      </c>
      <c r="D1887" t="s">
        <v>10</v>
      </c>
      <c r="E1887">
        <v>8</v>
      </c>
      <c r="F1887" s="1">
        <v>41608</v>
      </c>
      <c r="G1887">
        <v>1.4011021434978101E-2</v>
      </c>
    </row>
    <row r="1888" spans="1:7" x14ac:dyDescent="0.25">
      <c r="A1888" t="s">
        <v>7</v>
      </c>
      <c r="B1888" t="s">
        <v>15</v>
      </c>
      <c r="C1888" t="s">
        <v>9</v>
      </c>
      <c r="D1888" t="s">
        <v>10</v>
      </c>
      <c r="E1888">
        <v>8</v>
      </c>
      <c r="F1888" s="1">
        <v>41639</v>
      </c>
      <c r="G1888">
        <v>1.1275164310115E-2</v>
      </c>
    </row>
    <row r="1889" spans="1:7" x14ac:dyDescent="0.25">
      <c r="A1889" t="s">
        <v>7</v>
      </c>
      <c r="B1889" t="s">
        <v>15</v>
      </c>
      <c r="C1889" t="s">
        <v>9</v>
      </c>
      <c r="D1889" t="s">
        <v>10</v>
      </c>
      <c r="E1889">
        <v>8</v>
      </c>
      <c r="F1889" s="1">
        <v>41670</v>
      </c>
      <c r="G1889">
        <v>1.11983488763484E-2</v>
      </c>
    </row>
    <row r="1890" spans="1:7" x14ac:dyDescent="0.25">
      <c r="A1890" t="s">
        <v>7</v>
      </c>
      <c r="B1890" t="s">
        <v>15</v>
      </c>
      <c r="C1890" t="s">
        <v>9</v>
      </c>
      <c r="D1890" t="s">
        <v>10</v>
      </c>
      <c r="E1890">
        <v>8</v>
      </c>
      <c r="F1890" s="1">
        <v>41698</v>
      </c>
      <c r="G1890">
        <v>2.0139819706916501E-3</v>
      </c>
    </row>
    <row r="1891" spans="1:7" x14ac:dyDescent="0.25">
      <c r="A1891" t="s">
        <v>7</v>
      </c>
      <c r="B1891" t="s">
        <v>15</v>
      </c>
      <c r="C1891" t="s">
        <v>9</v>
      </c>
      <c r="D1891" t="s">
        <v>10</v>
      </c>
      <c r="E1891">
        <v>8</v>
      </c>
      <c r="F1891" s="1">
        <v>41729</v>
      </c>
      <c r="G1891">
        <v>-3.7973006438445701E-3</v>
      </c>
    </row>
    <row r="1892" spans="1:7" x14ac:dyDescent="0.25">
      <c r="A1892" t="s">
        <v>7</v>
      </c>
      <c r="B1892" t="s">
        <v>15</v>
      </c>
      <c r="C1892" t="s">
        <v>9</v>
      </c>
      <c r="D1892" t="s">
        <v>10</v>
      </c>
      <c r="E1892">
        <v>8</v>
      </c>
      <c r="F1892" s="1">
        <v>41759</v>
      </c>
      <c r="G1892">
        <v>-3.7373652612806398E-3</v>
      </c>
    </row>
    <row r="1893" spans="1:7" x14ac:dyDescent="0.25">
      <c r="A1893" t="s">
        <v>7</v>
      </c>
      <c r="B1893" t="s">
        <v>15</v>
      </c>
      <c r="C1893" t="s">
        <v>9</v>
      </c>
      <c r="D1893" t="s">
        <v>10</v>
      </c>
      <c r="E1893">
        <v>8</v>
      </c>
      <c r="F1893" s="1">
        <v>41790</v>
      </c>
      <c r="G1893">
        <v>1.08225134985587E-2</v>
      </c>
    </row>
    <row r="1894" spans="1:7" x14ac:dyDescent="0.25">
      <c r="A1894" t="s">
        <v>7</v>
      </c>
      <c r="B1894" t="s">
        <v>15</v>
      </c>
      <c r="C1894" t="s">
        <v>9</v>
      </c>
      <c r="D1894" t="s">
        <v>10</v>
      </c>
      <c r="E1894">
        <v>8</v>
      </c>
      <c r="F1894" s="1">
        <v>41820</v>
      </c>
      <c r="G1894">
        <v>4.4640966044069898E-2</v>
      </c>
    </row>
    <row r="1895" spans="1:7" x14ac:dyDescent="0.25">
      <c r="A1895" t="s">
        <v>7</v>
      </c>
      <c r="B1895" t="s">
        <v>15</v>
      </c>
      <c r="C1895" t="s">
        <v>9</v>
      </c>
      <c r="D1895" t="s">
        <v>10</v>
      </c>
      <c r="E1895">
        <v>8</v>
      </c>
      <c r="F1895" s="1">
        <v>41851</v>
      </c>
      <c r="G1895">
        <v>8.8136474783695601E-3</v>
      </c>
    </row>
    <row r="1896" spans="1:7" x14ac:dyDescent="0.25">
      <c r="A1896" t="s">
        <v>7</v>
      </c>
      <c r="B1896" t="s">
        <v>15</v>
      </c>
      <c r="C1896" t="s">
        <v>9</v>
      </c>
      <c r="D1896" t="s">
        <v>10</v>
      </c>
      <c r="E1896">
        <v>8</v>
      </c>
      <c r="F1896" s="1">
        <v>41882</v>
      </c>
      <c r="G1896">
        <v>-1.2640802927146699E-2</v>
      </c>
    </row>
    <row r="1897" spans="1:7" x14ac:dyDescent="0.25">
      <c r="A1897" t="s">
        <v>7</v>
      </c>
      <c r="B1897" t="s">
        <v>15</v>
      </c>
      <c r="C1897" t="s">
        <v>9</v>
      </c>
      <c r="D1897" t="s">
        <v>10</v>
      </c>
      <c r="E1897">
        <v>8</v>
      </c>
      <c r="F1897" s="1">
        <v>41912</v>
      </c>
      <c r="G1897">
        <v>-2.3061362833926999E-2</v>
      </c>
    </row>
    <row r="1898" spans="1:7" x14ac:dyDescent="0.25">
      <c r="A1898" t="s">
        <v>7</v>
      </c>
      <c r="B1898" t="s">
        <v>15</v>
      </c>
      <c r="C1898" t="s">
        <v>9</v>
      </c>
      <c r="D1898" t="s">
        <v>10</v>
      </c>
      <c r="E1898">
        <v>8</v>
      </c>
      <c r="F1898" s="1">
        <v>41943</v>
      </c>
      <c r="G1898">
        <v>3.9408697493472103E-2</v>
      </c>
    </row>
    <row r="1899" spans="1:7" x14ac:dyDescent="0.25">
      <c r="A1899" t="s">
        <v>7</v>
      </c>
      <c r="B1899" t="s">
        <v>15</v>
      </c>
      <c r="C1899" t="s">
        <v>9</v>
      </c>
      <c r="D1899" t="s">
        <v>10</v>
      </c>
      <c r="E1899">
        <v>8</v>
      </c>
      <c r="F1899" s="1">
        <v>41973</v>
      </c>
      <c r="G1899">
        <v>3.6060155815961101E-2</v>
      </c>
    </row>
    <row r="1900" spans="1:7" x14ac:dyDescent="0.25">
      <c r="A1900" t="s">
        <v>7</v>
      </c>
      <c r="B1900" t="s">
        <v>15</v>
      </c>
      <c r="C1900" t="s">
        <v>9</v>
      </c>
      <c r="D1900" t="s">
        <v>10</v>
      </c>
      <c r="E1900">
        <v>8</v>
      </c>
      <c r="F1900" s="1">
        <v>42004</v>
      </c>
      <c r="G1900">
        <v>2.23750789280894E-2</v>
      </c>
    </row>
    <row r="1901" spans="1:7" x14ac:dyDescent="0.25">
      <c r="A1901" t="s">
        <v>7</v>
      </c>
      <c r="B1901" t="s">
        <v>15</v>
      </c>
      <c r="C1901" t="s">
        <v>9</v>
      </c>
      <c r="D1901" t="s">
        <v>10</v>
      </c>
      <c r="E1901">
        <v>8</v>
      </c>
      <c r="F1901" s="1">
        <v>42035</v>
      </c>
      <c r="G1901">
        <v>2.7386274209527699E-2</v>
      </c>
    </row>
    <row r="1902" spans="1:7" x14ac:dyDescent="0.25">
      <c r="A1902" t="s">
        <v>7</v>
      </c>
      <c r="B1902" t="s">
        <v>15</v>
      </c>
      <c r="C1902" t="s">
        <v>9</v>
      </c>
      <c r="D1902" t="s">
        <v>10</v>
      </c>
      <c r="E1902">
        <v>8</v>
      </c>
      <c r="F1902" s="1">
        <v>42063</v>
      </c>
      <c r="G1902">
        <v>-8.1080408683100597E-3</v>
      </c>
    </row>
    <row r="1903" spans="1:7" x14ac:dyDescent="0.25">
      <c r="A1903" t="s">
        <v>7</v>
      </c>
      <c r="B1903" t="s">
        <v>15</v>
      </c>
      <c r="C1903" t="s">
        <v>9</v>
      </c>
      <c r="D1903" t="s">
        <v>10</v>
      </c>
      <c r="E1903">
        <v>8</v>
      </c>
      <c r="F1903" s="1">
        <v>42094</v>
      </c>
      <c r="G1903">
        <v>2.6531268280479001E-2</v>
      </c>
    </row>
    <row r="1904" spans="1:7" x14ac:dyDescent="0.25">
      <c r="A1904" t="s">
        <v>7</v>
      </c>
      <c r="B1904" t="s">
        <v>15</v>
      </c>
      <c r="C1904" t="s">
        <v>9</v>
      </c>
      <c r="D1904" t="s">
        <v>10</v>
      </c>
      <c r="E1904">
        <v>8</v>
      </c>
      <c r="F1904" s="1">
        <v>42124</v>
      </c>
      <c r="G1904">
        <v>-2.9769336987699201E-2</v>
      </c>
    </row>
    <row r="1905" spans="1:7" x14ac:dyDescent="0.25">
      <c r="A1905" t="s">
        <v>7</v>
      </c>
      <c r="B1905" t="s">
        <v>15</v>
      </c>
      <c r="C1905" t="s">
        <v>9</v>
      </c>
      <c r="D1905" t="s">
        <v>10</v>
      </c>
      <c r="E1905">
        <v>8</v>
      </c>
      <c r="F1905" s="1">
        <v>42155</v>
      </c>
      <c r="G1905">
        <v>2.14481369850535E-2</v>
      </c>
    </row>
    <row r="1906" spans="1:7" x14ac:dyDescent="0.25">
      <c r="A1906" t="s">
        <v>7</v>
      </c>
      <c r="B1906" t="s">
        <v>15</v>
      </c>
      <c r="C1906" t="s">
        <v>9</v>
      </c>
      <c r="D1906" t="s">
        <v>10</v>
      </c>
      <c r="E1906">
        <v>8</v>
      </c>
      <c r="F1906" s="1">
        <v>42185</v>
      </c>
      <c r="G1906">
        <v>2.44672562801884E-2</v>
      </c>
    </row>
    <row r="1907" spans="1:7" x14ac:dyDescent="0.25">
      <c r="A1907" t="s">
        <v>7</v>
      </c>
      <c r="B1907" t="s">
        <v>15</v>
      </c>
      <c r="C1907" t="s">
        <v>9</v>
      </c>
      <c r="D1907" t="s">
        <v>10</v>
      </c>
      <c r="E1907">
        <v>8</v>
      </c>
      <c r="F1907" s="1">
        <v>42216</v>
      </c>
      <c r="G1907">
        <v>5.88194592353233E-2</v>
      </c>
    </row>
    <row r="1908" spans="1:7" x14ac:dyDescent="0.25">
      <c r="A1908" t="s">
        <v>7</v>
      </c>
      <c r="B1908" t="s">
        <v>15</v>
      </c>
      <c r="C1908" t="s">
        <v>9</v>
      </c>
      <c r="D1908" t="s">
        <v>10</v>
      </c>
      <c r="E1908">
        <v>8</v>
      </c>
      <c r="F1908" s="1">
        <v>42247</v>
      </c>
      <c r="G1908">
        <v>3.1541367701867502E-2</v>
      </c>
    </row>
    <row r="1909" spans="1:7" x14ac:dyDescent="0.25">
      <c r="A1909" t="s">
        <v>7</v>
      </c>
      <c r="B1909" t="s">
        <v>15</v>
      </c>
      <c r="C1909" t="s">
        <v>9</v>
      </c>
      <c r="D1909" t="s">
        <v>10</v>
      </c>
      <c r="E1909">
        <v>8</v>
      </c>
      <c r="F1909" s="1">
        <v>42277</v>
      </c>
      <c r="G1909">
        <v>5.9198327689891098E-2</v>
      </c>
    </row>
    <row r="1910" spans="1:7" x14ac:dyDescent="0.25">
      <c r="A1910" t="s">
        <v>7</v>
      </c>
      <c r="B1910" t="s">
        <v>15</v>
      </c>
      <c r="C1910" t="s">
        <v>9</v>
      </c>
      <c r="D1910" t="s">
        <v>10</v>
      </c>
      <c r="E1910">
        <v>8</v>
      </c>
      <c r="F1910" s="1">
        <v>42308</v>
      </c>
      <c r="G1910">
        <v>-0.10373037121223599</v>
      </c>
    </row>
    <row r="1911" spans="1:7" x14ac:dyDescent="0.25">
      <c r="A1911" t="s">
        <v>7</v>
      </c>
      <c r="B1911" t="s">
        <v>15</v>
      </c>
      <c r="C1911" t="s">
        <v>9</v>
      </c>
      <c r="D1911" t="s">
        <v>10</v>
      </c>
      <c r="E1911">
        <v>8</v>
      </c>
      <c r="F1911" s="1">
        <v>42338</v>
      </c>
      <c r="G1911">
        <v>-1.19582521962028E-2</v>
      </c>
    </row>
    <row r="1912" spans="1:7" x14ac:dyDescent="0.25">
      <c r="A1912" t="s">
        <v>7</v>
      </c>
      <c r="B1912" t="s">
        <v>15</v>
      </c>
      <c r="C1912" t="s">
        <v>9</v>
      </c>
      <c r="D1912" t="s">
        <v>10</v>
      </c>
      <c r="E1912">
        <v>8</v>
      </c>
      <c r="F1912" s="1">
        <v>42369</v>
      </c>
      <c r="G1912">
        <v>2.05161770542573E-2</v>
      </c>
    </row>
    <row r="1913" spans="1:7" x14ac:dyDescent="0.25">
      <c r="A1913" t="s">
        <v>7</v>
      </c>
      <c r="B1913" t="s">
        <v>15</v>
      </c>
      <c r="C1913" t="s">
        <v>9</v>
      </c>
      <c r="D1913" t="s">
        <v>10</v>
      </c>
      <c r="E1913">
        <v>8</v>
      </c>
      <c r="F1913" s="1">
        <v>42400</v>
      </c>
      <c r="G1913">
        <v>3.3195151083387803E-2</v>
      </c>
    </row>
    <row r="1914" spans="1:7" x14ac:dyDescent="0.25">
      <c r="A1914" t="s">
        <v>7</v>
      </c>
      <c r="B1914" t="s">
        <v>15</v>
      </c>
      <c r="C1914" t="s">
        <v>9</v>
      </c>
      <c r="D1914" t="s">
        <v>10</v>
      </c>
      <c r="E1914">
        <v>8</v>
      </c>
      <c r="F1914" s="1">
        <v>42429</v>
      </c>
      <c r="G1914">
        <v>-1.32872317513727E-2</v>
      </c>
    </row>
    <row r="1915" spans="1:7" x14ac:dyDescent="0.25">
      <c r="A1915" t="s">
        <v>7</v>
      </c>
      <c r="B1915" t="s">
        <v>15</v>
      </c>
      <c r="C1915" t="s">
        <v>9</v>
      </c>
      <c r="D1915" t="s">
        <v>10</v>
      </c>
      <c r="E1915">
        <v>8</v>
      </c>
      <c r="F1915" s="1">
        <v>42460</v>
      </c>
      <c r="G1915">
        <v>-0.11360510644265299</v>
      </c>
    </row>
    <row r="1916" spans="1:7" x14ac:dyDescent="0.25">
      <c r="A1916" t="s">
        <v>7</v>
      </c>
      <c r="B1916" t="s">
        <v>15</v>
      </c>
      <c r="C1916" t="s">
        <v>9</v>
      </c>
      <c r="D1916" t="s">
        <v>10</v>
      </c>
      <c r="E1916">
        <v>8</v>
      </c>
      <c r="F1916" s="1">
        <v>42490</v>
      </c>
      <c r="G1916">
        <v>1.8261999412302499E-2</v>
      </c>
    </row>
    <row r="1917" spans="1:7" x14ac:dyDescent="0.25">
      <c r="A1917" t="s">
        <v>7</v>
      </c>
      <c r="B1917" t="s">
        <v>15</v>
      </c>
      <c r="C1917" t="s">
        <v>9</v>
      </c>
      <c r="D1917" t="s">
        <v>10</v>
      </c>
      <c r="E1917">
        <v>8</v>
      </c>
      <c r="F1917" s="1">
        <v>42521</v>
      </c>
      <c r="G1917">
        <v>-3.8977757978485801E-2</v>
      </c>
    </row>
    <row r="1918" spans="1:7" x14ac:dyDescent="0.25">
      <c r="A1918" t="s">
        <v>7</v>
      </c>
      <c r="B1918" t="s">
        <v>15</v>
      </c>
      <c r="C1918" t="s">
        <v>9</v>
      </c>
      <c r="D1918" t="s">
        <v>10</v>
      </c>
      <c r="E1918">
        <v>8</v>
      </c>
      <c r="F1918" s="1">
        <v>42551</v>
      </c>
      <c r="G1918">
        <v>7.7455954990199596E-2</v>
      </c>
    </row>
    <row r="1919" spans="1:7" x14ac:dyDescent="0.25">
      <c r="A1919" t="s">
        <v>7</v>
      </c>
      <c r="B1919" t="s">
        <v>15</v>
      </c>
      <c r="C1919" t="s">
        <v>9</v>
      </c>
      <c r="D1919" t="s">
        <v>10</v>
      </c>
      <c r="E1919">
        <v>8</v>
      </c>
      <c r="F1919" s="1">
        <v>42582</v>
      </c>
      <c r="G1919">
        <v>-3.1287778549420199E-2</v>
      </c>
    </row>
    <row r="1920" spans="1:7" x14ac:dyDescent="0.25">
      <c r="A1920" t="s">
        <v>7</v>
      </c>
      <c r="B1920" t="s">
        <v>15</v>
      </c>
      <c r="C1920" t="s">
        <v>9</v>
      </c>
      <c r="D1920" t="s">
        <v>10</v>
      </c>
      <c r="E1920">
        <v>8</v>
      </c>
      <c r="F1920" s="1">
        <v>42613</v>
      </c>
      <c r="G1920">
        <v>-5.07850482721088E-2</v>
      </c>
    </row>
    <row r="1921" spans="1:7" x14ac:dyDescent="0.25">
      <c r="A1921" t="s">
        <v>7</v>
      </c>
      <c r="B1921" t="s">
        <v>15</v>
      </c>
      <c r="C1921" t="s">
        <v>9</v>
      </c>
      <c r="D1921" t="s">
        <v>10</v>
      </c>
      <c r="E1921">
        <v>8</v>
      </c>
      <c r="F1921" s="1">
        <v>42643</v>
      </c>
      <c r="G1921">
        <v>1.18787163225095E-3</v>
      </c>
    </row>
    <row r="1922" spans="1:7" x14ac:dyDescent="0.25">
      <c r="A1922" t="s">
        <v>7</v>
      </c>
      <c r="B1922" t="s">
        <v>15</v>
      </c>
      <c r="C1922" t="s">
        <v>9</v>
      </c>
      <c r="D1922" t="s">
        <v>10</v>
      </c>
      <c r="E1922">
        <v>8</v>
      </c>
      <c r="F1922" s="1">
        <v>42674</v>
      </c>
      <c r="G1922">
        <v>2.30362507287265E-2</v>
      </c>
    </row>
    <row r="1923" spans="1:7" x14ac:dyDescent="0.25">
      <c r="A1923" t="s">
        <v>7</v>
      </c>
      <c r="B1923" t="s">
        <v>15</v>
      </c>
      <c r="C1923" t="s">
        <v>9</v>
      </c>
      <c r="D1923" t="s">
        <v>10</v>
      </c>
      <c r="E1923">
        <v>8</v>
      </c>
      <c r="F1923" s="1">
        <v>42704</v>
      </c>
      <c r="G1923">
        <v>-1.2717894173272499E-2</v>
      </c>
    </row>
    <row r="1924" spans="1:7" x14ac:dyDescent="0.25">
      <c r="A1924" t="s">
        <v>7</v>
      </c>
      <c r="B1924" t="s">
        <v>15</v>
      </c>
      <c r="C1924" t="s">
        <v>9</v>
      </c>
      <c r="D1924" t="s">
        <v>10</v>
      </c>
      <c r="E1924">
        <v>8</v>
      </c>
      <c r="F1924" s="1">
        <v>42735</v>
      </c>
      <c r="G1924">
        <v>-2.5542954962380699E-2</v>
      </c>
    </row>
    <row r="1925" spans="1:7" x14ac:dyDescent="0.25">
      <c r="A1925" t="s">
        <v>7</v>
      </c>
      <c r="B1925" t="s">
        <v>15</v>
      </c>
      <c r="C1925" t="s">
        <v>9</v>
      </c>
      <c r="D1925" t="s">
        <v>10</v>
      </c>
      <c r="E1925">
        <v>8</v>
      </c>
      <c r="F1925" s="1">
        <v>42766</v>
      </c>
      <c r="G1925">
        <v>3.8748165229733997E-2</v>
      </c>
    </row>
    <row r="1926" spans="1:7" x14ac:dyDescent="0.25">
      <c r="A1926" t="s">
        <v>7</v>
      </c>
      <c r="B1926" t="s">
        <v>15</v>
      </c>
      <c r="C1926" t="s">
        <v>9</v>
      </c>
      <c r="D1926" t="s">
        <v>10</v>
      </c>
      <c r="E1926">
        <v>8</v>
      </c>
      <c r="F1926" s="1">
        <v>42794</v>
      </c>
      <c r="G1926">
        <v>2.2045204688276299E-2</v>
      </c>
    </row>
    <row r="1927" spans="1:7" x14ac:dyDescent="0.25">
      <c r="A1927" t="s">
        <v>7</v>
      </c>
      <c r="B1927" t="s">
        <v>15</v>
      </c>
      <c r="C1927" t="s">
        <v>9</v>
      </c>
      <c r="D1927" t="s">
        <v>10</v>
      </c>
      <c r="E1927">
        <v>8</v>
      </c>
      <c r="F1927" s="1">
        <v>42825</v>
      </c>
      <c r="G1927">
        <v>-2.32121076602128E-2</v>
      </c>
    </row>
    <row r="1928" spans="1:7" x14ac:dyDescent="0.25">
      <c r="A1928" t="s">
        <v>7</v>
      </c>
      <c r="B1928" t="s">
        <v>15</v>
      </c>
      <c r="C1928" t="s">
        <v>9</v>
      </c>
      <c r="D1928" t="s">
        <v>10</v>
      </c>
      <c r="E1928">
        <v>8</v>
      </c>
      <c r="F1928" s="1">
        <v>42855</v>
      </c>
      <c r="G1928">
        <v>2.9498471958209398E-4</v>
      </c>
    </row>
    <row r="1929" spans="1:7" x14ac:dyDescent="0.25">
      <c r="A1929" t="s">
        <v>7</v>
      </c>
      <c r="B1929" t="s">
        <v>15</v>
      </c>
      <c r="C1929" t="s">
        <v>9</v>
      </c>
      <c r="D1929" t="s">
        <v>10</v>
      </c>
      <c r="E1929">
        <v>8</v>
      </c>
      <c r="F1929" s="1">
        <v>42886</v>
      </c>
      <c r="G1929">
        <v>8.58961012332931E-4</v>
      </c>
    </row>
    <row r="1930" spans="1:7" x14ac:dyDescent="0.25">
      <c r="A1930" t="s">
        <v>7</v>
      </c>
      <c r="B1930" t="s">
        <v>15</v>
      </c>
      <c r="C1930" t="s">
        <v>9</v>
      </c>
      <c r="D1930" t="s">
        <v>10</v>
      </c>
      <c r="E1930">
        <v>8</v>
      </c>
      <c r="F1930" s="1">
        <v>42916</v>
      </c>
      <c r="G1930">
        <v>-2.6180740189057101E-2</v>
      </c>
    </row>
    <row r="1931" spans="1:7" x14ac:dyDescent="0.25">
      <c r="A1931" t="s">
        <v>7</v>
      </c>
      <c r="B1931" t="s">
        <v>15</v>
      </c>
      <c r="C1931" t="s">
        <v>9</v>
      </c>
      <c r="D1931" t="s">
        <v>10</v>
      </c>
      <c r="E1931">
        <v>8</v>
      </c>
      <c r="F1931" s="1">
        <v>42947</v>
      </c>
      <c r="G1931">
        <v>2.2838430929205299E-2</v>
      </c>
    </row>
    <row r="1932" spans="1:7" x14ac:dyDescent="0.25">
      <c r="A1932" t="s">
        <v>7</v>
      </c>
      <c r="B1932" t="s">
        <v>15</v>
      </c>
      <c r="C1932" t="s">
        <v>9</v>
      </c>
      <c r="D1932" t="s">
        <v>10</v>
      </c>
      <c r="E1932">
        <v>8</v>
      </c>
      <c r="F1932" s="1">
        <v>42978</v>
      </c>
      <c r="G1932">
        <v>2.4685373743289898E-2</v>
      </c>
    </row>
    <row r="1933" spans="1:7" x14ac:dyDescent="0.25">
      <c r="A1933" t="s">
        <v>7</v>
      </c>
      <c r="B1933" t="s">
        <v>15</v>
      </c>
      <c r="C1933" t="s">
        <v>9</v>
      </c>
      <c r="D1933" t="s">
        <v>10</v>
      </c>
      <c r="E1933">
        <v>8</v>
      </c>
      <c r="F1933" s="1">
        <v>43008</v>
      </c>
      <c r="G1933">
        <v>1.6924961660407498E-2</v>
      </c>
    </row>
    <row r="1934" spans="1:7" x14ac:dyDescent="0.25">
      <c r="A1934" t="s">
        <v>7</v>
      </c>
      <c r="B1934" t="s">
        <v>15</v>
      </c>
      <c r="C1934" t="s">
        <v>9</v>
      </c>
      <c r="D1934" t="s">
        <v>10</v>
      </c>
      <c r="E1934">
        <v>8</v>
      </c>
      <c r="F1934" s="1">
        <v>43039</v>
      </c>
      <c r="G1934">
        <v>1.9353817633957899E-2</v>
      </c>
    </row>
    <row r="1935" spans="1:7" x14ac:dyDescent="0.25">
      <c r="A1935" t="s">
        <v>7</v>
      </c>
      <c r="B1935" t="s">
        <v>15</v>
      </c>
      <c r="C1935" t="s">
        <v>9</v>
      </c>
      <c r="D1935" t="s">
        <v>10</v>
      </c>
      <c r="E1935">
        <v>8</v>
      </c>
      <c r="F1935" s="1">
        <v>43069</v>
      </c>
      <c r="G1935">
        <v>-1.1562846889102399E-2</v>
      </c>
    </row>
    <row r="1936" spans="1:7" x14ac:dyDescent="0.25">
      <c r="A1936" t="s">
        <v>7</v>
      </c>
      <c r="B1936" t="s">
        <v>15</v>
      </c>
      <c r="C1936" t="s">
        <v>9</v>
      </c>
      <c r="D1936" t="s">
        <v>10</v>
      </c>
      <c r="E1936">
        <v>8</v>
      </c>
      <c r="F1936" s="1">
        <v>43100</v>
      </c>
      <c r="G1936">
        <v>-2.4677117186220802E-4</v>
      </c>
    </row>
    <row r="1937" spans="1:7" x14ac:dyDescent="0.25">
      <c r="A1937" t="s">
        <v>7</v>
      </c>
      <c r="B1937" t="s">
        <v>15</v>
      </c>
      <c r="C1937" t="s">
        <v>9</v>
      </c>
      <c r="D1937" t="s">
        <v>10</v>
      </c>
      <c r="E1937">
        <v>8</v>
      </c>
      <c r="F1937" s="1">
        <v>43131</v>
      </c>
      <c r="G1937">
        <v>-2.2085157335109601E-2</v>
      </c>
    </row>
    <row r="1938" spans="1:7" x14ac:dyDescent="0.25">
      <c r="A1938" t="s">
        <v>7</v>
      </c>
      <c r="B1938" t="s">
        <v>15</v>
      </c>
      <c r="C1938" t="s">
        <v>9</v>
      </c>
      <c r="D1938" t="s">
        <v>10</v>
      </c>
      <c r="E1938">
        <v>8</v>
      </c>
      <c r="F1938" s="1">
        <v>43159</v>
      </c>
      <c r="G1938">
        <v>3.6959672751182802E-2</v>
      </c>
    </row>
    <row r="1939" spans="1:7" x14ac:dyDescent="0.25">
      <c r="A1939" t="s">
        <v>7</v>
      </c>
      <c r="B1939" t="s">
        <v>15</v>
      </c>
      <c r="C1939" t="s">
        <v>9</v>
      </c>
      <c r="D1939" t="s">
        <v>10</v>
      </c>
      <c r="E1939">
        <v>8</v>
      </c>
      <c r="F1939" s="1">
        <v>43190</v>
      </c>
      <c r="G1939">
        <v>5.0364965438403797E-2</v>
      </c>
    </row>
    <row r="1940" spans="1:7" x14ac:dyDescent="0.25">
      <c r="A1940" t="s">
        <v>7</v>
      </c>
      <c r="B1940" t="s">
        <v>15</v>
      </c>
      <c r="C1940" t="s">
        <v>9</v>
      </c>
      <c r="D1940" t="s">
        <v>10</v>
      </c>
      <c r="E1940">
        <v>8</v>
      </c>
      <c r="F1940" s="1">
        <v>43220</v>
      </c>
      <c r="G1940">
        <v>4.97355924194572E-2</v>
      </c>
    </row>
    <row r="1941" spans="1:7" x14ac:dyDescent="0.25">
      <c r="A1941" t="s">
        <v>7</v>
      </c>
      <c r="B1941" t="s">
        <v>15</v>
      </c>
      <c r="C1941" t="s">
        <v>9</v>
      </c>
      <c r="D1941" t="s">
        <v>10</v>
      </c>
      <c r="E1941">
        <v>8</v>
      </c>
      <c r="F1941" s="1">
        <v>43251</v>
      </c>
      <c r="G1941">
        <v>4.7265435889533802E-2</v>
      </c>
    </row>
    <row r="1942" spans="1:7" x14ac:dyDescent="0.25">
      <c r="A1942" t="s">
        <v>7</v>
      </c>
      <c r="B1942" t="s">
        <v>15</v>
      </c>
      <c r="C1942" t="s">
        <v>9</v>
      </c>
      <c r="D1942" t="s">
        <v>10</v>
      </c>
      <c r="E1942">
        <v>8</v>
      </c>
      <c r="F1942" s="1">
        <v>43281</v>
      </c>
      <c r="G1942">
        <v>4.5333031570538099E-2</v>
      </c>
    </row>
    <row r="1943" spans="1:7" x14ac:dyDescent="0.25">
      <c r="A1943" t="s">
        <v>7</v>
      </c>
      <c r="B1943" t="s">
        <v>15</v>
      </c>
      <c r="C1943" t="s">
        <v>9</v>
      </c>
      <c r="D1943" t="s">
        <v>10</v>
      </c>
      <c r="E1943">
        <v>8</v>
      </c>
      <c r="F1943" s="1">
        <v>43312</v>
      </c>
      <c r="G1943">
        <v>-1.54714900932247E-2</v>
      </c>
    </row>
    <row r="1944" spans="1:7" x14ac:dyDescent="0.25">
      <c r="A1944" t="s">
        <v>7</v>
      </c>
      <c r="B1944" t="s">
        <v>15</v>
      </c>
      <c r="C1944" t="s">
        <v>9</v>
      </c>
      <c r="D1944" t="s">
        <v>10</v>
      </c>
      <c r="E1944">
        <v>8</v>
      </c>
      <c r="F1944" s="1">
        <v>43343</v>
      </c>
      <c r="G1944">
        <v>3.9336014281290098E-2</v>
      </c>
    </row>
    <row r="1945" spans="1:7" x14ac:dyDescent="0.25">
      <c r="A1945" t="s">
        <v>7</v>
      </c>
      <c r="B1945" t="s">
        <v>15</v>
      </c>
      <c r="C1945" t="s">
        <v>9</v>
      </c>
      <c r="D1945" t="s">
        <v>10</v>
      </c>
      <c r="E1945">
        <v>8</v>
      </c>
      <c r="F1945" s="1">
        <v>43373</v>
      </c>
      <c r="G1945">
        <v>4.9059442742396799E-2</v>
      </c>
    </row>
    <row r="1946" spans="1:7" x14ac:dyDescent="0.25">
      <c r="A1946" t="s">
        <v>7</v>
      </c>
      <c r="B1946" t="s">
        <v>15</v>
      </c>
      <c r="C1946" t="s">
        <v>9</v>
      </c>
      <c r="D1946" t="s">
        <v>10</v>
      </c>
      <c r="E1946">
        <v>8</v>
      </c>
      <c r="F1946" s="1">
        <v>43404</v>
      </c>
      <c r="G1946">
        <v>-0.121882381420543</v>
      </c>
    </row>
    <row r="1947" spans="1:7" x14ac:dyDescent="0.25">
      <c r="A1947" t="s">
        <v>7</v>
      </c>
      <c r="B1947" t="s">
        <v>15</v>
      </c>
      <c r="C1947" t="s">
        <v>9</v>
      </c>
      <c r="D1947" t="s">
        <v>10</v>
      </c>
      <c r="E1947">
        <v>8</v>
      </c>
      <c r="F1947" s="1">
        <v>43434</v>
      </c>
      <c r="G1947">
        <v>3.3638685775198001E-3</v>
      </c>
    </row>
    <row r="1948" spans="1:7" x14ac:dyDescent="0.25">
      <c r="A1948" t="s">
        <v>7</v>
      </c>
      <c r="B1948" t="s">
        <v>15</v>
      </c>
      <c r="C1948" t="s">
        <v>9</v>
      </c>
      <c r="D1948" t="s">
        <v>10</v>
      </c>
      <c r="E1948">
        <v>8</v>
      </c>
      <c r="F1948" s="1">
        <v>43465</v>
      </c>
      <c r="G1948">
        <v>3.8504597440098799E-2</v>
      </c>
    </row>
    <row r="1949" spans="1:7" x14ac:dyDescent="0.25">
      <c r="A1949" t="s">
        <v>7</v>
      </c>
      <c r="B1949" t="s">
        <v>15</v>
      </c>
      <c r="C1949" t="s">
        <v>9</v>
      </c>
      <c r="D1949" t="s">
        <v>10</v>
      </c>
      <c r="E1949">
        <v>8</v>
      </c>
      <c r="F1949" s="1">
        <v>43496</v>
      </c>
      <c r="G1949">
        <v>-2.1382705686751401E-2</v>
      </c>
    </row>
    <row r="1950" spans="1:7" x14ac:dyDescent="0.25">
      <c r="A1950" t="s">
        <v>7</v>
      </c>
      <c r="B1950" t="s">
        <v>15</v>
      </c>
      <c r="C1950" t="s">
        <v>9</v>
      </c>
      <c r="D1950" t="s">
        <v>10</v>
      </c>
      <c r="E1950">
        <v>8</v>
      </c>
      <c r="F1950" s="1">
        <v>43524</v>
      </c>
      <c r="G1950">
        <v>-5.8665463773497403E-3</v>
      </c>
    </row>
    <row r="1951" spans="1:7" x14ac:dyDescent="0.25">
      <c r="A1951" t="s">
        <v>7</v>
      </c>
      <c r="B1951" t="s">
        <v>15</v>
      </c>
      <c r="C1951" t="s">
        <v>9</v>
      </c>
      <c r="D1951" t="s">
        <v>10</v>
      </c>
      <c r="E1951">
        <v>8</v>
      </c>
      <c r="F1951" s="1">
        <v>43555</v>
      </c>
      <c r="G1951">
        <v>3.3836170057650401E-3</v>
      </c>
    </row>
    <row r="1952" spans="1:7" x14ac:dyDescent="0.25">
      <c r="A1952" t="s">
        <v>7</v>
      </c>
      <c r="B1952" t="s">
        <v>15</v>
      </c>
      <c r="C1952" t="s">
        <v>9</v>
      </c>
      <c r="D1952" t="s">
        <v>10</v>
      </c>
      <c r="E1952">
        <v>8</v>
      </c>
      <c r="F1952" s="1">
        <v>43585</v>
      </c>
      <c r="G1952">
        <v>2.80034146933116E-2</v>
      </c>
    </row>
    <row r="1953" spans="1:7" x14ac:dyDescent="0.25">
      <c r="A1953" t="s">
        <v>7</v>
      </c>
      <c r="B1953" t="s">
        <v>15</v>
      </c>
      <c r="C1953" t="s">
        <v>9</v>
      </c>
      <c r="D1953" t="s">
        <v>10</v>
      </c>
      <c r="E1953">
        <v>8</v>
      </c>
      <c r="F1953" s="1">
        <v>43616</v>
      </c>
      <c r="G1953">
        <v>5.6855359130421002E-2</v>
      </c>
    </row>
    <row r="1954" spans="1:7" x14ac:dyDescent="0.25">
      <c r="A1954" t="s">
        <v>7</v>
      </c>
      <c r="B1954" t="s">
        <v>15</v>
      </c>
      <c r="C1954" t="s">
        <v>9</v>
      </c>
      <c r="D1954" t="s">
        <v>10</v>
      </c>
      <c r="E1954">
        <v>8</v>
      </c>
      <c r="F1954" s="1">
        <v>43646</v>
      </c>
      <c r="G1954">
        <v>-2.3518974936104602E-2</v>
      </c>
    </row>
    <row r="1955" spans="1:7" x14ac:dyDescent="0.25">
      <c r="A1955" t="s">
        <v>7</v>
      </c>
      <c r="B1955" t="s">
        <v>15</v>
      </c>
      <c r="C1955" t="s">
        <v>9</v>
      </c>
      <c r="D1955" t="s">
        <v>10</v>
      </c>
      <c r="E1955">
        <v>8</v>
      </c>
      <c r="F1955" s="1">
        <v>43677</v>
      </c>
      <c r="G1955">
        <v>4.5303493693459401E-2</v>
      </c>
    </row>
    <row r="1956" spans="1:7" x14ac:dyDescent="0.25">
      <c r="A1956" t="s">
        <v>7</v>
      </c>
      <c r="B1956" t="s">
        <v>15</v>
      </c>
      <c r="C1956" t="s">
        <v>9</v>
      </c>
      <c r="D1956" t="s">
        <v>10</v>
      </c>
      <c r="E1956">
        <v>8</v>
      </c>
      <c r="F1956" s="1">
        <v>43708</v>
      </c>
      <c r="G1956">
        <v>5.2730591192430898E-2</v>
      </c>
    </row>
    <row r="1957" spans="1:7" x14ac:dyDescent="0.25">
      <c r="A1957" t="s">
        <v>7</v>
      </c>
      <c r="B1957" t="s">
        <v>15</v>
      </c>
      <c r="C1957" t="s">
        <v>9</v>
      </c>
      <c r="D1957" t="s">
        <v>10</v>
      </c>
      <c r="E1957">
        <v>8</v>
      </c>
      <c r="F1957" s="1">
        <v>43738</v>
      </c>
      <c r="G1957">
        <v>-2.4487788319386701E-2</v>
      </c>
    </row>
    <row r="1958" spans="1:7" x14ac:dyDescent="0.25">
      <c r="A1958" t="s">
        <v>7</v>
      </c>
      <c r="B1958" t="s">
        <v>15</v>
      </c>
      <c r="C1958" t="s">
        <v>9</v>
      </c>
      <c r="D1958" t="s">
        <v>10</v>
      </c>
      <c r="E1958">
        <v>8</v>
      </c>
      <c r="F1958" s="1">
        <v>43769</v>
      </c>
      <c r="G1958">
        <v>2.5603798647349098E-2</v>
      </c>
    </row>
    <row r="1959" spans="1:7" x14ac:dyDescent="0.25">
      <c r="A1959" t="s">
        <v>7</v>
      </c>
      <c r="B1959" t="s">
        <v>15</v>
      </c>
      <c r="C1959" t="s">
        <v>9</v>
      </c>
      <c r="D1959" t="s">
        <v>10</v>
      </c>
      <c r="E1959">
        <v>8</v>
      </c>
      <c r="F1959" s="1">
        <v>43799</v>
      </c>
      <c r="G1959">
        <v>-1.7194388499226498E-2</v>
      </c>
    </row>
    <row r="1960" spans="1:7" x14ac:dyDescent="0.25">
      <c r="A1960" t="s">
        <v>7</v>
      </c>
      <c r="B1960" t="s">
        <v>15</v>
      </c>
      <c r="C1960" t="s">
        <v>9</v>
      </c>
      <c r="D1960" t="s">
        <v>10</v>
      </c>
      <c r="E1960">
        <v>8</v>
      </c>
      <c r="F1960" s="1">
        <v>43830</v>
      </c>
      <c r="G1960">
        <v>-4.8494453250816097E-2</v>
      </c>
    </row>
    <row r="1961" spans="1:7" x14ac:dyDescent="0.25">
      <c r="A1961" t="s">
        <v>7</v>
      </c>
      <c r="B1961" t="s">
        <v>15</v>
      </c>
      <c r="C1961" t="s">
        <v>9</v>
      </c>
      <c r="D1961" t="s">
        <v>10</v>
      </c>
      <c r="E1961">
        <v>8</v>
      </c>
      <c r="F1961" s="1">
        <v>43861</v>
      </c>
      <c r="G1961">
        <v>6.6060766065803897E-2</v>
      </c>
    </row>
    <row r="1962" spans="1:7" x14ac:dyDescent="0.25">
      <c r="A1962" t="s">
        <v>7</v>
      </c>
      <c r="B1962" t="s">
        <v>15</v>
      </c>
      <c r="C1962" t="s">
        <v>9</v>
      </c>
      <c r="D1962" t="s">
        <v>10</v>
      </c>
      <c r="E1962">
        <v>8</v>
      </c>
      <c r="F1962" s="1">
        <v>43890</v>
      </c>
      <c r="G1962">
        <v>3.0817257375077602E-2</v>
      </c>
    </row>
    <row r="1963" spans="1:7" x14ac:dyDescent="0.25">
      <c r="A1963" t="s">
        <v>7</v>
      </c>
      <c r="B1963" t="s">
        <v>15</v>
      </c>
      <c r="C1963" t="s">
        <v>9</v>
      </c>
      <c r="D1963" t="s">
        <v>10</v>
      </c>
      <c r="E1963">
        <v>8</v>
      </c>
      <c r="F1963" s="1">
        <v>43921</v>
      </c>
      <c r="G1963">
        <v>-3.4232298921323401E-2</v>
      </c>
    </row>
    <row r="1964" spans="1:7" x14ac:dyDescent="0.25">
      <c r="A1964" t="s">
        <v>7</v>
      </c>
      <c r="B1964" t="s">
        <v>15</v>
      </c>
      <c r="C1964" t="s">
        <v>9</v>
      </c>
      <c r="D1964" t="s">
        <v>10</v>
      </c>
      <c r="E1964">
        <v>8</v>
      </c>
      <c r="F1964" s="1">
        <v>43951</v>
      </c>
      <c r="G1964">
        <v>5.0910895784613497E-2</v>
      </c>
    </row>
    <row r="1965" spans="1:7" x14ac:dyDescent="0.25">
      <c r="A1965" t="s">
        <v>7</v>
      </c>
      <c r="B1965" t="s">
        <v>15</v>
      </c>
      <c r="C1965" t="s">
        <v>9</v>
      </c>
      <c r="D1965" t="s">
        <v>10</v>
      </c>
      <c r="E1965">
        <v>8</v>
      </c>
      <c r="F1965" s="1">
        <v>43982</v>
      </c>
      <c r="G1965">
        <v>-1.05753314162498E-3</v>
      </c>
    </row>
    <row r="1966" spans="1:7" x14ac:dyDescent="0.25">
      <c r="A1966" t="s">
        <v>7</v>
      </c>
      <c r="B1966" t="s">
        <v>15</v>
      </c>
      <c r="C1966" t="s">
        <v>9</v>
      </c>
      <c r="D1966" t="s">
        <v>10</v>
      </c>
      <c r="E1966">
        <v>8</v>
      </c>
      <c r="F1966" s="1">
        <v>44012</v>
      </c>
      <c r="G1966">
        <v>-1.71736397805636E-4</v>
      </c>
    </row>
    <row r="1967" spans="1:7" x14ac:dyDescent="0.25">
      <c r="A1967" t="s">
        <v>7</v>
      </c>
      <c r="B1967" t="s">
        <v>15</v>
      </c>
      <c r="C1967" t="s">
        <v>9</v>
      </c>
      <c r="D1967" t="s">
        <v>10</v>
      </c>
      <c r="E1967">
        <v>8</v>
      </c>
      <c r="F1967" s="1">
        <v>44043</v>
      </c>
      <c r="G1967">
        <v>9.1972026420474404E-2</v>
      </c>
    </row>
    <row r="1968" spans="1:7" x14ac:dyDescent="0.25">
      <c r="A1968" t="s">
        <v>7</v>
      </c>
      <c r="B1968" t="s">
        <v>15</v>
      </c>
      <c r="C1968" t="s">
        <v>9</v>
      </c>
      <c r="D1968" t="s">
        <v>10</v>
      </c>
      <c r="E1968">
        <v>8</v>
      </c>
      <c r="F1968" s="1">
        <v>44074</v>
      </c>
      <c r="G1968">
        <v>7.7518960601538397E-3</v>
      </c>
    </row>
    <row r="1969" spans="1:7" x14ac:dyDescent="0.25">
      <c r="A1969" t="s">
        <v>7</v>
      </c>
      <c r="B1969" t="s">
        <v>15</v>
      </c>
      <c r="C1969" t="s">
        <v>9</v>
      </c>
      <c r="D1969" t="s">
        <v>10</v>
      </c>
      <c r="E1969">
        <v>8</v>
      </c>
      <c r="F1969" s="1">
        <v>44104</v>
      </c>
      <c r="G1969">
        <v>9.2228446384127992E-3</v>
      </c>
    </row>
    <row r="1970" spans="1:7" x14ac:dyDescent="0.25">
      <c r="A1970" t="s">
        <v>7</v>
      </c>
      <c r="B1970" t="s">
        <v>15</v>
      </c>
      <c r="C1970" t="s">
        <v>9</v>
      </c>
      <c r="D1970" t="s">
        <v>10</v>
      </c>
      <c r="E1970">
        <v>8</v>
      </c>
      <c r="F1970" s="1">
        <v>44135</v>
      </c>
      <c r="G1970">
        <v>4.9377277677650301E-2</v>
      </c>
    </row>
    <row r="1971" spans="1:7" x14ac:dyDescent="0.25">
      <c r="A1971" t="s">
        <v>7</v>
      </c>
      <c r="B1971" t="s">
        <v>15</v>
      </c>
      <c r="C1971" t="s">
        <v>9</v>
      </c>
      <c r="D1971" t="s">
        <v>10</v>
      </c>
      <c r="E1971">
        <v>8</v>
      </c>
      <c r="F1971" s="1">
        <v>44165</v>
      </c>
      <c r="G1971">
        <v>-5.9759455086769303E-2</v>
      </c>
    </row>
    <row r="1972" spans="1:7" x14ac:dyDescent="0.25">
      <c r="A1972" t="s">
        <v>7</v>
      </c>
      <c r="B1972" t="s">
        <v>15</v>
      </c>
      <c r="C1972" t="s">
        <v>9</v>
      </c>
      <c r="D1972" t="s">
        <v>10</v>
      </c>
      <c r="E1972">
        <v>8</v>
      </c>
      <c r="F1972" s="1">
        <v>44196</v>
      </c>
      <c r="G1972">
        <v>8.8696488731205593E-3</v>
      </c>
    </row>
    <row r="1973" spans="1:7" x14ac:dyDescent="0.25">
      <c r="A1973" t="s">
        <v>7</v>
      </c>
      <c r="B1973" t="s">
        <v>15</v>
      </c>
      <c r="C1973" t="s">
        <v>9</v>
      </c>
      <c r="D1973" t="s">
        <v>10</v>
      </c>
      <c r="E1973">
        <v>8</v>
      </c>
      <c r="F1973" s="1">
        <v>44227</v>
      </c>
      <c r="G1973">
        <v>-2.24438106868565E-2</v>
      </c>
    </row>
    <row r="1974" spans="1:7" x14ac:dyDescent="0.25">
      <c r="A1974" t="s">
        <v>7</v>
      </c>
      <c r="B1974" t="s">
        <v>15</v>
      </c>
      <c r="C1974" t="s">
        <v>9</v>
      </c>
      <c r="D1974" t="s">
        <v>10</v>
      </c>
      <c r="E1974">
        <v>8</v>
      </c>
      <c r="F1974" s="1">
        <v>44255</v>
      </c>
      <c r="G1974">
        <v>3.5266256983244697E-2</v>
      </c>
    </row>
    <row r="1975" spans="1:7" x14ac:dyDescent="0.25">
      <c r="A1975" t="s">
        <v>7</v>
      </c>
      <c r="B1975" t="s">
        <v>15</v>
      </c>
      <c r="C1975" t="s">
        <v>9</v>
      </c>
      <c r="D1975" t="s">
        <v>10</v>
      </c>
      <c r="E1975">
        <v>8</v>
      </c>
      <c r="F1975" s="1">
        <v>44286</v>
      </c>
      <c r="G1975">
        <v>-4.12707334717302E-2</v>
      </c>
    </row>
    <row r="1976" spans="1:7" x14ac:dyDescent="0.25">
      <c r="A1976" t="s">
        <v>7</v>
      </c>
      <c r="B1976" t="s">
        <v>15</v>
      </c>
      <c r="C1976" t="s">
        <v>9</v>
      </c>
      <c r="D1976" t="s">
        <v>10</v>
      </c>
      <c r="E1976">
        <v>8</v>
      </c>
      <c r="F1976" s="1">
        <v>44316</v>
      </c>
      <c r="G1976">
        <v>5.3712514507983601E-3</v>
      </c>
    </row>
    <row r="1977" spans="1:7" x14ac:dyDescent="0.25">
      <c r="A1977" t="s">
        <v>7</v>
      </c>
      <c r="B1977" t="s">
        <v>15</v>
      </c>
      <c r="C1977" t="s">
        <v>9</v>
      </c>
      <c r="D1977" t="s">
        <v>10</v>
      </c>
      <c r="E1977">
        <v>8</v>
      </c>
      <c r="F1977" s="1">
        <v>44347</v>
      </c>
      <c r="G1977">
        <v>-9.7597937294106596E-3</v>
      </c>
    </row>
    <row r="1978" spans="1:7" x14ac:dyDescent="0.25">
      <c r="A1978" t="s">
        <v>7</v>
      </c>
      <c r="B1978" t="s">
        <v>15</v>
      </c>
      <c r="C1978" t="s">
        <v>9</v>
      </c>
      <c r="D1978" t="s">
        <v>10</v>
      </c>
      <c r="E1978">
        <v>8</v>
      </c>
      <c r="F1978" s="1">
        <v>44377</v>
      </c>
      <c r="G1978">
        <v>1.4816511340878E-3</v>
      </c>
    </row>
    <row r="1979" spans="1:7" x14ac:dyDescent="0.25">
      <c r="A1979" t="s">
        <v>7</v>
      </c>
      <c r="B1979" t="s">
        <v>15</v>
      </c>
      <c r="C1979" t="s">
        <v>9</v>
      </c>
      <c r="D1979" t="s">
        <v>10</v>
      </c>
      <c r="E1979">
        <v>8</v>
      </c>
      <c r="F1979" s="1">
        <v>44408</v>
      </c>
      <c r="G1979">
        <v>3.4612963857481999E-2</v>
      </c>
    </row>
    <row r="1980" spans="1:7" x14ac:dyDescent="0.25">
      <c r="A1980" t="s">
        <v>7</v>
      </c>
      <c r="B1980" t="s">
        <v>15</v>
      </c>
      <c r="C1980" t="s">
        <v>9</v>
      </c>
      <c r="D1980" t="s">
        <v>10</v>
      </c>
      <c r="E1980">
        <v>8</v>
      </c>
      <c r="F1980" s="1">
        <v>44439</v>
      </c>
      <c r="G1980">
        <v>-5.8921987650068397E-4</v>
      </c>
    </row>
    <row r="1981" spans="1:7" x14ac:dyDescent="0.25">
      <c r="A1981" t="s">
        <v>7</v>
      </c>
      <c r="B1981" t="s">
        <v>15</v>
      </c>
      <c r="C1981" t="s">
        <v>9</v>
      </c>
      <c r="D1981" t="s">
        <v>10</v>
      </c>
      <c r="E1981">
        <v>8</v>
      </c>
      <c r="F1981" s="1">
        <v>44469</v>
      </c>
      <c r="G1981">
        <v>3.2434907074818102E-2</v>
      </c>
    </row>
    <row r="1982" spans="1:7" x14ac:dyDescent="0.25">
      <c r="A1982" t="s">
        <v>7</v>
      </c>
      <c r="B1982" t="s">
        <v>15</v>
      </c>
      <c r="C1982" t="s">
        <v>9</v>
      </c>
      <c r="D1982" t="s">
        <v>10</v>
      </c>
      <c r="E1982">
        <v>8</v>
      </c>
      <c r="F1982" s="1">
        <v>44500</v>
      </c>
      <c r="G1982">
        <v>4.0227969876874201E-2</v>
      </c>
    </row>
    <row r="1983" spans="1:7" x14ac:dyDescent="0.25">
      <c r="A1983" t="s">
        <v>7</v>
      </c>
      <c r="B1983" t="s">
        <v>15</v>
      </c>
      <c r="C1983" t="s">
        <v>9</v>
      </c>
      <c r="D1983" t="s">
        <v>10</v>
      </c>
      <c r="E1983">
        <v>8</v>
      </c>
      <c r="F1983" s="1">
        <v>44530</v>
      </c>
      <c r="G1983">
        <v>9.1200990358162697E-3</v>
      </c>
    </row>
    <row r="1984" spans="1:7" x14ac:dyDescent="0.25">
      <c r="A1984" t="s">
        <v>7</v>
      </c>
      <c r="B1984" t="s">
        <v>15</v>
      </c>
      <c r="C1984" t="s">
        <v>9</v>
      </c>
      <c r="D1984" t="s">
        <v>10</v>
      </c>
      <c r="E1984">
        <v>8</v>
      </c>
      <c r="F1984" s="1">
        <v>44561</v>
      </c>
      <c r="G1984">
        <v>-6.4355363895475396E-3</v>
      </c>
    </row>
    <row r="1985" spans="1:7" x14ac:dyDescent="0.25">
      <c r="A1985" t="s">
        <v>7</v>
      </c>
      <c r="B1985" t="s">
        <v>15</v>
      </c>
      <c r="C1985" t="s">
        <v>9</v>
      </c>
      <c r="D1985" t="s">
        <v>10</v>
      </c>
      <c r="E1985">
        <v>8</v>
      </c>
      <c r="F1985" s="1">
        <v>44592</v>
      </c>
      <c r="G1985">
        <v>-4.3775943530456503E-2</v>
      </c>
    </row>
    <row r="1986" spans="1:7" x14ac:dyDescent="0.25">
      <c r="A1986" t="s">
        <v>7</v>
      </c>
      <c r="B1986" t="s">
        <v>15</v>
      </c>
      <c r="C1986" t="s">
        <v>9</v>
      </c>
      <c r="D1986" t="s">
        <v>10</v>
      </c>
      <c r="E1986">
        <v>8</v>
      </c>
      <c r="F1986" s="1">
        <v>44620</v>
      </c>
      <c r="G1986">
        <v>2.9707551423963401E-2</v>
      </c>
    </row>
    <row r="1987" spans="1:7" x14ac:dyDescent="0.25">
      <c r="A1987" t="s">
        <v>7</v>
      </c>
      <c r="B1987" t="s">
        <v>15</v>
      </c>
      <c r="C1987" t="s">
        <v>9</v>
      </c>
      <c r="D1987" t="s">
        <v>10</v>
      </c>
      <c r="E1987">
        <v>8</v>
      </c>
      <c r="F1987" s="1">
        <v>44651</v>
      </c>
      <c r="G1987">
        <v>-1.00102168414556E-2</v>
      </c>
    </row>
    <row r="1988" spans="1:7" x14ac:dyDescent="0.25">
      <c r="A1988" t="s">
        <v>7</v>
      </c>
      <c r="B1988" t="s">
        <v>15</v>
      </c>
      <c r="C1988" t="s">
        <v>9</v>
      </c>
      <c r="D1988" t="s">
        <v>10</v>
      </c>
      <c r="E1988">
        <v>8</v>
      </c>
      <c r="F1988" s="1">
        <v>44681</v>
      </c>
      <c r="G1988">
        <v>0.113573944282383</v>
      </c>
    </row>
    <row r="1989" spans="1:7" x14ac:dyDescent="0.25">
      <c r="A1989" t="s">
        <v>7</v>
      </c>
      <c r="B1989" t="s">
        <v>15</v>
      </c>
      <c r="C1989" t="s">
        <v>9</v>
      </c>
      <c r="D1989" t="s">
        <v>10</v>
      </c>
      <c r="E1989">
        <v>8</v>
      </c>
      <c r="F1989" s="1">
        <v>44712</v>
      </c>
      <c r="G1989">
        <v>7.0733583512039302E-2</v>
      </c>
    </row>
    <row r="1990" spans="1:7" x14ac:dyDescent="0.25">
      <c r="A1990" t="s">
        <v>7</v>
      </c>
      <c r="B1990" t="s">
        <v>15</v>
      </c>
      <c r="C1990" t="s">
        <v>9</v>
      </c>
      <c r="D1990" t="s">
        <v>10</v>
      </c>
      <c r="E1990">
        <v>8</v>
      </c>
      <c r="F1990" s="1">
        <v>44742</v>
      </c>
      <c r="G1990">
        <v>7.0303943774671904E-2</v>
      </c>
    </row>
    <row r="1991" spans="1:7" x14ac:dyDescent="0.25">
      <c r="A1991" t="s">
        <v>7</v>
      </c>
      <c r="B1991" t="s">
        <v>15</v>
      </c>
      <c r="C1991" t="s">
        <v>9</v>
      </c>
      <c r="D1991" t="s">
        <v>10</v>
      </c>
      <c r="E1991">
        <v>8</v>
      </c>
      <c r="F1991" s="1">
        <v>44773</v>
      </c>
      <c r="G1991">
        <v>-3.5202242725708703E-2</v>
      </c>
    </row>
    <row r="1992" spans="1:7" x14ac:dyDescent="0.25">
      <c r="A1992" t="s">
        <v>7</v>
      </c>
      <c r="B1992" t="s">
        <v>15</v>
      </c>
      <c r="C1992" t="s">
        <v>9</v>
      </c>
      <c r="D1992" t="s">
        <v>10</v>
      </c>
      <c r="E1992">
        <v>8</v>
      </c>
      <c r="F1992" s="1">
        <v>44804</v>
      </c>
      <c r="G1992">
        <v>-6.2195525256662998E-2</v>
      </c>
    </row>
    <row r="1993" spans="1:7" x14ac:dyDescent="0.25">
      <c r="A1993" t="s">
        <v>7</v>
      </c>
      <c r="B1993" t="s">
        <v>15</v>
      </c>
      <c r="C1993" t="s">
        <v>9</v>
      </c>
      <c r="D1993" t="s">
        <v>10</v>
      </c>
      <c r="E1993">
        <v>8</v>
      </c>
      <c r="F1993" s="1">
        <v>44834</v>
      </c>
      <c r="G1993">
        <v>-1.3085065984021101E-2</v>
      </c>
    </row>
    <row r="1994" spans="1:7" x14ac:dyDescent="0.25">
      <c r="A1994" t="s">
        <v>7</v>
      </c>
      <c r="B1994" t="s">
        <v>15</v>
      </c>
      <c r="C1994" t="s">
        <v>9</v>
      </c>
      <c r="D1994" t="s">
        <v>10</v>
      </c>
      <c r="E1994">
        <v>8</v>
      </c>
      <c r="F1994" s="1">
        <v>44865</v>
      </c>
      <c r="G1994">
        <v>2.7911079502615E-2</v>
      </c>
    </row>
    <row r="1995" spans="1:7" x14ac:dyDescent="0.25">
      <c r="A1995" t="s">
        <v>7</v>
      </c>
      <c r="B1995" t="s">
        <v>15</v>
      </c>
      <c r="C1995" t="s">
        <v>9</v>
      </c>
      <c r="D1995" t="s">
        <v>10</v>
      </c>
      <c r="E1995">
        <v>8</v>
      </c>
      <c r="F1995" s="1">
        <v>44895</v>
      </c>
      <c r="G1995">
        <v>-2.2565420363534199E-2</v>
      </c>
    </row>
    <row r="1996" spans="1:7" x14ac:dyDescent="0.25">
      <c r="A1996" t="s">
        <v>7</v>
      </c>
      <c r="B1996" t="s">
        <v>15</v>
      </c>
      <c r="C1996" t="s">
        <v>9</v>
      </c>
      <c r="D1996" t="s">
        <v>10</v>
      </c>
      <c r="E1996">
        <v>8</v>
      </c>
      <c r="F1996" s="1">
        <v>44926</v>
      </c>
      <c r="G1996">
        <v>1.19713750585269E-2</v>
      </c>
    </row>
    <row r="1997" spans="1:7" x14ac:dyDescent="0.25">
      <c r="A1997" t="s">
        <v>7</v>
      </c>
      <c r="B1997" t="s">
        <v>15</v>
      </c>
      <c r="C1997" t="s">
        <v>9</v>
      </c>
      <c r="D1997" t="s">
        <v>10</v>
      </c>
      <c r="E1997">
        <v>8</v>
      </c>
      <c r="F1997" s="1">
        <v>44957</v>
      </c>
      <c r="G1997">
        <v>-1.1732275728142E-2</v>
      </c>
    </row>
    <row r="1998" spans="1:7" x14ac:dyDescent="0.25">
      <c r="A1998" t="s">
        <v>7</v>
      </c>
      <c r="B1998" t="s">
        <v>15</v>
      </c>
      <c r="C1998" t="s">
        <v>9</v>
      </c>
      <c r="D1998" t="s">
        <v>10</v>
      </c>
      <c r="E1998">
        <v>8</v>
      </c>
      <c r="F1998" s="1">
        <v>44985</v>
      </c>
      <c r="G1998">
        <v>4.7184513163209402E-2</v>
      </c>
    </row>
    <row r="1999" spans="1:7" x14ac:dyDescent="0.25">
      <c r="A1999" t="s">
        <v>7</v>
      </c>
      <c r="B1999" t="s">
        <v>15</v>
      </c>
      <c r="C1999" t="s">
        <v>9</v>
      </c>
      <c r="D1999" t="s">
        <v>10</v>
      </c>
      <c r="E1999">
        <v>8</v>
      </c>
      <c r="F1999" s="1">
        <v>45016</v>
      </c>
      <c r="G1999">
        <v>4.4547064333214502E-2</v>
      </c>
    </row>
    <row r="2000" spans="1:7" x14ac:dyDescent="0.25">
      <c r="A2000" t="s">
        <v>7</v>
      </c>
      <c r="B2000" t="s">
        <v>15</v>
      </c>
      <c r="C2000" t="s">
        <v>9</v>
      </c>
      <c r="D2000" t="s">
        <v>10</v>
      </c>
      <c r="E2000">
        <v>8</v>
      </c>
      <c r="F2000" s="1">
        <v>45046</v>
      </c>
      <c r="G2000">
        <v>3.0336749558689201E-3</v>
      </c>
    </row>
    <row r="2001" spans="1:7" x14ac:dyDescent="0.25">
      <c r="A2001" t="s">
        <v>7</v>
      </c>
      <c r="B2001" t="s">
        <v>15</v>
      </c>
      <c r="C2001" t="s">
        <v>9</v>
      </c>
      <c r="D2001" t="s">
        <v>10</v>
      </c>
      <c r="E2001">
        <v>8</v>
      </c>
      <c r="F2001" s="1">
        <v>45077</v>
      </c>
      <c r="G2001">
        <v>-9.2541385567055101E-2</v>
      </c>
    </row>
    <row r="2002" spans="1:7" x14ac:dyDescent="0.25">
      <c r="A2002" t="s">
        <v>7</v>
      </c>
      <c r="B2002" t="s">
        <v>15</v>
      </c>
      <c r="C2002" t="s">
        <v>9</v>
      </c>
      <c r="D2002" t="s">
        <v>10</v>
      </c>
      <c r="E2002">
        <v>8</v>
      </c>
      <c r="F2002" s="1">
        <v>45107</v>
      </c>
      <c r="G2002">
        <v>-2.6166418026471499E-2</v>
      </c>
    </row>
    <row r="2003" spans="1:7" x14ac:dyDescent="0.25">
      <c r="A2003" t="s">
        <v>7</v>
      </c>
      <c r="B2003" t="s">
        <v>15</v>
      </c>
      <c r="C2003" t="s">
        <v>9</v>
      </c>
      <c r="D2003" t="s">
        <v>10</v>
      </c>
      <c r="E2003">
        <v>8</v>
      </c>
      <c r="F2003" s="1">
        <v>45138</v>
      </c>
      <c r="G2003">
        <v>-3.7874026956154203E-2</v>
      </c>
    </row>
    <row r="2004" spans="1:7" x14ac:dyDescent="0.25">
      <c r="A2004" t="s">
        <v>7</v>
      </c>
      <c r="B2004" t="s">
        <v>15</v>
      </c>
      <c r="C2004" t="s">
        <v>9</v>
      </c>
      <c r="D2004" t="s">
        <v>10</v>
      </c>
      <c r="E2004">
        <v>8</v>
      </c>
      <c r="F2004" s="1">
        <v>45169</v>
      </c>
      <c r="G2004">
        <v>1.00605219407059E-2</v>
      </c>
    </row>
    <row r="2005" spans="1:7" x14ac:dyDescent="0.25">
      <c r="A2005" t="s">
        <v>7</v>
      </c>
      <c r="B2005" t="s">
        <v>15</v>
      </c>
      <c r="C2005" t="s">
        <v>9</v>
      </c>
      <c r="D2005" t="s">
        <v>10</v>
      </c>
      <c r="E2005">
        <v>8</v>
      </c>
      <c r="F2005" s="1">
        <v>45199</v>
      </c>
      <c r="G2005">
        <v>1.3658399011679499E-2</v>
      </c>
    </row>
    <row r="2006" spans="1:7" x14ac:dyDescent="0.25">
      <c r="A2006" t="s">
        <v>7</v>
      </c>
      <c r="B2006" t="s">
        <v>15</v>
      </c>
      <c r="C2006" t="s">
        <v>9</v>
      </c>
      <c r="D2006" t="s">
        <v>10</v>
      </c>
      <c r="E2006">
        <v>8</v>
      </c>
      <c r="F2006" s="1">
        <v>45230</v>
      </c>
      <c r="G2006">
        <v>2.7536199595081901E-2</v>
      </c>
    </row>
    <row r="2007" spans="1:7" x14ac:dyDescent="0.25">
      <c r="A2007" t="s">
        <v>7</v>
      </c>
      <c r="B2007" t="s">
        <v>15</v>
      </c>
      <c r="C2007" t="s">
        <v>9</v>
      </c>
      <c r="D2007" t="s">
        <v>10</v>
      </c>
      <c r="E2007">
        <v>8</v>
      </c>
      <c r="F2007" s="1">
        <v>45260</v>
      </c>
      <c r="G2007">
        <v>-1.49647894196097E-2</v>
      </c>
    </row>
    <row r="2008" spans="1:7" x14ac:dyDescent="0.25">
      <c r="A2008" t="s">
        <v>7</v>
      </c>
      <c r="B2008" t="s">
        <v>15</v>
      </c>
      <c r="C2008" t="s">
        <v>9</v>
      </c>
      <c r="D2008" t="s">
        <v>10</v>
      </c>
      <c r="E2008">
        <v>8</v>
      </c>
      <c r="F2008" s="1">
        <v>45291</v>
      </c>
      <c r="G2008">
        <v>-1.88340764485346E-2</v>
      </c>
    </row>
    <row r="2009" spans="1:7" x14ac:dyDescent="0.25">
      <c r="A2009" t="s">
        <v>7</v>
      </c>
      <c r="B2009" t="s">
        <v>15</v>
      </c>
      <c r="C2009" t="s">
        <v>9</v>
      </c>
      <c r="D2009" t="s">
        <v>10</v>
      </c>
      <c r="E2009">
        <v>8</v>
      </c>
      <c r="F2009" s="1">
        <v>45322</v>
      </c>
      <c r="G2009">
        <v>3.6973168857442E-2</v>
      </c>
    </row>
    <row r="2010" spans="1:7" x14ac:dyDescent="0.25">
      <c r="A2010" t="s">
        <v>7</v>
      </c>
      <c r="B2010" t="s">
        <v>15</v>
      </c>
      <c r="C2010" t="s">
        <v>9</v>
      </c>
      <c r="D2010" t="s">
        <v>10</v>
      </c>
      <c r="E2010">
        <v>8</v>
      </c>
      <c r="F2010" s="1">
        <v>45351</v>
      </c>
      <c r="G2010">
        <v>3.3601964617842998E-3</v>
      </c>
    </row>
    <row r="2011" spans="1:7" x14ac:dyDescent="0.25">
      <c r="A2011" t="s">
        <v>7</v>
      </c>
      <c r="B2011" t="s">
        <v>15</v>
      </c>
      <c r="C2011" t="s">
        <v>9</v>
      </c>
      <c r="D2011" t="s">
        <v>10</v>
      </c>
      <c r="E2011">
        <v>8</v>
      </c>
      <c r="F2011" s="1">
        <v>45382</v>
      </c>
      <c r="G2011">
        <v>7.7482622518285505E-4</v>
      </c>
    </row>
    <row r="2012" spans="1:7" x14ac:dyDescent="0.25">
      <c r="A2012" t="s">
        <v>7</v>
      </c>
      <c r="B2012" t="s">
        <v>15</v>
      </c>
      <c r="C2012" t="s">
        <v>9</v>
      </c>
      <c r="D2012" t="s">
        <v>10</v>
      </c>
      <c r="E2012">
        <v>8</v>
      </c>
      <c r="F2012" s="1">
        <v>45412</v>
      </c>
      <c r="G2012">
        <v>9.3566181965340396E-3</v>
      </c>
    </row>
    <row r="2013" spans="1:7" x14ac:dyDescent="0.25">
      <c r="A2013" t="s">
        <v>7</v>
      </c>
      <c r="B2013" t="s">
        <v>15</v>
      </c>
      <c r="C2013" t="s">
        <v>9</v>
      </c>
      <c r="D2013" t="s">
        <v>10</v>
      </c>
      <c r="E2013">
        <v>8</v>
      </c>
      <c r="F2013" s="1">
        <v>45443</v>
      </c>
      <c r="G2013">
        <v>-2.13353765631626E-2</v>
      </c>
    </row>
    <row r="2014" spans="1:7" x14ac:dyDescent="0.25">
      <c r="A2014" t="s">
        <v>7</v>
      </c>
      <c r="B2014" t="s">
        <v>15</v>
      </c>
      <c r="C2014" t="s">
        <v>9</v>
      </c>
      <c r="D2014" t="s">
        <v>10</v>
      </c>
      <c r="E2014">
        <v>8</v>
      </c>
      <c r="F2014" s="1">
        <v>45473</v>
      </c>
      <c r="G2014">
        <v>3.6051172734155902E-2</v>
      </c>
    </row>
    <row r="2015" spans="1:7" x14ac:dyDescent="0.25">
      <c r="A2015" t="s">
        <v>7</v>
      </c>
      <c r="B2015" t="s">
        <v>15</v>
      </c>
      <c r="C2015" t="s">
        <v>9</v>
      </c>
      <c r="D2015" t="s">
        <v>10</v>
      </c>
      <c r="E2015">
        <v>8</v>
      </c>
      <c r="F2015" s="1">
        <v>45504</v>
      </c>
      <c r="G2015">
        <v>-3.4964073658841199E-3</v>
      </c>
    </row>
    <row r="2016" spans="1:7" x14ac:dyDescent="0.25">
      <c r="A2016" t="s">
        <v>7</v>
      </c>
      <c r="B2016" t="s">
        <v>15</v>
      </c>
      <c r="C2016" t="s">
        <v>9</v>
      </c>
      <c r="D2016" t="s">
        <v>10</v>
      </c>
      <c r="E2016">
        <v>8</v>
      </c>
      <c r="F2016" s="1">
        <v>45535</v>
      </c>
      <c r="G2016">
        <v>2.6818166519842299E-2</v>
      </c>
    </row>
    <row r="2017" spans="1:7" x14ac:dyDescent="0.25">
      <c r="A2017" t="s">
        <v>7</v>
      </c>
      <c r="B2017" t="s">
        <v>15</v>
      </c>
      <c r="C2017" t="s">
        <v>9</v>
      </c>
      <c r="D2017" t="s">
        <v>10</v>
      </c>
      <c r="E2017">
        <v>8</v>
      </c>
      <c r="F2017" s="1">
        <v>45565</v>
      </c>
      <c r="G2017">
        <v>1.7434749144219198E-2</v>
      </c>
    </row>
    <row r="2018" spans="1:7" x14ac:dyDescent="0.25">
      <c r="A2018" t="s">
        <v>7</v>
      </c>
      <c r="B2018" t="s">
        <v>15</v>
      </c>
      <c r="C2018" t="s">
        <v>9</v>
      </c>
      <c r="D2018" t="s">
        <v>10</v>
      </c>
      <c r="E2018">
        <v>8</v>
      </c>
      <c r="F2018" s="1">
        <v>45596</v>
      </c>
      <c r="G2018">
        <v>2.4873156076347502E-2</v>
      </c>
    </row>
    <row r="2019" spans="1:7" x14ac:dyDescent="0.25">
      <c r="A2019" t="s">
        <v>7</v>
      </c>
      <c r="B2019" t="s">
        <v>15</v>
      </c>
      <c r="C2019" t="s">
        <v>9</v>
      </c>
      <c r="D2019" t="s">
        <v>10</v>
      </c>
      <c r="E2019">
        <v>8</v>
      </c>
      <c r="F2019" s="1">
        <v>45626</v>
      </c>
      <c r="G2019">
        <v>5.2479849864259603E-2</v>
      </c>
    </row>
    <row r="2020" spans="1:7" x14ac:dyDescent="0.25">
      <c r="A2020" t="s">
        <v>7</v>
      </c>
      <c r="B2020" t="s">
        <v>15</v>
      </c>
      <c r="C2020" t="s">
        <v>9</v>
      </c>
      <c r="D2020" t="s">
        <v>10</v>
      </c>
      <c r="E2020">
        <v>8</v>
      </c>
      <c r="F2020" s="1">
        <v>45657</v>
      </c>
      <c r="G2020">
        <v>2.96601075551748E-2</v>
      </c>
    </row>
    <row r="2021" spans="1:7" x14ac:dyDescent="0.25">
      <c r="A2021" t="s">
        <v>7</v>
      </c>
      <c r="B2021" t="s">
        <v>15</v>
      </c>
      <c r="C2021" t="s">
        <v>9</v>
      </c>
      <c r="D2021" t="s">
        <v>10</v>
      </c>
      <c r="E2021">
        <v>8</v>
      </c>
      <c r="F2021" s="1">
        <v>45688</v>
      </c>
      <c r="G2021">
        <v>-2.7110235935837598E-2</v>
      </c>
    </row>
    <row r="2022" spans="1:7" x14ac:dyDescent="0.25">
      <c r="A2022" t="s">
        <v>7</v>
      </c>
      <c r="B2022" t="s">
        <v>15</v>
      </c>
      <c r="C2022" t="s">
        <v>9</v>
      </c>
      <c r="D2022" t="s">
        <v>10</v>
      </c>
      <c r="E2022">
        <v>8</v>
      </c>
      <c r="F2022" s="1">
        <v>45716</v>
      </c>
      <c r="G2022">
        <v>1.09793035350105E-2</v>
      </c>
    </row>
    <row r="2023" spans="1:7" x14ac:dyDescent="0.25">
      <c r="A2023" t="s">
        <v>7</v>
      </c>
      <c r="B2023" t="s">
        <v>15</v>
      </c>
      <c r="C2023" t="s">
        <v>9</v>
      </c>
      <c r="D2023" t="s">
        <v>10</v>
      </c>
      <c r="E2023">
        <v>8</v>
      </c>
      <c r="F2023" s="1">
        <v>45747</v>
      </c>
      <c r="G2023">
        <v>-8.4283029904363097E-3</v>
      </c>
    </row>
    <row r="2024" spans="1:7" x14ac:dyDescent="0.25">
      <c r="A2024" t="s">
        <v>7</v>
      </c>
      <c r="B2024" t="s">
        <v>15</v>
      </c>
      <c r="C2024" t="s">
        <v>9</v>
      </c>
      <c r="D2024" t="s">
        <v>10</v>
      </c>
      <c r="E2024">
        <v>8</v>
      </c>
      <c r="F2024" s="1">
        <v>45777</v>
      </c>
      <c r="G2024">
        <v>-1.7667484597776999E-2</v>
      </c>
    </row>
    <row r="2025" spans="1:7" x14ac:dyDescent="0.25">
      <c r="A2025" t="s">
        <v>7</v>
      </c>
      <c r="B2025" t="s">
        <v>15</v>
      </c>
      <c r="C2025" t="s">
        <v>9</v>
      </c>
      <c r="D2025" t="s">
        <v>10</v>
      </c>
      <c r="E2025">
        <v>7</v>
      </c>
      <c r="F2025" s="1">
        <v>45808</v>
      </c>
      <c r="G2025">
        <v>-7.72826407695806E-3</v>
      </c>
    </row>
    <row r="2026" spans="1:7" x14ac:dyDescent="0.25">
      <c r="A2026" t="s">
        <v>7</v>
      </c>
      <c r="B2026" t="s">
        <v>15</v>
      </c>
      <c r="C2026" t="s">
        <v>9</v>
      </c>
      <c r="D2026" t="s">
        <v>10</v>
      </c>
      <c r="E2026">
        <v>7</v>
      </c>
      <c r="F2026" s="1">
        <v>45838</v>
      </c>
      <c r="G2026">
        <v>5.2377333971169804E-3</v>
      </c>
    </row>
    <row r="2027" spans="1:7" x14ac:dyDescent="0.25">
      <c r="A2027" t="s">
        <v>7</v>
      </c>
      <c r="B2027" t="s">
        <v>15</v>
      </c>
      <c r="C2027" t="s">
        <v>9</v>
      </c>
      <c r="D2027" t="s">
        <v>10</v>
      </c>
      <c r="E2027">
        <v>7</v>
      </c>
      <c r="F2027" s="1">
        <v>45869</v>
      </c>
      <c r="G2027">
        <v>-1.8622141213700299E-2</v>
      </c>
    </row>
    <row r="2028" spans="1:7" x14ac:dyDescent="0.25">
      <c r="A2028" t="s">
        <v>7</v>
      </c>
      <c r="B2028" t="s">
        <v>15</v>
      </c>
      <c r="C2028" t="s">
        <v>9</v>
      </c>
      <c r="D2028" t="s">
        <v>10</v>
      </c>
      <c r="E2028">
        <v>8</v>
      </c>
      <c r="F2028" s="1">
        <v>45900</v>
      </c>
      <c r="G2028">
        <v>1.4772140969834599E-2</v>
      </c>
    </row>
    <row r="2029" spans="1:7" x14ac:dyDescent="0.25">
      <c r="A2029" t="s">
        <v>7</v>
      </c>
      <c r="B2029" t="s">
        <v>15</v>
      </c>
      <c r="C2029" t="s">
        <v>9</v>
      </c>
      <c r="D2029" t="s">
        <v>10</v>
      </c>
      <c r="E2029">
        <v>8</v>
      </c>
      <c r="F2029" s="1">
        <v>45930</v>
      </c>
      <c r="G2029">
        <v>1.31844703210964E-2</v>
      </c>
    </row>
    <row r="2030" spans="1:7" x14ac:dyDescent="0.25">
      <c r="A2030" t="s">
        <v>7</v>
      </c>
      <c r="B2030" t="s">
        <v>15</v>
      </c>
      <c r="C2030" t="s">
        <v>9</v>
      </c>
      <c r="D2030" t="s">
        <v>10</v>
      </c>
      <c r="E2030">
        <v>8</v>
      </c>
      <c r="F2030" s="1">
        <v>45961</v>
      </c>
      <c r="G2030">
        <v>-1.04216941981613E-2</v>
      </c>
    </row>
    <row r="2031" spans="1:7" x14ac:dyDescent="0.25">
      <c r="A2031" t="s">
        <v>7</v>
      </c>
      <c r="B2031" t="s">
        <v>15</v>
      </c>
      <c r="C2031" t="s">
        <v>9</v>
      </c>
      <c r="D2031" t="s">
        <v>10</v>
      </c>
      <c r="E2031">
        <v>8</v>
      </c>
      <c r="F2031" s="1">
        <v>45991</v>
      </c>
      <c r="G2031">
        <v>3.8461057492329503E-2</v>
      </c>
    </row>
    <row r="2032" spans="1:7" x14ac:dyDescent="0.25">
      <c r="A2032" t="s">
        <v>7</v>
      </c>
      <c r="B2032" t="s">
        <v>15</v>
      </c>
      <c r="C2032" t="s">
        <v>9</v>
      </c>
      <c r="D2032" t="s">
        <v>10</v>
      </c>
      <c r="E2032">
        <v>8</v>
      </c>
      <c r="F2032" s="1">
        <v>46022</v>
      </c>
      <c r="G2032">
        <v>-2.9191863118486001E-2</v>
      </c>
    </row>
    <row r="2033" spans="1:7" x14ac:dyDescent="0.25">
      <c r="A2033" t="s">
        <v>7</v>
      </c>
      <c r="B2033" t="s">
        <v>16</v>
      </c>
      <c r="C2033" t="s">
        <v>9</v>
      </c>
      <c r="D2033" t="s">
        <v>10</v>
      </c>
      <c r="E2033">
        <v>2</v>
      </c>
      <c r="F2033" s="1">
        <v>34607</v>
      </c>
      <c r="G2033">
        <v>-0.14459538784593501</v>
      </c>
    </row>
    <row r="2034" spans="1:7" x14ac:dyDescent="0.25">
      <c r="A2034" t="s">
        <v>7</v>
      </c>
      <c r="B2034" t="s">
        <v>16</v>
      </c>
      <c r="C2034" t="s">
        <v>9</v>
      </c>
      <c r="D2034" t="s">
        <v>10</v>
      </c>
      <c r="E2034">
        <v>1</v>
      </c>
      <c r="F2034" s="1">
        <v>34638</v>
      </c>
      <c r="G2034">
        <v>-2.3499104739746701E-2</v>
      </c>
    </row>
    <row r="2035" spans="1:7" x14ac:dyDescent="0.25">
      <c r="A2035" t="s">
        <v>7</v>
      </c>
      <c r="B2035" t="s">
        <v>16</v>
      </c>
      <c r="C2035" t="s">
        <v>9</v>
      </c>
      <c r="D2035" t="s">
        <v>10</v>
      </c>
      <c r="E2035">
        <v>2</v>
      </c>
      <c r="F2035" s="1">
        <v>34668</v>
      </c>
      <c r="G2035">
        <v>-4.0268344920569098E-2</v>
      </c>
    </row>
    <row r="2036" spans="1:7" x14ac:dyDescent="0.25">
      <c r="A2036" t="s">
        <v>7</v>
      </c>
      <c r="B2036" t="s">
        <v>16</v>
      </c>
      <c r="C2036" t="s">
        <v>9</v>
      </c>
      <c r="D2036" t="s">
        <v>10</v>
      </c>
      <c r="E2036">
        <v>2</v>
      </c>
      <c r="F2036" s="1">
        <v>34699</v>
      </c>
      <c r="G2036">
        <v>0.17533699905121999</v>
      </c>
    </row>
    <row r="2037" spans="1:7" x14ac:dyDescent="0.25">
      <c r="A2037" t="s">
        <v>7</v>
      </c>
      <c r="B2037" t="s">
        <v>16</v>
      </c>
      <c r="C2037" t="s">
        <v>9</v>
      </c>
      <c r="D2037" t="s">
        <v>10</v>
      </c>
      <c r="E2037">
        <v>2</v>
      </c>
      <c r="F2037" s="1">
        <v>34730</v>
      </c>
      <c r="G2037">
        <v>-3.0375852872597801E-2</v>
      </c>
    </row>
    <row r="2038" spans="1:7" x14ac:dyDescent="0.25">
      <c r="A2038" t="s">
        <v>7</v>
      </c>
      <c r="B2038" t="s">
        <v>16</v>
      </c>
      <c r="C2038" t="s">
        <v>9</v>
      </c>
      <c r="D2038" t="s">
        <v>10</v>
      </c>
      <c r="E2038">
        <v>2</v>
      </c>
      <c r="F2038" s="1">
        <v>34758</v>
      </c>
      <c r="G2038">
        <v>6.6452300493323499E-2</v>
      </c>
    </row>
    <row r="2039" spans="1:7" x14ac:dyDescent="0.25">
      <c r="A2039" t="s">
        <v>7</v>
      </c>
      <c r="B2039" t="s">
        <v>16</v>
      </c>
      <c r="C2039" t="s">
        <v>9</v>
      </c>
      <c r="D2039" t="s">
        <v>10</v>
      </c>
      <c r="E2039">
        <v>2</v>
      </c>
      <c r="F2039" s="1">
        <v>34789</v>
      </c>
      <c r="G2039">
        <v>6.5460698879632795E-2</v>
      </c>
    </row>
    <row r="2040" spans="1:7" x14ac:dyDescent="0.25">
      <c r="A2040" t="s">
        <v>7</v>
      </c>
      <c r="B2040" t="s">
        <v>16</v>
      </c>
      <c r="C2040" t="s">
        <v>9</v>
      </c>
      <c r="D2040" t="s">
        <v>10</v>
      </c>
      <c r="E2040">
        <v>2</v>
      </c>
      <c r="F2040" s="1">
        <v>34819</v>
      </c>
      <c r="G2040">
        <v>-0.27609377037261001</v>
      </c>
    </row>
    <row r="2041" spans="1:7" x14ac:dyDescent="0.25">
      <c r="A2041" t="s">
        <v>7</v>
      </c>
      <c r="B2041" t="s">
        <v>16</v>
      </c>
      <c r="C2041" t="s">
        <v>9</v>
      </c>
      <c r="D2041" t="s">
        <v>10</v>
      </c>
      <c r="E2041">
        <v>2</v>
      </c>
      <c r="F2041" s="1">
        <v>34850</v>
      </c>
      <c r="G2041">
        <v>0.10670406780198601</v>
      </c>
    </row>
    <row r="2042" spans="1:7" x14ac:dyDescent="0.25">
      <c r="A2042" t="s">
        <v>7</v>
      </c>
      <c r="B2042" t="s">
        <v>16</v>
      </c>
      <c r="C2042" t="s">
        <v>9</v>
      </c>
      <c r="D2042" t="s">
        <v>10</v>
      </c>
      <c r="E2042">
        <v>2</v>
      </c>
      <c r="F2042" s="1">
        <v>34880</v>
      </c>
      <c r="G2042">
        <v>4.2018247301080103E-3</v>
      </c>
    </row>
    <row r="2043" spans="1:7" x14ac:dyDescent="0.25">
      <c r="A2043" t="s">
        <v>7</v>
      </c>
      <c r="B2043" t="s">
        <v>16</v>
      </c>
      <c r="C2043" t="s">
        <v>9</v>
      </c>
      <c r="D2043" t="s">
        <v>10</v>
      </c>
      <c r="E2043">
        <v>2</v>
      </c>
      <c r="F2043" s="1">
        <v>34911</v>
      </c>
      <c r="G2043">
        <v>6.5524325139450904E-2</v>
      </c>
    </row>
    <row r="2044" spans="1:7" x14ac:dyDescent="0.25">
      <c r="A2044" t="s">
        <v>7</v>
      </c>
      <c r="B2044" t="s">
        <v>16</v>
      </c>
      <c r="C2044" t="s">
        <v>9</v>
      </c>
      <c r="D2044" t="s">
        <v>10</v>
      </c>
      <c r="E2044">
        <v>2</v>
      </c>
      <c r="F2044" s="1">
        <v>34942</v>
      </c>
      <c r="G2044">
        <v>2.8736831716238299E-2</v>
      </c>
    </row>
    <row r="2045" spans="1:7" x14ac:dyDescent="0.25">
      <c r="A2045" t="s">
        <v>7</v>
      </c>
      <c r="B2045" t="s">
        <v>16</v>
      </c>
      <c r="C2045" t="s">
        <v>9</v>
      </c>
      <c r="D2045" t="s">
        <v>10</v>
      </c>
      <c r="E2045">
        <v>2</v>
      </c>
      <c r="F2045" s="1">
        <v>34972</v>
      </c>
      <c r="G2045">
        <v>-1.3933774140335701E-2</v>
      </c>
    </row>
    <row r="2046" spans="1:7" x14ac:dyDescent="0.25">
      <c r="A2046" t="s">
        <v>7</v>
      </c>
      <c r="B2046" t="s">
        <v>16</v>
      </c>
      <c r="C2046" t="s">
        <v>9</v>
      </c>
      <c r="D2046" t="s">
        <v>10</v>
      </c>
      <c r="E2046">
        <v>2</v>
      </c>
      <c r="F2046" s="1">
        <v>35003</v>
      </c>
      <c r="G2046">
        <v>4.5302439312119198E-2</v>
      </c>
    </row>
    <row r="2047" spans="1:7" x14ac:dyDescent="0.25">
      <c r="A2047" t="s">
        <v>7</v>
      </c>
      <c r="B2047" t="s">
        <v>16</v>
      </c>
      <c r="C2047" t="s">
        <v>9</v>
      </c>
      <c r="D2047" t="s">
        <v>10</v>
      </c>
      <c r="E2047">
        <v>2</v>
      </c>
      <c r="F2047" s="1">
        <v>35033</v>
      </c>
      <c r="G2047">
        <v>7.9457841754928295E-3</v>
      </c>
    </row>
    <row r="2048" spans="1:7" x14ac:dyDescent="0.25">
      <c r="A2048" t="s">
        <v>7</v>
      </c>
      <c r="B2048" t="s">
        <v>16</v>
      </c>
      <c r="C2048" t="s">
        <v>9</v>
      </c>
      <c r="D2048" t="s">
        <v>10</v>
      </c>
      <c r="E2048">
        <v>2</v>
      </c>
      <c r="F2048" s="1">
        <v>35064</v>
      </c>
      <c r="G2048">
        <v>6.37307219854336E-2</v>
      </c>
    </row>
    <row r="2049" spans="1:7" x14ac:dyDescent="0.25">
      <c r="A2049" t="s">
        <v>7</v>
      </c>
      <c r="B2049" t="s">
        <v>16</v>
      </c>
      <c r="C2049" t="s">
        <v>9</v>
      </c>
      <c r="D2049" t="s">
        <v>10</v>
      </c>
      <c r="E2049">
        <v>2</v>
      </c>
      <c r="F2049" s="1">
        <v>35095</v>
      </c>
      <c r="G2049">
        <v>-9.8635156105871896E-2</v>
      </c>
    </row>
    <row r="2050" spans="1:7" x14ac:dyDescent="0.25">
      <c r="A2050" t="s">
        <v>7</v>
      </c>
      <c r="B2050" t="s">
        <v>16</v>
      </c>
      <c r="C2050" t="s">
        <v>9</v>
      </c>
      <c r="D2050" t="s">
        <v>10</v>
      </c>
      <c r="E2050">
        <v>2</v>
      </c>
      <c r="F2050" s="1">
        <v>35124</v>
      </c>
      <c r="G2050">
        <v>-1.9362813226120001E-2</v>
      </c>
    </row>
    <row r="2051" spans="1:7" x14ac:dyDescent="0.25">
      <c r="A2051" t="s">
        <v>7</v>
      </c>
      <c r="B2051" t="s">
        <v>16</v>
      </c>
      <c r="C2051" t="s">
        <v>9</v>
      </c>
      <c r="D2051" t="s">
        <v>10</v>
      </c>
      <c r="E2051">
        <v>2</v>
      </c>
      <c r="F2051" s="1">
        <v>35155</v>
      </c>
      <c r="G2051">
        <v>0.115735685880325</v>
      </c>
    </row>
    <row r="2052" spans="1:7" x14ac:dyDescent="0.25">
      <c r="A2052" t="s">
        <v>7</v>
      </c>
      <c r="B2052" t="s">
        <v>16</v>
      </c>
      <c r="C2052" t="s">
        <v>9</v>
      </c>
      <c r="D2052" t="s">
        <v>10</v>
      </c>
      <c r="E2052">
        <v>2</v>
      </c>
      <c r="F2052" s="1">
        <v>35185</v>
      </c>
      <c r="G2052">
        <v>-6.4944439801773196E-2</v>
      </c>
    </row>
    <row r="2053" spans="1:7" x14ac:dyDescent="0.25">
      <c r="A2053" t="s">
        <v>7</v>
      </c>
      <c r="B2053" t="s">
        <v>16</v>
      </c>
      <c r="C2053" t="s">
        <v>9</v>
      </c>
      <c r="D2053" t="s">
        <v>10</v>
      </c>
      <c r="E2053">
        <v>2</v>
      </c>
      <c r="F2053" s="1">
        <v>35216</v>
      </c>
      <c r="G2053">
        <v>-1.1599594419435E-2</v>
      </c>
    </row>
    <row r="2054" spans="1:7" x14ac:dyDescent="0.25">
      <c r="A2054" t="s">
        <v>7</v>
      </c>
      <c r="B2054" t="s">
        <v>16</v>
      </c>
      <c r="C2054" t="s">
        <v>9</v>
      </c>
      <c r="D2054" t="s">
        <v>10</v>
      </c>
      <c r="E2054">
        <v>2</v>
      </c>
      <c r="F2054" s="1">
        <v>35246</v>
      </c>
      <c r="G2054">
        <v>0.15834713816460899</v>
      </c>
    </row>
    <row r="2055" spans="1:7" x14ac:dyDescent="0.25">
      <c r="A2055" t="s">
        <v>7</v>
      </c>
      <c r="B2055" t="s">
        <v>16</v>
      </c>
      <c r="C2055" t="s">
        <v>9</v>
      </c>
      <c r="D2055" t="s">
        <v>10</v>
      </c>
      <c r="E2055">
        <v>2</v>
      </c>
      <c r="F2055" s="1">
        <v>35277</v>
      </c>
      <c r="G2055">
        <v>1.1333416236355E-2</v>
      </c>
    </row>
    <row r="2056" spans="1:7" x14ac:dyDescent="0.25">
      <c r="A2056" t="s">
        <v>7</v>
      </c>
      <c r="B2056" t="s">
        <v>16</v>
      </c>
      <c r="C2056" t="s">
        <v>9</v>
      </c>
      <c r="D2056" t="s">
        <v>10</v>
      </c>
      <c r="E2056">
        <v>2</v>
      </c>
      <c r="F2056" s="1">
        <v>35308</v>
      </c>
      <c r="G2056">
        <v>-1.09439902596567E-2</v>
      </c>
    </row>
    <row r="2057" spans="1:7" x14ac:dyDescent="0.25">
      <c r="A2057" t="s">
        <v>7</v>
      </c>
      <c r="B2057" t="s">
        <v>16</v>
      </c>
      <c r="C2057" t="s">
        <v>9</v>
      </c>
      <c r="D2057" t="s">
        <v>10</v>
      </c>
      <c r="E2057">
        <v>2</v>
      </c>
      <c r="F2057" s="1">
        <v>35338</v>
      </c>
      <c r="G2057">
        <v>4.9788032969934101E-2</v>
      </c>
    </row>
    <row r="2058" spans="1:7" x14ac:dyDescent="0.25">
      <c r="A2058" t="s">
        <v>7</v>
      </c>
      <c r="B2058" t="s">
        <v>16</v>
      </c>
      <c r="C2058" t="s">
        <v>9</v>
      </c>
      <c r="D2058" t="s">
        <v>10</v>
      </c>
      <c r="E2058">
        <v>2</v>
      </c>
      <c r="F2058" s="1">
        <v>35369</v>
      </c>
      <c r="G2058">
        <v>-5.17857223785382E-2</v>
      </c>
    </row>
    <row r="2059" spans="1:7" x14ac:dyDescent="0.25">
      <c r="A2059" t="s">
        <v>7</v>
      </c>
      <c r="B2059" t="s">
        <v>16</v>
      </c>
      <c r="C2059" t="s">
        <v>9</v>
      </c>
      <c r="D2059" t="s">
        <v>10</v>
      </c>
      <c r="E2059">
        <v>2</v>
      </c>
      <c r="F2059" s="1">
        <v>35399</v>
      </c>
      <c r="G2059">
        <v>4.3362007063191599E-2</v>
      </c>
    </row>
    <row r="2060" spans="1:7" x14ac:dyDescent="0.25">
      <c r="A2060" t="s">
        <v>7</v>
      </c>
      <c r="B2060" t="s">
        <v>16</v>
      </c>
      <c r="C2060" t="s">
        <v>9</v>
      </c>
      <c r="D2060" t="s">
        <v>10</v>
      </c>
      <c r="E2060">
        <v>2</v>
      </c>
      <c r="F2060" s="1">
        <v>35430</v>
      </c>
      <c r="G2060">
        <v>4.9794785559041203E-3</v>
      </c>
    </row>
    <row r="2061" spans="1:7" x14ac:dyDescent="0.25">
      <c r="A2061" t="s">
        <v>7</v>
      </c>
      <c r="B2061" t="s">
        <v>16</v>
      </c>
      <c r="C2061" t="s">
        <v>9</v>
      </c>
      <c r="D2061" t="s">
        <v>10</v>
      </c>
      <c r="E2061">
        <v>2</v>
      </c>
      <c r="F2061" s="1">
        <v>35461</v>
      </c>
      <c r="G2061">
        <v>1.16581136355897E-2</v>
      </c>
    </row>
    <row r="2062" spans="1:7" x14ac:dyDescent="0.25">
      <c r="A2062" t="s">
        <v>7</v>
      </c>
      <c r="B2062" t="s">
        <v>16</v>
      </c>
      <c r="C2062" t="s">
        <v>9</v>
      </c>
      <c r="D2062" t="s">
        <v>10</v>
      </c>
      <c r="E2062">
        <v>2</v>
      </c>
      <c r="F2062" s="1">
        <v>35489</v>
      </c>
      <c r="G2062">
        <v>-5.8056202081627498E-2</v>
      </c>
    </row>
    <row r="2063" spans="1:7" x14ac:dyDescent="0.25">
      <c r="A2063" t="s">
        <v>7</v>
      </c>
      <c r="B2063" t="s">
        <v>16</v>
      </c>
      <c r="C2063" t="s">
        <v>9</v>
      </c>
      <c r="D2063" t="s">
        <v>10</v>
      </c>
      <c r="E2063">
        <v>2</v>
      </c>
      <c r="F2063" s="1">
        <v>35520</v>
      </c>
      <c r="G2063">
        <v>1.0996982004175501E-2</v>
      </c>
    </row>
    <row r="2064" spans="1:7" x14ac:dyDescent="0.25">
      <c r="A2064" t="s">
        <v>7</v>
      </c>
      <c r="B2064" t="s">
        <v>16</v>
      </c>
      <c r="C2064" t="s">
        <v>9</v>
      </c>
      <c r="D2064" t="s">
        <v>10</v>
      </c>
      <c r="E2064">
        <v>2</v>
      </c>
      <c r="F2064" s="1">
        <v>35550</v>
      </c>
      <c r="G2064">
        <v>0.106266568471989</v>
      </c>
    </row>
    <row r="2065" spans="1:7" x14ac:dyDescent="0.25">
      <c r="A2065" t="s">
        <v>7</v>
      </c>
      <c r="B2065" t="s">
        <v>16</v>
      </c>
      <c r="C2065" t="s">
        <v>9</v>
      </c>
      <c r="D2065" t="s">
        <v>10</v>
      </c>
      <c r="E2065">
        <v>2</v>
      </c>
      <c r="F2065" s="1">
        <v>35581</v>
      </c>
      <c r="G2065">
        <v>-3.8001020511157002E-2</v>
      </c>
    </row>
    <row r="2066" spans="1:7" x14ac:dyDescent="0.25">
      <c r="A2066" t="s">
        <v>7</v>
      </c>
      <c r="B2066" t="s">
        <v>16</v>
      </c>
      <c r="C2066" t="s">
        <v>9</v>
      </c>
      <c r="D2066" t="s">
        <v>10</v>
      </c>
      <c r="E2066">
        <v>2</v>
      </c>
      <c r="F2066" s="1">
        <v>35611</v>
      </c>
      <c r="G2066">
        <v>-9.2649215815562794E-3</v>
      </c>
    </row>
    <row r="2067" spans="1:7" x14ac:dyDescent="0.25">
      <c r="A2067" t="s">
        <v>7</v>
      </c>
      <c r="B2067" t="s">
        <v>16</v>
      </c>
      <c r="C2067" t="s">
        <v>9</v>
      </c>
      <c r="D2067" t="s">
        <v>10</v>
      </c>
      <c r="E2067">
        <v>2</v>
      </c>
      <c r="F2067" s="1">
        <v>35642</v>
      </c>
      <c r="G2067">
        <v>4.1412729122643398E-2</v>
      </c>
    </row>
    <row r="2068" spans="1:7" x14ac:dyDescent="0.25">
      <c r="A2068" t="s">
        <v>7</v>
      </c>
      <c r="B2068" t="s">
        <v>16</v>
      </c>
      <c r="C2068" t="s">
        <v>9</v>
      </c>
      <c r="D2068" t="s">
        <v>10</v>
      </c>
      <c r="E2068">
        <v>2</v>
      </c>
      <c r="F2068" s="1">
        <v>35673</v>
      </c>
      <c r="G2068">
        <v>-0.13820375946852001</v>
      </c>
    </row>
    <row r="2069" spans="1:7" x14ac:dyDescent="0.25">
      <c r="A2069" t="s">
        <v>7</v>
      </c>
      <c r="B2069" t="s">
        <v>16</v>
      </c>
      <c r="C2069" t="s">
        <v>9</v>
      </c>
      <c r="D2069" t="s">
        <v>10</v>
      </c>
      <c r="E2069">
        <v>2</v>
      </c>
      <c r="F2069" s="1">
        <v>35703</v>
      </c>
      <c r="G2069">
        <v>4.1584464493474499E-2</v>
      </c>
    </row>
    <row r="2070" spans="1:7" x14ac:dyDescent="0.25">
      <c r="A2070" t="s">
        <v>7</v>
      </c>
      <c r="B2070" t="s">
        <v>16</v>
      </c>
      <c r="C2070" t="s">
        <v>9</v>
      </c>
      <c r="D2070" t="s">
        <v>10</v>
      </c>
      <c r="E2070">
        <v>2</v>
      </c>
      <c r="F2070" s="1">
        <v>35734</v>
      </c>
      <c r="G2070">
        <v>4.6547528919181902E-2</v>
      </c>
    </row>
    <row r="2071" spans="1:7" x14ac:dyDescent="0.25">
      <c r="A2071" t="s">
        <v>7</v>
      </c>
      <c r="B2071" t="s">
        <v>16</v>
      </c>
      <c r="C2071" t="s">
        <v>9</v>
      </c>
      <c r="D2071" t="s">
        <v>10</v>
      </c>
      <c r="E2071">
        <v>2</v>
      </c>
      <c r="F2071" s="1">
        <v>35764</v>
      </c>
      <c r="G2071">
        <v>4.6863829548777298E-4</v>
      </c>
    </row>
    <row r="2072" spans="1:7" x14ac:dyDescent="0.25">
      <c r="A2072" t="s">
        <v>7</v>
      </c>
      <c r="B2072" t="s">
        <v>16</v>
      </c>
      <c r="C2072" t="s">
        <v>9</v>
      </c>
      <c r="D2072" t="s">
        <v>10</v>
      </c>
      <c r="E2072">
        <v>2</v>
      </c>
      <c r="F2072" s="1">
        <v>35795</v>
      </c>
      <c r="G2072">
        <v>2.91065851387226E-2</v>
      </c>
    </row>
    <row r="2073" spans="1:7" x14ac:dyDescent="0.25">
      <c r="A2073" t="s">
        <v>7</v>
      </c>
      <c r="B2073" t="s">
        <v>16</v>
      </c>
      <c r="C2073" t="s">
        <v>9</v>
      </c>
      <c r="D2073" t="s">
        <v>10</v>
      </c>
      <c r="E2073">
        <v>2</v>
      </c>
      <c r="F2073" s="1">
        <v>35826</v>
      </c>
      <c r="G2073">
        <v>-0.13359924592130001</v>
      </c>
    </row>
    <row r="2074" spans="1:7" x14ac:dyDescent="0.25">
      <c r="A2074" t="s">
        <v>7</v>
      </c>
      <c r="B2074" t="s">
        <v>16</v>
      </c>
      <c r="C2074" t="s">
        <v>9</v>
      </c>
      <c r="D2074" t="s">
        <v>10</v>
      </c>
      <c r="E2074">
        <v>2</v>
      </c>
      <c r="F2074" s="1">
        <v>35854</v>
      </c>
      <c r="G2074">
        <v>0.14215368079820601</v>
      </c>
    </row>
    <row r="2075" spans="1:7" x14ac:dyDescent="0.25">
      <c r="A2075" t="s">
        <v>7</v>
      </c>
      <c r="B2075" t="s">
        <v>16</v>
      </c>
      <c r="C2075" t="s">
        <v>9</v>
      </c>
      <c r="D2075" t="s">
        <v>10</v>
      </c>
      <c r="E2075">
        <v>2</v>
      </c>
      <c r="F2075" s="1">
        <v>35885</v>
      </c>
      <c r="G2075">
        <v>-0.11553796858357999</v>
      </c>
    </row>
    <row r="2076" spans="1:7" x14ac:dyDescent="0.25">
      <c r="A2076" t="s">
        <v>7</v>
      </c>
      <c r="B2076" t="s">
        <v>16</v>
      </c>
      <c r="C2076" t="s">
        <v>9</v>
      </c>
      <c r="D2076" t="s">
        <v>10</v>
      </c>
      <c r="E2076">
        <v>2</v>
      </c>
      <c r="F2076" s="1">
        <v>35915</v>
      </c>
      <c r="G2076">
        <v>-0.11453879943492901</v>
      </c>
    </row>
    <row r="2077" spans="1:7" x14ac:dyDescent="0.25">
      <c r="A2077" t="s">
        <v>7</v>
      </c>
      <c r="B2077" t="s">
        <v>16</v>
      </c>
      <c r="C2077" t="s">
        <v>9</v>
      </c>
      <c r="D2077" t="s">
        <v>10</v>
      </c>
      <c r="E2077">
        <v>4</v>
      </c>
      <c r="F2077" s="1">
        <v>35946</v>
      </c>
      <c r="G2077">
        <v>1.09891448532495E-2</v>
      </c>
    </row>
    <row r="2078" spans="1:7" x14ac:dyDescent="0.25">
      <c r="A2078" t="s">
        <v>7</v>
      </c>
      <c r="B2078" t="s">
        <v>16</v>
      </c>
      <c r="C2078" t="s">
        <v>9</v>
      </c>
      <c r="D2078" t="s">
        <v>10</v>
      </c>
      <c r="E2078">
        <v>4</v>
      </c>
      <c r="F2078" s="1">
        <v>35976</v>
      </c>
      <c r="G2078">
        <v>-1.27902793922142E-4</v>
      </c>
    </row>
    <row r="2079" spans="1:7" x14ac:dyDescent="0.25">
      <c r="A2079" t="s">
        <v>7</v>
      </c>
      <c r="B2079" t="s">
        <v>16</v>
      </c>
      <c r="C2079" t="s">
        <v>9</v>
      </c>
      <c r="D2079" t="s">
        <v>10</v>
      </c>
      <c r="E2079">
        <v>3</v>
      </c>
      <c r="F2079" s="1">
        <v>36007</v>
      </c>
      <c r="G2079">
        <v>7.4495184924199404E-2</v>
      </c>
    </row>
    <row r="2080" spans="1:7" x14ac:dyDescent="0.25">
      <c r="A2080" t="s">
        <v>7</v>
      </c>
      <c r="B2080" t="s">
        <v>16</v>
      </c>
      <c r="C2080" t="s">
        <v>9</v>
      </c>
      <c r="D2080" t="s">
        <v>10</v>
      </c>
      <c r="E2080">
        <v>3</v>
      </c>
      <c r="F2080" s="1">
        <v>36038</v>
      </c>
      <c r="G2080">
        <v>-2.44457257586514E-2</v>
      </c>
    </row>
    <row r="2081" spans="1:7" x14ac:dyDescent="0.25">
      <c r="A2081" t="s">
        <v>7</v>
      </c>
      <c r="B2081" t="s">
        <v>16</v>
      </c>
      <c r="C2081" t="s">
        <v>9</v>
      </c>
      <c r="D2081" t="s">
        <v>10</v>
      </c>
      <c r="E2081">
        <v>3</v>
      </c>
      <c r="F2081" s="1">
        <v>36068</v>
      </c>
      <c r="G2081">
        <v>-1.5732137501977599E-2</v>
      </c>
    </row>
    <row r="2082" spans="1:7" x14ac:dyDescent="0.25">
      <c r="A2082" t="s">
        <v>7</v>
      </c>
      <c r="B2082" t="s">
        <v>16</v>
      </c>
      <c r="C2082" t="s">
        <v>9</v>
      </c>
      <c r="D2082" t="s">
        <v>10</v>
      </c>
      <c r="E2082">
        <v>3</v>
      </c>
      <c r="F2082" s="1">
        <v>36099</v>
      </c>
      <c r="G2082">
        <v>-8.3272526179343602E-3</v>
      </c>
    </row>
    <row r="2083" spans="1:7" x14ac:dyDescent="0.25">
      <c r="A2083" t="s">
        <v>7</v>
      </c>
      <c r="B2083" t="s">
        <v>16</v>
      </c>
      <c r="C2083" t="s">
        <v>9</v>
      </c>
      <c r="D2083" t="s">
        <v>10</v>
      </c>
      <c r="E2083">
        <v>3</v>
      </c>
      <c r="F2083" s="1">
        <v>36129</v>
      </c>
      <c r="G2083">
        <v>0.206537965957523</v>
      </c>
    </row>
    <row r="2084" spans="1:7" x14ac:dyDescent="0.25">
      <c r="A2084" t="s">
        <v>7</v>
      </c>
      <c r="B2084" t="s">
        <v>16</v>
      </c>
      <c r="C2084" t="s">
        <v>9</v>
      </c>
      <c r="D2084" t="s">
        <v>10</v>
      </c>
      <c r="E2084">
        <v>4</v>
      </c>
      <c r="F2084" s="1">
        <v>36160</v>
      </c>
      <c r="G2084">
        <v>-1.9294510840505399E-2</v>
      </c>
    </row>
    <row r="2085" spans="1:7" x14ac:dyDescent="0.25">
      <c r="A2085" t="s">
        <v>7</v>
      </c>
      <c r="B2085" t="s">
        <v>16</v>
      </c>
      <c r="C2085" t="s">
        <v>9</v>
      </c>
      <c r="D2085" t="s">
        <v>10</v>
      </c>
      <c r="E2085">
        <v>4</v>
      </c>
      <c r="F2085" s="1">
        <v>36191</v>
      </c>
      <c r="G2085">
        <v>-2.6509903079303902E-2</v>
      </c>
    </row>
    <row r="2086" spans="1:7" x14ac:dyDescent="0.25">
      <c r="A2086" t="s">
        <v>7</v>
      </c>
      <c r="B2086" t="s">
        <v>16</v>
      </c>
      <c r="C2086" t="s">
        <v>9</v>
      </c>
      <c r="D2086" t="s">
        <v>10</v>
      </c>
      <c r="E2086">
        <v>2</v>
      </c>
      <c r="F2086" s="1">
        <v>36219</v>
      </c>
      <c r="G2086">
        <v>2.4593831925510999E-3</v>
      </c>
    </row>
    <row r="2087" spans="1:7" x14ac:dyDescent="0.25">
      <c r="A2087" t="s">
        <v>7</v>
      </c>
      <c r="B2087" t="s">
        <v>16</v>
      </c>
      <c r="C2087" t="s">
        <v>9</v>
      </c>
      <c r="D2087" t="s">
        <v>10</v>
      </c>
      <c r="E2087">
        <v>2</v>
      </c>
      <c r="F2087" s="1">
        <v>36250</v>
      </c>
      <c r="G2087">
        <v>-1.21060386440243E-2</v>
      </c>
    </row>
    <row r="2088" spans="1:7" x14ac:dyDescent="0.25">
      <c r="A2088" t="s">
        <v>7</v>
      </c>
      <c r="B2088" t="s">
        <v>16</v>
      </c>
      <c r="C2088" t="s">
        <v>9</v>
      </c>
      <c r="D2088" t="s">
        <v>10</v>
      </c>
      <c r="E2088">
        <v>2</v>
      </c>
      <c r="F2088" s="1">
        <v>36280</v>
      </c>
      <c r="G2088">
        <v>-0.105438623008394</v>
      </c>
    </row>
    <row r="2089" spans="1:7" x14ac:dyDescent="0.25">
      <c r="A2089" t="s">
        <v>7</v>
      </c>
      <c r="B2089" t="s">
        <v>16</v>
      </c>
      <c r="C2089" t="s">
        <v>9</v>
      </c>
      <c r="D2089" t="s">
        <v>10</v>
      </c>
      <c r="E2089">
        <v>4</v>
      </c>
      <c r="F2089" s="1">
        <v>36311</v>
      </c>
      <c r="G2089">
        <v>1.0109693219470599E-2</v>
      </c>
    </row>
    <row r="2090" spans="1:7" x14ac:dyDescent="0.25">
      <c r="A2090" t="s">
        <v>7</v>
      </c>
      <c r="B2090" t="s">
        <v>16</v>
      </c>
      <c r="C2090" t="s">
        <v>9</v>
      </c>
      <c r="D2090" t="s">
        <v>10</v>
      </c>
      <c r="E2090">
        <v>4</v>
      </c>
      <c r="F2090" s="1">
        <v>36341</v>
      </c>
      <c r="G2090">
        <v>5.8014903602426497E-2</v>
      </c>
    </row>
    <row r="2091" spans="1:7" x14ac:dyDescent="0.25">
      <c r="A2091" t="s">
        <v>7</v>
      </c>
      <c r="B2091" t="s">
        <v>16</v>
      </c>
      <c r="C2091" t="s">
        <v>9</v>
      </c>
      <c r="D2091" t="s">
        <v>10</v>
      </c>
      <c r="E2091">
        <v>4</v>
      </c>
      <c r="F2091" s="1">
        <v>36372</v>
      </c>
      <c r="G2091">
        <v>3.9826082043416103E-2</v>
      </c>
    </row>
    <row r="2092" spans="1:7" x14ac:dyDescent="0.25">
      <c r="A2092" t="s">
        <v>7</v>
      </c>
      <c r="B2092" t="s">
        <v>16</v>
      </c>
      <c r="C2092" t="s">
        <v>9</v>
      </c>
      <c r="D2092" t="s">
        <v>10</v>
      </c>
      <c r="E2092">
        <v>4</v>
      </c>
      <c r="F2092" s="1">
        <v>36403</v>
      </c>
      <c r="G2092">
        <v>4.75853204331282E-2</v>
      </c>
    </row>
    <row r="2093" spans="1:7" x14ac:dyDescent="0.25">
      <c r="A2093" t="s">
        <v>7</v>
      </c>
      <c r="B2093" t="s">
        <v>16</v>
      </c>
      <c r="C2093" t="s">
        <v>9</v>
      </c>
      <c r="D2093" t="s">
        <v>10</v>
      </c>
      <c r="E2093">
        <v>4</v>
      </c>
      <c r="F2093" s="1">
        <v>36433</v>
      </c>
      <c r="G2093">
        <v>-2.8564729519224102E-2</v>
      </c>
    </row>
    <row r="2094" spans="1:7" x14ac:dyDescent="0.25">
      <c r="A2094" t="s">
        <v>7</v>
      </c>
      <c r="B2094" t="s">
        <v>16</v>
      </c>
      <c r="C2094" t="s">
        <v>9</v>
      </c>
      <c r="D2094" t="s">
        <v>10</v>
      </c>
      <c r="E2094">
        <v>4</v>
      </c>
      <c r="F2094" s="1">
        <v>36464</v>
      </c>
      <c r="G2094">
        <v>-4.4864878197985E-2</v>
      </c>
    </row>
    <row r="2095" spans="1:7" x14ac:dyDescent="0.25">
      <c r="A2095" t="s">
        <v>7</v>
      </c>
      <c r="B2095" t="s">
        <v>16</v>
      </c>
      <c r="C2095" t="s">
        <v>9</v>
      </c>
      <c r="D2095" t="s">
        <v>10</v>
      </c>
      <c r="E2095">
        <v>3</v>
      </c>
      <c r="F2095" s="1">
        <v>36494</v>
      </c>
      <c r="G2095">
        <v>0.131335388500921</v>
      </c>
    </row>
    <row r="2096" spans="1:7" x14ac:dyDescent="0.25">
      <c r="A2096" t="s">
        <v>7</v>
      </c>
      <c r="B2096" t="s">
        <v>16</v>
      </c>
      <c r="C2096" t="s">
        <v>9</v>
      </c>
      <c r="D2096" t="s">
        <v>10</v>
      </c>
      <c r="E2096">
        <v>4</v>
      </c>
      <c r="F2096" s="1">
        <v>36525</v>
      </c>
      <c r="G2096">
        <v>-1.71641384329244E-2</v>
      </c>
    </row>
    <row r="2097" spans="1:7" x14ac:dyDescent="0.25">
      <c r="A2097" t="s">
        <v>7</v>
      </c>
      <c r="B2097" t="s">
        <v>16</v>
      </c>
      <c r="C2097" t="s">
        <v>9</v>
      </c>
      <c r="D2097" t="s">
        <v>10</v>
      </c>
      <c r="E2097">
        <v>4</v>
      </c>
      <c r="F2097" s="1">
        <v>36556</v>
      </c>
      <c r="G2097">
        <v>-8.2902862131807198E-2</v>
      </c>
    </row>
    <row r="2098" spans="1:7" x14ac:dyDescent="0.25">
      <c r="A2098" t="s">
        <v>7</v>
      </c>
      <c r="B2098" t="s">
        <v>16</v>
      </c>
      <c r="C2098" t="s">
        <v>9</v>
      </c>
      <c r="D2098" t="s">
        <v>10</v>
      </c>
      <c r="E2098">
        <v>4</v>
      </c>
      <c r="F2098" s="1">
        <v>36585</v>
      </c>
      <c r="G2098">
        <v>-2.32634047172855E-2</v>
      </c>
    </row>
    <row r="2099" spans="1:7" x14ac:dyDescent="0.25">
      <c r="A2099" t="s">
        <v>7</v>
      </c>
      <c r="B2099" t="s">
        <v>16</v>
      </c>
      <c r="C2099" t="s">
        <v>9</v>
      </c>
      <c r="D2099" t="s">
        <v>10</v>
      </c>
      <c r="E2099">
        <v>4</v>
      </c>
      <c r="F2099" s="1">
        <v>36616</v>
      </c>
      <c r="G2099">
        <v>4.8664774983759103E-2</v>
      </c>
    </row>
    <row r="2100" spans="1:7" x14ac:dyDescent="0.25">
      <c r="A2100" t="s">
        <v>7</v>
      </c>
      <c r="B2100" t="s">
        <v>16</v>
      </c>
      <c r="C2100" t="s">
        <v>9</v>
      </c>
      <c r="D2100" t="s">
        <v>10</v>
      </c>
      <c r="E2100">
        <v>4</v>
      </c>
      <c r="F2100" s="1">
        <v>36646</v>
      </c>
      <c r="G2100">
        <v>-5.5961259302518898E-2</v>
      </c>
    </row>
    <row r="2101" spans="1:7" x14ac:dyDescent="0.25">
      <c r="A2101" t="s">
        <v>7</v>
      </c>
      <c r="B2101" t="s">
        <v>16</v>
      </c>
      <c r="C2101" t="s">
        <v>9</v>
      </c>
      <c r="D2101" t="s">
        <v>10</v>
      </c>
      <c r="E2101">
        <v>6</v>
      </c>
      <c r="F2101" s="1">
        <v>36677</v>
      </c>
      <c r="G2101">
        <v>0.15598361823806201</v>
      </c>
    </row>
    <row r="2102" spans="1:7" x14ac:dyDescent="0.25">
      <c r="A2102" t="s">
        <v>7</v>
      </c>
      <c r="B2102" t="s">
        <v>16</v>
      </c>
      <c r="C2102" t="s">
        <v>9</v>
      </c>
      <c r="D2102" t="s">
        <v>10</v>
      </c>
      <c r="E2102">
        <v>6</v>
      </c>
      <c r="F2102" s="1">
        <v>36707</v>
      </c>
      <c r="G2102">
        <v>1.75987953235455E-2</v>
      </c>
    </row>
    <row r="2103" spans="1:7" x14ac:dyDescent="0.25">
      <c r="A2103" t="s">
        <v>7</v>
      </c>
      <c r="B2103" t="s">
        <v>16</v>
      </c>
      <c r="C2103" t="s">
        <v>9</v>
      </c>
      <c r="D2103" t="s">
        <v>10</v>
      </c>
      <c r="E2103">
        <v>6</v>
      </c>
      <c r="F2103" s="1">
        <v>36738</v>
      </c>
      <c r="G2103">
        <v>7.1715344003711601E-2</v>
      </c>
    </row>
    <row r="2104" spans="1:7" x14ac:dyDescent="0.25">
      <c r="A2104" t="s">
        <v>7</v>
      </c>
      <c r="B2104" t="s">
        <v>16</v>
      </c>
      <c r="C2104" t="s">
        <v>9</v>
      </c>
      <c r="D2104" t="s">
        <v>10</v>
      </c>
      <c r="E2104">
        <v>6</v>
      </c>
      <c r="F2104" s="1">
        <v>36769</v>
      </c>
      <c r="G2104">
        <v>2.6848270856120699E-2</v>
      </c>
    </row>
    <row r="2105" spans="1:7" x14ac:dyDescent="0.25">
      <c r="A2105" t="s">
        <v>7</v>
      </c>
      <c r="B2105" t="s">
        <v>16</v>
      </c>
      <c r="C2105" t="s">
        <v>9</v>
      </c>
      <c r="D2105" t="s">
        <v>10</v>
      </c>
      <c r="E2105">
        <v>6</v>
      </c>
      <c r="F2105" s="1">
        <v>36799</v>
      </c>
      <c r="G2105">
        <v>3.40410564942146E-2</v>
      </c>
    </row>
    <row r="2106" spans="1:7" x14ac:dyDescent="0.25">
      <c r="A2106" t="s">
        <v>7</v>
      </c>
      <c r="B2106" t="s">
        <v>16</v>
      </c>
      <c r="C2106" t="s">
        <v>9</v>
      </c>
      <c r="D2106" t="s">
        <v>10</v>
      </c>
      <c r="E2106">
        <v>6</v>
      </c>
      <c r="F2106" s="1">
        <v>36830</v>
      </c>
      <c r="G2106">
        <v>-7.2225875203302703E-2</v>
      </c>
    </row>
    <row r="2107" spans="1:7" x14ac:dyDescent="0.25">
      <c r="A2107" t="s">
        <v>7</v>
      </c>
      <c r="B2107" t="s">
        <v>16</v>
      </c>
      <c r="C2107" t="s">
        <v>9</v>
      </c>
      <c r="D2107" t="s">
        <v>10</v>
      </c>
      <c r="E2107">
        <v>6</v>
      </c>
      <c r="F2107" s="1">
        <v>36860</v>
      </c>
      <c r="G2107">
        <v>-1.2256828067876101E-3</v>
      </c>
    </row>
    <row r="2108" spans="1:7" x14ac:dyDescent="0.25">
      <c r="A2108" t="s">
        <v>7</v>
      </c>
      <c r="B2108" t="s">
        <v>16</v>
      </c>
      <c r="C2108" t="s">
        <v>9</v>
      </c>
      <c r="D2108" t="s">
        <v>10</v>
      </c>
      <c r="E2108">
        <v>7</v>
      </c>
      <c r="F2108" s="1">
        <v>36891</v>
      </c>
      <c r="G2108">
        <v>2.4019517551380501E-2</v>
      </c>
    </row>
    <row r="2109" spans="1:7" x14ac:dyDescent="0.25">
      <c r="A2109" t="s">
        <v>7</v>
      </c>
      <c r="B2109" t="s">
        <v>16</v>
      </c>
      <c r="C2109" t="s">
        <v>9</v>
      </c>
      <c r="D2109" t="s">
        <v>10</v>
      </c>
      <c r="E2109">
        <v>7</v>
      </c>
      <c r="F2109" s="1">
        <v>36922</v>
      </c>
      <c r="G2109">
        <v>-9.6545018325701296E-2</v>
      </c>
    </row>
    <row r="2110" spans="1:7" x14ac:dyDescent="0.25">
      <c r="A2110" t="s">
        <v>7</v>
      </c>
      <c r="B2110" t="s">
        <v>16</v>
      </c>
      <c r="C2110" t="s">
        <v>9</v>
      </c>
      <c r="D2110" t="s">
        <v>10</v>
      </c>
      <c r="E2110">
        <v>7</v>
      </c>
      <c r="F2110" s="1">
        <v>36950</v>
      </c>
      <c r="G2110">
        <v>-2.3207173280333799E-2</v>
      </c>
    </row>
    <row r="2111" spans="1:7" x14ac:dyDescent="0.25">
      <c r="A2111" t="s">
        <v>7</v>
      </c>
      <c r="B2111" t="s">
        <v>16</v>
      </c>
      <c r="C2111" t="s">
        <v>9</v>
      </c>
      <c r="D2111" t="s">
        <v>10</v>
      </c>
      <c r="E2111">
        <v>7</v>
      </c>
      <c r="F2111" s="1">
        <v>36981</v>
      </c>
      <c r="G2111">
        <v>3.4602020786033802E-3</v>
      </c>
    </row>
    <row r="2112" spans="1:7" x14ac:dyDescent="0.25">
      <c r="A2112" t="s">
        <v>7</v>
      </c>
      <c r="B2112" t="s">
        <v>16</v>
      </c>
      <c r="C2112" t="s">
        <v>9</v>
      </c>
      <c r="D2112" t="s">
        <v>10</v>
      </c>
      <c r="E2112">
        <v>6</v>
      </c>
      <c r="F2112" s="1">
        <v>37011</v>
      </c>
      <c r="G2112">
        <v>2.24134976541784E-2</v>
      </c>
    </row>
    <row r="2113" spans="1:7" x14ac:dyDescent="0.25">
      <c r="A2113" t="s">
        <v>7</v>
      </c>
      <c r="B2113" t="s">
        <v>16</v>
      </c>
      <c r="C2113" t="s">
        <v>9</v>
      </c>
      <c r="D2113" t="s">
        <v>10</v>
      </c>
      <c r="E2113">
        <v>7</v>
      </c>
      <c r="F2113" s="1">
        <v>37042</v>
      </c>
      <c r="G2113">
        <v>-2.3793573141730098E-2</v>
      </c>
    </row>
    <row r="2114" spans="1:7" x14ac:dyDescent="0.25">
      <c r="A2114" t="s">
        <v>7</v>
      </c>
      <c r="B2114" t="s">
        <v>16</v>
      </c>
      <c r="C2114" t="s">
        <v>9</v>
      </c>
      <c r="D2114" t="s">
        <v>10</v>
      </c>
      <c r="E2114">
        <v>4</v>
      </c>
      <c r="F2114" s="1">
        <v>37072</v>
      </c>
      <c r="G2114">
        <v>5.3697948610892401E-2</v>
      </c>
    </row>
    <row r="2115" spans="1:7" x14ac:dyDescent="0.25">
      <c r="A2115" t="s">
        <v>7</v>
      </c>
      <c r="B2115" t="s">
        <v>16</v>
      </c>
      <c r="C2115" t="s">
        <v>9</v>
      </c>
      <c r="D2115" t="s">
        <v>10</v>
      </c>
      <c r="E2115">
        <v>4</v>
      </c>
      <c r="F2115" s="1">
        <v>37103</v>
      </c>
      <c r="G2115">
        <v>1.7362771593552598E-2</v>
      </c>
    </row>
    <row r="2116" spans="1:7" x14ac:dyDescent="0.25">
      <c r="A2116" t="s">
        <v>7</v>
      </c>
      <c r="B2116" t="s">
        <v>16</v>
      </c>
      <c r="C2116" t="s">
        <v>9</v>
      </c>
      <c r="D2116" t="s">
        <v>10</v>
      </c>
      <c r="E2116">
        <v>4</v>
      </c>
      <c r="F2116" s="1">
        <v>37134</v>
      </c>
      <c r="G2116">
        <v>4.8973893804033601E-3</v>
      </c>
    </row>
    <row r="2117" spans="1:7" x14ac:dyDescent="0.25">
      <c r="A2117" t="s">
        <v>7</v>
      </c>
      <c r="B2117" t="s">
        <v>16</v>
      </c>
      <c r="C2117" t="s">
        <v>9</v>
      </c>
      <c r="D2117" t="s">
        <v>10</v>
      </c>
      <c r="E2117">
        <v>4</v>
      </c>
      <c r="F2117" s="1">
        <v>37164</v>
      </c>
      <c r="G2117">
        <v>-1.88521365828558E-2</v>
      </c>
    </row>
    <row r="2118" spans="1:7" x14ac:dyDescent="0.25">
      <c r="A2118" t="s">
        <v>7</v>
      </c>
      <c r="B2118" t="s">
        <v>16</v>
      </c>
      <c r="C2118" t="s">
        <v>9</v>
      </c>
      <c r="D2118" t="s">
        <v>10</v>
      </c>
      <c r="E2118">
        <v>2</v>
      </c>
      <c r="F2118" s="1">
        <v>37195</v>
      </c>
      <c r="G2118">
        <v>4.81459321727013E-2</v>
      </c>
    </row>
    <row r="2119" spans="1:7" x14ac:dyDescent="0.25">
      <c r="A2119" t="s">
        <v>7</v>
      </c>
      <c r="B2119" t="s">
        <v>16</v>
      </c>
      <c r="C2119" t="s">
        <v>9</v>
      </c>
      <c r="D2119" t="s">
        <v>10</v>
      </c>
      <c r="E2119">
        <v>2</v>
      </c>
      <c r="F2119" s="1">
        <v>37225</v>
      </c>
      <c r="G2119">
        <v>-2.23301208697545E-2</v>
      </c>
    </row>
    <row r="2120" spans="1:7" x14ac:dyDescent="0.25">
      <c r="A2120" t="s">
        <v>7</v>
      </c>
      <c r="B2120" t="s">
        <v>16</v>
      </c>
      <c r="C2120" t="s">
        <v>9</v>
      </c>
      <c r="D2120" t="s">
        <v>10</v>
      </c>
      <c r="E2120">
        <v>2</v>
      </c>
      <c r="F2120" s="1">
        <v>37256</v>
      </c>
      <c r="G2120">
        <v>-2.3215597042678299E-2</v>
      </c>
    </row>
    <row r="2121" spans="1:7" x14ac:dyDescent="0.25">
      <c r="A2121" t="s">
        <v>7</v>
      </c>
      <c r="B2121" t="s">
        <v>16</v>
      </c>
      <c r="C2121" t="s">
        <v>9</v>
      </c>
      <c r="D2121" t="s">
        <v>10</v>
      </c>
      <c r="E2121">
        <v>4</v>
      </c>
      <c r="F2121" s="1">
        <v>37287</v>
      </c>
      <c r="G2121">
        <v>-1.48257392103827E-2</v>
      </c>
    </row>
    <row r="2122" spans="1:7" x14ac:dyDescent="0.25">
      <c r="A2122" t="s">
        <v>7</v>
      </c>
      <c r="B2122" t="s">
        <v>16</v>
      </c>
      <c r="C2122" t="s">
        <v>9</v>
      </c>
      <c r="D2122" t="s">
        <v>10</v>
      </c>
      <c r="E2122">
        <v>4</v>
      </c>
      <c r="F2122" s="1">
        <v>37315</v>
      </c>
      <c r="G2122">
        <v>5.0803349588271297E-2</v>
      </c>
    </row>
    <row r="2123" spans="1:7" x14ac:dyDescent="0.25">
      <c r="A2123" t="s">
        <v>7</v>
      </c>
      <c r="B2123" t="s">
        <v>16</v>
      </c>
      <c r="C2123" t="s">
        <v>9</v>
      </c>
      <c r="D2123" t="s">
        <v>10</v>
      </c>
      <c r="E2123">
        <v>4</v>
      </c>
      <c r="F2123" s="1">
        <v>37346</v>
      </c>
      <c r="G2123">
        <v>1.51662313639442E-3</v>
      </c>
    </row>
    <row r="2124" spans="1:7" x14ac:dyDescent="0.25">
      <c r="A2124" t="s">
        <v>7</v>
      </c>
      <c r="B2124" t="s">
        <v>16</v>
      </c>
      <c r="C2124" t="s">
        <v>9</v>
      </c>
      <c r="D2124" t="s">
        <v>10</v>
      </c>
      <c r="E2124">
        <v>4</v>
      </c>
      <c r="F2124" s="1">
        <v>37376</v>
      </c>
      <c r="G2124">
        <v>7.17452099121932E-2</v>
      </c>
    </row>
    <row r="2125" spans="1:7" x14ac:dyDescent="0.25">
      <c r="A2125" t="s">
        <v>7</v>
      </c>
      <c r="B2125" t="s">
        <v>16</v>
      </c>
      <c r="C2125" t="s">
        <v>9</v>
      </c>
      <c r="D2125" t="s">
        <v>10</v>
      </c>
      <c r="E2125">
        <v>4</v>
      </c>
      <c r="F2125" s="1">
        <v>37407</v>
      </c>
      <c r="G2125">
        <v>-2.1826541250733099E-2</v>
      </c>
    </row>
    <row r="2126" spans="1:7" x14ac:dyDescent="0.25">
      <c r="A2126" t="s">
        <v>7</v>
      </c>
      <c r="B2126" t="s">
        <v>16</v>
      </c>
      <c r="C2126" t="s">
        <v>9</v>
      </c>
      <c r="D2126" t="s">
        <v>10</v>
      </c>
      <c r="E2126">
        <v>4</v>
      </c>
      <c r="F2126" s="1">
        <v>37437</v>
      </c>
      <c r="G2126">
        <v>-2.87069387217346E-2</v>
      </c>
    </row>
    <row r="2127" spans="1:7" x14ac:dyDescent="0.25">
      <c r="A2127" t="s">
        <v>7</v>
      </c>
      <c r="B2127" t="s">
        <v>16</v>
      </c>
      <c r="C2127" t="s">
        <v>9</v>
      </c>
      <c r="D2127" t="s">
        <v>10</v>
      </c>
      <c r="E2127">
        <v>2</v>
      </c>
      <c r="F2127" s="1">
        <v>37468</v>
      </c>
      <c r="G2127">
        <v>1.6931866226677601E-2</v>
      </c>
    </row>
    <row r="2128" spans="1:7" x14ac:dyDescent="0.25">
      <c r="A2128" t="s">
        <v>7</v>
      </c>
      <c r="B2128" t="s">
        <v>16</v>
      </c>
      <c r="C2128" t="s">
        <v>9</v>
      </c>
      <c r="D2128" t="s">
        <v>10</v>
      </c>
      <c r="E2128">
        <v>2</v>
      </c>
      <c r="F2128" s="1">
        <v>37499</v>
      </c>
      <c r="G2128">
        <v>0.29724614537941002</v>
      </c>
    </row>
    <row r="2129" spans="1:7" x14ac:dyDescent="0.25">
      <c r="A2129" t="s">
        <v>7</v>
      </c>
      <c r="B2129" t="s">
        <v>16</v>
      </c>
      <c r="C2129" t="s">
        <v>9</v>
      </c>
      <c r="D2129" t="s">
        <v>10</v>
      </c>
      <c r="E2129">
        <v>2</v>
      </c>
      <c r="F2129" s="1">
        <v>37529</v>
      </c>
      <c r="G2129">
        <v>-1.90290232635961E-4</v>
      </c>
    </row>
    <row r="2130" spans="1:7" x14ac:dyDescent="0.25">
      <c r="A2130" t="s">
        <v>7</v>
      </c>
      <c r="B2130" t="s">
        <v>16</v>
      </c>
      <c r="C2130" t="s">
        <v>9</v>
      </c>
      <c r="D2130" t="s">
        <v>10</v>
      </c>
      <c r="E2130">
        <v>2</v>
      </c>
      <c r="F2130" s="1">
        <v>37560</v>
      </c>
      <c r="G2130">
        <v>0.13511533897535499</v>
      </c>
    </row>
    <row r="2131" spans="1:7" x14ac:dyDescent="0.25">
      <c r="A2131" t="s">
        <v>7</v>
      </c>
      <c r="B2131" t="s">
        <v>16</v>
      </c>
      <c r="C2131" t="s">
        <v>9</v>
      </c>
      <c r="D2131" t="s">
        <v>10</v>
      </c>
      <c r="E2131">
        <v>2</v>
      </c>
      <c r="F2131" s="1">
        <v>37590</v>
      </c>
      <c r="G2131">
        <v>-5.3678348899975099E-3</v>
      </c>
    </row>
    <row r="2132" spans="1:7" x14ac:dyDescent="0.25">
      <c r="A2132" t="s">
        <v>7</v>
      </c>
      <c r="B2132" t="s">
        <v>16</v>
      </c>
      <c r="C2132" t="s">
        <v>9</v>
      </c>
      <c r="D2132" t="s">
        <v>10</v>
      </c>
      <c r="E2132">
        <v>2</v>
      </c>
      <c r="F2132" s="1">
        <v>37621</v>
      </c>
      <c r="G2132">
        <v>1.70330777871096E-2</v>
      </c>
    </row>
    <row r="2133" spans="1:7" x14ac:dyDescent="0.25">
      <c r="A2133" t="s">
        <v>7</v>
      </c>
      <c r="B2133" t="s">
        <v>16</v>
      </c>
      <c r="C2133" t="s">
        <v>9</v>
      </c>
      <c r="D2133" t="s">
        <v>10</v>
      </c>
      <c r="E2133">
        <v>2</v>
      </c>
      <c r="F2133" s="1">
        <v>37652</v>
      </c>
      <c r="G2133">
        <v>5.5690477131167801E-2</v>
      </c>
    </row>
    <row r="2134" spans="1:7" x14ac:dyDescent="0.25">
      <c r="A2134" t="s">
        <v>7</v>
      </c>
      <c r="B2134" t="s">
        <v>16</v>
      </c>
      <c r="C2134" t="s">
        <v>9</v>
      </c>
      <c r="D2134" t="s">
        <v>10</v>
      </c>
      <c r="E2134">
        <v>2</v>
      </c>
      <c r="F2134" s="1">
        <v>37680</v>
      </c>
      <c r="G2134">
        <v>1.11883904256858E-2</v>
      </c>
    </row>
    <row r="2135" spans="1:7" x14ac:dyDescent="0.25">
      <c r="A2135" t="s">
        <v>7</v>
      </c>
      <c r="B2135" t="s">
        <v>16</v>
      </c>
      <c r="C2135" t="s">
        <v>9</v>
      </c>
      <c r="D2135" t="s">
        <v>10</v>
      </c>
      <c r="E2135">
        <v>2</v>
      </c>
      <c r="F2135" s="1">
        <v>37711</v>
      </c>
      <c r="G2135">
        <v>9.2675066101047199E-2</v>
      </c>
    </row>
    <row r="2136" spans="1:7" x14ac:dyDescent="0.25">
      <c r="A2136" t="s">
        <v>7</v>
      </c>
      <c r="B2136" t="s">
        <v>16</v>
      </c>
      <c r="C2136" t="s">
        <v>9</v>
      </c>
      <c r="D2136" t="s">
        <v>10</v>
      </c>
      <c r="E2136">
        <v>2</v>
      </c>
      <c r="F2136" s="1">
        <v>37741</v>
      </c>
      <c r="G2136">
        <v>-4.4605508662707398E-2</v>
      </c>
    </row>
    <row r="2137" spans="1:7" x14ac:dyDescent="0.25">
      <c r="A2137" t="s">
        <v>7</v>
      </c>
      <c r="B2137" t="s">
        <v>16</v>
      </c>
      <c r="C2137" t="s">
        <v>9</v>
      </c>
      <c r="D2137" t="s">
        <v>10</v>
      </c>
      <c r="E2137">
        <v>2</v>
      </c>
      <c r="F2137" s="1">
        <v>37772</v>
      </c>
      <c r="G2137">
        <v>-6.0892609934445402E-3</v>
      </c>
    </row>
    <row r="2138" spans="1:7" x14ac:dyDescent="0.25">
      <c r="A2138" t="s">
        <v>7</v>
      </c>
      <c r="B2138" t="s">
        <v>16</v>
      </c>
      <c r="C2138" t="s">
        <v>9</v>
      </c>
      <c r="D2138" t="s">
        <v>10</v>
      </c>
      <c r="E2138">
        <v>2</v>
      </c>
      <c r="F2138" s="1">
        <v>37802</v>
      </c>
      <c r="G2138">
        <v>0.22551893455795999</v>
      </c>
    </row>
    <row r="2139" spans="1:7" x14ac:dyDescent="0.25">
      <c r="A2139" t="s">
        <v>7</v>
      </c>
      <c r="B2139" t="s">
        <v>16</v>
      </c>
      <c r="C2139" t="s">
        <v>9</v>
      </c>
      <c r="D2139" t="s">
        <v>10</v>
      </c>
      <c r="E2139">
        <v>2</v>
      </c>
      <c r="F2139" s="1">
        <v>37833</v>
      </c>
      <c r="G2139">
        <v>-9.7551404299255698E-3</v>
      </c>
    </row>
    <row r="2140" spans="1:7" x14ac:dyDescent="0.25">
      <c r="A2140" t="s">
        <v>7</v>
      </c>
      <c r="B2140" t="s">
        <v>16</v>
      </c>
      <c r="C2140" t="s">
        <v>9</v>
      </c>
      <c r="D2140" t="s">
        <v>10</v>
      </c>
      <c r="E2140">
        <v>2</v>
      </c>
      <c r="F2140" s="1">
        <v>37864</v>
      </c>
      <c r="G2140">
        <v>-4.5847039318147299E-2</v>
      </c>
    </row>
    <row r="2141" spans="1:7" x14ac:dyDescent="0.25">
      <c r="A2141" t="s">
        <v>7</v>
      </c>
      <c r="B2141" t="s">
        <v>16</v>
      </c>
      <c r="C2141" t="s">
        <v>9</v>
      </c>
      <c r="D2141" t="s">
        <v>10</v>
      </c>
      <c r="E2141">
        <v>4</v>
      </c>
      <c r="F2141" s="1">
        <v>37894</v>
      </c>
      <c r="G2141">
        <v>-1.9073520804489E-2</v>
      </c>
    </row>
    <row r="2142" spans="1:7" x14ac:dyDescent="0.25">
      <c r="A2142" t="s">
        <v>7</v>
      </c>
      <c r="B2142" t="s">
        <v>16</v>
      </c>
      <c r="C2142" t="s">
        <v>9</v>
      </c>
      <c r="D2142" t="s">
        <v>10</v>
      </c>
      <c r="E2142">
        <v>4</v>
      </c>
      <c r="F2142" s="1">
        <v>37925</v>
      </c>
      <c r="G2142">
        <v>3.8311782147889301E-2</v>
      </c>
    </row>
    <row r="2143" spans="1:7" x14ac:dyDescent="0.25">
      <c r="A2143" t="s">
        <v>7</v>
      </c>
      <c r="B2143" t="s">
        <v>16</v>
      </c>
      <c r="C2143" t="s">
        <v>9</v>
      </c>
      <c r="D2143" t="s">
        <v>10</v>
      </c>
      <c r="E2143">
        <v>4</v>
      </c>
      <c r="F2143" s="1">
        <v>37955</v>
      </c>
      <c r="G2143">
        <v>-2.3489580616350501E-2</v>
      </c>
    </row>
    <row r="2144" spans="1:7" x14ac:dyDescent="0.25">
      <c r="A2144" t="s">
        <v>7</v>
      </c>
      <c r="B2144" t="s">
        <v>16</v>
      </c>
      <c r="C2144" t="s">
        <v>9</v>
      </c>
      <c r="D2144" t="s">
        <v>10</v>
      </c>
      <c r="E2144">
        <v>4</v>
      </c>
      <c r="F2144" s="1">
        <v>37986</v>
      </c>
      <c r="G2144">
        <v>-3.7426596390954497E-2</v>
      </c>
    </row>
    <row r="2145" spans="1:7" x14ac:dyDescent="0.25">
      <c r="A2145" t="s">
        <v>7</v>
      </c>
      <c r="B2145" t="s">
        <v>16</v>
      </c>
      <c r="C2145" t="s">
        <v>9</v>
      </c>
      <c r="D2145" t="s">
        <v>10</v>
      </c>
      <c r="E2145">
        <v>4</v>
      </c>
      <c r="F2145" s="1">
        <v>38017</v>
      </c>
      <c r="G2145">
        <v>4.1741217851294699E-2</v>
      </c>
    </row>
    <row r="2146" spans="1:7" x14ac:dyDescent="0.25">
      <c r="A2146" t="s">
        <v>7</v>
      </c>
      <c r="B2146" t="s">
        <v>16</v>
      </c>
      <c r="C2146" t="s">
        <v>9</v>
      </c>
      <c r="D2146" t="s">
        <v>10</v>
      </c>
      <c r="E2146">
        <v>4</v>
      </c>
      <c r="F2146" s="1">
        <v>38046</v>
      </c>
      <c r="G2146">
        <v>7.1489011768104196E-2</v>
      </c>
    </row>
    <row r="2147" spans="1:7" x14ac:dyDescent="0.25">
      <c r="A2147" t="s">
        <v>7</v>
      </c>
      <c r="B2147" t="s">
        <v>16</v>
      </c>
      <c r="C2147" t="s">
        <v>9</v>
      </c>
      <c r="D2147" t="s">
        <v>10</v>
      </c>
      <c r="E2147">
        <v>4</v>
      </c>
      <c r="F2147" s="1">
        <v>38077</v>
      </c>
      <c r="G2147">
        <v>8.5727840208040893E-3</v>
      </c>
    </row>
    <row r="2148" spans="1:7" x14ac:dyDescent="0.25">
      <c r="A2148" t="s">
        <v>7</v>
      </c>
      <c r="B2148" t="s">
        <v>16</v>
      </c>
      <c r="C2148" t="s">
        <v>9</v>
      </c>
      <c r="D2148" t="s">
        <v>10</v>
      </c>
      <c r="E2148">
        <v>4</v>
      </c>
      <c r="F2148" s="1">
        <v>38107</v>
      </c>
      <c r="G2148">
        <v>5.2724926573236601E-3</v>
      </c>
    </row>
    <row r="2149" spans="1:7" x14ac:dyDescent="0.25">
      <c r="A2149" t="s">
        <v>7</v>
      </c>
      <c r="B2149" t="s">
        <v>16</v>
      </c>
      <c r="C2149" t="s">
        <v>9</v>
      </c>
      <c r="D2149" t="s">
        <v>10</v>
      </c>
      <c r="E2149">
        <v>7</v>
      </c>
      <c r="F2149" s="1">
        <v>38138</v>
      </c>
      <c r="G2149">
        <v>3.8364360246795598E-2</v>
      </c>
    </row>
    <row r="2150" spans="1:7" x14ac:dyDescent="0.25">
      <c r="A2150" t="s">
        <v>7</v>
      </c>
      <c r="B2150" t="s">
        <v>16</v>
      </c>
      <c r="C2150" t="s">
        <v>9</v>
      </c>
      <c r="D2150" t="s">
        <v>10</v>
      </c>
      <c r="E2150">
        <v>5</v>
      </c>
      <c r="F2150" s="1">
        <v>38168</v>
      </c>
      <c r="G2150">
        <v>4.5944564930614096E-3</v>
      </c>
    </row>
    <row r="2151" spans="1:7" x14ac:dyDescent="0.25">
      <c r="A2151" t="s">
        <v>7</v>
      </c>
      <c r="B2151" t="s">
        <v>16</v>
      </c>
      <c r="C2151" t="s">
        <v>9</v>
      </c>
      <c r="D2151" t="s">
        <v>10</v>
      </c>
      <c r="E2151">
        <v>5</v>
      </c>
      <c r="F2151" s="1">
        <v>38199</v>
      </c>
      <c r="G2151">
        <v>-1.8030612581243701E-3</v>
      </c>
    </row>
    <row r="2152" spans="1:7" x14ac:dyDescent="0.25">
      <c r="A2152" t="s">
        <v>7</v>
      </c>
      <c r="B2152" t="s">
        <v>16</v>
      </c>
      <c r="C2152" t="s">
        <v>9</v>
      </c>
      <c r="D2152" t="s">
        <v>10</v>
      </c>
      <c r="E2152">
        <v>7</v>
      </c>
      <c r="F2152" s="1">
        <v>38230</v>
      </c>
      <c r="G2152">
        <v>4.3887803796358503E-2</v>
      </c>
    </row>
    <row r="2153" spans="1:7" x14ac:dyDescent="0.25">
      <c r="A2153" t="s">
        <v>7</v>
      </c>
      <c r="B2153" t="s">
        <v>16</v>
      </c>
      <c r="C2153" t="s">
        <v>9</v>
      </c>
      <c r="D2153" t="s">
        <v>10</v>
      </c>
      <c r="E2153">
        <v>7</v>
      </c>
      <c r="F2153" s="1">
        <v>38260</v>
      </c>
      <c r="G2153">
        <v>-7.0502126181575704E-3</v>
      </c>
    </row>
    <row r="2154" spans="1:7" x14ac:dyDescent="0.25">
      <c r="A2154" t="s">
        <v>7</v>
      </c>
      <c r="B2154" t="s">
        <v>16</v>
      </c>
      <c r="C2154" t="s">
        <v>9</v>
      </c>
      <c r="D2154" t="s">
        <v>10</v>
      </c>
      <c r="E2154">
        <v>7</v>
      </c>
      <c r="F2154" s="1">
        <v>38291</v>
      </c>
      <c r="G2154">
        <v>2.6856706866793801E-2</v>
      </c>
    </row>
    <row r="2155" spans="1:7" x14ac:dyDescent="0.25">
      <c r="A2155" t="s">
        <v>7</v>
      </c>
      <c r="B2155" t="s">
        <v>16</v>
      </c>
      <c r="C2155" t="s">
        <v>9</v>
      </c>
      <c r="D2155" t="s">
        <v>10</v>
      </c>
      <c r="E2155">
        <v>7</v>
      </c>
      <c r="F2155" s="1">
        <v>38321</v>
      </c>
      <c r="G2155">
        <v>3.7546048445257697E-2</v>
      </c>
    </row>
    <row r="2156" spans="1:7" x14ac:dyDescent="0.25">
      <c r="A2156" t="s">
        <v>7</v>
      </c>
      <c r="B2156" t="s">
        <v>16</v>
      </c>
      <c r="C2156" t="s">
        <v>9</v>
      </c>
      <c r="D2156" t="s">
        <v>10</v>
      </c>
      <c r="E2156">
        <v>7</v>
      </c>
      <c r="F2156" s="1">
        <v>38352</v>
      </c>
      <c r="G2156">
        <v>2.79690724772159E-2</v>
      </c>
    </row>
    <row r="2157" spans="1:7" x14ac:dyDescent="0.25">
      <c r="A2157" t="s">
        <v>7</v>
      </c>
      <c r="B2157" t="s">
        <v>16</v>
      </c>
      <c r="C2157" t="s">
        <v>9</v>
      </c>
      <c r="D2157" t="s">
        <v>10</v>
      </c>
      <c r="E2157">
        <v>7</v>
      </c>
      <c r="F2157" s="1">
        <v>38383</v>
      </c>
      <c r="G2157">
        <v>3.0021531103324499E-2</v>
      </c>
    </row>
    <row r="2158" spans="1:7" x14ac:dyDescent="0.25">
      <c r="A2158" t="s">
        <v>7</v>
      </c>
      <c r="B2158" t="s">
        <v>16</v>
      </c>
      <c r="C2158" t="s">
        <v>9</v>
      </c>
      <c r="D2158" t="s">
        <v>10</v>
      </c>
      <c r="E2158">
        <v>7</v>
      </c>
      <c r="F2158" s="1">
        <v>38411</v>
      </c>
      <c r="G2158">
        <v>-3.7950441399132701E-2</v>
      </c>
    </row>
    <row r="2159" spans="1:7" x14ac:dyDescent="0.25">
      <c r="A2159" t="s">
        <v>7</v>
      </c>
      <c r="B2159" t="s">
        <v>16</v>
      </c>
      <c r="C2159" t="s">
        <v>9</v>
      </c>
      <c r="D2159" t="s">
        <v>10</v>
      </c>
      <c r="E2159">
        <v>7</v>
      </c>
      <c r="F2159" s="1">
        <v>38442</v>
      </c>
      <c r="G2159">
        <v>-7.3804639361610899E-3</v>
      </c>
    </row>
    <row r="2160" spans="1:7" x14ac:dyDescent="0.25">
      <c r="A2160" t="s">
        <v>7</v>
      </c>
      <c r="B2160" t="s">
        <v>16</v>
      </c>
      <c r="C2160" t="s">
        <v>9</v>
      </c>
      <c r="D2160" t="s">
        <v>10</v>
      </c>
      <c r="E2160">
        <v>7</v>
      </c>
      <c r="F2160" s="1">
        <v>38472</v>
      </c>
      <c r="G2160">
        <v>3.0741152407135201E-2</v>
      </c>
    </row>
    <row r="2161" spans="1:7" x14ac:dyDescent="0.25">
      <c r="A2161" t="s">
        <v>7</v>
      </c>
      <c r="B2161" t="s">
        <v>16</v>
      </c>
      <c r="C2161" t="s">
        <v>9</v>
      </c>
      <c r="D2161" t="s">
        <v>10</v>
      </c>
      <c r="E2161">
        <v>7</v>
      </c>
      <c r="F2161" s="1">
        <v>38503</v>
      </c>
      <c r="G2161">
        <v>1.87332022633309E-3</v>
      </c>
    </row>
    <row r="2162" spans="1:7" x14ac:dyDescent="0.25">
      <c r="A2162" t="s">
        <v>7</v>
      </c>
      <c r="B2162" t="s">
        <v>16</v>
      </c>
      <c r="C2162" t="s">
        <v>9</v>
      </c>
      <c r="D2162" t="s">
        <v>10</v>
      </c>
      <c r="E2162">
        <v>7</v>
      </c>
      <c r="F2162" s="1">
        <v>38533</v>
      </c>
      <c r="G2162">
        <v>-2.19274012751885E-2</v>
      </c>
    </row>
    <row r="2163" spans="1:7" x14ac:dyDescent="0.25">
      <c r="A2163" t="s">
        <v>7</v>
      </c>
      <c r="B2163" t="s">
        <v>16</v>
      </c>
      <c r="C2163" t="s">
        <v>9</v>
      </c>
      <c r="D2163" t="s">
        <v>10</v>
      </c>
      <c r="E2163">
        <v>7</v>
      </c>
      <c r="F2163" s="1">
        <v>38564</v>
      </c>
      <c r="G2163">
        <v>6.0145975324437301E-2</v>
      </c>
    </row>
    <row r="2164" spans="1:7" x14ac:dyDescent="0.25">
      <c r="A2164" t="s">
        <v>7</v>
      </c>
      <c r="B2164" t="s">
        <v>16</v>
      </c>
      <c r="C2164" t="s">
        <v>9</v>
      </c>
      <c r="D2164" t="s">
        <v>10</v>
      </c>
      <c r="E2164">
        <v>9</v>
      </c>
      <c r="F2164" s="1">
        <v>38595</v>
      </c>
      <c r="G2164">
        <v>1.37874090627514E-2</v>
      </c>
    </row>
    <row r="2165" spans="1:7" x14ac:dyDescent="0.25">
      <c r="A2165" t="s">
        <v>7</v>
      </c>
      <c r="B2165" t="s">
        <v>16</v>
      </c>
      <c r="C2165" t="s">
        <v>9</v>
      </c>
      <c r="D2165" t="s">
        <v>10</v>
      </c>
      <c r="E2165">
        <v>9</v>
      </c>
      <c r="F2165" s="1">
        <v>38625</v>
      </c>
      <c r="G2165">
        <v>-6.2718307808242802E-4</v>
      </c>
    </row>
    <row r="2166" spans="1:7" x14ac:dyDescent="0.25">
      <c r="A2166" t="s">
        <v>7</v>
      </c>
      <c r="B2166" t="s">
        <v>16</v>
      </c>
      <c r="C2166" t="s">
        <v>9</v>
      </c>
      <c r="D2166" t="s">
        <v>10</v>
      </c>
      <c r="E2166">
        <v>9</v>
      </c>
      <c r="F2166" s="1">
        <v>38656</v>
      </c>
      <c r="G2166">
        <v>-2.1537387476951501E-2</v>
      </c>
    </row>
    <row r="2167" spans="1:7" x14ac:dyDescent="0.25">
      <c r="A2167" t="s">
        <v>7</v>
      </c>
      <c r="B2167" t="s">
        <v>16</v>
      </c>
      <c r="C2167" t="s">
        <v>9</v>
      </c>
      <c r="D2167" t="s">
        <v>10</v>
      </c>
      <c r="E2167">
        <v>10</v>
      </c>
      <c r="F2167" s="1">
        <v>38686</v>
      </c>
      <c r="G2167">
        <v>1.2046464186965301E-2</v>
      </c>
    </row>
    <row r="2168" spans="1:7" x14ac:dyDescent="0.25">
      <c r="A2168" t="s">
        <v>7</v>
      </c>
      <c r="B2168" t="s">
        <v>16</v>
      </c>
      <c r="C2168" t="s">
        <v>9</v>
      </c>
      <c r="D2168" t="s">
        <v>10</v>
      </c>
      <c r="E2168">
        <v>10</v>
      </c>
      <c r="F2168" s="1">
        <v>38717</v>
      </c>
      <c r="G2168">
        <v>1.6862038962339902E-2</v>
      </c>
    </row>
    <row r="2169" spans="1:7" x14ac:dyDescent="0.25">
      <c r="A2169" t="s">
        <v>7</v>
      </c>
      <c r="B2169" t="s">
        <v>16</v>
      </c>
      <c r="C2169" t="s">
        <v>9</v>
      </c>
      <c r="D2169" t="s">
        <v>10</v>
      </c>
      <c r="E2169">
        <v>10</v>
      </c>
      <c r="F2169" s="1">
        <v>38748</v>
      </c>
      <c r="G2169">
        <v>-6.0537136975109896E-3</v>
      </c>
    </row>
    <row r="2170" spans="1:7" x14ac:dyDescent="0.25">
      <c r="A2170" t="s">
        <v>7</v>
      </c>
      <c r="B2170" t="s">
        <v>16</v>
      </c>
      <c r="C2170" t="s">
        <v>9</v>
      </c>
      <c r="D2170" t="s">
        <v>10</v>
      </c>
      <c r="E2170">
        <v>9</v>
      </c>
      <c r="F2170" s="1">
        <v>38776</v>
      </c>
      <c r="G2170">
        <v>-8.0709573467751192E-3</v>
      </c>
    </row>
    <row r="2171" spans="1:7" x14ac:dyDescent="0.25">
      <c r="A2171" t="s">
        <v>7</v>
      </c>
      <c r="B2171" t="s">
        <v>16</v>
      </c>
      <c r="C2171" t="s">
        <v>9</v>
      </c>
      <c r="D2171" t="s">
        <v>10</v>
      </c>
      <c r="E2171">
        <v>11</v>
      </c>
      <c r="F2171" s="1">
        <v>38807</v>
      </c>
      <c r="G2171">
        <v>-2.22565324678765E-3</v>
      </c>
    </row>
    <row r="2172" spans="1:7" x14ac:dyDescent="0.25">
      <c r="A2172" t="s">
        <v>7</v>
      </c>
      <c r="B2172" t="s">
        <v>16</v>
      </c>
      <c r="C2172" t="s">
        <v>9</v>
      </c>
      <c r="D2172" t="s">
        <v>10</v>
      </c>
      <c r="E2172">
        <v>10</v>
      </c>
      <c r="F2172" s="1">
        <v>38837</v>
      </c>
      <c r="G2172">
        <v>-3.7711594132707298E-2</v>
      </c>
    </row>
    <row r="2173" spans="1:7" x14ac:dyDescent="0.25">
      <c r="A2173" t="s">
        <v>7</v>
      </c>
      <c r="B2173" t="s">
        <v>16</v>
      </c>
      <c r="C2173" t="s">
        <v>9</v>
      </c>
      <c r="D2173" t="s">
        <v>10</v>
      </c>
      <c r="E2173">
        <v>12</v>
      </c>
      <c r="F2173" s="1">
        <v>38868</v>
      </c>
      <c r="G2173">
        <v>-1.12123146361844E-2</v>
      </c>
    </row>
    <row r="2174" spans="1:7" x14ac:dyDescent="0.25">
      <c r="A2174" t="s">
        <v>7</v>
      </c>
      <c r="B2174" t="s">
        <v>16</v>
      </c>
      <c r="C2174" t="s">
        <v>9</v>
      </c>
      <c r="D2174" t="s">
        <v>10</v>
      </c>
      <c r="E2174">
        <v>12</v>
      </c>
      <c r="F2174" s="1">
        <v>38898</v>
      </c>
      <c r="G2174">
        <v>-2.2309043539127299E-2</v>
      </c>
    </row>
    <row r="2175" spans="1:7" x14ac:dyDescent="0.25">
      <c r="A2175" t="s">
        <v>7</v>
      </c>
      <c r="B2175" t="s">
        <v>16</v>
      </c>
      <c r="C2175" t="s">
        <v>9</v>
      </c>
      <c r="D2175" t="s">
        <v>10</v>
      </c>
      <c r="E2175">
        <v>12</v>
      </c>
      <c r="F2175" s="1">
        <v>38929</v>
      </c>
      <c r="G2175">
        <v>2.10600856280602E-2</v>
      </c>
    </row>
    <row r="2176" spans="1:7" x14ac:dyDescent="0.25">
      <c r="A2176" t="s">
        <v>7</v>
      </c>
      <c r="B2176" t="s">
        <v>16</v>
      </c>
      <c r="C2176" t="s">
        <v>9</v>
      </c>
      <c r="D2176" t="s">
        <v>10</v>
      </c>
      <c r="E2176">
        <v>12</v>
      </c>
      <c r="F2176" s="1">
        <v>38960</v>
      </c>
      <c r="G2176">
        <v>1.39931140455593E-2</v>
      </c>
    </row>
    <row r="2177" spans="1:7" x14ac:dyDescent="0.25">
      <c r="A2177" t="s">
        <v>7</v>
      </c>
      <c r="B2177" t="s">
        <v>16</v>
      </c>
      <c r="C2177" t="s">
        <v>9</v>
      </c>
      <c r="D2177" t="s">
        <v>10</v>
      </c>
      <c r="E2177">
        <v>12</v>
      </c>
      <c r="F2177" s="1">
        <v>38990</v>
      </c>
      <c r="G2177">
        <v>8.4702300716852103E-3</v>
      </c>
    </row>
    <row r="2178" spans="1:7" x14ac:dyDescent="0.25">
      <c r="A2178" t="s">
        <v>7</v>
      </c>
      <c r="B2178" t="s">
        <v>16</v>
      </c>
      <c r="C2178" t="s">
        <v>9</v>
      </c>
      <c r="D2178" t="s">
        <v>10</v>
      </c>
      <c r="E2178">
        <v>12</v>
      </c>
      <c r="F2178" s="1">
        <v>39021</v>
      </c>
      <c r="G2178">
        <v>3.8495723303800301E-3</v>
      </c>
    </row>
    <row r="2179" spans="1:7" x14ac:dyDescent="0.25">
      <c r="A2179" t="s">
        <v>7</v>
      </c>
      <c r="B2179" t="s">
        <v>16</v>
      </c>
      <c r="C2179" t="s">
        <v>9</v>
      </c>
      <c r="D2179" t="s">
        <v>10</v>
      </c>
      <c r="E2179">
        <v>12</v>
      </c>
      <c r="F2179" s="1">
        <v>39051</v>
      </c>
      <c r="G2179">
        <v>-4.4996309228875998E-3</v>
      </c>
    </row>
    <row r="2180" spans="1:7" x14ac:dyDescent="0.25">
      <c r="A2180" t="s">
        <v>7</v>
      </c>
      <c r="B2180" t="s">
        <v>16</v>
      </c>
      <c r="C2180" t="s">
        <v>9</v>
      </c>
      <c r="D2180" t="s">
        <v>10</v>
      </c>
      <c r="E2180">
        <v>12</v>
      </c>
      <c r="F2180" s="1">
        <v>39082</v>
      </c>
      <c r="G2180">
        <v>1.85728363855166E-2</v>
      </c>
    </row>
    <row r="2181" spans="1:7" x14ac:dyDescent="0.25">
      <c r="A2181" t="s">
        <v>7</v>
      </c>
      <c r="B2181" t="s">
        <v>16</v>
      </c>
      <c r="C2181" t="s">
        <v>9</v>
      </c>
      <c r="D2181" t="s">
        <v>10</v>
      </c>
      <c r="E2181">
        <v>12</v>
      </c>
      <c r="F2181" s="1">
        <v>39113</v>
      </c>
      <c r="G2181">
        <v>2.3154313941995599E-3</v>
      </c>
    </row>
    <row r="2182" spans="1:7" x14ac:dyDescent="0.25">
      <c r="A2182" t="s">
        <v>7</v>
      </c>
      <c r="B2182" t="s">
        <v>16</v>
      </c>
      <c r="C2182" t="s">
        <v>9</v>
      </c>
      <c r="D2182" t="s">
        <v>10</v>
      </c>
      <c r="E2182">
        <v>12</v>
      </c>
      <c r="F2182" s="1">
        <v>39141</v>
      </c>
      <c r="G2182">
        <v>-1.0441852083246101E-2</v>
      </c>
    </row>
    <row r="2183" spans="1:7" x14ac:dyDescent="0.25">
      <c r="A2183" t="s">
        <v>7</v>
      </c>
      <c r="B2183" t="s">
        <v>16</v>
      </c>
      <c r="C2183" t="s">
        <v>9</v>
      </c>
      <c r="D2183" t="s">
        <v>10</v>
      </c>
      <c r="E2183">
        <v>12</v>
      </c>
      <c r="F2183" s="1">
        <v>39172</v>
      </c>
      <c r="G2183">
        <v>8.7170390123117395E-3</v>
      </c>
    </row>
    <row r="2184" spans="1:7" x14ac:dyDescent="0.25">
      <c r="A2184" t="s">
        <v>7</v>
      </c>
      <c r="B2184" t="s">
        <v>16</v>
      </c>
      <c r="C2184" t="s">
        <v>9</v>
      </c>
      <c r="D2184" t="s">
        <v>10</v>
      </c>
      <c r="E2184">
        <v>12</v>
      </c>
      <c r="F2184" s="1">
        <v>39202</v>
      </c>
      <c r="G2184">
        <v>-4.7560755484155901E-3</v>
      </c>
    </row>
    <row r="2185" spans="1:7" x14ac:dyDescent="0.25">
      <c r="A2185" t="s">
        <v>7</v>
      </c>
      <c r="B2185" t="s">
        <v>16</v>
      </c>
      <c r="C2185" t="s">
        <v>9</v>
      </c>
      <c r="D2185" t="s">
        <v>10</v>
      </c>
      <c r="E2185">
        <v>12</v>
      </c>
      <c r="F2185" s="1">
        <v>39233</v>
      </c>
      <c r="G2185">
        <v>2.82377645591218E-3</v>
      </c>
    </row>
    <row r="2186" spans="1:7" x14ac:dyDescent="0.25">
      <c r="A2186" t="s">
        <v>7</v>
      </c>
      <c r="B2186" t="s">
        <v>16</v>
      </c>
      <c r="C2186" t="s">
        <v>9</v>
      </c>
      <c r="D2186" t="s">
        <v>10</v>
      </c>
      <c r="E2186">
        <v>12</v>
      </c>
      <c r="F2186" s="1">
        <v>39263</v>
      </c>
      <c r="G2186">
        <v>-1.65395139611016E-2</v>
      </c>
    </row>
    <row r="2187" spans="1:7" x14ac:dyDescent="0.25">
      <c r="A2187" t="s">
        <v>7</v>
      </c>
      <c r="B2187" t="s">
        <v>16</v>
      </c>
      <c r="C2187" t="s">
        <v>9</v>
      </c>
      <c r="D2187" t="s">
        <v>10</v>
      </c>
      <c r="E2187">
        <v>12</v>
      </c>
      <c r="F2187" s="1">
        <v>39294</v>
      </c>
      <c r="G2187">
        <v>2.0181255150121601E-2</v>
      </c>
    </row>
    <row r="2188" spans="1:7" x14ac:dyDescent="0.25">
      <c r="A2188" t="s">
        <v>7</v>
      </c>
      <c r="B2188" t="s">
        <v>16</v>
      </c>
      <c r="C2188" t="s">
        <v>9</v>
      </c>
      <c r="D2188" t="s">
        <v>10</v>
      </c>
      <c r="E2188">
        <v>12</v>
      </c>
      <c r="F2188" s="1">
        <v>39325</v>
      </c>
      <c r="G2188">
        <v>1.7706958931225599E-3</v>
      </c>
    </row>
    <row r="2189" spans="1:7" x14ac:dyDescent="0.25">
      <c r="A2189" t="s">
        <v>7</v>
      </c>
      <c r="B2189" t="s">
        <v>16</v>
      </c>
      <c r="C2189" t="s">
        <v>9</v>
      </c>
      <c r="D2189" t="s">
        <v>10</v>
      </c>
      <c r="E2189">
        <v>12</v>
      </c>
      <c r="F2189" s="1">
        <v>39355</v>
      </c>
      <c r="G2189">
        <v>3.2429487203740502E-3</v>
      </c>
    </row>
    <row r="2190" spans="1:7" x14ac:dyDescent="0.25">
      <c r="A2190" t="s">
        <v>7</v>
      </c>
      <c r="B2190" t="s">
        <v>16</v>
      </c>
      <c r="C2190" t="s">
        <v>9</v>
      </c>
      <c r="D2190" t="s">
        <v>10</v>
      </c>
      <c r="E2190">
        <v>12</v>
      </c>
      <c r="F2190" s="1">
        <v>39386</v>
      </c>
      <c r="G2190">
        <v>1.17380660581708E-2</v>
      </c>
    </row>
    <row r="2191" spans="1:7" x14ac:dyDescent="0.25">
      <c r="A2191" t="s">
        <v>7</v>
      </c>
      <c r="B2191" t="s">
        <v>16</v>
      </c>
      <c r="C2191" t="s">
        <v>9</v>
      </c>
      <c r="D2191" t="s">
        <v>10</v>
      </c>
      <c r="E2191">
        <v>12</v>
      </c>
      <c r="F2191" s="1">
        <v>39416</v>
      </c>
      <c r="G2191">
        <v>1.8525270578584298E-2</v>
      </c>
    </row>
    <row r="2192" spans="1:7" x14ac:dyDescent="0.25">
      <c r="A2192" t="s">
        <v>7</v>
      </c>
      <c r="B2192" t="s">
        <v>16</v>
      </c>
      <c r="C2192" t="s">
        <v>9</v>
      </c>
      <c r="D2192" t="s">
        <v>10</v>
      </c>
      <c r="E2192">
        <v>12</v>
      </c>
      <c r="F2192" s="1">
        <v>39447</v>
      </c>
      <c r="G2192">
        <v>1.6212597622782699E-3</v>
      </c>
    </row>
    <row r="2193" spans="1:7" x14ac:dyDescent="0.25">
      <c r="A2193" t="s">
        <v>7</v>
      </c>
      <c r="B2193" t="s">
        <v>16</v>
      </c>
      <c r="C2193" t="s">
        <v>9</v>
      </c>
      <c r="D2193" t="s">
        <v>10</v>
      </c>
      <c r="E2193">
        <v>12</v>
      </c>
      <c r="F2193" s="1">
        <v>39478</v>
      </c>
      <c r="G2193">
        <v>2.4319660821157602E-3</v>
      </c>
    </row>
    <row r="2194" spans="1:7" x14ac:dyDescent="0.25">
      <c r="A2194" t="s">
        <v>7</v>
      </c>
      <c r="B2194" t="s">
        <v>16</v>
      </c>
      <c r="C2194" t="s">
        <v>9</v>
      </c>
      <c r="D2194" t="s">
        <v>10</v>
      </c>
      <c r="E2194">
        <v>12</v>
      </c>
      <c r="F2194" s="1">
        <v>39507</v>
      </c>
      <c r="G2194">
        <v>-2.76608154241308E-4</v>
      </c>
    </row>
    <row r="2195" spans="1:7" x14ac:dyDescent="0.25">
      <c r="A2195" t="s">
        <v>7</v>
      </c>
      <c r="B2195" t="s">
        <v>16</v>
      </c>
      <c r="C2195" t="s">
        <v>9</v>
      </c>
      <c r="D2195" t="s">
        <v>10</v>
      </c>
      <c r="E2195">
        <v>12</v>
      </c>
      <c r="F2195" s="1">
        <v>39538</v>
      </c>
      <c r="G2195">
        <v>1.4407708159357099E-3</v>
      </c>
    </row>
    <row r="2196" spans="1:7" x14ac:dyDescent="0.25">
      <c r="A2196" t="s">
        <v>7</v>
      </c>
      <c r="B2196" t="s">
        <v>16</v>
      </c>
      <c r="C2196" t="s">
        <v>9</v>
      </c>
      <c r="D2196" t="s">
        <v>10</v>
      </c>
      <c r="E2196">
        <v>12</v>
      </c>
      <c r="F2196" s="1">
        <v>39568</v>
      </c>
      <c r="G2196">
        <v>1.56204107490016E-2</v>
      </c>
    </row>
    <row r="2197" spans="1:7" x14ac:dyDescent="0.25">
      <c r="A2197" t="s">
        <v>7</v>
      </c>
      <c r="B2197" t="s">
        <v>16</v>
      </c>
      <c r="C2197" t="s">
        <v>9</v>
      </c>
      <c r="D2197" t="s">
        <v>10</v>
      </c>
      <c r="E2197">
        <v>12</v>
      </c>
      <c r="F2197" s="1">
        <v>39599</v>
      </c>
      <c r="G2197">
        <v>1.64231716710041E-2</v>
      </c>
    </row>
    <row r="2198" spans="1:7" x14ac:dyDescent="0.25">
      <c r="A2198" t="s">
        <v>7</v>
      </c>
      <c r="B2198" t="s">
        <v>16</v>
      </c>
      <c r="C2198" t="s">
        <v>9</v>
      </c>
      <c r="D2198" t="s">
        <v>10</v>
      </c>
      <c r="E2198">
        <v>12</v>
      </c>
      <c r="F2198" s="1">
        <v>39629</v>
      </c>
      <c r="G2198">
        <v>-1.9245554067179399E-2</v>
      </c>
    </row>
    <row r="2199" spans="1:7" x14ac:dyDescent="0.25">
      <c r="A2199" t="s">
        <v>7</v>
      </c>
      <c r="B2199" t="s">
        <v>16</v>
      </c>
      <c r="C2199" t="s">
        <v>9</v>
      </c>
      <c r="D2199" t="s">
        <v>10</v>
      </c>
      <c r="E2199">
        <v>12</v>
      </c>
      <c r="F2199" s="1">
        <v>39660</v>
      </c>
      <c r="G2199">
        <v>-4.4080765701181697E-2</v>
      </c>
    </row>
    <row r="2200" spans="1:7" x14ac:dyDescent="0.25">
      <c r="A2200" t="s">
        <v>7</v>
      </c>
      <c r="B2200" t="s">
        <v>16</v>
      </c>
      <c r="C2200" t="s">
        <v>9</v>
      </c>
      <c r="D2200" t="s">
        <v>10</v>
      </c>
      <c r="E2200">
        <v>12</v>
      </c>
      <c r="F2200" s="1">
        <v>39691</v>
      </c>
      <c r="G2200">
        <v>3.5718685988486601E-3</v>
      </c>
    </row>
    <row r="2201" spans="1:7" x14ac:dyDescent="0.25">
      <c r="A2201" t="s">
        <v>7</v>
      </c>
      <c r="B2201" t="s">
        <v>16</v>
      </c>
      <c r="C2201" t="s">
        <v>9</v>
      </c>
      <c r="D2201" t="s">
        <v>10</v>
      </c>
      <c r="E2201">
        <v>12</v>
      </c>
      <c r="F2201" s="1">
        <v>39721</v>
      </c>
      <c r="G2201">
        <v>-2.5957910414498199E-4</v>
      </c>
    </row>
    <row r="2202" spans="1:7" x14ac:dyDescent="0.25">
      <c r="A2202" t="s">
        <v>7</v>
      </c>
      <c r="B2202" t="s">
        <v>16</v>
      </c>
      <c r="C2202" t="s">
        <v>9</v>
      </c>
      <c r="D2202" t="s">
        <v>10</v>
      </c>
      <c r="E2202">
        <v>12</v>
      </c>
      <c r="F2202" s="1">
        <v>39752</v>
      </c>
      <c r="G2202">
        <v>-3.7945539697283703E-2</v>
      </c>
    </row>
    <row r="2203" spans="1:7" x14ac:dyDescent="0.25">
      <c r="A2203" t="s">
        <v>7</v>
      </c>
      <c r="B2203" t="s">
        <v>16</v>
      </c>
      <c r="C2203" t="s">
        <v>9</v>
      </c>
      <c r="D2203" t="s">
        <v>10</v>
      </c>
      <c r="E2203">
        <v>12</v>
      </c>
      <c r="F2203" s="1">
        <v>39782</v>
      </c>
      <c r="G2203">
        <v>-1.76839448554332E-2</v>
      </c>
    </row>
    <row r="2204" spans="1:7" x14ac:dyDescent="0.25">
      <c r="A2204" t="s">
        <v>7</v>
      </c>
      <c r="B2204" t="s">
        <v>16</v>
      </c>
      <c r="C2204" t="s">
        <v>9</v>
      </c>
      <c r="D2204" t="s">
        <v>10</v>
      </c>
      <c r="E2204">
        <v>12</v>
      </c>
      <c r="F2204" s="1">
        <v>39813</v>
      </c>
      <c r="G2204">
        <v>2.5374525422255299E-2</v>
      </c>
    </row>
    <row r="2205" spans="1:7" x14ac:dyDescent="0.25">
      <c r="A2205" t="s">
        <v>7</v>
      </c>
      <c r="B2205" t="s">
        <v>16</v>
      </c>
      <c r="C2205" t="s">
        <v>9</v>
      </c>
      <c r="D2205" t="s">
        <v>10</v>
      </c>
      <c r="E2205">
        <v>12</v>
      </c>
      <c r="F2205" s="1">
        <v>39844</v>
      </c>
      <c r="G2205">
        <v>1.4489672708257E-2</v>
      </c>
    </row>
    <row r="2206" spans="1:7" x14ac:dyDescent="0.25">
      <c r="A2206" t="s">
        <v>7</v>
      </c>
      <c r="B2206" t="s">
        <v>16</v>
      </c>
      <c r="C2206" t="s">
        <v>9</v>
      </c>
      <c r="D2206" t="s">
        <v>10</v>
      </c>
      <c r="E2206">
        <v>12</v>
      </c>
      <c r="F2206" s="1">
        <v>39872</v>
      </c>
      <c r="G2206">
        <v>1.32254807845888E-2</v>
      </c>
    </row>
    <row r="2207" spans="1:7" x14ac:dyDescent="0.25">
      <c r="A2207" t="s">
        <v>7</v>
      </c>
      <c r="B2207" t="s">
        <v>16</v>
      </c>
      <c r="C2207" t="s">
        <v>9</v>
      </c>
      <c r="D2207" t="s">
        <v>10</v>
      </c>
      <c r="E2207">
        <v>12</v>
      </c>
      <c r="F2207" s="1">
        <v>39903</v>
      </c>
      <c r="G2207">
        <v>1.16531958199466E-2</v>
      </c>
    </row>
    <row r="2208" spans="1:7" x14ac:dyDescent="0.25">
      <c r="A2208" t="s">
        <v>7</v>
      </c>
      <c r="B2208" t="s">
        <v>16</v>
      </c>
      <c r="C2208" t="s">
        <v>9</v>
      </c>
      <c r="D2208" t="s">
        <v>10</v>
      </c>
      <c r="E2208">
        <v>12</v>
      </c>
      <c r="F2208" s="1">
        <v>39933</v>
      </c>
      <c r="G2208">
        <v>-2.69865180542261E-2</v>
      </c>
    </row>
    <row r="2209" spans="1:7" x14ac:dyDescent="0.25">
      <c r="A2209" t="s">
        <v>7</v>
      </c>
      <c r="B2209" t="s">
        <v>16</v>
      </c>
      <c r="C2209" t="s">
        <v>9</v>
      </c>
      <c r="D2209" t="s">
        <v>10</v>
      </c>
      <c r="E2209">
        <v>11</v>
      </c>
      <c r="F2209" s="1">
        <v>39964</v>
      </c>
      <c r="G2209">
        <v>2.7913077036109098E-3</v>
      </c>
    </row>
    <row r="2210" spans="1:7" x14ac:dyDescent="0.25">
      <c r="A2210" t="s">
        <v>7</v>
      </c>
      <c r="B2210" t="s">
        <v>16</v>
      </c>
      <c r="C2210" t="s">
        <v>9</v>
      </c>
      <c r="D2210" t="s">
        <v>10</v>
      </c>
      <c r="E2210">
        <v>11</v>
      </c>
      <c r="F2210" s="1">
        <v>39994</v>
      </c>
      <c r="G2210">
        <v>8.3122530179305099E-3</v>
      </c>
    </row>
    <row r="2211" spans="1:7" x14ac:dyDescent="0.25">
      <c r="A2211" t="s">
        <v>7</v>
      </c>
      <c r="B2211" t="s">
        <v>16</v>
      </c>
      <c r="C2211" t="s">
        <v>9</v>
      </c>
      <c r="D2211" t="s">
        <v>10</v>
      </c>
      <c r="E2211">
        <v>11</v>
      </c>
      <c r="F2211" s="1">
        <v>40025</v>
      </c>
      <c r="G2211">
        <v>-2.3336742156267298E-2</v>
      </c>
    </row>
    <row r="2212" spans="1:7" x14ac:dyDescent="0.25">
      <c r="A2212" t="s">
        <v>7</v>
      </c>
      <c r="B2212" t="s">
        <v>16</v>
      </c>
      <c r="C2212" t="s">
        <v>9</v>
      </c>
      <c r="D2212" t="s">
        <v>10</v>
      </c>
      <c r="E2212">
        <v>11</v>
      </c>
      <c r="F2212" s="1">
        <v>40056</v>
      </c>
      <c r="G2212">
        <v>-6.2999834057627102E-3</v>
      </c>
    </row>
    <row r="2213" spans="1:7" x14ac:dyDescent="0.25">
      <c r="A2213" t="s">
        <v>7</v>
      </c>
      <c r="B2213" t="s">
        <v>16</v>
      </c>
      <c r="C2213" t="s">
        <v>9</v>
      </c>
      <c r="D2213" t="s">
        <v>10</v>
      </c>
      <c r="E2213">
        <v>11</v>
      </c>
      <c r="F2213" s="1">
        <v>40086</v>
      </c>
      <c r="G2213">
        <v>1.6564952554111599E-3</v>
      </c>
    </row>
    <row r="2214" spans="1:7" x14ac:dyDescent="0.25">
      <c r="A2214" t="s">
        <v>7</v>
      </c>
      <c r="B2214" t="s">
        <v>16</v>
      </c>
      <c r="C2214" t="s">
        <v>9</v>
      </c>
      <c r="D2214" t="s">
        <v>10</v>
      </c>
      <c r="E2214">
        <v>11</v>
      </c>
      <c r="F2214" s="1">
        <v>40117</v>
      </c>
      <c r="G2214">
        <v>-1.6776263679320301E-2</v>
      </c>
    </row>
    <row r="2215" spans="1:7" x14ac:dyDescent="0.25">
      <c r="A2215" t="s">
        <v>7</v>
      </c>
      <c r="B2215" t="s">
        <v>16</v>
      </c>
      <c r="C2215" t="s">
        <v>9</v>
      </c>
      <c r="D2215" t="s">
        <v>10</v>
      </c>
      <c r="E2215">
        <v>11</v>
      </c>
      <c r="F2215" s="1">
        <v>40147</v>
      </c>
      <c r="G2215">
        <v>-4.1493495168642199E-3</v>
      </c>
    </row>
    <row r="2216" spans="1:7" x14ac:dyDescent="0.25">
      <c r="A2216" t="s">
        <v>7</v>
      </c>
      <c r="B2216" t="s">
        <v>16</v>
      </c>
      <c r="C2216" t="s">
        <v>9</v>
      </c>
      <c r="D2216" t="s">
        <v>10</v>
      </c>
      <c r="E2216">
        <v>11</v>
      </c>
      <c r="F2216" s="1">
        <v>40178</v>
      </c>
      <c r="G2216">
        <v>3.3060031956834699E-3</v>
      </c>
    </row>
    <row r="2217" spans="1:7" x14ac:dyDescent="0.25">
      <c r="A2217" t="s">
        <v>7</v>
      </c>
      <c r="B2217" t="s">
        <v>16</v>
      </c>
      <c r="C2217" t="s">
        <v>9</v>
      </c>
      <c r="D2217" t="s">
        <v>10</v>
      </c>
      <c r="E2217">
        <v>12</v>
      </c>
      <c r="F2217" s="1">
        <v>40209</v>
      </c>
      <c r="G2217">
        <v>-4.0891689012362798E-3</v>
      </c>
    </row>
    <row r="2218" spans="1:7" x14ac:dyDescent="0.25">
      <c r="A2218" t="s">
        <v>7</v>
      </c>
      <c r="B2218" t="s">
        <v>16</v>
      </c>
      <c r="C2218" t="s">
        <v>9</v>
      </c>
      <c r="D2218" t="s">
        <v>10</v>
      </c>
      <c r="E2218">
        <v>12</v>
      </c>
      <c r="F2218" s="1">
        <v>40237</v>
      </c>
      <c r="G2218">
        <v>-1.40081686062358E-3</v>
      </c>
    </row>
    <row r="2219" spans="1:7" x14ac:dyDescent="0.25">
      <c r="A2219" t="s">
        <v>7</v>
      </c>
      <c r="B2219" t="s">
        <v>16</v>
      </c>
      <c r="C2219" t="s">
        <v>9</v>
      </c>
      <c r="D2219" t="s">
        <v>10</v>
      </c>
      <c r="E2219">
        <v>12</v>
      </c>
      <c r="F2219" s="1">
        <v>40268</v>
      </c>
      <c r="G2219">
        <v>2.61167283694863E-3</v>
      </c>
    </row>
    <row r="2220" spans="1:7" x14ac:dyDescent="0.25">
      <c r="A2220" t="s">
        <v>7</v>
      </c>
      <c r="B2220" t="s">
        <v>16</v>
      </c>
      <c r="C2220" t="s">
        <v>9</v>
      </c>
      <c r="D2220" t="s">
        <v>10</v>
      </c>
      <c r="E2220">
        <v>12</v>
      </c>
      <c r="F2220" s="1">
        <v>40298</v>
      </c>
      <c r="G2220">
        <v>-9.1513357752902903E-3</v>
      </c>
    </row>
    <row r="2221" spans="1:7" x14ac:dyDescent="0.25">
      <c r="A2221" t="s">
        <v>7</v>
      </c>
      <c r="B2221" t="s">
        <v>16</v>
      </c>
      <c r="C2221" t="s">
        <v>9</v>
      </c>
      <c r="D2221" t="s">
        <v>10</v>
      </c>
      <c r="E2221">
        <v>11</v>
      </c>
      <c r="F2221" s="1">
        <v>40329</v>
      </c>
      <c r="G2221">
        <v>3.34383661349767E-3</v>
      </c>
    </row>
    <row r="2222" spans="1:7" x14ac:dyDescent="0.25">
      <c r="A2222" t="s">
        <v>7</v>
      </c>
      <c r="B2222" t="s">
        <v>16</v>
      </c>
      <c r="C2222" t="s">
        <v>9</v>
      </c>
      <c r="D2222" t="s">
        <v>10</v>
      </c>
      <c r="E2222">
        <v>11</v>
      </c>
      <c r="F2222" s="1">
        <v>40359</v>
      </c>
      <c r="G2222">
        <v>-1.1774201836681399E-3</v>
      </c>
    </row>
    <row r="2223" spans="1:7" x14ac:dyDescent="0.25">
      <c r="A2223" t="s">
        <v>7</v>
      </c>
      <c r="B2223" t="s">
        <v>16</v>
      </c>
      <c r="C2223" t="s">
        <v>9</v>
      </c>
      <c r="D2223" t="s">
        <v>10</v>
      </c>
      <c r="E2223">
        <v>11</v>
      </c>
      <c r="F2223" s="1">
        <v>40390</v>
      </c>
      <c r="G2223">
        <v>2.01616600562981E-2</v>
      </c>
    </row>
    <row r="2224" spans="1:7" x14ac:dyDescent="0.25">
      <c r="A2224" t="s">
        <v>7</v>
      </c>
      <c r="B2224" t="s">
        <v>16</v>
      </c>
      <c r="C2224" t="s">
        <v>9</v>
      </c>
      <c r="D2224" t="s">
        <v>10</v>
      </c>
      <c r="E2224">
        <v>11</v>
      </c>
      <c r="F2224" s="1">
        <v>40421</v>
      </c>
      <c r="G2224">
        <v>-3.9516652429702802E-3</v>
      </c>
    </row>
    <row r="2225" spans="1:7" x14ac:dyDescent="0.25">
      <c r="A2225" t="s">
        <v>7</v>
      </c>
      <c r="B2225" t="s">
        <v>16</v>
      </c>
      <c r="C2225" t="s">
        <v>9</v>
      </c>
      <c r="D2225" t="s">
        <v>10</v>
      </c>
      <c r="E2225">
        <v>11</v>
      </c>
      <c r="F2225" s="1">
        <v>40451</v>
      </c>
      <c r="G2225">
        <v>-1.2065091569111199E-2</v>
      </c>
    </row>
    <row r="2226" spans="1:7" x14ac:dyDescent="0.25">
      <c r="A2226" t="s">
        <v>7</v>
      </c>
      <c r="B2226" t="s">
        <v>16</v>
      </c>
      <c r="C2226" t="s">
        <v>9</v>
      </c>
      <c r="D2226" t="s">
        <v>10</v>
      </c>
      <c r="E2226">
        <v>11</v>
      </c>
      <c r="F2226" s="1">
        <v>40482</v>
      </c>
      <c r="G2226">
        <v>1.31928996131476E-2</v>
      </c>
    </row>
    <row r="2227" spans="1:7" x14ac:dyDescent="0.25">
      <c r="A2227" t="s">
        <v>7</v>
      </c>
      <c r="B2227" t="s">
        <v>16</v>
      </c>
      <c r="C2227" t="s">
        <v>9</v>
      </c>
      <c r="D2227" t="s">
        <v>10</v>
      </c>
      <c r="E2227">
        <v>11</v>
      </c>
      <c r="F2227" s="1">
        <v>40512</v>
      </c>
      <c r="G2227">
        <v>-2.7461586794009698E-3</v>
      </c>
    </row>
    <row r="2228" spans="1:7" x14ac:dyDescent="0.25">
      <c r="A2228" t="s">
        <v>7</v>
      </c>
      <c r="B2228" t="s">
        <v>16</v>
      </c>
      <c r="C2228" t="s">
        <v>9</v>
      </c>
      <c r="D2228" t="s">
        <v>10</v>
      </c>
      <c r="E2228">
        <v>11</v>
      </c>
      <c r="F2228" s="1">
        <v>40543</v>
      </c>
      <c r="G2228">
        <v>-1.19955708305123E-2</v>
      </c>
    </row>
    <row r="2229" spans="1:7" x14ac:dyDescent="0.25">
      <c r="A2229" t="s">
        <v>7</v>
      </c>
      <c r="B2229" t="s">
        <v>16</v>
      </c>
      <c r="C2229" t="s">
        <v>9</v>
      </c>
      <c r="D2229" t="s">
        <v>10</v>
      </c>
      <c r="E2229">
        <v>11</v>
      </c>
      <c r="F2229" s="1">
        <v>40574</v>
      </c>
      <c r="G2229">
        <v>-1.51764183581594E-3</v>
      </c>
    </row>
    <row r="2230" spans="1:7" x14ac:dyDescent="0.25">
      <c r="A2230" t="s">
        <v>7</v>
      </c>
      <c r="B2230" t="s">
        <v>16</v>
      </c>
      <c r="C2230" t="s">
        <v>9</v>
      </c>
      <c r="D2230" t="s">
        <v>10</v>
      </c>
      <c r="E2230">
        <v>11</v>
      </c>
      <c r="F2230" s="1">
        <v>40602</v>
      </c>
      <c r="G2230">
        <v>-8.8043923196999899E-4</v>
      </c>
    </row>
    <row r="2231" spans="1:7" x14ac:dyDescent="0.25">
      <c r="A2231" t="s">
        <v>7</v>
      </c>
      <c r="B2231" t="s">
        <v>16</v>
      </c>
      <c r="C2231" t="s">
        <v>9</v>
      </c>
      <c r="D2231" t="s">
        <v>10</v>
      </c>
      <c r="E2231">
        <v>11</v>
      </c>
      <c r="F2231" s="1">
        <v>40633</v>
      </c>
      <c r="G2231">
        <v>2.49956293468192E-2</v>
      </c>
    </row>
    <row r="2232" spans="1:7" x14ac:dyDescent="0.25">
      <c r="A2232" t="s">
        <v>7</v>
      </c>
      <c r="B2232" t="s">
        <v>16</v>
      </c>
      <c r="C2232" t="s">
        <v>9</v>
      </c>
      <c r="D2232" t="s">
        <v>10</v>
      </c>
      <c r="E2232">
        <v>11</v>
      </c>
      <c r="F2232" s="1">
        <v>40663</v>
      </c>
      <c r="G2232">
        <v>1.5190047026276E-2</v>
      </c>
    </row>
    <row r="2233" spans="1:7" x14ac:dyDescent="0.25">
      <c r="A2233" t="s">
        <v>7</v>
      </c>
      <c r="B2233" t="s">
        <v>16</v>
      </c>
      <c r="C2233" t="s">
        <v>9</v>
      </c>
      <c r="D2233" t="s">
        <v>10</v>
      </c>
      <c r="E2233">
        <v>11</v>
      </c>
      <c r="F2233" s="1">
        <v>40694</v>
      </c>
      <c r="G2233">
        <v>2.0657544651212799E-2</v>
      </c>
    </row>
    <row r="2234" spans="1:7" x14ac:dyDescent="0.25">
      <c r="A2234" t="s">
        <v>7</v>
      </c>
      <c r="B2234" t="s">
        <v>16</v>
      </c>
      <c r="C2234" t="s">
        <v>9</v>
      </c>
      <c r="D2234" t="s">
        <v>10</v>
      </c>
      <c r="E2234">
        <v>11</v>
      </c>
      <c r="F2234" s="1">
        <v>40724</v>
      </c>
      <c r="G2234">
        <v>5.4556199467331997E-3</v>
      </c>
    </row>
    <row r="2235" spans="1:7" x14ac:dyDescent="0.25">
      <c r="A2235" t="s">
        <v>7</v>
      </c>
      <c r="B2235" t="s">
        <v>16</v>
      </c>
      <c r="C2235" t="s">
        <v>9</v>
      </c>
      <c r="D2235" t="s">
        <v>10</v>
      </c>
      <c r="E2235">
        <v>11</v>
      </c>
      <c r="F2235" s="1">
        <v>40755</v>
      </c>
      <c r="G2235">
        <v>-6.7039815003740403E-3</v>
      </c>
    </row>
    <row r="2236" spans="1:7" x14ac:dyDescent="0.25">
      <c r="A2236" t="s">
        <v>7</v>
      </c>
      <c r="B2236" t="s">
        <v>16</v>
      </c>
      <c r="C2236" t="s">
        <v>9</v>
      </c>
      <c r="D2236" t="s">
        <v>10</v>
      </c>
      <c r="E2236">
        <v>12</v>
      </c>
      <c r="F2236" s="1">
        <v>40786</v>
      </c>
      <c r="G2236">
        <v>4.9250675361076496E-3</v>
      </c>
    </row>
    <row r="2237" spans="1:7" x14ac:dyDescent="0.25">
      <c r="A2237" t="s">
        <v>7</v>
      </c>
      <c r="B2237" t="s">
        <v>16</v>
      </c>
      <c r="C2237" t="s">
        <v>9</v>
      </c>
      <c r="D2237" t="s">
        <v>10</v>
      </c>
      <c r="E2237">
        <v>12</v>
      </c>
      <c r="F2237" s="1">
        <v>40816</v>
      </c>
      <c r="G2237">
        <v>1.54242145131146E-2</v>
      </c>
    </row>
    <row r="2238" spans="1:7" x14ac:dyDescent="0.25">
      <c r="A2238" t="s">
        <v>7</v>
      </c>
      <c r="B2238" t="s">
        <v>16</v>
      </c>
      <c r="C2238" t="s">
        <v>9</v>
      </c>
      <c r="D2238" t="s">
        <v>10</v>
      </c>
      <c r="E2238">
        <v>12</v>
      </c>
      <c r="F2238" s="1">
        <v>40847</v>
      </c>
      <c r="G2238">
        <v>-4.7275792687795297E-2</v>
      </c>
    </row>
    <row r="2239" spans="1:7" x14ac:dyDescent="0.25">
      <c r="A2239" t="s">
        <v>7</v>
      </c>
      <c r="B2239" t="s">
        <v>16</v>
      </c>
      <c r="C2239" t="s">
        <v>9</v>
      </c>
      <c r="D2239" t="s">
        <v>10</v>
      </c>
      <c r="E2239">
        <v>12</v>
      </c>
      <c r="F2239" s="1">
        <v>40877</v>
      </c>
      <c r="G2239">
        <v>2.84274569281621E-3</v>
      </c>
    </row>
    <row r="2240" spans="1:7" x14ac:dyDescent="0.25">
      <c r="A2240" t="s">
        <v>7</v>
      </c>
      <c r="B2240" t="s">
        <v>16</v>
      </c>
      <c r="C2240" t="s">
        <v>9</v>
      </c>
      <c r="D2240" t="s">
        <v>10</v>
      </c>
      <c r="E2240">
        <v>12</v>
      </c>
      <c r="F2240" s="1">
        <v>40908</v>
      </c>
      <c r="G2240">
        <v>6.2897568211145102E-3</v>
      </c>
    </row>
    <row r="2241" spans="1:7" x14ac:dyDescent="0.25">
      <c r="A2241" t="s">
        <v>7</v>
      </c>
      <c r="B2241" t="s">
        <v>16</v>
      </c>
      <c r="C2241" t="s">
        <v>9</v>
      </c>
      <c r="D2241" t="s">
        <v>10</v>
      </c>
      <c r="E2241">
        <v>12</v>
      </c>
      <c r="F2241" s="1">
        <v>40939</v>
      </c>
      <c r="G2241">
        <v>-2.3281244170725999E-2</v>
      </c>
    </row>
    <row r="2242" spans="1:7" x14ac:dyDescent="0.25">
      <c r="A2242" t="s">
        <v>7</v>
      </c>
      <c r="B2242" t="s">
        <v>16</v>
      </c>
      <c r="C2242" t="s">
        <v>9</v>
      </c>
      <c r="D2242" t="s">
        <v>10</v>
      </c>
      <c r="E2242">
        <v>12</v>
      </c>
      <c r="F2242" s="1">
        <v>40968</v>
      </c>
      <c r="G2242">
        <v>8.0055115212417094E-3</v>
      </c>
    </row>
    <row r="2243" spans="1:7" x14ac:dyDescent="0.25">
      <c r="A2243" t="s">
        <v>7</v>
      </c>
      <c r="B2243" t="s">
        <v>16</v>
      </c>
      <c r="C2243" t="s">
        <v>9</v>
      </c>
      <c r="D2243" t="s">
        <v>10</v>
      </c>
      <c r="E2243">
        <v>12</v>
      </c>
      <c r="F2243" s="1">
        <v>40999</v>
      </c>
      <c r="G2243">
        <v>1.8730300085622199E-2</v>
      </c>
    </row>
    <row r="2244" spans="1:7" x14ac:dyDescent="0.25">
      <c r="A2244" t="s">
        <v>7</v>
      </c>
      <c r="B2244" t="s">
        <v>16</v>
      </c>
      <c r="C2244" t="s">
        <v>9</v>
      </c>
      <c r="D2244" t="s">
        <v>10</v>
      </c>
      <c r="E2244">
        <v>12</v>
      </c>
      <c r="F2244" s="1">
        <v>41029</v>
      </c>
      <c r="G2244">
        <v>-3.0247112008165802E-3</v>
      </c>
    </row>
    <row r="2245" spans="1:7" x14ac:dyDescent="0.25">
      <c r="A2245" t="s">
        <v>7</v>
      </c>
      <c r="B2245" t="s">
        <v>16</v>
      </c>
      <c r="C2245" t="s">
        <v>9</v>
      </c>
      <c r="D2245" t="s">
        <v>10</v>
      </c>
      <c r="E2245">
        <v>12</v>
      </c>
      <c r="F2245" s="1">
        <v>41060</v>
      </c>
      <c r="G2245">
        <v>1.12117491022952E-2</v>
      </c>
    </row>
    <row r="2246" spans="1:7" x14ac:dyDescent="0.25">
      <c r="A2246" t="s">
        <v>7</v>
      </c>
      <c r="B2246" t="s">
        <v>16</v>
      </c>
      <c r="C2246" t="s">
        <v>9</v>
      </c>
      <c r="D2246" t="s">
        <v>10</v>
      </c>
      <c r="E2246">
        <v>12</v>
      </c>
      <c r="F2246" s="1">
        <v>41090</v>
      </c>
      <c r="G2246">
        <v>1.6414597703033301E-2</v>
      </c>
    </row>
    <row r="2247" spans="1:7" x14ac:dyDescent="0.25">
      <c r="A2247" t="s">
        <v>7</v>
      </c>
      <c r="B2247" t="s">
        <v>16</v>
      </c>
      <c r="C2247" t="s">
        <v>9</v>
      </c>
      <c r="D2247" t="s">
        <v>10</v>
      </c>
      <c r="E2247">
        <v>12</v>
      </c>
      <c r="F2247" s="1">
        <v>41121</v>
      </c>
      <c r="G2247">
        <v>-9.0189926982308603E-3</v>
      </c>
    </row>
    <row r="2248" spans="1:7" x14ac:dyDescent="0.25">
      <c r="A2248" t="s">
        <v>7</v>
      </c>
      <c r="B2248" t="s">
        <v>16</v>
      </c>
      <c r="C2248" t="s">
        <v>9</v>
      </c>
      <c r="D2248" t="s">
        <v>10</v>
      </c>
      <c r="E2248">
        <v>12</v>
      </c>
      <c r="F2248" s="1">
        <v>41152</v>
      </c>
      <c r="G2248">
        <v>-1.13600812005738E-2</v>
      </c>
    </row>
    <row r="2249" spans="1:7" x14ac:dyDescent="0.25">
      <c r="A2249" t="s">
        <v>7</v>
      </c>
      <c r="B2249" t="s">
        <v>16</v>
      </c>
      <c r="C2249" t="s">
        <v>9</v>
      </c>
      <c r="D2249" t="s">
        <v>10</v>
      </c>
      <c r="E2249">
        <v>12</v>
      </c>
      <c r="F2249" s="1">
        <v>41182</v>
      </c>
      <c r="G2249">
        <v>-2.03995026057853E-2</v>
      </c>
    </row>
    <row r="2250" spans="1:7" x14ac:dyDescent="0.25">
      <c r="A2250" t="s">
        <v>7</v>
      </c>
      <c r="B2250" t="s">
        <v>16</v>
      </c>
      <c r="C2250" t="s">
        <v>9</v>
      </c>
      <c r="D2250" t="s">
        <v>10</v>
      </c>
      <c r="E2250">
        <v>12</v>
      </c>
      <c r="F2250" s="1">
        <v>41213</v>
      </c>
      <c r="G2250">
        <v>-3.7821910886683499E-3</v>
      </c>
    </row>
    <row r="2251" spans="1:7" x14ac:dyDescent="0.25">
      <c r="A2251" t="s">
        <v>7</v>
      </c>
      <c r="B2251" t="s">
        <v>16</v>
      </c>
      <c r="C2251" t="s">
        <v>9</v>
      </c>
      <c r="D2251" t="s">
        <v>10</v>
      </c>
      <c r="E2251">
        <v>12</v>
      </c>
      <c r="F2251" s="1">
        <v>41243</v>
      </c>
      <c r="G2251">
        <v>-1.48361838462299E-2</v>
      </c>
    </row>
    <row r="2252" spans="1:7" x14ac:dyDescent="0.25">
      <c r="A2252" t="s">
        <v>7</v>
      </c>
      <c r="B2252" t="s">
        <v>16</v>
      </c>
      <c r="C2252" t="s">
        <v>9</v>
      </c>
      <c r="D2252" t="s">
        <v>10</v>
      </c>
      <c r="E2252">
        <v>12</v>
      </c>
      <c r="F2252" s="1">
        <v>41274</v>
      </c>
      <c r="G2252">
        <v>-9.7389454706218201E-4</v>
      </c>
    </row>
    <row r="2253" spans="1:7" x14ac:dyDescent="0.25">
      <c r="A2253" t="s">
        <v>7</v>
      </c>
      <c r="B2253" t="s">
        <v>16</v>
      </c>
      <c r="C2253" t="s">
        <v>9</v>
      </c>
      <c r="D2253" t="s">
        <v>10</v>
      </c>
      <c r="E2253">
        <v>12</v>
      </c>
      <c r="F2253" s="1">
        <v>41305</v>
      </c>
      <c r="G2253">
        <v>1.9517896507800999E-2</v>
      </c>
    </row>
    <row r="2254" spans="1:7" x14ac:dyDescent="0.25">
      <c r="A2254" t="s">
        <v>7</v>
      </c>
      <c r="B2254" t="s">
        <v>16</v>
      </c>
      <c r="C2254" t="s">
        <v>9</v>
      </c>
      <c r="D2254" t="s">
        <v>10</v>
      </c>
      <c r="E2254">
        <v>12</v>
      </c>
      <c r="F2254" s="1">
        <v>41333</v>
      </c>
      <c r="G2254">
        <v>1.20704972906053E-2</v>
      </c>
    </row>
    <row r="2255" spans="1:7" x14ac:dyDescent="0.25">
      <c r="A2255" t="s">
        <v>7</v>
      </c>
      <c r="B2255" t="s">
        <v>16</v>
      </c>
      <c r="C2255" t="s">
        <v>9</v>
      </c>
      <c r="D2255" t="s">
        <v>10</v>
      </c>
      <c r="E2255">
        <v>12</v>
      </c>
      <c r="F2255" s="1">
        <v>41364</v>
      </c>
      <c r="G2255">
        <v>1.2857248492579401E-2</v>
      </c>
    </row>
    <row r="2256" spans="1:7" x14ac:dyDescent="0.25">
      <c r="A2256" t="s">
        <v>7</v>
      </c>
      <c r="B2256" t="s">
        <v>16</v>
      </c>
      <c r="C2256" t="s">
        <v>9</v>
      </c>
      <c r="D2256" t="s">
        <v>10</v>
      </c>
      <c r="E2256">
        <v>12</v>
      </c>
      <c r="F2256" s="1">
        <v>41394</v>
      </c>
      <c r="G2256">
        <v>-2.1443402847707502E-3</v>
      </c>
    </row>
    <row r="2257" spans="1:7" x14ac:dyDescent="0.25">
      <c r="A2257" t="s">
        <v>7</v>
      </c>
      <c r="B2257" t="s">
        <v>16</v>
      </c>
      <c r="C2257" t="s">
        <v>9</v>
      </c>
      <c r="D2257" t="s">
        <v>10</v>
      </c>
      <c r="E2257">
        <v>12</v>
      </c>
      <c r="F2257" s="1">
        <v>41425</v>
      </c>
      <c r="G2257">
        <v>9.5642601144302897E-3</v>
      </c>
    </row>
    <row r="2258" spans="1:7" x14ac:dyDescent="0.25">
      <c r="A2258" t="s">
        <v>7</v>
      </c>
      <c r="B2258" t="s">
        <v>16</v>
      </c>
      <c r="C2258" t="s">
        <v>9</v>
      </c>
      <c r="D2258" t="s">
        <v>10</v>
      </c>
      <c r="E2258">
        <v>12</v>
      </c>
      <c r="F2258" s="1">
        <v>41455</v>
      </c>
      <c r="G2258">
        <v>2.1348352905621701E-3</v>
      </c>
    </row>
    <row r="2259" spans="1:7" x14ac:dyDescent="0.25">
      <c r="A2259" t="s">
        <v>7</v>
      </c>
      <c r="B2259" t="s">
        <v>16</v>
      </c>
      <c r="C2259" t="s">
        <v>9</v>
      </c>
      <c r="D2259" t="s">
        <v>10</v>
      </c>
      <c r="E2259">
        <v>12</v>
      </c>
      <c r="F2259" s="1">
        <v>41486</v>
      </c>
      <c r="G2259">
        <v>3.5183446652480698E-3</v>
      </c>
    </row>
    <row r="2260" spans="1:7" x14ac:dyDescent="0.25">
      <c r="A2260" t="s">
        <v>7</v>
      </c>
      <c r="B2260" t="s">
        <v>16</v>
      </c>
      <c r="C2260" t="s">
        <v>9</v>
      </c>
      <c r="D2260" t="s">
        <v>10</v>
      </c>
      <c r="E2260">
        <v>12</v>
      </c>
      <c r="F2260" s="1">
        <v>41517</v>
      </c>
      <c r="G2260">
        <v>1.5041271640274899E-2</v>
      </c>
    </row>
    <row r="2261" spans="1:7" x14ac:dyDescent="0.25">
      <c r="A2261" t="s">
        <v>7</v>
      </c>
      <c r="B2261" t="s">
        <v>16</v>
      </c>
      <c r="C2261" t="s">
        <v>9</v>
      </c>
      <c r="D2261" t="s">
        <v>10</v>
      </c>
      <c r="E2261">
        <v>12</v>
      </c>
      <c r="F2261" s="1">
        <v>41547</v>
      </c>
      <c r="G2261">
        <v>-1.4760067776023801E-2</v>
      </c>
    </row>
    <row r="2262" spans="1:7" x14ac:dyDescent="0.25">
      <c r="A2262" t="s">
        <v>7</v>
      </c>
      <c r="B2262" t="s">
        <v>16</v>
      </c>
      <c r="C2262" t="s">
        <v>9</v>
      </c>
      <c r="D2262" t="s">
        <v>10</v>
      </c>
      <c r="E2262">
        <v>12</v>
      </c>
      <c r="F2262" s="1">
        <v>41578</v>
      </c>
      <c r="G2262">
        <v>1.14492043778864E-2</v>
      </c>
    </row>
    <row r="2263" spans="1:7" x14ac:dyDescent="0.25">
      <c r="A2263" t="s">
        <v>7</v>
      </c>
      <c r="B2263" t="s">
        <v>16</v>
      </c>
      <c r="C2263" t="s">
        <v>9</v>
      </c>
      <c r="D2263" t="s">
        <v>10</v>
      </c>
      <c r="E2263">
        <v>12</v>
      </c>
      <c r="F2263" s="1">
        <v>41608</v>
      </c>
      <c r="G2263">
        <v>1.1658544099332299E-2</v>
      </c>
    </row>
    <row r="2264" spans="1:7" x14ac:dyDescent="0.25">
      <c r="A2264" t="s">
        <v>7</v>
      </c>
      <c r="B2264" t="s">
        <v>16</v>
      </c>
      <c r="C2264" t="s">
        <v>9</v>
      </c>
      <c r="D2264" t="s">
        <v>10</v>
      </c>
      <c r="E2264">
        <v>12</v>
      </c>
      <c r="F2264" s="1">
        <v>41639</v>
      </c>
      <c r="G2264">
        <v>5.7603189994034996E-3</v>
      </c>
    </row>
    <row r="2265" spans="1:7" x14ac:dyDescent="0.25">
      <c r="A2265" t="s">
        <v>7</v>
      </c>
      <c r="B2265" t="s">
        <v>16</v>
      </c>
      <c r="C2265" t="s">
        <v>9</v>
      </c>
      <c r="D2265" t="s">
        <v>10</v>
      </c>
      <c r="E2265">
        <v>12</v>
      </c>
      <c r="F2265" s="1">
        <v>41670</v>
      </c>
      <c r="G2265">
        <v>-7.3911837169936797E-3</v>
      </c>
    </row>
    <row r="2266" spans="1:7" x14ac:dyDescent="0.25">
      <c r="A2266" t="s">
        <v>7</v>
      </c>
      <c r="B2266" t="s">
        <v>16</v>
      </c>
      <c r="C2266" t="s">
        <v>9</v>
      </c>
      <c r="D2266" t="s">
        <v>10</v>
      </c>
      <c r="E2266">
        <v>12</v>
      </c>
      <c r="F2266" s="1">
        <v>41698</v>
      </c>
      <c r="G2266">
        <v>7.9886664359207198E-3</v>
      </c>
    </row>
    <row r="2267" spans="1:7" x14ac:dyDescent="0.25">
      <c r="A2267" t="s">
        <v>7</v>
      </c>
      <c r="B2267" t="s">
        <v>16</v>
      </c>
      <c r="C2267" t="s">
        <v>9</v>
      </c>
      <c r="D2267" t="s">
        <v>10</v>
      </c>
      <c r="E2267">
        <v>12</v>
      </c>
      <c r="F2267" s="1">
        <v>41729</v>
      </c>
      <c r="G2267">
        <v>5.6920347062864602E-3</v>
      </c>
    </row>
    <row r="2268" spans="1:7" x14ac:dyDescent="0.25">
      <c r="A2268" t="s">
        <v>7</v>
      </c>
      <c r="B2268" t="s">
        <v>16</v>
      </c>
      <c r="C2268" t="s">
        <v>9</v>
      </c>
      <c r="D2268" t="s">
        <v>10</v>
      </c>
      <c r="E2268">
        <v>12</v>
      </c>
      <c r="F2268" s="1">
        <v>41759</v>
      </c>
      <c r="G2268">
        <v>-2.0649442146473901E-3</v>
      </c>
    </row>
    <row r="2269" spans="1:7" x14ac:dyDescent="0.25">
      <c r="A2269" t="s">
        <v>7</v>
      </c>
      <c r="B2269" t="s">
        <v>16</v>
      </c>
      <c r="C2269" t="s">
        <v>9</v>
      </c>
      <c r="D2269" t="s">
        <v>10</v>
      </c>
      <c r="E2269">
        <v>12</v>
      </c>
      <c r="F2269" s="1">
        <v>41790</v>
      </c>
      <c r="G2269">
        <v>8.6969315239327795E-4</v>
      </c>
    </row>
    <row r="2270" spans="1:7" x14ac:dyDescent="0.25">
      <c r="A2270" t="s">
        <v>7</v>
      </c>
      <c r="B2270" t="s">
        <v>16</v>
      </c>
      <c r="C2270" t="s">
        <v>9</v>
      </c>
      <c r="D2270" t="s">
        <v>10</v>
      </c>
      <c r="E2270">
        <v>12</v>
      </c>
      <c r="F2270" s="1">
        <v>41820</v>
      </c>
      <c r="G2270">
        <v>-5.9816446394500003E-4</v>
      </c>
    </row>
    <row r="2271" spans="1:7" x14ac:dyDescent="0.25">
      <c r="A2271" t="s">
        <v>7</v>
      </c>
      <c r="B2271" t="s">
        <v>16</v>
      </c>
      <c r="C2271" t="s">
        <v>9</v>
      </c>
      <c r="D2271" t="s">
        <v>10</v>
      </c>
      <c r="E2271">
        <v>12</v>
      </c>
      <c r="F2271" s="1">
        <v>41851</v>
      </c>
      <c r="G2271">
        <v>1.26702124957985E-2</v>
      </c>
    </row>
    <row r="2272" spans="1:7" x14ac:dyDescent="0.25">
      <c r="A2272" t="s">
        <v>7</v>
      </c>
      <c r="B2272" t="s">
        <v>16</v>
      </c>
      <c r="C2272" t="s">
        <v>9</v>
      </c>
      <c r="D2272" t="s">
        <v>10</v>
      </c>
      <c r="E2272">
        <v>12</v>
      </c>
      <c r="F2272" s="1">
        <v>41882</v>
      </c>
      <c r="G2272">
        <v>-1.15901051113833E-2</v>
      </c>
    </row>
    <row r="2273" spans="1:7" x14ac:dyDescent="0.25">
      <c r="A2273" t="s">
        <v>7</v>
      </c>
      <c r="B2273" t="s">
        <v>16</v>
      </c>
      <c r="C2273" t="s">
        <v>9</v>
      </c>
      <c r="D2273" t="s">
        <v>10</v>
      </c>
      <c r="E2273">
        <v>12</v>
      </c>
      <c r="F2273" s="1">
        <v>41912</v>
      </c>
      <c r="G2273">
        <v>-5.4621648417086796E-3</v>
      </c>
    </row>
    <row r="2274" spans="1:7" x14ac:dyDescent="0.25">
      <c r="A2274" t="s">
        <v>7</v>
      </c>
      <c r="B2274" t="s">
        <v>16</v>
      </c>
      <c r="C2274" t="s">
        <v>9</v>
      </c>
      <c r="D2274" t="s">
        <v>10</v>
      </c>
      <c r="E2274">
        <v>12</v>
      </c>
      <c r="F2274" s="1">
        <v>41943</v>
      </c>
      <c r="G2274">
        <v>1.65007351709811E-2</v>
      </c>
    </row>
    <row r="2275" spans="1:7" x14ac:dyDescent="0.25">
      <c r="A2275" t="s">
        <v>7</v>
      </c>
      <c r="B2275" t="s">
        <v>16</v>
      </c>
      <c r="C2275" t="s">
        <v>9</v>
      </c>
      <c r="D2275" t="s">
        <v>10</v>
      </c>
      <c r="E2275">
        <v>12</v>
      </c>
      <c r="F2275" s="1">
        <v>41973</v>
      </c>
      <c r="G2275">
        <v>1.6127142599813401E-2</v>
      </c>
    </row>
    <row r="2276" spans="1:7" x14ac:dyDescent="0.25">
      <c r="A2276" t="s">
        <v>7</v>
      </c>
      <c r="B2276" t="s">
        <v>16</v>
      </c>
      <c r="C2276" t="s">
        <v>9</v>
      </c>
      <c r="D2276" t="s">
        <v>10</v>
      </c>
      <c r="E2276">
        <v>12</v>
      </c>
      <c r="F2276" s="1">
        <v>42004</v>
      </c>
      <c r="G2276">
        <v>4.7728090924273603E-3</v>
      </c>
    </row>
    <row r="2277" spans="1:7" x14ac:dyDescent="0.25">
      <c r="A2277" t="s">
        <v>7</v>
      </c>
      <c r="B2277" t="s">
        <v>16</v>
      </c>
      <c r="C2277" t="s">
        <v>9</v>
      </c>
      <c r="D2277" t="s">
        <v>10</v>
      </c>
      <c r="E2277">
        <v>12</v>
      </c>
      <c r="F2277" s="1">
        <v>42035</v>
      </c>
      <c r="G2277">
        <v>-3.1728029448011799E-2</v>
      </c>
    </row>
    <row r="2278" spans="1:7" x14ac:dyDescent="0.25">
      <c r="A2278" t="s">
        <v>7</v>
      </c>
      <c r="B2278" t="s">
        <v>16</v>
      </c>
      <c r="C2278" t="s">
        <v>9</v>
      </c>
      <c r="D2278" t="s">
        <v>10</v>
      </c>
      <c r="E2278">
        <v>12</v>
      </c>
      <c r="F2278" s="1">
        <v>42063</v>
      </c>
      <c r="G2278">
        <v>-7.6021301204234901E-3</v>
      </c>
    </row>
    <row r="2279" spans="1:7" x14ac:dyDescent="0.25">
      <c r="A2279" t="s">
        <v>7</v>
      </c>
      <c r="B2279" t="s">
        <v>16</v>
      </c>
      <c r="C2279" t="s">
        <v>9</v>
      </c>
      <c r="D2279" t="s">
        <v>10</v>
      </c>
      <c r="E2279">
        <v>12</v>
      </c>
      <c r="F2279" s="1">
        <v>42094</v>
      </c>
      <c r="G2279">
        <v>-1.7555194159629001E-3</v>
      </c>
    </row>
    <row r="2280" spans="1:7" x14ac:dyDescent="0.25">
      <c r="A2280" t="s">
        <v>7</v>
      </c>
      <c r="B2280" t="s">
        <v>16</v>
      </c>
      <c r="C2280" t="s">
        <v>9</v>
      </c>
      <c r="D2280" t="s">
        <v>10</v>
      </c>
      <c r="E2280">
        <v>12</v>
      </c>
      <c r="F2280" s="1">
        <v>42124</v>
      </c>
      <c r="G2280">
        <v>1.9455869130358999E-2</v>
      </c>
    </row>
    <row r="2281" spans="1:7" x14ac:dyDescent="0.25">
      <c r="A2281" t="s">
        <v>7</v>
      </c>
      <c r="B2281" t="s">
        <v>16</v>
      </c>
      <c r="C2281" t="s">
        <v>9</v>
      </c>
      <c r="D2281" t="s">
        <v>10</v>
      </c>
      <c r="E2281">
        <v>12</v>
      </c>
      <c r="F2281" s="1">
        <v>42155</v>
      </c>
      <c r="G2281">
        <v>-4.7373209468267001E-3</v>
      </c>
    </row>
    <row r="2282" spans="1:7" x14ac:dyDescent="0.25">
      <c r="A2282" t="s">
        <v>7</v>
      </c>
      <c r="B2282" t="s">
        <v>16</v>
      </c>
      <c r="C2282" t="s">
        <v>9</v>
      </c>
      <c r="D2282" t="s">
        <v>10</v>
      </c>
      <c r="E2282">
        <v>12</v>
      </c>
      <c r="F2282" s="1">
        <v>42185</v>
      </c>
      <c r="G2282">
        <v>8.4301723370051995E-3</v>
      </c>
    </row>
    <row r="2283" spans="1:7" x14ac:dyDescent="0.25">
      <c r="A2283" t="s">
        <v>7</v>
      </c>
      <c r="B2283" t="s">
        <v>16</v>
      </c>
      <c r="C2283" t="s">
        <v>9</v>
      </c>
      <c r="D2283" t="s">
        <v>10</v>
      </c>
      <c r="E2283">
        <v>12</v>
      </c>
      <c r="F2283" s="1">
        <v>42216</v>
      </c>
      <c r="G2283">
        <v>2.9461794223865499E-3</v>
      </c>
    </row>
    <row r="2284" spans="1:7" x14ac:dyDescent="0.25">
      <c r="A2284" t="s">
        <v>7</v>
      </c>
      <c r="B2284" t="s">
        <v>16</v>
      </c>
      <c r="C2284" t="s">
        <v>9</v>
      </c>
      <c r="D2284" t="s">
        <v>10</v>
      </c>
      <c r="E2284">
        <v>12</v>
      </c>
      <c r="F2284" s="1">
        <v>42247</v>
      </c>
      <c r="G2284">
        <v>-2.14810275842117E-2</v>
      </c>
    </row>
    <row r="2285" spans="1:7" x14ac:dyDescent="0.25">
      <c r="A2285" t="s">
        <v>7</v>
      </c>
      <c r="B2285" t="s">
        <v>16</v>
      </c>
      <c r="C2285" t="s">
        <v>9</v>
      </c>
      <c r="D2285" t="s">
        <v>10</v>
      </c>
      <c r="E2285">
        <v>12</v>
      </c>
      <c r="F2285" s="1">
        <v>42277</v>
      </c>
      <c r="G2285">
        <v>-2.6710047990130799E-3</v>
      </c>
    </row>
    <row r="2286" spans="1:7" x14ac:dyDescent="0.25">
      <c r="A2286" t="s">
        <v>7</v>
      </c>
      <c r="B2286" t="s">
        <v>16</v>
      </c>
      <c r="C2286" t="s">
        <v>9</v>
      </c>
      <c r="D2286" t="s">
        <v>10</v>
      </c>
      <c r="E2286">
        <v>12</v>
      </c>
      <c r="F2286" s="1">
        <v>42308</v>
      </c>
      <c r="G2286">
        <v>-2.53839684741189E-2</v>
      </c>
    </row>
    <row r="2287" spans="1:7" x14ac:dyDescent="0.25">
      <c r="A2287" t="s">
        <v>7</v>
      </c>
      <c r="B2287" t="s">
        <v>16</v>
      </c>
      <c r="C2287" t="s">
        <v>9</v>
      </c>
      <c r="D2287" t="s">
        <v>10</v>
      </c>
      <c r="E2287">
        <v>12</v>
      </c>
      <c r="F2287" s="1">
        <v>42338</v>
      </c>
      <c r="G2287">
        <v>6.9311991584471598E-3</v>
      </c>
    </row>
    <row r="2288" spans="1:7" x14ac:dyDescent="0.25">
      <c r="A2288" t="s">
        <v>7</v>
      </c>
      <c r="B2288" t="s">
        <v>16</v>
      </c>
      <c r="C2288" t="s">
        <v>9</v>
      </c>
      <c r="D2288" t="s">
        <v>10</v>
      </c>
      <c r="E2288">
        <v>12</v>
      </c>
      <c r="F2288" s="1">
        <v>42369</v>
      </c>
      <c r="G2288">
        <v>1.5078662796912401E-3</v>
      </c>
    </row>
    <row r="2289" spans="1:7" x14ac:dyDescent="0.25">
      <c r="A2289" t="s">
        <v>7</v>
      </c>
      <c r="B2289" t="s">
        <v>16</v>
      </c>
      <c r="C2289" t="s">
        <v>9</v>
      </c>
      <c r="D2289" t="s">
        <v>10</v>
      </c>
      <c r="E2289">
        <v>12</v>
      </c>
      <c r="F2289" s="1">
        <v>42400</v>
      </c>
      <c r="G2289">
        <v>2.0227010304397601E-3</v>
      </c>
    </row>
    <row r="2290" spans="1:7" x14ac:dyDescent="0.25">
      <c r="A2290" t="s">
        <v>7</v>
      </c>
      <c r="B2290" t="s">
        <v>16</v>
      </c>
      <c r="C2290" t="s">
        <v>9</v>
      </c>
      <c r="D2290" t="s">
        <v>10</v>
      </c>
      <c r="E2290">
        <v>12</v>
      </c>
      <c r="F2290" s="1">
        <v>42429</v>
      </c>
      <c r="G2290">
        <v>8.00908658510695E-4</v>
      </c>
    </row>
    <row r="2291" spans="1:7" x14ac:dyDescent="0.25">
      <c r="A2291" t="s">
        <v>7</v>
      </c>
      <c r="B2291" t="s">
        <v>16</v>
      </c>
      <c r="C2291" t="s">
        <v>9</v>
      </c>
      <c r="D2291" t="s">
        <v>10</v>
      </c>
      <c r="E2291">
        <v>12</v>
      </c>
      <c r="F2291" s="1">
        <v>42460</v>
      </c>
      <c r="G2291">
        <v>-2.48263768393552E-3</v>
      </c>
    </row>
    <row r="2292" spans="1:7" x14ac:dyDescent="0.25">
      <c r="A2292" t="s">
        <v>7</v>
      </c>
      <c r="B2292" t="s">
        <v>16</v>
      </c>
      <c r="C2292" t="s">
        <v>9</v>
      </c>
      <c r="D2292" t="s">
        <v>10</v>
      </c>
      <c r="E2292">
        <v>12</v>
      </c>
      <c r="F2292" s="1">
        <v>42490</v>
      </c>
      <c r="G2292">
        <v>-2.4910869717242001E-2</v>
      </c>
    </row>
    <row r="2293" spans="1:7" x14ac:dyDescent="0.25">
      <c r="A2293" t="s">
        <v>7</v>
      </c>
      <c r="B2293" t="s">
        <v>16</v>
      </c>
      <c r="C2293" t="s">
        <v>9</v>
      </c>
      <c r="D2293" t="s">
        <v>10</v>
      </c>
      <c r="E2293">
        <v>12</v>
      </c>
      <c r="F2293" s="1">
        <v>42521</v>
      </c>
      <c r="G2293">
        <v>1.6706850020329001E-2</v>
      </c>
    </row>
    <row r="2294" spans="1:7" x14ac:dyDescent="0.25">
      <c r="A2294" t="s">
        <v>7</v>
      </c>
      <c r="B2294" t="s">
        <v>16</v>
      </c>
      <c r="C2294" t="s">
        <v>9</v>
      </c>
      <c r="D2294" t="s">
        <v>10</v>
      </c>
      <c r="E2294">
        <v>12</v>
      </c>
      <c r="F2294" s="1">
        <v>42551</v>
      </c>
      <c r="G2294">
        <v>-3.4110744021883903E-2</v>
      </c>
    </row>
    <row r="2295" spans="1:7" x14ac:dyDescent="0.25">
      <c r="A2295" t="s">
        <v>7</v>
      </c>
      <c r="B2295" t="s">
        <v>16</v>
      </c>
      <c r="C2295" t="s">
        <v>9</v>
      </c>
      <c r="D2295" t="s">
        <v>10</v>
      </c>
      <c r="E2295">
        <v>12</v>
      </c>
      <c r="F2295" s="1">
        <v>42582</v>
      </c>
      <c r="G2295">
        <v>-3.56108469104785E-2</v>
      </c>
    </row>
    <row r="2296" spans="1:7" x14ac:dyDescent="0.25">
      <c r="A2296" t="s">
        <v>7</v>
      </c>
      <c r="B2296" t="s">
        <v>16</v>
      </c>
      <c r="C2296" t="s">
        <v>9</v>
      </c>
      <c r="D2296" t="s">
        <v>10</v>
      </c>
      <c r="E2296">
        <v>12</v>
      </c>
      <c r="F2296" s="1">
        <v>42613</v>
      </c>
      <c r="G2296">
        <v>6.5759873242876002E-4</v>
      </c>
    </row>
    <row r="2297" spans="1:7" x14ac:dyDescent="0.25">
      <c r="A2297" t="s">
        <v>7</v>
      </c>
      <c r="B2297" t="s">
        <v>16</v>
      </c>
      <c r="C2297" t="s">
        <v>9</v>
      </c>
      <c r="D2297" t="s">
        <v>10</v>
      </c>
      <c r="E2297">
        <v>12</v>
      </c>
      <c r="F2297" s="1">
        <v>42643</v>
      </c>
      <c r="G2297">
        <v>9.6987681463070897E-3</v>
      </c>
    </row>
    <row r="2298" spans="1:7" x14ac:dyDescent="0.25">
      <c r="A2298" t="s">
        <v>7</v>
      </c>
      <c r="B2298" t="s">
        <v>16</v>
      </c>
      <c r="C2298" t="s">
        <v>9</v>
      </c>
      <c r="D2298" t="s">
        <v>10</v>
      </c>
      <c r="E2298">
        <v>12</v>
      </c>
      <c r="F2298" s="1">
        <v>42674</v>
      </c>
      <c r="G2298">
        <v>2.8890815419387601E-2</v>
      </c>
    </row>
    <row r="2299" spans="1:7" x14ac:dyDescent="0.25">
      <c r="A2299" t="s">
        <v>7</v>
      </c>
      <c r="B2299" t="s">
        <v>16</v>
      </c>
      <c r="C2299" t="s">
        <v>9</v>
      </c>
      <c r="D2299" t="s">
        <v>10</v>
      </c>
      <c r="E2299">
        <v>12</v>
      </c>
      <c r="F2299" s="1">
        <v>42704</v>
      </c>
      <c r="G2299">
        <v>9.7715669766144791E-3</v>
      </c>
    </row>
    <row r="2300" spans="1:7" x14ac:dyDescent="0.25">
      <c r="A2300" t="s">
        <v>7</v>
      </c>
      <c r="B2300" t="s">
        <v>16</v>
      </c>
      <c r="C2300" t="s">
        <v>9</v>
      </c>
      <c r="D2300" t="s">
        <v>10</v>
      </c>
      <c r="E2300">
        <v>12</v>
      </c>
      <c r="F2300" s="1">
        <v>42735</v>
      </c>
      <c r="G2300">
        <v>9.9494877056965705E-3</v>
      </c>
    </row>
    <row r="2301" spans="1:7" x14ac:dyDescent="0.25">
      <c r="A2301" t="s">
        <v>7</v>
      </c>
      <c r="B2301" t="s">
        <v>16</v>
      </c>
      <c r="C2301" t="s">
        <v>9</v>
      </c>
      <c r="D2301" t="s">
        <v>10</v>
      </c>
      <c r="E2301">
        <v>12</v>
      </c>
      <c r="F2301" s="1">
        <v>42766</v>
      </c>
      <c r="G2301">
        <v>-5.5568608081087998E-3</v>
      </c>
    </row>
    <row r="2302" spans="1:7" x14ac:dyDescent="0.25">
      <c r="A2302" t="s">
        <v>7</v>
      </c>
      <c r="B2302" t="s">
        <v>16</v>
      </c>
      <c r="C2302" t="s">
        <v>9</v>
      </c>
      <c r="D2302" t="s">
        <v>10</v>
      </c>
      <c r="E2302">
        <v>12</v>
      </c>
      <c r="F2302" s="1">
        <v>42794</v>
      </c>
      <c r="G2302">
        <v>1.9393083958025099E-2</v>
      </c>
    </row>
    <row r="2303" spans="1:7" x14ac:dyDescent="0.25">
      <c r="A2303" t="s">
        <v>7</v>
      </c>
      <c r="B2303" t="s">
        <v>16</v>
      </c>
      <c r="C2303" t="s">
        <v>9</v>
      </c>
      <c r="D2303" t="s">
        <v>10</v>
      </c>
      <c r="E2303">
        <v>12</v>
      </c>
      <c r="F2303" s="1">
        <v>42825</v>
      </c>
      <c r="G2303">
        <v>1.06731987372528E-3</v>
      </c>
    </row>
    <row r="2304" spans="1:7" x14ac:dyDescent="0.25">
      <c r="A2304" t="s">
        <v>7</v>
      </c>
      <c r="B2304" t="s">
        <v>16</v>
      </c>
      <c r="C2304" t="s">
        <v>9</v>
      </c>
      <c r="D2304" t="s">
        <v>10</v>
      </c>
      <c r="E2304">
        <v>12</v>
      </c>
      <c r="F2304" s="1">
        <v>42855</v>
      </c>
      <c r="G2304">
        <v>2.8619430977684501E-3</v>
      </c>
    </row>
    <row r="2305" spans="1:7" x14ac:dyDescent="0.25">
      <c r="A2305" t="s">
        <v>7</v>
      </c>
      <c r="B2305" t="s">
        <v>16</v>
      </c>
      <c r="C2305" t="s">
        <v>9</v>
      </c>
      <c r="D2305" t="s">
        <v>10</v>
      </c>
      <c r="E2305">
        <v>12</v>
      </c>
      <c r="F2305" s="1">
        <v>42886</v>
      </c>
      <c r="G2305">
        <v>1.1761572662383601E-2</v>
      </c>
    </row>
    <row r="2306" spans="1:7" x14ac:dyDescent="0.25">
      <c r="A2306" t="s">
        <v>7</v>
      </c>
      <c r="B2306" t="s">
        <v>16</v>
      </c>
      <c r="C2306" t="s">
        <v>9</v>
      </c>
      <c r="D2306" t="s">
        <v>10</v>
      </c>
      <c r="E2306">
        <v>12</v>
      </c>
      <c r="F2306" s="1">
        <v>42916</v>
      </c>
      <c r="G2306">
        <v>9.8544284595285803E-3</v>
      </c>
    </row>
    <row r="2307" spans="1:7" x14ac:dyDescent="0.25">
      <c r="A2307" t="s">
        <v>7</v>
      </c>
      <c r="B2307" t="s">
        <v>16</v>
      </c>
      <c r="C2307" t="s">
        <v>9</v>
      </c>
      <c r="D2307" t="s">
        <v>10</v>
      </c>
      <c r="E2307">
        <v>12</v>
      </c>
      <c r="F2307" s="1">
        <v>42947</v>
      </c>
      <c r="G2307">
        <v>2.01017971051752E-2</v>
      </c>
    </row>
    <row r="2308" spans="1:7" x14ac:dyDescent="0.25">
      <c r="A2308" t="s">
        <v>7</v>
      </c>
      <c r="B2308" t="s">
        <v>16</v>
      </c>
      <c r="C2308" t="s">
        <v>9</v>
      </c>
      <c r="D2308" t="s">
        <v>10</v>
      </c>
      <c r="E2308">
        <v>12</v>
      </c>
      <c r="F2308" s="1">
        <v>42978</v>
      </c>
      <c r="G2308">
        <v>-5.3308855939215296E-3</v>
      </c>
    </row>
    <row r="2309" spans="1:7" x14ac:dyDescent="0.25">
      <c r="A2309" t="s">
        <v>7</v>
      </c>
      <c r="B2309" t="s">
        <v>16</v>
      </c>
      <c r="C2309" t="s">
        <v>9</v>
      </c>
      <c r="D2309" t="s">
        <v>10</v>
      </c>
      <c r="E2309">
        <v>12</v>
      </c>
      <c r="F2309" s="1">
        <v>43008</v>
      </c>
      <c r="G2309">
        <v>-3.42787486555368E-3</v>
      </c>
    </row>
    <row r="2310" spans="1:7" x14ac:dyDescent="0.25">
      <c r="A2310" t="s">
        <v>7</v>
      </c>
      <c r="B2310" t="s">
        <v>16</v>
      </c>
      <c r="C2310" t="s">
        <v>9</v>
      </c>
      <c r="D2310" t="s">
        <v>10</v>
      </c>
      <c r="E2310">
        <v>12</v>
      </c>
      <c r="F2310" s="1">
        <v>43039</v>
      </c>
      <c r="G2310">
        <v>-2.0965118955915299E-3</v>
      </c>
    </row>
    <row r="2311" spans="1:7" x14ac:dyDescent="0.25">
      <c r="A2311" t="s">
        <v>7</v>
      </c>
      <c r="B2311" t="s">
        <v>16</v>
      </c>
      <c r="C2311" t="s">
        <v>9</v>
      </c>
      <c r="D2311" t="s">
        <v>10</v>
      </c>
      <c r="E2311">
        <v>12</v>
      </c>
      <c r="F2311" s="1">
        <v>43069</v>
      </c>
      <c r="G2311">
        <v>-5.4327581478592901E-3</v>
      </c>
    </row>
    <row r="2312" spans="1:7" x14ac:dyDescent="0.25">
      <c r="A2312" t="s">
        <v>7</v>
      </c>
      <c r="B2312" t="s">
        <v>16</v>
      </c>
      <c r="C2312" t="s">
        <v>9</v>
      </c>
      <c r="D2312" t="s">
        <v>10</v>
      </c>
      <c r="E2312">
        <v>12</v>
      </c>
      <c r="F2312" s="1">
        <v>43100</v>
      </c>
      <c r="G2312">
        <v>1.5771326912305799E-2</v>
      </c>
    </row>
    <row r="2313" spans="1:7" x14ac:dyDescent="0.25">
      <c r="A2313" t="s">
        <v>7</v>
      </c>
      <c r="B2313" t="s">
        <v>16</v>
      </c>
      <c r="C2313" t="s">
        <v>9</v>
      </c>
      <c r="D2313" t="s">
        <v>10</v>
      </c>
      <c r="E2313">
        <v>12</v>
      </c>
      <c r="F2313" s="1">
        <v>43131</v>
      </c>
      <c r="G2313">
        <v>-1.48649434932636E-2</v>
      </c>
    </row>
    <row r="2314" spans="1:7" x14ac:dyDescent="0.25">
      <c r="A2314" t="s">
        <v>7</v>
      </c>
      <c r="B2314" t="s">
        <v>16</v>
      </c>
      <c r="C2314" t="s">
        <v>9</v>
      </c>
      <c r="D2314" t="s">
        <v>10</v>
      </c>
      <c r="E2314">
        <v>12</v>
      </c>
      <c r="F2314" s="1">
        <v>43159</v>
      </c>
      <c r="G2314">
        <v>1.9604010548401898E-2</v>
      </c>
    </row>
    <row r="2315" spans="1:7" x14ac:dyDescent="0.25">
      <c r="A2315" t="s">
        <v>7</v>
      </c>
      <c r="B2315" t="s">
        <v>16</v>
      </c>
      <c r="C2315" t="s">
        <v>9</v>
      </c>
      <c r="D2315" t="s">
        <v>10</v>
      </c>
      <c r="E2315">
        <v>12</v>
      </c>
      <c r="F2315" s="1">
        <v>43190</v>
      </c>
      <c r="G2315">
        <v>1.2806125913413799E-2</v>
      </c>
    </row>
    <row r="2316" spans="1:7" x14ac:dyDescent="0.25">
      <c r="A2316" t="s">
        <v>7</v>
      </c>
      <c r="B2316" t="s">
        <v>16</v>
      </c>
      <c r="C2316" t="s">
        <v>9</v>
      </c>
      <c r="D2316" t="s">
        <v>10</v>
      </c>
      <c r="E2316">
        <v>12</v>
      </c>
      <c r="F2316" s="1">
        <v>43220</v>
      </c>
      <c r="G2316">
        <v>3.023826569989E-2</v>
      </c>
    </row>
    <row r="2317" spans="1:7" x14ac:dyDescent="0.25">
      <c r="A2317" t="s">
        <v>7</v>
      </c>
      <c r="B2317" t="s">
        <v>16</v>
      </c>
      <c r="C2317" t="s">
        <v>9</v>
      </c>
      <c r="D2317" t="s">
        <v>10</v>
      </c>
      <c r="E2317">
        <v>12</v>
      </c>
      <c r="F2317" s="1">
        <v>43251</v>
      </c>
      <c r="G2317">
        <v>1.8410655344555198E-2</v>
      </c>
    </row>
    <row r="2318" spans="1:7" x14ac:dyDescent="0.25">
      <c r="A2318" t="s">
        <v>7</v>
      </c>
      <c r="B2318" t="s">
        <v>16</v>
      </c>
      <c r="C2318" t="s">
        <v>9</v>
      </c>
      <c r="D2318" t="s">
        <v>10</v>
      </c>
      <c r="E2318">
        <v>12</v>
      </c>
      <c r="F2318" s="1">
        <v>43281</v>
      </c>
      <c r="G2318">
        <v>1.7854561218468901E-2</v>
      </c>
    </row>
    <row r="2319" spans="1:7" x14ac:dyDescent="0.25">
      <c r="A2319" t="s">
        <v>7</v>
      </c>
      <c r="B2319" t="s">
        <v>16</v>
      </c>
      <c r="C2319" t="s">
        <v>9</v>
      </c>
      <c r="D2319" t="s">
        <v>10</v>
      </c>
      <c r="E2319">
        <v>12</v>
      </c>
      <c r="F2319" s="1">
        <v>43312</v>
      </c>
      <c r="G2319">
        <v>7.0210728751752098E-3</v>
      </c>
    </row>
    <row r="2320" spans="1:7" x14ac:dyDescent="0.25">
      <c r="A2320" t="s">
        <v>7</v>
      </c>
      <c r="B2320" t="s">
        <v>16</v>
      </c>
      <c r="C2320" t="s">
        <v>9</v>
      </c>
      <c r="D2320" t="s">
        <v>10</v>
      </c>
      <c r="E2320">
        <v>12</v>
      </c>
      <c r="F2320" s="1">
        <v>43343</v>
      </c>
      <c r="G2320">
        <v>-3.3264758327006599E-3</v>
      </c>
    </row>
    <row r="2321" spans="1:7" x14ac:dyDescent="0.25">
      <c r="A2321" t="s">
        <v>7</v>
      </c>
      <c r="B2321" t="s">
        <v>16</v>
      </c>
      <c r="C2321" t="s">
        <v>9</v>
      </c>
      <c r="D2321" t="s">
        <v>10</v>
      </c>
      <c r="E2321">
        <v>12</v>
      </c>
      <c r="F2321" s="1">
        <v>43373</v>
      </c>
      <c r="G2321">
        <v>1.3862523921302E-2</v>
      </c>
    </row>
    <row r="2322" spans="1:7" x14ac:dyDescent="0.25">
      <c r="A2322" t="s">
        <v>7</v>
      </c>
      <c r="B2322" t="s">
        <v>16</v>
      </c>
      <c r="C2322" t="s">
        <v>9</v>
      </c>
      <c r="D2322" t="s">
        <v>10</v>
      </c>
      <c r="E2322">
        <v>12</v>
      </c>
      <c r="F2322" s="1">
        <v>43404</v>
      </c>
      <c r="G2322">
        <v>-3.0661185703671601E-2</v>
      </c>
    </row>
    <row r="2323" spans="1:7" x14ac:dyDescent="0.25">
      <c r="A2323" t="s">
        <v>7</v>
      </c>
      <c r="B2323" t="s">
        <v>16</v>
      </c>
      <c r="C2323" t="s">
        <v>9</v>
      </c>
      <c r="D2323" t="s">
        <v>10</v>
      </c>
      <c r="E2323">
        <v>12</v>
      </c>
      <c r="F2323" s="1">
        <v>43434</v>
      </c>
      <c r="G2323">
        <v>-9.3446680683278906E-3</v>
      </c>
    </row>
    <row r="2324" spans="1:7" x14ac:dyDescent="0.25">
      <c r="A2324" t="s">
        <v>7</v>
      </c>
      <c r="B2324" t="s">
        <v>16</v>
      </c>
      <c r="C2324" t="s">
        <v>9</v>
      </c>
      <c r="D2324" t="s">
        <v>10</v>
      </c>
      <c r="E2324">
        <v>12</v>
      </c>
      <c r="F2324" s="1">
        <v>43465</v>
      </c>
      <c r="G2324">
        <v>5.8434038483224197E-3</v>
      </c>
    </row>
    <row r="2325" spans="1:7" x14ac:dyDescent="0.25">
      <c r="A2325" t="s">
        <v>7</v>
      </c>
      <c r="B2325" t="s">
        <v>16</v>
      </c>
      <c r="C2325" t="s">
        <v>9</v>
      </c>
      <c r="D2325" t="s">
        <v>10</v>
      </c>
      <c r="E2325">
        <v>12</v>
      </c>
      <c r="F2325" s="1">
        <v>43496</v>
      </c>
      <c r="G2325">
        <v>-2.6969188243469399E-2</v>
      </c>
    </row>
    <row r="2326" spans="1:7" x14ac:dyDescent="0.25">
      <c r="A2326" t="s">
        <v>7</v>
      </c>
      <c r="B2326" t="s">
        <v>16</v>
      </c>
      <c r="C2326" t="s">
        <v>9</v>
      </c>
      <c r="D2326" t="s">
        <v>10</v>
      </c>
      <c r="E2326">
        <v>12</v>
      </c>
      <c r="F2326" s="1">
        <v>43524</v>
      </c>
      <c r="G2326">
        <v>1.75068285019668E-2</v>
      </c>
    </row>
    <row r="2327" spans="1:7" x14ac:dyDescent="0.25">
      <c r="A2327" t="s">
        <v>7</v>
      </c>
      <c r="B2327" t="s">
        <v>16</v>
      </c>
      <c r="C2327" t="s">
        <v>9</v>
      </c>
      <c r="D2327" t="s">
        <v>10</v>
      </c>
      <c r="E2327">
        <v>12</v>
      </c>
      <c r="F2327" s="1">
        <v>43555</v>
      </c>
      <c r="G2327">
        <v>9.3228904712174699E-3</v>
      </c>
    </row>
    <row r="2328" spans="1:7" x14ac:dyDescent="0.25">
      <c r="A2328" t="s">
        <v>7</v>
      </c>
      <c r="B2328" t="s">
        <v>16</v>
      </c>
      <c r="C2328" t="s">
        <v>9</v>
      </c>
      <c r="D2328" t="s">
        <v>10</v>
      </c>
      <c r="E2328">
        <v>12</v>
      </c>
      <c r="F2328" s="1">
        <v>43585</v>
      </c>
      <c r="G2328">
        <v>-1.47565577364995E-2</v>
      </c>
    </row>
    <row r="2329" spans="1:7" x14ac:dyDescent="0.25">
      <c r="A2329" t="s">
        <v>7</v>
      </c>
      <c r="B2329" t="s">
        <v>16</v>
      </c>
      <c r="C2329" t="s">
        <v>9</v>
      </c>
      <c r="D2329" t="s">
        <v>10</v>
      </c>
      <c r="E2329">
        <v>12</v>
      </c>
      <c r="F2329" s="1">
        <v>43616</v>
      </c>
      <c r="G2329">
        <v>2.4678172540295099E-2</v>
      </c>
    </row>
    <row r="2330" spans="1:7" x14ac:dyDescent="0.25">
      <c r="A2330" t="s">
        <v>7</v>
      </c>
      <c r="B2330" t="s">
        <v>16</v>
      </c>
      <c r="C2330" t="s">
        <v>9</v>
      </c>
      <c r="D2330" t="s">
        <v>10</v>
      </c>
      <c r="E2330">
        <v>12</v>
      </c>
      <c r="F2330" s="1">
        <v>43646</v>
      </c>
      <c r="G2330">
        <v>-4.1323664393447701E-4</v>
      </c>
    </row>
    <row r="2331" spans="1:7" x14ac:dyDescent="0.25">
      <c r="A2331" t="s">
        <v>7</v>
      </c>
      <c r="B2331" t="s">
        <v>16</v>
      </c>
      <c r="C2331" t="s">
        <v>9</v>
      </c>
      <c r="D2331" t="s">
        <v>10</v>
      </c>
      <c r="E2331">
        <v>12</v>
      </c>
      <c r="F2331" s="1">
        <v>43677</v>
      </c>
      <c r="G2331">
        <v>1.13870975947724E-2</v>
      </c>
    </row>
    <row r="2332" spans="1:7" x14ac:dyDescent="0.25">
      <c r="A2332" t="s">
        <v>7</v>
      </c>
      <c r="B2332" t="s">
        <v>16</v>
      </c>
      <c r="C2332" t="s">
        <v>9</v>
      </c>
      <c r="D2332" t="s">
        <v>10</v>
      </c>
      <c r="E2332">
        <v>12</v>
      </c>
      <c r="F2332" s="1">
        <v>43708</v>
      </c>
      <c r="G2332">
        <v>2.50770057980793E-2</v>
      </c>
    </row>
    <row r="2333" spans="1:7" x14ac:dyDescent="0.25">
      <c r="A2333" t="s">
        <v>7</v>
      </c>
      <c r="B2333" t="s">
        <v>16</v>
      </c>
      <c r="C2333" t="s">
        <v>9</v>
      </c>
      <c r="D2333" t="s">
        <v>10</v>
      </c>
      <c r="E2333">
        <v>12</v>
      </c>
      <c r="F2333" s="1">
        <v>43738</v>
      </c>
      <c r="G2333">
        <v>-1.23009679665699E-2</v>
      </c>
    </row>
    <row r="2334" spans="1:7" x14ac:dyDescent="0.25">
      <c r="A2334" t="s">
        <v>7</v>
      </c>
      <c r="B2334" t="s">
        <v>16</v>
      </c>
      <c r="C2334" t="s">
        <v>9</v>
      </c>
      <c r="D2334" t="s">
        <v>10</v>
      </c>
      <c r="E2334">
        <v>12</v>
      </c>
      <c r="F2334" s="1">
        <v>43769</v>
      </c>
      <c r="G2334">
        <v>4.8772323715094599E-3</v>
      </c>
    </row>
    <row r="2335" spans="1:7" x14ac:dyDescent="0.25">
      <c r="A2335" t="s">
        <v>7</v>
      </c>
      <c r="B2335" t="s">
        <v>16</v>
      </c>
      <c r="C2335" t="s">
        <v>9</v>
      </c>
      <c r="D2335" t="s">
        <v>10</v>
      </c>
      <c r="E2335">
        <v>12</v>
      </c>
      <c r="F2335" s="1">
        <v>43799</v>
      </c>
      <c r="G2335">
        <v>-7.5502397005167803E-3</v>
      </c>
    </row>
    <row r="2336" spans="1:7" x14ac:dyDescent="0.25">
      <c r="A2336" t="s">
        <v>7</v>
      </c>
      <c r="B2336" t="s">
        <v>16</v>
      </c>
      <c r="C2336" t="s">
        <v>9</v>
      </c>
      <c r="D2336" t="s">
        <v>10</v>
      </c>
      <c r="E2336">
        <v>12</v>
      </c>
      <c r="F2336" s="1">
        <v>43830</v>
      </c>
      <c r="G2336">
        <v>-1.8955807055208201E-2</v>
      </c>
    </row>
    <row r="2337" spans="1:7" x14ac:dyDescent="0.25">
      <c r="A2337" t="s">
        <v>7</v>
      </c>
      <c r="B2337" t="s">
        <v>16</v>
      </c>
      <c r="C2337" t="s">
        <v>9</v>
      </c>
      <c r="D2337" t="s">
        <v>10</v>
      </c>
      <c r="E2337">
        <v>12</v>
      </c>
      <c r="F2337" s="1">
        <v>43861</v>
      </c>
      <c r="G2337">
        <v>1.7765067634393599E-2</v>
      </c>
    </row>
    <row r="2338" spans="1:7" x14ac:dyDescent="0.25">
      <c r="A2338" t="s">
        <v>7</v>
      </c>
      <c r="B2338" t="s">
        <v>16</v>
      </c>
      <c r="C2338" t="s">
        <v>9</v>
      </c>
      <c r="D2338" t="s">
        <v>10</v>
      </c>
      <c r="E2338">
        <v>12</v>
      </c>
      <c r="F2338" s="1">
        <v>43890</v>
      </c>
      <c r="G2338">
        <v>-7.3905244788582299E-3</v>
      </c>
    </row>
    <row r="2339" spans="1:7" x14ac:dyDescent="0.25">
      <c r="A2339" t="s">
        <v>7</v>
      </c>
      <c r="B2339" t="s">
        <v>16</v>
      </c>
      <c r="C2339" t="s">
        <v>9</v>
      </c>
      <c r="D2339" t="s">
        <v>10</v>
      </c>
      <c r="E2339">
        <v>12</v>
      </c>
      <c r="F2339" s="1">
        <v>43921</v>
      </c>
      <c r="G2339">
        <v>-1.44147467075664E-2</v>
      </c>
    </row>
    <row r="2340" spans="1:7" x14ac:dyDescent="0.25">
      <c r="A2340" t="s">
        <v>7</v>
      </c>
      <c r="B2340" t="s">
        <v>16</v>
      </c>
      <c r="C2340" t="s">
        <v>9</v>
      </c>
      <c r="D2340" t="s">
        <v>10</v>
      </c>
      <c r="E2340">
        <v>12</v>
      </c>
      <c r="F2340" s="1">
        <v>43951</v>
      </c>
      <c r="G2340">
        <v>2.5557369498109401E-2</v>
      </c>
    </row>
    <row r="2341" spans="1:7" x14ac:dyDescent="0.25">
      <c r="A2341" t="s">
        <v>7</v>
      </c>
      <c r="B2341" t="s">
        <v>16</v>
      </c>
      <c r="C2341" t="s">
        <v>9</v>
      </c>
      <c r="D2341" t="s">
        <v>10</v>
      </c>
      <c r="E2341">
        <v>12</v>
      </c>
      <c r="F2341" s="1">
        <v>43982</v>
      </c>
      <c r="G2341">
        <v>-8.5110038179721202E-3</v>
      </c>
    </row>
    <row r="2342" spans="1:7" x14ac:dyDescent="0.25">
      <c r="A2342" t="s">
        <v>7</v>
      </c>
      <c r="B2342" t="s">
        <v>16</v>
      </c>
      <c r="C2342" t="s">
        <v>9</v>
      </c>
      <c r="D2342" t="s">
        <v>10</v>
      </c>
      <c r="E2342">
        <v>12</v>
      </c>
      <c r="F2342" s="1">
        <v>44012</v>
      </c>
      <c r="G2342">
        <v>2.0943980780497699E-2</v>
      </c>
    </row>
    <row r="2343" spans="1:7" x14ac:dyDescent="0.25">
      <c r="A2343" t="s">
        <v>7</v>
      </c>
      <c r="B2343" t="s">
        <v>16</v>
      </c>
      <c r="C2343" t="s">
        <v>9</v>
      </c>
      <c r="D2343" t="s">
        <v>10</v>
      </c>
      <c r="E2343">
        <v>12</v>
      </c>
      <c r="F2343" s="1">
        <v>44043</v>
      </c>
      <c r="G2343">
        <v>1.90023970035894E-2</v>
      </c>
    </row>
    <row r="2344" spans="1:7" x14ac:dyDescent="0.25">
      <c r="A2344" t="s">
        <v>7</v>
      </c>
      <c r="B2344" t="s">
        <v>16</v>
      </c>
      <c r="C2344" t="s">
        <v>9</v>
      </c>
      <c r="D2344" t="s">
        <v>10</v>
      </c>
      <c r="E2344">
        <v>12</v>
      </c>
      <c r="F2344" s="1">
        <v>44074</v>
      </c>
      <c r="G2344">
        <v>-4.6799503356846003E-3</v>
      </c>
    </row>
    <row r="2345" spans="1:7" x14ac:dyDescent="0.25">
      <c r="A2345" t="s">
        <v>7</v>
      </c>
      <c r="B2345" t="s">
        <v>16</v>
      </c>
      <c r="C2345" t="s">
        <v>9</v>
      </c>
      <c r="D2345" t="s">
        <v>10</v>
      </c>
      <c r="E2345">
        <v>12</v>
      </c>
      <c r="F2345" s="1">
        <v>44104</v>
      </c>
      <c r="G2345">
        <v>-1.7257106144407001E-2</v>
      </c>
    </row>
    <row r="2346" spans="1:7" x14ac:dyDescent="0.25">
      <c r="A2346" t="s">
        <v>7</v>
      </c>
      <c r="B2346" t="s">
        <v>16</v>
      </c>
      <c r="C2346" t="s">
        <v>9</v>
      </c>
      <c r="D2346" t="s">
        <v>10</v>
      </c>
      <c r="E2346">
        <v>12</v>
      </c>
      <c r="F2346" s="1">
        <v>44135</v>
      </c>
      <c r="G2346">
        <v>-4.84898036532928E-3</v>
      </c>
    </row>
    <row r="2347" spans="1:7" x14ac:dyDescent="0.25">
      <c r="A2347" t="s">
        <v>7</v>
      </c>
      <c r="B2347" t="s">
        <v>16</v>
      </c>
      <c r="C2347" t="s">
        <v>9</v>
      </c>
      <c r="D2347" t="s">
        <v>10</v>
      </c>
      <c r="E2347">
        <v>12</v>
      </c>
      <c r="F2347" s="1">
        <v>44165</v>
      </c>
      <c r="G2347">
        <v>-2.02517651617443E-2</v>
      </c>
    </row>
    <row r="2348" spans="1:7" x14ac:dyDescent="0.25">
      <c r="A2348" t="s">
        <v>7</v>
      </c>
      <c r="B2348" t="s">
        <v>16</v>
      </c>
      <c r="C2348" t="s">
        <v>9</v>
      </c>
      <c r="D2348" t="s">
        <v>10</v>
      </c>
      <c r="E2348">
        <v>12</v>
      </c>
      <c r="F2348" s="1">
        <v>44196</v>
      </c>
      <c r="G2348">
        <v>-1.7369231416449402E-2</v>
      </c>
    </row>
    <row r="2349" spans="1:7" x14ac:dyDescent="0.25">
      <c r="A2349" t="s">
        <v>7</v>
      </c>
      <c r="B2349" t="s">
        <v>16</v>
      </c>
      <c r="C2349" t="s">
        <v>9</v>
      </c>
      <c r="D2349" t="s">
        <v>10</v>
      </c>
      <c r="E2349">
        <v>12</v>
      </c>
      <c r="F2349" s="1">
        <v>44227</v>
      </c>
      <c r="G2349">
        <v>7.6619071172740498E-3</v>
      </c>
    </row>
    <row r="2350" spans="1:7" x14ac:dyDescent="0.25">
      <c r="A2350" t="s">
        <v>7</v>
      </c>
      <c r="B2350" t="s">
        <v>16</v>
      </c>
      <c r="C2350" t="s">
        <v>9</v>
      </c>
      <c r="D2350" t="s">
        <v>10</v>
      </c>
      <c r="E2350">
        <v>12</v>
      </c>
      <c r="F2350" s="1">
        <v>44255</v>
      </c>
      <c r="G2350">
        <v>1.74162039556961E-2</v>
      </c>
    </row>
    <row r="2351" spans="1:7" x14ac:dyDescent="0.25">
      <c r="A2351" t="s">
        <v>7</v>
      </c>
      <c r="B2351" t="s">
        <v>16</v>
      </c>
      <c r="C2351" t="s">
        <v>9</v>
      </c>
      <c r="D2351" t="s">
        <v>10</v>
      </c>
      <c r="E2351">
        <v>12</v>
      </c>
      <c r="F2351" s="1">
        <v>44286</v>
      </c>
      <c r="G2351">
        <v>-1.50450427759988E-2</v>
      </c>
    </row>
    <row r="2352" spans="1:7" x14ac:dyDescent="0.25">
      <c r="A2352" t="s">
        <v>7</v>
      </c>
      <c r="B2352" t="s">
        <v>16</v>
      </c>
      <c r="C2352" t="s">
        <v>9</v>
      </c>
      <c r="D2352" t="s">
        <v>10</v>
      </c>
      <c r="E2352">
        <v>12</v>
      </c>
      <c r="F2352" s="1">
        <v>44316</v>
      </c>
      <c r="G2352">
        <v>2.2807216735211699E-2</v>
      </c>
    </row>
    <row r="2353" spans="1:7" x14ac:dyDescent="0.25">
      <c r="A2353" t="s">
        <v>7</v>
      </c>
      <c r="B2353" t="s">
        <v>16</v>
      </c>
      <c r="C2353" t="s">
        <v>9</v>
      </c>
      <c r="D2353" t="s">
        <v>10</v>
      </c>
      <c r="E2353">
        <v>12</v>
      </c>
      <c r="F2353" s="1">
        <v>44347</v>
      </c>
      <c r="G2353">
        <v>-2.55710717873548E-2</v>
      </c>
    </row>
    <row r="2354" spans="1:7" x14ac:dyDescent="0.25">
      <c r="A2354" t="s">
        <v>7</v>
      </c>
      <c r="B2354" t="s">
        <v>16</v>
      </c>
      <c r="C2354" t="s">
        <v>9</v>
      </c>
      <c r="D2354" t="s">
        <v>10</v>
      </c>
      <c r="E2354">
        <v>12</v>
      </c>
      <c r="F2354" s="1">
        <v>44377</v>
      </c>
      <c r="G2354">
        <v>1.1511793963633801E-2</v>
      </c>
    </row>
    <row r="2355" spans="1:7" x14ac:dyDescent="0.25">
      <c r="A2355" t="s">
        <v>7</v>
      </c>
      <c r="B2355" t="s">
        <v>16</v>
      </c>
      <c r="C2355" t="s">
        <v>9</v>
      </c>
      <c r="D2355" t="s">
        <v>10</v>
      </c>
      <c r="E2355">
        <v>12</v>
      </c>
      <c r="F2355" s="1">
        <v>44408</v>
      </c>
      <c r="G2355">
        <v>1.6159886554869898E-2</v>
      </c>
    </row>
    <row r="2356" spans="1:7" x14ac:dyDescent="0.25">
      <c r="A2356" t="s">
        <v>7</v>
      </c>
      <c r="B2356" t="s">
        <v>16</v>
      </c>
      <c r="C2356" t="s">
        <v>9</v>
      </c>
      <c r="D2356" t="s">
        <v>10</v>
      </c>
      <c r="E2356">
        <v>12</v>
      </c>
      <c r="F2356" s="1">
        <v>44439</v>
      </c>
      <c r="G2356">
        <v>-1.7350018751452301E-2</v>
      </c>
    </row>
    <row r="2357" spans="1:7" x14ac:dyDescent="0.25">
      <c r="A2357" t="s">
        <v>7</v>
      </c>
      <c r="B2357" t="s">
        <v>16</v>
      </c>
      <c r="C2357" t="s">
        <v>9</v>
      </c>
      <c r="D2357" t="s">
        <v>10</v>
      </c>
      <c r="E2357">
        <v>12</v>
      </c>
      <c r="F2357" s="1">
        <v>44469</v>
      </c>
      <c r="G2357">
        <v>-1.6302968847664199E-3</v>
      </c>
    </row>
    <row r="2358" spans="1:7" x14ac:dyDescent="0.25">
      <c r="A2358" t="s">
        <v>7</v>
      </c>
      <c r="B2358" t="s">
        <v>16</v>
      </c>
      <c r="C2358" t="s">
        <v>9</v>
      </c>
      <c r="D2358" t="s">
        <v>10</v>
      </c>
      <c r="E2358">
        <v>12</v>
      </c>
      <c r="F2358" s="1">
        <v>44500</v>
      </c>
      <c r="G2358">
        <v>-1.16365906918661E-2</v>
      </c>
    </row>
    <row r="2359" spans="1:7" x14ac:dyDescent="0.25">
      <c r="A2359" t="s">
        <v>7</v>
      </c>
      <c r="B2359" t="s">
        <v>16</v>
      </c>
      <c r="C2359" t="s">
        <v>9</v>
      </c>
      <c r="D2359" t="s">
        <v>10</v>
      </c>
      <c r="E2359">
        <v>12</v>
      </c>
      <c r="F2359" s="1">
        <v>44530</v>
      </c>
      <c r="G2359">
        <v>-5.0266770313581403E-3</v>
      </c>
    </row>
    <row r="2360" spans="1:7" x14ac:dyDescent="0.25">
      <c r="A2360" t="s">
        <v>7</v>
      </c>
      <c r="B2360" t="s">
        <v>16</v>
      </c>
      <c r="C2360" t="s">
        <v>9</v>
      </c>
      <c r="D2360" t="s">
        <v>10</v>
      </c>
      <c r="E2360">
        <v>12</v>
      </c>
      <c r="F2360" s="1">
        <v>44561</v>
      </c>
      <c r="G2360">
        <v>3.07203303850914E-2</v>
      </c>
    </row>
    <row r="2361" spans="1:7" x14ac:dyDescent="0.25">
      <c r="A2361" t="s">
        <v>7</v>
      </c>
      <c r="B2361" t="s">
        <v>16</v>
      </c>
      <c r="C2361" t="s">
        <v>9</v>
      </c>
      <c r="D2361" t="s">
        <v>10</v>
      </c>
      <c r="E2361">
        <v>12</v>
      </c>
      <c r="F2361" s="1">
        <v>44592</v>
      </c>
      <c r="G2361">
        <v>-1.88672425743549E-2</v>
      </c>
    </row>
    <row r="2362" spans="1:7" x14ac:dyDescent="0.25">
      <c r="A2362" t="s">
        <v>7</v>
      </c>
      <c r="B2362" t="s">
        <v>16</v>
      </c>
      <c r="C2362" t="s">
        <v>9</v>
      </c>
      <c r="D2362" t="s">
        <v>10</v>
      </c>
      <c r="E2362">
        <v>12</v>
      </c>
      <c r="F2362" s="1">
        <v>44620</v>
      </c>
      <c r="G2362">
        <v>1.94377150714466E-2</v>
      </c>
    </row>
    <row r="2363" spans="1:7" x14ac:dyDescent="0.25">
      <c r="A2363" t="s">
        <v>7</v>
      </c>
      <c r="B2363" t="s">
        <v>16</v>
      </c>
      <c r="C2363" t="s">
        <v>9</v>
      </c>
      <c r="D2363" t="s">
        <v>10</v>
      </c>
      <c r="E2363">
        <v>12</v>
      </c>
      <c r="F2363" s="1">
        <v>44651</v>
      </c>
      <c r="G2363">
        <v>1.6518234052579199E-4</v>
      </c>
    </row>
    <row r="2364" spans="1:7" x14ac:dyDescent="0.25">
      <c r="A2364" t="s">
        <v>7</v>
      </c>
      <c r="B2364" t="s">
        <v>16</v>
      </c>
      <c r="C2364" t="s">
        <v>9</v>
      </c>
      <c r="D2364" t="s">
        <v>10</v>
      </c>
      <c r="E2364">
        <v>12</v>
      </c>
      <c r="F2364" s="1">
        <v>44681</v>
      </c>
      <c r="G2364">
        <v>2.4062580698108401E-2</v>
      </c>
    </row>
    <row r="2365" spans="1:7" x14ac:dyDescent="0.25">
      <c r="A2365" t="s">
        <v>7</v>
      </c>
      <c r="B2365" t="s">
        <v>16</v>
      </c>
      <c r="C2365" t="s">
        <v>9</v>
      </c>
      <c r="D2365" t="s">
        <v>10</v>
      </c>
      <c r="E2365">
        <v>12</v>
      </c>
      <c r="F2365" s="1">
        <v>44712</v>
      </c>
      <c r="G2365">
        <v>8.8258439891185803E-3</v>
      </c>
    </row>
    <row r="2366" spans="1:7" x14ac:dyDescent="0.25">
      <c r="A2366" t="s">
        <v>7</v>
      </c>
      <c r="B2366" t="s">
        <v>16</v>
      </c>
      <c r="C2366" t="s">
        <v>9</v>
      </c>
      <c r="D2366" t="s">
        <v>10</v>
      </c>
      <c r="E2366">
        <v>12</v>
      </c>
      <c r="F2366" s="1">
        <v>44742</v>
      </c>
      <c r="G2366">
        <v>7.6697911111003403E-4</v>
      </c>
    </row>
    <row r="2367" spans="1:7" x14ac:dyDescent="0.25">
      <c r="A2367" t="s">
        <v>7</v>
      </c>
      <c r="B2367" t="s">
        <v>16</v>
      </c>
      <c r="C2367" t="s">
        <v>9</v>
      </c>
      <c r="D2367" t="s">
        <v>10</v>
      </c>
      <c r="E2367">
        <v>12</v>
      </c>
      <c r="F2367" s="1">
        <v>44773</v>
      </c>
      <c r="G2367">
        <v>-2.44488609468918E-2</v>
      </c>
    </row>
    <row r="2368" spans="1:7" x14ac:dyDescent="0.25">
      <c r="A2368" t="s">
        <v>7</v>
      </c>
      <c r="B2368" t="s">
        <v>16</v>
      </c>
      <c r="C2368" t="s">
        <v>9</v>
      </c>
      <c r="D2368" t="s">
        <v>10</v>
      </c>
      <c r="E2368">
        <v>12</v>
      </c>
      <c r="F2368" s="1">
        <v>44804</v>
      </c>
      <c r="G2368">
        <v>-2.37377133254951E-2</v>
      </c>
    </row>
    <row r="2369" spans="1:7" x14ac:dyDescent="0.25">
      <c r="A2369" t="s">
        <v>7</v>
      </c>
      <c r="B2369" t="s">
        <v>16</v>
      </c>
      <c r="C2369" t="s">
        <v>9</v>
      </c>
      <c r="D2369" t="s">
        <v>10</v>
      </c>
      <c r="E2369">
        <v>12</v>
      </c>
      <c r="F2369" s="1">
        <v>44834</v>
      </c>
      <c r="G2369">
        <v>-5.4710314311527102E-3</v>
      </c>
    </row>
    <row r="2370" spans="1:7" x14ac:dyDescent="0.25">
      <c r="A2370" t="s">
        <v>7</v>
      </c>
      <c r="B2370" t="s">
        <v>16</v>
      </c>
      <c r="C2370" t="s">
        <v>9</v>
      </c>
      <c r="D2370" t="s">
        <v>10</v>
      </c>
      <c r="E2370">
        <v>12</v>
      </c>
      <c r="F2370" s="1">
        <v>44865</v>
      </c>
      <c r="G2370">
        <v>1.15080255890086E-2</v>
      </c>
    </row>
    <row r="2371" spans="1:7" x14ac:dyDescent="0.25">
      <c r="A2371" t="s">
        <v>7</v>
      </c>
      <c r="B2371" t="s">
        <v>16</v>
      </c>
      <c r="C2371" t="s">
        <v>9</v>
      </c>
      <c r="D2371" t="s">
        <v>10</v>
      </c>
      <c r="E2371">
        <v>12</v>
      </c>
      <c r="F2371" s="1">
        <v>44895</v>
      </c>
      <c r="G2371">
        <v>-1.5950983400763601E-2</v>
      </c>
    </row>
    <row r="2372" spans="1:7" x14ac:dyDescent="0.25">
      <c r="A2372" t="s">
        <v>7</v>
      </c>
      <c r="B2372" t="s">
        <v>16</v>
      </c>
      <c r="C2372" t="s">
        <v>9</v>
      </c>
      <c r="D2372" t="s">
        <v>10</v>
      </c>
      <c r="E2372">
        <v>12</v>
      </c>
      <c r="F2372" s="1">
        <v>44926</v>
      </c>
      <c r="G2372">
        <v>4.83895119269823E-3</v>
      </c>
    </row>
    <row r="2373" spans="1:7" x14ac:dyDescent="0.25">
      <c r="A2373" t="s">
        <v>7</v>
      </c>
      <c r="B2373" t="s">
        <v>16</v>
      </c>
      <c r="C2373" t="s">
        <v>9</v>
      </c>
      <c r="D2373" t="s">
        <v>10</v>
      </c>
      <c r="E2373">
        <v>12</v>
      </c>
      <c r="F2373" s="1">
        <v>44957</v>
      </c>
      <c r="G2373">
        <v>-2.3309676083630602E-3</v>
      </c>
    </row>
    <row r="2374" spans="1:7" x14ac:dyDescent="0.25">
      <c r="A2374" t="s">
        <v>7</v>
      </c>
      <c r="B2374" t="s">
        <v>16</v>
      </c>
      <c r="C2374" t="s">
        <v>9</v>
      </c>
      <c r="D2374" t="s">
        <v>10</v>
      </c>
      <c r="E2374">
        <v>12</v>
      </c>
      <c r="F2374" s="1">
        <v>44985</v>
      </c>
      <c r="G2374">
        <v>1.8007676534426701E-2</v>
      </c>
    </row>
    <row r="2375" spans="1:7" x14ac:dyDescent="0.25">
      <c r="A2375" t="s">
        <v>7</v>
      </c>
      <c r="B2375" t="s">
        <v>16</v>
      </c>
      <c r="C2375" t="s">
        <v>9</v>
      </c>
      <c r="D2375" t="s">
        <v>10</v>
      </c>
      <c r="E2375">
        <v>12</v>
      </c>
      <c r="F2375" s="1">
        <v>45016</v>
      </c>
      <c r="G2375">
        <v>-1.26891819011391E-3</v>
      </c>
    </row>
    <row r="2376" spans="1:7" x14ac:dyDescent="0.25">
      <c r="A2376" t="s">
        <v>7</v>
      </c>
      <c r="B2376" t="s">
        <v>16</v>
      </c>
      <c r="C2376" t="s">
        <v>9</v>
      </c>
      <c r="D2376" t="s">
        <v>10</v>
      </c>
      <c r="E2376">
        <v>12</v>
      </c>
      <c r="F2376" s="1">
        <v>45046</v>
      </c>
      <c r="G2376">
        <v>1.0976459696393799E-2</v>
      </c>
    </row>
    <row r="2377" spans="1:7" x14ac:dyDescent="0.25">
      <c r="A2377" t="s">
        <v>7</v>
      </c>
      <c r="B2377" t="s">
        <v>16</v>
      </c>
      <c r="C2377" t="s">
        <v>9</v>
      </c>
      <c r="D2377" t="s">
        <v>10</v>
      </c>
      <c r="E2377">
        <v>12</v>
      </c>
      <c r="F2377" s="1">
        <v>45077</v>
      </c>
      <c r="G2377">
        <v>8.5717340931593007E-3</v>
      </c>
    </row>
    <row r="2378" spans="1:7" x14ac:dyDescent="0.25">
      <c r="A2378" t="s">
        <v>7</v>
      </c>
      <c r="B2378" t="s">
        <v>16</v>
      </c>
      <c r="C2378" t="s">
        <v>9</v>
      </c>
      <c r="D2378" t="s">
        <v>10</v>
      </c>
      <c r="E2378">
        <v>12</v>
      </c>
      <c r="F2378" s="1">
        <v>45107</v>
      </c>
      <c r="G2378">
        <v>-1.60664491938355E-2</v>
      </c>
    </row>
    <row r="2379" spans="1:7" x14ac:dyDescent="0.25">
      <c r="A2379" t="s">
        <v>7</v>
      </c>
      <c r="B2379" t="s">
        <v>16</v>
      </c>
      <c r="C2379" t="s">
        <v>9</v>
      </c>
      <c r="D2379" t="s">
        <v>10</v>
      </c>
      <c r="E2379">
        <v>12</v>
      </c>
      <c r="F2379" s="1">
        <v>45138</v>
      </c>
      <c r="G2379">
        <v>-1.37943601702694E-2</v>
      </c>
    </row>
    <row r="2380" spans="1:7" x14ac:dyDescent="0.25">
      <c r="A2380" t="s">
        <v>7</v>
      </c>
      <c r="B2380" t="s">
        <v>16</v>
      </c>
      <c r="C2380" t="s">
        <v>9</v>
      </c>
      <c r="D2380" t="s">
        <v>10</v>
      </c>
      <c r="E2380">
        <v>12</v>
      </c>
      <c r="F2380" s="1">
        <v>45169</v>
      </c>
      <c r="G2380">
        <v>8.6164268159717207E-3</v>
      </c>
    </row>
    <row r="2381" spans="1:7" x14ac:dyDescent="0.25">
      <c r="A2381" t="s">
        <v>7</v>
      </c>
      <c r="B2381" t="s">
        <v>16</v>
      </c>
      <c r="C2381" t="s">
        <v>9</v>
      </c>
      <c r="D2381" t="s">
        <v>10</v>
      </c>
      <c r="E2381">
        <v>12</v>
      </c>
      <c r="F2381" s="1">
        <v>45199</v>
      </c>
      <c r="G2381">
        <v>5.9485598363286799E-3</v>
      </c>
    </row>
    <row r="2382" spans="1:7" x14ac:dyDescent="0.25">
      <c r="A2382" t="s">
        <v>7</v>
      </c>
      <c r="B2382" t="s">
        <v>16</v>
      </c>
      <c r="C2382" t="s">
        <v>9</v>
      </c>
      <c r="D2382" t="s">
        <v>10</v>
      </c>
      <c r="E2382">
        <v>12</v>
      </c>
      <c r="F2382" s="1">
        <v>45230</v>
      </c>
      <c r="G2382">
        <v>-5.4832832539574196E-3</v>
      </c>
    </row>
    <row r="2383" spans="1:7" x14ac:dyDescent="0.25">
      <c r="A2383" t="s">
        <v>7</v>
      </c>
      <c r="B2383" t="s">
        <v>16</v>
      </c>
      <c r="C2383" t="s">
        <v>9</v>
      </c>
      <c r="D2383" t="s">
        <v>10</v>
      </c>
      <c r="E2383">
        <v>12</v>
      </c>
      <c r="F2383" s="1">
        <v>45260</v>
      </c>
      <c r="G2383">
        <v>-4.6429151623219998E-2</v>
      </c>
    </row>
    <row r="2384" spans="1:7" x14ac:dyDescent="0.25">
      <c r="A2384" t="s">
        <v>7</v>
      </c>
      <c r="B2384" t="s">
        <v>16</v>
      </c>
      <c r="C2384" t="s">
        <v>9</v>
      </c>
      <c r="D2384" t="s">
        <v>10</v>
      </c>
      <c r="E2384">
        <v>12</v>
      </c>
      <c r="F2384" s="1">
        <v>45291</v>
      </c>
      <c r="G2384">
        <v>1.6690682550881901E-3</v>
      </c>
    </row>
    <row r="2385" spans="1:7" x14ac:dyDescent="0.25">
      <c r="A2385" t="s">
        <v>7</v>
      </c>
      <c r="B2385" t="s">
        <v>16</v>
      </c>
      <c r="C2385" t="s">
        <v>9</v>
      </c>
      <c r="D2385" t="s">
        <v>10</v>
      </c>
      <c r="E2385">
        <v>12</v>
      </c>
      <c r="F2385" s="1">
        <v>45322</v>
      </c>
      <c r="G2385">
        <v>2.14490098574713E-2</v>
      </c>
    </row>
    <row r="2386" spans="1:7" x14ac:dyDescent="0.25">
      <c r="A2386" t="s">
        <v>7</v>
      </c>
      <c r="B2386" t="s">
        <v>16</v>
      </c>
      <c r="C2386" t="s">
        <v>9</v>
      </c>
      <c r="D2386" t="s">
        <v>10</v>
      </c>
      <c r="E2386">
        <v>12</v>
      </c>
      <c r="F2386" s="1">
        <v>45351</v>
      </c>
      <c r="G2386">
        <v>7.5583296904698002E-3</v>
      </c>
    </row>
    <row r="2387" spans="1:7" x14ac:dyDescent="0.25">
      <c r="A2387" t="s">
        <v>7</v>
      </c>
      <c r="B2387" t="s">
        <v>16</v>
      </c>
      <c r="C2387" t="s">
        <v>9</v>
      </c>
      <c r="D2387" t="s">
        <v>10</v>
      </c>
      <c r="E2387">
        <v>12</v>
      </c>
      <c r="F2387" s="1">
        <v>45382</v>
      </c>
      <c r="G2387">
        <v>-1.07507295778961E-3</v>
      </c>
    </row>
    <row r="2388" spans="1:7" x14ac:dyDescent="0.25">
      <c r="A2388" t="s">
        <v>7</v>
      </c>
      <c r="B2388" t="s">
        <v>16</v>
      </c>
      <c r="C2388" t="s">
        <v>9</v>
      </c>
      <c r="D2388" t="s">
        <v>10</v>
      </c>
      <c r="E2388">
        <v>12</v>
      </c>
      <c r="F2388" s="1">
        <v>45412</v>
      </c>
      <c r="G2388">
        <v>-3.21225279235955E-3</v>
      </c>
    </row>
    <row r="2389" spans="1:7" x14ac:dyDescent="0.25">
      <c r="A2389" t="s">
        <v>7</v>
      </c>
      <c r="B2389" t="s">
        <v>16</v>
      </c>
      <c r="C2389" t="s">
        <v>9</v>
      </c>
      <c r="D2389" t="s">
        <v>10</v>
      </c>
      <c r="E2389">
        <v>12</v>
      </c>
      <c r="F2389" s="1">
        <v>45443</v>
      </c>
      <c r="G2389">
        <v>-1.5869469494915699E-2</v>
      </c>
    </row>
    <row r="2390" spans="1:7" x14ac:dyDescent="0.25">
      <c r="A2390" t="s">
        <v>7</v>
      </c>
      <c r="B2390" t="s">
        <v>16</v>
      </c>
      <c r="C2390" t="s">
        <v>9</v>
      </c>
      <c r="D2390" t="s">
        <v>10</v>
      </c>
      <c r="E2390">
        <v>12</v>
      </c>
      <c r="F2390" s="1">
        <v>45473</v>
      </c>
      <c r="G2390">
        <v>-6.6033410599717597E-3</v>
      </c>
    </row>
    <row r="2391" spans="1:7" x14ac:dyDescent="0.25">
      <c r="A2391" t="s">
        <v>7</v>
      </c>
      <c r="B2391" t="s">
        <v>16</v>
      </c>
      <c r="C2391" t="s">
        <v>9</v>
      </c>
      <c r="D2391" t="s">
        <v>10</v>
      </c>
      <c r="E2391">
        <v>12</v>
      </c>
      <c r="F2391" s="1">
        <v>45504</v>
      </c>
      <c r="G2391">
        <v>2.78087392564292E-2</v>
      </c>
    </row>
    <row r="2392" spans="1:7" x14ac:dyDescent="0.25">
      <c r="A2392" t="s">
        <v>7</v>
      </c>
      <c r="B2392" t="s">
        <v>16</v>
      </c>
      <c r="C2392" t="s">
        <v>9</v>
      </c>
      <c r="D2392" t="s">
        <v>10</v>
      </c>
      <c r="E2392">
        <v>12</v>
      </c>
      <c r="F2392" s="1">
        <v>45535</v>
      </c>
      <c r="G2392">
        <v>8.2527128747006892E-3</v>
      </c>
    </row>
    <row r="2393" spans="1:7" x14ac:dyDescent="0.25">
      <c r="A2393" t="s">
        <v>7</v>
      </c>
      <c r="B2393" t="s">
        <v>16</v>
      </c>
      <c r="C2393" t="s">
        <v>9</v>
      </c>
      <c r="D2393" t="s">
        <v>10</v>
      </c>
      <c r="E2393">
        <v>12</v>
      </c>
      <c r="F2393" s="1">
        <v>45565</v>
      </c>
      <c r="G2393">
        <v>6.4704290443696596E-3</v>
      </c>
    </row>
    <row r="2394" spans="1:7" x14ac:dyDescent="0.25">
      <c r="A2394" t="s">
        <v>7</v>
      </c>
      <c r="B2394" t="s">
        <v>16</v>
      </c>
      <c r="C2394" t="s">
        <v>9</v>
      </c>
      <c r="D2394" t="s">
        <v>10</v>
      </c>
      <c r="E2394">
        <v>12</v>
      </c>
      <c r="F2394" s="1">
        <v>45596</v>
      </c>
      <c r="G2394">
        <v>5.7078975520318499E-3</v>
      </c>
    </row>
    <row r="2395" spans="1:7" x14ac:dyDescent="0.25">
      <c r="A2395" t="s">
        <v>7</v>
      </c>
      <c r="B2395" t="s">
        <v>16</v>
      </c>
      <c r="C2395" t="s">
        <v>9</v>
      </c>
      <c r="D2395" t="s">
        <v>10</v>
      </c>
      <c r="E2395">
        <v>12</v>
      </c>
      <c r="F2395" s="1">
        <v>45626</v>
      </c>
      <c r="G2395">
        <v>-6.7546607370624597E-3</v>
      </c>
    </row>
    <row r="2396" spans="1:7" x14ac:dyDescent="0.25">
      <c r="A2396" t="s">
        <v>7</v>
      </c>
      <c r="B2396" t="s">
        <v>16</v>
      </c>
      <c r="C2396" t="s">
        <v>9</v>
      </c>
      <c r="D2396" t="s">
        <v>10</v>
      </c>
      <c r="E2396">
        <v>12</v>
      </c>
      <c r="F2396" s="1">
        <v>45657</v>
      </c>
      <c r="G2396">
        <v>2.09674937948725E-3</v>
      </c>
    </row>
    <row r="2397" spans="1:7" x14ac:dyDescent="0.25">
      <c r="A2397" t="s">
        <v>7</v>
      </c>
      <c r="B2397" t="s">
        <v>16</v>
      </c>
      <c r="C2397" t="s">
        <v>9</v>
      </c>
      <c r="D2397" t="s">
        <v>10</v>
      </c>
      <c r="E2397">
        <v>12</v>
      </c>
      <c r="F2397" s="1">
        <v>45688</v>
      </c>
      <c r="G2397">
        <v>-1.04297313945582E-2</v>
      </c>
    </row>
    <row r="2398" spans="1:7" x14ac:dyDescent="0.25">
      <c r="A2398" t="s">
        <v>7</v>
      </c>
      <c r="B2398" t="s">
        <v>16</v>
      </c>
      <c r="C2398" t="s">
        <v>9</v>
      </c>
      <c r="D2398" t="s">
        <v>10</v>
      </c>
      <c r="E2398">
        <v>12</v>
      </c>
      <c r="F2398" s="1">
        <v>45716</v>
      </c>
      <c r="G2398">
        <v>-3.29854844692867E-3</v>
      </c>
    </row>
    <row r="2399" spans="1:7" x14ac:dyDescent="0.25">
      <c r="A2399" t="s">
        <v>7</v>
      </c>
      <c r="B2399" t="s">
        <v>16</v>
      </c>
      <c r="C2399" t="s">
        <v>9</v>
      </c>
      <c r="D2399" t="s">
        <v>10</v>
      </c>
      <c r="E2399">
        <v>12</v>
      </c>
      <c r="F2399" s="1">
        <v>45747</v>
      </c>
      <c r="G2399">
        <v>-3.9352902567437497E-3</v>
      </c>
    </row>
    <row r="2400" spans="1:7" x14ac:dyDescent="0.25">
      <c r="A2400" t="s">
        <v>7</v>
      </c>
      <c r="B2400" t="s">
        <v>16</v>
      </c>
      <c r="C2400" t="s">
        <v>9</v>
      </c>
      <c r="D2400" t="s">
        <v>10</v>
      </c>
      <c r="E2400">
        <v>12</v>
      </c>
      <c r="F2400" s="1">
        <v>45777</v>
      </c>
      <c r="G2400">
        <v>1.6708021203782401E-2</v>
      </c>
    </row>
    <row r="2401" spans="1:7" x14ac:dyDescent="0.25">
      <c r="A2401" t="s">
        <v>7</v>
      </c>
      <c r="B2401" t="s">
        <v>16</v>
      </c>
      <c r="C2401" t="s">
        <v>9</v>
      </c>
      <c r="D2401" t="s">
        <v>10</v>
      </c>
      <c r="E2401">
        <v>12</v>
      </c>
      <c r="F2401" s="1">
        <v>45808</v>
      </c>
      <c r="G2401">
        <v>1.5388402924439101E-2</v>
      </c>
    </row>
    <row r="2402" spans="1:7" x14ac:dyDescent="0.25">
      <c r="A2402" t="s">
        <v>7</v>
      </c>
      <c r="B2402" t="s">
        <v>16</v>
      </c>
      <c r="C2402" t="s">
        <v>9</v>
      </c>
      <c r="D2402" t="s">
        <v>10</v>
      </c>
      <c r="E2402">
        <v>12</v>
      </c>
      <c r="F2402" s="1">
        <v>45838</v>
      </c>
      <c r="G2402">
        <v>-8.3263289725781005E-3</v>
      </c>
    </row>
    <row r="2403" spans="1:7" x14ac:dyDescent="0.25">
      <c r="A2403" t="s">
        <v>7</v>
      </c>
      <c r="B2403" t="s">
        <v>16</v>
      </c>
      <c r="C2403" t="s">
        <v>9</v>
      </c>
      <c r="D2403" t="s">
        <v>10</v>
      </c>
      <c r="E2403">
        <v>12</v>
      </c>
      <c r="F2403" s="1">
        <v>45869</v>
      </c>
      <c r="G2403">
        <v>-8.5733235063274807E-3</v>
      </c>
    </row>
    <row r="2404" spans="1:7" x14ac:dyDescent="0.25">
      <c r="A2404" t="s">
        <v>7</v>
      </c>
      <c r="B2404" t="s">
        <v>16</v>
      </c>
      <c r="C2404" t="s">
        <v>9</v>
      </c>
      <c r="D2404" t="s">
        <v>10</v>
      </c>
      <c r="E2404">
        <v>12</v>
      </c>
      <c r="F2404" s="1">
        <v>45900</v>
      </c>
      <c r="G2404">
        <v>7.4435688213507403E-4</v>
      </c>
    </row>
    <row r="2405" spans="1:7" x14ac:dyDescent="0.25">
      <c r="A2405" t="s">
        <v>7</v>
      </c>
      <c r="B2405" t="s">
        <v>16</v>
      </c>
      <c r="C2405" t="s">
        <v>9</v>
      </c>
      <c r="D2405" t="s">
        <v>10</v>
      </c>
      <c r="E2405">
        <v>12</v>
      </c>
      <c r="F2405" s="1">
        <v>45930</v>
      </c>
      <c r="G2405">
        <v>-1.6044942433723201E-3</v>
      </c>
    </row>
    <row r="2406" spans="1:7" x14ac:dyDescent="0.25">
      <c r="A2406" t="s">
        <v>7</v>
      </c>
      <c r="B2406" t="s">
        <v>16</v>
      </c>
      <c r="C2406" t="s">
        <v>9</v>
      </c>
      <c r="D2406" t="s">
        <v>10</v>
      </c>
      <c r="E2406">
        <v>12</v>
      </c>
      <c r="F2406" s="1">
        <v>45961</v>
      </c>
      <c r="G2406">
        <v>-2.0261209684804E-2</v>
      </c>
    </row>
    <row r="2407" spans="1:7" x14ac:dyDescent="0.25">
      <c r="A2407" t="s">
        <v>7</v>
      </c>
      <c r="B2407" t="s">
        <v>16</v>
      </c>
      <c r="C2407" t="s">
        <v>9</v>
      </c>
      <c r="D2407" t="s">
        <v>10</v>
      </c>
      <c r="E2407">
        <v>12</v>
      </c>
      <c r="F2407" s="1">
        <v>45991</v>
      </c>
      <c r="G2407">
        <v>6.1368177148145801E-3</v>
      </c>
    </row>
    <row r="2408" spans="1:7" x14ac:dyDescent="0.25">
      <c r="A2408" t="s">
        <v>7</v>
      </c>
      <c r="B2408" t="s">
        <v>16</v>
      </c>
      <c r="C2408" t="s">
        <v>9</v>
      </c>
      <c r="D2408" t="s">
        <v>10</v>
      </c>
      <c r="E2408">
        <v>12</v>
      </c>
      <c r="F2408" s="1">
        <v>46022</v>
      </c>
      <c r="G2408">
        <v>-1.5735929977000799E-2</v>
      </c>
    </row>
    <row r="2409" spans="1:7" x14ac:dyDescent="0.25">
      <c r="A2409" t="s">
        <v>7</v>
      </c>
      <c r="B2409" t="s">
        <v>17</v>
      </c>
      <c r="C2409" t="s">
        <v>9</v>
      </c>
      <c r="D2409" t="s">
        <v>10</v>
      </c>
      <c r="E2409">
        <v>2</v>
      </c>
      <c r="F2409" s="1">
        <v>35003</v>
      </c>
      <c r="G2409">
        <v>-0.123222788912016</v>
      </c>
    </row>
    <row r="2410" spans="1:7" x14ac:dyDescent="0.25">
      <c r="A2410" t="s">
        <v>7</v>
      </c>
      <c r="B2410" t="s">
        <v>17</v>
      </c>
      <c r="C2410" t="s">
        <v>9</v>
      </c>
      <c r="D2410" t="s">
        <v>10</v>
      </c>
      <c r="E2410">
        <v>2</v>
      </c>
      <c r="F2410" s="1">
        <v>35277</v>
      </c>
      <c r="G2410">
        <v>-9.1733293976244898E-2</v>
      </c>
    </row>
    <row r="2411" spans="1:7" x14ac:dyDescent="0.25">
      <c r="A2411" t="s">
        <v>7</v>
      </c>
      <c r="B2411" t="s">
        <v>17</v>
      </c>
      <c r="C2411" t="s">
        <v>9</v>
      </c>
      <c r="D2411" t="s">
        <v>10</v>
      </c>
      <c r="E2411">
        <v>2</v>
      </c>
      <c r="F2411" s="1">
        <v>35308</v>
      </c>
      <c r="G2411">
        <v>8.8525652105658298E-2</v>
      </c>
    </row>
    <row r="2412" spans="1:7" x14ac:dyDescent="0.25">
      <c r="A2412" t="s">
        <v>7</v>
      </c>
      <c r="B2412" t="s">
        <v>17</v>
      </c>
      <c r="C2412" t="s">
        <v>9</v>
      </c>
      <c r="D2412" t="s">
        <v>10</v>
      </c>
      <c r="E2412">
        <v>2</v>
      </c>
      <c r="F2412" s="1">
        <v>35338</v>
      </c>
      <c r="G2412">
        <v>5.6065317671583702E-2</v>
      </c>
    </row>
    <row r="2413" spans="1:7" x14ac:dyDescent="0.25">
      <c r="A2413" t="s">
        <v>7</v>
      </c>
      <c r="B2413" t="s">
        <v>17</v>
      </c>
      <c r="C2413" t="s">
        <v>9</v>
      </c>
      <c r="D2413" t="s">
        <v>10</v>
      </c>
      <c r="E2413">
        <v>2</v>
      </c>
      <c r="F2413" s="1">
        <v>35369</v>
      </c>
      <c r="G2413">
        <v>1.7645713088533001E-2</v>
      </c>
    </row>
    <row r="2414" spans="1:7" x14ac:dyDescent="0.25">
      <c r="A2414" t="s">
        <v>7</v>
      </c>
      <c r="B2414" t="s">
        <v>17</v>
      </c>
      <c r="C2414" t="s">
        <v>9</v>
      </c>
      <c r="D2414" t="s">
        <v>10</v>
      </c>
      <c r="E2414">
        <v>2</v>
      </c>
      <c r="F2414" s="1">
        <v>35399</v>
      </c>
      <c r="G2414">
        <v>2.3533425985735799E-2</v>
      </c>
    </row>
    <row r="2415" spans="1:7" x14ac:dyDescent="0.25">
      <c r="A2415" t="s">
        <v>7</v>
      </c>
      <c r="B2415" t="s">
        <v>17</v>
      </c>
      <c r="C2415" t="s">
        <v>9</v>
      </c>
      <c r="D2415" t="s">
        <v>10</v>
      </c>
      <c r="E2415">
        <v>2</v>
      </c>
      <c r="F2415" s="1">
        <v>35430</v>
      </c>
      <c r="G2415">
        <v>-5.62777405162748E-2</v>
      </c>
    </row>
    <row r="2416" spans="1:7" x14ac:dyDescent="0.25">
      <c r="A2416" t="s">
        <v>7</v>
      </c>
      <c r="B2416" t="s">
        <v>17</v>
      </c>
      <c r="C2416" t="s">
        <v>9</v>
      </c>
      <c r="D2416" t="s">
        <v>10</v>
      </c>
      <c r="E2416">
        <v>2</v>
      </c>
      <c r="F2416" s="1">
        <v>35461</v>
      </c>
      <c r="G2416">
        <v>4.1592756014129803E-2</v>
      </c>
    </row>
    <row r="2417" spans="1:7" x14ac:dyDescent="0.25">
      <c r="A2417" t="s">
        <v>7</v>
      </c>
      <c r="B2417" t="s">
        <v>17</v>
      </c>
      <c r="C2417" t="s">
        <v>9</v>
      </c>
      <c r="D2417" t="s">
        <v>10</v>
      </c>
      <c r="E2417">
        <v>2</v>
      </c>
      <c r="F2417" s="1">
        <v>35489</v>
      </c>
      <c r="G2417">
        <v>0.11600542818551</v>
      </c>
    </row>
    <row r="2418" spans="1:7" x14ac:dyDescent="0.25">
      <c r="A2418" t="s">
        <v>7</v>
      </c>
      <c r="B2418" t="s">
        <v>17</v>
      </c>
      <c r="C2418" t="s">
        <v>9</v>
      </c>
      <c r="D2418" t="s">
        <v>10</v>
      </c>
      <c r="E2418">
        <v>2</v>
      </c>
      <c r="F2418" s="1">
        <v>35520</v>
      </c>
      <c r="G2418">
        <v>-1.0107646754453901E-3</v>
      </c>
    </row>
    <row r="2419" spans="1:7" x14ac:dyDescent="0.25">
      <c r="A2419" t="s">
        <v>7</v>
      </c>
      <c r="B2419" t="s">
        <v>17</v>
      </c>
      <c r="C2419" t="s">
        <v>9</v>
      </c>
      <c r="D2419" t="s">
        <v>10</v>
      </c>
      <c r="E2419">
        <v>2</v>
      </c>
      <c r="F2419" s="1">
        <v>35550</v>
      </c>
      <c r="G2419">
        <v>9.3508666021418593E-2</v>
      </c>
    </row>
    <row r="2420" spans="1:7" x14ac:dyDescent="0.25">
      <c r="A2420" t="s">
        <v>7</v>
      </c>
      <c r="B2420" t="s">
        <v>17</v>
      </c>
      <c r="C2420" t="s">
        <v>9</v>
      </c>
      <c r="D2420" t="s">
        <v>10</v>
      </c>
      <c r="E2420">
        <v>6</v>
      </c>
      <c r="F2420" s="1">
        <v>35581</v>
      </c>
      <c r="G2420">
        <v>3.8863812269759303E-2</v>
      </c>
    </row>
    <row r="2421" spans="1:7" x14ac:dyDescent="0.25">
      <c r="A2421" t="s">
        <v>7</v>
      </c>
      <c r="B2421" t="s">
        <v>17</v>
      </c>
      <c r="C2421" t="s">
        <v>9</v>
      </c>
      <c r="D2421" t="s">
        <v>10</v>
      </c>
      <c r="E2421">
        <v>4</v>
      </c>
      <c r="F2421" s="1">
        <v>35611</v>
      </c>
      <c r="G2421">
        <v>2.76540352999335E-3</v>
      </c>
    </row>
    <row r="2422" spans="1:7" x14ac:dyDescent="0.25">
      <c r="A2422" t="s">
        <v>7</v>
      </c>
      <c r="B2422" t="s">
        <v>17</v>
      </c>
      <c r="C2422" t="s">
        <v>9</v>
      </c>
      <c r="D2422" t="s">
        <v>10</v>
      </c>
      <c r="E2422">
        <v>4</v>
      </c>
      <c r="F2422" s="1">
        <v>35642</v>
      </c>
      <c r="G2422">
        <v>-8.6216723756257999E-3</v>
      </c>
    </row>
    <row r="2423" spans="1:7" x14ac:dyDescent="0.25">
      <c r="A2423" t="s">
        <v>7</v>
      </c>
      <c r="B2423" t="s">
        <v>17</v>
      </c>
      <c r="C2423" t="s">
        <v>9</v>
      </c>
      <c r="D2423" t="s">
        <v>10</v>
      </c>
      <c r="E2423">
        <v>4</v>
      </c>
      <c r="F2423" s="1">
        <v>35673</v>
      </c>
      <c r="G2423">
        <v>-1.6389774210665699E-2</v>
      </c>
    </row>
    <row r="2424" spans="1:7" x14ac:dyDescent="0.25">
      <c r="A2424" t="s">
        <v>7</v>
      </c>
      <c r="B2424" t="s">
        <v>17</v>
      </c>
      <c r="C2424" t="s">
        <v>9</v>
      </c>
      <c r="D2424" t="s">
        <v>10</v>
      </c>
      <c r="E2424">
        <v>4</v>
      </c>
      <c r="F2424" s="1">
        <v>35703</v>
      </c>
      <c r="G2424">
        <v>3.5016052749196002E-3</v>
      </c>
    </row>
    <row r="2425" spans="1:7" x14ac:dyDescent="0.25">
      <c r="A2425" t="s">
        <v>7</v>
      </c>
      <c r="B2425" t="s">
        <v>17</v>
      </c>
      <c r="C2425" t="s">
        <v>9</v>
      </c>
      <c r="D2425" t="s">
        <v>10</v>
      </c>
      <c r="E2425">
        <v>4</v>
      </c>
      <c r="F2425" s="1">
        <v>35734</v>
      </c>
      <c r="G2425">
        <v>1.3284780040595801E-2</v>
      </c>
    </row>
    <row r="2426" spans="1:7" x14ac:dyDescent="0.25">
      <c r="A2426" t="s">
        <v>7</v>
      </c>
      <c r="B2426" t="s">
        <v>17</v>
      </c>
      <c r="C2426" t="s">
        <v>9</v>
      </c>
      <c r="D2426" t="s">
        <v>10</v>
      </c>
      <c r="E2426">
        <v>6</v>
      </c>
      <c r="F2426" s="1">
        <v>35764</v>
      </c>
      <c r="G2426">
        <v>1.3178203180613199E-2</v>
      </c>
    </row>
    <row r="2427" spans="1:7" x14ac:dyDescent="0.25">
      <c r="A2427" t="s">
        <v>7</v>
      </c>
      <c r="B2427" t="s">
        <v>17</v>
      </c>
      <c r="C2427" t="s">
        <v>9</v>
      </c>
      <c r="D2427" t="s">
        <v>10</v>
      </c>
      <c r="E2427">
        <v>6</v>
      </c>
      <c r="F2427" s="1">
        <v>35795</v>
      </c>
      <c r="G2427">
        <v>3.01906586017854E-3</v>
      </c>
    </row>
    <row r="2428" spans="1:7" x14ac:dyDescent="0.25">
      <c r="A2428" t="s">
        <v>7</v>
      </c>
      <c r="B2428" t="s">
        <v>17</v>
      </c>
      <c r="C2428" t="s">
        <v>9</v>
      </c>
      <c r="D2428" t="s">
        <v>10</v>
      </c>
      <c r="E2428">
        <v>6</v>
      </c>
      <c r="F2428" s="1">
        <v>35826</v>
      </c>
      <c r="G2428">
        <v>2.4619831563290701E-2</v>
      </c>
    </row>
    <row r="2429" spans="1:7" x14ac:dyDescent="0.25">
      <c r="A2429" t="s">
        <v>7</v>
      </c>
      <c r="B2429" t="s">
        <v>17</v>
      </c>
      <c r="C2429" t="s">
        <v>9</v>
      </c>
      <c r="D2429" t="s">
        <v>10</v>
      </c>
      <c r="E2429">
        <v>6</v>
      </c>
      <c r="F2429" s="1">
        <v>35854</v>
      </c>
      <c r="G2429">
        <v>2.29777517176998E-4</v>
      </c>
    </row>
    <row r="2430" spans="1:7" x14ac:dyDescent="0.25">
      <c r="A2430" t="s">
        <v>7</v>
      </c>
      <c r="B2430" t="s">
        <v>17</v>
      </c>
      <c r="C2430" t="s">
        <v>9</v>
      </c>
      <c r="D2430" t="s">
        <v>10</v>
      </c>
      <c r="E2430">
        <v>6</v>
      </c>
      <c r="F2430" s="1">
        <v>35885</v>
      </c>
      <c r="G2430">
        <v>-3.11001540516119E-2</v>
      </c>
    </row>
    <row r="2431" spans="1:7" x14ac:dyDescent="0.25">
      <c r="A2431" t="s">
        <v>7</v>
      </c>
      <c r="B2431" t="s">
        <v>17</v>
      </c>
      <c r="C2431" t="s">
        <v>9</v>
      </c>
      <c r="D2431" t="s">
        <v>10</v>
      </c>
      <c r="E2431">
        <v>6</v>
      </c>
      <c r="F2431" s="1">
        <v>35915</v>
      </c>
      <c r="G2431">
        <v>-4.1948606913133499E-2</v>
      </c>
    </row>
    <row r="2432" spans="1:7" x14ac:dyDescent="0.25">
      <c r="A2432" t="s">
        <v>7</v>
      </c>
      <c r="B2432" t="s">
        <v>17</v>
      </c>
      <c r="C2432" t="s">
        <v>9</v>
      </c>
      <c r="D2432" t="s">
        <v>10</v>
      </c>
      <c r="E2432">
        <v>8</v>
      </c>
      <c r="F2432" s="1">
        <v>35946</v>
      </c>
      <c r="G2432">
        <v>-5.41846363054054E-3</v>
      </c>
    </row>
    <row r="2433" spans="1:7" x14ac:dyDescent="0.25">
      <c r="A2433" t="s">
        <v>7</v>
      </c>
      <c r="B2433" t="s">
        <v>17</v>
      </c>
      <c r="C2433" t="s">
        <v>9</v>
      </c>
      <c r="D2433" t="s">
        <v>10</v>
      </c>
      <c r="E2433">
        <v>8</v>
      </c>
      <c r="F2433" s="1">
        <v>35976</v>
      </c>
      <c r="G2433">
        <v>-3.6828903711927603E-2</v>
      </c>
    </row>
    <row r="2434" spans="1:7" x14ac:dyDescent="0.25">
      <c r="A2434" t="s">
        <v>7</v>
      </c>
      <c r="B2434" t="s">
        <v>17</v>
      </c>
      <c r="C2434" t="s">
        <v>9</v>
      </c>
      <c r="D2434" t="s">
        <v>10</v>
      </c>
      <c r="E2434">
        <v>7</v>
      </c>
      <c r="F2434" s="1">
        <v>36007</v>
      </c>
      <c r="G2434">
        <v>2.8188189120756799E-2</v>
      </c>
    </row>
    <row r="2435" spans="1:7" x14ac:dyDescent="0.25">
      <c r="A2435" t="s">
        <v>7</v>
      </c>
      <c r="B2435" t="s">
        <v>17</v>
      </c>
      <c r="C2435" t="s">
        <v>9</v>
      </c>
      <c r="D2435" t="s">
        <v>10</v>
      </c>
      <c r="E2435">
        <v>7</v>
      </c>
      <c r="F2435" s="1">
        <v>36038</v>
      </c>
      <c r="G2435">
        <v>-3.8429981983406601E-2</v>
      </c>
    </row>
    <row r="2436" spans="1:7" x14ac:dyDescent="0.25">
      <c r="A2436" t="s">
        <v>7</v>
      </c>
      <c r="B2436" t="s">
        <v>17</v>
      </c>
      <c r="C2436" t="s">
        <v>9</v>
      </c>
      <c r="D2436" t="s">
        <v>10</v>
      </c>
      <c r="E2436">
        <v>7</v>
      </c>
      <c r="F2436" s="1">
        <v>36068</v>
      </c>
      <c r="G2436">
        <v>-2.4371162682570099E-2</v>
      </c>
    </row>
    <row r="2437" spans="1:7" x14ac:dyDescent="0.25">
      <c r="A2437" t="s">
        <v>7</v>
      </c>
      <c r="B2437" t="s">
        <v>17</v>
      </c>
      <c r="C2437" t="s">
        <v>9</v>
      </c>
      <c r="D2437" t="s">
        <v>10</v>
      </c>
      <c r="E2437">
        <v>7</v>
      </c>
      <c r="F2437" s="1">
        <v>36099</v>
      </c>
      <c r="G2437">
        <v>2.6619399869978601E-2</v>
      </c>
    </row>
    <row r="2438" spans="1:7" x14ac:dyDescent="0.25">
      <c r="A2438" t="s">
        <v>7</v>
      </c>
      <c r="B2438" t="s">
        <v>17</v>
      </c>
      <c r="C2438" t="s">
        <v>9</v>
      </c>
      <c r="D2438" t="s">
        <v>10</v>
      </c>
      <c r="E2438">
        <v>7</v>
      </c>
      <c r="F2438" s="1">
        <v>36129</v>
      </c>
      <c r="G2438">
        <v>-3.6204701846040202E-2</v>
      </c>
    </row>
    <row r="2439" spans="1:7" x14ac:dyDescent="0.25">
      <c r="A2439" t="s">
        <v>7</v>
      </c>
      <c r="B2439" t="s">
        <v>17</v>
      </c>
      <c r="C2439" t="s">
        <v>9</v>
      </c>
      <c r="D2439" t="s">
        <v>10</v>
      </c>
      <c r="E2439">
        <v>9</v>
      </c>
      <c r="F2439" s="1">
        <v>36160</v>
      </c>
      <c r="G2439">
        <v>-0.10147622939763599</v>
      </c>
    </row>
    <row r="2440" spans="1:7" x14ac:dyDescent="0.25">
      <c r="A2440" t="s">
        <v>7</v>
      </c>
      <c r="B2440" t="s">
        <v>17</v>
      </c>
      <c r="C2440" t="s">
        <v>9</v>
      </c>
      <c r="D2440" t="s">
        <v>10</v>
      </c>
      <c r="E2440">
        <v>9</v>
      </c>
      <c r="F2440" s="1">
        <v>36191</v>
      </c>
      <c r="G2440">
        <v>6.3389186744482504E-2</v>
      </c>
    </row>
    <row r="2441" spans="1:7" x14ac:dyDescent="0.25">
      <c r="A2441" t="s">
        <v>7</v>
      </c>
      <c r="B2441" t="s">
        <v>17</v>
      </c>
      <c r="C2441" t="s">
        <v>9</v>
      </c>
      <c r="D2441" t="s">
        <v>10</v>
      </c>
      <c r="E2441">
        <v>3</v>
      </c>
      <c r="F2441" s="1">
        <v>36219</v>
      </c>
      <c r="G2441">
        <v>8.1389699653171402E-2</v>
      </c>
    </row>
    <row r="2442" spans="1:7" x14ac:dyDescent="0.25">
      <c r="A2442" t="s">
        <v>7</v>
      </c>
      <c r="B2442" t="s">
        <v>17</v>
      </c>
      <c r="C2442" t="s">
        <v>9</v>
      </c>
      <c r="D2442" t="s">
        <v>10</v>
      </c>
      <c r="E2442">
        <v>7</v>
      </c>
      <c r="F2442" s="1">
        <v>36250</v>
      </c>
      <c r="G2442">
        <v>-0.227142348187168</v>
      </c>
    </row>
    <row r="2443" spans="1:7" x14ac:dyDescent="0.25">
      <c r="A2443" t="s">
        <v>7</v>
      </c>
      <c r="B2443" t="s">
        <v>17</v>
      </c>
      <c r="C2443" t="s">
        <v>9</v>
      </c>
      <c r="D2443" t="s">
        <v>10</v>
      </c>
      <c r="E2443">
        <v>7</v>
      </c>
      <c r="F2443" s="1">
        <v>36280</v>
      </c>
      <c r="G2443">
        <v>-6.84757131575367E-2</v>
      </c>
    </row>
    <row r="2444" spans="1:7" x14ac:dyDescent="0.25">
      <c r="A2444" t="s">
        <v>7</v>
      </c>
      <c r="B2444" t="s">
        <v>17</v>
      </c>
      <c r="C2444" t="s">
        <v>9</v>
      </c>
      <c r="D2444" t="s">
        <v>10</v>
      </c>
      <c r="E2444">
        <v>8</v>
      </c>
      <c r="F2444" s="1">
        <v>36311</v>
      </c>
      <c r="G2444">
        <v>1.12360869961483E-2</v>
      </c>
    </row>
    <row r="2445" spans="1:7" x14ac:dyDescent="0.25">
      <c r="A2445" t="s">
        <v>7</v>
      </c>
      <c r="B2445" t="s">
        <v>17</v>
      </c>
      <c r="C2445" t="s">
        <v>9</v>
      </c>
      <c r="D2445" t="s">
        <v>10</v>
      </c>
      <c r="E2445">
        <v>8</v>
      </c>
      <c r="F2445" s="1">
        <v>36341</v>
      </c>
      <c r="G2445">
        <v>-8.1196569552048195E-2</v>
      </c>
    </row>
    <row r="2446" spans="1:7" x14ac:dyDescent="0.25">
      <c r="A2446" t="s">
        <v>7</v>
      </c>
      <c r="B2446" t="s">
        <v>17</v>
      </c>
      <c r="C2446" t="s">
        <v>9</v>
      </c>
      <c r="D2446" t="s">
        <v>10</v>
      </c>
      <c r="E2446">
        <v>8</v>
      </c>
      <c r="F2446" s="1">
        <v>36372</v>
      </c>
      <c r="G2446">
        <v>-1.79646573000443E-2</v>
      </c>
    </row>
    <row r="2447" spans="1:7" x14ac:dyDescent="0.25">
      <c r="A2447" t="s">
        <v>7</v>
      </c>
      <c r="B2447" t="s">
        <v>17</v>
      </c>
      <c r="C2447" t="s">
        <v>9</v>
      </c>
      <c r="D2447" t="s">
        <v>10</v>
      </c>
      <c r="E2447">
        <v>8</v>
      </c>
      <c r="F2447" s="1">
        <v>36403</v>
      </c>
      <c r="G2447">
        <v>-4.46704786811183E-2</v>
      </c>
    </row>
    <row r="2448" spans="1:7" x14ac:dyDescent="0.25">
      <c r="A2448" t="s">
        <v>7</v>
      </c>
      <c r="B2448" t="s">
        <v>17</v>
      </c>
      <c r="C2448" t="s">
        <v>9</v>
      </c>
      <c r="D2448" t="s">
        <v>10</v>
      </c>
      <c r="E2448">
        <v>8</v>
      </c>
      <c r="F2448" s="1">
        <v>36433</v>
      </c>
      <c r="G2448">
        <v>7.8906767295121496E-3</v>
      </c>
    </row>
    <row r="2449" spans="1:7" x14ac:dyDescent="0.25">
      <c r="A2449" t="s">
        <v>7</v>
      </c>
      <c r="B2449" t="s">
        <v>17</v>
      </c>
      <c r="C2449" t="s">
        <v>9</v>
      </c>
      <c r="D2449" t="s">
        <v>10</v>
      </c>
      <c r="E2449">
        <v>9</v>
      </c>
      <c r="F2449" s="1">
        <v>36464</v>
      </c>
      <c r="G2449">
        <v>-3.54355578316638E-2</v>
      </c>
    </row>
    <row r="2450" spans="1:7" x14ac:dyDescent="0.25">
      <c r="A2450" t="s">
        <v>7</v>
      </c>
      <c r="B2450" t="s">
        <v>17</v>
      </c>
      <c r="C2450" t="s">
        <v>9</v>
      </c>
      <c r="D2450" t="s">
        <v>10</v>
      </c>
      <c r="E2450">
        <v>8</v>
      </c>
      <c r="F2450" s="1">
        <v>36494</v>
      </c>
      <c r="G2450">
        <v>-1.6080359931675201E-2</v>
      </c>
    </row>
    <row r="2451" spans="1:7" x14ac:dyDescent="0.25">
      <c r="A2451" t="s">
        <v>7</v>
      </c>
      <c r="B2451" t="s">
        <v>17</v>
      </c>
      <c r="C2451" t="s">
        <v>9</v>
      </c>
      <c r="D2451" t="s">
        <v>10</v>
      </c>
      <c r="E2451">
        <v>8</v>
      </c>
      <c r="F2451" s="1">
        <v>36525</v>
      </c>
      <c r="G2451">
        <v>-6.0627233953073102E-2</v>
      </c>
    </row>
    <row r="2452" spans="1:7" x14ac:dyDescent="0.25">
      <c r="A2452" t="s">
        <v>7</v>
      </c>
      <c r="B2452" t="s">
        <v>17</v>
      </c>
      <c r="C2452" t="s">
        <v>9</v>
      </c>
      <c r="D2452" t="s">
        <v>10</v>
      </c>
      <c r="E2452">
        <v>9</v>
      </c>
      <c r="F2452" s="1">
        <v>36556</v>
      </c>
      <c r="G2452">
        <v>-1.2045171484438901E-2</v>
      </c>
    </row>
    <row r="2453" spans="1:7" x14ac:dyDescent="0.25">
      <c r="A2453" t="s">
        <v>7</v>
      </c>
      <c r="B2453" t="s">
        <v>17</v>
      </c>
      <c r="C2453" t="s">
        <v>9</v>
      </c>
      <c r="D2453" t="s">
        <v>10</v>
      </c>
      <c r="E2453">
        <v>9</v>
      </c>
      <c r="F2453" s="1">
        <v>36585</v>
      </c>
      <c r="G2453">
        <v>-3.3147782868920103E-2</v>
      </c>
    </row>
    <row r="2454" spans="1:7" x14ac:dyDescent="0.25">
      <c r="A2454" t="s">
        <v>7</v>
      </c>
      <c r="B2454" t="s">
        <v>17</v>
      </c>
      <c r="C2454" t="s">
        <v>9</v>
      </c>
      <c r="D2454" t="s">
        <v>10</v>
      </c>
      <c r="E2454">
        <v>9</v>
      </c>
      <c r="F2454" s="1">
        <v>36616</v>
      </c>
      <c r="G2454">
        <v>-3.6166321676823897E-2</v>
      </c>
    </row>
    <row r="2455" spans="1:7" x14ac:dyDescent="0.25">
      <c r="A2455" t="s">
        <v>7</v>
      </c>
      <c r="B2455" t="s">
        <v>17</v>
      </c>
      <c r="C2455" t="s">
        <v>9</v>
      </c>
      <c r="D2455" t="s">
        <v>10</v>
      </c>
      <c r="E2455">
        <v>9</v>
      </c>
      <c r="F2455" s="1">
        <v>36646</v>
      </c>
      <c r="G2455">
        <v>1.8049249797691298E-2</v>
      </c>
    </row>
    <row r="2456" spans="1:7" x14ac:dyDescent="0.25">
      <c r="A2456" t="s">
        <v>7</v>
      </c>
      <c r="B2456" t="s">
        <v>17</v>
      </c>
      <c r="C2456" t="s">
        <v>9</v>
      </c>
      <c r="D2456" t="s">
        <v>10</v>
      </c>
      <c r="E2456">
        <v>9</v>
      </c>
      <c r="F2456" s="1">
        <v>36677</v>
      </c>
      <c r="G2456">
        <v>-8.2732218866090806E-2</v>
      </c>
    </row>
    <row r="2457" spans="1:7" x14ac:dyDescent="0.25">
      <c r="A2457" t="s">
        <v>7</v>
      </c>
      <c r="B2457" t="s">
        <v>17</v>
      </c>
      <c r="C2457" t="s">
        <v>9</v>
      </c>
      <c r="D2457" t="s">
        <v>10</v>
      </c>
      <c r="E2457">
        <v>8</v>
      </c>
      <c r="F2457" s="1">
        <v>36707</v>
      </c>
      <c r="G2457">
        <v>7.99484101532138E-2</v>
      </c>
    </row>
    <row r="2458" spans="1:7" x14ac:dyDescent="0.25">
      <c r="A2458" t="s">
        <v>7</v>
      </c>
      <c r="B2458" t="s">
        <v>17</v>
      </c>
      <c r="C2458" t="s">
        <v>9</v>
      </c>
      <c r="D2458" t="s">
        <v>10</v>
      </c>
      <c r="E2458">
        <v>9</v>
      </c>
      <c r="F2458" s="1">
        <v>36738</v>
      </c>
      <c r="G2458">
        <v>-0.10453441256099801</v>
      </c>
    </row>
    <row r="2459" spans="1:7" x14ac:dyDescent="0.25">
      <c r="A2459" t="s">
        <v>7</v>
      </c>
      <c r="B2459" t="s">
        <v>17</v>
      </c>
      <c r="C2459" t="s">
        <v>9</v>
      </c>
      <c r="D2459" t="s">
        <v>10</v>
      </c>
      <c r="E2459">
        <v>9</v>
      </c>
      <c r="F2459" s="1">
        <v>36769</v>
      </c>
      <c r="G2459">
        <v>0.11254695143531999</v>
      </c>
    </row>
    <row r="2460" spans="1:7" x14ac:dyDescent="0.25">
      <c r="A2460" t="s">
        <v>7</v>
      </c>
      <c r="B2460" t="s">
        <v>17</v>
      </c>
      <c r="C2460" t="s">
        <v>9</v>
      </c>
      <c r="D2460" t="s">
        <v>10</v>
      </c>
      <c r="E2460">
        <v>9</v>
      </c>
      <c r="F2460" s="1">
        <v>36799</v>
      </c>
      <c r="G2460">
        <v>-4.7432735416506798E-2</v>
      </c>
    </row>
    <row r="2461" spans="1:7" x14ac:dyDescent="0.25">
      <c r="A2461" t="s">
        <v>7</v>
      </c>
      <c r="B2461" t="s">
        <v>17</v>
      </c>
      <c r="C2461" t="s">
        <v>9</v>
      </c>
      <c r="D2461" t="s">
        <v>10</v>
      </c>
      <c r="E2461">
        <v>9</v>
      </c>
      <c r="F2461" s="1">
        <v>36830</v>
      </c>
      <c r="G2461">
        <v>4.5075992595308298E-2</v>
      </c>
    </row>
    <row r="2462" spans="1:7" x14ac:dyDescent="0.25">
      <c r="A2462" t="s">
        <v>7</v>
      </c>
      <c r="B2462" t="s">
        <v>17</v>
      </c>
      <c r="C2462" t="s">
        <v>9</v>
      </c>
      <c r="D2462" t="s">
        <v>10</v>
      </c>
      <c r="E2462">
        <v>9</v>
      </c>
      <c r="F2462" s="1">
        <v>36860</v>
      </c>
      <c r="G2462">
        <v>-5.3231976993325198E-3</v>
      </c>
    </row>
    <row r="2463" spans="1:7" x14ac:dyDescent="0.25">
      <c r="A2463" t="s">
        <v>7</v>
      </c>
      <c r="B2463" t="s">
        <v>17</v>
      </c>
      <c r="C2463" t="s">
        <v>9</v>
      </c>
      <c r="D2463" t="s">
        <v>10</v>
      </c>
      <c r="E2463">
        <v>10</v>
      </c>
      <c r="F2463" s="1">
        <v>36891</v>
      </c>
      <c r="G2463">
        <v>4.3345363153324899E-2</v>
      </c>
    </row>
    <row r="2464" spans="1:7" x14ac:dyDescent="0.25">
      <c r="A2464" t="s">
        <v>7</v>
      </c>
      <c r="B2464" t="s">
        <v>17</v>
      </c>
      <c r="C2464" t="s">
        <v>9</v>
      </c>
      <c r="D2464" t="s">
        <v>10</v>
      </c>
      <c r="E2464">
        <v>10</v>
      </c>
      <c r="F2464" s="1">
        <v>36922</v>
      </c>
      <c r="G2464">
        <v>0.13358679752705099</v>
      </c>
    </row>
    <row r="2465" spans="1:7" x14ac:dyDescent="0.25">
      <c r="A2465" t="s">
        <v>7</v>
      </c>
      <c r="B2465" t="s">
        <v>17</v>
      </c>
      <c r="C2465" t="s">
        <v>9</v>
      </c>
      <c r="D2465" t="s">
        <v>10</v>
      </c>
      <c r="E2465">
        <v>10</v>
      </c>
      <c r="F2465" s="1">
        <v>36950</v>
      </c>
      <c r="G2465">
        <v>5.0456543978014898E-2</v>
      </c>
    </row>
    <row r="2466" spans="1:7" x14ac:dyDescent="0.25">
      <c r="A2466" t="s">
        <v>7</v>
      </c>
      <c r="B2466" t="s">
        <v>17</v>
      </c>
      <c r="C2466" t="s">
        <v>9</v>
      </c>
      <c r="D2466" t="s">
        <v>10</v>
      </c>
      <c r="E2466">
        <v>10</v>
      </c>
      <c r="F2466" s="1">
        <v>36981</v>
      </c>
      <c r="G2466">
        <v>5.3696133783942203E-2</v>
      </c>
    </row>
    <row r="2467" spans="1:7" x14ac:dyDescent="0.25">
      <c r="A2467" t="s">
        <v>7</v>
      </c>
      <c r="B2467" t="s">
        <v>17</v>
      </c>
      <c r="C2467" t="s">
        <v>9</v>
      </c>
      <c r="D2467" t="s">
        <v>10</v>
      </c>
      <c r="E2467">
        <v>9</v>
      </c>
      <c r="F2467" s="1">
        <v>37011</v>
      </c>
      <c r="G2467">
        <v>0.102509785776214</v>
      </c>
    </row>
    <row r="2468" spans="1:7" x14ac:dyDescent="0.25">
      <c r="A2468" t="s">
        <v>7</v>
      </c>
      <c r="B2468" t="s">
        <v>17</v>
      </c>
      <c r="C2468" t="s">
        <v>9</v>
      </c>
      <c r="D2468" t="s">
        <v>10</v>
      </c>
      <c r="E2468">
        <v>10</v>
      </c>
      <c r="F2468" s="1">
        <v>37042</v>
      </c>
      <c r="G2468">
        <v>4.997047898741E-2</v>
      </c>
    </row>
    <row r="2469" spans="1:7" x14ac:dyDescent="0.25">
      <c r="A2469" t="s">
        <v>7</v>
      </c>
      <c r="B2469" t="s">
        <v>17</v>
      </c>
      <c r="C2469" t="s">
        <v>9</v>
      </c>
      <c r="D2469" t="s">
        <v>10</v>
      </c>
      <c r="E2469">
        <v>8</v>
      </c>
      <c r="F2469" s="1">
        <v>37072</v>
      </c>
      <c r="G2469">
        <v>-4.4715152962694599E-4</v>
      </c>
    </row>
    <row r="2470" spans="1:7" x14ac:dyDescent="0.25">
      <c r="A2470" t="s">
        <v>7</v>
      </c>
      <c r="B2470" t="s">
        <v>17</v>
      </c>
      <c r="C2470" t="s">
        <v>9</v>
      </c>
      <c r="D2470" t="s">
        <v>10</v>
      </c>
      <c r="E2470">
        <v>8</v>
      </c>
      <c r="F2470" s="1">
        <v>37103</v>
      </c>
      <c r="G2470">
        <v>-4.0434872805206398E-2</v>
      </c>
    </row>
    <row r="2471" spans="1:7" x14ac:dyDescent="0.25">
      <c r="A2471" t="s">
        <v>7</v>
      </c>
      <c r="B2471" t="s">
        <v>17</v>
      </c>
      <c r="C2471" t="s">
        <v>9</v>
      </c>
      <c r="D2471" t="s">
        <v>10</v>
      </c>
      <c r="E2471">
        <v>8</v>
      </c>
      <c r="F2471" s="1">
        <v>37134</v>
      </c>
      <c r="G2471">
        <v>1.2591267394002101E-3</v>
      </c>
    </row>
    <row r="2472" spans="1:7" x14ac:dyDescent="0.25">
      <c r="A2472" t="s">
        <v>7</v>
      </c>
      <c r="B2472" t="s">
        <v>17</v>
      </c>
      <c r="C2472" t="s">
        <v>9</v>
      </c>
      <c r="D2472" t="s">
        <v>10</v>
      </c>
      <c r="E2472">
        <v>8</v>
      </c>
      <c r="F2472" s="1">
        <v>37164</v>
      </c>
      <c r="G2472">
        <v>-6.03204786046488E-2</v>
      </c>
    </row>
    <row r="2473" spans="1:7" x14ac:dyDescent="0.25">
      <c r="A2473" t="s">
        <v>7</v>
      </c>
      <c r="B2473" t="s">
        <v>17</v>
      </c>
      <c r="C2473" t="s">
        <v>9</v>
      </c>
      <c r="D2473" t="s">
        <v>10</v>
      </c>
      <c r="E2473">
        <v>2</v>
      </c>
      <c r="F2473" s="1">
        <v>37195</v>
      </c>
      <c r="G2473">
        <v>5.7339717295087501E-2</v>
      </c>
    </row>
    <row r="2474" spans="1:7" x14ac:dyDescent="0.25">
      <c r="A2474" t="s">
        <v>7</v>
      </c>
      <c r="B2474" t="s">
        <v>17</v>
      </c>
      <c r="C2474" t="s">
        <v>9</v>
      </c>
      <c r="D2474" t="s">
        <v>10</v>
      </c>
      <c r="E2474">
        <v>2</v>
      </c>
      <c r="F2474" s="1">
        <v>37225</v>
      </c>
      <c r="G2474">
        <v>4.6405404277485903E-3</v>
      </c>
    </row>
    <row r="2475" spans="1:7" x14ac:dyDescent="0.25">
      <c r="A2475" t="s">
        <v>7</v>
      </c>
      <c r="B2475" t="s">
        <v>17</v>
      </c>
      <c r="C2475" t="s">
        <v>9</v>
      </c>
      <c r="D2475" t="s">
        <v>10</v>
      </c>
      <c r="E2475">
        <v>2</v>
      </c>
      <c r="F2475" s="1">
        <v>37256</v>
      </c>
      <c r="G2475">
        <v>-1.86295029419032E-3</v>
      </c>
    </row>
    <row r="2476" spans="1:7" x14ac:dyDescent="0.25">
      <c r="A2476" t="s">
        <v>7</v>
      </c>
      <c r="B2476" t="s">
        <v>17</v>
      </c>
      <c r="C2476" t="s">
        <v>9</v>
      </c>
      <c r="D2476" t="s">
        <v>10</v>
      </c>
      <c r="E2476">
        <v>8</v>
      </c>
      <c r="F2476" s="1">
        <v>37287</v>
      </c>
      <c r="G2476">
        <v>-1.9607759748889099E-2</v>
      </c>
    </row>
    <row r="2477" spans="1:7" x14ac:dyDescent="0.25">
      <c r="A2477" t="s">
        <v>7</v>
      </c>
      <c r="B2477" t="s">
        <v>17</v>
      </c>
      <c r="C2477" t="s">
        <v>9</v>
      </c>
      <c r="D2477" t="s">
        <v>10</v>
      </c>
      <c r="E2477">
        <v>8</v>
      </c>
      <c r="F2477" s="1">
        <v>37315</v>
      </c>
      <c r="G2477">
        <v>2.3518427090022699E-2</v>
      </c>
    </row>
    <row r="2478" spans="1:7" x14ac:dyDescent="0.25">
      <c r="A2478" t="s">
        <v>7</v>
      </c>
      <c r="B2478" t="s">
        <v>17</v>
      </c>
      <c r="C2478" t="s">
        <v>9</v>
      </c>
      <c r="D2478" t="s">
        <v>10</v>
      </c>
      <c r="E2478">
        <v>8</v>
      </c>
      <c r="F2478" s="1">
        <v>37346</v>
      </c>
      <c r="G2478">
        <v>1.8616585639262599E-2</v>
      </c>
    </row>
    <row r="2479" spans="1:7" x14ac:dyDescent="0.25">
      <c r="A2479" t="s">
        <v>7</v>
      </c>
      <c r="B2479" t="s">
        <v>17</v>
      </c>
      <c r="C2479" t="s">
        <v>9</v>
      </c>
      <c r="D2479" t="s">
        <v>10</v>
      </c>
      <c r="E2479">
        <v>8</v>
      </c>
      <c r="F2479" s="1">
        <v>37376</v>
      </c>
      <c r="G2479">
        <v>0.101808624027978</v>
      </c>
    </row>
    <row r="2480" spans="1:7" x14ac:dyDescent="0.25">
      <c r="A2480" t="s">
        <v>7</v>
      </c>
      <c r="B2480" t="s">
        <v>17</v>
      </c>
      <c r="C2480" t="s">
        <v>9</v>
      </c>
      <c r="D2480" t="s">
        <v>10</v>
      </c>
      <c r="E2480">
        <v>7</v>
      </c>
      <c r="F2480" s="1">
        <v>37407</v>
      </c>
      <c r="G2480">
        <v>1.4225335410433901E-2</v>
      </c>
    </row>
    <row r="2481" spans="1:7" x14ac:dyDescent="0.25">
      <c r="A2481" t="s">
        <v>7</v>
      </c>
      <c r="B2481" t="s">
        <v>17</v>
      </c>
      <c r="C2481" t="s">
        <v>9</v>
      </c>
      <c r="D2481" t="s">
        <v>10</v>
      </c>
      <c r="E2481">
        <v>7</v>
      </c>
      <c r="F2481" s="1">
        <v>37437</v>
      </c>
      <c r="G2481">
        <v>3.1113884352931401E-2</v>
      </c>
    </row>
    <row r="2482" spans="1:7" x14ac:dyDescent="0.25">
      <c r="A2482" t="s">
        <v>7</v>
      </c>
      <c r="B2482" t="s">
        <v>17</v>
      </c>
      <c r="C2482" t="s">
        <v>9</v>
      </c>
      <c r="D2482" t="s">
        <v>10</v>
      </c>
      <c r="E2482">
        <v>5</v>
      </c>
      <c r="F2482" s="1">
        <v>37468</v>
      </c>
      <c r="G2482">
        <v>-7.6426392088971796E-3</v>
      </c>
    </row>
    <row r="2483" spans="1:7" x14ac:dyDescent="0.25">
      <c r="A2483" t="s">
        <v>7</v>
      </c>
      <c r="B2483" t="s">
        <v>17</v>
      </c>
      <c r="C2483" t="s">
        <v>9</v>
      </c>
      <c r="D2483" t="s">
        <v>10</v>
      </c>
      <c r="E2483">
        <v>5</v>
      </c>
      <c r="F2483" s="1">
        <v>37529</v>
      </c>
      <c r="G2483">
        <v>-8.6543573111112597E-3</v>
      </c>
    </row>
    <row r="2484" spans="1:7" x14ac:dyDescent="0.25">
      <c r="A2484" t="s">
        <v>7</v>
      </c>
      <c r="B2484" t="s">
        <v>17</v>
      </c>
      <c r="C2484" t="s">
        <v>9</v>
      </c>
      <c r="D2484" t="s">
        <v>10</v>
      </c>
      <c r="E2484">
        <v>2</v>
      </c>
      <c r="F2484" s="1">
        <v>37652</v>
      </c>
      <c r="G2484">
        <v>-6.4592986912216599E-2</v>
      </c>
    </row>
    <row r="2485" spans="1:7" x14ac:dyDescent="0.25">
      <c r="A2485" t="s">
        <v>7</v>
      </c>
      <c r="B2485" t="s">
        <v>17</v>
      </c>
      <c r="C2485" t="s">
        <v>9</v>
      </c>
      <c r="D2485" t="s">
        <v>10</v>
      </c>
      <c r="E2485">
        <v>2</v>
      </c>
      <c r="F2485" s="1">
        <v>37772</v>
      </c>
      <c r="G2485">
        <v>0.14597343094197099</v>
      </c>
    </row>
    <row r="2486" spans="1:7" x14ac:dyDescent="0.25">
      <c r="A2486" t="s">
        <v>7</v>
      </c>
      <c r="B2486" t="s">
        <v>17</v>
      </c>
      <c r="C2486" t="s">
        <v>9</v>
      </c>
      <c r="D2486" t="s">
        <v>10</v>
      </c>
      <c r="E2486">
        <v>2</v>
      </c>
      <c r="F2486" s="1">
        <v>37802</v>
      </c>
      <c r="G2486">
        <v>-0.21071636642377001</v>
      </c>
    </row>
    <row r="2487" spans="1:7" x14ac:dyDescent="0.25">
      <c r="A2487" t="s">
        <v>7</v>
      </c>
      <c r="B2487" t="s">
        <v>17</v>
      </c>
      <c r="C2487" t="s">
        <v>9</v>
      </c>
      <c r="D2487" t="s">
        <v>10</v>
      </c>
      <c r="E2487">
        <v>2</v>
      </c>
      <c r="F2487" s="1">
        <v>37833</v>
      </c>
      <c r="G2487">
        <v>0.124691302614667</v>
      </c>
    </row>
    <row r="2488" spans="1:7" x14ac:dyDescent="0.25">
      <c r="A2488" t="s">
        <v>7</v>
      </c>
      <c r="B2488" t="s">
        <v>17</v>
      </c>
      <c r="C2488" t="s">
        <v>9</v>
      </c>
      <c r="D2488" t="s">
        <v>10</v>
      </c>
      <c r="E2488">
        <v>6</v>
      </c>
      <c r="F2488" s="1">
        <v>37894</v>
      </c>
      <c r="G2488">
        <v>-5.9737688160272299E-2</v>
      </c>
    </row>
    <row r="2489" spans="1:7" x14ac:dyDescent="0.25">
      <c r="A2489" t="s">
        <v>7</v>
      </c>
      <c r="B2489" t="s">
        <v>17</v>
      </c>
      <c r="C2489" t="s">
        <v>9</v>
      </c>
      <c r="D2489" t="s">
        <v>10</v>
      </c>
      <c r="E2489">
        <v>6</v>
      </c>
      <c r="F2489" s="1">
        <v>37925</v>
      </c>
      <c r="G2489">
        <v>7.1233163148106002E-2</v>
      </c>
    </row>
    <row r="2490" spans="1:7" x14ac:dyDescent="0.25">
      <c r="A2490" t="s">
        <v>7</v>
      </c>
      <c r="B2490" t="s">
        <v>17</v>
      </c>
      <c r="C2490" t="s">
        <v>9</v>
      </c>
      <c r="D2490" t="s">
        <v>10</v>
      </c>
      <c r="E2490">
        <v>6</v>
      </c>
      <c r="F2490" s="1">
        <v>37955</v>
      </c>
      <c r="G2490">
        <v>6.4221030499252693E-2</v>
      </c>
    </row>
    <row r="2491" spans="1:7" x14ac:dyDescent="0.25">
      <c r="A2491" t="s">
        <v>7</v>
      </c>
      <c r="B2491" t="s">
        <v>17</v>
      </c>
      <c r="C2491" t="s">
        <v>9</v>
      </c>
      <c r="D2491" t="s">
        <v>10</v>
      </c>
      <c r="E2491">
        <v>8</v>
      </c>
      <c r="F2491" s="1">
        <v>37986</v>
      </c>
      <c r="G2491">
        <v>-6.7001054064949897E-2</v>
      </c>
    </row>
    <row r="2492" spans="1:7" x14ac:dyDescent="0.25">
      <c r="A2492" t="s">
        <v>7</v>
      </c>
      <c r="B2492" t="s">
        <v>17</v>
      </c>
      <c r="C2492" t="s">
        <v>9</v>
      </c>
      <c r="D2492" t="s">
        <v>10</v>
      </c>
      <c r="E2492">
        <v>6</v>
      </c>
      <c r="F2492" s="1">
        <v>38017</v>
      </c>
      <c r="G2492">
        <v>-0.122061730969312</v>
      </c>
    </row>
    <row r="2493" spans="1:7" x14ac:dyDescent="0.25">
      <c r="A2493" t="s">
        <v>7</v>
      </c>
      <c r="B2493" t="s">
        <v>17</v>
      </c>
      <c r="C2493" t="s">
        <v>9</v>
      </c>
      <c r="D2493" t="s">
        <v>10</v>
      </c>
      <c r="E2493">
        <v>6</v>
      </c>
      <c r="F2493" s="1">
        <v>38046</v>
      </c>
      <c r="G2493">
        <v>7.9724626198512297E-2</v>
      </c>
    </row>
    <row r="2494" spans="1:7" x14ac:dyDescent="0.25">
      <c r="A2494" t="s">
        <v>7</v>
      </c>
      <c r="B2494" t="s">
        <v>17</v>
      </c>
      <c r="C2494" t="s">
        <v>9</v>
      </c>
      <c r="D2494" t="s">
        <v>10</v>
      </c>
      <c r="E2494">
        <v>6</v>
      </c>
      <c r="F2494" s="1">
        <v>38077</v>
      </c>
      <c r="G2494">
        <v>-2.34216848778722E-2</v>
      </c>
    </row>
    <row r="2495" spans="1:7" x14ac:dyDescent="0.25">
      <c r="A2495" t="s">
        <v>7</v>
      </c>
      <c r="B2495" t="s">
        <v>17</v>
      </c>
      <c r="C2495" t="s">
        <v>9</v>
      </c>
      <c r="D2495" t="s">
        <v>10</v>
      </c>
      <c r="E2495">
        <v>6</v>
      </c>
      <c r="F2495" s="1">
        <v>38107</v>
      </c>
      <c r="G2495">
        <v>-3.7272363016272299E-2</v>
      </c>
    </row>
    <row r="2496" spans="1:7" x14ac:dyDescent="0.25">
      <c r="A2496" t="s">
        <v>7</v>
      </c>
      <c r="B2496" t="s">
        <v>17</v>
      </c>
      <c r="C2496" t="s">
        <v>9</v>
      </c>
      <c r="D2496" t="s">
        <v>10</v>
      </c>
      <c r="E2496">
        <v>10</v>
      </c>
      <c r="F2496" s="1">
        <v>38138</v>
      </c>
      <c r="G2496">
        <v>8.5677246229987306E-2</v>
      </c>
    </row>
    <row r="2497" spans="1:7" x14ac:dyDescent="0.25">
      <c r="A2497" t="s">
        <v>7</v>
      </c>
      <c r="B2497" t="s">
        <v>17</v>
      </c>
      <c r="C2497" t="s">
        <v>9</v>
      </c>
      <c r="D2497" t="s">
        <v>10</v>
      </c>
      <c r="E2497">
        <v>7</v>
      </c>
      <c r="F2497" s="1">
        <v>38168</v>
      </c>
      <c r="G2497">
        <v>-5.1243209144785397E-3</v>
      </c>
    </row>
    <row r="2498" spans="1:7" x14ac:dyDescent="0.25">
      <c r="A2498" t="s">
        <v>7</v>
      </c>
      <c r="B2498" t="s">
        <v>17</v>
      </c>
      <c r="C2498" t="s">
        <v>9</v>
      </c>
      <c r="D2498" t="s">
        <v>10</v>
      </c>
      <c r="E2498">
        <v>7</v>
      </c>
      <c r="F2498" s="1">
        <v>38199</v>
      </c>
      <c r="G2498">
        <v>-7.6705389005030294E-2</v>
      </c>
    </row>
    <row r="2499" spans="1:7" x14ac:dyDescent="0.25">
      <c r="A2499" t="s">
        <v>7</v>
      </c>
      <c r="B2499" t="s">
        <v>17</v>
      </c>
      <c r="C2499" t="s">
        <v>9</v>
      </c>
      <c r="D2499" t="s">
        <v>10</v>
      </c>
      <c r="E2499">
        <v>10</v>
      </c>
      <c r="F2499" s="1">
        <v>38230</v>
      </c>
      <c r="G2499">
        <v>-5.70250879795791E-2</v>
      </c>
    </row>
    <row r="2500" spans="1:7" x14ac:dyDescent="0.25">
      <c r="A2500" t="s">
        <v>7</v>
      </c>
      <c r="B2500" t="s">
        <v>17</v>
      </c>
      <c r="C2500" t="s">
        <v>9</v>
      </c>
      <c r="D2500" t="s">
        <v>10</v>
      </c>
      <c r="E2500">
        <v>10</v>
      </c>
      <c r="F2500" s="1">
        <v>38260</v>
      </c>
      <c r="G2500">
        <v>2.5663095804137701E-2</v>
      </c>
    </row>
    <row r="2501" spans="1:7" x14ac:dyDescent="0.25">
      <c r="A2501" t="s">
        <v>7</v>
      </c>
      <c r="B2501" t="s">
        <v>17</v>
      </c>
      <c r="C2501" t="s">
        <v>9</v>
      </c>
      <c r="D2501" t="s">
        <v>10</v>
      </c>
      <c r="E2501">
        <v>10</v>
      </c>
      <c r="F2501" s="1">
        <v>38291</v>
      </c>
      <c r="G2501">
        <v>2.2483277261619899E-2</v>
      </c>
    </row>
    <row r="2502" spans="1:7" x14ac:dyDescent="0.25">
      <c r="A2502" t="s">
        <v>7</v>
      </c>
      <c r="B2502" t="s">
        <v>17</v>
      </c>
      <c r="C2502" t="s">
        <v>9</v>
      </c>
      <c r="D2502" t="s">
        <v>10</v>
      </c>
      <c r="E2502">
        <v>11</v>
      </c>
      <c r="F2502" s="1">
        <v>38321</v>
      </c>
      <c r="G2502">
        <v>9.0162293931336495E-3</v>
      </c>
    </row>
    <row r="2503" spans="1:7" x14ac:dyDescent="0.25">
      <c r="A2503" t="s">
        <v>7</v>
      </c>
      <c r="B2503" t="s">
        <v>17</v>
      </c>
      <c r="C2503" t="s">
        <v>9</v>
      </c>
      <c r="D2503" t="s">
        <v>10</v>
      </c>
      <c r="E2503">
        <v>11</v>
      </c>
      <c r="F2503" s="1">
        <v>38352</v>
      </c>
      <c r="G2503">
        <v>-1.4023492871336101E-2</v>
      </c>
    </row>
    <row r="2504" spans="1:7" x14ac:dyDescent="0.25">
      <c r="A2504" t="s">
        <v>7</v>
      </c>
      <c r="B2504" t="s">
        <v>17</v>
      </c>
      <c r="C2504" t="s">
        <v>9</v>
      </c>
      <c r="D2504" t="s">
        <v>10</v>
      </c>
      <c r="E2504">
        <v>11</v>
      </c>
      <c r="F2504" s="1">
        <v>38383</v>
      </c>
      <c r="G2504">
        <v>-4.1794949648919097E-2</v>
      </c>
    </row>
    <row r="2505" spans="1:7" x14ac:dyDescent="0.25">
      <c r="A2505" t="s">
        <v>7</v>
      </c>
      <c r="B2505" t="s">
        <v>17</v>
      </c>
      <c r="C2505" t="s">
        <v>9</v>
      </c>
      <c r="D2505" t="s">
        <v>10</v>
      </c>
      <c r="E2505">
        <v>11</v>
      </c>
      <c r="F2505" s="1">
        <v>38411</v>
      </c>
      <c r="G2505">
        <v>2.7784557666044402E-2</v>
      </c>
    </row>
    <row r="2506" spans="1:7" x14ac:dyDescent="0.25">
      <c r="A2506" t="s">
        <v>7</v>
      </c>
      <c r="B2506" t="s">
        <v>17</v>
      </c>
      <c r="C2506" t="s">
        <v>9</v>
      </c>
      <c r="D2506" t="s">
        <v>10</v>
      </c>
      <c r="E2506">
        <v>11</v>
      </c>
      <c r="F2506" s="1">
        <v>38442</v>
      </c>
      <c r="G2506">
        <v>1.38231980678963E-2</v>
      </c>
    </row>
    <row r="2507" spans="1:7" x14ac:dyDescent="0.25">
      <c r="A2507" t="s">
        <v>7</v>
      </c>
      <c r="B2507" t="s">
        <v>17</v>
      </c>
      <c r="C2507" t="s">
        <v>9</v>
      </c>
      <c r="D2507" t="s">
        <v>10</v>
      </c>
      <c r="E2507">
        <v>11</v>
      </c>
      <c r="F2507" s="1">
        <v>38472</v>
      </c>
      <c r="G2507">
        <v>-2.83655215730024E-2</v>
      </c>
    </row>
    <row r="2508" spans="1:7" x14ac:dyDescent="0.25">
      <c r="A2508" t="s">
        <v>7</v>
      </c>
      <c r="B2508" t="s">
        <v>17</v>
      </c>
      <c r="C2508" t="s">
        <v>9</v>
      </c>
      <c r="D2508" t="s">
        <v>10</v>
      </c>
      <c r="E2508">
        <v>11</v>
      </c>
      <c r="F2508" s="1">
        <v>38503</v>
      </c>
      <c r="G2508">
        <v>-2.84570083533725E-2</v>
      </c>
    </row>
    <row r="2509" spans="1:7" x14ac:dyDescent="0.25">
      <c r="A2509" t="s">
        <v>7</v>
      </c>
      <c r="B2509" t="s">
        <v>17</v>
      </c>
      <c r="C2509" t="s">
        <v>9</v>
      </c>
      <c r="D2509" t="s">
        <v>10</v>
      </c>
      <c r="E2509">
        <v>11</v>
      </c>
      <c r="F2509" s="1">
        <v>38533</v>
      </c>
      <c r="G2509">
        <v>-2.5896809679660199E-2</v>
      </c>
    </row>
    <row r="2510" spans="1:7" x14ac:dyDescent="0.25">
      <c r="A2510" t="s">
        <v>7</v>
      </c>
      <c r="B2510" t="s">
        <v>17</v>
      </c>
      <c r="C2510" t="s">
        <v>9</v>
      </c>
      <c r="D2510" t="s">
        <v>10</v>
      </c>
      <c r="E2510">
        <v>11</v>
      </c>
      <c r="F2510" s="1">
        <v>38564</v>
      </c>
      <c r="G2510">
        <v>6.9356913317859701E-3</v>
      </c>
    </row>
    <row r="2511" spans="1:7" x14ac:dyDescent="0.25">
      <c r="A2511" t="s">
        <v>7</v>
      </c>
      <c r="B2511" t="s">
        <v>17</v>
      </c>
      <c r="C2511" t="s">
        <v>9</v>
      </c>
      <c r="D2511" t="s">
        <v>10</v>
      </c>
      <c r="E2511">
        <v>11</v>
      </c>
      <c r="F2511" s="1">
        <v>38595</v>
      </c>
      <c r="G2511">
        <v>-1.69543074251211E-2</v>
      </c>
    </row>
    <row r="2512" spans="1:7" x14ac:dyDescent="0.25">
      <c r="A2512" t="s">
        <v>7</v>
      </c>
      <c r="B2512" t="s">
        <v>17</v>
      </c>
      <c r="C2512" t="s">
        <v>9</v>
      </c>
      <c r="D2512" t="s">
        <v>10</v>
      </c>
      <c r="E2512">
        <v>11</v>
      </c>
      <c r="F2512" s="1">
        <v>38625</v>
      </c>
      <c r="G2512">
        <v>6.2009059904499501E-2</v>
      </c>
    </row>
    <row r="2513" spans="1:7" x14ac:dyDescent="0.25">
      <c r="A2513" t="s">
        <v>7</v>
      </c>
      <c r="B2513" t="s">
        <v>17</v>
      </c>
      <c r="C2513" t="s">
        <v>9</v>
      </c>
      <c r="D2513" t="s">
        <v>10</v>
      </c>
      <c r="E2513">
        <v>11</v>
      </c>
      <c r="F2513" s="1">
        <v>38656</v>
      </c>
      <c r="G2513">
        <v>-1.62740364288043E-2</v>
      </c>
    </row>
    <row r="2514" spans="1:7" x14ac:dyDescent="0.25">
      <c r="A2514" t="s">
        <v>7</v>
      </c>
      <c r="B2514" t="s">
        <v>17</v>
      </c>
      <c r="C2514" t="s">
        <v>9</v>
      </c>
      <c r="D2514" t="s">
        <v>10</v>
      </c>
      <c r="E2514">
        <v>11</v>
      </c>
      <c r="F2514" s="1">
        <v>38686</v>
      </c>
      <c r="G2514">
        <v>-2.4345238077167E-2</v>
      </c>
    </row>
    <row r="2515" spans="1:7" x14ac:dyDescent="0.25">
      <c r="A2515" t="s">
        <v>7</v>
      </c>
      <c r="B2515" t="s">
        <v>17</v>
      </c>
      <c r="C2515" t="s">
        <v>9</v>
      </c>
      <c r="D2515" t="s">
        <v>10</v>
      </c>
      <c r="E2515">
        <v>11</v>
      </c>
      <c r="F2515" s="1">
        <v>38717</v>
      </c>
      <c r="G2515">
        <v>7.17273050912773E-3</v>
      </c>
    </row>
    <row r="2516" spans="1:7" x14ac:dyDescent="0.25">
      <c r="A2516" t="s">
        <v>7</v>
      </c>
      <c r="B2516" t="s">
        <v>17</v>
      </c>
      <c r="C2516" t="s">
        <v>9</v>
      </c>
      <c r="D2516" t="s">
        <v>10</v>
      </c>
      <c r="E2516">
        <v>11</v>
      </c>
      <c r="F2516" s="1">
        <v>38748</v>
      </c>
      <c r="G2516">
        <v>-1.1610560369305099E-2</v>
      </c>
    </row>
    <row r="2517" spans="1:7" x14ac:dyDescent="0.25">
      <c r="A2517" t="s">
        <v>7</v>
      </c>
      <c r="B2517" t="s">
        <v>17</v>
      </c>
      <c r="C2517" t="s">
        <v>9</v>
      </c>
      <c r="D2517" t="s">
        <v>10</v>
      </c>
      <c r="E2517">
        <v>11</v>
      </c>
      <c r="F2517" s="1">
        <v>38776</v>
      </c>
      <c r="G2517">
        <v>-1.7439487876327701E-2</v>
      </c>
    </row>
    <row r="2518" spans="1:7" x14ac:dyDescent="0.25">
      <c r="A2518" t="s">
        <v>7</v>
      </c>
      <c r="B2518" t="s">
        <v>17</v>
      </c>
      <c r="C2518" t="s">
        <v>9</v>
      </c>
      <c r="D2518" t="s">
        <v>10</v>
      </c>
      <c r="E2518">
        <v>11</v>
      </c>
      <c r="F2518" s="1">
        <v>38807</v>
      </c>
      <c r="G2518">
        <v>3.5240388783822499E-3</v>
      </c>
    </row>
    <row r="2519" spans="1:7" x14ac:dyDescent="0.25">
      <c r="A2519" t="s">
        <v>7</v>
      </c>
      <c r="B2519" t="s">
        <v>17</v>
      </c>
      <c r="C2519" t="s">
        <v>9</v>
      </c>
      <c r="D2519" t="s">
        <v>10</v>
      </c>
      <c r="E2519">
        <v>11</v>
      </c>
      <c r="F2519" s="1">
        <v>38837</v>
      </c>
      <c r="G2519">
        <v>1.00916833559258E-2</v>
      </c>
    </row>
    <row r="2520" spans="1:7" x14ac:dyDescent="0.25">
      <c r="A2520" t="s">
        <v>7</v>
      </c>
      <c r="B2520" t="s">
        <v>17</v>
      </c>
      <c r="C2520" t="s">
        <v>9</v>
      </c>
      <c r="D2520" t="s">
        <v>10</v>
      </c>
      <c r="E2520">
        <v>11</v>
      </c>
      <c r="F2520" s="1">
        <v>38868</v>
      </c>
      <c r="G2520">
        <v>-8.42613451953436E-3</v>
      </c>
    </row>
    <row r="2521" spans="1:7" x14ac:dyDescent="0.25">
      <c r="A2521" t="s">
        <v>7</v>
      </c>
      <c r="B2521" t="s">
        <v>17</v>
      </c>
      <c r="C2521" t="s">
        <v>9</v>
      </c>
      <c r="D2521" t="s">
        <v>10</v>
      </c>
      <c r="E2521">
        <v>11</v>
      </c>
      <c r="F2521" s="1">
        <v>38898</v>
      </c>
      <c r="G2521">
        <v>-5.1690589808536403E-3</v>
      </c>
    </row>
    <row r="2522" spans="1:7" x14ac:dyDescent="0.25">
      <c r="A2522" t="s">
        <v>7</v>
      </c>
      <c r="B2522" t="s">
        <v>17</v>
      </c>
      <c r="C2522" t="s">
        <v>9</v>
      </c>
      <c r="D2522" t="s">
        <v>10</v>
      </c>
      <c r="E2522">
        <v>11</v>
      </c>
      <c r="F2522" s="1">
        <v>38929</v>
      </c>
      <c r="G2522">
        <v>4.6109902176939999E-2</v>
      </c>
    </row>
    <row r="2523" spans="1:7" x14ac:dyDescent="0.25">
      <c r="A2523" t="s">
        <v>7</v>
      </c>
      <c r="B2523" t="s">
        <v>17</v>
      </c>
      <c r="C2523" t="s">
        <v>9</v>
      </c>
      <c r="D2523" t="s">
        <v>10</v>
      </c>
      <c r="E2523">
        <v>11</v>
      </c>
      <c r="F2523" s="1">
        <v>38960</v>
      </c>
      <c r="G2523">
        <v>-5.7775115393712204E-3</v>
      </c>
    </row>
    <row r="2524" spans="1:7" x14ac:dyDescent="0.25">
      <c r="A2524" t="s">
        <v>7</v>
      </c>
      <c r="B2524" t="s">
        <v>17</v>
      </c>
      <c r="C2524" t="s">
        <v>9</v>
      </c>
      <c r="D2524" t="s">
        <v>10</v>
      </c>
      <c r="E2524">
        <v>11</v>
      </c>
      <c r="F2524" s="1">
        <v>38990</v>
      </c>
      <c r="G2524">
        <v>-1.09634869160445E-2</v>
      </c>
    </row>
    <row r="2525" spans="1:7" x14ac:dyDescent="0.25">
      <c r="A2525" t="s">
        <v>7</v>
      </c>
      <c r="B2525" t="s">
        <v>17</v>
      </c>
      <c r="C2525" t="s">
        <v>9</v>
      </c>
      <c r="D2525" t="s">
        <v>10</v>
      </c>
      <c r="E2525">
        <v>11</v>
      </c>
      <c r="F2525" s="1">
        <v>39021</v>
      </c>
      <c r="G2525">
        <v>-1.43974389110806E-3</v>
      </c>
    </row>
    <row r="2526" spans="1:7" x14ac:dyDescent="0.25">
      <c r="A2526" t="s">
        <v>7</v>
      </c>
      <c r="B2526" t="s">
        <v>17</v>
      </c>
      <c r="C2526" t="s">
        <v>9</v>
      </c>
      <c r="D2526" t="s">
        <v>10</v>
      </c>
      <c r="E2526">
        <v>11</v>
      </c>
      <c r="F2526" s="1">
        <v>39051</v>
      </c>
      <c r="G2526">
        <v>1.0418523390094201E-2</v>
      </c>
    </row>
    <row r="2527" spans="1:7" x14ac:dyDescent="0.25">
      <c r="A2527" t="s">
        <v>7</v>
      </c>
      <c r="B2527" t="s">
        <v>17</v>
      </c>
      <c r="C2527" t="s">
        <v>9</v>
      </c>
      <c r="D2527" t="s">
        <v>10</v>
      </c>
      <c r="E2527">
        <v>11</v>
      </c>
      <c r="F2527" s="1">
        <v>39082</v>
      </c>
      <c r="G2527">
        <v>-6.2100198065393603E-3</v>
      </c>
    </row>
    <row r="2528" spans="1:7" x14ac:dyDescent="0.25">
      <c r="A2528" t="s">
        <v>7</v>
      </c>
      <c r="B2528" t="s">
        <v>17</v>
      </c>
      <c r="C2528" t="s">
        <v>9</v>
      </c>
      <c r="D2528" t="s">
        <v>10</v>
      </c>
      <c r="E2528">
        <v>11</v>
      </c>
      <c r="F2528" s="1">
        <v>39113</v>
      </c>
      <c r="G2528">
        <v>2.6819656123083699E-3</v>
      </c>
    </row>
    <row r="2529" spans="1:7" x14ac:dyDescent="0.25">
      <c r="A2529" t="s">
        <v>7</v>
      </c>
      <c r="B2529" t="s">
        <v>17</v>
      </c>
      <c r="C2529" t="s">
        <v>9</v>
      </c>
      <c r="D2529" t="s">
        <v>10</v>
      </c>
      <c r="E2529">
        <v>11</v>
      </c>
      <c r="F2529" s="1">
        <v>39141</v>
      </c>
      <c r="G2529">
        <v>-4.1374849601463301E-2</v>
      </c>
    </row>
    <row r="2530" spans="1:7" x14ac:dyDescent="0.25">
      <c r="A2530" t="s">
        <v>7</v>
      </c>
      <c r="B2530" t="s">
        <v>17</v>
      </c>
      <c r="C2530" t="s">
        <v>9</v>
      </c>
      <c r="D2530" t="s">
        <v>10</v>
      </c>
      <c r="E2530">
        <v>11</v>
      </c>
      <c r="F2530" s="1">
        <v>39172</v>
      </c>
      <c r="G2530">
        <v>8.06192740709555E-3</v>
      </c>
    </row>
    <row r="2531" spans="1:7" x14ac:dyDescent="0.25">
      <c r="A2531" t="s">
        <v>7</v>
      </c>
      <c r="B2531" t="s">
        <v>17</v>
      </c>
      <c r="C2531" t="s">
        <v>9</v>
      </c>
      <c r="D2531" t="s">
        <v>10</v>
      </c>
      <c r="E2531">
        <v>11</v>
      </c>
      <c r="F2531" s="1">
        <v>39202</v>
      </c>
      <c r="G2531">
        <v>7.6459162881956297E-3</v>
      </c>
    </row>
    <row r="2532" spans="1:7" x14ac:dyDescent="0.25">
      <c r="A2532" t="s">
        <v>7</v>
      </c>
      <c r="B2532" t="s">
        <v>17</v>
      </c>
      <c r="C2532" t="s">
        <v>9</v>
      </c>
      <c r="D2532" t="s">
        <v>10</v>
      </c>
      <c r="E2532">
        <v>11</v>
      </c>
      <c r="F2532" s="1">
        <v>39233</v>
      </c>
      <c r="G2532">
        <v>1.19543481593163E-2</v>
      </c>
    </row>
    <row r="2533" spans="1:7" x14ac:dyDescent="0.25">
      <c r="A2533" t="s">
        <v>7</v>
      </c>
      <c r="B2533" t="s">
        <v>17</v>
      </c>
      <c r="C2533" t="s">
        <v>9</v>
      </c>
      <c r="D2533" t="s">
        <v>10</v>
      </c>
      <c r="E2533">
        <v>11</v>
      </c>
      <c r="F2533" s="1">
        <v>39263</v>
      </c>
      <c r="G2533">
        <v>-4.0997947999073803E-3</v>
      </c>
    </row>
    <row r="2534" spans="1:7" x14ac:dyDescent="0.25">
      <c r="A2534" t="s">
        <v>7</v>
      </c>
      <c r="B2534" t="s">
        <v>17</v>
      </c>
      <c r="C2534" t="s">
        <v>9</v>
      </c>
      <c r="D2534" t="s">
        <v>10</v>
      </c>
      <c r="E2534">
        <v>11</v>
      </c>
      <c r="F2534" s="1">
        <v>39294</v>
      </c>
      <c r="G2534">
        <v>-1.7750619953616299E-2</v>
      </c>
    </row>
    <row r="2535" spans="1:7" x14ac:dyDescent="0.25">
      <c r="A2535" t="s">
        <v>7</v>
      </c>
      <c r="B2535" t="s">
        <v>17</v>
      </c>
      <c r="C2535" t="s">
        <v>9</v>
      </c>
      <c r="D2535" t="s">
        <v>10</v>
      </c>
      <c r="E2535">
        <v>11</v>
      </c>
      <c r="F2535" s="1">
        <v>39325</v>
      </c>
      <c r="G2535">
        <v>1.33936634778351E-2</v>
      </c>
    </row>
    <row r="2536" spans="1:7" x14ac:dyDescent="0.25">
      <c r="A2536" t="s">
        <v>7</v>
      </c>
      <c r="B2536" t="s">
        <v>17</v>
      </c>
      <c r="C2536" t="s">
        <v>9</v>
      </c>
      <c r="D2536" t="s">
        <v>10</v>
      </c>
      <c r="E2536">
        <v>11</v>
      </c>
      <c r="F2536" s="1">
        <v>39355</v>
      </c>
      <c r="G2536">
        <v>2.45062228112497E-2</v>
      </c>
    </row>
    <row r="2537" spans="1:7" x14ac:dyDescent="0.25">
      <c r="A2537" t="s">
        <v>7</v>
      </c>
      <c r="B2537" t="s">
        <v>17</v>
      </c>
      <c r="C2537" t="s">
        <v>9</v>
      </c>
      <c r="D2537" t="s">
        <v>10</v>
      </c>
      <c r="E2537">
        <v>11</v>
      </c>
      <c r="F2537" s="1">
        <v>39386</v>
      </c>
      <c r="G2537">
        <v>-1.66711132462945E-2</v>
      </c>
    </row>
    <row r="2538" spans="1:7" x14ac:dyDescent="0.25">
      <c r="A2538" t="s">
        <v>7</v>
      </c>
      <c r="B2538" t="s">
        <v>17</v>
      </c>
      <c r="C2538" t="s">
        <v>9</v>
      </c>
      <c r="D2538" t="s">
        <v>10</v>
      </c>
      <c r="E2538">
        <v>11</v>
      </c>
      <c r="F2538" s="1">
        <v>39416</v>
      </c>
      <c r="G2538">
        <v>2.5225950623815298E-2</v>
      </c>
    </row>
    <row r="2539" spans="1:7" x14ac:dyDescent="0.25">
      <c r="A2539" t="s">
        <v>7</v>
      </c>
      <c r="B2539" t="s">
        <v>17</v>
      </c>
      <c r="C2539" t="s">
        <v>9</v>
      </c>
      <c r="D2539" t="s">
        <v>10</v>
      </c>
      <c r="E2539">
        <v>11</v>
      </c>
      <c r="F2539" s="1">
        <v>39447</v>
      </c>
      <c r="G2539">
        <v>-6.0918798597334997E-2</v>
      </c>
    </row>
    <row r="2540" spans="1:7" x14ac:dyDescent="0.25">
      <c r="A2540" t="s">
        <v>7</v>
      </c>
      <c r="B2540" t="s">
        <v>17</v>
      </c>
      <c r="C2540" t="s">
        <v>9</v>
      </c>
      <c r="D2540" t="s">
        <v>10</v>
      </c>
      <c r="E2540">
        <v>11</v>
      </c>
      <c r="F2540" s="1">
        <v>39478</v>
      </c>
      <c r="G2540">
        <v>9.7527985402411296E-3</v>
      </c>
    </row>
    <row r="2541" spans="1:7" x14ac:dyDescent="0.25">
      <c r="A2541" t="s">
        <v>7</v>
      </c>
      <c r="B2541" t="s">
        <v>17</v>
      </c>
      <c r="C2541" t="s">
        <v>9</v>
      </c>
      <c r="D2541" t="s">
        <v>10</v>
      </c>
      <c r="E2541">
        <v>11</v>
      </c>
      <c r="F2541" s="1">
        <v>39507</v>
      </c>
      <c r="G2541">
        <v>-1.6321283544496499E-2</v>
      </c>
    </row>
    <row r="2542" spans="1:7" x14ac:dyDescent="0.25">
      <c r="A2542" t="s">
        <v>7</v>
      </c>
      <c r="B2542" t="s">
        <v>17</v>
      </c>
      <c r="C2542" t="s">
        <v>9</v>
      </c>
      <c r="D2542" t="s">
        <v>10</v>
      </c>
      <c r="E2542">
        <v>11</v>
      </c>
      <c r="F2542" s="1">
        <v>39538</v>
      </c>
      <c r="G2542">
        <v>2.6070894111230401E-2</v>
      </c>
    </row>
    <row r="2543" spans="1:7" x14ac:dyDescent="0.25">
      <c r="A2543" t="s">
        <v>7</v>
      </c>
      <c r="B2543" t="s">
        <v>17</v>
      </c>
      <c r="C2543" t="s">
        <v>9</v>
      </c>
      <c r="D2543" t="s">
        <v>10</v>
      </c>
      <c r="E2543">
        <v>11</v>
      </c>
      <c r="F2543" s="1">
        <v>39568</v>
      </c>
      <c r="G2543">
        <v>1.56910118851523E-2</v>
      </c>
    </row>
    <row r="2544" spans="1:7" x14ac:dyDescent="0.25">
      <c r="A2544" t="s">
        <v>7</v>
      </c>
      <c r="B2544" t="s">
        <v>17</v>
      </c>
      <c r="C2544" t="s">
        <v>9</v>
      </c>
      <c r="D2544" t="s">
        <v>10</v>
      </c>
      <c r="E2544">
        <v>11</v>
      </c>
      <c r="F2544" s="1">
        <v>39599</v>
      </c>
      <c r="G2544">
        <v>-3.6489404911880297E-2</v>
      </c>
    </row>
    <row r="2545" spans="1:7" x14ac:dyDescent="0.25">
      <c r="A2545" t="s">
        <v>7</v>
      </c>
      <c r="B2545" t="s">
        <v>17</v>
      </c>
      <c r="C2545" t="s">
        <v>9</v>
      </c>
      <c r="D2545" t="s">
        <v>10</v>
      </c>
      <c r="E2545">
        <v>11</v>
      </c>
      <c r="F2545" s="1">
        <v>39629</v>
      </c>
      <c r="G2545">
        <v>8.4676236630000303E-5</v>
      </c>
    </row>
    <row r="2546" spans="1:7" x14ac:dyDescent="0.25">
      <c r="A2546" t="s">
        <v>7</v>
      </c>
      <c r="B2546" t="s">
        <v>17</v>
      </c>
      <c r="C2546" t="s">
        <v>9</v>
      </c>
      <c r="D2546" t="s">
        <v>10</v>
      </c>
      <c r="E2546">
        <v>11</v>
      </c>
      <c r="F2546" s="1">
        <v>39660</v>
      </c>
      <c r="G2546">
        <v>3.6480264915215402E-2</v>
      </c>
    </row>
    <row r="2547" spans="1:7" x14ac:dyDescent="0.25">
      <c r="A2547" t="s">
        <v>7</v>
      </c>
      <c r="B2547" t="s">
        <v>17</v>
      </c>
      <c r="C2547" t="s">
        <v>9</v>
      </c>
      <c r="D2547" t="s">
        <v>10</v>
      </c>
      <c r="E2547">
        <v>11</v>
      </c>
      <c r="F2547" s="1">
        <v>39691</v>
      </c>
      <c r="G2547">
        <v>5.4111067473265502E-2</v>
      </c>
    </row>
    <row r="2548" spans="1:7" x14ac:dyDescent="0.25">
      <c r="A2548" t="s">
        <v>7</v>
      </c>
      <c r="B2548" t="s">
        <v>17</v>
      </c>
      <c r="C2548" t="s">
        <v>9</v>
      </c>
      <c r="D2548" t="s">
        <v>10</v>
      </c>
      <c r="E2548">
        <v>11</v>
      </c>
      <c r="F2548" s="1">
        <v>39721</v>
      </c>
      <c r="G2548">
        <v>0.10118384631803801</v>
      </c>
    </row>
    <row r="2549" spans="1:7" x14ac:dyDescent="0.25">
      <c r="A2549" t="s">
        <v>7</v>
      </c>
      <c r="B2549" t="s">
        <v>17</v>
      </c>
      <c r="C2549" t="s">
        <v>9</v>
      </c>
      <c r="D2549" t="s">
        <v>10</v>
      </c>
      <c r="E2549">
        <v>11</v>
      </c>
      <c r="F2549" s="1">
        <v>39752</v>
      </c>
      <c r="G2549">
        <v>8.4001560420820007E-2</v>
      </c>
    </row>
    <row r="2550" spans="1:7" x14ac:dyDescent="0.25">
      <c r="A2550" t="s">
        <v>7</v>
      </c>
      <c r="B2550" t="s">
        <v>17</v>
      </c>
      <c r="C2550" t="s">
        <v>9</v>
      </c>
      <c r="D2550" t="s">
        <v>10</v>
      </c>
      <c r="E2550">
        <v>11</v>
      </c>
      <c r="F2550" s="1">
        <v>39782</v>
      </c>
      <c r="G2550">
        <v>-1.28419286630761E-2</v>
      </c>
    </row>
    <row r="2551" spans="1:7" x14ac:dyDescent="0.25">
      <c r="A2551" t="s">
        <v>7</v>
      </c>
      <c r="B2551" t="s">
        <v>17</v>
      </c>
      <c r="C2551" t="s">
        <v>9</v>
      </c>
      <c r="D2551" t="s">
        <v>10</v>
      </c>
      <c r="E2551">
        <v>11</v>
      </c>
      <c r="F2551" s="1">
        <v>39813</v>
      </c>
      <c r="G2551">
        <v>-1.7491506608467301E-2</v>
      </c>
    </row>
    <row r="2552" spans="1:7" x14ac:dyDescent="0.25">
      <c r="A2552" t="s">
        <v>7</v>
      </c>
      <c r="B2552" t="s">
        <v>17</v>
      </c>
      <c r="C2552" t="s">
        <v>9</v>
      </c>
      <c r="D2552" t="s">
        <v>10</v>
      </c>
      <c r="E2552">
        <v>11</v>
      </c>
      <c r="F2552" s="1">
        <v>39844</v>
      </c>
      <c r="G2552">
        <v>1.1996855510553701E-2</v>
      </c>
    </row>
    <row r="2553" spans="1:7" x14ac:dyDescent="0.25">
      <c r="A2553" t="s">
        <v>7</v>
      </c>
      <c r="B2553" t="s">
        <v>17</v>
      </c>
      <c r="C2553" t="s">
        <v>9</v>
      </c>
      <c r="D2553" t="s">
        <v>10</v>
      </c>
      <c r="E2553">
        <v>11</v>
      </c>
      <c r="F2553" s="1">
        <v>39872</v>
      </c>
      <c r="G2553">
        <v>1.44002483913921E-2</v>
      </c>
    </row>
    <row r="2554" spans="1:7" x14ac:dyDescent="0.25">
      <c r="A2554" t="s">
        <v>7</v>
      </c>
      <c r="B2554" t="s">
        <v>17</v>
      </c>
      <c r="C2554" t="s">
        <v>9</v>
      </c>
      <c r="D2554" t="s">
        <v>10</v>
      </c>
      <c r="E2554">
        <v>11</v>
      </c>
      <c r="F2554" s="1">
        <v>39903</v>
      </c>
      <c r="G2554">
        <v>-2.0574106661635201E-3</v>
      </c>
    </row>
    <row r="2555" spans="1:7" x14ac:dyDescent="0.25">
      <c r="A2555" t="s">
        <v>7</v>
      </c>
      <c r="B2555" t="s">
        <v>17</v>
      </c>
      <c r="C2555" t="s">
        <v>9</v>
      </c>
      <c r="D2555" t="s">
        <v>10</v>
      </c>
      <c r="E2555">
        <v>11</v>
      </c>
      <c r="F2555" s="1">
        <v>39933</v>
      </c>
      <c r="G2555">
        <v>-0.113989335097698</v>
      </c>
    </row>
    <row r="2556" spans="1:7" x14ac:dyDescent="0.25">
      <c r="A2556" t="s">
        <v>7</v>
      </c>
      <c r="B2556" t="s">
        <v>17</v>
      </c>
      <c r="C2556" t="s">
        <v>9</v>
      </c>
      <c r="D2556" t="s">
        <v>10</v>
      </c>
      <c r="E2556">
        <v>11</v>
      </c>
      <c r="F2556" s="1">
        <v>39964</v>
      </c>
      <c r="G2556">
        <v>-4.2109352449583498E-2</v>
      </c>
    </row>
    <row r="2557" spans="1:7" x14ac:dyDescent="0.25">
      <c r="A2557" t="s">
        <v>7</v>
      </c>
      <c r="B2557" t="s">
        <v>17</v>
      </c>
      <c r="C2557" t="s">
        <v>9</v>
      </c>
      <c r="D2557" t="s">
        <v>10</v>
      </c>
      <c r="E2557">
        <v>11</v>
      </c>
      <c r="F2557" s="1">
        <v>39994</v>
      </c>
      <c r="G2557">
        <v>1.1052990085387E-2</v>
      </c>
    </row>
    <row r="2558" spans="1:7" x14ac:dyDescent="0.25">
      <c r="A2558" t="s">
        <v>7</v>
      </c>
      <c r="B2558" t="s">
        <v>17</v>
      </c>
      <c r="C2558" t="s">
        <v>9</v>
      </c>
      <c r="D2558" t="s">
        <v>10</v>
      </c>
      <c r="E2558">
        <v>11</v>
      </c>
      <c r="F2558" s="1">
        <v>40025</v>
      </c>
      <c r="G2558">
        <v>-7.7517397533720403E-2</v>
      </c>
    </row>
    <row r="2559" spans="1:7" x14ac:dyDescent="0.25">
      <c r="A2559" t="s">
        <v>7</v>
      </c>
      <c r="B2559" t="s">
        <v>17</v>
      </c>
      <c r="C2559" t="s">
        <v>9</v>
      </c>
      <c r="D2559" t="s">
        <v>10</v>
      </c>
      <c r="E2559">
        <v>11</v>
      </c>
      <c r="F2559" s="1">
        <v>40056</v>
      </c>
      <c r="G2559">
        <v>-2.3705427230464399E-2</v>
      </c>
    </row>
    <row r="2560" spans="1:7" x14ac:dyDescent="0.25">
      <c r="A2560" t="s">
        <v>7</v>
      </c>
      <c r="B2560" t="s">
        <v>17</v>
      </c>
      <c r="C2560" t="s">
        <v>9</v>
      </c>
      <c r="D2560" t="s">
        <v>10</v>
      </c>
      <c r="E2560">
        <v>11</v>
      </c>
      <c r="F2560" s="1">
        <v>40086</v>
      </c>
      <c r="G2560">
        <v>-1.4865719424806099E-2</v>
      </c>
    </row>
    <row r="2561" spans="1:7" x14ac:dyDescent="0.25">
      <c r="A2561" t="s">
        <v>7</v>
      </c>
      <c r="B2561" t="s">
        <v>17</v>
      </c>
      <c r="C2561" t="s">
        <v>9</v>
      </c>
      <c r="D2561" t="s">
        <v>10</v>
      </c>
      <c r="E2561">
        <v>11</v>
      </c>
      <c r="F2561" s="1">
        <v>40117</v>
      </c>
      <c r="G2561">
        <v>-2.5360117077427402E-3</v>
      </c>
    </row>
    <row r="2562" spans="1:7" x14ac:dyDescent="0.25">
      <c r="A2562" t="s">
        <v>7</v>
      </c>
      <c r="B2562" t="s">
        <v>17</v>
      </c>
      <c r="C2562" t="s">
        <v>9</v>
      </c>
      <c r="D2562" t="s">
        <v>10</v>
      </c>
      <c r="E2562">
        <v>11</v>
      </c>
      <c r="F2562" s="1">
        <v>40147</v>
      </c>
      <c r="G2562">
        <v>-3.8606868048757598E-2</v>
      </c>
    </row>
    <row r="2563" spans="1:7" x14ac:dyDescent="0.25">
      <c r="A2563" t="s">
        <v>7</v>
      </c>
      <c r="B2563" t="s">
        <v>17</v>
      </c>
      <c r="C2563" t="s">
        <v>9</v>
      </c>
      <c r="D2563" t="s">
        <v>10</v>
      </c>
      <c r="E2563">
        <v>11</v>
      </c>
      <c r="F2563" s="1">
        <v>40178</v>
      </c>
      <c r="G2563">
        <v>-1.9183953607241601E-2</v>
      </c>
    </row>
    <row r="2564" spans="1:7" x14ac:dyDescent="0.25">
      <c r="A2564" t="s">
        <v>7</v>
      </c>
      <c r="B2564" t="s">
        <v>17</v>
      </c>
      <c r="C2564" t="s">
        <v>9</v>
      </c>
      <c r="D2564" t="s">
        <v>10</v>
      </c>
      <c r="E2564">
        <v>11</v>
      </c>
      <c r="F2564" s="1">
        <v>40209</v>
      </c>
      <c r="G2564">
        <v>-8.5570100629319704E-2</v>
      </c>
    </row>
    <row r="2565" spans="1:7" x14ac:dyDescent="0.25">
      <c r="A2565" t="s">
        <v>7</v>
      </c>
      <c r="B2565" t="s">
        <v>17</v>
      </c>
      <c r="C2565" t="s">
        <v>9</v>
      </c>
      <c r="D2565" t="s">
        <v>10</v>
      </c>
      <c r="E2565">
        <v>11</v>
      </c>
      <c r="F2565" s="1">
        <v>40237</v>
      </c>
      <c r="G2565">
        <v>1.18209312452428E-2</v>
      </c>
    </row>
    <row r="2566" spans="1:7" x14ac:dyDescent="0.25">
      <c r="A2566" t="s">
        <v>7</v>
      </c>
      <c r="B2566" t="s">
        <v>17</v>
      </c>
      <c r="C2566" t="s">
        <v>9</v>
      </c>
      <c r="D2566" t="s">
        <v>10</v>
      </c>
      <c r="E2566">
        <v>11</v>
      </c>
      <c r="F2566" s="1">
        <v>40268</v>
      </c>
      <c r="G2566">
        <v>5.8429181632609802E-2</v>
      </c>
    </row>
    <row r="2567" spans="1:7" x14ac:dyDescent="0.25">
      <c r="A2567" t="s">
        <v>7</v>
      </c>
      <c r="B2567" t="s">
        <v>17</v>
      </c>
      <c r="C2567" t="s">
        <v>9</v>
      </c>
      <c r="D2567" t="s">
        <v>10</v>
      </c>
      <c r="E2567">
        <v>11</v>
      </c>
      <c r="F2567" s="1">
        <v>40298</v>
      </c>
      <c r="G2567">
        <v>1.5900164527193499E-2</v>
      </c>
    </row>
    <row r="2568" spans="1:7" x14ac:dyDescent="0.25">
      <c r="A2568" t="s">
        <v>7</v>
      </c>
      <c r="B2568" t="s">
        <v>17</v>
      </c>
      <c r="C2568" t="s">
        <v>9</v>
      </c>
      <c r="D2568" t="s">
        <v>10</v>
      </c>
      <c r="E2568">
        <v>11</v>
      </c>
      <c r="F2568" s="1">
        <v>40329</v>
      </c>
      <c r="G2568">
        <v>1.4176172570810301E-2</v>
      </c>
    </row>
    <row r="2569" spans="1:7" x14ac:dyDescent="0.25">
      <c r="A2569" t="s">
        <v>7</v>
      </c>
      <c r="B2569" t="s">
        <v>17</v>
      </c>
      <c r="C2569" t="s">
        <v>9</v>
      </c>
      <c r="D2569" t="s">
        <v>10</v>
      </c>
      <c r="E2569">
        <v>11</v>
      </c>
      <c r="F2569" s="1">
        <v>40359</v>
      </c>
      <c r="G2569">
        <v>1.8042180006023902E-2</v>
      </c>
    </row>
    <row r="2570" spans="1:7" x14ac:dyDescent="0.25">
      <c r="A2570" t="s">
        <v>7</v>
      </c>
      <c r="B2570" t="s">
        <v>17</v>
      </c>
      <c r="C2570" t="s">
        <v>9</v>
      </c>
      <c r="D2570" t="s">
        <v>10</v>
      </c>
      <c r="E2570">
        <v>11</v>
      </c>
      <c r="F2570" s="1">
        <v>40390</v>
      </c>
      <c r="G2570">
        <v>-3.6937100292704899E-3</v>
      </c>
    </row>
    <row r="2571" spans="1:7" x14ac:dyDescent="0.25">
      <c r="A2571" t="s">
        <v>7</v>
      </c>
      <c r="B2571" t="s">
        <v>17</v>
      </c>
      <c r="C2571" t="s">
        <v>9</v>
      </c>
      <c r="D2571" t="s">
        <v>10</v>
      </c>
      <c r="E2571">
        <v>11</v>
      </c>
      <c r="F2571" s="1">
        <v>40421</v>
      </c>
      <c r="G2571">
        <v>-1.1769482705803601E-2</v>
      </c>
    </row>
    <row r="2572" spans="1:7" x14ac:dyDescent="0.25">
      <c r="A2572" t="s">
        <v>7</v>
      </c>
      <c r="B2572" t="s">
        <v>17</v>
      </c>
      <c r="C2572" t="s">
        <v>9</v>
      </c>
      <c r="D2572" t="s">
        <v>10</v>
      </c>
      <c r="E2572">
        <v>11</v>
      </c>
      <c r="F2572" s="1">
        <v>40451</v>
      </c>
      <c r="G2572">
        <v>-2.6581118021643201E-3</v>
      </c>
    </row>
    <row r="2573" spans="1:7" x14ac:dyDescent="0.25">
      <c r="A2573" t="s">
        <v>7</v>
      </c>
      <c r="B2573" t="s">
        <v>17</v>
      </c>
      <c r="C2573" t="s">
        <v>9</v>
      </c>
      <c r="D2573" t="s">
        <v>10</v>
      </c>
      <c r="E2573">
        <v>11</v>
      </c>
      <c r="F2573" s="1">
        <v>40482</v>
      </c>
      <c r="G2573">
        <v>5.0486752539861497E-3</v>
      </c>
    </row>
    <row r="2574" spans="1:7" x14ac:dyDescent="0.25">
      <c r="A2574" t="s">
        <v>7</v>
      </c>
      <c r="B2574" t="s">
        <v>17</v>
      </c>
      <c r="C2574" t="s">
        <v>9</v>
      </c>
      <c r="D2574" t="s">
        <v>10</v>
      </c>
      <c r="E2574">
        <v>11</v>
      </c>
      <c r="F2574" s="1">
        <v>40512</v>
      </c>
      <c r="G2574">
        <v>1.5094351630434299E-2</v>
      </c>
    </row>
    <row r="2575" spans="1:7" x14ac:dyDescent="0.25">
      <c r="A2575" t="s">
        <v>7</v>
      </c>
      <c r="B2575" t="s">
        <v>17</v>
      </c>
      <c r="C2575" t="s">
        <v>9</v>
      </c>
      <c r="D2575" t="s">
        <v>10</v>
      </c>
      <c r="E2575">
        <v>11</v>
      </c>
      <c r="F2575" s="1">
        <v>40543</v>
      </c>
      <c r="G2575">
        <v>2.8511129151657199E-3</v>
      </c>
    </row>
    <row r="2576" spans="1:7" x14ac:dyDescent="0.25">
      <c r="A2576" t="s">
        <v>7</v>
      </c>
      <c r="B2576" t="s">
        <v>17</v>
      </c>
      <c r="C2576" t="s">
        <v>9</v>
      </c>
      <c r="D2576" t="s">
        <v>10</v>
      </c>
      <c r="E2576">
        <v>11</v>
      </c>
      <c r="F2576" s="1">
        <v>40574</v>
      </c>
      <c r="G2576">
        <v>5.2825049709508904E-3</v>
      </c>
    </row>
    <row r="2577" spans="1:7" x14ac:dyDescent="0.25">
      <c r="A2577" t="s">
        <v>7</v>
      </c>
      <c r="B2577" t="s">
        <v>17</v>
      </c>
      <c r="C2577" t="s">
        <v>9</v>
      </c>
      <c r="D2577" t="s">
        <v>10</v>
      </c>
      <c r="E2577">
        <v>11</v>
      </c>
      <c r="F2577" s="1">
        <v>40602</v>
      </c>
      <c r="G2577">
        <v>-2.0565621481707899E-3</v>
      </c>
    </row>
    <row r="2578" spans="1:7" x14ac:dyDescent="0.25">
      <c r="A2578" t="s">
        <v>7</v>
      </c>
      <c r="B2578" t="s">
        <v>17</v>
      </c>
      <c r="C2578" t="s">
        <v>9</v>
      </c>
      <c r="D2578" t="s">
        <v>10</v>
      </c>
      <c r="E2578">
        <v>11</v>
      </c>
      <c r="F2578" s="1">
        <v>40633</v>
      </c>
      <c r="G2578">
        <v>2.3892481740522199E-2</v>
      </c>
    </row>
    <row r="2579" spans="1:7" x14ac:dyDescent="0.25">
      <c r="A2579" t="s">
        <v>7</v>
      </c>
      <c r="B2579" t="s">
        <v>17</v>
      </c>
      <c r="C2579" t="s">
        <v>9</v>
      </c>
      <c r="D2579" t="s">
        <v>10</v>
      </c>
      <c r="E2579">
        <v>11</v>
      </c>
      <c r="F2579" s="1">
        <v>40663</v>
      </c>
      <c r="G2579">
        <v>2.68587789323575E-2</v>
      </c>
    </row>
    <row r="2580" spans="1:7" x14ac:dyDescent="0.25">
      <c r="A2580" t="s">
        <v>7</v>
      </c>
      <c r="B2580" t="s">
        <v>17</v>
      </c>
      <c r="C2580" t="s">
        <v>9</v>
      </c>
      <c r="D2580" t="s">
        <v>10</v>
      </c>
      <c r="E2580">
        <v>11</v>
      </c>
      <c r="F2580" s="1">
        <v>40694</v>
      </c>
      <c r="G2580">
        <v>3.4672298479193203E-2</v>
      </c>
    </row>
    <row r="2581" spans="1:7" x14ac:dyDescent="0.25">
      <c r="A2581" t="s">
        <v>7</v>
      </c>
      <c r="B2581" t="s">
        <v>17</v>
      </c>
      <c r="C2581" t="s">
        <v>9</v>
      </c>
      <c r="D2581" t="s">
        <v>10</v>
      </c>
      <c r="E2581">
        <v>11</v>
      </c>
      <c r="F2581" s="1">
        <v>40724</v>
      </c>
      <c r="G2581">
        <v>1.2948696306461499E-2</v>
      </c>
    </row>
    <row r="2582" spans="1:7" x14ac:dyDescent="0.25">
      <c r="A2582" t="s">
        <v>7</v>
      </c>
      <c r="B2582" t="s">
        <v>17</v>
      </c>
      <c r="C2582" t="s">
        <v>9</v>
      </c>
      <c r="D2582" t="s">
        <v>10</v>
      </c>
      <c r="E2582">
        <v>11</v>
      </c>
      <c r="F2582" s="1">
        <v>40755</v>
      </c>
      <c r="G2582">
        <v>1.6961030614008499E-2</v>
      </c>
    </row>
    <row r="2583" spans="1:7" x14ac:dyDescent="0.25">
      <c r="A2583" t="s">
        <v>7</v>
      </c>
      <c r="B2583" t="s">
        <v>17</v>
      </c>
      <c r="C2583" t="s">
        <v>9</v>
      </c>
      <c r="D2583" t="s">
        <v>10</v>
      </c>
      <c r="E2583">
        <v>11</v>
      </c>
      <c r="F2583" s="1">
        <v>40786</v>
      </c>
      <c r="G2583">
        <v>6.1674831836682202E-2</v>
      </c>
    </row>
    <row r="2584" spans="1:7" x14ac:dyDescent="0.25">
      <c r="A2584" t="s">
        <v>7</v>
      </c>
      <c r="B2584" t="s">
        <v>17</v>
      </c>
      <c r="C2584" t="s">
        <v>9</v>
      </c>
      <c r="D2584" t="s">
        <v>10</v>
      </c>
      <c r="E2584">
        <v>11</v>
      </c>
      <c r="F2584" s="1">
        <v>40816</v>
      </c>
      <c r="G2584">
        <v>2.7910245002019499E-2</v>
      </c>
    </row>
    <row r="2585" spans="1:7" x14ac:dyDescent="0.25">
      <c r="A2585" t="s">
        <v>7</v>
      </c>
      <c r="B2585" t="s">
        <v>17</v>
      </c>
      <c r="C2585" t="s">
        <v>9</v>
      </c>
      <c r="D2585" t="s">
        <v>10</v>
      </c>
      <c r="E2585">
        <v>11</v>
      </c>
      <c r="F2585" s="1">
        <v>40847</v>
      </c>
      <c r="G2585">
        <v>-3.4361615791636199E-2</v>
      </c>
    </row>
    <row r="2586" spans="1:7" x14ac:dyDescent="0.25">
      <c r="A2586" t="s">
        <v>7</v>
      </c>
      <c r="B2586" t="s">
        <v>17</v>
      </c>
      <c r="C2586" t="s">
        <v>9</v>
      </c>
      <c r="D2586" t="s">
        <v>10</v>
      </c>
      <c r="E2586">
        <v>11</v>
      </c>
      <c r="F2586" s="1">
        <v>40877</v>
      </c>
      <c r="G2586">
        <v>3.8088638919123501E-2</v>
      </c>
    </row>
    <row r="2587" spans="1:7" x14ac:dyDescent="0.25">
      <c r="A2587" t="s">
        <v>7</v>
      </c>
      <c r="B2587" t="s">
        <v>17</v>
      </c>
      <c r="C2587" t="s">
        <v>9</v>
      </c>
      <c r="D2587" t="s">
        <v>10</v>
      </c>
      <c r="E2587">
        <v>11</v>
      </c>
      <c r="F2587" s="1">
        <v>40908</v>
      </c>
      <c r="G2587">
        <v>1.6659973459485201E-3</v>
      </c>
    </row>
    <row r="2588" spans="1:7" x14ac:dyDescent="0.25">
      <c r="A2588" t="s">
        <v>7</v>
      </c>
      <c r="B2588" t="s">
        <v>17</v>
      </c>
      <c r="C2588" t="s">
        <v>9</v>
      </c>
      <c r="D2588" t="s">
        <v>10</v>
      </c>
      <c r="E2588">
        <v>11</v>
      </c>
      <c r="F2588" s="1">
        <v>40939</v>
      </c>
      <c r="G2588">
        <v>-1.20454750568576E-3</v>
      </c>
    </row>
    <row r="2589" spans="1:7" x14ac:dyDescent="0.25">
      <c r="A2589" t="s">
        <v>7</v>
      </c>
      <c r="B2589" t="s">
        <v>17</v>
      </c>
      <c r="C2589" t="s">
        <v>9</v>
      </c>
      <c r="D2589" t="s">
        <v>10</v>
      </c>
      <c r="E2589">
        <v>11</v>
      </c>
      <c r="F2589" s="1">
        <v>40968</v>
      </c>
      <c r="G2589">
        <v>-1.87185251648113E-3</v>
      </c>
    </row>
    <row r="2590" spans="1:7" x14ac:dyDescent="0.25">
      <c r="A2590" t="s">
        <v>7</v>
      </c>
      <c r="B2590" t="s">
        <v>17</v>
      </c>
      <c r="C2590" t="s">
        <v>9</v>
      </c>
      <c r="D2590" t="s">
        <v>10</v>
      </c>
      <c r="E2590">
        <v>11</v>
      </c>
      <c r="F2590" s="1">
        <v>40999</v>
      </c>
      <c r="G2590">
        <v>2.45112629513238E-2</v>
      </c>
    </row>
    <row r="2591" spans="1:7" x14ac:dyDescent="0.25">
      <c r="A2591" t="s">
        <v>7</v>
      </c>
      <c r="B2591" t="s">
        <v>17</v>
      </c>
      <c r="C2591" t="s">
        <v>9</v>
      </c>
      <c r="D2591" t="s">
        <v>10</v>
      </c>
      <c r="E2591">
        <v>11</v>
      </c>
      <c r="F2591" s="1">
        <v>41029</v>
      </c>
      <c r="G2591">
        <v>2.6985758963201E-2</v>
      </c>
    </row>
    <row r="2592" spans="1:7" x14ac:dyDescent="0.25">
      <c r="A2592" t="s">
        <v>7</v>
      </c>
      <c r="B2592" t="s">
        <v>17</v>
      </c>
      <c r="C2592" t="s">
        <v>9</v>
      </c>
      <c r="D2592" t="s">
        <v>10</v>
      </c>
      <c r="E2592">
        <v>11</v>
      </c>
      <c r="F2592" s="1">
        <v>41060</v>
      </c>
      <c r="G2592">
        <v>4.1391052733819697E-2</v>
      </c>
    </row>
    <row r="2593" spans="1:7" x14ac:dyDescent="0.25">
      <c r="A2593" t="s">
        <v>7</v>
      </c>
      <c r="B2593" t="s">
        <v>17</v>
      </c>
      <c r="C2593" t="s">
        <v>9</v>
      </c>
      <c r="D2593" t="s">
        <v>10</v>
      </c>
      <c r="E2593">
        <v>11</v>
      </c>
      <c r="F2593" s="1">
        <v>41090</v>
      </c>
      <c r="G2593">
        <v>4.2937693000826303E-2</v>
      </c>
    </row>
    <row r="2594" spans="1:7" x14ac:dyDescent="0.25">
      <c r="A2594" t="s">
        <v>7</v>
      </c>
      <c r="B2594" t="s">
        <v>17</v>
      </c>
      <c r="C2594" t="s">
        <v>9</v>
      </c>
      <c r="D2594" t="s">
        <v>10</v>
      </c>
      <c r="E2594">
        <v>11</v>
      </c>
      <c r="F2594" s="1">
        <v>41121</v>
      </c>
      <c r="G2594">
        <v>-5.6721687196836703E-3</v>
      </c>
    </row>
    <row r="2595" spans="1:7" x14ac:dyDescent="0.25">
      <c r="A2595" t="s">
        <v>7</v>
      </c>
      <c r="B2595" t="s">
        <v>17</v>
      </c>
      <c r="C2595" t="s">
        <v>9</v>
      </c>
      <c r="D2595" t="s">
        <v>10</v>
      </c>
      <c r="E2595">
        <v>11</v>
      </c>
      <c r="F2595" s="1">
        <v>41152</v>
      </c>
      <c r="G2595">
        <v>-3.8692734054721498E-2</v>
      </c>
    </row>
    <row r="2596" spans="1:7" x14ac:dyDescent="0.25">
      <c r="A2596" t="s">
        <v>7</v>
      </c>
      <c r="B2596" t="s">
        <v>17</v>
      </c>
      <c r="C2596" t="s">
        <v>9</v>
      </c>
      <c r="D2596" t="s">
        <v>10</v>
      </c>
      <c r="E2596">
        <v>11</v>
      </c>
      <c r="F2596" s="1">
        <v>41182</v>
      </c>
      <c r="G2596">
        <v>-2.2539030540907699E-2</v>
      </c>
    </row>
    <row r="2597" spans="1:7" x14ac:dyDescent="0.25">
      <c r="A2597" t="s">
        <v>7</v>
      </c>
      <c r="B2597" t="s">
        <v>17</v>
      </c>
      <c r="C2597" t="s">
        <v>9</v>
      </c>
      <c r="D2597" t="s">
        <v>10</v>
      </c>
      <c r="E2597">
        <v>11</v>
      </c>
      <c r="F2597" s="1">
        <v>41213</v>
      </c>
      <c r="G2597">
        <v>7.6711439105783099E-3</v>
      </c>
    </row>
    <row r="2598" spans="1:7" x14ac:dyDescent="0.25">
      <c r="A2598" t="s">
        <v>7</v>
      </c>
      <c r="B2598" t="s">
        <v>17</v>
      </c>
      <c r="C2598" t="s">
        <v>9</v>
      </c>
      <c r="D2598" t="s">
        <v>10</v>
      </c>
      <c r="E2598">
        <v>11</v>
      </c>
      <c r="F2598" s="1">
        <v>41243</v>
      </c>
      <c r="G2598">
        <v>1.8973024800190402E-2</v>
      </c>
    </row>
    <row r="2599" spans="1:7" x14ac:dyDescent="0.25">
      <c r="A2599" t="s">
        <v>7</v>
      </c>
      <c r="B2599" t="s">
        <v>17</v>
      </c>
      <c r="C2599" t="s">
        <v>9</v>
      </c>
      <c r="D2599" t="s">
        <v>10</v>
      </c>
      <c r="E2599">
        <v>11</v>
      </c>
      <c r="F2599" s="1">
        <v>41274</v>
      </c>
      <c r="G2599">
        <v>-2.0595367153820099E-2</v>
      </c>
    </row>
    <row r="2600" spans="1:7" x14ac:dyDescent="0.25">
      <c r="A2600" t="s">
        <v>7</v>
      </c>
      <c r="B2600" t="s">
        <v>17</v>
      </c>
      <c r="C2600" t="s">
        <v>9</v>
      </c>
      <c r="D2600" t="s">
        <v>10</v>
      </c>
      <c r="E2600">
        <v>11</v>
      </c>
      <c r="F2600" s="1">
        <v>41305</v>
      </c>
      <c r="G2600">
        <v>-1.5695289592064302E-2</v>
      </c>
    </row>
    <row r="2601" spans="1:7" x14ac:dyDescent="0.25">
      <c r="A2601" t="s">
        <v>7</v>
      </c>
      <c r="B2601" t="s">
        <v>17</v>
      </c>
      <c r="C2601" t="s">
        <v>9</v>
      </c>
      <c r="D2601" t="s">
        <v>10</v>
      </c>
      <c r="E2601">
        <v>11</v>
      </c>
      <c r="F2601" s="1">
        <v>41333</v>
      </c>
      <c r="G2601">
        <v>1.52356288500373E-2</v>
      </c>
    </row>
    <row r="2602" spans="1:7" x14ac:dyDescent="0.25">
      <c r="A2602" t="s">
        <v>7</v>
      </c>
      <c r="B2602" t="s">
        <v>17</v>
      </c>
      <c r="C2602" t="s">
        <v>9</v>
      </c>
      <c r="D2602" t="s">
        <v>10</v>
      </c>
      <c r="E2602">
        <v>11</v>
      </c>
      <c r="F2602" s="1">
        <v>41364</v>
      </c>
      <c r="G2602">
        <v>1.8545859624461002E-2</v>
      </c>
    </row>
    <row r="2603" spans="1:7" x14ac:dyDescent="0.25">
      <c r="A2603" t="s">
        <v>7</v>
      </c>
      <c r="B2603" t="s">
        <v>17</v>
      </c>
      <c r="C2603" t="s">
        <v>9</v>
      </c>
      <c r="D2603" t="s">
        <v>10</v>
      </c>
      <c r="E2603">
        <v>11</v>
      </c>
      <c r="F2603" s="1">
        <v>41394</v>
      </c>
      <c r="G2603">
        <v>2.6850599209839999E-2</v>
      </c>
    </row>
    <row r="2604" spans="1:7" x14ac:dyDescent="0.25">
      <c r="A2604" t="s">
        <v>7</v>
      </c>
      <c r="B2604" t="s">
        <v>17</v>
      </c>
      <c r="C2604" t="s">
        <v>9</v>
      </c>
      <c r="D2604" t="s">
        <v>10</v>
      </c>
      <c r="E2604">
        <v>11</v>
      </c>
      <c r="F2604" s="1">
        <v>41425</v>
      </c>
      <c r="G2604">
        <v>3.4186606976540999E-3</v>
      </c>
    </row>
    <row r="2605" spans="1:7" x14ac:dyDescent="0.25">
      <c r="A2605" t="s">
        <v>7</v>
      </c>
      <c r="B2605" t="s">
        <v>17</v>
      </c>
      <c r="C2605" t="s">
        <v>9</v>
      </c>
      <c r="D2605" t="s">
        <v>10</v>
      </c>
      <c r="E2605">
        <v>11</v>
      </c>
      <c r="F2605" s="1">
        <v>41455</v>
      </c>
      <c r="G2605">
        <v>2.17712671276921E-2</v>
      </c>
    </row>
    <row r="2606" spans="1:7" x14ac:dyDescent="0.25">
      <c r="A2606" t="s">
        <v>7</v>
      </c>
      <c r="B2606" t="s">
        <v>17</v>
      </c>
      <c r="C2606" t="s">
        <v>9</v>
      </c>
      <c r="D2606" t="s">
        <v>10</v>
      </c>
      <c r="E2606">
        <v>11</v>
      </c>
      <c r="F2606" s="1">
        <v>41486</v>
      </c>
      <c r="G2606">
        <v>1.01477212628544E-2</v>
      </c>
    </row>
    <row r="2607" spans="1:7" x14ac:dyDescent="0.25">
      <c r="A2607" t="s">
        <v>7</v>
      </c>
      <c r="B2607" t="s">
        <v>17</v>
      </c>
      <c r="C2607" t="s">
        <v>9</v>
      </c>
      <c r="D2607" t="s">
        <v>10</v>
      </c>
      <c r="E2607">
        <v>11</v>
      </c>
      <c r="F2607" s="1">
        <v>41517</v>
      </c>
      <c r="G2607">
        <v>-2.5928358273014401E-2</v>
      </c>
    </row>
    <row r="2608" spans="1:7" x14ac:dyDescent="0.25">
      <c r="A2608" t="s">
        <v>7</v>
      </c>
      <c r="B2608" t="s">
        <v>17</v>
      </c>
      <c r="C2608" t="s">
        <v>9</v>
      </c>
      <c r="D2608" t="s">
        <v>10</v>
      </c>
      <c r="E2608">
        <v>11</v>
      </c>
      <c r="F2608" s="1">
        <v>41547</v>
      </c>
      <c r="G2608">
        <v>2.2244908545070999E-2</v>
      </c>
    </row>
    <row r="2609" spans="1:7" x14ac:dyDescent="0.25">
      <c r="A2609" t="s">
        <v>7</v>
      </c>
      <c r="B2609" t="s">
        <v>17</v>
      </c>
      <c r="C2609" t="s">
        <v>9</v>
      </c>
      <c r="D2609" t="s">
        <v>10</v>
      </c>
      <c r="E2609">
        <v>11</v>
      </c>
      <c r="F2609" s="1">
        <v>41578</v>
      </c>
      <c r="G2609">
        <v>1.10385397542187E-2</v>
      </c>
    </row>
    <row r="2610" spans="1:7" x14ac:dyDescent="0.25">
      <c r="A2610" t="s">
        <v>7</v>
      </c>
      <c r="B2610" t="s">
        <v>17</v>
      </c>
      <c r="C2610" t="s">
        <v>9</v>
      </c>
      <c r="D2610" t="s">
        <v>10</v>
      </c>
      <c r="E2610">
        <v>11</v>
      </c>
      <c r="F2610" s="1">
        <v>41608</v>
      </c>
      <c r="G2610">
        <v>4.6284604747355998E-3</v>
      </c>
    </row>
    <row r="2611" spans="1:7" x14ac:dyDescent="0.25">
      <c r="A2611" t="s">
        <v>7</v>
      </c>
      <c r="B2611" t="s">
        <v>17</v>
      </c>
      <c r="C2611" t="s">
        <v>9</v>
      </c>
      <c r="D2611" t="s">
        <v>10</v>
      </c>
      <c r="E2611">
        <v>11</v>
      </c>
      <c r="F2611" s="1">
        <v>41639</v>
      </c>
      <c r="G2611">
        <v>-1.62734102950838E-2</v>
      </c>
    </row>
    <row r="2612" spans="1:7" x14ac:dyDescent="0.25">
      <c r="A2612" t="s">
        <v>7</v>
      </c>
      <c r="B2612" t="s">
        <v>17</v>
      </c>
      <c r="C2612" t="s">
        <v>9</v>
      </c>
      <c r="D2612" t="s">
        <v>10</v>
      </c>
      <c r="E2612">
        <v>11</v>
      </c>
      <c r="F2612" s="1">
        <v>41670</v>
      </c>
      <c r="G2612">
        <v>-8.4159194130382399E-3</v>
      </c>
    </row>
    <row r="2613" spans="1:7" x14ac:dyDescent="0.25">
      <c r="A2613" t="s">
        <v>7</v>
      </c>
      <c r="B2613" t="s">
        <v>17</v>
      </c>
      <c r="C2613" t="s">
        <v>9</v>
      </c>
      <c r="D2613" t="s">
        <v>10</v>
      </c>
      <c r="E2613">
        <v>11</v>
      </c>
      <c r="F2613" s="1">
        <v>41698</v>
      </c>
      <c r="G2613">
        <v>1.5812627831725001E-2</v>
      </c>
    </row>
    <row r="2614" spans="1:7" x14ac:dyDescent="0.25">
      <c r="A2614" t="s">
        <v>7</v>
      </c>
      <c r="B2614" t="s">
        <v>17</v>
      </c>
      <c r="C2614" t="s">
        <v>9</v>
      </c>
      <c r="D2614" t="s">
        <v>10</v>
      </c>
      <c r="E2614">
        <v>11</v>
      </c>
      <c r="F2614" s="1">
        <v>41729</v>
      </c>
      <c r="G2614">
        <v>2.51146426465234E-2</v>
      </c>
    </row>
    <row r="2615" spans="1:7" x14ac:dyDescent="0.25">
      <c r="A2615" t="s">
        <v>7</v>
      </c>
      <c r="B2615" t="s">
        <v>17</v>
      </c>
      <c r="C2615" t="s">
        <v>9</v>
      </c>
      <c r="D2615" t="s">
        <v>10</v>
      </c>
      <c r="E2615">
        <v>11</v>
      </c>
      <c r="F2615" s="1">
        <v>41759</v>
      </c>
      <c r="G2615">
        <v>1.4223693470968701E-2</v>
      </c>
    </row>
    <row r="2616" spans="1:7" x14ac:dyDescent="0.25">
      <c r="A2616" t="s">
        <v>7</v>
      </c>
      <c r="B2616" t="s">
        <v>17</v>
      </c>
      <c r="C2616" t="s">
        <v>9</v>
      </c>
      <c r="D2616" t="s">
        <v>10</v>
      </c>
      <c r="E2616">
        <v>11</v>
      </c>
      <c r="F2616" s="1">
        <v>41790</v>
      </c>
      <c r="G2616">
        <v>4.4430710880512397E-3</v>
      </c>
    </row>
    <row r="2617" spans="1:7" x14ac:dyDescent="0.25">
      <c r="A2617" t="s">
        <v>7</v>
      </c>
      <c r="B2617" t="s">
        <v>17</v>
      </c>
      <c r="C2617" t="s">
        <v>9</v>
      </c>
      <c r="D2617" t="s">
        <v>10</v>
      </c>
      <c r="E2617">
        <v>11</v>
      </c>
      <c r="F2617" s="1">
        <v>41820</v>
      </c>
      <c r="G2617">
        <v>2.8073619855568501E-3</v>
      </c>
    </row>
    <row r="2618" spans="1:7" x14ac:dyDescent="0.25">
      <c r="A2618" t="s">
        <v>7</v>
      </c>
      <c r="B2618" t="s">
        <v>17</v>
      </c>
      <c r="C2618" t="s">
        <v>9</v>
      </c>
      <c r="D2618" t="s">
        <v>10</v>
      </c>
      <c r="E2618">
        <v>11</v>
      </c>
      <c r="F2618" s="1">
        <v>41851</v>
      </c>
      <c r="G2618">
        <v>-1.90177104101786E-2</v>
      </c>
    </row>
    <row r="2619" spans="1:7" x14ac:dyDescent="0.25">
      <c r="A2619" t="s">
        <v>7</v>
      </c>
      <c r="B2619" t="s">
        <v>17</v>
      </c>
      <c r="C2619" t="s">
        <v>9</v>
      </c>
      <c r="D2619" t="s">
        <v>10</v>
      </c>
      <c r="E2619">
        <v>11</v>
      </c>
      <c r="F2619" s="1">
        <v>41882</v>
      </c>
      <c r="G2619">
        <v>-5.23845226253432E-3</v>
      </c>
    </row>
    <row r="2620" spans="1:7" x14ac:dyDescent="0.25">
      <c r="A2620" t="s">
        <v>7</v>
      </c>
      <c r="B2620" t="s">
        <v>17</v>
      </c>
      <c r="C2620" t="s">
        <v>9</v>
      </c>
      <c r="D2620" t="s">
        <v>10</v>
      </c>
      <c r="E2620">
        <v>11</v>
      </c>
      <c r="F2620" s="1">
        <v>41912</v>
      </c>
      <c r="G2620">
        <v>1.05140619006634E-2</v>
      </c>
    </row>
    <row r="2621" spans="1:7" x14ac:dyDescent="0.25">
      <c r="A2621" t="s">
        <v>7</v>
      </c>
      <c r="B2621" t="s">
        <v>17</v>
      </c>
      <c r="C2621" t="s">
        <v>9</v>
      </c>
      <c r="D2621" t="s">
        <v>10</v>
      </c>
      <c r="E2621">
        <v>11</v>
      </c>
      <c r="F2621" s="1">
        <v>41943</v>
      </c>
      <c r="G2621">
        <v>3.3796095928945703E-2</v>
      </c>
    </row>
    <row r="2622" spans="1:7" x14ac:dyDescent="0.25">
      <c r="A2622" t="s">
        <v>7</v>
      </c>
      <c r="B2622" t="s">
        <v>17</v>
      </c>
      <c r="C2622" t="s">
        <v>9</v>
      </c>
      <c r="D2622" t="s">
        <v>10</v>
      </c>
      <c r="E2622">
        <v>11</v>
      </c>
      <c r="F2622" s="1">
        <v>41973</v>
      </c>
      <c r="G2622">
        <v>1.9340239394194499E-2</v>
      </c>
    </row>
    <row r="2623" spans="1:7" x14ac:dyDescent="0.25">
      <c r="A2623" t="s">
        <v>7</v>
      </c>
      <c r="B2623" t="s">
        <v>17</v>
      </c>
      <c r="C2623" t="s">
        <v>9</v>
      </c>
      <c r="D2623" t="s">
        <v>10</v>
      </c>
      <c r="E2623">
        <v>11</v>
      </c>
      <c r="F2623" s="1">
        <v>42004</v>
      </c>
      <c r="G2623">
        <v>3.7539631056624501E-3</v>
      </c>
    </row>
    <row r="2624" spans="1:7" x14ac:dyDescent="0.25">
      <c r="A2624" t="s">
        <v>7</v>
      </c>
      <c r="B2624" t="s">
        <v>17</v>
      </c>
      <c r="C2624" t="s">
        <v>9</v>
      </c>
      <c r="D2624" t="s">
        <v>10</v>
      </c>
      <c r="E2624">
        <v>11</v>
      </c>
      <c r="F2624" s="1">
        <v>42035</v>
      </c>
      <c r="G2624">
        <v>3.9949148382294498E-2</v>
      </c>
    </row>
    <row r="2625" spans="1:7" x14ac:dyDescent="0.25">
      <c r="A2625" t="s">
        <v>7</v>
      </c>
      <c r="B2625" t="s">
        <v>17</v>
      </c>
      <c r="C2625" t="s">
        <v>9</v>
      </c>
      <c r="D2625" t="s">
        <v>10</v>
      </c>
      <c r="E2625">
        <v>11</v>
      </c>
      <c r="F2625" s="1">
        <v>42063</v>
      </c>
      <c r="G2625">
        <v>8.6391590543473899E-3</v>
      </c>
    </row>
    <row r="2626" spans="1:7" x14ac:dyDescent="0.25">
      <c r="A2626" t="s">
        <v>7</v>
      </c>
      <c r="B2626" t="s">
        <v>17</v>
      </c>
      <c r="C2626" t="s">
        <v>9</v>
      </c>
      <c r="D2626" t="s">
        <v>10</v>
      </c>
      <c r="E2626">
        <v>11</v>
      </c>
      <c r="F2626" s="1">
        <v>42094</v>
      </c>
      <c r="G2626">
        <v>-3.1015962443822899E-3</v>
      </c>
    </row>
    <row r="2627" spans="1:7" x14ac:dyDescent="0.25">
      <c r="A2627" t="s">
        <v>7</v>
      </c>
      <c r="B2627" t="s">
        <v>17</v>
      </c>
      <c r="C2627" t="s">
        <v>9</v>
      </c>
      <c r="D2627" t="s">
        <v>10</v>
      </c>
      <c r="E2627">
        <v>11</v>
      </c>
      <c r="F2627" s="1">
        <v>42124</v>
      </c>
      <c r="G2627">
        <v>-1.5152321903679499E-2</v>
      </c>
    </row>
    <row r="2628" spans="1:7" x14ac:dyDescent="0.25">
      <c r="A2628" t="s">
        <v>7</v>
      </c>
      <c r="B2628" t="s">
        <v>17</v>
      </c>
      <c r="C2628" t="s">
        <v>9</v>
      </c>
      <c r="D2628" t="s">
        <v>10</v>
      </c>
      <c r="E2628">
        <v>11</v>
      </c>
      <c r="F2628" s="1">
        <v>42155</v>
      </c>
      <c r="G2628">
        <v>-3.26661278913955E-3</v>
      </c>
    </row>
    <row r="2629" spans="1:7" x14ac:dyDescent="0.25">
      <c r="A2629" t="s">
        <v>7</v>
      </c>
      <c r="B2629" t="s">
        <v>17</v>
      </c>
      <c r="C2629" t="s">
        <v>9</v>
      </c>
      <c r="D2629" t="s">
        <v>10</v>
      </c>
      <c r="E2629">
        <v>11</v>
      </c>
      <c r="F2629" s="1">
        <v>42185</v>
      </c>
      <c r="G2629">
        <v>2.7223454857506501E-2</v>
      </c>
    </row>
    <row r="2630" spans="1:7" x14ac:dyDescent="0.25">
      <c r="A2630" t="s">
        <v>7</v>
      </c>
      <c r="B2630" t="s">
        <v>17</v>
      </c>
      <c r="C2630" t="s">
        <v>9</v>
      </c>
      <c r="D2630" t="s">
        <v>10</v>
      </c>
      <c r="E2630">
        <v>11</v>
      </c>
      <c r="F2630" s="1">
        <v>42216</v>
      </c>
      <c r="G2630">
        <v>3.7713815334029399E-2</v>
      </c>
    </row>
    <row r="2631" spans="1:7" x14ac:dyDescent="0.25">
      <c r="A2631" t="s">
        <v>7</v>
      </c>
      <c r="B2631" t="s">
        <v>17</v>
      </c>
      <c r="C2631" t="s">
        <v>9</v>
      </c>
      <c r="D2631" t="s">
        <v>10</v>
      </c>
      <c r="E2631">
        <v>11</v>
      </c>
      <c r="F2631" s="1">
        <v>42247</v>
      </c>
      <c r="G2631">
        <v>-1.15807320640219E-3</v>
      </c>
    </row>
    <row r="2632" spans="1:7" x14ac:dyDescent="0.25">
      <c r="A2632" t="s">
        <v>7</v>
      </c>
      <c r="B2632" t="s">
        <v>17</v>
      </c>
      <c r="C2632" t="s">
        <v>9</v>
      </c>
      <c r="D2632" t="s">
        <v>10</v>
      </c>
      <c r="E2632">
        <v>11</v>
      </c>
      <c r="F2632" s="1">
        <v>42277</v>
      </c>
      <c r="G2632">
        <v>-3.1432970975485801E-2</v>
      </c>
    </row>
    <row r="2633" spans="1:7" x14ac:dyDescent="0.25">
      <c r="A2633" t="s">
        <v>7</v>
      </c>
      <c r="B2633" t="s">
        <v>17</v>
      </c>
      <c r="C2633" t="s">
        <v>9</v>
      </c>
      <c r="D2633" t="s">
        <v>10</v>
      </c>
      <c r="E2633">
        <v>11</v>
      </c>
      <c r="F2633" s="1">
        <v>42308</v>
      </c>
      <c r="G2633">
        <v>-1.90754389283436E-2</v>
      </c>
    </row>
    <row r="2634" spans="1:7" x14ac:dyDescent="0.25">
      <c r="A2634" t="s">
        <v>7</v>
      </c>
      <c r="B2634" t="s">
        <v>17</v>
      </c>
      <c r="C2634" t="s">
        <v>9</v>
      </c>
      <c r="D2634" t="s">
        <v>10</v>
      </c>
      <c r="E2634">
        <v>11</v>
      </c>
      <c r="F2634" s="1">
        <v>42338</v>
      </c>
      <c r="G2634">
        <v>-3.0145904889056399E-2</v>
      </c>
    </row>
    <row r="2635" spans="1:7" x14ac:dyDescent="0.25">
      <c r="A2635" t="s">
        <v>7</v>
      </c>
      <c r="B2635" t="s">
        <v>17</v>
      </c>
      <c r="C2635" t="s">
        <v>9</v>
      </c>
      <c r="D2635" t="s">
        <v>10</v>
      </c>
      <c r="E2635">
        <v>11</v>
      </c>
      <c r="F2635" s="1">
        <v>42369</v>
      </c>
      <c r="G2635">
        <v>-6.8709723116424501E-3</v>
      </c>
    </row>
    <row r="2636" spans="1:7" x14ac:dyDescent="0.25">
      <c r="A2636" t="s">
        <v>7</v>
      </c>
      <c r="B2636" t="s">
        <v>17</v>
      </c>
      <c r="C2636" t="s">
        <v>9</v>
      </c>
      <c r="D2636" t="s">
        <v>10</v>
      </c>
      <c r="E2636">
        <v>11</v>
      </c>
      <c r="F2636" s="1">
        <v>42400</v>
      </c>
      <c r="G2636">
        <v>2.5649957134961699E-2</v>
      </c>
    </row>
    <row r="2637" spans="1:7" x14ac:dyDescent="0.25">
      <c r="A2637" t="s">
        <v>7</v>
      </c>
      <c r="B2637" t="s">
        <v>17</v>
      </c>
      <c r="C2637" t="s">
        <v>9</v>
      </c>
      <c r="D2637" t="s">
        <v>10</v>
      </c>
      <c r="E2637">
        <v>11</v>
      </c>
      <c r="F2637" s="1">
        <v>42429</v>
      </c>
      <c r="G2637">
        <v>-2.62495367662775E-2</v>
      </c>
    </row>
    <row r="2638" spans="1:7" x14ac:dyDescent="0.25">
      <c r="A2638" t="s">
        <v>7</v>
      </c>
      <c r="B2638" t="s">
        <v>17</v>
      </c>
      <c r="C2638" t="s">
        <v>9</v>
      </c>
      <c r="D2638" t="s">
        <v>10</v>
      </c>
      <c r="E2638">
        <v>11</v>
      </c>
      <c r="F2638" s="1">
        <v>42460</v>
      </c>
      <c r="G2638">
        <v>3.18883719641289E-2</v>
      </c>
    </row>
    <row r="2639" spans="1:7" x14ac:dyDescent="0.25">
      <c r="A2639" t="s">
        <v>7</v>
      </c>
      <c r="B2639" t="s">
        <v>17</v>
      </c>
      <c r="C2639" t="s">
        <v>9</v>
      </c>
      <c r="D2639" t="s">
        <v>10</v>
      </c>
      <c r="E2639">
        <v>11</v>
      </c>
      <c r="F2639" s="1">
        <v>42490</v>
      </c>
      <c r="G2639">
        <v>-3.52725978305857E-2</v>
      </c>
    </row>
    <row r="2640" spans="1:7" x14ac:dyDescent="0.25">
      <c r="A2640" t="s">
        <v>7</v>
      </c>
      <c r="B2640" t="s">
        <v>17</v>
      </c>
      <c r="C2640" t="s">
        <v>9</v>
      </c>
      <c r="D2640" t="s">
        <v>10</v>
      </c>
      <c r="E2640">
        <v>11</v>
      </c>
      <c r="F2640" s="1">
        <v>42521</v>
      </c>
      <c r="G2640">
        <v>2.1405118300071701E-2</v>
      </c>
    </row>
    <row r="2641" spans="1:7" x14ac:dyDescent="0.25">
      <c r="A2641" t="s">
        <v>7</v>
      </c>
      <c r="B2641" t="s">
        <v>17</v>
      </c>
      <c r="C2641" t="s">
        <v>9</v>
      </c>
      <c r="D2641" t="s">
        <v>10</v>
      </c>
      <c r="E2641">
        <v>11</v>
      </c>
      <c r="F2641" s="1">
        <v>42551</v>
      </c>
      <c r="G2641">
        <v>-1.0330143483290701E-3</v>
      </c>
    </row>
    <row r="2642" spans="1:7" x14ac:dyDescent="0.25">
      <c r="A2642" t="s">
        <v>7</v>
      </c>
      <c r="B2642" t="s">
        <v>17</v>
      </c>
      <c r="C2642" t="s">
        <v>9</v>
      </c>
      <c r="D2642" t="s">
        <v>10</v>
      </c>
      <c r="E2642">
        <v>11</v>
      </c>
      <c r="F2642" s="1">
        <v>42582</v>
      </c>
      <c r="G2642">
        <v>-1.6476688093198001E-2</v>
      </c>
    </row>
    <row r="2643" spans="1:7" x14ac:dyDescent="0.25">
      <c r="A2643" t="s">
        <v>7</v>
      </c>
      <c r="B2643" t="s">
        <v>17</v>
      </c>
      <c r="C2643" t="s">
        <v>9</v>
      </c>
      <c r="D2643" t="s">
        <v>10</v>
      </c>
      <c r="E2643">
        <v>11</v>
      </c>
      <c r="F2643" s="1">
        <v>42613</v>
      </c>
      <c r="G2643">
        <v>-9.7509850912556699E-3</v>
      </c>
    </row>
    <row r="2644" spans="1:7" x14ac:dyDescent="0.25">
      <c r="A2644" t="s">
        <v>7</v>
      </c>
      <c r="B2644" t="s">
        <v>17</v>
      </c>
      <c r="C2644" t="s">
        <v>9</v>
      </c>
      <c r="D2644" t="s">
        <v>10</v>
      </c>
      <c r="E2644">
        <v>11</v>
      </c>
      <c r="F2644" s="1">
        <v>42643</v>
      </c>
      <c r="G2644">
        <v>7.0299874283915702E-3</v>
      </c>
    </row>
    <row r="2645" spans="1:7" x14ac:dyDescent="0.25">
      <c r="A2645" t="s">
        <v>7</v>
      </c>
      <c r="B2645" t="s">
        <v>17</v>
      </c>
      <c r="C2645" t="s">
        <v>9</v>
      </c>
      <c r="D2645" t="s">
        <v>10</v>
      </c>
      <c r="E2645">
        <v>11</v>
      </c>
      <c r="F2645" s="1">
        <v>42674</v>
      </c>
      <c r="G2645">
        <v>1.47236181657719E-2</v>
      </c>
    </row>
    <row r="2646" spans="1:7" x14ac:dyDescent="0.25">
      <c r="A2646" t="s">
        <v>7</v>
      </c>
      <c r="B2646" t="s">
        <v>17</v>
      </c>
      <c r="C2646" t="s">
        <v>9</v>
      </c>
      <c r="D2646" t="s">
        <v>10</v>
      </c>
      <c r="E2646">
        <v>11</v>
      </c>
      <c r="F2646" s="1">
        <v>42704</v>
      </c>
      <c r="G2646">
        <v>-1.28809031805188E-2</v>
      </c>
    </row>
    <row r="2647" spans="1:7" x14ac:dyDescent="0.25">
      <c r="A2647" t="s">
        <v>7</v>
      </c>
      <c r="B2647" t="s">
        <v>17</v>
      </c>
      <c r="C2647" t="s">
        <v>9</v>
      </c>
      <c r="D2647" t="s">
        <v>10</v>
      </c>
      <c r="E2647">
        <v>11</v>
      </c>
      <c r="F2647" s="1">
        <v>42735</v>
      </c>
      <c r="G2647">
        <v>-4.1972716233943204E-3</v>
      </c>
    </row>
    <row r="2648" spans="1:7" x14ac:dyDescent="0.25">
      <c r="A2648" t="s">
        <v>7</v>
      </c>
      <c r="B2648" t="s">
        <v>17</v>
      </c>
      <c r="C2648" t="s">
        <v>9</v>
      </c>
      <c r="D2648" t="s">
        <v>10</v>
      </c>
      <c r="E2648">
        <v>11</v>
      </c>
      <c r="F2648" s="1">
        <v>42766</v>
      </c>
      <c r="G2648">
        <v>-3.3113537445633598E-2</v>
      </c>
    </row>
    <row r="2649" spans="1:7" x14ac:dyDescent="0.25">
      <c r="A2649" t="s">
        <v>7</v>
      </c>
      <c r="B2649" t="s">
        <v>17</v>
      </c>
      <c r="C2649" t="s">
        <v>9</v>
      </c>
      <c r="D2649" t="s">
        <v>10</v>
      </c>
      <c r="E2649">
        <v>11</v>
      </c>
      <c r="F2649" s="1">
        <v>42794</v>
      </c>
      <c r="G2649">
        <v>5.19334665733584E-3</v>
      </c>
    </row>
    <row r="2650" spans="1:7" x14ac:dyDescent="0.25">
      <c r="A2650" t="s">
        <v>7</v>
      </c>
      <c r="B2650" t="s">
        <v>17</v>
      </c>
      <c r="C2650" t="s">
        <v>9</v>
      </c>
      <c r="D2650" t="s">
        <v>10</v>
      </c>
      <c r="E2650">
        <v>11</v>
      </c>
      <c r="F2650" s="1">
        <v>42825</v>
      </c>
      <c r="G2650">
        <v>4.02848849216602E-2</v>
      </c>
    </row>
    <row r="2651" spans="1:7" x14ac:dyDescent="0.25">
      <c r="A2651" t="s">
        <v>7</v>
      </c>
      <c r="B2651" t="s">
        <v>17</v>
      </c>
      <c r="C2651" t="s">
        <v>9</v>
      </c>
      <c r="D2651" t="s">
        <v>10</v>
      </c>
      <c r="E2651">
        <v>11</v>
      </c>
      <c r="F2651" s="1">
        <v>42855</v>
      </c>
      <c r="G2651">
        <v>-6.35769229704108E-3</v>
      </c>
    </row>
    <row r="2652" spans="1:7" x14ac:dyDescent="0.25">
      <c r="A2652" t="s">
        <v>7</v>
      </c>
      <c r="B2652" t="s">
        <v>17</v>
      </c>
      <c r="C2652" t="s">
        <v>9</v>
      </c>
      <c r="D2652" t="s">
        <v>10</v>
      </c>
      <c r="E2652">
        <v>11</v>
      </c>
      <c r="F2652" s="1">
        <v>42886</v>
      </c>
      <c r="G2652">
        <v>2.7044162638182399E-2</v>
      </c>
    </row>
    <row r="2653" spans="1:7" x14ac:dyDescent="0.25">
      <c r="A2653" t="s">
        <v>7</v>
      </c>
      <c r="B2653" t="s">
        <v>17</v>
      </c>
      <c r="C2653" t="s">
        <v>9</v>
      </c>
      <c r="D2653" t="s">
        <v>10</v>
      </c>
      <c r="E2653">
        <v>11</v>
      </c>
      <c r="F2653" s="1">
        <v>42916</v>
      </c>
      <c r="G2653">
        <v>1.2948603254903299E-2</v>
      </c>
    </row>
    <row r="2654" spans="1:7" x14ac:dyDescent="0.25">
      <c r="A2654" t="s">
        <v>7</v>
      </c>
      <c r="B2654" t="s">
        <v>17</v>
      </c>
      <c r="C2654" t="s">
        <v>9</v>
      </c>
      <c r="D2654" t="s">
        <v>10</v>
      </c>
      <c r="E2654">
        <v>11</v>
      </c>
      <c r="F2654" s="1">
        <v>42947</v>
      </c>
      <c r="G2654">
        <v>-6.8763436400599903E-3</v>
      </c>
    </row>
    <row r="2655" spans="1:7" x14ac:dyDescent="0.25">
      <c r="A2655" t="s">
        <v>7</v>
      </c>
      <c r="B2655" t="s">
        <v>17</v>
      </c>
      <c r="C2655" t="s">
        <v>9</v>
      </c>
      <c r="D2655" t="s">
        <v>10</v>
      </c>
      <c r="E2655">
        <v>11</v>
      </c>
      <c r="F2655" s="1">
        <v>42978</v>
      </c>
      <c r="G2655">
        <v>-5.5798946567647202E-2</v>
      </c>
    </row>
    <row r="2656" spans="1:7" x14ac:dyDescent="0.25">
      <c r="A2656" t="s">
        <v>7</v>
      </c>
      <c r="B2656" t="s">
        <v>17</v>
      </c>
      <c r="C2656" t="s">
        <v>9</v>
      </c>
      <c r="D2656" t="s">
        <v>10</v>
      </c>
      <c r="E2656">
        <v>11</v>
      </c>
      <c r="F2656" s="1">
        <v>43008</v>
      </c>
      <c r="G2656">
        <v>-9.7875378666313108E-3</v>
      </c>
    </row>
    <row r="2657" spans="1:7" x14ac:dyDescent="0.25">
      <c r="A2657" t="s">
        <v>7</v>
      </c>
      <c r="B2657" t="s">
        <v>17</v>
      </c>
      <c r="C2657" t="s">
        <v>9</v>
      </c>
      <c r="D2657" t="s">
        <v>10</v>
      </c>
      <c r="E2657">
        <v>11</v>
      </c>
      <c r="F2657" s="1">
        <v>43039</v>
      </c>
      <c r="G2657">
        <v>-7.2482191523229301E-4</v>
      </c>
    </row>
    <row r="2658" spans="1:7" x14ac:dyDescent="0.25">
      <c r="A2658" t="s">
        <v>7</v>
      </c>
      <c r="B2658" t="s">
        <v>17</v>
      </c>
      <c r="C2658" t="s">
        <v>9</v>
      </c>
      <c r="D2658" t="s">
        <v>10</v>
      </c>
      <c r="E2658">
        <v>11</v>
      </c>
      <c r="F2658" s="1">
        <v>43069</v>
      </c>
      <c r="G2658">
        <v>3.7438275465969797E-2</v>
      </c>
    </row>
    <row r="2659" spans="1:7" x14ac:dyDescent="0.25">
      <c r="A2659" t="s">
        <v>7</v>
      </c>
      <c r="B2659" t="s">
        <v>17</v>
      </c>
      <c r="C2659" t="s">
        <v>9</v>
      </c>
      <c r="D2659" t="s">
        <v>10</v>
      </c>
      <c r="E2659">
        <v>11</v>
      </c>
      <c r="F2659" s="1">
        <v>43100</v>
      </c>
      <c r="G2659">
        <v>2.0587774324196399E-2</v>
      </c>
    </row>
    <row r="2660" spans="1:7" x14ac:dyDescent="0.25">
      <c r="A2660" t="s">
        <v>7</v>
      </c>
      <c r="B2660" t="s">
        <v>17</v>
      </c>
      <c r="C2660" t="s">
        <v>9</v>
      </c>
      <c r="D2660" t="s">
        <v>10</v>
      </c>
      <c r="E2660">
        <v>11</v>
      </c>
      <c r="F2660" s="1">
        <v>43131</v>
      </c>
      <c r="G2660">
        <v>-3.12288916947885E-3</v>
      </c>
    </row>
    <row r="2661" spans="1:7" x14ac:dyDescent="0.25">
      <c r="A2661" t="s">
        <v>7</v>
      </c>
      <c r="B2661" t="s">
        <v>17</v>
      </c>
      <c r="C2661" t="s">
        <v>9</v>
      </c>
      <c r="D2661" t="s">
        <v>10</v>
      </c>
      <c r="E2661">
        <v>11</v>
      </c>
      <c r="F2661" s="1">
        <v>43159</v>
      </c>
      <c r="G2661">
        <v>-6.5732729576927201E-3</v>
      </c>
    </row>
    <row r="2662" spans="1:7" x14ac:dyDescent="0.25">
      <c r="A2662" t="s">
        <v>7</v>
      </c>
      <c r="B2662" t="s">
        <v>17</v>
      </c>
      <c r="C2662" t="s">
        <v>9</v>
      </c>
      <c r="D2662" t="s">
        <v>10</v>
      </c>
      <c r="E2662">
        <v>11</v>
      </c>
      <c r="F2662" s="1">
        <v>43190</v>
      </c>
      <c r="G2662">
        <v>3.70865984830774E-3</v>
      </c>
    </row>
    <row r="2663" spans="1:7" x14ac:dyDescent="0.25">
      <c r="A2663" t="s">
        <v>7</v>
      </c>
      <c r="B2663" t="s">
        <v>17</v>
      </c>
      <c r="C2663" t="s">
        <v>9</v>
      </c>
      <c r="D2663" t="s">
        <v>10</v>
      </c>
      <c r="E2663">
        <v>11</v>
      </c>
      <c r="F2663" s="1">
        <v>43220</v>
      </c>
      <c r="G2663">
        <v>-2.2627008926012399E-2</v>
      </c>
    </row>
    <row r="2664" spans="1:7" x14ac:dyDescent="0.25">
      <c r="A2664" t="s">
        <v>7</v>
      </c>
      <c r="B2664" t="s">
        <v>17</v>
      </c>
      <c r="C2664" t="s">
        <v>9</v>
      </c>
      <c r="D2664" t="s">
        <v>10</v>
      </c>
      <c r="E2664">
        <v>11</v>
      </c>
      <c r="F2664" s="1">
        <v>43251</v>
      </c>
      <c r="G2664">
        <v>-1.04331354639045E-2</v>
      </c>
    </row>
    <row r="2665" spans="1:7" x14ac:dyDescent="0.25">
      <c r="A2665" t="s">
        <v>7</v>
      </c>
      <c r="B2665" t="s">
        <v>17</v>
      </c>
      <c r="C2665" t="s">
        <v>9</v>
      </c>
      <c r="D2665" t="s">
        <v>10</v>
      </c>
      <c r="E2665">
        <v>11</v>
      </c>
      <c r="F2665" s="1">
        <v>43281</v>
      </c>
      <c r="G2665">
        <v>-1.09045252094369E-2</v>
      </c>
    </row>
    <row r="2666" spans="1:7" x14ac:dyDescent="0.25">
      <c r="A2666" t="s">
        <v>7</v>
      </c>
      <c r="B2666" t="s">
        <v>17</v>
      </c>
      <c r="C2666" t="s">
        <v>9</v>
      </c>
      <c r="D2666" t="s">
        <v>10</v>
      </c>
      <c r="E2666">
        <v>11</v>
      </c>
      <c r="F2666" s="1">
        <v>43312</v>
      </c>
      <c r="G2666">
        <v>-8.9789711177082308E-3</v>
      </c>
    </row>
    <row r="2667" spans="1:7" x14ac:dyDescent="0.25">
      <c r="A2667" t="s">
        <v>7</v>
      </c>
      <c r="B2667" t="s">
        <v>17</v>
      </c>
      <c r="C2667" t="s">
        <v>9</v>
      </c>
      <c r="D2667" t="s">
        <v>10</v>
      </c>
      <c r="E2667">
        <v>11</v>
      </c>
      <c r="F2667" s="1">
        <v>43343</v>
      </c>
      <c r="G2667">
        <v>2.04846073717443E-2</v>
      </c>
    </row>
    <row r="2668" spans="1:7" x14ac:dyDescent="0.25">
      <c r="A2668" t="s">
        <v>7</v>
      </c>
      <c r="B2668" t="s">
        <v>17</v>
      </c>
      <c r="C2668" t="s">
        <v>9</v>
      </c>
      <c r="D2668" t="s">
        <v>10</v>
      </c>
      <c r="E2668">
        <v>11</v>
      </c>
      <c r="F2668" s="1">
        <v>43373</v>
      </c>
      <c r="G2668">
        <v>-9.5682579419294599E-3</v>
      </c>
    </row>
    <row r="2669" spans="1:7" x14ac:dyDescent="0.25">
      <c r="A2669" t="s">
        <v>7</v>
      </c>
      <c r="B2669" t="s">
        <v>17</v>
      </c>
      <c r="C2669" t="s">
        <v>9</v>
      </c>
      <c r="D2669" t="s">
        <v>10</v>
      </c>
      <c r="E2669">
        <v>11</v>
      </c>
      <c r="F2669" s="1">
        <v>43404</v>
      </c>
      <c r="G2669">
        <v>-6.2841539858243603E-2</v>
      </c>
    </row>
    <row r="2670" spans="1:7" x14ac:dyDescent="0.25">
      <c r="A2670" t="s">
        <v>7</v>
      </c>
      <c r="B2670" t="s">
        <v>17</v>
      </c>
      <c r="C2670" t="s">
        <v>9</v>
      </c>
      <c r="D2670" t="s">
        <v>10</v>
      </c>
      <c r="E2670">
        <v>11</v>
      </c>
      <c r="F2670" s="1">
        <v>43434</v>
      </c>
      <c r="G2670">
        <v>-1.1269083716121399E-2</v>
      </c>
    </row>
    <row r="2671" spans="1:7" x14ac:dyDescent="0.25">
      <c r="A2671" t="s">
        <v>7</v>
      </c>
      <c r="B2671" t="s">
        <v>17</v>
      </c>
      <c r="C2671" t="s">
        <v>9</v>
      </c>
      <c r="D2671" t="s">
        <v>10</v>
      </c>
      <c r="E2671">
        <v>11</v>
      </c>
      <c r="F2671" s="1">
        <v>43465</v>
      </c>
      <c r="G2671">
        <v>-9.1579414462106198E-3</v>
      </c>
    </row>
    <row r="2672" spans="1:7" x14ac:dyDescent="0.25">
      <c r="A2672" t="s">
        <v>7</v>
      </c>
      <c r="B2672" t="s">
        <v>17</v>
      </c>
      <c r="C2672" t="s">
        <v>9</v>
      </c>
      <c r="D2672" t="s">
        <v>10</v>
      </c>
      <c r="E2672">
        <v>11</v>
      </c>
      <c r="F2672" s="1">
        <v>43496</v>
      </c>
      <c r="G2672">
        <v>-8.9168686425175198E-3</v>
      </c>
    </row>
    <row r="2673" spans="1:7" x14ac:dyDescent="0.25">
      <c r="A2673" t="s">
        <v>7</v>
      </c>
      <c r="B2673" t="s">
        <v>17</v>
      </c>
      <c r="C2673" t="s">
        <v>9</v>
      </c>
      <c r="D2673" t="s">
        <v>10</v>
      </c>
      <c r="E2673">
        <v>11</v>
      </c>
      <c r="F2673" s="1">
        <v>43524</v>
      </c>
      <c r="G2673">
        <v>2.73088164655797E-3</v>
      </c>
    </row>
    <row r="2674" spans="1:7" x14ac:dyDescent="0.25">
      <c r="A2674" t="s">
        <v>7</v>
      </c>
      <c r="B2674" t="s">
        <v>17</v>
      </c>
      <c r="C2674" t="s">
        <v>9</v>
      </c>
      <c r="D2674" t="s">
        <v>10</v>
      </c>
      <c r="E2674">
        <v>11</v>
      </c>
      <c r="F2674" s="1">
        <v>43555</v>
      </c>
      <c r="G2674">
        <v>-1.3166912191039E-2</v>
      </c>
    </row>
    <row r="2675" spans="1:7" x14ac:dyDescent="0.25">
      <c r="A2675" t="s">
        <v>7</v>
      </c>
      <c r="B2675" t="s">
        <v>17</v>
      </c>
      <c r="C2675" t="s">
        <v>9</v>
      </c>
      <c r="D2675" t="s">
        <v>10</v>
      </c>
      <c r="E2675">
        <v>11</v>
      </c>
      <c r="F2675" s="1">
        <v>43585</v>
      </c>
      <c r="G2675">
        <v>-1.75354393006317E-2</v>
      </c>
    </row>
    <row r="2676" spans="1:7" x14ac:dyDescent="0.25">
      <c r="A2676" t="s">
        <v>7</v>
      </c>
      <c r="B2676" t="s">
        <v>17</v>
      </c>
      <c r="C2676" t="s">
        <v>9</v>
      </c>
      <c r="D2676" t="s">
        <v>10</v>
      </c>
      <c r="E2676">
        <v>11</v>
      </c>
      <c r="F2676" s="1">
        <v>43616</v>
      </c>
      <c r="G2676">
        <v>-6.58248841169079E-3</v>
      </c>
    </row>
    <row r="2677" spans="1:7" x14ac:dyDescent="0.25">
      <c r="A2677" t="s">
        <v>7</v>
      </c>
      <c r="B2677" t="s">
        <v>17</v>
      </c>
      <c r="C2677" t="s">
        <v>9</v>
      </c>
      <c r="D2677" t="s">
        <v>10</v>
      </c>
      <c r="E2677">
        <v>11</v>
      </c>
      <c r="F2677" s="1">
        <v>43646</v>
      </c>
      <c r="G2677">
        <v>-9.4906908269998501E-3</v>
      </c>
    </row>
    <row r="2678" spans="1:7" x14ac:dyDescent="0.25">
      <c r="A2678" t="s">
        <v>7</v>
      </c>
      <c r="B2678" t="s">
        <v>17</v>
      </c>
      <c r="C2678" t="s">
        <v>9</v>
      </c>
      <c r="D2678" t="s">
        <v>10</v>
      </c>
      <c r="E2678">
        <v>11</v>
      </c>
      <c r="F2678" s="1">
        <v>43677</v>
      </c>
      <c r="G2678">
        <v>-2.2427930837944799E-2</v>
      </c>
    </row>
    <row r="2679" spans="1:7" x14ac:dyDescent="0.25">
      <c r="A2679" t="s">
        <v>7</v>
      </c>
      <c r="B2679" t="s">
        <v>17</v>
      </c>
      <c r="C2679" t="s">
        <v>9</v>
      </c>
      <c r="D2679" t="s">
        <v>10</v>
      </c>
      <c r="E2679">
        <v>11</v>
      </c>
      <c r="F2679" s="1">
        <v>43708</v>
      </c>
      <c r="G2679">
        <v>-2.2428515292133099E-2</v>
      </c>
    </row>
    <row r="2680" spans="1:7" x14ac:dyDescent="0.25">
      <c r="A2680" t="s">
        <v>7</v>
      </c>
      <c r="B2680" t="s">
        <v>17</v>
      </c>
      <c r="C2680" t="s">
        <v>9</v>
      </c>
      <c r="D2680" t="s">
        <v>10</v>
      </c>
      <c r="E2680">
        <v>11</v>
      </c>
      <c r="F2680" s="1">
        <v>43738</v>
      </c>
      <c r="G2680">
        <v>-2.6683056561521402E-3</v>
      </c>
    </row>
    <row r="2681" spans="1:7" x14ac:dyDescent="0.25">
      <c r="A2681" t="s">
        <v>7</v>
      </c>
      <c r="B2681" t="s">
        <v>17</v>
      </c>
      <c r="C2681" t="s">
        <v>9</v>
      </c>
      <c r="D2681" t="s">
        <v>10</v>
      </c>
      <c r="E2681">
        <v>11</v>
      </c>
      <c r="F2681" s="1">
        <v>43769</v>
      </c>
      <c r="G2681">
        <v>-9.865254423976821E-4</v>
      </c>
    </row>
    <row r="2682" spans="1:7" x14ac:dyDescent="0.25">
      <c r="A2682" t="s">
        <v>7</v>
      </c>
      <c r="B2682" t="s">
        <v>17</v>
      </c>
      <c r="C2682" t="s">
        <v>9</v>
      </c>
      <c r="D2682" t="s">
        <v>10</v>
      </c>
      <c r="E2682">
        <v>11</v>
      </c>
      <c r="F2682" s="1">
        <v>43799</v>
      </c>
      <c r="G2682">
        <v>-6.78066037539441E-3</v>
      </c>
    </row>
    <row r="2683" spans="1:7" x14ac:dyDescent="0.25">
      <c r="A2683" t="s">
        <v>7</v>
      </c>
      <c r="B2683" t="s">
        <v>17</v>
      </c>
      <c r="C2683" t="s">
        <v>9</v>
      </c>
      <c r="D2683" t="s">
        <v>10</v>
      </c>
      <c r="E2683">
        <v>11</v>
      </c>
      <c r="F2683" s="1">
        <v>43830</v>
      </c>
      <c r="G2683">
        <v>-2.1649461116593001E-2</v>
      </c>
    </row>
    <row r="2684" spans="1:7" x14ac:dyDescent="0.25">
      <c r="A2684" t="s">
        <v>7</v>
      </c>
      <c r="B2684" t="s">
        <v>17</v>
      </c>
      <c r="C2684" t="s">
        <v>9</v>
      </c>
      <c r="D2684" t="s">
        <v>10</v>
      </c>
      <c r="E2684">
        <v>11</v>
      </c>
      <c r="F2684" s="1">
        <v>43861</v>
      </c>
      <c r="G2684">
        <v>-1.51316009178337E-2</v>
      </c>
    </row>
    <row r="2685" spans="1:7" x14ac:dyDescent="0.25">
      <c r="A2685" t="s">
        <v>7</v>
      </c>
      <c r="B2685" t="s">
        <v>17</v>
      </c>
      <c r="C2685" t="s">
        <v>9</v>
      </c>
      <c r="D2685" t="s">
        <v>10</v>
      </c>
      <c r="E2685">
        <v>11</v>
      </c>
      <c r="F2685" s="1">
        <v>43890</v>
      </c>
      <c r="G2685">
        <v>-2.3302788553193699E-3</v>
      </c>
    </row>
    <row r="2686" spans="1:7" x14ac:dyDescent="0.25">
      <c r="A2686" t="s">
        <v>7</v>
      </c>
      <c r="B2686" t="s">
        <v>17</v>
      </c>
      <c r="C2686" t="s">
        <v>9</v>
      </c>
      <c r="D2686" t="s">
        <v>10</v>
      </c>
      <c r="E2686">
        <v>11</v>
      </c>
      <c r="F2686" s="1">
        <v>43921</v>
      </c>
      <c r="G2686">
        <v>3.4879600073811703E-2</v>
      </c>
    </row>
    <row r="2687" spans="1:7" x14ac:dyDescent="0.25">
      <c r="A2687" t="s">
        <v>7</v>
      </c>
      <c r="B2687" t="s">
        <v>17</v>
      </c>
      <c r="C2687" t="s">
        <v>9</v>
      </c>
      <c r="D2687" t="s">
        <v>10</v>
      </c>
      <c r="E2687">
        <v>11</v>
      </c>
      <c r="F2687" s="1">
        <v>43951</v>
      </c>
      <c r="G2687">
        <v>-3.04994290032993E-2</v>
      </c>
    </row>
    <row r="2688" spans="1:7" x14ac:dyDescent="0.25">
      <c r="A2688" t="s">
        <v>7</v>
      </c>
      <c r="B2688" t="s">
        <v>17</v>
      </c>
      <c r="C2688" t="s">
        <v>9</v>
      </c>
      <c r="D2688" t="s">
        <v>10</v>
      </c>
      <c r="E2688">
        <v>11</v>
      </c>
      <c r="F2688" s="1">
        <v>43982</v>
      </c>
      <c r="G2688">
        <v>-7.9636533121383805E-3</v>
      </c>
    </row>
    <row r="2689" spans="1:7" x14ac:dyDescent="0.25">
      <c r="A2689" t="s">
        <v>7</v>
      </c>
      <c r="B2689" t="s">
        <v>17</v>
      </c>
      <c r="C2689" t="s">
        <v>9</v>
      </c>
      <c r="D2689" t="s">
        <v>10</v>
      </c>
      <c r="E2689">
        <v>11</v>
      </c>
      <c r="F2689" s="1">
        <v>44012</v>
      </c>
      <c r="G2689">
        <v>-2.7061344332060599E-2</v>
      </c>
    </row>
    <row r="2690" spans="1:7" x14ac:dyDescent="0.25">
      <c r="A2690" t="s">
        <v>7</v>
      </c>
      <c r="B2690" t="s">
        <v>17</v>
      </c>
      <c r="C2690" t="s">
        <v>9</v>
      </c>
      <c r="D2690" t="s">
        <v>10</v>
      </c>
      <c r="E2690">
        <v>11</v>
      </c>
      <c r="F2690" s="1">
        <v>44043</v>
      </c>
      <c r="G2690">
        <v>-2.2315122100448299E-2</v>
      </c>
    </row>
    <row r="2691" spans="1:7" x14ac:dyDescent="0.25">
      <c r="A2691" t="s">
        <v>7</v>
      </c>
      <c r="B2691" t="s">
        <v>17</v>
      </c>
      <c r="C2691" t="s">
        <v>9</v>
      </c>
      <c r="D2691" t="s">
        <v>10</v>
      </c>
      <c r="E2691">
        <v>11</v>
      </c>
      <c r="F2691" s="1">
        <v>44074</v>
      </c>
      <c r="G2691">
        <v>-1.78029332969366E-2</v>
      </c>
    </row>
    <row r="2692" spans="1:7" x14ac:dyDescent="0.25">
      <c r="A2692" t="s">
        <v>7</v>
      </c>
      <c r="B2692" t="s">
        <v>17</v>
      </c>
      <c r="C2692" t="s">
        <v>9</v>
      </c>
      <c r="D2692" t="s">
        <v>10</v>
      </c>
      <c r="E2692">
        <v>11</v>
      </c>
      <c r="F2692" s="1">
        <v>44104</v>
      </c>
      <c r="G2692">
        <v>1.6163575310716501E-2</v>
      </c>
    </row>
    <row r="2693" spans="1:7" x14ac:dyDescent="0.25">
      <c r="A2693" t="s">
        <v>7</v>
      </c>
      <c r="B2693" t="s">
        <v>17</v>
      </c>
      <c r="C2693" t="s">
        <v>9</v>
      </c>
      <c r="D2693" t="s">
        <v>10</v>
      </c>
      <c r="E2693">
        <v>11</v>
      </c>
      <c r="F2693" s="1">
        <v>44135</v>
      </c>
      <c r="G2693">
        <v>1.6932712311901001E-2</v>
      </c>
    </row>
    <row r="2694" spans="1:7" x14ac:dyDescent="0.25">
      <c r="A2694" t="s">
        <v>7</v>
      </c>
      <c r="B2694" t="s">
        <v>17</v>
      </c>
      <c r="C2694" t="s">
        <v>9</v>
      </c>
      <c r="D2694" t="s">
        <v>10</v>
      </c>
      <c r="E2694">
        <v>11</v>
      </c>
      <c r="F2694" s="1">
        <v>44165</v>
      </c>
      <c r="G2694">
        <v>7.6128830760375504E-3</v>
      </c>
    </row>
    <row r="2695" spans="1:7" x14ac:dyDescent="0.25">
      <c r="A2695" t="s">
        <v>7</v>
      </c>
      <c r="B2695" t="s">
        <v>17</v>
      </c>
      <c r="C2695" t="s">
        <v>9</v>
      </c>
      <c r="D2695" t="s">
        <v>10</v>
      </c>
      <c r="E2695">
        <v>11</v>
      </c>
      <c r="F2695" s="1">
        <v>44196</v>
      </c>
      <c r="G2695">
        <v>-1.0826875318194601E-2</v>
      </c>
    </row>
    <row r="2696" spans="1:7" x14ac:dyDescent="0.25">
      <c r="A2696" t="s">
        <v>7</v>
      </c>
      <c r="B2696" t="s">
        <v>17</v>
      </c>
      <c r="C2696" t="s">
        <v>9</v>
      </c>
      <c r="D2696" t="s">
        <v>10</v>
      </c>
      <c r="E2696">
        <v>11</v>
      </c>
      <c r="F2696" s="1">
        <v>44227</v>
      </c>
      <c r="G2696">
        <v>-5.6467698548614102E-2</v>
      </c>
    </row>
    <row r="2697" spans="1:7" x14ac:dyDescent="0.25">
      <c r="A2697" t="s">
        <v>7</v>
      </c>
      <c r="B2697" t="s">
        <v>17</v>
      </c>
      <c r="C2697" t="s">
        <v>9</v>
      </c>
      <c r="D2697" t="s">
        <v>10</v>
      </c>
      <c r="E2697">
        <v>11</v>
      </c>
      <c r="F2697" s="1">
        <v>44255</v>
      </c>
      <c r="G2697">
        <v>7.9145483494218894E-3</v>
      </c>
    </row>
    <row r="2698" spans="1:7" x14ac:dyDescent="0.25">
      <c r="A2698" t="s">
        <v>7</v>
      </c>
      <c r="B2698" t="s">
        <v>17</v>
      </c>
      <c r="C2698" t="s">
        <v>9</v>
      </c>
      <c r="D2698" t="s">
        <v>10</v>
      </c>
      <c r="E2698">
        <v>11</v>
      </c>
      <c r="F2698" s="1">
        <v>44286</v>
      </c>
      <c r="G2698">
        <v>1.9417427943354101E-2</v>
      </c>
    </row>
    <row r="2699" spans="1:7" x14ac:dyDescent="0.25">
      <c r="A2699" t="s">
        <v>7</v>
      </c>
      <c r="B2699" t="s">
        <v>17</v>
      </c>
      <c r="C2699" t="s">
        <v>9</v>
      </c>
      <c r="D2699" t="s">
        <v>10</v>
      </c>
      <c r="E2699">
        <v>11</v>
      </c>
      <c r="F2699" s="1">
        <v>44316</v>
      </c>
      <c r="G2699">
        <v>5.5516514805030198E-2</v>
      </c>
    </row>
    <row r="2700" spans="1:7" x14ac:dyDescent="0.25">
      <c r="A2700" t="s">
        <v>7</v>
      </c>
      <c r="B2700" t="s">
        <v>17</v>
      </c>
      <c r="C2700" t="s">
        <v>9</v>
      </c>
      <c r="D2700" t="s">
        <v>10</v>
      </c>
      <c r="E2700">
        <v>11</v>
      </c>
      <c r="F2700" s="1">
        <v>44347</v>
      </c>
      <c r="G2700">
        <v>-3.7136537465758302E-3</v>
      </c>
    </row>
    <row r="2701" spans="1:7" x14ac:dyDescent="0.25">
      <c r="A2701" t="s">
        <v>7</v>
      </c>
      <c r="B2701" t="s">
        <v>17</v>
      </c>
      <c r="C2701" t="s">
        <v>9</v>
      </c>
      <c r="D2701" t="s">
        <v>10</v>
      </c>
      <c r="E2701">
        <v>11</v>
      </c>
      <c r="F2701" s="1">
        <v>44377</v>
      </c>
      <c r="G2701">
        <v>-1.8911968867200101E-2</v>
      </c>
    </row>
    <row r="2702" spans="1:7" x14ac:dyDescent="0.25">
      <c r="A2702" t="s">
        <v>7</v>
      </c>
      <c r="B2702" t="s">
        <v>17</v>
      </c>
      <c r="C2702" t="s">
        <v>9</v>
      </c>
      <c r="D2702" t="s">
        <v>10</v>
      </c>
      <c r="E2702">
        <v>11</v>
      </c>
      <c r="F2702" s="1">
        <v>44408</v>
      </c>
      <c r="G2702">
        <v>1.5837429677505201E-2</v>
      </c>
    </row>
    <row r="2703" spans="1:7" x14ac:dyDescent="0.25">
      <c r="A2703" t="s">
        <v>7</v>
      </c>
      <c r="B2703" t="s">
        <v>17</v>
      </c>
      <c r="C2703" t="s">
        <v>9</v>
      </c>
      <c r="D2703" t="s">
        <v>10</v>
      </c>
      <c r="E2703">
        <v>11</v>
      </c>
      <c r="F2703" s="1">
        <v>44439</v>
      </c>
      <c r="G2703">
        <v>6.3769541099323E-3</v>
      </c>
    </row>
    <row r="2704" spans="1:7" x14ac:dyDescent="0.25">
      <c r="A2704" t="s">
        <v>7</v>
      </c>
      <c r="B2704" t="s">
        <v>17</v>
      </c>
      <c r="C2704" t="s">
        <v>9</v>
      </c>
      <c r="D2704" t="s">
        <v>10</v>
      </c>
      <c r="E2704">
        <v>11</v>
      </c>
      <c r="F2704" s="1">
        <v>44469</v>
      </c>
      <c r="G2704">
        <v>2.7209136297267501E-2</v>
      </c>
    </row>
    <row r="2705" spans="1:7" x14ac:dyDescent="0.25">
      <c r="A2705" t="s">
        <v>7</v>
      </c>
      <c r="B2705" t="s">
        <v>17</v>
      </c>
      <c r="C2705" t="s">
        <v>9</v>
      </c>
      <c r="D2705" t="s">
        <v>10</v>
      </c>
      <c r="E2705">
        <v>11</v>
      </c>
      <c r="F2705" s="1">
        <v>44500</v>
      </c>
      <c r="G2705">
        <v>5.63459552464501E-2</v>
      </c>
    </row>
    <row r="2706" spans="1:7" x14ac:dyDescent="0.25">
      <c r="A2706" t="s">
        <v>7</v>
      </c>
      <c r="B2706" t="s">
        <v>17</v>
      </c>
      <c r="C2706" t="s">
        <v>9</v>
      </c>
      <c r="D2706" t="s">
        <v>10</v>
      </c>
      <c r="E2706">
        <v>11</v>
      </c>
      <c r="F2706" s="1">
        <v>44530</v>
      </c>
      <c r="G2706">
        <v>2.17335924998085E-2</v>
      </c>
    </row>
    <row r="2707" spans="1:7" x14ac:dyDescent="0.25">
      <c r="A2707" t="s">
        <v>7</v>
      </c>
      <c r="B2707" t="s">
        <v>17</v>
      </c>
      <c r="C2707" t="s">
        <v>9</v>
      </c>
      <c r="D2707" t="s">
        <v>10</v>
      </c>
      <c r="E2707">
        <v>11</v>
      </c>
      <c r="F2707" s="1">
        <v>44561</v>
      </c>
      <c r="G2707">
        <v>3.4226347329151197E-2</v>
      </c>
    </row>
    <row r="2708" spans="1:7" x14ac:dyDescent="0.25">
      <c r="A2708" t="s">
        <v>7</v>
      </c>
      <c r="B2708" t="s">
        <v>17</v>
      </c>
      <c r="C2708" t="s">
        <v>9</v>
      </c>
      <c r="D2708" t="s">
        <v>10</v>
      </c>
      <c r="E2708">
        <v>11</v>
      </c>
      <c r="F2708" s="1">
        <v>44592</v>
      </c>
      <c r="G2708">
        <v>1.30771331893152E-2</v>
      </c>
    </row>
    <row r="2709" spans="1:7" x14ac:dyDescent="0.25">
      <c r="A2709" t="s">
        <v>7</v>
      </c>
      <c r="B2709" t="s">
        <v>17</v>
      </c>
      <c r="C2709" t="s">
        <v>9</v>
      </c>
      <c r="D2709" t="s">
        <v>10</v>
      </c>
      <c r="E2709">
        <v>11</v>
      </c>
      <c r="F2709" s="1">
        <v>44620</v>
      </c>
      <c r="G2709">
        <v>3.2671255489045502E-2</v>
      </c>
    </row>
    <row r="2710" spans="1:7" x14ac:dyDescent="0.25">
      <c r="A2710" t="s">
        <v>7</v>
      </c>
      <c r="B2710" t="s">
        <v>17</v>
      </c>
      <c r="C2710" t="s">
        <v>9</v>
      </c>
      <c r="D2710" t="s">
        <v>10</v>
      </c>
      <c r="E2710">
        <v>11</v>
      </c>
      <c r="F2710" s="1">
        <v>44651</v>
      </c>
      <c r="G2710">
        <v>6.6290214774064396E-3</v>
      </c>
    </row>
    <row r="2711" spans="1:7" x14ac:dyDescent="0.25">
      <c r="A2711" t="s">
        <v>7</v>
      </c>
      <c r="B2711" t="s">
        <v>17</v>
      </c>
      <c r="C2711" t="s">
        <v>9</v>
      </c>
      <c r="D2711" t="s">
        <v>10</v>
      </c>
      <c r="E2711">
        <v>11</v>
      </c>
      <c r="F2711" s="1">
        <v>44681</v>
      </c>
      <c r="G2711">
        <v>5.2183602152402503E-2</v>
      </c>
    </row>
    <row r="2712" spans="1:7" x14ac:dyDescent="0.25">
      <c r="A2712" t="s">
        <v>7</v>
      </c>
      <c r="B2712" t="s">
        <v>17</v>
      </c>
      <c r="C2712" t="s">
        <v>9</v>
      </c>
      <c r="D2712" t="s">
        <v>10</v>
      </c>
      <c r="E2712">
        <v>11</v>
      </c>
      <c r="F2712" s="1">
        <v>44712</v>
      </c>
      <c r="G2712">
        <v>5.5052745539388701E-2</v>
      </c>
    </row>
    <row r="2713" spans="1:7" x14ac:dyDescent="0.25">
      <c r="A2713" t="s">
        <v>7</v>
      </c>
      <c r="B2713" t="s">
        <v>17</v>
      </c>
      <c r="C2713" t="s">
        <v>9</v>
      </c>
      <c r="D2713" t="s">
        <v>10</v>
      </c>
      <c r="E2713">
        <v>11</v>
      </c>
      <c r="F2713" s="1">
        <v>44742</v>
      </c>
      <c r="G2713">
        <v>3.7644219193103998E-2</v>
      </c>
    </row>
    <row r="2714" spans="1:7" x14ac:dyDescent="0.25">
      <c r="A2714" t="s">
        <v>7</v>
      </c>
      <c r="B2714" t="s">
        <v>17</v>
      </c>
      <c r="C2714" t="s">
        <v>9</v>
      </c>
      <c r="D2714" t="s">
        <v>10</v>
      </c>
      <c r="E2714">
        <v>11</v>
      </c>
      <c r="F2714" s="1">
        <v>44773</v>
      </c>
      <c r="G2714">
        <v>-4.1274129495513401E-2</v>
      </c>
    </row>
    <row r="2715" spans="1:7" x14ac:dyDescent="0.25">
      <c r="A2715" t="s">
        <v>7</v>
      </c>
      <c r="B2715" t="s">
        <v>17</v>
      </c>
      <c r="C2715" t="s">
        <v>9</v>
      </c>
      <c r="D2715" t="s">
        <v>10</v>
      </c>
      <c r="E2715">
        <v>11</v>
      </c>
      <c r="F2715" s="1">
        <v>44804</v>
      </c>
      <c r="G2715">
        <v>-6.0934298113086503E-2</v>
      </c>
    </row>
    <row r="2716" spans="1:7" x14ac:dyDescent="0.25">
      <c r="A2716" t="s">
        <v>7</v>
      </c>
      <c r="B2716" t="s">
        <v>17</v>
      </c>
      <c r="C2716" t="s">
        <v>9</v>
      </c>
      <c r="D2716" t="s">
        <v>10</v>
      </c>
      <c r="E2716">
        <v>11</v>
      </c>
      <c r="F2716" s="1">
        <v>44834</v>
      </c>
      <c r="G2716">
        <v>1.88824167127957E-2</v>
      </c>
    </row>
    <row r="2717" spans="1:7" x14ac:dyDescent="0.25">
      <c r="A2717" t="s">
        <v>7</v>
      </c>
      <c r="B2717" t="s">
        <v>17</v>
      </c>
      <c r="C2717" t="s">
        <v>9</v>
      </c>
      <c r="D2717" t="s">
        <v>10</v>
      </c>
      <c r="E2717">
        <v>11</v>
      </c>
      <c r="F2717" s="1">
        <v>44865</v>
      </c>
      <c r="G2717">
        <v>2.08714414850939E-2</v>
      </c>
    </row>
    <row r="2718" spans="1:7" x14ac:dyDescent="0.25">
      <c r="A2718" t="s">
        <v>7</v>
      </c>
      <c r="B2718" t="s">
        <v>17</v>
      </c>
      <c r="C2718" t="s">
        <v>9</v>
      </c>
      <c r="D2718" t="s">
        <v>10</v>
      </c>
      <c r="E2718">
        <v>11</v>
      </c>
      <c r="F2718" s="1">
        <v>44895</v>
      </c>
      <c r="G2718">
        <v>8.7892735405427205E-2</v>
      </c>
    </row>
    <row r="2719" spans="1:7" x14ac:dyDescent="0.25">
      <c r="A2719" t="s">
        <v>7</v>
      </c>
      <c r="B2719" t="s">
        <v>17</v>
      </c>
      <c r="C2719" t="s">
        <v>9</v>
      </c>
      <c r="D2719" t="s">
        <v>10</v>
      </c>
      <c r="E2719">
        <v>11</v>
      </c>
      <c r="F2719" s="1">
        <v>44926</v>
      </c>
      <c r="G2719">
        <v>3.6973184050222402E-2</v>
      </c>
    </row>
    <row r="2720" spans="1:7" x14ac:dyDescent="0.25">
      <c r="A2720" t="s">
        <v>7</v>
      </c>
      <c r="B2720" t="s">
        <v>17</v>
      </c>
      <c r="C2720" t="s">
        <v>9</v>
      </c>
      <c r="D2720" t="s">
        <v>10</v>
      </c>
      <c r="E2720">
        <v>11</v>
      </c>
      <c r="F2720" s="1">
        <v>44957</v>
      </c>
      <c r="G2720">
        <v>-9.8111886282729495E-3</v>
      </c>
    </row>
    <row r="2721" spans="1:7" x14ac:dyDescent="0.25">
      <c r="A2721" t="s">
        <v>7</v>
      </c>
      <c r="B2721" t="s">
        <v>17</v>
      </c>
      <c r="C2721" t="s">
        <v>9</v>
      </c>
      <c r="D2721" t="s">
        <v>10</v>
      </c>
      <c r="E2721">
        <v>11</v>
      </c>
      <c r="F2721" s="1">
        <v>44985</v>
      </c>
      <c r="G2721">
        <v>1.9383022236984401E-2</v>
      </c>
    </row>
    <row r="2722" spans="1:7" x14ac:dyDescent="0.25">
      <c r="A2722" t="s">
        <v>7</v>
      </c>
      <c r="B2722" t="s">
        <v>17</v>
      </c>
      <c r="C2722" t="s">
        <v>9</v>
      </c>
      <c r="D2722" t="s">
        <v>10</v>
      </c>
      <c r="E2722">
        <v>11</v>
      </c>
      <c r="F2722" s="1">
        <v>45016</v>
      </c>
      <c r="G2722">
        <v>2.9912294925415799E-2</v>
      </c>
    </row>
    <row r="2723" spans="1:7" x14ac:dyDescent="0.25">
      <c r="A2723" t="s">
        <v>7</v>
      </c>
      <c r="B2723" t="s">
        <v>17</v>
      </c>
      <c r="C2723" t="s">
        <v>9</v>
      </c>
      <c r="D2723" t="s">
        <v>10</v>
      </c>
      <c r="E2723">
        <v>11</v>
      </c>
      <c r="F2723" s="1">
        <v>45046</v>
      </c>
      <c r="G2723">
        <v>-8.1042521723348002E-3</v>
      </c>
    </row>
    <row r="2724" spans="1:7" x14ac:dyDescent="0.25">
      <c r="A2724" t="s">
        <v>7</v>
      </c>
      <c r="B2724" t="s">
        <v>17</v>
      </c>
      <c r="C2724" t="s">
        <v>9</v>
      </c>
      <c r="D2724" t="s">
        <v>10</v>
      </c>
      <c r="E2724">
        <v>11</v>
      </c>
      <c r="F2724" s="1">
        <v>45077</v>
      </c>
      <c r="G2724">
        <v>-8.3043060517509107E-2</v>
      </c>
    </row>
    <row r="2725" spans="1:7" x14ac:dyDescent="0.25">
      <c r="A2725" t="s">
        <v>7</v>
      </c>
      <c r="B2725" t="s">
        <v>17</v>
      </c>
      <c r="C2725" t="s">
        <v>9</v>
      </c>
      <c r="D2725" t="s">
        <v>10</v>
      </c>
      <c r="E2725">
        <v>11</v>
      </c>
      <c r="F2725" s="1">
        <v>45107</v>
      </c>
      <c r="G2725">
        <v>-3.9982435809465103E-2</v>
      </c>
    </row>
    <row r="2726" spans="1:7" x14ac:dyDescent="0.25">
      <c r="A2726" t="s">
        <v>7</v>
      </c>
      <c r="B2726" t="s">
        <v>17</v>
      </c>
      <c r="C2726" t="s">
        <v>9</v>
      </c>
      <c r="D2726" t="s">
        <v>10</v>
      </c>
      <c r="E2726">
        <v>11</v>
      </c>
      <c r="F2726" s="1">
        <v>45138</v>
      </c>
      <c r="G2726">
        <v>7.4375674077940796E-5</v>
      </c>
    </row>
    <row r="2727" spans="1:7" x14ac:dyDescent="0.25">
      <c r="A2727" t="s">
        <v>7</v>
      </c>
      <c r="B2727" t="s">
        <v>17</v>
      </c>
      <c r="C2727" t="s">
        <v>9</v>
      </c>
      <c r="D2727" t="s">
        <v>10</v>
      </c>
      <c r="E2727">
        <v>11</v>
      </c>
      <c r="F2727" s="1">
        <v>45169</v>
      </c>
      <c r="G2727">
        <v>4.6623924390779198E-2</v>
      </c>
    </row>
    <row r="2728" spans="1:7" x14ac:dyDescent="0.25">
      <c r="A2728" t="s">
        <v>7</v>
      </c>
      <c r="B2728" t="s">
        <v>17</v>
      </c>
      <c r="C2728" t="s">
        <v>9</v>
      </c>
      <c r="D2728" t="s">
        <v>10</v>
      </c>
      <c r="E2728">
        <v>11</v>
      </c>
      <c r="F2728" s="1">
        <v>45199</v>
      </c>
      <c r="G2728">
        <v>2.60215005653857E-2</v>
      </c>
    </row>
    <row r="2729" spans="1:7" x14ac:dyDescent="0.25">
      <c r="A2729" t="s">
        <v>7</v>
      </c>
      <c r="B2729" t="s">
        <v>17</v>
      </c>
      <c r="C2729" t="s">
        <v>9</v>
      </c>
      <c r="D2729" t="s">
        <v>10</v>
      </c>
      <c r="E2729">
        <v>11</v>
      </c>
      <c r="F2729" s="1">
        <v>45230</v>
      </c>
      <c r="G2729">
        <v>4.4949721746731598E-2</v>
      </c>
    </row>
    <row r="2730" spans="1:7" x14ac:dyDescent="0.25">
      <c r="A2730" t="s">
        <v>7</v>
      </c>
      <c r="B2730" t="s">
        <v>17</v>
      </c>
      <c r="C2730" t="s">
        <v>9</v>
      </c>
      <c r="D2730" t="s">
        <v>10</v>
      </c>
      <c r="E2730">
        <v>11</v>
      </c>
      <c r="F2730" s="1">
        <v>45260</v>
      </c>
      <c r="G2730">
        <v>-6.3687034595957995E-2</v>
      </c>
    </row>
    <row r="2731" spans="1:7" x14ac:dyDescent="0.25">
      <c r="A2731" t="s">
        <v>7</v>
      </c>
      <c r="B2731" t="s">
        <v>17</v>
      </c>
      <c r="C2731" t="s">
        <v>9</v>
      </c>
      <c r="D2731" t="s">
        <v>10</v>
      </c>
      <c r="E2731">
        <v>11</v>
      </c>
      <c r="F2731" s="1">
        <v>45291</v>
      </c>
      <c r="G2731">
        <v>-7.9505336490447696E-4</v>
      </c>
    </row>
    <row r="2732" spans="1:7" x14ac:dyDescent="0.25">
      <c r="A2732" t="s">
        <v>7</v>
      </c>
      <c r="B2732" t="s">
        <v>17</v>
      </c>
      <c r="C2732" t="s">
        <v>9</v>
      </c>
      <c r="D2732" t="s">
        <v>10</v>
      </c>
      <c r="E2732">
        <v>11</v>
      </c>
      <c r="F2732" s="1">
        <v>45322</v>
      </c>
      <c r="G2732">
        <v>1.8393546520637599E-2</v>
      </c>
    </row>
    <row r="2733" spans="1:7" x14ac:dyDescent="0.25">
      <c r="A2733" t="s">
        <v>7</v>
      </c>
      <c r="B2733" t="s">
        <v>17</v>
      </c>
      <c r="C2733" t="s">
        <v>9</v>
      </c>
      <c r="D2733" t="s">
        <v>10</v>
      </c>
      <c r="E2733">
        <v>11</v>
      </c>
      <c r="F2733" s="1">
        <v>45351</v>
      </c>
      <c r="G2733">
        <v>-1.6056223792853901E-4</v>
      </c>
    </row>
    <row r="2734" spans="1:7" x14ac:dyDescent="0.25">
      <c r="A2734" t="s">
        <v>7</v>
      </c>
      <c r="B2734" t="s">
        <v>17</v>
      </c>
      <c r="C2734" t="s">
        <v>9</v>
      </c>
      <c r="D2734" t="s">
        <v>10</v>
      </c>
      <c r="E2734">
        <v>11</v>
      </c>
      <c r="F2734" s="1">
        <v>45382</v>
      </c>
      <c r="G2734">
        <v>-2.4387608002694999E-2</v>
      </c>
    </row>
    <row r="2735" spans="1:7" x14ac:dyDescent="0.25">
      <c r="A2735" t="s">
        <v>7</v>
      </c>
      <c r="B2735" t="s">
        <v>17</v>
      </c>
      <c r="C2735" t="s">
        <v>9</v>
      </c>
      <c r="D2735" t="s">
        <v>10</v>
      </c>
      <c r="E2735">
        <v>11</v>
      </c>
      <c r="F2735" s="1">
        <v>45412</v>
      </c>
      <c r="G2735">
        <v>2.4663991575722698E-2</v>
      </c>
    </row>
    <row r="2736" spans="1:7" x14ac:dyDescent="0.25">
      <c r="A2736" t="s">
        <v>7</v>
      </c>
      <c r="B2736" t="s">
        <v>17</v>
      </c>
      <c r="C2736" t="s">
        <v>9</v>
      </c>
      <c r="D2736" t="s">
        <v>10</v>
      </c>
      <c r="E2736">
        <v>11</v>
      </c>
      <c r="F2736" s="1">
        <v>45443</v>
      </c>
      <c r="G2736">
        <v>-2.7824734221703899E-2</v>
      </c>
    </row>
    <row r="2737" spans="1:7" x14ac:dyDescent="0.25">
      <c r="A2737" t="s">
        <v>7</v>
      </c>
      <c r="B2737" t="s">
        <v>17</v>
      </c>
      <c r="C2737" t="s">
        <v>9</v>
      </c>
      <c r="D2737" t="s">
        <v>10</v>
      </c>
      <c r="E2737">
        <v>11</v>
      </c>
      <c r="F2737" s="1">
        <v>45473</v>
      </c>
      <c r="G2737">
        <v>4.8351743932893198E-3</v>
      </c>
    </row>
    <row r="2738" spans="1:7" x14ac:dyDescent="0.25">
      <c r="A2738" t="s">
        <v>7</v>
      </c>
      <c r="B2738" t="s">
        <v>17</v>
      </c>
      <c r="C2738" t="s">
        <v>9</v>
      </c>
      <c r="D2738" t="s">
        <v>10</v>
      </c>
      <c r="E2738">
        <v>11</v>
      </c>
      <c r="F2738" s="1">
        <v>45504</v>
      </c>
      <c r="G2738">
        <v>2.5704216936123299E-2</v>
      </c>
    </row>
    <row r="2739" spans="1:7" x14ac:dyDescent="0.25">
      <c r="A2739" t="s">
        <v>7</v>
      </c>
      <c r="B2739" t="s">
        <v>17</v>
      </c>
      <c r="C2739" t="s">
        <v>9</v>
      </c>
      <c r="D2739" t="s">
        <v>10</v>
      </c>
      <c r="E2739">
        <v>11</v>
      </c>
      <c r="F2739" s="1">
        <v>45535</v>
      </c>
      <c r="G2739">
        <v>1.14794007806655E-2</v>
      </c>
    </row>
    <row r="2740" spans="1:7" x14ac:dyDescent="0.25">
      <c r="A2740" t="s">
        <v>7</v>
      </c>
      <c r="B2740" t="s">
        <v>17</v>
      </c>
      <c r="C2740" t="s">
        <v>9</v>
      </c>
      <c r="D2740" t="s">
        <v>10</v>
      </c>
      <c r="E2740">
        <v>11</v>
      </c>
      <c r="F2740" s="1">
        <v>45565</v>
      </c>
      <c r="G2740">
        <v>1.1178007052965001E-2</v>
      </c>
    </row>
    <row r="2741" spans="1:7" x14ac:dyDescent="0.25">
      <c r="A2741" t="s">
        <v>7</v>
      </c>
      <c r="B2741" t="s">
        <v>17</v>
      </c>
      <c r="C2741" t="s">
        <v>9</v>
      </c>
      <c r="D2741" t="s">
        <v>10</v>
      </c>
      <c r="E2741">
        <v>11</v>
      </c>
      <c r="F2741" s="1">
        <v>45596</v>
      </c>
      <c r="G2741">
        <v>-1.48791678688312E-2</v>
      </c>
    </row>
    <row r="2742" spans="1:7" x14ac:dyDescent="0.25">
      <c r="A2742" t="s">
        <v>7</v>
      </c>
      <c r="B2742" t="s">
        <v>17</v>
      </c>
      <c r="C2742" t="s">
        <v>9</v>
      </c>
      <c r="D2742" t="s">
        <v>10</v>
      </c>
      <c r="E2742">
        <v>11</v>
      </c>
      <c r="F2742" s="1">
        <v>45626</v>
      </c>
      <c r="G2742">
        <v>-5.4433569953060302E-3</v>
      </c>
    </row>
    <row r="2743" spans="1:7" x14ac:dyDescent="0.25">
      <c r="A2743" t="s">
        <v>7</v>
      </c>
      <c r="B2743" t="s">
        <v>17</v>
      </c>
      <c r="C2743" t="s">
        <v>9</v>
      </c>
      <c r="D2743" t="s">
        <v>10</v>
      </c>
      <c r="E2743">
        <v>11</v>
      </c>
      <c r="F2743" s="1">
        <v>45657</v>
      </c>
      <c r="G2743">
        <v>3.3932099989361003E-2</v>
      </c>
    </row>
    <row r="2744" spans="1:7" x14ac:dyDescent="0.25">
      <c r="A2744" t="s">
        <v>7</v>
      </c>
      <c r="B2744" t="s">
        <v>17</v>
      </c>
      <c r="C2744" t="s">
        <v>9</v>
      </c>
      <c r="D2744" t="s">
        <v>10</v>
      </c>
      <c r="E2744">
        <v>11</v>
      </c>
      <c r="F2744" s="1">
        <v>45688</v>
      </c>
      <c r="G2744">
        <v>-3.30624351203992E-3</v>
      </c>
    </row>
    <row r="2745" spans="1:7" x14ac:dyDescent="0.25">
      <c r="A2745" t="s">
        <v>7</v>
      </c>
      <c r="B2745" t="s">
        <v>17</v>
      </c>
      <c r="C2745" t="s">
        <v>9</v>
      </c>
      <c r="D2745" t="s">
        <v>10</v>
      </c>
      <c r="E2745">
        <v>11</v>
      </c>
      <c r="F2745" s="1">
        <v>45716</v>
      </c>
      <c r="G2745">
        <v>-2.7457076140599999E-3</v>
      </c>
    </row>
    <row r="2746" spans="1:7" x14ac:dyDescent="0.25">
      <c r="A2746" t="s">
        <v>7</v>
      </c>
      <c r="B2746" t="s">
        <v>17</v>
      </c>
      <c r="C2746" t="s">
        <v>9</v>
      </c>
      <c r="D2746" t="s">
        <v>10</v>
      </c>
      <c r="E2746">
        <v>11</v>
      </c>
      <c r="F2746" s="1">
        <v>45747</v>
      </c>
      <c r="G2746">
        <v>7.8739948530375196E-3</v>
      </c>
    </row>
    <row r="2747" spans="1:7" x14ac:dyDescent="0.25">
      <c r="A2747" t="s">
        <v>7</v>
      </c>
      <c r="B2747" t="s">
        <v>17</v>
      </c>
      <c r="C2747" t="s">
        <v>9</v>
      </c>
      <c r="D2747" t="s">
        <v>10</v>
      </c>
      <c r="E2747">
        <v>11</v>
      </c>
      <c r="F2747" s="1">
        <v>45777</v>
      </c>
      <c r="G2747">
        <v>-2.7248380900420002E-2</v>
      </c>
    </row>
    <row r="2748" spans="1:7" x14ac:dyDescent="0.25">
      <c r="A2748" t="s">
        <v>7</v>
      </c>
      <c r="B2748" t="s">
        <v>17</v>
      </c>
      <c r="C2748" t="s">
        <v>9</v>
      </c>
      <c r="D2748" t="s">
        <v>10</v>
      </c>
      <c r="E2748">
        <v>11</v>
      </c>
      <c r="F2748" s="1">
        <v>45808</v>
      </c>
      <c r="G2748">
        <v>-4.7444107127540602E-2</v>
      </c>
    </row>
    <row r="2749" spans="1:7" x14ac:dyDescent="0.25">
      <c r="A2749" t="s">
        <v>7</v>
      </c>
      <c r="B2749" t="s">
        <v>17</v>
      </c>
      <c r="C2749" t="s">
        <v>9</v>
      </c>
      <c r="D2749" t="s">
        <v>10</v>
      </c>
      <c r="E2749">
        <v>11</v>
      </c>
      <c r="F2749" s="1">
        <v>45838</v>
      </c>
      <c r="G2749">
        <v>1.18550722300639E-2</v>
      </c>
    </row>
    <row r="2750" spans="1:7" x14ac:dyDescent="0.25">
      <c r="A2750" t="s">
        <v>7</v>
      </c>
      <c r="B2750" t="s">
        <v>17</v>
      </c>
      <c r="C2750" t="s">
        <v>9</v>
      </c>
      <c r="D2750" t="s">
        <v>10</v>
      </c>
      <c r="E2750">
        <v>11</v>
      </c>
      <c r="F2750" s="1">
        <v>45869</v>
      </c>
      <c r="G2750">
        <v>-9.3250558829613191E-3</v>
      </c>
    </row>
    <row r="2751" spans="1:7" x14ac:dyDescent="0.25">
      <c r="A2751" t="s">
        <v>7</v>
      </c>
      <c r="B2751" t="s">
        <v>17</v>
      </c>
      <c r="C2751" t="s">
        <v>9</v>
      </c>
      <c r="D2751" t="s">
        <v>10</v>
      </c>
      <c r="E2751">
        <v>11</v>
      </c>
      <c r="F2751" s="1">
        <v>45900</v>
      </c>
      <c r="G2751">
        <v>-8.8408207288399198E-5</v>
      </c>
    </row>
    <row r="2752" spans="1:7" x14ac:dyDescent="0.25">
      <c r="A2752" t="s">
        <v>7</v>
      </c>
      <c r="B2752" t="s">
        <v>17</v>
      </c>
      <c r="C2752" t="s">
        <v>9</v>
      </c>
      <c r="D2752" t="s">
        <v>10</v>
      </c>
      <c r="E2752">
        <v>11</v>
      </c>
      <c r="F2752" s="1">
        <v>45930</v>
      </c>
      <c r="G2752">
        <v>9.1376925077899691E-3</v>
      </c>
    </row>
    <row r="2753" spans="1:7" x14ac:dyDescent="0.25">
      <c r="A2753" t="s">
        <v>7</v>
      </c>
      <c r="B2753" t="s">
        <v>17</v>
      </c>
      <c r="C2753" t="s">
        <v>9</v>
      </c>
      <c r="D2753" t="s">
        <v>10</v>
      </c>
      <c r="E2753">
        <v>11</v>
      </c>
      <c r="F2753" s="1">
        <v>45961</v>
      </c>
      <c r="G2753">
        <v>2.8271948891761298E-2</v>
      </c>
    </row>
    <row r="2754" spans="1:7" x14ac:dyDescent="0.25">
      <c r="A2754" t="s">
        <v>7</v>
      </c>
      <c r="B2754" t="s">
        <v>17</v>
      </c>
      <c r="C2754" t="s">
        <v>9</v>
      </c>
      <c r="D2754" t="s">
        <v>10</v>
      </c>
      <c r="E2754">
        <v>11</v>
      </c>
      <c r="F2754" s="1">
        <v>45991</v>
      </c>
      <c r="G2754">
        <v>1.3676545198568001E-2</v>
      </c>
    </row>
    <row r="2755" spans="1:7" x14ac:dyDescent="0.25">
      <c r="A2755" t="s">
        <v>7</v>
      </c>
      <c r="B2755" t="s">
        <v>17</v>
      </c>
      <c r="C2755" t="s">
        <v>9</v>
      </c>
      <c r="D2755" t="s">
        <v>10</v>
      </c>
      <c r="E2755">
        <v>11</v>
      </c>
      <c r="F2755" s="1">
        <v>46022</v>
      </c>
      <c r="G2755">
        <v>1.5337075477642299E-2</v>
      </c>
    </row>
    <row r="2756" spans="1:7" x14ac:dyDescent="0.25">
      <c r="A2756" t="s">
        <v>7</v>
      </c>
      <c r="B2756" t="s">
        <v>18</v>
      </c>
      <c r="C2756" t="s">
        <v>9</v>
      </c>
      <c r="D2756" t="s">
        <v>10</v>
      </c>
      <c r="E2756">
        <v>1</v>
      </c>
      <c r="F2756" s="1">
        <v>34607</v>
      </c>
      <c r="G2756">
        <v>-0.13409729102471599</v>
      </c>
    </row>
    <row r="2757" spans="1:7" x14ac:dyDescent="0.25">
      <c r="A2757" t="s">
        <v>7</v>
      </c>
      <c r="B2757" t="s">
        <v>18</v>
      </c>
      <c r="C2757" t="s">
        <v>9</v>
      </c>
      <c r="D2757" t="s">
        <v>10</v>
      </c>
      <c r="E2757">
        <v>1</v>
      </c>
      <c r="F2757" s="1">
        <v>34638</v>
      </c>
      <c r="G2757">
        <v>-6.9171202916846503E-2</v>
      </c>
    </row>
    <row r="2758" spans="1:7" x14ac:dyDescent="0.25">
      <c r="A2758" t="s">
        <v>7</v>
      </c>
      <c r="B2758" t="s">
        <v>18</v>
      </c>
      <c r="C2758" t="s">
        <v>9</v>
      </c>
      <c r="D2758" t="s">
        <v>10</v>
      </c>
      <c r="E2758">
        <v>1</v>
      </c>
      <c r="F2758" s="1">
        <v>34668</v>
      </c>
      <c r="G2758">
        <v>1.24260322609588E-2</v>
      </c>
    </row>
    <row r="2759" spans="1:7" x14ac:dyDescent="0.25">
      <c r="A2759" t="s">
        <v>7</v>
      </c>
      <c r="B2759" t="s">
        <v>18</v>
      </c>
      <c r="C2759" t="s">
        <v>9</v>
      </c>
      <c r="D2759" t="s">
        <v>10</v>
      </c>
      <c r="E2759">
        <v>1</v>
      </c>
      <c r="F2759" s="1">
        <v>34699</v>
      </c>
      <c r="G2759">
        <v>0.15655756204967999</v>
      </c>
    </row>
    <row r="2760" spans="1:7" x14ac:dyDescent="0.25">
      <c r="A2760" t="s">
        <v>7</v>
      </c>
      <c r="B2760" t="s">
        <v>18</v>
      </c>
      <c r="C2760" t="s">
        <v>9</v>
      </c>
      <c r="D2760" t="s">
        <v>10</v>
      </c>
      <c r="E2760">
        <v>1</v>
      </c>
      <c r="F2760" s="1">
        <v>34730</v>
      </c>
      <c r="G2760">
        <v>3.7350578779188598E-2</v>
      </c>
    </row>
    <row r="2761" spans="1:7" x14ac:dyDescent="0.25">
      <c r="A2761" t="s">
        <v>7</v>
      </c>
      <c r="B2761" t="s">
        <v>18</v>
      </c>
      <c r="C2761" t="s">
        <v>9</v>
      </c>
      <c r="D2761" t="s">
        <v>10</v>
      </c>
      <c r="E2761">
        <v>1</v>
      </c>
      <c r="F2761" s="1">
        <v>34758</v>
      </c>
      <c r="G2761">
        <v>7.9516732278059305E-5</v>
      </c>
    </row>
    <row r="2762" spans="1:7" x14ac:dyDescent="0.25">
      <c r="A2762" t="s">
        <v>7</v>
      </c>
      <c r="B2762" t="s">
        <v>18</v>
      </c>
      <c r="C2762" t="s">
        <v>9</v>
      </c>
      <c r="D2762" t="s">
        <v>10</v>
      </c>
      <c r="E2762">
        <v>1</v>
      </c>
      <c r="F2762" s="1">
        <v>34789</v>
      </c>
      <c r="G2762">
        <v>4.5764975912771497E-2</v>
      </c>
    </row>
    <row r="2763" spans="1:7" x14ac:dyDescent="0.25">
      <c r="A2763" t="s">
        <v>7</v>
      </c>
      <c r="B2763" t="s">
        <v>18</v>
      </c>
      <c r="C2763" t="s">
        <v>9</v>
      </c>
      <c r="D2763" t="s">
        <v>10</v>
      </c>
      <c r="E2763">
        <v>1</v>
      </c>
      <c r="F2763" s="1">
        <v>34819</v>
      </c>
      <c r="G2763">
        <v>-0.173262837981741</v>
      </c>
    </row>
    <row r="2764" spans="1:7" x14ac:dyDescent="0.25">
      <c r="A2764" t="s">
        <v>7</v>
      </c>
      <c r="B2764" t="s">
        <v>18</v>
      </c>
      <c r="C2764" t="s">
        <v>9</v>
      </c>
      <c r="D2764" t="s">
        <v>10</v>
      </c>
      <c r="E2764">
        <v>1</v>
      </c>
      <c r="F2764" s="1">
        <v>34850</v>
      </c>
      <c r="G2764">
        <v>-2.37113782666101E-2</v>
      </c>
    </row>
    <row r="2765" spans="1:7" x14ac:dyDescent="0.25">
      <c r="A2765" t="s">
        <v>7</v>
      </c>
      <c r="B2765" t="s">
        <v>18</v>
      </c>
      <c r="C2765" t="s">
        <v>9</v>
      </c>
      <c r="D2765" t="s">
        <v>10</v>
      </c>
      <c r="E2765">
        <v>1</v>
      </c>
      <c r="F2765" s="1">
        <v>34880</v>
      </c>
      <c r="G2765">
        <v>-3.8325660875053701E-2</v>
      </c>
    </row>
    <row r="2766" spans="1:7" x14ac:dyDescent="0.25">
      <c r="A2766" t="s">
        <v>7</v>
      </c>
      <c r="B2766" t="s">
        <v>18</v>
      </c>
      <c r="C2766" t="s">
        <v>9</v>
      </c>
      <c r="D2766" t="s">
        <v>10</v>
      </c>
      <c r="E2766">
        <v>1</v>
      </c>
      <c r="F2766" s="1">
        <v>34911</v>
      </c>
      <c r="G2766">
        <v>0.13592966420427499</v>
      </c>
    </row>
    <row r="2767" spans="1:7" x14ac:dyDescent="0.25">
      <c r="A2767" t="s">
        <v>7</v>
      </c>
      <c r="B2767" t="s">
        <v>18</v>
      </c>
      <c r="C2767" t="s">
        <v>9</v>
      </c>
      <c r="D2767" t="s">
        <v>10</v>
      </c>
      <c r="E2767">
        <v>1</v>
      </c>
      <c r="F2767" s="1">
        <v>34942</v>
      </c>
      <c r="G2767">
        <v>-3.8572022087325101E-3</v>
      </c>
    </row>
    <row r="2768" spans="1:7" x14ac:dyDescent="0.25">
      <c r="A2768" t="s">
        <v>7</v>
      </c>
      <c r="B2768" t="s">
        <v>18</v>
      </c>
      <c r="C2768" t="s">
        <v>9</v>
      </c>
      <c r="D2768" t="s">
        <v>10</v>
      </c>
      <c r="E2768">
        <v>1</v>
      </c>
      <c r="F2768" s="1">
        <v>34972</v>
      </c>
      <c r="G2768">
        <v>-3.9614722811279202E-2</v>
      </c>
    </row>
    <row r="2769" spans="1:7" x14ac:dyDescent="0.25">
      <c r="A2769" t="s">
        <v>7</v>
      </c>
      <c r="B2769" t="s">
        <v>18</v>
      </c>
      <c r="C2769" t="s">
        <v>9</v>
      </c>
      <c r="D2769" t="s">
        <v>10</v>
      </c>
      <c r="E2769">
        <v>1</v>
      </c>
      <c r="F2769" s="1">
        <v>35003</v>
      </c>
      <c r="G2769">
        <v>4.4039916618301998E-2</v>
      </c>
    </row>
    <row r="2770" spans="1:7" x14ac:dyDescent="0.25">
      <c r="A2770" t="s">
        <v>7</v>
      </c>
      <c r="B2770" t="s">
        <v>18</v>
      </c>
      <c r="C2770" t="s">
        <v>9</v>
      </c>
      <c r="D2770" t="s">
        <v>10</v>
      </c>
      <c r="E2770">
        <v>1</v>
      </c>
      <c r="F2770" s="1">
        <v>35033</v>
      </c>
      <c r="G2770">
        <v>5.4934876687881502E-2</v>
      </c>
    </row>
    <row r="2771" spans="1:7" x14ac:dyDescent="0.25">
      <c r="A2771" t="s">
        <v>7</v>
      </c>
      <c r="B2771" t="s">
        <v>18</v>
      </c>
      <c r="C2771" t="s">
        <v>9</v>
      </c>
      <c r="D2771" t="s">
        <v>10</v>
      </c>
      <c r="E2771">
        <v>1</v>
      </c>
      <c r="F2771" s="1">
        <v>35064</v>
      </c>
      <c r="G2771">
        <v>-5.2272919324052397E-2</v>
      </c>
    </row>
    <row r="2772" spans="1:7" x14ac:dyDescent="0.25">
      <c r="A2772" t="s">
        <v>7</v>
      </c>
      <c r="B2772" t="s">
        <v>18</v>
      </c>
      <c r="C2772" t="s">
        <v>9</v>
      </c>
      <c r="D2772" t="s">
        <v>10</v>
      </c>
      <c r="E2772">
        <v>1</v>
      </c>
      <c r="F2772" s="1">
        <v>35095</v>
      </c>
      <c r="G2772">
        <v>9.4687020733979194E-2</v>
      </c>
    </row>
    <row r="2773" spans="1:7" x14ac:dyDescent="0.25">
      <c r="A2773" t="s">
        <v>7</v>
      </c>
      <c r="B2773" t="s">
        <v>18</v>
      </c>
      <c r="C2773" t="s">
        <v>9</v>
      </c>
      <c r="D2773" t="s">
        <v>10</v>
      </c>
      <c r="E2773">
        <v>1</v>
      </c>
      <c r="F2773" s="1">
        <v>35124</v>
      </c>
      <c r="G2773">
        <v>-1.2198394239841201E-3</v>
      </c>
    </row>
    <row r="2774" spans="1:7" x14ac:dyDescent="0.25">
      <c r="A2774" t="s">
        <v>7</v>
      </c>
      <c r="B2774" t="s">
        <v>18</v>
      </c>
      <c r="C2774" t="s">
        <v>9</v>
      </c>
      <c r="D2774" t="s">
        <v>10</v>
      </c>
      <c r="E2774">
        <v>1</v>
      </c>
      <c r="F2774" s="1">
        <v>35155</v>
      </c>
      <c r="G2774">
        <v>-1.5969767923667898E-2</v>
      </c>
    </row>
    <row r="2775" spans="1:7" x14ac:dyDescent="0.25">
      <c r="A2775" t="s">
        <v>7</v>
      </c>
      <c r="B2775" t="s">
        <v>18</v>
      </c>
      <c r="C2775" t="s">
        <v>9</v>
      </c>
      <c r="D2775" t="s">
        <v>10</v>
      </c>
      <c r="E2775">
        <v>1</v>
      </c>
      <c r="F2775" s="1">
        <v>35185</v>
      </c>
      <c r="G2775">
        <v>6.9010851475688306E-2</v>
      </c>
    </row>
    <row r="2776" spans="1:7" x14ac:dyDescent="0.25">
      <c r="A2776" t="s">
        <v>7</v>
      </c>
      <c r="B2776" t="s">
        <v>18</v>
      </c>
      <c r="C2776" t="s">
        <v>9</v>
      </c>
      <c r="D2776" t="s">
        <v>10</v>
      </c>
      <c r="E2776">
        <v>1</v>
      </c>
      <c r="F2776" s="1">
        <v>35216</v>
      </c>
      <c r="G2776">
        <v>2.2257705113337401E-2</v>
      </c>
    </row>
    <row r="2777" spans="1:7" x14ac:dyDescent="0.25">
      <c r="A2777" t="s">
        <v>7</v>
      </c>
      <c r="B2777" t="s">
        <v>18</v>
      </c>
      <c r="C2777" t="s">
        <v>9</v>
      </c>
      <c r="D2777" t="s">
        <v>10</v>
      </c>
      <c r="E2777">
        <v>1</v>
      </c>
      <c r="F2777" s="1">
        <v>35246</v>
      </c>
      <c r="G2777">
        <v>0.26071014574884899</v>
      </c>
    </row>
    <row r="2778" spans="1:7" x14ac:dyDescent="0.25">
      <c r="A2778" t="s">
        <v>7</v>
      </c>
      <c r="B2778" t="s">
        <v>18</v>
      </c>
      <c r="C2778" t="s">
        <v>9</v>
      </c>
      <c r="D2778" t="s">
        <v>10</v>
      </c>
      <c r="E2778">
        <v>1</v>
      </c>
      <c r="F2778" s="1">
        <v>35277</v>
      </c>
      <c r="G2778">
        <v>-1.67852768231418E-2</v>
      </c>
    </row>
    <row r="2779" spans="1:7" x14ac:dyDescent="0.25">
      <c r="A2779" t="s">
        <v>7</v>
      </c>
      <c r="B2779" t="s">
        <v>18</v>
      </c>
      <c r="C2779" t="s">
        <v>9</v>
      </c>
      <c r="D2779" t="s">
        <v>10</v>
      </c>
      <c r="E2779">
        <v>1</v>
      </c>
      <c r="F2779" s="1">
        <v>35308</v>
      </c>
      <c r="G2779">
        <v>-2.4623122587345801E-2</v>
      </c>
    </row>
    <row r="2780" spans="1:7" x14ac:dyDescent="0.25">
      <c r="A2780" t="s">
        <v>7</v>
      </c>
      <c r="B2780" t="s">
        <v>18</v>
      </c>
      <c r="C2780" t="s">
        <v>9</v>
      </c>
      <c r="D2780" t="s">
        <v>10</v>
      </c>
      <c r="E2780">
        <v>1</v>
      </c>
      <c r="F2780" s="1">
        <v>35338</v>
      </c>
      <c r="G2780">
        <v>-8.0110396110787394E-2</v>
      </c>
    </row>
    <row r="2781" spans="1:7" x14ac:dyDescent="0.25">
      <c r="A2781" t="s">
        <v>7</v>
      </c>
      <c r="B2781" t="s">
        <v>18</v>
      </c>
      <c r="C2781" t="s">
        <v>9</v>
      </c>
      <c r="D2781" t="s">
        <v>10</v>
      </c>
      <c r="E2781">
        <v>1</v>
      </c>
      <c r="F2781" s="1">
        <v>35369</v>
      </c>
      <c r="G2781">
        <v>8.9237347768235005E-3</v>
      </c>
    </row>
    <row r="2782" spans="1:7" x14ac:dyDescent="0.25">
      <c r="A2782" t="s">
        <v>7</v>
      </c>
      <c r="B2782" t="s">
        <v>18</v>
      </c>
      <c r="C2782" t="s">
        <v>9</v>
      </c>
      <c r="D2782" t="s">
        <v>10</v>
      </c>
      <c r="E2782">
        <v>1</v>
      </c>
      <c r="F2782" s="1">
        <v>35399</v>
      </c>
      <c r="G2782">
        <v>-8.54140914327799E-3</v>
      </c>
    </row>
    <row r="2783" spans="1:7" x14ac:dyDescent="0.25">
      <c r="A2783" t="s">
        <v>7</v>
      </c>
      <c r="B2783" t="s">
        <v>18</v>
      </c>
      <c r="C2783" t="s">
        <v>9</v>
      </c>
      <c r="D2783" t="s">
        <v>10</v>
      </c>
      <c r="E2783">
        <v>1</v>
      </c>
      <c r="F2783" s="1">
        <v>35430</v>
      </c>
      <c r="G2783">
        <v>7.4272976130477605E-2</v>
      </c>
    </row>
    <row r="2784" spans="1:7" x14ac:dyDescent="0.25">
      <c r="A2784" t="s">
        <v>7</v>
      </c>
      <c r="B2784" t="s">
        <v>18</v>
      </c>
      <c r="C2784" t="s">
        <v>9</v>
      </c>
      <c r="D2784" t="s">
        <v>10</v>
      </c>
      <c r="E2784">
        <v>1</v>
      </c>
      <c r="F2784" s="1">
        <v>35461</v>
      </c>
      <c r="G2784">
        <v>1.11389042982868E-2</v>
      </c>
    </row>
    <row r="2785" spans="1:7" x14ac:dyDescent="0.25">
      <c r="A2785" t="s">
        <v>7</v>
      </c>
      <c r="B2785" t="s">
        <v>18</v>
      </c>
      <c r="C2785" t="s">
        <v>9</v>
      </c>
      <c r="D2785" t="s">
        <v>10</v>
      </c>
      <c r="E2785">
        <v>1</v>
      </c>
      <c r="F2785" s="1">
        <v>35489</v>
      </c>
      <c r="G2785">
        <v>0.13565187895272901</v>
      </c>
    </row>
    <row r="2786" spans="1:7" x14ac:dyDescent="0.25">
      <c r="A2786" t="s">
        <v>7</v>
      </c>
      <c r="B2786" t="s">
        <v>18</v>
      </c>
      <c r="C2786" t="s">
        <v>9</v>
      </c>
      <c r="D2786" t="s">
        <v>10</v>
      </c>
      <c r="E2786">
        <v>1</v>
      </c>
      <c r="F2786" s="1">
        <v>35520</v>
      </c>
      <c r="G2786">
        <v>1.43509255441317E-2</v>
      </c>
    </row>
    <row r="2787" spans="1:7" x14ac:dyDescent="0.25">
      <c r="A2787" t="s">
        <v>7</v>
      </c>
      <c r="B2787" t="s">
        <v>18</v>
      </c>
      <c r="C2787" t="s">
        <v>9</v>
      </c>
      <c r="D2787" t="s">
        <v>10</v>
      </c>
      <c r="E2787">
        <v>1</v>
      </c>
      <c r="F2787" s="1">
        <v>35550</v>
      </c>
      <c r="G2787">
        <v>0.18252410687767001</v>
      </c>
    </row>
    <row r="2788" spans="1:7" x14ac:dyDescent="0.25">
      <c r="A2788" t="s">
        <v>7</v>
      </c>
      <c r="B2788" t="s">
        <v>18</v>
      </c>
      <c r="C2788" t="s">
        <v>9</v>
      </c>
      <c r="D2788" t="s">
        <v>10</v>
      </c>
      <c r="E2788">
        <v>7</v>
      </c>
      <c r="F2788" s="1">
        <v>35581</v>
      </c>
      <c r="G2788">
        <v>1.52592061483752E-2</v>
      </c>
    </row>
    <row r="2789" spans="1:7" x14ac:dyDescent="0.25">
      <c r="A2789" t="s">
        <v>7</v>
      </c>
      <c r="B2789" t="s">
        <v>18</v>
      </c>
      <c r="C2789" t="s">
        <v>9</v>
      </c>
      <c r="D2789" t="s">
        <v>10</v>
      </c>
      <c r="E2789">
        <v>4</v>
      </c>
      <c r="F2789" s="1">
        <v>35611</v>
      </c>
      <c r="G2789">
        <v>-3.5368360220598603E-2</v>
      </c>
    </row>
    <row r="2790" spans="1:7" x14ac:dyDescent="0.25">
      <c r="A2790" t="s">
        <v>7</v>
      </c>
      <c r="B2790" t="s">
        <v>18</v>
      </c>
      <c r="C2790" t="s">
        <v>9</v>
      </c>
      <c r="D2790" t="s">
        <v>10</v>
      </c>
      <c r="E2790">
        <v>4</v>
      </c>
      <c r="F2790" s="1">
        <v>35642</v>
      </c>
      <c r="G2790">
        <v>-1.0579070427704999E-2</v>
      </c>
    </row>
    <row r="2791" spans="1:7" x14ac:dyDescent="0.25">
      <c r="A2791" t="s">
        <v>7</v>
      </c>
      <c r="B2791" t="s">
        <v>18</v>
      </c>
      <c r="C2791" t="s">
        <v>9</v>
      </c>
      <c r="D2791" t="s">
        <v>10</v>
      </c>
      <c r="E2791">
        <v>4</v>
      </c>
      <c r="F2791" s="1">
        <v>35673</v>
      </c>
      <c r="G2791">
        <v>-4.4453869678948901E-3</v>
      </c>
    </row>
    <row r="2792" spans="1:7" x14ac:dyDescent="0.25">
      <c r="A2792" t="s">
        <v>7</v>
      </c>
      <c r="B2792" t="s">
        <v>18</v>
      </c>
      <c r="C2792" t="s">
        <v>9</v>
      </c>
      <c r="D2792" t="s">
        <v>10</v>
      </c>
      <c r="E2792">
        <v>7</v>
      </c>
      <c r="F2792" s="1">
        <v>35703</v>
      </c>
      <c r="G2792">
        <v>1.6958352592037301E-2</v>
      </c>
    </row>
    <row r="2793" spans="1:7" x14ac:dyDescent="0.25">
      <c r="A2793" t="s">
        <v>7</v>
      </c>
      <c r="B2793" t="s">
        <v>18</v>
      </c>
      <c r="C2793" t="s">
        <v>9</v>
      </c>
      <c r="D2793" t="s">
        <v>10</v>
      </c>
      <c r="E2793">
        <v>7</v>
      </c>
      <c r="F2793" s="1">
        <v>35734</v>
      </c>
      <c r="G2793">
        <v>5.8598798300192503E-2</v>
      </c>
    </row>
    <row r="2794" spans="1:7" x14ac:dyDescent="0.25">
      <c r="A2794" t="s">
        <v>7</v>
      </c>
      <c r="B2794" t="s">
        <v>18</v>
      </c>
      <c r="C2794" t="s">
        <v>9</v>
      </c>
      <c r="D2794" t="s">
        <v>10</v>
      </c>
      <c r="E2794">
        <v>7</v>
      </c>
      <c r="F2794" s="1">
        <v>35764</v>
      </c>
      <c r="G2794">
        <v>-0.120876300774181</v>
      </c>
    </row>
    <row r="2795" spans="1:7" x14ac:dyDescent="0.25">
      <c r="A2795" t="s">
        <v>7</v>
      </c>
      <c r="B2795" t="s">
        <v>18</v>
      </c>
      <c r="C2795" t="s">
        <v>9</v>
      </c>
      <c r="D2795" t="s">
        <v>10</v>
      </c>
      <c r="E2795">
        <v>7</v>
      </c>
      <c r="F2795" s="1">
        <v>35795</v>
      </c>
      <c r="G2795">
        <v>2.7281139298800101E-3</v>
      </c>
    </row>
    <row r="2796" spans="1:7" x14ac:dyDescent="0.25">
      <c r="A2796" t="s">
        <v>7</v>
      </c>
      <c r="B2796" t="s">
        <v>18</v>
      </c>
      <c r="C2796" t="s">
        <v>9</v>
      </c>
      <c r="D2796" t="s">
        <v>10</v>
      </c>
      <c r="E2796">
        <v>7</v>
      </c>
      <c r="F2796" s="1">
        <v>35826</v>
      </c>
      <c r="G2796">
        <v>5.7524111559738501E-2</v>
      </c>
    </row>
    <row r="2797" spans="1:7" x14ac:dyDescent="0.25">
      <c r="A2797" t="s">
        <v>7</v>
      </c>
      <c r="B2797" t="s">
        <v>18</v>
      </c>
      <c r="C2797" t="s">
        <v>9</v>
      </c>
      <c r="D2797" t="s">
        <v>10</v>
      </c>
      <c r="E2797">
        <v>7</v>
      </c>
      <c r="F2797" s="1">
        <v>35854</v>
      </c>
      <c r="G2797">
        <v>-3.7449298400989699E-2</v>
      </c>
    </row>
    <row r="2798" spans="1:7" x14ac:dyDescent="0.25">
      <c r="A2798" t="s">
        <v>7</v>
      </c>
      <c r="B2798" t="s">
        <v>18</v>
      </c>
      <c r="C2798" t="s">
        <v>9</v>
      </c>
      <c r="D2798" t="s">
        <v>10</v>
      </c>
      <c r="E2798">
        <v>7</v>
      </c>
      <c r="F2798" s="1">
        <v>35885</v>
      </c>
      <c r="G2798">
        <v>-5.3047238472256598E-2</v>
      </c>
    </row>
    <row r="2799" spans="1:7" x14ac:dyDescent="0.25">
      <c r="A2799" t="s">
        <v>7</v>
      </c>
      <c r="B2799" t="s">
        <v>18</v>
      </c>
      <c r="C2799" t="s">
        <v>9</v>
      </c>
      <c r="D2799" t="s">
        <v>10</v>
      </c>
      <c r="E2799">
        <v>7</v>
      </c>
      <c r="F2799" s="1">
        <v>35915</v>
      </c>
      <c r="G2799">
        <v>-2.61292474891647E-2</v>
      </c>
    </row>
    <row r="2800" spans="1:7" x14ac:dyDescent="0.25">
      <c r="A2800" t="s">
        <v>7</v>
      </c>
      <c r="B2800" t="s">
        <v>18</v>
      </c>
      <c r="C2800" t="s">
        <v>9</v>
      </c>
      <c r="D2800" t="s">
        <v>10</v>
      </c>
      <c r="E2800">
        <v>12</v>
      </c>
      <c r="F2800" s="1">
        <v>35946</v>
      </c>
      <c r="G2800">
        <v>6.1338045943603099E-2</v>
      </c>
    </row>
    <row r="2801" spans="1:7" x14ac:dyDescent="0.25">
      <c r="A2801" t="s">
        <v>7</v>
      </c>
      <c r="B2801" t="s">
        <v>18</v>
      </c>
      <c r="C2801" t="s">
        <v>9</v>
      </c>
      <c r="D2801" t="s">
        <v>10</v>
      </c>
      <c r="E2801">
        <v>12</v>
      </c>
      <c r="F2801" s="1">
        <v>35976</v>
      </c>
      <c r="G2801">
        <v>0.27716459651520098</v>
      </c>
    </row>
    <row r="2802" spans="1:7" x14ac:dyDescent="0.25">
      <c r="A2802" t="s">
        <v>7</v>
      </c>
      <c r="B2802" t="s">
        <v>18</v>
      </c>
      <c r="C2802" t="s">
        <v>9</v>
      </c>
      <c r="D2802" t="s">
        <v>10</v>
      </c>
      <c r="E2802">
        <v>8</v>
      </c>
      <c r="F2802" s="1">
        <v>36007</v>
      </c>
      <c r="G2802">
        <v>4.8517544941385798E-2</v>
      </c>
    </row>
    <row r="2803" spans="1:7" x14ac:dyDescent="0.25">
      <c r="A2803" t="s">
        <v>7</v>
      </c>
      <c r="B2803" t="s">
        <v>18</v>
      </c>
      <c r="C2803" t="s">
        <v>9</v>
      </c>
      <c r="D2803" t="s">
        <v>10</v>
      </c>
      <c r="E2803">
        <v>8</v>
      </c>
      <c r="F2803" s="1">
        <v>36038</v>
      </c>
      <c r="G2803">
        <v>-8.5659930150779797E-3</v>
      </c>
    </row>
    <row r="2804" spans="1:7" x14ac:dyDescent="0.25">
      <c r="A2804" t="s">
        <v>7</v>
      </c>
      <c r="B2804" t="s">
        <v>18</v>
      </c>
      <c r="C2804" t="s">
        <v>9</v>
      </c>
      <c r="D2804" t="s">
        <v>10</v>
      </c>
      <c r="E2804">
        <v>8</v>
      </c>
      <c r="F2804" s="1">
        <v>36068</v>
      </c>
      <c r="G2804">
        <v>4.3563413345292297E-2</v>
      </c>
    </row>
    <row r="2805" spans="1:7" x14ac:dyDescent="0.25">
      <c r="A2805" t="s">
        <v>7</v>
      </c>
      <c r="B2805" t="s">
        <v>18</v>
      </c>
      <c r="C2805" t="s">
        <v>9</v>
      </c>
      <c r="D2805" t="s">
        <v>10</v>
      </c>
      <c r="E2805">
        <v>8</v>
      </c>
      <c r="F2805" s="1">
        <v>36099</v>
      </c>
      <c r="G2805">
        <v>-3.6780939961233002E-2</v>
      </c>
    </row>
    <row r="2806" spans="1:7" x14ac:dyDescent="0.25">
      <c r="A2806" t="s">
        <v>7</v>
      </c>
      <c r="B2806" t="s">
        <v>18</v>
      </c>
      <c r="C2806" t="s">
        <v>9</v>
      </c>
      <c r="D2806" t="s">
        <v>10</v>
      </c>
      <c r="E2806">
        <v>8</v>
      </c>
      <c r="F2806" s="1">
        <v>36129</v>
      </c>
      <c r="G2806">
        <v>-0.153028776996431</v>
      </c>
    </row>
    <row r="2807" spans="1:7" x14ac:dyDescent="0.25">
      <c r="A2807" t="s">
        <v>7</v>
      </c>
      <c r="B2807" t="s">
        <v>18</v>
      </c>
      <c r="C2807" t="s">
        <v>9</v>
      </c>
      <c r="D2807" t="s">
        <v>10</v>
      </c>
      <c r="E2807">
        <v>12</v>
      </c>
      <c r="F2807" s="1">
        <v>36160</v>
      </c>
      <c r="G2807">
        <v>-0.10235926468357801</v>
      </c>
    </row>
    <row r="2808" spans="1:7" x14ac:dyDescent="0.25">
      <c r="A2808" t="s">
        <v>7</v>
      </c>
      <c r="B2808" t="s">
        <v>18</v>
      </c>
      <c r="C2808" t="s">
        <v>9</v>
      </c>
      <c r="D2808" t="s">
        <v>10</v>
      </c>
      <c r="E2808">
        <v>12</v>
      </c>
      <c r="F2808" s="1">
        <v>36191</v>
      </c>
      <c r="G2808">
        <v>0.17797993089064101</v>
      </c>
    </row>
    <row r="2809" spans="1:7" x14ac:dyDescent="0.25">
      <c r="A2809" t="s">
        <v>7</v>
      </c>
      <c r="B2809" t="s">
        <v>18</v>
      </c>
      <c r="C2809" t="s">
        <v>9</v>
      </c>
      <c r="D2809" t="s">
        <v>10</v>
      </c>
      <c r="E2809">
        <v>4</v>
      </c>
      <c r="F2809" s="1">
        <v>36219</v>
      </c>
      <c r="G2809">
        <v>0.10967151733229701</v>
      </c>
    </row>
    <row r="2810" spans="1:7" x14ac:dyDescent="0.25">
      <c r="A2810" t="s">
        <v>7</v>
      </c>
      <c r="B2810" t="s">
        <v>18</v>
      </c>
      <c r="C2810" t="s">
        <v>9</v>
      </c>
      <c r="D2810" t="s">
        <v>10</v>
      </c>
      <c r="E2810">
        <v>6</v>
      </c>
      <c r="F2810" s="1">
        <v>36250</v>
      </c>
      <c r="G2810">
        <v>-0.36373963852170699</v>
      </c>
    </row>
    <row r="2811" spans="1:7" x14ac:dyDescent="0.25">
      <c r="A2811" t="s">
        <v>7</v>
      </c>
      <c r="B2811" t="s">
        <v>18</v>
      </c>
      <c r="C2811" t="s">
        <v>9</v>
      </c>
      <c r="D2811" t="s">
        <v>10</v>
      </c>
      <c r="E2811">
        <v>6</v>
      </c>
      <c r="F2811" s="1">
        <v>36280</v>
      </c>
      <c r="G2811">
        <v>-0.18022715639647499</v>
      </c>
    </row>
    <row r="2812" spans="1:7" x14ac:dyDescent="0.25">
      <c r="A2812" t="s">
        <v>7</v>
      </c>
      <c r="B2812" t="s">
        <v>18</v>
      </c>
      <c r="C2812" t="s">
        <v>9</v>
      </c>
      <c r="D2812" t="s">
        <v>10</v>
      </c>
      <c r="E2812">
        <v>10</v>
      </c>
      <c r="F2812" s="1">
        <v>36311</v>
      </c>
      <c r="G2812">
        <v>4.1334496971501796E-3</v>
      </c>
    </row>
    <row r="2813" spans="1:7" x14ac:dyDescent="0.25">
      <c r="A2813" t="s">
        <v>7</v>
      </c>
      <c r="B2813" t="s">
        <v>18</v>
      </c>
      <c r="C2813" t="s">
        <v>9</v>
      </c>
      <c r="D2813" t="s">
        <v>10</v>
      </c>
      <c r="E2813">
        <v>10</v>
      </c>
      <c r="F2813" s="1">
        <v>36341</v>
      </c>
      <c r="G2813">
        <v>-1.71231359971553E-2</v>
      </c>
    </row>
    <row r="2814" spans="1:7" x14ac:dyDescent="0.25">
      <c r="A2814" t="s">
        <v>7</v>
      </c>
      <c r="B2814" t="s">
        <v>18</v>
      </c>
      <c r="C2814" t="s">
        <v>9</v>
      </c>
      <c r="D2814" t="s">
        <v>10</v>
      </c>
      <c r="E2814">
        <v>10</v>
      </c>
      <c r="F2814" s="1">
        <v>36372</v>
      </c>
      <c r="G2814">
        <v>1.08984139657515E-2</v>
      </c>
    </row>
    <row r="2815" spans="1:7" x14ac:dyDescent="0.25">
      <c r="A2815" t="s">
        <v>7</v>
      </c>
      <c r="B2815" t="s">
        <v>18</v>
      </c>
      <c r="C2815" t="s">
        <v>9</v>
      </c>
      <c r="D2815" t="s">
        <v>10</v>
      </c>
      <c r="E2815">
        <v>10</v>
      </c>
      <c r="F2815" s="1">
        <v>36403</v>
      </c>
      <c r="G2815">
        <v>-5.5357967341657002E-2</v>
      </c>
    </row>
    <row r="2816" spans="1:7" x14ac:dyDescent="0.25">
      <c r="A2816" t="s">
        <v>7</v>
      </c>
      <c r="B2816" t="s">
        <v>18</v>
      </c>
      <c r="C2816" t="s">
        <v>9</v>
      </c>
      <c r="D2816" t="s">
        <v>10</v>
      </c>
      <c r="E2816">
        <v>10</v>
      </c>
      <c r="F2816" s="1">
        <v>36433</v>
      </c>
      <c r="G2816">
        <v>-1.8551695936307601E-2</v>
      </c>
    </row>
    <row r="2817" spans="1:7" x14ac:dyDescent="0.25">
      <c r="A2817" t="s">
        <v>7</v>
      </c>
      <c r="B2817" t="s">
        <v>18</v>
      </c>
      <c r="C2817" t="s">
        <v>9</v>
      </c>
      <c r="D2817" t="s">
        <v>10</v>
      </c>
      <c r="E2817">
        <v>10</v>
      </c>
      <c r="F2817" s="1">
        <v>36464</v>
      </c>
      <c r="G2817">
        <v>-5.8622177814710998E-2</v>
      </c>
    </row>
    <row r="2818" spans="1:7" x14ac:dyDescent="0.25">
      <c r="A2818" t="s">
        <v>7</v>
      </c>
      <c r="B2818" t="s">
        <v>18</v>
      </c>
      <c r="C2818" t="s">
        <v>9</v>
      </c>
      <c r="D2818" t="s">
        <v>10</v>
      </c>
      <c r="E2818">
        <v>7</v>
      </c>
      <c r="F2818" s="1">
        <v>36494</v>
      </c>
      <c r="G2818">
        <v>1.22106542912731E-3</v>
      </c>
    </row>
    <row r="2819" spans="1:7" x14ac:dyDescent="0.25">
      <c r="A2819" t="s">
        <v>7</v>
      </c>
      <c r="B2819" t="s">
        <v>18</v>
      </c>
      <c r="C2819" t="s">
        <v>9</v>
      </c>
      <c r="D2819" t="s">
        <v>10</v>
      </c>
      <c r="E2819">
        <v>12</v>
      </c>
      <c r="F2819" s="1">
        <v>36525</v>
      </c>
      <c r="G2819">
        <v>-8.9743325524098902E-2</v>
      </c>
    </row>
    <row r="2820" spans="1:7" x14ac:dyDescent="0.25">
      <c r="A2820" t="s">
        <v>7</v>
      </c>
      <c r="B2820" t="s">
        <v>18</v>
      </c>
      <c r="C2820" t="s">
        <v>9</v>
      </c>
      <c r="D2820" t="s">
        <v>10</v>
      </c>
      <c r="E2820">
        <v>12</v>
      </c>
      <c r="F2820" s="1">
        <v>36556</v>
      </c>
      <c r="G2820">
        <v>-3.4460320985602602E-2</v>
      </c>
    </row>
    <row r="2821" spans="1:7" x14ac:dyDescent="0.25">
      <c r="A2821" t="s">
        <v>7</v>
      </c>
      <c r="B2821" t="s">
        <v>18</v>
      </c>
      <c r="C2821" t="s">
        <v>9</v>
      </c>
      <c r="D2821" t="s">
        <v>10</v>
      </c>
      <c r="E2821">
        <v>12</v>
      </c>
      <c r="F2821" s="1">
        <v>36585</v>
      </c>
      <c r="G2821">
        <v>-2.86824694003615E-2</v>
      </c>
    </row>
    <row r="2822" spans="1:7" x14ac:dyDescent="0.25">
      <c r="A2822" t="s">
        <v>7</v>
      </c>
      <c r="B2822" t="s">
        <v>18</v>
      </c>
      <c r="C2822" t="s">
        <v>9</v>
      </c>
      <c r="D2822" t="s">
        <v>10</v>
      </c>
      <c r="E2822">
        <v>12</v>
      </c>
      <c r="F2822" s="1">
        <v>36616</v>
      </c>
      <c r="G2822">
        <v>3.2657421963960397E-2</v>
      </c>
    </row>
    <row r="2823" spans="1:7" x14ac:dyDescent="0.25">
      <c r="A2823" t="s">
        <v>7</v>
      </c>
      <c r="B2823" t="s">
        <v>18</v>
      </c>
      <c r="C2823" t="s">
        <v>9</v>
      </c>
      <c r="D2823" t="s">
        <v>10</v>
      </c>
      <c r="E2823">
        <v>12</v>
      </c>
      <c r="F2823" s="1">
        <v>36646</v>
      </c>
      <c r="G2823">
        <v>6.7885056380652301E-2</v>
      </c>
    </row>
    <row r="2824" spans="1:7" x14ac:dyDescent="0.25">
      <c r="A2824" t="s">
        <v>7</v>
      </c>
      <c r="B2824" t="s">
        <v>18</v>
      </c>
      <c r="C2824" t="s">
        <v>9</v>
      </c>
      <c r="D2824" t="s">
        <v>10</v>
      </c>
      <c r="E2824">
        <v>10</v>
      </c>
      <c r="F2824" s="1">
        <v>36677</v>
      </c>
      <c r="G2824">
        <v>-6.3276913122058895E-2</v>
      </c>
    </row>
    <row r="2825" spans="1:7" x14ac:dyDescent="0.25">
      <c r="A2825" t="s">
        <v>7</v>
      </c>
      <c r="B2825" t="s">
        <v>18</v>
      </c>
      <c r="C2825" t="s">
        <v>9</v>
      </c>
      <c r="D2825" t="s">
        <v>10</v>
      </c>
      <c r="E2825">
        <v>10</v>
      </c>
      <c r="F2825" s="1">
        <v>36707</v>
      </c>
      <c r="G2825">
        <v>6.8952580682391795E-2</v>
      </c>
    </row>
    <row r="2826" spans="1:7" x14ac:dyDescent="0.25">
      <c r="A2826" t="s">
        <v>7</v>
      </c>
      <c r="B2826" t="s">
        <v>18</v>
      </c>
      <c r="C2826" t="s">
        <v>9</v>
      </c>
      <c r="D2826" t="s">
        <v>10</v>
      </c>
      <c r="E2826">
        <v>10</v>
      </c>
      <c r="F2826" s="1">
        <v>36738</v>
      </c>
      <c r="G2826">
        <v>-0.107573835044914</v>
      </c>
    </row>
    <row r="2827" spans="1:7" x14ac:dyDescent="0.25">
      <c r="A2827" t="s">
        <v>7</v>
      </c>
      <c r="B2827" t="s">
        <v>18</v>
      </c>
      <c r="C2827" t="s">
        <v>9</v>
      </c>
      <c r="D2827" t="s">
        <v>10</v>
      </c>
      <c r="E2827">
        <v>10</v>
      </c>
      <c r="F2827" s="1">
        <v>36769</v>
      </c>
      <c r="G2827">
        <v>-1.81695132570991E-3</v>
      </c>
    </row>
    <row r="2828" spans="1:7" x14ac:dyDescent="0.25">
      <c r="A2828" t="s">
        <v>7</v>
      </c>
      <c r="B2828" t="s">
        <v>18</v>
      </c>
      <c r="C2828" t="s">
        <v>9</v>
      </c>
      <c r="D2828" t="s">
        <v>10</v>
      </c>
      <c r="E2828">
        <v>10</v>
      </c>
      <c r="F2828" s="1">
        <v>36799</v>
      </c>
      <c r="G2828">
        <v>-2.5209552084026601E-2</v>
      </c>
    </row>
    <row r="2829" spans="1:7" x14ac:dyDescent="0.25">
      <c r="A2829" t="s">
        <v>7</v>
      </c>
      <c r="B2829" t="s">
        <v>18</v>
      </c>
      <c r="C2829" t="s">
        <v>9</v>
      </c>
      <c r="D2829" t="s">
        <v>10</v>
      </c>
      <c r="E2829">
        <v>12</v>
      </c>
      <c r="F2829" s="1">
        <v>36830</v>
      </c>
      <c r="G2829">
        <v>5.7961702910177597E-2</v>
      </c>
    </row>
    <row r="2830" spans="1:7" x14ac:dyDescent="0.25">
      <c r="A2830" t="s">
        <v>7</v>
      </c>
      <c r="B2830" t="s">
        <v>18</v>
      </c>
      <c r="C2830" t="s">
        <v>9</v>
      </c>
      <c r="D2830" t="s">
        <v>10</v>
      </c>
      <c r="E2830">
        <v>10</v>
      </c>
      <c r="F2830" s="1">
        <v>36860</v>
      </c>
      <c r="G2830">
        <v>-1.9197856419672098E-2</v>
      </c>
    </row>
    <row r="2831" spans="1:7" x14ac:dyDescent="0.25">
      <c r="A2831" t="s">
        <v>7</v>
      </c>
      <c r="B2831" t="s">
        <v>18</v>
      </c>
      <c r="C2831" t="s">
        <v>9</v>
      </c>
      <c r="D2831" t="s">
        <v>10</v>
      </c>
      <c r="E2831">
        <v>13</v>
      </c>
      <c r="F2831" s="1">
        <v>36891</v>
      </c>
      <c r="G2831">
        <v>1.67359194162237E-2</v>
      </c>
    </row>
    <row r="2832" spans="1:7" x14ac:dyDescent="0.25">
      <c r="A2832" t="s">
        <v>7</v>
      </c>
      <c r="B2832" t="s">
        <v>18</v>
      </c>
      <c r="C2832" t="s">
        <v>9</v>
      </c>
      <c r="D2832" t="s">
        <v>10</v>
      </c>
      <c r="E2832">
        <v>13</v>
      </c>
      <c r="F2832" s="1">
        <v>36922</v>
      </c>
      <c r="G2832">
        <v>5.27743684019353E-2</v>
      </c>
    </row>
    <row r="2833" spans="1:7" x14ac:dyDescent="0.25">
      <c r="A2833" t="s">
        <v>7</v>
      </c>
      <c r="B2833" t="s">
        <v>18</v>
      </c>
      <c r="C2833" t="s">
        <v>9</v>
      </c>
      <c r="D2833" t="s">
        <v>10</v>
      </c>
      <c r="E2833">
        <v>13</v>
      </c>
      <c r="F2833" s="1">
        <v>36950</v>
      </c>
      <c r="G2833">
        <v>1.43552718365948E-2</v>
      </c>
    </row>
    <row r="2834" spans="1:7" x14ac:dyDescent="0.25">
      <c r="A2834" t="s">
        <v>7</v>
      </c>
      <c r="B2834" t="s">
        <v>18</v>
      </c>
      <c r="C2834" t="s">
        <v>9</v>
      </c>
      <c r="D2834" t="s">
        <v>10</v>
      </c>
      <c r="E2834">
        <v>13</v>
      </c>
      <c r="F2834" s="1">
        <v>36981</v>
      </c>
      <c r="G2834">
        <v>6.2518791781998803E-2</v>
      </c>
    </row>
    <row r="2835" spans="1:7" x14ac:dyDescent="0.25">
      <c r="A2835" t="s">
        <v>7</v>
      </c>
      <c r="B2835" t="s">
        <v>18</v>
      </c>
      <c r="C2835" t="s">
        <v>9</v>
      </c>
      <c r="D2835" t="s">
        <v>10</v>
      </c>
      <c r="E2835">
        <v>10</v>
      </c>
      <c r="F2835" s="1">
        <v>37011</v>
      </c>
      <c r="G2835">
        <v>5.5973163609290701E-2</v>
      </c>
    </row>
    <row r="2836" spans="1:7" x14ac:dyDescent="0.25">
      <c r="A2836" t="s">
        <v>7</v>
      </c>
      <c r="B2836" t="s">
        <v>18</v>
      </c>
      <c r="C2836" t="s">
        <v>9</v>
      </c>
      <c r="D2836" t="s">
        <v>10</v>
      </c>
      <c r="E2836">
        <v>13</v>
      </c>
      <c r="F2836" s="1">
        <v>37042</v>
      </c>
      <c r="G2836">
        <v>8.85185209726949E-2</v>
      </c>
    </row>
    <row r="2837" spans="1:7" x14ac:dyDescent="0.25">
      <c r="A2837" t="s">
        <v>7</v>
      </c>
      <c r="B2837" t="s">
        <v>18</v>
      </c>
      <c r="C2837" t="s">
        <v>9</v>
      </c>
      <c r="D2837" t="s">
        <v>10</v>
      </c>
      <c r="E2837">
        <v>7</v>
      </c>
      <c r="F2837" s="1">
        <v>37072</v>
      </c>
      <c r="G2837">
        <v>-5.4379610156872503E-2</v>
      </c>
    </row>
    <row r="2838" spans="1:7" x14ac:dyDescent="0.25">
      <c r="A2838" t="s">
        <v>7</v>
      </c>
      <c r="B2838" t="s">
        <v>18</v>
      </c>
      <c r="C2838" t="s">
        <v>9</v>
      </c>
      <c r="D2838" t="s">
        <v>10</v>
      </c>
      <c r="E2838">
        <v>7</v>
      </c>
      <c r="F2838" s="1">
        <v>37103</v>
      </c>
      <c r="G2838">
        <v>-2.6734997636540199E-2</v>
      </c>
    </row>
    <row r="2839" spans="1:7" x14ac:dyDescent="0.25">
      <c r="A2839" t="s">
        <v>7</v>
      </c>
      <c r="B2839" t="s">
        <v>18</v>
      </c>
      <c r="C2839" t="s">
        <v>9</v>
      </c>
      <c r="D2839" t="s">
        <v>10</v>
      </c>
      <c r="E2839">
        <v>7</v>
      </c>
      <c r="F2839" s="1">
        <v>37134</v>
      </c>
      <c r="G2839">
        <v>-3.1647860178388297E-2</v>
      </c>
    </row>
    <row r="2840" spans="1:7" x14ac:dyDescent="0.25">
      <c r="A2840" t="s">
        <v>7</v>
      </c>
      <c r="B2840" t="s">
        <v>18</v>
      </c>
      <c r="C2840" t="s">
        <v>9</v>
      </c>
      <c r="D2840" t="s">
        <v>10</v>
      </c>
      <c r="E2840">
        <v>7</v>
      </c>
      <c r="F2840" s="1">
        <v>37164</v>
      </c>
      <c r="G2840">
        <v>-2.3788586896273299E-2</v>
      </c>
    </row>
    <row r="2841" spans="1:7" x14ac:dyDescent="0.25">
      <c r="A2841" t="s">
        <v>7</v>
      </c>
      <c r="B2841" t="s">
        <v>18</v>
      </c>
      <c r="C2841" t="s">
        <v>9</v>
      </c>
      <c r="D2841" t="s">
        <v>10</v>
      </c>
      <c r="E2841">
        <v>1</v>
      </c>
      <c r="F2841" s="1">
        <v>37195</v>
      </c>
      <c r="G2841">
        <v>-2.2377506640302799E-2</v>
      </c>
    </row>
    <row r="2842" spans="1:7" x14ac:dyDescent="0.25">
      <c r="A2842" t="s">
        <v>7</v>
      </c>
      <c r="B2842" t="s">
        <v>18</v>
      </c>
      <c r="C2842" t="s">
        <v>9</v>
      </c>
      <c r="D2842" t="s">
        <v>10</v>
      </c>
      <c r="E2842">
        <v>1</v>
      </c>
      <c r="F2842" s="1">
        <v>37225</v>
      </c>
      <c r="G2842">
        <v>-0.12016536972620701</v>
      </c>
    </row>
    <row r="2843" spans="1:7" x14ac:dyDescent="0.25">
      <c r="A2843" t="s">
        <v>7</v>
      </c>
      <c r="B2843" t="s">
        <v>18</v>
      </c>
      <c r="C2843" t="s">
        <v>9</v>
      </c>
      <c r="D2843" t="s">
        <v>10</v>
      </c>
      <c r="E2843">
        <v>1</v>
      </c>
      <c r="F2843" s="1">
        <v>37256</v>
      </c>
      <c r="G2843">
        <v>0.102775111043096</v>
      </c>
    </row>
    <row r="2844" spans="1:7" x14ac:dyDescent="0.25">
      <c r="A2844" t="s">
        <v>7</v>
      </c>
      <c r="B2844" t="s">
        <v>18</v>
      </c>
      <c r="C2844" t="s">
        <v>9</v>
      </c>
      <c r="D2844" t="s">
        <v>10</v>
      </c>
      <c r="E2844">
        <v>7</v>
      </c>
      <c r="F2844" s="1">
        <v>37287</v>
      </c>
      <c r="G2844">
        <v>3.3178634862612397E-2</v>
      </c>
    </row>
    <row r="2845" spans="1:7" x14ac:dyDescent="0.25">
      <c r="A2845" t="s">
        <v>7</v>
      </c>
      <c r="B2845" t="s">
        <v>18</v>
      </c>
      <c r="C2845" t="s">
        <v>9</v>
      </c>
      <c r="D2845" t="s">
        <v>10</v>
      </c>
      <c r="E2845">
        <v>7</v>
      </c>
      <c r="F2845" s="1">
        <v>37315</v>
      </c>
      <c r="G2845">
        <v>-1.34247147548911E-2</v>
      </c>
    </row>
    <row r="2846" spans="1:7" x14ac:dyDescent="0.25">
      <c r="A2846" t="s">
        <v>7</v>
      </c>
      <c r="B2846" t="s">
        <v>18</v>
      </c>
      <c r="C2846" t="s">
        <v>9</v>
      </c>
      <c r="D2846" t="s">
        <v>10</v>
      </c>
      <c r="E2846">
        <v>7</v>
      </c>
      <c r="F2846" s="1">
        <v>37346</v>
      </c>
      <c r="G2846">
        <v>-1.1730928127901699E-2</v>
      </c>
    </row>
    <row r="2847" spans="1:7" x14ac:dyDescent="0.25">
      <c r="A2847" t="s">
        <v>7</v>
      </c>
      <c r="B2847" t="s">
        <v>18</v>
      </c>
      <c r="C2847" t="s">
        <v>9</v>
      </c>
      <c r="D2847" t="s">
        <v>10</v>
      </c>
      <c r="E2847">
        <v>7</v>
      </c>
      <c r="F2847" s="1">
        <v>37376</v>
      </c>
      <c r="G2847">
        <v>-1.9389204061696599E-2</v>
      </c>
    </row>
    <row r="2848" spans="1:7" x14ac:dyDescent="0.25">
      <c r="A2848" t="s">
        <v>7</v>
      </c>
      <c r="B2848" t="s">
        <v>18</v>
      </c>
      <c r="C2848" t="s">
        <v>9</v>
      </c>
      <c r="D2848" t="s">
        <v>10</v>
      </c>
      <c r="E2848">
        <v>7</v>
      </c>
      <c r="F2848" s="1">
        <v>37407</v>
      </c>
      <c r="G2848">
        <v>1.9722135724015599E-2</v>
      </c>
    </row>
    <row r="2849" spans="1:7" x14ac:dyDescent="0.25">
      <c r="A2849" t="s">
        <v>7</v>
      </c>
      <c r="B2849" t="s">
        <v>18</v>
      </c>
      <c r="C2849" t="s">
        <v>9</v>
      </c>
      <c r="D2849" t="s">
        <v>10</v>
      </c>
      <c r="E2849">
        <v>7</v>
      </c>
      <c r="F2849" s="1">
        <v>37437</v>
      </c>
      <c r="G2849">
        <v>0.113525441374102</v>
      </c>
    </row>
    <row r="2850" spans="1:7" x14ac:dyDescent="0.25">
      <c r="A2850" t="s">
        <v>7</v>
      </c>
      <c r="B2850" t="s">
        <v>18</v>
      </c>
      <c r="C2850" t="s">
        <v>9</v>
      </c>
      <c r="D2850" t="s">
        <v>10</v>
      </c>
      <c r="E2850">
        <v>5</v>
      </c>
      <c r="F2850" s="1">
        <v>37468</v>
      </c>
      <c r="G2850">
        <v>3.1767179360699199E-2</v>
      </c>
    </row>
    <row r="2851" spans="1:7" x14ac:dyDescent="0.25">
      <c r="A2851" t="s">
        <v>7</v>
      </c>
      <c r="B2851" t="s">
        <v>18</v>
      </c>
      <c r="C2851" t="s">
        <v>9</v>
      </c>
      <c r="D2851" t="s">
        <v>10</v>
      </c>
      <c r="E2851">
        <v>1</v>
      </c>
      <c r="F2851" s="1">
        <v>37499</v>
      </c>
      <c r="G2851">
        <v>-5.2182416208867898E-2</v>
      </c>
    </row>
    <row r="2852" spans="1:7" x14ac:dyDescent="0.25">
      <c r="A2852" t="s">
        <v>7</v>
      </c>
      <c r="B2852" t="s">
        <v>18</v>
      </c>
      <c r="C2852" t="s">
        <v>9</v>
      </c>
      <c r="D2852" t="s">
        <v>10</v>
      </c>
      <c r="E2852">
        <v>5</v>
      </c>
      <c r="F2852" s="1">
        <v>37529</v>
      </c>
      <c r="G2852">
        <v>7.2518487194050907E-2</v>
      </c>
    </row>
    <row r="2853" spans="1:7" x14ac:dyDescent="0.25">
      <c r="A2853" t="s">
        <v>7</v>
      </c>
      <c r="B2853" t="s">
        <v>18</v>
      </c>
      <c r="C2853" t="s">
        <v>9</v>
      </c>
      <c r="D2853" t="s">
        <v>10</v>
      </c>
      <c r="E2853">
        <v>1</v>
      </c>
      <c r="F2853" s="1">
        <v>37560</v>
      </c>
      <c r="G2853">
        <v>0.111061382989378</v>
      </c>
    </row>
    <row r="2854" spans="1:7" x14ac:dyDescent="0.25">
      <c r="A2854" t="s">
        <v>7</v>
      </c>
      <c r="B2854" t="s">
        <v>18</v>
      </c>
      <c r="C2854" t="s">
        <v>9</v>
      </c>
      <c r="D2854" t="s">
        <v>10</v>
      </c>
      <c r="E2854">
        <v>1</v>
      </c>
      <c r="F2854" s="1">
        <v>37590</v>
      </c>
      <c r="G2854">
        <v>7.95681819344424E-2</v>
      </c>
    </row>
    <row r="2855" spans="1:7" x14ac:dyDescent="0.25">
      <c r="A2855" t="s">
        <v>7</v>
      </c>
      <c r="B2855" t="s">
        <v>18</v>
      </c>
      <c r="C2855" t="s">
        <v>9</v>
      </c>
      <c r="D2855" t="s">
        <v>10</v>
      </c>
      <c r="E2855">
        <v>1</v>
      </c>
      <c r="F2855" s="1">
        <v>37621</v>
      </c>
      <c r="G2855">
        <v>0.119669264414658</v>
      </c>
    </row>
    <row r="2856" spans="1:7" x14ac:dyDescent="0.25">
      <c r="A2856" t="s">
        <v>7</v>
      </c>
      <c r="B2856" t="s">
        <v>18</v>
      </c>
      <c r="C2856" t="s">
        <v>9</v>
      </c>
      <c r="D2856" t="s">
        <v>10</v>
      </c>
      <c r="E2856">
        <v>1</v>
      </c>
      <c r="F2856" s="1">
        <v>37652</v>
      </c>
      <c r="G2856">
        <v>-1.8931729437419299E-3</v>
      </c>
    </row>
    <row r="2857" spans="1:7" x14ac:dyDescent="0.25">
      <c r="A2857" t="s">
        <v>7</v>
      </c>
      <c r="B2857" t="s">
        <v>18</v>
      </c>
      <c r="C2857" t="s">
        <v>9</v>
      </c>
      <c r="D2857" t="s">
        <v>10</v>
      </c>
      <c r="E2857">
        <v>1</v>
      </c>
      <c r="F2857" s="1">
        <v>37680</v>
      </c>
      <c r="G2857">
        <v>2.8252089796230801E-2</v>
      </c>
    </row>
    <row r="2858" spans="1:7" x14ac:dyDescent="0.25">
      <c r="A2858" t="s">
        <v>7</v>
      </c>
      <c r="B2858" t="s">
        <v>18</v>
      </c>
      <c r="C2858" t="s">
        <v>9</v>
      </c>
      <c r="D2858" t="s">
        <v>10</v>
      </c>
      <c r="E2858">
        <v>1</v>
      </c>
      <c r="F2858" s="1">
        <v>37711</v>
      </c>
      <c r="G2858">
        <v>6.9295108435649497E-2</v>
      </c>
    </row>
    <row r="2859" spans="1:7" x14ac:dyDescent="0.25">
      <c r="A2859" t="s">
        <v>7</v>
      </c>
      <c r="B2859" t="s">
        <v>18</v>
      </c>
      <c r="C2859" t="s">
        <v>9</v>
      </c>
      <c r="D2859" t="s">
        <v>10</v>
      </c>
      <c r="E2859">
        <v>1</v>
      </c>
      <c r="F2859" s="1">
        <v>37741</v>
      </c>
      <c r="G2859">
        <v>-0.27244777754441601</v>
      </c>
    </row>
    <row r="2860" spans="1:7" x14ac:dyDescent="0.25">
      <c r="A2860" t="s">
        <v>7</v>
      </c>
      <c r="B2860" t="s">
        <v>18</v>
      </c>
      <c r="C2860" t="s">
        <v>9</v>
      </c>
      <c r="D2860" t="s">
        <v>10</v>
      </c>
      <c r="E2860">
        <v>1</v>
      </c>
      <c r="F2860" s="1">
        <v>37772</v>
      </c>
      <c r="G2860">
        <v>3.9311150849002897E-3</v>
      </c>
    </row>
    <row r="2861" spans="1:7" x14ac:dyDescent="0.25">
      <c r="A2861" t="s">
        <v>7</v>
      </c>
      <c r="B2861" t="s">
        <v>18</v>
      </c>
      <c r="C2861" t="s">
        <v>9</v>
      </c>
      <c r="D2861" t="s">
        <v>10</v>
      </c>
      <c r="E2861">
        <v>1</v>
      </c>
      <c r="F2861" s="1">
        <v>37802</v>
      </c>
      <c r="G2861">
        <v>0.135267969433053</v>
      </c>
    </row>
    <row r="2862" spans="1:7" x14ac:dyDescent="0.25">
      <c r="A2862" t="s">
        <v>7</v>
      </c>
      <c r="B2862" t="s">
        <v>18</v>
      </c>
      <c r="C2862" t="s">
        <v>9</v>
      </c>
      <c r="D2862" t="s">
        <v>10</v>
      </c>
      <c r="E2862">
        <v>1</v>
      </c>
      <c r="F2862" s="1">
        <v>37833</v>
      </c>
      <c r="G2862">
        <v>3.8372335973039802E-2</v>
      </c>
    </row>
    <row r="2863" spans="1:7" x14ac:dyDescent="0.25">
      <c r="A2863" t="s">
        <v>7</v>
      </c>
      <c r="B2863" t="s">
        <v>18</v>
      </c>
      <c r="C2863" t="s">
        <v>9</v>
      </c>
      <c r="D2863" t="s">
        <v>10</v>
      </c>
      <c r="E2863">
        <v>1</v>
      </c>
      <c r="F2863" s="1">
        <v>37864</v>
      </c>
      <c r="G2863">
        <v>2.13539807810622E-4</v>
      </c>
    </row>
    <row r="2864" spans="1:7" x14ac:dyDescent="0.25">
      <c r="A2864" t="s">
        <v>7</v>
      </c>
      <c r="B2864" t="s">
        <v>18</v>
      </c>
      <c r="C2864" t="s">
        <v>9</v>
      </c>
      <c r="D2864" t="s">
        <v>10</v>
      </c>
      <c r="E2864">
        <v>7</v>
      </c>
      <c r="F2864" s="1">
        <v>37894</v>
      </c>
      <c r="G2864">
        <v>-3.5022494203014398E-2</v>
      </c>
    </row>
    <row r="2865" spans="1:7" x14ac:dyDescent="0.25">
      <c r="A2865" t="s">
        <v>7</v>
      </c>
      <c r="B2865" t="s">
        <v>18</v>
      </c>
      <c r="C2865" t="s">
        <v>9</v>
      </c>
      <c r="D2865" t="s">
        <v>10</v>
      </c>
      <c r="E2865">
        <v>7</v>
      </c>
      <c r="F2865" s="1">
        <v>37925</v>
      </c>
      <c r="G2865">
        <v>2.2989560206046498E-2</v>
      </c>
    </row>
    <row r="2866" spans="1:7" x14ac:dyDescent="0.25">
      <c r="A2866" t="s">
        <v>7</v>
      </c>
      <c r="B2866" t="s">
        <v>18</v>
      </c>
      <c r="C2866" t="s">
        <v>9</v>
      </c>
      <c r="D2866" t="s">
        <v>10</v>
      </c>
      <c r="E2866">
        <v>7</v>
      </c>
      <c r="F2866" s="1">
        <v>37955</v>
      </c>
      <c r="G2866">
        <v>-2.3288371563178398E-2</v>
      </c>
    </row>
    <row r="2867" spans="1:7" x14ac:dyDescent="0.25">
      <c r="A2867" t="s">
        <v>7</v>
      </c>
      <c r="B2867" t="s">
        <v>18</v>
      </c>
      <c r="C2867" t="s">
        <v>9</v>
      </c>
      <c r="D2867" t="s">
        <v>10</v>
      </c>
      <c r="E2867">
        <v>10</v>
      </c>
      <c r="F2867" s="1">
        <v>37986</v>
      </c>
      <c r="G2867">
        <v>-3.5207604437708803E-2</v>
      </c>
    </row>
    <row r="2868" spans="1:7" x14ac:dyDescent="0.25">
      <c r="A2868" t="s">
        <v>7</v>
      </c>
      <c r="B2868" t="s">
        <v>18</v>
      </c>
      <c r="C2868" t="s">
        <v>9</v>
      </c>
      <c r="D2868" t="s">
        <v>10</v>
      </c>
      <c r="E2868">
        <v>7</v>
      </c>
      <c r="F2868" s="1">
        <v>38017</v>
      </c>
      <c r="G2868">
        <v>-3.1546504831631302E-2</v>
      </c>
    </row>
    <row r="2869" spans="1:7" x14ac:dyDescent="0.25">
      <c r="A2869" t="s">
        <v>7</v>
      </c>
      <c r="B2869" t="s">
        <v>18</v>
      </c>
      <c r="C2869" t="s">
        <v>9</v>
      </c>
      <c r="D2869" t="s">
        <v>10</v>
      </c>
      <c r="E2869">
        <v>7</v>
      </c>
      <c r="F2869" s="1">
        <v>38046</v>
      </c>
      <c r="G2869">
        <v>4.5387205131878897E-2</v>
      </c>
    </row>
    <row r="2870" spans="1:7" x14ac:dyDescent="0.25">
      <c r="A2870" t="s">
        <v>7</v>
      </c>
      <c r="B2870" t="s">
        <v>18</v>
      </c>
      <c r="C2870" t="s">
        <v>9</v>
      </c>
      <c r="D2870" t="s">
        <v>10</v>
      </c>
      <c r="E2870">
        <v>7</v>
      </c>
      <c r="F2870" s="1">
        <v>38077</v>
      </c>
      <c r="G2870">
        <v>-2.9552719295364599E-2</v>
      </c>
    </row>
    <row r="2871" spans="1:7" x14ac:dyDescent="0.25">
      <c r="A2871" t="s">
        <v>7</v>
      </c>
      <c r="B2871" t="s">
        <v>18</v>
      </c>
      <c r="C2871" t="s">
        <v>9</v>
      </c>
      <c r="D2871" t="s">
        <v>10</v>
      </c>
      <c r="E2871">
        <v>7</v>
      </c>
      <c r="F2871" s="1">
        <v>38107</v>
      </c>
      <c r="G2871">
        <v>-1.9674510446988001E-2</v>
      </c>
    </row>
    <row r="2872" spans="1:7" x14ac:dyDescent="0.25">
      <c r="A2872" t="s">
        <v>7</v>
      </c>
      <c r="B2872" t="s">
        <v>18</v>
      </c>
      <c r="C2872" t="s">
        <v>9</v>
      </c>
      <c r="D2872" t="s">
        <v>10</v>
      </c>
      <c r="E2872">
        <v>15</v>
      </c>
      <c r="F2872" s="1">
        <v>38138</v>
      </c>
      <c r="G2872">
        <v>7.4641313932661296E-2</v>
      </c>
    </row>
    <row r="2873" spans="1:7" x14ac:dyDescent="0.25">
      <c r="A2873" t="s">
        <v>7</v>
      </c>
      <c r="B2873" t="s">
        <v>18</v>
      </c>
      <c r="C2873" t="s">
        <v>9</v>
      </c>
      <c r="D2873" t="s">
        <v>10</v>
      </c>
      <c r="E2873">
        <v>12</v>
      </c>
      <c r="F2873" s="1">
        <v>38168</v>
      </c>
      <c r="G2873">
        <v>2.79585506187447E-2</v>
      </c>
    </row>
    <row r="2874" spans="1:7" x14ac:dyDescent="0.25">
      <c r="A2874" t="s">
        <v>7</v>
      </c>
      <c r="B2874" t="s">
        <v>18</v>
      </c>
      <c r="C2874" t="s">
        <v>9</v>
      </c>
      <c r="D2874" t="s">
        <v>10</v>
      </c>
      <c r="E2874">
        <v>12</v>
      </c>
      <c r="F2874" s="1">
        <v>38199</v>
      </c>
      <c r="G2874">
        <v>1.3612508342977E-2</v>
      </c>
    </row>
    <row r="2875" spans="1:7" x14ac:dyDescent="0.25">
      <c r="A2875" t="s">
        <v>7</v>
      </c>
      <c r="B2875" t="s">
        <v>18</v>
      </c>
      <c r="C2875" t="s">
        <v>9</v>
      </c>
      <c r="D2875" t="s">
        <v>10</v>
      </c>
      <c r="E2875">
        <v>13</v>
      </c>
      <c r="F2875" s="1">
        <v>38230</v>
      </c>
      <c r="G2875">
        <v>-1.3408262240512701E-2</v>
      </c>
    </row>
    <row r="2876" spans="1:7" x14ac:dyDescent="0.25">
      <c r="A2876" t="s">
        <v>7</v>
      </c>
      <c r="B2876" t="s">
        <v>18</v>
      </c>
      <c r="C2876" t="s">
        <v>9</v>
      </c>
      <c r="D2876" t="s">
        <v>10</v>
      </c>
      <c r="E2876">
        <v>15</v>
      </c>
      <c r="F2876" s="1">
        <v>38260</v>
      </c>
      <c r="G2876">
        <v>4.1138758708375203E-2</v>
      </c>
    </row>
    <row r="2877" spans="1:7" x14ac:dyDescent="0.25">
      <c r="A2877" t="s">
        <v>7</v>
      </c>
      <c r="B2877" t="s">
        <v>18</v>
      </c>
      <c r="C2877" t="s">
        <v>9</v>
      </c>
      <c r="D2877" t="s">
        <v>10</v>
      </c>
      <c r="E2877">
        <v>15</v>
      </c>
      <c r="F2877" s="1">
        <v>38291</v>
      </c>
      <c r="G2877">
        <v>1.63089569292911E-3</v>
      </c>
    </row>
    <row r="2878" spans="1:7" x14ac:dyDescent="0.25">
      <c r="A2878" t="s">
        <v>7</v>
      </c>
      <c r="B2878" t="s">
        <v>18</v>
      </c>
      <c r="C2878" t="s">
        <v>9</v>
      </c>
      <c r="D2878" t="s">
        <v>10</v>
      </c>
      <c r="E2878">
        <v>16</v>
      </c>
      <c r="F2878" s="1">
        <v>38321</v>
      </c>
      <c r="G2878">
        <v>-1.90693180902528E-2</v>
      </c>
    </row>
    <row r="2879" spans="1:7" x14ac:dyDescent="0.25">
      <c r="A2879" t="s">
        <v>7</v>
      </c>
      <c r="B2879" t="s">
        <v>18</v>
      </c>
      <c r="C2879" t="s">
        <v>9</v>
      </c>
      <c r="D2879" t="s">
        <v>10</v>
      </c>
      <c r="E2879">
        <v>16</v>
      </c>
      <c r="F2879" s="1">
        <v>38352</v>
      </c>
      <c r="G2879">
        <v>2.48401982865918E-2</v>
      </c>
    </row>
    <row r="2880" spans="1:7" x14ac:dyDescent="0.25">
      <c r="A2880" t="s">
        <v>7</v>
      </c>
      <c r="B2880" t="s">
        <v>18</v>
      </c>
      <c r="C2880" t="s">
        <v>9</v>
      </c>
      <c r="D2880" t="s">
        <v>10</v>
      </c>
      <c r="E2880">
        <v>16</v>
      </c>
      <c r="F2880" s="1">
        <v>38383</v>
      </c>
      <c r="G2880">
        <v>-4.5079561881523199E-2</v>
      </c>
    </row>
    <row r="2881" spans="1:7" x14ac:dyDescent="0.25">
      <c r="A2881" t="s">
        <v>7</v>
      </c>
      <c r="B2881" t="s">
        <v>18</v>
      </c>
      <c r="C2881" t="s">
        <v>9</v>
      </c>
      <c r="D2881" t="s">
        <v>10</v>
      </c>
      <c r="E2881">
        <v>16</v>
      </c>
      <c r="F2881" s="1">
        <v>38411</v>
      </c>
      <c r="G2881">
        <v>2.8961139546606299E-2</v>
      </c>
    </row>
    <row r="2882" spans="1:7" x14ac:dyDescent="0.25">
      <c r="A2882" t="s">
        <v>7</v>
      </c>
      <c r="B2882" t="s">
        <v>18</v>
      </c>
      <c r="C2882" t="s">
        <v>9</v>
      </c>
      <c r="D2882" t="s">
        <v>10</v>
      </c>
      <c r="E2882">
        <v>16</v>
      </c>
      <c r="F2882" s="1">
        <v>38442</v>
      </c>
      <c r="G2882">
        <v>-1.0929724455452599E-2</v>
      </c>
    </row>
    <row r="2883" spans="1:7" x14ac:dyDescent="0.25">
      <c r="A2883" t="s">
        <v>7</v>
      </c>
      <c r="B2883" t="s">
        <v>18</v>
      </c>
      <c r="C2883" t="s">
        <v>9</v>
      </c>
      <c r="D2883" t="s">
        <v>10</v>
      </c>
      <c r="E2883">
        <v>16</v>
      </c>
      <c r="F2883" s="1">
        <v>38472</v>
      </c>
      <c r="G2883">
        <v>6.7298135531367702E-3</v>
      </c>
    </row>
    <row r="2884" spans="1:7" x14ac:dyDescent="0.25">
      <c r="A2884" t="s">
        <v>7</v>
      </c>
      <c r="B2884" t="s">
        <v>18</v>
      </c>
      <c r="C2884" t="s">
        <v>9</v>
      </c>
      <c r="D2884" t="s">
        <v>10</v>
      </c>
      <c r="E2884">
        <v>16</v>
      </c>
      <c r="F2884" s="1">
        <v>38503</v>
      </c>
      <c r="G2884">
        <v>-3.7828337776707098E-2</v>
      </c>
    </row>
    <row r="2885" spans="1:7" x14ac:dyDescent="0.25">
      <c r="A2885" t="s">
        <v>7</v>
      </c>
      <c r="B2885" t="s">
        <v>18</v>
      </c>
      <c r="C2885" t="s">
        <v>9</v>
      </c>
      <c r="D2885" t="s">
        <v>10</v>
      </c>
      <c r="E2885">
        <v>16</v>
      </c>
      <c r="F2885" s="1">
        <v>38533</v>
      </c>
      <c r="G2885">
        <v>-2.08848859634727E-2</v>
      </c>
    </row>
    <row r="2886" spans="1:7" x14ac:dyDescent="0.25">
      <c r="A2886" t="s">
        <v>7</v>
      </c>
      <c r="B2886" t="s">
        <v>18</v>
      </c>
      <c r="C2886" t="s">
        <v>9</v>
      </c>
      <c r="D2886" t="s">
        <v>10</v>
      </c>
      <c r="E2886">
        <v>16</v>
      </c>
      <c r="F2886" s="1">
        <v>38564</v>
      </c>
      <c r="G2886">
        <v>4.0069792514314598E-3</v>
      </c>
    </row>
    <row r="2887" spans="1:7" x14ac:dyDescent="0.25">
      <c r="A2887" t="s">
        <v>7</v>
      </c>
      <c r="B2887" t="s">
        <v>18</v>
      </c>
      <c r="C2887" t="s">
        <v>9</v>
      </c>
      <c r="D2887" t="s">
        <v>10</v>
      </c>
      <c r="E2887">
        <v>16</v>
      </c>
      <c r="F2887" s="1">
        <v>38595</v>
      </c>
      <c r="G2887">
        <v>-5.8535244110731001E-2</v>
      </c>
    </row>
    <row r="2888" spans="1:7" x14ac:dyDescent="0.25">
      <c r="A2888" t="s">
        <v>7</v>
      </c>
      <c r="B2888" t="s">
        <v>18</v>
      </c>
      <c r="C2888" t="s">
        <v>9</v>
      </c>
      <c r="D2888" t="s">
        <v>10</v>
      </c>
      <c r="E2888">
        <v>16</v>
      </c>
      <c r="F2888" s="1">
        <v>38625</v>
      </c>
      <c r="G2888">
        <v>-5.8508515544354297E-4</v>
      </c>
    </row>
    <row r="2889" spans="1:7" x14ac:dyDescent="0.25">
      <c r="A2889" t="s">
        <v>7</v>
      </c>
      <c r="B2889" t="s">
        <v>18</v>
      </c>
      <c r="C2889" t="s">
        <v>9</v>
      </c>
      <c r="D2889" t="s">
        <v>10</v>
      </c>
      <c r="E2889">
        <v>16</v>
      </c>
      <c r="F2889" s="1">
        <v>38656</v>
      </c>
      <c r="G2889">
        <v>8.4883479442771793E-3</v>
      </c>
    </row>
    <row r="2890" spans="1:7" x14ac:dyDescent="0.25">
      <c r="A2890" t="s">
        <v>7</v>
      </c>
      <c r="B2890" t="s">
        <v>18</v>
      </c>
      <c r="C2890" t="s">
        <v>9</v>
      </c>
      <c r="D2890" t="s">
        <v>10</v>
      </c>
      <c r="E2890">
        <v>16</v>
      </c>
      <c r="F2890" s="1">
        <v>38686</v>
      </c>
      <c r="G2890">
        <v>7.2412345668619704E-2</v>
      </c>
    </row>
    <row r="2891" spans="1:7" x14ac:dyDescent="0.25">
      <c r="A2891" t="s">
        <v>7</v>
      </c>
      <c r="B2891" t="s">
        <v>18</v>
      </c>
      <c r="C2891" t="s">
        <v>9</v>
      </c>
      <c r="D2891" t="s">
        <v>10</v>
      </c>
      <c r="E2891">
        <v>16</v>
      </c>
      <c r="F2891" s="1">
        <v>38717</v>
      </c>
      <c r="G2891">
        <v>2.77078933912938E-2</v>
      </c>
    </row>
    <row r="2892" spans="1:7" x14ac:dyDescent="0.25">
      <c r="A2892" t="s">
        <v>7</v>
      </c>
      <c r="B2892" t="s">
        <v>18</v>
      </c>
      <c r="C2892" t="s">
        <v>9</v>
      </c>
      <c r="D2892" t="s">
        <v>10</v>
      </c>
      <c r="E2892">
        <v>16</v>
      </c>
      <c r="F2892" s="1">
        <v>38748</v>
      </c>
      <c r="G2892">
        <v>-6.5982435948358301E-2</v>
      </c>
    </row>
    <row r="2893" spans="1:7" x14ac:dyDescent="0.25">
      <c r="A2893" t="s">
        <v>7</v>
      </c>
      <c r="B2893" t="s">
        <v>18</v>
      </c>
      <c r="C2893" t="s">
        <v>9</v>
      </c>
      <c r="D2893" t="s">
        <v>10</v>
      </c>
      <c r="E2893">
        <v>16</v>
      </c>
      <c r="F2893" s="1">
        <v>38776</v>
      </c>
      <c r="G2893">
        <v>3.0647576474665799E-3</v>
      </c>
    </row>
    <row r="2894" spans="1:7" x14ac:dyDescent="0.25">
      <c r="A2894" t="s">
        <v>7</v>
      </c>
      <c r="B2894" t="s">
        <v>18</v>
      </c>
      <c r="C2894" t="s">
        <v>9</v>
      </c>
      <c r="D2894" t="s">
        <v>10</v>
      </c>
      <c r="E2894">
        <v>17</v>
      </c>
      <c r="F2894" s="1">
        <v>38807</v>
      </c>
      <c r="G2894">
        <v>-5.9632541751161901E-3</v>
      </c>
    </row>
    <row r="2895" spans="1:7" x14ac:dyDescent="0.25">
      <c r="A2895" t="s">
        <v>7</v>
      </c>
      <c r="B2895" t="s">
        <v>18</v>
      </c>
      <c r="C2895" t="s">
        <v>9</v>
      </c>
      <c r="D2895" t="s">
        <v>10</v>
      </c>
      <c r="E2895">
        <v>17</v>
      </c>
      <c r="F2895" s="1">
        <v>38837</v>
      </c>
      <c r="G2895">
        <v>4.9747252846595001E-3</v>
      </c>
    </row>
    <row r="2896" spans="1:7" x14ac:dyDescent="0.25">
      <c r="A2896" t="s">
        <v>7</v>
      </c>
      <c r="B2896" t="s">
        <v>18</v>
      </c>
      <c r="C2896" t="s">
        <v>9</v>
      </c>
      <c r="D2896" t="s">
        <v>10</v>
      </c>
      <c r="E2896">
        <v>17</v>
      </c>
      <c r="F2896" s="1">
        <v>38868</v>
      </c>
      <c r="G2896">
        <v>-1.2878436787478799E-2</v>
      </c>
    </row>
    <row r="2897" spans="1:7" x14ac:dyDescent="0.25">
      <c r="A2897" t="s">
        <v>7</v>
      </c>
      <c r="B2897" t="s">
        <v>18</v>
      </c>
      <c r="C2897" t="s">
        <v>9</v>
      </c>
      <c r="D2897" t="s">
        <v>10</v>
      </c>
      <c r="E2897">
        <v>17</v>
      </c>
      <c r="F2897" s="1">
        <v>38898</v>
      </c>
      <c r="G2897">
        <v>1.9084333415258601E-3</v>
      </c>
    </row>
    <row r="2898" spans="1:7" x14ac:dyDescent="0.25">
      <c r="A2898" t="s">
        <v>7</v>
      </c>
      <c r="B2898" t="s">
        <v>18</v>
      </c>
      <c r="C2898" t="s">
        <v>9</v>
      </c>
      <c r="D2898" t="s">
        <v>10</v>
      </c>
      <c r="E2898">
        <v>17</v>
      </c>
      <c r="F2898" s="1">
        <v>38929</v>
      </c>
      <c r="G2898">
        <v>5.1541319849666298E-2</v>
      </c>
    </row>
    <row r="2899" spans="1:7" x14ac:dyDescent="0.25">
      <c r="A2899" t="s">
        <v>7</v>
      </c>
      <c r="B2899" t="s">
        <v>18</v>
      </c>
      <c r="C2899" t="s">
        <v>9</v>
      </c>
      <c r="D2899" t="s">
        <v>10</v>
      </c>
      <c r="E2899">
        <v>17</v>
      </c>
      <c r="F2899" s="1">
        <v>38960</v>
      </c>
      <c r="G2899">
        <v>8.1616588686743707E-3</v>
      </c>
    </row>
    <row r="2900" spans="1:7" x14ac:dyDescent="0.25">
      <c r="A2900" t="s">
        <v>7</v>
      </c>
      <c r="B2900" t="s">
        <v>18</v>
      </c>
      <c r="C2900" t="s">
        <v>9</v>
      </c>
      <c r="D2900" t="s">
        <v>10</v>
      </c>
      <c r="E2900">
        <v>17</v>
      </c>
      <c r="F2900" s="1">
        <v>38990</v>
      </c>
      <c r="G2900">
        <v>-1.4972440209800099E-2</v>
      </c>
    </row>
    <row r="2901" spans="1:7" x14ac:dyDescent="0.25">
      <c r="A2901" t="s">
        <v>7</v>
      </c>
      <c r="B2901" t="s">
        <v>18</v>
      </c>
      <c r="C2901" t="s">
        <v>9</v>
      </c>
      <c r="D2901" t="s">
        <v>10</v>
      </c>
      <c r="E2901">
        <v>17</v>
      </c>
      <c r="F2901" s="1">
        <v>39021</v>
      </c>
      <c r="G2901">
        <v>4.5903224738777703E-3</v>
      </c>
    </row>
    <row r="2902" spans="1:7" x14ac:dyDescent="0.25">
      <c r="A2902" t="s">
        <v>7</v>
      </c>
      <c r="B2902" t="s">
        <v>18</v>
      </c>
      <c r="C2902" t="s">
        <v>9</v>
      </c>
      <c r="D2902" t="s">
        <v>10</v>
      </c>
      <c r="E2902">
        <v>17</v>
      </c>
      <c r="F2902" s="1">
        <v>39051</v>
      </c>
      <c r="G2902">
        <v>3.5581899163044398E-2</v>
      </c>
    </row>
    <row r="2903" spans="1:7" x14ac:dyDescent="0.25">
      <c r="A2903" t="s">
        <v>7</v>
      </c>
      <c r="B2903" t="s">
        <v>18</v>
      </c>
      <c r="C2903" t="s">
        <v>9</v>
      </c>
      <c r="D2903" t="s">
        <v>10</v>
      </c>
      <c r="E2903">
        <v>17</v>
      </c>
      <c r="F2903" s="1">
        <v>39082</v>
      </c>
      <c r="G2903" s="2">
        <v>-8.3831938813132503E-6</v>
      </c>
    </row>
    <row r="2904" spans="1:7" x14ac:dyDescent="0.25">
      <c r="A2904" t="s">
        <v>7</v>
      </c>
      <c r="B2904" t="s">
        <v>18</v>
      </c>
      <c r="C2904" t="s">
        <v>9</v>
      </c>
      <c r="D2904" t="s">
        <v>10</v>
      </c>
      <c r="E2904">
        <v>17</v>
      </c>
      <c r="F2904" s="1">
        <v>39113</v>
      </c>
      <c r="G2904">
        <v>-2.029544469469E-3</v>
      </c>
    </row>
    <row r="2905" spans="1:7" x14ac:dyDescent="0.25">
      <c r="A2905" t="s">
        <v>7</v>
      </c>
      <c r="B2905" t="s">
        <v>18</v>
      </c>
      <c r="C2905" t="s">
        <v>9</v>
      </c>
      <c r="D2905" t="s">
        <v>10</v>
      </c>
      <c r="E2905">
        <v>17</v>
      </c>
      <c r="F2905" s="1">
        <v>39141</v>
      </c>
      <c r="G2905">
        <v>-5.0757695083891899E-2</v>
      </c>
    </row>
    <row r="2906" spans="1:7" x14ac:dyDescent="0.25">
      <c r="A2906" t="s">
        <v>7</v>
      </c>
      <c r="B2906" t="s">
        <v>18</v>
      </c>
      <c r="C2906" t="s">
        <v>9</v>
      </c>
      <c r="D2906" t="s">
        <v>10</v>
      </c>
      <c r="E2906">
        <v>17</v>
      </c>
      <c r="F2906" s="1">
        <v>39172</v>
      </c>
      <c r="G2906">
        <v>-7.3016055177640299E-4</v>
      </c>
    </row>
    <row r="2907" spans="1:7" x14ac:dyDescent="0.25">
      <c r="A2907" t="s">
        <v>7</v>
      </c>
      <c r="B2907" t="s">
        <v>18</v>
      </c>
      <c r="C2907" t="s">
        <v>9</v>
      </c>
      <c r="D2907" t="s">
        <v>10</v>
      </c>
      <c r="E2907">
        <v>17</v>
      </c>
      <c r="F2907" s="1">
        <v>39202</v>
      </c>
      <c r="G2907">
        <v>1.6966360571956898E-2</v>
      </c>
    </row>
    <row r="2908" spans="1:7" x14ac:dyDescent="0.25">
      <c r="A2908" t="s">
        <v>7</v>
      </c>
      <c r="B2908" t="s">
        <v>18</v>
      </c>
      <c r="C2908" t="s">
        <v>9</v>
      </c>
      <c r="D2908" t="s">
        <v>10</v>
      </c>
      <c r="E2908">
        <v>17</v>
      </c>
      <c r="F2908" s="1">
        <v>39233</v>
      </c>
      <c r="G2908">
        <v>-1.4823118809139601E-2</v>
      </c>
    </row>
    <row r="2909" spans="1:7" x14ac:dyDescent="0.25">
      <c r="A2909" t="s">
        <v>7</v>
      </c>
      <c r="B2909" t="s">
        <v>18</v>
      </c>
      <c r="C2909" t="s">
        <v>9</v>
      </c>
      <c r="D2909" t="s">
        <v>10</v>
      </c>
      <c r="E2909">
        <v>17</v>
      </c>
      <c r="F2909" s="1">
        <v>39263</v>
      </c>
      <c r="G2909">
        <v>3.43121675857007E-3</v>
      </c>
    </row>
    <row r="2910" spans="1:7" x14ac:dyDescent="0.25">
      <c r="A2910" t="s">
        <v>7</v>
      </c>
      <c r="B2910" t="s">
        <v>18</v>
      </c>
      <c r="C2910" t="s">
        <v>9</v>
      </c>
      <c r="D2910" t="s">
        <v>10</v>
      </c>
      <c r="E2910">
        <v>17</v>
      </c>
      <c r="F2910" s="1">
        <v>39294</v>
      </c>
      <c r="G2910">
        <v>-2.7444794450679402E-2</v>
      </c>
    </row>
    <row r="2911" spans="1:7" x14ac:dyDescent="0.25">
      <c r="A2911" t="s">
        <v>7</v>
      </c>
      <c r="B2911" t="s">
        <v>18</v>
      </c>
      <c r="C2911" t="s">
        <v>9</v>
      </c>
      <c r="D2911" t="s">
        <v>10</v>
      </c>
      <c r="E2911">
        <v>17</v>
      </c>
      <c r="F2911" s="1">
        <v>39325</v>
      </c>
      <c r="G2911">
        <v>-1.10535068125214E-2</v>
      </c>
    </row>
    <row r="2912" spans="1:7" x14ac:dyDescent="0.25">
      <c r="A2912" t="s">
        <v>7</v>
      </c>
      <c r="B2912" t="s">
        <v>18</v>
      </c>
      <c r="C2912" t="s">
        <v>9</v>
      </c>
      <c r="D2912" t="s">
        <v>10</v>
      </c>
      <c r="E2912">
        <v>17</v>
      </c>
      <c r="F2912" s="1">
        <v>39355</v>
      </c>
      <c r="G2912">
        <v>1.07178938728772E-3</v>
      </c>
    </row>
    <row r="2913" spans="1:7" x14ac:dyDescent="0.25">
      <c r="A2913" t="s">
        <v>7</v>
      </c>
      <c r="B2913" t="s">
        <v>18</v>
      </c>
      <c r="C2913" t="s">
        <v>9</v>
      </c>
      <c r="D2913" t="s">
        <v>10</v>
      </c>
      <c r="E2913">
        <v>17</v>
      </c>
      <c r="F2913" s="1">
        <v>39386</v>
      </c>
      <c r="G2913">
        <v>-2.4691199083238601E-2</v>
      </c>
    </row>
    <row r="2914" spans="1:7" x14ac:dyDescent="0.25">
      <c r="A2914" t="s">
        <v>7</v>
      </c>
      <c r="B2914" t="s">
        <v>18</v>
      </c>
      <c r="C2914" t="s">
        <v>9</v>
      </c>
      <c r="D2914" t="s">
        <v>10</v>
      </c>
      <c r="E2914">
        <v>17</v>
      </c>
      <c r="F2914" s="1">
        <v>39416</v>
      </c>
      <c r="G2914">
        <v>3.6182260045495101E-3</v>
      </c>
    </row>
    <row r="2915" spans="1:7" x14ac:dyDescent="0.25">
      <c r="A2915" t="s">
        <v>7</v>
      </c>
      <c r="B2915" t="s">
        <v>18</v>
      </c>
      <c r="C2915" t="s">
        <v>9</v>
      </c>
      <c r="D2915" t="s">
        <v>10</v>
      </c>
      <c r="E2915">
        <v>17</v>
      </c>
      <c r="F2915" s="1">
        <v>39447</v>
      </c>
      <c r="G2915">
        <v>-7.82549808967445E-2</v>
      </c>
    </row>
    <row r="2916" spans="1:7" x14ac:dyDescent="0.25">
      <c r="A2916" t="s">
        <v>7</v>
      </c>
      <c r="B2916" t="s">
        <v>18</v>
      </c>
      <c r="C2916" t="s">
        <v>9</v>
      </c>
      <c r="D2916" t="s">
        <v>10</v>
      </c>
      <c r="E2916">
        <v>17</v>
      </c>
      <c r="F2916" s="1">
        <v>39478</v>
      </c>
      <c r="G2916">
        <v>-6.5853849286365302E-3</v>
      </c>
    </row>
    <row r="2917" spans="1:7" x14ac:dyDescent="0.25">
      <c r="A2917" t="s">
        <v>7</v>
      </c>
      <c r="B2917" t="s">
        <v>18</v>
      </c>
      <c r="C2917" t="s">
        <v>9</v>
      </c>
      <c r="D2917" t="s">
        <v>10</v>
      </c>
      <c r="E2917">
        <v>17</v>
      </c>
      <c r="F2917" s="1">
        <v>39507</v>
      </c>
      <c r="G2917">
        <v>1.0144746379440999E-3</v>
      </c>
    </row>
    <row r="2918" spans="1:7" x14ac:dyDescent="0.25">
      <c r="A2918" t="s">
        <v>7</v>
      </c>
      <c r="B2918" t="s">
        <v>18</v>
      </c>
      <c r="C2918" t="s">
        <v>9</v>
      </c>
      <c r="D2918" t="s">
        <v>10</v>
      </c>
      <c r="E2918">
        <v>17</v>
      </c>
      <c r="F2918" s="1">
        <v>39538</v>
      </c>
      <c r="G2918">
        <v>1.0142281346702401E-2</v>
      </c>
    </row>
    <row r="2919" spans="1:7" x14ac:dyDescent="0.25">
      <c r="A2919" t="s">
        <v>7</v>
      </c>
      <c r="B2919" t="s">
        <v>18</v>
      </c>
      <c r="C2919" t="s">
        <v>9</v>
      </c>
      <c r="D2919" t="s">
        <v>10</v>
      </c>
      <c r="E2919">
        <v>17</v>
      </c>
      <c r="F2919" s="1">
        <v>39568</v>
      </c>
      <c r="G2919">
        <v>-1.11173354605142E-2</v>
      </c>
    </row>
    <row r="2920" spans="1:7" x14ac:dyDescent="0.25">
      <c r="A2920" t="s">
        <v>7</v>
      </c>
      <c r="B2920" t="s">
        <v>18</v>
      </c>
      <c r="C2920" t="s">
        <v>9</v>
      </c>
      <c r="D2920" t="s">
        <v>10</v>
      </c>
      <c r="E2920">
        <v>17</v>
      </c>
      <c r="F2920" s="1">
        <v>39599</v>
      </c>
      <c r="G2920">
        <v>-6.89116049641762E-3</v>
      </c>
    </row>
    <row r="2921" spans="1:7" x14ac:dyDescent="0.25">
      <c r="A2921" t="s">
        <v>7</v>
      </c>
      <c r="B2921" t="s">
        <v>18</v>
      </c>
      <c r="C2921" t="s">
        <v>9</v>
      </c>
      <c r="D2921" t="s">
        <v>10</v>
      </c>
      <c r="E2921">
        <v>17</v>
      </c>
      <c r="F2921" s="1">
        <v>39629</v>
      </c>
      <c r="G2921">
        <v>2.22182928941674E-2</v>
      </c>
    </row>
    <row r="2922" spans="1:7" x14ac:dyDescent="0.25">
      <c r="A2922" t="s">
        <v>7</v>
      </c>
      <c r="B2922" t="s">
        <v>18</v>
      </c>
      <c r="C2922" t="s">
        <v>9</v>
      </c>
      <c r="D2922" t="s">
        <v>10</v>
      </c>
      <c r="E2922">
        <v>17</v>
      </c>
      <c r="F2922" s="1">
        <v>39660</v>
      </c>
      <c r="G2922">
        <v>1.9450561205223298E-2</v>
      </c>
    </row>
    <row r="2923" spans="1:7" x14ac:dyDescent="0.25">
      <c r="A2923" t="s">
        <v>7</v>
      </c>
      <c r="B2923" t="s">
        <v>18</v>
      </c>
      <c r="C2923" t="s">
        <v>9</v>
      </c>
      <c r="D2923" t="s">
        <v>10</v>
      </c>
      <c r="E2923">
        <v>17</v>
      </c>
      <c r="F2923" s="1">
        <v>39691</v>
      </c>
      <c r="G2923">
        <v>4.0040322326852097E-2</v>
      </c>
    </row>
    <row r="2924" spans="1:7" x14ac:dyDescent="0.25">
      <c r="A2924" t="s">
        <v>7</v>
      </c>
      <c r="B2924" t="s">
        <v>18</v>
      </c>
      <c r="C2924" t="s">
        <v>9</v>
      </c>
      <c r="D2924" t="s">
        <v>10</v>
      </c>
      <c r="E2924">
        <v>17</v>
      </c>
      <c r="F2924" s="1">
        <v>39721</v>
      </c>
      <c r="G2924">
        <v>5.7767823033744399E-2</v>
      </c>
    </row>
    <row r="2925" spans="1:7" x14ac:dyDescent="0.25">
      <c r="A2925" t="s">
        <v>7</v>
      </c>
      <c r="B2925" t="s">
        <v>18</v>
      </c>
      <c r="C2925" t="s">
        <v>9</v>
      </c>
      <c r="D2925" t="s">
        <v>10</v>
      </c>
      <c r="E2925">
        <v>17</v>
      </c>
      <c r="F2925" s="1">
        <v>39752</v>
      </c>
      <c r="G2925">
        <v>5.87686154498826E-2</v>
      </c>
    </row>
    <row r="2926" spans="1:7" x14ac:dyDescent="0.25">
      <c r="A2926" t="s">
        <v>7</v>
      </c>
      <c r="B2926" t="s">
        <v>18</v>
      </c>
      <c r="C2926" t="s">
        <v>9</v>
      </c>
      <c r="D2926" t="s">
        <v>10</v>
      </c>
      <c r="E2926">
        <v>17</v>
      </c>
      <c r="F2926" s="1">
        <v>39782</v>
      </c>
      <c r="G2926">
        <v>-2.0688722825545E-2</v>
      </c>
    </row>
    <row r="2927" spans="1:7" x14ac:dyDescent="0.25">
      <c r="A2927" t="s">
        <v>7</v>
      </c>
      <c r="B2927" t="s">
        <v>18</v>
      </c>
      <c r="C2927" t="s">
        <v>9</v>
      </c>
      <c r="D2927" t="s">
        <v>10</v>
      </c>
      <c r="E2927">
        <v>17</v>
      </c>
      <c r="F2927" s="1">
        <v>39813</v>
      </c>
      <c r="G2927">
        <v>-2.4798143325648801E-2</v>
      </c>
    </row>
    <row r="2928" spans="1:7" x14ac:dyDescent="0.25">
      <c r="A2928" t="s">
        <v>7</v>
      </c>
      <c r="B2928" t="s">
        <v>18</v>
      </c>
      <c r="C2928" t="s">
        <v>9</v>
      </c>
      <c r="D2928" t="s">
        <v>10</v>
      </c>
      <c r="E2928">
        <v>17</v>
      </c>
      <c r="F2928" s="1">
        <v>39844</v>
      </c>
      <c r="G2928">
        <v>-2.20705665058676E-3</v>
      </c>
    </row>
    <row r="2929" spans="1:7" x14ac:dyDescent="0.25">
      <c r="A2929" t="s">
        <v>7</v>
      </c>
      <c r="B2929" t="s">
        <v>18</v>
      </c>
      <c r="C2929" t="s">
        <v>9</v>
      </c>
      <c r="D2929" t="s">
        <v>10</v>
      </c>
      <c r="E2929">
        <v>17</v>
      </c>
      <c r="F2929" s="1">
        <v>39872</v>
      </c>
      <c r="G2929">
        <v>2.5158336684049699E-2</v>
      </c>
    </row>
    <row r="2930" spans="1:7" x14ac:dyDescent="0.25">
      <c r="A2930" t="s">
        <v>7</v>
      </c>
      <c r="B2930" t="s">
        <v>18</v>
      </c>
      <c r="C2930" t="s">
        <v>9</v>
      </c>
      <c r="D2930" t="s">
        <v>10</v>
      </c>
      <c r="E2930">
        <v>17</v>
      </c>
      <c r="F2930" s="1">
        <v>39903</v>
      </c>
      <c r="G2930">
        <v>-3.8456643045741999E-2</v>
      </c>
    </row>
    <row r="2931" spans="1:7" x14ac:dyDescent="0.25">
      <c r="A2931" t="s">
        <v>7</v>
      </c>
      <c r="B2931" t="s">
        <v>18</v>
      </c>
      <c r="C2931" t="s">
        <v>9</v>
      </c>
      <c r="D2931" t="s">
        <v>10</v>
      </c>
      <c r="E2931">
        <v>17</v>
      </c>
      <c r="F2931" s="1">
        <v>39933</v>
      </c>
      <c r="G2931">
        <v>-5.2297825298922303E-2</v>
      </c>
    </row>
    <row r="2932" spans="1:7" x14ac:dyDescent="0.25">
      <c r="A2932" t="s">
        <v>7</v>
      </c>
      <c r="B2932" t="s">
        <v>18</v>
      </c>
      <c r="C2932" t="s">
        <v>9</v>
      </c>
      <c r="D2932" t="s">
        <v>10</v>
      </c>
      <c r="E2932">
        <v>17</v>
      </c>
      <c r="F2932" s="1">
        <v>39964</v>
      </c>
      <c r="G2932">
        <v>-2.1174135366349298E-2</v>
      </c>
    </row>
    <row r="2933" spans="1:7" x14ac:dyDescent="0.25">
      <c r="A2933" t="s">
        <v>7</v>
      </c>
      <c r="B2933" t="s">
        <v>18</v>
      </c>
      <c r="C2933" t="s">
        <v>9</v>
      </c>
      <c r="D2933" t="s">
        <v>10</v>
      </c>
      <c r="E2933">
        <v>17</v>
      </c>
      <c r="F2933" s="1">
        <v>39994</v>
      </c>
      <c r="G2933">
        <v>2.2291708969749399E-2</v>
      </c>
    </row>
    <row r="2934" spans="1:7" x14ac:dyDescent="0.25">
      <c r="A2934" t="s">
        <v>7</v>
      </c>
      <c r="B2934" t="s">
        <v>18</v>
      </c>
      <c r="C2934" t="s">
        <v>9</v>
      </c>
      <c r="D2934" t="s">
        <v>10</v>
      </c>
      <c r="E2934">
        <v>17</v>
      </c>
      <c r="F2934" s="1">
        <v>40025</v>
      </c>
      <c r="G2934">
        <v>-5.50316421117448E-2</v>
      </c>
    </row>
    <row r="2935" spans="1:7" x14ac:dyDescent="0.25">
      <c r="A2935" t="s">
        <v>7</v>
      </c>
      <c r="B2935" t="s">
        <v>18</v>
      </c>
      <c r="C2935" t="s">
        <v>9</v>
      </c>
      <c r="D2935" t="s">
        <v>10</v>
      </c>
      <c r="E2935">
        <v>17</v>
      </c>
      <c r="F2935" s="1">
        <v>40056</v>
      </c>
      <c r="G2935">
        <v>-8.3116406477656297E-3</v>
      </c>
    </row>
    <row r="2936" spans="1:7" x14ac:dyDescent="0.25">
      <c r="A2936" t="s">
        <v>7</v>
      </c>
      <c r="B2936" t="s">
        <v>18</v>
      </c>
      <c r="C2936" t="s">
        <v>9</v>
      </c>
      <c r="D2936" t="s">
        <v>10</v>
      </c>
      <c r="E2936">
        <v>17</v>
      </c>
      <c r="F2936" s="1">
        <v>40086</v>
      </c>
      <c r="G2936">
        <v>-1.2283227812218E-2</v>
      </c>
    </row>
    <row r="2937" spans="1:7" x14ac:dyDescent="0.25">
      <c r="A2937" t="s">
        <v>7</v>
      </c>
      <c r="B2937" t="s">
        <v>18</v>
      </c>
      <c r="C2937" t="s">
        <v>9</v>
      </c>
      <c r="D2937" t="s">
        <v>10</v>
      </c>
      <c r="E2937">
        <v>17</v>
      </c>
      <c r="F2937" s="1">
        <v>40117</v>
      </c>
      <c r="G2937">
        <v>1.3217328996791599E-2</v>
      </c>
    </row>
    <row r="2938" spans="1:7" x14ac:dyDescent="0.25">
      <c r="A2938" t="s">
        <v>7</v>
      </c>
      <c r="B2938" t="s">
        <v>18</v>
      </c>
      <c r="C2938" t="s">
        <v>9</v>
      </c>
      <c r="D2938" t="s">
        <v>10</v>
      </c>
      <c r="E2938">
        <v>17</v>
      </c>
      <c r="F2938" s="1">
        <v>40147</v>
      </c>
      <c r="G2938">
        <v>-2.46373942303343E-2</v>
      </c>
    </row>
    <row r="2939" spans="1:7" x14ac:dyDescent="0.25">
      <c r="A2939" t="s">
        <v>7</v>
      </c>
      <c r="B2939" t="s">
        <v>18</v>
      </c>
      <c r="C2939" t="s">
        <v>9</v>
      </c>
      <c r="D2939" t="s">
        <v>10</v>
      </c>
      <c r="E2939">
        <v>17</v>
      </c>
      <c r="F2939" s="1">
        <v>40178</v>
      </c>
      <c r="G2939">
        <v>-2.98690685653271E-2</v>
      </c>
    </row>
    <row r="2940" spans="1:7" x14ac:dyDescent="0.25">
      <c r="A2940" t="s">
        <v>7</v>
      </c>
      <c r="B2940" t="s">
        <v>18</v>
      </c>
      <c r="C2940" t="s">
        <v>9</v>
      </c>
      <c r="D2940" t="s">
        <v>10</v>
      </c>
      <c r="E2940">
        <v>17</v>
      </c>
      <c r="F2940" s="1">
        <v>40209</v>
      </c>
      <c r="G2940">
        <v>-8.8026430950104498E-3</v>
      </c>
    </row>
    <row r="2941" spans="1:7" x14ac:dyDescent="0.25">
      <c r="A2941" t="s">
        <v>7</v>
      </c>
      <c r="B2941" t="s">
        <v>18</v>
      </c>
      <c r="C2941" t="s">
        <v>9</v>
      </c>
      <c r="D2941" t="s">
        <v>10</v>
      </c>
      <c r="E2941">
        <v>17</v>
      </c>
      <c r="F2941" s="1">
        <v>40237</v>
      </c>
      <c r="G2941">
        <v>-6.4847411991957897E-3</v>
      </c>
    </row>
    <row r="2942" spans="1:7" x14ac:dyDescent="0.25">
      <c r="A2942" t="s">
        <v>7</v>
      </c>
      <c r="B2942" t="s">
        <v>18</v>
      </c>
      <c r="C2942" t="s">
        <v>9</v>
      </c>
      <c r="D2942" t="s">
        <v>10</v>
      </c>
      <c r="E2942">
        <v>17</v>
      </c>
      <c r="F2942" s="1">
        <v>40268</v>
      </c>
      <c r="G2942">
        <v>2.9488157743927702E-2</v>
      </c>
    </row>
    <row r="2943" spans="1:7" x14ac:dyDescent="0.25">
      <c r="A2943" t="s">
        <v>7</v>
      </c>
      <c r="B2943" t="s">
        <v>18</v>
      </c>
      <c r="C2943" t="s">
        <v>9</v>
      </c>
      <c r="D2943" t="s">
        <v>10</v>
      </c>
      <c r="E2943">
        <v>17</v>
      </c>
      <c r="F2943" s="1">
        <v>40298</v>
      </c>
      <c r="G2943">
        <v>3.17957789244964E-2</v>
      </c>
    </row>
    <row r="2944" spans="1:7" x14ac:dyDescent="0.25">
      <c r="A2944" t="s">
        <v>7</v>
      </c>
      <c r="B2944" t="s">
        <v>18</v>
      </c>
      <c r="C2944" t="s">
        <v>9</v>
      </c>
      <c r="D2944" t="s">
        <v>10</v>
      </c>
      <c r="E2944">
        <v>17</v>
      </c>
      <c r="F2944" s="1">
        <v>40329</v>
      </c>
      <c r="G2944">
        <v>3.1197069127549298E-2</v>
      </c>
    </row>
    <row r="2945" spans="1:7" x14ac:dyDescent="0.25">
      <c r="A2945" t="s">
        <v>7</v>
      </c>
      <c r="B2945" t="s">
        <v>18</v>
      </c>
      <c r="C2945" t="s">
        <v>9</v>
      </c>
      <c r="D2945" t="s">
        <v>10</v>
      </c>
      <c r="E2945">
        <v>17</v>
      </c>
      <c r="F2945" s="1">
        <v>40359</v>
      </c>
      <c r="G2945">
        <v>4.6196395500782597E-2</v>
      </c>
    </row>
    <row r="2946" spans="1:7" x14ac:dyDescent="0.25">
      <c r="A2946" t="s">
        <v>7</v>
      </c>
      <c r="B2946" t="s">
        <v>18</v>
      </c>
      <c r="C2946" t="s">
        <v>9</v>
      </c>
      <c r="D2946" t="s">
        <v>10</v>
      </c>
      <c r="E2946">
        <v>17</v>
      </c>
      <c r="F2946" s="1">
        <v>40390</v>
      </c>
      <c r="G2946">
        <v>-4.4536480069680999E-3</v>
      </c>
    </row>
    <row r="2947" spans="1:7" x14ac:dyDescent="0.25">
      <c r="A2947" t="s">
        <v>7</v>
      </c>
      <c r="B2947" t="s">
        <v>18</v>
      </c>
      <c r="C2947" t="s">
        <v>9</v>
      </c>
      <c r="D2947" t="s">
        <v>10</v>
      </c>
      <c r="E2947">
        <v>17</v>
      </c>
      <c r="F2947" s="1">
        <v>40421</v>
      </c>
      <c r="G2947">
        <v>-2.9945835808186899E-3</v>
      </c>
    </row>
    <row r="2948" spans="1:7" x14ac:dyDescent="0.25">
      <c r="A2948" t="s">
        <v>7</v>
      </c>
      <c r="B2948" t="s">
        <v>18</v>
      </c>
      <c r="C2948" t="s">
        <v>9</v>
      </c>
      <c r="D2948" t="s">
        <v>10</v>
      </c>
      <c r="E2948">
        <v>17</v>
      </c>
      <c r="F2948" s="1">
        <v>40451</v>
      </c>
      <c r="G2948">
        <v>-4.1883757814538099E-3</v>
      </c>
    </row>
    <row r="2949" spans="1:7" x14ac:dyDescent="0.25">
      <c r="A2949" t="s">
        <v>7</v>
      </c>
      <c r="B2949" t="s">
        <v>18</v>
      </c>
      <c r="C2949" t="s">
        <v>9</v>
      </c>
      <c r="D2949" t="s">
        <v>10</v>
      </c>
      <c r="E2949">
        <v>17</v>
      </c>
      <c r="F2949" s="1">
        <v>40482</v>
      </c>
      <c r="G2949">
        <v>3.5329663226191702E-2</v>
      </c>
    </row>
    <row r="2950" spans="1:7" x14ac:dyDescent="0.25">
      <c r="A2950" t="s">
        <v>7</v>
      </c>
      <c r="B2950" t="s">
        <v>18</v>
      </c>
      <c r="C2950" t="s">
        <v>9</v>
      </c>
      <c r="D2950" t="s">
        <v>10</v>
      </c>
      <c r="E2950">
        <v>17</v>
      </c>
      <c r="F2950" s="1">
        <v>40512</v>
      </c>
      <c r="G2950">
        <v>3.5242423375974698E-2</v>
      </c>
    </row>
    <row r="2951" spans="1:7" x14ac:dyDescent="0.25">
      <c r="A2951" t="s">
        <v>7</v>
      </c>
      <c r="B2951" t="s">
        <v>18</v>
      </c>
      <c r="C2951" t="s">
        <v>9</v>
      </c>
      <c r="D2951" t="s">
        <v>10</v>
      </c>
      <c r="E2951">
        <v>17</v>
      </c>
      <c r="F2951" s="1">
        <v>40543</v>
      </c>
      <c r="G2951">
        <v>2.2983911215215601E-3</v>
      </c>
    </row>
    <row r="2952" spans="1:7" x14ac:dyDescent="0.25">
      <c r="A2952" t="s">
        <v>7</v>
      </c>
      <c r="B2952" t="s">
        <v>18</v>
      </c>
      <c r="C2952" t="s">
        <v>9</v>
      </c>
      <c r="D2952" t="s">
        <v>10</v>
      </c>
      <c r="E2952">
        <v>17</v>
      </c>
      <c r="F2952" s="1">
        <v>40574</v>
      </c>
      <c r="G2952">
        <v>-6.9495869609844099E-3</v>
      </c>
    </row>
    <row r="2953" spans="1:7" x14ac:dyDescent="0.25">
      <c r="A2953" t="s">
        <v>7</v>
      </c>
      <c r="B2953" t="s">
        <v>18</v>
      </c>
      <c r="C2953" t="s">
        <v>9</v>
      </c>
      <c r="D2953" t="s">
        <v>10</v>
      </c>
      <c r="E2953">
        <v>17</v>
      </c>
      <c r="F2953" s="1">
        <v>40602</v>
      </c>
      <c r="G2953">
        <v>-1.1937919340634999E-2</v>
      </c>
    </row>
    <row r="2954" spans="1:7" x14ac:dyDescent="0.25">
      <c r="A2954" t="s">
        <v>7</v>
      </c>
      <c r="B2954" t="s">
        <v>18</v>
      </c>
      <c r="C2954" t="s">
        <v>9</v>
      </c>
      <c r="D2954" t="s">
        <v>10</v>
      </c>
      <c r="E2954">
        <v>17</v>
      </c>
      <c r="F2954" s="1">
        <v>40633</v>
      </c>
      <c r="G2954">
        <v>2.6823683818151901E-2</v>
      </c>
    </row>
    <row r="2955" spans="1:7" x14ac:dyDescent="0.25">
      <c r="A2955" t="s">
        <v>7</v>
      </c>
      <c r="B2955" t="s">
        <v>18</v>
      </c>
      <c r="C2955" t="s">
        <v>9</v>
      </c>
      <c r="D2955" t="s">
        <v>10</v>
      </c>
      <c r="E2955">
        <v>17</v>
      </c>
      <c r="F2955" s="1">
        <v>40663</v>
      </c>
      <c r="G2955">
        <v>4.51440355392492E-2</v>
      </c>
    </row>
    <row r="2956" spans="1:7" x14ac:dyDescent="0.25">
      <c r="A2956" t="s">
        <v>7</v>
      </c>
      <c r="B2956" t="s">
        <v>18</v>
      </c>
      <c r="C2956" t="s">
        <v>9</v>
      </c>
      <c r="D2956" t="s">
        <v>10</v>
      </c>
      <c r="E2956">
        <v>17</v>
      </c>
      <c r="F2956" s="1">
        <v>40694</v>
      </c>
      <c r="G2956">
        <v>4.3580386695136003E-2</v>
      </c>
    </row>
    <row r="2957" spans="1:7" x14ac:dyDescent="0.25">
      <c r="A2957" t="s">
        <v>7</v>
      </c>
      <c r="B2957" t="s">
        <v>18</v>
      </c>
      <c r="C2957" t="s">
        <v>9</v>
      </c>
      <c r="D2957" t="s">
        <v>10</v>
      </c>
      <c r="E2957">
        <v>17</v>
      </c>
      <c r="F2957" s="1">
        <v>40724</v>
      </c>
      <c r="G2957">
        <v>1.6707004691024801E-2</v>
      </c>
    </row>
    <row r="2958" spans="1:7" x14ac:dyDescent="0.25">
      <c r="A2958" t="s">
        <v>7</v>
      </c>
      <c r="B2958" t="s">
        <v>18</v>
      </c>
      <c r="C2958" t="s">
        <v>9</v>
      </c>
      <c r="D2958" t="s">
        <v>10</v>
      </c>
      <c r="E2958">
        <v>17</v>
      </c>
      <c r="F2958" s="1">
        <v>40755</v>
      </c>
      <c r="G2958">
        <v>2.5015675580213701E-2</v>
      </c>
    </row>
    <row r="2959" spans="1:7" x14ac:dyDescent="0.25">
      <c r="A2959" t="s">
        <v>7</v>
      </c>
      <c r="B2959" t="s">
        <v>18</v>
      </c>
      <c r="C2959" t="s">
        <v>9</v>
      </c>
      <c r="D2959" t="s">
        <v>10</v>
      </c>
      <c r="E2959">
        <v>17</v>
      </c>
      <c r="F2959" s="1">
        <v>40786</v>
      </c>
      <c r="G2959">
        <v>5.7075296641107699E-2</v>
      </c>
    </row>
    <row r="2960" spans="1:7" x14ac:dyDescent="0.25">
      <c r="A2960" t="s">
        <v>7</v>
      </c>
      <c r="B2960" t="s">
        <v>18</v>
      </c>
      <c r="C2960" t="s">
        <v>9</v>
      </c>
      <c r="D2960" t="s">
        <v>10</v>
      </c>
      <c r="E2960">
        <v>17</v>
      </c>
      <c r="F2960" s="1">
        <v>40816</v>
      </c>
      <c r="G2960">
        <v>2.48431690744014E-2</v>
      </c>
    </row>
    <row r="2961" spans="1:7" x14ac:dyDescent="0.25">
      <c r="A2961" t="s">
        <v>7</v>
      </c>
      <c r="B2961" t="s">
        <v>18</v>
      </c>
      <c r="C2961" t="s">
        <v>9</v>
      </c>
      <c r="D2961" t="s">
        <v>10</v>
      </c>
      <c r="E2961">
        <v>17</v>
      </c>
      <c r="F2961" s="1">
        <v>40847</v>
      </c>
      <c r="G2961">
        <v>-3.8360099390982297E-2</v>
      </c>
    </row>
    <row r="2962" spans="1:7" x14ac:dyDescent="0.25">
      <c r="A2962" t="s">
        <v>7</v>
      </c>
      <c r="B2962" t="s">
        <v>18</v>
      </c>
      <c r="C2962" t="s">
        <v>9</v>
      </c>
      <c r="D2962" t="s">
        <v>10</v>
      </c>
      <c r="E2962">
        <v>17</v>
      </c>
      <c r="F2962" s="1">
        <v>40877</v>
      </c>
      <c r="G2962">
        <v>4.56310393309017E-2</v>
      </c>
    </row>
    <row r="2963" spans="1:7" x14ac:dyDescent="0.25">
      <c r="A2963" t="s">
        <v>7</v>
      </c>
      <c r="B2963" t="s">
        <v>18</v>
      </c>
      <c r="C2963" t="s">
        <v>9</v>
      </c>
      <c r="D2963" t="s">
        <v>10</v>
      </c>
      <c r="E2963">
        <v>17</v>
      </c>
      <c r="F2963" s="1">
        <v>40908</v>
      </c>
      <c r="G2963">
        <v>4.6908881857541601E-3</v>
      </c>
    </row>
    <row r="2964" spans="1:7" x14ac:dyDescent="0.25">
      <c r="A2964" t="s">
        <v>7</v>
      </c>
      <c r="B2964" t="s">
        <v>18</v>
      </c>
      <c r="C2964" t="s">
        <v>9</v>
      </c>
      <c r="D2964" t="s">
        <v>10</v>
      </c>
      <c r="E2964">
        <v>17</v>
      </c>
      <c r="F2964" s="1">
        <v>40939</v>
      </c>
      <c r="G2964">
        <v>-2.0537297851700099E-2</v>
      </c>
    </row>
    <row r="2965" spans="1:7" x14ac:dyDescent="0.25">
      <c r="A2965" t="s">
        <v>7</v>
      </c>
      <c r="B2965" t="s">
        <v>18</v>
      </c>
      <c r="C2965" t="s">
        <v>9</v>
      </c>
      <c r="D2965" t="s">
        <v>10</v>
      </c>
      <c r="E2965">
        <v>17</v>
      </c>
      <c r="F2965" s="1">
        <v>40968</v>
      </c>
      <c r="G2965">
        <v>1.3046938610267201E-2</v>
      </c>
    </row>
    <row r="2966" spans="1:7" x14ac:dyDescent="0.25">
      <c r="A2966" t="s">
        <v>7</v>
      </c>
      <c r="B2966" t="s">
        <v>18</v>
      </c>
      <c r="C2966" t="s">
        <v>9</v>
      </c>
      <c r="D2966" t="s">
        <v>10</v>
      </c>
      <c r="E2966">
        <v>17</v>
      </c>
      <c r="F2966" s="1">
        <v>40999</v>
      </c>
      <c r="G2966">
        <v>2.5836187289180999E-2</v>
      </c>
    </row>
    <row r="2967" spans="1:7" x14ac:dyDescent="0.25">
      <c r="A2967" t="s">
        <v>7</v>
      </c>
      <c r="B2967" t="s">
        <v>18</v>
      </c>
      <c r="C2967" t="s">
        <v>9</v>
      </c>
      <c r="D2967" t="s">
        <v>10</v>
      </c>
      <c r="E2967">
        <v>17</v>
      </c>
      <c r="F2967" s="1">
        <v>41029</v>
      </c>
      <c r="G2967">
        <v>4.78825346150792E-2</v>
      </c>
    </row>
    <row r="2968" spans="1:7" x14ac:dyDescent="0.25">
      <c r="A2968" t="s">
        <v>7</v>
      </c>
      <c r="B2968" t="s">
        <v>18</v>
      </c>
      <c r="C2968" t="s">
        <v>9</v>
      </c>
      <c r="D2968" t="s">
        <v>10</v>
      </c>
      <c r="E2968">
        <v>17</v>
      </c>
      <c r="F2968" s="1">
        <v>41060</v>
      </c>
      <c r="G2968">
        <v>5.9160728569660703E-2</v>
      </c>
    </row>
    <row r="2969" spans="1:7" x14ac:dyDescent="0.25">
      <c r="A2969" t="s">
        <v>7</v>
      </c>
      <c r="B2969" t="s">
        <v>18</v>
      </c>
      <c r="C2969" t="s">
        <v>9</v>
      </c>
      <c r="D2969" t="s">
        <v>10</v>
      </c>
      <c r="E2969">
        <v>17</v>
      </c>
      <c r="F2969" s="1">
        <v>41090</v>
      </c>
      <c r="G2969">
        <v>6.7206001280635294E-2</v>
      </c>
    </row>
    <row r="2970" spans="1:7" x14ac:dyDescent="0.25">
      <c r="A2970" t="s">
        <v>7</v>
      </c>
      <c r="B2970" t="s">
        <v>18</v>
      </c>
      <c r="C2970" t="s">
        <v>9</v>
      </c>
      <c r="D2970" t="s">
        <v>10</v>
      </c>
      <c r="E2970">
        <v>17</v>
      </c>
      <c r="F2970" s="1">
        <v>41121</v>
      </c>
      <c r="G2970">
        <v>-1.3138484771005E-2</v>
      </c>
    </row>
    <row r="2971" spans="1:7" x14ac:dyDescent="0.25">
      <c r="A2971" t="s">
        <v>7</v>
      </c>
      <c r="B2971" t="s">
        <v>18</v>
      </c>
      <c r="C2971" t="s">
        <v>9</v>
      </c>
      <c r="D2971" t="s">
        <v>10</v>
      </c>
      <c r="E2971">
        <v>17</v>
      </c>
      <c r="F2971" s="1">
        <v>41152</v>
      </c>
      <c r="G2971">
        <v>-3.6154781965566998E-2</v>
      </c>
    </row>
    <row r="2972" spans="1:7" x14ac:dyDescent="0.25">
      <c r="A2972" t="s">
        <v>7</v>
      </c>
      <c r="B2972" t="s">
        <v>18</v>
      </c>
      <c r="C2972" t="s">
        <v>9</v>
      </c>
      <c r="D2972" t="s">
        <v>10</v>
      </c>
      <c r="E2972">
        <v>17</v>
      </c>
      <c r="F2972" s="1">
        <v>41182</v>
      </c>
      <c r="G2972">
        <v>-2.68007044450632E-2</v>
      </c>
    </row>
    <row r="2973" spans="1:7" x14ac:dyDescent="0.25">
      <c r="A2973" t="s">
        <v>7</v>
      </c>
      <c r="B2973" t="s">
        <v>18</v>
      </c>
      <c r="C2973" t="s">
        <v>9</v>
      </c>
      <c r="D2973" t="s">
        <v>10</v>
      </c>
      <c r="E2973">
        <v>17</v>
      </c>
      <c r="F2973" s="1">
        <v>41213</v>
      </c>
      <c r="G2973">
        <v>2.44266943540981E-2</v>
      </c>
    </row>
    <row r="2974" spans="1:7" x14ac:dyDescent="0.25">
      <c r="A2974" t="s">
        <v>7</v>
      </c>
      <c r="B2974" t="s">
        <v>18</v>
      </c>
      <c r="C2974" t="s">
        <v>9</v>
      </c>
      <c r="D2974" t="s">
        <v>10</v>
      </c>
      <c r="E2974">
        <v>17</v>
      </c>
      <c r="F2974" s="1">
        <v>41243</v>
      </c>
      <c r="G2974">
        <v>3.5632066095555803E-2</v>
      </c>
    </row>
    <row r="2975" spans="1:7" x14ac:dyDescent="0.25">
      <c r="A2975" t="s">
        <v>7</v>
      </c>
      <c r="B2975" t="s">
        <v>18</v>
      </c>
      <c r="C2975" t="s">
        <v>9</v>
      </c>
      <c r="D2975" t="s">
        <v>10</v>
      </c>
      <c r="E2975">
        <v>17</v>
      </c>
      <c r="F2975" s="1">
        <v>41274</v>
      </c>
      <c r="G2975">
        <v>-3.0527974096900501E-2</v>
      </c>
    </row>
    <row r="2976" spans="1:7" x14ac:dyDescent="0.25">
      <c r="A2976" t="s">
        <v>7</v>
      </c>
      <c r="B2976" t="s">
        <v>18</v>
      </c>
      <c r="C2976" t="s">
        <v>9</v>
      </c>
      <c r="D2976" t="s">
        <v>10</v>
      </c>
      <c r="E2976">
        <v>17</v>
      </c>
      <c r="F2976" s="1">
        <v>41305</v>
      </c>
      <c r="G2976">
        <v>-5.6674927471677501E-3</v>
      </c>
    </row>
    <row r="2977" spans="1:7" x14ac:dyDescent="0.25">
      <c r="A2977" t="s">
        <v>7</v>
      </c>
      <c r="B2977" t="s">
        <v>18</v>
      </c>
      <c r="C2977" t="s">
        <v>9</v>
      </c>
      <c r="D2977" t="s">
        <v>10</v>
      </c>
      <c r="E2977">
        <v>17</v>
      </c>
      <c r="F2977" s="1">
        <v>41333</v>
      </c>
      <c r="G2977">
        <v>2.7736127360502301E-2</v>
      </c>
    </row>
    <row r="2978" spans="1:7" x14ac:dyDescent="0.25">
      <c r="A2978" t="s">
        <v>7</v>
      </c>
      <c r="B2978" t="s">
        <v>18</v>
      </c>
      <c r="C2978" t="s">
        <v>9</v>
      </c>
      <c r="D2978" t="s">
        <v>10</v>
      </c>
      <c r="E2978">
        <v>17</v>
      </c>
      <c r="F2978" s="1">
        <v>41364</v>
      </c>
      <c r="G2978">
        <v>1.6221168140727001E-2</v>
      </c>
    </row>
    <row r="2979" spans="1:7" x14ac:dyDescent="0.25">
      <c r="A2979" t="s">
        <v>7</v>
      </c>
      <c r="B2979" t="s">
        <v>18</v>
      </c>
      <c r="C2979" t="s">
        <v>9</v>
      </c>
      <c r="D2979" t="s">
        <v>10</v>
      </c>
      <c r="E2979">
        <v>17</v>
      </c>
      <c r="F2979" s="1">
        <v>41394</v>
      </c>
      <c r="G2979">
        <v>4.6828847381530099E-2</v>
      </c>
    </row>
    <row r="2980" spans="1:7" x14ac:dyDescent="0.25">
      <c r="A2980" t="s">
        <v>7</v>
      </c>
      <c r="B2980" t="s">
        <v>18</v>
      </c>
      <c r="C2980" t="s">
        <v>9</v>
      </c>
      <c r="D2980" t="s">
        <v>10</v>
      </c>
      <c r="E2980">
        <v>17</v>
      </c>
      <c r="F2980" s="1">
        <v>41425</v>
      </c>
      <c r="G2980">
        <v>9.8197339319552497E-3</v>
      </c>
    </row>
    <row r="2981" spans="1:7" x14ac:dyDescent="0.25">
      <c r="A2981" t="s">
        <v>7</v>
      </c>
      <c r="B2981" t="s">
        <v>18</v>
      </c>
      <c r="C2981" t="s">
        <v>9</v>
      </c>
      <c r="D2981" t="s">
        <v>10</v>
      </c>
      <c r="E2981">
        <v>17</v>
      </c>
      <c r="F2981" s="1">
        <v>41455</v>
      </c>
      <c r="G2981">
        <v>1.5687150984911899E-2</v>
      </c>
    </row>
    <row r="2982" spans="1:7" x14ac:dyDescent="0.25">
      <c r="A2982" t="s">
        <v>7</v>
      </c>
      <c r="B2982" t="s">
        <v>18</v>
      </c>
      <c r="C2982" t="s">
        <v>9</v>
      </c>
      <c r="D2982" t="s">
        <v>10</v>
      </c>
      <c r="E2982">
        <v>17</v>
      </c>
      <c r="F2982" s="1">
        <v>41486</v>
      </c>
      <c r="G2982">
        <v>-1.1414724032886799E-3</v>
      </c>
    </row>
    <row r="2983" spans="1:7" x14ac:dyDescent="0.25">
      <c r="A2983" t="s">
        <v>7</v>
      </c>
      <c r="B2983" t="s">
        <v>18</v>
      </c>
      <c r="C2983" t="s">
        <v>9</v>
      </c>
      <c r="D2983" t="s">
        <v>10</v>
      </c>
      <c r="E2983">
        <v>17</v>
      </c>
      <c r="F2983" s="1">
        <v>41517</v>
      </c>
      <c r="G2983">
        <v>-2.6566706185992099E-2</v>
      </c>
    </row>
    <row r="2984" spans="1:7" x14ac:dyDescent="0.25">
      <c r="A2984" t="s">
        <v>7</v>
      </c>
      <c r="B2984" t="s">
        <v>18</v>
      </c>
      <c r="C2984" t="s">
        <v>9</v>
      </c>
      <c r="D2984" t="s">
        <v>10</v>
      </c>
      <c r="E2984">
        <v>17</v>
      </c>
      <c r="F2984" s="1">
        <v>41547</v>
      </c>
      <c r="G2984">
        <v>2.0536692822279299E-2</v>
      </c>
    </row>
    <row r="2985" spans="1:7" x14ac:dyDescent="0.25">
      <c r="A2985" t="s">
        <v>7</v>
      </c>
      <c r="B2985" t="s">
        <v>18</v>
      </c>
      <c r="C2985" t="s">
        <v>9</v>
      </c>
      <c r="D2985" t="s">
        <v>10</v>
      </c>
      <c r="E2985">
        <v>17</v>
      </c>
      <c r="F2985" s="1">
        <v>41578</v>
      </c>
      <c r="G2985">
        <v>-1.08225347536424E-3</v>
      </c>
    </row>
    <row r="2986" spans="1:7" x14ac:dyDescent="0.25">
      <c r="A2986" t="s">
        <v>7</v>
      </c>
      <c r="B2986" t="s">
        <v>18</v>
      </c>
      <c r="C2986" t="s">
        <v>9</v>
      </c>
      <c r="D2986" t="s">
        <v>10</v>
      </c>
      <c r="E2986">
        <v>17</v>
      </c>
      <c r="F2986" s="1">
        <v>41608</v>
      </c>
      <c r="G2986">
        <v>2.09720471780316E-2</v>
      </c>
    </row>
    <row r="2987" spans="1:7" x14ac:dyDescent="0.25">
      <c r="A2987" t="s">
        <v>7</v>
      </c>
      <c r="B2987" t="s">
        <v>18</v>
      </c>
      <c r="C2987" t="s">
        <v>9</v>
      </c>
      <c r="D2987" t="s">
        <v>10</v>
      </c>
      <c r="E2987">
        <v>17</v>
      </c>
      <c r="F2987" s="1">
        <v>41639</v>
      </c>
      <c r="G2987">
        <v>-2.0260555446904398E-2</v>
      </c>
    </row>
    <row r="2988" spans="1:7" x14ac:dyDescent="0.25">
      <c r="A2988" t="s">
        <v>7</v>
      </c>
      <c r="B2988" t="s">
        <v>18</v>
      </c>
      <c r="C2988" t="s">
        <v>9</v>
      </c>
      <c r="D2988" t="s">
        <v>10</v>
      </c>
      <c r="E2988">
        <v>17</v>
      </c>
      <c r="F2988" s="1">
        <v>41670</v>
      </c>
      <c r="G2988">
        <v>4.2173993297918598E-3</v>
      </c>
    </row>
    <row r="2989" spans="1:7" x14ac:dyDescent="0.25">
      <c r="A2989" t="s">
        <v>7</v>
      </c>
      <c r="B2989" t="s">
        <v>18</v>
      </c>
      <c r="C2989" t="s">
        <v>9</v>
      </c>
      <c r="D2989" t="s">
        <v>10</v>
      </c>
      <c r="E2989">
        <v>17</v>
      </c>
      <c r="F2989" s="1">
        <v>41698</v>
      </c>
      <c r="G2989">
        <v>1.7220585068466899E-2</v>
      </c>
    </row>
    <row r="2990" spans="1:7" x14ac:dyDescent="0.25">
      <c r="A2990" t="s">
        <v>7</v>
      </c>
      <c r="B2990" t="s">
        <v>18</v>
      </c>
      <c r="C2990" t="s">
        <v>9</v>
      </c>
      <c r="D2990" t="s">
        <v>10</v>
      </c>
      <c r="E2990">
        <v>17</v>
      </c>
      <c r="F2990" s="1">
        <v>41729</v>
      </c>
      <c r="G2990">
        <v>1.76444519042579E-2</v>
      </c>
    </row>
    <row r="2991" spans="1:7" x14ac:dyDescent="0.25">
      <c r="A2991" t="s">
        <v>7</v>
      </c>
      <c r="B2991" t="s">
        <v>18</v>
      </c>
      <c r="C2991" t="s">
        <v>9</v>
      </c>
      <c r="D2991" t="s">
        <v>10</v>
      </c>
      <c r="E2991">
        <v>17</v>
      </c>
      <c r="F2991" s="1">
        <v>41759</v>
      </c>
      <c r="G2991">
        <v>2.40730398349535E-2</v>
      </c>
    </row>
    <row r="2992" spans="1:7" x14ac:dyDescent="0.25">
      <c r="A2992" t="s">
        <v>7</v>
      </c>
      <c r="B2992" t="s">
        <v>18</v>
      </c>
      <c r="C2992" t="s">
        <v>9</v>
      </c>
      <c r="D2992" t="s">
        <v>10</v>
      </c>
      <c r="E2992">
        <v>17</v>
      </c>
      <c r="F2992" s="1">
        <v>41790</v>
      </c>
      <c r="G2992">
        <v>8.0319761805824307E-3</v>
      </c>
    </row>
    <row r="2993" spans="1:7" x14ac:dyDescent="0.25">
      <c r="A2993" t="s">
        <v>7</v>
      </c>
      <c r="B2993" t="s">
        <v>18</v>
      </c>
      <c r="C2993" t="s">
        <v>9</v>
      </c>
      <c r="D2993" t="s">
        <v>10</v>
      </c>
      <c r="E2993">
        <v>17</v>
      </c>
      <c r="F2993" s="1">
        <v>41820</v>
      </c>
      <c r="G2993">
        <v>-1.54684323681815E-2</v>
      </c>
    </row>
    <row r="2994" spans="1:7" x14ac:dyDescent="0.25">
      <c r="A2994" t="s">
        <v>7</v>
      </c>
      <c r="B2994" t="s">
        <v>18</v>
      </c>
      <c r="C2994" t="s">
        <v>9</v>
      </c>
      <c r="D2994" t="s">
        <v>10</v>
      </c>
      <c r="E2994">
        <v>17</v>
      </c>
      <c r="F2994" s="1">
        <v>41851</v>
      </c>
      <c r="G2994">
        <v>-2.6051041463533299E-2</v>
      </c>
    </row>
    <row r="2995" spans="1:7" x14ac:dyDescent="0.25">
      <c r="A2995" t="s">
        <v>7</v>
      </c>
      <c r="B2995" t="s">
        <v>18</v>
      </c>
      <c r="C2995" t="s">
        <v>9</v>
      </c>
      <c r="D2995" t="s">
        <v>10</v>
      </c>
      <c r="E2995">
        <v>17</v>
      </c>
      <c r="F2995" s="1">
        <v>41882</v>
      </c>
      <c r="G2995">
        <v>-1.37443127260508E-3</v>
      </c>
    </row>
    <row r="2996" spans="1:7" x14ac:dyDescent="0.25">
      <c r="A2996" t="s">
        <v>7</v>
      </c>
      <c r="B2996" t="s">
        <v>18</v>
      </c>
      <c r="C2996" t="s">
        <v>9</v>
      </c>
      <c r="D2996" t="s">
        <v>10</v>
      </c>
      <c r="E2996">
        <v>17</v>
      </c>
      <c r="F2996" s="1">
        <v>41912</v>
      </c>
      <c r="G2996">
        <v>3.01880468722961E-2</v>
      </c>
    </row>
    <row r="2997" spans="1:7" x14ac:dyDescent="0.25">
      <c r="A2997" t="s">
        <v>7</v>
      </c>
      <c r="B2997" t="s">
        <v>18</v>
      </c>
      <c r="C2997" t="s">
        <v>9</v>
      </c>
      <c r="D2997" t="s">
        <v>10</v>
      </c>
      <c r="E2997">
        <v>17</v>
      </c>
      <c r="F2997" s="1">
        <v>41943</v>
      </c>
      <c r="G2997">
        <v>3.6687075940496999E-2</v>
      </c>
    </row>
    <row r="2998" spans="1:7" x14ac:dyDescent="0.25">
      <c r="A2998" t="s">
        <v>7</v>
      </c>
      <c r="B2998" t="s">
        <v>18</v>
      </c>
      <c r="C2998" t="s">
        <v>9</v>
      </c>
      <c r="D2998" t="s">
        <v>10</v>
      </c>
      <c r="E2998">
        <v>17</v>
      </c>
      <c r="F2998" s="1">
        <v>41973</v>
      </c>
      <c r="G2998">
        <v>2.2553604752216402E-2</v>
      </c>
    </row>
    <row r="2999" spans="1:7" x14ac:dyDescent="0.25">
      <c r="A2999" t="s">
        <v>7</v>
      </c>
      <c r="B2999" t="s">
        <v>18</v>
      </c>
      <c r="C2999" t="s">
        <v>9</v>
      </c>
      <c r="D2999" t="s">
        <v>10</v>
      </c>
      <c r="E2999">
        <v>17</v>
      </c>
      <c r="F2999" s="1">
        <v>42004</v>
      </c>
      <c r="G2999">
        <v>1.9561853879276E-2</v>
      </c>
    </row>
    <row r="3000" spans="1:7" x14ac:dyDescent="0.25">
      <c r="A3000" t="s">
        <v>7</v>
      </c>
      <c r="B3000" t="s">
        <v>18</v>
      </c>
      <c r="C3000" t="s">
        <v>9</v>
      </c>
      <c r="D3000" t="s">
        <v>10</v>
      </c>
      <c r="E3000">
        <v>17</v>
      </c>
      <c r="F3000" s="1">
        <v>42035</v>
      </c>
      <c r="G3000">
        <v>5.5522940377683398E-2</v>
      </c>
    </row>
    <row r="3001" spans="1:7" x14ac:dyDescent="0.25">
      <c r="A3001" t="s">
        <v>7</v>
      </c>
      <c r="B3001" t="s">
        <v>18</v>
      </c>
      <c r="C3001" t="s">
        <v>9</v>
      </c>
      <c r="D3001" t="s">
        <v>10</v>
      </c>
      <c r="E3001">
        <v>17</v>
      </c>
      <c r="F3001" s="1">
        <v>42063</v>
      </c>
      <c r="G3001">
        <v>-2.6828144768208401E-2</v>
      </c>
    </row>
    <row r="3002" spans="1:7" x14ac:dyDescent="0.25">
      <c r="A3002" t="s">
        <v>7</v>
      </c>
      <c r="B3002" t="s">
        <v>18</v>
      </c>
      <c r="C3002" t="s">
        <v>9</v>
      </c>
      <c r="D3002" t="s">
        <v>10</v>
      </c>
      <c r="E3002">
        <v>17</v>
      </c>
      <c r="F3002" s="1">
        <v>42094</v>
      </c>
      <c r="G3002">
        <v>-1.0817752768691799E-2</v>
      </c>
    </row>
    <row r="3003" spans="1:7" x14ac:dyDescent="0.25">
      <c r="A3003" t="s">
        <v>7</v>
      </c>
      <c r="B3003" t="s">
        <v>18</v>
      </c>
      <c r="C3003" t="s">
        <v>9</v>
      </c>
      <c r="D3003" t="s">
        <v>10</v>
      </c>
      <c r="E3003">
        <v>17</v>
      </c>
      <c r="F3003" s="1">
        <v>42124</v>
      </c>
      <c r="G3003">
        <v>-1.6737894523131399E-2</v>
      </c>
    </row>
    <row r="3004" spans="1:7" x14ac:dyDescent="0.25">
      <c r="A3004" t="s">
        <v>7</v>
      </c>
      <c r="B3004" t="s">
        <v>18</v>
      </c>
      <c r="C3004" t="s">
        <v>9</v>
      </c>
      <c r="D3004" t="s">
        <v>10</v>
      </c>
      <c r="E3004">
        <v>17</v>
      </c>
      <c r="F3004" s="1">
        <v>42155</v>
      </c>
      <c r="G3004">
        <v>1.9609352801920499E-2</v>
      </c>
    </row>
    <row r="3005" spans="1:7" x14ac:dyDescent="0.25">
      <c r="A3005" t="s">
        <v>7</v>
      </c>
      <c r="B3005" t="s">
        <v>18</v>
      </c>
      <c r="C3005" t="s">
        <v>9</v>
      </c>
      <c r="D3005" t="s">
        <v>10</v>
      </c>
      <c r="E3005">
        <v>17</v>
      </c>
      <c r="F3005" s="1">
        <v>42185</v>
      </c>
      <c r="G3005">
        <v>1.45559306844881E-2</v>
      </c>
    </row>
    <row r="3006" spans="1:7" x14ac:dyDescent="0.25">
      <c r="A3006" t="s">
        <v>7</v>
      </c>
      <c r="B3006" t="s">
        <v>18</v>
      </c>
      <c r="C3006" t="s">
        <v>9</v>
      </c>
      <c r="D3006" t="s">
        <v>10</v>
      </c>
      <c r="E3006">
        <v>17</v>
      </c>
      <c r="F3006" s="1">
        <v>42216</v>
      </c>
      <c r="G3006">
        <v>3.7679354741223997E-2</v>
      </c>
    </row>
    <row r="3007" spans="1:7" x14ac:dyDescent="0.25">
      <c r="A3007" t="s">
        <v>7</v>
      </c>
      <c r="B3007" t="s">
        <v>18</v>
      </c>
      <c r="C3007" t="s">
        <v>9</v>
      </c>
      <c r="D3007" t="s">
        <v>10</v>
      </c>
      <c r="E3007">
        <v>17</v>
      </c>
      <c r="F3007" s="1">
        <v>42247</v>
      </c>
      <c r="G3007">
        <v>2.7205158560011499E-2</v>
      </c>
    </row>
    <row r="3008" spans="1:7" x14ac:dyDescent="0.25">
      <c r="A3008" t="s">
        <v>7</v>
      </c>
      <c r="B3008" t="s">
        <v>18</v>
      </c>
      <c r="C3008" t="s">
        <v>9</v>
      </c>
      <c r="D3008" t="s">
        <v>10</v>
      </c>
      <c r="E3008">
        <v>17</v>
      </c>
      <c r="F3008" s="1">
        <v>42277</v>
      </c>
      <c r="G3008">
        <v>4.6585602285875603E-3</v>
      </c>
    </row>
    <row r="3009" spans="1:7" x14ac:dyDescent="0.25">
      <c r="A3009" t="s">
        <v>7</v>
      </c>
      <c r="B3009" t="s">
        <v>18</v>
      </c>
      <c r="C3009" t="s">
        <v>9</v>
      </c>
      <c r="D3009" t="s">
        <v>10</v>
      </c>
      <c r="E3009">
        <v>17</v>
      </c>
      <c r="F3009" s="1">
        <v>42308</v>
      </c>
      <c r="G3009">
        <v>-3.5802763853290502E-2</v>
      </c>
    </row>
    <row r="3010" spans="1:7" x14ac:dyDescent="0.25">
      <c r="A3010" t="s">
        <v>7</v>
      </c>
      <c r="B3010" t="s">
        <v>18</v>
      </c>
      <c r="C3010" t="s">
        <v>9</v>
      </c>
      <c r="D3010" t="s">
        <v>10</v>
      </c>
      <c r="E3010">
        <v>17</v>
      </c>
      <c r="F3010" s="1">
        <v>42338</v>
      </c>
      <c r="G3010">
        <v>-6.0080612577829297E-2</v>
      </c>
    </row>
    <row r="3011" spans="1:7" x14ac:dyDescent="0.25">
      <c r="A3011" t="s">
        <v>7</v>
      </c>
      <c r="B3011" t="s">
        <v>18</v>
      </c>
      <c r="C3011" t="s">
        <v>9</v>
      </c>
      <c r="D3011" t="s">
        <v>10</v>
      </c>
      <c r="E3011">
        <v>17</v>
      </c>
      <c r="F3011" s="1">
        <v>42369</v>
      </c>
      <c r="G3011">
        <v>3.68986179450003E-3</v>
      </c>
    </row>
    <row r="3012" spans="1:7" x14ac:dyDescent="0.25">
      <c r="A3012" t="s">
        <v>7</v>
      </c>
      <c r="B3012" t="s">
        <v>18</v>
      </c>
      <c r="C3012" t="s">
        <v>9</v>
      </c>
      <c r="D3012" t="s">
        <v>10</v>
      </c>
      <c r="E3012">
        <v>17</v>
      </c>
      <c r="F3012" s="1">
        <v>42400</v>
      </c>
      <c r="G3012">
        <v>-1.6036990486651399E-3</v>
      </c>
    </row>
    <row r="3013" spans="1:7" x14ac:dyDescent="0.25">
      <c r="A3013" t="s">
        <v>7</v>
      </c>
      <c r="B3013" t="s">
        <v>18</v>
      </c>
      <c r="C3013" t="s">
        <v>9</v>
      </c>
      <c r="D3013" t="s">
        <v>10</v>
      </c>
      <c r="E3013">
        <v>17</v>
      </c>
      <c r="F3013" s="1">
        <v>42429</v>
      </c>
      <c r="G3013">
        <v>-9.8554372840468796E-3</v>
      </c>
    </row>
    <row r="3014" spans="1:7" x14ac:dyDescent="0.25">
      <c r="A3014" t="s">
        <v>7</v>
      </c>
      <c r="B3014" t="s">
        <v>18</v>
      </c>
      <c r="C3014" t="s">
        <v>9</v>
      </c>
      <c r="D3014" t="s">
        <v>10</v>
      </c>
      <c r="E3014">
        <v>17</v>
      </c>
      <c r="F3014" s="1">
        <v>42460</v>
      </c>
      <c r="G3014">
        <v>-2.0136662268384599E-2</v>
      </c>
    </row>
    <row r="3015" spans="1:7" x14ac:dyDescent="0.25">
      <c r="A3015" t="s">
        <v>7</v>
      </c>
      <c r="B3015" t="s">
        <v>18</v>
      </c>
      <c r="C3015" t="s">
        <v>9</v>
      </c>
      <c r="D3015" t="s">
        <v>10</v>
      </c>
      <c r="E3015">
        <v>17</v>
      </c>
      <c r="F3015" s="1">
        <v>42490</v>
      </c>
      <c r="G3015">
        <v>-6.1620360554293402E-2</v>
      </c>
    </row>
    <row r="3016" spans="1:7" x14ac:dyDescent="0.25">
      <c r="A3016" t="s">
        <v>7</v>
      </c>
      <c r="B3016" t="s">
        <v>18</v>
      </c>
      <c r="C3016" t="s">
        <v>9</v>
      </c>
      <c r="D3016" t="s">
        <v>10</v>
      </c>
      <c r="E3016">
        <v>17</v>
      </c>
      <c r="F3016" s="1">
        <v>42521</v>
      </c>
      <c r="G3016">
        <v>4.7072712205607499E-2</v>
      </c>
    </row>
    <row r="3017" spans="1:7" x14ac:dyDescent="0.25">
      <c r="A3017" t="s">
        <v>7</v>
      </c>
      <c r="B3017" t="s">
        <v>18</v>
      </c>
      <c r="C3017" t="s">
        <v>9</v>
      </c>
      <c r="D3017" t="s">
        <v>10</v>
      </c>
      <c r="E3017">
        <v>17</v>
      </c>
      <c r="F3017" s="1">
        <v>42551</v>
      </c>
      <c r="G3017">
        <v>8.7562885815723E-3</v>
      </c>
    </row>
    <row r="3018" spans="1:7" x14ac:dyDescent="0.25">
      <c r="A3018" t="s">
        <v>7</v>
      </c>
      <c r="B3018" t="s">
        <v>18</v>
      </c>
      <c r="C3018" t="s">
        <v>9</v>
      </c>
      <c r="D3018" t="s">
        <v>10</v>
      </c>
      <c r="E3018">
        <v>17</v>
      </c>
      <c r="F3018" s="1">
        <v>42582</v>
      </c>
      <c r="G3018">
        <v>-2.7045079377945199E-2</v>
      </c>
    </row>
    <row r="3019" spans="1:7" x14ac:dyDescent="0.25">
      <c r="A3019" t="s">
        <v>7</v>
      </c>
      <c r="B3019" t="s">
        <v>18</v>
      </c>
      <c r="C3019" t="s">
        <v>9</v>
      </c>
      <c r="D3019" t="s">
        <v>10</v>
      </c>
      <c r="E3019">
        <v>17</v>
      </c>
      <c r="F3019" s="1">
        <v>42613</v>
      </c>
      <c r="G3019">
        <v>-3.6080979627575401E-4</v>
      </c>
    </row>
    <row r="3020" spans="1:7" x14ac:dyDescent="0.25">
      <c r="A3020" t="s">
        <v>7</v>
      </c>
      <c r="B3020" t="s">
        <v>18</v>
      </c>
      <c r="C3020" t="s">
        <v>9</v>
      </c>
      <c r="D3020" t="s">
        <v>10</v>
      </c>
      <c r="E3020">
        <v>17</v>
      </c>
      <c r="F3020" s="1">
        <v>42643</v>
      </c>
      <c r="G3020">
        <v>5.3438721146565997E-3</v>
      </c>
    </row>
    <row r="3021" spans="1:7" x14ac:dyDescent="0.25">
      <c r="A3021" t="s">
        <v>7</v>
      </c>
      <c r="B3021" t="s">
        <v>18</v>
      </c>
      <c r="C3021" t="s">
        <v>9</v>
      </c>
      <c r="D3021" t="s">
        <v>10</v>
      </c>
      <c r="E3021">
        <v>17</v>
      </c>
      <c r="F3021" s="1">
        <v>42674</v>
      </c>
      <c r="G3021">
        <v>-2.4758862175919199E-2</v>
      </c>
    </row>
    <row r="3022" spans="1:7" x14ac:dyDescent="0.25">
      <c r="A3022" t="s">
        <v>7</v>
      </c>
      <c r="B3022" t="s">
        <v>18</v>
      </c>
      <c r="C3022" t="s">
        <v>9</v>
      </c>
      <c r="D3022" t="s">
        <v>10</v>
      </c>
      <c r="E3022">
        <v>17</v>
      </c>
      <c r="F3022" s="1">
        <v>42704</v>
      </c>
      <c r="G3022">
        <v>-1.61291258385051E-2</v>
      </c>
    </row>
    <row r="3023" spans="1:7" x14ac:dyDescent="0.25">
      <c r="A3023" t="s">
        <v>7</v>
      </c>
      <c r="B3023" t="s">
        <v>18</v>
      </c>
      <c r="C3023" t="s">
        <v>9</v>
      </c>
      <c r="D3023" t="s">
        <v>10</v>
      </c>
      <c r="E3023">
        <v>17</v>
      </c>
      <c r="F3023" s="1">
        <v>42735</v>
      </c>
      <c r="G3023">
        <v>-2.4317444637501598E-3</v>
      </c>
    </row>
    <row r="3024" spans="1:7" x14ac:dyDescent="0.25">
      <c r="A3024" t="s">
        <v>7</v>
      </c>
      <c r="B3024" t="s">
        <v>18</v>
      </c>
      <c r="C3024" t="s">
        <v>9</v>
      </c>
      <c r="D3024" t="s">
        <v>10</v>
      </c>
      <c r="E3024">
        <v>17</v>
      </c>
      <c r="F3024" s="1">
        <v>42766</v>
      </c>
      <c r="G3024">
        <v>-3.1023044395130001E-2</v>
      </c>
    </row>
    <row r="3025" spans="1:7" x14ac:dyDescent="0.25">
      <c r="A3025" t="s">
        <v>7</v>
      </c>
      <c r="B3025" t="s">
        <v>18</v>
      </c>
      <c r="C3025" t="s">
        <v>9</v>
      </c>
      <c r="D3025" t="s">
        <v>10</v>
      </c>
      <c r="E3025">
        <v>17</v>
      </c>
      <c r="F3025" s="1">
        <v>42794</v>
      </c>
      <c r="G3025">
        <v>-7.3590030995887297E-4</v>
      </c>
    </row>
    <row r="3026" spans="1:7" x14ac:dyDescent="0.25">
      <c r="A3026" t="s">
        <v>7</v>
      </c>
      <c r="B3026" t="s">
        <v>18</v>
      </c>
      <c r="C3026" t="s">
        <v>9</v>
      </c>
      <c r="D3026" t="s">
        <v>10</v>
      </c>
      <c r="E3026">
        <v>17</v>
      </c>
      <c r="F3026" s="1">
        <v>42825</v>
      </c>
      <c r="G3026">
        <v>3.5239380818384597E-2</v>
      </c>
    </row>
    <row r="3027" spans="1:7" x14ac:dyDescent="0.25">
      <c r="A3027" t="s">
        <v>7</v>
      </c>
      <c r="B3027" t="s">
        <v>18</v>
      </c>
      <c r="C3027" t="s">
        <v>9</v>
      </c>
      <c r="D3027" t="s">
        <v>10</v>
      </c>
      <c r="E3027">
        <v>17</v>
      </c>
      <c r="F3027" s="1">
        <v>42855</v>
      </c>
      <c r="G3027">
        <v>3.0794082456092501E-2</v>
      </c>
    </row>
    <row r="3028" spans="1:7" x14ac:dyDescent="0.25">
      <c r="A3028" t="s">
        <v>7</v>
      </c>
      <c r="B3028" t="s">
        <v>18</v>
      </c>
      <c r="C3028" t="s">
        <v>9</v>
      </c>
      <c r="D3028" t="s">
        <v>10</v>
      </c>
      <c r="E3028">
        <v>17</v>
      </c>
      <c r="F3028" s="1">
        <v>42886</v>
      </c>
      <c r="G3028">
        <v>4.8846360138526002E-2</v>
      </c>
    </row>
    <row r="3029" spans="1:7" x14ac:dyDescent="0.25">
      <c r="A3029" t="s">
        <v>7</v>
      </c>
      <c r="B3029" t="s">
        <v>18</v>
      </c>
      <c r="C3029" t="s">
        <v>9</v>
      </c>
      <c r="D3029" t="s">
        <v>10</v>
      </c>
      <c r="E3029">
        <v>17</v>
      </c>
      <c r="F3029" s="1">
        <v>42916</v>
      </c>
      <c r="G3029">
        <v>-2.9236737496283198E-3</v>
      </c>
    </row>
    <row r="3030" spans="1:7" x14ac:dyDescent="0.25">
      <c r="A3030" t="s">
        <v>7</v>
      </c>
      <c r="B3030" t="s">
        <v>18</v>
      </c>
      <c r="C3030" t="s">
        <v>9</v>
      </c>
      <c r="D3030" t="s">
        <v>10</v>
      </c>
      <c r="E3030">
        <v>17</v>
      </c>
      <c r="F3030" s="1">
        <v>42947</v>
      </c>
      <c r="G3030">
        <v>-2.0220684326715099E-3</v>
      </c>
    </row>
    <row r="3031" spans="1:7" x14ac:dyDescent="0.25">
      <c r="A3031" t="s">
        <v>7</v>
      </c>
      <c r="B3031" t="s">
        <v>18</v>
      </c>
      <c r="C3031" t="s">
        <v>9</v>
      </c>
      <c r="D3031" t="s">
        <v>10</v>
      </c>
      <c r="E3031">
        <v>17</v>
      </c>
      <c r="F3031" s="1">
        <v>42978</v>
      </c>
      <c r="G3031">
        <v>-2.75312409170177E-2</v>
      </c>
    </row>
    <row r="3032" spans="1:7" x14ac:dyDescent="0.25">
      <c r="A3032" t="s">
        <v>7</v>
      </c>
      <c r="B3032" t="s">
        <v>18</v>
      </c>
      <c r="C3032" t="s">
        <v>9</v>
      </c>
      <c r="D3032" t="s">
        <v>10</v>
      </c>
      <c r="E3032">
        <v>17</v>
      </c>
      <c r="F3032" s="1">
        <v>43008</v>
      </c>
      <c r="G3032">
        <v>-3.7862625080306899E-3</v>
      </c>
    </row>
    <row r="3033" spans="1:7" x14ac:dyDescent="0.25">
      <c r="A3033" t="s">
        <v>7</v>
      </c>
      <c r="B3033" t="s">
        <v>18</v>
      </c>
      <c r="C3033" t="s">
        <v>9</v>
      </c>
      <c r="D3033" t="s">
        <v>10</v>
      </c>
      <c r="E3033">
        <v>17</v>
      </c>
      <c r="F3033" s="1">
        <v>43039</v>
      </c>
      <c r="G3033">
        <v>5.8923967461547702E-3</v>
      </c>
    </row>
    <row r="3034" spans="1:7" x14ac:dyDescent="0.25">
      <c r="A3034" t="s">
        <v>7</v>
      </c>
      <c r="B3034" t="s">
        <v>18</v>
      </c>
      <c r="C3034" t="s">
        <v>9</v>
      </c>
      <c r="D3034" t="s">
        <v>10</v>
      </c>
      <c r="E3034">
        <v>17</v>
      </c>
      <c r="F3034" s="1">
        <v>43069</v>
      </c>
      <c r="G3034">
        <v>2.9861040592973301E-2</v>
      </c>
    </row>
    <row r="3035" spans="1:7" x14ac:dyDescent="0.25">
      <c r="A3035" t="s">
        <v>7</v>
      </c>
      <c r="B3035" t="s">
        <v>18</v>
      </c>
      <c r="C3035" t="s">
        <v>9</v>
      </c>
      <c r="D3035" t="s">
        <v>10</v>
      </c>
      <c r="E3035">
        <v>17</v>
      </c>
      <c r="F3035" s="1">
        <v>43100</v>
      </c>
      <c r="G3035">
        <v>1.67765402592987E-2</v>
      </c>
    </row>
    <row r="3036" spans="1:7" x14ac:dyDescent="0.25">
      <c r="A3036" t="s">
        <v>7</v>
      </c>
      <c r="B3036" t="s">
        <v>18</v>
      </c>
      <c r="C3036" t="s">
        <v>9</v>
      </c>
      <c r="D3036" t="s">
        <v>10</v>
      </c>
      <c r="E3036">
        <v>17</v>
      </c>
      <c r="F3036" s="1">
        <v>43131</v>
      </c>
      <c r="G3036">
        <v>-3.2208736107385602E-2</v>
      </c>
    </row>
    <row r="3037" spans="1:7" x14ac:dyDescent="0.25">
      <c r="A3037" t="s">
        <v>7</v>
      </c>
      <c r="B3037" t="s">
        <v>18</v>
      </c>
      <c r="C3037" t="s">
        <v>9</v>
      </c>
      <c r="D3037" t="s">
        <v>10</v>
      </c>
      <c r="E3037">
        <v>17</v>
      </c>
      <c r="F3037" s="1">
        <v>43159</v>
      </c>
      <c r="G3037">
        <v>-1.01890973431827E-2</v>
      </c>
    </row>
    <row r="3038" spans="1:7" x14ac:dyDescent="0.25">
      <c r="A3038" t="s">
        <v>7</v>
      </c>
      <c r="B3038" t="s">
        <v>18</v>
      </c>
      <c r="C3038" t="s">
        <v>9</v>
      </c>
      <c r="D3038" t="s">
        <v>10</v>
      </c>
      <c r="E3038">
        <v>17</v>
      </c>
      <c r="F3038" s="1">
        <v>43190</v>
      </c>
      <c r="G3038">
        <v>5.7292346919737801E-3</v>
      </c>
    </row>
    <row r="3039" spans="1:7" x14ac:dyDescent="0.25">
      <c r="A3039" t="s">
        <v>7</v>
      </c>
      <c r="B3039" t="s">
        <v>18</v>
      </c>
      <c r="C3039" t="s">
        <v>9</v>
      </c>
      <c r="D3039" t="s">
        <v>10</v>
      </c>
      <c r="E3039">
        <v>17</v>
      </c>
      <c r="F3039" s="1">
        <v>43220</v>
      </c>
      <c r="G3039">
        <v>-2.1353155300884399E-2</v>
      </c>
    </row>
    <row r="3040" spans="1:7" x14ac:dyDescent="0.25">
      <c r="A3040" t="s">
        <v>7</v>
      </c>
      <c r="B3040" t="s">
        <v>18</v>
      </c>
      <c r="C3040" t="s">
        <v>9</v>
      </c>
      <c r="D3040" t="s">
        <v>10</v>
      </c>
      <c r="E3040">
        <v>17</v>
      </c>
      <c r="F3040" s="1">
        <v>43251</v>
      </c>
      <c r="G3040">
        <v>1.14539437065299E-4</v>
      </c>
    </row>
    <row r="3041" spans="1:7" x14ac:dyDescent="0.25">
      <c r="A3041" t="s">
        <v>7</v>
      </c>
      <c r="B3041" t="s">
        <v>18</v>
      </c>
      <c r="C3041" t="s">
        <v>9</v>
      </c>
      <c r="D3041" t="s">
        <v>10</v>
      </c>
      <c r="E3041">
        <v>17</v>
      </c>
      <c r="F3041" s="1">
        <v>43281</v>
      </c>
      <c r="G3041">
        <v>1.3547894116847899E-3</v>
      </c>
    </row>
    <row r="3042" spans="1:7" x14ac:dyDescent="0.25">
      <c r="A3042" t="s">
        <v>7</v>
      </c>
      <c r="B3042" t="s">
        <v>18</v>
      </c>
      <c r="C3042" t="s">
        <v>9</v>
      </c>
      <c r="D3042" t="s">
        <v>10</v>
      </c>
      <c r="E3042">
        <v>17</v>
      </c>
      <c r="F3042" s="1">
        <v>43312</v>
      </c>
      <c r="G3042">
        <v>-5.1918899775707699E-3</v>
      </c>
    </row>
    <row r="3043" spans="1:7" x14ac:dyDescent="0.25">
      <c r="A3043" t="s">
        <v>7</v>
      </c>
      <c r="B3043" t="s">
        <v>18</v>
      </c>
      <c r="C3043" t="s">
        <v>9</v>
      </c>
      <c r="D3043" t="s">
        <v>10</v>
      </c>
      <c r="E3043">
        <v>17</v>
      </c>
      <c r="F3043" s="1">
        <v>43343</v>
      </c>
      <c r="G3043">
        <v>1.18211861714278E-2</v>
      </c>
    </row>
    <row r="3044" spans="1:7" x14ac:dyDescent="0.25">
      <c r="A3044" t="s">
        <v>7</v>
      </c>
      <c r="B3044" t="s">
        <v>18</v>
      </c>
      <c r="C3044" t="s">
        <v>9</v>
      </c>
      <c r="D3044" t="s">
        <v>10</v>
      </c>
      <c r="E3044">
        <v>17</v>
      </c>
      <c r="F3044" s="1">
        <v>43373</v>
      </c>
      <c r="G3044">
        <v>-4.50721286458466E-3</v>
      </c>
    </row>
    <row r="3045" spans="1:7" x14ac:dyDescent="0.25">
      <c r="A3045" t="s">
        <v>7</v>
      </c>
      <c r="B3045" t="s">
        <v>18</v>
      </c>
      <c r="C3045" t="s">
        <v>9</v>
      </c>
      <c r="D3045" t="s">
        <v>10</v>
      </c>
      <c r="E3045">
        <v>17</v>
      </c>
      <c r="F3045" s="1">
        <v>43404</v>
      </c>
      <c r="G3045">
        <v>-8.7208054110596497E-2</v>
      </c>
    </row>
    <row r="3046" spans="1:7" x14ac:dyDescent="0.25">
      <c r="A3046" t="s">
        <v>7</v>
      </c>
      <c r="B3046" t="s">
        <v>18</v>
      </c>
      <c r="C3046" t="s">
        <v>9</v>
      </c>
      <c r="D3046" t="s">
        <v>10</v>
      </c>
      <c r="E3046">
        <v>17</v>
      </c>
      <c r="F3046" s="1">
        <v>43434</v>
      </c>
      <c r="G3046">
        <v>2.4435421078621601E-2</v>
      </c>
    </row>
    <row r="3047" spans="1:7" x14ac:dyDescent="0.25">
      <c r="A3047" t="s">
        <v>7</v>
      </c>
      <c r="B3047" t="s">
        <v>18</v>
      </c>
      <c r="C3047" t="s">
        <v>9</v>
      </c>
      <c r="D3047" t="s">
        <v>10</v>
      </c>
      <c r="E3047">
        <v>17</v>
      </c>
      <c r="F3047" s="1">
        <v>43465</v>
      </c>
      <c r="G3047">
        <v>8.6550895689367306E-3</v>
      </c>
    </row>
    <row r="3048" spans="1:7" x14ac:dyDescent="0.25">
      <c r="A3048" t="s">
        <v>7</v>
      </c>
      <c r="B3048" t="s">
        <v>18</v>
      </c>
      <c r="C3048" t="s">
        <v>9</v>
      </c>
      <c r="D3048" t="s">
        <v>10</v>
      </c>
      <c r="E3048">
        <v>17</v>
      </c>
      <c r="F3048" s="1">
        <v>43496</v>
      </c>
      <c r="G3048">
        <v>-3.3639267135529199E-2</v>
      </c>
    </row>
    <row r="3049" spans="1:7" x14ac:dyDescent="0.25">
      <c r="A3049" t="s">
        <v>7</v>
      </c>
      <c r="B3049" t="s">
        <v>18</v>
      </c>
      <c r="C3049" t="s">
        <v>9</v>
      </c>
      <c r="D3049" t="s">
        <v>10</v>
      </c>
      <c r="E3049">
        <v>17</v>
      </c>
      <c r="F3049" s="1">
        <v>43524</v>
      </c>
      <c r="G3049">
        <v>1.6355741370853899E-4</v>
      </c>
    </row>
    <row r="3050" spans="1:7" x14ac:dyDescent="0.25">
      <c r="A3050" t="s">
        <v>7</v>
      </c>
      <c r="B3050" t="s">
        <v>18</v>
      </c>
      <c r="C3050" t="s">
        <v>9</v>
      </c>
      <c r="D3050" t="s">
        <v>10</v>
      </c>
      <c r="E3050">
        <v>17</v>
      </c>
      <c r="F3050" s="1">
        <v>43555</v>
      </c>
      <c r="G3050">
        <v>1.28602683805073E-2</v>
      </c>
    </row>
    <row r="3051" spans="1:7" x14ac:dyDescent="0.25">
      <c r="A3051" t="s">
        <v>7</v>
      </c>
      <c r="B3051" t="s">
        <v>18</v>
      </c>
      <c r="C3051" t="s">
        <v>9</v>
      </c>
      <c r="D3051" t="s">
        <v>10</v>
      </c>
      <c r="E3051">
        <v>17</v>
      </c>
      <c r="F3051" s="1">
        <v>43585</v>
      </c>
      <c r="G3051">
        <v>1.9596559037880799E-2</v>
      </c>
    </row>
    <row r="3052" spans="1:7" x14ac:dyDescent="0.25">
      <c r="A3052" t="s">
        <v>7</v>
      </c>
      <c r="B3052" t="s">
        <v>18</v>
      </c>
      <c r="C3052" t="s">
        <v>9</v>
      </c>
      <c r="D3052" t="s">
        <v>10</v>
      </c>
      <c r="E3052">
        <v>17</v>
      </c>
      <c r="F3052" s="1">
        <v>43616</v>
      </c>
      <c r="G3052">
        <v>8.7392180620891793E-3</v>
      </c>
    </row>
    <row r="3053" spans="1:7" x14ac:dyDescent="0.25">
      <c r="A3053" t="s">
        <v>7</v>
      </c>
      <c r="B3053" t="s">
        <v>18</v>
      </c>
      <c r="C3053" t="s">
        <v>9</v>
      </c>
      <c r="D3053" t="s">
        <v>10</v>
      </c>
      <c r="E3053">
        <v>17</v>
      </c>
      <c r="F3053" s="1">
        <v>43646</v>
      </c>
      <c r="G3053">
        <v>5.1859051301584604E-4</v>
      </c>
    </row>
    <row r="3054" spans="1:7" x14ac:dyDescent="0.25">
      <c r="A3054" t="s">
        <v>7</v>
      </c>
      <c r="B3054" t="s">
        <v>18</v>
      </c>
      <c r="C3054" t="s">
        <v>9</v>
      </c>
      <c r="D3054" t="s">
        <v>10</v>
      </c>
      <c r="E3054">
        <v>17</v>
      </c>
      <c r="F3054" s="1">
        <v>43677</v>
      </c>
      <c r="G3054">
        <v>3.5694970293510498E-3</v>
      </c>
    </row>
    <row r="3055" spans="1:7" x14ac:dyDescent="0.25">
      <c r="A3055" t="s">
        <v>7</v>
      </c>
      <c r="B3055" t="s">
        <v>18</v>
      </c>
      <c r="C3055" t="s">
        <v>9</v>
      </c>
      <c r="D3055" t="s">
        <v>10</v>
      </c>
      <c r="E3055">
        <v>17</v>
      </c>
      <c r="F3055" s="1">
        <v>43708</v>
      </c>
      <c r="G3055">
        <v>1.2294707908038899E-2</v>
      </c>
    </row>
    <row r="3056" spans="1:7" x14ac:dyDescent="0.25">
      <c r="A3056" t="s">
        <v>7</v>
      </c>
      <c r="B3056" t="s">
        <v>18</v>
      </c>
      <c r="C3056" t="s">
        <v>9</v>
      </c>
      <c r="D3056" t="s">
        <v>10</v>
      </c>
      <c r="E3056">
        <v>17</v>
      </c>
      <c r="F3056" s="1">
        <v>43738</v>
      </c>
      <c r="G3056">
        <v>-6.0384579437558596E-3</v>
      </c>
    </row>
    <row r="3057" spans="1:7" x14ac:dyDescent="0.25">
      <c r="A3057" t="s">
        <v>7</v>
      </c>
      <c r="B3057" t="s">
        <v>18</v>
      </c>
      <c r="C3057" t="s">
        <v>9</v>
      </c>
      <c r="D3057" t="s">
        <v>10</v>
      </c>
      <c r="E3057">
        <v>17</v>
      </c>
      <c r="F3057" s="1">
        <v>43769</v>
      </c>
      <c r="G3057">
        <v>1.30086644378392E-2</v>
      </c>
    </row>
    <row r="3058" spans="1:7" x14ac:dyDescent="0.25">
      <c r="A3058" t="s">
        <v>7</v>
      </c>
      <c r="B3058" t="s">
        <v>18</v>
      </c>
      <c r="C3058" t="s">
        <v>9</v>
      </c>
      <c r="D3058" t="s">
        <v>10</v>
      </c>
      <c r="E3058">
        <v>17</v>
      </c>
      <c r="F3058" s="1">
        <v>43799</v>
      </c>
      <c r="G3058">
        <v>-3.230929107471E-3</v>
      </c>
    </row>
    <row r="3059" spans="1:7" x14ac:dyDescent="0.25">
      <c r="A3059" t="s">
        <v>7</v>
      </c>
      <c r="B3059" t="s">
        <v>18</v>
      </c>
      <c r="C3059" t="s">
        <v>9</v>
      </c>
      <c r="D3059" t="s">
        <v>10</v>
      </c>
      <c r="E3059">
        <v>17</v>
      </c>
      <c r="F3059" s="1">
        <v>43830</v>
      </c>
      <c r="G3059">
        <v>-1.46050370096623E-2</v>
      </c>
    </row>
    <row r="3060" spans="1:7" x14ac:dyDescent="0.25">
      <c r="A3060" t="s">
        <v>7</v>
      </c>
      <c r="B3060" t="s">
        <v>18</v>
      </c>
      <c r="C3060" t="s">
        <v>9</v>
      </c>
      <c r="D3060" t="s">
        <v>10</v>
      </c>
      <c r="E3060">
        <v>17</v>
      </c>
      <c r="F3060" s="1">
        <v>43861</v>
      </c>
      <c r="G3060">
        <v>2.0181508370108101E-2</v>
      </c>
    </row>
    <row r="3061" spans="1:7" x14ac:dyDescent="0.25">
      <c r="A3061" t="s">
        <v>7</v>
      </c>
      <c r="B3061" t="s">
        <v>18</v>
      </c>
      <c r="C3061" t="s">
        <v>9</v>
      </c>
      <c r="D3061" t="s">
        <v>10</v>
      </c>
      <c r="E3061">
        <v>17</v>
      </c>
      <c r="F3061" s="1">
        <v>43890</v>
      </c>
      <c r="G3061">
        <v>-7.8263833740019006E-5</v>
      </c>
    </row>
    <row r="3062" spans="1:7" x14ac:dyDescent="0.25">
      <c r="A3062" t="s">
        <v>7</v>
      </c>
      <c r="B3062" t="s">
        <v>18</v>
      </c>
      <c r="C3062" t="s">
        <v>9</v>
      </c>
      <c r="D3062" t="s">
        <v>10</v>
      </c>
      <c r="E3062">
        <v>17</v>
      </c>
      <c r="F3062" s="1">
        <v>43921</v>
      </c>
      <c r="G3062">
        <v>2.5293336043498999E-2</v>
      </c>
    </row>
    <row r="3063" spans="1:7" x14ac:dyDescent="0.25">
      <c r="A3063" t="s">
        <v>7</v>
      </c>
      <c r="B3063" t="s">
        <v>18</v>
      </c>
      <c r="C3063" t="s">
        <v>9</v>
      </c>
      <c r="D3063" t="s">
        <v>10</v>
      </c>
      <c r="E3063">
        <v>17</v>
      </c>
      <c r="F3063" s="1">
        <v>43951</v>
      </c>
      <c r="G3063">
        <v>-2.6574924882456401E-3</v>
      </c>
    </row>
    <row r="3064" spans="1:7" x14ac:dyDescent="0.25">
      <c r="A3064" t="s">
        <v>7</v>
      </c>
      <c r="B3064" t="s">
        <v>18</v>
      </c>
      <c r="C3064" t="s">
        <v>9</v>
      </c>
      <c r="D3064" t="s">
        <v>10</v>
      </c>
      <c r="E3064">
        <v>17</v>
      </c>
      <c r="F3064" s="1">
        <v>43982</v>
      </c>
      <c r="G3064">
        <v>-2.1879616184585799E-2</v>
      </c>
    </row>
    <row r="3065" spans="1:7" x14ac:dyDescent="0.25">
      <c r="A3065" t="s">
        <v>7</v>
      </c>
      <c r="B3065" t="s">
        <v>18</v>
      </c>
      <c r="C3065" t="s">
        <v>9</v>
      </c>
      <c r="D3065" t="s">
        <v>10</v>
      </c>
      <c r="E3065">
        <v>17</v>
      </c>
      <c r="F3065" s="1">
        <v>44012</v>
      </c>
      <c r="G3065">
        <v>-4.4263145197652402E-3</v>
      </c>
    </row>
    <row r="3066" spans="1:7" x14ac:dyDescent="0.25">
      <c r="A3066" t="s">
        <v>7</v>
      </c>
      <c r="B3066" t="s">
        <v>18</v>
      </c>
      <c r="C3066" t="s">
        <v>9</v>
      </c>
      <c r="D3066" t="s">
        <v>10</v>
      </c>
      <c r="E3066">
        <v>17</v>
      </c>
      <c r="F3066" s="1">
        <v>44043</v>
      </c>
      <c r="G3066">
        <v>-1.6439231201695E-2</v>
      </c>
    </row>
    <row r="3067" spans="1:7" x14ac:dyDescent="0.25">
      <c r="A3067" t="s">
        <v>7</v>
      </c>
      <c r="B3067" t="s">
        <v>18</v>
      </c>
      <c r="C3067" t="s">
        <v>9</v>
      </c>
      <c r="D3067" t="s">
        <v>10</v>
      </c>
      <c r="E3067">
        <v>17</v>
      </c>
      <c r="F3067" s="1">
        <v>44074</v>
      </c>
      <c r="G3067">
        <v>-1.2629443546780901E-2</v>
      </c>
    </row>
    <row r="3068" spans="1:7" x14ac:dyDescent="0.25">
      <c r="A3068" t="s">
        <v>7</v>
      </c>
      <c r="B3068" t="s">
        <v>18</v>
      </c>
      <c r="C3068" t="s">
        <v>9</v>
      </c>
      <c r="D3068" t="s">
        <v>10</v>
      </c>
      <c r="E3068">
        <v>17</v>
      </c>
      <c r="F3068" s="1">
        <v>44104</v>
      </c>
      <c r="G3068">
        <v>1.6275218272437601E-2</v>
      </c>
    </row>
    <row r="3069" spans="1:7" x14ac:dyDescent="0.25">
      <c r="A3069" t="s">
        <v>7</v>
      </c>
      <c r="B3069" t="s">
        <v>18</v>
      </c>
      <c r="C3069" t="s">
        <v>9</v>
      </c>
      <c r="D3069" t="s">
        <v>10</v>
      </c>
      <c r="E3069">
        <v>17</v>
      </c>
      <c r="F3069" s="1">
        <v>44135</v>
      </c>
      <c r="G3069">
        <v>6.84376596561115E-3</v>
      </c>
    </row>
    <row r="3070" spans="1:7" x14ac:dyDescent="0.25">
      <c r="A3070" t="s">
        <v>7</v>
      </c>
      <c r="B3070" t="s">
        <v>18</v>
      </c>
      <c r="C3070" t="s">
        <v>9</v>
      </c>
      <c r="D3070" t="s">
        <v>10</v>
      </c>
      <c r="E3070">
        <v>17</v>
      </c>
      <c r="F3070" s="1">
        <v>44165</v>
      </c>
      <c r="G3070">
        <v>-3.1268590845817301E-3</v>
      </c>
    </row>
    <row r="3071" spans="1:7" x14ac:dyDescent="0.25">
      <c r="A3071" t="s">
        <v>7</v>
      </c>
      <c r="B3071" t="s">
        <v>18</v>
      </c>
      <c r="C3071" t="s">
        <v>9</v>
      </c>
      <c r="D3071" t="s">
        <v>10</v>
      </c>
      <c r="E3071">
        <v>17</v>
      </c>
      <c r="F3071" s="1">
        <v>44196</v>
      </c>
      <c r="G3071">
        <v>-2.1282209421758399E-2</v>
      </c>
    </row>
    <row r="3072" spans="1:7" x14ac:dyDescent="0.25">
      <c r="A3072" t="s">
        <v>7</v>
      </c>
      <c r="B3072" t="s">
        <v>18</v>
      </c>
      <c r="C3072" t="s">
        <v>9</v>
      </c>
      <c r="D3072" t="s">
        <v>10</v>
      </c>
      <c r="E3072">
        <v>17</v>
      </c>
      <c r="F3072" s="1">
        <v>44227</v>
      </c>
      <c r="G3072">
        <v>-1.6889748858169702E-2</v>
      </c>
    </row>
    <row r="3073" spans="1:7" x14ac:dyDescent="0.25">
      <c r="A3073" t="s">
        <v>7</v>
      </c>
      <c r="B3073" t="s">
        <v>18</v>
      </c>
      <c r="C3073" t="s">
        <v>9</v>
      </c>
      <c r="D3073" t="s">
        <v>10</v>
      </c>
      <c r="E3073">
        <v>17</v>
      </c>
      <c r="F3073" s="1">
        <v>44255</v>
      </c>
      <c r="G3073">
        <v>1.4054985743863499E-2</v>
      </c>
    </row>
    <row r="3074" spans="1:7" x14ac:dyDescent="0.25">
      <c r="A3074" t="s">
        <v>7</v>
      </c>
      <c r="B3074" t="s">
        <v>18</v>
      </c>
      <c r="C3074" t="s">
        <v>9</v>
      </c>
      <c r="D3074" t="s">
        <v>10</v>
      </c>
      <c r="E3074">
        <v>17</v>
      </c>
      <c r="F3074" s="1">
        <v>44286</v>
      </c>
      <c r="G3074">
        <v>-3.9056480049718398E-4</v>
      </c>
    </row>
    <row r="3075" spans="1:7" x14ac:dyDescent="0.25">
      <c r="A3075" t="s">
        <v>7</v>
      </c>
      <c r="B3075" t="s">
        <v>18</v>
      </c>
      <c r="C3075" t="s">
        <v>9</v>
      </c>
      <c r="D3075" t="s">
        <v>10</v>
      </c>
      <c r="E3075">
        <v>17</v>
      </c>
      <c r="F3075" s="1">
        <v>44316</v>
      </c>
      <c r="G3075">
        <v>2.1077902862452799E-2</v>
      </c>
    </row>
    <row r="3076" spans="1:7" x14ac:dyDescent="0.25">
      <c r="A3076" t="s">
        <v>7</v>
      </c>
      <c r="B3076" t="s">
        <v>18</v>
      </c>
      <c r="C3076" t="s">
        <v>9</v>
      </c>
      <c r="D3076" t="s">
        <v>10</v>
      </c>
      <c r="E3076">
        <v>17</v>
      </c>
      <c r="F3076" s="1">
        <v>44347</v>
      </c>
      <c r="G3076">
        <v>-1.6630138941306799E-2</v>
      </c>
    </row>
    <row r="3077" spans="1:7" x14ac:dyDescent="0.25">
      <c r="A3077" t="s">
        <v>7</v>
      </c>
      <c r="B3077" t="s">
        <v>18</v>
      </c>
      <c r="C3077" t="s">
        <v>9</v>
      </c>
      <c r="D3077" t="s">
        <v>10</v>
      </c>
      <c r="E3077">
        <v>17</v>
      </c>
      <c r="F3077" s="1">
        <v>44377</v>
      </c>
      <c r="G3077">
        <v>-6.3485639522624596E-3</v>
      </c>
    </row>
    <row r="3078" spans="1:7" x14ac:dyDescent="0.25">
      <c r="A3078" t="s">
        <v>7</v>
      </c>
      <c r="B3078" t="s">
        <v>18</v>
      </c>
      <c r="C3078" t="s">
        <v>9</v>
      </c>
      <c r="D3078" t="s">
        <v>10</v>
      </c>
      <c r="E3078">
        <v>17</v>
      </c>
      <c r="F3078" s="1">
        <v>44408</v>
      </c>
      <c r="G3078">
        <v>6.3553004177491204E-3</v>
      </c>
    </row>
    <row r="3079" spans="1:7" x14ac:dyDescent="0.25">
      <c r="A3079" t="s">
        <v>7</v>
      </c>
      <c r="B3079" t="s">
        <v>18</v>
      </c>
      <c r="C3079" t="s">
        <v>9</v>
      </c>
      <c r="D3079" t="s">
        <v>10</v>
      </c>
      <c r="E3079">
        <v>17</v>
      </c>
      <c r="F3079" s="1">
        <v>44439</v>
      </c>
      <c r="G3079">
        <v>3.7371442340310701E-3</v>
      </c>
    </row>
    <row r="3080" spans="1:7" x14ac:dyDescent="0.25">
      <c r="A3080" t="s">
        <v>7</v>
      </c>
      <c r="B3080" t="s">
        <v>18</v>
      </c>
      <c r="C3080" t="s">
        <v>9</v>
      </c>
      <c r="D3080" t="s">
        <v>10</v>
      </c>
      <c r="E3080">
        <v>17</v>
      </c>
      <c r="F3080" s="1">
        <v>44469</v>
      </c>
      <c r="G3080">
        <v>1.6288781415821799E-2</v>
      </c>
    </row>
    <row r="3081" spans="1:7" x14ac:dyDescent="0.25">
      <c r="A3081" t="s">
        <v>7</v>
      </c>
      <c r="B3081" t="s">
        <v>18</v>
      </c>
      <c r="C3081" t="s">
        <v>9</v>
      </c>
      <c r="D3081" t="s">
        <v>10</v>
      </c>
      <c r="E3081">
        <v>17</v>
      </c>
      <c r="F3081" s="1">
        <v>44500</v>
      </c>
      <c r="G3081">
        <v>3.71604587516218E-2</v>
      </c>
    </row>
    <row r="3082" spans="1:7" x14ac:dyDescent="0.25">
      <c r="A3082" t="s">
        <v>7</v>
      </c>
      <c r="B3082" t="s">
        <v>18</v>
      </c>
      <c r="C3082" t="s">
        <v>9</v>
      </c>
      <c r="D3082" t="s">
        <v>10</v>
      </c>
      <c r="E3082">
        <v>17</v>
      </c>
      <c r="F3082" s="1">
        <v>44530</v>
      </c>
      <c r="G3082">
        <v>-1.56739836324865E-2</v>
      </c>
    </row>
    <row r="3083" spans="1:7" x14ac:dyDescent="0.25">
      <c r="A3083" t="s">
        <v>7</v>
      </c>
      <c r="B3083" t="s">
        <v>18</v>
      </c>
      <c r="C3083" t="s">
        <v>9</v>
      </c>
      <c r="D3083" t="s">
        <v>10</v>
      </c>
      <c r="E3083">
        <v>17</v>
      </c>
      <c r="F3083" s="1">
        <v>44561</v>
      </c>
      <c r="G3083">
        <v>3.6859101718883597E-2</v>
      </c>
    </row>
    <row r="3084" spans="1:7" x14ac:dyDescent="0.25">
      <c r="A3084" t="s">
        <v>7</v>
      </c>
      <c r="B3084" t="s">
        <v>18</v>
      </c>
      <c r="C3084" t="s">
        <v>9</v>
      </c>
      <c r="D3084" t="s">
        <v>10</v>
      </c>
      <c r="E3084">
        <v>17</v>
      </c>
      <c r="F3084" s="1">
        <v>44592</v>
      </c>
      <c r="G3084">
        <v>-7.8773870614986894E-3</v>
      </c>
    </row>
    <row r="3085" spans="1:7" x14ac:dyDescent="0.25">
      <c r="A3085" t="s">
        <v>7</v>
      </c>
      <c r="B3085" t="s">
        <v>18</v>
      </c>
      <c r="C3085" t="s">
        <v>9</v>
      </c>
      <c r="D3085" t="s">
        <v>10</v>
      </c>
      <c r="E3085">
        <v>17</v>
      </c>
      <c r="F3085" s="1">
        <v>44620</v>
      </c>
      <c r="G3085">
        <v>1.9190764605223402E-2</v>
      </c>
    </row>
    <row r="3086" spans="1:7" x14ac:dyDescent="0.25">
      <c r="A3086" t="s">
        <v>7</v>
      </c>
      <c r="B3086" t="s">
        <v>18</v>
      </c>
      <c r="C3086" t="s">
        <v>9</v>
      </c>
      <c r="D3086" t="s">
        <v>10</v>
      </c>
      <c r="E3086">
        <v>17</v>
      </c>
      <c r="F3086" s="1">
        <v>44651</v>
      </c>
      <c r="G3086">
        <v>-4.86510640208517E-3</v>
      </c>
    </row>
    <row r="3087" spans="1:7" x14ac:dyDescent="0.25">
      <c r="A3087" t="s">
        <v>7</v>
      </c>
      <c r="B3087" t="s">
        <v>18</v>
      </c>
      <c r="C3087" t="s">
        <v>9</v>
      </c>
      <c r="D3087" t="s">
        <v>10</v>
      </c>
      <c r="E3087">
        <v>17</v>
      </c>
      <c r="F3087" s="1">
        <v>44681</v>
      </c>
      <c r="G3087">
        <v>2.76876304406127E-2</v>
      </c>
    </row>
    <row r="3088" spans="1:7" x14ac:dyDescent="0.25">
      <c r="A3088" t="s">
        <v>7</v>
      </c>
      <c r="B3088" t="s">
        <v>18</v>
      </c>
      <c r="C3088" t="s">
        <v>9</v>
      </c>
      <c r="D3088" t="s">
        <v>10</v>
      </c>
      <c r="E3088">
        <v>17</v>
      </c>
      <c r="F3088" s="1">
        <v>44712</v>
      </c>
      <c r="G3088">
        <v>-6.3353398714411703E-4</v>
      </c>
    </row>
    <row r="3089" spans="1:7" x14ac:dyDescent="0.25">
      <c r="A3089" t="s">
        <v>7</v>
      </c>
      <c r="B3089" t="s">
        <v>18</v>
      </c>
      <c r="C3089" t="s">
        <v>9</v>
      </c>
      <c r="D3089" t="s">
        <v>10</v>
      </c>
      <c r="E3089">
        <v>17</v>
      </c>
      <c r="F3089" s="1">
        <v>44742</v>
      </c>
      <c r="G3089">
        <v>1.95847787732128E-2</v>
      </c>
    </row>
    <row r="3090" spans="1:7" x14ac:dyDescent="0.25">
      <c r="A3090" t="s">
        <v>7</v>
      </c>
      <c r="B3090" t="s">
        <v>18</v>
      </c>
      <c r="C3090" t="s">
        <v>9</v>
      </c>
      <c r="D3090" t="s">
        <v>10</v>
      </c>
      <c r="E3090">
        <v>17</v>
      </c>
      <c r="F3090" s="1">
        <v>44773</v>
      </c>
      <c r="G3090">
        <v>-3.8438906583071197E-2</v>
      </c>
    </row>
    <row r="3091" spans="1:7" x14ac:dyDescent="0.25">
      <c r="A3091" t="s">
        <v>7</v>
      </c>
      <c r="B3091" t="s">
        <v>18</v>
      </c>
      <c r="C3091" t="s">
        <v>9</v>
      </c>
      <c r="D3091" t="s">
        <v>10</v>
      </c>
      <c r="E3091">
        <v>17</v>
      </c>
      <c r="F3091" s="1">
        <v>44804</v>
      </c>
      <c r="G3091">
        <v>-6.1259720888536602E-2</v>
      </c>
    </row>
    <row r="3092" spans="1:7" x14ac:dyDescent="0.25">
      <c r="A3092" t="s">
        <v>7</v>
      </c>
      <c r="B3092" t="s">
        <v>18</v>
      </c>
      <c r="C3092" t="s">
        <v>9</v>
      </c>
      <c r="D3092" t="s">
        <v>10</v>
      </c>
      <c r="E3092">
        <v>17</v>
      </c>
      <c r="F3092" s="1">
        <v>44834</v>
      </c>
      <c r="G3092">
        <v>2.3898307894889999E-2</v>
      </c>
    </row>
    <row r="3093" spans="1:7" x14ac:dyDescent="0.25">
      <c r="A3093" t="s">
        <v>7</v>
      </c>
      <c r="B3093" t="s">
        <v>18</v>
      </c>
      <c r="C3093" t="s">
        <v>9</v>
      </c>
      <c r="D3093" t="s">
        <v>10</v>
      </c>
      <c r="E3093">
        <v>17</v>
      </c>
      <c r="F3093" s="1">
        <v>44865</v>
      </c>
      <c r="G3093">
        <v>1.2499552433901601E-3</v>
      </c>
    </row>
    <row r="3094" spans="1:7" x14ac:dyDescent="0.25">
      <c r="A3094" t="s">
        <v>7</v>
      </c>
      <c r="B3094" t="s">
        <v>18</v>
      </c>
      <c r="C3094" t="s">
        <v>9</v>
      </c>
      <c r="D3094" t="s">
        <v>10</v>
      </c>
      <c r="E3094">
        <v>17</v>
      </c>
      <c r="F3094" s="1">
        <v>44895</v>
      </c>
      <c r="G3094">
        <v>5.6595512975580103E-2</v>
      </c>
    </row>
    <row r="3095" spans="1:7" x14ac:dyDescent="0.25">
      <c r="A3095" t="s">
        <v>7</v>
      </c>
      <c r="B3095" t="s">
        <v>18</v>
      </c>
      <c r="C3095" t="s">
        <v>9</v>
      </c>
      <c r="D3095" t="s">
        <v>10</v>
      </c>
      <c r="E3095">
        <v>17</v>
      </c>
      <c r="F3095" s="1">
        <v>44926</v>
      </c>
      <c r="G3095">
        <v>3.0610601374948601E-2</v>
      </c>
    </row>
    <row r="3096" spans="1:7" x14ac:dyDescent="0.25">
      <c r="A3096" t="s">
        <v>7</v>
      </c>
      <c r="B3096" t="s">
        <v>18</v>
      </c>
      <c r="C3096" t="s">
        <v>9</v>
      </c>
      <c r="D3096" t="s">
        <v>10</v>
      </c>
      <c r="E3096">
        <v>17</v>
      </c>
      <c r="F3096" s="1">
        <v>44957</v>
      </c>
      <c r="G3096">
        <v>-1.40329587382877E-2</v>
      </c>
    </row>
    <row r="3097" spans="1:7" x14ac:dyDescent="0.25">
      <c r="A3097" t="s">
        <v>7</v>
      </c>
      <c r="B3097" t="s">
        <v>18</v>
      </c>
      <c r="C3097" t="s">
        <v>9</v>
      </c>
      <c r="D3097" t="s">
        <v>10</v>
      </c>
      <c r="E3097">
        <v>17</v>
      </c>
      <c r="F3097" s="1">
        <v>44985</v>
      </c>
      <c r="G3097">
        <v>1.7478316885225598E-2</v>
      </c>
    </row>
    <row r="3098" spans="1:7" x14ac:dyDescent="0.25">
      <c r="A3098" t="s">
        <v>7</v>
      </c>
      <c r="B3098" t="s">
        <v>18</v>
      </c>
      <c r="C3098" t="s">
        <v>9</v>
      </c>
      <c r="D3098" t="s">
        <v>10</v>
      </c>
      <c r="E3098">
        <v>17</v>
      </c>
      <c r="F3098" s="1">
        <v>45016</v>
      </c>
      <c r="G3098">
        <v>2.2925025924581101E-2</v>
      </c>
    </row>
    <row r="3099" spans="1:7" x14ac:dyDescent="0.25">
      <c r="A3099" t="s">
        <v>7</v>
      </c>
      <c r="B3099" t="s">
        <v>18</v>
      </c>
      <c r="C3099" t="s">
        <v>9</v>
      </c>
      <c r="D3099" t="s">
        <v>10</v>
      </c>
      <c r="E3099">
        <v>17</v>
      </c>
      <c r="F3099" s="1">
        <v>45046</v>
      </c>
      <c r="G3099">
        <v>-1.46327835015786E-2</v>
      </c>
    </row>
    <row r="3100" spans="1:7" x14ac:dyDescent="0.25">
      <c r="A3100" t="s">
        <v>7</v>
      </c>
      <c r="B3100" t="s">
        <v>18</v>
      </c>
      <c r="C3100" t="s">
        <v>9</v>
      </c>
      <c r="D3100" t="s">
        <v>10</v>
      </c>
      <c r="E3100">
        <v>17</v>
      </c>
      <c r="F3100" s="1">
        <v>45077</v>
      </c>
      <c r="G3100">
        <v>-7.1135334423932703E-2</v>
      </c>
    </row>
    <row r="3101" spans="1:7" x14ac:dyDescent="0.25">
      <c r="A3101" t="s">
        <v>7</v>
      </c>
      <c r="B3101" t="s">
        <v>18</v>
      </c>
      <c r="C3101" t="s">
        <v>9</v>
      </c>
      <c r="D3101" t="s">
        <v>10</v>
      </c>
      <c r="E3101">
        <v>17</v>
      </c>
      <c r="F3101" s="1">
        <v>45107</v>
      </c>
      <c r="G3101">
        <v>-3.28959735684154E-2</v>
      </c>
    </row>
    <row r="3102" spans="1:7" x14ac:dyDescent="0.25">
      <c r="A3102" t="s">
        <v>7</v>
      </c>
      <c r="B3102" t="s">
        <v>18</v>
      </c>
      <c r="C3102" t="s">
        <v>9</v>
      </c>
      <c r="D3102" t="s">
        <v>10</v>
      </c>
      <c r="E3102">
        <v>17</v>
      </c>
      <c r="F3102" s="1">
        <v>45138</v>
      </c>
      <c r="G3102">
        <v>-1.1012604175481999E-2</v>
      </c>
    </row>
    <row r="3103" spans="1:7" x14ac:dyDescent="0.25">
      <c r="A3103" t="s">
        <v>7</v>
      </c>
      <c r="B3103" t="s">
        <v>18</v>
      </c>
      <c r="C3103" t="s">
        <v>9</v>
      </c>
      <c r="D3103" t="s">
        <v>10</v>
      </c>
      <c r="E3103">
        <v>17</v>
      </c>
      <c r="F3103" s="1">
        <v>45169</v>
      </c>
      <c r="G3103">
        <v>4.0968588907911399E-2</v>
      </c>
    </row>
    <row r="3104" spans="1:7" x14ac:dyDescent="0.25">
      <c r="A3104" t="s">
        <v>7</v>
      </c>
      <c r="B3104" t="s">
        <v>18</v>
      </c>
      <c r="C3104" t="s">
        <v>9</v>
      </c>
      <c r="D3104" t="s">
        <v>10</v>
      </c>
      <c r="E3104">
        <v>17</v>
      </c>
      <c r="F3104" s="1">
        <v>45199</v>
      </c>
      <c r="G3104">
        <v>2.3892933571009401E-2</v>
      </c>
    </row>
    <row r="3105" spans="1:7" x14ac:dyDescent="0.25">
      <c r="A3105" t="s">
        <v>7</v>
      </c>
      <c r="B3105" t="s">
        <v>18</v>
      </c>
      <c r="C3105" t="s">
        <v>9</v>
      </c>
      <c r="D3105" t="s">
        <v>10</v>
      </c>
      <c r="E3105">
        <v>17</v>
      </c>
      <c r="F3105" s="1">
        <v>45230</v>
      </c>
      <c r="G3105">
        <v>3.7684954487986998E-2</v>
      </c>
    </row>
    <row r="3106" spans="1:7" x14ac:dyDescent="0.25">
      <c r="A3106" t="s">
        <v>7</v>
      </c>
      <c r="B3106" t="s">
        <v>18</v>
      </c>
      <c r="C3106" t="s">
        <v>9</v>
      </c>
      <c r="D3106" t="s">
        <v>10</v>
      </c>
      <c r="E3106">
        <v>17</v>
      </c>
      <c r="F3106" s="1">
        <v>45260</v>
      </c>
      <c r="G3106">
        <v>-4.7864431871170801E-2</v>
      </c>
    </row>
    <row r="3107" spans="1:7" x14ac:dyDescent="0.25">
      <c r="A3107" t="s">
        <v>7</v>
      </c>
      <c r="B3107" t="s">
        <v>18</v>
      </c>
      <c r="C3107" t="s">
        <v>9</v>
      </c>
      <c r="D3107" t="s">
        <v>10</v>
      </c>
      <c r="E3107">
        <v>17</v>
      </c>
      <c r="F3107" s="1">
        <v>45291</v>
      </c>
      <c r="G3107">
        <v>-3.1522075278323501E-3</v>
      </c>
    </row>
    <row r="3108" spans="1:7" x14ac:dyDescent="0.25">
      <c r="A3108" t="s">
        <v>7</v>
      </c>
      <c r="B3108" t="s">
        <v>18</v>
      </c>
      <c r="C3108" t="s">
        <v>9</v>
      </c>
      <c r="D3108" t="s">
        <v>10</v>
      </c>
      <c r="E3108">
        <v>17</v>
      </c>
      <c r="F3108" s="1">
        <v>45322</v>
      </c>
      <c r="G3108">
        <v>8.7698763781667508E-3</v>
      </c>
    </row>
    <row r="3109" spans="1:7" x14ac:dyDescent="0.25">
      <c r="A3109" t="s">
        <v>7</v>
      </c>
      <c r="B3109" t="s">
        <v>18</v>
      </c>
      <c r="C3109" t="s">
        <v>9</v>
      </c>
      <c r="D3109" t="s">
        <v>10</v>
      </c>
      <c r="E3109">
        <v>17</v>
      </c>
      <c r="F3109" s="1">
        <v>45351</v>
      </c>
      <c r="G3109">
        <v>2.1743225897751701E-2</v>
      </c>
    </row>
    <row r="3110" spans="1:7" x14ac:dyDescent="0.25">
      <c r="A3110" t="s">
        <v>7</v>
      </c>
      <c r="B3110" t="s">
        <v>18</v>
      </c>
      <c r="C3110" t="s">
        <v>9</v>
      </c>
      <c r="D3110" t="s">
        <v>10</v>
      </c>
      <c r="E3110">
        <v>17</v>
      </c>
      <c r="F3110" s="1">
        <v>45382</v>
      </c>
      <c r="G3110">
        <v>-7.1812065009278E-3</v>
      </c>
    </row>
    <row r="3111" spans="1:7" x14ac:dyDescent="0.25">
      <c r="A3111" t="s">
        <v>7</v>
      </c>
      <c r="B3111" t="s">
        <v>18</v>
      </c>
      <c r="C3111" t="s">
        <v>9</v>
      </c>
      <c r="D3111" t="s">
        <v>10</v>
      </c>
      <c r="E3111">
        <v>17</v>
      </c>
      <c r="F3111" s="1">
        <v>45412</v>
      </c>
      <c r="G3111">
        <v>2.2256713448752501E-2</v>
      </c>
    </row>
    <row r="3112" spans="1:7" x14ac:dyDescent="0.25">
      <c r="A3112" t="s">
        <v>7</v>
      </c>
      <c r="B3112" t="s">
        <v>18</v>
      </c>
      <c r="C3112" t="s">
        <v>9</v>
      </c>
      <c r="D3112" t="s">
        <v>10</v>
      </c>
      <c r="E3112">
        <v>17</v>
      </c>
      <c r="F3112" s="1">
        <v>45443</v>
      </c>
      <c r="G3112">
        <v>-1.8546732126678799E-2</v>
      </c>
    </row>
    <row r="3113" spans="1:7" x14ac:dyDescent="0.25">
      <c r="A3113" t="s">
        <v>7</v>
      </c>
      <c r="B3113" t="s">
        <v>18</v>
      </c>
      <c r="C3113" t="s">
        <v>9</v>
      </c>
      <c r="D3113" t="s">
        <v>10</v>
      </c>
      <c r="E3113">
        <v>17</v>
      </c>
      <c r="F3113" s="1">
        <v>45473</v>
      </c>
      <c r="G3113">
        <v>1.25907038272388E-2</v>
      </c>
    </row>
    <row r="3114" spans="1:7" x14ac:dyDescent="0.25">
      <c r="A3114" t="s">
        <v>7</v>
      </c>
      <c r="B3114" t="s">
        <v>18</v>
      </c>
      <c r="C3114" t="s">
        <v>9</v>
      </c>
      <c r="D3114" t="s">
        <v>10</v>
      </c>
      <c r="E3114">
        <v>17</v>
      </c>
      <c r="F3114" s="1">
        <v>45504</v>
      </c>
      <c r="G3114">
        <v>3.5235616442013097E-2</v>
      </c>
    </row>
    <row r="3115" spans="1:7" x14ac:dyDescent="0.25">
      <c r="A3115" t="s">
        <v>7</v>
      </c>
      <c r="B3115" t="s">
        <v>18</v>
      </c>
      <c r="C3115" t="s">
        <v>9</v>
      </c>
      <c r="D3115" t="s">
        <v>10</v>
      </c>
      <c r="E3115">
        <v>17</v>
      </c>
      <c r="F3115" s="1">
        <v>45535</v>
      </c>
      <c r="G3115">
        <v>1.7333475001495301E-2</v>
      </c>
    </row>
    <row r="3116" spans="1:7" x14ac:dyDescent="0.25">
      <c r="A3116" t="s">
        <v>7</v>
      </c>
      <c r="B3116" t="s">
        <v>18</v>
      </c>
      <c r="C3116" t="s">
        <v>9</v>
      </c>
      <c r="D3116" t="s">
        <v>10</v>
      </c>
      <c r="E3116">
        <v>17</v>
      </c>
      <c r="F3116" s="1">
        <v>45565</v>
      </c>
      <c r="G3116">
        <v>1.36976721289272E-2</v>
      </c>
    </row>
    <row r="3117" spans="1:7" x14ac:dyDescent="0.25">
      <c r="A3117" t="s">
        <v>7</v>
      </c>
      <c r="B3117" t="s">
        <v>18</v>
      </c>
      <c r="C3117" t="s">
        <v>9</v>
      </c>
      <c r="D3117" t="s">
        <v>10</v>
      </c>
      <c r="E3117">
        <v>17</v>
      </c>
      <c r="F3117" s="1">
        <v>45596</v>
      </c>
      <c r="G3117">
        <v>-3.8299694995516799E-3</v>
      </c>
    </row>
    <row r="3118" spans="1:7" x14ac:dyDescent="0.25">
      <c r="A3118" t="s">
        <v>7</v>
      </c>
      <c r="B3118" t="s">
        <v>18</v>
      </c>
      <c r="C3118" t="s">
        <v>9</v>
      </c>
      <c r="D3118" t="s">
        <v>10</v>
      </c>
      <c r="E3118">
        <v>17</v>
      </c>
      <c r="F3118" s="1">
        <v>45626</v>
      </c>
      <c r="G3118">
        <v>7.2286327618821197E-4</v>
      </c>
    </row>
    <row r="3119" spans="1:7" x14ac:dyDescent="0.25">
      <c r="A3119" t="s">
        <v>7</v>
      </c>
      <c r="B3119" t="s">
        <v>18</v>
      </c>
      <c r="C3119" t="s">
        <v>9</v>
      </c>
      <c r="D3119" t="s">
        <v>10</v>
      </c>
      <c r="E3119">
        <v>17</v>
      </c>
      <c r="F3119" s="1">
        <v>45657</v>
      </c>
      <c r="G3119">
        <v>3.1839180798057302E-2</v>
      </c>
    </row>
    <row r="3120" spans="1:7" x14ac:dyDescent="0.25">
      <c r="A3120" t="s">
        <v>7</v>
      </c>
      <c r="B3120" t="s">
        <v>18</v>
      </c>
      <c r="C3120" t="s">
        <v>9</v>
      </c>
      <c r="D3120" t="s">
        <v>10</v>
      </c>
      <c r="E3120">
        <v>17</v>
      </c>
      <c r="F3120" s="1">
        <v>45688</v>
      </c>
      <c r="G3120">
        <v>-5.6929552546627904E-3</v>
      </c>
    </row>
    <row r="3121" spans="1:7" x14ac:dyDescent="0.25">
      <c r="A3121" t="s">
        <v>7</v>
      </c>
      <c r="B3121" t="s">
        <v>18</v>
      </c>
      <c r="C3121" t="s">
        <v>9</v>
      </c>
      <c r="D3121" t="s">
        <v>10</v>
      </c>
      <c r="E3121">
        <v>17</v>
      </c>
      <c r="F3121" s="1">
        <v>45716</v>
      </c>
      <c r="G3121">
        <v>-1.6591894192689801E-2</v>
      </c>
    </row>
    <row r="3122" spans="1:7" x14ac:dyDescent="0.25">
      <c r="A3122" t="s">
        <v>7</v>
      </c>
      <c r="B3122" t="s">
        <v>18</v>
      </c>
      <c r="C3122" t="s">
        <v>9</v>
      </c>
      <c r="D3122" t="s">
        <v>10</v>
      </c>
      <c r="E3122">
        <v>17</v>
      </c>
      <c r="F3122" s="1">
        <v>45747</v>
      </c>
      <c r="G3122">
        <v>1.4560954465372001E-2</v>
      </c>
    </row>
    <row r="3123" spans="1:7" x14ac:dyDescent="0.25">
      <c r="A3123" t="s">
        <v>7</v>
      </c>
      <c r="B3123" t="s">
        <v>18</v>
      </c>
      <c r="C3123" t="s">
        <v>9</v>
      </c>
      <c r="D3123" t="s">
        <v>10</v>
      </c>
      <c r="E3123">
        <v>17</v>
      </c>
      <c r="F3123" s="1">
        <v>45777</v>
      </c>
      <c r="G3123">
        <v>-2.30672436272241E-2</v>
      </c>
    </row>
    <row r="3124" spans="1:7" x14ac:dyDescent="0.25">
      <c r="A3124" t="s">
        <v>7</v>
      </c>
      <c r="B3124" t="s">
        <v>18</v>
      </c>
      <c r="C3124" t="s">
        <v>9</v>
      </c>
      <c r="D3124" t="s">
        <v>10</v>
      </c>
      <c r="E3124">
        <v>17</v>
      </c>
      <c r="F3124" s="1">
        <v>45808</v>
      </c>
      <c r="G3124">
        <v>-3.8532216745643999E-2</v>
      </c>
    </row>
    <row r="3125" spans="1:7" x14ac:dyDescent="0.25">
      <c r="A3125" t="s">
        <v>7</v>
      </c>
      <c r="B3125" t="s">
        <v>18</v>
      </c>
      <c r="C3125" t="s">
        <v>9</v>
      </c>
      <c r="D3125" t="s">
        <v>10</v>
      </c>
      <c r="E3125">
        <v>17</v>
      </c>
      <c r="F3125" s="1">
        <v>45838</v>
      </c>
      <c r="G3125">
        <v>1.94043839983347E-2</v>
      </c>
    </row>
    <row r="3126" spans="1:7" x14ac:dyDescent="0.25">
      <c r="A3126" t="s">
        <v>7</v>
      </c>
      <c r="B3126" t="s">
        <v>18</v>
      </c>
      <c r="C3126" t="s">
        <v>9</v>
      </c>
      <c r="D3126" t="s">
        <v>10</v>
      </c>
      <c r="E3126">
        <v>17</v>
      </c>
      <c r="F3126" s="1">
        <v>45869</v>
      </c>
      <c r="G3126">
        <v>-4.9307418509496402E-4</v>
      </c>
    </row>
    <row r="3127" spans="1:7" x14ac:dyDescent="0.25">
      <c r="A3127" t="s">
        <v>7</v>
      </c>
      <c r="B3127" t="s">
        <v>18</v>
      </c>
      <c r="C3127" t="s">
        <v>9</v>
      </c>
      <c r="D3127" t="s">
        <v>10</v>
      </c>
      <c r="E3127">
        <v>17</v>
      </c>
      <c r="F3127" s="1">
        <v>45900</v>
      </c>
      <c r="G3127">
        <v>-6.2546630912843496E-3</v>
      </c>
    </row>
    <row r="3128" spans="1:7" x14ac:dyDescent="0.25">
      <c r="A3128" t="s">
        <v>7</v>
      </c>
      <c r="B3128" t="s">
        <v>18</v>
      </c>
      <c r="C3128" t="s">
        <v>9</v>
      </c>
      <c r="D3128" t="s">
        <v>10</v>
      </c>
      <c r="E3128">
        <v>17</v>
      </c>
      <c r="F3128" s="1">
        <v>45930</v>
      </c>
      <c r="G3128">
        <v>-5.0403232534071904E-3</v>
      </c>
    </row>
    <row r="3129" spans="1:7" x14ac:dyDescent="0.25">
      <c r="A3129" t="s">
        <v>7</v>
      </c>
      <c r="B3129" t="s">
        <v>18</v>
      </c>
      <c r="C3129" t="s">
        <v>9</v>
      </c>
      <c r="D3129" t="s">
        <v>10</v>
      </c>
      <c r="E3129">
        <v>17</v>
      </c>
      <c r="F3129" s="1">
        <v>45961</v>
      </c>
      <c r="G3129">
        <v>2.45148018698726E-2</v>
      </c>
    </row>
    <row r="3130" spans="1:7" x14ac:dyDescent="0.25">
      <c r="A3130" t="s">
        <v>7</v>
      </c>
      <c r="B3130" t="s">
        <v>18</v>
      </c>
      <c r="C3130" t="s">
        <v>9</v>
      </c>
      <c r="D3130" t="s">
        <v>10</v>
      </c>
      <c r="E3130">
        <v>17</v>
      </c>
      <c r="F3130" s="1">
        <v>45991</v>
      </c>
      <c r="G3130">
        <v>1.6515191189514399E-2</v>
      </c>
    </row>
    <row r="3131" spans="1:7" x14ac:dyDescent="0.25">
      <c r="A3131" t="s">
        <v>7</v>
      </c>
      <c r="B3131" t="s">
        <v>18</v>
      </c>
      <c r="C3131" t="s">
        <v>9</v>
      </c>
      <c r="D3131" t="s">
        <v>10</v>
      </c>
      <c r="E3131">
        <v>17</v>
      </c>
      <c r="F3131" s="1">
        <v>46022</v>
      </c>
      <c r="G3131">
        <v>1.35961370645994E-3</v>
      </c>
    </row>
    <row r="3132" spans="1:7" x14ac:dyDescent="0.25">
      <c r="A3132" t="s">
        <v>7</v>
      </c>
      <c r="B3132" t="s">
        <v>19</v>
      </c>
      <c r="C3132" t="s">
        <v>9</v>
      </c>
      <c r="D3132" t="s">
        <v>10</v>
      </c>
      <c r="E3132">
        <v>1</v>
      </c>
      <c r="F3132" s="1">
        <v>34758</v>
      </c>
      <c r="G3132">
        <v>6.0411685939815697E-2</v>
      </c>
    </row>
    <row r="3133" spans="1:7" x14ac:dyDescent="0.25">
      <c r="A3133" t="s">
        <v>7</v>
      </c>
      <c r="B3133" t="s">
        <v>19</v>
      </c>
      <c r="C3133" t="s">
        <v>9</v>
      </c>
      <c r="D3133" t="s">
        <v>10</v>
      </c>
      <c r="E3133">
        <v>1</v>
      </c>
      <c r="F3133" s="1">
        <v>34911</v>
      </c>
      <c r="G3133">
        <v>4.94719658412534E-2</v>
      </c>
    </row>
    <row r="3134" spans="1:7" x14ac:dyDescent="0.25">
      <c r="A3134" t="s">
        <v>7</v>
      </c>
      <c r="B3134" t="s">
        <v>19</v>
      </c>
      <c r="C3134" t="s">
        <v>9</v>
      </c>
      <c r="D3134" t="s">
        <v>10</v>
      </c>
      <c r="E3134">
        <v>1</v>
      </c>
      <c r="F3134" s="1">
        <v>34942</v>
      </c>
      <c r="G3134">
        <v>1.39583632477505E-2</v>
      </c>
    </row>
    <row r="3135" spans="1:7" x14ac:dyDescent="0.25">
      <c r="A3135" t="s">
        <v>7</v>
      </c>
      <c r="B3135" t="s">
        <v>19</v>
      </c>
      <c r="C3135" t="s">
        <v>9</v>
      </c>
      <c r="D3135" t="s">
        <v>10</v>
      </c>
      <c r="E3135">
        <v>1</v>
      </c>
      <c r="F3135" s="1">
        <v>34972</v>
      </c>
      <c r="G3135">
        <v>6.4206512626793305E-2</v>
      </c>
    </row>
    <row r="3136" spans="1:7" x14ac:dyDescent="0.25">
      <c r="A3136" t="s">
        <v>7</v>
      </c>
      <c r="B3136" t="s">
        <v>19</v>
      </c>
      <c r="C3136" t="s">
        <v>9</v>
      </c>
      <c r="D3136" t="s">
        <v>10</v>
      </c>
      <c r="E3136">
        <v>1</v>
      </c>
      <c r="F3136" s="1">
        <v>35003</v>
      </c>
      <c r="G3136">
        <v>8.8661393037126994E-3</v>
      </c>
    </row>
    <row r="3137" spans="1:7" x14ac:dyDescent="0.25">
      <c r="A3137" t="s">
        <v>7</v>
      </c>
      <c r="B3137" t="s">
        <v>19</v>
      </c>
      <c r="C3137" t="s">
        <v>9</v>
      </c>
      <c r="D3137" t="s">
        <v>10</v>
      </c>
      <c r="E3137">
        <v>1</v>
      </c>
      <c r="F3137" s="1">
        <v>35155</v>
      </c>
      <c r="G3137">
        <v>0.19911924858539801</v>
      </c>
    </row>
    <row r="3138" spans="1:7" x14ac:dyDescent="0.25">
      <c r="A3138" t="s">
        <v>7</v>
      </c>
      <c r="B3138" t="s">
        <v>19</v>
      </c>
      <c r="C3138" t="s">
        <v>9</v>
      </c>
      <c r="D3138" t="s">
        <v>10</v>
      </c>
      <c r="E3138">
        <v>1</v>
      </c>
      <c r="F3138" s="1">
        <v>35185</v>
      </c>
      <c r="G3138">
        <v>-7.3223431186932699E-3</v>
      </c>
    </row>
    <row r="3139" spans="1:7" x14ac:dyDescent="0.25">
      <c r="A3139" t="s">
        <v>7</v>
      </c>
      <c r="B3139" t="s">
        <v>19</v>
      </c>
      <c r="C3139" t="s">
        <v>9</v>
      </c>
      <c r="D3139" t="s">
        <v>10</v>
      </c>
      <c r="E3139">
        <v>1</v>
      </c>
      <c r="F3139" s="1">
        <v>35277</v>
      </c>
      <c r="G3139">
        <v>7.2686145258418502E-2</v>
      </c>
    </row>
    <row r="3140" spans="1:7" x14ac:dyDescent="0.25">
      <c r="A3140" t="s">
        <v>7</v>
      </c>
      <c r="B3140" t="s">
        <v>19</v>
      </c>
      <c r="C3140" t="s">
        <v>9</v>
      </c>
      <c r="D3140" t="s">
        <v>10</v>
      </c>
      <c r="E3140">
        <v>1</v>
      </c>
      <c r="F3140" s="1">
        <v>35308</v>
      </c>
      <c r="G3140">
        <v>-9.6228697589219297E-3</v>
      </c>
    </row>
    <row r="3141" spans="1:7" x14ac:dyDescent="0.25">
      <c r="A3141" t="s">
        <v>7</v>
      </c>
      <c r="B3141" t="s">
        <v>19</v>
      </c>
      <c r="C3141" t="s">
        <v>9</v>
      </c>
      <c r="D3141" t="s">
        <v>10</v>
      </c>
      <c r="E3141">
        <v>1</v>
      </c>
      <c r="F3141" s="1">
        <v>35369</v>
      </c>
      <c r="G3141">
        <v>7.4988022591425896E-2</v>
      </c>
    </row>
    <row r="3142" spans="1:7" x14ac:dyDescent="0.25">
      <c r="A3142" t="s">
        <v>7</v>
      </c>
      <c r="B3142" t="s">
        <v>19</v>
      </c>
      <c r="C3142" t="s">
        <v>9</v>
      </c>
      <c r="D3142" t="s">
        <v>10</v>
      </c>
      <c r="E3142">
        <v>1</v>
      </c>
      <c r="F3142" s="1">
        <v>35430</v>
      </c>
      <c r="G3142">
        <v>1.2690218549047399E-2</v>
      </c>
    </row>
    <row r="3143" spans="1:7" x14ac:dyDescent="0.25">
      <c r="A3143" t="s">
        <v>7</v>
      </c>
      <c r="B3143" t="s">
        <v>19</v>
      </c>
      <c r="C3143" t="s">
        <v>9</v>
      </c>
      <c r="D3143" t="s">
        <v>10</v>
      </c>
      <c r="E3143">
        <v>1</v>
      </c>
      <c r="F3143" s="1">
        <v>35489</v>
      </c>
      <c r="G3143">
        <v>-5.1767921632132299E-2</v>
      </c>
    </row>
    <row r="3144" spans="1:7" x14ac:dyDescent="0.25">
      <c r="A3144" t="s">
        <v>7</v>
      </c>
      <c r="B3144" t="s">
        <v>19</v>
      </c>
      <c r="C3144" t="s">
        <v>9</v>
      </c>
      <c r="D3144" t="s">
        <v>10</v>
      </c>
      <c r="E3144">
        <v>1</v>
      </c>
      <c r="F3144" s="1">
        <v>35520</v>
      </c>
      <c r="G3144">
        <v>2.53463293318874E-2</v>
      </c>
    </row>
    <row r="3145" spans="1:7" x14ac:dyDescent="0.25">
      <c r="A3145" t="s">
        <v>7</v>
      </c>
      <c r="B3145" t="s">
        <v>19</v>
      </c>
      <c r="C3145" t="s">
        <v>9</v>
      </c>
      <c r="D3145" t="s">
        <v>10</v>
      </c>
      <c r="E3145">
        <v>1</v>
      </c>
      <c r="F3145" s="1">
        <v>35550</v>
      </c>
      <c r="G3145">
        <v>5.9149197568497E-2</v>
      </c>
    </row>
    <row r="3146" spans="1:7" x14ac:dyDescent="0.25">
      <c r="A3146" t="s">
        <v>7</v>
      </c>
      <c r="B3146" t="s">
        <v>19</v>
      </c>
      <c r="C3146" t="s">
        <v>9</v>
      </c>
      <c r="D3146" t="s">
        <v>10</v>
      </c>
      <c r="E3146">
        <v>2</v>
      </c>
      <c r="F3146" s="1">
        <v>35581</v>
      </c>
      <c r="G3146">
        <v>-0.12470225009316301</v>
      </c>
    </row>
    <row r="3147" spans="1:7" x14ac:dyDescent="0.25">
      <c r="A3147" t="s">
        <v>7</v>
      </c>
      <c r="B3147" t="s">
        <v>19</v>
      </c>
      <c r="C3147" t="s">
        <v>9</v>
      </c>
      <c r="D3147" t="s">
        <v>10</v>
      </c>
      <c r="E3147">
        <v>1</v>
      </c>
      <c r="F3147" s="1">
        <v>35611</v>
      </c>
      <c r="G3147">
        <v>3.31960478838524E-2</v>
      </c>
    </row>
    <row r="3148" spans="1:7" x14ac:dyDescent="0.25">
      <c r="A3148" t="s">
        <v>7</v>
      </c>
      <c r="B3148" t="s">
        <v>19</v>
      </c>
      <c r="C3148" t="s">
        <v>9</v>
      </c>
      <c r="D3148" t="s">
        <v>10</v>
      </c>
      <c r="E3148">
        <v>1</v>
      </c>
      <c r="F3148" s="1">
        <v>35642</v>
      </c>
      <c r="G3148">
        <v>-5.0853581975606098E-2</v>
      </c>
    </row>
    <row r="3149" spans="1:7" x14ac:dyDescent="0.25">
      <c r="A3149" t="s">
        <v>7</v>
      </c>
      <c r="B3149" t="s">
        <v>19</v>
      </c>
      <c r="C3149" t="s">
        <v>9</v>
      </c>
      <c r="D3149" t="s">
        <v>10</v>
      </c>
      <c r="E3149">
        <v>1</v>
      </c>
      <c r="F3149" s="1">
        <v>35673</v>
      </c>
      <c r="G3149">
        <v>0.186853249796889</v>
      </c>
    </row>
    <row r="3150" spans="1:7" x14ac:dyDescent="0.25">
      <c r="A3150" t="s">
        <v>7</v>
      </c>
      <c r="B3150" t="s">
        <v>19</v>
      </c>
      <c r="C3150" t="s">
        <v>9</v>
      </c>
      <c r="D3150" t="s">
        <v>10</v>
      </c>
      <c r="E3150">
        <v>1</v>
      </c>
      <c r="F3150" s="1">
        <v>35703</v>
      </c>
      <c r="G3150">
        <v>-9.5319236353896594E-2</v>
      </c>
    </row>
    <row r="3151" spans="1:7" x14ac:dyDescent="0.25">
      <c r="A3151" t="s">
        <v>7</v>
      </c>
      <c r="B3151" t="s">
        <v>19</v>
      </c>
      <c r="C3151" t="s">
        <v>9</v>
      </c>
      <c r="D3151" t="s">
        <v>10</v>
      </c>
      <c r="E3151">
        <v>2</v>
      </c>
      <c r="F3151" s="1">
        <v>35734</v>
      </c>
      <c r="G3151">
        <v>-7.5585745622605394E-2</v>
      </c>
    </row>
    <row r="3152" spans="1:7" x14ac:dyDescent="0.25">
      <c r="A3152" t="s">
        <v>7</v>
      </c>
      <c r="B3152" t="s">
        <v>19</v>
      </c>
      <c r="C3152" t="s">
        <v>9</v>
      </c>
      <c r="D3152" t="s">
        <v>10</v>
      </c>
      <c r="E3152">
        <v>2</v>
      </c>
      <c r="F3152" s="1">
        <v>35764</v>
      </c>
      <c r="G3152">
        <v>-9.8172561148798507E-2</v>
      </c>
    </row>
    <row r="3153" spans="1:7" x14ac:dyDescent="0.25">
      <c r="A3153" t="s">
        <v>7</v>
      </c>
      <c r="B3153" t="s">
        <v>19</v>
      </c>
      <c r="C3153" t="s">
        <v>9</v>
      </c>
      <c r="D3153" t="s">
        <v>10</v>
      </c>
      <c r="E3153">
        <v>2</v>
      </c>
      <c r="F3153" s="1">
        <v>35795</v>
      </c>
      <c r="G3153">
        <v>2.09487030733406E-2</v>
      </c>
    </row>
    <row r="3154" spans="1:7" x14ac:dyDescent="0.25">
      <c r="A3154" t="s">
        <v>7</v>
      </c>
      <c r="B3154" t="s">
        <v>19</v>
      </c>
      <c r="C3154" t="s">
        <v>9</v>
      </c>
      <c r="D3154" t="s">
        <v>10</v>
      </c>
      <c r="E3154">
        <v>2</v>
      </c>
      <c r="F3154" s="1">
        <v>35826</v>
      </c>
      <c r="G3154">
        <v>2.3769877734708001E-2</v>
      </c>
    </row>
    <row r="3155" spans="1:7" x14ac:dyDescent="0.25">
      <c r="A3155" t="s">
        <v>7</v>
      </c>
      <c r="B3155" t="s">
        <v>19</v>
      </c>
      <c r="C3155" t="s">
        <v>9</v>
      </c>
      <c r="D3155" t="s">
        <v>10</v>
      </c>
      <c r="E3155">
        <v>2</v>
      </c>
      <c r="F3155" s="1">
        <v>35854</v>
      </c>
      <c r="G3155">
        <v>3.0616149728853601E-2</v>
      </c>
    </row>
    <row r="3156" spans="1:7" x14ac:dyDescent="0.25">
      <c r="A3156" t="s">
        <v>7</v>
      </c>
      <c r="B3156" t="s">
        <v>19</v>
      </c>
      <c r="C3156" t="s">
        <v>9</v>
      </c>
      <c r="D3156" t="s">
        <v>10</v>
      </c>
      <c r="E3156">
        <v>2</v>
      </c>
      <c r="F3156" s="1">
        <v>35885</v>
      </c>
      <c r="G3156">
        <v>5.4239093761806099E-2</v>
      </c>
    </row>
    <row r="3157" spans="1:7" x14ac:dyDescent="0.25">
      <c r="A3157" t="s">
        <v>7</v>
      </c>
      <c r="B3157" t="s">
        <v>19</v>
      </c>
      <c r="C3157" t="s">
        <v>9</v>
      </c>
      <c r="D3157" t="s">
        <v>10</v>
      </c>
      <c r="E3157">
        <v>2</v>
      </c>
      <c r="F3157" s="1">
        <v>35915</v>
      </c>
      <c r="G3157">
        <v>4.3752495906446698E-2</v>
      </c>
    </row>
    <row r="3158" spans="1:7" x14ac:dyDescent="0.25">
      <c r="A3158" t="s">
        <v>7</v>
      </c>
      <c r="B3158" t="s">
        <v>19</v>
      </c>
      <c r="C3158" t="s">
        <v>9</v>
      </c>
      <c r="D3158" t="s">
        <v>10</v>
      </c>
      <c r="E3158">
        <v>4</v>
      </c>
      <c r="F3158" s="1">
        <v>35946</v>
      </c>
      <c r="G3158">
        <v>-2.2579646447644E-2</v>
      </c>
    </row>
    <row r="3159" spans="1:7" x14ac:dyDescent="0.25">
      <c r="A3159" t="s">
        <v>7</v>
      </c>
      <c r="B3159" t="s">
        <v>19</v>
      </c>
      <c r="C3159" t="s">
        <v>9</v>
      </c>
      <c r="D3159" t="s">
        <v>10</v>
      </c>
      <c r="E3159">
        <v>4</v>
      </c>
      <c r="F3159" s="1">
        <v>35976</v>
      </c>
      <c r="G3159">
        <v>-0.157215691594672</v>
      </c>
    </row>
    <row r="3160" spans="1:7" x14ac:dyDescent="0.25">
      <c r="A3160" t="s">
        <v>7</v>
      </c>
      <c r="B3160" t="s">
        <v>19</v>
      </c>
      <c r="C3160" t="s">
        <v>9</v>
      </c>
      <c r="D3160" t="s">
        <v>10</v>
      </c>
      <c r="E3160">
        <v>2</v>
      </c>
      <c r="F3160" s="1">
        <v>36007</v>
      </c>
      <c r="G3160">
        <v>5.4226723389041102E-2</v>
      </c>
    </row>
    <row r="3161" spans="1:7" x14ac:dyDescent="0.25">
      <c r="A3161" t="s">
        <v>7</v>
      </c>
      <c r="B3161" t="s">
        <v>19</v>
      </c>
      <c r="C3161" t="s">
        <v>9</v>
      </c>
      <c r="D3161" t="s">
        <v>10</v>
      </c>
      <c r="E3161">
        <v>3</v>
      </c>
      <c r="F3161" s="1">
        <v>36038</v>
      </c>
      <c r="G3161">
        <v>-3.3703920508931201E-2</v>
      </c>
    </row>
    <row r="3162" spans="1:7" x14ac:dyDescent="0.25">
      <c r="A3162" t="s">
        <v>7</v>
      </c>
      <c r="B3162" t="s">
        <v>19</v>
      </c>
      <c r="C3162" t="s">
        <v>9</v>
      </c>
      <c r="D3162" t="s">
        <v>10</v>
      </c>
      <c r="E3162">
        <v>2</v>
      </c>
      <c r="F3162" s="1">
        <v>36068</v>
      </c>
      <c r="G3162">
        <v>-0.11600110560218101</v>
      </c>
    </row>
    <row r="3163" spans="1:7" x14ac:dyDescent="0.25">
      <c r="A3163" t="s">
        <v>7</v>
      </c>
      <c r="B3163" t="s">
        <v>19</v>
      </c>
      <c r="C3163" t="s">
        <v>9</v>
      </c>
      <c r="D3163" t="s">
        <v>10</v>
      </c>
      <c r="E3163">
        <v>3</v>
      </c>
      <c r="F3163" s="1">
        <v>36099</v>
      </c>
      <c r="G3163">
        <v>3.8169774304081701E-2</v>
      </c>
    </row>
    <row r="3164" spans="1:7" x14ac:dyDescent="0.25">
      <c r="A3164" t="s">
        <v>7</v>
      </c>
      <c r="B3164" t="s">
        <v>19</v>
      </c>
      <c r="C3164" t="s">
        <v>9</v>
      </c>
      <c r="D3164" t="s">
        <v>10</v>
      </c>
      <c r="E3164">
        <v>3</v>
      </c>
      <c r="F3164" s="1">
        <v>36129</v>
      </c>
      <c r="G3164">
        <v>-2.4561636306185399E-3</v>
      </c>
    </row>
    <row r="3165" spans="1:7" x14ac:dyDescent="0.25">
      <c r="A3165" t="s">
        <v>7</v>
      </c>
      <c r="B3165" t="s">
        <v>19</v>
      </c>
      <c r="C3165" t="s">
        <v>9</v>
      </c>
      <c r="D3165" t="s">
        <v>10</v>
      </c>
      <c r="E3165">
        <v>5</v>
      </c>
      <c r="F3165" s="1">
        <v>36160</v>
      </c>
      <c r="G3165">
        <v>-0.149215036907034</v>
      </c>
    </row>
    <row r="3166" spans="1:7" x14ac:dyDescent="0.25">
      <c r="A3166" t="s">
        <v>7</v>
      </c>
      <c r="B3166" t="s">
        <v>19</v>
      </c>
      <c r="C3166" t="s">
        <v>9</v>
      </c>
      <c r="D3166" t="s">
        <v>10</v>
      </c>
      <c r="E3166">
        <v>5</v>
      </c>
      <c r="F3166" s="1">
        <v>36191</v>
      </c>
      <c r="G3166">
        <v>7.6652088395383596E-3</v>
      </c>
    </row>
    <row r="3167" spans="1:7" x14ac:dyDescent="0.25">
      <c r="A3167" t="s">
        <v>7</v>
      </c>
      <c r="B3167" t="s">
        <v>19</v>
      </c>
      <c r="C3167" t="s">
        <v>9</v>
      </c>
      <c r="D3167" t="s">
        <v>10</v>
      </c>
      <c r="E3167">
        <v>2</v>
      </c>
      <c r="F3167" s="1">
        <v>36219</v>
      </c>
      <c r="G3167">
        <v>8.1595314483831893E-2</v>
      </c>
    </row>
    <row r="3168" spans="1:7" x14ac:dyDescent="0.25">
      <c r="A3168" t="s">
        <v>7</v>
      </c>
      <c r="B3168" t="s">
        <v>19</v>
      </c>
      <c r="C3168" t="s">
        <v>9</v>
      </c>
      <c r="D3168" t="s">
        <v>10</v>
      </c>
      <c r="E3168">
        <v>3</v>
      </c>
      <c r="F3168" s="1">
        <v>36250</v>
      </c>
      <c r="G3168">
        <v>-0.265420698883296</v>
      </c>
    </row>
    <row r="3169" spans="1:7" x14ac:dyDescent="0.25">
      <c r="A3169" t="s">
        <v>7</v>
      </c>
      <c r="B3169" t="s">
        <v>19</v>
      </c>
      <c r="C3169" t="s">
        <v>9</v>
      </c>
      <c r="D3169" t="s">
        <v>10</v>
      </c>
      <c r="E3169">
        <v>3</v>
      </c>
      <c r="F3169" s="1">
        <v>36280</v>
      </c>
      <c r="G3169">
        <v>-0.127675420968728</v>
      </c>
    </row>
    <row r="3170" spans="1:7" x14ac:dyDescent="0.25">
      <c r="A3170" t="s">
        <v>7</v>
      </c>
      <c r="B3170" t="s">
        <v>19</v>
      </c>
      <c r="C3170" t="s">
        <v>9</v>
      </c>
      <c r="D3170" t="s">
        <v>10</v>
      </c>
      <c r="E3170">
        <v>4</v>
      </c>
      <c r="F3170" s="1">
        <v>36311</v>
      </c>
      <c r="G3170">
        <v>-1.13129776289342E-2</v>
      </c>
    </row>
    <row r="3171" spans="1:7" x14ac:dyDescent="0.25">
      <c r="A3171" t="s">
        <v>7</v>
      </c>
      <c r="B3171" t="s">
        <v>19</v>
      </c>
      <c r="C3171" t="s">
        <v>9</v>
      </c>
      <c r="D3171" t="s">
        <v>10</v>
      </c>
      <c r="E3171">
        <v>4</v>
      </c>
      <c r="F3171" s="1">
        <v>36341</v>
      </c>
      <c r="G3171">
        <v>5.7127521661347998E-2</v>
      </c>
    </row>
    <row r="3172" spans="1:7" x14ac:dyDescent="0.25">
      <c r="A3172" t="s">
        <v>7</v>
      </c>
      <c r="B3172" t="s">
        <v>19</v>
      </c>
      <c r="C3172" t="s">
        <v>9</v>
      </c>
      <c r="D3172" t="s">
        <v>10</v>
      </c>
      <c r="E3172">
        <v>4</v>
      </c>
      <c r="F3172" s="1">
        <v>36372</v>
      </c>
      <c r="G3172">
        <v>-3.9828697105423098E-4</v>
      </c>
    </row>
    <row r="3173" spans="1:7" x14ac:dyDescent="0.25">
      <c r="A3173" t="s">
        <v>7</v>
      </c>
      <c r="B3173" t="s">
        <v>19</v>
      </c>
      <c r="C3173" t="s">
        <v>9</v>
      </c>
      <c r="D3173" t="s">
        <v>10</v>
      </c>
      <c r="E3173">
        <v>4</v>
      </c>
      <c r="F3173" s="1">
        <v>36403</v>
      </c>
      <c r="G3173">
        <v>1.9264969004825501E-2</v>
      </c>
    </row>
    <row r="3174" spans="1:7" x14ac:dyDescent="0.25">
      <c r="A3174" t="s">
        <v>7</v>
      </c>
      <c r="B3174" t="s">
        <v>19</v>
      </c>
      <c r="C3174" t="s">
        <v>9</v>
      </c>
      <c r="D3174" t="s">
        <v>10</v>
      </c>
      <c r="E3174">
        <v>4</v>
      </c>
      <c r="F3174" s="1">
        <v>36433</v>
      </c>
      <c r="G3174">
        <v>-1.2278569732708701E-2</v>
      </c>
    </row>
    <row r="3175" spans="1:7" x14ac:dyDescent="0.25">
      <c r="A3175" t="s">
        <v>7</v>
      </c>
      <c r="B3175" t="s">
        <v>19</v>
      </c>
      <c r="C3175" t="s">
        <v>9</v>
      </c>
      <c r="D3175" t="s">
        <v>10</v>
      </c>
      <c r="E3175">
        <v>5</v>
      </c>
      <c r="F3175" s="1">
        <v>36464</v>
      </c>
      <c r="G3175">
        <v>1.8322552345128602E-2</v>
      </c>
    </row>
    <row r="3176" spans="1:7" x14ac:dyDescent="0.25">
      <c r="A3176" t="s">
        <v>7</v>
      </c>
      <c r="B3176" t="s">
        <v>19</v>
      </c>
      <c r="C3176" t="s">
        <v>9</v>
      </c>
      <c r="D3176" t="s">
        <v>10</v>
      </c>
      <c r="E3176">
        <v>2</v>
      </c>
      <c r="F3176" s="1">
        <v>36494</v>
      </c>
      <c r="G3176">
        <v>7.0456304591535998E-2</v>
      </c>
    </row>
    <row r="3177" spans="1:7" x14ac:dyDescent="0.25">
      <c r="A3177" t="s">
        <v>7</v>
      </c>
      <c r="B3177" t="s">
        <v>19</v>
      </c>
      <c r="C3177" t="s">
        <v>9</v>
      </c>
      <c r="D3177" t="s">
        <v>10</v>
      </c>
      <c r="E3177">
        <v>5</v>
      </c>
      <c r="F3177" s="1">
        <v>36525</v>
      </c>
      <c r="G3177">
        <v>-4.4989336444610298E-2</v>
      </c>
    </row>
    <row r="3178" spans="1:7" x14ac:dyDescent="0.25">
      <c r="A3178" t="s">
        <v>7</v>
      </c>
      <c r="B3178" t="s">
        <v>19</v>
      </c>
      <c r="C3178" t="s">
        <v>9</v>
      </c>
      <c r="D3178" t="s">
        <v>10</v>
      </c>
      <c r="E3178">
        <v>5</v>
      </c>
      <c r="F3178" s="1">
        <v>36556</v>
      </c>
      <c r="G3178">
        <v>3.5657586497785103E-2</v>
      </c>
    </row>
    <row r="3179" spans="1:7" x14ac:dyDescent="0.25">
      <c r="A3179" t="s">
        <v>7</v>
      </c>
      <c r="B3179" t="s">
        <v>19</v>
      </c>
      <c r="C3179" t="s">
        <v>9</v>
      </c>
      <c r="D3179" t="s">
        <v>10</v>
      </c>
      <c r="E3179">
        <v>6</v>
      </c>
      <c r="F3179" s="1">
        <v>36585</v>
      </c>
      <c r="G3179">
        <v>-1.2122958819411301E-2</v>
      </c>
    </row>
    <row r="3180" spans="1:7" x14ac:dyDescent="0.25">
      <c r="A3180" t="s">
        <v>7</v>
      </c>
      <c r="B3180" t="s">
        <v>19</v>
      </c>
      <c r="C3180" t="s">
        <v>9</v>
      </c>
      <c r="D3180" t="s">
        <v>10</v>
      </c>
      <c r="E3180">
        <v>6</v>
      </c>
      <c r="F3180" s="1">
        <v>36616</v>
      </c>
      <c r="G3180">
        <v>3.4095526951168097E-2</v>
      </c>
    </row>
    <row r="3181" spans="1:7" x14ac:dyDescent="0.25">
      <c r="A3181" t="s">
        <v>7</v>
      </c>
      <c r="B3181" t="s">
        <v>19</v>
      </c>
      <c r="C3181" t="s">
        <v>9</v>
      </c>
      <c r="D3181" t="s">
        <v>10</v>
      </c>
      <c r="E3181">
        <v>6</v>
      </c>
      <c r="F3181" s="1">
        <v>36646</v>
      </c>
      <c r="G3181">
        <v>1.2153919911380101E-2</v>
      </c>
    </row>
    <row r="3182" spans="1:7" x14ac:dyDescent="0.25">
      <c r="A3182" t="s">
        <v>7</v>
      </c>
      <c r="B3182" t="s">
        <v>19</v>
      </c>
      <c r="C3182" t="s">
        <v>9</v>
      </c>
      <c r="D3182" t="s">
        <v>10</v>
      </c>
      <c r="E3182">
        <v>5</v>
      </c>
      <c r="F3182" s="1">
        <v>36677</v>
      </c>
      <c r="G3182">
        <v>1.5656695426660001E-2</v>
      </c>
    </row>
    <row r="3183" spans="1:7" x14ac:dyDescent="0.25">
      <c r="A3183" t="s">
        <v>7</v>
      </c>
      <c r="B3183" t="s">
        <v>19</v>
      </c>
      <c r="C3183" t="s">
        <v>9</v>
      </c>
      <c r="D3183" t="s">
        <v>10</v>
      </c>
      <c r="E3183">
        <v>3</v>
      </c>
      <c r="F3183" s="1">
        <v>36707</v>
      </c>
      <c r="G3183">
        <v>1.84251218493694E-2</v>
      </c>
    </row>
    <row r="3184" spans="1:7" x14ac:dyDescent="0.25">
      <c r="A3184" t="s">
        <v>7</v>
      </c>
      <c r="B3184" t="s">
        <v>19</v>
      </c>
      <c r="C3184" t="s">
        <v>9</v>
      </c>
      <c r="D3184" t="s">
        <v>10</v>
      </c>
      <c r="E3184">
        <v>3</v>
      </c>
      <c r="F3184" s="1">
        <v>36738</v>
      </c>
      <c r="G3184">
        <v>4.1957860466758597E-2</v>
      </c>
    </row>
    <row r="3185" spans="1:7" x14ac:dyDescent="0.25">
      <c r="A3185" t="s">
        <v>7</v>
      </c>
      <c r="B3185" t="s">
        <v>19</v>
      </c>
      <c r="C3185" t="s">
        <v>9</v>
      </c>
      <c r="D3185" t="s">
        <v>10</v>
      </c>
      <c r="E3185">
        <v>4</v>
      </c>
      <c r="F3185" s="1">
        <v>36769</v>
      </c>
      <c r="G3185">
        <v>-6.0513197106092098E-2</v>
      </c>
    </row>
    <row r="3186" spans="1:7" x14ac:dyDescent="0.25">
      <c r="A3186" t="s">
        <v>7</v>
      </c>
      <c r="B3186" t="s">
        <v>19</v>
      </c>
      <c r="C3186" t="s">
        <v>9</v>
      </c>
      <c r="D3186" t="s">
        <v>10</v>
      </c>
      <c r="E3186">
        <v>3</v>
      </c>
      <c r="F3186" s="1">
        <v>36799</v>
      </c>
      <c r="G3186">
        <v>3.8403756965367998E-2</v>
      </c>
    </row>
    <row r="3187" spans="1:7" x14ac:dyDescent="0.25">
      <c r="A3187" t="s">
        <v>7</v>
      </c>
      <c r="B3187" t="s">
        <v>19</v>
      </c>
      <c r="C3187" t="s">
        <v>9</v>
      </c>
      <c r="D3187" t="s">
        <v>10</v>
      </c>
      <c r="E3187">
        <v>4</v>
      </c>
      <c r="F3187" s="1">
        <v>36830</v>
      </c>
      <c r="G3187">
        <v>-5.50843291189239E-2</v>
      </c>
    </row>
    <row r="3188" spans="1:7" x14ac:dyDescent="0.25">
      <c r="A3188" t="s">
        <v>7</v>
      </c>
      <c r="B3188" t="s">
        <v>19</v>
      </c>
      <c r="C3188" t="s">
        <v>9</v>
      </c>
      <c r="D3188" t="s">
        <v>10</v>
      </c>
      <c r="E3188">
        <v>4</v>
      </c>
      <c r="F3188" s="1">
        <v>36860</v>
      </c>
      <c r="G3188">
        <v>1.32634056574314E-2</v>
      </c>
    </row>
    <row r="3189" spans="1:7" x14ac:dyDescent="0.25">
      <c r="A3189" t="s">
        <v>7</v>
      </c>
      <c r="B3189" t="s">
        <v>19</v>
      </c>
      <c r="C3189" t="s">
        <v>9</v>
      </c>
      <c r="D3189" t="s">
        <v>10</v>
      </c>
      <c r="E3189">
        <v>4</v>
      </c>
      <c r="F3189" s="1">
        <v>36891</v>
      </c>
      <c r="G3189">
        <v>-3.8696360756219697E-2</v>
      </c>
    </row>
    <row r="3190" spans="1:7" x14ac:dyDescent="0.25">
      <c r="A3190" t="s">
        <v>7</v>
      </c>
      <c r="B3190" t="s">
        <v>19</v>
      </c>
      <c r="C3190" t="s">
        <v>9</v>
      </c>
      <c r="D3190" t="s">
        <v>10</v>
      </c>
      <c r="E3190">
        <v>4</v>
      </c>
      <c r="F3190" s="1">
        <v>36922</v>
      </c>
      <c r="G3190">
        <v>-8.48941927925254E-2</v>
      </c>
    </row>
    <row r="3191" spans="1:7" x14ac:dyDescent="0.25">
      <c r="A3191" t="s">
        <v>7</v>
      </c>
      <c r="B3191" t="s">
        <v>19</v>
      </c>
      <c r="C3191" t="s">
        <v>9</v>
      </c>
      <c r="D3191" t="s">
        <v>10</v>
      </c>
      <c r="E3191">
        <v>6</v>
      </c>
      <c r="F3191" s="1">
        <v>36950</v>
      </c>
      <c r="G3191">
        <v>-5.0144348119332001E-2</v>
      </c>
    </row>
    <row r="3192" spans="1:7" x14ac:dyDescent="0.25">
      <c r="A3192" t="s">
        <v>7</v>
      </c>
      <c r="B3192" t="s">
        <v>19</v>
      </c>
      <c r="C3192" t="s">
        <v>9</v>
      </c>
      <c r="D3192" t="s">
        <v>10</v>
      </c>
      <c r="E3192">
        <v>4</v>
      </c>
      <c r="F3192" s="1">
        <v>36981</v>
      </c>
      <c r="G3192">
        <v>1.3237056283118699E-2</v>
      </c>
    </row>
    <row r="3193" spans="1:7" x14ac:dyDescent="0.25">
      <c r="A3193" t="s">
        <v>7</v>
      </c>
      <c r="B3193" t="s">
        <v>19</v>
      </c>
      <c r="C3193" t="s">
        <v>9</v>
      </c>
      <c r="D3193" t="s">
        <v>10</v>
      </c>
      <c r="E3193">
        <v>3</v>
      </c>
      <c r="F3193" s="1">
        <v>37011</v>
      </c>
      <c r="G3193">
        <v>0.118488509194299</v>
      </c>
    </row>
    <row r="3194" spans="1:7" x14ac:dyDescent="0.25">
      <c r="A3194" t="s">
        <v>7</v>
      </c>
      <c r="B3194" t="s">
        <v>19</v>
      </c>
      <c r="C3194" t="s">
        <v>9</v>
      </c>
      <c r="D3194" t="s">
        <v>10</v>
      </c>
      <c r="E3194">
        <v>6</v>
      </c>
      <c r="F3194" s="1">
        <v>37042</v>
      </c>
      <c r="G3194">
        <v>1.41884311530074E-2</v>
      </c>
    </row>
    <row r="3195" spans="1:7" x14ac:dyDescent="0.25">
      <c r="A3195" t="s">
        <v>7</v>
      </c>
      <c r="B3195" t="s">
        <v>19</v>
      </c>
      <c r="C3195" t="s">
        <v>9</v>
      </c>
      <c r="D3195" t="s">
        <v>10</v>
      </c>
      <c r="E3195">
        <v>2</v>
      </c>
      <c r="F3195" s="1">
        <v>37072</v>
      </c>
      <c r="G3195">
        <v>-8.1017043790169704E-2</v>
      </c>
    </row>
    <row r="3196" spans="1:7" x14ac:dyDescent="0.25">
      <c r="A3196" t="s">
        <v>7</v>
      </c>
      <c r="B3196" t="s">
        <v>19</v>
      </c>
      <c r="C3196" t="s">
        <v>9</v>
      </c>
      <c r="D3196" t="s">
        <v>10</v>
      </c>
      <c r="E3196">
        <v>2</v>
      </c>
      <c r="F3196" s="1">
        <v>37103</v>
      </c>
      <c r="G3196">
        <v>5.8766847310227001E-2</v>
      </c>
    </row>
    <row r="3197" spans="1:7" x14ac:dyDescent="0.25">
      <c r="A3197" t="s">
        <v>7</v>
      </c>
      <c r="B3197" t="s">
        <v>19</v>
      </c>
      <c r="C3197" t="s">
        <v>9</v>
      </c>
      <c r="D3197" t="s">
        <v>10</v>
      </c>
      <c r="E3197">
        <v>2</v>
      </c>
      <c r="F3197" s="1">
        <v>37134</v>
      </c>
      <c r="G3197">
        <v>2.1934518945916401E-2</v>
      </c>
    </row>
    <row r="3198" spans="1:7" x14ac:dyDescent="0.25">
      <c r="A3198" t="s">
        <v>7</v>
      </c>
      <c r="B3198" t="s">
        <v>19</v>
      </c>
      <c r="C3198" t="s">
        <v>9</v>
      </c>
      <c r="D3198" t="s">
        <v>10</v>
      </c>
      <c r="E3198">
        <v>2</v>
      </c>
      <c r="F3198" s="1">
        <v>37164</v>
      </c>
      <c r="G3198">
        <v>3.2722485531208899E-2</v>
      </c>
    </row>
    <row r="3199" spans="1:7" x14ac:dyDescent="0.25">
      <c r="A3199" t="s">
        <v>7</v>
      </c>
      <c r="B3199" t="s">
        <v>19</v>
      </c>
      <c r="C3199" t="s">
        <v>9</v>
      </c>
      <c r="D3199" t="s">
        <v>10</v>
      </c>
      <c r="E3199">
        <v>1</v>
      </c>
      <c r="F3199" s="1">
        <v>37287</v>
      </c>
      <c r="G3199">
        <v>-5.7136818080577396E-3</v>
      </c>
    </row>
    <row r="3200" spans="1:7" x14ac:dyDescent="0.25">
      <c r="A3200" t="s">
        <v>7</v>
      </c>
      <c r="B3200" t="s">
        <v>19</v>
      </c>
      <c r="C3200" t="s">
        <v>9</v>
      </c>
      <c r="D3200" t="s">
        <v>10</v>
      </c>
      <c r="E3200">
        <v>2</v>
      </c>
      <c r="F3200" s="1">
        <v>37315</v>
      </c>
      <c r="G3200">
        <v>4.4823893706664501E-2</v>
      </c>
    </row>
    <row r="3201" spans="1:7" x14ac:dyDescent="0.25">
      <c r="A3201" t="s">
        <v>7</v>
      </c>
      <c r="B3201" t="s">
        <v>19</v>
      </c>
      <c r="C3201" t="s">
        <v>9</v>
      </c>
      <c r="D3201" t="s">
        <v>10</v>
      </c>
      <c r="E3201">
        <v>1</v>
      </c>
      <c r="F3201" s="1">
        <v>37346</v>
      </c>
      <c r="G3201">
        <v>0.146375572441899</v>
      </c>
    </row>
    <row r="3202" spans="1:7" x14ac:dyDescent="0.25">
      <c r="A3202" t="s">
        <v>7</v>
      </c>
      <c r="B3202" t="s">
        <v>19</v>
      </c>
      <c r="C3202" t="s">
        <v>9</v>
      </c>
      <c r="D3202" t="s">
        <v>10</v>
      </c>
      <c r="E3202">
        <v>1</v>
      </c>
      <c r="F3202" s="1">
        <v>37376</v>
      </c>
      <c r="G3202">
        <v>0.18413643362065299</v>
      </c>
    </row>
    <row r="3203" spans="1:7" x14ac:dyDescent="0.25">
      <c r="A3203" t="s">
        <v>7</v>
      </c>
      <c r="B3203" t="s">
        <v>19</v>
      </c>
      <c r="C3203" t="s">
        <v>9</v>
      </c>
      <c r="D3203" t="s">
        <v>10</v>
      </c>
      <c r="E3203">
        <v>2</v>
      </c>
      <c r="F3203" s="1">
        <v>37407</v>
      </c>
      <c r="G3203">
        <v>4.18722492556063E-2</v>
      </c>
    </row>
    <row r="3204" spans="1:7" x14ac:dyDescent="0.25">
      <c r="A3204" t="s">
        <v>7</v>
      </c>
      <c r="B3204" t="s">
        <v>19</v>
      </c>
      <c r="C3204" t="s">
        <v>9</v>
      </c>
      <c r="D3204" t="s">
        <v>10</v>
      </c>
      <c r="E3204">
        <v>2</v>
      </c>
      <c r="F3204" s="1">
        <v>37437</v>
      </c>
      <c r="G3204">
        <v>4.7194367968031802E-2</v>
      </c>
    </row>
    <row r="3205" spans="1:7" x14ac:dyDescent="0.25">
      <c r="A3205" t="s">
        <v>7</v>
      </c>
      <c r="B3205" t="s">
        <v>19</v>
      </c>
      <c r="C3205" t="s">
        <v>9</v>
      </c>
      <c r="D3205" t="s">
        <v>10</v>
      </c>
      <c r="E3205">
        <v>1</v>
      </c>
      <c r="F3205" s="1">
        <v>37468</v>
      </c>
      <c r="G3205">
        <v>-3.5610014242734203E-2</v>
      </c>
    </row>
    <row r="3206" spans="1:7" x14ac:dyDescent="0.25">
      <c r="A3206" t="s">
        <v>7</v>
      </c>
      <c r="B3206" t="s">
        <v>19</v>
      </c>
      <c r="C3206" t="s">
        <v>9</v>
      </c>
      <c r="D3206" t="s">
        <v>10</v>
      </c>
      <c r="E3206">
        <v>1</v>
      </c>
      <c r="F3206" s="1">
        <v>37529</v>
      </c>
      <c r="G3206">
        <v>6.67387879957098E-3</v>
      </c>
    </row>
    <row r="3207" spans="1:7" x14ac:dyDescent="0.25">
      <c r="A3207" t="s">
        <v>7</v>
      </c>
      <c r="B3207" t="s">
        <v>19</v>
      </c>
      <c r="C3207" t="s">
        <v>9</v>
      </c>
      <c r="D3207" t="s">
        <v>10</v>
      </c>
      <c r="E3207">
        <v>3</v>
      </c>
      <c r="F3207" s="1">
        <v>37894</v>
      </c>
      <c r="G3207">
        <v>1.9568775298123502E-2</v>
      </c>
    </row>
    <row r="3208" spans="1:7" x14ac:dyDescent="0.25">
      <c r="A3208" t="s">
        <v>7</v>
      </c>
      <c r="B3208" t="s">
        <v>19</v>
      </c>
      <c r="C3208" t="s">
        <v>9</v>
      </c>
      <c r="D3208" t="s">
        <v>10</v>
      </c>
      <c r="E3208">
        <v>3</v>
      </c>
      <c r="F3208" s="1">
        <v>37925</v>
      </c>
      <c r="G3208">
        <v>-2.1445544174281701E-2</v>
      </c>
    </row>
    <row r="3209" spans="1:7" x14ac:dyDescent="0.25">
      <c r="A3209" t="s">
        <v>7</v>
      </c>
      <c r="B3209" t="s">
        <v>19</v>
      </c>
      <c r="C3209" t="s">
        <v>9</v>
      </c>
      <c r="D3209" t="s">
        <v>10</v>
      </c>
      <c r="E3209">
        <v>3</v>
      </c>
      <c r="F3209" s="1">
        <v>37955</v>
      </c>
      <c r="G3209">
        <v>-5.2722399676957497E-3</v>
      </c>
    </row>
    <row r="3210" spans="1:7" x14ac:dyDescent="0.25">
      <c r="A3210" t="s">
        <v>7</v>
      </c>
      <c r="B3210" t="s">
        <v>19</v>
      </c>
      <c r="C3210" t="s">
        <v>9</v>
      </c>
      <c r="D3210" t="s">
        <v>10</v>
      </c>
      <c r="E3210">
        <v>5</v>
      </c>
      <c r="F3210" s="1">
        <v>37986</v>
      </c>
      <c r="G3210">
        <v>-1.0553807022189499E-3</v>
      </c>
    </row>
    <row r="3211" spans="1:7" x14ac:dyDescent="0.25">
      <c r="A3211" t="s">
        <v>7</v>
      </c>
      <c r="B3211" t="s">
        <v>19</v>
      </c>
      <c r="C3211" t="s">
        <v>9</v>
      </c>
      <c r="D3211" t="s">
        <v>10</v>
      </c>
      <c r="E3211">
        <v>3</v>
      </c>
      <c r="F3211" s="1">
        <v>38017</v>
      </c>
      <c r="G3211">
        <v>3.16653640916814E-2</v>
      </c>
    </row>
    <row r="3212" spans="1:7" x14ac:dyDescent="0.25">
      <c r="A3212" t="s">
        <v>7</v>
      </c>
      <c r="B3212" t="s">
        <v>19</v>
      </c>
      <c r="C3212" t="s">
        <v>9</v>
      </c>
      <c r="D3212" t="s">
        <v>10</v>
      </c>
      <c r="E3212">
        <v>3</v>
      </c>
      <c r="F3212" s="1">
        <v>38046</v>
      </c>
      <c r="G3212">
        <v>0.12589635084987899</v>
      </c>
    </row>
    <row r="3213" spans="1:7" x14ac:dyDescent="0.25">
      <c r="A3213" t="s">
        <v>7</v>
      </c>
      <c r="B3213" t="s">
        <v>19</v>
      </c>
      <c r="C3213" t="s">
        <v>9</v>
      </c>
      <c r="D3213" t="s">
        <v>10</v>
      </c>
      <c r="E3213">
        <v>3</v>
      </c>
      <c r="F3213" s="1">
        <v>38077</v>
      </c>
      <c r="G3213">
        <v>1.02346926782492E-2</v>
      </c>
    </row>
    <row r="3214" spans="1:7" x14ac:dyDescent="0.25">
      <c r="A3214" t="s">
        <v>7</v>
      </c>
      <c r="B3214" t="s">
        <v>19</v>
      </c>
      <c r="C3214" t="s">
        <v>9</v>
      </c>
      <c r="D3214" t="s">
        <v>10</v>
      </c>
      <c r="E3214">
        <v>3</v>
      </c>
      <c r="F3214" s="1">
        <v>38107</v>
      </c>
      <c r="G3214">
        <v>-6.4392847387170493E-2</v>
      </c>
    </row>
    <row r="3215" spans="1:7" x14ac:dyDescent="0.25">
      <c r="A3215" t="s">
        <v>7</v>
      </c>
      <c r="B3215" t="s">
        <v>19</v>
      </c>
      <c r="C3215" t="s">
        <v>9</v>
      </c>
      <c r="D3215" t="s">
        <v>10</v>
      </c>
      <c r="E3215">
        <v>6</v>
      </c>
      <c r="F3215" s="1">
        <v>38138</v>
      </c>
      <c r="G3215">
        <v>-4.7986615477949898E-2</v>
      </c>
    </row>
    <row r="3216" spans="1:7" x14ac:dyDescent="0.25">
      <c r="A3216" t="s">
        <v>7</v>
      </c>
      <c r="B3216" t="s">
        <v>19</v>
      </c>
      <c r="C3216" t="s">
        <v>9</v>
      </c>
      <c r="D3216" t="s">
        <v>10</v>
      </c>
      <c r="E3216">
        <v>6</v>
      </c>
      <c r="F3216" s="1">
        <v>38168</v>
      </c>
      <c r="G3216">
        <v>3.2265161791097202E-2</v>
      </c>
    </row>
    <row r="3217" spans="1:7" x14ac:dyDescent="0.25">
      <c r="A3217" t="s">
        <v>7</v>
      </c>
      <c r="B3217" t="s">
        <v>19</v>
      </c>
      <c r="C3217" t="s">
        <v>9</v>
      </c>
      <c r="D3217" t="s">
        <v>10</v>
      </c>
      <c r="E3217">
        <v>7</v>
      </c>
      <c r="F3217" s="1">
        <v>38199</v>
      </c>
      <c r="G3217">
        <v>-1.64074175279189E-2</v>
      </c>
    </row>
    <row r="3218" spans="1:7" x14ac:dyDescent="0.25">
      <c r="A3218" t="s">
        <v>7</v>
      </c>
      <c r="B3218" t="s">
        <v>19</v>
      </c>
      <c r="C3218" t="s">
        <v>9</v>
      </c>
      <c r="D3218" t="s">
        <v>10</v>
      </c>
      <c r="E3218">
        <v>8</v>
      </c>
      <c r="F3218" s="1">
        <v>38230</v>
      </c>
      <c r="G3218">
        <v>-1.3988291202251301E-2</v>
      </c>
    </row>
    <row r="3219" spans="1:7" x14ac:dyDescent="0.25">
      <c r="A3219" t="s">
        <v>7</v>
      </c>
      <c r="B3219" t="s">
        <v>19</v>
      </c>
      <c r="C3219" t="s">
        <v>9</v>
      </c>
      <c r="D3219" t="s">
        <v>10</v>
      </c>
      <c r="E3219">
        <v>8</v>
      </c>
      <c r="F3219" s="1">
        <v>38260</v>
      </c>
      <c r="G3219">
        <v>4.6958480939994801E-2</v>
      </c>
    </row>
    <row r="3220" spans="1:7" x14ac:dyDescent="0.25">
      <c r="A3220" t="s">
        <v>7</v>
      </c>
      <c r="B3220" t="s">
        <v>19</v>
      </c>
      <c r="C3220" t="s">
        <v>9</v>
      </c>
      <c r="D3220" t="s">
        <v>10</v>
      </c>
      <c r="E3220">
        <v>8</v>
      </c>
      <c r="F3220" s="1">
        <v>38291</v>
      </c>
      <c r="G3220">
        <v>2.4270779411906401E-2</v>
      </c>
    </row>
    <row r="3221" spans="1:7" x14ac:dyDescent="0.25">
      <c r="A3221" t="s">
        <v>7</v>
      </c>
      <c r="B3221" t="s">
        <v>19</v>
      </c>
      <c r="C3221" t="s">
        <v>9</v>
      </c>
      <c r="D3221" t="s">
        <v>10</v>
      </c>
      <c r="E3221">
        <v>8</v>
      </c>
      <c r="F3221" s="1">
        <v>38321</v>
      </c>
      <c r="G3221">
        <v>3.6639480409048799E-3</v>
      </c>
    </row>
    <row r="3222" spans="1:7" x14ac:dyDescent="0.25">
      <c r="A3222" t="s">
        <v>7</v>
      </c>
      <c r="B3222" t="s">
        <v>19</v>
      </c>
      <c r="C3222" t="s">
        <v>9</v>
      </c>
      <c r="D3222" t="s">
        <v>10</v>
      </c>
      <c r="E3222">
        <v>8</v>
      </c>
      <c r="F3222" s="1">
        <v>38352</v>
      </c>
      <c r="G3222">
        <v>-5.1256347349054002E-4</v>
      </c>
    </row>
    <row r="3223" spans="1:7" x14ac:dyDescent="0.25">
      <c r="A3223" t="s">
        <v>7</v>
      </c>
      <c r="B3223" t="s">
        <v>19</v>
      </c>
      <c r="C3223" t="s">
        <v>9</v>
      </c>
      <c r="D3223" t="s">
        <v>10</v>
      </c>
      <c r="E3223">
        <v>8</v>
      </c>
      <c r="F3223" s="1">
        <v>38383</v>
      </c>
      <c r="G3223">
        <v>-2.5603390090544399E-2</v>
      </c>
    </row>
    <row r="3224" spans="1:7" x14ac:dyDescent="0.25">
      <c r="A3224" t="s">
        <v>7</v>
      </c>
      <c r="B3224" t="s">
        <v>19</v>
      </c>
      <c r="C3224" t="s">
        <v>9</v>
      </c>
      <c r="D3224" t="s">
        <v>10</v>
      </c>
      <c r="E3224">
        <v>8</v>
      </c>
      <c r="F3224" s="1">
        <v>38411</v>
      </c>
      <c r="G3224">
        <v>-1.9009610251409102E-2</v>
      </c>
    </row>
    <row r="3225" spans="1:7" x14ac:dyDescent="0.25">
      <c r="A3225" t="s">
        <v>7</v>
      </c>
      <c r="B3225" t="s">
        <v>19</v>
      </c>
      <c r="C3225" t="s">
        <v>9</v>
      </c>
      <c r="D3225" t="s">
        <v>10</v>
      </c>
      <c r="E3225">
        <v>8</v>
      </c>
      <c r="F3225" s="1">
        <v>38442</v>
      </c>
      <c r="G3225">
        <v>2.5045192143246599E-2</v>
      </c>
    </row>
    <row r="3226" spans="1:7" x14ac:dyDescent="0.25">
      <c r="A3226" t="s">
        <v>7</v>
      </c>
      <c r="B3226" t="s">
        <v>19</v>
      </c>
      <c r="C3226" t="s">
        <v>9</v>
      </c>
      <c r="D3226" t="s">
        <v>10</v>
      </c>
      <c r="E3226">
        <v>8</v>
      </c>
      <c r="F3226" s="1">
        <v>38472</v>
      </c>
      <c r="G3226">
        <v>4.37266286822122E-2</v>
      </c>
    </row>
    <row r="3227" spans="1:7" x14ac:dyDescent="0.25">
      <c r="A3227" t="s">
        <v>7</v>
      </c>
      <c r="B3227" t="s">
        <v>19</v>
      </c>
      <c r="C3227" t="s">
        <v>9</v>
      </c>
      <c r="D3227" t="s">
        <v>10</v>
      </c>
      <c r="E3227">
        <v>8</v>
      </c>
      <c r="F3227" s="1">
        <v>38503</v>
      </c>
      <c r="G3227">
        <v>-4.5827156818679299E-2</v>
      </c>
    </row>
    <row r="3228" spans="1:7" x14ac:dyDescent="0.25">
      <c r="A3228" t="s">
        <v>7</v>
      </c>
      <c r="B3228" t="s">
        <v>19</v>
      </c>
      <c r="C3228" t="s">
        <v>9</v>
      </c>
      <c r="D3228" t="s">
        <v>10</v>
      </c>
      <c r="E3228">
        <v>8</v>
      </c>
      <c r="F3228" s="1">
        <v>38533</v>
      </c>
      <c r="G3228">
        <v>-4.4658910204381397E-2</v>
      </c>
    </row>
    <row r="3229" spans="1:7" x14ac:dyDescent="0.25">
      <c r="A3229" t="s">
        <v>7</v>
      </c>
      <c r="B3229" t="s">
        <v>19</v>
      </c>
      <c r="C3229" t="s">
        <v>9</v>
      </c>
      <c r="D3229" t="s">
        <v>10</v>
      </c>
      <c r="E3229">
        <v>8</v>
      </c>
      <c r="F3229" s="1">
        <v>38564</v>
      </c>
      <c r="G3229">
        <v>8.3620236577450199E-2</v>
      </c>
    </row>
    <row r="3230" spans="1:7" x14ac:dyDescent="0.25">
      <c r="A3230" t="s">
        <v>7</v>
      </c>
      <c r="B3230" t="s">
        <v>19</v>
      </c>
      <c r="C3230" t="s">
        <v>9</v>
      </c>
      <c r="D3230" t="s">
        <v>10</v>
      </c>
      <c r="E3230">
        <v>8</v>
      </c>
      <c r="F3230" s="1">
        <v>38595</v>
      </c>
      <c r="G3230">
        <v>-1.50177718255764E-2</v>
      </c>
    </row>
    <row r="3231" spans="1:7" x14ac:dyDescent="0.25">
      <c r="A3231" t="s">
        <v>7</v>
      </c>
      <c r="B3231" t="s">
        <v>19</v>
      </c>
      <c r="C3231" t="s">
        <v>9</v>
      </c>
      <c r="D3231" t="s">
        <v>10</v>
      </c>
      <c r="E3231">
        <v>8</v>
      </c>
      <c r="F3231" s="1">
        <v>38625</v>
      </c>
      <c r="G3231">
        <v>-2.2796012291526401E-2</v>
      </c>
    </row>
    <row r="3232" spans="1:7" x14ac:dyDescent="0.25">
      <c r="A3232" t="s">
        <v>7</v>
      </c>
      <c r="B3232" t="s">
        <v>19</v>
      </c>
      <c r="C3232" t="s">
        <v>9</v>
      </c>
      <c r="D3232" t="s">
        <v>10</v>
      </c>
      <c r="E3232">
        <v>8</v>
      </c>
      <c r="F3232" s="1">
        <v>38656</v>
      </c>
      <c r="G3232">
        <v>1.7594442627360599E-2</v>
      </c>
    </row>
    <row r="3233" spans="1:7" x14ac:dyDescent="0.25">
      <c r="A3233" t="s">
        <v>7</v>
      </c>
      <c r="B3233" t="s">
        <v>19</v>
      </c>
      <c r="C3233" t="s">
        <v>9</v>
      </c>
      <c r="D3233" t="s">
        <v>10</v>
      </c>
      <c r="E3233">
        <v>8</v>
      </c>
      <c r="F3233" s="1">
        <v>38686</v>
      </c>
      <c r="G3233">
        <v>-1.38306022980287E-2</v>
      </c>
    </row>
    <row r="3234" spans="1:7" x14ac:dyDescent="0.25">
      <c r="A3234" t="s">
        <v>7</v>
      </c>
      <c r="B3234" t="s">
        <v>19</v>
      </c>
      <c r="C3234" t="s">
        <v>9</v>
      </c>
      <c r="D3234" t="s">
        <v>10</v>
      </c>
      <c r="E3234">
        <v>8</v>
      </c>
      <c r="F3234" s="1">
        <v>38717</v>
      </c>
      <c r="G3234">
        <v>5.96491009904839E-2</v>
      </c>
    </row>
    <row r="3235" spans="1:7" x14ac:dyDescent="0.25">
      <c r="A3235" t="s">
        <v>7</v>
      </c>
      <c r="B3235" t="s">
        <v>19</v>
      </c>
      <c r="C3235" t="s">
        <v>9</v>
      </c>
      <c r="D3235" t="s">
        <v>10</v>
      </c>
      <c r="E3235">
        <v>8</v>
      </c>
      <c r="F3235" s="1">
        <v>38748</v>
      </c>
      <c r="G3235">
        <v>7.0693158943810402E-3</v>
      </c>
    </row>
    <row r="3236" spans="1:7" x14ac:dyDescent="0.25">
      <c r="A3236" t="s">
        <v>7</v>
      </c>
      <c r="B3236" t="s">
        <v>19</v>
      </c>
      <c r="C3236" t="s">
        <v>9</v>
      </c>
      <c r="D3236" t="s">
        <v>10</v>
      </c>
      <c r="E3236">
        <v>8</v>
      </c>
      <c r="F3236" s="1">
        <v>38776</v>
      </c>
      <c r="G3236">
        <v>-9.8094622249120401E-3</v>
      </c>
    </row>
    <row r="3237" spans="1:7" x14ac:dyDescent="0.25">
      <c r="A3237" t="s">
        <v>7</v>
      </c>
      <c r="B3237" t="s">
        <v>19</v>
      </c>
      <c r="C3237" t="s">
        <v>9</v>
      </c>
      <c r="D3237" t="s">
        <v>10</v>
      </c>
      <c r="E3237">
        <v>8</v>
      </c>
      <c r="F3237" s="1">
        <v>38807</v>
      </c>
      <c r="G3237">
        <v>-5.8902276963977897E-3</v>
      </c>
    </row>
    <row r="3238" spans="1:7" x14ac:dyDescent="0.25">
      <c r="A3238" t="s">
        <v>7</v>
      </c>
      <c r="B3238" t="s">
        <v>19</v>
      </c>
      <c r="C3238" t="s">
        <v>9</v>
      </c>
      <c r="D3238" t="s">
        <v>10</v>
      </c>
      <c r="E3238">
        <v>8</v>
      </c>
      <c r="F3238" s="1">
        <v>38837</v>
      </c>
      <c r="G3238">
        <v>-1.3803767287276201E-2</v>
      </c>
    </row>
    <row r="3239" spans="1:7" x14ac:dyDescent="0.25">
      <c r="A3239" t="s">
        <v>7</v>
      </c>
      <c r="B3239" t="s">
        <v>19</v>
      </c>
      <c r="C3239" t="s">
        <v>9</v>
      </c>
      <c r="D3239" t="s">
        <v>10</v>
      </c>
      <c r="E3239">
        <v>8</v>
      </c>
      <c r="F3239" s="1">
        <v>38868</v>
      </c>
      <c r="G3239">
        <v>1.4987475076631999E-2</v>
      </c>
    </row>
    <row r="3240" spans="1:7" x14ac:dyDescent="0.25">
      <c r="A3240" t="s">
        <v>7</v>
      </c>
      <c r="B3240" t="s">
        <v>19</v>
      </c>
      <c r="C3240" t="s">
        <v>9</v>
      </c>
      <c r="D3240" t="s">
        <v>10</v>
      </c>
      <c r="E3240">
        <v>8</v>
      </c>
      <c r="F3240" s="1">
        <v>38898</v>
      </c>
      <c r="G3240">
        <v>2.0918163928787498E-2</v>
      </c>
    </row>
    <row r="3241" spans="1:7" x14ac:dyDescent="0.25">
      <c r="A3241" t="s">
        <v>7</v>
      </c>
      <c r="B3241" t="s">
        <v>19</v>
      </c>
      <c r="C3241" t="s">
        <v>9</v>
      </c>
      <c r="D3241" t="s">
        <v>10</v>
      </c>
      <c r="E3241">
        <v>8</v>
      </c>
      <c r="F3241" s="1">
        <v>38929</v>
      </c>
      <c r="G3241">
        <v>3.0625215424221102E-3</v>
      </c>
    </row>
    <row r="3242" spans="1:7" x14ac:dyDescent="0.25">
      <c r="A3242" t="s">
        <v>7</v>
      </c>
      <c r="B3242" t="s">
        <v>19</v>
      </c>
      <c r="C3242" t="s">
        <v>9</v>
      </c>
      <c r="D3242" t="s">
        <v>10</v>
      </c>
      <c r="E3242">
        <v>8</v>
      </c>
      <c r="F3242" s="1">
        <v>38960</v>
      </c>
      <c r="G3242">
        <v>1.57739758333055E-3</v>
      </c>
    </row>
    <row r="3243" spans="1:7" x14ac:dyDescent="0.25">
      <c r="A3243" t="s">
        <v>7</v>
      </c>
      <c r="B3243" t="s">
        <v>19</v>
      </c>
      <c r="C3243" t="s">
        <v>9</v>
      </c>
      <c r="D3243" t="s">
        <v>10</v>
      </c>
      <c r="E3243">
        <v>8</v>
      </c>
      <c r="F3243" s="1">
        <v>38990</v>
      </c>
      <c r="G3243">
        <v>1.8116974381987699E-3</v>
      </c>
    </row>
    <row r="3244" spans="1:7" x14ac:dyDescent="0.25">
      <c r="A3244" t="s">
        <v>7</v>
      </c>
      <c r="B3244" t="s">
        <v>19</v>
      </c>
      <c r="C3244" t="s">
        <v>9</v>
      </c>
      <c r="D3244" t="s">
        <v>10</v>
      </c>
      <c r="E3244">
        <v>8</v>
      </c>
      <c r="F3244" s="1">
        <v>39021</v>
      </c>
      <c r="G3244">
        <v>2.3955999913016601E-3</v>
      </c>
    </row>
    <row r="3245" spans="1:7" x14ac:dyDescent="0.25">
      <c r="A3245" t="s">
        <v>7</v>
      </c>
      <c r="B3245" t="s">
        <v>19</v>
      </c>
      <c r="C3245" t="s">
        <v>9</v>
      </c>
      <c r="D3245" t="s">
        <v>10</v>
      </c>
      <c r="E3245">
        <v>8</v>
      </c>
      <c r="F3245" s="1">
        <v>39051</v>
      </c>
      <c r="G3245">
        <v>-1.2104743838330399E-2</v>
      </c>
    </row>
    <row r="3246" spans="1:7" x14ac:dyDescent="0.25">
      <c r="A3246" t="s">
        <v>7</v>
      </c>
      <c r="B3246" t="s">
        <v>19</v>
      </c>
      <c r="C3246" t="s">
        <v>9</v>
      </c>
      <c r="D3246" t="s">
        <v>10</v>
      </c>
      <c r="E3246">
        <v>8</v>
      </c>
      <c r="F3246" s="1">
        <v>39082</v>
      </c>
      <c r="G3246">
        <v>-1.0616122106302601E-2</v>
      </c>
    </row>
    <row r="3247" spans="1:7" x14ac:dyDescent="0.25">
      <c r="A3247" t="s">
        <v>7</v>
      </c>
      <c r="B3247" t="s">
        <v>19</v>
      </c>
      <c r="C3247" t="s">
        <v>9</v>
      </c>
      <c r="D3247" t="s">
        <v>10</v>
      </c>
      <c r="E3247">
        <v>8</v>
      </c>
      <c r="F3247" s="1">
        <v>39113</v>
      </c>
      <c r="G3247">
        <v>1.7858847417258301E-2</v>
      </c>
    </row>
    <row r="3248" spans="1:7" x14ac:dyDescent="0.25">
      <c r="A3248" t="s">
        <v>7</v>
      </c>
      <c r="B3248" t="s">
        <v>19</v>
      </c>
      <c r="C3248" t="s">
        <v>9</v>
      </c>
      <c r="D3248" t="s">
        <v>10</v>
      </c>
      <c r="E3248">
        <v>8</v>
      </c>
      <c r="F3248" s="1">
        <v>39141</v>
      </c>
      <c r="G3248">
        <v>2.4347195896554E-2</v>
      </c>
    </row>
    <row r="3249" spans="1:7" x14ac:dyDescent="0.25">
      <c r="A3249" t="s">
        <v>7</v>
      </c>
      <c r="B3249" t="s">
        <v>19</v>
      </c>
      <c r="C3249" t="s">
        <v>9</v>
      </c>
      <c r="D3249" t="s">
        <v>10</v>
      </c>
      <c r="E3249">
        <v>8</v>
      </c>
      <c r="F3249" s="1">
        <v>39172</v>
      </c>
      <c r="G3249">
        <v>1.5735129378743499E-2</v>
      </c>
    </row>
    <row r="3250" spans="1:7" x14ac:dyDescent="0.25">
      <c r="A3250" t="s">
        <v>7</v>
      </c>
      <c r="B3250" t="s">
        <v>19</v>
      </c>
      <c r="C3250" t="s">
        <v>9</v>
      </c>
      <c r="D3250" t="s">
        <v>10</v>
      </c>
      <c r="E3250">
        <v>8</v>
      </c>
      <c r="F3250" s="1">
        <v>39202</v>
      </c>
      <c r="G3250">
        <v>3.24577533131052E-3</v>
      </c>
    </row>
    <row r="3251" spans="1:7" x14ac:dyDescent="0.25">
      <c r="A3251" t="s">
        <v>7</v>
      </c>
      <c r="B3251" t="s">
        <v>19</v>
      </c>
      <c r="C3251" t="s">
        <v>9</v>
      </c>
      <c r="D3251" t="s">
        <v>10</v>
      </c>
      <c r="E3251">
        <v>8</v>
      </c>
      <c r="F3251" s="1">
        <v>39233</v>
      </c>
      <c r="G3251">
        <v>-1.03569740243046E-2</v>
      </c>
    </row>
    <row r="3252" spans="1:7" x14ac:dyDescent="0.25">
      <c r="A3252" t="s">
        <v>7</v>
      </c>
      <c r="B3252" t="s">
        <v>19</v>
      </c>
      <c r="C3252" t="s">
        <v>9</v>
      </c>
      <c r="D3252" t="s">
        <v>10</v>
      </c>
      <c r="E3252">
        <v>8</v>
      </c>
      <c r="F3252" s="1">
        <v>39263</v>
      </c>
      <c r="G3252">
        <v>1.10838952845777E-2</v>
      </c>
    </row>
    <row r="3253" spans="1:7" x14ac:dyDescent="0.25">
      <c r="A3253" t="s">
        <v>7</v>
      </c>
      <c r="B3253" t="s">
        <v>19</v>
      </c>
      <c r="C3253" t="s">
        <v>9</v>
      </c>
      <c r="D3253" t="s">
        <v>10</v>
      </c>
      <c r="E3253">
        <v>8</v>
      </c>
      <c r="F3253" s="1">
        <v>39294</v>
      </c>
      <c r="G3253">
        <v>2.6808161996244501E-2</v>
      </c>
    </row>
    <row r="3254" spans="1:7" x14ac:dyDescent="0.25">
      <c r="A3254" t="s">
        <v>7</v>
      </c>
      <c r="B3254" t="s">
        <v>19</v>
      </c>
      <c r="C3254" t="s">
        <v>9</v>
      </c>
      <c r="D3254" t="s">
        <v>10</v>
      </c>
      <c r="E3254">
        <v>8</v>
      </c>
      <c r="F3254" s="1">
        <v>39325</v>
      </c>
      <c r="G3254">
        <v>-4.0094907627640898E-3</v>
      </c>
    </row>
    <row r="3255" spans="1:7" x14ac:dyDescent="0.25">
      <c r="A3255" t="s">
        <v>7</v>
      </c>
      <c r="B3255" t="s">
        <v>19</v>
      </c>
      <c r="C3255" t="s">
        <v>9</v>
      </c>
      <c r="D3255" t="s">
        <v>10</v>
      </c>
      <c r="E3255">
        <v>8</v>
      </c>
      <c r="F3255" s="1">
        <v>39355</v>
      </c>
      <c r="G3255">
        <v>-2.0715914226704601E-2</v>
      </c>
    </row>
    <row r="3256" spans="1:7" x14ac:dyDescent="0.25">
      <c r="A3256" t="s">
        <v>7</v>
      </c>
      <c r="B3256" t="s">
        <v>19</v>
      </c>
      <c r="C3256" t="s">
        <v>9</v>
      </c>
      <c r="D3256" t="s">
        <v>10</v>
      </c>
      <c r="E3256">
        <v>8</v>
      </c>
      <c r="F3256" s="1">
        <v>39386</v>
      </c>
      <c r="G3256">
        <v>8.4469536936241305E-3</v>
      </c>
    </row>
    <row r="3257" spans="1:7" x14ac:dyDescent="0.25">
      <c r="A3257" t="s">
        <v>7</v>
      </c>
      <c r="B3257" t="s">
        <v>19</v>
      </c>
      <c r="C3257" t="s">
        <v>9</v>
      </c>
      <c r="D3257" t="s">
        <v>10</v>
      </c>
      <c r="E3257">
        <v>8</v>
      </c>
      <c r="F3257" s="1">
        <v>39416</v>
      </c>
      <c r="G3257">
        <v>-8.1214302259458096E-3</v>
      </c>
    </row>
    <row r="3258" spans="1:7" x14ac:dyDescent="0.25">
      <c r="A3258" t="s">
        <v>7</v>
      </c>
      <c r="B3258" t="s">
        <v>19</v>
      </c>
      <c r="C3258" t="s">
        <v>9</v>
      </c>
      <c r="D3258" t="s">
        <v>10</v>
      </c>
      <c r="E3258">
        <v>8</v>
      </c>
      <c r="F3258" s="1">
        <v>39447</v>
      </c>
      <c r="G3258">
        <v>2.0281753565702901E-2</v>
      </c>
    </row>
    <row r="3259" spans="1:7" x14ac:dyDescent="0.25">
      <c r="A3259" t="s">
        <v>7</v>
      </c>
      <c r="B3259" t="s">
        <v>19</v>
      </c>
      <c r="C3259" t="s">
        <v>9</v>
      </c>
      <c r="D3259" t="s">
        <v>10</v>
      </c>
      <c r="E3259">
        <v>8</v>
      </c>
      <c r="F3259" s="1">
        <v>39478</v>
      </c>
      <c r="G3259">
        <v>5.2823145405268596E-4</v>
      </c>
    </row>
    <row r="3260" spans="1:7" x14ac:dyDescent="0.25">
      <c r="A3260" t="s">
        <v>7</v>
      </c>
      <c r="B3260" t="s">
        <v>19</v>
      </c>
      <c r="C3260" t="s">
        <v>9</v>
      </c>
      <c r="D3260" t="s">
        <v>10</v>
      </c>
      <c r="E3260">
        <v>8</v>
      </c>
      <c r="F3260" s="1">
        <v>39507</v>
      </c>
      <c r="G3260">
        <v>-1.9938374819726799E-2</v>
      </c>
    </row>
    <row r="3261" spans="1:7" x14ac:dyDescent="0.25">
      <c r="A3261" t="s">
        <v>7</v>
      </c>
      <c r="B3261" t="s">
        <v>19</v>
      </c>
      <c r="C3261" t="s">
        <v>9</v>
      </c>
      <c r="D3261" t="s">
        <v>10</v>
      </c>
      <c r="E3261">
        <v>8</v>
      </c>
      <c r="F3261" s="1">
        <v>39538</v>
      </c>
      <c r="G3261">
        <v>-4.1475758029882303E-3</v>
      </c>
    </row>
    <row r="3262" spans="1:7" x14ac:dyDescent="0.25">
      <c r="A3262" t="s">
        <v>7</v>
      </c>
      <c r="B3262" t="s">
        <v>19</v>
      </c>
      <c r="C3262" t="s">
        <v>9</v>
      </c>
      <c r="D3262" t="s">
        <v>10</v>
      </c>
      <c r="E3262">
        <v>8</v>
      </c>
      <c r="F3262" s="1">
        <v>39568</v>
      </c>
      <c r="G3262">
        <v>-1.32522158957144E-2</v>
      </c>
    </row>
    <row r="3263" spans="1:7" x14ac:dyDescent="0.25">
      <c r="A3263" t="s">
        <v>7</v>
      </c>
      <c r="B3263" t="s">
        <v>19</v>
      </c>
      <c r="C3263" t="s">
        <v>9</v>
      </c>
      <c r="D3263" t="s">
        <v>10</v>
      </c>
      <c r="E3263">
        <v>8</v>
      </c>
      <c r="F3263" s="1">
        <v>39599</v>
      </c>
      <c r="G3263">
        <v>6.9861857419247601E-3</v>
      </c>
    </row>
    <row r="3264" spans="1:7" x14ac:dyDescent="0.25">
      <c r="A3264" t="s">
        <v>7</v>
      </c>
      <c r="B3264" t="s">
        <v>19</v>
      </c>
      <c r="C3264" t="s">
        <v>9</v>
      </c>
      <c r="D3264" t="s">
        <v>10</v>
      </c>
      <c r="E3264">
        <v>8</v>
      </c>
      <c r="F3264" s="1">
        <v>39629</v>
      </c>
      <c r="G3264">
        <v>2.7937402278041899E-2</v>
      </c>
    </row>
    <row r="3265" spans="1:7" x14ac:dyDescent="0.25">
      <c r="A3265" t="s">
        <v>7</v>
      </c>
      <c r="B3265" t="s">
        <v>19</v>
      </c>
      <c r="C3265" t="s">
        <v>9</v>
      </c>
      <c r="D3265" t="s">
        <v>10</v>
      </c>
      <c r="E3265">
        <v>8</v>
      </c>
      <c r="F3265" s="1">
        <v>39660</v>
      </c>
      <c r="G3265">
        <v>-2.2014528014027101E-2</v>
      </c>
    </row>
    <row r="3266" spans="1:7" x14ac:dyDescent="0.25">
      <c r="A3266" t="s">
        <v>7</v>
      </c>
      <c r="B3266" t="s">
        <v>19</v>
      </c>
      <c r="C3266" t="s">
        <v>9</v>
      </c>
      <c r="D3266" t="s">
        <v>10</v>
      </c>
      <c r="E3266">
        <v>8</v>
      </c>
      <c r="F3266" s="1">
        <v>39691</v>
      </c>
      <c r="G3266">
        <v>-1.2666848548155399E-2</v>
      </c>
    </row>
    <row r="3267" spans="1:7" x14ac:dyDescent="0.25">
      <c r="A3267" t="s">
        <v>7</v>
      </c>
      <c r="B3267" t="s">
        <v>19</v>
      </c>
      <c r="C3267" t="s">
        <v>9</v>
      </c>
      <c r="D3267" t="s">
        <v>10</v>
      </c>
      <c r="E3267">
        <v>8</v>
      </c>
      <c r="F3267" s="1">
        <v>39721</v>
      </c>
      <c r="G3267">
        <v>-4.0780363055051699E-2</v>
      </c>
    </row>
    <row r="3268" spans="1:7" x14ac:dyDescent="0.25">
      <c r="A3268" t="s">
        <v>7</v>
      </c>
      <c r="B3268" t="s">
        <v>19</v>
      </c>
      <c r="C3268" t="s">
        <v>9</v>
      </c>
      <c r="D3268" t="s">
        <v>10</v>
      </c>
      <c r="E3268">
        <v>8</v>
      </c>
      <c r="F3268" s="1">
        <v>39752</v>
      </c>
      <c r="G3268">
        <v>5.8174862527476702E-3</v>
      </c>
    </row>
    <row r="3269" spans="1:7" x14ac:dyDescent="0.25">
      <c r="A3269" t="s">
        <v>7</v>
      </c>
      <c r="B3269" t="s">
        <v>19</v>
      </c>
      <c r="C3269" t="s">
        <v>9</v>
      </c>
      <c r="D3269" t="s">
        <v>10</v>
      </c>
      <c r="E3269">
        <v>8</v>
      </c>
      <c r="F3269" s="1">
        <v>39782</v>
      </c>
      <c r="G3269">
        <v>1.9273278705934201E-2</v>
      </c>
    </row>
    <row r="3270" spans="1:7" x14ac:dyDescent="0.25">
      <c r="A3270" t="s">
        <v>7</v>
      </c>
      <c r="B3270" t="s">
        <v>19</v>
      </c>
      <c r="C3270" t="s">
        <v>9</v>
      </c>
      <c r="D3270" t="s">
        <v>10</v>
      </c>
      <c r="E3270">
        <v>8</v>
      </c>
      <c r="F3270" s="1">
        <v>39813</v>
      </c>
      <c r="G3270">
        <v>1.8548888524660901E-2</v>
      </c>
    </row>
    <row r="3271" spans="1:7" x14ac:dyDescent="0.25">
      <c r="A3271" t="s">
        <v>7</v>
      </c>
      <c r="B3271" t="s">
        <v>19</v>
      </c>
      <c r="C3271" t="s">
        <v>9</v>
      </c>
      <c r="D3271" t="s">
        <v>10</v>
      </c>
      <c r="E3271">
        <v>8</v>
      </c>
      <c r="F3271" s="1">
        <v>39844</v>
      </c>
      <c r="G3271">
        <v>2.2603031999704299E-3</v>
      </c>
    </row>
    <row r="3272" spans="1:7" x14ac:dyDescent="0.25">
      <c r="A3272" t="s">
        <v>7</v>
      </c>
      <c r="B3272" t="s">
        <v>19</v>
      </c>
      <c r="C3272" t="s">
        <v>9</v>
      </c>
      <c r="D3272" t="s">
        <v>10</v>
      </c>
      <c r="E3272">
        <v>8</v>
      </c>
      <c r="F3272" s="1">
        <v>39872</v>
      </c>
      <c r="G3272">
        <v>3.0635625548046701E-2</v>
      </c>
    </row>
    <row r="3273" spans="1:7" x14ac:dyDescent="0.25">
      <c r="A3273" t="s">
        <v>7</v>
      </c>
      <c r="B3273" t="s">
        <v>19</v>
      </c>
      <c r="C3273" t="s">
        <v>9</v>
      </c>
      <c r="D3273" t="s">
        <v>10</v>
      </c>
      <c r="E3273">
        <v>8</v>
      </c>
      <c r="F3273" s="1">
        <v>39903</v>
      </c>
      <c r="G3273">
        <v>-1.08955730818241E-2</v>
      </c>
    </row>
    <row r="3274" spans="1:7" x14ac:dyDescent="0.25">
      <c r="A3274" t="s">
        <v>7</v>
      </c>
      <c r="B3274" t="s">
        <v>19</v>
      </c>
      <c r="C3274" t="s">
        <v>9</v>
      </c>
      <c r="D3274" t="s">
        <v>10</v>
      </c>
      <c r="E3274">
        <v>8</v>
      </c>
      <c r="F3274" s="1">
        <v>39933</v>
      </c>
      <c r="G3274">
        <v>-1.6167058390669502E-2</v>
      </c>
    </row>
    <row r="3275" spans="1:7" x14ac:dyDescent="0.25">
      <c r="A3275" t="s">
        <v>7</v>
      </c>
      <c r="B3275" t="s">
        <v>19</v>
      </c>
      <c r="C3275" t="s">
        <v>9</v>
      </c>
      <c r="D3275" t="s">
        <v>10</v>
      </c>
      <c r="E3275">
        <v>8</v>
      </c>
      <c r="F3275" s="1">
        <v>39964</v>
      </c>
      <c r="G3275">
        <v>-3.25890149793946E-2</v>
      </c>
    </row>
    <row r="3276" spans="1:7" x14ac:dyDescent="0.25">
      <c r="A3276" t="s">
        <v>7</v>
      </c>
      <c r="B3276" t="s">
        <v>19</v>
      </c>
      <c r="C3276" t="s">
        <v>9</v>
      </c>
      <c r="D3276" t="s">
        <v>10</v>
      </c>
      <c r="E3276">
        <v>8</v>
      </c>
      <c r="F3276" s="1">
        <v>39994</v>
      </c>
      <c r="G3276">
        <v>6.5459779051607603E-3</v>
      </c>
    </row>
    <row r="3277" spans="1:7" x14ac:dyDescent="0.25">
      <c r="A3277" t="s">
        <v>7</v>
      </c>
      <c r="B3277" t="s">
        <v>19</v>
      </c>
      <c r="C3277" t="s">
        <v>9</v>
      </c>
      <c r="D3277" t="s">
        <v>10</v>
      </c>
      <c r="E3277">
        <v>8</v>
      </c>
      <c r="F3277" s="1">
        <v>40025</v>
      </c>
      <c r="G3277">
        <v>-1.38285299404266E-2</v>
      </c>
    </row>
    <row r="3278" spans="1:7" x14ac:dyDescent="0.25">
      <c r="A3278" t="s">
        <v>7</v>
      </c>
      <c r="B3278" t="s">
        <v>19</v>
      </c>
      <c r="C3278" t="s">
        <v>9</v>
      </c>
      <c r="D3278" t="s">
        <v>10</v>
      </c>
      <c r="E3278">
        <v>9</v>
      </c>
      <c r="F3278" s="1">
        <v>40056</v>
      </c>
      <c r="G3278">
        <v>3.1225261197417998E-3</v>
      </c>
    </row>
    <row r="3279" spans="1:7" x14ac:dyDescent="0.25">
      <c r="A3279" t="s">
        <v>7</v>
      </c>
      <c r="B3279" t="s">
        <v>19</v>
      </c>
      <c r="C3279" t="s">
        <v>9</v>
      </c>
      <c r="D3279" t="s">
        <v>10</v>
      </c>
      <c r="E3279">
        <v>8</v>
      </c>
      <c r="F3279" s="1">
        <v>40086</v>
      </c>
      <c r="G3279">
        <v>2.32127795277252E-2</v>
      </c>
    </row>
    <row r="3280" spans="1:7" x14ac:dyDescent="0.25">
      <c r="A3280" t="s">
        <v>7</v>
      </c>
      <c r="B3280" t="s">
        <v>19</v>
      </c>
      <c r="C3280" t="s">
        <v>9</v>
      </c>
      <c r="D3280" t="s">
        <v>10</v>
      </c>
      <c r="E3280">
        <v>8</v>
      </c>
      <c r="F3280" s="1">
        <v>40117</v>
      </c>
      <c r="G3280">
        <v>-2.4986637363304101E-2</v>
      </c>
    </row>
    <row r="3281" spans="1:7" x14ac:dyDescent="0.25">
      <c r="A3281" t="s">
        <v>7</v>
      </c>
      <c r="B3281" t="s">
        <v>19</v>
      </c>
      <c r="C3281" t="s">
        <v>9</v>
      </c>
      <c r="D3281" t="s">
        <v>10</v>
      </c>
      <c r="E3281">
        <v>9</v>
      </c>
      <c r="F3281" s="1">
        <v>40147</v>
      </c>
      <c r="G3281">
        <v>-1.19036237880378E-2</v>
      </c>
    </row>
    <row r="3282" spans="1:7" x14ac:dyDescent="0.25">
      <c r="A3282" t="s">
        <v>7</v>
      </c>
      <c r="B3282" t="s">
        <v>19</v>
      </c>
      <c r="C3282" t="s">
        <v>9</v>
      </c>
      <c r="D3282" t="s">
        <v>10</v>
      </c>
      <c r="E3282">
        <v>9</v>
      </c>
      <c r="F3282" s="1">
        <v>40178</v>
      </c>
      <c r="G3282">
        <v>1.23418263914908E-2</v>
      </c>
    </row>
    <row r="3283" spans="1:7" x14ac:dyDescent="0.25">
      <c r="A3283" t="s">
        <v>7</v>
      </c>
      <c r="B3283" t="s">
        <v>19</v>
      </c>
      <c r="C3283" t="s">
        <v>9</v>
      </c>
      <c r="D3283" t="s">
        <v>10</v>
      </c>
      <c r="E3283">
        <v>9</v>
      </c>
      <c r="F3283" s="1">
        <v>40209</v>
      </c>
      <c r="G3283">
        <v>1.2215726961007501E-2</v>
      </c>
    </row>
    <row r="3284" spans="1:7" x14ac:dyDescent="0.25">
      <c r="A3284" t="s">
        <v>7</v>
      </c>
      <c r="B3284" t="s">
        <v>19</v>
      </c>
      <c r="C3284" t="s">
        <v>9</v>
      </c>
      <c r="D3284" t="s">
        <v>10</v>
      </c>
      <c r="E3284">
        <v>8</v>
      </c>
      <c r="F3284" s="1">
        <v>40237</v>
      </c>
      <c r="G3284">
        <v>-6.9848658514494299E-3</v>
      </c>
    </row>
    <row r="3285" spans="1:7" x14ac:dyDescent="0.25">
      <c r="A3285" t="s">
        <v>7</v>
      </c>
      <c r="B3285" t="s">
        <v>19</v>
      </c>
      <c r="C3285" t="s">
        <v>9</v>
      </c>
      <c r="D3285" t="s">
        <v>10</v>
      </c>
      <c r="E3285">
        <v>9</v>
      </c>
      <c r="F3285" s="1">
        <v>40268</v>
      </c>
      <c r="G3285">
        <v>1.18910524000026E-2</v>
      </c>
    </row>
    <row r="3286" spans="1:7" x14ac:dyDescent="0.25">
      <c r="A3286" t="s">
        <v>7</v>
      </c>
      <c r="B3286" t="s">
        <v>19</v>
      </c>
      <c r="C3286" t="s">
        <v>9</v>
      </c>
      <c r="D3286" t="s">
        <v>10</v>
      </c>
      <c r="E3286">
        <v>9</v>
      </c>
      <c r="F3286" s="1">
        <v>40298</v>
      </c>
      <c r="G3286">
        <v>9.4747340716661004E-3</v>
      </c>
    </row>
    <row r="3287" spans="1:7" x14ac:dyDescent="0.25">
      <c r="A3287" t="s">
        <v>7</v>
      </c>
      <c r="B3287" t="s">
        <v>19</v>
      </c>
      <c r="C3287" t="s">
        <v>9</v>
      </c>
      <c r="D3287" t="s">
        <v>10</v>
      </c>
      <c r="E3287">
        <v>9</v>
      </c>
      <c r="F3287" s="1">
        <v>40329</v>
      </c>
      <c r="G3287">
        <v>-3.9623977950504104E-3</v>
      </c>
    </row>
    <row r="3288" spans="1:7" x14ac:dyDescent="0.25">
      <c r="A3288" t="s">
        <v>7</v>
      </c>
      <c r="B3288" t="s">
        <v>19</v>
      </c>
      <c r="C3288" t="s">
        <v>9</v>
      </c>
      <c r="D3288" t="s">
        <v>10</v>
      </c>
      <c r="E3288">
        <v>8</v>
      </c>
      <c r="F3288" s="1">
        <v>40359</v>
      </c>
      <c r="G3288">
        <v>1.0524674238026501E-2</v>
      </c>
    </row>
    <row r="3289" spans="1:7" x14ac:dyDescent="0.25">
      <c r="A3289" t="s">
        <v>7</v>
      </c>
      <c r="B3289" t="s">
        <v>19</v>
      </c>
      <c r="C3289" t="s">
        <v>9</v>
      </c>
      <c r="D3289" t="s">
        <v>10</v>
      </c>
      <c r="E3289">
        <v>8</v>
      </c>
      <c r="F3289" s="1">
        <v>40390</v>
      </c>
      <c r="G3289">
        <v>-2.2306596768775399E-2</v>
      </c>
    </row>
    <row r="3290" spans="1:7" x14ac:dyDescent="0.25">
      <c r="A3290" t="s">
        <v>7</v>
      </c>
      <c r="B3290" t="s">
        <v>19</v>
      </c>
      <c r="C3290" t="s">
        <v>9</v>
      </c>
      <c r="D3290" t="s">
        <v>10</v>
      </c>
      <c r="E3290">
        <v>9</v>
      </c>
      <c r="F3290" s="1">
        <v>40421</v>
      </c>
      <c r="G3290">
        <v>9.1391063529125804E-3</v>
      </c>
    </row>
    <row r="3291" spans="1:7" x14ac:dyDescent="0.25">
      <c r="A3291" t="s">
        <v>7</v>
      </c>
      <c r="B3291" t="s">
        <v>19</v>
      </c>
      <c r="C3291" t="s">
        <v>9</v>
      </c>
      <c r="D3291" t="s">
        <v>10</v>
      </c>
      <c r="E3291">
        <v>9</v>
      </c>
      <c r="F3291" s="1">
        <v>40451</v>
      </c>
      <c r="G3291">
        <v>-2.16651926591639E-2</v>
      </c>
    </row>
    <row r="3292" spans="1:7" x14ac:dyDescent="0.25">
      <c r="A3292" t="s">
        <v>7</v>
      </c>
      <c r="B3292" t="s">
        <v>19</v>
      </c>
      <c r="C3292" t="s">
        <v>9</v>
      </c>
      <c r="D3292" t="s">
        <v>10</v>
      </c>
      <c r="E3292">
        <v>9</v>
      </c>
      <c r="F3292" s="1">
        <v>40482</v>
      </c>
      <c r="G3292">
        <v>2.09038122826306E-3</v>
      </c>
    </row>
    <row r="3293" spans="1:7" x14ac:dyDescent="0.25">
      <c r="A3293" t="s">
        <v>7</v>
      </c>
      <c r="B3293" t="s">
        <v>19</v>
      </c>
      <c r="C3293" t="s">
        <v>9</v>
      </c>
      <c r="D3293" t="s">
        <v>10</v>
      </c>
      <c r="E3293">
        <v>9</v>
      </c>
      <c r="F3293" s="1">
        <v>40512</v>
      </c>
      <c r="G3293">
        <v>-8.0796489872559593E-3</v>
      </c>
    </row>
    <row r="3294" spans="1:7" x14ac:dyDescent="0.25">
      <c r="A3294" t="s">
        <v>7</v>
      </c>
      <c r="B3294" t="s">
        <v>19</v>
      </c>
      <c r="C3294" t="s">
        <v>9</v>
      </c>
      <c r="D3294" t="s">
        <v>10</v>
      </c>
      <c r="E3294">
        <v>9</v>
      </c>
      <c r="F3294" s="1">
        <v>40543</v>
      </c>
      <c r="G3294">
        <v>1.30470049828912E-2</v>
      </c>
    </row>
    <row r="3295" spans="1:7" x14ac:dyDescent="0.25">
      <c r="A3295" t="s">
        <v>7</v>
      </c>
      <c r="B3295" t="s">
        <v>19</v>
      </c>
      <c r="C3295" t="s">
        <v>9</v>
      </c>
      <c r="D3295" t="s">
        <v>10</v>
      </c>
      <c r="E3295">
        <v>9</v>
      </c>
      <c r="F3295" s="1">
        <v>40574</v>
      </c>
      <c r="G3295">
        <v>6.3507866866938604E-3</v>
      </c>
    </row>
    <row r="3296" spans="1:7" x14ac:dyDescent="0.25">
      <c r="A3296" t="s">
        <v>7</v>
      </c>
      <c r="B3296" t="s">
        <v>19</v>
      </c>
      <c r="C3296" t="s">
        <v>9</v>
      </c>
      <c r="D3296" t="s">
        <v>10</v>
      </c>
      <c r="E3296">
        <v>9</v>
      </c>
      <c r="F3296" s="1">
        <v>40602</v>
      </c>
      <c r="G3296">
        <v>-2.9461555069000998E-3</v>
      </c>
    </row>
    <row r="3297" spans="1:7" x14ac:dyDescent="0.25">
      <c r="A3297" t="s">
        <v>7</v>
      </c>
      <c r="B3297" t="s">
        <v>19</v>
      </c>
      <c r="C3297" t="s">
        <v>9</v>
      </c>
      <c r="D3297" t="s">
        <v>10</v>
      </c>
      <c r="E3297">
        <v>9</v>
      </c>
      <c r="F3297" s="1">
        <v>40633</v>
      </c>
      <c r="G3297">
        <v>2.17008615871648E-3</v>
      </c>
    </row>
    <row r="3298" spans="1:7" x14ac:dyDescent="0.25">
      <c r="A3298" t="s">
        <v>7</v>
      </c>
      <c r="B3298" t="s">
        <v>19</v>
      </c>
      <c r="C3298" t="s">
        <v>9</v>
      </c>
      <c r="D3298" t="s">
        <v>10</v>
      </c>
      <c r="E3298">
        <v>9</v>
      </c>
      <c r="F3298" s="1">
        <v>40663</v>
      </c>
      <c r="G3298">
        <v>-1.03022157856382E-2</v>
      </c>
    </row>
    <row r="3299" spans="1:7" x14ac:dyDescent="0.25">
      <c r="A3299" t="s">
        <v>7</v>
      </c>
      <c r="B3299" t="s">
        <v>19</v>
      </c>
      <c r="C3299" t="s">
        <v>9</v>
      </c>
      <c r="D3299" t="s">
        <v>10</v>
      </c>
      <c r="E3299">
        <v>9</v>
      </c>
      <c r="F3299" s="1">
        <v>40694</v>
      </c>
      <c r="G3299">
        <v>4.3645240791383199E-3</v>
      </c>
    </row>
    <row r="3300" spans="1:7" x14ac:dyDescent="0.25">
      <c r="A3300" t="s">
        <v>7</v>
      </c>
      <c r="B3300" t="s">
        <v>19</v>
      </c>
      <c r="C3300" t="s">
        <v>9</v>
      </c>
      <c r="D3300" t="s">
        <v>10</v>
      </c>
      <c r="E3300">
        <v>9</v>
      </c>
      <c r="F3300" s="1">
        <v>40724</v>
      </c>
      <c r="G3300">
        <v>1.21953699083104E-2</v>
      </c>
    </row>
    <row r="3301" spans="1:7" x14ac:dyDescent="0.25">
      <c r="A3301" t="s">
        <v>7</v>
      </c>
      <c r="B3301" t="s">
        <v>19</v>
      </c>
      <c r="C3301" t="s">
        <v>9</v>
      </c>
      <c r="D3301" t="s">
        <v>10</v>
      </c>
      <c r="E3301">
        <v>9</v>
      </c>
      <c r="F3301" s="1">
        <v>40755</v>
      </c>
      <c r="G3301">
        <v>2.0969024814224799E-3</v>
      </c>
    </row>
    <row r="3302" spans="1:7" x14ac:dyDescent="0.25">
      <c r="A3302" t="s">
        <v>7</v>
      </c>
      <c r="B3302" t="s">
        <v>19</v>
      </c>
      <c r="C3302" t="s">
        <v>9</v>
      </c>
      <c r="D3302" t="s">
        <v>10</v>
      </c>
      <c r="E3302">
        <v>9</v>
      </c>
      <c r="F3302" s="1">
        <v>40786</v>
      </c>
      <c r="G3302">
        <v>-1.63396126396038E-2</v>
      </c>
    </row>
    <row r="3303" spans="1:7" x14ac:dyDescent="0.25">
      <c r="A3303" t="s">
        <v>7</v>
      </c>
      <c r="B3303" t="s">
        <v>19</v>
      </c>
      <c r="C3303" t="s">
        <v>9</v>
      </c>
      <c r="D3303" t="s">
        <v>10</v>
      </c>
      <c r="E3303">
        <v>9</v>
      </c>
      <c r="F3303" s="1">
        <v>40816</v>
      </c>
      <c r="G3303">
        <v>2.55364747325307E-3</v>
      </c>
    </row>
    <row r="3304" spans="1:7" x14ac:dyDescent="0.25">
      <c r="A3304" t="s">
        <v>7</v>
      </c>
      <c r="B3304" t="s">
        <v>19</v>
      </c>
      <c r="C3304" t="s">
        <v>9</v>
      </c>
      <c r="D3304" t="s">
        <v>10</v>
      </c>
      <c r="E3304">
        <v>9</v>
      </c>
      <c r="F3304" s="1">
        <v>40847</v>
      </c>
      <c r="G3304">
        <v>-3.4311494290585999E-4</v>
      </c>
    </row>
    <row r="3305" spans="1:7" x14ac:dyDescent="0.25">
      <c r="A3305" t="s">
        <v>7</v>
      </c>
      <c r="B3305" t="s">
        <v>19</v>
      </c>
      <c r="C3305" t="s">
        <v>9</v>
      </c>
      <c r="D3305" t="s">
        <v>10</v>
      </c>
      <c r="E3305">
        <v>9</v>
      </c>
      <c r="F3305" s="1">
        <v>40877</v>
      </c>
      <c r="G3305">
        <v>-3.3605932673297502E-3</v>
      </c>
    </row>
    <row r="3306" spans="1:7" x14ac:dyDescent="0.25">
      <c r="A3306" t="s">
        <v>7</v>
      </c>
      <c r="B3306" t="s">
        <v>19</v>
      </c>
      <c r="C3306" t="s">
        <v>9</v>
      </c>
      <c r="D3306" t="s">
        <v>10</v>
      </c>
      <c r="E3306">
        <v>9</v>
      </c>
      <c r="F3306" s="1">
        <v>40908</v>
      </c>
      <c r="G3306">
        <v>2.1962534548776798E-3</v>
      </c>
    </row>
    <row r="3307" spans="1:7" x14ac:dyDescent="0.25">
      <c r="A3307" t="s">
        <v>7</v>
      </c>
      <c r="B3307" t="s">
        <v>19</v>
      </c>
      <c r="C3307" t="s">
        <v>9</v>
      </c>
      <c r="D3307" t="s">
        <v>10</v>
      </c>
      <c r="E3307">
        <v>9</v>
      </c>
      <c r="F3307" s="1">
        <v>40939</v>
      </c>
      <c r="G3307">
        <v>-2.0184274448000999E-2</v>
      </c>
    </row>
    <row r="3308" spans="1:7" x14ac:dyDescent="0.25">
      <c r="A3308" t="s">
        <v>7</v>
      </c>
      <c r="B3308" t="s">
        <v>19</v>
      </c>
      <c r="C3308" t="s">
        <v>9</v>
      </c>
      <c r="D3308" t="s">
        <v>10</v>
      </c>
      <c r="E3308">
        <v>9</v>
      </c>
      <c r="F3308" s="1">
        <v>40968</v>
      </c>
      <c r="G3308">
        <v>6.1544879552899098E-3</v>
      </c>
    </row>
    <row r="3309" spans="1:7" x14ac:dyDescent="0.25">
      <c r="A3309" t="s">
        <v>7</v>
      </c>
      <c r="B3309" t="s">
        <v>19</v>
      </c>
      <c r="C3309" t="s">
        <v>9</v>
      </c>
      <c r="D3309" t="s">
        <v>10</v>
      </c>
      <c r="E3309">
        <v>9</v>
      </c>
      <c r="F3309" s="1">
        <v>40999</v>
      </c>
      <c r="G3309">
        <v>6.4169815475090405E-4</v>
      </c>
    </row>
    <row r="3310" spans="1:7" x14ac:dyDescent="0.25">
      <c r="A3310" t="s">
        <v>7</v>
      </c>
      <c r="B3310" t="s">
        <v>19</v>
      </c>
      <c r="C3310" t="s">
        <v>9</v>
      </c>
      <c r="D3310" t="s">
        <v>10</v>
      </c>
      <c r="E3310">
        <v>9</v>
      </c>
      <c r="F3310" s="1">
        <v>41029</v>
      </c>
      <c r="G3310">
        <v>-1.1303338461370001E-2</v>
      </c>
    </row>
    <row r="3311" spans="1:7" x14ac:dyDescent="0.25">
      <c r="A3311" t="s">
        <v>7</v>
      </c>
      <c r="B3311" t="s">
        <v>19</v>
      </c>
      <c r="C3311" t="s">
        <v>9</v>
      </c>
      <c r="D3311" t="s">
        <v>10</v>
      </c>
      <c r="E3311">
        <v>9</v>
      </c>
      <c r="F3311" s="1">
        <v>41060</v>
      </c>
      <c r="G3311">
        <v>-6.2397319894181404E-3</v>
      </c>
    </row>
    <row r="3312" spans="1:7" x14ac:dyDescent="0.25">
      <c r="A3312" t="s">
        <v>7</v>
      </c>
      <c r="B3312" t="s">
        <v>19</v>
      </c>
      <c r="C3312" t="s">
        <v>9</v>
      </c>
      <c r="D3312" t="s">
        <v>10</v>
      </c>
      <c r="E3312">
        <v>9</v>
      </c>
      <c r="F3312" s="1">
        <v>41090</v>
      </c>
      <c r="G3312">
        <v>9.0448826975447795E-3</v>
      </c>
    </row>
    <row r="3313" spans="1:7" x14ac:dyDescent="0.25">
      <c r="A3313" t="s">
        <v>7</v>
      </c>
      <c r="B3313" t="s">
        <v>19</v>
      </c>
      <c r="C3313" t="s">
        <v>9</v>
      </c>
      <c r="D3313" t="s">
        <v>10</v>
      </c>
      <c r="E3313">
        <v>9</v>
      </c>
      <c r="F3313" s="1">
        <v>41121</v>
      </c>
      <c r="G3313">
        <v>1.27333819502279E-2</v>
      </c>
    </row>
    <row r="3314" spans="1:7" x14ac:dyDescent="0.25">
      <c r="A3314" t="s">
        <v>7</v>
      </c>
      <c r="B3314" t="s">
        <v>19</v>
      </c>
      <c r="C3314" t="s">
        <v>9</v>
      </c>
      <c r="D3314" t="s">
        <v>10</v>
      </c>
      <c r="E3314">
        <v>9</v>
      </c>
      <c r="F3314" s="1">
        <v>41152</v>
      </c>
      <c r="G3314">
        <v>2.4907820150741099E-3</v>
      </c>
    </row>
    <row r="3315" spans="1:7" x14ac:dyDescent="0.25">
      <c r="A3315" t="s">
        <v>7</v>
      </c>
      <c r="B3315" t="s">
        <v>19</v>
      </c>
      <c r="C3315" t="s">
        <v>9</v>
      </c>
      <c r="D3315" t="s">
        <v>10</v>
      </c>
      <c r="E3315">
        <v>9</v>
      </c>
      <c r="F3315" s="1">
        <v>41182</v>
      </c>
      <c r="G3315">
        <v>5.9244268956996004E-4</v>
      </c>
    </row>
    <row r="3316" spans="1:7" x14ac:dyDescent="0.25">
      <c r="A3316" t="s">
        <v>7</v>
      </c>
      <c r="B3316" t="s">
        <v>19</v>
      </c>
      <c r="C3316" t="s">
        <v>9</v>
      </c>
      <c r="D3316" t="s">
        <v>10</v>
      </c>
      <c r="E3316">
        <v>9</v>
      </c>
      <c r="F3316" s="1">
        <v>41213</v>
      </c>
      <c r="G3316">
        <v>1.9615245231471802E-3</v>
      </c>
    </row>
    <row r="3317" spans="1:7" x14ac:dyDescent="0.25">
      <c r="A3317" t="s">
        <v>7</v>
      </c>
      <c r="B3317" t="s">
        <v>19</v>
      </c>
      <c r="C3317" t="s">
        <v>9</v>
      </c>
      <c r="D3317" t="s">
        <v>10</v>
      </c>
      <c r="E3317">
        <v>9</v>
      </c>
      <c r="F3317" s="1">
        <v>41243</v>
      </c>
      <c r="G3317">
        <v>8.9396651596614204E-4</v>
      </c>
    </row>
    <row r="3318" spans="1:7" x14ac:dyDescent="0.25">
      <c r="A3318" t="s">
        <v>7</v>
      </c>
      <c r="B3318" t="s">
        <v>19</v>
      </c>
      <c r="C3318" t="s">
        <v>9</v>
      </c>
      <c r="D3318" t="s">
        <v>10</v>
      </c>
      <c r="E3318">
        <v>9</v>
      </c>
      <c r="F3318" s="1">
        <v>41274</v>
      </c>
      <c r="G3318">
        <v>-1.8180193715042099E-2</v>
      </c>
    </row>
    <row r="3319" spans="1:7" x14ac:dyDescent="0.25">
      <c r="A3319" t="s">
        <v>7</v>
      </c>
      <c r="B3319" t="s">
        <v>19</v>
      </c>
      <c r="C3319" t="s">
        <v>9</v>
      </c>
      <c r="D3319" t="s">
        <v>10</v>
      </c>
      <c r="E3319">
        <v>9</v>
      </c>
      <c r="F3319" s="1">
        <v>41305</v>
      </c>
      <c r="G3319">
        <v>-2.5653380971779401E-3</v>
      </c>
    </row>
    <row r="3320" spans="1:7" x14ac:dyDescent="0.25">
      <c r="A3320" t="s">
        <v>7</v>
      </c>
      <c r="B3320" t="s">
        <v>19</v>
      </c>
      <c r="C3320" t="s">
        <v>9</v>
      </c>
      <c r="D3320" t="s">
        <v>10</v>
      </c>
      <c r="E3320">
        <v>9</v>
      </c>
      <c r="F3320" s="1">
        <v>41333</v>
      </c>
      <c r="G3320">
        <v>-8.3837365066220006E-3</v>
      </c>
    </row>
    <row r="3321" spans="1:7" x14ac:dyDescent="0.25">
      <c r="A3321" t="s">
        <v>7</v>
      </c>
      <c r="B3321" t="s">
        <v>19</v>
      </c>
      <c r="C3321" t="s">
        <v>9</v>
      </c>
      <c r="D3321" t="s">
        <v>10</v>
      </c>
      <c r="E3321">
        <v>9</v>
      </c>
      <c r="F3321" s="1">
        <v>41364</v>
      </c>
      <c r="G3321">
        <v>-1.93886444062997E-3</v>
      </c>
    </row>
    <row r="3322" spans="1:7" x14ac:dyDescent="0.25">
      <c r="A3322" t="s">
        <v>7</v>
      </c>
      <c r="B3322" t="s">
        <v>19</v>
      </c>
      <c r="C3322" t="s">
        <v>9</v>
      </c>
      <c r="D3322" t="s">
        <v>10</v>
      </c>
      <c r="E3322">
        <v>9</v>
      </c>
      <c r="F3322" s="1">
        <v>41394</v>
      </c>
      <c r="G3322">
        <v>6.0743106070383903E-3</v>
      </c>
    </row>
    <row r="3323" spans="1:7" x14ac:dyDescent="0.25">
      <c r="A3323" t="s">
        <v>7</v>
      </c>
      <c r="B3323" t="s">
        <v>19</v>
      </c>
      <c r="C3323" t="s">
        <v>9</v>
      </c>
      <c r="D3323" t="s">
        <v>10</v>
      </c>
      <c r="E3323">
        <v>9</v>
      </c>
      <c r="F3323" s="1">
        <v>41425</v>
      </c>
      <c r="G3323">
        <v>-2.0278278136346699E-3</v>
      </c>
    </row>
    <row r="3324" spans="1:7" x14ac:dyDescent="0.25">
      <c r="A3324" t="s">
        <v>7</v>
      </c>
      <c r="B3324" t="s">
        <v>19</v>
      </c>
      <c r="C3324" t="s">
        <v>9</v>
      </c>
      <c r="D3324" t="s">
        <v>10</v>
      </c>
      <c r="E3324">
        <v>9</v>
      </c>
      <c r="F3324" s="1">
        <v>41455</v>
      </c>
      <c r="G3324">
        <v>-4.29283944552442E-3</v>
      </c>
    </row>
    <row r="3325" spans="1:7" x14ac:dyDescent="0.25">
      <c r="A3325" t="s">
        <v>7</v>
      </c>
      <c r="B3325" t="s">
        <v>19</v>
      </c>
      <c r="C3325" t="s">
        <v>9</v>
      </c>
      <c r="D3325" t="s">
        <v>10</v>
      </c>
      <c r="E3325">
        <v>9</v>
      </c>
      <c r="F3325" s="1">
        <v>41486</v>
      </c>
      <c r="G3325">
        <v>-2.9083059321113498E-3</v>
      </c>
    </row>
    <row r="3326" spans="1:7" x14ac:dyDescent="0.25">
      <c r="A3326" t="s">
        <v>7</v>
      </c>
      <c r="B3326" t="s">
        <v>19</v>
      </c>
      <c r="C3326" t="s">
        <v>9</v>
      </c>
      <c r="D3326" t="s">
        <v>10</v>
      </c>
      <c r="E3326">
        <v>9</v>
      </c>
      <c r="F3326" s="1">
        <v>41517</v>
      </c>
      <c r="G3326">
        <v>-1.1781362728826401E-3</v>
      </c>
    </row>
    <row r="3327" spans="1:7" x14ac:dyDescent="0.25">
      <c r="A3327" t="s">
        <v>7</v>
      </c>
      <c r="B3327" t="s">
        <v>19</v>
      </c>
      <c r="C3327" t="s">
        <v>9</v>
      </c>
      <c r="D3327" t="s">
        <v>10</v>
      </c>
      <c r="E3327">
        <v>9</v>
      </c>
      <c r="F3327" s="1">
        <v>41547</v>
      </c>
      <c r="G3327">
        <v>-1.03611957316555E-2</v>
      </c>
    </row>
    <row r="3328" spans="1:7" x14ac:dyDescent="0.25">
      <c r="A3328" t="s">
        <v>7</v>
      </c>
      <c r="B3328" t="s">
        <v>19</v>
      </c>
      <c r="C3328" t="s">
        <v>9</v>
      </c>
      <c r="D3328" t="s">
        <v>10</v>
      </c>
      <c r="E3328">
        <v>9</v>
      </c>
      <c r="F3328" s="1">
        <v>41578</v>
      </c>
      <c r="G3328">
        <v>-7.3131658421527503E-3</v>
      </c>
    </row>
    <row r="3329" spans="1:7" x14ac:dyDescent="0.25">
      <c r="A3329" t="s">
        <v>7</v>
      </c>
      <c r="B3329" t="s">
        <v>19</v>
      </c>
      <c r="C3329" t="s">
        <v>9</v>
      </c>
      <c r="D3329" t="s">
        <v>10</v>
      </c>
      <c r="E3329">
        <v>9</v>
      </c>
      <c r="F3329" s="1">
        <v>41608</v>
      </c>
      <c r="G3329">
        <v>-8.4002812784895794E-3</v>
      </c>
    </row>
    <row r="3330" spans="1:7" x14ac:dyDescent="0.25">
      <c r="A3330" t="s">
        <v>7</v>
      </c>
      <c r="B3330" t="s">
        <v>19</v>
      </c>
      <c r="C3330" t="s">
        <v>9</v>
      </c>
      <c r="D3330" t="s">
        <v>10</v>
      </c>
      <c r="E3330">
        <v>9</v>
      </c>
      <c r="F3330" s="1">
        <v>41639</v>
      </c>
      <c r="G3330">
        <v>-4.6314630672821501E-3</v>
      </c>
    </row>
    <row r="3331" spans="1:7" x14ac:dyDescent="0.25">
      <c r="A3331" t="s">
        <v>7</v>
      </c>
      <c r="B3331" t="s">
        <v>19</v>
      </c>
      <c r="C3331" t="s">
        <v>9</v>
      </c>
      <c r="D3331" t="s">
        <v>10</v>
      </c>
      <c r="E3331">
        <v>9</v>
      </c>
      <c r="F3331" s="1">
        <v>41670</v>
      </c>
      <c r="G3331">
        <v>2.2831905504614499E-3</v>
      </c>
    </row>
    <row r="3332" spans="1:7" x14ac:dyDescent="0.25">
      <c r="A3332" t="s">
        <v>7</v>
      </c>
      <c r="B3332" t="s">
        <v>19</v>
      </c>
      <c r="C3332" t="s">
        <v>9</v>
      </c>
      <c r="D3332" t="s">
        <v>10</v>
      </c>
      <c r="E3332">
        <v>9</v>
      </c>
      <c r="F3332" s="1">
        <v>41698</v>
      </c>
      <c r="G3332">
        <v>-1.8010595060737902E-2</v>
      </c>
    </row>
    <row r="3333" spans="1:7" x14ac:dyDescent="0.25">
      <c r="A3333" t="s">
        <v>7</v>
      </c>
      <c r="B3333" t="s">
        <v>19</v>
      </c>
      <c r="C3333" t="s">
        <v>9</v>
      </c>
      <c r="D3333" t="s">
        <v>10</v>
      </c>
      <c r="E3333">
        <v>9</v>
      </c>
      <c r="F3333" s="1">
        <v>41729</v>
      </c>
      <c r="G3333">
        <v>-1.8031527709349002E-2</v>
      </c>
    </row>
    <row r="3334" spans="1:7" x14ac:dyDescent="0.25">
      <c r="A3334" t="s">
        <v>7</v>
      </c>
      <c r="B3334" t="s">
        <v>19</v>
      </c>
      <c r="C3334" t="s">
        <v>9</v>
      </c>
      <c r="D3334" t="s">
        <v>10</v>
      </c>
      <c r="E3334">
        <v>10</v>
      </c>
      <c r="F3334" s="1">
        <v>41759</v>
      </c>
      <c r="G3334">
        <v>6.9601723695313896E-3</v>
      </c>
    </row>
    <row r="3335" spans="1:7" x14ac:dyDescent="0.25">
      <c r="A3335" t="s">
        <v>7</v>
      </c>
      <c r="B3335" t="s">
        <v>19</v>
      </c>
      <c r="C3335" t="s">
        <v>9</v>
      </c>
      <c r="D3335" t="s">
        <v>10</v>
      </c>
      <c r="E3335">
        <v>9</v>
      </c>
      <c r="F3335" s="1">
        <v>41790</v>
      </c>
      <c r="G3335">
        <v>3.18024109543247E-3</v>
      </c>
    </row>
    <row r="3336" spans="1:7" x14ac:dyDescent="0.25">
      <c r="A3336" t="s">
        <v>7</v>
      </c>
      <c r="B3336" t="s">
        <v>19</v>
      </c>
      <c r="C3336" t="s">
        <v>9</v>
      </c>
      <c r="D3336" t="s">
        <v>10</v>
      </c>
      <c r="E3336">
        <v>9</v>
      </c>
      <c r="F3336" s="1">
        <v>41820</v>
      </c>
      <c r="G3336">
        <v>-2.1561483142221501E-2</v>
      </c>
    </row>
    <row r="3337" spans="1:7" x14ac:dyDescent="0.25">
      <c r="A3337" t="s">
        <v>7</v>
      </c>
      <c r="B3337" t="s">
        <v>19</v>
      </c>
      <c r="C3337" t="s">
        <v>9</v>
      </c>
      <c r="D3337" t="s">
        <v>10</v>
      </c>
      <c r="E3337">
        <v>9</v>
      </c>
      <c r="F3337" s="1">
        <v>41851</v>
      </c>
      <c r="G3337">
        <v>2.1601882582007702E-3</v>
      </c>
    </row>
    <row r="3338" spans="1:7" x14ac:dyDescent="0.25">
      <c r="A3338" t="s">
        <v>7</v>
      </c>
      <c r="B3338" t="s">
        <v>19</v>
      </c>
      <c r="C3338" t="s">
        <v>9</v>
      </c>
      <c r="D3338" t="s">
        <v>10</v>
      </c>
      <c r="E3338">
        <v>10</v>
      </c>
      <c r="F3338" s="1">
        <v>41882</v>
      </c>
      <c r="G3338">
        <v>1.3653557596711699E-2</v>
      </c>
    </row>
    <row r="3339" spans="1:7" x14ac:dyDescent="0.25">
      <c r="A3339" t="s">
        <v>7</v>
      </c>
      <c r="B3339" t="s">
        <v>19</v>
      </c>
      <c r="C3339" t="s">
        <v>9</v>
      </c>
      <c r="D3339" t="s">
        <v>10</v>
      </c>
      <c r="E3339">
        <v>10</v>
      </c>
      <c r="F3339" s="1">
        <v>41912</v>
      </c>
      <c r="G3339">
        <v>1.6872119672500799E-2</v>
      </c>
    </row>
    <row r="3340" spans="1:7" x14ac:dyDescent="0.25">
      <c r="A3340" t="s">
        <v>7</v>
      </c>
      <c r="B3340" t="s">
        <v>19</v>
      </c>
      <c r="C3340" t="s">
        <v>9</v>
      </c>
      <c r="D3340" t="s">
        <v>10</v>
      </c>
      <c r="E3340">
        <v>10</v>
      </c>
      <c r="F3340" s="1">
        <v>41943</v>
      </c>
      <c r="G3340">
        <v>-5.4633670108073602E-4</v>
      </c>
    </row>
    <row r="3341" spans="1:7" x14ac:dyDescent="0.25">
      <c r="A3341" t="s">
        <v>7</v>
      </c>
      <c r="B3341" t="s">
        <v>19</v>
      </c>
      <c r="C3341" t="s">
        <v>9</v>
      </c>
      <c r="D3341" t="s">
        <v>10</v>
      </c>
      <c r="E3341">
        <v>10</v>
      </c>
      <c r="F3341" s="1">
        <v>41973</v>
      </c>
      <c r="G3341">
        <v>-1.03640798590962E-2</v>
      </c>
    </row>
    <row r="3342" spans="1:7" x14ac:dyDescent="0.25">
      <c r="A3342" t="s">
        <v>7</v>
      </c>
      <c r="B3342" t="s">
        <v>19</v>
      </c>
      <c r="C3342" t="s">
        <v>9</v>
      </c>
      <c r="D3342" t="s">
        <v>10</v>
      </c>
      <c r="E3342">
        <v>10</v>
      </c>
      <c r="F3342" s="1">
        <v>42004</v>
      </c>
      <c r="G3342">
        <v>1.42528465693782E-2</v>
      </c>
    </row>
    <row r="3343" spans="1:7" x14ac:dyDescent="0.25">
      <c r="A3343" t="s">
        <v>7</v>
      </c>
      <c r="B3343" t="s">
        <v>19</v>
      </c>
      <c r="C3343" t="s">
        <v>9</v>
      </c>
      <c r="D3343" t="s">
        <v>10</v>
      </c>
      <c r="E3343">
        <v>10</v>
      </c>
      <c r="F3343" s="1">
        <v>42035</v>
      </c>
      <c r="G3343">
        <v>7.3718725929798404E-3</v>
      </c>
    </row>
    <row r="3344" spans="1:7" x14ac:dyDescent="0.25">
      <c r="A3344" t="s">
        <v>7</v>
      </c>
      <c r="B3344" t="s">
        <v>19</v>
      </c>
      <c r="C3344" t="s">
        <v>9</v>
      </c>
      <c r="D3344" t="s">
        <v>10</v>
      </c>
      <c r="E3344">
        <v>10</v>
      </c>
      <c r="F3344" s="1">
        <v>42063</v>
      </c>
      <c r="G3344">
        <v>8.9945124822968202E-3</v>
      </c>
    </row>
    <row r="3345" spans="1:7" x14ac:dyDescent="0.25">
      <c r="A3345" t="s">
        <v>7</v>
      </c>
      <c r="B3345" t="s">
        <v>19</v>
      </c>
      <c r="C3345" t="s">
        <v>9</v>
      </c>
      <c r="D3345" t="s">
        <v>10</v>
      </c>
      <c r="E3345">
        <v>10</v>
      </c>
      <c r="F3345" s="1">
        <v>42094</v>
      </c>
      <c r="G3345">
        <v>7.1195683427969702E-3</v>
      </c>
    </row>
    <row r="3346" spans="1:7" x14ac:dyDescent="0.25">
      <c r="A3346" t="s">
        <v>7</v>
      </c>
      <c r="B3346" t="s">
        <v>19</v>
      </c>
      <c r="C3346" t="s">
        <v>9</v>
      </c>
      <c r="D3346" t="s">
        <v>10</v>
      </c>
      <c r="E3346">
        <v>10</v>
      </c>
      <c r="F3346" s="1">
        <v>42124</v>
      </c>
      <c r="G3346">
        <v>9.5669791076950401E-3</v>
      </c>
    </row>
    <row r="3347" spans="1:7" x14ac:dyDescent="0.25">
      <c r="A3347" t="s">
        <v>7</v>
      </c>
      <c r="B3347" t="s">
        <v>19</v>
      </c>
      <c r="C3347" t="s">
        <v>9</v>
      </c>
      <c r="D3347" t="s">
        <v>10</v>
      </c>
      <c r="E3347">
        <v>10</v>
      </c>
      <c r="F3347" s="1">
        <v>42155</v>
      </c>
      <c r="G3347">
        <v>-1.5393314220383199E-2</v>
      </c>
    </row>
    <row r="3348" spans="1:7" x14ac:dyDescent="0.25">
      <c r="A3348" t="s">
        <v>7</v>
      </c>
      <c r="B3348" t="s">
        <v>19</v>
      </c>
      <c r="C3348" t="s">
        <v>9</v>
      </c>
      <c r="D3348" t="s">
        <v>10</v>
      </c>
      <c r="E3348">
        <v>9</v>
      </c>
      <c r="F3348" s="1">
        <v>42185</v>
      </c>
      <c r="G3348">
        <v>2.2390164920348E-3</v>
      </c>
    </row>
    <row r="3349" spans="1:7" x14ac:dyDescent="0.25">
      <c r="A3349" t="s">
        <v>7</v>
      </c>
      <c r="B3349" t="s">
        <v>19</v>
      </c>
      <c r="C3349" t="s">
        <v>9</v>
      </c>
      <c r="D3349" t="s">
        <v>10</v>
      </c>
      <c r="E3349">
        <v>9</v>
      </c>
      <c r="F3349" s="1">
        <v>42216</v>
      </c>
      <c r="G3349">
        <v>8.5569767175521796E-4</v>
      </c>
    </row>
    <row r="3350" spans="1:7" x14ac:dyDescent="0.25">
      <c r="A3350" t="s">
        <v>7</v>
      </c>
      <c r="B3350" t="s">
        <v>19</v>
      </c>
      <c r="C3350" t="s">
        <v>9</v>
      </c>
      <c r="D3350" t="s">
        <v>10</v>
      </c>
      <c r="E3350">
        <v>10</v>
      </c>
      <c r="F3350" s="1">
        <v>42247</v>
      </c>
      <c r="G3350">
        <v>-1.49985671998695E-3</v>
      </c>
    </row>
    <row r="3351" spans="1:7" x14ac:dyDescent="0.25">
      <c r="A3351" t="s">
        <v>7</v>
      </c>
      <c r="B3351" t="s">
        <v>19</v>
      </c>
      <c r="C3351" t="s">
        <v>9</v>
      </c>
      <c r="D3351" t="s">
        <v>10</v>
      </c>
      <c r="E3351">
        <v>10</v>
      </c>
      <c r="F3351" s="1">
        <v>42277</v>
      </c>
      <c r="G3351">
        <v>1.55456830043541E-2</v>
      </c>
    </row>
    <row r="3352" spans="1:7" x14ac:dyDescent="0.25">
      <c r="A3352" t="s">
        <v>7</v>
      </c>
      <c r="B3352" t="s">
        <v>19</v>
      </c>
      <c r="C3352" t="s">
        <v>9</v>
      </c>
      <c r="D3352" t="s">
        <v>10</v>
      </c>
      <c r="E3352">
        <v>11</v>
      </c>
      <c r="F3352" s="1">
        <v>42308</v>
      </c>
      <c r="G3352">
        <v>-4.5372415483366799E-3</v>
      </c>
    </row>
    <row r="3353" spans="1:7" x14ac:dyDescent="0.25">
      <c r="A3353" t="s">
        <v>7</v>
      </c>
      <c r="B3353" t="s">
        <v>19</v>
      </c>
      <c r="C3353" t="s">
        <v>9</v>
      </c>
      <c r="D3353" t="s">
        <v>10</v>
      </c>
      <c r="E3353">
        <v>11</v>
      </c>
      <c r="F3353" s="1">
        <v>42338</v>
      </c>
      <c r="G3353">
        <v>-1.6195426229635899E-2</v>
      </c>
    </row>
    <row r="3354" spans="1:7" x14ac:dyDescent="0.25">
      <c r="A3354" t="s">
        <v>7</v>
      </c>
      <c r="B3354" t="s">
        <v>19</v>
      </c>
      <c r="C3354" t="s">
        <v>9</v>
      </c>
      <c r="D3354" t="s">
        <v>10</v>
      </c>
      <c r="E3354">
        <v>10</v>
      </c>
      <c r="F3354" s="1">
        <v>42369</v>
      </c>
      <c r="G3354">
        <v>5.1446289149927301E-3</v>
      </c>
    </row>
    <row r="3355" spans="1:7" x14ac:dyDescent="0.25">
      <c r="A3355" t="s">
        <v>7</v>
      </c>
      <c r="B3355" t="s">
        <v>19</v>
      </c>
      <c r="C3355" t="s">
        <v>9</v>
      </c>
      <c r="D3355" t="s">
        <v>10</v>
      </c>
      <c r="E3355">
        <v>10</v>
      </c>
      <c r="F3355" s="1">
        <v>42400</v>
      </c>
      <c r="G3355">
        <v>-2.497528068701E-2</v>
      </c>
    </row>
    <row r="3356" spans="1:7" x14ac:dyDescent="0.25">
      <c r="A3356" t="s">
        <v>7</v>
      </c>
      <c r="B3356" t="s">
        <v>19</v>
      </c>
      <c r="C3356" t="s">
        <v>9</v>
      </c>
      <c r="D3356" t="s">
        <v>10</v>
      </c>
      <c r="E3356">
        <v>9</v>
      </c>
      <c r="F3356" s="1">
        <v>42429</v>
      </c>
      <c r="G3356">
        <v>1.2650167117505599E-2</v>
      </c>
    </row>
    <row r="3357" spans="1:7" x14ac:dyDescent="0.25">
      <c r="A3357" t="s">
        <v>7</v>
      </c>
      <c r="B3357" t="s">
        <v>19</v>
      </c>
      <c r="C3357" t="s">
        <v>9</v>
      </c>
      <c r="D3357" t="s">
        <v>10</v>
      </c>
      <c r="E3357">
        <v>9</v>
      </c>
      <c r="F3357" s="1">
        <v>42460</v>
      </c>
      <c r="G3357">
        <v>-5.2466746643214997E-2</v>
      </c>
    </row>
    <row r="3358" spans="1:7" x14ac:dyDescent="0.25">
      <c r="A3358" t="s">
        <v>7</v>
      </c>
      <c r="B3358" t="s">
        <v>19</v>
      </c>
      <c r="C3358" t="s">
        <v>9</v>
      </c>
      <c r="D3358" t="s">
        <v>10</v>
      </c>
      <c r="E3358">
        <v>9</v>
      </c>
      <c r="F3358" s="1">
        <v>42490</v>
      </c>
      <c r="G3358">
        <v>8.96826658292239E-3</v>
      </c>
    </row>
    <row r="3359" spans="1:7" x14ac:dyDescent="0.25">
      <c r="A3359" t="s">
        <v>7</v>
      </c>
      <c r="B3359" t="s">
        <v>19</v>
      </c>
      <c r="C3359" t="s">
        <v>9</v>
      </c>
      <c r="D3359" t="s">
        <v>10</v>
      </c>
      <c r="E3359">
        <v>9</v>
      </c>
      <c r="F3359" s="1">
        <v>42521</v>
      </c>
      <c r="G3359">
        <v>-6.5914347138794401E-3</v>
      </c>
    </row>
    <row r="3360" spans="1:7" x14ac:dyDescent="0.25">
      <c r="A3360" t="s">
        <v>7</v>
      </c>
      <c r="B3360" t="s">
        <v>19</v>
      </c>
      <c r="C3360" t="s">
        <v>9</v>
      </c>
      <c r="D3360" t="s">
        <v>10</v>
      </c>
      <c r="E3360">
        <v>9</v>
      </c>
      <c r="F3360" s="1">
        <v>42551</v>
      </c>
      <c r="G3360">
        <v>-1.5728336973209599E-3</v>
      </c>
    </row>
    <row r="3361" spans="1:7" x14ac:dyDescent="0.25">
      <c r="A3361" t="s">
        <v>7</v>
      </c>
      <c r="B3361" t="s">
        <v>19</v>
      </c>
      <c r="C3361" t="s">
        <v>9</v>
      </c>
      <c r="D3361" t="s">
        <v>10</v>
      </c>
      <c r="E3361">
        <v>9</v>
      </c>
      <c r="F3361" s="1">
        <v>42582</v>
      </c>
      <c r="G3361">
        <v>1.8733673971653299E-2</v>
      </c>
    </row>
    <row r="3362" spans="1:7" x14ac:dyDescent="0.25">
      <c r="A3362" t="s">
        <v>7</v>
      </c>
      <c r="B3362" t="s">
        <v>19</v>
      </c>
      <c r="C3362" t="s">
        <v>9</v>
      </c>
      <c r="D3362" t="s">
        <v>10</v>
      </c>
      <c r="E3362">
        <v>10</v>
      </c>
      <c r="F3362" s="1">
        <v>42613</v>
      </c>
      <c r="G3362">
        <v>9.3820749580640298E-3</v>
      </c>
    </row>
    <row r="3363" spans="1:7" x14ac:dyDescent="0.25">
      <c r="A3363" t="s">
        <v>7</v>
      </c>
      <c r="B3363" t="s">
        <v>19</v>
      </c>
      <c r="C3363" t="s">
        <v>9</v>
      </c>
      <c r="D3363" t="s">
        <v>10</v>
      </c>
      <c r="E3363">
        <v>10</v>
      </c>
      <c r="F3363" s="1">
        <v>42643</v>
      </c>
      <c r="G3363">
        <v>-1.7894493185563699E-3</v>
      </c>
    </row>
    <row r="3364" spans="1:7" x14ac:dyDescent="0.25">
      <c r="A3364" t="s">
        <v>7</v>
      </c>
      <c r="B3364" t="s">
        <v>19</v>
      </c>
      <c r="C3364" t="s">
        <v>9</v>
      </c>
      <c r="D3364" t="s">
        <v>10</v>
      </c>
      <c r="E3364">
        <v>9</v>
      </c>
      <c r="F3364" s="1">
        <v>42674</v>
      </c>
      <c r="G3364">
        <v>-2.6489140306993501E-2</v>
      </c>
    </row>
    <row r="3365" spans="1:7" x14ac:dyDescent="0.25">
      <c r="A3365" t="s">
        <v>7</v>
      </c>
      <c r="B3365" t="s">
        <v>19</v>
      </c>
      <c r="C3365" t="s">
        <v>9</v>
      </c>
      <c r="D3365" t="s">
        <v>10</v>
      </c>
      <c r="E3365">
        <v>10</v>
      </c>
      <c r="F3365" s="1">
        <v>42704</v>
      </c>
      <c r="G3365">
        <v>2.4571181772382399E-2</v>
      </c>
    </row>
    <row r="3366" spans="1:7" x14ac:dyDescent="0.25">
      <c r="A3366" t="s">
        <v>7</v>
      </c>
      <c r="B3366" t="s">
        <v>19</v>
      </c>
      <c r="C3366" t="s">
        <v>9</v>
      </c>
      <c r="D3366" t="s">
        <v>10</v>
      </c>
      <c r="E3366">
        <v>10</v>
      </c>
      <c r="F3366" s="1">
        <v>42735</v>
      </c>
      <c r="G3366">
        <v>-5.2958342260006697E-3</v>
      </c>
    </row>
    <row r="3367" spans="1:7" x14ac:dyDescent="0.25">
      <c r="A3367" t="s">
        <v>7</v>
      </c>
      <c r="B3367" t="s">
        <v>19</v>
      </c>
      <c r="C3367" t="s">
        <v>9</v>
      </c>
      <c r="D3367" t="s">
        <v>10</v>
      </c>
      <c r="E3367">
        <v>10</v>
      </c>
      <c r="F3367" s="1">
        <v>42766</v>
      </c>
      <c r="G3367">
        <v>-1.3527556359012301E-3</v>
      </c>
    </row>
    <row r="3368" spans="1:7" x14ac:dyDescent="0.25">
      <c r="A3368" t="s">
        <v>7</v>
      </c>
      <c r="B3368" t="s">
        <v>19</v>
      </c>
      <c r="C3368" t="s">
        <v>9</v>
      </c>
      <c r="D3368" t="s">
        <v>10</v>
      </c>
      <c r="E3368">
        <v>10</v>
      </c>
      <c r="F3368" s="1">
        <v>42794</v>
      </c>
      <c r="G3368">
        <v>2.1643378798852399E-3</v>
      </c>
    </row>
    <row r="3369" spans="1:7" x14ac:dyDescent="0.25">
      <c r="A3369" t="s">
        <v>7</v>
      </c>
      <c r="B3369" t="s">
        <v>19</v>
      </c>
      <c r="C3369" t="s">
        <v>9</v>
      </c>
      <c r="D3369" t="s">
        <v>10</v>
      </c>
      <c r="E3369">
        <v>10</v>
      </c>
      <c r="F3369" s="1">
        <v>42825</v>
      </c>
      <c r="G3369">
        <v>-9.8026004067368194E-3</v>
      </c>
    </row>
    <row r="3370" spans="1:7" x14ac:dyDescent="0.25">
      <c r="A3370" t="s">
        <v>7</v>
      </c>
      <c r="B3370" t="s">
        <v>19</v>
      </c>
      <c r="C3370" t="s">
        <v>9</v>
      </c>
      <c r="D3370" t="s">
        <v>10</v>
      </c>
      <c r="E3370">
        <v>10</v>
      </c>
      <c r="F3370" s="1">
        <v>42855</v>
      </c>
      <c r="G3370">
        <v>-2.1518077713757601E-3</v>
      </c>
    </row>
    <row r="3371" spans="1:7" x14ac:dyDescent="0.25">
      <c r="A3371" t="s">
        <v>7</v>
      </c>
      <c r="B3371" t="s">
        <v>19</v>
      </c>
      <c r="C3371" t="s">
        <v>9</v>
      </c>
      <c r="D3371" t="s">
        <v>10</v>
      </c>
      <c r="E3371">
        <v>10</v>
      </c>
      <c r="F3371" s="1">
        <v>42886</v>
      </c>
      <c r="G3371">
        <v>2.1267931156310999E-2</v>
      </c>
    </row>
    <row r="3372" spans="1:7" x14ac:dyDescent="0.25">
      <c r="A3372" t="s">
        <v>7</v>
      </c>
      <c r="B3372" t="s">
        <v>19</v>
      </c>
      <c r="C3372" t="s">
        <v>9</v>
      </c>
      <c r="D3372" t="s">
        <v>10</v>
      </c>
      <c r="E3372">
        <v>9</v>
      </c>
      <c r="F3372" s="1">
        <v>42916</v>
      </c>
      <c r="G3372">
        <v>-5.4296658877718597E-3</v>
      </c>
    </row>
    <row r="3373" spans="1:7" x14ac:dyDescent="0.25">
      <c r="A3373" t="s">
        <v>7</v>
      </c>
      <c r="B3373" t="s">
        <v>19</v>
      </c>
      <c r="C3373" t="s">
        <v>9</v>
      </c>
      <c r="D3373" t="s">
        <v>10</v>
      </c>
      <c r="E3373">
        <v>9</v>
      </c>
      <c r="F3373" s="1">
        <v>42947</v>
      </c>
      <c r="G3373">
        <v>-7.5648841143953196E-3</v>
      </c>
    </row>
    <row r="3374" spans="1:7" x14ac:dyDescent="0.25">
      <c r="A3374" t="s">
        <v>7</v>
      </c>
      <c r="B3374" t="s">
        <v>19</v>
      </c>
      <c r="C3374" t="s">
        <v>9</v>
      </c>
      <c r="D3374" t="s">
        <v>10</v>
      </c>
      <c r="E3374">
        <v>11</v>
      </c>
      <c r="F3374" s="1">
        <v>42978</v>
      </c>
      <c r="G3374">
        <v>6.7503239638377803E-3</v>
      </c>
    </row>
    <row r="3375" spans="1:7" x14ac:dyDescent="0.25">
      <c r="A3375" t="s">
        <v>7</v>
      </c>
      <c r="B3375" t="s">
        <v>19</v>
      </c>
      <c r="C3375" t="s">
        <v>9</v>
      </c>
      <c r="D3375" t="s">
        <v>10</v>
      </c>
      <c r="E3375">
        <v>11</v>
      </c>
      <c r="F3375" s="1">
        <v>43008</v>
      </c>
      <c r="G3375">
        <v>3.5606738742103298E-4</v>
      </c>
    </row>
    <row r="3376" spans="1:7" x14ac:dyDescent="0.25">
      <c r="A3376" t="s">
        <v>7</v>
      </c>
      <c r="B3376" t="s">
        <v>19</v>
      </c>
      <c r="C3376" t="s">
        <v>9</v>
      </c>
      <c r="D3376" t="s">
        <v>10</v>
      </c>
      <c r="E3376">
        <v>11</v>
      </c>
      <c r="F3376" s="1">
        <v>43039</v>
      </c>
      <c r="G3376">
        <v>1.02170894168541E-2</v>
      </c>
    </row>
    <row r="3377" spans="1:7" x14ac:dyDescent="0.25">
      <c r="A3377" t="s">
        <v>7</v>
      </c>
      <c r="B3377" t="s">
        <v>19</v>
      </c>
      <c r="C3377" t="s">
        <v>9</v>
      </c>
      <c r="D3377" t="s">
        <v>10</v>
      </c>
      <c r="E3377">
        <v>11</v>
      </c>
      <c r="F3377" s="1">
        <v>43069</v>
      </c>
      <c r="G3377">
        <v>-3.3449524822325798E-3</v>
      </c>
    </row>
    <row r="3378" spans="1:7" x14ac:dyDescent="0.25">
      <c r="A3378" t="s">
        <v>7</v>
      </c>
      <c r="B3378" t="s">
        <v>19</v>
      </c>
      <c r="C3378" t="s">
        <v>9</v>
      </c>
      <c r="D3378" t="s">
        <v>10</v>
      </c>
      <c r="E3378">
        <v>11</v>
      </c>
      <c r="F3378" s="1">
        <v>43100</v>
      </c>
      <c r="G3378">
        <v>2.9813054831865402E-2</v>
      </c>
    </row>
    <row r="3379" spans="1:7" x14ac:dyDescent="0.25">
      <c r="A3379" t="s">
        <v>7</v>
      </c>
      <c r="B3379" t="s">
        <v>19</v>
      </c>
      <c r="C3379" t="s">
        <v>9</v>
      </c>
      <c r="D3379" t="s">
        <v>10</v>
      </c>
      <c r="E3379">
        <v>11</v>
      </c>
      <c r="F3379" s="1">
        <v>43131</v>
      </c>
      <c r="G3379">
        <v>-2.5712174465923701E-3</v>
      </c>
    </row>
    <row r="3380" spans="1:7" x14ac:dyDescent="0.25">
      <c r="A3380" t="s">
        <v>7</v>
      </c>
      <c r="B3380" t="s">
        <v>19</v>
      </c>
      <c r="C3380" t="s">
        <v>9</v>
      </c>
      <c r="D3380" t="s">
        <v>10</v>
      </c>
      <c r="E3380">
        <v>11</v>
      </c>
      <c r="F3380" s="1">
        <v>43159</v>
      </c>
      <c r="G3380">
        <v>4.8801325702452899E-3</v>
      </c>
    </row>
    <row r="3381" spans="1:7" x14ac:dyDescent="0.25">
      <c r="A3381" t="s">
        <v>7</v>
      </c>
      <c r="B3381" t="s">
        <v>19</v>
      </c>
      <c r="C3381" t="s">
        <v>9</v>
      </c>
      <c r="D3381" t="s">
        <v>10</v>
      </c>
      <c r="E3381">
        <v>11</v>
      </c>
      <c r="F3381" s="1">
        <v>43190</v>
      </c>
      <c r="G3381">
        <v>2.86882141270874E-2</v>
      </c>
    </row>
    <row r="3382" spans="1:7" x14ac:dyDescent="0.25">
      <c r="A3382" t="s">
        <v>7</v>
      </c>
      <c r="B3382" t="s">
        <v>19</v>
      </c>
      <c r="C3382" t="s">
        <v>9</v>
      </c>
      <c r="D3382" t="s">
        <v>10</v>
      </c>
      <c r="E3382">
        <v>11</v>
      </c>
      <c r="F3382" s="1">
        <v>43220</v>
      </c>
      <c r="G3382">
        <v>-1.407849721175E-2</v>
      </c>
    </row>
    <row r="3383" spans="1:7" x14ac:dyDescent="0.25">
      <c r="A3383" t="s">
        <v>7</v>
      </c>
      <c r="B3383" t="s">
        <v>19</v>
      </c>
      <c r="C3383" t="s">
        <v>9</v>
      </c>
      <c r="D3383" t="s">
        <v>10</v>
      </c>
      <c r="E3383">
        <v>11</v>
      </c>
      <c r="F3383" s="1">
        <v>43251</v>
      </c>
      <c r="G3383">
        <v>1.10999318308005E-2</v>
      </c>
    </row>
    <row r="3384" spans="1:7" x14ac:dyDescent="0.25">
      <c r="A3384" t="s">
        <v>7</v>
      </c>
      <c r="B3384" t="s">
        <v>19</v>
      </c>
      <c r="C3384" t="s">
        <v>9</v>
      </c>
      <c r="D3384" t="s">
        <v>10</v>
      </c>
      <c r="E3384">
        <v>11</v>
      </c>
      <c r="F3384" s="1">
        <v>43281</v>
      </c>
      <c r="G3384">
        <v>8.7147544456822393E-3</v>
      </c>
    </row>
    <row r="3385" spans="1:7" x14ac:dyDescent="0.25">
      <c r="A3385" t="s">
        <v>7</v>
      </c>
      <c r="B3385" t="s">
        <v>19</v>
      </c>
      <c r="C3385" t="s">
        <v>9</v>
      </c>
      <c r="D3385" t="s">
        <v>10</v>
      </c>
      <c r="E3385">
        <v>11</v>
      </c>
      <c r="F3385" s="1">
        <v>43312</v>
      </c>
      <c r="G3385">
        <v>-4.9578203827771502E-3</v>
      </c>
    </row>
    <row r="3386" spans="1:7" x14ac:dyDescent="0.25">
      <c r="A3386" t="s">
        <v>7</v>
      </c>
      <c r="B3386" t="s">
        <v>19</v>
      </c>
      <c r="C3386" t="s">
        <v>9</v>
      </c>
      <c r="D3386" t="s">
        <v>10</v>
      </c>
      <c r="E3386">
        <v>11</v>
      </c>
      <c r="F3386" s="1">
        <v>43343</v>
      </c>
      <c r="G3386">
        <v>4.0333890066322504E-3</v>
      </c>
    </row>
    <row r="3387" spans="1:7" x14ac:dyDescent="0.25">
      <c r="A3387" t="s">
        <v>7</v>
      </c>
      <c r="B3387" t="s">
        <v>19</v>
      </c>
      <c r="C3387" t="s">
        <v>9</v>
      </c>
      <c r="D3387" t="s">
        <v>10</v>
      </c>
      <c r="E3387">
        <v>11</v>
      </c>
      <c r="F3387" s="1">
        <v>43373</v>
      </c>
      <c r="G3387">
        <v>4.3270828888416603E-3</v>
      </c>
    </row>
    <row r="3388" spans="1:7" x14ac:dyDescent="0.25">
      <c r="A3388" t="s">
        <v>7</v>
      </c>
      <c r="B3388" t="s">
        <v>19</v>
      </c>
      <c r="C3388" t="s">
        <v>9</v>
      </c>
      <c r="D3388" t="s">
        <v>10</v>
      </c>
      <c r="E3388">
        <v>11</v>
      </c>
      <c r="F3388" s="1">
        <v>43404</v>
      </c>
      <c r="G3388">
        <v>-5.0429575085962797E-2</v>
      </c>
    </row>
    <row r="3389" spans="1:7" x14ac:dyDescent="0.25">
      <c r="A3389" t="s">
        <v>7</v>
      </c>
      <c r="B3389" t="s">
        <v>19</v>
      </c>
      <c r="C3389" t="s">
        <v>9</v>
      </c>
      <c r="D3389" t="s">
        <v>10</v>
      </c>
      <c r="E3389">
        <v>11</v>
      </c>
      <c r="F3389" s="1">
        <v>43434</v>
      </c>
      <c r="G3389">
        <v>5.5790669309461402E-3</v>
      </c>
    </row>
    <row r="3390" spans="1:7" x14ac:dyDescent="0.25">
      <c r="A3390" t="s">
        <v>7</v>
      </c>
      <c r="B3390" t="s">
        <v>19</v>
      </c>
      <c r="C3390" t="s">
        <v>9</v>
      </c>
      <c r="D3390" t="s">
        <v>10</v>
      </c>
      <c r="E3390">
        <v>11</v>
      </c>
      <c r="F3390" s="1">
        <v>43465</v>
      </c>
      <c r="G3390">
        <v>-3.9355590741473601E-3</v>
      </c>
    </row>
    <row r="3391" spans="1:7" x14ac:dyDescent="0.25">
      <c r="A3391" t="s">
        <v>7</v>
      </c>
      <c r="B3391" t="s">
        <v>19</v>
      </c>
      <c r="C3391" t="s">
        <v>9</v>
      </c>
      <c r="D3391" t="s">
        <v>10</v>
      </c>
      <c r="E3391">
        <v>11</v>
      </c>
      <c r="F3391" s="1">
        <v>43496</v>
      </c>
      <c r="G3391">
        <v>-4.0145825384082699E-2</v>
      </c>
    </row>
    <row r="3392" spans="1:7" x14ac:dyDescent="0.25">
      <c r="A3392" t="s">
        <v>7</v>
      </c>
      <c r="B3392" t="s">
        <v>19</v>
      </c>
      <c r="C3392" t="s">
        <v>9</v>
      </c>
      <c r="D3392" t="s">
        <v>10</v>
      </c>
      <c r="E3392">
        <v>11</v>
      </c>
      <c r="F3392" s="1">
        <v>43524</v>
      </c>
      <c r="G3392">
        <v>2.1574172052347298E-3</v>
      </c>
    </row>
    <row r="3393" spans="1:7" x14ac:dyDescent="0.25">
      <c r="A3393" t="s">
        <v>7</v>
      </c>
      <c r="B3393" t="s">
        <v>19</v>
      </c>
      <c r="C3393" t="s">
        <v>9</v>
      </c>
      <c r="D3393" t="s">
        <v>10</v>
      </c>
      <c r="E3393">
        <v>11</v>
      </c>
      <c r="F3393" s="1">
        <v>43555</v>
      </c>
      <c r="G3393">
        <v>1.6002158827222501E-2</v>
      </c>
    </row>
    <row r="3394" spans="1:7" x14ac:dyDescent="0.25">
      <c r="A3394" t="s">
        <v>7</v>
      </c>
      <c r="B3394" t="s">
        <v>19</v>
      </c>
      <c r="C3394" t="s">
        <v>9</v>
      </c>
      <c r="D3394" t="s">
        <v>10</v>
      </c>
      <c r="E3394">
        <v>11</v>
      </c>
      <c r="F3394" s="1">
        <v>43585</v>
      </c>
      <c r="G3394">
        <v>1.76718650871329E-2</v>
      </c>
    </row>
    <row r="3395" spans="1:7" x14ac:dyDescent="0.25">
      <c r="A3395" t="s">
        <v>7</v>
      </c>
      <c r="B3395" t="s">
        <v>19</v>
      </c>
      <c r="C3395" t="s">
        <v>9</v>
      </c>
      <c r="D3395" t="s">
        <v>10</v>
      </c>
      <c r="E3395">
        <v>11</v>
      </c>
      <c r="F3395" s="1">
        <v>43616</v>
      </c>
      <c r="G3395">
        <v>-4.0291940451817297E-3</v>
      </c>
    </row>
    <row r="3396" spans="1:7" x14ac:dyDescent="0.25">
      <c r="A3396" t="s">
        <v>7</v>
      </c>
      <c r="B3396" t="s">
        <v>19</v>
      </c>
      <c r="C3396" t="s">
        <v>9</v>
      </c>
      <c r="D3396" t="s">
        <v>10</v>
      </c>
      <c r="E3396">
        <v>11</v>
      </c>
      <c r="F3396" s="1">
        <v>43646</v>
      </c>
      <c r="G3396">
        <v>-1.71956792912611E-2</v>
      </c>
    </row>
    <row r="3397" spans="1:7" x14ac:dyDescent="0.25">
      <c r="A3397" t="s">
        <v>7</v>
      </c>
      <c r="B3397" t="s">
        <v>19</v>
      </c>
      <c r="C3397" t="s">
        <v>9</v>
      </c>
      <c r="D3397" t="s">
        <v>10</v>
      </c>
      <c r="E3397">
        <v>11</v>
      </c>
      <c r="F3397" s="1">
        <v>43677</v>
      </c>
      <c r="G3397">
        <v>-8.2571712402991996E-3</v>
      </c>
    </row>
    <row r="3398" spans="1:7" x14ac:dyDescent="0.25">
      <c r="A3398" t="s">
        <v>7</v>
      </c>
      <c r="B3398" t="s">
        <v>19</v>
      </c>
      <c r="C3398" t="s">
        <v>9</v>
      </c>
      <c r="D3398" t="s">
        <v>10</v>
      </c>
      <c r="E3398">
        <v>12</v>
      </c>
      <c r="F3398" s="1">
        <v>43708</v>
      </c>
      <c r="G3398">
        <v>3.6936657108286499E-3</v>
      </c>
    </row>
    <row r="3399" spans="1:7" x14ac:dyDescent="0.25">
      <c r="A3399" t="s">
        <v>7</v>
      </c>
      <c r="B3399" t="s">
        <v>19</v>
      </c>
      <c r="C3399" t="s">
        <v>9</v>
      </c>
      <c r="D3399" t="s">
        <v>10</v>
      </c>
      <c r="E3399">
        <v>12</v>
      </c>
      <c r="F3399" s="1">
        <v>43738</v>
      </c>
      <c r="G3399">
        <v>1.32594816946747E-2</v>
      </c>
    </row>
    <row r="3400" spans="1:7" x14ac:dyDescent="0.25">
      <c r="A3400" t="s">
        <v>7</v>
      </c>
      <c r="B3400" t="s">
        <v>19</v>
      </c>
      <c r="C3400" t="s">
        <v>9</v>
      </c>
      <c r="D3400" t="s">
        <v>10</v>
      </c>
      <c r="E3400">
        <v>12</v>
      </c>
      <c r="F3400" s="1">
        <v>43769</v>
      </c>
      <c r="G3400">
        <v>-2.5144094497531098E-2</v>
      </c>
    </row>
    <row r="3401" spans="1:7" x14ac:dyDescent="0.25">
      <c r="A3401" t="s">
        <v>7</v>
      </c>
      <c r="B3401" t="s">
        <v>19</v>
      </c>
      <c r="C3401" t="s">
        <v>9</v>
      </c>
      <c r="D3401" t="s">
        <v>10</v>
      </c>
      <c r="E3401">
        <v>12</v>
      </c>
      <c r="F3401" s="1">
        <v>43799</v>
      </c>
      <c r="G3401">
        <v>6.3093021071906202E-3</v>
      </c>
    </row>
    <row r="3402" spans="1:7" x14ac:dyDescent="0.25">
      <c r="A3402" t="s">
        <v>7</v>
      </c>
      <c r="B3402" t="s">
        <v>19</v>
      </c>
      <c r="C3402" t="s">
        <v>9</v>
      </c>
      <c r="D3402" t="s">
        <v>10</v>
      </c>
      <c r="E3402">
        <v>12</v>
      </c>
      <c r="F3402" s="1">
        <v>43830</v>
      </c>
      <c r="G3402">
        <v>-1.36108035697336E-2</v>
      </c>
    </row>
    <row r="3403" spans="1:7" x14ac:dyDescent="0.25">
      <c r="A3403" t="s">
        <v>7</v>
      </c>
      <c r="B3403" t="s">
        <v>19</v>
      </c>
      <c r="C3403" t="s">
        <v>9</v>
      </c>
      <c r="D3403" t="s">
        <v>10</v>
      </c>
      <c r="E3403">
        <v>12</v>
      </c>
      <c r="F3403" s="1">
        <v>43861</v>
      </c>
      <c r="G3403">
        <v>-4.17963133882836E-3</v>
      </c>
    </row>
    <row r="3404" spans="1:7" x14ac:dyDescent="0.25">
      <c r="A3404" t="s">
        <v>7</v>
      </c>
      <c r="B3404" t="s">
        <v>19</v>
      </c>
      <c r="C3404" t="s">
        <v>9</v>
      </c>
      <c r="D3404" t="s">
        <v>10</v>
      </c>
      <c r="E3404">
        <v>12</v>
      </c>
      <c r="F3404" s="1">
        <v>43890</v>
      </c>
      <c r="G3404">
        <v>-6.69022472679205E-3</v>
      </c>
    </row>
    <row r="3405" spans="1:7" x14ac:dyDescent="0.25">
      <c r="A3405" t="s">
        <v>7</v>
      </c>
      <c r="B3405" t="s">
        <v>19</v>
      </c>
      <c r="C3405" t="s">
        <v>9</v>
      </c>
      <c r="D3405" t="s">
        <v>10</v>
      </c>
      <c r="E3405">
        <v>12</v>
      </c>
      <c r="F3405" s="1">
        <v>43921</v>
      </c>
      <c r="G3405">
        <v>2.4653580949799001E-2</v>
      </c>
    </row>
    <row r="3406" spans="1:7" x14ac:dyDescent="0.25">
      <c r="A3406" t="s">
        <v>7</v>
      </c>
      <c r="B3406" t="s">
        <v>19</v>
      </c>
      <c r="C3406" t="s">
        <v>9</v>
      </c>
      <c r="D3406" t="s">
        <v>10</v>
      </c>
      <c r="E3406">
        <v>12</v>
      </c>
      <c r="F3406" s="1">
        <v>43951</v>
      </c>
      <c r="G3406">
        <v>9.0917631424295205E-3</v>
      </c>
    </row>
    <row r="3407" spans="1:7" x14ac:dyDescent="0.25">
      <c r="A3407" t="s">
        <v>7</v>
      </c>
      <c r="B3407" t="s">
        <v>19</v>
      </c>
      <c r="C3407" t="s">
        <v>9</v>
      </c>
      <c r="D3407" t="s">
        <v>10</v>
      </c>
      <c r="E3407">
        <v>12</v>
      </c>
      <c r="F3407" s="1">
        <v>43982</v>
      </c>
      <c r="G3407">
        <v>7.0523750895194696E-3</v>
      </c>
    </row>
    <row r="3408" spans="1:7" x14ac:dyDescent="0.25">
      <c r="A3408" t="s">
        <v>7</v>
      </c>
      <c r="B3408" t="s">
        <v>19</v>
      </c>
      <c r="C3408" t="s">
        <v>9</v>
      </c>
      <c r="D3408" t="s">
        <v>10</v>
      </c>
      <c r="E3408">
        <v>12</v>
      </c>
      <c r="F3408" s="1">
        <v>44012</v>
      </c>
      <c r="G3408">
        <v>-1.33089114128827E-2</v>
      </c>
    </row>
    <row r="3409" spans="1:7" x14ac:dyDescent="0.25">
      <c r="A3409" t="s">
        <v>7</v>
      </c>
      <c r="B3409" t="s">
        <v>19</v>
      </c>
      <c r="C3409" t="s">
        <v>9</v>
      </c>
      <c r="D3409" t="s">
        <v>10</v>
      </c>
      <c r="E3409">
        <v>12</v>
      </c>
      <c r="F3409" s="1">
        <v>44043</v>
      </c>
      <c r="G3409">
        <v>1.8951828324096202E-2</v>
      </c>
    </row>
    <row r="3410" spans="1:7" x14ac:dyDescent="0.25">
      <c r="A3410" t="s">
        <v>7</v>
      </c>
      <c r="B3410" t="s">
        <v>19</v>
      </c>
      <c r="C3410" t="s">
        <v>9</v>
      </c>
      <c r="D3410" t="s">
        <v>10</v>
      </c>
      <c r="E3410">
        <v>12</v>
      </c>
      <c r="F3410" s="1">
        <v>44074</v>
      </c>
      <c r="G3410">
        <v>5.2929836735440602E-3</v>
      </c>
    </row>
    <row r="3411" spans="1:7" x14ac:dyDescent="0.25">
      <c r="A3411" t="s">
        <v>7</v>
      </c>
      <c r="B3411" t="s">
        <v>19</v>
      </c>
      <c r="C3411" t="s">
        <v>9</v>
      </c>
      <c r="D3411" t="s">
        <v>10</v>
      </c>
      <c r="E3411">
        <v>12</v>
      </c>
      <c r="F3411" s="1">
        <v>44104</v>
      </c>
      <c r="G3411">
        <v>1.1576544658045201E-3</v>
      </c>
    </row>
    <row r="3412" spans="1:7" x14ac:dyDescent="0.25">
      <c r="A3412" t="s">
        <v>7</v>
      </c>
      <c r="B3412" t="s">
        <v>19</v>
      </c>
      <c r="C3412" t="s">
        <v>9</v>
      </c>
      <c r="D3412" t="s">
        <v>10</v>
      </c>
      <c r="E3412">
        <v>12</v>
      </c>
      <c r="F3412" s="1">
        <v>44135</v>
      </c>
      <c r="G3412">
        <v>-1.01789097590922E-3</v>
      </c>
    </row>
    <row r="3413" spans="1:7" x14ac:dyDescent="0.25">
      <c r="A3413" t="s">
        <v>7</v>
      </c>
      <c r="B3413" t="s">
        <v>19</v>
      </c>
      <c r="C3413" t="s">
        <v>9</v>
      </c>
      <c r="D3413" t="s">
        <v>10</v>
      </c>
      <c r="E3413">
        <v>12</v>
      </c>
      <c r="F3413" s="1">
        <v>44165</v>
      </c>
      <c r="G3413">
        <v>3.67948738987238E-3</v>
      </c>
    </row>
    <row r="3414" spans="1:7" x14ac:dyDescent="0.25">
      <c r="A3414" t="s">
        <v>7</v>
      </c>
      <c r="B3414" t="s">
        <v>19</v>
      </c>
      <c r="C3414" t="s">
        <v>9</v>
      </c>
      <c r="D3414" t="s">
        <v>10</v>
      </c>
      <c r="E3414">
        <v>12</v>
      </c>
      <c r="F3414" s="1">
        <v>44196</v>
      </c>
      <c r="G3414">
        <v>-2.3302515390448901E-3</v>
      </c>
    </row>
    <row r="3415" spans="1:7" x14ac:dyDescent="0.25">
      <c r="A3415" t="s">
        <v>7</v>
      </c>
      <c r="B3415" t="s">
        <v>19</v>
      </c>
      <c r="C3415" t="s">
        <v>9</v>
      </c>
      <c r="D3415" t="s">
        <v>10</v>
      </c>
      <c r="E3415">
        <v>12</v>
      </c>
      <c r="F3415" s="1">
        <v>44227</v>
      </c>
      <c r="G3415">
        <v>2.27363520490452E-2</v>
      </c>
    </row>
    <row r="3416" spans="1:7" x14ac:dyDescent="0.25">
      <c r="A3416" t="s">
        <v>7</v>
      </c>
      <c r="B3416" t="s">
        <v>19</v>
      </c>
      <c r="C3416" t="s">
        <v>9</v>
      </c>
      <c r="D3416" t="s">
        <v>10</v>
      </c>
      <c r="E3416">
        <v>12</v>
      </c>
      <c r="F3416" s="1">
        <v>44255</v>
      </c>
      <c r="G3416">
        <v>1.36519868120933E-2</v>
      </c>
    </row>
    <row r="3417" spans="1:7" x14ac:dyDescent="0.25">
      <c r="A3417" t="s">
        <v>7</v>
      </c>
      <c r="B3417" t="s">
        <v>19</v>
      </c>
      <c r="C3417" t="s">
        <v>9</v>
      </c>
      <c r="D3417" t="s">
        <v>10</v>
      </c>
      <c r="E3417">
        <v>12</v>
      </c>
      <c r="F3417" s="1">
        <v>44286</v>
      </c>
      <c r="G3417">
        <v>-4.6817571288575999E-3</v>
      </c>
    </row>
    <row r="3418" spans="1:7" x14ac:dyDescent="0.25">
      <c r="A3418" t="s">
        <v>7</v>
      </c>
      <c r="B3418" t="s">
        <v>19</v>
      </c>
      <c r="C3418" t="s">
        <v>9</v>
      </c>
      <c r="D3418" t="s">
        <v>10</v>
      </c>
      <c r="E3418">
        <v>12</v>
      </c>
      <c r="F3418" s="1">
        <v>44316</v>
      </c>
      <c r="G3418">
        <v>1.7601488362911401E-2</v>
      </c>
    </row>
    <row r="3419" spans="1:7" x14ac:dyDescent="0.25">
      <c r="A3419" t="s">
        <v>7</v>
      </c>
      <c r="B3419" t="s">
        <v>19</v>
      </c>
      <c r="C3419" t="s">
        <v>9</v>
      </c>
      <c r="D3419" t="s">
        <v>10</v>
      </c>
      <c r="E3419">
        <v>12</v>
      </c>
      <c r="F3419" s="1">
        <v>44347</v>
      </c>
      <c r="G3419">
        <v>-6.4592410392800099E-3</v>
      </c>
    </row>
    <row r="3420" spans="1:7" x14ac:dyDescent="0.25">
      <c r="A3420" t="s">
        <v>7</v>
      </c>
      <c r="B3420" t="s">
        <v>19</v>
      </c>
      <c r="C3420" t="s">
        <v>9</v>
      </c>
      <c r="D3420" t="s">
        <v>10</v>
      </c>
      <c r="E3420">
        <v>12</v>
      </c>
      <c r="F3420" s="1">
        <v>44377</v>
      </c>
      <c r="G3420">
        <v>-6.4424259284372801E-3</v>
      </c>
    </row>
    <row r="3421" spans="1:7" x14ac:dyDescent="0.25">
      <c r="A3421" t="s">
        <v>7</v>
      </c>
      <c r="B3421" t="s">
        <v>19</v>
      </c>
      <c r="C3421" t="s">
        <v>9</v>
      </c>
      <c r="D3421" t="s">
        <v>10</v>
      </c>
      <c r="E3421">
        <v>12</v>
      </c>
      <c r="F3421" s="1">
        <v>44408</v>
      </c>
      <c r="G3421">
        <v>-7.2518145233434203E-3</v>
      </c>
    </row>
    <row r="3422" spans="1:7" x14ac:dyDescent="0.25">
      <c r="A3422" t="s">
        <v>7</v>
      </c>
      <c r="B3422" t="s">
        <v>19</v>
      </c>
      <c r="C3422" t="s">
        <v>9</v>
      </c>
      <c r="D3422" t="s">
        <v>10</v>
      </c>
      <c r="E3422">
        <v>12</v>
      </c>
      <c r="F3422" s="1">
        <v>44439</v>
      </c>
      <c r="G3422">
        <v>1.7377844024336401E-2</v>
      </c>
    </row>
    <row r="3423" spans="1:7" x14ac:dyDescent="0.25">
      <c r="A3423" t="s">
        <v>7</v>
      </c>
      <c r="B3423" t="s">
        <v>19</v>
      </c>
      <c r="C3423" t="s">
        <v>9</v>
      </c>
      <c r="D3423" t="s">
        <v>10</v>
      </c>
      <c r="E3423">
        <v>12</v>
      </c>
      <c r="F3423" s="1">
        <v>44469</v>
      </c>
      <c r="G3423">
        <v>-1.06125526891437E-3</v>
      </c>
    </row>
    <row r="3424" spans="1:7" x14ac:dyDescent="0.25">
      <c r="A3424" t="s">
        <v>7</v>
      </c>
      <c r="B3424" t="s">
        <v>19</v>
      </c>
      <c r="C3424" t="s">
        <v>9</v>
      </c>
      <c r="D3424" t="s">
        <v>10</v>
      </c>
      <c r="E3424">
        <v>12</v>
      </c>
      <c r="F3424" s="1">
        <v>44500</v>
      </c>
      <c r="G3424">
        <v>-8.4789438729813299E-4</v>
      </c>
    </row>
    <row r="3425" spans="1:7" x14ac:dyDescent="0.25">
      <c r="A3425" t="s">
        <v>7</v>
      </c>
      <c r="B3425" t="s">
        <v>19</v>
      </c>
      <c r="C3425" t="s">
        <v>9</v>
      </c>
      <c r="D3425" t="s">
        <v>10</v>
      </c>
      <c r="E3425">
        <v>12</v>
      </c>
      <c r="F3425" s="1">
        <v>44530</v>
      </c>
      <c r="G3425">
        <v>-3.1226153639624101E-3</v>
      </c>
    </row>
    <row r="3426" spans="1:7" x14ac:dyDescent="0.25">
      <c r="A3426" t="s">
        <v>7</v>
      </c>
      <c r="B3426" t="s">
        <v>19</v>
      </c>
      <c r="C3426" t="s">
        <v>9</v>
      </c>
      <c r="D3426" t="s">
        <v>10</v>
      </c>
      <c r="E3426">
        <v>12</v>
      </c>
      <c r="F3426" s="1">
        <v>44561</v>
      </c>
      <c r="G3426">
        <v>2.7373206902516201E-2</v>
      </c>
    </row>
    <row r="3427" spans="1:7" x14ac:dyDescent="0.25">
      <c r="A3427" t="s">
        <v>7</v>
      </c>
      <c r="B3427" t="s">
        <v>19</v>
      </c>
      <c r="C3427" t="s">
        <v>9</v>
      </c>
      <c r="D3427" t="s">
        <v>10</v>
      </c>
      <c r="E3427">
        <v>12</v>
      </c>
      <c r="F3427" s="1">
        <v>44592</v>
      </c>
      <c r="G3427">
        <v>-1.2521218492853099E-2</v>
      </c>
    </row>
    <row r="3428" spans="1:7" x14ac:dyDescent="0.25">
      <c r="A3428" t="s">
        <v>7</v>
      </c>
      <c r="B3428" t="s">
        <v>19</v>
      </c>
      <c r="C3428" t="s">
        <v>9</v>
      </c>
      <c r="D3428" t="s">
        <v>10</v>
      </c>
      <c r="E3428">
        <v>12</v>
      </c>
      <c r="F3428" s="1">
        <v>44620</v>
      </c>
      <c r="G3428">
        <v>1.9801208912393699E-2</v>
      </c>
    </row>
    <row r="3429" spans="1:7" x14ac:dyDescent="0.25">
      <c r="A3429" t="s">
        <v>7</v>
      </c>
      <c r="B3429" t="s">
        <v>19</v>
      </c>
      <c r="C3429" t="s">
        <v>9</v>
      </c>
      <c r="D3429" t="s">
        <v>10</v>
      </c>
      <c r="E3429">
        <v>12</v>
      </c>
      <c r="F3429" s="1">
        <v>44651</v>
      </c>
      <c r="G3429">
        <v>-1.0003776181234599E-2</v>
      </c>
    </row>
    <row r="3430" spans="1:7" x14ac:dyDescent="0.25">
      <c r="A3430" t="s">
        <v>7</v>
      </c>
      <c r="B3430" t="s">
        <v>19</v>
      </c>
      <c r="C3430" t="s">
        <v>9</v>
      </c>
      <c r="D3430" t="s">
        <v>10</v>
      </c>
      <c r="E3430">
        <v>12</v>
      </c>
      <c r="F3430" s="1">
        <v>44681</v>
      </c>
      <c r="G3430">
        <v>-1.3864111221903E-2</v>
      </c>
    </row>
    <row r="3431" spans="1:7" x14ac:dyDescent="0.25">
      <c r="A3431" t="s">
        <v>7</v>
      </c>
      <c r="B3431" t="s">
        <v>19</v>
      </c>
      <c r="C3431" t="s">
        <v>9</v>
      </c>
      <c r="D3431" t="s">
        <v>10</v>
      </c>
      <c r="E3431">
        <v>12</v>
      </c>
      <c r="F3431" s="1">
        <v>44712</v>
      </c>
      <c r="G3431">
        <v>9.16043206559191E-3</v>
      </c>
    </row>
    <row r="3432" spans="1:7" x14ac:dyDescent="0.25">
      <c r="A3432" t="s">
        <v>7</v>
      </c>
      <c r="B3432" t="s">
        <v>19</v>
      </c>
      <c r="C3432" t="s">
        <v>9</v>
      </c>
      <c r="D3432" t="s">
        <v>10</v>
      </c>
      <c r="E3432">
        <v>12</v>
      </c>
      <c r="F3432" s="1">
        <v>44742</v>
      </c>
      <c r="G3432">
        <v>-8.3265381648441796E-3</v>
      </c>
    </row>
    <row r="3433" spans="1:7" x14ac:dyDescent="0.25">
      <c r="A3433" t="s">
        <v>7</v>
      </c>
      <c r="B3433" t="s">
        <v>19</v>
      </c>
      <c r="C3433" t="s">
        <v>9</v>
      </c>
      <c r="D3433" t="s">
        <v>10</v>
      </c>
      <c r="E3433">
        <v>12</v>
      </c>
      <c r="F3433" s="1">
        <v>44773</v>
      </c>
      <c r="G3433">
        <v>-4.4655302201800102E-3</v>
      </c>
    </row>
    <row r="3434" spans="1:7" x14ac:dyDescent="0.25">
      <c r="A3434" t="s">
        <v>7</v>
      </c>
      <c r="B3434" t="s">
        <v>19</v>
      </c>
      <c r="C3434" t="s">
        <v>9</v>
      </c>
      <c r="D3434" t="s">
        <v>10</v>
      </c>
      <c r="E3434">
        <v>12</v>
      </c>
      <c r="F3434" s="1">
        <v>44804</v>
      </c>
      <c r="G3434">
        <v>-1.7097722254771899E-3</v>
      </c>
    </row>
    <row r="3435" spans="1:7" x14ac:dyDescent="0.25">
      <c r="A3435" t="s">
        <v>7</v>
      </c>
      <c r="B3435" t="s">
        <v>19</v>
      </c>
      <c r="C3435" t="s">
        <v>9</v>
      </c>
      <c r="D3435" t="s">
        <v>10</v>
      </c>
      <c r="E3435">
        <v>12</v>
      </c>
      <c r="F3435" s="1">
        <v>44834</v>
      </c>
      <c r="G3435">
        <v>2.13043789352486E-2</v>
      </c>
    </row>
    <row r="3436" spans="1:7" x14ac:dyDescent="0.25">
      <c r="A3436" t="s">
        <v>7</v>
      </c>
      <c r="B3436" t="s">
        <v>19</v>
      </c>
      <c r="C3436" t="s">
        <v>9</v>
      </c>
      <c r="D3436" t="s">
        <v>10</v>
      </c>
      <c r="E3436">
        <v>12</v>
      </c>
      <c r="F3436" s="1">
        <v>44865</v>
      </c>
      <c r="G3436">
        <v>-7.24849175244932E-3</v>
      </c>
    </row>
    <row r="3437" spans="1:7" x14ac:dyDescent="0.25">
      <c r="A3437" t="s">
        <v>7</v>
      </c>
      <c r="B3437" t="s">
        <v>19</v>
      </c>
      <c r="C3437" t="s">
        <v>9</v>
      </c>
      <c r="D3437" t="s">
        <v>10</v>
      </c>
      <c r="E3437">
        <v>12</v>
      </c>
      <c r="F3437" s="1">
        <v>44895</v>
      </c>
      <c r="G3437">
        <v>2.1506099391456202E-2</v>
      </c>
    </row>
    <row r="3438" spans="1:7" x14ac:dyDescent="0.25">
      <c r="A3438" t="s">
        <v>7</v>
      </c>
      <c r="B3438" t="s">
        <v>19</v>
      </c>
      <c r="C3438" t="s">
        <v>9</v>
      </c>
      <c r="D3438" t="s">
        <v>10</v>
      </c>
      <c r="E3438">
        <v>12</v>
      </c>
      <c r="F3438" s="1">
        <v>44926</v>
      </c>
      <c r="G3438">
        <v>7.1787782099630897E-3</v>
      </c>
    </row>
    <row r="3439" spans="1:7" x14ac:dyDescent="0.25">
      <c r="A3439" t="s">
        <v>7</v>
      </c>
      <c r="B3439" t="s">
        <v>19</v>
      </c>
      <c r="C3439" t="s">
        <v>9</v>
      </c>
      <c r="D3439" t="s">
        <v>10</v>
      </c>
      <c r="E3439">
        <v>12</v>
      </c>
      <c r="F3439" s="1">
        <v>44957</v>
      </c>
      <c r="G3439">
        <v>7.6796809525610001E-3</v>
      </c>
    </row>
    <row r="3440" spans="1:7" x14ac:dyDescent="0.25">
      <c r="A3440" t="s">
        <v>7</v>
      </c>
      <c r="B3440" t="s">
        <v>19</v>
      </c>
      <c r="C3440" t="s">
        <v>9</v>
      </c>
      <c r="D3440" t="s">
        <v>10</v>
      </c>
      <c r="E3440">
        <v>12</v>
      </c>
      <c r="F3440" s="1">
        <v>44985</v>
      </c>
      <c r="G3440">
        <v>-1.4275535037755201E-2</v>
      </c>
    </row>
    <row r="3441" spans="1:7" x14ac:dyDescent="0.25">
      <c r="A3441" t="s">
        <v>7</v>
      </c>
      <c r="B3441" t="s">
        <v>19</v>
      </c>
      <c r="C3441" t="s">
        <v>9</v>
      </c>
      <c r="D3441" t="s">
        <v>10</v>
      </c>
      <c r="E3441">
        <v>12</v>
      </c>
      <c r="F3441" s="1">
        <v>45016</v>
      </c>
      <c r="G3441">
        <v>1.39526088660395E-4</v>
      </c>
    </row>
    <row r="3442" spans="1:7" x14ac:dyDescent="0.25">
      <c r="A3442" t="s">
        <v>7</v>
      </c>
      <c r="B3442" t="s">
        <v>19</v>
      </c>
      <c r="C3442" t="s">
        <v>9</v>
      </c>
      <c r="D3442" t="s">
        <v>10</v>
      </c>
      <c r="E3442">
        <v>12</v>
      </c>
      <c r="F3442" s="1">
        <v>45046</v>
      </c>
      <c r="G3442">
        <v>-1.9233913812167201E-3</v>
      </c>
    </row>
    <row r="3443" spans="1:7" x14ac:dyDescent="0.25">
      <c r="A3443" t="s">
        <v>7</v>
      </c>
      <c r="B3443" t="s">
        <v>19</v>
      </c>
      <c r="C3443" t="s">
        <v>9</v>
      </c>
      <c r="D3443" t="s">
        <v>10</v>
      </c>
      <c r="E3443">
        <v>12</v>
      </c>
      <c r="F3443" s="1">
        <v>45077</v>
      </c>
      <c r="G3443">
        <v>-1.0301584538061801E-2</v>
      </c>
    </row>
    <row r="3444" spans="1:7" x14ac:dyDescent="0.25">
      <c r="A3444" t="s">
        <v>7</v>
      </c>
      <c r="B3444" t="s">
        <v>19</v>
      </c>
      <c r="C3444" t="s">
        <v>9</v>
      </c>
      <c r="D3444" t="s">
        <v>10</v>
      </c>
      <c r="E3444">
        <v>12</v>
      </c>
      <c r="F3444" s="1">
        <v>45107</v>
      </c>
      <c r="G3444">
        <v>-6.7262381777724702E-3</v>
      </c>
    </row>
    <row r="3445" spans="1:7" x14ac:dyDescent="0.25">
      <c r="A3445" t="s">
        <v>7</v>
      </c>
      <c r="B3445" t="s">
        <v>19</v>
      </c>
      <c r="C3445" t="s">
        <v>9</v>
      </c>
      <c r="D3445" t="s">
        <v>10</v>
      </c>
      <c r="E3445">
        <v>12</v>
      </c>
      <c r="F3445" s="1">
        <v>45138</v>
      </c>
      <c r="G3445">
        <v>1.95419492390808E-2</v>
      </c>
    </row>
    <row r="3446" spans="1:7" x14ac:dyDescent="0.25">
      <c r="A3446" t="s">
        <v>7</v>
      </c>
      <c r="B3446" t="s">
        <v>19</v>
      </c>
      <c r="C3446" t="s">
        <v>9</v>
      </c>
      <c r="D3446" t="s">
        <v>10</v>
      </c>
      <c r="E3446">
        <v>12</v>
      </c>
      <c r="F3446" s="1">
        <v>45169</v>
      </c>
      <c r="G3446">
        <v>5.2646933200312003E-3</v>
      </c>
    </row>
    <row r="3447" spans="1:7" x14ac:dyDescent="0.25">
      <c r="A3447" t="s">
        <v>7</v>
      </c>
      <c r="B3447" t="s">
        <v>19</v>
      </c>
      <c r="C3447" t="s">
        <v>9</v>
      </c>
      <c r="D3447" t="s">
        <v>10</v>
      </c>
      <c r="E3447">
        <v>12</v>
      </c>
      <c r="F3447" s="1">
        <v>45199</v>
      </c>
      <c r="G3447">
        <v>1.4272456274717399E-2</v>
      </c>
    </row>
    <row r="3448" spans="1:7" x14ac:dyDescent="0.25">
      <c r="A3448" t="s">
        <v>7</v>
      </c>
      <c r="B3448" t="s">
        <v>19</v>
      </c>
      <c r="C3448" t="s">
        <v>9</v>
      </c>
      <c r="D3448" t="s">
        <v>10</v>
      </c>
      <c r="E3448">
        <v>12</v>
      </c>
      <c r="F3448" s="1">
        <v>45230</v>
      </c>
      <c r="G3448">
        <v>1.4327183446161299E-2</v>
      </c>
    </row>
    <row r="3449" spans="1:7" x14ac:dyDescent="0.25">
      <c r="A3449" t="s">
        <v>7</v>
      </c>
      <c r="B3449" t="s">
        <v>19</v>
      </c>
      <c r="C3449" t="s">
        <v>9</v>
      </c>
      <c r="D3449" t="s">
        <v>10</v>
      </c>
      <c r="E3449">
        <v>12</v>
      </c>
      <c r="F3449" s="1">
        <v>45260</v>
      </c>
      <c r="G3449">
        <v>-5.33338864569029E-3</v>
      </c>
    </row>
    <row r="3450" spans="1:7" x14ac:dyDescent="0.25">
      <c r="A3450" t="s">
        <v>7</v>
      </c>
      <c r="B3450" t="s">
        <v>19</v>
      </c>
      <c r="C3450" t="s">
        <v>9</v>
      </c>
      <c r="D3450" t="s">
        <v>10</v>
      </c>
      <c r="E3450">
        <v>12</v>
      </c>
      <c r="F3450" s="1">
        <v>45291</v>
      </c>
      <c r="G3450">
        <v>2.4391035811650598E-3</v>
      </c>
    </row>
    <row r="3451" spans="1:7" x14ac:dyDescent="0.25">
      <c r="A3451" t="s">
        <v>7</v>
      </c>
      <c r="B3451" t="s">
        <v>19</v>
      </c>
      <c r="C3451" t="s">
        <v>9</v>
      </c>
      <c r="D3451" t="s">
        <v>10</v>
      </c>
      <c r="E3451">
        <v>12</v>
      </c>
      <c r="F3451" s="1">
        <v>45322</v>
      </c>
      <c r="G3451">
        <v>-4.5611890381481602E-3</v>
      </c>
    </row>
    <row r="3452" spans="1:7" x14ac:dyDescent="0.25">
      <c r="A3452" t="s">
        <v>7</v>
      </c>
      <c r="B3452" t="s">
        <v>19</v>
      </c>
      <c r="C3452" t="s">
        <v>9</v>
      </c>
      <c r="D3452" t="s">
        <v>10</v>
      </c>
      <c r="E3452">
        <v>12</v>
      </c>
      <c r="F3452" s="1">
        <v>45351</v>
      </c>
      <c r="G3452">
        <v>4.2391678173658003E-3</v>
      </c>
    </row>
    <row r="3453" spans="1:7" x14ac:dyDescent="0.25">
      <c r="A3453" t="s">
        <v>7</v>
      </c>
      <c r="B3453" t="s">
        <v>19</v>
      </c>
      <c r="C3453" t="s">
        <v>9</v>
      </c>
      <c r="D3453" t="s">
        <v>10</v>
      </c>
      <c r="E3453">
        <v>12</v>
      </c>
      <c r="F3453" s="1">
        <v>45382</v>
      </c>
      <c r="G3453">
        <v>3.76313274008621E-3</v>
      </c>
    </row>
    <row r="3454" spans="1:7" x14ac:dyDescent="0.25">
      <c r="A3454" t="s">
        <v>7</v>
      </c>
      <c r="B3454" t="s">
        <v>19</v>
      </c>
      <c r="C3454" t="s">
        <v>9</v>
      </c>
      <c r="D3454" t="s">
        <v>10</v>
      </c>
      <c r="E3454">
        <v>12</v>
      </c>
      <c r="F3454" s="1">
        <v>45412</v>
      </c>
      <c r="G3454">
        <v>-2.91053977915891E-4</v>
      </c>
    </row>
    <row r="3455" spans="1:7" x14ac:dyDescent="0.25">
      <c r="A3455" t="s">
        <v>7</v>
      </c>
      <c r="B3455" t="s">
        <v>19</v>
      </c>
      <c r="C3455" t="s">
        <v>9</v>
      </c>
      <c r="D3455" t="s">
        <v>10</v>
      </c>
      <c r="E3455">
        <v>12</v>
      </c>
      <c r="F3455" s="1">
        <v>45443</v>
      </c>
      <c r="G3455">
        <v>8.7073763577306795E-3</v>
      </c>
    </row>
    <row r="3456" spans="1:7" x14ac:dyDescent="0.25">
      <c r="A3456" t="s">
        <v>7</v>
      </c>
      <c r="B3456" t="s">
        <v>19</v>
      </c>
      <c r="C3456" t="s">
        <v>9</v>
      </c>
      <c r="D3456" t="s">
        <v>10</v>
      </c>
      <c r="E3456">
        <v>12</v>
      </c>
      <c r="F3456" s="1">
        <v>45473</v>
      </c>
      <c r="G3456">
        <v>4.7379504084064904E-3</v>
      </c>
    </row>
    <row r="3457" spans="1:7" x14ac:dyDescent="0.25">
      <c r="A3457" t="s">
        <v>7</v>
      </c>
      <c r="B3457" t="s">
        <v>19</v>
      </c>
      <c r="C3457" t="s">
        <v>9</v>
      </c>
      <c r="D3457" t="s">
        <v>10</v>
      </c>
      <c r="E3457">
        <v>12</v>
      </c>
      <c r="F3457" s="1">
        <v>45504</v>
      </c>
      <c r="G3457">
        <v>-1.67921274305985E-3</v>
      </c>
    </row>
    <row r="3458" spans="1:7" x14ac:dyDescent="0.25">
      <c r="A3458" t="s">
        <v>7</v>
      </c>
      <c r="B3458" t="s">
        <v>19</v>
      </c>
      <c r="C3458" t="s">
        <v>9</v>
      </c>
      <c r="D3458" t="s">
        <v>10</v>
      </c>
      <c r="E3458">
        <v>12</v>
      </c>
      <c r="F3458" s="1">
        <v>45535</v>
      </c>
      <c r="G3458">
        <v>2.5602270295893999E-3</v>
      </c>
    </row>
    <row r="3459" spans="1:7" x14ac:dyDescent="0.25">
      <c r="A3459" t="s">
        <v>7</v>
      </c>
      <c r="B3459" t="s">
        <v>19</v>
      </c>
      <c r="C3459" t="s">
        <v>9</v>
      </c>
      <c r="D3459" t="s">
        <v>10</v>
      </c>
      <c r="E3459">
        <v>12</v>
      </c>
      <c r="F3459" s="1">
        <v>45565</v>
      </c>
      <c r="G3459">
        <v>-8.9865022211522306E-3</v>
      </c>
    </row>
    <row r="3460" spans="1:7" x14ac:dyDescent="0.25">
      <c r="A3460" t="s">
        <v>7</v>
      </c>
      <c r="B3460" t="s">
        <v>19</v>
      </c>
      <c r="C3460" t="s">
        <v>9</v>
      </c>
      <c r="D3460" t="s">
        <v>10</v>
      </c>
      <c r="E3460">
        <v>12</v>
      </c>
      <c r="F3460" s="1">
        <v>45596</v>
      </c>
      <c r="G3460">
        <v>6.4111333372301703E-3</v>
      </c>
    </row>
    <row r="3461" spans="1:7" x14ac:dyDescent="0.25">
      <c r="A3461" t="s">
        <v>7</v>
      </c>
      <c r="B3461" t="s">
        <v>19</v>
      </c>
      <c r="C3461" t="s">
        <v>9</v>
      </c>
      <c r="D3461" t="s">
        <v>10</v>
      </c>
      <c r="E3461">
        <v>12</v>
      </c>
      <c r="F3461" s="1">
        <v>45626</v>
      </c>
      <c r="G3461">
        <v>1.9157468207096101E-2</v>
      </c>
    </row>
    <row r="3462" spans="1:7" x14ac:dyDescent="0.25">
      <c r="A3462" t="s">
        <v>7</v>
      </c>
      <c r="B3462" t="s">
        <v>19</v>
      </c>
      <c r="C3462" t="s">
        <v>9</v>
      </c>
      <c r="D3462" t="s">
        <v>10</v>
      </c>
      <c r="E3462">
        <v>12</v>
      </c>
      <c r="F3462" s="1">
        <v>45657</v>
      </c>
      <c r="G3462">
        <v>-2.25782631191705E-3</v>
      </c>
    </row>
    <row r="3463" spans="1:7" x14ac:dyDescent="0.25">
      <c r="A3463" t="s">
        <v>7</v>
      </c>
      <c r="B3463" t="s">
        <v>19</v>
      </c>
      <c r="C3463" t="s">
        <v>9</v>
      </c>
      <c r="D3463" t="s">
        <v>10</v>
      </c>
      <c r="E3463">
        <v>12</v>
      </c>
      <c r="F3463" s="1">
        <v>45688</v>
      </c>
      <c r="G3463">
        <v>-8.6746949625197203E-3</v>
      </c>
    </row>
    <row r="3464" spans="1:7" x14ac:dyDescent="0.25">
      <c r="A3464" t="s">
        <v>7</v>
      </c>
      <c r="B3464" t="s">
        <v>19</v>
      </c>
      <c r="C3464" t="s">
        <v>9</v>
      </c>
      <c r="D3464" t="s">
        <v>10</v>
      </c>
      <c r="E3464">
        <v>12</v>
      </c>
      <c r="F3464" s="1">
        <v>45716</v>
      </c>
      <c r="G3464">
        <v>1.42009703019161E-3</v>
      </c>
    </row>
    <row r="3465" spans="1:7" x14ac:dyDescent="0.25">
      <c r="A3465" t="s">
        <v>7</v>
      </c>
      <c r="B3465" t="s">
        <v>19</v>
      </c>
      <c r="C3465" t="s">
        <v>9</v>
      </c>
      <c r="D3465" t="s">
        <v>10</v>
      </c>
      <c r="E3465">
        <v>12</v>
      </c>
      <c r="F3465" s="1">
        <v>45747</v>
      </c>
      <c r="G3465">
        <v>-4.4520771088760501E-3</v>
      </c>
    </row>
    <row r="3466" spans="1:7" x14ac:dyDescent="0.25">
      <c r="A3466" t="s">
        <v>7</v>
      </c>
      <c r="B3466" t="s">
        <v>19</v>
      </c>
      <c r="C3466" t="s">
        <v>9</v>
      </c>
      <c r="D3466" t="s">
        <v>10</v>
      </c>
      <c r="E3466">
        <v>12</v>
      </c>
      <c r="F3466" s="1">
        <v>45777</v>
      </c>
      <c r="G3466">
        <v>-5.6424125217296901E-3</v>
      </c>
    </row>
    <row r="3467" spans="1:7" x14ac:dyDescent="0.25">
      <c r="A3467" t="s">
        <v>7</v>
      </c>
      <c r="B3467" t="s">
        <v>19</v>
      </c>
      <c r="C3467" t="s">
        <v>9</v>
      </c>
      <c r="D3467" t="s">
        <v>10</v>
      </c>
      <c r="E3467">
        <v>12</v>
      </c>
      <c r="F3467" s="1">
        <v>45808</v>
      </c>
      <c r="G3467">
        <v>4.2869497613077798E-3</v>
      </c>
    </row>
    <row r="3468" spans="1:7" x14ac:dyDescent="0.25">
      <c r="A3468" t="s">
        <v>7</v>
      </c>
      <c r="B3468" t="s">
        <v>19</v>
      </c>
      <c r="C3468" t="s">
        <v>9</v>
      </c>
      <c r="D3468" t="s">
        <v>10</v>
      </c>
      <c r="E3468">
        <v>12</v>
      </c>
      <c r="F3468" s="1">
        <v>45838</v>
      </c>
      <c r="G3468">
        <v>-6.0167641735746399E-3</v>
      </c>
    </row>
    <row r="3469" spans="1:7" x14ac:dyDescent="0.25">
      <c r="A3469" t="s">
        <v>7</v>
      </c>
      <c r="B3469" t="s">
        <v>19</v>
      </c>
      <c r="C3469" t="s">
        <v>9</v>
      </c>
      <c r="D3469" t="s">
        <v>10</v>
      </c>
      <c r="E3469">
        <v>12</v>
      </c>
      <c r="F3469" s="1">
        <v>45869</v>
      </c>
      <c r="G3469">
        <v>-7.3666076821382398E-3</v>
      </c>
    </row>
    <row r="3470" spans="1:7" x14ac:dyDescent="0.25">
      <c r="A3470" t="s">
        <v>7</v>
      </c>
      <c r="B3470" t="s">
        <v>19</v>
      </c>
      <c r="C3470" t="s">
        <v>9</v>
      </c>
      <c r="D3470" t="s">
        <v>10</v>
      </c>
      <c r="E3470">
        <v>12</v>
      </c>
      <c r="F3470" s="1">
        <v>45900</v>
      </c>
      <c r="G3470">
        <v>-1.06117552907283E-2</v>
      </c>
    </row>
    <row r="3471" spans="1:7" x14ac:dyDescent="0.25">
      <c r="A3471" t="s">
        <v>7</v>
      </c>
      <c r="B3471" t="s">
        <v>19</v>
      </c>
      <c r="C3471" t="s">
        <v>9</v>
      </c>
      <c r="D3471" t="s">
        <v>10</v>
      </c>
      <c r="E3471">
        <v>12</v>
      </c>
      <c r="F3471" s="1">
        <v>45930</v>
      </c>
      <c r="G3471">
        <v>-1.48098128752537E-2</v>
      </c>
    </row>
    <row r="3472" spans="1:7" x14ac:dyDescent="0.25">
      <c r="A3472" t="s">
        <v>7</v>
      </c>
      <c r="B3472" t="s">
        <v>19</v>
      </c>
      <c r="C3472" t="s">
        <v>9</v>
      </c>
      <c r="D3472" t="s">
        <v>10</v>
      </c>
      <c r="E3472">
        <v>12</v>
      </c>
      <c r="F3472" s="1">
        <v>45961</v>
      </c>
      <c r="G3472">
        <v>4.5587840519331598E-3</v>
      </c>
    </row>
    <row r="3473" spans="1:7" x14ac:dyDescent="0.25">
      <c r="A3473" t="s">
        <v>7</v>
      </c>
      <c r="B3473" t="s">
        <v>19</v>
      </c>
      <c r="C3473" t="s">
        <v>9</v>
      </c>
      <c r="D3473" t="s">
        <v>10</v>
      </c>
      <c r="E3473">
        <v>12</v>
      </c>
      <c r="F3473" s="1">
        <v>45991</v>
      </c>
      <c r="G3473">
        <v>-1.7894373545661001E-2</v>
      </c>
    </row>
    <row r="3474" spans="1:7" x14ac:dyDescent="0.25">
      <c r="A3474" t="s">
        <v>7</v>
      </c>
      <c r="B3474" t="s">
        <v>19</v>
      </c>
      <c r="C3474" t="s">
        <v>9</v>
      </c>
      <c r="D3474" t="s">
        <v>10</v>
      </c>
      <c r="E3474">
        <v>12</v>
      </c>
      <c r="F3474" s="1">
        <v>46022</v>
      </c>
      <c r="G3474">
        <v>2.4494725843504001E-2</v>
      </c>
    </row>
    <row r="3475" spans="1:7" x14ac:dyDescent="0.25">
      <c r="A3475" t="s">
        <v>7</v>
      </c>
      <c r="B3475" t="s">
        <v>20</v>
      </c>
      <c r="C3475" t="s">
        <v>9</v>
      </c>
      <c r="D3475" t="s">
        <v>10</v>
      </c>
      <c r="E3475">
        <v>1</v>
      </c>
      <c r="F3475" s="1">
        <v>34577</v>
      </c>
      <c r="G3475">
        <v>0.197270881405189</v>
      </c>
    </row>
    <row r="3476" spans="1:7" x14ac:dyDescent="0.25">
      <c r="A3476" t="s">
        <v>7</v>
      </c>
      <c r="B3476" t="s">
        <v>20</v>
      </c>
      <c r="C3476" t="s">
        <v>9</v>
      </c>
      <c r="D3476" t="s">
        <v>10</v>
      </c>
      <c r="E3476">
        <v>1</v>
      </c>
      <c r="F3476" s="1">
        <v>34607</v>
      </c>
      <c r="G3476">
        <v>3.3680865805557798E-2</v>
      </c>
    </row>
    <row r="3477" spans="1:7" x14ac:dyDescent="0.25">
      <c r="A3477" t="s">
        <v>7</v>
      </c>
      <c r="B3477" t="s">
        <v>20</v>
      </c>
      <c r="C3477" t="s">
        <v>9</v>
      </c>
      <c r="D3477" t="s">
        <v>10</v>
      </c>
      <c r="E3477">
        <v>1</v>
      </c>
      <c r="F3477" s="1">
        <v>34638</v>
      </c>
      <c r="G3477">
        <v>-9.4663240593359496E-2</v>
      </c>
    </row>
    <row r="3478" spans="1:7" x14ac:dyDescent="0.25">
      <c r="A3478" t="s">
        <v>7</v>
      </c>
      <c r="B3478" t="s">
        <v>20</v>
      </c>
      <c r="C3478" t="s">
        <v>9</v>
      </c>
      <c r="D3478" t="s">
        <v>10</v>
      </c>
      <c r="E3478">
        <v>1</v>
      </c>
      <c r="F3478" s="1">
        <v>34668</v>
      </c>
      <c r="G3478">
        <v>6.8936540559868406E-2</v>
      </c>
    </row>
    <row r="3479" spans="1:7" x14ac:dyDescent="0.25">
      <c r="A3479" t="s">
        <v>7</v>
      </c>
      <c r="B3479" t="s">
        <v>20</v>
      </c>
      <c r="C3479" t="s">
        <v>9</v>
      </c>
      <c r="D3479" t="s">
        <v>10</v>
      </c>
      <c r="E3479">
        <v>1</v>
      </c>
      <c r="F3479" s="1">
        <v>34699</v>
      </c>
      <c r="G3479">
        <v>-8.5178495761885797E-2</v>
      </c>
    </row>
    <row r="3480" spans="1:7" x14ac:dyDescent="0.25">
      <c r="A3480" t="s">
        <v>7</v>
      </c>
      <c r="B3480" t="s">
        <v>20</v>
      </c>
      <c r="C3480" t="s">
        <v>9</v>
      </c>
      <c r="D3480" t="s">
        <v>10</v>
      </c>
      <c r="E3480">
        <v>1</v>
      </c>
      <c r="F3480" s="1">
        <v>34730</v>
      </c>
      <c r="G3480">
        <v>-6.2482607622935199E-2</v>
      </c>
    </row>
    <row r="3481" spans="1:7" x14ac:dyDescent="0.25">
      <c r="A3481" t="s">
        <v>7</v>
      </c>
      <c r="B3481" t="s">
        <v>20</v>
      </c>
      <c r="C3481" t="s">
        <v>9</v>
      </c>
      <c r="D3481" t="s">
        <v>10</v>
      </c>
      <c r="E3481">
        <v>4</v>
      </c>
      <c r="F3481" s="1">
        <v>34758</v>
      </c>
      <c r="G3481">
        <v>-6.7180500712975794E-2</v>
      </c>
    </row>
    <row r="3482" spans="1:7" x14ac:dyDescent="0.25">
      <c r="A3482" t="s">
        <v>7</v>
      </c>
      <c r="B3482" t="s">
        <v>20</v>
      </c>
      <c r="C3482" t="s">
        <v>9</v>
      </c>
      <c r="D3482" t="s">
        <v>10</v>
      </c>
      <c r="E3482">
        <v>1</v>
      </c>
      <c r="F3482" s="1">
        <v>34789</v>
      </c>
      <c r="G3482">
        <v>8.8143494462421201E-2</v>
      </c>
    </row>
    <row r="3483" spans="1:7" x14ac:dyDescent="0.25">
      <c r="A3483" t="s">
        <v>7</v>
      </c>
      <c r="B3483" t="s">
        <v>20</v>
      </c>
      <c r="C3483" t="s">
        <v>9</v>
      </c>
      <c r="D3483" t="s">
        <v>10</v>
      </c>
      <c r="E3483">
        <v>1</v>
      </c>
      <c r="F3483" s="1">
        <v>34819</v>
      </c>
      <c r="G3483">
        <v>-0.19271749112695499</v>
      </c>
    </row>
    <row r="3484" spans="1:7" x14ac:dyDescent="0.25">
      <c r="A3484" t="s">
        <v>7</v>
      </c>
      <c r="B3484" t="s">
        <v>20</v>
      </c>
      <c r="C3484" t="s">
        <v>9</v>
      </c>
      <c r="D3484" t="s">
        <v>10</v>
      </c>
      <c r="E3484">
        <v>1</v>
      </c>
      <c r="F3484" s="1">
        <v>34850</v>
      </c>
      <c r="G3484">
        <v>-2.1152548653204602E-2</v>
      </c>
    </row>
    <row r="3485" spans="1:7" x14ac:dyDescent="0.25">
      <c r="A3485" t="s">
        <v>7</v>
      </c>
      <c r="B3485" t="s">
        <v>20</v>
      </c>
      <c r="C3485" t="s">
        <v>9</v>
      </c>
      <c r="D3485" t="s">
        <v>10</v>
      </c>
      <c r="E3485">
        <v>1</v>
      </c>
      <c r="F3485" s="1">
        <v>34880</v>
      </c>
      <c r="G3485">
        <v>-0.12505124376830001</v>
      </c>
    </row>
    <row r="3486" spans="1:7" x14ac:dyDescent="0.25">
      <c r="A3486" t="s">
        <v>7</v>
      </c>
      <c r="B3486" t="s">
        <v>20</v>
      </c>
      <c r="C3486" t="s">
        <v>9</v>
      </c>
      <c r="D3486" t="s">
        <v>10</v>
      </c>
      <c r="E3486">
        <v>3</v>
      </c>
      <c r="F3486" s="1">
        <v>34911</v>
      </c>
      <c r="G3486">
        <v>-1.0173848154936001E-2</v>
      </c>
    </row>
    <row r="3487" spans="1:7" x14ac:dyDescent="0.25">
      <c r="A3487" t="s">
        <v>7</v>
      </c>
      <c r="B3487" t="s">
        <v>20</v>
      </c>
      <c r="C3487" t="s">
        <v>9</v>
      </c>
      <c r="D3487" t="s">
        <v>10</v>
      </c>
      <c r="E3487">
        <v>3</v>
      </c>
      <c r="F3487" s="1">
        <v>34942</v>
      </c>
      <c r="G3487">
        <v>1.9776930078755701E-2</v>
      </c>
    </row>
    <row r="3488" spans="1:7" x14ac:dyDescent="0.25">
      <c r="A3488" t="s">
        <v>7</v>
      </c>
      <c r="B3488" t="s">
        <v>20</v>
      </c>
      <c r="C3488" t="s">
        <v>9</v>
      </c>
      <c r="D3488" t="s">
        <v>10</v>
      </c>
      <c r="E3488">
        <v>3</v>
      </c>
      <c r="F3488" s="1">
        <v>34972</v>
      </c>
      <c r="G3488">
        <v>6.1012961330159099E-2</v>
      </c>
    </row>
    <row r="3489" spans="1:7" x14ac:dyDescent="0.25">
      <c r="A3489" t="s">
        <v>7</v>
      </c>
      <c r="B3489" t="s">
        <v>20</v>
      </c>
      <c r="C3489" t="s">
        <v>9</v>
      </c>
      <c r="D3489" t="s">
        <v>10</v>
      </c>
      <c r="E3489">
        <v>4</v>
      </c>
      <c r="F3489" s="1">
        <v>35003</v>
      </c>
      <c r="G3489">
        <v>7.12968059409978E-3</v>
      </c>
    </row>
    <row r="3490" spans="1:7" x14ac:dyDescent="0.25">
      <c r="A3490" t="s">
        <v>7</v>
      </c>
      <c r="B3490" t="s">
        <v>20</v>
      </c>
      <c r="C3490" t="s">
        <v>9</v>
      </c>
      <c r="D3490" t="s">
        <v>10</v>
      </c>
      <c r="E3490">
        <v>1</v>
      </c>
      <c r="F3490" s="1">
        <v>35033</v>
      </c>
      <c r="G3490">
        <v>4.6189628255051803E-2</v>
      </c>
    </row>
    <row r="3491" spans="1:7" x14ac:dyDescent="0.25">
      <c r="A3491" t="s">
        <v>7</v>
      </c>
      <c r="B3491" t="s">
        <v>20</v>
      </c>
      <c r="C3491" t="s">
        <v>9</v>
      </c>
      <c r="D3491" t="s">
        <v>10</v>
      </c>
      <c r="E3491">
        <v>1</v>
      </c>
      <c r="F3491" s="1">
        <v>35064</v>
      </c>
      <c r="G3491">
        <v>-6.8722777151412298E-2</v>
      </c>
    </row>
    <row r="3492" spans="1:7" x14ac:dyDescent="0.25">
      <c r="A3492" t="s">
        <v>7</v>
      </c>
      <c r="B3492" t="s">
        <v>20</v>
      </c>
      <c r="C3492" t="s">
        <v>9</v>
      </c>
      <c r="D3492" t="s">
        <v>10</v>
      </c>
      <c r="E3492">
        <v>1</v>
      </c>
      <c r="F3492" s="1">
        <v>35095</v>
      </c>
      <c r="G3492">
        <v>0.13451890503445299</v>
      </c>
    </row>
    <row r="3493" spans="1:7" x14ac:dyDescent="0.25">
      <c r="A3493" t="s">
        <v>7</v>
      </c>
      <c r="B3493" t="s">
        <v>20</v>
      </c>
      <c r="C3493" t="s">
        <v>9</v>
      </c>
      <c r="D3493" t="s">
        <v>10</v>
      </c>
      <c r="E3493">
        <v>1</v>
      </c>
      <c r="F3493" s="1">
        <v>35124</v>
      </c>
      <c r="G3493">
        <v>-3.87720603719841E-2</v>
      </c>
    </row>
    <row r="3494" spans="1:7" x14ac:dyDescent="0.25">
      <c r="A3494" t="s">
        <v>7</v>
      </c>
      <c r="B3494" t="s">
        <v>20</v>
      </c>
      <c r="C3494" t="s">
        <v>9</v>
      </c>
      <c r="D3494" t="s">
        <v>10</v>
      </c>
      <c r="E3494">
        <v>3</v>
      </c>
      <c r="F3494" s="1">
        <v>35155</v>
      </c>
      <c r="G3494">
        <v>8.0729045401147198E-2</v>
      </c>
    </row>
    <row r="3495" spans="1:7" x14ac:dyDescent="0.25">
      <c r="A3495" t="s">
        <v>7</v>
      </c>
      <c r="B3495" t="s">
        <v>20</v>
      </c>
      <c r="C3495" t="s">
        <v>9</v>
      </c>
      <c r="D3495" t="s">
        <v>10</v>
      </c>
      <c r="E3495">
        <v>3</v>
      </c>
      <c r="F3495" s="1">
        <v>35185</v>
      </c>
      <c r="G3495">
        <v>9.47908582795461E-2</v>
      </c>
    </row>
    <row r="3496" spans="1:7" x14ac:dyDescent="0.25">
      <c r="A3496" t="s">
        <v>7</v>
      </c>
      <c r="B3496" t="s">
        <v>20</v>
      </c>
      <c r="C3496" t="s">
        <v>9</v>
      </c>
      <c r="D3496" t="s">
        <v>10</v>
      </c>
      <c r="E3496">
        <v>1</v>
      </c>
      <c r="F3496" s="1">
        <v>35216</v>
      </c>
      <c r="G3496">
        <v>4.7409276154604003E-3</v>
      </c>
    </row>
    <row r="3497" spans="1:7" x14ac:dyDescent="0.25">
      <c r="A3497" t="s">
        <v>7</v>
      </c>
      <c r="B3497" t="s">
        <v>20</v>
      </c>
      <c r="C3497" t="s">
        <v>9</v>
      </c>
      <c r="D3497" t="s">
        <v>10</v>
      </c>
      <c r="E3497">
        <v>1</v>
      </c>
      <c r="F3497" s="1">
        <v>35246</v>
      </c>
      <c r="G3497">
        <v>6.0978008343044699E-4</v>
      </c>
    </row>
    <row r="3498" spans="1:7" x14ac:dyDescent="0.25">
      <c r="A3498" t="s">
        <v>7</v>
      </c>
      <c r="B3498" t="s">
        <v>20</v>
      </c>
      <c r="C3498" t="s">
        <v>9</v>
      </c>
      <c r="D3498" t="s">
        <v>10</v>
      </c>
      <c r="E3498">
        <v>3</v>
      </c>
      <c r="F3498" s="1">
        <v>35277</v>
      </c>
      <c r="G3498">
        <v>2.9173226441957498E-2</v>
      </c>
    </row>
    <row r="3499" spans="1:7" x14ac:dyDescent="0.25">
      <c r="A3499" t="s">
        <v>7</v>
      </c>
      <c r="B3499" t="s">
        <v>20</v>
      </c>
      <c r="C3499" t="s">
        <v>9</v>
      </c>
      <c r="D3499" t="s">
        <v>10</v>
      </c>
      <c r="E3499">
        <v>3</v>
      </c>
      <c r="F3499" s="1">
        <v>35308</v>
      </c>
      <c r="G3499">
        <v>6.9237578701727101E-2</v>
      </c>
    </row>
    <row r="3500" spans="1:7" x14ac:dyDescent="0.25">
      <c r="A3500" t="s">
        <v>7</v>
      </c>
      <c r="B3500" t="s">
        <v>20</v>
      </c>
      <c r="C3500" t="s">
        <v>9</v>
      </c>
      <c r="D3500" t="s">
        <v>10</v>
      </c>
      <c r="E3500">
        <v>1</v>
      </c>
      <c r="F3500" s="1">
        <v>35338</v>
      </c>
      <c r="G3500">
        <v>-7.3227084482566304E-2</v>
      </c>
    </row>
    <row r="3501" spans="1:7" x14ac:dyDescent="0.25">
      <c r="A3501" t="s">
        <v>7</v>
      </c>
      <c r="B3501" t="s">
        <v>20</v>
      </c>
      <c r="C3501" t="s">
        <v>9</v>
      </c>
      <c r="D3501" t="s">
        <v>10</v>
      </c>
      <c r="E3501">
        <v>3</v>
      </c>
      <c r="F3501" s="1">
        <v>35369</v>
      </c>
      <c r="G3501">
        <v>7.0523647166851403E-3</v>
      </c>
    </row>
    <row r="3502" spans="1:7" x14ac:dyDescent="0.25">
      <c r="A3502" t="s">
        <v>7</v>
      </c>
      <c r="B3502" t="s">
        <v>20</v>
      </c>
      <c r="C3502" t="s">
        <v>9</v>
      </c>
      <c r="D3502" t="s">
        <v>10</v>
      </c>
      <c r="E3502">
        <v>1</v>
      </c>
      <c r="F3502" s="1">
        <v>35399</v>
      </c>
      <c r="G3502">
        <v>-3.4291610864727803E-2</v>
      </c>
    </row>
    <row r="3503" spans="1:7" x14ac:dyDescent="0.25">
      <c r="A3503" t="s">
        <v>7</v>
      </c>
      <c r="B3503" t="s">
        <v>20</v>
      </c>
      <c r="C3503" t="s">
        <v>9</v>
      </c>
      <c r="D3503" t="s">
        <v>10</v>
      </c>
      <c r="E3503">
        <v>4</v>
      </c>
      <c r="F3503" s="1">
        <v>35430</v>
      </c>
      <c r="G3503">
        <v>-3.2150994256971502E-2</v>
      </c>
    </row>
    <row r="3504" spans="1:7" x14ac:dyDescent="0.25">
      <c r="A3504" t="s">
        <v>7</v>
      </c>
      <c r="B3504" t="s">
        <v>20</v>
      </c>
      <c r="C3504" t="s">
        <v>9</v>
      </c>
      <c r="D3504" t="s">
        <v>10</v>
      </c>
      <c r="E3504">
        <v>1</v>
      </c>
      <c r="F3504" s="1">
        <v>35461</v>
      </c>
      <c r="G3504">
        <v>-4.1030778800731998E-2</v>
      </c>
    </row>
    <row r="3505" spans="1:7" x14ac:dyDescent="0.25">
      <c r="A3505" t="s">
        <v>7</v>
      </c>
      <c r="B3505" t="s">
        <v>20</v>
      </c>
      <c r="C3505" t="s">
        <v>9</v>
      </c>
      <c r="D3505" t="s">
        <v>10</v>
      </c>
      <c r="E3505">
        <v>4</v>
      </c>
      <c r="F3505" s="1">
        <v>35489</v>
      </c>
      <c r="G3505">
        <v>-3.76093287472066E-2</v>
      </c>
    </row>
    <row r="3506" spans="1:7" x14ac:dyDescent="0.25">
      <c r="A3506" t="s">
        <v>7</v>
      </c>
      <c r="B3506" t="s">
        <v>20</v>
      </c>
      <c r="C3506" t="s">
        <v>9</v>
      </c>
      <c r="D3506" t="s">
        <v>10</v>
      </c>
      <c r="E3506">
        <v>4</v>
      </c>
      <c r="F3506" s="1">
        <v>35520</v>
      </c>
      <c r="G3506">
        <v>-3.38654887141253E-2</v>
      </c>
    </row>
    <row r="3507" spans="1:7" x14ac:dyDescent="0.25">
      <c r="A3507" t="s">
        <v>7</v>
      </c>
      <c r="B3507" t="s">
        <v>20</v>
      </c>
      <c r="C3507" t="s">
        <v>9</v>
      </c>
      <c r="D3507" t="s">
        <v>10</v>
      </c>
      <c r="E3507">
        <v>4</v>
      </c>
      <c r="F3507" s="1">
        <v>35550</v>
      </c>
      <c r="G3507">
        <v>2.4028137000010202E-2</v>
      </c>
    </row>
    <row r="3508" spans="1:7" x14ac:dyDescent="0.25">
      <c r="A3508" t="s">
        <v>7</v>
      </c>
      <c r="B3508" t="s">
        <v>20</v>
      </c>
      <c r="C3508" t="s">
        <v>9</v>
      </c>
      <c r="D3508" t="s">
        <v>10</v>
      </c>
      <c r="E3508">
        <v>4</v>
      </c>
      <c r="F3508" s="1">
        <v>35581</v>
      </c>
      <c r="G3508">
        <v>3.7403769272646499E-2</v>
      </c>
    </row>
    <row r="3509" spans="1:7" x14ac:dyDescent="0.25">
      <c r="A3509" t="s">
        <v>7</v>
      </c>
      <c r="B3509" t="s">
        <v>20</v>
      </c>
      <c r="C3509" t="s">
        <v>9</v>
      </c>
      <c r="D3509" t="s">
        <v>10</v>
      </c>
      <c r="E3509">
        <v>4</v>
      </c>
      <c r="F3509" s="1">
        <v>35611</v>
      </c>
      <c r="G3509">
        <v>-0.146751174018489</v>
      </c>
    </row>
    <row r="3510" spans="1:7" x14ac:dyDescent="0.25">
      <c r="A3510" t="s">
        <v>7</v>
      </c>
      <c r="B3510" t="s">
        <v>20</v>
      </c>
      <c r="C3510" t="s">
        <v>9</v>
      </c>
      <c r="D3510" t="s">
        <v>10</v>
      </c>
      <c r="E3510">
        <v>4</v>
      </c>
      <c r="F3510" s="1">
        <v>35642</v>
      </c>
      <c r="G3510">
        <v>9.1099854373331898E-3</v>
      </c>
    </row>
    <row r="3511" spans="1:7" x14ac:dyDescent="0.25">
      <c r="A3511" t="s">
        <v>7</v>
      </c>
      <c r="B3511" t="s">
        <v>20</v>
      </c>
      <c r="C3511" t="s">
        <v>9</v>
      </c>
      <c r="D3511" t="s">
        <v>10</v>
      </c>
      <c r="E3511">
        <v>4</v>
      </c>
      <c r="F3511" s="1">
        <v>35673</v>
      </c>
      <c r="G3511">
        <v>-1.6261316164374599E-2</v>
      </c>
    </row>
    <row r="3512" spans="1:7" x14ac:dyDescent="0.25">
      <c r="A3512" t="s">
        <v>7</v>
      </c>
      <c r="B3512" t="s">
        <v>20</v>
      </c>
      <c r="C3512" t="s">
        <v>9</v>
      </c>
      <c r="D3512" t="s">
        <v>10</v>
      </c>
      <c r="E3512">
        <v>1</v>
      </c>
      <c r="F3512" s="1">
        <v>35703</v>
      </c>
      <c r="G3512">
        <v>7.8470174076135504E-2</v>
      </c>
    </row>
    <row r="3513" spans="1:7" x14ac:dyDescent="0.25">
      <c r="A3513" t="s">
        <v>7</v>
      </c>
      <c r="B3513" t="s">
        <v>20</v>
      </c>
      <c r="C3513" t="s">
        <v>9</v>
      </c>
      <c r="D3513" t="s">
        <v>10</v>
      </c>
      <c r="E3513">
        <v>4</v>
      </c>
      <c r="F3513" s="1">
        <v>35734</v>
      </c>
      <c r="G3513">
        <v>5.1047529692579202E-3</v>
      </c>
    </row>
    <row r="3514" spans="1:7" x14ac:dyDescent="0.25">
      <c r="A3514" t="s">
        <v>7</v>
      </c>
      <c r="B3514" t="s">
        <v>20</v>
      </c>
      <c r="C3514" t="s">
        <v>9</v>
      </c>
      <c r="D3514" t="s">
        <v>10</v>
      </c>
      <c r="E3514">
        <v>3</v>
      </c>
      <c r="F3514" s="1">
        <v>35764</v>
      </c>
      <c r="G3514">
        <v>0.12981450811600501</v>
      </c>
    </row>
    <row r="3515" spans="1:7" x14ac:dyDescent="0.25">
      <c r="A3515" t="s">
        <v>7</v>
      </c>
      <c r="B3515" t="s">
        <v>20</v>
      </c>
      <c r="C3515" t="s">
        <v>9</v>
      </c>
      <c r="D3515" t="s">
        <v>10</v>
      </c>
      <c r="E3515">
        <v>3</v>
      </c>
      <c r="F3515" s="1">
        <v>35795</v>
      </c>
      <c r="G3515">
        <v>1.68525497581581E-2</v>
      </c>
    </row>
    <row r="3516" spans="1:7" x14ac:dyDescent="0.25">
      <c r="A3516" t="s">
        <v>7</v>
      </c>
      <c r="B3516" t="s">
        <v>20</v>
      </c>
      <c r="C3516" t="s">
        <v>9</v>
      </c>
      <c r="D3516" t="s">
        <v>10</v>
      </c>
      <c r="E3516">
        <v>3</v>
      </c>
      <c r="F3516" s="1">
        <v>35826</v>
      </c>
      <c r="G3516">
        <v>0.13359902931602299</v>
      </c>
    </row>
    <row r="3517" spans="1:7" x14ac:dyDescent="0.25">
      <c r="A3517" t="s">
        <v>7</v>
      </c>
      <c r="B3517" t="s">
        <v>20</v>
      </c>
      <c r="C3517" t="s">
        <v>9</v>
      </c>
      <c r="D3517" t="s">
        <v>10</v>
      </c>
      <c r="E3517">
        <v>3</v>
      </c>
      <c r="F3517" s="1">
        <v>35854</v>
      </c>
      <c r="G3517">
        <v>8.2172869314642003E-2</v>
      </c>
    </row>
    <row r="3518" spans="1:7" x14ac:dyDescent="0.25">
      <c r="A3518" t="s">
        <v>7</v>
      </c>
      <c r="B3518" t="s">
        <v>20</v>
      </c>
      <c r="C3518" t="s">
        <v>9</v>
      </c>
      <c r="D3518" t="s">
        <v>10</v>
      </c>
      <c r="E3518">
        <v>4</v>
      </c>
      <c r="F3518" s="1">
        <v>35885</v>
      </c>
      <c r="G3518">
        <v>4.5845522688000503E-2</v>
      </c>
    </row>
    <row r="3519" spans="1:7" x14ac:dyDescent="0.25">
      <c r="A3519" t="s">
        <v>7</v>
      </c>
      <c r="B3519" t="s">
        <v>20</v>
      </c>
      <c r="C3519" t="s">
        <v>9</v>
      </c>
      <c r="D3519" t="s">
        <v>10</v>
      </c>
      <c r="E3519">
        <v>4</v>
      </c>
      <c r="F3519" s="1">
        <v>35915</v>
      </c>
      <c r="G3519">
        <v>-5.5623319152261499E-2</v>
      </c>
    </row>
    <row r="3520" spans="1:7" x14ac:dyDescent="0.25">
      <c r="A3520" t="s">
        <v>7</v>
      </c>
      <c r="B3520" t="s">
        <v>20</v>
      </c>
      <c r="C3520" t="s">
        <v>9</v>
      </c>
      <c r="D3520" t="s">
        <v>10</v>
      </c>
      <c r="E3520">
        <v>4</v>
      </c>
      <c r="F3520" s="1">
        <v>35946</v>
      </c>
      <c r="G3520">
        <v>-6.8724369245702396E-2</v>
      </c>
    </row>
    <row r="3521" spans="1:7" x14ac:dyDescent="0.25">
      <c r="A3521" t="s">
        <v>7</v>
      </c>
      <c r="B3521" t="s">
        <v>20</v>
      </c>
      <c r="C3521" t="s">
        <v>9</v>
      </c>
      <c r="D3521" t="s">
        <v>10</v>
      </c>
      <c r="E3521">
        <v>4</v>
      </c>
      <c r="F3521" s="1">
        <v>35976</v>
      </c>
      <c r="G3521">
        <v>-0.21126855979174999</v>
      </c>
    </row>
    <row r="3522" spans="1:7" x14ac:dyDescent="0.25">
      <c r="A3522" t="s">
        <v>7</v>
      </c>
      <c r="B3522" t="s">
        <v>20</v>
      </c>
      <c r="C3522" t="s">
        <v>9</v>
      </c>
      <c r="D3522" t="s">
        <v>10</v>
      </c>
      <c r="E3522">
        <v>1</v>
      </c>
      <c r="F3522" s="1">
        <v>36007</v>
      </c>
      <c r="G3522">
        <v>7.6881916037960796E-2</v>
      </c>
    </row>
    <row r="3523" spans="1:7" x14ac:dyDescent="0.25">
      <c r="A3523" t="s">
        <v>7</v>
      </c>
      <c r="B3523" t="s">
        <v>20</v>
      </c>
      <c r="C3523" t="s">
        <v>9</v>
      </c>
      <c r="D3523" t="s">
        <v>10</v>
      </c>
      <c r="E3523">
        <v>4</v>
      </c>
      <c r="F3523" s="1">
        <v>36038</v>
      </c>
      <c r="G3523">
        <v>4.63662419440172E-2</v>
      </c>
    </row>
    <row r="3524" spans="1:7" x14ac:dyDescent="0.25">
      <c r="A3524" t="s">
        <v>7</v>
      </c>
      <c r="B3524" t="s">
        <v>20</v>
      </c>
      <c r="C3524" t="s">
        <v>9</v>
      </c>
      <c r="D3524" t="s">
        <v>10</v>
      </c>
      <c r="E3524">
        <v>1</v>
      </c>
      <c r="F3524" s="1">
        <v>36068</v>
      </c>
      <c r="G3524">
        <v>-0.146330071547882</v>
      </c>
    </row>
    <row r="3525" spans="1:7" x14ac:dyDescent="0.25">
      <c r="A3525" t="s">
        <v>7</v>
      </c>
      <c r="B3525" t="s">
        <v>20</v>
      </c>
      <c r="C3525" t="s">
        <v>9</v>
      </c>
      <c r="D3525" t="s">
        <v>10</v>
      </c>
      <c r="E3525">
        <v>4</v>
      </c>
      <c r="F3525" s="1">
        <v>36099</v>
      </c>
      <c r="G3525">
        <v>2.4849797578711901E-2</v>
      </c>
    </row>
    <row r="3526" spans="1:7" x14ac:dyDescent="0.25">
      <c r="A3526" t="s">
        <v>7</v>
      </c>
      <c r="B3526" t="s">
        <v>20</v>
      </c>
      <c r="C3526" t="s">
        <v>9</v>
      </c>
      <c r="D3526" t="s">
        <v>10</v>
      </c>
      <c r="E3526">
        <v>4</v>
      </c>
      <c r="F3526" s="1">
        <v>36129</v>
      </c>
      <c r="G3526">
        <v>-0.114380453371467</v>
      </c>
    </row>
    <row r="3527" spans="1:7" x14ac:dyDescent="0.25">
      <c r="A3527" t="s">
        <v>7</v>
      </c>
      <c r="B3527" t="s">
        <v>20</v>
      </c>
      <c r="C3527" t="s">
        <v>9</v>
      </c>
      <c r="D3527" t="s">
        <v>10</v>
      </c>
      <c r="E3527">
        <v>4</v>
      </c>
      <c r="F3527" s="1">
        <v>36160</v>
      </c>
      <c r="G3527">
        <v>0.11346363603526</v>
      </c>
    </row>
    <row r="3528" spans="1:7" x14ac:dyDescent="0.25">
      <c r="A3528" t="s">
        <v>7</v>
      </c>
      <c r="B3528" t="s">
        <v>20</v>
      </c>
      <c r="C3528" t="s">
        <v>9</v>
      </c>
      <c r="D3528" t="s">
        <v>10</v>
      </c>
      <c r="E3528">
        <v>4</v>
      </c>
      <c r="F3528" s="1">
        <v>36191</v>
      </c>
      <c r="G3528">
        <v>-0.13316125687419</v>
      </c>
    </row>
    <row r="3529" spans="1:7" x14ac:dyDescent="0.25">
      <c r="A3529" t="s">
        <v>7</v>
      </c>
      <c r="B3529" t="s">
        <v>20</v>
      </c>
      <c r="C3529" t="s">
        <v>9</v>
      </c>
      <c r="D3529" t="s">
        <v>10</v>
      </c>
      <c r="E3529">
        <v>1</v>
      </c>
      <c r="F3529" s="1">
        <v>36219</v>
      </c>
      <c r="G3529">
        <v>0.178981603719128</v>
      </c>
    </row>
    <row r="3530" spans="1:7" x14ac:dyDescent="0.25">
      <c r="A3530" t="s">
        <v>7</v>
      </c>
      <c r="B3530" t="s">
        <v>20</v>
      </c>
      <c r="C3530" t="s">
        <v>9</v>
      </c>
      <c r="D3530" t="s">
        <v>10</v>
      </c>
      <c r="E3530">
        <v>4</v>
      </c>
      <c r="F3530" s="1">
        <v>36250</v>
      </c>
      <c r="G3530">
        <v>0.17216355910308001</v>
      </c>
    </row>
    <row r="3531" spans="1:7" x14ac:dyDescent="0.25">
      <c r="A3531" t="s">
        <v>7</v>
      </c>
      <c r="B3531" t="s">
        <v>20</v>
      </c>
      <c r="C3531" t="s">
        <v>9</v>
      </c>
      <c r="D3531" t="s">
        <v>10</v>
      </c>
      <c r="E3531">
        <v>4</v>
      </c>
      <c r="F3531" s="1">
        <v>36280</v>
      </c>
      <c r="G3531">
        <v>-2.26101244423891E-2</v>
      </c>
    </row>
    <row r="3532" spans="1:7" x14ac:dyDescent="0.25">
      <c r="A3532" t="s">
        <v>7</v>
      </c>
      <c r="B3532" t="s">
        <v>20</v>
      </c>
      <c r="C3532" t="s">
        <v>9</v>
      </c>
      <c r="D3532" t="s">
        <v>10</v>
      </c>
      <c r="E3532">
        <v>4</v>
      </c>
      <c r="F3532" s="1">
        <v>36311</v>
      </c>
      <c r="G3532">
        <v>1.6213855745458299E-3</v>
      </c>
    </row>
    <row r="3533" spans="1:7" x14ac:dyDescent="0.25">
      <c r="A3533" t="s">
        <v>7</v>
      </c>
      <c r="B3533" t="s">
        <v>20</v>
      </c>
      <c r="C3533" t="s">
        <v>9</v>
      </c>
      <c r="D3533" t="s">
        <v>10</v>
      </c>
      <c r="E3533">
        <v>4</v>
      </c>
      <c r="F3533" s="1">
        <v>36341</v>
      </c>
      <c r="G3533">
        <v>0.19556755831092101</v>
      </c>
    </row>
    <row r="3534" spans="1:7" x14ac:dyDescent="0.25">
      <c r="A3534" t="s">
        <v>7</v>
      </c>
      <c r="B3534" t="s">
        <v>20</v>
      </c>
      <c r="C3534" t="s">
        <v>9</v>
      </c>
      <c r="D3534" t="s">
        <v>10</v>
      </c>
      <c r="E3534">
        <v>4</v>
      </c>
      <c r="F3534" s="1">
        <v>36372</v>
      </c>
      <c r="G3534">
        <v>5.3461940724304699E-2</v>
      </c>
    </row>
    <row r="3535" spans="1:7" x14ac:dyDescent="0.25">
      <c r="A3535" t="s">
        <v>7</v>
      </c>
      <c r="B3535" t="s">
        <v>20</v>
      </c>
      <c r="C3535" t="s">
        <v>9</v>
      </c>
      <c r="D3535" t="s">
        <v>10</v>
      </c>
      <c r="E3535">
        <v>4</v>
      </c>
      <c r="F3535" s="1">
        <v>36403</v>
      </c>
      <c r="G3535">
        <v>-5.8599557647621002E-2</v>
      </c>
    </row>
    <row r="3536" spans="1:7" x14ac:dyDescent="0.25">
      <c r="A3536" t="s">
        <v>7</v>
      </c>
      <c r="B3536" t="s">
        <v>20</v>
      </c>
      <c r="C3536" t="s">
        <v>9</v>
      </c>
      <c r="D3536" t="s">
        <v>10</v>
      </c>
      <c r="E3536">
        <v>3</v>
      </c>
      <c r="F3536" s="1">
        <v>36433</v>
      </c>
      <c r="G3536">
        <v>7.5243146382945297E-2</v>
      </c>
    </row>
    <row r="3537" spans="1:7" x14ac:dyDescent="0.25">
      <c r="A3537" t="s">
        <v>7</v>
      </c>
      <c r="B3537" t="s">
        <v>20</v>
      </c>
      <c r="C3537" t="s">
        <v>9</v>
      </c>
      <c r="D3537" t="s">
        <v>10</v>
      </c>
      <c r="E3537">
        <v>4</v>
      </c>
      <c r="F3537" s="1">
        <v>36464</v>
      </c>
      <c r="G3537">
        <v>-1.7860018989236101E-2</v>
      </c>
    </row>
    <row r="3538" spans="1:7" x14ac:dyDescent="0.25">
      <c r="A3538" t="s">
        <v>7</v>
      </c>
      <c r="B3538" t="s">
        <v>20</v>
      </c>
      <c r="C3538" t="s">
        <v>9</v>
      </c>
      <c r="D3538" t="s">
        <v>10</v>
      </c>
      <c r="E3538">
        <v>3</v>
      </c>
      <c r="F3538" s="1">
        <v>36494</v>
      </c>
      <c r="G3538">
        <v>-1.9104233588339601E-2</v>
      </c>
    </row>
    <row r="3539" spans="1:7" x14ac:dyDescent="0.25">
      <c r="A3539" t="s">
        <v>7</v>
      </c>
      <c r="B3539" t="s">
        <v>20</v>
      </c>
      <c r="C3539" t="s">
        <v>9</v>
      </c>
      <c r="D3539" t="s">
        <v>10</v>
      </c>
      <c r="E3539">
        <v>4</v>
      </c>
      <c r="F3539" s="1">
        <v>36525</v>
      </c>
      <c r="G3539">
        <v>3.80299170943302E-2</v>
      </c>
    </row>
    <row r="3540" spans="1:7" x14ac:dyDescent="0.25">
      <c r="A3540" t="s">
        <v>7</v>
      </c>
      <c r="B3540" t="s">
        <v>20</v>
      </c>
      <c r="C3540" t="s">
        <v>9</v>
      </c>
      <c r="D3540" t="s">
        <v>10</v>
      </c>
      <c r="E3540">
        <v>4</v>
      </c>
      <c r="F3540" s="1">
        <v>36556</v>
      </c>
      <c r="G3540">
        <v>-1.05268532474013E-2</v>
      </c>
    </row>
    <row r="3541" spans="1:7" x14ac:dyDescent="0.25">
      <c r="A3541" t="s">
        <v>7</v>
      </c>
      <c r="B3541" t="s">
        <v>20</v>
      </c>
      <c r="C3541" t="s">
        <v>9</v>
      </c>
      <c r="D3541" t="s">
        <v>10</v>
      </c>
      <c r="E3541">
        <v>4</v>
      </c>
      <c r="F3541" s="1">
        <v>36585</v>
      </c>
      <c r="G3541">
        <v>-0.11709120312636601</v>
      </c>
    </row>
    <row r="3542" spans="1:7" x14ac:dyDescent="0.25">
      <c r="A3542" t="s">
        <v>7</v>
      </c>
      <c r="B3542" t="s">
        <v>20</v>
      </c>
      <c r="C3542" t="s">
        <v>9</v>
      </c>
      <c r="D3542" t="s">
        <v>10</v>
      </c>
      <c r="E3542">
        <v>4</v>
      </c>
      <c r="F3542" s="1">
        <v>36616</v>
      </c>
      <c r="G3542">
        <v>1.24261462910987E-2</v>
      </c>
    </row>
    <row r="3543" spans="1:7" x14ac:dyDescent="0.25">
      <c r="A3543" t="s">
        <v>7</v>
      </c>
      <c r="B3543" t="s">
        <v>20</v>
      </c>
      <c r="C3543" t="s">
        <v>9</v>
      </c>
      <c r="D3543" t="s">
        <v>10</v>
      </c>
      <c r="E3543">
        <v>4</v>
      </c>
      <c r="F3543" s="1">
        <v>36646</v>
      </c>
      <c r="G3543">
        <v>6.0118132734579499E-2</v>
      </c>
    </row>
    <row r="3544" spans="1:7" x14ac:dyDescent="0.25">
      <c r="A3544" t="s">
        <v>7</v>
      </c>
      <c r="B3544" t="s">
        <v>20</v>
      </c>
      <c r="C3544" t="s">
        <v>9</v>
      </c>
      <c r="D3544" t="s">
        <v>10</v>
      </c>
      <c r="E3544">
        <v>4</v>
      </c>
      <c r="F3544" s="1">
        <v>36677</v>
      </c>
      <c r="G3544">
        <v>8.7929042283747594E-2</v>
      </c>
    </row>
    <row r="3545" spans="1:7" x14ac:dyDescent="0.25">
      <c r="A3545" t="s">
        <v>7</v>
      </c>
      <c r="B3545" t="s">
        <v>20</v>
      </c>
      <c r="C3545" t="s">
        <v>9</v>
      </c>
      <c r="D3545" t="s">
        <v>10</v>
      </c>
      <c r="E3545">
        <v>4</v>
      </c>
      <c r="F3545" s="1">
        <v>36707</v>
      </c>
      <c r="G3545">
        <v>0.14037731730296699</v>
      </c>
    </row>
    <row r="3546" spans="1:7" x14ac:dyDescent="0.25">
      <c r="A3546" t="s">
        <v>7</v>
      </c>
      <c r="B3546" t="s">
        <v>20</v>
      </c>
      <c r="C3546" t="s">
        <v>9</v>
      </c>
      <c r="D3546" t="s">
        <v>10</v>
      </c>
      <c r="E3546">
        <v>4</v>
      </c>
      <c r="F3546" s="1">
        <v>36738</v>
      </c>
      <c r="G3546">
        <v>3.0699251846599301E-2</v>
      </c>
    </row>
    <row r="3547" spans="1:7" x14ac:dyDescent="0.25">
      <c r="A3547" t="s">
        <v>7</v>
      </c>
      <c r="B3547" t="s">
        <v>20</v>
      </c>
      <c r="C3547" t="s">
        <v>9</v>
      </c>
      <c r="D3547" t="s">
        <v>10</v>
      </c>
      <c r="E3547">
        <v>4</v>
      </c>
      <c r="F3547" s="1">
        <v>36769</v>
      </c>
      <c r="G3547">
        <v>-0.114203712857033</v>
      </c>
    </row>
    <row r="3548" spans="1:7" x14ac:dyDescent="0.25">
      <c r="A3548" t="s">
        <v>7</v>
      </c>
      <c r="B3548" t="s">
        <v>20</v>
      </c>
      <c r="C3548" t="s">
        <v>9</v>
      </c>
      <c r="D3548" t="s">
        <v>10</v>
      </c>
      <c r="E3548">
        <v>4</v>
      </c>
      <c r="F3548" s="1">
        <v>36799</v>
      </c>
      <c r="G3548">
        <v>6.7431236839294001E-2</v>
      </c>
    </row>
    <row r="3549" spans="1:7" x14ac:dyDescent="0.25">
      <c r="A3549" t="s">
        <v>7</v>
      </c>
      <c r="B3549" t="s">
        <v>20</v>
      </c>
      <c r="C3549" t="s">
        <v>9</v>
      </c>
      <c r="D3549" t="s">
        <v>10</v>
      </c>
      <c r="E3549">
        <v>4</v>
      </c>
      <c r="F3549" s="1">
        <v>36830</v>
      </c>
      <c r="G3549">
        <v>2.14382591522311E-2</v>
      </c>
    </row>
    <row r="3550" spans="1:7" x14ac:dyDescent="0.25">
      <c r="A3550" t="s">
        <v>7</v>
      </c>
      <c r="B3550" t="s">
        <v>20</v>
      </c>
      <c r="C3550" t="s">
        <v>9</v>
      </c>
      <c r="D3550" t="s">
        <v>10</v>
      </c>
      <c r="E3550">
        <v>4</v>
      </c>
      <c r="F3550" s="1">
        <v>36860</v>
      </c>
      <c r="G3550">
        <v>3.7656829127278697E-2</v>
      </c>
    </row>
    <row r="3551" spans="1:7" x14ac:dyDescent="0.25">
      <c r="A3551" t="s">
        <v>7</v>
      </c>
      <c r="B3551" t="s">
        <v>20</v>
      </c>
      <c r="C3551" t="s">
        <v>9</v>
      </c>
      <c r="D3551" t="s">
        <v>10</v>
      </c>
      <c r="E3551">
        <v>4</v>
      </c>
      <c r="F3551" s="1">
        <v>36891</v>
      </c>
      <c r="G3551">
        <v>4.4439457646947698E-2</v>
      </c>
    </row>
    <row r="3552" spans="1:7" x14ac:dyDescent="0.25">
      <c r="A3552" t="s">
        <v>7</v>
      </c>
      <c r="B3552" t="s">
        <v>20</v>
      </c>
      <c r="C3552" t="s">
        <v>9</v>
      </c>
      <c r="D3552" t="s">
        <v>10</v>
      </c>
      <c r="E3552">
        <v>4</v>
      </c>
      <c r="F3552" s="1">
        <v>36922</v>
      </c>
      <c r="G3552">
        <v>-3.1706991315931597E-2</v>
      </c>
    </row>
    <row r="3553" spans="1:7" x14ac:dyDescent="0.25">
      <c r="A3553" t="s">
        <v>7</v>
      </c>
      <c r="B3553" t="s">
        <v>20</v>
      </c>
      <c r="C3553" t="s">
        <v>9</v>
      </c>
      <c r="D3553" t="s">
        <v>10</v>
      </c>
      <c r="E3553">
        <v>4</v>
      </c>
      <c r="F3553" s="1">
        <v>36950</v>
      </c>
      <c r="G3553">
        <v>-5.2842616634423502E-2</v>
      </c>
    </row>
    <row r="3554" spans="1:7" x14ac:dyDescent="0.25">
      <c r="A3554" t="s">
        <v>7</v>
      </c>
      <c r="B3554" t="s">
        <v>20</v>
      </c>
      <c r="C3554" t="s">
        <v>9</v>
      </c>
      <c r="D3554" t="s">
        <v>10</v>
      </c>
      <c r="E3554">
        <v>3</v>
      </c>
      <c r="F3554" s="1">
        <v>36981</v>
      </c>
      <c r="G3554">
        <v>5.8835887131649701E-2</v>
      </c>
    </row>
    <row r="3555" spans="1:7" x14ac:dyDescent="0.25">
      <c r="A3555" t="s">
        <v>7</v>
      </c>
      <c r="B3555" t="s">
        <v>20</v>
      </c>
      <c r="C3555" t="s">
        <v>9</v>
      </c>
      <c r="D3555" t="s">
        <v>10</v>
      </c>
      <c r="E3555">
        <v>4</v>
      </c>
      <c r="F3555" s="1">
        <v>37011</v>
      </c>
      <c r="G3555">
        <v>8.37327240347195E-2</v>
      </c>
    </row>
    <row r="3556" spans="1:7" x14ac:dyDescent="0.25">
      <c r="A3556" t="s">
        <v>7</v>
      </c>
      <c r="B3556" t="s">
        <v>20</v>
      </c>
      <c r="C3556" t="s">
        <v>9</v>
      </c>
      <c r="D3556" t="s">
        <v>10</v>
      </c>
      <c r="E3556">
        <v>4</v>
      </c>
      <c r="F3556" s="1">
        <v>37042</v>
      </c>
      <c r="G3556">
        <v>1.9590376618511499E-2</v>
      </c>
    </row>
    <row r="3557" spans="1:7" x14ac:dyDescent="0.25">
      <c r="A3557" t="s">
        <v>7</v>
      </c>
      <c r="B3557" t="s">
        <v>20</v>
      </c>
      <c r="C3557" t="s">
        <v>9</v>
      </c>
      <c r="D3557" t="s">
        <v>10</v>
      </c>
      <c r="E3557">
        <v>3</v>
      </c>
      <c r="F3557" s="1">
        <v>37072</v>
      </c>
      <c r="G3557">
        <v>-7.5542244376831297E-2</v>
      </c>
    </row>
    <row r="3558" spans="1:7" x14ac:dyDescent="0.25">
      <c r="A3558" t="s">
        <v>7</v>
      </c>
      <c r="B3558" t="s">
        <v>20</v>
      </c>
      <c r="C3558" t="s">
        <v>9</v>
      </c>
      <c r="D3558" t="s">
        <v>10</v>
      </c>
      <c r="E3558">
        <v>4</v>
      </c>
      <c r="F3558" s="1">
        <v>37103</v>
      </c>
      <c r="G3558">
        <v>9.0993974839133504E-2</v>
      </c>
    </row>
    <row r="3559" spans="1:7" x14ac:dyDescent="0.25">
      <c r="A3559" t="s">
        <v>7</v>
      </c>
      <c r="B3559" t="s">
        <v>20</v>
      </c>
      <c r="C3559" t="s">
        <v>9</v>
      </c>
      <c r="D3559" t="s">
        <v>10</v>
      </c>
      <c r="E3559">
        <v>4</v>
      </c>
      <c r="F3559" s="1">
        <v>37134</v>
      </c>
      <c r="G3559">
        <v>3.72314043113788E-2</v>
      </c>
    </row>
    <row r="3560" spans="1:7" x14ac:dyDescent="0.25">
      <c r="A3560" t="s">
        <v>7</v>
      </c>
      <c r="B3560" t="s">
        <v>20</v>
      </c>
      <c r="C3560" t="s">
        <v>9</v>
      </c>
      <c r="D3560" t="s">
        <v>10</v>
      </c>
      <c r="E3560">
        <v>4</v>
      </c>
      <c r="F3560" s="1">
        <v>37164</v>
      </c>
      <c r="G3560">
        <v>-5.8619517936239998E-2</v>
      </c>
    </row>
    <row r="3561" spans="1:7" x14ac:dyDescent="0.25">
      <c r="A3561" t="s">
        <v>7</v>
      </c>
      <c r="B3561" t="s">
        <v>20</v>
      </c>
      <c r="C3561" t="s">
        <v>9</v>
      </c>
      <c r="D3561" t="s">
        <v>10</v>
      </c>
      <c r="E3561">
        <v>1</v>
      </c>
      <c r="F3561" s="1">
        <v>37195</v>
      </c>
      <c r="G3561">
        <v>3.1098766890635201E-2</v>
      </c>
    </row>
    <row r="3562" spans="1:7" x14ac:dyDescent="0.25">
      <c r="A3562" t="s">
        <v>7</v>
      </c>
      <c r="B3562" t="s">
        <v>20</v>
      </c>
      <c r="C3562" t="s">
        <v>9</v>
      </c>
      <c r="D3562" t="s">
        <v>10</v>
      </c>
      <c r="E3562">
        <v>1</v>
      </c>
      <c r="F3562" s="1">
        <v>37225</v>
      </c>
      <c r="G3562">
        <v>1.7135757454218001E-2</v>
      </c>
    </row>
    <row r="3563" spans="1:7" x14ac:dyDescent="0.25">
      <c r="A3563" t="s">
        <v>7</v>
      </c>
      <c r="B3563" t="s">
        <v>20</v>
      </c>
      <c r="C3563" t="s">
        <v>9</v>
      </c>
      <c r="D3563" t="s">
        <v>10</v>
      </c>
      <c r="E3563">
        <v>1</v>
      </c>
      <c r="F3563" s="1">
        <v>37256</v>
      </c>
      <c r="G3563">
        <v>0.21831930457552901</v>
      </c>
    </row>
    <row r="3564" spans="1:7" x14ac:dyDescent="0.25">
      <c r="A3564" t="s">
        <v>7</v>
      </c>
      <c r="B3564" t="s">
        <v>20</v>
      </c>
      <c r="C3564" t="s">
        <v>9</v>
      </c>
      <c r="D3564" t="s">
        <v>10</v>
      </c>
      <c r="E3564">
        <v>1</v>
      </c>
      <c r="F3564" s="1">
        <v>37287</v>
      </c>
      <c r="G3564">
        <v>6.97975285932384E-2</v>
      </c>
    </row>
    <row r="3565" spans="1:7" x14ac:dyDescent="0.25">
      <c r="A3565" t="s">
        <v>7</v>
      </c>
      <c r="B3565" t="s">
        <v>20</v>
      </c>
      <c r="C3565" t="s">
        <v>9</v>
      </c>
      <c r="D3565" t="s">
        <v>10</v>
      </c>
      <c r="E3565">
        <v>4</v>
      </c>
      <c r="F3565" s="1">
        <v>37315</v>
      </c>
      <c r="G3565">
        <v>4.24371207110706E-2</v>
      </c>
    </row>
    <row r="3566" spans="1:7" x14ac:dyDescent="0.25">
      <c r="A3566" t="s">
        <v>7</v>
      </c>
      <c r="B3566" t="s">
        <v>20</v>
      </c>
      <c r="C3566" t="s">
        <v>9</v>
      </c>
      <c r="D3566" t="s">
        <v>10</v>
      </c>
      <c r="E3566">
        <v>1</v>
      </c>
      <c r="F3566" s="1">
        <v>37346</v>
      </c>
      <c r="G3566">
        <v>-6.3975864488213699E-2</v>
      </c>
    </row>
    <row r="3567" spans="1:7" x14ac:dyDescent="0.25">
      <c r="A3567" t="s">
        <v>7</v>
      </c>
      <c r="B3567" t="s">
        <v>20</v>
      </c>
      <c r="C3567" t="s">
        <v>9</v>
      </c>
      <c r="D3567" t="s">
        <v>10</v>
      </c>
      <c r="E3567">
        <v>1</v>
      </c>
      <c r="F3567" s="1">
        <v>37376</v>
      </c>
      <c r="G3567">
        <v>-6.6454422784153902E-3</v>
      </c>
    </row>
    <row r="3568" spans="1:7" x14ac:dyDescent="0.25">
      <c r="A3568" t="s">
        <v>7</v>
      </c>
      <c r="B3568" t="s">
        <v>20</v>
      </c>
      <c r="C3568" t="s">
        <v>9</v>
      </c>
      <c r="D3568" t="s">
        <v>10</v>
      </c>
      <c r="E3568">
        <v>4</v>
      </c>
      <c r="F3568" s="1">
        <v>37407</v>
      </c>
      <c r="G3568">
        <v>5.5382436104240401E-2</v>
      </c>
    </row>
    <row r="3569" spans="1:7" x14ac:dyDescent="0.25">
      <c r="A3569" t="s">
        <v>7</v>
      </c>
      <c r="B3569" t="s">
        <v>20</v>
      </c>
      <c r="C3569" t="s">
        <v>9</v>
      </c>
      <c r="D3569" t="s">
        <v>10</v>
      </c>
      <c r="E3569">
        <v>4</v>
      </c>
      <c r="F3569" s="1">
        <v>37437</v>
      </c>
      <c r="G3569">
        <v>4.1661974504693298E-2</v>
      </c>
    </row>
    <row r="3570" spans="1:7" x14ac:dyDescent="0.25">
      <c r="A3570" t="s">
        <v>7</v>
      </c>
      <c r="B3570" t="s">
        <v>20</v>
      </c>
      <c r="C3570" t="s">
        <v>9</v>
      </c>
      <c r="D3570" t="s">
        <v>10</v>
      </c>
      <c r="E3570">
        <v>1</v>
      </c>
      <c r="F3570" s="1">
        <v>37468</v>
      </c>
      <c r="G3570">
        <v>-4.36274719315611E-2</v>
      </c>
    </row>
    <row r="3571" spans="1:7" x14ac:dyDescent="0.25">
      <c r="A3571" t="s">
        <v>7</v>
      </c>
      <c r="B3571" t="s">
        <v>20</v>
      </c>
      <c r="C3571" t="s">
        <v>9</v>
      </c>
      <c r="D3571" t="s">
        <v>10</v>
      </c>
      <c r="E3571">
        <v>1</v>
      </c>
      <c r="F3571" s="1">
        <v>37499</v>
      </c>
      <c r="G3571">
        <v>7.3534247824516397E-2</v>
      </c>
    </row>
    <row r="3572" spans="1:7" x14ac:dyDescent="0.25">
      <c r="A3572" t="s">
        <v>7</v>
      </c>
      <c r="B3572" t="s">
        <v>20</v>
      </c>
      <c r="C3572" t="s">
        <v>9</v>
      </c>
      <c r="D3572" t="s">
        <v>10</v>
      </c>
      <c r="E3572">
        <v>1</v>
      </c>
      <c r="F3572" s="1">
        <v>37529</v>
      </c>
      <c r="G3572">
        <v>9.6477310252940596E-2</v>
      </c>
    </row>
    <row r="3573" spans="1:7" x14ac:dyDescent="0.25">
      <c r="A3573" t="s">
        <v>7</v>
      </c>
      <c r="B3573" t="s">
        <v>20</v>
      </c>
      <c r="C3573" t="s">
        <v>9</v>
      </c>
      <c r="D3573" t="s">
        <v>10</v>
      </c>
      <c r="E3573">
        <v>1</v>
      </c>
      <c r="F3573" s="1">
        <v>37560</v>
      </c>
      <c r="G3573">
        <v>0.30326734448277998</v>
      </c>
    </row>
    <row r="3574" spans="1:7" x14ac:dyDescent="0.25">
      <c r="A3574" t="s">
        <v>7</v>
      </c>
      <c r="B3574" t="s">
        <v>20</v>
      </c>
      <c r="C3574" t="s">
        <v>9</v>
      </c>
      <c r="D3574" t="s">
        <v>10</v>
      </c>
      <c r="E3574">
        <v>1</v>
      </c>
      <c r="F3574" s="1">
        <v>37590</v>
      </c>
      <c r="G3574">
        <v>0.168374128167702</v>
      </c>
    </row>
    <row r="3575" spans="1:7" x14ac:dyDescent="0.25">
      <c r="A3575" t="s">
        <v>7</v>
      </c>
      <c r="B3575" t="s">
        <v>20</v>
      </c>
      <c r="C3575" t="s">
        <v>9</v>
      </c>
      <c r="D3575" t="s">
        <v>10</v>
      </c>
      <c r="E3575">
        <v>1</v>
      </c>
      <c r="F3575" s="1">
        <v>37621</v>
      </c>
      <c r="G3575">
        <v>0.184477363582735</v>
      </c>
    </row>
    <row r="3576" spans="1:7" x14ac:dyDescent="0.25">
      <c r="A3576" t="s">
        <v>7</v>
      </c>
      <c r="B3576" t="s">
        <v>20</v>
      </c>
      <c r="C3576" t="s">
        <v>9</v>
      </c>
      <c r="D3576" t="s">
        <v>10</v>
      </c>
      <c r="E3576">
        <v>1</v>
      </c>
      <c r="F3576" s="1">
        <v>37652</v>
      </c>
      <c r="G3576">
        <v>-4.4703388735177499E-2</v>
      </c>
    </row>
    <row r="3577" spans="1:7" x14ac:dyDescent="0.25">
      <c r="A3577" t="s">
        <v>7</v>
      </c>
      <c r="B3577" t="s">
        <v>20</v>
      </c>
      <c r="C3577" t="s">
        <v>9</v>
      </c>
      <c r="D3577" t="s">
        <v>10</v>
      </c>
      <c r="E3577">
        <v>1</v>
      </c>
      <c r="F3577" s="1">
        <v>37680</v>
      </c>
      <c r="G3577">
        <v>-0.23752040025690699</v>
      </c>
    </row>
    <row r="3578" spans="1:7" x14ac:dyDescent="0.25">
      <c r="A3578" t="s">
        <v>7</v>
      </c>
      <c r="B3578" t="s">
        <v>20</v>
      </c>
      <c r="C3578" t="s">
        <v>9</v>
      </c>
      <c r="D3578" t="s">
        <v>10</v>
      </c>
      <c r="E3578">
        <v>1</v>
      </c>
      <c r="F3578" s="1">
        <v>37711</v>
      </c>
      <c r="G3578">
        <v>6.23103959403737E-2</v>
      </c>
    </row>
    <row r="3579" spans="1:7" x14ac:dyDescent="0.25">
      <c r="A3579" t="s">
        <v>7</v>
      </c>
      <c r="B3579" t="s">
        <v>20</v>
      </c>
      <c r="C3579" t="s">
        <v>9</v>
      </c>
      <c r="D3579" t="s">
        <v>10</v>
      </c>
      <c r="E3579">
        <v>1</v>
      </c>
      <c r="F3579" s="1">
        <v>37741</v>
      </c>
      <c r="G3579">
        <v>-0.14520943822818</v>
      </c>
    </row>
    <row r="3580" spans="1:7" x14ac:dyDescent="0.25">
      <c r="A3580" t="s">
        <v>7</v>
      </c>
      <c r="B3580" t="s">
        <v>20</v>
      </c>
      <c r="C3580" t="s">
        <v>9</v>
      </c>
      <c r="D3580" t="s">
        <v>10</v>
      </c>
      <c r="E3580">
        <v>1</v>
      </c>
      <c r="F3580" s="1">
        <v>37772</v>
      </c>
      <c r="G3580">
        <v>-1.0195238791358001E-2</v>
      </c>
    </row>
    <row r="3581" spans="1:7" x14ac:dyDescent="0.25">
      <c r="A3581" t="s">
        <v>7</v>
      </c>
      <c r="B3581" t="s">
        <v>20</v>
      </c>
      <c r="C3581" t="s">
        <v>9</v>
      </c>
      <c r="D3581" t="s">
        <v>10</v>
      </c>
      <c r="E3581">
        <v>1</v>
      </c>
      <c r="F3581" s="1">
        <v>37802</v>
      </c>
      <c r="G3581">
        <v>0.23622085266867801</v>
      </c>
    </row>
    <row r="3582" spans="1:7" x14ac:dyDescent="0.25">
      <c r="A3582" t="s">
        <v>7</v>
      </c>
      <c r="B3582" t="s">
        <v>20</v>
      </c>
      <c r="C3582" t="s">
        <v>9</v>
      </c>
      <c r="D3582" t="s">
        <v>10</v>
      </c>
      <c r="E3582">
        <v>1</v>
      </c>
      <c r="F3582" s="1">
        <v>37833</v>
      </c>
      <c r="G3582">
        <v>1.54824107119402E-2</v>
      </c>
    </row>
    <row r="3583" spans="1:7" x14ac:dyDescent="0.25">
      <c r="A3583" t="s">
        <v>7</v>
      </c>
      <c r="B3583" t="s">
        <v>20</v>
      </c>
      <c r="C3583" t="s">
        <v>9</v>
      </c>
      <c r="D3583" t="s">
        <v>10</v>
      </c>
      <c r="E3583">
        <v>1</v>
      </c>
      <c r="F3583" s="1">
        <v>37864</v>
      </c>
      <c r="G3583">
        <v>-6.3675155273728898E-2</v>
      </c>
    </row>
    <row r="3584" spans="1:7" x14ac:dyDescent="0.25">
      <c r="A3584" t="s">
        <v>7</v>
      </c>
      <c r="B3584" t="s">
        <v>20</v>
      </c>
      <c r="C3584" t="s">
        <v>9</v>
      </c>
      <c r="D3584" t="s">
        <v>10</v>
      </c>
      <c r="E3584">
        <v>3</v>
      </c>
      <c r="F3584" s="1">
        <v>37894</v>
      </c>
      <c r="G3584">
        <v>1.21530621548059E-2</v>
      </c>
    </row>
    <row r="3585" spans="1:7" x14ac:dyDescent="0.25">
      <c r="A3585" t="s">
        <v>7</v>
      </c>
      <c r="B3585" t="s">
        <v>20</v>
      </c>
      <c r="C3585" t="s">
        <v>9</v>
      </c>
      <c r="D3585" t="s">
        <v>10</v>
      </c>
      <c r="E3585">
        <v>4</v>
      </c>
      <c r="F3585" s="1">
        <v>37925</v>
      </c>
      <c r="G3585">
        <v>-9.6118615493854295E-4</v>
      </c>
    </row>
    <row r="3586" spans="1:7" x14ac:dyDescent="0.25">
      <c r="A3586" t="s">
        <v>7</v>
      </c>
      <c r="B3586" t="s">
        <v>20</v>
      </c>
      <c r="C3586" t="s">
        <v>9</v>
      </c>
      <c r="D3586" t="s">
        <v>10</v>
      </c>
      <c r="E3586">
        <v>4</v>
      </c>
      <c r="F3586" s="1">
        <v>37955</v>
      </c>
      <c r="G3586">
        <v>-2.0195417764041601E-2</v>
      </c>
    </row>
    <row r="3587" spans="1:7" x14ac:dyDescent="0.25">
      <c r="A3587" t="s">
        <v>7</v>
      </c>
      <c r="B3587" t="s">
        <v>20</v>
      </c>
      <c r="C3587" t="s">
        <v>9</v>
      </c>
      <c r="D3587" t="s">
        <v>10</v>
      </c>
      <c r="E3587">
        <v>4</v>
      </c>
      <c r="F3587" s="1">
        <v>37986</v>
      </c>
      <c r="G3587">
        <v>2.26817887067725E-2</v>
      </c>
    </row>
    <row r="3588" spans="1:7" x14ac:dyDescent="0.25">
      <c r="A3588" t="s">
        <v>7</v>
      </c>
      <c r="B3588" t="s">
        <v>20</v>
      </c>
      <c r="C3588" t="s">
        <v>9</v>
      </c>
      <c r="D3588" t="s">
        <v>10</v>
      </c>
      <c r="E3588">
        <v>4</v>
      </c>
      <c r="F3588" s="1">
        <v>38017</v>
      </c>
      <c r="G3588">
        <v>-9.2335613298619904E-2</v>
      </c>
    </row>
    <row r="3589" spans="1:7" x14ac:dyDescent="0.25">
      <c r="A3589" t="s">
        <v>7</v>
      </c>
      <c r="B3589" t="s">
        <v>20</v>
      </c>
      <c r="C3589" t="s">
        <v>9</v>
      </c>
      <c r="D3589" t="s">
        <v>10</v>
      </c>
      <c r="E3589">
        <v>4</v>
      </c>
      <c r="F3589" s="1">
        <v>38046</v>
      </c>
      <c r="G3589">
        <v>0.105202487534393</v>
      </c>
    </row>
    <row r="3590" spans="1:7" x14ac:dyDescent="0.25">
      <c r="A3590" t="s">
        <v>7</v>
      </c>
      <c r="B3590" t="s">
        <v>20</v>
      </c>
      <c r="C3590" t="s">
        <v>9</v>
      </c>
      <c r="D3590" t="s">
        <v>10</v>
      </c>
      <c r="E3590">
        <v>4</v>
      </c>
      <c r="F3590" s="1">
        <v>38077</v>
      </c>
      <c r="G3590">
        <v>5.5360050753171398E-3</v>
      </c>
    </row>
    <row r="3591" spans="1:7" x14ac:dyDescent="0.25">
      <c r="A3591" t="s">
        <v>7</v>
      </c>
      <c r="B3591" t="s">
        <v>20</v>
      </c>
      <c r="C3591" t="s">
        <v>9</v>
      </c>
      <c r="D3591" t="s">
        <v>10</v>
      </c>
      <c r="E3591">
        <v>4</v>
      </c>
      <c r="F3591" s="1">
        <v>38107</v>
      </c>
      <c r="G3591">
        <v>3.5623172821269498E-2</v>
      </c>
    </row>
    <row r="3592" spans="1:7" x14ac:dyDescent="0.25">
      <c r="A3592" t="s">
        <v>7</v>
      </c>
      <c r="B3592" t="s">
        <v>20</v>
      </c>
      <c r="C3592" t="s">
        <v>9</v>
      </c>
      <c r="D3592" t="s">
        <v>10</v>
      </c>
      <c r="E3592">
        <v>4</v>
      </c>
      <c r="F3592" s="1">
        <v>38138</v>
      </c>
      <c r="G3592">
        <v>-1.30915370628164E-2</v>
      </c>
    </row>
    <row r="3593" spans="1:7" x14ac:dyDescent="0.25">
      <c r="A3593" t="s">
        <v>7</v>
      </c>
      <c r="B3593" t="s">
        <v>20</v>
      </c>
      <c r="C3593" t="s">
        <v>9</v>
      </c>
      <c r="D3593" t="s">
        <v>10</v>
      </c>
      <c r="E3593">
        <v>4</v>
      </c>
      <c r="F3593" s="1">
        <v>38168</v>
      </c>
      <c r="G3593">
        <v>4.6783761571402703E-2</v>
      </c>
    </row>
    <row r="3594" spans="1:7" x14ac:dyDescent="0.25">
      <c r="A3594" t="s">
        <v>7</v>
      </c>
      <c r="B3594" t="s">
        <v>20</v>
      </c>
      <c r="C3594" t="s">
        <v>9</v>
      </c>
      <c r="D3594" t="s">
        <v>10</v>
      </c>
      <c r="E3594">
        <v>4</v>
      </c>
      <c r="F3594" s="1">
        <v>38199</v>
      </c>
      <c r="G3594">
        <v>5.1970141103469198E-3</v>
      </c>
    </row>
    <row r="3595" spans="1:7" x14ac:dyDescent="0.25">
      <c r="A3595" t="s">
        <v>7</v>
      </c>
      <c r="B3595" t="s">
        <v>20</v>
      </c>
      <c r="C3595" t="s">
        <v>9</v>
      </c>
      <c r="D3595" t="s">
        <v>10</v>
      </c>
      <c r="E3595">
        <v>4</v>
      </c>
      <c r="F3595" s="1">
        <v>38230</v>
      </c>
      <c r="G3595">
        <v>-1.6127114194418299E-2</v>
      </c>
    </row>
    <row r="3596" spans="1:7" x14ac:dyDescent="0.25">
      <c r="A3596" t="s">
        <v>7</v>
      </c>
      <c r="B3596" t="s">
        <v>20</v>
      </c>
      <c r="C3596" t="s">
        <v>9</v>
      </c>
      <c r="D3596" t="s">
        <v>10</v>
      </c>
      <c r="E3596">
        <v>4</v>
      </c>
      <c r="F3596" s="1">
        <v>38260</v>
      </c>
      <c r="G3596">
        <v>-2.3755065974244999E-2</v>
      </c>
    </row>
    <row r="3597" spans="1:7" x14ac:dyDescent="0.25">
      <c r="A3597" t="s">
        <v>7</v>
      </c>
      <c r="B3597" t="s">
        <v>20</v>
      </c>
      <c r="C3597" t="s">
        <v>9</v>
      </c>
      <c r="D3597" t="s">
        <v>10</v>
      </c>
      <c r="E3597">
        <v>4</v>
      </c>
      <c r="F3597" s="1">
        <v>38291</v>
      </c>
      <c r="G3597">
        <v>-5.1532547840657597E-2</v>
      </c>
    </row>
    <row r="3598" spans="1:7" x14ac:dyDescent="0.25">
      <c r="A3598" t="s">
        <v>7</v>
      </c>
      <c r="B3598" t="s">
        <v>20</v>
      </c>
      <c r="C3598" t="s">
        <v>9</v>
      </c>
      <c r="D3598" t="s">
        <v>10</v>
      </c>
      <c r="E3598">
        <v>4</v>
      </c>
      <c r="F3598" s="1">
        <v>38321</v>
      </c>
      <c r="G3598">
        <v>3.7098422056220201E-2</v>
      </c>
    </row>
    <row r="3599" spans="1:7" x14ac:dyDescent="0.25">
      <c r="A3599" t="s">
        <v>7</v>
      </c>
      <c r="B3599" t="s">
        <v>20</v>
      </c>
      <c r="C3599" t="s">
        <v>9</v>
      </c>
      <c r="D3599" t="s">
        <v>10</v>
      </c>
      <c r="E3599">
        <v>4</v>
      </c>
      <c r="F3599" s="1">
        <v>38352</v>
      </c>
      <c r="G3599">
        <v>-4.9483207205349801E-2</v>
      </c>
    </row>
    <row r="3600" spans="1:7" x14ac:dyDescent="0.25">
      <c r="A3600" t="s">
        <v>7</v>
      </c>
      <c r="B3600" t="s">
        <v>20</v>
      </c>
      <c r="C3600" t="s">
        <v>9</v>
      </c>
      <c r="D3600" t="s">
        <v>10</v>
      </c>
      <c r="E3600">
        <v>4</v>
      </c>
      <c r="F3600" s="1">
        <v>38383</v>
      </c>
      <c r="G3600">
        <v>5.6284000238837298E-2</v>
      </c>
    </row>
    <row r="3601" spans="1:7" x14ac:dyDescent="0.25">
      <c r="A3601" t="s">
        <v>7</v>
      </c>
      <c r="B3601" t="s">
        <v>20</v>
      </c>
      <c r="C3601" t="s">
        <v>9</v>
      </c>
      <c r="D3601" t="s">
        <v>10</v>
      </c>
      <c r="E3601">
        <v>4</v>
      </c>
      <c r="F3601" s="1">
        <v>38411</v>
      </c>
      <c r="G3601">
        <v>-3.4459169867154102E-3</v>
      </c>
    </row>
    <row r="3602" spans="1:7" x14ac:dyDescent="0.25">
      <c r="A3602" t="s">
        <v>7</v>
      </c>
      <c r="B3602" t="s">
        <v>20</v>
      </c>
      <c r="C3602" t="s">
        <v>9</v>
      </c>
      <c r="D3602" t="s">
        <v>10</v>
      </c>
      <c r="E3602">
        <v>4</v>
      </c>
      <c r="F3602" s="1">
        <v>38442</v>
      </c>
      <c r="G3602">
        <v>5.6385948263557403E-2</v>
      </c>
    </row>
    <row r="3603" spans="1:7" x14ac:dyDescent="0.25">
      <c r="A3603" t="s">
        <v>7</v>
      </c>
      <c r="B3603" t="s">
        <v>20</v>
      </c>
      <c r="C3603" t="s">
        <v>9</v>
      </c>
      <c r="D3603" t="s">
        <v>10</v>
      </c>
      <c r="E3603">
        <v>4</v>
      </c>
      <c r="F3603" s="1">
        <v>38472</v>
      </c>
      <c r="G3603">
        <v>-1.2456484932287799E-2</v>
      </c>
    </row>
    <row r="3604" spans="1:7" x14ac:dyDescent="0.25">
      <c r="A3604" t="s">
        <v>7</v>
      </c>
      <c r="B3604" t="s">
        <v>20</v>
      </c>
      <c r="C3604" t="s">
        <v>9</v>
      </c>
      <c r="D3604" t="s">
        <v>10</v>
      </c>
      <c r="E3604">
        <v>4</v>
      </c>
      <c r="F3604" s="1">
        <v>38503</v>
      </c>
      <c r="G3604">
        <v>-4.5325049128324198E-2</v>
      </c>
    </row>
    <row r="3605" spans="1:7" x14ac:dyDescent="0.25">
      <c r="A3605" t="s">
        <v>7</v>
      </c>
      <c r="B3605" t="s">
        <v>20</v>
      </c>
      <c r="C3605" t="s">
        <v>9</v>
      </c>
      <c r="D3605" t="s">
        <v>10</v>
      </c>
      <c r="E3605">
        <v>4</v>
      </c>
      <c r="F3605" s="1">
        <v>38533</v>
      </c>
      <c r="G3605">
        <v>-1.41613435713947E-2</v>
      </c>
    </row>
    <row r="3606" spans="1:7" x14ac:dyDescent="0.25">
      <c r="A3606" t="s">
        <v>7</v>
      </c>
      <c r="B3606" t="s">
        <v>20</v>
      </c>
      <c r="C3606" t="s">
        <v>9</v>
      </c>
      <c r="D3606" t="s">
        <v>10</v>
      </c>
      <c r="E3606">
        <v>4</v>
      </c>
      <c r="F3606" s="1">
        <v>38564</v>
      </c>
      <c r="G3606">
        <v>6.9141879848123398E-3</v>
      </c>
    </row>
    <row r="3607" spans="1:7" x14ac:dyDescent="0.25">
      <c r="A3607" t="s">
        <v>7</v>
      </c>
      <c r="B3607" t="s">
        <v>20</v>
      </c>
      <c r="C3607" t="s">
        <v>9</v>
      </c>
      <c r="D3607" t="s">
        <v>10</v>
      </c>
      <c r="E3607">
        <v>4</v>
      </c>
      <c r="F3607" s="1">
        <v>38595</v>
      </c>
      <c r="G3607">
        <v>8.81034441479649E-3</v>
      </c>
    </row>
    <row r="3608" spans="1:7" x14ac:dyDescent="0.25">
      <c r="A3608" t="s">
        <v>7</v>
      </c>
      <c r="B3608" t="s">
        <v>20</v>
      </c>
      <c r="C3608" t="s">
        <v>9</v>
      </c>
      <c r="D3608" t="s">
        <v>10</v>
      </c>
      <c r="E3608">
        <v>4</v>
      </c>
      <c r="F3608" s="1">
        <v>38625</v>
      </c>
      <c r="G3608">
        <v>5.2373932307187503E-2</v>
      </c>
    </row>
    <row r="3609" spans="1:7" x14ac:dyDescent="0.25">
      <c r="A3609" t="s">
        <v>7</v>
      </c>
      <c r="B3609" t="s">
        <v>20</v>
      </c>
      <c r="C3609" t="s">
        <v>9</v>
      </c>
      <c r="D3609" t="s">
        <v>10</v>
      </c>
      <c r="E3609">
        <v>4</v>
      </c>
      <c r="F3609" s="1">
        <v>38656</v>
      </c>
      <c r="G3609">
        <v>9.7225782213983692E-3</v>
      </c>
    </row>
    <row r="3610" spans="1:7" x14ac:dyDescent="0.25">
      <c r="A3610" t="s">
        <v>7</v>
      </c>
      <c r="B3610" t="s">
        <v>20</v>
      </c>
      <c r="C3610" t="s">
        <v>9</v>
      </c>
      <c r="D3610" t="s">
        <v>10</v>
      </c>
      <c r="E3610">
        <v>5</v>
      </c>
      <c r="F3610" s="1">
        <v>38686</v>
      </c>
      <c r="G3610">
        <v>-7.7033040482085702E-3</v>
      </c>
    </row>
    <row r="3611" spans="1:7" x14ac:dyDescent="0.25">
      <c r="A3611" t="s">
        <v>7</v>
      </c>
      <c r="B3611" t="s">
        <v>20</v>
      </c>
      <c r="C3611" t="s">
        <v>9</v>
      </c>
      <c r="D3611" t="s">
        <v>10</v>
      </c>
      <c r="E3611">
        <v>4</v>
      </c>
      <c r="F3611" s="1">
        <v>38717</v>
      </c>
      <c r="G3611">
        <v>0.156369562635369</v>
      </c>
    </row>
    <row r="3612" spans="1:7" x14ac:dyDescent="0.25">
      <c r="A3612" t="s">
        <v>7</v>
      </c>
      <c r="B3612" t="s">
        <v>20</v>
      </c>
      <c r="C3612" t="s">
        <v>9</v>
      </c>
      <c r="D3612" t="s">
        <v>10</v>
      </c>
      <c r="E3612">
        <v>4</v>
      </c>
      <c r="F3612" s="1">
        <v>38748</v>
      </c>
      <c r="G3612">
        <v>1.90261720016511E-2</v>
      </c>
    </row>
    <row r="3613" spans="1:7" x14ac:dyDescent="0.25">
      <c r="A3613" t="s">
        <v>7</v>
      </c>
      <c r="B3613" t="s">
        <v>20</v>
      </c>
      <c r="C3613" t="s">
        <v>9</v>
      </c>
      <c r="D3613" t="s">
        <v>10</v>
      </c>
      <c r="E3613">
        <v>5</v>
      </c>
      <c r="F3613" s="1">
        <v>38776</v>
      </c>
      <c r="G3613">
        <v>3.6518639597759001E-2</v>
      </c>
    </row>
    <row r="3614" spans="1:7" x14ac:dyDescent="0.25">
      <c r="A3614" t="s">
        <v>7</v>
      </c>
      <c r="B3614" t="s">
        <v>20</v>
      </c>
      <c r="C3614" t="s">
        <v>9</v>
      </c>
      <c r="D3614" t="s">
        <v>10</v>
      </c>
      <c r="E3614">
        <v>6</v>
      </c>
      <c r="F3614" s="1">
        <v>38807</v>
      </c>
      <c r="G3614">
        <v>1.7407936949715201E-2</v>
      </c>
    </row>
    <row r="3615" spans="1:7" x14ac:dyDescent="0.25">
      <c r="A3615" t="s">
        <v>7</v>
      </c>
      <c r="B3615" t="s">
        <v>20</v>
      </c>
      <c r="C3615" t="s">
        <v>9</v>
      </c>
      <c r="D3615" t="s">
        <v>10</v>
      </c>
      <c r="E3615">
        <v>6</v>
      </c>
      <c r="F3615" s="1">
        <v>38837</v>
      </c>
      <c r="G3615">
        <v>-1.52881670247991E-2</v>
      </c>
    </row>
    <row r="3616" spans="1:7" x14ac:dyDescent="0.25">
      <c r="A3616" t="s">
        <v>7</v>
      </c>
      <c r="B3616" t="s">
        <v>20</v>
      </c>
      <c r="C3616" t="s">
        <v>9</v>
      </c>
      <c r="D3616" t="s">
        <v>10</v>
      </c>
      <c r="E3616">
        <v>6</v>
      </c>
      <c r="F3616" s="1">
        <v>38868</v>
      </c>
      <c r="G3616">
        <v>4.8425053686339901E-3</v>
      </c>
    </row>
    <row r="3617" spans="1:7" x14ac:dyDescent="0.25">
      <c r="A3617" t="s">
        <v>7</v>
      </c>
      <c r="B3617" t="s">
        <v>20</v>
      </c>
      <c r="C3617" t="s">
        <v>9</v>
      </c>
      <c r="D3617" t="s">
        <v>10</v>
      </c>
      <c r="E3617">
        <v>6</v>
      </c>
      <c r="F3617" s="1">
        <v>38898</v>
      </c>
      <c r="G3617">
        <v>-1.2355504629546999E-2</v>
      </c>
    </row>
    <row r="3618" spans="1:7" x14ac:dyDescent="0.25">
      <c r="A3618" t="s">
        <v>7</v>
      </c>
      <c r="B3618" t="s">
        <v>20</v>
      </c>
      <c r="C3618" t="s">
        <v>9</v>
      </c>
      <c r="D3618" t="s">
        <v>10</v>
      </c>
      <c r="E3618">
        <v>6</v>
      </c>
      <c r="F3618" s="1">
        <v>38929</v>
      </c>
      <c r="G3618">
        <v>-3.5290919680809798E-3</v>
      </c>
    </row>
    <row r="3619" spans="1:7" x14ac:dyDescent="0.25">
      <c r="A3619" t="s">
        <v>7</v>
      </c>
      <c r="B3619" t="s">
        <v>20</v>
      </c>
      <c r="C3619" t="s">
        <v>9</v>
      </c>
      <c r="D3619" t="s">
        <v>10</v>
      </c>
      <c r="E3619">
        <v>6</v>
      </c>
      <c r="F3619" s="1">
        <v>38960</v>
      </c>
      <c r="G3619">
        <v>-1.69142347368644E-2</v>
      </c>
    </row>
    <row r="3620" spans="1:7" x14ac:dyDescent="0.25">
      <c r="A3620" t="s">
        <v>7</v>
      </c>
      <c r="B3620" t="s">
        <v>20</v>
      </c>
      <c r="C3620" t="s">
        <v>9</v>
      </c>
      <c r="D3620" t="s">
        <v>10</v>
      </c>
      <c r="E3620">
        <v>5</v>
      </c>
      <c r="F3620" s="1">
        <v>38990</v>
      </c>
      <c r="G3620">
        <v>-1.43949619620421E-2</v>
      </c>
    </row>
    <row r="3621" spans="1:7" x14ac:dyDescent="0.25">
      <c r="A3621" t="s">
        <v>7</v>
      </c>
      <c r="B3621" t="s">
        <v>20</v>
      </c>
      <c r="C3621" t="s">
        <v>9</v>
      </c>
      <c r="D3621" t="s">
        <v>10</v>
      </c>
      <c r="E3621">
        <v>5</v>
      </c>
      <c r="F3621" s="1">
        <v>39021</v>
      </c>
      <c r="G3621">
        <v>1.7676643687328401E-2</v>
      </c>
    </row>
    <row r="3622" spans="1:7" x14ac:dyDescent="0.25">
      <c r="A3622" t="s">
        <v>7</v>
      </c>
      <c r="B3622" t="s">
        <v>20</v>
      </c>
      <c r="C3622" t="s">
        <v>9</v>
      </c>
      <c r="D3622" t="s">
        <v>10</v>
      </c>
      <c r="E3622">
        <v>5</v>
      </c>
      <c r="F3622" s="1">
        <v>39051</v>
      </c>
      <c r="G3622">
        <v>-3.0415627600708702E-3</v>
      </c>
    </row>
    <row r="3623" spans="1:7" x14ac:dyDescent="0.25">
      <c r="A3623" t="s">
        <v>7</v>
      </c>
      <c r="B3623" t="s">
        <v>20</v>
      </c>
      <c r="C3623" t="s">
        <v>9</v>
      </c>
      <c r="D3623" t="s">
        <v>10</v>
      </c>
      <c r="E3623">
        <v>6</v>
      </c>
      <c r="F3623" s="1">
        <v>39082</v>
      </c>
      <c r="G3623">
        <v>7.5302768423198203E-4</v>
      </c>
    </row>
    <row r="3624" spans="1:7" x14ac:dyDescent="0.25">
      <c r="A3624" t="s">
        <v>7</v>
      </c>
      <c r="B3624" t="s">
        <v>20</v>
      </c>
      <c r="C3624" t="s">
        <v>9</v>
      </c>
      <c r="D3624" t="s">
        <v>10</v>
      </c>
      <c r="E3624">
        <v>6</v>
      </c>
      <c r="F3624" s="1">
        <v>39113</v>
      </c>
      <c r="G3624">
        <v>1.47408888270431E-2</v>
      </c>
    </row>
    <row r="3625" spans="1:7" x14ac:dyDescent="0.25">
      <c r="A3625" t="s">
        <v>7</v>
      </c>
      <c r="B3625" t="s">
        <v>20</v>
      </c>
      <c r="C3625" t="s">
        <v>9</v>
      </c>
      <c r="D3625" t="s">
        <v>10</v>
      </c>
      <c r="E3625">
        <v>6</v>
      </c>
      <c r="F3625" s="1">
        <v>39141</v>
      </c>
      <c r="G3625">
        <v>4.3359465991813699E-4</v>
      </c>
    </row>
    <row r="3626" spans="1:7" x14ac:dyDescent="0.25">
      <c r="A3626" t="s">
        <v>7</v>
      </c>
      <c r="B3626" t="s">
        <v>20</v>
      </c>
      <c r="C3626" t="s">
        <v>9</v>
      </c>
      <c r="D3626" t="s">
        <v>10</v>
      </c>
      <c r="E3626">
        <v>5</v>
      </c>
      <c r="F3626" s="1">
        <v>39172</v>
      </c>
      <c r="G3626">
        <v>-1.19233221405584E-2</v>
      </c>
    </row>
    <row r="3627" spans="1:7" x14ac:dyDescent="0.25">
      <c r="A3627" t="s">
        <v>7</v>
      </c>
      <c r="B3627" t="s">
        <v>20</v>
      </c>
      <c r="C3627" t="s">
        <v>9</v>
      </c>
      <c r="D3627" t="s">
        <v>10</v>
      </c>
      <c r="E3627">
        <v>5</v>
      </c>
      <c r="F3627" s="1">
        <v>39202</v>
      </c>
      <c r="G3627">
        <v>2.62734438897223E-2</v>
      </c>
    </row>
    <row r="3628" spans="1:7" x14ac:dyDescent="0.25">
      <c r="A3628" t="s">
        <v>7</v>
      </c>
      <c r="B3628" t="s">
        <v>20</v>
      </c>
      <c r="C3628" t="s">
        <v>9</v>
      </c>
      <c r="D3628" t="s">
        <v>10</v>
      </c>
      <c r="E3628">
        <v>5</v>
      </c>
      <c r="F3628" s="1">
        <v>39233</v>
      </c>
      <c r="G3628">
        <v>1.81569878910725E-2</v>
      </c>
    </row>
    <row r="3629" spans="1:7" x14ac:dyDescent="0.25">
      <c r="A3629" t="s">
        <v>7</v>
      </c>
      <c r="B3629" t="s">
        <v>20</v>
      </c>
      <c r="C3629" t="s">
        <v>9</v>
      </c>
      <c r="D3629" t="s">
        <v>10</v>
      </c>
      <c r="E3629">
        <v>6</v>
      </c>
      <c r="F3629" s="1">
        <v>39263</v>
      </c>
      <c r="G3629">
        <v>1.5322195384643401E-2</v>
      </c>
    </row>
    <row r="3630" spans="1:7" x14ac:dyDescent="0.25">
      <c r="A3630" t="s">
        <v>7</v>
      </c>
      <c r="B3630" t="s">
        <v>20</v>
      </c>
      <c r="C3630" t="s">
        <v>9</v>
      </c>
      <c r="D3630" t="s">
        <v>10</v>
      </c>
      <c r="E3630">
        <v>5</v>
      </c>
      <c r="F3630" s="1">
        <v>39294</v>
      </c>
      <c r="G3630">
        <v>1.5251450014187201E-3</v>
      </c>
    </row>
    <row r="3631" spans="1:7" x14ac:dyDescent="0.25">
      <c r="A3631" t="s">
        <v>7</v>
      </c>
      <c r="B3631" t="s">
        <v>20</v>
      </c>
      <c r="C3631" t="s">
        <v>9</v>
      </c>
      <c r="D3631" t="s">
        <v>10</v>
      </c>
      <c r="E3631">
        <v>6</v>
      </c>
      <c r="F3631" s="1">
        <v>39325</v>
      </c>
      <c r="G3631">
        <v>-7.0617088554474801E-3</v>
      </c>
    </row>
    <row r="3632" spans="1:7" x14ac:dyDescent="0.25">
      <c r="A3632" t="s">
        <v>7</v>
      </c>
      <c r="B3632" t="s">
        <v>20</v>
      </c>
      <c r="C3632" t="s">
        <v>9</v>
      </c>
      <c r="D3632" t="s">
        <v>10</v>
      </c>
      <c r="E3632">
        <v>6</v>
      </c>
      <c r="F3632" s="1">
        <v>39355</v>
      </c>
      <c r="G3632">
        <v>-1.3075665574576701E-2</v>
      </c>
    </row>
    <row r="3633" spans="1:7" x14ac:dyDescent="0.25">
      <c r="A3633" t="s">
        <v>7</v>
      </c>
      <c r="B3633" t="s">
        <v>20</v>
      </c>
      <c r="C3633" t="s">
        <v>9</v>
      </c>
      <c r="D3633" t="s">
        <v>10</v>
      </c>
      <c r="E3633">
        <v>6</v>
      </c>
      <c r="F3633" s="1">
        <v>39386</v>
      </c>
      <c r="G3633">
        <v>3.0371163328379799E-2</v>
      </c>
    </row>
    <row r="3634" spans="1:7" x14ac:dyDescent="0.25">
      <c r="A3634" t="s">
        <v>7</v>
      </c>
      <c r="B3634" t="s">
        <v>20</v>
      </c>
      <c r="C3634" t="s">
        <v>9</v>
      </c>
      <c r="D3634" t="s">
        <v>10</v>
      </c>
      <c r="E3634">
        <v>6</v>
      </c>
      <c r="F3634" s="1">
        <v>39416</v>
      </c>
      <c r="G3634">
        <v>-5.7986373721277502E-3</v>
      </c>
    </row>
    <row r="3635" spans="1:7" x14ac:dyDescent="0.25">
      <c r="A3635" t="s">
        <v>7</v>
      </c>
      <c r="B3635" t="s">
        <v>20</v>
      </c>
      <c r="C3635" t="s">
        <v>9</v>
      </c>
      <c r="D3635" t="s">
        <v>10</v>
      </c>
      <c r="E3635">
        <v>6</v>
      </c>
      <c r="F3635" s="1">
        <v>39447</v>
      </c>
      <c r="G3635">
        <v>-1.0219827863802799E-2</v>
      </c>
    </row>
    <row r="3636" spans="1:7" x14ac:dyDescent="0.25">
      <c r="A3636" t="s">
        <v>7</v>
      </c>
      <c r="B3636" t="s">
        <v>20</v>
      </c>
      <c r="C3636" t="s">
        <v>9</v>
      </c>
      <c r="D3636" t="s">
        <v>10</v>
      </c>
      <c r="E3636">
        <v>6</v>
      </c>
      <c r="F3636" s="1">
        <v>39478</v>
      </c>
      <c r="G3636">
        <v>-4.4622115833595898E-2</v>
      </c>
    </row>
    <row r="3637" spans="1:7" x14ac:dyDescent="0.25">
      <c r="A3637" t="s">
        <v>7</v>
      </c>
      <c r="B3637" t="s">
        <v>20</v>
      </c>
      <c r="C3637" t="s">
        <v>9</v>
      </c>
      <c r="D3637" t="s">
        <v>10</v>
      </c>
      <c r="E3637">
        <v>6</v>
      </c>
      <c r="F3637" s="1">
        <v>39507</v>
      </c>
      <c r="G3637">
        <v>1.26585158490315E-2</v>
      </c>
    </row>
    <row r="3638" spans="1:7" x14ac:dyDescent="0.25">
      <c r="A3638" t="s">
        <v>7</v>
      </c>
      <c r="B3638" t="s">
        <v>20</v>
      </c>
      <c r="C3638" t="s">
        <v>9</v>
      </c>
      <c r="D3638" t="s">
        <v>10</v>
      </c>
      <c r="E3638">
        <v>6</v>
      </c>
      <c r="F3638" s="1">
        <v>39538</v>
      </c>
      <c r="G3638">
        <v>3.2995416676336903E-2</v>
      </c>
    </row>
    <row r="3639" spans="1:7" x14ac:dyDescent="0.25">
      <c r="A3639" t="s">
        <v>7</v>
      </c>
      <c r="B3639" t="s">
        <v>20</v>
      </c>
      <c r="C3639" t="s">
        <v>9</v>
      </c>
      <c r="D3639" t="s">
        <v>10</v>
      </c>
      <c r="E3639">
        <v>6</v>
      </c>
      <c r="F3639" s="1">
        <v>39568</v>
      </c>
      <c r="G3639">
        <v>-2.49274787414686E-3</v>
      </c>
    </row>
    <row r="3640" spans="1:7" x14ac:dyDescent="0.25">
      <c r="A3640" t="s">
        <v>7</v>
      </c>
      <c r="B3640" t="s">
        <v>20</v>
      </c>
      <c r="C3640" t="s">
        <v>9</v>
      </c>
      <c r="D3640" t="s">
        <v>10</v>
      </c>
      <c r="E3640">
        <v>6</v>
      </c>
      <c r="F3640" s="1">
        <v>39599</v>
      </c>
      <c r="G3640">
        <v>1.1437254264623799E-2</v>
      </c>
    </row>
    <row r="3641" spans="1:7" x14ac:dyDescent="0.25">
      <c r="A3641" t="s">
        <v>7</v>
      </c>
      <c r="B3641" t="s">
        <v>20</v>
      </c>
      <c r="C3641" t="s">
        <v>9</v>
      </c>
      <c r="D3641" t="s">
        <v>10</v>
      </c>
      <c r="E3641">
        <v>6</v>
      </c>
      <c r="F3641" s="1">
        <v>39629</v>
      </c>
      <c r="G3641">
        <v>6.8925201049523099E-3</v>
      </c>
    </row>
    <row r="3642" spans="1:7" x14ac:dyDescent="0.25">
      <c r="A3642" t="s">
        <v>7</v>
      </c>
      <c r="B3642" t="s">
        <v>20</v>
      </c>
      <c r="C3642" t="s">
        <v>9</v>
      </c>
      <c r="D3642" t="s">
        <v>10</v>
      </c>
      <c r="E3642">
        <v>6</v>
      </c>
      <c r="F3642" s="1">
        <v>39660</v>
      </c>
      <c r="G3642">
        <v>1.19032402043602E-3</v>
      </c>
    </row>
    <row r="3643" spans="1:7" x14ac:dyDescent="0.25">
      <c r="A3643" t="s">
        <v>7</v>
      </c>
      <c r="B3643" t="s">
        <v>20</v>
      </c>
      <c r="C3643" t="s">
        <v>9</v>
      </c>
      <c r="D3643" t="s">
        <v>10</v>
      </c>
      <c r="E3643">
        <v>6</v>
      </c>
      <c r="F3643" s="1">
        <v>39691</v>
      </c>
      <c r="G3643">
        <v>-4.6845033934750499E-3</v>
      </c>
    </row>
    <row r="3644" spans="1:7" x14ac:dyDescent="0.25">
      <c r="A3644" t="s">
        <v>7</v>
      </c>
      <c r="B3644" t="s">
        <v>20</v>
      </c>
      <c r="C3644" t="s">
        <v>9</v>
      </c>
      <c r="D3644" t="s">
        <v>10</v>
      </c>
      <c r="E3644">
        <v>6</v>
      </c>
      <c r="F3644" s="1">
        <v>39721</v>
      </c>
      <c r="G3644">
        <v>1.7056301042855299E-2</v>
      </c>
    </row>
    <row r="3645" spans="1:7" x14ac:dyDescent="0.25">
      <c r="A3645" t="s">
        <v>7</v>
      </c>
      <c r="B3645" t="s">
        <v>20</v>
      </c>
      <c r="C3645" t="s">
        <v>9</v>
      </c>
      <c r="D3645" t="s">
        <v>10</v>
      </c>
      <c r="E3645">
        <v>6</v>
      </c>
      <c r="F3645" s="1">
        <v>39752</v>
      </c>
      <c r="G3645">
        <v>-1.2752833481725699E-2</v>
      </c>
    </row>
    <row r="3646" spans="1:7" x14ac:dyDescent="0.25">
      <c r="A3646" t="s">
        <v>7</v>
      </c>
      <c r="B3646" t="s">
        <v>20</v>
      </c>
      <c r="C3646" t="s">
        <v>9</v>
      </c>
      <c r="D3646" t="s">
        <v>10</v>
      </c>
      <c r="E3646">
        <v>6</v>
      </c>
      <c r="F3646" s="1">
        <v>39782</v>
      </c>
      <c r="G3646">
        <v>-3.5218583958885003E-4</v>
      </c>
    </row>
    <row r="3647" spans="1:7" x14ac:dyDescent="0.25">
      <c r="A3647" t="s">
        <v>7</v>
      </c>
      <c r="B3647" t="s">
        <v>20</v>
      </c>
      <c r="C3647" t="s">
        <v>9</v>
      </c>
      <c r="D3647" t="s">
        <v>10</v>
      </c>
      <c r="E3647">
        <v>6</v>
      </c>
      <c r="F3647" s="1">
        <v>39813</v>
      </c>
      <c r="G3647">
        <v>5.9721374152434401E-3</v>
      </c>
    </row>
    <row r="3648" spans="1:7" x14ac:dyDescent="0.25">
      <c r="A3648" t="s">
        <v>7</v>
      </c>
      <c r="B3648" t="s">
        <v>20</v>
      </c>
      <c r="C3648" t="s">
        <v>9</v>
      </c>
      <c r="D3648" t="s">
        <v>10</v>
      </c>
      <c r="E3648">
        <v>5</v>
      </c>
      <c r="F3648" s="1">
        <v>39844</v>
      </c>
      <c r="G3648">
        <v>3.5773393957014101E-3</v>
      </c>
    </row>
    <row r="3649" spans="1:7" x14ac:dyDescent="0.25">
      <c r="A3649" t="s">
        <v>7</v>
      </c>
      <c r="B3649" t="s">
        <v>20</v>
      </c>
      <c r="C3649" t="s">
        <v>9</v>
      </c>
      <c r="D3649" t="s">
        <v>10</v>
      </c>
      <c r="E3649">
        <v>6</v>
      </c>
      <c r="F3649" s="1">
        <v>39872</v>
      </c>
      <c r="G3649">
        <v>2.92965721076082E-2</v>
      </c>
    </row>
    <row r="3650" spans="1:7" x14ac:dyDescent="0.25">
      <c r="A3650" t="s">
        <v>7</v>
      </c>
      <c r="B3650" t="s">
        <v>20</v>
      </c>
      <c r="C3650" t="s">
        <v>9</v>
      </c>
      <c r="D3650" t="s">
        <v>10</v>
      </c>
      <c r="E3650">
        <v>6</v>
      </c>
      <c r="F3650" s="1">
        <v>39903</v>
      </c>
      <c r="G3650">
        <v>6.9894330597869798E-3</v>
      </c>
    </row>
    <row r="3651" spans="1:7" x14ac:dyDescent="0.25">
      <c r="A3651" t="s">
        <v>7</v>
      </c>
      <c r="B3651" t="s">
        <v>20</v>
      </c>
      <c r="C3651" t="s">
        <v>9</v>
      </c>
      <c r="D3651" t="s">
        <v>10</v>
      </c>
      <c r="E3651">
        <v>6</v>
      </c>
      <c r="F3651" s="1">
        <v>39933</v>
      </c>
      <c r="G3651">
        <v>-6.0683996049236598E-2</v>
      </c>
    </row>
    <row r="3652" spans="1:7" x14ac:dyDescent="0.25">
      <c r="A3652" t="s">
        <v>7</v>
      </c>
      <c r="B3652" t="s">
        <v>20</v>
      </c>
      <c r="C3652" t="s">
        <v>9</v>
      </c>
      <c r="D3652" t="s">
        <v>10</v>
      </c>
      <c r="E3652">
        <v>6</v>
      </c>
      <c r="F3652" s="1">
        <v>39964</v>
      </c>
      <c r="G3652">
        <v>-1.5221475283412901E-2</v>
      </c>
    </row>
    <row r="3653" spans="1:7" x14ac:dyDescent="0.25">
      <c r="A3653" t="s">
        <v>7</v>
      </c>
      <c r="B3653" t="s">
        <v>20</v>
      </c>
      <c r="C3653" t="s">
        <v>9</v>
      </c>
      <c r="D3653" t="s">
        <v>10</v>
      </c>
      <c r="E3653">
        <v>6</v>
      </c>
      <c r="F3653" s="1">
        <v>39994</v>
      </c>
      <c r="G3653">
        <v>1.28949014537206E-2</v>
      </c>
    </row>
    <row r="3654" spans="1:7" x14ac:dyDescent="0.25">
      <c r="A3654" t="s">
        <v>7</v>
      </c>
      <c r="B3654" t="s">
        <v>20</v>
      </c>
      <c r="C3654" t="s">
        <v>9</v>
      </c>
      <c r="D3654" t="s">
        <v>10</v>
      </c>
      <c r="E3654">
        <v>6</v>
      </c>
      <c r="F3654" s="1">
        <v>40025</v>
      </c>
      <c r="G3654">
        <v>1.14246570837309E-2</v>
      </c>
    </row>
    <row r="3655" spans="1:7" x14ac:dyDescent="0.25">
      <c r="A3655" t="s">
        <v>7</v>
      </c>
      <c r="B3655" t="s">
        <v>20</v>
      </c>
      <c r="C3655" t="s">
        <v>9</v>
      </c>
      <c r="D3655" t="s">
        <v>10</v>
      </c>
      <c r="E3655">
        <v>6</v>
      </c>
      <c r="F3655" s="1">
        <v>40056</v>
      </c>
      <c r="G3655">
        <v>-3.1718118647165098E-3</v>
      </c>
    </row>
    <row r="3656" spans="1:7" x14ac:dyDescent="0.25">
      <c r="A3656" t="s">
        <v>7</v>
      </c>
      <c r="B3656" t="s">
        <v>20</v>
      </c>
      <c r="C3656" t="s">
        <v>9</v>
      </c>
      <c r="D3656" t="s">
        <v>10</v>
      </c>
      <c r="E3656">
        <v>6</v>
      </c>
      <c r="F3656" s="1">
        <v>40086</v>
      </c>
      <c r="G3656">
        <v>-8.0248662256187202E-3</v>
      </c>
    </row>
    <row r="3657" spans="1:7" x14ac:dyDescent="0.25">
      <c r="A3657" t="s">
        <v>7</v>
      </c>
      <c r="B3657" t="s">
        <v>20</v>
      </c>
      <c r="C3657" t="s">
        <v>9</v>
      </c>
      <c r="D3657" t="s">
        <v>10</v>
      </c>
      <c r="E3657">
        <v>6</v>
      </c>
      <c r="F3657" s="1">
        <v>40117</v>
      </c>
      <c r="G3657">
        <v>8.4883032849827501E-3</v>
      </c>
    </row>
    <row r="3658" spans="1:7" x14ac:dyDescent="0.25">
      <c r="A3658" t="s">
        <v>7</v>
      </c>
      <c r="B3658" t="s">
        <v>20</v>
      </c>
      <c r="C3658" t="s">
        <v>9</v>
      </c>
      <c r="D3658" t="s">
        <v>10</v>
      </c>
      <c r="E3658">
        <v>6</v>
      </c>
      <c r="F3658" s="1">
        <v>40147</v>
      </c>
      <c r="G3658">
        <v>-1.6654974628109099E-2</v>
      </c>
    </row>
    <row r="3659" spans="1:7" x14ac:dyDescent="0.25">
      <c r="A3659" t="s">
        <v>7</v>
      </c>
      <c r="B3659" t="s">
        <v>20</v>
      </c>
      <c r="C3659" t="s">
        <v>9</v>
      </c>
      <c r="D3659" t="s">
        <v>10</v>
      </c>
      <c r="E3659">
        <v>6</v>
      </c>
      <c r="F3659" s="1">
        <v>40178</v>
      </c>
      <c r="G3659">
        <v>1.3609423647155099E-2</v>
      </c>
    </row>
    <row r="3660" spans="1:7" x14ac:dyDescent="0.25">
      <c r="A3660" t="s">
        <v>7</v>
      </c>
      <c r="B3660" t="s">
        <v>20</v>
      </c>
      <c r="C3660" t="s">
        <v>9</v>
      </c>
      <c r="D3660" t="s">
        <v>10</v>
      </c>
      <c r="E3660">
        <v>6</v>
      </c>
      <c r="F3660" s="1">
        <v>40209</v>
      </c>
      <c r="G3660">
        <v>-5.3516071390169902E-2</v>
      </c>
    </row>
    <row r="3661" spans="1:7" x14ac:dyDescent="0.25">
      <c r="A3661" t="s">
        <v>7</v>
      </c>
      <c r="B3661" t="s">
        <v>20</v>
      </c>
      <c r="C3661" t="s">
        <v>9</v>
      </c>
      <c r="D3661" t="s">
        <v>10</v>
      </c>
      <c r="E3661">
        <v>6</v>
      </c>
      <c r="F3661" s="1">
        <v>40237</v>
      </c>
      <c r="G3661">
        <v>2.3264120140213399E-2</v>
      </c>
    </row>
    <row r="3662" spans="1:7" x14ac:dyDescent="0.25">
      <c r="A3662" t="s">
        <v>7</v>
      </c>
      <c r="B3662" t="s">
        <v>20</v>
      </c>
      <c r="C3662" t="s">
        <v>9</v>
      </c>
      <c r="D3662" t="s">
        <v>10</v>
      </c>
      <c r="E3662">
        <v>6</v>
      </c>
      <c r="F3662" s="1">
        <v>40268</v>
      </c>
      <c r="G3662">
        <v>7.12777723871281E-3</v>
      </c>
    </row>
    <row r="3663" spans="1:7" x14ac:dyDescent="0.25">
      <c r="A3663" t="s">
        <v>7</v>
      </c>
      <c r="B3663" t="s">
        <v>20</v>
      </c>
      <c r="C3663" t="s">
        <v>9</v>
      </c>
      <c r="D3663" t="s">
        <v>10</v>
      </c>
      <c r="E3663">
        <v>6</v>
      </c>
      <c r="F3663" s="1">
        <v>40298</v>
      </c>
      <c r="G3663">
        <v>2.5313823549580401E-2</v>
      </c>
    </row>
    <row r="3664" spans="1:7" x14ac:dyDescent="0.25">
      <c r="A3664" t="s">
        <v>7</v>
      </c>
      <c r="B3664" t="s">
        <v>20</v>
      </c>
      <c r="C3664" t="s">
        <v>9</v>
      </c>
      <c r="D3664" t="s">
        <v>10</v>
      </c>
      <c r="E3664">
        <v>6</v>
      </c>
      <c r="F3664" s="1">
        <v>40329</v>
      </c>
      <c r="G3664">
        <v>-1.39795574972466E-2</v>
      </c>
    </row>
    <row r="3665" spans="1:7" x14ac:dyDescent="0.25">
      <c r="A3665" t="s">
        <v>7</v>
      </c>
      <c r="B3665" t="s">
        <v>20</v>
      </c>
      <c r="C3665" t="s">
        <v>9</v>
      </c>
      <c r="D3665" t="s">
        <v>10</v>
      </c>
      <c r="E3665">
        <v>6</v>
      </c>
      <c r="F3665" s="1">
        <v>40359</v>
      </c>
      <c r="G3665">
        <v>-1.0743779218918E-2</v>
      </c>
    </row>
    <row r="3666" spans="1:7" x14ac:dyDescent="0.25">
      <c r="A3666" t="s">
        <v>7</v>
      </c>
      <c r="B3666" t="s">
        <v>20</v>
      </c>
      <c r="C3666" t="s">
        <v>9</v>
      </c>
      <c r="D3666" t="s">
        <v>10</v>
      </c>
      <c r="E3666">
        <v>6</v>
      </c>
      <c r="F3666" s="1">
        <v>40390</v>
      </c>
      <c r="G3666">
        <v>-1.5455146620187101E-2</v>
      </c>
    </row>
    <row r="3667" spans="1:7" x14ac:dyDescent="0.25">
      <c r="A3667" t="s">
        <v>7</v>
      </c>
      <c r="B3667" t="s">
        <v>20</v>
      </c>
      <c r="C3667" t="s">
        <v>9</v>
      </c>
      <c r="D3667" t="s">
        <v>10</v>
      </c>
      <c r="E3667">
        <v>6</v>
      </c>
      <c r="F3667" s="1">
        <v>40421</v>
      </c>
      <c r="G3667">
        <v>2.2599565230919199E-2</v>
      </c>
    </row>
    <row r="3668" spans="1:7" x14ac:dyDescent="0.25">
      <c r="A3668" t="s">
        <v>7</v>
      </c>
      <c r="B3668" t="s">
        <v>20</v>
      </c>
      <c r="C3668" t="s">
        <v>9</v>
      </c>
      <c r="D3668" t="s">
        <v>10</v>
      </c>
      <c r="E3668">
        <v>6</v>
      </c>
      <c r="F3668" s="1">
        <v>40451</v>
      </c>
      <c r="G3668">
        <v>7.5573938071955898E-3</v>
      </c>
    </row>
    <row r="3669" spans="1:7" x14ac:dyDescent="0.25">
      <c r="A3669" t="s">
        <v>7</v>
      </c>
      <c r="B3669" t="s">
        <v>20</v>
      </c>
      <c r="C3669" t="s">
        <v>9</v>
      </c>
      <c r="D3669" t="s">
        <v>10</v>
      </c>
      <c r="E3669">
        <v>6</v>
      </c>
      <c r="F3669" s="1">
        <v>40482</v>
      </c>
      <c r="G3669">
        <v>-4.1215985593560801E-2</v>
      </c>
    </row>
    <row r="3670" spans="1:7" x14ac:dyDescent="0.25">
      <c r="A3670" t="s">
        <v>7</v>
      </c>
      <c r="B3670" t="s">
        <v>20</v>
      </c>
      <c r="C3670" t="s">
        <v>9</v>
      </c>
      <c r="D3670" t="s">
        <v>10</v>
      </c>
      <c r="E3670">
        <v>6</v>
      </c>
      <c r="F3670" s="1">
        <v>40512</v>
      </c>
      <c r="G3670">
        <v>-9.3913107973252596E-3</v>
      </c>
    </row>
    <row r="3671" spans="1:7" x14ac:dyDescent="0.25">
      <c r="A3671" t="s">
        <v>7</v>
      </c>
      <c r="B3671" t="s">
        <v>20</v>
      </c>
      <c r="C3671" t="s">
        <v>9</v>
      </c>
      <c r="D3671" t="s">
        <v>10</v>
      </c>
      <c r="E3671">
        <v>6</v>
      </c>
      <c r="F3671" s="1">
        <v>40543</v>
      </c>
      <c r="G3671">
        <v>-1.55839927218724E-2</v>
      </c>
    </row>
    <row r="3672" spans="1:7" x14ac:dyDescent="0.25">
      <c r="A3672" t="s">
        <v>7</v>
      </c>
      <c r="B3672" t="s">
        <v>20</v>
      </c>
      <c r="C3672" t="s">
        <v>9</v>
      </c>
      <c r="D3672" t="s">
        <v>10</v>
      </c>
      <c r="E3672">
        <v>6</v>
      </c>
      <c r="F3672" s="1">
        <v>40574</v>
      </c>
      <c r="G3672">
        <v>-1.38441450270139E-2</v>
      </c>
    </row>
    <row r="3673" spans="1:7" x14ac:dyDescent="0.25">
      <c r="A3673" t="s">
        <v>7</v>
      </c>
      <c r="B3673" t="s">
        <v>20</v>
      </c>
      <c r="C3673" t="s">
        <v>9</v>
      </c>
      <c r="D3673" t="s">
        <v>10</v>
      </c>
      <c r="E3673">
        <v>6</v>
      </c>
      <c r="F3673" s="1">
        <v>40602</v>
      </c>
      <c r="G3673">
        <v>-1.00619396546159E-2</v>
      </c>
    </row>
    <row r="3674" spans="1:7" x14ac:dyDescent="0.25">
      <c r="A3674" t="s">
        <v>7</v>
      </c>
      <c r="B3674" t="s">
        <v>20</v>
      </c>
      <c r="C3674" t="s">
        <v>9</v>
      </c>
      <c r="D3674" t="s">
        <v>10</v>
      </c>
      <c r="E3674">
        <v>6</v>
      </c>
      <c r="F3674" s="1">
        <v>40633</v>
      </c>
      <c r="G3674">
        <v>-1.9864322448790502E-2</v>
      </c>
    </row>
    <row r="3675" spans="1:7" x14ac:dyDescent="0.25">
      <c r="A3675" t="s">
        <v>7</v>
      </c>
      <c r="B3675" t="s">
        <v>20</v>
      </c>
      <c r="C3675" t="s">
        <v>9</v>
      </c>
      <c r="D3675" t="s">
        <v>10</v>
      </c>
      <c r="E3675">
        <v>6</v>
      </c>
      <c r="F3675" s="1">
        <v>40663</v>
      </c>
      <c r="G3675">
        <v>-1.8544802940090699E-2</v>
      </c>
    </row>
    <row r="3676" spans="1:7" x14ac:dyDescent="0.25">
      <c r="A3676" t="s">
        <v>7</v>
      </c>
      <c r="B3676" t="s">
        <v>20</v>
      </c>
      <c r="C3676" t="s">
        <v>9</v>
      </c>
      <c r="D3676" t="s">
        <v>10</v>
      </c>
      <c r="E3676">
        <v>6</v>
      </c>
      <c r="F3676" s="1">
        <v>40694</v>
      </c>
      <c r="G3676">
        <v>1.21771594222954E-2</v>
      </c>
    </row>
    <row r="3677" spans="1:7" x14ac:dyDescent="0.25">
      <c r="A3677" t="s">
        <v>7</v>
      </c>
      <c r="B3677" t="s">
        <v>20</v>
      </c>
      <c r="C3677" t="s">
        <v>9</v>
      </c>
      <c r="D3677" t="s">
        <v>10</v>
      </c>
      <c r="E3677">
        <v>6</v>
      </c>
      <c r="F3677" s="1">
        <v>40724</v>
      </c>
      <c r="G3677">
        <v>-5.0619788364027404E-3</v>
      </c>
    </row>
    <row r="3678" spans="1:7" x14ac:dyDescent="0.25">
      <c r="A3678" t="s">
        <v>7</v>
      </c>
      <c r="B3678" t="s">
        <v>20</v>
      </c>
      <c r="C3678" t="s">
        <v>9</v>
      </c>
      <c r="D3678" t="s">
        <v>10</v>
      </c>
      <c r="E3678">
        <v>6</v>
      </c>
      <c r="F3678" s="1">
        <v>40755</v>
      </c>
      <c r="G3678">
        <v>1.77245769874445E-2</v>
      </c>
    </row>
    <row r="3679" spans="1:7" x14ac:dyDescent="0.25">
      <c r="A3679" t="s">
        <v>7</v>
      </c>
      <c r="B3679" t="s">
        <v>20</v>
      </c>
      <c r="C3679" t="s">
        <v>9</v>
      </c>
      <c r="D3679" t="s">
        <v>10</v>
      </c>
      <c r="E3679">
        <v>6</v>
      </c>
      <c r="F3679" s="1">
        <v>40786</v>
      </c>
      <c r="G3679">
        <v>1.05104929655677E-2</v>
      </c>
    </row>
    <row r="3680" spans="1:7" x14ac:dyDescent="0.25">
      <c r="A3680" t="s">
        <v>7</v>
      </c>
      <c r="B3680" t="s">
        <v>20</v>
      </c>
      <c r="C3680" t="s">
        <v>9</v>
      </c>
      <c r="D3680" t="s">
        <v>10</v>
      </c>
      <c r="E3680">
        <v>6</v>
      </c>
      <c r="F3680" s="1">
        <v>40816</v>
      </c>
      <c r="G3680">
        <v>7.1956120050676604E-3</v>
      </c>
    </row>
    <row r="3681" spans="1:7" x14ac:dyDescent="0.25">
      <c r="A3681" t="s">
        <v>7</v>
      </c>
      <c r="B3681" t="s">
        <v>20</v>
      </c>
      <c r="C3681" t="s">
        <v>9</v>
      </c>
      <c r="D3681" t="s">
        <v>10</v>
      </c>
      <c r="E3681">
        <v>6</v>
      </c>
      <c r="F3681" s="1">
        <v>40847</v>
      </c>
      <c r="G3681">
        <v>5.3922525156194397E-2</v>
      </c>
    </row>
    <row r="3682" spans="1:7" x14ac:dyDescent="0.25">
      <c r="A3682" t="s">
        <v>7</v>
      </c>
      <c r="B3682" t="s">
        <v>20</v>
      </c>
      <c r="C3682" t="s">
        <v>9</v>
      </c>
      <c r="D3682" t="s">
        <v>10</v>
      </c>
      <c r="E3682">
        <v>6</v>
      </c>
      <c r="F3682" s="1">
        <v>40877</v>
      </c>
      <c r="G3682">
        <v>1.5885848127916199E-2</v>
      </c>
    </row>
    <row r="3683" spans="1:7" x14ac:dyDescent="0.25">
      <c r="A3683" t="s">
        <v>7</v>
      </c>
      <c r="B3683" t="s">
        <v>20</v>
      </c>
      <c r="C3683" t="s">
        <v>9</v>
      </c>
      <c r="D3683" t="s">
        <v>10</v>
      </c>
      <c r="E3683">
        <v>6</v>
      </c>
      <c r="F3683" s="1">
        <v>40908</v>
      </c>
      <c r="G3683">
        <v>-8.1036443770892801E-3</v>
      </c>
    </row>
    <row r="3684" spans="1:7" x14ac:dyDescent="0.25">
      <c r="A3684" t="s">
        <v>7</v>
      </c>
      <c r="B3684" t="s">
        <v>20</v>
      </c>
      <c r="C3684" t="s">
        <v>9</v>
      </c>
      <c r="D3684" t="s">
        <v>10</v>
      </c>
      <c r="E3684">
        <v>6</v>
      </c>
      <c r="F3684" s="1">
        <v>40939</v>
      </c>
      <c r="G3684">
        <v>4.27579641922297E-2</v>
      </c>
    </row>
    <row r="3685" spans="1:7" x14ac:dyDescent="0.25">
      <c r="A3685" t="s">
        <v>7</v>
      </c>
      <c r="B3685" t="s">
        <v>20</v>
      </c>
      <c r="C3685" t="s">
        <v>9</v>
      </c>
      <c r="D3685" t="s">
        <v>10</v>
      </c>
      <c r="E3685">
        <v>6</v>
      </c>
      <c r="F3685" s="1">
        <v>40968</v>
      </c>
      <c r="G3685">
        <v>7.2745373705005402E-3</v>
      </c>
    </row>
    <row r="3686" spans="1:7" x14ac:dyDescent="0.25">
      <c r="A3686" t="s">
        <v>7</v>
      </c>
      <c r="B3686" t="s">
        <v>20</v>
      </c>
      <c r="C3686" t="s">
        <v>9</v>
      </c>
      <c r="D3686" t="s">
        <v>10</v>
      </c>
      <c r="E3686">
        <v>6</v>
      </c>
      <c r="F3686" s="1">
        <v>40999</v>
      </c>
      <c r="G3686">
        <v>-1.61937882059097E-2</v>
      </c>
    </row>
    <row r="3687" spans="1:7" x14ac:dyDescent="0.25">
      <c r="A3687" t="s">
        <v>7</v>
      </c>
      <c r="B3687" t="s">
        <v>20</v>
      </c>
      <c r="C3687" t="s">
        <v>9</v>
      </c>
      <c r="D3687" t="s">
        <v>10</v>
      </c>
      <c r="E3687">
        <v>6</v>
      </c>
      <c r="F3687" s="1">
        <v>41029</v>
      </c>
      <c r="G3687">
        <v>-1.6835498212340899E-2</v>
      </c>
    </row>
    <row r="3688" spans="1:7" x14ac:dyDescent="0.25">
      <c r="A3688" t="s">
        <v>7</v>
      </c>
      <c r="B3688" t="s">
        <v>20</v>
      </c>
      <c r="C3688" t="s">
        <v>9</v>
      </c>
      <c r="D3688" t="s">
        <v>10</v>
      </c>
      <c r="E3688">
        <v>6</v>
      </c>
      <c r="F3688" s="1">
        <v>41060</v>
      </c>
      <c r="G3688">
        <v>-2.9554497758174501E-2</v>
      </c>
    </row>
    <row r="3689" spans="1:7" x14ac:dyDescent="0.25">
      <c r="A3689" t="s">
        <v>7</v>
      </c>
      <c r="B3689" t="s">
        <v>20</v>
      </c>
      <c r="C3689" t="s">
        <v>9</v>
      </c>
      <c r="D3689" t="s">
        <v>10</v>
      </c>
      <c r="E3689">
        <v>6</v>
      </c>
      <c r="F3689" s="1">
        <v>41090</v>
      </c>
      <c r="G3689">
        <v>-1.23517157592278E-2</v>
      </c>
    </row>
    <row r="3690" spans="1:7" x14ac:dyDescent="0.25">
      <c r="A3690" t="s">
        <v>7</v>
      </c>
      <c r="B3690" t="s">
        <v>20</v>
      </c>
      <c r="C3690" t="s">
        <v>9</v>
      </c>
      <c r="D3690" t="s">
        <v>10</v>
      </c>
      <c r="E3690">
        <v>6</v>
      </c>
      <c r="F3690" s="1">
        <v>41121</v>
      </c>
      <c r="G3690">
        <v>1.67879954001579E-2</v>
      </c>
    </row>
    <row r="3691" spans="1:7" x14ac:dyDescent="0.25">
      <c r="A3691" t="s">
        <v>7</v>
      </c>
      <c r="B3691" t="s">
        <v>20</v>
      </c>
      <c r="C3691" t="s">
        <v>9</v>
      </c>
      <c r="D3691" t="s">
        <v>10</v>
      </c>
      <c r="E3691">
        <v>6</v>
      </c>
      <c r="F3691" s="1">
        <v>41152</v>
      </c>
      <c r="G3691">
        <v>-4.1522973390075097E-3</v>
      </c>
    </row>
    <row r="3692" spans="1:7" x14ac:dyDescent="0.25">
      <c r="A3692" t="s">
        <v>7</v>
      </c>
      <c r="B3692" t="s">
        <v>20</v>
      </c>
      <c r="C3692" t="s">
        <v>9</v>
      </c>
      <c r="D3692" t="s">
        <v>10</v>
      </c>
      <c r="E3692">
        <v>6</v>
      </c>
      <c r="F3692" s="1">
        <v>41182</v>
      </c>
      <c r="G3692">
        <v>-1.1506637695972601E-2</v>
      </c>
    </row>
    <row r="3693" spans="1:7" x14ac:dyDescent="0.25">
      <c r="A3693" t="s">
        <v>7</v>
      </c>
      <c r="B3693" t="s">
        <v>20</v>
      </c>
      <c r="C3693" t="s">
        <v>9</v>
      </c>
      <c r="D3693" t="s">
        <v>10</v>
      </c>
      <c r="E3693">
        <v>6</v>
      </c>
      <c r="F3693" s="1">
        <v>41213</v>
      </c>
      <c r="G3693">
        <v>-4.3201891580847496E-3</v>
      </c>
    </row>
    <row r="3694" spans="1:7" x14ac:dyDescent="0.25">
      <c r="A3694" t="s">
        <v>7</v>
      </c>
      <c r="B3694" t="s">
        <v>20</v>
      </c>
      <c r="C3694" t="s">
        <v>9</v>
      </c>
      <c r="D3694" t="s">
        <v>10</v>
      </c>
      <c r="E3694">
        <v>6</v>
      </c>
      <c r="F3694" s="1">
        <v>41243</v>
      </c>
      <c r="G3694">
        <v>6.2207138375926299E-3</v>
      </c>
    </row>
    <row r="3695" spans="1:7" x14ac:dyDescent="0.25">
      <c r="A3695" t="s">
        <v>7</v>
      </c>
      <c r="B3695" t="s">
        <v>20</v>
      </c>
      <c r="C3695" t="s">
        <v>9</v>
      </c>
      <c r="D3695" t="s">
        <v>10</v>
      </c>
      <c r="E3695">
        <v>6</v>
      </c>
      <c r="F3695" s="1">
        <v>41274</v>
      </c>
      <c r="G3695">
        <v>2.2321315291992799E-3</v>
      </c>
    </row>
    <row r="3696" spans="1:7" x14ac:dyDescent="0.25">
      <c r="A3696" t="s">
        <v>7</v>
      </c>
      <c r="B3696" t="s">
        <v>20</v>
      </c>
      <c r="C3696" t="s">
        <v>9</v>
      </c>
      <c r="D3696" t="s">
        <v>10</v>
      </c>
      <c r="E3696">
        <v>6</v>
      </c>
      <c r="F3696" s="1">
        <v>41305</v>
      </c>
      <c r="G3696">
        <v>1.1402011446286799E-2</v>
      </c>
    </row>
    <row r="3697" spans="1:7" x14ac:dyDescent="0.25">
      <c r="A3697" t="s">
        <v>7</v>
      </c>
      <c r="B3697" t="s">
        <v>20</v>
      </c>
      <c r="C3697" t="s">
        <v>9</v>
      </c>
      <c r="D3697" t="s">
        <v>10</v>
      </c>
      <c r="E3697">
        <v>6</v>
      </c>
      <c r="F3697" s="1">
        <v>41333</v>
      </c>
      <c r="G3697">
        <v>-7.8976052147183302E-3</v>
      </c>
    </row>
    <row r="3698" spans="1:7" x14ac:dyDescent="0.25">
      <c r="A3698" t="s">
        <v>7</v>
      </c>
      <c r="B3698" t="s">
        <v>20</v>
      </c>
      <c r="C3698" t="s">
        <v>9</v>
      </c>
      <c r="D3698" t="s">
        <v>10</v>
      </c>
      <c r="E3698">
        <v>6</v>
      </c>
      <c r="F3698" s="1">
        <v>41364</v>
      </c>
      <c r="G3698">
        <v>-3.6105592641497999E-3</v>
      </c>
    </row>
    <row r="3699" spans="1:7" x14ac:dyDescent="0.25">
      <c r="A3699" t="s">
        <v>7</v>
      </c>
      <c r="B3699" t="s">
        <v>20</v>
      </c>
      <c r="C3699" t="s">
        <v>9</v>
      </c>
      <c r="D3699" t="s">
        <v>10</v>
      </c>
      <c r="E3699">
        <v>6</v>
      </c>
      <c r="F3699" s="1">
        <v>41394</v>
      </c>
      <c r="G3699">
        <v>1.94040086075822E-2</v>
      </c>
    </row>
    <row r="3700" spans="1:7" x14ac:dyDescent="0.25">
      <c r="A3700" t="s">
        <v>7</v>
      </c>
      <c r="B3700" t="s">
        <v>20</v>
      </c>
      <c r="C3700" t="s">
        <v>9</v>
      </c>
      <c r="D3700" t="s">
        <v>10</v>
      </c>
      <c r="E3700">
        <v>6</v>
      </c>
      <c r="F3700" s="1">
        <v>41425</v>
      </c>
      <c r="G3700">
        <v>-4.6243175103108597E-3</v>
      </c>
    </row>
    <row r="3701" spans="1:7" x14ac:dyDescent="0.25">
      <c r="A3701" t="s">
        <v>7</v>
      </c>
      <c r="B3701" t="s">
        <v>20</v>
      </c>
      <c r="C3701" t="s">
        <v>9</v>
      </c>
      <c r="D3701" t="s">
        <v>10</v>
      </c>
      <c r="E3701">
        <v>6</v>
      </c>
      <c r="F3701" s="1">
        <v>41455</v>
      </c>
      <c r="G3701">
        <v>1.6851416638862099E-3</v>
      </c>
    </row>
    <row r="3702" spans="1:7" x14ac:dyDescent="0.25">
      <c r="A3702" t="s">
        <v>7</v>
      </c>
      <c r="B3702" t="s">
        <v>20</v>
      </c>
      <c r="C3702" t="s">
        <v>9</v>
      </c>
      <c r="D3702" t="s">
        <v>10</v>
      </c>
      <c r="E3702">
        <v>6</v>
      </c>
      <c r="F3702" s="1">
        <v>41486</v>
      </c>
      <c r="G3702">
        <v>8.1930590182198503E-4</v>
      </c>
    </row>
    <row r="3703" spans="1:7" x14ac:dyDescent="0.25">
      <c r="A3703" t="s">
        <v>7</v>
      </c>
      <c r="B3703" t="s">
        <v>20</v>
      </c>
      <c r="C3703" t="s">
        <v>9</v>
      </c>
      <c r="D3703" t="s">
        <v>10</v>
      </c>
      <c r="E3703">
        <v>6</v>
      </c>
      <c r="F3703" s="1">
        <v>41517</v>
      </c>
      <c r="G3703">
        <v>-7.01009713122582E-3</v>
      </c>
    </row>
    <row r="3704" spans="1:7" x14ac:dyDescent="0.25">
      <c r="A3704" t="s">
        <v>7</v>
      </c>
      <c r="B3704" t="s">
        <v>20</v>
      </c>
      <c r="C3704" t="s">
        <v>9</v>
      </c>
      <c r="D3704" t="s">
        <v>10</v>
      </c>
      <c r="E3704">
        <v>6</v>
      </c>
      <c r="F3704" s="1">
        <v>41547</v>
      </c>
      <c r="G3704">
        <v>2.2781976086496899E-2</v>
      </c>
    </row>
    <row r="3705" spans="1:7" x14ac:dyDescent="0.25">
      <c r="A3705" t="s">
        <v>7</v>
      </c>
      <c r="B3705" t="s">
        <v>20</v>
      </c>
      <c r="C3705" t="s">
        <v>9</v>
      </c>
      <c r="D3705" t="s">
        <v>10</v>
      </c>
      <c r="E3705">
        <v>6</v>
      </c>
      <c r="F3705" s="1">
        <v>41578</v>
      </c>
      <c r="G3705">
        <v>-2.69159387934284E-2</v>
      </c>
    </row>
    <row r="3706" spans="1:7" x14ac:dyDescent="0.25">
      <c r="A3706" t="s">
        <v>7</v>
      </c>
      <c r="B3706" t="s">
        <v>20</v>
      </c>
      <c r="C3706" t="s">
        <v>9</v>
      </c>
      <c r="D3706" t="s">
        <v>10</v>
      </c>
      <c r="E3706">
        <v>6</v>
      </c>
      <c r="F3706" s="1">
        <v>41608</v>
      </c>
      <c r="G3706">
        <v>1.1865551119610801E-2</v>
      </c>
    </row>
    <row r="3707" spans="1:7" x14ac:dyDescent="0.25">
      <c r="A3707" t="s">
        <v>7</v>
      </c>
      <c r="B3707" t="s">
        <v>20</v>
      </c>
      <c r="C3707" t="s">
        <v>9</v>
      </c>
      <c r="D3707" t="s">
        <v>10</v>
      </c>
      <c r="E3707">
        <v>6</v>
      </c>
      <c r="F3707" s="1">
        <v>41639</v>
      </c>
      <c r="G3707">
        <v>-1.5773251200065501E-2</v>
      </c>
    </row>
    <row r="3708" spans="1:7" x14ac:dyDescent="0.25">
      <c r="A3708" t="s">
        <v>7</v>
      </c>
      <c r="B3708" t="s">
        <v>20</v>
      </c>
      <c r="C3708" t="s">
        <v>9</v>
      </c>
      <c r="D3708" t="s">
        <v>10</v>
      </c>
      <c r="E3708">
        <v>6</v>
      </c>
      <c r="F3708" s="1">
        <v>41670</v>
      </c>
      <c r="G3708">
        <v>2.41428308101139E-3</v>
      </c>
    </row>
    <row r="3709" spans="1:7" x14ac:dyDescent="0.25">
      <c r="A3709" t="s">
        <v>7</v>
      </c>
      <c r="B3709" t="s">
        <v>20</v>
      </c>
      <c r="C3709" t="s">
        <v>9</v>
      </c>
      <c r="D3709" t="s">
        <v>10</v>
      </c>
      <c r="E3709">
        <v>6</v>
      </c>
      <c r="F3709" s="1">
        <v>41698</v>
      </c>
      <c r="G3709">
        <v>1.3290760473845999E-2</v>
      </c>
    </row>
    <row r="3710" spans="1:7" x14ac:dyDescent="0.25">
      <c r="A3710" t="s">
        <v>7</v>
      </c>
      <c r="B3710" t="s">
        <v>20</v>
      </c>
      <c r="C3710" t="s">
        <v>9</v>
      </c>
      <c r="D3710" t="s">
        <v>10</v>
      </c>
      <c r="E3710">
        <v>6</v>
      </c>
      <c r="F3710" s="1">
        <v>41729</v>
      </c>
      <c r="G3710">
        <v>-9.2966077401284292E-3</v>
      </c>
    </row>
    <row r="3711" spans="1:7" x14ac:dyDescent="0.25">
      <c r="A3711" t="s">
        <v>7</v>
      </c>
      <c r="B3711" t="s">
        <v>20</v>
      </c>
      <c r="C3711" t="s">
        <v>9</v>
      </c>
      <c r="D3711" t="s">
        <v>10</v>
      </c>
      <c r="E3711">
        <v>6</v>
      </c>
      <c r="F3711" s="1">
        <v>41759</v>
      </c>
      <c r="G3711">
        <v>-2.68398893007426E-2</v>
      </c>
    </row>
    <row r="3712" spans="1:7" x14ac:dyDescent="0.25">
      <c r="A3712" t="s">
        <v>7</v>
      </c>
      <c r="B3712" t="s">
        <v>20</v>
      </c>
      <c r="C3712" t="s">
        <v>9</v>
      </c>
      <c r="D3712" t="s">
        <v>10</v>
      </c>
      <c r="E3712">
        <v>6</v>
      </c>
      <c r="F3712" s="1">
        <v>41790</v>
      </c>
      <c r="G3712">
        <v>-1.8735917273199901E-2</v>
      </c>
    </row>
    <row r="3713" spans="1:7" x14ac:dyDescent="0.25">
      <c r="A3713" t="s">
        <v>7</v>
      </c>
      <c r="B3713" t="s">
        <v>20</v>
      </c>
      <c r="C3713" t="s">
        <v>9</v>
      </c>
      <c r="D3713" t="s">
        <v>10</v>
      </c>
      <c r="E3713">
        <v>6</v>
      </c>
      <c r="F3713" s="1">
        <v>41820</v>
      </c>
      <c r="G3713">
        <v>-1.9266271730951599E-2</v>
      </c>
    </row>
    <row r="3714" spans="1:7" x14ac:dyDescent="0.25">
      <c r="A3714" t="s">
        <v>7</v>
      </c>
      <c r="B3714" t="s">
        <v>20</v>
      </c>
      <c r="C3714" t="s">
        <v>9</v>
      </c>
      <c r="D3714" t="s">
        <v>10</v>
      </c>
      <c r="E3714">
        <v>6</v>
      </c>
      <c r="F3714" s="1">
        <v>41851</v>
      </c>
      <c r="G3714">
        <v>-2.4505153447639101E-2</v>
      </c>
    </row>
    <row r="3715" spans="1:7" x14ac:dyDescent="0.25">
      <c r="A3715" t="s">
        <v>7</v>
      </c>
      <c r="B3715" t="s">
        <v>20</v>
      </c>
      <c r="C3715" t="s">
        <v>9</v>
      </c>
      <c r="D3715" t="s">
        <v>10</v>
      </c>
      <c r="E3715">
        <v>6</v>
      </c>
      <c r="F3715" s="1">
        <v>41882</v>
      </c>
      <c r="G3715">
        <v>-2.3643672664934699E-2</v>
      </c>
    </row>
    <row r="3716" spans="1:7" x14ac:dyDescent="0.25">
      <c r="A3716" t="s">
        <v>7</v>
      </c>
      <c r="B3716" t="s">
        <v>20</v>
      </c>
      <c r="C3716" t="s">
        <v>9</v>
      </c>
      <c r="D3716" t="s">
        <v>10</v>
      </c>
      <c r="E3716">
        <v>6</v>
      </c>
      <c r="F3716" s="1">
        <v>41912</v>
      </c>
      <c r="G3716">
        <v>2.0171898099161499E-2</v>
      </c>
    </row>
    <row r="3717" spans="1:7" x14ac:dyDescent="0.25">
      <c r="A3717" t="s">
        <v>7</v>
      </c>
      <c r="B3717" t="s">
        <v>20</v>
      </c>
      <c r="C3717" t="s">
        <v>9</v>
      </c>
      <c r="D3717" t="s">
        <v>10</v>
      </c>
      <c r="E3717">
        <v>6</v>
      </c>
      <c r="F3717" s="1">
        <v>41943</v>
      </c>
      <c r="G3717">
        <v>-1.78346949999162E-2</v>
      </c>
    </row>
    <row r="3718" spans="1:7" x14ac:dyDescent="0.25">
      <c r="A3718" t="s">
        <v>7</v>
      </c>
      <c r="B3718" t="s">
        <v>20</v>
      </c>
      <c r="C3718" t="s">
        <v>9</v>
      </c>
      <c r="D3718" t="s">
        <v>10</v>
      </c>
      <c r="E3718">
        <v>6</v>
      </c>
      <c r="F3718" s="1">
        <v>41973</v>
      </c>
      <c r="G3718">
        <v>2.3488895036944801E-3</v>
      </c>
    </row>
    <row r="3719" spans="1:7" x14ac:dyDescent="0.25">
      <c r="A3719" t="s">
        <v>7</v>
      </c>
      <c r="B3719" t="s">
        <v>20</v>
      </c>
      <c r="C3719" t="s">
        <v>9</v>
      </c>
      <c r="D3719" t="s">
        <v>10</v>
      </c>
      <c r="E3719">
        <v>6</v>
      </c>
      <c r="F3719" s="1">
        <v>42004</v>
      </c>
      <c r="G3719">
        <v>-6.2381690410901903E-3</v>
      </c>
    </row>
    <row r="3720" spans="1:7" x14ac:dyDescent="0.25">
      <c r="A3720" t="s">
        <v>7</v>
      </c>
      <c r="B3720" t="s">
        <v>20</v>
      </c>
      <c r="C3720" t="s">
        <v>9</v>
      </c>
      <c r="D3720" t="s">
        <v>10</v>
      </c>
      <c r="E3720">
        <v>6</v>
      </c>
      <c r="F3720" s="1">
        <v>42035</v>
      </c>
      <c r="G3720">
        <v>-1.9814158102126101E-2</v>
      </c>
    </row>
    <row r="3721" spans="1:7" x14ac:dyDescent="0.25">
      <c r="A3721" t="s">
        <v>7</v>
      </c>
      <c r="B3721" t="s">
        <v>20</v>
      </c>
      <c r="C3721" t="s">
        <v>9</v>
      </c>
      <c r="D3721" t="s">
        <v>10</v>
      </c>
      <c r="E3721">
        <v>6</v>
      </c>
      <c r="F3721" s="1">
        <v>42063</v>
      </c>
      <c r="G3721">
        <v>2.4061132281020099E-2</v>
      </c>
    </row>
    <row r="3722" spans="1:7" x14ac:dyDescent="0.25">
      <c r="A3722" t="s">
        <v>7</v>
      </c>
      <c r="B3722" t="s">
        <v>20</v>
      </c>
      <c r="C3722" t="s">
        <v>9</v>
      </c>
      <c r="D3722" t="s">
        <v>10</v>
      </c>
      <c r="E3722">
        <v>6</v>
      </c>
      <c r="F3722" s="1">
        <v>42094</v>
      </c>
      <c r="G3722">
        <v>-1.5404882508638199E-2</v>
      </c>
    </row>
    <row r="3723" spans="1:7" x14ac:dyDescent="0.25">
      <c r="A3723" t="s">
        <v>7</v>
      </c>
      <c r="B3723" t="s">
        <v>20</v>
      </c>
      <c r="C3723" t="s">
        <v>9</v>
      </c>
      <c r="D3723" t="s">
        <v>10</v>
      </c>
      <c r="E3723">
        <v>6</v>
      </c>
      <c r="F3723" s="1">
        <v>42124</v>
      </c>
      <c r="G3723">
        <v>-2.6501395624241499E-2</v>
      </c>
    </row>
    <row r="3724" spans="1:7" x14ac:dyDescent="0.25">
      <c r="A3724" t="s">
        <v>7</v>
      </c>
      <c r="B3724" t="s">
        <v>20</v>
      </c>
      <c r="C3724" t="s">
        <v>9</v>
      </c>
      <c r="D3724" t="s">
        <v>10</v>
      </c>
      <c r="E3724">
        <v>6</v>
      </c>
      <c r="F3724" s="1">
        <v>42155</v>
      </c>
      <c r="G3724">
        <v>6.5390213759997902E-3</v>
      </c>
    </row>
    <row r="3725" spans="1:7" x14ac:dyDescent="0.25">
      <c r="A3725" t="s">
        <v>7</v>
      </c>
      <c r="B3725" t="s">
        <v>20</v>
      </c>
      <c r="C3725" t="s">
        <v>9</v>
      </c>
      <c r="D3725" t="s">
        <v>10</v>
      </c>
      <c r="E3725">
        <v>6</v>
      </c>
      <c r="F3725" s="1">
        <v>42185</v>
      </c>
      <c r="G3725">
        <v>5.5165539427770799E-4</v>
      </c>
    </row>
    <row r="3726" spans="1:7" x14ac:dyDescent="0.25">
      <c r="A3726" t="s">
        <v>7</v>
      </c>
      <c r="B3726" t="s">
        <v>20</v>
      </c>
      <c r="C3726" t="s">
        <v>9</v>
      </c>
      <c r="D3726" t="s">
        <v>10</v>
      </c>
      <c r="E3726">
        <v>6</v>
      </c>
      <c r="F3726" s="1">
        <v>42216</v>
      </c>
      <c r="G3726">
        <v>-5.40723194379082E-3</v>
      </c>
    </row>
    <row r="3727" spans="1:7" x14ac:dyDescent="0.25">
      <c r="A3727" t="s">
        <v>7</v>
      </c>
      <c r="B3727" t="s">
        <v>20</v>
      </c>
      <c r="C3727" t="s">
        <v>9</v>
      </c>
      <c r="D3727" t="s">
        <v>10</v>
      </c>
      <c r="E3727">
        <v>6</v>
      </c>
      <c r="F3727" s="1">
        <v>42247</v>
      </c>
      <c r="G3727">
        <v>-9.7066042735080398E-3</v>
      </c>
    </row>
    <row r="3728" spans="1:7" x14ac:dyDescent="0.25">
      <c r="A3728" t="s">
        <v>7</v>
      </c>
      <c r="B3728" t="s">
        <v>20</v>
      </c>
      <c r="C3728" t="s">
        <v>9</v>
      </c>
      <c r="D3728" t="s">
        <v>10</v>
      </c>
      <c r="E3728">
        <v>6</v>
      </c>
      <c r="F3728" s="1">
        <v>42277</v>
      </c>
      <c r="G3728">
        <v>9.87504052572853E-3</v>
      </c>
    </row>
    <row r="3729" spans="1:7" x14ac:dyDescent="0.25">
      <c r="A3729" t="s">
        <v>7</v>
      </c>
      <c r="B3729" t="s">
        <v>20</v>
      </c>
      <c r="C3729" t="s">
        <v>9</v>
      </c>
      <c r="D3729" t="s">
        <v>10</v>
      </c>
      <c r="E3729">
        <v>6</v>
      </c>
      <c r="F3729" s="1">
        <v>42308</v>
      </c>
      <c r="G3729">
        <v>8.62723068515521E-3</v>
      </c>
    </row>
    <row r="3730" spans="1:7" x14ac:dyDescent="0.25">
      <c r="A3730" t="s">
        <v>7</v>
      </c>
      <c r="B3730" t="s">
        <v>20</v>
      </c>
      <c r="C3730" t="s">
        <v>9</v>
      </c>
      <c r="D3730" t="s">
        <v>10</v>
      </c>
      <c r="E3730">
        <v>6</v>
      </c>
      <c r="F3730" s="1">
        <v>42338</v>
      </c>
      <c r="G3730">
        <v>-3.5163843696821302E-2</v>
      </c>
    </row>
    <row r="3731" spans="1:7" x14ac:dyDescent="0.25">
      <c r="A3731" t="s">
        <v>7</v>
      </c>
      <c r="B3731" t="s">
        <v>20</v>
      </c>
      <c r="C3731" t="s">
        <v>9</v>
      </c>
      <c r="D3731" t="s">
        <v>10</v>
      </c>
      <c r="E3731">
        <v>6</v>
      </c>
      <c r="F3731" s="1">
        <v>42369</v>
      </c>
      <c r="G3731">
        <v>-7.7508195827405597E-4</v>
      </c>
    </row>
    <row r="3732" spans="1:7" x14ac:dyDescent="0.25">
      <c r="A3732" t="s">
        <v>7</v>
      </c>
      <c r="B3732" t="s">
        <v>20</v>
      </c>
      <c r="C3732" t="s">
        <v>9</v>
      </c>
      <c r="D3732" t="s">
        <v>10</v>
      </c>
      <c r="E3732">
        <v>6</v>
      </c>
      <c r="F3732" s="1">
        <v>42400</v>
      </c>
      <c r="G3732">
        <v>-1.9963332921293101E-2</v>
      </c>
    </row>
    <row r="3733" spans="1:7" x14ac:dyDescent="0.25">
      <c r="A3733" t="s">
        <v>7</v>
      </c>
      <c r="B3733" t="s">
        <v>20</v>
      </c>
      <c r="C3733" t="s">
        <v>9</v>
      </c>
      <c r="D3733" t="s">
        <v>10</v>
      </c>
      <c r="E3733">
        <v>6</v>
      </c>
      <c r="F3733" s="1">
        <v>42429</v>
      </c>
      <c r="G3733">
        <v>4.7831962034724999E-2</v>
      </c>
    </row>
    <row r="3734" spans="1:7" x14ac:dyDescent="0.25">
      <c r="A3734" t="s">
        <v>7</v>
      </c>
      <c r="B3734" t="s">
        <v>20</v>
      </c>
      <c r="C3734" t="s">
        <v>9</v>
      </c>
      <c r="D3734" t="s">
        <v>10</v>
      </c>
      <c r="E3734">
        <v>6</v>
      </c>
      <c r="F3734" s="1">
        <v>42460</v>
      </c>
      <c r="G3734">
        <v>4.7536093004864201E-2</v>
      </c>
    </row>
    <row r="3735" spans="1:7" x14ac:dyDescent="0.25">
      <c r="A3735" t="s">
        <v>7</v>
      </c>
      <c r="B3735" t="s">
        <v>20</v>
      </c>
      <c r="C3735" t="s">
        <v>9</v>
      </c>
      <c r="D3735" t="s">
        <v>10</v>
      </c>
      <c r="E3735">
        <v>6</v>
      </c>
      <c r="F3735" s="1">
        <v>42490</v>
      </c>
      <c r="G3735">
        <v>-6.1359032097542003E-2</v>
      </c>
    </row>
    <row r="3736" spans="1:7" x14ac:dyDescent="0.25">
      <c r="A3736" t="s">
        <v>7</v>
      </c>
      <c r="B3736" t="s">
        <v>20</v>
      </c>
      <c r="C3736" t="s">
        <v>9</v>
      </c>
      <c r="D3736" t="s">
        <v>10</v>
      </c>
      <c r="E3736">
        <v>6</v>
      </c>
      <c r="F3736" s="1">
        <v>42521</v>
      </c>
      <c r="G3736">
        <v>3.9099217844210103E-2</v>
      </c>
    </row>
    <row r="3737" spans="1:7" x14ac:dyDescent="0.25">
      <c r="A3737" t="s">
        <v>7</v>
      </c>
      <c r="B3737" t="s">
        <v>20</v>
      </c>
      <c r="C3737" t="s">
        <v>9</v>
      </c>
      <c r="D3737" t="s">
        <v>10</v>
      </c>
      <c r="E3737">
        <v>6</v>
      </c>
      <c r="F3737" s="1">
        <v>42551</v>
      </c>
      <c r="G3737">
        <v>1.27198178915995E-2</v>
      </c>
    </row>
    <row r="3738" spans="1:7" x14ac:dyDescent="0.25">
      <c r="A3738" t="s">
        <v>7</v>
      </c>
      <c r="B3738" t="s">
        <v>20</v>
      </c>
      <c r="C3738" t="s">
        <v>9</v>
      </c>
      <c r="D3738" t="s">
        <v>10</v>
      </c>
      <c r="E3738">
        <v>6</v>
      </c>
      <c r="F3738" s="1">
        <v>42582</v>
      </c>
      <c r="G3738">
        <v>-1.6285523214839601E-2</v>
      </c>
    </row>
    <row r="3739" spans="1:7" x14ac:dyDescent="0.25">
      <c r="A3739" t="s">
        <v>7</v>
      </c>
      <c r="B3739" t="s">
        <v>20</v>
      </c>
      <c r="C3739" t="s">
        <v>9</v>
      </c>
      <c r="D3739" t="s">
        <v>10</v>
      </c>
      <c r="E3739">
        <v>6</v>
      </c>
      <c r="F3739" s="1">
        <v>42613</v>
      </c>
      <c r="G3739">
        <v>4.7520038026461998E-3</v>
      </c>
    </row>
    <row r="3740" spans="1:7" x14ac:dyDescent="0.25">
      <c r="A3740" t="s">
        <v>7</v>
      </c>
      <c r="B3740" t="s">
        <v>20</v>
      </c>
      <c r="C3740" t="s">
        <v>9</v>
      </c>
      <c r="D3740" t="s">
        <v>10</v>
      </c>
      <c r="E3740">
        <v>6</v>
      </c>
      <c r="F3740" s="1">
        <v>42643</v>
      </c>
      <c r="G3740">
        <v>-2.8475626517148302E-3</v>
      </c>
    </row>
    <row r="3741" spans="1:7" x14ac:dyDescent="0.25">
      <c r="A3741" t="s">
        <v>7</v>
      </c>
      <c r="B3741" t="s">
        <v>20</v>
      </c>
      <c r="C3741" t="s">
        <v>9</v>
      </c>
      <c r="D3741" t="s">
        <v>10</v>
      </c>
      <c r="E3741">
        <v>6</v>
      </c>
      <c r="F3741" s="1">
        <v>42674</v>
      </c>
      <c r="G3741">
        <v>-1.19257502806395E-2</v>
      </c>
    </row>
    <row r="3742" spans="1:7" x14ac:dyDescent="0.25">
      <c r="A3742" t="s">
        <v>7</v>
      </c>
      <c r="B3742" t="s">
        <v>20</v>
      </c>
      <c r="C3742" t="s">
        <v>9</v>
      </c>
      <c r="D3742" t="s">
        <v>10</v>
      </c>
      <c r="E3742">
        <v>6</v>
      </c>
      <c r="F3742" s="1">
        <v>42704</v>
      </c>
      <c r="G3742">
        <v>4.9601930499881802E-3</v>
      </c>
    </row>
    <row r="3743" spans="1:7" x14ac:dyDescent="0.25">
      <c r="A3743" t="s">
        <v>7</v>
      </c>
      <c r="B3743" t="s">
        <v>20</v>
      </c>
      <c r="C3743" t="s">
        <v>9</v>
      </c>
      <c r="D3743" t="s">
        <v>10</v>
      </c>
      <c r="E3743">
        <v>6</v>
      </c>
      <c r="F3743" s="1">
        <v>42735</v>
      </c>
      <c r="G3743">
        <v>-5.7689498136229899E-3</v>
      </c>
    </row>
    <row r="3744" spans="1:7" x14ac:dyDescent="0.25">
      <c r="A3744" t="s">
        <v>7</v>
      </c>
      <c r="B3744" t="s">
        <v>20</v>
      </c>
      <c r="C3744" t="s">
        <v>9</v>
      </c>
      <c r="D3744" t="s">
        <v>10</v>
      </c>
      <c r="E3744">
        <v>6</v>
      </c>
      <c r="F3744" s="1">
        <v>42766</v>
      </c>
      <c r="G3744">
        <v>2.1182135337612901E-2</v>
      </c>
    </row>
    <row r="3745" spans="1:7" x14ac:dyDescent="0.25">
      <c r="A3745" t="s">
        <v>7</v>
      </c>
      <c r="B3745" t="s">
        <v>20</v>
      </c>
      <c r="C3745" t="s">
        <v>9</v>
      </c>
      <c r="D3745" t="s">
        <v>10</v>
      </c>
      <c r="E3745">
        <v>6</v>
      </c>
      <c r="F3745" s="1">
        <v>42794</v>
      </c>
      <c r="G3745">
        <v>-1.5254667682909799E-2</v>
      </c>
    </row>
    <row r="3746" spans="1:7" x14ac:dyDescent="0.25">
      <c r="A3746" t="s">
        <v>7</v>
      </c>
      <c r="B3746" t="s">
        <v>20</v>
      </c>
      <c r="C3746" t="s">
        <v>9</v>
      </c>
      <c r="D3746" t="s">
        <v>10</v>
      </c>
      <c r="E3746">
        <v>6</v>
      </c>
      <c r="F3746" s="1">
        <v>42825</v>
      </c>
      <c r="G3746">
        <v>-1.0943454399463501E-2</v>
      </c>
    </row>
    <row r="3747" spans="1:7" x14ac:dyDescent="0.25">
      <c r="A3747" t="s">
        <v>7</v>
      </c>
      <c r="B3747" t="s">
        <v>20</v>
      </c>
      <c r="C3747" t="s">
        <v>9</v>
      </c>
      <c r="D3747" t="s">
        <v>10</v>
      </c>
      <c r="E3747">
        <v>6</v>
      </c>
      <c r="F3747" s="1">
        <v>42855</v>
      </c>
      <c r="G3747">
        <v>-1.7850121271578E-2</v>
      </c>
    </row>
    <row r="3748" spans="1:7" x14ac:dyDescent="0.25">
      <c r="A3748" t="s">
        <v>7</v>
      </c>
      <c r="B3748" t="s">
        <v>20</v>
      </c>
      <c r="C3748" t="s">
        <v>9</v>
      </c>
      <c r="D3748" t="s">
        <v>10</v>
      </c>
      <c r="E3748">
        <v>6</v>
      </c>
      <c r="F3748" s="1">
        <v>42886</v>
      </c>
      <c r="G3748">
        <v>-1.80393065609963E-3</v>
      </c>
    </row>
    <row r="3749" spans="1:7" x14ac:dyDescent="0.25">
      <c r="A3749" t="s">
        <v>7</v>
      </c>
      <c r="B3749" t="s">
        <v>20</v>
      </c>
      <c r="C3749" t="s">
        <v>9</v>
      </c>
      <c r="D3749" t="s">
        <v>10</v>
      </c>
      <c r="E3749">
        <v>6</v>
      </c>
      <c r="F3749" s="1">
        <v>42916</v>
      </c>
      <c r="G3749">
        <v>2.1144403568107501E-2</v>
      </c>
    </row>
    <row r="3750" spans="1:7" x14ac:dyDescent="0.25">
      <c r="A3750" t="s">
        <v>7</v>
      </c>
      <c r="B3750" t="s">
        <v>20</v>
      </c>
      <c r="C3750" t="s">
        <v>9</v>
      </c>
      <c r="D3750" t="s">
        <v>10</v>
      </c>
      <c r="E3750">
        <v>6</v>
      </c>
      <c r="F3750" s="1">
        <v>42947</v>
      </c>
      <c r="G3750">
        <v>1.50532553400969E-2</v>
      </c>
    </row>
    <row r="3751" spans="1:7" x14ac:dyDescent="0.25">
      <c r="A3751" t="s">
        <v>7</v>
      </c>
      <c r="B3751" t="s">
        <v>20</v>
      </c>
      <c r="C3751" t="s">
        <v>9</v>
      </c>
      <c r="D3751" t="s">
        <v>10</v>
      </c>
      <c r="E3751">
        <v>6</v>
      </c>
      <c r="F3751" s="1">
        <v>42978</v>
      </c>
      <c r="G3751">
        <v>-1.022223115402E-2</v>
      </c>
    </row>
    <row r="3752" spans="1:7" x14ac:dyDescent="0.25">
      <c r="A3752" t="s">
        <v>7</v>
      </c>
      <c r="B3752" t="s">
        <v>20</v>
      </c>
      <c r="C3752" t="s">
        <v>9</v>
      </c>
      <c r="D3752" t="s">
        <v>10</v>
      </c>
      <c r="E3752">
        <v>6</v>
      </c>
      <c r="F3752" s="1">
        <v>43008</v>
      </c>
      <c r="G3752">
        <v>-1.8661258885065202E-2</v>
      </c>
    </row>
    <row r="3753" spans="1:7" x14ac:dyDescent="0.25">
      <c r="A3753" t="s">
        <v>7</v>
      </c>
      <c r="B3753" t="s">
        <v>20</v>
      </c>
      <c r="C3753" t="s">
        <v>9</v>
      </c>
      <c r="D3753" t="s">
        <v>10</v>
      </c>
      <c r="E3753">
        <v>6</v>
      </c>
      <c r="F3753" s="1">
        <v>43039</v>
      </c>
      <c r="G3753">
        <v>-6.4945618039857801E-3</v>
      </c>
    </row>
    <row r="3754" spans="1:7" x14ac:dyDescent="0.25">
      <c r="A3754" t="s">
        <v>7</v>
      </c>
      <c r="B3754" t="s">
        <v>20</v>
      </c>
      <c r="C3754" t="s">
        <v>9</v>
      </c>
      <c r="D3754" t="s">
        <v>10</v>
      </c>
      <c r="E3754">
        <v>6</v>
      </c>
      <c r="F3754" s="1">
        <v>43069</v>
      </c>
      <c r="G3754">
        <v>-2.7487489216587901E-2</v>
      </c>
    </row>
    <row r="3755" spans="1:7" x14ac:dyDescent="0.25">
      <c r="A3755" t="s">
        <v>7</v>
      </c>
      <c r="B3755" t="s">
        <v>20</v>
      </c>
      <c r="C3755" t="s">
        <v>9</v>
      </c>
      <c r="D3755" t="s">
        <v>10</v>
      </c>
      <c r="E3755">
        <v>6</v>
      </c>
      <c r="F3755" s="1">
        <v>43100</v>
      </c>
      <c r="G3755">
        <v>-1.43201827325621E-2</v>
      </c>
    </row>
    <row r="3756" spans="1:7" x14ac:dyDescent="0.25">
      <c r="A3756" t="s">
        <v>7</v>
      </c>
      <c r="B3756" t="s">
        <v>20</v>
      </c>
      <c r="C3756" t="s">
        <v>9</v>
      </c>
      <c r="D3756" t="s">
        <v>10</v>
      </c>
      <c r="E3756">
        <v>6</v>
      </c>
      <c r="F3756" s="1">
        <v>43131</v>
      </c>
      <c r="G3756">
        <v>-1.68483261765084E-3</v>
      </c>
    </row>
    <row r="3757" spans="1:7" x14ac:dyDescent="0.25">
      <c r="A3757" t="s">
        <v>7</v>
      </c>
      <c r="B3757" t="s">
        <v>20</v>
      </c>
      <c r="C3757" t="s">
        <v>9</v>
      </c>
      <c r="D3757" t="s">
        <v>10</v>
      </c>
      <c r="E3757">
        <v>6</v>
      </c>
      <c r="F3757" s="1">
        <v>43159</v>
      </c>
      <c r="G3757">
        <v>-1.95166893693338E-2</v>
      </c>
    </row>
    <row r="3758" spans="1:7" x14ac:dyDescent="0.25">
      <c r="A3758" t="s">
        <v>7</v>
      </c>
      <c r="B3758" t="s">
        <v>20</v>
      </c>
      <c r="C3758" t="s">
        <v>9</v>
      </c>
      <c r="D3758" t="s">
        <v>10</v>
      </c>
      <c r="E3758">
        <v>6</v>
      </c>
      <c r="F3758" s="1">
        <v>43190</v>
      </c>
      <c r="G3758">
        <v>-2.4427135123166101E-2</v>
      </c>
    </row>
    <row r="3759" spans="1:7" x14ac:dyDescent="0.25">
      <c r="A3759" t="s">
        <v>7</v>
      </c>
      <c r="B3759" t="s">
        <v>20</v>
      </c>
      <c r="C3759" t="s">
        <v>9</v>
      </c>
      <c r="D3759" t="s">
        <v>10</v>
      </c>
      <c r="E3759">
        <v>6</v>
      </c>
      <c r="F3759" s="1">
        <v>43220</v>
      </c>
      <c r="G3759">
        <v>2.3788148367199499E-2</v>
      </c>
    </row>
    <row r="3760" spans="1:7" x14ac:dyDescent="0.25">
      <c r="A3760" t="s">
        <v>7</v>
      </c>
      <c r="B3760" t="s">
        <v>20</v>
      </c>
      <c r="C3760" t="s">
        <v>9</v>
      </c>
      <c r="D3760" t="s">
        <v>10</v>
      </c>
      <c r="E3760">
        <v>6</v>
      </c>
      <c r="F3760" s="1">
        <v>43251</v>
      </c>
      <c r="G3760">
        <v>-1.1522463042003E-2</v>
      </c>
    </row>
    <row r="3761" spans="1:7" x14ac:dyDescent="0.25">
      <c r="A3761" t="s">
        <v>7</v>
      </c>
      <c r="B3761" t="s">
        <v>20</v>
      </c>
      <c r="C3761" t="s">
        <v>9</v>
      </c>
      <c r="D3761" t="s">
        <v>10</v>
      </c>
      <c r="E3761">
        <v>6</v>
      </c>
      <c r="F3761" s="1">
        <v>43281</v>
      </c>
      <c r="G3761">
        <v>-2.9491982133770599E-2</v>
      </c>
    </row>
    <row r="3762" spans="1:7" x14ac:dyDescent="0.25">
      <c r="A3762" t="s">
        <v>7</v>
      </c>
      <c r="B3762" t="s">
        <v>20</v>
      </c>
      <c r="C3762" t="s">
        <v>9</v>
      </c>
      <c r="D3762" t="s">
        <v>10</v>
      </c>
      <c r="E3762">
        <v>6</v>
      </c>
      <c r="F3762" s="1">
        <v>43312</v>
      </c>
      <c r="G3762">
        <v>3.9701781453969198E-3</v>
      </c>
    </row>
    <row r="3763" spans="1:7" x14ac:dyDescent="0.25">
      <c r="A3763" t="s">
        <v>7</v>
      </c>
      <c r="B3763" t="s">
        <v>20</v>
      </c>
      <c r="C3763" t="s">
        <v>9</v>
      </c>
      <c r="D3763" t="s">
        <v>10</v>
      </c>
      <c r="E3763">
        <v>6</v>
      </c>
      <c r="F3763" s="1">
        <v>43343</v>
      </c>
      <c r="G3763">
        <v>3.2134511920590997E-2</v>
      </c>
    </row>
    <row r="3764" spans="1:7" x14ac:dyDescent="0.25">
      <c r="A3764" t="s">
        <v>7</v>
      </c>
      <c r="B3764" t="s">
        <v>20</v>
      </c>
      <c r="C3764" t="s">
        <v>9</v>
      </c>
      <c r="D3764" t="s">
        <v>10</v>
      </c>
      <c r="E3764">
        <v>6</v>
      </c>
      <c r="F3764" s="1">
        <v>43373</v>
      </c>
      <c r="G3764">
        <v>4.6249423182589899E-2</v>
      </c>
    </row>
    <row r="3765" spans="1:7" x14ac:dyDescent="0.25">
      <c r="A3765" t="s">
        <v>7</v>
      </c>
      <c r="B3765" t="s">
        <v>20</v>
      </c>
      <c r="C3765" t="s">
        <v>9</v>
      </c>
      <c r="D3765" t="s">
        <v>10</v>
      </c>
      <c r="E3765">
        <v>6</v>
      </c>
      <c r="F3765" s="1">
        <v>43404</v>
      </c>
      <c r="G3765">
        <v>5.0529867540466601E-2</v>
      </c>
    </row>
    <row r="3766" spans="1:7" x14ac:dyDescent="0.25">
      <c r="A3766" t="s">
        <v>7</v>
      </c>
      <c r="B3766" t="s">
        <v>20</v>
      </c>
      <c r="C3766" t="s">
        <v>9</v>
      </c>
      <c r="D3766" t="s">
        <v>10</v>
      </c>
      <c r="E3766">
        <v>6</v>
      </c>
      <c r="F3766" s="1">
        <v>43434</v>
      </c>
      <c r="G3766">
        <v>-1.46863245966032E-2</v>
      </c>
    </row>
    <row r="3767" spans="1:7" x14ac:dyDescent="0.25">
      <c r="A3767" t="s">
        <v>7</v>
      </c>
      <c r="B3767" t="s">
        <v>20</v>
      </c>
      <c r="C3767" t="s">
        <v>9</v>
      </c>
      <c r="D3767" t="s">
        <v>10</v>
      </c>
      <c r="E3767">
        <v>6</v>
      </c>
      <c r="F3767" s="1">
        <v>43465</v>
      </c>
      <c r="G3767">
        <v>1.6902125407009E-2</v>
      </c>
    </row>
    <row r="3768" spans="1:7" x14ac:dyDescent="0.25">
      <c r="A3768" t="s">
        <v>7</v>
      </c>
      <c r="B3768" t="s">
        <v>20</v>
      </c>
      <c r="C3768" t="s">
        <v>9</v>
      </c>
      <c r="D3768" t="s">
        <v>10</v>
      </c>
      <c r="E3768">
        <v>6</v>
      </c>
      <c r="F3768" s="1">
        <v>43496</v>
      </c>
      <c r="G3768">
        <v>-8.1280435879691401E-3</v>
      </c>
    </row>
    <row r="3769" spans="1:7" x14ac:dyDescent="0.25">
      <c r="A3769" t="s">
        <v>7</v>
      </c>
      <c r="B3769" t="s">
        <v>20</v>
      </c>
      <c r="C3769" t="s">
        <v>9</v>
      </c>
      <c r="D3769" t="s">
        <v>10</v>
      </c>
      <c r="E3769">
        <v>6</v>
      </c>
      <c r="F3769" s="1">
        <v>43524</v>
      </c>
      <c r="G3769" s="2">
        <v>-9.1523923051392998E-6</v>
      </c>
    </row>
    <row r="3770" spans="1:7" x14ac:dyDescent="0.25">
      <c r="A3770" t="s">
        <v>7</v>
      </c>
      <c r="B3770" t="s">
        <v>20</v>
      </c>
      <c r="C3770" t="s">
        <v>9</v>
      </c>
      <c r="D3770" t="s">
        <v>10</v>
      </c>
      <c r="E3770">
        <v>6</v>
      </c>
      <c r="F3770" s="1">
        <v>43555</v>
      </c>
      <c r="G3770">
        <v>-1.9479108239671201E-2</v>
      </c>
    </row>
    <row r="3771" spans="1:7" x14ac:dyDescent="0.25">
      <c r="A3771" t="s">
        <v>7</v>
      </c>
      <c r="B3771" t="s">
        <v>20</v>
      </c>
      <c r="C3771" t="s">
        <v>9</v>
      </c>
      <c r="D3771" t="s">
        <v>10</v>
      </c>
      <c r="E3771">
        <v>6</v>
      </c>
      <c r="F3771" s="1">
        <v>43585</v>
      </c>
      <c r="G3771">
        <v>-3.3580496271848503E-2</v>
      </c>
    </row>
    <row r="3772" spans="1:7" x14ac:dyDescent="0.25">
      <c r="A3772" t="s">
        <v>7</v>
      </c>
      <c r="B3772" t="s">
        <v>20</v>
      </c>
      <c r="C3772" t="s">
        <v>9</v>
      </c>
      <c r="D3772" t="s">
        <v>10</v>
      </c>
      <c r="E3772">
        <v>6</v>
      </c>
      <c r="F3772" s="1">
        <v>43616</v>
      </c>
      <c r="G3772">
        <v>-1.81473518112906E-2</v>
      </c>
    </row>
    <row r="3773" spans="1:7" x14ac:dyDescent="0.25">
      <c r="A3773" t="s">
        <v>7</v>
      </c>
      <c r="B3773" t="s">
        <v>20</v>
      </c>
      <c r="C3773" t="s">
        <v>9</v>
      </c>
      <c r="D3773" t="s">
        <v>10</v>
      </c>
      <c r="E3773">
        <v>6</v>
      </c>
      <c r="F3773" s="1">
        <v>43646</v>
      </c>
      <c r="G3773">
        <v>1.3392986022459599E-2</v>
      </c>
    </row>
    <row r="3774" spans="1:7" x14ac:dyDescent="0.25">
      <c r="A3774" t="s">
        <v>7</v>
      </c>
      <c r="B3774" t="s">
        <v>20</v>
      </c>
      <c r="C3774" t="s">
        <v>9</v>
      </c>
      <c r="D3774" t="s">
        <v>10</v>
      </c>
      <c r="E3774">
        <v>6</v>
      </c>
      <c r="F3774" s="1">
        <v>43677</v>
      </c>
      <c r="G3774">
        <v>-1.52888410879852E-2</v>
      </c>
    </row>
    <row r="3775" spans="1:7" x14ac:dyDescent="0.25">
      <c r="A3775" t="s">
        <v>7</v>
      </c>
      <c r="B3775" t="s">
        <v>20</v>
      </c>
      <c r="C3775" t="s">
        <v>9</v>
      </c>
      <c r="D3775" t="s">
        <v>10</v>
      </c>
      <c r="E3775">
        <v>6</v>
      </c>
      <c r="F3775" s="1">
        <v>43708</v>
      </c>
      <c r="G3775">
        <v>-2.9697902150216001E-2</v>
      </c>
    </row>
    <row r="3776" spans="1:7" x14ac:dyDescent="0.25">
      <c r="A3776" t="s">
        <v>7</v>
      </c>
      <c r="B3776" t="s">
        <v>20</v>
      </c>
      <c r="C3776" t="s">
        <v>9</v>
      </c>
      <c r="D3776" t="s">
        <v>10</v>
      </c>
      <c r="E3776">
        <v>6</v>
      </c>
      <c r="F3776" s="1">
        <v>43738</v>
      </c>
      <c r="G3776">
        <v>-9.6164896565042405E-3</v>
      </c>
    </row>
    <row r="3777" spans="1:7" x14ac:dyDescent="0.25">
      <c r="A3777" t="s">
        <v>7</v>
      </c>
      <c r="B3777" t="s">
        <v>20</v>
      </c>
      <c r="C3777" t="s">
        <v>9</v>
      </c>
      <c r="D3777" t="s">
        <v>10</v>
      </c>
      <c r="E3777">
        <v>6</v>
      </c>
      <c r="F3777" s="1">
        <v>43769</v>
      </c>
      <c r="G3777">
        <v>2.6920528781902001E-2</v>
      </c>
    </row>
    <row r="3778" spans="1:7" x14ac:dyDescent="0.25">
      <c r="A3778" t="s">
        <v>7</v>
      </c>
      <c r="B3778" t="s">
        <v>20</v>
      </c>
      <c r="C3778" t="s">
        <v>9</v>
      </c>
      <c r="D3778" t="s">
        <v>10</v>
      </c>
      <c r="E3778">
        <v>6</v>
      </c>
      <c r="F3778" s="1">
        <v>43799</v>
      </c>
      <c r="G3778">
        <v>-2.6286991493010399E-2</v>
      </c>
    </row>
    <row r="3779" spans="1:7" x14ac:dyDescent="0.25">
      <c r="A3779" t="s">
        <v>7</v>
      </c>
      <c r="B3779" t="s">
        <v>20</v>
      </c>
      <c r="C3779" t="s">
        <v>9</v>
      </c>
      <c r="D3779" t="s">
        <v>10</v>
      </c>
      <c r="E3779">
        <v>6</v>
      </c>
      <c r="F3779" s="1">
        <v>43830</v>
      </c>
      <c r="G3779">
        <v>-1.68152760225206E-2</v>
      </c>
    </row>
    <row r="3780" spans="1:7" x14ac:dyDescent="0.25">
      <c r="A3780" t="s">
        <v>7</v>
      </c>
      <c r="B3780" t="s">
        <v>20</v>
      </c>
      <c r="C3780" t="s">
        <v>9</v>
      </c>
      <c r="D3780" t="s">
        <v>10</v>
      </c>
      <c r="E3780">
        <v>6</v>
      </c>
      <c r="F3780" s="1">
        <v>43861</v>
      </c>
      <c r="G3780">
        <v>-2.0761572682213101E-2</v>
      </c>
    </row>
    <row r="3781" spans="1:7" x14ac:dyDescent="0.25">
      <c r="A3781" t="s">
        <v>7</v>
      </c>
      <c r="B3781" t="s">
        <v>20</v>
      </c>
      <c r="C3781" t="s">
        <v>9</v>
      </c>
      <c r="D3781" t="s">
        <v>10</v>
      </c>
      <c r="E3781">
        <v>6</v>
      </c>
      <c r="F3781" s="1">
        <v>43890</v>
      </c>
      <c r="G3781">
        <v>-8.5621171986397307E-3</v>
      </c>
    </row>
    <row r="3782" spans="1:7" x14ac:dyDescent="0.25">
      <c r="A3782" t="s">
        <v>7</v>
      </c>
      <c r="B3782" t="s">
        <v>20</v>
      </c>
      <c r="C3782" t="s">
        <v>9</v>
      </c>
      <c r="D3782" t="s">
        <v>10</v>
      </c>
      <c r="E3782">
        <v>6</v>
      </c>
      <c r="F3782" s="1">
        <v>43921</v>
      </c>
      <c r="G3782">
        <v>-2.0933215352178399E-2</v>
      </c>
    </row>
    <row r="3783" spans="1:7" x14ac:dyDescent="0.25">
      <c r="A3783" t="s">
        <v>7</v>
      </c>
      <c r="B3783" t="s">
        <v>20</v>
      </c>
      <c r="C3783" t="s">
        <v>9</v>
      </c>
      <c r="D3783" t="s">
        <v>10</v>
      </c>
      <c r="E3783">
        <v>6</v>
      </c>
      <c r="F3783" s="1">
        <v>43951</v>
      </c>
      <c r="G3783">
        <v>-2.35774122823567E-2</v>
      </c>
    </row>
    <row r="3784" spans="1:7" x14ac:dyDescent="0.25">
      <c r="A3784" t="s">
        <v>7</v>
      </c>
      <c r="B3784" t="s">
        <v>20</v>
      </c>
      <c r="C3784" t="s">
        <v>9</v>
      </c>
      <c r="D3784" t="s">
        <v>10</v>
      </c>
      <c r="E3784">
        <v>6</v>
      </c>
      <c r="F3784" s="1">
        <v>43982</v>
      </c>
      <c r="G3784">
        <v>2.3540562424806399E-3</v>
      </c>
    </row>
    <row r="3785" spans="1:7" x14ac:dyDescent="0.25">
      <c r="A3785" t="s">
        <v>7</v>
      </c>
      <c r="B3785" t="s">
        <v>20</v>
      </c>
      <c r="C3785" t="s">
        <v>9</v>
      </c>
      <c r="D3785" t="s">
        <v>10</v>
      </c>
      <c r="E3785">
        <v>6</v>
      </c>
      <c r="F3785" s="1">
        <v>44012</v>
      </c>
      <c r="G3785">
        <v>-3.1076814340870999E-2</v>
      </c>
    </row>
    <row r="3786" spans="1:7" x14ac:dyDescent="0.25">
      <c r="A3786" t="s">
        <v>7</v>
      </c>
      <c r="B3786" t="s">
        <v>20</v>
      </c>
      <c r="C3786" t="s">
        <v>9</v>
      </c>
      <c r="D3786" t="s">
        <v>10</v>
      </c>
      <c r="E3786">
        <v>6</v>
      </c>
      <c r="F3786" s="1">
        <v>44043</v>
      </c>
      <c r="G3786">
        <v>-1.7442559079663598E-2</v>
      </c>
    </row>
    <row r="3787" spans="1:7" x14ac:dyDescent="0.25">
      <c r="A3787" t="s">
        <v>7</v>
      </c>
      <c r="B3787" t="s">
        <v>20</v>
      </c>
      <c r="C3787" t="s">
        <v>9</v>
      </c>
      <c r="D3787" t="s">
        <v>10</v>
      </c>
      <c r="E3787">
        <v>6</v>
      </c>
      <c r="F3787" s="1">
        <v>44074</v>
      </c>
      <c r="G3787">
        <v>1.24547386316447E-2</v>
      </c>
    </row>
    <row r="3788" spans="1:7" x14ac:dyDescent="0.25">
      <c r="A3788" t="s">
        <v>7</v>
      </c>
      <c r="B3788" t="s">
        <v>20</v>
      </c>
      <c r="C3788" t="s">
        <v>9</v>
      </c>
      <c r="D3788" t="s">
        <v>10</v>
      </c>
      <c r="E3788">
        <v>6</v>
      </c>
      <c r="F3788" s="1">
        <v>44104</v>
      </c>
      <c r="G3788">
        <v>3.4249553225164799E-2</v>
      </c>
    </row>
    <row r="3789" spans="1:7" x14ac:dyDescent="0.25">
      <c r="A3789" t="s">
        <v>7</v>
      </c>
      <c r="B3789" t="s">
        <v>20</v>
      </c>
      <c r="C3789" t="s">
        <v>9</v>
      </c>
      <c r="D3789" t="s">
        <v>10</v>
      </c>
      <c r="E3789">
        <v>6</v>
      </c>
      <c r="F3789" s="1">
        <v>44135</v>
      </c>
      <c r="G3789">
        <v>-2.4770249551550799E-2</v>
      </c>
    </row>
    <row r="3790" spans="1:7" x14ac:dyDescent="0.25">
      <c r="A3790" t="s">
        <v>7</v>
      </c>
      <c r="B3790" t="s">
        <v>20</v>
      </c>
      <c r="C3790" t="s">
        <v>9</v>
      </c>
      <c r="D3790" t="s">
        <v>10</v>
      </c>
      <c r="E3790">
        <v>6</v>
      </c>
      <c r="F3790" s="1">
        <v>44165</v>
      </c>
      <c r="G3790">
        <v>-1.06079074863856E-2</v>
      </c>
    </row>
    <row r="3791" spans="1:7" x14ac:dyDescent="0.25">
      <c r="A3791" t="s">
        <v>7</v>
      </c>
      <c r="B3791" t="s">
        <v>20</v>
      </c>
      <c r="C3791" t="s">
        <v>9</v>
      </c>
      <c r="D3791" t="s">
        <v>10</v>
      </c>
      <c r="E3791">
        <v>6</v>
      </c>
      <c r="F3791" s="1">
        <v>44196</v>
      </c>
      <c r="G3791">
        <v>-2.1185270714455699E-2</v>
      </c>
    </row>
    <row r="3792" spans="1:7" x14ac:dyDescent="0.25">
      <c r="A3792" t="s">
        <v>7</v>
      </c>
      <c r="B3792" t="s">
        <v>20</v>
      </c>
      <c r="C3792" t="s">
        <v>9</v>
      </c>
      <c r="D3792" t="s">
        <v>10</v>
      </c>
      <c r="E3792">
        <v>6</v>
      </c>
      <c r="F3792" s="1">
        <v>44227</v>
      </c>
      <c r="G3792">
        <v>-4.2851275100546302E-2</v>
      </c>
    </row>
    <row r="3793" spans="1:7" x14ac:dyDescent="0.25">
      <c r="A3793" t="s">
        <v>7</v>
      </c>
      <c r="B3793" t="s">
        <v>20</v>
      </c>
      <c r="C3793" t="s">
        <v>9</v>
      </c>
      <c r="D3793" t="s">
        <v>10</v>
      </c>
      <c r="E3793">
        <v>6</v>
      </c>
      <c r="F3793" s="1">
        <v>44255</v>
      </c>
      <c r="G3793">
        <v>-1.1773803821675401E-2</v>
      </c>
    </row>
    <row r="3794" spans="1:7" x14ac:dyDescent="0.25">
      <c r="A3794" t="s">
        <v>7</v>
      </c>
      <c r="B3794" t="s">
        <v>20</v>
      </c>
      <c r="C3794" t="s">
        <v>9</v>
      </c>
      <c r="D3794" t="s">
        <v>10</v>
      </c>
      <c r="E3794">
        <v>6</v>
      </c>
      <c r="F3794" s="1">
        <v>44286</v>
      </c>
      <c r="G3794">
        <v>1.44256706346936E-2</v>
      </c>
    </row>
    <row r="3795" spans="1:7" x14ac:dyDescent="0.25">
      <c r="A3795" t="s">
        <v>7</v>
      </c>
      <c r="B3795" t="s">
        <v>20</v>
      </c>
      <c r="C3795" t="s">
        <v>9</v>
      </c>
      <c r="D3795" t="s">
        <v>10</v>
      </c>
      <c r="E3795">
        <v>6</v>
      </c>
      <c r="F3795" s="1">
        <v>44316</v>
      </c>
      <c r="G3795">
        <v>-4.1164238937566097E-3</v>
      </c>
    </row>
    <row r="3796" spans="1:7" x14ac:dyDescent="0.25">
      <c r="A3796" t="s">
        <v>7</v>
      </c>
      <c r="B3796" t="s">
        <v>20</v>
      </c>
      <c r="C3796" t="s">
        <v>9</v>
      </c>
      <c r="D3796" t="s">
        <v>10</v>
      </c>
      <c r="E3796">
        <v>6</v>
      </c>
      <c r="F3796" s="1">
        <v>44347</v>
      </c>
      <c r="G3796">
        <v>-8.7647137384259995E-3</v>
      </c>
    </row>
    <row r="3797" spans="1:7" x14ac:dyDescent="0.25">
      <c r="A3797" t="s">
        <v>7</v>
      </c>
      <c r="B3797" t="s">
        <v>20</v>
      </c>
      <c r="C3797" t="s">
        <v>9</v>
      </c>
      <c r="D3797" t="s">
        <v>10</v>
      </c>
      <c r="E3797">
        <v>6</v>
      </c>
      <c r="F3797" s="1">
        <v>44377</v>
      </c>
      <c r="G3797">
        <v>-9.11030705606416E-3</v>
      </c>
    </row>
    <row r="3798" spans="1:7" x14ac:dyDescent="0.25">
      <c r="A3798" t="s">
        <v>7</v>
      </c>
      <c r="B3798" t="s">
        <v>20</v>
      </c>
      <c r="C3798" t="s">
        <v>9</v>
      </c>
      <c r="D3798" t="s">
        <v>10</v>
      </c>
      <c r="E3798">
        <v>6</v>
      </c>
      <c r="F3798" s="1">
        <v>44408</v>
      </c>
      <c r="G3798">
        <v>1.37463728567569E-2</v>
      </c>
    </row>
    <row r="3799" spans="1:7" x14ac:dyDescent="0.25">
      <c r="A3799" t="s">
        <v>7</v>
      </c>
      <c r="B3799" t="s">
        <v>20</v>
      </c>
      <c r="C3799" t="s">
        <v>9</v>
      </c>
      <c r="D3799" t="s">
        <v>10</v>
      </c>
      <c r="E3799">
        <v>6</v>
      </c>
      <c r="F3799" s="1">
        <v>44439</v>
      </c>
      <c r="G3799">
        <v>2.3519935472457502E-3</v>
      </c>
    </row>
    <row r="3800" spans="1:7" x14ac:dyDescent="0.25">
      <c r="A3800" t="s">
        <v>7</v>
      </c>
      <c r="B3800" t="s">
        <v>20</v>
      </c>
      <c r="C3800" t="s">
        <v>9</v>
      </c>
      <c r="D3800" t="s">
        <v>10</v>
      </c>
      <c r="E3800">
        <v>6</v>
      </c>
      <c r="F3800" s="1">
        <v>44469</v>
      </c>
      <c r="G3800">
        <v>-2.7483906819416801E-3</v>
      </c>
    </row>
    <row r="3801" spans="1:7" x14ac:dyDescent="0.25">
      <c r="A3801" t="s">
        <v>7</v>
      </c>
      <c r="B3801" t="s">
        <v>20</v>
      </c>
      <c r="C3801" t="s">
        <v>9</v>
      </c>
      <c r="D3801" t="s">
        <v>10</v>
      </c>
      <c r="E3801">
        <v>6</v>
      </c>
      <c r="F3801" s="1">
        <v>44500</v>
      </c>
      <c r="G3801">
        <v>-1.1808537552387699E-3</v>
      </c>
    </row>
    <row r="3802" spans="1:7" x14ac:dyDescent="0.25">
      <c r="A3802" t="s">
        <v>7</v>
      </c>
      <c r="B3802" t="s">
        <v>20</v>
      </c>
      <c r="C3802" t="s">
        <v>9</v>
      </c>
      <c r="D3802" t="s">
        <v>10</v>
      </c>
      <c r="E3802">
        <v>6</v>
      </c>
      <c r="F3802" s="1">
        <v>44530</v>
      </c>
      <c r="G3802">
        <v>-1.98310210986084E-2</v>
      </c>
    </row>
    <row r="3803" spans="1:7" x14ac:dyDescent="0.25">
      <c r="A3803" t="s">
        <v>7</v>
      </c>
      <c r="B3803" t="s">
        <v>20</v>
      </c>
      <c r="C3803" t="s">
        <v>9</v>
      </c>
      <c r="D3803" t="s">
        <v>10</v>
      </c>
      <c r="E3803">
        <v>6</v>
      </c>
      <c r="F3803" s="1">
        <v>44561</v>
      </c>
      <c r="G3803">
        <v>-8.7028135905935504E-4</v>
      </c>
    </row>
    <row r="3804" spans="1:7" x14ac:dyDescent="0.25">
      <c r="A3804" t="s">
        <v>7</v>
      </c>
      <c r="B3804" t="s">
        <v>20</v>
      </c>
      <c r="C3804" t="s">
        <v>9</v>
      </c>
      <c r="D3804" t="s">
        <v>10</v>
      </c>
      <c r="E3804">
        <v>6</v>
      </c>
      <c r="F3804" s="1">
        <v>44592</v>
      </c>
      <c r="G3804">
        <v>1.7219503172422899E-2</v>
      </c>
    </row>
    <row r="3805" spans="1:7" x14ac:dyDescent="0.25">
      <c r="A3805" t="s">
        <v>7</v>
      </c>
      <c r="B3805" t="s">
        <v>20</v>
      </c>
      <c r="C3805" t="s">
        <v>9</v>
      </c>
      <c r="D3805" t="s">
        <v>10</v>
      </c>
      <c r="E3805">
        <v>6</v>
      </c>
      <c r="F3805" s="1">
        <v>44620</v>
      </c>
      <c r="G3805">
        <v>1.1953969962124199E-3</v>
      </c>
    </row>
    <row r="3806" spans="1:7" x14ac:dyDescent="0.25">
      <c r="A3806" t="s">
        <v>7</v>
      </c>
      <c r="B3806" t="s">
        <v>20</v>
      </c>
      <c r="C3806" t="s">
        <v>9</v>
      </c>
      <c r="D3806" t="s">
        <v>10</v>
      </c>
      <c r="E3806">
        <v>6</v>
      </c>
      <c r="F3806" s="1">
        <v>44651</v>
      </c>
      <c r="G3806">
        <v>-1.13659164559929E-2</v>
      </c>
    </row>
    <row r="3807" spans="1:7" x14ac:dyDescent="0.25">
      <c r="A3807" t="s">
        <v>7</v>
      </c>
      <c r="B3807" t="s">
        <v>20</v>
      </c>
      <c r="C3807" t="s">
        <v>9</v>
      </c>
      <c r="D3807" t="s">
        <v>10</v>
      </c>
      <c r="E3807">
        <v>6</v>
      </c>
      <c r="F3807" s="1">
        <v>44681</v>
      </c>
      <c r="G3807">
        <v>7.8695542619322007E-3</v>
      </c>
    </row>
    <row r="3808" spans="1:7" x14ac:dyDescent="0.25">
      <c r="A3808" t="s">
        <v>7</v>
      </c>
      <c r="B3808" t="s">
        <v>20</v>
      </c>
      <c r="C3808" t="s">
        <v>9</v>
      </c>
      <c r="D3808" t="s">
        <v>10</v>
      </c>
      <c r="E3808">
        <v>6</v>
      </c>
      <c r="F3808" s="1">
        <v>44712</v>
      </c>
      <c r="G3808">
        <v>-3.5272021471428001E-2</v>
      </c>
    </row>
    <row r="3809" spans="1:7" x14ac:dyDescent="0.25">
      <c r="A3809" t="s">
        <v>7</v>
      </c>
      <c r="B3809" t="s">
        <v>20</v>
      </c>
      <c r="C3809" t="s">
        <v>9</v>
      </c>
      <c r="D3809" t="s">
        <v>10</v>
      </c>
      <c r="E3809">
        <v>6</v>
      </c>
      <c r="F3809" s="1">
        <v>44742</v>
      </c>
      <c r="G3809">
        <v>-1.6114574889024201E-2</v>
      </c>
    </row>
    <row r="3810" spans="1:7" x14ac:dyDescent="0.25">
      <c r="A3810" t="s">
        <v>7</v>
      </c>
      <c r="B3810" t="s">
        <v>20</v>
      </c>
      <c r="C3810" t="s">
        <v>9</v>
      </c>
      <c r="D3810" t="s">
        <v>10</v>
      </c>
      <c r="E3810">
        <v>6</v>
      </c>
      <c r="F3810" s="1">
        <v>44773</v>
      </c>
      <c r="G3810">
        <v>2.3524490174756298E-2</v>
      </c>
    </row>
    <row r="3811" spans="1:7" x14ac:dyDescent="0.25">
      <c r="A3811" t="s">
        <v>7</v>
      </c>
      <c r="B3811" t="s">
        <v>20</v>
      </c>
      <c r="C3811" t="s">
        <v>9</v>
      </c>
      <c r="D3811" t="s">
        <v>10</v>
      </c>
      <c r="E3811">
        <v>6</v>
      </c>
      <c r="F3811" s="1">
        <v>44804</v>
      </c>
      <c r="G3811">
        <v>-4.4160380265448898E-2</v>
      </c>
    </row>
    <row r="3812" spans="1:7" x14ac:dyDescent="0.25">
      <c r="A3812" t="s">
        <v>7</v>
      </c>
      <c r="B3812" t="s">
        <v>20</v>
      </c>
      <c r="C3812" t="s">
        <v>9</v>
      </c>
      <c r="D3812" t="s">
        <v>10</v>
      </c>
      <c r="E3812">
        <v>6</v>
      </c>
      <c r="F3812" s="1">
        <v>44834</v>
      </c>
      <c r="G3812">
        <v>1.37152204102731E-3</v>
      </c>
    </row>
    <row r="3813" spans="1:7" x14ac:dyDescent="0.25">
      <c r="A3813" t="s">
        <v>7</v>
      </c>
      <c r="B3813" t="s">
        <v>20</v>
      </c>
      <c r="C3813" t="s">
        <v>9</v>
      </c>
      <c r="D3813" t="s">
        <v>10</v>
      </c>
      <c r="E3813">
        <v>6</v>
      </c>
      <c r="F3813" s="1">
        <v>44865</v>
      </c>
      <c r="G3813">
        <v>-2.2389056060954701E-2</v>
      </c>
    </row>
    <row r="3814" spans="1:7" x14ac:dyDescent="0.25">
      <c r="A3814" t="s">
        <v>7</v>
      </c>
      <c r="B3814" t="s">
        <v>20</v>
      </c>
      <c r="C3814" t="s">
        <v>9</v>
      </c>
      <c r="D3814" t="s">
        <v>10</v>
      </c>
      <c r="E3814">
        <v>6</v>
      </c>
      <c r="F3814" s="1">
        <v>44895</v>
      </c>
      <c r="G3814">
        <v>1.6607939413897599E-2</v>
      </c>
    </row>
    <row r="3815" spans="1:7" x14ac:dyDescent="0.25">
      <c r="A3815" t="s">
        <v>7</v>
      </c>
      <c r="B3815" t="s">
        <v>20</v>
      </c>
      <c r="C3815" t="s">
        <v>9</v>
      </c>
      <c r="D3815" t="s">
        <v>10</v>
      </c>
      <c r="E3815">
        <v>6</v>
      </c>
      <c r="F3815" s="1">
        <v>44926</v>
      </c>
      <c r="G3815">
        <v>-1.72317492962712E-2</v>
      </c>
    </row>
    <row r="3816" spans="1:7" x14ac:dyDescent="0.25">
      <c r="A3816" t="s">
        <v>7</v>
      </c>
      <c r="B3816" t="s">
        <v>20</v>
      </c>
      <c r="C3816" t="s">
        <v>9</v>
      </c>
      <c r="D3816" t="s">
        <v>10</v>
      </c>
      <c r="E3816">
        <v>6</v>
      </c>
      <c r="F3816" s="1">
        <v>44957</v>
      </c>
      <c r="G3816">
        <v>1.63540005284314E-3</v>
      </c>
    </row>
    <row r="3817" spans="1:7" x14ac:dyDescent="0.25">
      <c r="A3817" t="s">
        <v>7</v>
      </c>
      <c r="B3817" t="s">
        <v>20</v>
      </c>
      <c r="C3817" t="s">
        <v>9</v>
      </c>
      <c r="D3817" t="s">
        <v>10</v>
      </c>
      <c r="E3817">
        <v>6</v>
      </c>
      <c r="F3817" s="1">
        <v>44985</v>
      </c>
      <c r="G3817">
        <v>9.7213882222947409E-3</v>
      </c>
    </row>
    <row r="3818" spans="1:7" x14ac:dyDescent="0.25">
      <c r="A3818" t="s">
        <v>7</v>
      </c>
      <c r="B3818" t="s">
        <v>20</v>
      </c>
      <c r="C3818" t="s">
        <v>9</v>
      </c>
      <c r="D3818" t="s">
        <v>10</v>
      </c>
      <c r="E3818">
        <v>6</v>
      </c>
      <c r="F3818" s="1">
        <v>45016</v>
      </c>
      <c r="G3818">
        <v>-1.6643472164314901E-2</v>
      </c>
    </row>
    <row r="3819" spans="1:7" x14ac:dyDescent="0.25">
      <c r="A3819" t="s">
        <v>7</v>
      </c>
      <c r="B3819" t="s">
        <v>20</v>
      </c>
      <c r="C3819" t="s">
        <v>9</v>
      </c>
      <c r="D3819" t="s">
        <v>10</v>
      </c>
      <c r="E3819">
        <v>6</v>
      </c>
      <c r="F3819" s="1">
        <v>45046</v>
      </c>
      <c r="G3819">
        <v>-9.4021921599550702E-3</v>
      </c>
    </row>
    <row r="3820" spans="1:7" x14ac:dyDescent="0.25">
      <c r="A3820" t="s">
        <v>7</v>
      </c>
      <c r="B3820" t="s">
        <v>20</v>
      </c>
      <c r="C3820" t="s">
        <v>9</v>
      </c>
      <c r="D3820" t="s">
        <v>10</v>
      </c>
      <c r="E3820">
        <v>6</v>
      </c>
      <c r="F3820" s="1">
        <v>45077</v>
      </c>
      <c r="G3820">
        <v>-2.55760325752118E-2</v>
      </c>
    </row>
    <row r="3821" spans="1:7" x14ac:dyDescent="0.25">
      <c r="A3821" t="s">
        <v>7</v>
      </c>
      <c r="B3821" t="s">
        <v>20</v>
      </c>
      <c r="C3821" t="s">
        <v>9</v>
      </c>
      <c r="D3821" t="s">
        <v>10</v>
      </c>
      <c r="E3821">
        <v>6</v>
      </c>
      <c r="F3821" s="1">
        <v>45107</v>
      </c>
      <c r="G3821">
        <v>-1.8735759471591701E-2</v>
      </c>
    </row>
    <row r="3822" spans="1:7" x14ac:dyDescent="0.25">
      <c r="A3822" t="s">
        <v>7</v>
      </c>
      <c r="B3822" t="s">
        <v>20</v>
      </c>
      <c r="C3822" t="s">
        <v>9</v>
      </c>
      <c r="D3822" t="s">
        <v>10</v>
      </c>
      <c r="E3822">
        <v>6</v>
      </c>
      <c r="F3822" s="1">
        <v>45138</v>
      </c>
      <c r="G3822">
        <v>-1.13560321179094E-2</v>
      </c>
    </row>
    <row r="3823" spans="1:7" x14ac:dyDescent="0.25">
      <c r="A3823" t="s">
        <v>7</v>
      </c>
      <c r="B3823" t="s">
        <v>20</v>
      </c>
      <c r="C3823" t="s">
        <v>9</v>
      </c>
      <c r="D3823" t="s">
        <v>10</v>
      </c>
      <c r="E3823">
        <v>6</v>
      </c>
      <c r="F3823" s="1">
        <v>45169</v>
      </c>
      <c r="G3823">
        <v>8.6552750971097599E-3</v>
      </c>
    </row>
    <row r="3824" spans="1:7" x14ac:dyDescent="0.25">
      <c r="A3824" t="s">
        <v>7</v>
      </c>
      <c r="B3824" t="s">
        <v>20</v>
      </c>
      <c r="C3824" t="s">
        <v>9</v>
      </c>
      <c r="D3824" t="s">
        <v>10</v>
      </c>
      <c r="E3824">
        <v>6</v>
      </c>
      <c r="F3824" s="1">
        <v>45199</v>
      </c>
      <c r="G3824">
        <v>-3.43663613677423E-2</v>
      </c>
    </row>
    <row r="3825" spans="1:7" x14ac:dyDescent="0.25">
      <c r="A3825" t="s">
        <v>7</v>
      </c>
      <c r="B3825" t="s">
        <v>20</v>
      </c>
      <c r="C3825" t="s">
        <v>9</v>
      </c>
      <c r="D3825" t="s">
        <v>10</v>
      </c>
      <c r="E3825">
        <v>6</v>
      </c>
      <c r="F3825" s="1">
        <v>45230</v>
      </c>
      <c r="G3825">
        <v>-1.7389036297097201E-2</v>
      </c>
    </row>
    <row r="3826" spans="1:7" x14ac:dyDescent="0.25">
      <c r="A3826" t="s">
        <v>7</v>
      </c>
      <c r="B3826" t="s">
        <v>20</v>
      </c>
      <c r="C3826" t="s">
        <v>9</v>
      </c>
      <c r="D3826" t="s">
        <v>10</v>
      </c>
      <c r="E3826">
        <v>6</v>
      </c>
      <c r="F3826" s="1">
        <v>45260</v>
      </c>
      <c r="G3826">
        <v>3.3751308009526998E-2</v>
      </c>
    </row>
    <row r="3827" spans="1:7" x14ac:dyDescent="0.25">
      <c r="A3827" t="s">
        <v>7</v>
      </c>
      <c r="B3827" t="s">
        <v>20</v>
      </c>
      <c r="C3827" t="s">
        <v>9</v>
      </c>
      <c r="D3827" t="s">
        <v>10</v>
      </c>
      <c r="E3827">
        <v>6</v>
      </c>
      <c r="F3827" s="1">
        <v>45291</v>
      </c>
      <c r="G3827">
        <v>-5.2758214866108098E-3</v>
      </c>
    </row>
    <row r="3828" spans="1:7" x14ac:dyDescent="0.25">
      <c r="A3828" t="s">
        <v>7</v>
      </c>
      <c r="B3828" t="s">
        <v>20</v>
      </c>
      <c r="C3828" t="s">
        <v>9</v>
      </c>
      <c r="D3828" t="s">
        <v>10</v>
      </c>
      <c r="E3828">
        <v>6</v>
      </c>
      <c r="F3828" s="1">
        <v>45322</v>
      </c>
      <c r="G3828">
        <v>-2.3282564972804398E-3</v>
      </c>
    </row>
    <row r="3829" spans="1:7" x14ac:dyDescent="0.25">
      <c r="A3829" t="s">
        <v>7</v>
      </c>
      <c r="B3829" t="s">
        <v>20</v>
      </c>
      <c r="C3829" t="s">
        <v>9</v>
      </c>
      <c r="D3829" t="s">
        <v>10</v>
      </c>
      <c r="E3829">
        <v>6</v>
      </c>
      <c r="F3829" s="1">
        <v>45351</v>
      </c>
      <c r="G3829">
        <v>-5.5122984915312399E-3</v>
      </c>
    </row>
    <row r="3830" spans="1:7" x14ac:dyDescent="0.25">
      <c r="A3830" t="s">
        <v>7</v>
      </c>
      <c r="B3830" t="s">
        <v>20</v>
      </c>
      <c r="C3830" t="s">
        <v>9</v>
      </c>
      <c r="D3830" t="s">
        <v>10</v>
      </c>
      <c r="E3830">
        <v>6</v>
      </c>
      <c r="F3830" s="1">
        <v>45382</v>
      </c>
      <c r="G3830">
        <v>-1.5985906748337601E-2</v>
      </c>
    </row>
    <row r="3831" spans="1:7" x14ac:dyDescent="0.25">
      <c r="A3831" t="s">
        <v>7</v>
      </c>
      <c r="B3831" t="s">
        <v>20</v>
      </c>
      <c r="C3831" t="s">
        <v>9</v>
      </c>
      <c r="D3831" t="s">
        <v>10</v>
      </c>
      <c r="E3831">
        <v>6</v>
      </c>
      <c r="F3831" s="1">
        <v>45412</v>
      </c>
      <c r="G3831">
        <v>4.4191518520687997E-3</v>
      </c>
    </row>
    <row r="3832" spans="1:7" x14ac:dyDescent="0.25">
      <c r="A3832" t="s">
        <v>7</v>
      </c>
      <c r="B3832" t="s">
        <v>20</v>
      </c>
      <c r="C3832" t="s">
        <v>9</v>
      </c>
      <c r="D3832" t="s">
        <v>10</v>
      </c>
      <c r="E3832">
        <v>6</v>
      </c>
      <c r="F3832" s="1">
        <v>45443</v>
      </c>
      <c r="G3832">
        <v>-2.6090674777313101E-2</v>
      </c>
    </row>
    <row r="3833" spans="1:7" x14ac:dyDescent="0.25">
      <c r="A3833" t="s">
        <v>7</v>
      </c>
      <c r="B3833" t="s">
        <v>20</v>
      </c>
      <c r="C3833" t="s">
        <v>9</v>
      </c>
      <c r="D3833" t="s">
        <v>10</v>
      </c>
      <c r="E3833">
        <v>6</v>
      </c>
      <c r="F3833" s="1">
        <v>45473</v>
      </c>
      <c r="G3833">
        <v>2.9336600049319401E-3</v>
      </c>
    </row>
    <row r="3834" spans="1:7" x14ac:dyDescent="0.25">
      <c r="A3834" t="s">
        <v>7</v>
      </c>
      <c r="B3834" t="s">
        <v>20</v>
      </c>
      <c r="C3834" t="s">
        <v>9</v>
      </c>
      <c r="D3834" t="s">
        <v>10</v>
      </c>
      <c r="E3834">
        <v>6</v>
      </c>
      <c r="F3834" s="1">
        <v>45504</v>
      </c>
      <c r="G3834">
        <v>-1.9667813072261901E-2</v>
      </c>
    </row>
    <row r="3835" spans="1:7" x14ac:dyDescent="0.25">
      <c r="A3835" t="s">
        <v>7</v>
      </c>
      <c r="B3835" t="s">
        <v>20</v>
      </c>
      <c r="C3835" t="s">
        <v>9</v>
      </c>
      <c r="D3835" t="s">
        <v>10</v>
      </c>
      <c r="E3835">
        <v>6</v>
      </c>
      <c r="F3835" s="1">
        <v>45535</v>
      </c>
      <c r="G3835">
        <v>2.7917092442720299E-2</v>
      </c>
    </row>
    <row r="3836" spans="1:7" x14ac:dyDescent="0.25">
      <c r="A3836" t="s">
        <v>7</v>
      </c>
      <c r="B3836" t="s">
        <v>20</v>
      </c>
      <c r="C3836" t="s">
        <v>9</v>
      </c>
      <c r="D3836" t="s">
        <v>10</v>
      </c>
      <c r="E3836">
        <v>6</v>
      </c>
      <c r="F3836" s="1">
        <v>45565</v>
      </c>
      <c r="G3836">
        <v>1.43440403918177E-3</v>
      </c>
    </row>
    <row r="3837" spans="1:7" x14ac:dyDescent="0.25">
      <c r="A3837" t="s">
        <v>7</v>
      </c>
      <c r="B3837" t="s">
        <v>20</v>
      </c>
      <c r="C3837" t="s">
        <v>9</v>
      </c>
      <c r="D3837" t="s">
        <v>10</v>
      </c>
      <c r="E3837">
        <v>6</v>
      </c>
      <c r="F3837" s="1">
        <v>45596</v>
      </c>
      <c r="G3837">
        <v>8.5915529556122201E-3</v>
      </c>
    </row>
    <row r="3838" spans="1:7" x14ac:dyDescent="0.25">
      <c r="A3838" t="s">
        <v>7</v>
      </c>
      <c r="B3838" t="s">
        <v>20</v>
      </c>
      <c r="C3838" t="s">
        <v>9</v>
      </c>
      <c r="D3838" t="s">
        <v>10</v>
      </c>
      <c r="E3838">
        <v>6</v>
      </c>
      <c r="F3838" s="1">
        <v>45626</v>
      </c>
      <c r="G3838">
        <v>-2.2165143469274399E-2</v>
      </c>
    </row>
    <row r="3839" spans="1:7" x14ac:dyDescent="0.25">
      <c r="A3839" t="s">
        <v>7</v>
      </c>
      <c r="B3839" t="s">
        <v>20</v>
      </c>
      <c r="C3839" t="s">
        <v>9</v>
      </c>
      <c r="D3839" t="s">
        <v>10</v>
      </c>
      <c r="E3839">
        <v>6</v>
      </c>
      <c r="F3839" s="1">
        <v>45657</v>
      </c>
      <c r="G3839">
        <v>1.6226269411671601E-2</v>
      </c>
    </row>
    <row r="3840" spans="1:7" x14ac:dyDescent="0.25">
      <c r="A3840" t="s">
        <v>7</v>
      </c>
      <c r="B3840" t="s">
        <v>20</v>
      </c>
      <c r="C3840" t="s">
        <v>9</v>
      </c>
      <c r="D3840" t="s">
        <v>10</v>
      </c>
      <c r="E3840">
        <v>5</v>
      </c>
      <c r="F3840" s="1">
        <v>45688</v>
      </c>
      <c r="G3840">
        <v>2.8469957653567201E-2</v>
      </c>
    </row>
    <row r="3841" spans="1:7" x14ac:dyDescent="0.25">
      <c r="A3841" t="s">
        <v>7</v>
      </c>
      <c r="B3841" t="s">
        <v>20</v>
      </c>
      <c r="C3841" t="s">
        <v>9</v>
      </c>
      <c r="D3841" t="s">
        <v>10</v>
      </c>
      <c r="E3841">
        <v>5</v>
      </c>
      <c r="F3841" s="1">
        <v>45716</v>
      </c>
      <c r="G3841">
        <v>-1.64525802185819E-2</v>
      </c>
    </row>
    <row r="3842" spans="1:7" x14ac:dyDescent="0.25">
      <c r="A3842" t="s">
        <v>7</v>
      </c>
      <c r="B3842" t="s">
        <v>20</v>
      </c>
      <c r="C3842" t="s">
        <v>9</v>
      </c>
      <c r="D3842" t="s">
        <v>10</v>
      </c>
      <c r="E3842">
        <v>4</v>
      </c>
      <c r="F3842" s="1">
        <v>45747</v>
      </c>
      <c r="G3842">
        <v>-3.14430959506671E-3</v>
      </c>
    </row>
    <row r="3843" spans="1:7" x14ac:dyDescent="0.25">
      <c r="A3843" t="s">
        <v>7</v>
      </c>
      <c r="B3843" t="s">
        <v>20</v>
      </c>
      <c r="C3843" t="s">
        <v>9</v>
      </c>
      <c r="D3843" t="s">
        <v>10</v>
      </c>
      <c r="E3843">
        <v>5</v>
      </c>
      <c r="F3843" s="1">
        <v>45777</v>
      </c>
      <c r="G3843">
        <v>-7.1561638460618101E-3</v>
      </c>
    </row>
    <row r="3844" spans="1:7" x14ac:dyDescent="0.25">
      <c r="A3844" t="s">
        <v>7</v>
      </c>
      <c r="B3844" t="s">
        <v>20</v>
      </c>
      <c r="C3844" t="s">
        <v>9</v>
      </c>
      <c r="D3844" t="s">
        <v>10</v>
      </c>
      <c r="E3844">
        <v>5</v>
      </c>
      <c r="F3844" s="1">
        <v>45808</v>
      </c>
      <c r="G3844">
        <v>-2.4782326707795899E-2</v>
      </c>
    </row>
    <row r="3845" spans="1:7" x14ac:dyDescent="0.25">
      <c r="A3845" t="s">
        <v>7</v>
      </c>
      <c r="B3845" t="s">
        <v>20</v>
      </c>
      <c r="C3845" t="s">
        <v>9</v>
      </c>
      <c r="D3845" t="s">
        <v>10</v>
      </c>
      <c r="E3845">
        <v>6</v>
      </c>
      <c r="F3845" s="1">
        <v>45838</v>
      </c>
      <c r="G3845">
        <v>-1.7036255271032901E-2</v>
      </c>
    </row>
    <row r="3846" spans="1:7" x14ac:dyDescent="0.25">
      <c r="A3846" t="s">
        <v>7</v>
      </c>
      <c r="B3846" t="s">
        <v>20</v>
      </c>
      <c r="C3846" t="s">
        <v>9</v>
      </c>
      <c r="D3846" t="s">
        <v>10</v>
      </c>
      <c r="E3846">
        <v>6</v>
      </c>
      <c r="F3846" s="1">
        <v>45869</v>
      </c>
      <c r="G3846">
        <v>-1.7796107640500499E-4</v>
      </c>
    </row>
    <row r="3847" spans="1:7" x14ac:dyDescent="0.25">
      <c r="A3847" t="s">
        <v>7</v>
      </c>
      <c r="B3847" t="s">
        <v>20</v>
      </c>
      <c r="C3847" t="s">
        <v>9</v>
      </c>
      <c r="D3847" t="s">
        <v>10</v>
      </c>
      <c r="E3847">
        <v>6</v>
      </c>
      <c r="F3847" s="1">
        <v>45900</v>
      </c>
      <c r="G3847">
        <v>7.5617020543492603E-3</v>
      </c>
    </row>
    <row r="3848" spans="1:7" x14ac:dyDescent="0.25">
      <c r="A3848" t="s">
        <v>7</v>
      </c>
      <c r="B3848" t="s">
        <v>20</v>
      </c>
      <c r="C3848" t="s">
        <v>9</v>
      </c>
      <c r="D3848" t="s">
        <v>10</v>
      </c>
      <c r="E3848">
        <v>6</v>
      </c>
      <c r="F3848" s="1">
        <v>45930</v>
      </c>
      <c r="G3848">
        <v>-5.8312473271096999E-3</v>
      </c>
    </row>
    <row r="3849" spans="1:7" x14ac:dyDescent="0.25">
      <c r="A3849" t="s">
        <v>7</v>
      </c>
      <c r="B3849" t="s">
        <v>20</v>
      </c>
      <c r="C3849" t="s">
        <v>9</v>
      </c>
      <c r="D3849" t="s">
        <v>10</v>
      </c>
      <c r="E3849">
        <v>6</v>
      </c>
      <c r="F3849" s="1">
        <v>45961</v>
      </c>
      <c r="G3849">
        <v>1.6248107096262E-2</v>
      </c>
    </row>
    <row r="3850" spans="1:7" x14ac:dyDescent="0.25">
      <c r="A3850" t="s">
        <v>7</v>
      </c>
      <c r="B3850" t="s">
        <v>20</v>
      </c>
      <c r="C3850" t="s">
        <v>9</v>
      </c>
      <c r="D3850" t="s">
        <v>10</v>
      </c>
      <c r="E3850">
        <v>5</v>
      </c>
      <c r="F3850" s="1">
        <v>45991</v>
      </c>
      <c r="G3850">
        <v>-1.2194188918454999E-2</v>
      </c>
    </row>
    <row r="3851" spans="1:7" x14ac:dyDescent="0.25">
      <c r="A3851" t="s">
        <v>7</v>
      </c>
      <c r="B3851" t="s">
        <v>20</v>
      </c>
      <c r="C3851" t="s">
        <v>9</v>
      </c>
      <c r="D3851" t="s">
        <v>10</v>
      </c>
      <c r="E3851">
        <v>5</v>
      </c>
      <c r="F3851" s="1">
        <v>46022</v>
      </c>
      <c r="G3851">
        <v>1.11509857316402E-2</v>
      </c>
    </row>
    <row r="3852" spans="1:7" x14ac:dyDescent="0.25">
      <c r="A3852" t="s">
        <v>7</v>
      </c>
      <c r="B3852" t="s">
        <v>21</v>
      </c>
      <c r="C3852" t="s">
        <v>9</v>
      </c>
      <c r="D3852" t="s">
        <v>10</v>
      </c>
      <c r="E3852">
        <v>2</v>
      </c>
      <c r="F3852" s="1">
        <v>34577</v>
      </c>
      <c r="G3852">
        <v>0.16639817329296</v>
      </c>
    </row>
    <row r="3853" spans="1:7" x14ac:dyDescent="0.25">
      <c r="A3853" t="s">
        <v>7</v>
      </c>
      <c r="B3853" t="s">
        <v>21</v>
      </c>
      <c r="C3853" t="s">
        <v>9</v>
      </c>
      <c r="D3853" t="s">
        <v>10</v>
      </c>
      <c r="E3853">
        <v>2</v>
      </c>
      <c r="F3853" s="1">
        <v>34607</v>
      </c>
      <c r="G3853">
        <v>-7.9409823196314497E-2</v>
      </c>
    </row>
    <row r="3854" spans="1:7" x14ac:dyDescent="0.25">
      <c r="A3854" t="s">
        <v>7</v>
      </c>
      <c r="B3854" t="s">
        <v>21</v>
      </c>
      <c r="C3854" t="s">
        <v>9</v>
      </c>
      <c r="D3854" t="s">
        <v>10</v>
      </c>
      <c r="E3854">
        <v>2</v>
      </c>
      <c r="F3854" s="1">
        <v>34638</v>
      </c>
      <c r="G3854">
        <v>-2.1595267721461999E-2</v>
      </c>
    </row>
    <row r="3855" spans="1:7" x14ac:dyDescent="0.25">
      <c r="A3855" t="s">
        <v>7</v>
      </c>
      <c r="B3855" t="s">
        <v>21</v>
      </c>
      <c r="C3855" t="s">
        <v>9</v>
      </c>
      <c r="D3855" t="s">
        <v>10</v>
      </c>
      <c r="E3855">
        <v>2</v>
      </c>
      <c r="F3855" s="1">
        <v>34668</v>
      </c>
      <c r="G3855">
        <v>3.8645260896019502E-2</v>
      </c>
    </row>
    <row r="3856" spans="1:7" x14ac:dyDescent="0.25">
      <c r="A3856" t="s">
        <v>7</v>
      </c>
      <c r="B3856" t="s">
        <v>21</v>
      </c>
      <c r="C3856" t="s">
        <v>9</v>
      </c>
      <c r="D3856" t="s">
        <v>10</v>
      </c>
      <c r="E3856">
        <v>2</v>
      </c>
      <c r="F3856" s="1">
        <v>34699</v>
      </c>
      <c r="G3856">
        <v>4.0771557726513398E-2</v>
      </c>
    </row>
    <row r="3857" spans="1:7" x14ac:dyDescent="0.25">
      <c r="A3857" t="s">
        <v>7</v>
      </c>
      <c r="B3857" t="s">
        <v>21</v>
      </c>
      <c r="C3857" t="s">
        <v>9</v>
      </c>
      <c r="D3857" t="s">
        <v>10</v>
      </c>
      <c r="E3857">
        <v>2</v>
      </c>
      <c r="F3857" s="1">
        <v>34730</v>
      </c>
      <c r="G3857">
        <v>8.2545486713994407E-2</v>
      </c>
    </row>
    <row r="3858" spans="1:7" x14ac:dyDescent="0.25">
      <c r="A3858" t="s">
        <v>7</v>
      </c>
      <c r="B3858" t="s">
        <v>21</v>
      </c>
      <c r="C3858" t="s">
        <v>9</v>
      </c>
      <c r="D3858" t="s">
        <v>10</v>
      </c>
      <c r="E3858">
        <v>2</v>
      </c>
      <c r="F3858" s="1">
        <v>34758</v>
      </c>
      <c r="G3858">
        <v>1.32934596101271E-2</v>
      </c>
    </row>
    <row r="3859" spans="1:7" x14ac:dyDescent="0.25">
      <c r="A3859" t="s">
        <v>7</v>
      </c>
      <c r="B3859" t="s">
        <v>21</v>
      </c>
      <c r="C3859" t="s">
        <v>9</v>
      </c>
      <c r="D3859" t="s">
        <v>10</v>
      </c>
      <c r="E3859">
        <v>2</v>
      </c>
      <c r="F3859" s="1">
        <v>34789</v>
      </c>
      <c r="G3859">
        <v>-2.2041415235768701E-2</v>
      </c>
    </row>
    <row r="3860" spans="1:7" x14ac:dyDescent="0.25">
      <c r="A3860" t="s">
        <v>7</v>
      </c>
      <c r="B3860" t="s">
        <v>21</v>
      </c>
      <c r="C3860" t="s">
        <v>9</v>
      </c>
      <c r="D3860" t="s">
        <v>10</v>
      </c>
      <c r="E3860">
        <v>2</v>
      </c>
      <c r="F3860" s="1">
        <v>34819</v>
      </c>
      <c r="G3860">
        <v>1.65155713310597E-2</v>
      </c>
    </row>
    <row r="3861" spans="1:7" x14ac:dyDescent="0.25">
      <c r="A3861" t="s">
        <v>7</v>
      </c>
      <c r="B3861" t="s">
        <v>21</v>
      </c>
      <c r="C3861" t="s">
        <v>9</v>
      </c>
      <c r="D3861" t="s">
        <v>10</v>
      </c>
      <c r="E3861">
        <v>2</v>
      </c>
      <c r="F3861" s="1">
        <v>34850</v>
      </c>
      <c r="G3861">
        <v>1.5441279636011799E-2</v>
      </c>
    </row>
    <row r="3862" spans="1:7" x14ac:dyDescent="0.25">
      <c r="A3862" t="s">
        <v>7</v>
      </c>
      <c r="B3862" t="s">
        <v>21</v>
      </c>
      <c r="C3862" t="s">
        <v>9</v>
      </c>
      <c r="D3862" t="s">
        <v>10</v>
      </c>
      <c r="E3862">
        <v>2</v>
      </c>
      <c r="F3862" s="1">
        <v>34880</v>
      </c>
      <c r="G3862">
        <v>-7.4611886154912696E-3</v>
      </c>
    </row>
    <row r="3863" spans="1:7" x14ac:dyDescent="0.25">
      <c r="A3863" t="s">
        <v>7</v>
      </c>
      <c r="B3863" t="s">
        <v>21</v>
      </c>
      <c r="C3863" t="s">
        <v>9</v>
      </c>
      <c r="D3863" t="s">
        <v>10</v>
      </c>
      <c r="E3863">
        <v>2</v>
      </c>
      <c r="F3863" s="1">
        <v>34911</v>
      </c>
      <c r="G3863">
        <v>9.3886716188212496E-2</v>
      </c>
    </row>
    <row r="3864" spans="1:7" x14ac:dyDescent="0.25">
      <c r="A3864" t="s">
        <v>7</v>
      </c>
      <c r="B3864" t="s">
        <v>21</v>
      </c>
      <c r="C3864" t="s">
        <v>9</v>
      </c>
      <c r="D3864" t="s">
        <v>10</v>
      </c>
      <c r="E3864">
        <v>2</v>
      </c>
      <c r="F3864" s="1">
        <v>34942</v>
      </c>
      <c r="G3864">
        <v>2.6560749556968199E-2</v>
      </c>
    </row>
    <row r="3865" spans="1:7" x14ac:dyDescent="0.25">
      <c r="A3865" t="s">
        <v>7</v>
      </c>
      <c r="B3865" t="s">
        <v>21</v>
      </c>
      <c r="C3865" t="s">
        <v>9</v>
      </c>
      <c r="D3865" t="s">
        <v>10</v>
      </c>
      <c r="E3865">
        <v>2</v>
      </c>
      <c r="F3865" s="1">
        <v>34972</v>
      </c>
      <c r="G3865">
        <v>-2.6127380323824299E-2</v>
      </c>
    </row>
    <row r="3866" spans="1:7" x14ac:dyDescent="0.25">
      <c r="A3866" t="s">
        <v>7</v>
      </c>
      <c r="B3866" t="s">
        <v>21</v>
      </c>
      <c r="C3866" t="s">
        <v>9</v>
      </c>
      <c r="D3866" t="s">
        <v>10</v>
      </c>
      <c r="E3866">
        <v>4</v>
      </c>
      <c r="F3866" s="1">
        <v>35003</v>
      </c>
      <c r="G3866">
        <v>7.6166476398409802E-2</v>
      </c>
    </row>
    <row r="3867" spans="1:7" x14ac:dyDescent="0.25">
      <c r="A3867" t="s">
        <v>7</v>
      </c>
      <c r="B3867" t="s">
        <v>21</v>
      </c>
      <c r="C3867" t="s">
        <v>9</v>
      </c>
      <c r="D3867" t="s">
        <v>10</v>
      </c>
      <c r="E3867">
        <v>2</v>
      </c>
      <c r="F3867" s="1">
        <v>35033</v>
      </c>
      <c r="G3867">
        <v>-1.2051098831625501E-2</v>
      </c>
    </row>
    <row r="3868" spans="1:7" x14ac:dyDescent="0.25">
      <c r="A3868" t="s">
        <v>7</v>
      </c>
      <c r="B3868" t="s">
        <v>21</v>
      </c>
      <c r="C3868" t="s">
        <v>9</v>
      </c>
      <c r="D3868" t="s">
        <v>10</v>
      </c>
      <c r="E3868">
        <v>2</v>
      </c>
      <c r="F3868" s="1">
        <v>35064</v>
      </c>
      <c r="G3868">
        <v>-6.4054037778943904E-2</v>
      </c>
    </row>
    <row r="3869" spans="1:7" x14ac:dyDescent="0.25">
      <c r="A3869" t="s">
        <v>7</v>
      </c>
      <c r="B3869" t="s">
        <v>21</v>
      </c>
      <c r="C3869" t="s">
        <v>9</v>
      </c>
      <c r="D3869" t="s">
        <v>10</v>
      </c>
      <c r="E3869">
        <v>2</v>
      </c>
      <c r="F3869" s="1">
        <v>35095</v>
      </c>
      <c r="G3869">
        <v>5.3753524976051702E-2</v>
      </c>
    </row>
    <row r="3870" spans="1:7" x14ac:dyDescent="0.25">
      <c r="A3870" t="s">
        <v>7</v>
      </c>
      <c r="B3870" t="s">
        <v>21</v>
      </c>
      <c r="C3870" t="s">
        <v>9</v>
      </c>
      <c r="D3870" t="s">
        <v>10</v>
      </c>
      <c r="E3870">
        <v>2</v>
      </c>
      <c r="F3870" s="1">
        <v>35124</v>
      </c>
      <c r="G3870">
        <v>7.8389549745866399E-2</v>
      </c>
    </row>
    <row r="3871" spans="1:7" x14ac:dyDescent="0.25">
      <c r="A3871" t="s">
        <v>7</v>
      </c>
      <c r="B3871" t="s">
        <v>21</v>
      </c>
      <c r="C3871" t="s">
        <v>9</v>
      </c>
      <c r="D3871" t="s">
        <v>10</v>
      </c>
      <c r="E3871">
        <v>2</v>
      </c>
      <c r="F3871" s="1">
        <v>35155</v>
      </c>
      <c r="G3871">
        <v>-7.6369808358286106E-2</v>
      </c>
    </row>
    <row r="3872" spans="1:7" x14ac:dyDescent="0.25">
      <c r="A3872" t="s">
        <v>7</v>
      </c>
      <c r="B3872" t="s">
        <v>21</v>
      </c>
      <c r="C3872" t="s">
        <v>9</v>
      </c>
      <c r="D3872" t="s">
        <v>10</v>
      </c>
      <c r="E3872">
        <v>2</v>
      </c>
      <c r="F3872" s="1">
        <v>35185</v>
      </c>
      <c r="G3872">
        <v>1.06455324359411E-2</v>
      </c>
    </row>
    <row r="3873" spans="1:7" x14ac:dyDescent="0.25">
      <c r="A3873" t="s">
        <v>7</v>
      </c>
      <c r="B3873" t="s">
        <v>21</v>
      </c>
      <c r="C3873" t="s">
        <v>9</v>
      </c>
      <c r="D3873" t="s">
        <v>10</v>
      </c>
      <c r="E3873">
        <v>2</v>
      </c>
      <c r="F3873" s="1">
        <v>35216</v>
      </c>
      <c r="G3873">
        <v>8.6377880828631196E-2</v>
      </c>
    </row>
    <row r="3874" spans="1:7" x14ac:dyDescent="0.25">
      <c r="A3874" t="s">
        <v>7</v>
      </c>
      <c r="B3874" t="s">
        <v>21</v>
      </c>
      <c r="C3874" t="s">
        <v>9</v>
      </c>
      <c r="D3874" t="s">
        <v>10</v>
      </c>
      <c r="E3874">
        <v>2</v>
      </c>
      <c r="F3874" s="1">
        <v>35246</v>
      </c>
      <c r="G3874">
        <v>-1.7045530222936301E-2</v>
      </c>
    </row>
    <row r="3875" spans="1:7" x14ac:dyDescent="0.25">
      <c r="A3875" t="s">
        <v>7</v>
      </c>
      <c r="B3875" t="s">
        <v>21</v>
      </c>
      <c r="C3875" t="s">
        <v>9</v>
      </c>
      <c r="D3875" t="s">
        <v>10</v>
      </c>
      <c r="E3875">
        <v>4</v>
      </c>
      <c r="F3875" s="1">
        <v>35277</v>
      </c>
      <c r="G3875">
        <v>2.42058965288088E-2</v>
      </c>
    </row>
    <row r="3876" spans="1:7" x14ac:dyDescent="0.25">
      <c r="A3876" t="s">
        <v>7</v>
      </c>
      <c r="B3876" t="s">
        <v>21</v>
      </c>
      <c r="C3876" t="s">
        <v>9</v>
      </c>
      <c r="D3876" t="s">
        <v>10</v>
      </c>
      <c r="E3876">
        <v>4</v>
      </c>
      <c r="F3876" s="1">
        <v>35308</v>
      </c>
      <c r="G3876">
        <v>-2.79896874141943E-2</v>
      </c>
    </row>
    <row r="3877" spans="1:7" x14ac:dyDescent="0.25">
      <c r="A3877" t="s">
        <v>7</v>
      </c>
      <c r="B3877" t="s">
        <v>21</v>
      </c>
      <c r="C3877" t="s">
        <v>9</v>
      </c>
      <c r="D3877" t="s">
        <v>10</v>
      </c>
      <c r="E3877">
        <v>4</v>
      </c>
      <c r="F3877" s="1">
        <v>35338</v>
      </c>
      <c r="G3877">
        <v>-1.46655791626303E-2</v>
      </c>
    </row>
    <row r="3878" spans="1:7" x14ac:dyDescent="0.25">
      <c r="A3878" t="s">
        <v>7</v>
      </c>
      <c r="B3878" t="s">
        <v>21</v>
      </c>
      <c r="C3878" t="s">
        <v>9</v>
      </c>
      <c r="D3878" t="s">
        <v>10</v>
      </c>
      <c r="E3878">
        <v>4</v>
      </c>
      <c r="F3878" s="1">
        <v>35369</v>
      </c>
      <c r="G3878">
        <v>-3.8230318183631498E-2</v>
      </c>
    </row>
    <row r="3879" spans="1:7" x14ac:dyDescent="0.25">
      <c r="A3879" t="s">
        <v>7</v>
      </c>
      <c r="B3879" t="s">
        <v>21</v>
      </c>
      <c r="C3879" t="s">
        <v>9</v>
      </c>
      <c r="D3879" t="s">
        <v>10</v>
      </c>
      <c r="E3879">
        <v>3</v>
      </c>
      <c r="F3879" s="1">
        <v>35399</v>
      </c>
      <c r="G3879">
        <v>-1.9428694136008302E-2</v>
      </c>
    </row>
    <row r="3880" spans="1:7" x14ac:dyDescent="0.25">
      <c r="A3880" t="s">
        <v>7</v>
      </c>
      <c r="B3880" t="s">
        <v>21</v>
      </c>
      <c r="C3880" t="s">
        <v>9</v>
      </c>
      <c r="D3880" t="s">
        <v>10</v>
      </c>
      <c r="E3880">
        <v>4</v>
      </c>
      <c r="F3880" s="1">
        <v>35430</v>
      </c>
      <c r="G3880">
        <v>-5.26242708453728E-2</v>
      </c>
    </row>
    <row r="3881" spans="1:7" x14ac:dyDescent="0.25">
      <c r="A3881" t="s">
        <v>7</v>
      </c>
      <c r="B3881" t="s">
        <v>21</v>
      </c>
      <c r="C3881" t="s">
        <v>9</v>
      </c>
      <c r="D3881" t="s">
        <v>10</v>
      </c>
      <c r="E3881">
        <v>3</v>
      </c>
      <c r="F3881" s="1">
        <v>35461</v>
      </c>
      <c r="G3881">
        <v>-4.9419465331565E-2</v>
      </c>
    </row>
    <row r="3882" spans="1:7" x14ac:dyDescent="0.25">
      <c r="A3882" t="s">
        <v>7</v>
      </c>
      <c r="B3882" t="s">
        <v>21</v>
      </c>
      <c r="C3882" t="s">
        <v>9</v>
      </c>
      <c r="D3882" t="s">
        <v>10</v>
      </c>
      <c r="E3882">
        <v>4</v>
      </c>
      <c r="F3882" s="1">
        <v>35489</v>
      </c>
      <c r="G3882">
        <v>-0.127287181406877</v>
      </c>
    </row>
    <row r="3883" spans="1:7" x14ac:dyDescent="0.25">
      <c r="A3883" t="s">
        <v>7</v>
      </c>
      <c r="B3883" t="s">
        <v>21</v>
      </c>
      <c r="C3883" t="s">
        <v>9</v>
      </c>
      <c r="D3883" t="s">
        <v>10</v>
      </c>
      <c r="E3883">
        <v>4</v>
      </c>
      <c r="F3883" s="1">
        <v>35520</v>
      </c>
      <c r="G3883">
        <v>-3.0277929863946101E-2</v>
      </c>
    </row>
    <row r="3884" spans="1:7" x14ac:dyDescent="0.25">
      <c r="A3884" t="s">
        <v>7</v>
      </c>
      <c r="B3884" t="s">
        <v>21</v>
      </c>
      <c r="C3884" t="s">
        <v>9</v>
      </c>
      <c r="D3884" t="s">
        <v>10</v>
      </c>
      <c r="E3884">
        <v>4</v>
      </c>
      <c r="F3884" s="1">
        <v>35550</v>
      </c>
      <c r="G3884">
        <v>-4.9145206087943198E-2</v>
      </c>
    </row>
    <row r="3885" spans="1:7" x14ac:dyDescent="0.25">
      <c r="A3885" t="s">
        <v>7</v>
      </c>
      <c r="B3885" t="s">
        <v>21</v>
      </c>
      <c r="C3885" t="s">
        <v>9</v>
      </c>
      <c r="D3885" t="s">
        <v>10</v>
      </c>
      <c r="E3885">
        <v>4</v>
      </c>
      <c r="F3885" s="1">
        <v>35581</v>
      </c>
      <c r="G3885">
        <v>-1.1578560344335E-3</v>
      </c>
    </row>
    <row r="3886" spans="1:7" x14ac:dyDescent="0.25">
      <c r="A3886" t="s">
        <v>7</v>
      </c>
      <c r="B3886" t="s">
        <v>21</v>
      </c>
      <c r="C3886" t="s">
        <v>9</v>
      </c>
      <c r="D3886" t="s">
        <v>10</v>
      </c>
      <c r="E3886">
        <v>4</v>
      </c>
      <c r="F3886" s="1">
        <v>35611</v>
      </c>
      <c r="G3886">
        <v>7.5411251344028901E-2</v>
      </c>
    </row>
    <row r="3887" spans="1:7" x14ac:dyDescent="0.25">
      <c r="A3887" t="s">
        <v>7</v>
      </c>
      <c r="B3887" t="s">
        <v>21</v>
      </c>
      <c r="C3887" t="s">
        <v>9</v>
      </c>
      <c r="D3887" t="s">
        <v>10</v>
      </c>
      <c r="E3887">
        <v>4</v>
      </c>
      <c r="F3887" s="1">
        <v>35642</v>
      </c>
      <c r="G3887">
        <v>-2.8552116629222499E-2</v>
      </c>
    </row>
    <row r="3888" spans="1:7" x14ac:dyDescent="0.25">
      <c r="A3888" t="s">
        <v>7</v>
      </c>
      <c r="B3888" t="s">
        <v>21</v>
      </c>
      <c r="C3888" t="s">
        <v>9</v>
      </c>
      <c r="D3888" t="s">
        <v>10</v>
      </c>
      <c r="E3888">
        <v>4</v>
      </c>
      <c r="F3888" s="1">
        <v>35673</v>
      </c>
      <c r="G3888">
        <v>4.9518655823088002E-2</v>
      </c>
    </row>
    <row r="3889" spans="1:7" x14ac:dyDescent="0.25">
      <c r="A3889" t="s">
        <v>7</v>
      </c>
      <c r="B3889" t="s">
        <v>21</v>
      </c>
      <c r="C3889" t="s">
        <v>9</v>
      </c>
      <c r="D3889" t="s">
        <v>10</v>
      </c>
      <c r="E3889">
        <v>2</v>
      </c>
      <c r="F3889" s="1">
        <v>35703</v>
      </c>
      <c r="G3889">
        <v>-9.8410232552396601E-3</v>
      </c>
    </row>
    <row r="3890" spans="1:7" x14ac:dyDescent="0.25">
      <c r="A3890" t="s">
        <v>7</v>
      </c>
      <c r="B3890" t="s">
        <v>21</v>
      </c>
      <c r="C3890" t="s">
        <v>9</v>
      </c>
      <c r="D3890" t="s">
        <v>10</v>
      </c>
      <c r="E3890">
        <v>2</v>
      </c>
      <c r="F3890" s="1">
        <v>35734</v>
      </c>
      <c r="G3890">
        <v>7.7592381641734307E-2</v>
      </c>
    </row>
    <row r="3891" spans="1:7" x14ac:dyDescent="0.25">
      <c r="A3891" t="s">
        <v>7</v>
      </c>
      <c r="B3891" t="s">
        <v>21</v>
      </c>
      <c r="C3891" t="s">
        <v>9</v>
      </c>
      <c r="D3891" t="s">
        <v>10</v>
      </c>
      <c r="E3891">
        <v>4</v>
      </c>
      <c r="F3891" s="1">
        <v>35764</v>
      </c>
      <c r="G3891">
        <v>-0.12793738795656701</v>
      </c>
    </row>
    <row r="3892" spans="1:7" x14ac:dyDescent="0.25">
      <c r="A3892" t="s">
        <v>7</v>
      </c>
      <c r="B3892" t="s">
        <v>21</v>
      </c>
      <c r="C3892" t="s">
        <v>9</v>
      </c>
      <c r="D3892" t="s">
        <v>10</v>
      </c>
      <c r="E3892">
        <v>4</v>
      </c>
      <c r="F3892" s="1">
        <v>35795</v>
      </c>
      <c r="G3892">
        <v>-3.54525370355269E-2</v>
      </c>
    </row>
    <row r="3893" spans="1:7" x14ac:dyDescent="0.25">
      <c r="A3893" t="s">
        <v>7</v>
      </c>
      <c r="B3893" t="s">
        <v>21</v>
      </c>
      <c r="C3893" t="s">
        <v>9</v>
      </c>
      <c r="D3893" t="s">
        <v>10</v>
      </c>
      <c r="E3893">
        <v>4</v>
      </c>
      <c r="F3893" s="1">
        <v>35826</v>
      </c>
      <c r="G3893">
        <v>0.108971710917415</v>
      </c>
    </row>
    <row r="3894" spans="1:7" x14ac:dyDescent="0.25">
      <c r="A3894" t="s">
        <v>7</v>
      </c>
      <c r="B3894" t="s">
        <v>21</v>
      </c>
      <c r="C3894" t="s">
        <v>9</v>
      </c>
      <c r="D3894" t="s">
        <v>10</v>
      </c>
      <c r="E3894">
        <v>4</v>
      </c>
      <c r="F3894" s="1">
        <v>35854</v>
      </c>
      <c r="G3894">
        <v>-1.46072887345785E-2</v>
      </c>
    </row>
    <row r="3895" spans="1:7" x14ac:dyDescent="0.25">
      <c r="A3895" t="s">
        <v>7</v>
      </c>
      <c r="B3895" t="s">
        <v>21</v>
      </c>
      <c r="C3895" t="s">
        <v>9</v>
      </c>
      <c r="D3895" t="s">
        <v>10</v>
      </c>
      <c r="E3895">
        <v>4</v>
      </c>
      <c r="F3895" s="1">
        <v>35885</v>
      </c>
      <c r="G3895">
        <v>0.10587494811227199</v>
      </c>
    </row>
    <row r="3896" spans="1:7" x14ac:dyDescent="0.25">
      <c r="A3896" t="s">
        <v>7</v>
      </c>
      <c r="B3896" t="s">
        <v>21</v>
      </c>
      <c r="C3896" t="s">
        <v>9</v>
      </c>
      <c r="D3896" t="s">
        <v>10</v>
      </c>
      <c r="E3896">
        <v>4</v>
      </c>
      <c r="F3896" s="1">
        <v>35915</v>
      </c>
      <c r="G3896">
        <v>0.109701896574953</v>
      </c>
    </row>
    <row r="3897" spans="1:7" x14ac:dyDescent="0.25">
      <c r="A3897" t="s">
        <v>7</v>
      </c>
      <c r="B3897" t="s">
        <v>21</v>
      </c>
      <c r="C3897" t="s">
        <v>9</v>
      </c>
      <c r="D3897" t="s">
        <v>10</v>
      </c>
      <c r="E3897">
        <v>4</v>
      </c>
      <c r="F3897" s="1">
        <v>35946</v>
      </c>
      <c r="G3897">
        <v>6.05019776733218E-2</v>
      </c>
    </row>
    <row r="3898" spans="1:7" x14ac:dyDescent="0.25">
      <c r="A3898" t="s">
        <v>7</v>
      </c>
      <c r="B3898" t="s">
        <v>21</v>
      </c>
      <c r="C3898" t="s">
        <v>9</v>
      </c>
      <c r="D3898" t="s">
        <v>10</v>
      </c>
      <c r="E3898">
        <v>4</v>
      </c>
      <c r="F3898" s="1">
        <v>35976</v>
      </c>
      <c r="G3898">
        <v>5.3645428719294702E-2</v>
      </c>
    </row>
    <row r="3899" spans="1:7" x14ac:dyDescent="0.25">
      <c r="A3899" t="s">
        <v>7</v>
      </c>
      <c r="B3899" t="s">
        <v>21</v>
      </c>
      <c r="C3899" t="s">
        <v>9</v>
      </c>
      <c r="D3899" t="s">
        <v>10</v>
      </c>
      <c r="E3899">
        <v>4</v>
      </c>
      <c r="F3899" s="1">
        <v>36007</v>
      </c>
      <c r="G3899">
        <v>-3.4446300485600802E-2</v>
      </c>
    </row>
    <row r="3900" spans="1:7" x14ac:dyDescent="0.25">
      <c r="A3900" t="s">
        <v>7</v>
      </c>
      <c r="B3900" t="s">
        <v>21</v>
      </c>
      <c r="C3900" t="s">
        <v>9</v>
      </c>
      <c r="D3900" t="s">
        <v>10</v>
      </c>
      <c r="E3900">
        <v>4</v>
      </c>
      <c r="F3900" s="1">
        <v>36038</v>
      </c>
      <c r="G3900">
        <v>0.123890456946894</v>
      </c>
    </row>
    <row r="3901" spans="1:7" x14ac:dyDescent="0.25">
      <c r="A3901" t="s">
        <v>7</v>
      </c>
      <c r="B3901" t="s">
        <v>21</v>
      </c>
      <c r="C3901" t="s">
        <v>9</v>
      </c>
      <c r="D3901" t="s">
        <v>10</v>
      </c>
      <c r="E3901">
        <v>4</v>
      </c>
      <c r="F3901" s="1">
        <v>36068</v>
      </c>
      <c r="G3901">
        <v>8.9627701132030099E-2</v>
      </c>
    </row>
    <row r="3902" spans="1:7" x14ac:dyDescent="0.25">
      <c r="A3902" t="s">
        <v>7</v>
      </c>
      <c r="B3902" t="s">
        <v>21</v>
      </c>
      <c r="C3902" t="s">
        <v>9</v>
      </c>
      <c r="D3902" t="s">
        <v>10</v>
      </c>
      <c r="E3902">
        <v>4</v>
      </c>
      <c r="F3902" s="1">
        <v>36099</v>
      </c>
      <c r="G3902">
        <v>-7.3031158194899498E-2</v>
      </c>
    </row>
    <row r="3903" spans="1:7" x14ac:dyDescent="0.25">
      <c r="A3903" t="s">
        <v>7</v>
      </c>
      <c r="B3903" t="s">
        <v>21</v>
      </c>
      <c r="C3903" t="s">
        <v>9</v>
      </c>
      <c r="D3903" t="s">
        <v>10</v>
      </c>
      <c r="E3903">
        <v>4</v>
      </c>
      <c r="F3903" s="1">
        <v>36129</v>
      </c>
      <c r="G3903">
        <v>-0.105737518328061</v>
      </c>
    </row>
    <row r="3904" spans="1:7" x14ac:dyDescent="0.25">
      <c r="A3904" t="s">
        <v>7</v>
      </c>
      <c r="B3904" t="s">
        <v>21</v>
      </c>
      <c r="C3904" t="s">
        <v>9</v>
      </c>
      <c r="D3904" t="s">
        <v>10</v>
      </c>
      <c r="E3904">
        <v>4</v>
      </c>
      <c r="F3904" s="1">
        <v>36160</v>
      </c>
      <c r="G3904">
        <v>0.19206682345229201</v>
      </c>
    </row>
    <row r="3905" spans="1:7" x14ac:dyDescent="0.25">
      <c r="A3905" t="s">
        <v>7</v>
      </c>
      <c r="B3905" t="s">
        <v>21</v>
      </c>
      <c r="C3905" t="s">
        <v>9</v>
      </c>
      <c r="D3905" t="s">
        <v>10</v>
      </c>
      <c r="E3905">
        <v>4</v>
      </c>
      <c r="F3905" s="1">
        <v>36191</v>
      </c>
      <c r="G3905">
        <v>-1.9718981322585899E-2</v>
      </c>
    </row>
    <row r="3906" spans="1:7" x14ac:dyDescent="0.25">
      <c r="A3906" t="s">
        <v>7</v>
      </c>
      <c r="B3906" t="s">
        <v>21</v>
      </c>
      <c r="C3906" t="s">
        <v>9</v>
      </c>
      <c r="D3906" t="s">
        <v>10</v>
      </c>
      <c r="E3906">
        <v>2</v>
      </c>
      <c r="F3906" s="1">
        <v>36219</v>
      </c>
      <c r="G3906">
        <v>-8.2677777026065005E-2</v>
      </c>
    </row>
    <row r="3907" spans="1:7" x14ac:dyDescent="0.25">
      <c r="A3907" t="s">
        <v>7</v>
      </c>
      <c r="B3907" t="s">
        <v>21</v>
      </c>
      <c r="C3907" t="s">
        <v>9</v>
      </c>
      <c r="D3907" t="s">
        <v>10</v>
      </c>
      <c r="E3907">
        <v>4</v>
      </c>
      <c r="F3907" s="1">
        <v>36250</v>
      </c>
      <c r="G3907">
        <v>-3.9306666456049001E-2</v>
      </c>
    </row>
    <row r="3908" spans="1:7" x14ac:dyDescent="0.25">
      <c r="A3908" t="s">
        <v>7</v>
      </c>
      <c r="B3908" t="s">
        <v>21</v>
      </c>
      <c r="C3908" t="s">
        <v>9</v>
      </c>
      <c r="D3908" t="s">
        <v>10</v>
      </c>
      <c r="E3908">
        <v>4</v>
      </c>
      <c r="F3908" s="1">
        <v>36280</v>
      </c>
      <c r="G3908">
        <v>-1.1213743846035001E-2</v>
      </c>
    </row>
    <row r="3909" spans="1:7" x14ac:dyDescent="0.25">
      <c r="A3909" t="s">
        <v>7</v>
      </c>
      <c r="B3909" t="s">
        <v>21</v>
      </c>
      <c r="C3909" t="s">
        <v>9</v>
      </c>
      <c r="D3909" t="s">
        <v>10</v>
      </c>
      <c r="E3909">
        <v>4</v>
      </c>
      <c r="F3909" s="1">
        <v>36311</v>
      </c>
      <c r="G3909">
        <v>5.4911832364287301E-3</v>
      </c>
    </row>
    <row r="3910" spans="1:7" x14ac:dyDescent="0.25">
      <c r="A3910" t="s">
        <v>7</v>
      </c>
      <c r="B3910" t="s">
        <v>21</v>
      </c>
      <c r="C3910" t="s">
        <v>9</v>
      </c>
      <c r="D3910" t="s">
        <v>10</v>
      </c>
      <c r="E3910">
        <v>4</v>
      </c>
      <c r="F3910" s="1">
        <v>36341</v>
      </c>
      <c r="G3910">
        <v>-9.9323996967887906E-2</v>
      </c>
    </row>
    <row r="3911" spans="1:7" x14ac:dyDescent="0.25">
      <c r="A3911" t="s">
        <v>7</v>
      </c>
      <c r="B3911" t="s">
        <v>21</v>
      </c>
      <c r="C3911" t="s">
        <v>9</v>
      </c>
      <c r="D3911" t="s">
        <v>10</v>
      </c>
      <c r="E3911">
        <v>4</v>
      </c>
      <c r="F3911" s="1">
        <v>36372</v>
      </c>
      <c r="G3911">
        <v>8.1470301480624896E-2</v>
      </c>
    </row>
    <row r="3912" spans="1:7" x14ac:dyDescent="0.25">
      <c r="A3912" t="s">
        <v>7</v>
      </c>
      <c r="B3912" t="s">
        <v>21</v>
      </c>
      <c r="C3912" t="s">
        <v>9</v>
      </c>
      <c r="D3912" t="s">
        <v>10</v>
      </c>
      <c r="E3912">
        <v>4</v>
      </c>
      <c r="F3912" s="1">
        <v>36403</v>
      </c>
      <c r="G3912">
        <v>-2.31833078999725E-2</v>
      </c>
    </row>
    <row r="3913" spans="1:7" x14ac:dyDescent="0.25">
      <c r="A3913" t="s">
        <v>7</v>
      </c>
      <c r="B3913" t="s">
        <v>21</v>
      </c>
      <c r="C3913" t="s">
        <v>9</v>
      </c>
      <c r="D3913" t="s">
        <v>10</v>
      </c>
      <c r="E3913">
        <v>4</v>
      </c>
      <c r="F3913" s="1">
        <v>36433</v>
      </c>
      <c r="G3913">
        <v>2.0945924871078402E-2</v>
      </c>
    </row>
    <row r="3914" spans="1:7" x14ac:dyDescent="0.25">
      <c r="A3914" t="s">
        <v>7</v>
      </c>
      <c r="B3914" t="s">
        <v>21</v>
      </c>
      <c r="C3914" t="s">
        <v>9</v>
      </c>
      <c r="D3914" t="s">
        <v>10</v>
      </c>
      <c r="E3914">
        <v>4</v>
      </c>
      <c r="F3914" s="1">
        <v>36464</v>
      </c>
      <c r="G3914">
        <v>2.54723168406835E-2</v>
      </c>
    </row>
    <row r="3915" spans="1:7" x14ac:dyDescent="0.25">
      <c r="A3915" t="s">
        <v>7</v>
      </c>
      <c r="B3915" t="s">
        <v>21</v>
      </c>
      <c r="C3915" t="s">
        <v>9</v>
      </c>
      <c r="D3915" t="s">
        <v>10</v>
      </c>
      <c r="E3915">
        <v>4</v>
      </c>
      <c r="F3915" s="1">
        <v>36494</v>
      </c>
      <c r="G3915">
        <v>-5.3252442576991799E-2</v>
      </c>
    </row>
    <row r="3916" spans="1:7" x14ac:dyDescent="0.25">
      <c r="A3916" t="s">
        <v>7</v>
      </c>
      <c r="B3916" t="s">
        <v>21</v>
      </c>
      <c r="C3916" t="s">
        <v>9</v>
      </c>
      <c r="D3916" t="s">
        <v>10</v>
      </c>
      <c r="E3916">
        <v>4</v>
      </c>
      <c r="F3916" s="1">
        <v>36525</v>
      </c>
      <c r="G3916">
        <v>2.6847128581052801E-2</v>
      </c>
    </row>
    <row r="3917" spans="1:7" x14ac:dyDescent="0.25">
      <c r="A3917" t="s">
        <v>7</v>
      </c>
      <c r="B3917" t="s">
        <v>21</v>
      </c>
      <c r="C3917" t="s">
        <v>9</v>
      </c>
      <c r="D3917" t="s">
        <v>10</v>
      </c>
      <c r="E3917">
        <v>4</v>
      </c>
      <c r="F3917" s="1">
        <v>36556</v>
      </c>
      <c r="G3917">
        <v>2.5846344983331999E-2</v>
      </c>
    </row>
    <row r="3918" spans="1:7" x14ac:dyDescent="0.25">
      <c r="A3918" t="s">
        <v>7</v>
      </c>
      <c r="B3918" t="s">
        <v>21</v>
      </c>
      <c r="C3918" t="s">
        <v>9</v>
      </c>
      <c r="D3918" t="s">
        <v>10</v>
      </c>
      <c r="E3918">
        <v>4</v>
      </c>
      <c r="F3918" s="1">
        <v>36585</v>
      </c>
      <c r="G3918">
        <v>-3.9416922066685803E-2</v>
      </c>
    </row>
    <row r="3919" spans="1:7" x14ac:dyDescent="0.25">
      <c r="A3919" t="s">
        <v>7</v>
      </c>
      <c r="B3919" t="s">
        <v>21</v>
      </c>
      <c r="C3919" t="s">
        <v>9</v>
      </c>
      <c r="D3919" t="s">
        <v>10</v>
      </c>
      <c r="E3919">
        <v>4</v>
      </c>
      <c r="F3919" s="1">
        <v>36616</v>
      </c>
      <c r="G3919">
        <v>-2.2145357245529899E-2</v>
      </c>
    </row>
    <row r="3920" spans="1:7" x14ac:dyDescent="0.25">
      <c r="A3920" t="s">
        <v>7</v>
      </c>
      <c r="B3920" t="s">
        <v>21</v>
      </c>
      <c r="C3920" t="s">
        <v>9</v>
      </c>
      <c r="D3920" t="s">
        <v>10</v>
      </c>
      <c r="E3920">
        <v>4</v>
      </c>
      <c r="F3920" s="1">
        <v>36646</v>
      </c>
      <c r="G3920">
        <v>3.4838999770284498E-2</v>
      </c>
    </row>
    <row r="3921" spans="1:7" x14ac:dyDescent="0.25">
      <c r="A3921" t="s">
        <v>7</v>
      </c>
      <c r="B3921" t="s">
        <v>21</v>
      </c>
      <c r="C3921" t="s">
        <v>9</v>
      </c>
      <c r="D3921" t="s">
        <v>10</v>
      </c>
      <c r="E3921">
        <v>4</v>
      </c>
      <c r="F3921" s="1">
        <v>36677</v>
      </c>
      <c r="G3921">
        <v>0.11494368562315301</v>
      </c>
    </row>
    <row r="3922" spans="1:7" x14ac:dyDescent="0.25">
      <c r="A3922" t="s">
        <v>7</v>
      </c>
      <c r="B3922" t="s">
        <v>21</v>
      </c>
      <c r="C3922" t="s">
        <v>9</v>
      </c>
      <c r="D3922" t="s">
        <v>10</v>
      </c>
      <c r="E3922">
        <v>4</v>
      </c>
      <c r="F3922" s="1">
        <v>36707</v>
      </c>
      <c r="G3922">
        <v>-5.3721117040202701E-2</v>
      </c>
    </row>
    <row r="3923" spans="1:7" x14ac:dyDescent="0.25">
      <c r="A3923" t="s">
        <v>7</v>
      </c>
      <c r="B3923" t="s">
        <v>21</v>
      </c>
      <c r="C3923" t="s">
        <v>9</v>
      </c>
      <c r="D3923" t="s">
        <v>10</v>
      </c>
      <c r="E3923">
        <v>4</v>
      </c>
      <c r="F3923" s="1">
        <v>36738</v>
      </c>
      <c r="G3923">
        <v>7.1292619762538298E-2</v>
      </c>
    </row>
    <row r="3924" spans="1:7" x14ac:dyDescent="0.25">
      <c r="A3924" t="s">
        <v>7</v>
      </c>
      <c r="B3924" t="s">
        <v>21</v>
      </c>
      <c r="C3924" t="s">
        <v>9</v>
      </c>
      <c r="D3924" t="s">
        <v>10</v>
      </c>
      <c r="E3924">
        <v>4</v>
      </c>
      <c r="F3924" s="1">
        <v>36769</v>
      </c>
      <c r="G3924">
        <v>-3.7973420089587602E-2</v>
      </c>
    </row>
    <row r="3925" spans="1:7" x14ac:dyDescent="0.25">
      <c r="A3925" t="s">
        <v>7</v>
      </c>
      <c r="B3925" t="s">
        <v>21</v>
      </c>
      <c r="C3925" t="s">
        <v>9</v>
      </c>
      <c r="D3925" t="s">
        <v>10</v>
      </c>
      <c r="E3925">
        <v>4</v>
      </c>
      <c r="F3925" s="1">
        <v>36799</v>
      </c>
      <c r="G3925">
        <v>9.7406234311948503E-2</v>
      </c>
    </row>
    <row r="3926" spans="1:7" x14ac:dyDescent="0.25">
      <c r="A3926" t="s">
        <v>7</v>
      </c>
      <c r="B3926" t="s">
        <v>21</v>
      </c>
      <c r="C3926" t="s">
        <v>9</v>
      </c>
      <c r="D3926" t="s">
        <v>10</v>
      </c>
      <c r="E3926">
        <v>4</v>
      </c>
      <c r="F3926" s="1">
        <v>36830</v>
      </c>
      <c r="G3926">
        <v>-8.1470785673626207E-3</v>
      </c>
    </row>
    <row r="3927" spans="1:7" x14ac:dyDescent="0.25">
      <c r="A3927" t="s">
        <v>7</v>
      </c>
      <c r="B3927" t="s">
        <v>21</v>
      </c>
      <c r="C3927" t="s">
        <v>9</v>
      </c>
      <c r="D3927" t="s">
        <v>10</v>
      </c>
      <c r="E3927">
        <v>4</v>
      </c>
      <c r="F3927" s="1">
        <v>36860</v>
      </c>
      <c r="G3927">
        <v>1.21670983768189E-2</v>
      </c>
    </row>
    <row r="3928" spans="1:7" x14ac:dyDescent="0.25">
      <c r="A3928" t="s">
        <v>7</v>
      </c>
      <c r="B3928" t="s">
        <v>21</v>
      </c>
      <c r="C3928" t="s">
        <v>9</v>
      </c>
      <c r="D3928" t="s">
        <v>10</v>
      </c>
      <c r="E3928">
        <v>4</v>
      </c>
      <c r="F3928" s="1">
        <v>36891</v>
      </c>
      <c r="G3928">
        <v>-0.11448288551228999</v>
      </c>
    </row>
    <row r="3929" spans="1:7" x14ac:dyDescent="0.25">
      <c r="A3929" t="s">
        <v>7</v>
      </c>
      <c r="B3929" t="s">
        <v>21</v>
      </c>
      <c r="C3929" t="s">
        <v>9</v>
      </c>
      <c r="D3929" t="s">
        <v>10</v>
      </c>
      <c r="E3929">
        <v>4</v>
      </c>
      <c r="F3929" s="1">
        <v>36922</v>
      </c>
      <c r="G3929">
        <v>-5.6408730474737601E-2</v>
      </c>
    </row>
    <row r="3930" spans="1:7" x14ac:dyDescent="0.25">
      <c r="A3930" t="s">
        <v>7</v>
      </c>
      <c r="B3930" t="s">
        <v>21</v>
      </c>
      <c r="C3930" t="s">
        <v>9</v>
      </c>
      <c r="D3930" t="s">
        <v>10</v>
      </c>
      <c r="E3930">
        <v>4</v>
      </c>
      <c r="F3930" s="1">
        <v>36950</v>
      </c>
      <c r="G3930">
        <v>-1.9486291792280602E-2</v>
      </c>
    </row>
    <row r="3931" spans="1:7" x14ac:dyDescent="0.25">
      <c r="A3931" t="s">
        <v>7</v>
      </c>
      <c r="B3931" t="s">
        <v>21</v>
      </c>
      <c r="C3931" t="s">
        <v>9</v>
      </c>
      <c r="D3931" t="s">
        <v>10</v>
      </c>
      <c r="E3931">
        <v>4</v>
      </c>
      <c r="F3931" s="1">
        <v>36981</v>
      </c>
      <c r="G3931">
        <v>-1.63270358625923E-2</v>
      </c>
    </row>
    <row r="3932" spans="1:7" x14ac:dyDescent="0.25">
      <c r="A3932" t="s">
        <v>7</v>
      </c>
      <c r="B3932" t="s">
        <v>21</v>
      </c>
      <c r="C3932" t="s">
        <v>9</v>
      </c>
      <c r="D3932" t="s">
        <v>10</v>
      </c>
      <c r="E3932">
        <v>4</v>
      </c>
      <c r="F3932" s="1">
        <v>37011</v>
      </c>
      <c r="G3932">
        <v>5.3616807332714601E-2</v>
      </c>
    </row>
    <row r="3933" spans="1:7" x14ac:dyDescent="0.25">
      <c r="A3933" t="s">
        <v>7</v>
      </c>
      <c r="B3933" t="s">
        <v>21</v>
      </c>
      <c r="C3933" t="s">
        <v>9</v>
      </c>
      <c r="D3933" t="s">
        <v>10</v>
      </c>
      <c r="E3933">
        <v>4</v>
      </c>
      <c r="F3933" s="1">
        <v>37042</v>
      </c>
      <c r="G3933">
        <v>-6.3369104242321103E-2</v>
      </c>
    </row>
    <row r="3934" spans="1:7" x14ac:dyDescent="0.25">
      <c r="A3934" t="s">
        <v>7</v>
      </c>
      <c r="B3934" t="s">
        <v>21</v>
      </c>
      <c r="C3934" t="s">
        <v>9</v>
      </c>
      <c r="D3934" t="s">
        <v>10</v>
      </c>
      <c r="E3934">
        <v>4</v>
      </c>
      <c r="F3934" s="1">
        <v>37072</v>
      </c>
      <c r="G3934">
        <v>2.5585653114136998E-2</v>
      </c>
    </row>
    <row r="3935" spans="1:7" x14ac:dyDescent="0.25">
      <c r="A3935" t="s">
        <v>7</v>
      </c>
      <c r="B3935" t="s">
        <v>21</v>
      </c>
      <c r="C3935" t="s">
        <v>9</v>
      </c>
      <c r="D3935" t="s">
        <v>10</v>
      </c>
      <c r="E3935">
        <v>4</v>
      </c>
      <c r="F3935" s="1">
        <v>37103</v>
      </c>
      <c r="G3935">
        <v>4.6430696427913802E-2</v>
      </c>
    </row>
    <row r="3936" spans="1:7" x14ac:dyDescent="0.25">
      <c r="A3936" t="s">
        <v>7</v>
      </c>
      <c r="B3936" t="s">
        <v>21</v>
      </c>
      <c r="C3936" t="s">
        <v>9</v>
      </c>
      <c r="D3936" t="s">
        <v>10</v>
      </c>
      <c r="E3936">
        <v>4</v>
      </c>
      <c r="F3936" s="1">
        <v>37134</v>
      </c>
      <c r="G3936">
        <v>5.6280059443951699E-3</v>
      </c>
    </row>
    <row r="3937" spans="1:7" x14ac:dyDescent="0.25">
      <c r="A3937" t="s">
        <v>7</v>
      </c>
      <c r="B3937" t="s">
        <v>21</v>
      </c>
      <c r="C3937" t="s">
        <v>9</v>
      </c>
      <c r="D3937" t="s">
        <v>10</v>
      </c>
      <c r="E3937">
        <v>4</v>
      </c>
      <c r="F3937" s="1">
        <v>37164</v>
      </c>
      <c r="G3937">
        <v>0.13171173303841599</v>
      </c>
    </row>
    <row r="3938" spans="1:7" x14ac:dyDescent="0.25">
      <c r="A3938" t="s">
        <v>7</v>
      </c>
      <c r="B3938" t="s">
        <v>21</v>
      </c>
      <c r="C3938" t="s">
        <v>9</v>
      </c>
      <c r="D3938" t="s">
        <v>10</v>
      </c>
      <c r="E3938">
        <v>4</v>
      </c>
      <c r="F3938" s="1">
        <v>37195</v>
      </c>
      <c r="G3938">
        <v>-0.10088614674384</v>
      </c>
    </row>
    <row r="3939" spans="1:7" x14ac:dyDescent="0.25">
      <c r="A3939" t="s">
        <v>7</v>
      </c>
      <c r="B3939" t="s">
        <v>21</v>
      </c>
      <c r="C3939" t="s">
        <v>9</v>
      </c>
      <c r="D3939" t="s">
        <v>10</v>
      </c>
      <c r="E3939">
        <v>4</v>
      </c>
      <c r="F3939" s="1">
        <v>37225</v>
      </c>
      <c r="G3939">
        <v>-3.45937523047357E-2</v>
      </c>
    </row>
    <row r="3940" spans="1:7" x14ac:dyDescent="0.25">
      <c r="A3940" t="s">
        <v>7</v>
      </c>
      <c r="B3940" t="s">
        <v>21</v>
      </c>
      <c r="C3940" t="s">
        <v>9</v>
      </c>
      <c r="D3940" t="s">
        <v>10</v>
      </c>
      <c r="E3940">
        <v>4</v>
      </c>
      <c r="F3940" s="1">
        <v>37256</v>
      </c>
      <c r="G3940">
        <v>1.81020470080792E-2</v>
      </c>
    </row>
    <row r="3941" spans="1:7" x14ac:dyDescent="0.25">
      <c r="A3941" t="s">
        <v>7</v>
      </c>
      <c r="B3941" t="s">
        <v>21</v>
      </c>
      <c r="C3941" t="s">
        <v>9</v>
      </c>
      <c r="D3941" t="s">
        <v>10</v>
      </c>
      <c r="E3941">
        <v>4</v>
      </c>
      <c r="F3941" s="1">
        <v>37287</v>
      </c>
      <c r="G3941">
        <v>1.76109498333341E-2</v>
      </c>
    </row>
    <row r="3942" spans="1:7" x14ac:dyDescent="0.25">
      <c r="A3942" t="s">
        <v>7</v>
      </c>
      <c r="B3942" t="s">
        <v>21</v>
      </c>
      <c r="C3942" t="s">
        <v>9</v>
      </c>
      <c r="D3942" t="s">
        <v>10</v>
      </c>
      <c r="E3942">
        <v>4</v>
      </c>
      <c r="F3942" s="1">
        <v>37315</v>
      </c>
      <c r="G3942">
        <v>1.35239219993653E-2</v>
      </c>
    </row>
    <row r="3943" spans="1:7" x14ac:dyDescent="0.25">
      <c r="A3943" t="s">
        <v>7</v>
      </c>
      <c r="B3943" t="s">
        <v>21</v>
      </c>
      <c r="C3943" t="s">
        <v>9</v>
      </c>
      <c r="D3943" t="s">
        <v>10</v>
      </c>
      <c r="E3943">
        <v>4</v>
      </c>
      <c r="F3943" s="1">
        <v>37346</v>
      </c>
      <c r="G3943">
        <v>4.8448651647080903E-3</v>
      </c>
    </row>
    <row r="3944" spans="1:7" x14ac:dyDescent="0.25">
      <c r="A3944" t="s">
        <v>7</v>
      </c>
      <c r="B3944" t="s">
        <v>21</v>
      </c>
      <c r="C3944" t="s">
        <v>9</v>
      </c>
      <c r="D3944" t="s">
        <v>10</v>
      </c>
      <c r="E3944">
        <v>4</v>
      </c>
      <c r="F3944" s="1">
        <v>37376</v>
      </c>
      <c r="G3944">
        <v>-0.103733460985587</v>
      </c>
    </row>
    <row r="3945" spans="1:7" x14ac:dyDescent="0.25">
      <c r="A3945" t="s">
        <v>7</v>
      </c>
      <c r="B3945" t="s">
        <v>21</v>
      </c>
      <c r="C3945" t="s">
        <v>9</v>
      </c>
      <c r="D3945" t="s">
        <v>10</v>
      </c>
      <c r="E3945">
        <v>4</v>
      </c>
      <c r="F3945" s="1">
        <v>37407</v>
      </c>
      <c r="G3945">
        <v>-1.13176505980021E-2</v>
      </c>
    </row>
    <row r="3946" spans="1:7" x14ac:dyDescent="0.25">
      <c r="A3946" t="s">
        <v>7</v>
      </c>
      <c r="B3946" t="s">
        <v>21</v>
      </c>
      <c r="C3946" t="s">
        <v>9</v>
      </c>
      <c r="D3946" t="s">
        <v>10</v>
      </c>
      <c r="E3946">
        <v>4</v>
      </c>
      <c r="F3946" s="1">
        <v>37437</v>
      </c>
      <c r="G3946">
        <v>-6.5131541863589396E-2</v>
      </c>
    </row>
    <row r="3947" spans="1:7" x14ac:dyDescent="0.25">
      <c r="A3947" t="s">
        <v>7</v>
      </c>
      <c r="B3947" t="s">
        <v>21</v>
      </c>
      <c r="C3947" t="s">
        <v>9</v>
      </c>
      <c r="D3947" t="s">
        <v>10</v>
      </c>
      <c r="E3947">
        <v>4</v>
      </c>
      <c r="F3947" s="1">
        <v>37468</v>
      </c>
      <c r="G3947">
        <v>4.4365433138996303E-2</v>
      </c>
    </row>
    <row r="3948" spans="1:7" x14ac:dyDescent="0.25">
      <c r="A3948" t="s">
        <v>7</v>
      </c>
      <c r="B3948" t="s">
        <v>21</v>
      </c>
      <c r="C3948" t="s">
        <v>9</v>
      </c>
      <c r="D3948" t="s">
        <v>10</v>
      </c>
      <c r="E3948">
        <v>2</v>
      </c>
      <c r="F3948" s="1">
        <v>37499</v>
      </c>
      <c r="G3948">
        <v>-6.2367315469658E-2</v>
      </c>
    </row>
    <row r="3949" spans="1:7" x14ac:dyDescent="0.25">
      <c r="A3949" t="s">
        <v>7</v>
      </c>
      <c r="B3949" t="s">
        <v>21</v>
      </c>
      <c r="C3949" t="s">
        <v>9</v>
      </c>
      <c r="D3949" t="s">
        <v>10</v>
      </c>
      <c r="E3949">
        <v>4</v>
      </c>
      <c r="F3949" s="1">
        <v>37529</v>
      </c>
      <c r="G3949">
        <v>-6.9066998482308406E-2</v>
      </c>
    </row>
    <row r="3950" spans="1:7" x14ac:dyDescent="0.25">
      <c r="A3950" t="s">
        <v>7</v>
      </c>
      <c r="B3950" t="s">
        <v>21</v>
      </c>
      <c r="C3950" t="s">
        <v>9</v>
      </c>
      <c r="D3950" t="s">
        <v>10</v>
      </c>
      <c r="E3950">
        <v>2</v>
      </c>
      <c r="F3950" s="1">
        <v>37560</v>
      </c>
      <c r="G3950">
        <v>-8.7338606066370197E-3</v>
      </c>
    </row>
    <row r="3951" spans="1:7" x14ac:dyDescent="0.25">
      <c r="A3951" t="s">
        <v>7</v>
      </c>
      <c r="B3951" t="s">
        <v>21</v>
      </c>
      <c r="C3951" t="s">
        <v>9</v>
      </c>
      <c r="D3951" t="s">
        <v>10</v>
      </c>
      <c r="E3951">
        <v>2</v>
      </c>
      <c r="F3951" s="1">
        <v>37590</v>
      </c>
      <c r="G3951">
        <v>-2.2124455969195502E-3</v>
      </c>
    </row>
    <row r="3952" spans="1:7" x14ac:dyDescent="0.25">
      <c r="A3952" t="s">
        <v>7</v>
      </c>
      <c r="B3952" t="s">
        <v>21</v>
      </c>
      <c r="C3952" t="s">
        <v>9</v>
      </c>
      <c r="D3952" t="s">
        <v>10</v>
      </c>
      <c r="E3952">
        <v>2</v>
      </c>
      <c r="F3952" s="1">
        <v>37621</v>
      </c>
      <c r="G3952">
        <v>3.8297527314603397E-2</v>
      </c>
    </row>
    <row r="3953" spans="1:7" x14ac:dyDescent="0.25">
      <c r="A3953" t="s">
        <v>7</v>
      </c>
      <c r="B3953" t="s">
        <v>21</v>
      </c>
      <c r="C3953" t="s">
        <v>9</v>
      </c>
      <c r="D3953" t="s">
        <v>10</v>
      </c>
      <c r="E3953">
        <v>4</v>
      </c>
      <c r="F3953" s="1">
        <v>37652</v>
      </c>
      <c r="G3953">
        <v>2.2434670160535299E-3</v>
      </c>
    </row>
    <row r="3954" spans="1:7" x14ac:dyDescent="0.25">
      <c r="A3954" t="s">
        <v>7</v>
      </c>
      <c r="B3954" t="s">
        <v>21</v>
      </c>
      <c r="C3954" t="s">
        <v>9</v>
      </c>
      <c r="D3954" t="s">
        <v>10</v>
      </c>
      <c r="E3954">
        <v>2</v>
      </c>
      <c r="F3954" s="1">
        <v>37680</v>
      </c>
      <c r="G3954">
        <v>-7.00392959874125E-2</v>
      </c>
    </row>
    <row r="3955" spans="1:7" x14ac:dyDescent="0.25">
      <c r="A3955" t="s">
        <v>7</v>
      </c>
      <c r="B3955" t="s">
        <v>21</v>
      </c>
      <c r="C3955" t="s">
        <v>9</v>
      </c>
      <c r="D3955" t="s">
        <v>10</v>
      </c>
      <c r="E3955">
        <v>2</v>
      </c>
      <c r="F3955" s="1">
        <v>37711</v>
      </c>
      <c r="G3955">
        <v>3.67226292512772E-2</v>
      </c>
    </row>
    <row r="3956" spans="1:7" x14ac:dyDescent="0.25">
      <c r="A3956" t="s">
        <v>7</v>
      </c>
      <c r="B3956" t="s">
        <v>21</v>
      </c>
      <c r="C3956" t="s">
        <v>9</v>
      </c>
      <c r="D3956" t="s">
        <v>10</v>
      </c>
      <c r="E3956">
        <v>2</v>
      </c>
      <c r="F3956" s="1">
        <v>37741</v>
      </c>
      <c r="G3956">
        <v>9.9390624562396501E-2</v>
      </c>
    </row>
    <row r="3957" spans="1:7" x14ac:dyDescent="0.25">
      <c r="A3957" t="s">
        <v>7</v>
      </c>
      <c r="B3957" t="s">
        <v>21</v>
      </c>
      <c r="C3957" t="s">
        <v>9</v>
      </c>
      <c r="D3957" t="s">
        <v>10</v>
      </c>
      <c r="E3957">
        <v>4</v>
      </c>
      <c r="F3957" s="1">
        <v>37772</v>
      </c>
      <c r="G3957">
        <v>-3.3532654078365101E-2</v>
      </c>
    </row>
    <row r="3958" spans="1:7" x14ac:dyDescent="0.25">
      <c r="A3958" t="s">
        <v>7</v>
      </c>
      <c r="B3958" t="s">
        <v>21</v>
      </c>
      <c r="C3958" t="s">
        <v>9</v>
      </c>
      <c r="D3958" t="s">
        <v>10</v>
      </c>
      <c r="E3958">
        <v>4</v>
      </c>
      <c r="F3958" s="1">
        <v>37802</v>
      </c>
      <c r="G3958">
        <v>-4.8478042947602898E-2</v>
      </c>
    </row>
    <row r="3959" spans="1:7" x14ac:dyDescent="0.25">
      <c r="A3959" t="s">
        <v>7</v>
      </c>
      <c r="B3959" t="s">
        <v>21</v>
      </c>
      <c r="C3959" t="s">
        <v>9</v>
      </c>
      <c r="D3959" t="s">
        <v>10</v>
      </c>
      <c r="E3959">
        <v>4</v>
      </c>
      <c r="F3959" s="1">
        <v>37833</v>
      </c>
      <c r="G3959">
        <v>-4.0415945411099899E-2</v>
      </c>
    </row>
    <row r="3960" spans="1:7" x14ac:dyDescent="0.25">
      <c r="A3960" t="s">
        <v>7</v>
      </c>
      <c r="B3960" t="s">
        <v>21</v>
      </c>
      <c r="C3960" t="s">
        <v>9</v>
      </c>
      <c r="D3960" t="s">
        <v>10</v>
      </c>
      <c r="E3960">
        <v>2</v>
      </c>
      <c r="F3960" s="1">
        <v>37864</v>
      </c>
      <c r="G3960">
        <v>4.2053213863299001E-2</v>
      </c>
    </row>
    <row r="3961" spans="1:7" x14ac:dyDescent="0.25">
      <c r="A3961" t="s">
        <v>7</v>
      </c>
      <c r="B3961" t="s">
        <v>21</v>
      </c>
      <c r="C3961" t="s">
        <v>9</v>
      </c>
      <c r="D3961" t="s">
        <v>10</v>
      </c>
      <c r="E3961">
        <v>4</v>
      </c>
      <c r="F3961" s="1">
        <v>37894</v>
      </c>
      <c r="G3961">
        <v>4.6139830233158E-2</v>
      </c>
    </row>
    <row r="3962" spans="1:7" x14ac:dyDescent="0.25">
      <c r="A3962" t="s">
        <v>7</v>
      </c>
      <c r="B3962" t="s">
        <v>21</v>
      </c>
      <c r="C3962" t="s">
        <v>9</v>
      </c>
      <c r="D3962" t="s">
        <v>10</v>
      </c>
      <c r="E3962">
        <v>4</v>
      </c>
      <c r="F3962" s="1">
        <v>37925</v>
      </c>
      <c r="G3962">
        <v>-6.3349632602383299E-2</v>
      </c>
    </row>
    <row r="3963" spans="1:7" x14ac:dyDescent="0.25">
      <c r="A3963" t="s">
        <v>7</v>
      </c>
      <c r="B3963" t="s">
        <v>21</v>
      </c>
      <c r="C3963" t="s">
        <v>9</v>
      </c>
      <c r="D3963" t="s">
        <v>10</v>
      </c>
      <c r="E3963">
        <v>4</v>
      </c>
      <c r="F3963" s="1">
        <v>37955</v>
      </c>
      <c r="G3963">
        <v>3.06868801857209E-3</v>
      </c>
    </row>
    <row r="3964" spans="1:7" x14ac:dyDescent="0.25">
      <c r="A3964" t="s">
        <v>7</v>
      </c>
      <c r="B3964" t="s">
        <v>21</v>
      </c>
      <c r="C3964" t="s">
        <v>9</v>
      </c>
      <c r="D3964" t="s">
        <v>10</v>
      </c>
      <c r="E3964">
        <v>4</v>
      </c>
      <c r="F3964" s="1">
        <v>37986</v>
      </c>
      <c r="G3964">
        <v>5.74881944952398E-2</v>
      </c>
    </row>
    <row r="3965" spans="1:7" x14ac:dyDescent="0.25">
      <c r="A3965" t="s">
        <v>7</v>
      </c>
      <c r="B3965" t="s">
        <v>21</v>
      </c>
      <c r="C3965" t="s">
        <v>9</v>
      </c>
      <c r="D3965" t="s">
        <v>10</v>
      </c>
      <c r="E3965">
        <v>4</v>
      </c>
      <c r="F3965" s="1">
        <v>38017</v>
      </c>
      <c r="G3965">
        <v>0.13586959188436301</v>
      </c>
    </row>
    <row r="3966" spans="1:7" x14ac:dyDescent="0.25">
      <c r="A3966" t="s">
        <v>7</v>
      </c>
      <c r="B3966" t="s">
        <v>21</v>
      </c>
      <c r="C3966" t="s">
        <v>9</v>
      </c>
      <c r="D3966" t="s">
        <v>10</v>
      </c>
      <c r="E3966">
        <v>4</v>
      </c>
      <c r="F3966" s="1">
        <v>38046</v>
      </c>
      <c r="G3966">
        <v>-0.15128389288206701</v>
      </c>
    </row>
    <row r="3967" spans="1:7" x14ac:dyDescent="0.25">
      <c r="A3967" t="s">
        <v>7</v>
      </c>
      <c r="B3967" t="s">
        <v>21</v>
      </c>
      <c r="C3967" t="s">
        <v>9</v>
      </c>
      <c r="D3967" t="s">
        <v>10</v>
      </c>
      <c r="E3967">
        <v>4</v>
      </c>
      <c r="F3967" s="1">
        <v>38077</v>
      </c>
      <c r="G3967">
        <v>1.4557146240435999E-2</v>
      </c>
    </row>
    <row r="3968" spans="1:7" x14ac:dyDescent="0.25">
      <c r="A3968" t="s">
        <v>7</v>
      </c>
      <c r="B3968" t="s">
        <v>21</v>
      </c>
      <c r="C3968" t="s">
        <v>9</v>
      </c>
      <c r="D3968" t="s">
        <v>10</v>
      </c>
      <c r="E3968">
        <v>4</v>
      </c>
      <c r="F3968" s="1">
        <v>38107</v>
      </c>
      <c r="G3968">
        <v>0.13331195423112499</v>
      </c>
    </row>
    <row r="3969" spans="1:7" x14ac:dyDescent="0.25">
      <c r="A3969" t="s">
        <v>7</v>
      </c>
      <c r="B3969" t="s">
        <v>21</v>
      </c>
      <c r="C3969" t="s">
        <v>9</v>
      </c>
      <c r="D3969" t="s">
        <v>10</v>
      </c>
      <c r="E3969">
        <v>4</v>
      </c>
      <c r="F3969" s="1">
        <v>38138</v>
      </c>
      <c r="G3969">
        <v>-8.1721855286169501E-2</v>
      </c>
    </row>
    <row r="3970" spans="1:7" x14ac:dyDescent="0.25">
      <c r="A3970" t="s">
        <v>7</v>
      </c>
      <c r="B3970" t="s">
        <v>21</v>
      </c>
      <c r="C3970" t="s">
        <v>9</v>
      </c>
      <c r="D3970" t="s">
        <v>10</v>
      </c>
      <c r="E3970">
        <v>4</v>
      </c>
      <c r="F3970" s="1">
        <v>38168</v>
      </c>
      <c r="G3970">
        <v>2.08764714197303E-2</v>
      </c>
    </row>
    <row r="3971" spans="1:7" x14ac:dyDescent="0.25">
      <c r="A3971" t="s">
        <v>7</v>
      </c>
      <c r="B3971" t="s">
        <v>21</v>
      </c>
      <c r="C3971" t="s">
        <v>9</v>
      </c>
      <c r="D3971" t="s">
        <v>10</v>
      </c>
      <c r="E3971">
        <v>4</v>
      </c>
      <c r="F3971" s="1">
        <v>38199</v>
      </c>
      <c r="G3971">
        <v>1.12523950116892E-2</v>
      </c>
    </row>
    <row r="3972" spans="1:7" x14ac:dyDescent="0.25">
      <c r="A3972" t="s">
        <v>7</v>
      </c>
      <c r="B3972" t="s">
        <v>21</v>
      </c>
      <c r="C3972" t="s">
        <v>9</v>
      </c>
      <c r="D3972" t="s">
        <v>10</v>
      </c>
      <c r="E3972">
        <v>4</v>
      </c>
      <c r="F3972" s="1">
        <v>38230</v>
      </c>
      <c r="G3972">
        <v>4.0221737671314997E-2</v>
      </c>
    </row>
    <row r="3973" spans="1:7" x14ac:dyDescent="0.25">
      <c r="A3973" t="s">
        <v>7</v>
      </c>
      <c r="B3973" t="s">
        <v>21</v>
      </c>
      <c r="C3973" t="s">
        <v>9</v>
      </c>
      <c r="D3973" t="s">
        <v>10</v>
      </c>
      <c r="E3973">
        <v>4</v>
      </c>
      <c r="F3973" s="1">
        <v>38260</v>
      </c>
      <c r="G3973">
        <v>3.1934630592748599E-2</v>
      </c>
    </row>
    <row r="3974" spans="1:7" x14ac:dyDescent="0.25">
      <c r="A3974" t="s">
        <v>7</v>
      </c>
      <c r="B3974" t="s">
        <v>21</v>
      </c>
      <c r="C3974" t="s">
        <v>9</v>
      </c>
      <c r="D3974" t="s">
        <v>10</v>
      </c>
      <c r="E3974">
        <v>4</v>
      </c>
      <c r="F3974" s="1">
        <v>38291</v>
      </c>
      <c r="G3974">
        <v>-2.48401289580602E-2</v>
      </c>
    </row>
    <row r="3975" spans="1:7" x14ac:dyDescent="0.25">
      <c r="A3975" t="s">
        <v>7</v>
      </c>
      <c r="B3975" t="s">
        <v>21</v>
      </c>
      <c r="C3975" t="s">
        <v>9</v>
      </c>
      <c r="D3975" t="s">
        <v>10</v>
      </c>
      <c r="E3975">
        <v>4</v>
      </c>
      <c r="F3975" s="1">
        <v>38321</v>
      </c>
      <c r="G3975">
        <v>-8.2706964335886105E-2</v>
      </c>
    </row>
    <row r="3976" spans="1:7" x14ac:dyDescent="0.25">
      <c r="A3976" t="s">
        <v>7</v>
      </c>
      <c r="B3976" t="s">
        <v>21</v>
      </c>
      <c r="C3976" t="s">
        <v>9</v>
      </c>
      <c r="D3976" t="s">
        <v>10</v>
      </c>
      <c r="E3976">
        <v>4</v>
      </c>
      <c r="F3976" s="1">
        <v>38352</v>
      </c>
      <c r="G3976">
        <v>-1.11675470234426E-2</v>
      </c>
    </row>
    <row r="3977" spans="1:7" x14ac:dyDescent="0.25">
      <c r="A3977" t="s">
        <v>7</v>
      </c>
      <c r="B3977" t="s">
        <v>21</v>
      </c>
      <c r="C3977" t="s">
        <v>9</v>
      </c>
      <c r="D3977" t="s">
        <v>10</v>
      </c>
      <c r="E3977">
        <v>4</v>
      </c>
      <c r="F3977" s="1">
        <v>38383</v>
      </c>
      <c r="G3977">
        <v>-2.43456080761695E-3</v>
      </c>
    </row>
    <row r="3978" spans="1:7" x14ac:dyDescent="0.25">
      <c r="A3978" t="s">
        <v>7</v>
      </c>
      <c r="B3978" t="s">
        <v>21</v>
      </c>
      <c r="C3978" t="s">
        <v>9</v>
      </c>
      <c r="D3978" t="s">
        <v>10</v>
      </c>
      <c r="E3978">
        <v>4</v>
      </c>
      <c r="F3978" s="1">
        <v>38411</v>
      </c>
      <c r="G3978">
        <v>-3.4589807282749803E-2</v>
      </c>
    </row>
    <row r="3979" spans="1:7" x14ac:dyDescent="0.25">
      <c r="A3979" t="s">
        <v>7</v>
      </c>
      <c r="B3979" t="s">
        <v>21</v>
      </c>
      <c r="C3979" t="s">
        <v>9</v>
      </c>
      <c r="D3979" t="s">
        <v>10</v>
      </c>
      <c r="E3979">
        <v>4</v>
      </c>
      <c r="F3979" s="1">
        <v>38442</v>
      </c>
      <c r="G3979">
        <v>4.2902209827497997E-2</v>
      </c>
    </row>
    <row r="3980" spans="1:7" x14ac:dyDescent="0.25">
      <c r="A3980" t="s">
        <v>7</v>
      </c>
      <c r="B3980" t="s">
        <v>21</v>
      </c>
      <c r="C3980" t="s">
        <v>9</v>
      </c>
      <c r="D3980" t="s">
        <v>10</v>
      </c>
      <c r="E3980">
        <v>4</v>
      </c>
      <c r="F3980" s="1">
        <v>38472</v>
      </c>
      <c r="G3980">
        <v>-3.9619776557951198E-3</v>
      </c>
    </row>
    <row r="3981" spans="1:7" x14ac:dyDescent="0.25">
      <c r="A3981" t="s">
        <v>7</v>
      </c>
      <c r="B3981" t="s">
        <v>21</v>
      </c>
      <c r="C3981" t="s">
        <v>9</v>
      </c>
      <c r="D3981" t="s">
        <v>10</v>
      </c>
      <c r="E3981">
        <v>4</v>
      </c>
      <c r="F3981" s="1">
        <v>38503</v>
      </c>
      <c r="G3981">
        <v>2.1521584224249501E-2</v>
      </c>
    </row>
    <row r="3982" spans="1:7" x14ac:dyDescent="0.25">
      <c r="A3982" t="s">
        <v>7</v>
      </c>
      <c r="B3982" t="s">
        <v>21</v>
      </c>
      <c r="C3982" t="s">
        <v>9</v>
      </c>
      <c r="D3982" t="s">
        <v>10</v>
      </c>
      <c r="E3982">
        <v>4</v>
      </c>
      <c r="F3982" s="1">
        <v>38533</v>
      </c>
      <c r="G3982">
        <v>1.8109009957839099E-2</v>
      </c>
    </row>
    <row r="3983" spans="1:7" x14ac:dyDescent="0.25">
      <c r="A3983" t="s">
        <v>7</v>
      </c>
      <c r="B3983" t="s">
        <v>21</v>
      </c>
      <c r="C3983" t="s">
        <v>9</v>
      </c>
      <c r="D3983" t="s">
        <v>10</v>
      </c>
      <c r="E3983">
        <v>4</v>
      </c>
      <c r="F3983" s="1">
        <v>38564</v>
      </c>
      <c r="G3983">
        <v>-3.7701636010668102E-2</v>
      </c>
    </row>
    <row r="3984" spans="1:7" x14ac:dyDescent="0.25">
      <c r="A3984" t="s">
        <v>7</v>
      </c>
      <c r="B3984" t="s">
        <v>21</v>
      </c>
      <c r="C3984" t="s">
        <v>9</v>
      </c>
      <c r="D3984" t="s">
        <v>10</v>
      </c>
      <c r="E3984">
        <v>4</v>
      </c>
      <c r="F3984" s="1">
        <v>38595</v>
      </c>
      <c r="G3984">
        <v>-4.7159431999946301E-2</v>
      </c>
    </row>
    <row r="3985" spans="1:7" x14ac:dyDescent="0.25">
      <c r="A3985" t="s">
        <v>7</v>
      </c>
      <c r="B3985" t="s">
        <v>21</v>
      </c>
      <c r="C3985" t="s">
        <v>9</v>
      </c>
      <c r="D3985" t="s">
        <v>10</v>
      </c>
      <c r="E3985">
        <v>4</v>
      </c>
      <c r="F3985" s="1">
        <v>38625</v>
      </c>
      <c r="G3985">
        <v>-3.4682136961625497E-2</v>
      </c>
    </row>
    <row r="3986" spans="1:7" x14ac:dyDescent="0.25">
      <c r="A3986" t="s">
        <v>7</v>
      </c>
      <c r="B3986" t="s">
        <v>21</v>
      </c>
      <c r="C3986" t="s">
        <v>9</v>
      </c>
      <c r="D3986" t="s">
        <v>10</v>
      </c>
      <c r="E3986">
        <v>4</v>
      </c>
      <c r="F3986" s="1">
        <v>38656</v>
      </c>
      <c r="G3986">
        <v>5.2959259507454698E-2</v>
      </c>
    </row>
    <row r="3987" spans="1:7" x14ac:dyDescent="0.25">
      <c r="A3987" t="s">
        <v>7</v>
      </c>
      <c r="B3987" t="s">
        <v>21</v>
      </c>
      <c r="C3987" t="s">
        <v>9</v>
      </c>
      <c r="D3987" t="s">
        <v>10</v>
      </c>
      <c r="E3987">
        <v>4</v>
      </c>
      <c r="F3987" s="1">
        <v>38686</v>
      </c>
      <c r="G3987">
        <v>-1.0073085544449099E-2</v>
      </c>
    </row>
    <row r="3988" spans="1:7" x14ac:dyDescent="0.25">
      <c r="A3988" t="s">
        <v>7</v>
      </c>
      <c r="B3988" t="s">
        <v>21</v>
      </c>
      <c r="C3988" t="s">
        <v>9</v>
      </c>
      <c r="D3988" t="s">
        <v>10</v>
      </c>
      <c r="E3988">
        <v>4</v>
      </c>
      <c r="F3988" s="1">
        <v>38717</v>
      </c>
      <c r="G3988">
        <v>5.9339980652533701E-2</v>
      </c>
    </row>
    <row r="3989" spans="1:7" x14ac:dyDescent="0.25">
      <c r="A3989" t="s">
        <v>7</v>
      </c>
      <c r="B3989" t="s">
        <v>21</v>
      </c>
      <c r="C3989" t="s">
        <v>9</v>
      </c>
      <c r="D3989" t="s">
        <v>10</v>
      </c>
      <c r="E3989">
        <v>4</v>
      </c>
      <c r="F3989" s="1">
        <v>38748</v>
      </c>
      <c r="G3989">
        <v>-6.0411529379800002E-2</v>
      </c>
    </row>
    <row r="3990" spans="1:7" x14ac:dyDescent="0.25">
      <c r="A3990" t="s">
        <v>7</v>
      </c>
      <c r="B3990" t="s">
        <v>21</v>
      </c>
      <c r="C3990" t="s">
        <v>9</v>
      </c>
      <c r="D3990" t="s">
        <v>10</v>
      </c>
      <c r="E3990">
        <v>4</v>
      </c>
      <c r="F3990" s="1">
        <v>38776</v>
      </c>
      <c r="G3990">
        <v>3.3769756843965901E-3</v>
      </c>
    </row>
    <row r="3991" spans="1:7" x14ac:dyDescent="0.25">
      <c r="A3991" t="s">
        <v>7</v>
      </c>
      <c r="B3991" t="s">
        <v>21</v>
      </c>
      <c r="C3991" t="s">
        <v>9</v>
      </c>
      <c r="D3991" t="s">
        <v>10</v>
      </c>
      <c r="E3991">
        <v>4</v>
      </c>
      <c r="F3991" s="1">
        <v>38807</v>
      </c>
      <c r="G3991">
        <v>-4.4699869047139497E-2</v>
      </c>
    </row>
    <row r="3992" spans="1:7" x14ac:dyDescent="0.25">
      <c r="A3992" t="s">
        <v>7</v>
      </c>
      <c r="B3992" t="s">
        <v>21</v>
      </c>
      <c r="C3992" t="s">
        <v>9</v>
      </c>
      <c r="D3992" t="s">
        <v>10</v>
      </c>
      <c r="E3992">
        <v>4</v>
      </c>
      <c r="F3992" s="1">
        <v>38837</v>
      </c>
      <c r="G3992">
        <v>-3.7832536843285303E-2</v>
      </c>
    </row>
    <row r="3993" spans="1:7" x14ac:dyDescent="0.25">
      <c r="A3993" t="s">
        <v>7</v>
      </c>
      <c r="B3993" t="s">
        <v>21</v>
      </c>
      <c r="C3993" t="s">
        <v>9</v>
      </c>
      <c r="D3993" t="s">
        <v>10</v>
      </c>
      <c r="E3993">
        <v>4</v>
      </c>
      <c r="F3993" s="1">
        <v>38868</v>
      </c>
      <c r="G3993">
        <v>1.72225925370653E-2</v>
      </c>
    </row>
    <row r="3994" spans="1:7" x14ac:dyDescent="0.25">
      <c r="A3994" t="s">
        <v>7</v>
      </c>
      <c r="B3994" t="s">
        <v>21</v>
      </c>
      <c r="C3994" t="s">
        <v>9</v>
      </c>
      <c r="D3994" t="s">
        <v>10</v>
      </c>
      <c r="E3994">
        <v>4</v>
      </c>
      <c r="F3994" s="1">
        <v>38898</v>
      </c>
      <c r="G3994">
        <v>1.55190221595451E-2</v>
      </c>
    </row>
    <row r="3995" spans="1:7" x14ac:dyDescent="0.25">
      <c r="A3995" t="s">
        <v>7</v>
      </c>
      <c r="B3995" t="s">
        <v>21</v>
      </c>
      <c r="C3995" t="s">
        <v>9</v>
      </c>
      <c r="D3995" t="s">
        <v>10</v>
      </c>
      <c r="E3995">
        <v>4</v>
      </c>
      <c r="F3995" s="1">
        <v>38929</v>
      </c>
      <c r="G3995">
        <v>-4.0415406282039298E-4</v>
      </c>
    </row>
    <row r="3996" spans="1:7" x14ac:dyDescent="0.25">
      <c r="A3996" t="s">
        <v>7</v>
      </c>
      <c r="B3996" t="s">
        <v>21</v>
      </c>
      <c r="C3996" t="s">
        <v>9</v>
      </c>
      <c r="D3996" t="s">
        <v>10</v>
      </c>
      <c r="E3996">
        <v>4</v>
      </c>
      <c r="F3996" s="1">
        <v>38960</v>
      </c>
      <c r="G3996">
        <v>4.9405438574714897E-2</v>
      </c>
    </row>
    <row r="3997" spans="1:7" x14ac:dyDescent="0.25">
      <c r="A3997" t="s">
        <v>7</v>
      </c>
      <c r="B3997" t="s">
        <v>21</v>
      </c>
      <c r="C3997" t="s">
        <v>9</v>
      </c>
      <c r="D3997" t="s">
        <v>10</v>
      </c>
      <c r="E3997">
        <v>4</v>
      </c>
      <c r="F3997" s="1">
        <v>38990</v>
      </c>
      <c r="G3997">
        <v>2.6403400564493199E-2</v>
      </c>
    </row>
    <row r="3998" spans="1:7" x14ac:dyDescent="0.25">
      <c r="A3998" t="s">
        <v>7</v>
      </c>
      <c r="B3998" t="s">
        <v>21</v>
      </c>
      <c r="C3998" t="s">
        <v>9</v>
      </c>
      <c r="D3998" t="s">
        <v>10</v>
      </c>
      <c r="E3998">
        <v>4</v>
      </c>
      <c r="F3998" s="1">
        <v>39021</v>
      </c>
      <c r="G3998">
        <v>2.4336328570124102E-2</v>
      </c>
    </row>
    <row r="3999" spans="1:7" x14ac:dyDescent="0.25">
      <c r="A3999" t="s">
        <v>7</v>
      </c>
      <c r="B3999" t="s">
        <v>21</v>
      </c>
      <c r="C3999" t="s">
        <v>9</v>
      </c>
      <c r="D3999" t="s">
        <v>10</v>
      </c>
      <c r="E3999">
        <v>4</v>
      </c>
      <c r="F3999" s="1">
        <v>39051</v>
      </c>
      <c r="G3999">
        <v>4.7049075978059497E-2</v>
      </c>
    </row>
    <row r="4000" spans="1:7" x14ac:dyDescent="0.25">
      <c r="A4000" t="s">
        <v>7</v>
      </c>
      <c r="B4000" t="s">
        <v>21</v>
      </c>
      <c r="C4000" t="s">
        <v>9</v>
      </c>
      <c r="D4000" t="s">
        <v>10</v>
      </c>
      <c r="E4000">
        <v>4</v>
      </c>
      <c r="F4000" s="1">
        <v>39082</v>
      </c>
      <c r="G4000">
        <v>1.35073770924475E-2</v>
      </c>
    </row>
    <row r="4001" spans="1:7" x14ac:dyDescent="0.25">
      <c r="A4001" t="s">
        <v>7</v>
      </c>
      <c r="B4001" t="s">
        <v>21</v>
      </c>
      <c r="C4001" t="s">
        <v>9</v>
      </c>
      <c r="D4001" t="s">
        <v>10</v>
      </c>
      <c r="E4001">
        <v>4</v>
      </c>
      <c r="F4001" s="1">
        <v>39113</v>
      </c>
      <c r="G4001">
        <v>4.6427442141074797E-2</v>
      </c>
    </row>
    <row r="4002" spans="1:7" x14ac:dyDescent="0.25">
      <c r="A4002" t="s">
        <v>7</v>
      </c>
      <c r="B4002" t="s">
        <v>21</v>
      </c>
      <c r="C4002" t="s">
        <v>9</v>
      </c>
      <c r="D4002" t="s">
        <v>10</v>
      </c>
      <c r="E4002">
        <v>4</v>
      </c>
      <c r="F4002" s="1">
        <v>39141</v>
      </c>
      <c r="G4002">
        <v>-4.6547232900748898E-3</v>
      </c>
    </row>
    <row r="4003" spans="1:7" x14ac:dyDescent="0.25">
      <c r="A4003" t="s">
        <v>7</v>
      </c>
      <c r="B4003" t="s">
        <v>21</v>
      </c>
      <c r="C4003" t="s">
        <v>9</v>
      </c>
      <c r="D4003" t="s">
        <v>10</v>
      </c>
      <c r="E4003">
        <v>4</v>
      </c>
      <c r="F4003" s="1">
        <v>39172</v>
      </c>
      <c r="G4003">
        <v>-2.0516802920482299E-2</v>
      </c>
    </row>
    <row r="4004" spans="1:7" x14ac:dyDescent="0.25">
      <c r="A4004" t="s">
        <v>7</v>
      </c>
      <c r="B4004" t="s">
        <v>21</v>
      </c>
      <c r="C4004" t="s">
        <v>9</v>
      </c>
      <c r="D4004" t="s">
        <v>10</v>
      </c>
      <c r="E4004">
        <v>4</v>
      </c>
      <c r="F4004" s="1">
        <v>39202</v>
      </c>
      <c r="G4004">
        <v>5.8351153309277298E-3</v>
      </c>
    </row>
    <row r="4005" spans="1:7" x14ac:dyDescent="0.25">
      <c r="A4005" t="s">
        <v>7</v>
      </c>
      <c r="B4005" t="s">
        <v>21</v>
      </c>
      <c r="C4005" t="s">
        <v>9</v>
      </c>
      <c r="D4005" t="s">
        <v>10</v>
      </c>
      <c r="E4005">
        <v>4</v>
      </c>
      <c r="F4005" s="1">
        <v>39233</v>
      </c>
      <c r="G4005">
        <v>-3.3655454728061299E-3</v>
      </c>
    </row>
    <row r="4006" spans="1:7" x14ac:dyDescent="0.25">
      <c r="A4006" t="s">
        <v>7</v>
      </c>
      <c r="B4006" t="s">
        <v>21</v>
      </c>
      <c r="C4006" t="s">
        <v>9</v>
      </c>
      <c r="D4006" t="s">
        <v>10</v>
      </c>
      <c r="E4006">
        <v>4</v>
      </c>
      <c r="F4006" s="1">
        <v>39263</v>
      </c>
      <c r="G4006">
        <v>4.61819786390575E-2</v>
      </c>
    </row>
    <row r="4007" spans="1:7" x14ac:dyDescent="0.25">
      <c r="A4007" t="s">
        <v>7</v>
      </c>
      <c r="B4007" t="s">
        <v>21</v>
      </c>
      <c r="C4007" t="s">
        <v>9</v>
      </c>
      <c r="D4007" t="s">
        <v>10</v>
      </c>
      <c r="E4007">
        <v>4</v>
      </c>
      <c r="F4007" s="1">
        <v>39294</v>
      </c>
      <c r="G4007">
        <v>4.8627381169216201E-2</v>
      </c>
    </row>
    <row r="4008" spans="1:7" x14ac:dyDescent="0.25">
      <c r="A4008" t="s">
        <v>7</v>
      </c>
      <c r="B4008" t="s">
        <v>21</v>
      </c>
      <c r="C4008" t="s">
        <v>9</v>
      </c>
      <c r="D4008" t="s">
        <v>10</v>
      </c>
      <c r="E4008">
        <v>4</v>
      </c>
      <c r="F4008" s="1">
        <v>39325</v>
      </c>
      <c r="G4008">
        <v>-2.1121111966711899E-2</v>
      </c>
    </row>
    <row r="4009" spans="1:7" x14ac:dyDescent="0.25">
      <c r="A4009" t="s">
        <v>7</v>
      </c>
      <c r="B4009" t="s">
        <v>21</v>
      </c>
      <c r="C4009" t="s">
        <v>9</v>
      </c>
      <c r="D4009" t="s">
        <v>10</v>
      </c>
      <c r="E4009">
        <v>4</v>
      </c>
      <c r="F4009" s="1">
        <v>39355</v>
      </c>
      <c r="G4009">
        <v>-4.3039053686351102E-2</v>
      </c>
    </row>
    <row r="4010" spans="1:7" x14ac:dyDescent="0.25">
      <c r="A4010" t="s">
        <v>7</v>
      </c>
      <c r="B4010" t="s">
        <v>21</v>
      </c>
      <c r="C4010" t="s">
        <v>9</v>
      </c>
      <c r="D4010" t="s">
        <v>10</v>
      </c>
      <c r="E4010">
        <v>4</v>
      </c>
      <c r="F4010" s="1">
        <v>39386</v>
      </c>
      <c r="G4010">
        <v>-3.6450516948372799E-2</v>
      </c>
    </row>
    <row r="4011" spans="1:7" x14ac:dyDescent="0.25">
      <c r="A4011" t="s">
        <v>7</v>
      </c>
      <c r="B4011" t="s">
        <v>21</v>
      </c>
      <c r="C4011" t="s">
        <v>9</v>
      </c>
      <c r="D4011" t="s">
        <v>10</v>
      </c>
      <c r="E4011">
        <v>4</v>
      </c>
      <c r="F4011" s="1">
        <v>39416</v>
      </c>
      <c r="G4011">
        <v>-5.5832592147493899E-2</v>
      </c>
    </row>
    <row r="4012" spans="1:7" x14ac:dyDescent="0.25">
      <c r="A4012" t="s">
        <v>7</v>
      </c>
      <c r="B4012" t="s">
        <v>21</v>
      </c>
      <c r="C4012" t="s">
        <v>9</v>
      </c>
      <c r="D4012" t="s">
        <v>10</v>
      </c>
      <c r="E4012">
        <v>4</v>
      </c>
      <c r="F4012" s="1">
        <v>39447</v>
      </c>
      <c r="G4012">
        <v>3.6314732024882203E-2</v>
      </c>
    </row>
    <row r="4013" spans="1:7" x14ac:dyDescent="0.25">
      <c r="A4013" t="s">
        <v>7</v>
      </c>
      <c r="B4013" t="s">
        <v>21</v>
      </c>
      <c r="C4013" t="s">
        <v>9</v>
      </c>
      <c r="D4013" t="s">
        <v>10</v>
      </c>
      <c r="E4013">
        <v>4</v>
      </c>
      <c r="F4013" s="1">
        <v>39478</v>
      </c>
      <c r="G4013">
        <v>-3.2035345182995299E-2</v>
      </c>
    </row>
    <row r="4014" spans="1:7" x14ac:dyDescent="0.25">
      <c r="A4014" t="s">
        <v>7</v>
      </c>
      <c r="B4014" t="s">
        <v>21</v>
      </c>
      <c r="C4014" t="s">
        <v>9</v>
      </c>
      <c r="D4014" t="s">
        <v>10</v>
      </c>
      <c r="E4014">
        <v>4</v>
      </c>
      <c r="F4014" s="1">
        <v>39507</v>
      </c>
      <c r="G4014">
        <v>-1.3326172635297701E-2</v>
      </c>
    </row>
    <row r="4015" spans="1:7" x14ac:dyDescent="0.25">
      <c r="A4015" t="s">
        <v>7</v>
      </c>
      <c r="B4015" t="s">
        <v>21</v>
      </c>
      <c r="C4015" t="s">
        <v>9</v>
      </c>
      <c r="D4015" t="s">
        <v>10</v>
      </c>
      <c r="E4015">
        <v>4</v>
      </c>
      <c r="F4015" s="1">
        <v>39538</v>
      </c>
      <c r="G4015">
        <v>-3.99124743003169E-2</v>
      </c>
    </row>
    <row r="4016" spans="1:7" x14ac:dyDescent="0.25">
      <c r="A4016" t="s">
        <v>7</v>
      </c>
      <c r="B4016" t="s">
        <v>21</v>
      </c>
      <c r="C4016" t="s">
        <v>9</v>
      </c>
      <c r="D4016" t="s">
        <v>10</v>
      </c>
      <c r="E4016">
        <v>4</v>
      </c>
      <c r="F4016" s="1">
        <v>39568</v>
      </c>
      <c r="G4016">
        <v>-6.9219392132643706E-2</v>
      </c>
    </row>
    <row r="4017" spans="1:7" x14ac:dyDescent="0.25">
      <c r="A4017" t="s">
        <v>7</v>
      </c>
      <c r="B4017" t="s">
        <v>21</v>
      </c>
      <c r="C4017" t="s">
        <v>9</v>
      </c>
      <c r="D4017" t="s">
        <v>10</v>
      </c>
      <c r="E4017">
        <v>5</v>
      </c>
      <c r="F4017" s="1">
        <v>39599</v>
      </c>
      <c r="G4017">
        <v>4.0338306977750003E-2</v>
      </c>
    </row>
    <row r="4018" spans="1:7" x14ac:dyDescent="0.25">
      <c r="A4018" t="s">
        <v>7</v>
      </c>
      <c r="B4018" t="s">
        <v>21</v>
      </c>
      <c r="C4018" t="s">
        <v>9</v>
      </c>
      <c r="D4018" t="s">
        <v>10</v>
      </c>
      <c r="E4018">
        <v>5</v>
      </c>
      <c r="F4018" s="1">
        <v>39629</v>
      </c>
      <c r="G4018">
        <v>3.01002246724726E-2</v>
      </c>
    </row>
    <row r="4019" spans="1:7" x14ac:dyDescent="0.25">
      <c r="A4019" t="s">
        <v>7</v>
      </c>
      <c r="B4019" t="s">
        <v>21</v>
      </c>
      <c r="C4019" t="s">
        <v>9</v>
      </c>
      <c r="D4019" t="s">
        <v>10</v>
      </c>
      <c r="E4019">
        <v>5</v>
      </c>
      <c r="F4019" s="1">
        <v>39660</v>
      </c>
      <c r="G4019">
        <v>-2.7832689660478499E-2</v>
      </c>
    </row>
    <row r="4020" spans="1:7" x14ac:dyDescent="0.25">
      <c r="A4020" t="s">
        <v>7</v>
      </c>
      <c r="B4020" t="s">
        <v>21</v>
      </c>
      <c r="C4020" t="s">
        <v>9</v>
      </c>
      <c r="D4020" t="s">
        <v>10</v>
      </c>
      <c r="E4020">
        <v>5</v>
      </c>
      <c r="F4020" s="1">
        <v>39691</v>
      </c>
      <c r="G4020">
        <v>1.75698616962155E-3</v>
      </c>
    </row>
    <row r="4021" spans="1:7" x14ac:dyDescent="0.25">
      <c r="A4021" t="s">
        <v>7</v>
      </c>
      <c r="B4021" t="s">
        <v>21</v>
      </c>
      <c r="C4021" t="s">
        <v>9</v>
      </c>
      <c r="D4021" t="s">
        <v>10</v>
      </c>
      <c r="E4021">
        <v>5</v>
      </c>
      <c r="F4021" s="1">
        <v>39721</v>
      </c>
      <c r="G4021">
        <v>-4.9762863431512899E-2</v>
      </c>
    </row>
    <row r="4022" spans="1:7" x14ac:dyDescent="0.25">
      <c r="A4022" t="s">
        <v>7</v>
      </c>
      <c r="B4022" t="s">
        <v>21</v>
      </c>
      <c r="C4022" t="s">
        <v>9</v>
      </c>
      <c r="D4022" t="s">
        <v>10</v>
      </c>
      <c r="E4022">
        <v>5</v>
      </c>
      <c r="F4022" s="1">
        <v>39752</v>
      </c>
      <c r="G4022">
        <v>-4.5484359598574803E-2</v>
      </c>
    </row>
    <row r="4023" spans="1:7" x14ac:dyDescent="0.25">
      <c r="A4023" t="s">
        <v>7</v>
      </c>
      <c r="B4023" t="s">
        <v>21</v>
      </c>
      <c r="C4023" t="s">
        <v>9</v>
      </c>
      <c r="D4023" t="s">
        <v>10</v>
      </c>
      <c r="E4023">
        <v>5</v>
      </c>
      <c r="F4023" s="1">
        <v>39782</v>
      </c>
      <c r="G4023">
        <v>-5.31809111480709E-2</v>
      </c>
    </row>
    <row r="4024" spans="1:7" x14ac:dyDescent="0.25">
      <c r="A4024" t="s">
        <v>7</v>
      </c>
      <c r="B4024" t="s">
        <v>21</v>
      </c>
      <c r="C4024" t="s">
        <v>9</v>
      </c>
      <c r="D4024" t="s">
        <v>10</v>
      </c>
      <c r="E4024">
        <v>5</v>
      </c>
      <c r="F4024" s="1">
        <v>39813</v>
      </c>
      <c r="G4024">
        <v>2.04286275770496E-2</v>
      </c>
    </row>
    <row r="4025" spans="1:7" x14ac:dyDescent="0.25">
      <c r="A4025" t="s">
        <v>7</v>
      </c>
      <c r="B4025" t="s">
        <v>21</v>
      </c>
      <c r="C4025" t="s">
        <v>9</v>
      </c>
      <c r="D4025" t="s">
        <v>10</v>
      </c>
      <c r="E4025">
        <v>5</v>
      </c>
      <c r="F4025" s="1">
        <v>39844</v>
      </c>
      <c r="G4025">
        <v>-3.2953750457643698E-2</v>
      </c>
    </row>
    <row r="4026" spans="1:7" x14ac:dyDescent="0.25">
      <c r="A4026" t="s">
        <v>7</v>
      </c>
      <c r="B4026" t="s">
        <v>21</v>
      </c>
      <c r="C4026" t="s">
        <v>9</v>
      </c>
      <c r="D4026" t="s">
        <v>10</v>
      </c>
      <c r="E4026">
        <v>5</v>
      </c>
      <c r="F4026" s="1">
        <v>39872</v>
      </c>
      <c r="G4026">
        <v>5.2606432206207802E-2</v>
      </c>
    </row>
    <row r="4027" spans="1:7" x14ac:dyDescent="0.25">
      <c r="A4027" t="s">
        <v>7</v>
      </c>
      <c r="B4027" t="s">
        <v>21</v>
      </c>
      <c r="C4027" t="s">
        <v>9</v>
      </c>
      <c r="D4027" t="s">
        <v>10</v>
      </c>
      <c r="E4027">
        <v>5</v>
      </c>
      <c r="F4027" s="1">
        <v>39903</v>
      </c>
      <c r="G4027">
        <v>-4.2549641764722597E-2</v>
      </c>
    </row>
    <row r="4028" spans="1:7" x14ac:dyDescent="0.25">
      <c r="A4028" t="s">
        <v>7</v>
      </c>
      <c r="B4028" t="s">
        <v>21</v>
      </c>
      <c r="C4028" t="s">
        <v>9</v>
      </c>
      <c r="D4028" t="s">
        <v>10</v>
      </c>
      <c r="E4028">
        <v>5</v>
      </c>
      <c r="F4028" s="1">
        <v>39933</v>
      </c>
      <c r="G4028">
        <v>0.12475647213034501</v>
      </c>
    </row>
    <row r="4029" spans="1:7" x14ac:dyDescent="0.25">
      <c r="A4029" t="s">
        <v>7</v>
      </c>
      <c r="B4029" t="s">
        <v>21</v>
      </c>
      <c r="C4029" t="s">
        <v>9</v>
      </c>
      <c r="D4029" t="s">
        <v>10</v>
      </c>
      <c r="E4029">
        <v>5</v>
      </c>
      <c r="F4029" s="1">
        <v>39964</v>
      </c>
      <c r="G4029">
        <v>4.1515711958287098E-3</v>
      </c>
    </row>
    <row r="4030" spans="1:7" x14ac:dyDescent="0.25">
      <c r="A4030" t="s">
        <v>7</v>
      </c>
      <c r="B4030" t="s">
        <v>21</v>
      </c>
      <c r="C4030" t="s">
        <v>9</v>
      </c>
      <c r="D4030" t="s">
        <v>10</v>
      </c>
      <c r="E4030">
        <v>5</v>
      </c>
      <c r="F4030" s="1">
        <v>39994</v>
      </c>
      <c r="G4030">
        <v>3.03308596571586E-2</v>
      </c>
    </row>
    <row r="4031" spans="1:7" x14ac:dyDescent="0.25">
      <c r="A4031" t="s">
        <v>7</v>
      </c>
      <c r="B4031" t="s">
        <v>21</v>
      </c>
      <c r="C4031" t="s">
        <v>9</v>
      </c>
      <c r="D4031" t="s">
        <v>10</v>
      </c>
      <c r="E4031">
        <v>5</v>
      </c>
      <c r="F4031" s="1">
        <v>40025</v>
      </c>
      <c r="G4031">
        <v>5.7906153023813897E-2</v>
      </c>
    </row>
    <row r="4032" spans="1:7" x14ac:dyDescent="0.25">
      <c r="A4032" t="s">
        <v>7</v>
      </c>
      <c r="B4032" t="s">
        <v>21</v>
      </c>
      <c r="C4032" t="s">
        <v>9</v>
      </c>
      <c r="D4032" t="s">
        <v>10</v>
      </c>
      <c r="E4032">
        <v>5</v>
      </c>
      <c r="F4032" s="1">
        <v>40056</v>
      </c>
      <c r="G4032">
        <v>4.3801254801185102E-2</v>
      </c>
    </row>
    <row r="4033" spans="1:7" x14ac:dyDescent="0.25">
      <c r="A4033" t="s">
        <v>7</v>
      </c>
      <c r="B4033" t="s">
        <v>21</v>
      </c>
      <c r="C4033" t="s">
        <v>9</v>
      </c>
      <c r="D4033" t="s">
        <v>10</v>
      </c>
      <c r="E4033">
        <v>5</v>
      </c>
      <c r="F4033" s="1">
        <v>40086</v>
      </c>
      <c r="G4033">
        <v>8.4585155605182601E-3</v>
      </c>
    </row>
    <row r="4034" spans="1:7" x14ac:dyDescent="0.25">
      <c r="A4034" t="s">
        <v>7</v>
      </c>
      <c r="B4034" t="s">
        <v>21</v>
      </c>
      <c r="C4034" t="s">
        <v>9</v>
      </c>
      <c r="D4034" t="s">
        <v>10</v>
      </c>
      <c r="E4034">
        <v>5</v>
      </c>
      <c r="F4034" s="1">
        <v>40117</v>
      </c>
      <c r="G4034">
        <v>2.9701836093237E-2</v>
      </c>
    </row>
    <row r="4035" spans="1:7" x14ac:dyDescent="0.25">
      <c r="A4035" t="s">
        <v>7</v>
      </c>
      <c r="B4035" t="s">
        <v>21</v>
      </c>
      <c r="C4035" t="s">
        <v>9</v>
      </c>
      <c r="D4035" t="s">
        <v>10</v>
      </c>
      <c r="E4035">
        <v>5</v>
      </c>
      <c r="F4035" s="1">
        <v>40147</v>
      </c>
      <c r="G4035">
        <v>9.8422690082068196E-3</v>
      </c>
    </row>
    <row r="4036" spans="1:7" x14ac:dyDescent="0.25">
      <c r="A4036" t="s">
        <v>7</v>
      </c>
      <c r="B4036" t="s">
        <v>21</v>
      </c>
      <c r="C4036" t="s">
        <v>9</v>
      </c>
      <c r="D4036" t="s">
        <v>10</v>
      </c>
      <c r="E4036">
        <v>5</v>
      </c>
      <c r="F4036" s="1">
        <v>40178</v>
      </c>
      <c r="G4036">
        <v>1.7388546571160499E-2</v>
      </c>
    </row>
    <row r="4037" spans="1:7" x14ac:dyDescent="0.25">
      <c r="A4037" t="s">
        <v>7</v>
      </c>
      <c r="B4037" t="s">
        <v>21</v>
      </c>
      <c r="C4037" t="s">
        <v>9</v>
      </c>
      <c r="D4037" t="s">
        <v>10</v>
      </c>
      <c r="E4037">
        <v>5</v>
      </c>
      <c r="F4037" s="1">
        <v>40209</v>
      </c>
      <c r="G4037">
        <v>0.20090898174156799</v>
      </c>
    </row>
    <row r="4038" spans="1:7" x14ac:dyDescent="0.25">
      <c r="A4038" t="s">
        <v>7</v>
      </c>
      <c r="B4038" t="s">
        <v>21</v>
      </c>
      <c r="C4038" t="s">
        <v>9</v>
      </c>
      <c r="D4038" t="s">
        <v>10</v>
      </c>
      <c r="E4038">
        <v>5</v>
      </c>
      <c r="F4038" s="1">
        <v>40237</v>
      </c>
      <c r="G4038">
        <v>-1.6513453907434E-2</v>
      </c>
    </row>
    <row r="4039" spans="1:7" x14ac:dyDescent="0.25">
      <c r="A4039" t="s">
        <v>7</v>
      </c>
      <c r="B4039" t="s">
        <v>21</v>
      </c>
      <c r="C4039" t="s">
        <v>9</v>
      </c>
      <c r="D4039" t="s">
        <v>10</v>
      </c>
      <c r="E4039">
        <v>5</v>
      </c>
      <c r="F4039" s="1">
        <v>40268</v>
      </c>
      <c r="G4039">
        <v>-4.4705910878033703E-2</v>
      </c>
    </row>
    <row r="4040" spans="1:7" x14ac:dyDescent="0.25">
      <c r="A4040" t="s">
        <v>7</v>
      </c>
      <c r="B4040" t="s">
        <v>21</v>
      </c>
      <c r="C4040" t="s">
        <v>9</v>
      </c>
      <c r="D4040" t="s">
        <v>10</v>
      </c>
      <c r="E4040">
        <v>5</v>
      </c>
      <c r="F4040" s="1">
        <v>40298</v>
      </c>
      <c r="G4040">
        <v>-1.6558516295118501E-2</v>
      </c>
    </row>
    <row r="4041" spans="1:7" x14ac:dyDescent="0.25">
      <c r="A4041" t="s">
        <v>7</v>
      </c>
      <c r="B4041" t="s">
        <v>21</v>
      </c>
      <c r="C4041" t="s">
        <v>9</v>
      </c>
      <c r="D4041" t="s">
        <v>10</v>
      </c>
      <c r="E4041">
        <v>5</v>
      </c>
      <c r="F4041" s="1">
        <v>40329</v>
      </c>
      <c r="G4041">
        <v>-1.09401396713967E-3</v>
      </c>
    </row>
    <row r="4042" spans="1:7" x14ac:dyDescent="0.25">
      <c r="A4042" t="s">
        <v>7</v>
      </c>
      <c r="B4042" t="s">
        <v>21</v>
      </c>
      <c r="C4042" t="s">
        <v>9</v>
      </c>
      <c r="D4042" t="s">
        <v>10</v>
      </c>
      <c r="E4042">
        <v>5</v>
      </c>
      <c r="F4042" s="1">
        <v>40359</v>
      </c>
      <c r="G4042">
        <v>1.8892306797348199E-2</v>
      </c>
    </row>
    <row r="4043" spans="1:7" x14ac:dyDescent="0.25">
      <c r="A4043" t="s">
        <v>7</v>
      </c>
      <c r="B4043" t="s">
        <v>21</v>
      </c>
      <c r="C4043" t="s">
        <v>9</v>
      </c>
      <c r="D4043" t="s">
        <v>10</v>
      </c>
      <c r="E4043">
        <v>5</v>
      </c>
      <c r="F4043" s="1">
        <v>40390</v>
      </c>
      <c r="G4043">
        <v>-1.38168771336405E-2</v>
      </c>
    </row>
    <row r="4044" spans="1:7" x14ac:dyDescent="0.25">
      <c r="A4044" t="s">
        <v>7</v>
      </c>
      <c r="B4044" t="s">
        <v>21</v>
      </c>
      <c r="C4044" t="s">
        <v>9</v>
      </c>
      <c r="D4044" t="s">
        <v>10</v>
      </c>
      <c r="E4044">
        <v>5</v>
      </c>
      <c r="F4044" s="1">
        <v>40421</v>
      </c>
      <c r="G4044">
        <v>5.0272469021370399E-2</v>
      </c>
    </row>
    <row r="4045" spans="1:7" x14ac:dyDescent="0.25">
      <c r="A4045" t="s">
        <v>7</v>
      </c>
      <c r="B4045" t="s">
        <v>21</v>
      </c>
      <c r="C4045" t="s">
        <v>9</v>
      </c>
      <c r="D4045" t="s">
        <v>10</v>
      </c>
      <c r="E4045">
        <v>5</v>
      </c>
      <c r="F4045" s="1">
        <v>40451</v>
      </c>
      <c r="G4045">
        <v>-3.6149690334275397E-2</v>
      </c>
    </row>
    <row r="4046" spans="1:7" x14ac:dyDescent="0.25">
      <c r="A4046" t="s">
        <v>7</v>
      </c>
      <c r="B4046" t="s">
        <v>21</v>
      </c>
      <c r="C4046" t="s">
        <v>9</v>
      </c>
      <c r="D4046" t="s">
        <v>10</v>
      </c>
      <c r="E4046">
        <v>5</v>
      </c>
      <c r="F4046" s="1">
        <v>40482</v>
      </c>
      <c r="G4046">
        <v>3.30553799620215E-2</v>
      </c>
    </row>
    <row r="4047" spans="1:7" x14ac:dyDescent="0.25">
      <c r="A4047" t="s">
        <v>7</v>
      </c>
      <c r="B4047" t="s">
        <v>21</v>
      </c>
      <c r="C4047" t="s">
        <v>9</v>
      </c>
      <c r="D4047" t="s">
        <v>10</v>
      </c>
      <c r="E4047">
        <v>5</v>
      </c>
      <c r="F4047" s="1">
        <v>40512</v>
      </c>
      <c r="G4047">
        <v>3.0604369983583801E-2</v>
      </c>
    </row>
    <row r="4048" spans="1:7" x14ac:dyDescent="0.25">
      <c r="A4048" t="s">
        <v>7</v>
      </c>
      <c r="B4048" t="s">
        <v>21</v>
      </c>
      <c r="C4048" t="s">
        <v>9</v>
      </c>
      <c r="D4048" t="s">
        <v>10</v>
      </c>
      <c r="E4048">
        <v>5</v>
      </c>
      <c r="F4048" s="1">
        <v>40543</v>
      </c>
      <c r="G4048">
        <v>1.5364512349638501E-2</v>
      </c>
    </row>
    <row r="4049" spans="1:7" x14ac:dyDescent="0.25">
      <c r="A4049" t="s">
        <v>7</v>
      </c>
      <c r="B4049" t="s">
        <v>21</v>
      </c>
      <c r="C4049" t="s">
        <v>9</v>
      </c>
      <c r="D4049" t="s">
        <v>10</v>
      </c>
      <c r="E4049">
        <v>5</v>
      </c>
      <c r="F4049" s="1">
        <v>40574</v>
      </c>
      <c r="G4049">
        <v>1.8145562173603299E-2</v>
      </c>
    </row>
    <row r="4050" spans="1:7" x14ac:dyDescent="0.25">
      <c r="A4050" t="s">
        <v>7</v>
      </c>
      <c r="B4050" t="s">
        <v>21</v>
      </c>
      <c r="C4050" t="s">
        <v>9</v>
      </c>
      <c r="D4050" t="s">
        <v>10</v>
      </c>
      <c r="E4050">
        <v>5</v>
      </c>
      <c r="F4050" s="1">
        <v>40602</v>
      </c>
      <c r="G4050">
        <v>-2.1704474393437801E-2</v>
      </c>
    </row>
    <row r="4051" spans="1:7" x14ac:dyDescent="0.25">
      <c r="A4051" t="s">
        <v>7</v>
      </c>
      <c r="B4051" t="s">
        <v>21</v>
      </c>
      <c r="C4051" t="s">
        <v>9</v>
      </c>
      <c r="D4051" t="s">
        <v>10</v>
      </c>
      <c r="E4051">
        <v>5</v>
      </c>
      <c r="F4051" s="1">
        <v>40633</v>
      </c>
      <c r="G4051">
        <v>-2.9450983781372099E-2</v>
      </c>
    </row>
    <row r="4052" spans="1:7" x14ac:dyDescent="0.25">
      <c r="A4052" t="s">
        <v>7</v>
      </c>
      <c r="B4052" t="s">
        <v>21</v>
      </c>
      <c r="C4052" t="s">
        <v>9</v>
      </c>
      <c r="D4052" t="s">
        <v>10</v>
      </c>
      <c r="E4052">
        <v>5</v>
      </c>
      <c r="F4052" s="1">
        <v>40663</v>
      </c>
      <c r="G4052">
        <v>2.9681204571270499E-2</v>
      </c>
    </row>
    <row r="4053" spans="1:7" x14ac:dyDescent="0.25">
      <c r="A4053" t="s">
        <v>7</v>
      </c>
      <c r="B4053" t="s">
        <v>21</v>
      </c>
      <c r="C4053" t="s">
        <v>9</v>
      </c>
      <c r="D4053" t="s">
        <v>10</v>
      </c>
      <c r="E4053">
        <v>5</v>
      </c>
      <c r="F4053" s="1">
        <v>40694</v>
      </c>
      <c r="G4053">
        <v>2.2062747221427498E-2</v>
      </c>
    </row>
    <row r="4054" spans="1:7" x14ac:dyDescent="0.25">
      <c r="A4054" t="s">
        <v>7</v>
      </c>
      <c r="B4054" t="s">
        <v>21</v>
      </c>
      <c r="C4054" t="s">
        <v>9</v>
      </c>
      <c r="D4054" t="s">
        <v>10</v>
      </c>
      <c r="E4054">
        <v>5</v>
      </c>
      <c r="F4054" s="1">
        <v>40724</v>
      </c>
      <c r="G4054">
        <v>2.64623335154517E-2</v>
      </c>
    </row>
    <row r="4055" spans="1:7" x14ac:dyDescent="0.25">
      <c r="A4055" t="s">
        <v>7</v>
      </c>
      <c r="B4055" t="s">
        <v>21</v>
      </c>
      <c r="C4055" t="s">
        <v>9</v>
      </c>
      <c r="D4055" t="s">
        <v>10</v>
      </c>
      <c r="E4055">
        <v>5</v>
      </c>
      <c r="F4055" s="1">
        <v>40755</v>
      </c>
      <c r="G4055">
        <v>-3.0289712274449302E-3</v>
      </c>
    </row>
    <row r="4056" spans="1:7" x14ac:dyDescent="0.25">
      <c r="A4056" t="s">
        <v>7</v>
      </c>
      <c r="B4056" t="s">
        <v>21</v>
      </c>
      <c r="C4056" t="s">
        <v>9</v>
      </c>
      <c r="D4056" t="s">
        <v>10</v>
      </c>
      <c r="E4056">
        <v>5</v>
      </c>
      <c r="F4056" s="1">
        <v>40786</v>
      </c>
      <c r="G4056">
        <v>-2.2661445329095399E-2</v>
      </c>
    </row>
    <row r="4057" spans="1:7" x14ac:dyDescent="0.25">
      <c r="A4057" t="s">
        <v>7</v>
      </c>
      <c r="B4057" t="s">
        <v>21</v>
      </c>
      <c r="C4057" t="s">
        <v>9</v>
      </c>
      <c r="D4057" t="s">
        <v>10</v>
      </c>
      <c r="E4057">
        <v>5</v>
      </c>
      <c r="F4057" s="1">
        <v>40816</v>
      </c>
      <c r="G4057">
        <v>7.4545191159278903E-3</v>
      </c>
    </row>
    <row r="4058" spans="1:7" x14ac:dyDescent="0.25">
      <c r="A4058" t="s">
        <v>7</v>
      </c>
      <c r="B4058" t="s">
        <v>21</v>
      </c>
      <c r="C4058" t="s">
        <v>9</v>
      </c>
      <c r="D4058" t="s">
        <v>10</v>
      </c>
      <c r="E4058">
        <v>5</v>
      </c>
      <c r="F4058" s="1">
        <v>40847</v>
      </c>
      <c r="G4058">
        <v>1.09112284705589E-4</v>
      </c>
    </row>
    <row r="4059" spans="1:7" x14ac:dyDescent="0.25">
      <c r="A4059" t="s">
        <v>7</v>
      </c>
      <c r="B4059" t="s">
        <v>21</v>
      </c>
      <c r="C4059" t="s">
        <v>9</v>
      </c>
      <c r="D4059" t="s">
        <v>10</v>
      </c>
      <c r="E4059">
        <v>5</v>
      </c>
      <c r="F4059" s="1">
        <v>40877</v>
      </c>
      <c r="G4059">
        <v>-1.18063907633979E-2</v>
      </c>
    </row>
    <row r="4060" spans="1:7" x14ac:dyDescent="0.25">
      <c r="A4060" t="s">
        <v>7</v>
      </c>
      <c r="B4060" t="s">
        <v>21</v>
      </c>
      <c r="C4060" t="s">
        <v>9</v>
      </c>
      <c r="D4060" t="s">
        <v>10</v>
      </c>
      <c r="E4060">
        <v>5</v>
      </c>
      <c r="F4060" s="1">
        <v>40908</v>
      </c>
      <c r="G4060">
        <v>5.44577825545555E-3</v>
      </c>
    </row>
    <row r="4061" spans="1:7" x14ac:dyDescent="0.25">
      <c r="A4061" t="s">
        <v>7</v>
      </c>
      <c r="B4061" t="s">
        <v>21</v>
      </c>
      <c r="C4061" t="s">
        <v>9</v>
      </c>
      <c r="D4061" t="s">
        <v>10</v>
      </c>
      <c r="E4061">
        <v>5</v>
      </c>
      <c r="F4061" s="1">
        <v>40939</v>
      </c>
      <c r="G4061">
        <v>-2.3059579728086602E-2</v>
      </c>
    </row>
    <row r="4062" spans="1:7" x14ac:dyDescent="0.25">
      <c r="A4062" t="s">
        <v>7</v>
      </c>
      <c r="B4062" t="s">
        <v>21</v>
      </c>
      <c r="C4062" t="s">
        <v>9</v>
      </c>
      <c r="D4062" t="s">
        <v>10</v>
      </c>
      <c r="E4062">
        <v>5</v>
      </c>
      <c r="F4062" s="1">
        <v>40968</v>
      </c>
      <c r="G4062">
        <v>-3.5794618523327299E-3</v>
      </c>
    </row>
    <row r="4063" spans="1:7" x14ac:dyDescent="0.25">
      <c r="A4063" t="s">
        <v>7</v>
      </c>
      <c r="B4063" t="s">
        <v>21</v>
      </c>
      <c r="C4063" t="s">
        <v>9</v>
      </c>
      <c r="D4063" t="s">
        <v>10</v>
      </c>
      <c r="E4063">
        <v>5</v>
      </c>
      <c r="F4063" s="1">
        <v>40999</v>
      </c>
      <c r="G4063">
        <v>1.7559296123087199E-2</v>
      </c>
    </row>
    <row r="4064" spans="1:7" x14ac:dyDescent="0.25">
      <c r="A4064" t="s">
        <v>7</v>
      </c>
      <c r="B4064" t="s">
        <v>21</v>
      </c>
      <c r="C4064" t="s">
        <v>9</v>
      </c>
      <c r="D4064" t="s">
        <v>10</v>
      </c>
      <c r="E4064">
        <v>5</v>
      </c>
      <c r="F4064" s="1">
        <v>41029</v>
      </c>
      <c r="G4064">
        <v>-2.9268789351650799E-3</v>
      </c>
    </row>
    <row r="4065" spans="1:7" x14ac:dyDescent="0.25">
      <c r="A4065" t="s">
        <v>7</v>
      </c>
      <c r="B4065" t="s">
        <v>21</v>
      </c>
      <c r="C4065" t="s">
        <v>9</v>
      </c>
      <c r="D4065" t="s">
        <v>10</v>
      </c>
      <c r="E4065">
        <v>5</v>
      </c>
      <c r="F4065" s="1">
        <v>41060</v>
      </c>
      <c r="G4065">
        <v>2.0480401072506499E-3</v>
      </c>
    </row>
    <row r="4066" spans="1:7" x14ac:dyDescent="0.25">
      <c r="A4066" t="s">
        <v>7</v>
      </c>
      <c r="B4066" t="s">
        <v>21</v>
      </c>
      <c r="C4066" t="s">
        <v>9</v>
      </c>
      <c r="D4066" t="s">
        <v>10</v>
      </c>
      <c r="E4066">
        <v>5</v>
      </c>
      <c r="F4066" s="1">
        <v>41090</v>
      </c>
      <c r="G4066">
        <v>-7.83367503128303E-3</v>
      </c>
    </row>
    <row r="4067" spans="1:7" x14ac:dyDescent="0.25">
      <c r="A4067" t="s">
        <v>7</v>
      </c>
      <c r="B4067" t="s">
        <v>21</v>
      </c>
      <c r="C4067" t="s">
        <v>9</v>
      </c>
      <c r="D4067" t="s">
        <v>10</v>
      </c>
      <c r="E4067">
        <v>5</v>
      </c>
      <c r="F4067" s="1">
        <v>41121</v>
      </c>
      <c r="G4067">
        <v>2.6924321956993602E-3</v>
      </c>
    </row>
    <row r="4068" spans="1:7" x14ac:dyDescent="0.25">
      <c r="A4068" t="s">
        <v>7</v>
      </c>
      <c r="B4068" t="s">
        <v>21</v>
      </c>
      <c r="C4068" t="s">
        <v>9</v>
      </c>
      <c r="D4068" t="s">
        <v>10</v>
      </c>
      <c r="E4068">
        <v>5</v>
      </c>
      <c r="F4068" s="1">
        <v>41152</v>
      </c>
      <c r="G4068">
        <v>2.2826684828855599E-2</v>
      </c>
    </row>
    <row r="4069" spans="1:7" x14ac:dyDescent="0.25">
      <c r="A4069" t="s">
        <v>7</v>
      </c>
      <c r="B4069" t="s">
        <v>21</v>
      </c>
      <c r="C4069" t="s">
        <v>9</v>
      </c>
      <c r="D4069" t="s">
        <v>10</v>
      </c>
      <c r="E4069">
        <v>5</v>
      </c>
      <c r="F4069" s="1">
        <v>41182</v>
      </c>
      <c r="G4069">
        <v>-6.7977982177141903E-3</v>
      </c>
    </row>
    <row r="4070" spans="1:7" x14ac:dyDescent="0.25">
      <c r="A4070" t="s">
        <v>7</v>
      </c>
      <c r="B4070" t="s">
        <v>21</v>
      </c>
      <c r="C4070" t="s">
        <v>9</v>
      </c>
      <c r="D4070" t="s">
        <v>10</v>
      </c>
      <c r="E4070">
        <v>5</v>
      </c>
      <c r="F4070" s="1">
        <v>41213</v>
      </c>
      <c r="G4070">
        <v>-1.5657020599913901E-3</v>
      </c>
    </row>
    <row r="4071" spans="1:7" x14ac:dyDescent="0.25">
      <c r="A4071" t="s">
        <v>7</v>
      </c>
      <c r="B4071" t="s">
        <v>21</v>
      </c>
      <c r="C4071" t="s">
        <v>9</v>
      </c>
      <c r="D4071" t="s">
        <v>10</v>
      </c>
      <c r="E4071">
        <v>5</v>
      </c>
      <c r="F4071" s="1">
        <v>41243</v>
      </c>
      <c r="G4071">
        <v>-1.7069679761520001E-2</v>
      </c>
    </row>
    <row r="4072" spans="1:7" x14ac:dyDescent="0.25">
      <c r="A4072" t="s">
        <v>7</v>
      </c>
      <c r="B4072" t="s">
        <v>21</v>
      </c>
      <c r="C4072" t="s">
        <v>9</v>
      </c>
      <c r="D4072" t="s">
        <v>10</v>
      </c>
      <c r="E4072">
        <v>5</v>
      </c>
      <c r="F4072" s="1">
        <v>41274</v>
      </c>
      <c r="G4072">
        <v>-1.6764137452282401E-2</v>
      </c>
    </row>
    <row r="4073" spans="1:7" x14ac:dyDescent="0.25">
      <c r="A4073" t="s">
        <v>7</v>
      </c>
      <c r="B4073" t="s">
        <v>21</v>
      </c>
      <c r="C4073" t="s">
        <v>9</v>
      </c>
      <c r="D4073" t="s">
        <v>10</v>
      </c>
      <c r="E4073">
        <v>5</v>
      </c>
      <c r="F4073" s="1">
        <v>41305</v>
      </c>
      <c r="G4073">
        <v>-1.17207351822024E-3</v>
      </c>
    </row>
    <row r="4074" spans="1:7" x14ac:dyDescent="0.25">
      <c r="A4074" t="s">
        <v>7</v>
      </c>
      <c r="B4074" t="s">
        <v>21</v>
      </c>
      <c r="C4074" t="s">
        <v>9</v>
      </c>
      <c r="D4074" t="s">
        <v>10</v>
      </c>
      <c r="E4074">
        <v>5</v>
      </c>
      <c r="F4074" s="1">
        <v>41333</v>
      </c>
      <c r="G4074">
        <v>6.53780622998379E-3</v>
      </c>
    </row>
    <row r="4075" spans="1:7" x14ac:dyDescent="0.25">
      <c r="A4075" t="s">
        <v>7</v>
      </c>
      <c r="B4075" t="s">
        <v>21</v>
      </c>
      <c r="C4075" t="s">
        <v>9</v>
      </c>
      <c r="D4075" t="s">
        <v>10</v>
      </c>
      <c r="E4075">
        <v>5</v>
      </c>
      <c r="F4075" s="1">
        <v>41364</v>
      </c>
      <c r="G4075">
        <v>-3.8241607029926498E-3</v>
      </c>
    </row>
    <row r="4076" spans="1:7" x14ac:dyDescent="0.25">
      <c r="A4076" t="s">
        <v>7</v>
      </c>
      <c r="B4076" t="s">
        <v>21</v>
      </c>
      <c r="C4076" t="s">
        <v>9</v>
      </c>
      <c r="D4076" t="s">
        <v>10</v>
      </c>
      <c r="E4076">
        <v>5</v>
      </c>
      <c r="F4076" s="1">
        <v>41394</v>
      </c>
      <c r="G4076">
        <v>-2.40932807533463E-2</v>
      </c>
    </row>
    <row r="4077" spans="1:7" x14ac:dyDescent="0.25">
      <c r="A4077" t="s">
        <v>7</v>
      </c>
      <c r="B4077" t="s">
        <v>21</v>
      </c>
      <c r="C4077" t="s">
        <v>9</v>
      </c>
      <c r="D4077" t="s">
        <v>10</v>
      </c>
      <c r="E4077">
        <v>5</v>
      </c>
      <c r="F4077" s="1">
        <v>41425</v>
      </c>
      <c r="G4077">
        <v>-1.67292951817396E-3</v>
      </c>
    </row>
    <row r="4078" spans="1:7" x14ac:dyDescent="0.25">
      <c r="A4078" t="s">
        <v>7</v>
      </c>
      <c r="B4078" t="s">
        <v>21</v>
      </c>
      <c r="C4078" t="s">
        <v>9</v>
      </c>
      <c r="D4078" t="s">
        <v>10</v>
      </c>
      <c r="E4078">
        <v>5</v>
      </c>
      <c r="F4078" s="1">
        <v>41455</v>
      </c>
      <c r="G4078">
        <v>-1.08158566719995E-2</v>
      </c>
    </row>
    <row r="4079" spans="1:7" x14ac:dyDescent="0.25">
      <c r="A4079" t="s">
        <v>7</v>
      </c>
      <c r="B4079" t="s">
        <v>21</v>
      </c>
      <c r="C4079" t="s">
        <v>9</v>
      </c>
      <c r="D4079" t="s">
        <v>10</v>
      </c>
      <c r="E4079">
        <v>5</v>
      </c>
      <c r="F4079" s="1">
        <v>41486</v>
      </c>
      <c r="G4079">
        <v>-2.30283013124284E-2</v>
      </c>
    </row>
    <row r="4080" spans="1:7" x14ac:dyDescent="0.25">
      <c r="A4080" t="s">
        <v>7</v>
      </c>
      <c r="B4080" t="s">
        <v>21</v>
      </c>
      <c r="C4080" t="s">
        <v>9</v>
      </c>
      <c r="D4080" t="s">
        <v>10</v>
      </c>
      <c r="E4080">
        <v>5</v>
      </c>
      <c r="F4080" s="1">
        <v>41517</v>
      </c>
      <c r="G4080">
        <v>-9.6798330823473708E-3</v>
      </c>
    </row>
    <row r="4081" spans="1:7" x14ac:dyDescent="0.25">
      <c r="A4081" t="s">
        <v>7</v>
      </c>
      <c r="B4081" t="s">
        <v>21</v>
      </c>
      <c r="C4081" t="s">
        <v>9</v>
      </c>
      <c r="D4081" t="s">
        <v>10</v>
      </c>
      <c r="E4081">
        <v>5</v>
      </c>
      <c r="F4081" s="1">
        <v>41547</v>
      </c>
      <c r="G4081">
        <v>-1.56011641290123E-2</v>
      </c>
    </row>
    <row r="4082" spans="1:7" x14ac:dyDescent="0.25">
      <c r="A4082" t="s">
        <v>7</v>
      </c>
      <c r="B4082" t="s">
        <v>21</v>
      </c>
      <c r="C4082" t="s">
        <v>9</v>
      </c>
      <c r="D4082" t="s">
        <v>10</v>
      </c>
      <c r="E4082">
        <v>5</v>
      </c>
      <c r="F4082" s="1">
        <v>41578</v>
      </c>
      <c r="G4082">
        <v>-4.6712307824019798E-2</v>
      </c>
    </row>
    <row r="4083" spans="1:7" x14ac:dyDescent="0.25">
      <c r="A4083" t="s">
        <v>7</v>
      </c>
      <c r="B4083" t="s">
        <v>21</v>
      </c>
      <c r="C4083" t="s">
        <v>9</v>
      </c>
      <c r="D4083" t="s">
        <v>10</v>
      </c>
      <c r="E4083">
        <v>5</v>
      </c>
      <c r="F4083" s="1">
        <v>41608</v>
      </c>
      <c r="G4083">
        <v>-5.6746395172037004E-3</v>
      </c>
    </row>
    <row r="4084" spans="1:7" x14ac:dyDescent="0.25">
      <c r="A4084" t="s">
        <v>7</v>
      </c>
      <c r="B4084" t="s">
        <v>21</v>
      </c>
      <c r="C4084" t="s">
        <v>9</v>
      </c>
      <c r="D4084" t="s">
        <v>10</v>
      </c>
      <c r="E4084">
        <v>5</v>
      </c>
      <c r="F4084" s="1">
        <v>41639</v>
      </c>
      <c r="G4084">
        <v>1.1805870014277801E-2</v>
      </c>
    </row>
    <row r="4085" spans="1:7" x14ac:dyDescent="0.25">
      <c r="A4085" t="s">
        <v>7</v>
      </c>
      <c r="B4085" t="s">
        <v>21</v>
      </c>
      <c r="C4085" t="s">
        <v>9</v>
      </c>
      <c r="D4085" t="s">
        <v>10</v>
      </c>
      <c r="E4085">
        <v>5</v>
      </c>
      <c r="F4085" s="1">
        <v>41670</v>
      </c>
      <c r="G4085">
        <v>2.0602135143528499E-2</v>
      </c>
    </row>
    <row r="4086" spans="1:7" x14ac:dyDescent="0.25">
      <c r="A4086" t="s">
        <v>7</v>
      </c>
      <c r="B4086" t="s">
        <v>21</v>
      </c>
      <c r="C4086" t="s">
        <v>9</v>
      </c>
      <c r="D4086" t="s">
        <v>10</v>
      </c>
      <c r="E4086">
        <v>5</v>
      </c>
      <c r="F4086" s="1">
        <v>41698</v>
      </c>
      <c r="G4086">
        <v>-1.40667864249687E-2</v>
      </c>
    </row>
    <row r="4087" spans="1:7" x14ac:dyDescent="0.25">
      <c r="A4087" t="s">
        <v>7</v>
      </c>
      <c r="B4087" t="s">
        <v>21</v>
      </c>
      <c r="C4087" t="s">
        <v>9</v>
      </c>
      <c r="D4087" t="s">
        <v>10</v>
      </c>
      <c r="E4087">
        <v>5</v>
      </c>
      <c r="F4087" s="1">
        <v>41729</v>
      </c>
      <c r="G4087">
        <v>-5.19487423970241E-2</v>
      </c>
    </row>
    <row r="4088" spans="1:7" x14ac:dyDescent="0.25">
      <c r="A4088" t="s">
        <v>7</v>
      </c>
      <c r="B4088" t="s">
        <v>21</v>
      </c>
      <c r="C4088" t="s">
        <v>9</v>
      </c>
      <c r="D4088" t="s">
        <v>10</v>
      </c>
      <c r="E4088">
        <v>5</v>
      </c>
      <c r="F4088" s="1">
        <v>41759</v>
      </c>
      <c r="G4088">
        <v>-1.1959406485633199E-2</v>
      </c>
    </row>
    <row r="4089" spans="1:7" x14ac:dyDescent="0.25">
      <c r="A4089" t="s">
        <v>7</v>
      </c>
      <c r="B4089" t="s">
        <v>21</v>
      </c>
      <c r="C4089" t="s">
        <v>9</v>
      </c>
      <c r="D4089" t="s">
        <v>10</v>
      </c>
      <c r="E4089">
        <v>5</v>
      </c>
      <c r="F4089" s="1">
        <v>41790</v>
      </c>
      <c r="G4089">
        <v>-4.1676136482387801E-3</v>
      </c>
    </row>
    <row r="4090" spans="1:7" x14ac:dyDescent="0.25">
      <c r="A4090" t="s">
        <v>7</v>
      </c>
      <c r="B4090" t="s">
        <v>21</v>
      </c>
      <c r="C4090" t="s">
        <v>9</v>
      </c>
      <c r="D4090" t="s">
        <v>10</v>
      </c>
      <c r="E4090">
        <v>5</v>
      </c>
      <c r="F4090" s="1">
        <v>41820</v>
      </c>
      <c r="G4090">
        <v>-4.02446788280406E-2</v>
      </c>
    </row>
    <row r="4091" spans="1:7" x14ac:dyDescent="0.25">
      <c r="A4091" t="s">
        <v>7</v>
      </c>
      <c r="B4091" t="s">
        <v>21</v>
      </c>
      <c r="C4091" t="s">
        <v>9</v>
      </c>
      <c r="D4091" t="s">
        <v>10</v>
      </c>
      <c r="E4091">
        <v>5</v>
      </c>
      <c r="F4091" s="1">
        <v>41851</v>
      </c>
      <c r="G4091">
        <v>-4.1330796525864902E-4</v>
      </c>
    </row>
    <row r="4092" spans="1:7" x14ac:dyDescent="0.25">
      <c r="A4092" t="s">
        <v>7</v>
      </c>
      <c r="B4092" t="s">
        <v>21</v>
      </c>
      <c r="C4092" t="s">
        <v>9</v>
      </c>
      <c r="D4092" t="s">
        <v>10</v>
      </c>
      <c r="E4092">
        <v>5</v>
      </c>
      <c r="F4092" s="1">
        <v>41882</v>
      </c>
      <c r="G4092">
        <v>-3.2106040802433601E-2</v>
      </c>
    </row>
    <row r="4093" spans="1:7" x14ac:dyDescent="0.25">
      <c r="A4093" t="s">
        <v>7</v>
      </c>
      <c r="B4093" t="s">
        <v>21</v>
      </c>
      <c r="C4093" t="s">
        <v>9</v>
      </c>
      <c r="D4093" t="s">
        <v>10</v>
      </c>
      <c r="E4093">
        <v>5</v>
      </c>
      <c r="F4093" s="1">
        <v>41912</v>
      </c>
      <c r="G4093">
        <v>2.0256883580813199E-2</v>
      </c>
    </row>
    <row r="4094" spans="1:7" x14ac:dyDescent="0.25">
      <c r="A4094" t="s">
        <v>7</v>
      </c>
      <c r="B4094" t="s">
        <v>21</v>
      </c>
      <c r="C4094" t="s">
        <v>9</v>
      </c>
      <c r="D4094" t="s">
        <v>10</v>
      </c>
      <c r="E4094">
        <v>5</v>
      </c>
      <c r="F4094" s="1">
        <v>41943</v>
      </c>
      <c r="G4094">
        <v>-7.2271765717390496E-2</v>
      </c>
    </row>
    <row r="4095" spans="1:7" x14ac:dyDescent="0.25">
      <c r="A4095" t="s">
        <v>7</v>
      </c>
      <c r="B4095" t="s">
        <v>21</v>
      </c>
      <c r="C4095" t="s">
        <v>9</v>
      </c>
      <c r="D4095" t="s">
        <v>10</v>
      </c>
      <c r="E4095">
        <v>5</v>
      </c>
      <c r="F4095" s="1">
        <v>41973</v>
      </c>
      <c r="G4095">
        <v>-3.17962469636799E-2</v>
      </c>
    </row>
    <row r="4096" spans="1:7" x14ac:dyDescent="0.25">
      <c r="A4096" t="s">
        <v>7</v>
      </c>
      <c r="B4096" t="s">
        <v>21</v>
      </c>
      <c r="C4096" t="s">
        <v>9</v>
      </c>
      <c r="D4096" t="s">
        <v>10</v>
      </c>
      <c r="E4096">
        <v>5</v>
      </c>
      <c r="F4096" s="1">
        <v>42004</v>
      </c>
      <c r="G4096">
        <v>6.6696182133160701E-3</v>
      </c>
    </row>
    <row r="4097" spans="1:7" x14ac:dyDescent="0.25">
      <c r="A4097" t="s">
        <v>7</v>
      </c>
      <c r="B4097" t="s">
        <v>21</v>
      </c>
      <c r="C4097" t="s">
        <v>9</v>
      </c>
      <c r="D4097" t="s">
        <v>10</v>
      </c>
      <c r="E4097">
        <v>5</v>
      </c>
      <c r="F4097" s="1">
        <v>42035</v>
      </c>
      <c r="G4097">
        <v>-5.3956532591963799E-2</v>
      </c>
    </row>
    <row r="4098" spans="1:7" x14ac:dyDescent="0.25">
      <c r="A4098" t="s">
        <v>7</v>
      </c>
      <c r="B4098" t="s">
        <v>21</v>
      </c>
      <c r="C4098" t="s">
        <v>9</v>
      </c>
      <c r="D4098" t="s">
        <v>10</v>
      </c>
      <c r="E4098">
        <v>5</v>
      </c>
      <c r="F4098" s="1">
        <v>42063</v>
      </c>
      <c r="G4098">
        <v>-3.5167999174269098E-2</v>
      </c>
    </row>
    <row r="4099" spans="1:7" x14ac:dyDescent="0.25">
      <c r="A4099" t="s">
        <v>7</v>
      </c>
      <c r="B4099" t="s">
        <v>21</v>
      </c>
      <c r="C4099" t="s">
        <v>9</v>
      </c>
      <c r="D4099" t="s">
        <v>10</v>
      </c>
      <c r="E4099">
        <v>5</v>
      </c>
      <c r="F4099" s="1">
        <v>42094</v>
      </c>
      <c r="G4099">
        <v>-2.8156176798506599E-2</v>
      </c>
    </row>
    <row r="4100" spans="1:7" x14ac:dyDescent="0.25">
      <c r="A4100" t="s">
        <v>7</v>
      </c>
      <c r="B4100" t="s">
        <v>21</v>
      </c>
      <c r="C4100" t="s">
        <v>9</v>
      </c>
      <c r="D4100" t="s">
        <v>10</v>
      </c>
      <c r="E4100">
        <v>5</v>
      </c>
      <c r="F4100" s="1">
        <v>42124</v>
      </c>
      <c r="G4100">
        <v>2.8809652374105699E-2</v>
      </c>
    </row>
    <row r="4101" spans="1:7" x14ac:dyDescent="0.25">
      <c r="A4101" t="s">
        <v>7</v>
      </c>
      <c r="B4101" t="s">
        <v>21</v>
      </c>
      <c r="C4101" t="s">
        <v>9</v>
      </c>
      <c r="D4101" t="s">
        <v>10</v>
      </c>
      <c r="E4101">
        <v>5</v>
      </c>
      <c r="F4101" s="1">
        <v>42155</v>
      </c>
      <c r="G4101">
        <v>2.2028407224407E-2</v>
      </c>
    </row>
    <row r="4102" spans="1:7" x14ac:dyDescent="0.25">
      <c r="A4102" t="s">
        <v>7</v>
      </c>
      <c r="B4102" t="s">
        <v>21</v>
      </c>
      <c r="C4102" t="s">
        <v>9</v>
      </c>
      <c r="D4102" t="s">
        <v>10</v>
      </c>
      <c r="E4102">
        <v>5</v>
      </c>
      <c r="F4102" s="1">
        <v>42185</v>
      </c>
      <c r="G4102">
        <v>-2.1524360218289299E-2</v>
      </c>
    </row>
    <row r="4103" spans="1:7" x14ac:dyDescent="0.25">
      <c r="A4103" t="s">
        <v>7</v>
      </c>
      <c r="B4103" t="s">
        <v>21</v>
      </c>
      <c r="C4103" t="s">
        <v>9</v>
      </c>
      <c r="D4103" t="s">
        <v>10</v>
      </c>
      <c r="E4103">
        <v>5</v>
      </c>
      <c r="F4103" s="1">
        <v>42216</v>
      </c>
      <c r="G4103">
        <v>-3.3142431882183403E-2</v>
      </c>
    </row>
    <row r="4104" spans="1:7" x14ac:dyDescent="0.25">
      <c r="A4104" t="s">
        <v>7</v>
      </c>
      <c r="B4104" t="s">
        <v>21</v>
      </c>
      <c r="C4104" t="s">
        <v>9</v>
      </c>
      <c r="D4104" t="s">
        <v>10</v>
      </c>
      <c r="E4104">
        <v>5</v>
      </c>
      <c r="F4104" s="1">
        <v>42247</v>
      </c>
      <c r="G4104">
        <v>-5.5728347864102898E-3</v>
      </c>
    </row>
    <row r="4105" spans="1:7" x14ac:dyDescent="0.25">
      <c r="A4105" t="s">
        <v>7</v>
      </c>
      <c r="B4105" t="s">
        <v>21</v>
      </c>
      <c r="C4105" t="s">
        <v>9</v>
      </c>
      <c r="D4105" t="s">
        <v>10</v>
      </c>
      <c r="E4105">
        <v>5</v>
      </c>
      <c r="F4105" s="1">
        <v>42277</v>
      </c>
      <c r="G4105">
        <v>-6.7254902188383899E-3</v>
      </c>
    </row>
    <row r="4106" spans="1:7" x14ac:dyDescent="0.25">
      <c r="A4106" t="s">
        <v>7</v>
      </c>
      <c r="B4106" t="s">
        <v>21</v>
      </c>
      <c r="C4106" t="s">
        <v>9</v>
      </c>
      <c r="D4106" t="s">
        <v>10</v>
      </c>
      <c r="E4106">
        <v>5</v>
      </c>
      <c r="F4106" s="1">
        <v>42308</v>
      </c>
      <c r="G4106">
        <v>3.5306112001398403E-2</v>
      </c>
    </row>
    <row r="4107" spans="1:7" x14ac:dyDescent="0.25">
      <c r="A4107" t="s">
        <v>7</v>
      </c>
      <c r="B4107" t="s">
        <v>21</v>
      </c>
      <c r="C4107" t="s">
        <v>9</v>
      </c>
      <c r="D4107" t="s">
        <v>10</v>
      </c>
      <c r="E4107">
        <v>5</v>
      </c>
      <c r="F4107" s="1">
        <v>42338</v>
      </c>
      <c r="G4107">
        <v>1.63212872777623E-3</v>
      </c>
    </row>
    <row r="4108" spans="1:7" x14ac:dyDescent="0.25">
      <c r="A4108" t="s">
        <v>7</v>
      </c>
      <c r="B4108" t="s">
        <v>21</v>
      </c>
      <c r="C4108" t="s">
        <v>9</v>
      </c>
      <c r="D4108" t="s">
        <v>10</v>
      </c>
      <c r="E4108">
        <v>5</v>
      </c>
      <c r="F4108" s="1">
        <v>42369</v>
      </c>
      <c r="G4108">
        <v>1.3752436740062801E-2</v>
      </c>
    </row>
    <row r="4109" spans="1:7" x14ac:dyDescent="0.25">
      <c r="A4109" t="s">
        <v>7</v>
      </c>
      <c r="B4109" t="s">
        <v>21</v>
      </c>
      <c r="C4109" t="s">
        <v>9</v>
      </c>
      <c r="D4109" t="s">
        <v>10</v>
      </c>
      <c r="E4109">
        <v>5</v>
      </c>
      <c r="F4109" s="1">
        <v>42400</v>
      </c>
      <c r="G4109">
        <v>-2.9595937131429498E-2</v>
      </c>
    </row>
    <row r="4110" spans="1:7" x14ac:dyDescent="0.25">
      <c r="A4110" t="s">
        <v>7</v>
      </c>
      <c r="B4110" t="s">
        <v>21</v>
      </c>
      <c r="C4110" t="s">
        <v>9</v>
      </c>
      <c r="D4110" t="s">
        <v>10</v>
      </c>
      <c r="E4110">
        <v>5</v>
      </c>
      <c r="F4110" s="1">
        <v>42429</v>
      </c>
      <c r="G4110">
        <v>6.2693373739552402E-2</v>
      </c>
    </row>
    <row r="4111" spans="1:7" x14ac:dyDescent="0.25">
      <c r="A4111" t="s">
        <v>7</v>
      </c>
      <c r="B4111" t="s">
        <v>21</v>
      </c>
      <c r="C4111" t="s">
        <v>9</v>
      </c>
      <c r="D4111" t="s">
        <v>10</v>
      </c>
      <c r="E4111">
        <v>5</v>
      </c>
      <c r="F4111" s="1">
        <v>42460</v>
      </c>
      <c r="G4111">
        <v>-2.8027227345762801E-3</v>
      </c>
    </row>
    <row r="4112" spans="1:7" x14ac:dyDescent="0.25">
      <c r="A4112" t="s">
        <v>7</v>
      </c>
      <c r="B4112" t="s">
        <v>21</v>
      </c>
      <c r="C4112" t="s">
        <v>9</v>
      </c>
      <c r="D4112" t="s">
        <v>10</v>
      </c>
      <c r="E4112">
        <v>5</v>
      </c>
      <c r="F4112" s="1">
        <v>42490</v>
      </c>
      <c r="G4112">
        <v>-5.9383071271135396E-3</v>
      </c>
    </row>
    <row r="4113" spans="1:7" x14ac:dyDescent="0.25">
      <c r="A4113" t="s">
        <v>7</v>
      </c>
      <c r="B4113" t="s">
        <v>21</v>
      </c>
      <c r="C4113" t="s">
        <v>9</v>
      </c>
      <c r="D4113" t="s">
        <v>10</v>
      </c>
      <c r="E4113">
        <v>5</v>
      </c>
      <c r="F4113" s="1">
        <v>42521</v>
      </c>
      <c r="G4113">
        <v>1.2357891396157301E-2</v>
      </c>
    </row>
    <row r="4114" spans="1:7" x14ac:dyDescent="0.25">
      <c r="A4114" t="s">
        <v>7</v>
      </c>
      <c r="B4114" t="s">
        <v>21</v>
      </c>
      <c r="C4114" t="s">
        <v>9</v>
      </c>
      <c r="D4114" t="s">
        <v>10</v>
      </c>
      <c r="E4114">
        <v>5</v>
      </c>
      <c r="F4114" s="1">
        <v>42551</v>
      </c>
      <c r="G4114">
        <v>2.7878682322244702E-2</v>
      </c>
    </row>
    <row r="4115" spans="1:7" x14ac:dyDescent="0.25">
      <c r="A4115" t="s">
        <v>7</v>
      </c>
      <c r="B4115" t="s">
        <v>21</v>
      </c>
      <c r="C4115" t="s">
        <v>9</v>
      </c>
      <c r="D4115" t="s">
        <v>10</v>
      </c>
      <c r="E4115">
        <v>5</v>
      </c>
      <c r="F4115" s="1">
        <v>42582</v>
      </c>
      <c r="G4115">
        <v>2.8223876810698399E-2</v>
      </c>
    </row>
    <row r="4116" spans="1:7" x14ac:dyDescent="0.25">
      <c r="A4116" t="s">
        <v>7</v>
      </c>
      <c r="B4116" t="s">
        <v>21</v>
      </c>
      <c r="C4116" t="s">
        <v>9</v>
      </c>
      <c r="D4116" t="s">
        <v>10</v>
      </c>
      <c r="E4116">
        <v>5</v>
      </c>
      <c r="F4116" s="1">
        <v>42613</v>
      </c>
      <c r="G4116">
        <v>3.1094134879171301E-2</v>
      </c>
    </row>
    <row r="4117" spans="1:7" x14ac:dyDescent="0.25">
      <c r="A4117" t="s">
        <v>7</v>
      </c>
      <c r="B4117" t="s">
        <v>21</v>
      </c>
      <c r="C4117" t="s">
        <v>9</v>
      </c>
      <c r="D4117" t="s">
        <v>10</v>
      </c>
      <c r="E4117">
        <v>5</v>
      </c>
      <c r="F4117" s="1">
        <v>42643</v>
      </c>
      <c r="G4117">
        <v>-1.2034450712847099E-2</v>
      </c>
    </row>
    <row r="4118" spans="1:7" x14ac:dyDescent="0.25">
      <c r="A4118" t="s">
        <v>7</v>
      </c>
      <c r="B4118" t="s">
        <v>21</v>
      </c>
      <c r="C4118" t="s">
        <v>9</v>
      </c>
      <c r="D4118" t="s">
        <v>10</v>
      </c>
      <c r="E4118">
        <v>5</v>
      </c>
      <c r="F4118" s="1">
        <v>42674</v>
      </c>
      <c r="G4118">
        <v>-1.3458661035889599E-3</v>
      </c>
    </row>
    <row r="4119" spans="1:7" x14ac:dyDescent="0.25">
      <c r="A4119" t="s">
        <v>7</v>
      </c>
      <c r="B4119" t="s">
        <v>21</v>
      </c>
      <c r="C4119" t="s">
        <v>9</v>
      </c>
      <c r="D4119" t="s">
        <v>10</v>
      </c>
      <c r="E4119">
        <v>5</v>
      </c>
      <c r="F4119" s="1">
        <v>42704</v>
      </c>
      <c r="G4119">
        <v>-4.3591165276493598E-5</v>
      </c>
    </row>
    <row r="4120" spans="1:7" x14ac:dyDescent="0.25">
      <c r="A4120" t="s">
        <v>7</v>
      </c>
      <c r="B4120" t="s">
        <v>21</v>
      </c>
      <c r="C4120" t="s">
        <v>9</v>
      </c>
      <c r="D4120" t="s">
        <v>10</v>
      </c>
      <c r="E4120">
        <v>5</v>
      </c>
      <c r="F4120" s="1">
        <v>42735</v>
      </c>
      <c r="G4120">
        <v>4.2687256729917796E-3</v>
      </c>
    </row>
    <row r="4121" spans="1:7" x14ac:dyDescent="0.25">
      <c r="A4121" t="s">
        <v>7</v>
      </c>
      <c r="B4121" t="s">
        <v>21</v>
      </c>
      <c r="C4121" t="s">
        <v>9</v>
      </c>
      <c r="D4121" t="s">
        <v>10</v>
      </c>
      <c r="E4121">
        <v>5</v>
      </c>
      <c r="F4121" s="1">
        <v>42766</v>
      </c>
      <c r="G4121">
        <v>3.48501520388469E-2</v>
      </c>
    </row>
    <row r="4122" spans="1:7" x14ac:dyDescent="0.25">
      <c r="A4122" t="s">
        <v>7</v>
      </c>
      <c r="B4122" t="s">
        <v>21</v>
      </c>
      <c r="C4122" t="s">
        <v>9</v>
      </c>
      <c r="D4122" t="s">
        <v>10</v>
      </c>
      <c r="E4122">
        <v>5</v>
      </c>
      <c r="F4122" s="1">
        <v>42794</v>
      </c>
      <c r="G4122">
        <v>2.7887179459453099E-2</v>
      </c>
    </row>
    <row r="4123" spans="1:7" x14ac:dyDescent="0.25">
      <c r="A4123" t="s">
        <v>7</v>
      </c>
      <c r="B4123" t="s">
        <v>21</v>
      </c>
      <c r="C4123" t="s">
        <v>9</v>
      </c>
      <c r="D4123" t="s">
        <v>10</v>
      </c>
      <c r="E4123">
        <v>5</v>
      </c>
      <c r="F4123" s="1">
        <v>42825</v>
      </c>
      <c r="G4123">
        <v>-1.02695748848505E-2</v>
      </c>
    </row>
    <row r="4124" spans="1:7" x14ac:dyDescent="0.25">
      <c r="A4124" t="s">
        <v>7</v>
      </c>
      <c r="B4124" t="s">
        <v>21</v>
      </c>
      <c r="C4124" t="s">
        <v>9</v>
      </c>
      <c r="D4124" t="s">
        <v>10</v>
      </c>
      <c r="E4124">
        <v>5</v>
      </c>
      <c r="F4124" s="1">
        <v>42855</v>
      </c>
      <c r="G4124">
        <v>2.4859775346016501E-2</v>
      </c>
    </row>
    <row r="4125" spans="1:7" x14ac:dyDescent="0.25">
      <c r="A4125" t="s">
        <v>7</v>
      </c>
      <c r="B4125" t="s">
        <v>21</v>
      </c>
      <c r="C4125" t="s">
        <v>9</v>
      </c>
      <c r="D4125" t="s">
        <v>10</v>
      </c>
      <c r="E4125">
        <v>5</v>
      </c>
      <c r="F4125" s="1">
        <v>42886</v>
      </c>
      <c r="G4125">
        <v>-6.6475340776399302E-3</v>
      </c>
    </row>
    <row r="4126" spans="1:7" x14ac:dyDescent="0.25">
      <c r="A4126" t="s">
        <v>7</v>
      </c>
      <c r="B4126" t="s">
        <v>21</v>
      </c>
      <c r="C4126" t="s">
        <v>9</v>
      </c>
      <c r="D4126" t="s">
        <v>10</v>
      </c>
      <c r="E4126">
        <v>5</v>
      </c>
      <c r="F4126" s="1">
        <v>42916</v>
      </c>
      <c r="G4126">
        <v>-1.67421908773518E-3</v>
      </c>
    </row>
    <row r="4127" spans="1:7" x14ac:dyDescent="0.25">
      <c r="A4127" t="s">
        <v>7</v>
      </c>
      <c r="B4127" t="s">
        <v>21</v>
      </c>
      <c r="C4127" t="s">
        <v>9</v>
      </c>
      <c r="D4127" t="s">
        <v>10</v>
      </c>
      <c r="E4127">
        <v>5</v>
      </c>
      <c r="F4127" s="1">
        <v>42947</v>
      </c>
      <c r="G4127">
        <v>3.8153279382034597E-2</v>
      </c>
    </row>
    <row r="4128" spans="1:7" x14ac:dyDescent="0.25">
      <c r="A4128" t="s">
        <v>7</v>
      </c>
      <c r="B4128" t="s">
        <v>21</v>
      </c>
      <c r="C4128" t="s">
        <v>9</v>
      </c>
      <c r="D4128" t="s">
        <v>10</v>
      </c>
      <c r="E4128">
        <v>5</v>
      </c>
      <c r="F4128" s="1">
        <v>42978</v>
      </c>
      <c r="G4128">
        <v>3.5866922800142302E-2</v>
      </c>
    </row>
    <row r="4129" spans="1:7" x14ac:dyDescent="0.25">
      <c r="A4129" t="s">
        <v>7</v>
      </c>
      <c r="B4129" t="s">
        <v>21</v>
      </c>
      <c r="C4129" t="s">
        <v>9</v>
      </c>
      <c r="D4129" t="s">
        <v>10</v>
      </c>
      <c r="E4129">
        <v>5</v>
      </c>
      <c r="F4129" s="1">
        <v>43008</v>
      </c>
      <c r="G4129">
        <v>9.3312034070674001E-4</v>
      </c>
    </row>
    <row r="4130" spans="1:7" x14ac:dyDescent="0.25">
      <c r="A4130" t="s">
        <v>7</v>
      </c>
      <c r="B4130" t="s">
        <v>21</v>
      </c>
      <c r="C4130" t="s">
        <v>9</v>
      </c>
      <c r="D4130" t="s">
        <v>10</v>
      </c>
      <c r="E4130">
        <v>5</v>
      </c>
      <c r="F4130" s="1">
        <v>43039</v>
      </c>
      <c r="G4130">
        <v>-6.0607734352330998E-3</v>
      </c>
    </row>
    <row r="4131" spans="1:7" x14ac:dyDescent="0.25">
      <c r="A4131" t="s">
        <v>7</v>
      </c>
      <c r="B4131" t="s">
        <v>21</v>
      </c>
      <c r="C4131" t="s">
        <v>9</v>
      </c>
      <c r="D4131" t="s">
        <v>10</v>
      </c>
      <c r="E4131">
        <v>5</v>
      </c>
      <c r="F4131" s="1">
        <v>43069</v>
      </c>
      <c r="G4131">
        <v>2.3512115826967099E-2</v>
      </c>
    </row>
    <row r="4132" spans="1:7" x14ac:dyDescent="0.25">
      <c r="A4132" t="s">
        <v>7</v>
      </c>
      <c r="B4132" t="s">
        <v>21</v>
      </c>
      <c r="C4132" t="s">
        <v>9</v>
      </c>
      <c r="D4132" t="s">
        <v>10</v>
      </c>
      <c r="E4132">
        <v>5</v>
      </c>
      <c r="F4132" s="1">
        <v>43100</v>
      </c>
      <c r="G4132">
        <v>-8.0281303876170995E-3</v>
      </c>
    </row>
    <row r="4133" spans="1:7" x14ac:dyDescent="0.25">
      <c r="A4133" t="s">
        <v>7</v>
      </c>
      <c r="B4133" t="s">
        <v>21</v>
      </c>
      <c r="C4133" t="s">
        <v>9</v>
      </c>
      <c r="D4133" t="s">
        <v>10</v>
      </c>
      <c r="E4133">
        <v>5</v>
      </c>
      <c r="F4133" s="1">
        <v>43131</v>
      </c>
      <c r="G4133">
        <v>-4.4193341937352998E-2</v>
      </c>
    </row>
    <row r="4134" spans="1:7" x14ac:dyDescent="0.25">
      <c r="A4134" t="s">
        <v>7</v>
      </c>
      <c r="B4134" t="s">
        <v>21</v>
      </c>
      <c r="C4134" t="s">
        <v>9</v>
      </c>
      <c r="D4134" t="s">
        <v>10</v>
      </c>
      <c r="E4134">
        <v>5</v>
      </c>
      <c r="F4134" s="1">
        <v>43159</v>
      </c>
      <c r="G4134">
        <v>2.5737226976398899E-4</v>
      </c>
    </row>
    <row r="4135" spans="1:7" x14ac:dyDescent="0.25">
      <c r="A4135" t="s">
        <v>7</v>
      </c>
      <c r="B4135" t="s">
        <v>21</v>
      </c>
      <c r="C4135" t="s">
        <v>9</v>
      </c>
      <c r="D4135" t="s">
        <v>10</v>
      </c>
      <c r="E4135">
        <v>5</v>
      </c>
      <c r="F4135" s="1">
        <v>43190</v>
      </c>
      <c r="G4135">
        <v>-8.1535561499753995E-3</v>
      </c>
    </row>
    <row r="4136" spans="1:7" x14ac:dyDescent="0.25">
      <c r="A4136" t="s">
        <v>7</v>
      </c>
      <c r="B4136" t="s">
        <v>21</v>
      </c>
      <c r="C4136" t="s">
        <v>9</v>
      </c>
      <c r="D4136" t="s">
        <v>10</v>
      </c>
      <c r="E4136">
        <v>5</v>
      </c>
      <c r="F4136" s="1">
        <v>43220</v>
      </c>
      <c r="G4136">
        <v>5.3256538578022601E-2</v>
      </c>
    </row>
    <row r="4137" spans="1:7" x14ac:dyDescent="0.25">
      <c r="A4137" t="s">
        <v>7</v>
      </c>
      <c r="B4137" t="s">
        <v>21</v>
      </c>
      <c r="C4137" t="s">
        <v>9</v>
      </c>
      <c r="D4137" t="s">
        <v>10</v>
      </c>
      <c r="E4137">
        <v>5</v>
      </c>
      <c r="F4137" s="1">
        <v>43251</v>
      </c>
      <c r="G4137">
        <v>1.1317843574873501E-2</v>
      </c>
    </row>
    <row r="4138" spans="1:7" x14ac:dyDescent="0.25">
      <c r="A4138" t="s">
        <v>7</v>
      </c>
      <c r="B4138" t="s">
        <v>21</v>
      </c>
      <c r="C4138" t="s">
        <v>9</v>
      </c>
      <c r="D4138" t="s">
        <v>10</v>
      </c>
      <c r="E4138">
        <v>5</v>
      </c>
      <c r="F4138" s="1">
        <v>43281</v>
      </c>
      <c r="G4138">
        <v>-5.8103630105835902E-3</v>
      </c>
    </row>
    <row r="4139" spans="1:7" x14ac:dyDescent="0.25">
      <c r="A4139" t="s">
        <v>7</v>
      </c>
      <c r="B4139" t="s">
        <v>21</v>
      </c>
      <c r="C4139" t="s">
        <v>9</v>
      </c>
      <c r="D4139" t="s">
        <v>10</v>
      </c>
      <c r="E4139">
        <v>5</v>
      </c>
      <c r="F4139" s="1">
        <v>43312</v>
      </c>
      <c r="G4139">
        <v>1.04264223087414E-2</v>
      </c>
    </row>
    <row r="4140" spans="1:7" x14ac:dyDescent="0.25">
      <c r="A4140" t="s">
        <v>7</v>
      </c>
      <c r="B4140" t="s">
        <v>21</v>
      </c>
      <c r="C4140" t="s">
        <v>9</v>
      </c>
      <c r="D4140" t="s">
        <v>10</v>
      </c>
      <c r="E4140">
        <v>5</v>
      </c>
      <c r="F4140" s="1">
        <v>43343</v>
      </c>
      <c r="G4140">
        <v>-1.1759861869379299E-2</v>
      </c>
    </row>
    <row r="4141" spans="1:7" x14ac:dyDescent="0.25">
      <c r="A4141" t="s">
        <v>7</v>
      </c>
      <c r="B4141" t="s">
        <v>21</v>
      </c>
      <c r="C4141" t="s">
        <v>9</v>
      </c>
      <c r="D4141" t="s">
        <v>10</v>
      </c>
      <c r="E4141">
        <v>5</v>
      </c>
      <c r="F4141" s="1">
        <v>43373</v>
      </c>
      <c r="G4141">
        <v>-1.0600467341232199E-3</v>
      </c>
    </row>
    <row r="4142" spans="1:7" x14ac:dyDescent="0.25">
      <c r="A4142" t="s">
        <v>7</v>
      </c>
      <c r="B4142" t="s">
        <v>21</v>
      </c>
      <c r="C4142" t="s">
        <v>9</v>
      </c>
      <c r="D4142" t="s">
        <v>10</v>
      </c>
      <c r="E4142">
        <v>5</v>
      </c>
      <c r="F4142" s="1">
        <v>43404</v>
      </c>
      <c r="G4142">
        <v>1.17517924924733E-2</v>
      </c>
    </row>
    <row r="4143" spans="1:7" x14ac:dyDescent="0.25">
      <c r="A4143" t="s">
        <v>7</v>
      </c>
      <c r="B4143" t="s">
        <v>21</v>
      </c>
      <c r="C4143" t="s">
        <v>9</v>
      </c>
      <c r="D4143" t="s">
        <v>10</v>
      </c>
      <c r="E4143">
        <v>5</v>
      </c>
      <c r="F4143" s="1">
        <v>43434</v>
      </c>
      <c r="G4143">
        <v>1.7758401941846701E-2</v>
      </c>
    </row>
    <row r="4144" spans="1:7" x14ac:dyDescent="0.25">
      <c r="A4144" t="s">
        <v>7</v>
      </c>
      <c r="B4144" t="s">
        <v>21</v>
      </c>
      <c r="C4144" t="s">
        <v>9</v>
      </c>
      <c r="D4144" t="s">
        <v>10</v>
      </c>
      <c r="E4144">
        <v>5</v>
      </c>
      <c r="F4144" s="1">
        <v>43465</v>
      </c>
      <c r="G4144">
        <v>1.0403194851913E-2</v>
      </c>
    </row>
    <row r="4145" spans="1:7" x14ac:dyDescent="0.25">
      <c r="A4145" t="s">
        <v>7</v>
      </c>
      <c r="B4145" t="s">
        <v>21</v>
      </c>
      <c r="C4145" t="s">
        <v>9</v>
      </c>
      <c r="D4145" t="s">
        <v>10</v>
      </c>
      <c r="E4145">
        <v>5</v>
      </c>
      <c r="F4145" s="1">
        <v>43496</v>
      </c>
      <c r="G4145">
        <v>-4.0026296563141599E-2</v>
      </c>
    </row>
    <row r="4146" spans="1:7" x14ac:dyDescent="0.25">
      <c r="A4146" t="s">
        <v>7</v>
      </c>
      <c r="B4146" t="s">
        <v>21</v>
      </c>
      <c r="C4146" t="s">
        <v>9</v>
      </c>
      <c r="D4146" t="s">
        <v>10</v>
      </c>
      <c r="E4146">
        <v>5</v>
      </c>
      <c r="F4146" s="1">
        <v>43524</v>
      </c>
      <c r="G4146">
        <v>8.2327252915239107E-3</v>
      </c>
    </row>
    <row r="4147" spans="1:7" x14ac:dyDescent="0.25">
      <c r="A4147" t="s">
        <v>7</v>
      </c>
      <c r="B4147" t="s">
        <v>21</v>
      </c>
      <c r="C4147" t="s">
        <v>9</v>
      </c>
      <c r="D4147" t="s">
        <v>10</v>
      </c>
      <c r="E4147">
        <v>5</v>
      </c>
      <c r="F4147" s="1">
        <v>43555</v>
      </c>
      <c r="G4147">
        <v>1.89274268335115E-2</v>
      </c>
    </row>
    <row r="4148" spans="1:7" x14ac:dyDescent="0.25">
      <c r="A4148" t="s">
        <v>7</v>
      </c>
      <c r="B4148" t="s">
        <v>21</v>
      </c>
      <c r="C4148" t="s">
        <v>9</v>
      </c>
      <c r="D4148" t="s">
        <v>10</v>
      </c>
      <c r="E4148">
        <v>5</v>
      </c>
      <c r="F4148" s="1">
        <v>43585</v>
      </c>
      <c r="G4148">
        <v>-5.2892074588693997E-3</v>
      </c>
    </row>
    <row r="4149" spans="1:7" x14ac:dyDescent="0.25">
      <c r="A4149" t="s">
        <v>7</v>
      </c>
      <c r="B4149" t="s">
        <v>21</v>
      </c>
      <c r="C4149" t="s">
        <v>9</v>
      </c>
      <c r="D4149" t="s">
        <v>10</v>
      </c>
      <c r="E4149">
        <v>5</v>
      </c>
      <c r="F4149" s="1">
        <v>43616</v>
      </c>
      <c r="G4149">
        <v>7.4671764300038501E-3</v>
      </c>
    </row>
    <row r="4150" spans="1:7" x14ac:dyDescent="0.25">
      <c r="A4150" t="s">
        <v>7</v>
      </c>
      <c r="B4150" t="s">
        <v>21</v>
      </c>
      <c r="C4150" t="s">
        <v>9</v>
      </c>
      <c r="D4150" t="s">
        <v>10</v>
      </c>
      <c r="E4150">
        <v>5</v>
      </c>
      <c r="F4150" s="1">
        <v>43646</v>
      </c>
      <c r="G4150">
        <v>4.4878754045667303E-2</v>
      </c>
    </row>
    <row r="4151" spans="1:7" x14ac:dyDescent="0.25">
      <c r="A4151" t="s">
        <v>7</v>
      </c>
      <c r="B4151" t="s">
        <v>21</v>
      </c>
      <c r="C4151" t="s">
        <v>9</v>
      </c>
      <c r="D4151" t="s">
        <v>10</v>
      </c>
      <c r="E4151">
        <v>5</v>
      </c>
      <c r="F4151" s="1">
        <v>43677</v>
      </c>
      <c r="G4151">
        <v>2.41405491127273E-2</v>
      </c>
    </row>
    <row r="4152" spans="1:7" x14ac:dyDescent="0.25">
      <c r="A4152" t="s">
        <v>7</v>
      </c>
      <c r="B4152" t="s">
        <v>21</v>
      </c>
      <c r="C4152" t="s">
        <v>9</v>
      </c>
      <c r="D4152" t="s">
        <v>10</v>
      </c>
      <c r="E4152">
        <v>5</v>
      </c>
      <c r="F4152" s="1">
        <v>43708</v>
      </c>
      <c r="G4152">
        <v>-4.6768633367937198E-4</v>
      </c>
    </row>
    <row r="4153" spans="1:7" x14ac:dyDescent="0.25">
      <c r="A4153" t="s">
        <v>7</v>
      </c>
      <c r="B4153" t="s">
        <v>21</v>
      </c>
      <c r="C4153" t="s">
        <v>9</v>
      </c>
      <c r="D4153" t="s">
        <v>10</v>
      </c>
      <c r="E4153">
        <v>5</v>
      </c>
      <c r="F4153" s="1">
        <v>43738</v>
      </c>
      <c r="G4153">
        <v>-4.8534345505172197E-3</v>
      </c>
    </row>
    <row r="4154" spans="1:7" x14ac:dyDescent="0.25">
      <c r="A4154" t="s">
        <v>7</v>
      </c>
      <c r="B4154" t="s">
        <v>21</v>
      </c>
      <c r="C4154" t="s">
        <v>9</v>
      </c>
      <c r="D4154" t="s">
        <v>10</v>
      </c>
      <c r="E4154">
        <v>5</v>
      </c>
      <c r="F4154" s="1">
        <v>43769</v>
      </c>
      <c r="G4154">
        <v>1.2729651204050599E-2</v>
      </c>
    </row>
    <row r="4155" spans="1:7" x14ac:dyDescent="0.25">
      <c r="A4155" t="s">
        <v>7</v>
      </c>
      <c r="B4155" t="s">
        <v>21</v>
      </c>
      <c r="C4155" t="s">
        <v>9</v>
      </c>
      <c r="D4155" t="s">
        <v>10</v>
      </c>
      <c r="E4155">
        <v>5</v>
      </c>
      <c r="F4155" s="1">
        <v>43799</v>
      </c>
      <c r="G4155">
        <v>2.33974733495745E-2</v>
      </c>
    </row>
    <row r="4156" spans="1:7" x14ac:dyDescent="0.25">
      <c r="A4156" t="s">
        <v>7</v>
      </c>
      <c r="B4156" t="s">
        <v>21</v>
      </c>
      <c r="C4156" t="s">
        <v>9</v>
      </c>
      <c r="D4156" t="s">
        <v>10</v>
      </c>
      <c r="E4156">
        <v>5</v>
      </c>
      <c r="F4156" s="1">
        <v>43830</v>
      </c>
      <c r="G4156">
        <v>5.6303208343962699E-2</v>
      </c>
    </row>
    <row r="4157" spans="1:7" x14ac:dyDescent="0.25">
      <c r="A4157" t="s">
        <v>7</v>
      </c>
      <c r="B4157" t="s">
        <v>21</v>
      </c>
      <c r="C4157" t="s">
        <v>9</v>
      </c>
      <c r="D4157" t="s">
        <v>10</v>
      </c>
      <c r="E4157">
        <v>5</v>
      </c>
      <c r="F4157" s="1">
        <v>43861</v>
      </c>
      <c r="G4157">
        <v>1.58558551587532E-2</v>
      </c>
    </row>
    <row r="4158" spans="1:7" x14ac:dyDescent="0.25">
      <c r="A4158" t="s">
        <v>7</v>
      </c>
      <c r="B4158" t="s">
        <v>21</v>
      </c>
      <c r="C4158" t="s">
        <v>9</v>
      </c>
      <c r="D4158" t="s">
        <v>10</v>
      </c>
      <c r="E4158">
        <v>5</v>
      </c>
      <c r="F4158" s="1">
        <v>43890</v>
      </c>
      <c r="G4158">
        <v>-7.1422886072445204E-3</v>
      </c>
    </row>
    <row r="4159" spans="1:7" x14ac:dyDescent="0.25">
      <c r="A4159" t="s">
        <v>7</v>
      </c>
      <c r="B4159" t="s">
        <v>21</v>
      </c>
      <c r="C4159" t="s">
        <v>9</v>
      </c>
      <c r="D4159" t="s">
        <v>10</v>
      </c>
      <c r="E4159">
        <v>5</v>
      </c>
      <c r="F4159" s="1">
        <v>43921</v>
      </c>
      <c r="G4159">
        <v>-3.85250215902787E-2</v>
      </c>
    </row>
    <row r="4160" spans="1:7" x14ac:dyDescent="0.25">
      <c r="A4160" t="s">
        <v>7</v>
      </c>
      <c r="B4160" t="s">
        <v>21</v>
      </c>
      <c r="C4160" t="s">
        <v>9</v>
      </c>
      <c r="D4160" t="s">
        <v>10</v>
      </c>
      <c r="E4160">
        <v>5</v>
      </c>
      <c r="F4160" s="1">
        <v>43951</v>
      </c>
      <c r="G4160">
        <v>-1.57790305117936E-2</v>
      </c>
    </row>
    <row r="4161" spans="1:7" x14ac:dyDescent="0.25">
      <c r="A4161" t="s">
        <v>7</v>
      </c>
      <c r="B4161" t="s">
        <v>21</v>
      </c>
      <c r="C4161" t="s">
        <v>9</v>
      </c>
      <c r="D4161" t="s">
        <v>10</v>
      </c>
      <c r="E4161">
        <v>5</v>
      </c>
      <c r="F4161" s="1">
        <v>43982</v>
      </c>
      <c r="G4161">
        <v>-3.6639381502339301E-2</v>
      </c>
    </row>
    <row r="4162" spans="1:7" x14ac:dyDescent="0.25">
      <c r="A4162" t="s">
        <v>7</v>
      </c>
      <c r="B4162" t="s">
        <v>21</v>
      </c>
      <c r="C4162" t="s">
        <v>9</v>
      </c>
      <c r="D4162" t="s">
        <v>10</v>
      </c>
      <c r="E4162">
        <v>5</v>
      </c>
      <c r="F4162" s="1">
        <v>44012</v>
      </c>
      <c r="G4162">
        <v>6.0113796536833297E-2</v>
      </c>
    </row>
    <row r="4163" spans="1:7" x14ac:dyDescent="0.25">
      <c r="A4163" t="s">
        <v>7</v>
      </c>
      <c r="B4163" t="s">
        <v>21</v>
      </c>
      <c r="C4163" t="s">
        <v>9</v>
      </c>
      <c r="D4163" t="s">
        <v>10</v>
      </c>
      <c r="E4163">
        <v>5</v>
      </c>
      <c r="F4163" s="1">
        <v>44043</v>
      </c>
      <c r="G4163">
        <v>-2.5034487411197501E-2</v>
      </c>
    </row>
    <row r="4164" spans="1:7" x14ac:dyDescent="0.25">
      <c r="A4164" t="s">
        <v>7</v>
      </c>
      <c r="B4164" t="s">
        <v>21</v>
      </c>
      <c r="C4164" t="s">
        <v>9</v>
      </c>
      <c r="D4164" t="s">
        <v>10</v>
      </c>
      <c r="E4164">
        <v>5</v>
      </c>
      <c r="F4164" s="1">
        <v>44074</v>
      </c>
      <c r="G4164">
        <v>-3.0464707399505599E-3</v>
      </c>
    </row>
    <row r="4165" spans="1:7" x14ac:dyDescent="0.25">
      <c r="A4165" t="s">
        <v>7</v>
      </c>
      <c r="B4165" t="s">
        <v>21</v>
      </c>
      <c r="C4165" t="s">
        <v>9</v>
      </c>
      <c r="D4165" t="s">
        <v>10</v>
      </c>
      <c r="E4165">
        <v>5</v>
      </c>
      <c r="F4165" s="1">
        <v>44104</v>
      </c>
      <c r="G4165">
        <v>-1.47984027519069E-2</v>
      </c>
    </row>
    <row r="4166" spans="1:7" x14ac:dyDescent="0.25">
      <c r="A4166" t="s">
        <v>7</v>
      </c>
      <c r="B4166" t="s">
        <v>21</v>
      </c>
      <c r="C4166" t="s">
        <v>9</v>
      </c>
      <c r="D4166" t="s">
        <v>10</v>
      </c>
      <c r="E4166">
        <v>5</v>
      </c>
      <c r="F4166" s="1">
        <v>44135</v>
      </c>
      <c r="G4166">
        <v>-1.83353783497349E-2</v>
      </c>
    </row>
    <row r="4167" spans="1:7" x14ac:dyDescent="0.25">
      <c r="A4167" t="s">
        <v>7</v>
      </c>
      <c r="B4167" t="s">
        <v>21</v>
      </c>
      <c r="C4167" t="s">
        <v>9</v>
      </c>
      <c r="D4167" t="s">
        <v>10</v>
      </c>
      <c r="E4167">
        <v>5</v>
      </c>
      <c r="F4167" s="1">
        <v>44165</v>
      </c>
      <c r="G4167">
        <v>2.90184148721617E-2</v>
      </c>
    </row>
    <row r="4168" spans="1:7" x14ac:dyDescent="0.25">
      <c r="A4168" t="s">
        <v>7</v>
      </c>
      <c r="B4168" t="s">
        <v>21</v>
      </c>
      <c r="C4168" t="s">
        <v>9</v>
      </c>
      <c r="D4168" t="s">
        <v>10</v>
      </c>
      <c r="E4168">
        <v>5</v>
      </c>
      <c r="F4168" s="1">
        <v>44196</v>
      </c>
      <c r="G4168">
        <v>-1.2535314165023599E-2</v>
      </c>
    </row>
    <row r="4169" spans="1:7" x14ac:dyDescent="0.25">
      <c r="A4169" t="s">
        <v>7</v>
      </c>
      <c r="B4169" t="s">
        <v>21</v>
      </c>
      <c r="C4169" t="s">
        <v>9</v>
      </c>
      <c r="D4169" t="s">
        <v>10</v>
      </c>
      <c r="E4169">
        <v>5</v>
      </c>
      <c r="F4169" s="1">
        <v>44227</v>
      </c>
      <c r="G4169">
        <v>3.1172349143363001E-2</v>
      </c>
    </row>
    <row r="4170" spans="1:7" x14ac:dyDescent="0.25">
      <c r="A4170" t="s">
        <v>7</v>
      </c>
      <c r="B4170" t="s">
        <v>21</v>
      </c>
      <c r="C4170" t="s">
        <v>9</v>
      </c>
      <c r="D4170" t="s">
        <v>10</v>
      </c>
      <c r="E4170">
        <v>5</v>
      </c>
      <c r="F4170" s="1">
        <v>44255</v>
      </c>
      <c r="G4170">
        <v>-7.49652549476901E-3</v>
      </c>
    </row>
    <row r="4171" spans="1:7" x14ac:dyDescent="0.25">
      <c r="A4171" t="s">
        <v>7</v>
      </c>
      <c r="B4171" t="s">
        <v>21</v>
      </c>
      <c r="C4171" t="s">
        <v>9</v>
      </c>
      <c r="D4171" t="s">
        <v>10</v>
      </c>
      <c r="E4171">
        <v>5</v>
      </c>
      <c r="F4171" s="1">
        <v>44286</v>
      </c>
      <c r="G4171">
        <v>-1.3431683931329999E-3</v>
      </c>
    </row>
    <row r="4172" spans="1:7" x14ac:dyDescent="0.25">
      <c r="A4172" t="s">
        <v>7</v>
      </c>
      <c r="B4172" t="s">
        <v>21</v>
      </c>
      <c r="C4172" t="s">
        <v>9</v>
      </c>
      <c r="D4172" t="s">
        <v>10</v>
      </c>
      <c r="E4172">
        <v>5</v>
      </c>
      <c r="F4172" s="1">
        <v>44316</v>
      </c>
      <c r="G4172">
        <v>-8.9570173297350408E-3</v>
      </c>
    </row>
    <row r="4173" spans="1:7" x14ac:dyDescent="0.25">
      <c r="A4173" t="s">
        <v>7</v>
      </c>
      <c r="B4173" t="s">
        <v>21</v>
      </c>
      <c r="C4173" t="s">
        <v>9</v>
      </c>
      <c r="D4173" t="s">
        <v>10</v>
      </c>
      <c r="E4173">
        <v>5</v>
      </c>
      <c r="F4173" s="1">
        <v>44347</v>
      </c>
      <c r="G4173">
        <v>4.3606227886466301E-2</v>
      </c>
    </row>
    <row r="4174" spans="1:7" x14ac:dyDescent="0.25">
      <c r="A4174" t="s">
        <v>7</v>
      </c>
      <c r="B4174" t="s">
        <v>21</v>
      </c>
      <c r="C4174" t="s">
        <v>9</v>
      </c>
      <c r="D4174" t="s">
        <v>10</v>
      </c>
      <c r="E4174">
        <v>5</v>
      </c>
      <c r="F4174" s="1">
        <v>44377</v>
      </c>
      <c r="G4174">
        <v>4.7572126838084802E-2</v>
      </c>
    </row>
    <row r="4175" spans="1:7" x14ac:dyDescent="0.25">
      <c r="A4175" t="s">
        <v>7</v>
      </c>
      <c r="B4175" t="s">
        <v>21</v>
      </c>
      <c r="C4175" t="s">
        <v>9</v>
      </c>
      <c r="D4175" t="s">
        <v>10</v>
      </c>
      <c r="E4175">
        <v>5</v>
      </c>
      <c r="F4175" s="1">
        <v>44408</v>
      </c>
      <c r="G4175">
        <v>-2.67919020767989E-2</v>
      </c>
    </row>
    <row r="4176" spans="1:7" x14ac:dyDescent="0.25">
      <c r="A4176" t="s">
        <v>7</v>
      </c>
      <c r="B4176" t="s">
        <v>21</v>
      </c>
      <c r="C4176" t="s">
        <v>9</v>
      </c>
      <c r="D4176" t="s">
        <v>10</v>
      </c>
      <c r="E4176">
        <v>5</v>
      </c>
      <c r="F4176" s="1">
        <v>44439</v>
      </c>
      <c r="G4176">
        <v>1.42038900722281E-3</v>
      </c>
    </row>
    <row r="4177" spans="1:7" x14ac:dyDescent="0.25">
      <c r="A4177" t="s">
        <v>7</v>
      </c>
      <c r="B4177" t="s">
        <v>21</v>
      </c>
      <c r="C4177" t="s">
        <v>9</v>
      </c>
      <c r="D4177" t="s">
        <v>10</v>
      </c>
      <c r="E4177">
        <v>5</v>
      </c>
      <c r="F4177" s="1">
        <v>44469</v>
      </c>
      <c r="G4177">
        <v>-1.9771190649283201E-2</v>
      </c>
    </row>
    <row r="4178" spans="1:7" x14ac:dyDescent="0.25">
      <c r="A4178" t="s">
        <v>7</v>
      </c>
      <c r="B4178" t="s">
        <v>21</v>
      </c>
      <c r="C4178" t="s">
        <v>9</v>
      </c>
      <c r="D4178" t="s">
        <v>10</v>
      </c>
      <c r="E4178">
        <v>5</v>
      </c>
      <c r="F4178" s="1">
        <v>44500</v>
      </c>
      <c r="G4178">
        <v>-3.78635865763048E-2</v>
      </c>
    </row>
    <row r="4179" spans="1:7" x14ac:dyDescent="0.25">
      <c r="A4179" t="s">
        <v>7</v>
      </c>
      <c r="B4179" t="s">
        <v>21</v>
      </c>
      <c r="C4179" t="s">
        <v>9</v>
      </c>
      <c r="D4179" t="s">
        <v>10</v>
      </c>
      <c r="E4179">
        <v>5</v>
      </c>
      <c r="F4179" s="1">
        <v>44530</v>
      </c>
      <c r="G4179">
        <v>-8.5095201049630101E-3</v>
      </c>
    </row>
    <row r="4180" spans="1:7" x14ac:dyDescent="0.25">
      <c r="A4180" t="s">
        <v>7</v>
      </c>
      <c r="B4180" t="s">
        <v>21</v>
      </c>
      <c r="C4180" t="s">
        <v>9</v>
      </c>
      <c r="D4180" t="s">
        <v>10</v>
      </c>
      <c r="E4180">
        <v>5</v>
      </c>
      <c r="F4180" s="1">
        <v>44561</v>
      </c>
      <c r="G4180">
        <v>4.3129998765076498E-2</v>
      </c>
    </row>
    <row r="4181" spans="1:7" x14ac:dyDescent="0.25">
      <c r="A4181" t="s">
        <v>7</v>
      </c>
      <c r="B4181" t="s">
        <v>21</v>
      </c>
      <c r="C4181" t="s">
        <v>9</v>
      </c>
      <c r="D4181" t="s">
        <v>10</v>
      </c>
      <c r="E4181">
        <v>5</v>
      </c>
      <c r="F4181" s="1">
        <v>44592</v>
      </c>
      <c r="G4181">
        <v>-8.5202146701477098E-3</v>
      </c>
    </row>
    <row r="4182" spans="1:7" x14ac:dyDescent="0.25">
      <c r="A4182" t="s">
        <v>7</v>
      </c>
      <c r="B4182" t="s">
        <v>21</v>
      </c>
      <c r="C4182" t="s">
        <v>9</v>
      </c>
      <c r="D4182" t="s">
        <v>10</v>
      </c>
      <c r="E4182">
        <v>5</v>
      </c>
      <c r="F4182" s="1">
        <v>44620</v>
      </c>
      <c r="G4182">
        <v>-4.4792153512610997E-2</v>
      </c>
    </row>
    <row r="4183" spans="1:7" x14ac:dyDescent="0.25">
      <c r="A4183" t="s">
        <v>7</v>
      </c>
      <c r="B4183" t="s">
        <v>21</v>
      </c>
      <c r="C4183" t="s">
        <v>9</v>
      </c>
      <c r="D4183" t="s">
        <v>10</v>
      </c>
      <c r="E4183">
        <v>5</v>
      </c>
      <c r="F4183" s="1">
        <v>44651</v>
      </c>
      <c r="G4183">
        <v>-4.5097214825185897E-3</v>
      </c>
    </row>
    <row r="4184" spans="1:7" x14ac:dyDescent="0.25">
      <c r="A4184" t="s">
        <v>7</v>
      </c>
      <c r="B4184" t="s">
        <v>21</v>
      </c>
      <c r="C4184" t="s">
        <v>9</v>
      </c>
      <c r="D4184" t="s">
        <v>10</v>
      </c>
      <c r="E4184">
        <v>5</v>
      </c>
      <c r="F4184" s="1">
        <v>44681</v>
      </c>
      <c r="G4184">
        <v>-1.1338601431324201E-2</v>
      </c>
    </row>
    <row r="4185" spans="1:7" x14ac:dyDescent="0.25">
      <c r="A4185" t="s">
        <v>7</v>
      </c>
      <c r="B4185" t="s">
        <v>21</v>
      </c>
      <c r="C4185" t="s">
        <v>9</v>
      </c>
      <c r="D4185" t="s">
        <v>10</v>
      </c>
      <c r="E4185">
        <v>5</v>
      </c>
      <c r="F4185" s="1">
        <v>44712</v>
      </c>
      <c r="G4185">
        <v>-5.2767121070812398E-2</v>
      </c>
    </row>
    <row r="4186" spans="1:7" x14ac:dyDescent="0.25">
      <c r="A4186" t="s">
        <v>7</v>
      </c>
      <c r="B4186" t="s">
        <v>21</v>
      </c>
      <c r="C4186" t="s">
        <v>9</v>
      </c>
      <c r="D4186" t="s">
        <v>10</v>
      </c>
      <c r="E4186">
        <v>5</v>
      </c>
      <c r="F4186" s="1">
        <v>44742</v>
      </c>
      <c r="G4186">
        <v>-2.8606005986871502E-2</v>
      </c>
    </row>
    <row r="4187" spans="1:7" x14ac:dyDescent="0.25">
      <c r="A4187" t="s">
        <v>7</v>
      </c>
      <c r="B4187" t="s">
        <v>21</v>
      </c>
      <c r="C4187" t="s">
        <v>9</v>
      </c>
      <c r="D4187" t="s">
        <v>10</v>
      </c>
      <c r="E4187">
        <v>5</v>
      </c>
      <c r="F4187" s="1">
        <v>44773</v>
      </c>
      <c r="G4187">
        <v>2.60676297563243E-2</v>
      </c>
    </row>
    <row r="4188" spans="1:7" x14ac:dyDescent="0.25">
      <c r="A4188" t="s">
        <v>7</v>
      </c>
      <c r="B4188" t="s">
        <v>21</v>
      </c>
      <c r="C4188" t="s">
        <v>9</v>
      </c>
      <c r="D4188" t="s">
        <v>10</v>
      </c>
      <c r="E4188">
        <v>5</v>
      </c>
      <c r="F4188" s="1">
        <v>44804</v>
      </c>
      <c r="G4188">
        <v>6.4560260099397193E-2</v>
      </c>
    </row>
    <row r="4189" spans="1:7" x14ac:dyDescent="0.25">
      <c r="A4189" t="s">
        <v>7</v>
      </c>
      <c r="B4189" t="s">
        <v>21</v>
      </c>
      <c r="C4189" t="s">
        <v>9</v>
      </c>
      <c r="D4189" t="s">
        <v>10</v>
      </c>
      <c r="E4189">
        <v>5</v>
      </c>
      <c r="F4189" s="1">
        <v>44834</v>
      </c>
      <c r="G4189">
        <v>1.54276598054593E-2</v>
      </c>
    </row>
    <row r="4190" spans="1:7" x14ac:dyDescent="0.25">
      <c r="A4190" t="s">
        <v>7</v>
      </c>
      <c r="B4190" t="s">
        <v>21</v>
      </c>
      <c r="C4190" t="s">
        <v>9</v>
      </c>
      <c r="D4190" t="s">
        <v>10</v>
      </c>
      <c r="E4190">
        <v>5</v>
      </c>
      <c r="F4190" s="1">
        <v>44865</v>
      </c>
      <c r="G4190">
        <v>-2.0789047219668601E-2</v>
      </c>
    </row>
    <row r="4191" spans="1:7" x14ac:dyDescent="0.25">
      <c r="A4191" t="s">
        <v>7</v>
      </c>
      <c r="B4191" t="s">
        <v>21</v>
      </c>
      <c r="C4191" t="s">
        <v>9</v>
      </c>
      <c r="D4191" t="s">
        <v>10</v>
      </c>
      <c r="E4191">
        <v>5</v>
      </c>
      <c r="F4191" s="1">
        <v>44895</v>
      </c>
      <c r="G4191">
        <v>-3.6397042928421899E-2</v>
      </c>
    </row>
    <row r="4192" spans="1:7" x14ac:dyDescent="0.25">
      <c r="A4192" t="s">
        <v>7</v>
      </c>
      <c r="B4192" t="s">
        <v>21</v>
      </c>
      <c r="C4192" t="s">
        <v>9</v>
      </c>
      <c r="D4192" t="s">
        <v>10</v>
      </c>
      <c r="E4192">
        <v>5</v>
      </c>
      <c r="F4192" s="1">
        <v>44926</v>
      </c>
      <c r="G4192">
        <v>3.4513900227402499E-4</v>
      </c>
    </row>
    <row r="4193" spans="1:7" x14ac:dyDescent="0.25">
      <c r="A4193" t="s">
        <v>7</v>
      </c>
      <c r="B4193" t="s">
        <v>21</v>
      </c>
      <c r="C4193" t="s">
        <v>9</v>
      </c>
      <c r="D4193" t="s">
        <v>10</v>
      </c>
      <c r="E4193">
        <v>5</v>
      </c>
      <c r="F4193" s="1">
        <v>44957</v>
      </c>
      <c r="G4193">
        <v>-2.5028235274918102E-2</v>
      </c>
    </row>
    <row r="4194" spans="1:7" x14ac:dyDescent="0.25">
      <c r="A4194" t="s">
        <v>7</v>
      </c>
      <c r="B4194" t="s">
        <v>21</v>
      </c>
      <c r="C4194" t="s">
        <v>9</v>
      </c>
      <c r="D4194" t="s">
        <v>10</v>
      </c>
      <c r="E4194">
        <v>5</v>
      </c>
      <c r="F4194" s="1">
        <v>44985</v>
      </c>
      <c r="G4194">
        <v>-7.0889782574497396E-3</v>
      </c>
    </row>
    <row r="4195" spans="1:7" x14ac:dyDescent="0.25">
      <c r="A4195" t="s">
        <v>7</v>
      </c>
      <c r="B4195" t="s">
        <v>21</v>
      </c>
      <c r="C4195" t="s">
        <v>9</v>
      </c>
      <c r="D4195" t="s">
        <v>10</v>
      </c>
      <c r="E4195">
        <v>5</v>
      </c>
      <c r="F4195" s="1">
        <v>45016</v>
      </c>
      <c r="G4195">
        <v>5.3478271172269498E-3</v>
      </c>
    </row>
    <row r="4196" spans="1:7" x14ac:dyDescent="0.25">
      <c r="A4196" t="s">
        <v>7</v>
      </c>
      <c r="B4196" t="s">
        <v>21</v>
      </c>
      <c r="C4196" t="s">
        <v>9</v>
      </c>
      <c r="D4196" t="s">
        <v>10</v>
      </c>
      <c r="E4196">
        <v>5</v>
      </c>
      <c r="F4196" s="1">
        <v>45046</v>
      </c>
      <c r="G4196">
        <v>-5.1995266832918904E-3</v>
      </c>
    </row>
    <row r="4197" spans="1:7" x14ac:dyDescent="0.25">
      <c r="A4197" t="s">
        <v>7</v>
      </c>
      <c r="B4197" t="s">
        <v>21</v>
      </c>
      <c r="C4197" t="s">
        <v>9</v>
      </c>
      <c r="D4197" t="s">
        <v>10</v>
      </c>
      <c r="E4197">
        <v>5</v>
      </c>
      <c r="F4197" s="1">
        <v>45077</v>
      </c>
      <c r="G4197">
        <v>6.4421206118383603E-2</v>
      </c>
    </row>
    <row r="4198" spans="1:7" x14ac:dyDescent="0.25">
      <c r="A4198" t="s">
        <v>7</v>
      </c>
      <c r="B4198" t="s">
        <v>21</v>
      </c>
      <c r="C4198" t="s">
        <v>9</v>
      </c>
      <c r="D4198" t="s">
        <v>10</v>
      </c>
      <c r="E4198">
        <v>5</v>
      </c>
      <c r="F4198" s="1">
        <v>45107</v>
      </c>
      <c r="G4198">
        <v>2.4235059643394199E-2</v>
      </c>
    </row>
    <row r="4199" spans="1:7" x14ac:dyDescent="0.25">
      <c r="A4199" t="s">
        <v>7</v>
      </c>
      <c r="B4199" t="s">
        <v>21</v>
      </c>
      <c r="C4199" t="s">
        <v>9</v>
      </c>
      <c r="D4199" t="s">
        <v>10</v>
      </c>
      <c r="E4199">
        <v>5</v>
      </c>
      <c r="F4199" s="1">
        <v>45138</v>
      </c>
      <c r="G4199">
        <v>1.6014489096914698E-2</v>
      </c>
    </row>
    <row r="4200" spans="1:7" x14ac:dyDescent="0.25">
      <c r="A4200" t="s">
        <v>7</v>
      </c>
      <c r="B4200" t="s">
        <v>21</v>
      </c>
      <c r="C4200" t="s">
        <v>9</v>
      </c>
      <c r="D4200" t="s">
        <v>10</v>
      </c>
      <c r="E4200">
        <v>5</v>
      </c>
      <c r="F4200" s="1">
        <v>45169</v>
      </c>
      <c r="G4200">
        <v>1.3698351154585601E-3</v>
      </c>
    </row>
    <row r="4201" spans="1:7" x14ac:dyDescent="0.25">
      <c r="A4201" t="s">
        <v>7</v>
      </c>
      <c r="B4201" t="s">
        <v>21</v>
      </c>
      <c r="C4201" t="s">
        <v>9</v>
      </c>
      <c r="D4201" t="s">
        <v>10</v>
      </c>
      <c r="E4201">
        <v>5</v>
      </c>
      <c r="F4201" s="1">
        <v>45199</v>
      </c>
      <c r="G4201">
        <v>-9.1816748678526499E-3</v>
      </c>
    </row>
    <row r="4202" spans="1:7" x14ac:dyDescent="0.25">
      <c r="A4202" t="s">
        <v>7</v>
      </c>
      <c r="B4202" t="s">
        <v>21</v>
      </c>
      <c r="C4202" t="s">
        <v>9</v>
      </c>
      <c r="D4202" t="s">
        <v>10</v>
      </c>
      <c r="E4202">
        <v>5</v>
      </c>
      <c r="F4202" s="1">
        <v>45230</v>
      </c>
      <c r="G4202">
        <v>-3.3368426039871599E-2</v>
      </c>
    </row>
    <row r="4203" spans="1:7" x14ac:dyDescent="0.25">
      <c r="A4203" t="s">
        <v>7</v>
      </c>
      <c r="B4203" t="s">
        <v>21</v>
      </c>
      <c r="C4203" t="s">
        <v>9</v>
      </c>
      <c r="D4203" t="s">
        <v>10</v>
      </c>
      <c r="E4203">
        <v>5</v>
      </c>
      <c r="F4203" s="1">
        <v>45260</v>
      </c>
      <c r="G4203">
        <v>-4.5409197120297104E-3</v>
      </c>
    </row>
    <row r="4204" spans="1:7" x14ac:dyDescent="0.25">
      <c r="A4204" t="s">
        <v>7</v>
      </c>
      <c r="B4204" t="s">
        <v>21</v>
      </c>
      <c r="C4204" t="s">
        <v>9</v>
      </c>
      <c r="D4204" t="s">
        <v>10</v>
      </c>
      <c r="E4204">
        <v>5</v>
      </c>
      <c r="F4204" s="1">
        <v>45291</v>
      </c>
      <c r="G4204">
        <v>1.9191540424191099E-2</v>
      </c>
    </row>
    <row r="4205" spans="1:7" x14ac:dyDescent="0.25">
      <c r="A4205" t="s">
        <v>7</v>
      </c>
      <c r="B4205" t="s">
        <v>21</v>
      </c>
      <c r="C4205" t="s">
        <v>9</v>
      </c>
      <c r="D4205" t="s">
        <v>10</v>
      </c>
      <c r="E4205">
        <v>5</v>
      </c>
      <c r="F4205" s="1">
        <v>45322</v>
      </c>
      <c r="G4205">
        <v>-2.42810128252593E-2</v>
      </c>
    </row>
    <row r="4206" spans="1:7" x14ac:dyDescent="0.25">
      <c r="A4206" t="s">
        <v>7</v>
      </c>
      <c r="B4206" t="s">
        <v>21</v>
      </c>
      <c r="C4206" t="s">
        <v>9</v>
      </c>
      <c r="D4206" t="s">
        <v>10</v>
      </c>
      <c r="E4206">
        <v>5</v>
      </c>
      <c r="F4206" s="1">
        <v>45351</v>
      </c>
      <c r="G4206">
        <v>-1.1890951679956499E-2</v>
      </c>
    </row>
    <row r="4207" spans="1:7" x14ac:dyDescent="0.25">
      <c r="A4207" t="s">
        <v>7</v>
      </c>
      <c r="B4207" t="s">
        <v>21</v>
      </c>
      <c r="C4207" t="s">
        <v>9</v>
      </c>
      <c r="D4207" t="s">
        <v>10</v>
      </c>
      <c r="E4207">
        <v>5</v>
      </c>
      <c r="F4207" s="1">
        <v>45382</v>
      </c>
      <c r="G4207">
        <v>9.2157415160411798E-3</v>
      </c>
    </row>
    <row r="4208" spans="1:7" x14ac:dyDescent="0.25">
      <c r="A4208" t="s">
        <v>7</v>
      </c>
      <c r="B4208" t="s">
        <v>21</v>
      </c>
      <c r="C4208" t="s">
        <v>9</v>
      </c>
      <c r="D4208" t="s">
        <v>10</v>
      </c>
      <c r="E4208">
        <v>5</v>
      </c>
      <c r="F4208" s="1">
        <v>45412</v>
      </c>
      <c r="G4208">
        <v>-1.0967022432807901E-2</v>
      </c>
    </row>
    <row r="4209" spans="1:7" x14ac:dyDescent="0.25">
      <c r="A4209" t="s">
        <v>7</v>
      </c>
      <c r="B4209" t="s">
        <v>21</v>
      </c>
      <c r="C4209" t="s">
        <v>9</v>
      </c>
      <c r="D4209" t="s">
        <v>10</v>
      </c>
      <c r="E4209">
        <v>5</v>
      </c>
      <c r="F4209" s="1">
        <v>45443</v>
      </c>
      <c r="G4209">
        <v>-1.14238077401003E-2</v>
      </c>
    </row>
    <row r="4210" spans="1:7" x14ac:dyDescent="0.25">
      <c r="A4210" t="s">
        <v>7</v>
      </c>
      <c r="B4210" t="s">
        <v>21</v>
      </c>
      <c r="C4210" t="s">
        <v>9</v>
      </c>
      <c r="D4210" t="s">
        <v>10</v>
      </c>
      <c r="E4210">
        <v>5</v>
      </c>
      <c r="F4210" s="1">
        <v>45473</v>
      </c>
      <c r="G4210">
        <v>-6.0852261407937799E-2</v>
      </c>
    </row>
    <row r="4211" spans="1:7" x14ac:dyDescent="0.25">
      <c r="A4211" t="s">
        <v>7</v>
      </c>
      <c r="B4211" t="s">
        <v>21</v>
      </c>
      <c r="C4211" t="s">
        <v>9</v>
      </c>
      <c r="D4211" t="s">
        <v>10</v>
      </c>
      <c r="E4211">
        <v>5</v>
      </c>
      <c r="F4211" s="1">
        <v>45504</v>
      </c>
      <c r="G4211">
        <v>-1.7338506115579001E-2</v>
      </c>
    </row>
    <row r="4212" spans="1:7" x14ac:dyDescent="0.25">
      <c r="A4212" t="s">
        <v>7</v>
      </c>
      <c r="B4212" t="s">
        <v>21</v>
      </c>
      <c r="C4212" t="s">
        <v>9</v>
      </c>
      <c r="D4212" t="s">
        <v>10</v>
      </c>
      <c r="E4212">
        <v>5</v>
      </c>
      <c r="F4212" s="1">
        <v>45535</v>
      </c>
      <c r="G4212">
        <v>-3.1864945689066101E-2</v>
      </c>
    </row>
    <row r="4213" spans="1:7" x14ac:dyDescent="0.25">
      <c r="A4213" t="s">
        <v>7</v>
      </c>
      <c r="B4213" t="s">
        <v>21</v>
      </c>
      <c r="C4213" t="s">
        <v>9</v>
      </c>
      <c r="D4213" t="s">
        <v>10</v>
      </c>
      <c r="E4213">
        <v>5</v>
      </c>
      <c r="F4213" s="1">
        <v>45565</v>
      </c>
      <c r="G4213">
        <v>1.6309992113991902E-2</v>
      </c>
    </row>
    <row r="4214" spans="1:7" x14ac:dyDescent="0.25">
      <c r="A4214" t="s">
        <v>7</v>
      </c>
      <c r="B4214" t="s">
        <v>21</v>
      </c>
      <c r="C4214" t="s">
        <v>9</v>
      </c>
      <c r="D4214" t="s">
        <v>10</v>
      </c>
      <c r="E4214">
        <v>5</v>
      </c>
      <c r="F4214" s="1">
        <v>45596</v>
      </c>
      <c r="G4214">
        <v>-2.5194887630106098E-2</v>
      </c>
    </row>
    <row r="4215" spans="1:7" x14ac:dyDescent="0.25">
      <c r="A4215" t="s">
        <v>7</v>
      </c>
      <c r="B4215" t="s">
        <v>21</v>
      </c>
      <c r="C4215" t="s">
        <v>9</v>
      </c>
      <c r="D4215" t="s">
        <v>10</v>
      </c>
      <c r="E4215">
        <v>5</v>
      </c>
      <c r="F4215" s="1">
        <v>45626</v>
      </c>
      <c r="G4215">
        <v>-2.22211214252153E-2</v>
      </c>
    </row>
    <row r="4216" spans="1:7" x14ac:dyDescent="0.25">
      <c r="A4216" t="s">
        <v>7</v>
      </c>
      <c r="B4216" t="s">
        <v>21</v>
      </c>
      <c r="C4216" t="s">
        <v>9</v>
      </c>
      <c r="D4216" t="s">
        <v>10</v>
      </c>
      <c r="E4216">
        <v>5</v>
      </c>
      <c r="F4216" s="1">
        <v>45657</v>
      </c>
      <c r="G4216">
        <v>-3.2142193914948297E-2</v>
      </c>
    </row>
    <row r="4217" spans="1:7" x14ac:dyDescent="0.25">
      <c r="A4217" t="s">
        <v>7</v>
      </c>
      <c r="B4217" t="s">
        <v>21</v>
      </c>
      <c r="C4217" t="s">
        <v>9</v>
      </c>
      <c r="D4217" t="s">
        <v>10</v>
      </c>
      <c r="E4217">
        <v>5</v>
      </c>
      <c r="F4217" s="1">
        <v>45688</v>
      </c>
      <c r="G4217">
        <v>2.7939090262726701E-2</v>
      </c>
    </row>
    <row r="4218" spans="1:7" x14ac:dyDescent="0.25">
      <c r="A4218" t="s">
        <v>7</v>
      </c>
      <c r="B4218" t="s">
        <v>21</v>
      </c>
      <c r="C4218" t="s">
        <v>9</v>
      </c>
      <c r="D4218" t="s">
        <v>10</v>
      </c>
      <c r="E4218">
        <v>5</v>
      </c>
      <c r="F4218" s="1">
        <v>45716</v>
      </c>
      <c r="G4218">
        <v>2.8026086415053001E-2</v>
      </c>
    </row>
    <row r="4219" spans="1:7" x14ac:dyDescent="0.25">
      <c r="A4219" t="s">
        <v>7</v>
      </c>
      <c r="B4219" t="s">
        <v>21</v>
      </c>
      <c r="C4219" t="s">
        <v>9</v>
      </c>
      <c r="D4219" t="s">
        <v>10</v>
      </c>
      <c r="E4219">
        <v>5</v>
      </c>
      <c r="F4219" s="1">
        <v>45747</v>
      </c>
      <c r="G4219">
        <v>-3.0777108444943999E-2</v>
      </c>
    </row>
    <row r="4220" spans="1:7" x14ac:dyDescent="0.25">
      <c r="A4220" t="s">
        <v>7</v>
      </c>
      <c r="B4220" t="s">
        <v>21</v>
      </c>
      <c r="C4220" t="s">
        <v>9</v>
      </c>
      <c r="D4220" t="s">
        <v>10</v>
      </c>
      <c r="E4220">
        <v>5</v>
      </c>
      <c r="F4220" s="1">
        <v>45777</v>
      </c>
      <c r="G4220">
        <v>-7.1957507525205197E-3</v>
      </c>
    </row>
    <row r="4221" spans="1:7" x14ac:dyDescent="0.25">
      <c r="A4221" t="s">
        <v>7</v>
      </c>
      <c r="B4221" t="s">
        <v>21</v>
      </c>
      <c r="C4221" t="s">
        <v>9</v>
      </c>
      <c r="D4221" t="s">
        <v>10</v>
      </c>
      <c r="E4221">
        <v>5</v>
      </c>
      <c r="F4221" s="1">
        <v>45808</v>
      </c>
      <c r="G4221">
        <v>6.5645086009125206E-2</v>
      </c>
    </row>
    <row r="4222" spans="1:7" x14ac:dyDescent="0.25">
      <c r="A4222" t="s">
        <v>7</v>
      </c>
      <c r="B4222" t="s">
        <v>21</v>
      </c>
      <c r="C4222" t="s">
        <v>9</v>
      </c>
      <c r="D4222" t="s">
        <v>10</v>
      </c>
      <c r="E4222">
        <v>5</v>
      </c>
      <c r="F4222" s="1">
        <v>45838</v>
      </c>
      <c r="G4222">
        <v>-3.9464361957578598E-3</v>
      </c>
    </row>
    <row r="4223" spans="1:7" x14ac:dyDescent="0.25">
      <c r="A4223" t="s">
        <v>7</v>
      </c>
      <c r="B4223" t="s">
        <v>21</v>
      </c>
      <c r="C4223" t="s">
        <v>9</v>
      </c>
      <c r="D4223" t="s">
        <v>10</v>
      </c>
      <c r="E4223">
        <v>5</v>
      </c>
      <c r="F4223" s="1">
        <v>45869</v>
      </c>
      <c r="G4223">
        <v>1.4103659570735699E-2</v>
      </c>
    </row>
    <row r="4224" spans="1:7" x14ac:dyDescent="0.25">
      <c r="A4224" t="s">
        <v>7</v>
      </c>
      <c r="B4224" t="s">
        <v>21</v>
      </c>
      <c r="C4224" t="s">
        <v>9</v>
      </c>
      <c r="D4224" t="s">
        <v>10</v>
      </c>
      <c r="E4224">
        <v>5</v>
      </c>
      <c r="F4224" s="1">
        <v>45900</v>
      </c>
      <c r="G4224">
        <v>-4.9780888862832797E-3</v>
      </c>
    </row>
    <row r="4225" spans="1:7" x14ac:dyDescent="0.25">
      <c r="A4225" t="s">
        <v>7</v>
      </c>
      <c r="B4225" t="s">
        <v>21</v>
      </c>
      <c r="C4225" t="s">
        <v>9</v>
      </c>
      <c r="D4225" t="s">
        <v>10</v>
      </c>
      <c r="E4225">
        <v>5</v>
      </c>
      <c r="F4225" s="1">
        <v>45930</v>
      </c>
      <c r="G4225">
        <v>-1.09833177680532E-2</v>
      </c>
    </row>
    <row r="4226" spans="1:7" x14ac:dyDescent="0.25">
      <c r="A4226" t="s">
        <v>7</v>
      </c>
      <c r="B4226" t="s">
        <v>21</v>
      </c>
      <c r="C4226" t="s">
        <v>9</v>
      </c>
      <c r="D4226" t="s">
        <v>10</v>
      </c>
      <c r="E4226">
        <v>5</v>
      </c>
      <c r="F4226" s="1">
        <v>45961</v>
      </c>
      <c r="G4226">
        <v>-3.8253241085946998E-3</v>
      </c>
    </row>
    <row r="4227" spans="1:7" x14ac:dyDescent="0.25">
      <c r="A4227" t="s">
        <v>7</v>
      </c>
      <c r="B4227" t="s">
        <v>21</v>
      </c>
      <c r="C4227" t="s">
        <v>9</v>
      </c>
      <c r="D4227" t="s">
        <v>10</v>
      </c>
      <c r="E4227">
        <v>5</v>
      </c>
      <c r="F4227" s="1">
        <v>45991</v>
      </c>
      <c r="G4227">
        <v>-1.1928099379265001E-2</v>
      </c>
    </row>
    <row r="4228" spans="1:7" x14ac:dyDescent="0.25">
      <c r="A4228" t="s">
        <v>7</v>
      </c>
      <c r="B4228" t="s">
        <v>21</v>
      </c>
      <c r="C4228" t="s">
        <v>9</v>
      </c>
      <c r="D4228" t="s">
        <v>10</v>
      </c>
      <c r="E4228">
        <v>5</v>
      </c>
      <c r="F4228" s="1">
        <v>46022</v>
      </c>
      <c r="G4228">
        <v>4.7390303124395204E-3</v>
      </c>
    </row>
    <row r="4229" spans="1:7" x14ac:dyDescent="0.25">
      <c r="A4229" t="s">
        <v>7</v>
      </c>
      <c r="B4229" t="s">
        <v>22</v>
      </c>
      <c r="C4229" t="s">
        <v>9</v>
      </c>
      <c r="D4229" t="s">
        <v>10</v>
      </c>
      <c r="E4229">
        <v>2</v>
      </c>
      <c r="F4229" s="1">
        <v>34607</v>
      </c>
      <c r="G4229">
        <v>9.57198211432988E-2</v>
      </c>
    </row>
    <row r="4230" spans="1:7" x14ac:dyDescent="0.25">
      <c r="A4230" t="s">
        <v>7</v>
      </c>
      <c r="B4230" t="s">
        <v>22</v>
      </c>
      <c r="C4230" t="s">
        <v>9</v>
      </c>
      <c r="D4230" t="s">
        <v>10</v>
      </c>
      <c r="E4230">
        <v>2</v>
      </c>
      <c r="F4230" s="1">
        <v>34638</v>
      </c>
      <c r="G4230">
        <v>6.0727015281077802E-2</v>
      </c>
    </row>
    <row r="4231" spans="1:7" x14ac:dyDescent="0.25">
      <c r="A4231" t="s">
        <v>7</v>
      </c>
      <c r="B4231" t="s">
        <v>22</v>
      </c>
      <c r="C4231" t="s">
        <v>9</v>
      </c>
      <c r="D4231" t="s">
        <v>10</v>
      </c>
      <c r="E4231">
        <v>2</v>
      </c>
      <c r="F4231" s="1">
        <v>34668</v>
      </c>
      <c r="G4231">
        <v>-3.9981771841237097E-3</v>
      </c>
    </row>
    <row r="4232" spans="1:7" x14ac:dyDescent="0.25">
      <c r="A4232" t="s">
        <v>7</v>
      </c>
      <c r="B4232" t="s">
        <v>22</v>
      </c>
      <c r="C4232" t="s">
        <v>9</v>
      </c>
      <c r="D4232" t="s">
        <v>10</v>
      </c>
      <c r="E4232">
        <v>2</v>
      </c>
      <c r="F4232" s="1">
        <v>34699</v>
      </c>
      <c r="G4232">
        <v>-4.8505071654294803E-2</v>
      </c>
    </row>
    <row r="4233" spans="1:7" x14ac:dyDescent="0.25">
      <c r="A4233" t="s">
        <v>7</v>
      </c>
      <c r="B4233" t="s">
        <v>22</v>
      </c>
      <c r="C4233" t="s">
        <v>9</v>
      </c>
      <c r="D4233" t="s">
        <v>10</v>
      </c>
      <c r="E4233">
        <v>2</v>
      </c>
      <c r="F4233" s="1">
        <v>34730</v>
      </c>
      <c r="G4233">
        <v>-4.2336063232590898E-2</v>
      </c>
    </row>
    <row r="4234" spans="1:7" x14ac:dyDescent="0.25">
      <c r="A4234" t="s">
        <v>7</v>
      </c>
      <c r="B4234" t="s">
        <v>22</v>
      </c>
      <c r="C4234" t="s">
        <v>9</v>
      </c>
      <c r="D4234" t="s">
        <v>10</v>
      </c>
      <c r="E4234">
        <v>2</v>
      </c>
      <c r="F4234" s="1">
        <v>34758</v>
      </c>
      <c r="G4234">
        <v>5.9064039889058298E-2</v>
      </c>
    </row>
    <row r="4235" spans="1:7" x14ac:dyDescent="0.25">
      <c r="A4235" t="s">
        <v>7</v>
      </c>
      <c r="B4235" t="s">
        <v>22</v>
      </c>
      <c r="C4235" t="s">
        <v>9</v>
      </c>
      <c r="D4235" t="s">
        <v>10</v>
      </c>
      <c r="E4235">
        <v>2</v>
      </c>
      <c r="F4235" s="1">
        <v>34789</v>
      </c>
      <c r="G4235">
        <v>-6.8432223801086101E-2</v>
      </c>
    </row>
    <row r="4236" spans="1:7" x14ac:dyDescent="0.25">
      <c r="A4236" t="s">
        <v>7</v>
      </c>
      <c r="B4236" t="s">
        <v>22</v>
      </c>
      <c r="C4236" t="s">
        <v>9</v>
      </c>
      <c r="D4236" t="s">
        <v>10</v>
      </c>
      <c r="E4236">
        <v>2</v>
      </c>
      <c r="F4236" s="1">
        <v>34819</v>
      </c>
      <c r="G4236">
        <v>8.2558304158708504E-2</v>
      </c>
    </row>
    <row r="4237" spans="1:7" x14ac:dyDescent="0.25">
      <c r="A4237" t="s">
        <v>7</v>
      </c>
      <c r="B4237" t="s">
        <v>22</v>
      </c>
      <c r="C4237" t="s">
        <v>9</v>
      </c>
      <c r="D4237" t="s">
        <v>10</v>
      </c>
      <c r="E4237">
        <v>2</v>
      </c>
      <c r="F4237" s="1">
        <v>34850</v>
      </c>
      <c r="G4237">
        <v>-0.162377847173658</v>
      </c>
    </row>
    <row r="4238" spans="1:7" x14ac:dyDescent="0.25">
      <c r="A4238" t="s">
        <v>7</v>
      </c>
      <c r="B4238" t="s">
        <v>22</v>
      </c>
      <c r="C4238" t="s">
        <v>9</v>
      </c>
      <c r="D4238" t="s">
        <v>10</v>
      </c>
      <c r="E4238">
        <v>2</v>
      </c>
      <c r="F4238" s="1">
        <v>34880</v>
      </c>
      <c r="G4238">
        <v>1.089056475704E-2</v>
      </c>
    </row>
    <row r="4239" spans="1:7" x14ac:dyDescent="0.25">
      <c r="A4239" t="s">
        <v>7</v>
      </c>
      <c r="B4239" t="s">
        <v>22</v>
      </c>
      <c r="C4239" t="s">
        <v>9</v>
      </c>
      <c r="D4239" t="s">
        <v>10</v>
      </c>
      <c r="E4239">
        <v>2</v>
      </c>
      <c r="F4239" s="1">
        <v>34911</v>
      </c>
      <c r="G4239">
        <v>3.9738233144798803E-2</v>
      </c>
    </row>
    <row r="4240" spans="1:7" x14ac:dyDescent="0.25">
      <c r="A4240" t="s">
        <v>7</v>
      </c>
      <c r="B4240" t="s">
        <v>22</v>
      </c>
      <c r="C4240" t="s">
        <v>9</v>
      </c>
      <c r="D4240" t="s">
        <v>10</v>
      </c>
      <c r="E4240">
        <v>2</v>
      </c>
      <c r="F4240" s="1">
        <v>34942</v>
      </c>
      <c r="G4240">
        <v>3.7064824559045501E-2</v>
      </c>
    </row>
    <row r="4241" spans="1:7" x14ac:dyDescent="0.25">
      <c r="A4241" t="s">
        <v>7</v>
      </c>
      <c r="B4241" t="s">
        <v>22</v>
      </c>
      <c r="C4241" t="s">
        <v>9</v>
      </c>
      <c r="D4241" t="s">
        <v>10</v>
      </c>
      <c r="E4241">
        <v>2</v>
      </c>
      <c r="F4241" s="1">
        <v>34972</v>
      </c>
      <c r="G4241">
        <v>5.7686515872208903E-2</v>
      </c>
    </row>
    <row r="4242" spans="1:7" x14ac:dyDescent="0.25">
      <c r="A4242" t="s">
        <v>7</v>
      </c>
      <c r="B4242" t="s">
        <v>22</v>
      </c>
      <c r="C4242" t="s">
        <v>9</v>
      </c>
      <c r="D4242" t="s">
        <v>10</v>
      </c>
      <c r="E4242">
        <v>2</v>
      </c>
      <c r="F4242" s="1">
        <v>35003</v>
      </c>
      <c r="G4242">
        <v>2.0881421113500099E-2</v>
      </c>
    </row>
    <row r="4243" spans="1:7" x14ac:dyDescent="0.25">
      <c r="A4243" t="s">
        <v>7</v>
      </c>
      <c r="B4243" t="s">
        <v>22</v>
      </c>
      <c r="C4243" t="s">
        <v>9</v>
      </c>
      <c r="D4243" t="s">
        <v>10</v>
      </c>
      <c r="E4243">
        <v>2</v>
      </c>
      <c r="F4243" s="1">
        <v>35033</v>
      </c>
      <c r="G4243">
        <v>6.2378481253016503E-2</v>
      </c>
    </row>
    <row r="4244" spans="1:7" x14ac:dyDescent="0.25">
      <c r="A4244" t="s">
        <v>7</v>
      </c>
      <c r="B4244" t="s">
        <v>22</v>
      </c>
      <c r="C4244" t="s">
        <v>9</v>
      </c>
      <c r="D4244" t="s">
        <v>10</v>
      </c>
      <c r="E4244">
        <v>2</v>
      </c>
      <c r="F4244" s="1">
        <v>35064</v>
      </c>
      <c r="G4244">
        <v>2.4223832462633599E-2</v>
      </c>
    </row>
    <row r="4245" spans="1:7" x14ac:dyDescent="0.25">
      <c r="A4245" t="s">
        <v>7</v>
      </c>
      <c r="B4245" t="s">
        <v>22</v>
      </c>
      <c r="C4245" t="s">
        <v>9</v>
      </c>
      <c r="D4245" t="s">
        <v>10</v>
      </c>
      <c r="E4245">
        <v>2</v>
      </c>
      <c r="F4245" s="1">
        <v>35095</v>
      </c>
      <c r="G4245">
        <v>6.6904637904818806E-2</v>
      </c>
    </row>
    <row r="4246" spans="1:7" x14ac:dyDescent="0.25">
      <c r="A4246" t="s">
        <v>7</v>
      </c>
      <c r="B4246" t="s">
        <v>22</v>
      </c>
      <c r="C4246" t="s">
        <v>9</v>
      </c>
      <c r="D4246" t="s">
        <v>10</v>
      </c>
      <c r="E4246">
        <v>2</v>
      </c>
      <c r="F4246" s="1">
        <v>35124</v>
      </c>
      <c r="G4246">
        <v>-1.58207415780506E-3</v>
      </c>
    </row>
    <row r="4247" spans="1:7" x14ac:dyDescent="0.25">
      <c r="A4247" t="s">
        <v>7</v>
      </c>
      <c r="B4247" t="s">
        <v>22</v>
      </c>
      <c r="C4247" t="s">
        <v>9</v>
      </c>
      <c r="D4247" t="s">
        <v>10</v>
      </c>
      <c r="E4247">
        <v>2</v>
      </c>
      <c r="F4247" s="1">
        <v>35155</v>
      </c>
      <c r="G4247">
        <v>-6.5126019028069096E-2</v>
      </c>
    </row>
    <row r="4248" spans="1:7" x14ac:dyDescent="0.25">
      <c r="A4248" t="s">
        <v>7</v>
      </c>
      <c r="B4248" t="s">
        <v>22</v>
      </c>
      <c r="C4248" t="s">
        <v>9</v>
      </c>
      <c r="D4248" t="s">
        <v>10</v>
      </c>
      <c r="E4248">
        <v>2</v>
      </c>
      <c r="F4248" s="1">
        <v>35185</v>
      </c>
      <c r="G4248">
        <v>9.6122819749276008E-3</v>
      </c>
    </row>
    <row r="4249" spans="1:7" x14ac:dyDescent="0.25">
      <c r="A4249" t="s">
        <v>7</v>
      </c>
      <c r="B4249" t="s">
        <v>22</v>
      </c>
      <c r="C4249" t="s">
        <v>9</v>
      </c>
      <c r="D4249" t="s">
        <v>10</v>
      </c>
      <c r="E4249">
        <v>2</v>
      </c>
      <c r="F4249" s="1">
        <v>35216</v>
      </c>
      <c r="G4249">
        <v>-4.98448252429518E-2</v>
      </c>
    </row>
    <row r="4250" spans="1:7" x14ac:dyDescent="0.25">
      <c r="A4250" t="s">
        <v>7</v>
      </c>
      <c r="B4250" t="s">
        <v>22</v>
      </c>
      <c r="C4250" t="s">
        <v>9</v>
      </c>
      <c r="D4250" t="s">
        <v>10</v>
      </c>
      <c r="E4250">
        <v>2</v>
      </c>
      <c r="F4250" s="1">
        <v>35246</v>
      </c>
      <c r="G4250">
        <v>6.3956728724261294E-2</v>
      </c>
    </row>
    <row r="4251" spans="1:7" x14ac:dyDescent="0.25">
      <c r="A4251" t="s">
        <v>7</v>
      </c>
      <c r="B4251" t="s">
        <v>22</v>
      </c>
      <c r="C4251" t="s">
        <v>9</v>
      </c>
      <c r="D4251" t="s">
        <v>10</v>
      </c>
      <c r="E4251">
        <v>2</v>
      </c>
      <c r="F4251" s="1">
        <v>35277</v>
      </c>
      <c r="G4251">
        <v>4.5378518396533098E-2</v>
      </c>
    </row>
    <row r="4252" spans="1:7" x14ac:dyDescent="0.25">
      <c r="A4252" t="s">
        <v>7</v>
      </c>
      <c r="B4252" t="s">
        <v>22</v>
      </c>
      <c r="C4252" t="s">
        <v>9</v>
      </c>
      <c r="D4252" t="s">
        <v>10</v>
      </c>
      <c r="E4252">
        <v>2</v>
      </c>
      <c r="F4252" s="1">
        <v>35308</v>
      </c>
      <c r="G4252">
        <v>-7.8522123028664195E-2</v>
      </c>
    </row>
    <row r="4253" spans="1:7" x14ac:dyDescent="0.25">
      <c r="A4253" t="s">
        <v>7</v>
      </c>
      <c r="B4253" t="s">
        <v>22</v>
      </c>
      <c r="C4253" t="s">
        <v>9</v>
      </c>
      <c r="D4253" t="s">
        <v>10</v>
      </c>
      <c r="E4253">
        <v>2</v>
      </c>
      <c r="F4253" s="1">
        <v>35338</v>
      </c>
      <c r="G4253">
        <v>-7.8460027941670493E-2</v>
      </c>
    </row>
    <row r="4254" spans="1:7" x14ac:dyDescent="0.25">
      <c r="A4254" t="s">
        <v>7</v>
      </c>
      <c r="B4254" t="s">
        <v>22</v>
      </c>
      <c r="C4254" t="s">
        <v>9</v>
      </c>
      <c r="D4254" t="s">
        <v>10</v>
      </c>
      <c r="E4254">
        <v>2</v>
      </c>
      <c r="F4254" s="1">
        <v>35369</v>
      </c>
      <c r="G4254">
        <v>4.3414532349998003E-3</v>
      </c>
    </row>
    <row r="4255" spans="1:7" x14ac:dyDescent="0.25">
      <c r="A4255" t="s">
        <v>7</v>
      </c>
      <c r="B4255" t="s">
        <v>22</v>
      </c>
      <c r="C4255" t="s">
        <v>9</v>
      </c>
      <c r="D4255" t="s">
        <v>10</v>
      </c>
      <c r="E4255">
        <v>2</v>
      </c>
      <c r="F4255" s="1">
        <v>35399</v>
      </c>
      <c r="G4255">
        <v>8.9502616440420096E-2</v>
      </c>
    </row>
    <row r="4256" spans="1:7" x14ac:dyDescent="0.25">
      <c r="A4256" t="s">
        <v>7</v>
      </c>
      <c r="B4256" t="s">
        <v>22</v>
      </c>
      <c r="C4256" t="s">
        <v>9</v>
      </c>
      <c r="D4256" t="s">
        <v>10</v>
      </c>
      <c r="E4256">
        <v>2</v>
      </c>
      <c r="F4256" s="1">
        <v>35430</v>
      </c>
      <c r="G4256">
        <v>2.2068483961555498E-2</v>
      </c>
    </row>
    <row r="4257" spans="1:7" x14ac:dyDescent="0.25">
      <c r="A4257" t="s">
        <v>7</v>
      </c>
      <c r="B4257" t="s">
        <v>22</v>
      </c>
      <c r="C4257" t="s">
        <v>9</v>
      </c>
      <c r="D4257" t="s">
        <v>10</v>
      </c>
      <c r="E4257">
        <v>2</v>
      </c>
      <c r="F4257" s="1">
        <v>35461</v>
      </c>
      <c r="G4257">
        <v>5.2484075171400899E-2</v>
      </c>
    </row>
    <row r="4258" spans="1:7" x14ac:dyDescent="0.25">
      <c r="A4258" t="s">
        <v>7</v>
      </c>
      <c r="B4258" t="s">
        <v>22</v>
      </c>
      <c r="C4258" t="s">
        <v>9</v>
      </c>
      <c r="D4258" t="s">
        <v>10</v>
      </c>
      <c r="E4258">
        <v>2</v>
      </c>
      <c r="F4258" s="1">
        <v>35489</v>
      </c>
      <c r="G4258">
        <v>1.2312227096197099E-2</v>
      </c>
    </row>
    <row r="4259" spans="1:7" x14ac:dyDescent="0.25">
      <c r="A4259" t="s">
        <v>7</v>
      </c>
      <c r="B4259" t="s">
        <v>22</v>
      </c>
      <c r="C4259" t="s">
        <v>9</v>
      </c>
      <c r="D4259" t="s">
        <v>10</v>
      </c>
      <c r="E4259">
        <v>2</v>
      </c>
      <c r="F4259" s="1">
        <v>35520</v>
      </c>
      <c r="G4259">
        <v>4.9704566949342497E-3</v>
      </c>
    </row>
    <row r="4260" spans="1:7" x14ac:dyDescent="0.25">
      <c r="A4260" t="s">
        <v>7</v>
      </c>
      <c r="B4260" t="s">
        <v>22</v>
      </c>
      <c r="C4260" t="s">
        <v>9</v>
      </c>
      <c r="D4260" t="s">
        <v>10</v>
      </c>
      <c r="E4260">
        <v>2</v>
      </c>
      <c r="F4260" s="1">
        <v>35550</v>
      </c>
      <c r="G4260">
        <v>3.6858157115719797E-2</v>
      </c>
    </row>
    <row r="4261" spans="1:7" x14ac:dyDescent="0.25">
      <c r="A4261" t="s">
        <v>7</v>
      </c>
      <c r="B4261" t="s">
        <v>22</v>
      </c>
      <c r="C4261" t="s">
        <v>9</v>
      </c>
      <c r="D4261" t="s">
        <v>10</v>
      </c>
      <c r="E4261">
        <v>10</v>
      </c>
      <c r="F4261" s="1">
        <v>35581</v>
      </c>
      <c r="G4261">
        <v>-5.3790851850605399E-2</v>
      </c>
    </row>
    <row r="4262" spans="1:7" x14ac:dyDescent="0.25">
      <c r="A4262" t="s">
        <v>7</v>
      </c>
      <c r="B4262" t="s">
        <v>22</v>
      </c>
      <c r="C4262" t="s">
        <v>9</v>
      </c>
      <c r="D4262" t="s">
        <v>10</v>
      </c>
      <c r="E4262">
        <v>8</v>
      </c>
      <c r="F4262" s="1">
        <v>35611</v>
      </c>
      <c r="G4262">
        <v>1.70912125648994E-2</v>
      </c>
    </row>
    <row r="4263" spans="1:7" x14ac:dyDescent="0.25">
      <c r="A4263" t="s">
        <v>7</v>
      </c>
      <c r="B4263" t="s">
        <v>22</v>
      </c>
      <c r="C4263" t="s">
        <v>9</v>
      </c>
      <c r="D4263" t="s">
        <v>10</v>
      </c>
      <c r="E4263">
        <v>8</v>
      </c>
      <c r="F4263" s="1">
        <v>35642</v>
      </c>
      <c r="G4263">
        <v>1.02687945472848E-2</v>
      </c>
    </row>
    <row r="4264" spans="1:7" x14ac:dyDescent="0.25">
      <c r="A4264" t="s">
        <v>7</v>
      </c>
      <c r="B4264" t="s">
        <v>22</v>
      </c>
      <c r="C4264" t="s">
        <v>9</v>
      </c>
      <c r="D4264" t="s">
        <v>10</v>
      </c>
      <c r="E4264">
        <v>8</v>
      </c>
      <c r="F4264" s="1">
        <v>35673</v>
      </c>
      <c r="G4264">
        <v>0.122706411989978</v>
      </c>
    </row>
    <row r="4265" spans="1:7" x14ac:dyDescent="0.25">
      <c r="A4265" t="s">
        <v>7</v>
      </c>
      <c r="B4265" t="s">
        <v>22</v>
      </c>
      <c r="C4265" t="s">
        <v>9</v>
      </c>
      <c r="D4265" t="s">
        <v>10</v>
      </c>
      <c r="E4265">
        <v>10</v>
      </c>
      <c r="F4265" s="1">
        <v>35703</v>
      </c>
      <c r="G4265">
        <v>2.8020255791062501E-2</v>
      </c>
    </row>
    <row r="4266" spans="1:7" x14ac:dyDescent="0.25">
      <c r="A4266" t="s">
        <v>7</v>
      </c>
      <c r="B4266" t="s">
        <v>22</v>
      </c>
      <c r="C4266" t="s">
        <v>9</v>
      </c>
      <c r="D4266" t="s">
        <v>10</v>
      </c>
      <c r="E4266">
        <v>11</v>
      </c>
      <c r="F4266" s="1">
        <v>35734</v>
      </c>
      <c r="G4266">
        <v>7.7549850293511205E-2</v>
      </c>
    </row>
    <row r="4267" spans="1:7" x14ac:dyDescent="0.25">
      <c r="A4267" t="s">
        <v>7</v>
      </c>
      <c r="B4267" t="s">
        <v>22</v>
      </c>
      <c r="C4267" t="s">
        <v>9</v>
      </c>
      <c r="D4267" t="s">
        <v>10</v>
      </c>
      <c r="E4267">
        <v>11</v>
      </c>
      <c r="F4267" s="1">
        <v>35764</v>
      </c>
      <c r="G4267">
        <v>-0.129127649609866</v>
      </c>
    </row>
    <row r="4268" spans="1:7" x14ac:dyDescent="0.25">
      <c r="A4268" t="s">
        <v>7</v>
      </c>
      <c r="B4268" t="s">
        <v>22</v>
      </c>
      <c r="C4268" t="s">
        <v>9</v>
      </c>
      <c r="D4268" t="s">
        <v>10</v>
      </c>
      <c r="E4268">
        <v>11</v>
      </c>
      <c r="F4268" s="1">
        <v>35795</v>
      </c>
      <c r="G4268">
        <v>-1.4083728688228001E-2</v>
      </c>
    </row>
    <row r="4269" spans="1:7" x14ac:dyDescent="0.25">
      <c r="A4269" t="s">
        <v>7</v>
      </c>
      <c r="B4269" t="s">
        <v>22</v>
      </c>
      <c r="C4269" t="s">
        <v>9</v>
      </c>
      <c r="D4269" t="s">
        <v>10</v>
      </c>
      <c r="E4269">
        <v>11</v>
      </c>
      <c r="F4269" s="1">
        <v>35826</v>
      </c>
      <c r="G4269">
        <v>0.19378324169057301</v>
      </c>
    </row>
    <row r="4270" spans="1:7" x14ac:dyDescent="0.25">
      <c r="A4270" t="s">
        <v>7</v>
      </c>
      <c r="B4270" t="s">
        <v>22</v>
      </c>
      <c r="C4270" t="s">
        <v>9</v>
      </c>
      <c r="D4270" t="s">
        <v>10</v>
      </c>
      <c r="E4270">
        <v>11</v>
      </c>
      <c r="F4270" s="1">
        <v>35854</v>
      </c>
      <c r="G4270">
        <v>-7.38498069682096E-2</v>
      </c>
    </row>
    <row r="4271" spans="1:7" x14ac:dyDescent="0.25">
      <c r="A4271" t="s">
        <v>7</v>
      </c>
      <c r="B4271" t="s">
        <v>22</v>
      </c>
      <c r="C4271" t="s">
        <v>9</v>
      </c>
      <c r="D4271" t="s">
        <v>10</v>
      </c>
      <c r="E4271">
        <v>11</v>
      </c>
      <c r="F4271" s="1">
        <v>35885</v>
      </c>
      <c r="G4271">
        <v>3.6078841944507799E-2</v>
      </c>
    </row>
    <row r="4272" spans="1:7" x14ac:dyDescent="0.25">
      <c r="A4272" t="s">
        <v>7</v>
      </c>
      <c r="B4272" t="s">
        <v>22</v>
      </c>
      <c r="C4272" t="s">
        <v>9</v>
      </c>
      <c r="D4272" t="s">
        <v>10</v>
      </c>
      <c r="E4272">
        <v>11</v>
      </c>
      <c r="F4272" s="1">
        <v>35915</v>
      </c>
      <c r="G4272">
        <v>5.2587881065148501E-2</v>
      </c>
    </row>
    <row r="4273" spans="1:7" x14ac:dyDescent="0.25">
      <c r="A4273" t="s">
        <v>7</v>
      </c>
      <c r="B4273" t="s">
        <v>22</v>
      </c>
      <c r="C4273" t="s">
        <v>9</v>
      </c>
      <c r="D4273" t="s">
        <v>10</v>
      </c>
      <c r="E4273">
        <v>17</v>
      </c>
      <c r="F4273" s="1">
        <v>35946</v>
      </c>
      <c r="G4273">
        <v>4.87649679518029E-2</v>
      </c>
    </row>
    <row r="4274" spans="1:7" x14ac:dyDescent="0.25">
      <c r="A4274" t="s">
        <v>7</v>
      </c>
      <c r="B4274" t="s">
        <v>22</v>
      </c>
      <c r="C4274" t="s">
        <v>9</v>
      </c>
      <c r="D4274" t="s">
        <v>10</v>
      </c>
      <c r="E4274">
        <v>17</v>
      </c>
      <c r="F4274" s="1">
        <v>35976</v>
      </c>
      <c r="G4274">
        <v>0.114993083039794</v>
      </c>
    </row>
    <row r="4275" spans="1:7" x14ac:dyDescent="0.25">
      <c r="A4275" t="s">
        <v>7</v>
      </c>
      <c r="B4275" t="s">
        <v>22</v>
      </c>
      <c r="C4275" t="s">
        <v>9</v>
      </c>
      <c r="D4275" t="s">
        <v>10</v>
      </c>
      <c r="E4275">
        <v>16</v>
      </c>
      <c r="F4275" s="1">
        <v>36007</v>
      </c>
      <c r="G4275">
        <v>-5.1954734991713498E-2</v>
      </c>
    </row>
    <row r="4276" spans="1:7" x14ac:dyDescent="0.25">
      <c r="A4276" t="s">
        <v>7</v>
      </c>
      <c r="B4276" t="s">
        <v>22</v>
      </c>
      <c r="C4276" t="s">
        <v>9</v>
      </c>
      <c r="D4276" t="s">
        <v>10</v>
      </c>
      <c r="E4276">
        <v>16</v>
      </c>
      <c r="F4276" s="1">
        <v>36038</v>
      </c>
      <c r="G4276">
        <v>7.1529159050855495E-2</v>
      </c>
    </row>
    <row r="4277" spans="1:7" x14ac:dyDescent="0.25">
      <c r="A4277" t="s">
        <v>7</v>
      </c>
      <c r="B4277" t="s">
        <v>22</v>
      </c>
      <c r="C4277" t="s">
        <v>9</v>
      </c>
      <c r="D4277" t="s">
        <v>10</v>
      </c>
      <c r="E4277">
        <v>16</v>
      </c>
      <c r="F4277" s="1">
        <v>36068</v>
      </c>
      <c r="G4277">
        <v>-5.3196108564644703E-3</v>
      </c>
    </row>
    <row r="4278" spans="1:7" x14ac:dyDescent="0.25">
      <c r="A4278" t="s">
        <v>7</v>
      </c>
      <c r="B4278" t="s">
        <v>22</v>
      </c>
      <c r="C4278" t="s">
        <v>9</v>
      </c>
      <c r="D4278" t="s">
        <v>10</v>
      </c>
      <c r="E4278">
        <v>15</v>
      </c>
      <c r="F4278" s="1">
        <v>36099</v>
      </c>
      <c r="G4278">
        <v>5.6675857938669201E-2</v>
      </c>
    </row>
    <row r="4279" spans="1:7" x14ac:dyDescent="0.25">
      <c r="A4279" t="s">
        <v>7</v>
      </c>
      <c r="B4279" t="s">
        <v>22</v>
      </c>
      <c r="C4279" t="s">
        <v>9</v>
      </c>
      <c r="D4279" t="s">
        <v>10</v>
      </c>
      <c r="E4279">
        <v>15</v>
      </c>
      <c r="F4279" s="1">
        <v>36129</v>
      </c>
      <c r="G4279">
        <v>5.2240970469920801E-2</v>
      </c>
    </row>
    <row r="4280" spans="1:7" x14ac:dyDescent="0.25">
      <c r="A4280" t="s">
        <v>7</v>
      </c>
      <c r="B4280" t="s">
        <v>22</v>
      </c>
      <c r="C4280" t="s">
        <v>9</v>
      </c>
      <c r="D4280" t="s">
        <v>10</v>
      </c>
      <c r="E4280">
        <v>16</v>
      </c>
      <c r="F4280" s="1">
        <v>36160</v>
      </c>
      <c r="G4280">
        <v>9.9476039500169602E-2</v>
      </c>
    </row>
    <row r="4281" spans="1:7" x14ac:dyDescent="0.25">
      <c r="A4281" t="s">
        <v>7</v>
      </c>
      <c r="B4281" t="s">
        <v>22</v>
      </c>
      <c r="C4281" t="s">
        <v>9</v>
      </c>
      <c r="D4281" t="s">
        <v>10</v>
      </c>
      <c r="E4281">
        <v>16</v>
      </c>
      <c r="F4281" s="1">
        <v>36191</v>
      </c>
      <c r="G4281">
        <v>-3.2967779070775499E-2</v>
      </c>
    </row>
    <row r="4282" spans="1:7" x14ac:dyDescent="0.25">
      <c r="A4282" t="s">
        <v>7</v>
      </c>
      <c r="B4282" t="s">
        <v>22</v>
      </c>
      <c r="C4282" t="s">
        <v>9</v>
      </c>
      <c r="D4282" t="s">
        <v>10</v>
      </c>
      <c r="E4282">
        <v>8</v>
      </c>
      <c r="F4282" s="1">
        <v>36219</v>
      </c>
      <c r="G4282">
        <v>-4.7097471271775701E-2</v>
      </c>
    </row>
    <row r="4283" spans="1:7" x14ac:dyDescent="0.25">
      <c r="A4283" t="s">
        <v>7</v>
      </c>
      <c r="B4283" t="s">
        <v>22</v>
      </c>
      <c r="C4283" t="s">
        <v>9</v>
      </c>
      <c r="D4283" t="s">
        <v>10</v>
      </c>
      <c r="E4283">
        <v>14</v>
      </c>
      <c r="F4283" s="1">
        <v>36250</v>
      </c>
      <c r="G4283">
        <v>0.22029611208813099</v>
      </c>
    </row>
    <row r="4284" spans="1:7" x14ac:dyDescent="0.25">
      <c r="A4284" t="s">
        <v>7</v>
      </c>
      <c r="B4284" t="s">
        <v>22</v>
      </c>
      <c r="C4284" t="s">
        <v>9</v>
      </c>
      <c r="D4284" t="s">
        <v>10</v>
      </c>
      <c r="E4284">
        <v>14</v>
      </c>
      <c r="F4284" s="1">
        <v>36280</v>
      </c>
      <c r="G4284">
        <v>3.3984817800379298E-2</v>
      </c>
    </row>
    <row r="4285" spans="1:7" x14ac:dyDescent="0.25">
      <c r="A4285" t="s">
        <v>7</v>
      </c>
      <c r="B4285" t="s">
        <v>22</v>
      </c>
      <c r="C4285" t="s">
        <v>9</v>
      </c>
      <c r="D4285" t="s">
        <v>10</v>
      </c>
      <c r="E4285">
        <v>12</v>
      </c>
      <c r="F4285" s="1">
        <v>36311</v>
      </c>
      <c r="G4285">
        <v>-4.5044247530788804E-3</v>
      </c>
    </row>
    <row r="4286" spans="1:7" x14ac:dyDescent="0.25">
      <c r="A4286" t="s">
        <v>7</v>
      </c>
      <c r="B4286" t="s">
        <v>22</v>
      </c>
      <c r="C4286" t="s">
        <v>9</v>
      </c>
      <c r="D4286" t="s">
        <v>10</v>
      </c>
      <c r="E4286">
        <v>12</v>
      </c>
      <c r="F4286" s="1">
        <v>36341</v>
      </c>
      <c r="G4286">
        <v>4.8675464343403599E-2</v>
      </c>
    </row>
    <row r="4287" spans="1:7" x14ac:dyDescent="0.25">
      <c r="A4287" t="s">
        <v>7</v>
      </c>
      <c r="B4287" t="s">
        <v>22</v>
      </c>
      <c r="C4287" t="s">
        <v>9</v>
      </c>
      <c r="D4287" t="s">
        <v>10</v>
      </c>
      <c r="E4287">
        <v>12</v>
      </c>
      <c r="F4287" s="1">
        <v>36372</v>
      </c>
      <c r="G4287">
        <v>3.9941489391868201E-2</v>
      </c>
    </row>
    <row r="4288" spans="1:7" x14ac:dyDescent="0.25">
      <c r="A4288" t="s">
        <v>7</v>
      </c>
      <c r="B4288" t="s">
        <v>22</v>
      </c>
      <c r="C4288" t="s">
        <v>9</v>
      </c>
      <c r="D4288" t="s">
        <v>10</v>
      </c>
      <c r="E4288">
        <v>12</v>
      </c>
      <c r="F4288" s="1">
        <v>36403</v>
      </c>
      <c r="G4288">
        <v>5.38453289343237E-2</v>
      </c>
    </row>
    <row r="4289" spans="1:7" x14ac:dyDescent="0.25">
      <c r="A4289" t="s">
        <v>7</v>
      </c>
      <c r="B4289" t="s">
        <v>22</v>
      </c>
      <c r="C4289" t="s">
        <v>9</v>
      </c>
      <c r="D4289" t="s">
        <v>10</v>
      </c>
      <c r="E4289">
        <v>11</v>
      </c>
      <c r="F4289" s="1">
        <v>36433</v>
      </c>
      <c r="G4289">
        <v>-3.0894545179430199E-2</v>
      </c>
    </row>
    <row r="4290" spans="1:7" x14ac:dyDescent="0.25">
      <c r="A4290" t="s">
        <v>7</v>
      </c>
      <c r="B4290" t="s">
        <v>22</v>
      </c>
      <c r="C4290" t="s">
        <v>9</v>
      </c>
      <c r="D4290" t="s">
        <v>10</v>
      </c>
      <c r="E4290">
        <v>16</v>
      </c>
      <c r="F4290" s="1">
        <v>36464</v>
      </c>
      <c r="G4290">
        <v>-3.0169237859925001E-2</v>
      </c>
    </row>
    <row r="4291" spans="1:7" x14ac:dyDescent="0.25">
      <c r="A4291" t="s">
        <v>7</v>
      </c>
      <c r="B4291" t="s">
        <v>22</v>
      </c>
      <c r="C4291" t="s">
        <v>9</v>
      </c>
      <c r="D4291" t="s">
        <v>10</v>
      </c>
      <c r="E4291">
        <v>10</v>
      </c>
      <c r="F4291" s="1">
        <v>36494</v>
      </c>
      <c r="G4291">
        <v>1.24804095588069E-2</v>
      </c>
    </row>
    <row r="4292" spans="1:7" x14ac:dyDescent="0.25">
      <c r="A4292" t="s">
        <v>7</v>
      </c>
      <c r="B4292" t="s">
        <v>22</v>
      </c>
      <c r="C4292" t="s">
        <v>9</v>
      </c>
      <c r="D4292" t="s">
        <v>10</v>
      </c>
      <c r="E4292">
        <v>11</v>
      </c>
      <c r="F4292" s="1">
        <v>36525</v>
      </c>
      <c r="G4292">
        <v>3.1943611442486697E-2</v>
      </c>
    </row>
    <row r="4293" spans="1:7" x14ac:dyDescent="0.25">
      <c r="A4293" t="s">
        <v>7</v>
      </c>
      <c r="B4293" t="s">
        <v>22</v>
      </c>
      <c r="C4293" t="s">
        <v>9</v>
      </c>
      <c r="D4293" t="s">
        <v>10</v>
      </c>
      <c r="E4293">
        <v>17</v>
      </c>
      <c r="F4293" s="1">
        <v>36556</v>
      </c>
      <c r="G4293">
        <v>-5.4341383261180501E-2</v>
      </c>
    </row>
    <row r="4294" spans="1:7" x14ac:dyDescent="0.25">
      <c r="A4294" t="s">
        <v>7</v>
      </c>
      <c r="B4294" t="s">
        <v>22</v>
      </c>
      <c r="C4294" t="s">
        <v>9</v>
      </c>
      <c r="D4294" t="s">
        <v>10</v>
      </c>
      <c r="E4294">
        <v>17</v>
      </c>
      <c r="F4294" s="1">
        <v>36585</v>
      </c>
      <c r="G4294">
        <v>-1.6438766895370101E-2</v>
      </c>
    </row>
    <row r="4295" spans="1:7" x14ac:dyDescent="0.25">
      <c r="A4295" t="s">
        <v>7</v>
      </c>
      <c r="B4295" t="s">
        <v>22</v>
      </c>
      <c r="C4295" t="s">
        <v>9</v>
      </c>
      <c r="D4295" t="s">
        <v>10</v>
      </c>
      <c r="E4295">
        <v>17</v>
      </c>
      <c r="F4295" s="1">
        <v>36616</v>
      </c>
      <c r="G4295">
        <v>3.0330574233989201E-3</v>
      </c>
    </row>
    <row r="4296" spans="1:7" x14ac:dyDescent="0.25">
      <c r="A4296" t="s">
        <v>7</v>
      </c>
      <c r="B4296" t="s">
        <v>22</v>
      </c>
      <c r="C4296" t="s">
        <v>9</v>
      </c>
      <c r="D4296" t="s">
        <v>10</v>
      </c>
      <c r="E4296">
        <v>17</v>
      </c>
      <c r="F4296" s="1">
        <v>36646</v>
      </c>
      <c r="G4296">
        <v>1.3779645251996799E-3</v>
      </c>
    </row>
    <row r="4297" spans="1:7" x14ac:dyDescent="0.25">
      <c r="A4297" t="s">
        <v>7</v>
      </c>
      <c r="B4297" t="s">
        <v>22</v>
      </c>
      <c r="C4297" t="s">
        <v>9</v>
      </c>
      <c r="D4297" t="s">
        <v>10</v>
      </c>
      <c r="E4297">
        <v>16</v>
      </c>
      <c r="F4297" s="1">
        <v>36677</v>
      </c>
      <c r="G4297">
        <v>8.1144019345904594E-2</v>
      </c>
    </row>
    <row r="4298" spans="1:7" x14ac:dyDescent="0.25">
      <c r="A4298" t="s">
        <v>7</v>
      </c>
      <c r="B4298" t="s">
        <v>22</v>
      </c>
      <c r="C4298" t="s">
        <v>9</v>
      </c>
      <c r="D4298" t="s">
        <v>10</v>
      </c>
      <c r="E4298">
        <v>10</v>
      </c>
      <c r="F4298" s="1">
        <v>36707</v>
      </c>
      <c r="G4298">
        <v>-5.6826228739553002E-2</v>
      </c>
    </row>
    <row r="4299" spans="1:7" x14ac:dyDescent="0.25">
      <c r="A4299" t="s">
        <v>7</v>
      </c>
      <c r="B4299" t="s">
        <v>22</v>
      </c>
      <c r="C4299" t="s">
        <v>9</v>
      </c>
      <c r="D4299" t="s">
        <v>10</v>
      </c>
      <c r="E4299">
        <v>16</v>
      </c>
      <c r="F4299" s="1">
        <v>36738</v>
      </c>
      <c r="G4299">
        <v>-3.24598600918947E-2</v>
      </c>
    </row>
    <row r="4300" spans="1:7" x14ac:dyDescent="0.25">
      <c r="A4300" t="s">
        <v>7</v>
      </c>
      <c r="B4300" t="s">
        <v>22</v>
      </c>
      <c r="C4300" t="s">
        <v>9</v>
      </c>
      <c r="D4300" t="s">
        <v>10</v>
      </c>
      <c r="E4300">
        <v>16</v>
      </c>
      <c r="F4300" s="1">
        <v>36769</v>
      </c>
      <c r="G4300">
        <v>3.2849102595782102E-2</v>
      </c>
    </row>
    <row r="4301" spans="1:7" x14ac:dyDescent="0.25">
      <c r="A4301" t="s">
        <v>7</v>
      </c>
      <c r="B4301" t="s">
        <v>22</v>
      </c>
      <c r="C4301" t="s">
        <v>9</v>
      </c>
      <c r="D4301" t="s">
        <v>10</v>
      </c>
      <c r="E4301">
        <v>17</v>
      </c>
      <c r="F4301" s="1">
        <v>36799</v>
      </c>
      <c r="G4301">
        <v>2.8922719873752899E-2</v>
      </c>
    </row>
    <row r="4302" spans="1:7" x14ac:dyDescent="0.25">
      <c r="A4302" t="s">
        <v>7</v>
      </c>
      <c r="B4302" t="s">
        <v>22</v>
      </c>
      <c r="C4302" t="s">
        <v>9</v>
      </c>
      <c r="D4302" t="s">
        <v>10</v>
      </c>
      <c r="E4302">
        <v>17</v>
      </c>
      <c r="F4302" s="1">
        <v>36830</v>
      </c>
      <c r="G4302">
        <v>2.1869142803417299E-2</v>
      </c>
    </row>
    <row r="4303" spans="1:7" x14ac:dyDescent="0.25">
      <c r="A4303" t="s">
        <v>7</v>
      </c>
      <c r="B4303" t="s">
        <v>22</v>
      </c>
      <c r="C4303" t="s">
        <v>9</v>
      </c>
      <c r="D4303" t="s">
        <v>10</v>
      </c>
      <c r="E4303">
        <v>17</v>
      </c>
      <c r="F4303" s="1">
        <v>36860</v>
      </c>
      <c r="G4303">
        <v>8.2063118468783305E-3</v>
      </c>
    </row>
    <row r="4304" spans="1:7" x14ac:dyDescent="0.25">
      <c r="A4304" t="s">
        <v>7</v>
      </c>
      <c r="B4304" t="s">
        <v>22</v>
      </c>
      <c r="C4304" t="s">
        <v>9</v>
      </c>
      <c r="D4304" t="s">
        <v>10</v>
      </c>
      <c r="E4304">
        <v>17</v>
      </c>
      <c r="F4304" s="1">
        <v>36891</v>
      </c>
      <c r="G4304">
        <v>-1.15910739543928E-2</v>
      </c>
    </row>
    <row r="4305" spans="1:7" x14ac:dyDescent="0.25">
      <c r="A4305" t="s">
        <v>7</v>
      </c>
      <c r="B4305" t="s">
        <v>22</v>
      </c>
      <c r="C4305" t="s">
        <v>9</v>
      </c>
      <c r="D4305" t="s">
        <v>10</v>
      </c>
      <c r="E4305">
        <v>17</v>
      </c>
      <c r="F4305" s="1">
        <v>36922</v>
      </c>
      <c r="G4305">
        <v>4.19775131557628E-2</v>
      </c>
    </row>
    <row r="4306" spans="1:7" x14ac:dyDescent="0.25">
      <c r="A4306" t="s">
        <v>7</v>
      </c>
      <c r="B4306" t="s">
        <v>22</v>
      </c>
      <c r="C4306" t="s">
        <v>9</v>
      </c>
      <c r="D4306" t="s">
        <v>10</v>
      </c>
      <c r="E4306">
        <v>17</v>
      </c>
      <c r="F4306" s="1">
        <v>36950</v>
      </c>
      <c r="G4306">
        <v>1.7718150293171302E-2</v>
      </c>
    </row>
    <row r="4307" spans="1:7" x14ac:dyDescent="0.25">
      <c r="A4307" t="s">
        <v>7</v>
      </c>
      <c r="B4307" t="s">
        <v>22</v>
      </c>
      <c r="C4307" t="s">
        <v>9</v>
      </c>
      <c r="D4307" t="s">
        <v>10</v>
      </c>
      <c r="E4307">
        <v>17</v>
      </c>
      <c r="F4307" s="1">
        <v>36981</v>
      </c>
      <c r="G4307">
        <v>-1.1644463276171001E-3</v>
      </c>
    </row>
    <row r="4308" spans="1:7" x14ac:dyDescent="0.25">
      <c r="A4308" t="s">
        <v>7</v>
      </c>
      <c r="B4308" t="s">
        <v>22</v>
      </c>
      <c r="C4308" t="s">
        <v>9</v>
      </c>
      <c r="D4308" t="s">
        <v>10</v>
      </c>
      <c r="E4308">
        <v>15</v>
      </c>
      <c r="F4308" s="1">
        <v>37011</v>
      </c>
      <c r="G4308">
        <v>1.7250994049643999E-2</v>
      </c>
    </row>
    <row r="4309" spans="1:7" x14ac:dyDescent="0.25">
      <c r="A4309" t="s">
        <v>7</v>
      </c>
      <c r="B4309" t="s">
        <v>22</v>
      </c>
      <c r="C4309" t="s">
        <v>9</v>
      </c>
      <c r="D4309" t="s">
        <v>10</v>
      </c>
      <c r="E4309">
        <v>17</v>
      </c>
      <c r="F4309" s="1">
        <v>37042</v>
      </c>
      <c r="G4309">
        <v>-5.7272852348392604E-3</v>
      </c>
    </row>
    <row r="4310" spans="1:7" x14ac:dyDescent="0.25">
      <c r="A4310" t="s">
        <v>7</v>
      </c>
      <c r="B4310" t="s">
        <v>22</v>
      </c>
      <c r="C4310" t="s">
        <v>9</v>
      </c>
      <c r="D4310" t="s">
        <v>10</v>
      </c>
      <c r="E4310">
        <v>10</v>
      </c>
      <c r="F4310" s="1">
        <v>37072</v>
      </c>
      <c r="G4310">
        <v>6.4958844479700503E-2</v>
      </c>
    </row>
    <row r="4311" spans="1:7" x14ac:dyDescent="0.25">
      <c r="A4311" t="s">
        <v>7</v>
      </c>
      <c r="B4311" t="s">
        <v>22</v>
      </c>
      <c r="C4311" t="s">
        <v>9</v>
      </c>
      <c r="D4311" t="s">
        <v>10</v>
      </c>
      <c r="E4311">
        <v>10</v>
      </c>
      <c r="F4311" s="1">
        <v>37103</v>
      </c>
      <c r="G4311">
        <v>-4.4420540537479002E-3</v>
      </c>
    </row>
    <row r="4312" spans="1:7" x14ac:dyDescent="0.25">
      <c r="A4312" t="s">
        <v>7</v>
      </c>
      <c r="B4312" t="s">
        <v>22</v>
      </c>
      <c r="C4312" t="s">
        <v>9</v>
      </c>
      <c r="D4312" t="s">
        <v>10</v>
      </c>
      <c r="E4312">
        <v>10</v>
      </c>
      <c r="F4312" s="1">
        <v>37134</v>
      </c>
      <c r="G4312">
        <v>4.8000834817305698E-4</v>
      </c>
    </row>
    <row r="4313" spans="1:7" x14ac:dyDescent="0.25">
      <c r="A4313" t="s">
        <v>7</v>
      </c>
      <c r="B4313" t="s">
        <v>22</v>
      </c>
      <c r="C4313" t="s">
        <v>9</v>
      </c>
      <c r="D4313" t="s">
        <v>10</v>
      </c>
      <c r="E4313">
        <v>10</v>
      </c>
      <c r="F4313" s="1">
        <v>37164</v>
      </c>
      <c r="G4313">
        <v>-2.8977604244988301E-2</v>
      </c>
    </row>
    <row r="4314" spans="1:7" x14ac:dyDescent="0.25">
      <c r="A4314" t="s">
        <v>7</v>
      </c>
      <c r="B4314" t="s">
        <v>22</v>
      </c>
      <c r="C4314" t="s">
        <v>9</v>
      </c>
      <c r="D4314" t="s">
        <v>10</v>
      </c>
      <c r="E4314">
        <v>2</v>
      </c>
      <c r="F4314" s="1">
        <v>37195</v>
      </c>
      <c r="G4314">
        <v>1.38630297386611E-2</v>
      </c>
    </row>
    <row r="4315" spans="1:7" x14ac:dyDescent="0.25">
      <c r="A4315" t="s">
        <v>7</v>
      </c>
      <c r="B4315" t="s">
        <v>22</v>
      </c>
      <c r="C4315" t="s">
        <v>9</v>
      </c>
      <c r="D4315" t="s">
        <v>10</v>
      </c>
      <c r="E4315">
        <v>2</v>
      </c>
      <c r="F4315" s="1">
        <v>37225</v>
      </c>
      <c r="G4315">
        <v>2.82126742808863E-2</v>
      </c>
    </row>
    <row r="4316" spans="1:7" x14ac:dyDescent="0.25">
      <c r="A4316" t="s">
        <v>7</v>
      </c>
      <c r="B4316" t="s">
        <v>22</v>
      </c>
      <c r="C4316" t="s">
        <v>9</v>
      </c>
      <c r="D4316" t="s">
        <v>10</v>
      </c>
      <c r="E4316">
        <v>2</v>
      </c>
      <c r="F4316" s="1">
        <v>37256</v>
      </c>
      <c r="G4316">
        <v>-3.6563141485477001E-3</v>
      </c>
    </row>
    <row r="4317" spans="1:7" x14ac:dyDescent="0.25">
      <c r="A4317" t="s">
        <v>7</v>
      </c>
      <c r="B4317" t="s">
        <v>22</v>
      </c>
      <c r="C4317" t="s">
        <v>9</v>
      </c>
      <c r="D4317" t="s">
        <v>10</v>
      </c>
      <c r="E4317">
        <v>10</v>
      </c>
      <c r="F4317" s="1">
        <v>37287</v>
      </c>
      <c r="G4317">
        <v>-2.22153709146834E-2</v>
      </c>
    </row>
    <row r="4318" spans="1:7" x14ac:dyDescent="0.25">
      <c r="A4318" t="s">
        <v>7</v>
      </c>
      <c r="B4318" t="s">
        <v>22</v>
      </c>
      <c r="C4318" t="s">
        <v>9</v>
      </c>
      <c r="D4318" t="s">
        <v>10</v>
      </c>
      <c r="E4318">
        <v>10</v>
      </c>
      <c r="F4318" s="1">
        <v>37315</v>
      </c>
      <c r="G4318">
        <v>6.3787793979373203E-2</v>
      </c>
    </row>
    <row r="4319" spans="1:7" x14ac:dyDescent="0.25">
      <c r="A4319" t="s">
        <v>7</v>
      </c>
      <c r="B4319" t="s">
        <v>22</v>
      </c>
      <c r="C4319" t="s">
        <v>9</v>
      </c>
      <c r="D4319" t="s">
        <v>10</v>
      </c>
      <c r="E4319">
        <v>10</v>
      </c>
      <c r="F4319" s="1">
        <v>37346</v>
      </c>
      <c r="G4319">
        <v>4.6057764683535903E-2</v>
      </c>
    </row>
    <row r="4320" spans="1:7" x14ac:dyDescent="0.25">
      <c r="A4320" t="s">
        <v>7</v>
      </c>
      <c r="B4320" t="s">
        <v>22</v>
      </c>
      <c r="C4320" t="s">
        <v>9</v>
      </c>
      <c r="D4320" t="s">
        <v>10</v>
      </c>
      <c r="E4320">
        <v>10</v>
      </c>
      <c r="F4320" s="1">
        <v>37376</v>
      </c>
      <c r="G4320">
        <v>0.13376324307613999</v>
      </c>
    </row>
    <row r="4321" spans="1:7" x14ac:dyDescent="0.25">
      <c r="A4321" t="s">
        <v>7</v>
      </c>
      <c r="B4321" t="s">
        <v>22</v>
      </c>
      <c r="C4321" t="s">
        <v>9</v>
      </c>
      <c r="D4321" t="s">
        <v>10</v>
      </c>
      <c r="E4321">
        <v>10</v>
      </c>
      <c r="F4321" s="1">
        <v>37407</v>
      </c>
      <c r="G4321">
        <v>2.3748173007748102E-2</v>
      </c>
    </row>
    <row r="4322" spans="1:7" x14ac:dyDescent="0.25">
      <c r="A4322" t="s">
        <v>7</v>
      </c>
      <c r="B4322" t="s">
        <v>22</v>
      </c>
      <c r="C4322" t="s">
        <v>9</v>
      </c>
      <c r="D4322" t="s">
        <v>10</v>
      </c>
      <c r="E4322">
        <v>10</v>
      </c>
      <c r="F4322" s="1">
        <v>37437</v>
      </c>
      <c r="G4322">
        <v>-4.0526909489071998E-2</v>
      </c>
    </row>
    <row r="4323" spans="1:7" x14ac:dyDescent="0.25">
      <c r="A4323" t="s">
        <v>7</v>
      </c>
      <c r="B4323" t="s">
        <v>22</v>
      </c>
      <c r="C4323" t="s">
        <v>9</v>
      </c>
      <c r="D4323" t="s">
        <v>10</v>
      </c>
      <c r="E4323">
        <v>9</v>
      </c>
      <c r="F4323" s="1">
        <v>37468</v>
      </c>
      <c r="G4323">
        <v>2.3310694039869002E-3</v>
      </c>
    </row>
    <row r="4324" spans="1:7" x14ac:dyDescent="0.25">
      <c r="A4324" t="s">
        <v>7</v>
      </c>
      <c r="B4324" t="s">
        <v>22</v>
      </c>
      <c r="C4324" t="s">
        <v>9</v>
      </c>
      <c r="D4324" t="s">
        <v>10</v>
      </c>
      <c r="E4324">
        <v>2</v>
      </c>
      <c r="F4324" s="1">
        <v>37499</v>
      </c>
      <c r="G4324">
        <v>-6.0795218984066E-2</v>
      </c>
    </row>
    <row r="4325" spans="1:7" x14ac:dyDescent="0.25">
      <c r="A4325" t="s">
        <v>7</v>
      </c>
      <c r="B4325" t="s">
        <v>22</v>
      </c>
      <c r="C4325" t="s">
        <v>9</v>
      </c>
      <c r="D4325" t="s">
        <v>10</v>
      </c>
      <c r="E4325">
        <v>9</v>
      </c>
      <c r="F4325" s="1">
        <v>37529</v>
      </c>
      <c r="G4325">
        <v>-4.1819726355557203E-2</v>
      </c>
    </row>
    <row r="4326" spans="1:7" x14ac:dyDescent="0.25">
      <c r="A4326" t="s">
        <v>7</v>
      </c>
      <c r="B4326" t="s">
        <v>22</v>
      </c>
      <c r="C4326" t="s">
        <v>9</v>
      </c>
      <c r="D4326" t="s">
        <v>10</v>
      </c>
      <c r="E4326">
        <v>2</v>
      </c>
      <c r="F4326" s="1">
        <v>37560</v>
      </c>
      <c r="G4326">
        <v>6.8419734099699397E-2</v>
      </c>
    </row>
    <row r="4327" spans="1:7" x14ac:dyDescent="0.25">
      <c r="A4327" t="s">
        <v>7</v>
      </c>
      <c r="B4327" t="s">
        <v>22</v>
      </c>
      <c r="C4327" t="s">
        <v>9</v>
      </c>
      <c r="D4327" t="s">
        <v>10</v>
      </c>
      <c r="E4327">
        <v>2</v>
      </c>
      <c r="F4327" s="1">
        <v>37590</v>
      </c>
      <c r="G4327">
        <v>-2.6665428736328201E-2</v>
      </c>
    </row>
    <row r="4328" spans="1:7" x14ac:dyDescent="0.25">
      <c r="A4328" t="s">
        <v>7</v>
      </c>
      <c r="B4328" t="s">
        <v>22</v>
      </c>
      <c r="C4328" t="s">
        <v>9</v>
      </c>
      <c r="D4328" t="s">
        <v>10</v>
      </c>
      <c r="E4328">
        <v>2</v>
      </c>
      <c r="F4328" s="1">
        <v>37621</v>
      </c>
      <c r="G4328">
        <v>1.46257085502176E-2</v>
      </c>
    </row>
    <row r="4329" spans="1:7" x14ac:dyDescent="0.25">
      <c r="A4329" t="s">
        <v>7</v>
      </c>
      <c r="B4329" t="s">
        <v>22</v>
      </c>
      <c r="C4329" t="s">
        <v>9</v>
      </c>
      <c r="D4329" t="s">
        <v>10</v>
      </c>
      <c r="E4329">
        <v>2</v>
      </c>
      <c r="F4329" s="1">
        <v>37652</v>
      </c>
      <c r="G4329">
        <v>9.5640337578750595E-2</v>
      </c>
    </row>
    <row r="4330" spans="1:7" x14ac:dyDescent="0.25">
      <c r="A4330" t="s">
        <v>7</v>
      </c>
      <c r="B4330" t="s">
        <v>22</v>
      </c>
      <c r="C4330" t="s">
        <v>9</v>
      </c>
      <c r="D4330" t="s">
        <v>10</v>
      </c>
      <c r="E4330">
        <v>2</v>
      </c>
      <c r="F4330" s="1">
        <v>37680</v>
      </c>
      <c r="G4330">
        <v>1.5504240035863299E-2</v>
      </c>
    </row>
    <row r="4331" spans="1:7" x14ac:dyDescent="0.25">
      <c r="A4331" t="s">
        <v>7</v>
      </c>
      <c r="B4331" t="s">
        <v>22</v>
      </c>
      <c r="C4331" t="s">
        <v>9</v>
      </c>
      <c r="D4331" t="s">
        <v>10</v>
      </c>
      <c r="E4331">
        <v>2</v>
      </c>
      <c r="F4331" s="1">
        <v>37711</v>
      </c>
      <c r="G4331">
        <v>-4.7242835939424903E-2</v>
      </c>
    </row>
    <row r="4332" spans="1:7" x14ac:dyDescent="0.25">
      <c r="A4332" t="s">
        <v>7</v>
      </c>
      <c r="B4332" t="s">
        <v>22</v>
      </c>
      <c r="C4332" t="s">
        <v>9</v>
      </c>
      <c r="D4332" t="s">
        <v>10</v>
      </c>
      <c r="E4332">
        <v>2</v>
      </c>
      <c r="F4332" s="1">
        <v>37741</v>
      </c>
      <c r="G4332">
        <v>-8.9898308326135198E-2</v>
      </c>
    </row>
    <row r="4333" spans="1:7" x14ac:dyDescent="0.25">
      <c r="A4333" t="s">
        <v>7</v>
      </c>
      <c r="B4333" t="s">
        <v>22</v>
      </c>
      <c r="C4333" t="s">
        <v>9</v>
      </c>
      <c r="D4333" t="s">
        <v>10</v>
      </c>
      <c r="E4333">
        <v>2</v>
      </c>
      <c r="F4333" s="1">
        <v>37772</v>
      </c>
      <c r="G4333">
        <v>-1.87823349652377E-2</v>
      </c>
    </row>
    <row r="4334" spans="1:7" x14ac:dyDescent="0.25">
      <c r="A4334" t="s">
        <v>7</v>
      </c>
      <c r="B4334" t="s">
        <v>22</v>
      </c>
      <c r="C4334" t="s">
        <v>9</v>
      </c>
      <c r="D4334" t="s">
        <v>10</v>
      </c>
      <c r="E4334">
        <v>2</v>
      </c>
      <c r="F4334" s="1">
        <v>37802</v>
      </c>
      <c r="G4334">
        <v>8.3340808341800104E-2</v>
      </c>
    </row>
    <row r="4335" spans="1:7" x14ac:dyDescent="0.25">
      <c r="A4335" t="s">
        <v>7</v>
      </c>
      <c r="B4335" t="s">
        <v>22</v>
      </c>
      <c r="C4335" t="s">
        <v>9</v>
      </c>
      <c r="D4335" t="s">
        <v>10</v>
      </c>
      <c r="E4335">
        <v>2</v>
      </c>
      <c r="F4335" s="1">
        <v>37833</v>
      </c>
      <c r="G4335">
        <v>-2.5643302869203601E-2</v>
      </c>
    </row>
    <row r="4336" spans="1:7" x14ac:dyDescent="0.25">
      <c r="A4336" t="s">
        <v>7</v>
      </c>
      <c r="B4336" t="s">
        <v>22</v>
      </c>
      <c r="C4336" t="s">
        <v>9</v>
      </c>
      <c r="D4336" t="s">
        <v>10</v>
      </c>
      <c r="E4336">
        <v>2</v>
      </c>
      <c r="F4336" s="1">
        <v>37864</v>
      </c>
      <c r="G4336">
        <v>-4.8217032450056402E-2</v>
      </c>
    </row>
    <row r="4337" spans="1:7" x14ac:dyDescent="0.25">
      <c r="A4337" t="s">
        <v>7</v>
      </c>
      <c r="B4337" t="s">
        <v>22</v>
      </c>
      <c r="C4337" t="s">
        <v>9</v>
      </c>
      <c r="D4337" t="s">
        <v>10</v>
      </c>
      <c r="E4337">
        <v>10</v>
      </c>
      <c r="F4337" s="1">
        <v>37894</v>
      </c>
      <c r="G4337">
        <v>-2.3329665388468899E-2</v>
      </c>
    </row>
    <row r="4338" spans="1:7" x14ac:dyDescent="0.25">
      <c r="A4338" t="s">
        <v>7</v>
      </c>
      <c r="B4338" t="s">
        <v>22</v>
      </c>
      <c r="C4338" t="s">
        <v>9</v>
      </c>
      <c r="D4338" t="s">
        <v>10</v>
      </c>
      <c r="E4338">
        <v>10</v>
      </c>
      <c r="F4338" s="1">
        <v>37925</v>
      </c>
      <c r="G4338">
        <v>2.0068837680409998E-2</v>
      </c>
    </row>
    <row r="4339" spans="1:7" x14ac:dyDescent="0.25">
      <c r="A4339" t="s">
        <v>7</v>
      </c>
      <c r="B4339" t="s">
        <v>22</v>
      </c>
      <c r="C4339" t="s">
        <v>9</v>
      </c>
      <c r="D4339" t="s">
        <v>10</v>
      </c>
      <c r="E4339">
        <v>10</v>
      </c>
      <c r="F4339" s="1">
        <v>37955</v>
      </c>
      <c r="G4339">
        <v>4.2660452855954198E-2</v>
      </c>
    </row>
    <row r="4340" spans="1:7" x14ac:dyDescent="0.25">
      <c r="A4340" t="s">
        <v>7</v>
      </c>
      <c r="B4340" t="s">
        <v>22</v>
      </c>
      <c r="C4340" t="s">
        <v>9</v>
      </c>
      <c r="D4340" t="s">
        <v>10</v>
      </c>
      <c r="E4340">
        <v>14</v>
      </c>
      <c r="F4340" s="1">
        <v>37986</v>
      </c>
      <c r="G4340">
        <v>-4.9224149549301497E-3</v>
      </c>
    </row>
    <row r="4341" spans="1:7" x14ac:dyDescent="0.25">
      <c r="A4341" t="s">
        <v>7</v>
      </c>
      <c r="B4341" t="s">
        <v>22</v>
      </c>
      <c r="C4341" t="s">
        <v>9</v>
      </c>
      <c r="D4341" t="s">
        <v>10</v>
      </c>
      <c r="E4341">
        <v>10</v>
      </c>
      <c r="F4341" s="1">
        <v>38017</v>
      </c>
      <c r="G4341">
        <v>-4.7133731158509801E-2</v>
      </c>
    </row>
    <row r="4342" spans="1:7" x14ac:dyDescent="0.25">
      <c r="A4342" t="s">
        <v>7</v>
      </c>
      <c r="B4342" t="s">
        <v>22</v>
      </c>
      <c r="C4342" t="s">
        <v>9</v>
      </c>
      <c r="D4342" t="s">
        <v>10</v>
      </c>
      <c r="E4342">
        <v>10</v>
      </c>
      <c r="F4342" s="1">
        <v>38046</v>
      </c>
      <c r="G4342">
        <v>9.3801919567466002E-2</v>
      </c>
    </row>
    <row r="4343" spans="1:7" x14ac:dyDescent="0.25">
      <c r="A4343" t="s">
        <v>7</v>
      </c>
      <c r="B4343" t="s">
        <v>22</v>
      </c>
      <c r="C4343" t="s">
        <v>9</v>
      </c>
      <c r="D4343" t="s">
        <v>10</v>
      </c>
      <c r="E4343">
        <v>10</v>
      </c>
      <c r="F4343" s="1">
        <v>38077</v>
      </c>
      <c r="G4343">
        <v>2.3689652898225499E-2</v>
      </c>
    </row>
    <row r="4344" spans="1:7" x14ac:dyDescent="0.25">
      <c r="A4344" t="s">
        <v>7</v>
      </c>
      <c r="B4344" t="s">
        <v>22</v>
      </c>
      <c r="C4344" t="s">
        <v>9</v>
      </c>
      <c r="D4344" t="s">
        <v>10</v>
      </c>
      <c r="E4344">
        <v>10</v>
      </c>
      <c r="F4344" s="1">
        <v>38107</v>
      </c>
      <c r="G4344">
        <v>6.5684539076435299E-3</v>
      </c>
    </row>
    <row r="4345" spans="1:7" x14ac:dyDescent="0.25">
      <c r="A4345" t="s">
        <v>7</v>
      </c>
      <c r="B4345" t="s">
        <v>22</v>
      </c>
      <c r="C4345" t="s">
        <v>9</v>
      </c>
      <c r="D4345" t="s">
        <v>10</v>
      </c>
      <c r="E4345">
        <v>12</v>
      </c>
      <c r="F4345" s="1">
        <v>38138</v>
      </c>
      <c r="G4345">
        <v>4.1413955512478499E-2</v>
      </c>
    </row>
    <row r="4346" spans="1:7" x14ac:dyDescent="0.25">
      <c r="A4346" t="s">
        <v>7</v>
      </c>
      <c r="B4346" t="s">
        <v>22</v>
      </c>
      <c r="C4346" t="s">
        <v>9</v>
      </c>
      <c r="D4346" t="s">
        <v>10</v>
      </c>
      <c r="E4346">
        <v>12</v>
      </c>
      <c r="F4346" s="1">
        <v>38168</v>
      </c>
      <c r="G4346">
        <v>-2.6496393812010698E-2</v>
      </c>
    </row>
    <row r="4347" spans="1:7" x14ac:dyDescent="0.25">
      <c r="A4347" t="s">
        <v>7</v>
      </c>
      <c r="B4347" t="s">
        <v>22</v>
      </c>
      <c r="C4347" t="s">
        <v>9</v>
      </c>
      <c r="D4347" t="s">
        <v>10</v>
      </c>
      <c r="E4347">
        <v>12</v>
      </c>
      <c r="F4347" s="1">
        <v>38199</v>
      </c>
      <c r="G4347">
        <v>-7.40445593535285E-4</v>
      </c>
    </row>
    <row r="4348" spans="1:7" x14ac:dyDescent="0.25">
      <c r="A4348" t="s">
        <v>7</v>
      </c>
      <c r="B4348" t="s">
        <v>22</v>
      </c>
      <c r="C4348" t="s">
        <v>9</v>
      </c>
      <c r="D4348" t="s">
        <v>10</v>
      </c>
      <c r="E4348">
        <v>13</v>
      </c>
      <c r="F4348" s="1">
        <v>38230</v>
      </c>
      <c r="G4348">
        <v>-1.2914834358244399E-2</v>
      </c>
    </row>
    <row r="4349" spans="1:7" x14ac:dyDescent="0.25">
      <c r="A4349" t="s">
        <v>7</v>
      </c>
      <c r="B4349" t="s">
        <v>22</v>
      </c>
      <c r="C4349" t="s">
        <v>9</v>
      </c>
      <c r="D4349" t="s">
        <v>10</v>
      </c>
      <c r="E4349">
        <v>18</v>
      </c>
      <c r="F4349" s="1">
        <v>38260</v>
      </c>
      <c r="G4349">
        <v>3.2121297535270703E-2</v>
      </c>
    </row>
    <row r="4350" spans="1:7" x14ac:dyDescent="0.25">
      <c r="A4350" t="s">
        <v>7</v>
      </c>
      <c r="B4350" t="s">
        <v>22</v>
      </c>
      <c r="C4350" t="s">
        <v>9</v>
      </c>
      <c r="D4350" t="s">
        <v>10</v>
      </c>
      <c r="E4350">
        <v>18</v>
      </c>
      <c r="F4350" s="1">
        <v>38291</v>
      </c>
      <c r="G4350">
        <v>-1.7734200981561199E-2</v>
      </c>
    </row>
    <row r="4351" spans="1:7" x14ac:dyDescent="0.25">
      <c r="A4351" t="s">
        <v>7</v>
      </c>
      <c r="B4351" t="s">
        <v>22</v>
      </c>
      <c r="C4351" t="s">
        <v>9</v>
      </c>
      <c r="D4351" t="s">
        <v>10</v>
      </c>
      <c r="E4351">
        <v>18</v>
      </c>
      <c r="F4351" s="1">
        <v>38321</v>
      </c>
      <c r="G4351">
        <v>1.24174130092629E-2</v>
      </c>
    </row>
    <row r="4352" spans="1:7" x14ac:dyDescent="0.25">
      <c r="A4352" t="s">
        <v>7</v>
      </c>
      <c r="B4352" t="s">
        <v>22</v>
      </c>
      <c r="C4352" t="s">
        <v>9</v>
      </c>
      <c r="D4352" t="s">
        <v>10</v>
      </c>
      <c r="E4352">
        <v>18</v>
      </c>
      <c r="F4352" s="1">
        <v>38352</v>
      </c>
      <c r="G4352">
        <v>-2.4498817715438902E-2</v>
      </c>
    </row>
    <row r="4353" spans="1:7" x14ac:dyDescent="0.25">
      <c r="A4353" t="s">
        <v>7</v>
      </c>
      <c r="B4353" t="s">
        <v>22</v>
      </c>
      <c r="C4353" t="s">
        <v>9</v>
      </c>
      <c r="D4353" t="s">
        <v>10</v>
      </c>
      <c r="E4353">
        <v>18</v>
      </c>
      <c r="F4353" s="1">
        <v>38383</v>
      </c>
      <c r="G4353">
        <v>7.5874264456072702E-3</v>
      </c>
    </row>
    <row r="4354" spans="1:7" x14ac:dyDescent="0.25">
      <c r="A4354" t="s">
        <v>7</v>
      </c>
      <c r="B4354" t="s">
        <v>22</v>
      </c>
      <c r="C4354" t="s">
        <v>9</v>
      </c>
      <c r="D4354" t="s">
        <v>10</v>
      </c>
      <c r="E4354">
        <v>18</v>
      </c>
      <c r="F4354" s="1">
        <v>38411</v>
      </c>
      <c r="G4354">
        <v>5.3816600004559602E-2</v>
      </c>
    </row>
    <row r="4355" spans="1:7" x14ac:dyDescent="0.25">
      <c r="A4355" t="s">
        <v>7</v>
      </c>
      <c r="B4355" t="s">
        <v>22</v>
      </c>
      <c r="C4355" t="s">
        <v>9</v>
      </c>
      <c r="D4355" t="s">
        <v>10</v>
      </c>
      <c r="E4355">
        <v>18</v>
      </c>
      <c r="F4355" s="1">
        <v>38442</v>
      </c>
      <c r="G4355">
        <v>6.3010373643659296E-3</v>
      </c>
    </row>
    <row r="4356" spans="1:7" x14ac:dyDescent="0.25">
      <c r="A4356" t="s">
        <v>7</v>
      </c>
      <c r="B4356" t="s">
        <v>22</v>
      </c>
      <c r="C4356" t="s">
        <v>9</v>
      </c>
      <c r="D4356" t="s">
        <v>10</v>
      </c>
      <c r="E4356">
        <v>18</v>
      </c>
      <c r="F4356" s="1">
        <v>38472</v>
      </c>
      <c r="G4356">
        <v>-1.23362454414655E-2</v>
      </c>
    </row>
    <row r="4357" spans="1:7" x14ac:dyDescent="0.25">
      <c r="A4357" t="s">
        <v>7</v>
      </c>
      <c r="B4357" t="s">
        <v>22</v>
      </c>
      <c r="C4357" t="s">
        <v>9</v>
      </c>
      <c r="D4357" t="s">
        <v>10</v>
      </c>
      <c r="E4357">
        <v>18</v>
      </c>
      <c r="F4357" s="1">
        <v>38503</v>
      </c>
      <c r="G4357">
        <v>-2.73276772271164E-2</v>
      </c>
    </row>
    <row r="4358" spans="1:7" x14ac:dyDescent="0.25">
      <c r="A4358" t="s">
        <v>7</v>
      </c>
      <c r="B4358" t="s">
        <v>22</v>
      </c>
      <c r="C4358" t="s">
        <v>9</v>
      </c>
      <c r="D4358" t="s">
        <v>10</v>
      </c>
      <c r="E4358">
        <v>18</v>
      </c>
      <c r="F4358" s="1">
        <v>38533</v>
      </c>
      <c r="G4358">
        <v>7.7575276262993797E-3</v>
      </c>
    </row>
    <row r="4359" spans="1:7" x14ac:dyDescent="0.25">
      <c r="A4359" t="s">
        <v>7</v>
      </c>
      <c r="B4359" t="s">
        <v>22</v>
      </c>
      <c r="C4359" t="s">
        <v>9</v>
      </c>
      <c r="D4359" t="s">
        <v>10</v>
      </c>
      <c r="E4359">
        <v>18</v>
      </c>
      <c r="F4359" s="1">
        <v>38564</v>
      </c>
      <c r="G4359">
        <v>4.2001134294163703E-2</v>
      </c>
    </row>
    <row r="4360" spans="1:7" x14ac:dyDescent="0.25">
      <c r="A4360" t="s">
        <v>7</v>
      </c>
      <c r="B4360" t="s">
        <v>22</v>
      </c>
      <c r="C4360" t="s">
        <v>9</v>
      </c>
      <c r="D4360" t="s">
        <v>10</v>
      </c>
      <c r="E4360">
        <v>18</v>
      </c>
      <c r="F4360" s="1">
        <v>38595</v>
      </c>
      <c r="G4360">
        <v>-4.7253645454238503E-3</v>
      </c>
    </row>
    <row r="4361" spans="1:7" x14ac:dyDescent="0.25">
      <c r="A4361" t="s">
        <v>7</v>
      </c>
      <c r="B4361" t="s">
        <v>22</v>
      </c>
      <c r="C4361" t="s">
        <v>9</v>
      </c>
      <c r="D4361" t="s">
        <v>10</v>
      </c>
      <c r="E4361">
        <v>18</v>
      </c>
      <c r="F4361" s="1">
        <v>38625</v>
      </c>
      <c r="G4361">
        <v>1.86694668607746E-2</v>
      </c>
    </row>
    <row r="4362" spans="1:7" x14ac:dyDescent="0.25">
      <c r="A4362" t="s">
        <v>7</v>
      </c>
      <c r="B4362" t="s">
        <v>22</v>
      </c>
      <c r="C4362" t="s">
        <v>9</v>
      </c>
      <c r="D4362" t="s">
        <v>10</v>
      </c>
      <c r="E4362">
        <v>18</v>
      </c>
      <c r="F4362" s="1">
        <v>38656</v>
      </c>
      <c r="G4362">
        <v>-4.9575837468675103E-2</v>
      </c>
    </row>
    <row r="4363" spans="1:7" x14ac:dyDescent="0.25">
      <c r="A4363" t="s">
        <v>7</v>
      </c>
      <c r="B4363" t="s">
        <v>22</v>
      </c>
      <c r="C4363" t="s">
        <v>9</v>
      </c>
      <c r="D4363" t="s">
        <v>10</v>
      </c>
      <c r="E4363">
        <v>18</v>
      </c>
      <c r="F4363" s="1">
        <v>38686</v>
      </c>
      <c r="G4363">
        <v>-4.3683667489296703E-2</v>
      </c>
    </row>
    <row r="4364" spans="1:7" x14ac:dyDescent="0.25">
      <c r="A4364" t="s">
        <v>7</v>
      </c>
      <c r="B4364" t="s">
        <v>22</v>
      </c>
      <c r="C4364" t="s">
        <v>9</v>
      </c>
      <c r="D4364" t="s">
        <v>10</v>
      </c>
      <c r="E4364">
        <v>18</v>
      </c>
      <c r="F4364" s="1">
        <v>38717</v>
      </c>
      <c r="G4364">
        <v>-4.3062034681925897E-2</v>
      </c>
    </row>
    <row r="4365" spans="1:7" x14ac:dyDescent="0.25">
      <c r="A4365" t="s">
        <v>7</v>
      </c>
      <c r="B4365" t="s">
        <v>22</v>
      </c>
      <c r="C4365" t="s">
        <v>9</v>
      </c>
      <c r="D4365" t="s">
        <v>10</v>
      </c>
      <c r="E4365">
        <v>18</v>
      </c>
      <c r="F4365" s="1">
        <v>38748</v>
      </c>
      <c r="G4365">
        <v>2.7413154882882401E-2</v>
      </c>
    </row>
    <row r="4366" spans="1:7" x14ac:dyDescent="0.25">
      <c r="A4366" t="s">
        <v>7</v>
      </c>
      <c r="B4366" t="s">
        <v>22</v>
      </c>
      <c r="C4366" t="s">
        <v>9</v>
      </c>
      <c r="D4366" t="s">
        <v>10</v>
      </c>
      <c r="E4366">
        <v>18</v>
      </c>
      <c r="F4366" s="1">
        <v>38776</v>
      </c>
      <c r="G4366">
        <v>-3.2574768718838201E-2</v>
      </c>
    </row>
    <row r="4367" spans="1:7" x14ac:dyDescent="0.25">
      <c r="A4367" t="s">
        <v>7</v>
      </c>
      <c r="B4367" t="s">
        <v>22</v>
      </c>
      <c r="C4367" t="s">
        <v>9</v>
      </c>
      <c r="D4367" t="s">
        <v>10</v>
      </c>
      <c r="E4367">
        <v>18</v>
      </c>
      <c r="F4367" s="1">
        <v>38807</v>
      </c>
      <c r="G4367">
        <v>-1.2240655609165201E-2</v>
      </c>
    </row>
    <row r="4368" spans="1:7" x14ac:dyDescent="0.25">
      <c r="A4368" t="s">
        <v>7</v>
      </c>
      <c r="B4368" t="s">
        <v>22</v>
      </c>
      <c r="C4368" t="s">
        <v>9</v>
      </c>
      <c r="D4368" t="s">
        <v>10</v>
      </c>
      <c r="E4368">
        <v>18</v>
      </c>
      <c r="F4368" s="1">
        <v>38837</v>
      </c>
      <c r="G4368">
        <v>3.8438142058605497E-2</v>
      </c>
    </row>
    <row r="4369" spans="1:7" x14ac:dyDescent="0.25">
      <c r="A4369" t="s">
        <v>7</v>
      </c>
      <c r="B4369" t="s">
        <v>22</v>
      </c>
      <c r="C4369" t="s">
        <v>9</v>
      </c>
      <c r="D4369" t="s">
        <v>10</v>
      </c>
      <c r="E4369">
        <v>18</v>
      </c>
      <c r="F4369" s="1">
        <v>38868</v>
      </c>
      <c r="G4369">
        <v>4.36457476100367E-2</v>
      </c>
    </row>
    <row r="4370" spans="1:7" x14ac:dyDescent="0.25">
      <c r="A4370" t="s">
        <v>7</v>
      </c>
      <c r="B4370" t="s">
        <v>22</v>
      </c>
      <c r="C4370" t="s">
        <v>9</v>
      </c>
      <c r="D4370" t="s">
        <v>10</v>
      </c>
      <c r="E4370">
        <v>18</v>
      </c>
      <c r="F4370" s="1">
        <v>38898</v>
      </c>
      <c r="G4370">
        <v>1.3168715998607699E-2</v>
      </c>
    </row>
    <row r="4371" spans="1:7" x14ac:dyDescent="0.25">
      <c r="A4371" t="s">
        <v>7</v>
      </c>
      <c r="B4371" t="s">
        <v>22</v>
      </c>
      <c r="C4371" t="s">
        <v>9</v>
      </c>
      <c r="D4371" t="s">
        <v>10</v>
      </c>
      <c r="E4371">
        <v>18</v>
      </c>
      <c r="F4371" s="1">
        <v>38929</v>
      </c>
      <c r="G4371">
        <v>1.6214418560436299E-2</v>
      </c>
    </row>
    <row r="4372" spans="1:7" x14ac:dyDescent="0.25">
      <c r="A4372" t="s">
        <v>7</v>
      </c>
      <c r="B4372" t="s">
        <v>22</v>
      </c>
      <c r="C4372" t="s">
        <v>9</v>
      </c>
      <c r="D4372" t="s">
        <v>10</v>
      </c>
      <c r="E4372">
        <v>18</v>
      </c>
      <c r="F4372" s="1">
        <v>38960</v>
      </c>
      <c r="G4372">
        <v>-3.8824718979045797E-2</v>
      </c>
    </row>
    <row r="4373" spans="1:7" x14ac:dyDescent="0.25">
      <c r="A4373" t="s">
        <v>7</v>
      </c>
      <c r="B4373" t="s">
        <v>22</v>
      </c>
      <c r="C4373" t="s">
        <v>9</v>
      </c>
      <c r="D4373" t="s">
        <v>10</v>
      </c>
      <c r="E4373">
        <v>18</v>
      </c>
      <c r="F4373" s="1">
        <v>38990</v>
      </c>
      <c r="G4373">
        <v>5.1004606554918E-3</v>
      </c>
    </row>
    <row r="4374" spans="1:7" x14ac:dyDescent="0.25">
      <c r="A4374" t="s">
        <v>7</v>
      </c>
      <c r="B4374" t="s">
        <v>22</v>
      </c>
      <c r="C4374" t="s">
        <v>9</v>
      </c>
      <c r="D4374" t="s">
        <v>10</v>
      </c>
      <c r="E4374">
        <v>18</v>
      </c>
      <c r="F4374" s="1">
        <v>39021</v>
      </c>
      <c r="G4374">
        <v>-5.7062865200671496E-3</v>
      </c>
    </row>
    <row r="4375" spans="1:7" x14ac:dyDescent="0.25">
      <c r="A4375" t="s">
        <v>7</v>
      </c>
      <c r="B4375" t="s">
        <v>22</v>
      </c>
      <c r="C4375" t="s">
        <v>9</v>
      </c>
      <c r="D4375" t="s">
        <v>10</v>
      </c>
      <c r="E4375">
        <v>18</v>
      </c>
      <c r="F4375" s="1">
        <v>39051</v>
      </c>
      <c r="G4375">
        <v>-1.28604163503158E-2</v>
      </c>
    </row>
    <row r="4376" spans="1:7" x14ac:dyDescent="0.25">
      <c r="A4376" t="s">
        <v>7</v>
      </c>
      <c r="B4376" t="s">
        <v>22</v>
      </c>
      <c r="C4376" t="s">
        <v>9</v>
      </c>
      <c r="D4376" t="s">
        <v>10</v>
      </c>
      <c r="E4376">
        <v>18</v>
      </c>
      <c r="F4376" s="1">
        <v>39082</v>
      </c>
      <c r="G4376">
        <v>3.96854292702601E-3</v>
      </c>
    </row>
    <row r="4377" spans="1:7" x14ac:dyDescent="0.25">
      <c r="A4377" t="s">
        <v>7</v>
      </c>
      <c r="B4377" t="s">
        <v>22</v>
      </c>
      <c r="C4377" t="s">
        <v>9</v>
      </c>
      <c r="D4377" t="s">
        <v>10</v>
      </c>
      <c r="E4377">
        <v>18</v>
      </c>
      <c r="F4377" s="1">
        <v>39113</v>
      </c>
      <c r="G4377">
        <v>3.2715758862255001E-2</v>
      </c>
    </row>
    <row r="4378" spans="1:7" x14ac:dyDescent="0.25">
      <c r="A4378" t="s">
        <v>7</v>
      </c>
      <c r="B4378" t="s">
        <v>22</v>
      </c>
      <c r="C4378" t="s">
        <v>9</v>
      </c>
      <c r="D4378" t="s">
        <v>10</v>
      </c>
      <c r="E4378">
        <v>18</v>
      </c>
      <c r="F4378" s="1">
        <v>39141</v>
      </c>
      <c r="G4378">
        <v>1.8461961168177301E-2</v>
      </c>
    </row>
    <row r="4379" spans="1:7" x14ac:dyDescent="0.25">
      <c r="A4379" t="s">
        <v>7</v>
      </c>
      <c r="B4379" t="s">
        <v>22</v>
      </c>
      <c r="C4379" t="s">
        <v>9</v>
      </c>
      <c r="D4379" t="s">
        <v>10</v>
      </c>
      <c r="E4379">
        <v>18</v>
      </c>
      <c r="F4379" s="1">
        <v>39172</v>
      </c>
      <c r="G4379">
        <v>5.1632888279065398E-2</v>
      </c>
    </row>
    <row r="4380" spans="1:7" x14ac:dyDescent="0.25">
      <c r="A4380" t="s">
        <v>7</v>
      </c>
      <c r="B4380" t="s">
        <v>22</v>
      </c>
      <c r="C4380" t="s">
        <v>9</v>
      </c>
      <c r="D4380" t="s">
        <v>10</v>
      </c>
      <c r="E4380">
        <v>18</v>
      </c>
      <c r="F4380" s="1">
        <v>39202</v>
      </c>
      <c r="G4380">
        <v>-2.11014211263169E-2</v>
      </c>
    </row>
    <row r="4381" spans="1:7" x14ac:dyDescent="0.25">
      <c r="A4381" t="s">
        <v>7</v>
      </c>
      <c r="B4381" t="s">
        <v>22</v>
      </c>
      <c r="C4381" t="s">
        <v>9</v>
      </c>
      <c r="D4381" t="s">
        <v>10</v>
      </c>
      <c r="E4381">
        <v>18</v>
      </c>
      <c r="F4381" s="1">
        <v>39233</v>
      </c>
      <c r="G4381">
        <v>-8.3375092024182498E-4</v>
      </c>
    </row>
    <row r="4382" spans="1:7" x14ac:dyDescent="0.25">
      <c r="A4382" t="s">
        <v>7</v>
      </c>
      <c r="B4382" t="s">
        <v>22</v>
      </c>
      <c r="C4382" t="s">
        <v>9</v>
      </c>
      <c r="D4382" t="s">
        <v>10</v>
      </c>
      <c r="E4382">
        <v>18</v>
      </c>
      <c r="F4382" s="1">
        <v>39263</v>
      </c>
      <c r="G4382">
        <v>2.6643678675196202E-2</v>
      </c>
    </row>
    <row r="4383" spans="1:7" x14ac:dyDescent="0.25">
      <c r="A4383" t="s">
        <v>7</v>
      </c>
      <c r="B4383" t="s">
        <v>22</v>
      </c>
      <c r="C4383" t="s">
        <v>9</v>
      </c>
      <c r="D4383" t="s">
        <v>10</v>
      </c>
      <c r="E4383">
        <v>18</v>
      </c>
      <c r="F4383" s="1">
        <v>39294</v>
      </c>
      <c r="G4383">
        <v>1.8959561663406399E-3</v>
      </c>
    </row>
    <row r="4384" spans="1:7" x14ac:dyDescent="0.25">
      <c r="A4384" t="s">
        <v>7</v>
      </c>
      <c r="B4384" t="s">
        <v>22</v>
      </c>
      <c r="C4384" t="s">
        <v>9</v>
      </c>
      <c r="D4384" t="s">
        <v>10</v>
      </c>
      <c r="E4384">
        <v>18</v>
      </c>
      <c r="F4384" s="1">
        <v>39325</v>
      </c>
      <c r="G4384">
        <v>3.12919056955814E-2</v>
      </c>
    </row>
    <row r="4385" spans="1:7" x14ac:dyDescent="0.25">
      <c r="A4385" t="s">
        <v>7</v>
      </c>
      <c r="B4385" t="s">
        <v>22</v>
      </c>
      <c r="C4385" t="s">
        <v>9</v>
      </c>
      <c r="D4385" t="s">
        <v>10</v>
      </c>
      <c r="E4385">
        <v>18</v>
      </c>
      <c r="F4385" s="1">
        <v>39355</v>
      </c>
      <c r="G4385">
        <v>-2.5516814310769201E-2</v>
      </c>
    </row>
    <row r="4386" spans="1:7" x14ac:dyDescent="0.25">
      <c r="A4386" t="s">
        <v>7</v>
      </c>
      <c r="B4386" t="s">
        <v>22</v>
      </c>
      <c r="C4386" t="s">
        <v>9</v>
      </c>
      <c r="D4386" t="s">
        <v>10</v>
      </c>
      <c r="E4386">
        <v>18</v>
      </c>
      <c r="F4386" s="1">
        <v>39386</v>
      </c>
      <c r="G4386">
        <v>-1.72919423119124E-2</v>
      </c>
    </row>
    <row r="4387" spans="1:7" x14ac:dyDescent="0.25">
      <c r="A4387" t="s">
        <v>7</v>
      </c>
      <c r="B4387" t="s">
        <v>22</v>
      </c>
      <c r="C4387" t="s">
        <v>9</v>
      </c>
      <c r="D4387" t="s">
        <v>10</v>
      </c>
      <c r="E4387">
        <v>18</v>
      </c>
      <c r="F4387" s="1">
        <v>39416</v>
      </c>
      <c r="G4387">
        <v>1.7543021663971501E-3</v>
      </c>
    </row>
    <row r="4388" spans="1:7" x14ac:dyDescent="0.25">
      <c r="A4388" t="s">
        <v>7</v>
      </c>
      <c r="B4388" t="s">
        <v>22</v>
      </c>
      <c r="C4388" t="s">
        <v>9</v>
      </c>
      <c r="D4388" t="s">
        <v>10</v>
      </c>
      <c r="E4388">
        <v>18</v>
      </c>
      <c r="F4388" s="1">
        <v>39447</v>
      </c>
      <c r="G4388">
        <v>-1.45798656901476E-2</v>
      </c>
    </row>
    <row r="4389" spans="1:7" x14ac:dyDescent="0.25">
      <c r="A4389" t="s">
        <v>7</v>
      </c>
      <c r="B4389" t="s">
        <v>22</v>
      </c>
      <c r="C4389" t="s">
        <v>9</v>
      </c>
      <c r="D4389" t="s">
        <v>10</v>
      </c>
      <c r="E4389">
        <v>18</v>
      </c>
      <c r="F4389" s="1">
        <v>39478</v>
      </c>
      <c r="G4389">
        <v>4.6066169812465502E-2</v>
      </c>
    </row>
    <row r="4390" spans="1:7" x14ac:dyDescent="0.25">
      <c r="A4390" t="s">
        <v>7</v>
      </c>
      <c r="B4390" t="s">
        <v>22</v>
      </c>
      <c r="C4390" t="s">
        <v>9</v>
      </c>
      <c r="D4390" t="s">
        <v>10</v>
      </c>
      <c r="E4390">
        <v>18</v>
      </c>
      <c r="F4390" s="1">
        <v>39507</v>
      </c>
      <c r="G4390">
        <v>-5.2526221679670404E-4</v>
      </c>
    </row>
    <row r="4391" spans="1:7" x14ac:dyDescent="0.25">
      <c r="A4391" t="s">
        <v>7</v>
      </c>
      <c r="B4391" t="s">
        <v>22</v>
      </c>
      <c r="C4391" t="s">
        <v>9</v>
      </c>
      <c r="D4391" t="s">
        <v>10</v>
      </c>
      <c r="E4391">
        <v>18</v>
      </c>
      <c r="F4391" s="1">
        <v>39538</v>
      </c>
      <c r="G4391">
        <v>1.3180088848715899E-3</v>
      </c>
    </row>
    <row r="4392" spans="1:7" x14ac:dyDescent="0.25">
      <c r="A4392" t="s">
        <v>7</v>
      </c>
      <c r="B4392" t="s">
        <v>22</v>
      </c>
      <c r="C4392" t="s">
        <v>9</v>
      </c>
      <c r="D4392" t="s">
        <v>10</v>
      </c>
      <c r="E4392">
        <v>18</v>
      </c>
      <c r="F4392" s="1">
        <v>39568</v>
      </c>
      <c r="G4392">
        <v>-5.6023192724142601E-3</v>
      </c>
    </row>
    <row r="4393" spans="1:7" x14ac:dyDescent="0.25">
      <c r="A4393" t="s">
        <v>7</v>
      </c>
      <c r="B4393" t="s">
        <v>22</v>
      </c>
      <c r="C4393" t="s">
        <v>9</v>
      </c>
      <c r="D4393" t="s">
        <v>10</v>
      </c>
      <c r="E4393">
        <v>17</v>
      </c>
      <c r="F4393" s="1">
        <v>39599</v>
      </c>
      <c r="G4393">
        <v>-4.6720075132450398E-2</v>
      </c>
    </row>
    <row r="4394" spans="1:7" x14ac:dyDescent="0.25">
      <c r="A4394" t="s">
        <v>7</v>
      </c>
      <c r="B4394" t="s">
        <v>22</v>
      </c>
      <c r="C4394" t="s">
        <v>9</v>
      </c>
      <c r="D4394" t="s">
        <v>10</v>
      </c>
      <c r="E4394">
        <v>17</v>
      </c>
      <c r="F4394" s="1">
        <v>39629</v>
      </c>
      <c r="G4394">
        <v>2.1718561596590202E-2</v>
      </c>
    </row>
    <row r="4395" spans="1:7" x14ac:dyDescent="0.25">
      <c r="A4395" t="s">
        <v>7</v>
      </c>
      <c r="B4395" t="s">
        <v>22</v>
      </c>
      <c r="C4395" t="s">
        <v>9</v>
      </c>
      <c r="D4395" t="s">
        <v>10</v>
      </c>
      <c r="E4395">
        <v>17</v>
      </c>
      <c r="F4395" s="1">
        <v>39660</v>
      </c>
      <c r="G4395">
        <v>3.6770779645683198E-2</v>
      </c>
    </row>
    <row r="4396" spans="1:7" x14ac:dyDescent="0.25">
      <c r="A4396" t="s">
        <v>7</v>
      </c>
      <c r="B4396" t="s">
        <v>22</v>
      </c>
      <c r="C4396" t="s">
        <v>9</v>
      </c>
      <c r="D4396" t="s">
        <v>10</v>
      </c>
      <c r="E4396">
        <v>17</v>
      </c>
      <c r="F4396" s="1">
        <v>39691</v>
      </c>
      <c r="G4396">
        <v>6.8578154529067903E-2</v>
      </c>
    </row>
    <row r="4397" spans="1:7" x14ac:dyDescent="0.25">
      <c r="A4397" t="s">
        <v>7</v>
      </c>
      <c r="B4397" t="s">
        <v>22</v>
      </c>
      <c r="C4397" t="s">
        <v>9</v>
      </c>
      <c r="D4397" t="s">
        <v>10</v>
      </c>
      <c r="E4397">
        <v>17</v>
      </c>
      <c r="F4397" s="1">
        <v>39721</v>
      </c>
      <c r="G4397">
        <v>7.4657401276388896E-2</v>
      </c>
    </row>
    <row r="4398" spans="1:7" x14ac:dyDescent="0.25">
      <c r="A4398" t="s">
        <v>7</v>
      </c>
      <c r="B4398" t="s">
        <v>22</v>
      </c>
      <c r="C4398" t="s">
        <v>9</v>
      </c>
      <c r="D4398" t="s">
        <v>10</v>
      </c>
      <c r="E4398">
        <v>17</v>
      </c>
      <c r="F4398" s="1">
        <v>39752</v>
      </c>
      <c r="G4398">
        <v>4.74539413106915E-2</v>
      </c>
    </row>
    <row r="4399" spans="1:7" x14ac:dyDescent="0.25">
      <c r="A4399" t="s">
        <v>7</v>
      </c>
      <c r="B4399" t="s">
        <v>22</v>
      </c>
      <c r="C4399" t="s">
        <v>9</v>
      </c>
      <c r="D4399" t="s">
        <v>10</v>
      </c>
      <c r="E4399">
        <v>17</v>
      </c>
      <c r="F4399" s="1">
        <v>39782</v>
      </c>
      <c r="G4399">
        <v>-1.13985323439028E-2</v>
      </c>
    </row>
    <row r="4400" spans="1:7" x14ac:dyDescent="0.25">
      <c r="A4400" t="s">
        <v>7</v>
      </c>
      <c r="B4400" t="s">
        <v>22</v>
      </c>
      <c r="C4400" t="s">
        <v>9</v>
      </c>
      <c r="D4400" t="s">
        <v>10</v>
      </c>
      <c r="E4400">
        <v>17</v>
      </c>
      <c r="F4400" s="1">
        <v>39813</v>
      </c>
      <c r="G4400">
        <v>2.1569580916624299E-2</v>
      </c>
    </row>
    <row r="4401" spans="1:7" x14ac:dyDescent="0.25">
      <c r="A4401" t="s">
        <v>7</v>
      </c>
      <c r="B4401" t="s">
        <v>22</v>
      </c>
      <c r="C4401" t="s">
        <v>9</v>
      </c>
      <c r="D4401" t="s">
        <v>10</v>
      </c>
      <c r="E4401">
        <v>17</v>
      </c>
      <c r="F4401" s="1">
        <v>39844</v>
      </c>
      <c r="G4401">
        <v>1.4882895458633499E-2</v>
      </c>
    </row>
    <row r="4402" spans="1:7" x14ac:dyDescent="0.25">
      <c r="A4402" t="s">
        <v>7</v>
      </c>
      <c r="B4402" t="s">
        <v>22</v>
      </c>
      <c r="C4402" t="s">
        <v>9</v>
      </c>
      <c r="D4402" t="s">
        <v>10</v>
      </c>
      <c r="E4402">
        <v>17</v>
      </c>
      <c r="F4402" s="1">
        <v>39872</v>
      </c>
      <c r="G4402">
        <v>9.4130637585805293E-3</v>
      </c>
    </row>
    <row r="4403" spans="1:7" x14ac:dyDescent="0.25">
      <c r="A4403" t="s">
        <v>7</v>
      </c>
      <c r="B4403" t="s">
        <v>22</v>
      </c>
      <c r="C4403" t="s">
        <v>9</v>
      </c>
      <c r="D4403" t="s">
        <v>10</v>
      </c>
      <c r="E4403">
        <v>17</v>
      </c>
      <c r="F4403" s="1">
        <v>39903</v>
      </c>
      <c r="G4403">
        <v>1.83463354487239E-2</v>
      </c>
    </row>
    <row r="4404" spans="1:7" x14ac:dyDescent="0.25">
      <c r="A4404" t="s">
        <v>7</v>
      </c>
      <c r="B4404" t="s">
        <v>22</v>
      </c>
      <c r="C4404" t="s">
        <v>9</v>
      </c>
      <c r="D4404" t="s">
        <v>10</v>
      </c>
      <c r="E4404">
        <v>17</v>
      </c>
      <c r="F4404" s="1">
        <v>39933</v>
      </c>
      <c r="G4404">
        <v>-4.9444971432041802E-2</v>
      </c>
    </row>
    <row r="4405" spans="1:7" x14ac:dyDescent="0.25">
      <c r="A4405" t="s">
        <v>7</v>
      </c>
      <c r="B4405" t="s">
        <v>22</v>
      </c>
      <c r="C4405" t="s">
        <v>9</v>
      </c>
      <c r="D4405" t="s">
        <v>10</v>
      </c>
      <c r="E4405">
        <v>18</v>
      </c>
      <c r="F4405" s="1">
        <v>39964</v>
      </c>
      <c r="G4405">
        <v>-2.7405570402612298E-2</v>
      </c>
    </row>
    <row r="4406" spans="1:7" x14ac:dyDescent="0.25">
      <c r="A4406" t="s">
        <v>7</v>
      </c>
      <c r="B4406" t="s">
        <v>22</v>
      </c>
      <c r="C4406" t="s">
        <v>9</v>
      </c>
      <c r="D4406" t="s">
        <v>10</v>
      </c>
      <c r="E4406">
        <v>18</v>
      </c>
      <c r="F4406" s="1">
        <v>39994</v>
      </c>
      <c r="G4406">
        <v>-7.2498440587401205E-4</v>
      </c>
    </row>
    <row r="4407" spans="1:7" x14ac:dyDescent="0.25">
      <c r="A4407" t="s">
        <v>7</v>
      </c>
      <c r="B4407" t="s">
        <v>22</v>
      </c>
      <c r="C4407" t="s">
        <v>9</v>
      </c>
      <c r="D4407" t="s">
        <v>10</v>
      </c>
      <c r="E4407">
        <v>18</v>
      </c>
      <c r="F4407" s="1">
        <v>40025</v>
      </c>
      <c r="G4407">
        <v>-3.3138161283167003E-2</v>
      </c>
    </row>
    <row r="4408" spans="1:7" x14ac:dyDescent="0.25">
      <c r="A4408" t="s">
        <v>7</v>
      </c>
      <c r="B4408" t="s">
        <v>22</v>
      </c>
      <c r="C4408" t="s">
        <v>9</v>
      </c>
      <c r="D4408" t="s">
        <v>10</v>
      </c>
      <c r="E4408">
        <v>18</v>
      </c>
      <c r="F4408" s="1">
        <v>40056</v>
      </c>
      <c r="G4408">
        <v>1.44267346866974E-2</v>
      </c>
    </row>
    <row r="4409" spans="1:7" x14ac:dyDescent="0.25">
      <c r="A4409" t="s">
        <v>7</v>
      </c>
      <c r="B4409" t="s">
        <v>22</v>
      </c>
      <c r="C4409" t="s">
        <v>9</v>
      </c>
      <c r="D4409" t="s">
        <v>10</v>
      </c>
      <c r="E4409">
        <v>18</v>
      </c>
      <c r="F4409" s="1">
        <v>40086</v>
      </c>
      <c r="G4409">
        <v>-3.1826335244625803E-2</v>
      </c>
    </row>
    <row r="4410" spans="1:7" x14ac:dyDescent="0.25">
      <c r="A4410" t="s">
        <v>7</v>
      </c>
      <c r="B4410" t="s">
        <v>22</v>
      </c>
      <c r="C4410" t="s">
        <v>9</v>
      </c>
      <c r="D4410" t="s">
        <v>10</v>
      </c>
      <c r="E4410">
        <v>18</v>
      </c>
      <c r="F4410" s="1">
        <v>40117</v>
      </c>
      <c r="G4410">
        <v>-2.9217106284768E-2</v>
      </c>
    </row>
    <row r="4411" spans="1:7" x14ac:dyDescent="0.25">
      <c r="A4411" t="s">
        <v>7</v>
      </c>
      <c r="B4411" t="s">
        <v>22</v>
      </c>
      <c r="C4411" t="s">
        <v>9</v>
      </c>
      <c r="D4411" t="s">
        <v>10</v>
      </c>
      <c r="E4411">
        <v>18</v>
      </c>
      <c r="F4411" s="1">
        <v>40147</v>
      </c>
      <c r="G4411">
        <v>-2.2777007417174401E-2</v>
      </c>
    </row>
    <row r="4412" spans="1:7" x14ac:dyDescent="0.25">
      <c r="A4412" t="s">
        <v>7</v>
      </c>
      <c r="B4412" t="s">
        <v>22</v>
      </c>
      <c r="C4412" t="s">
        <v>9</v>
      </c>
      <c r="D4412" t="s">
        <v>10</v>
      </c>
      <c r="E4412">
        <v>18</v>
      </c>
      <c r="F4412" s="1">
        <v>40178</v>
      </c>
      <c r="G4412">
        <v>1.27667850068809E-2</v>
      </c>
    </row>
    <row r="4413" spans="1:7" x14ac:dyDescent="0.25">
      <c r="A4413" t="s">
        <v>7</v>
      </c>
      <c r="B4413" t="s">
        <v>22</v>
      </c>
      <c r="C4413" t="s">
        <v>9</v>
      </c>
      <c r="D4413" t="s">
        <v>10</v>
      </c>
      <c r="E4413">
        <v>18</v>
      </c>
      <c r="F4413" s="1">
        <v>40209</v>
      </c>
      <c r="G4413">
        <v>-2.49031237419278E-2</v>
      </c>
    </row>
    <row r="4414" spans="1:7" x14ac:dyDescent="0.25">
      <c r="A4414" t="s">
        <v>7</v>
      </c>
      <c r="B4414" t="s">
        <v>22</v>
      </c>
      <c r="C4414" t="s">
        <v>9</v>
      </c>
      <c r="D4414" t="s">
        <v>10</v>
      </c>
      <c r="E4414">
        <v>18</v>
      </c>
      <c r="F4414" s="1">
        <v>40237</v>
      </c>
      <c r="G4414">
        <v>-3.7061671239224199E-3</v>
      </c>
    </row>
    <row r="4415" spans="1:7" x14ac:dyDescent="0.25">
      <c r="A4415" t="s">
        <v>7</v>
      </c>
      <c r="B4415" t="s">
        <v>22</v>
      </c>
      <c r="C4415" t="s">
        <v>9</v>
      </c>
      <c r="D4415" t="s">
        <v>10</v>
      </c>
      <c r="E4415">
        <v>18</v>
      </c>
      <c r="F4415" s="1">
        <v>40268</v>
      </c>
      <c r="G4415">
        <v>3.17623620562522E-2</v>
      </c>
    </row>
    <row r="4416" spans="1:7" x14ac:dyDescent="0.25">
      <c r="A4416" t="s">
        <v>7</v>
      </c>
      <c r="B4416" t="s">
        <v>22</v>
      </c>
      <c r="C4416" t="s">
        <v>9</v>
      </c>
      <c r="D4416" t="s">
        <v>10</v>
      </c>
      <c r="E4416">
        <v>18</v>
      </c>
      <c r="F4416" s="1">
        <v>40298</v>
      </c>
      <c r="G4416">
        <v>-4.1254880347904796E-3</v>
      </c>
    </row>
    <row r="4417" spans="1:7" x14ac:dyDescent="0.25">
      <c r="A4417" t="s">
        <v>7</v>
      </c>
      <c r="B4417" t="s">
        <v>22</v>
      </c>
      <c r="C4417" t="s">
        <v>9</v>
      </c>
      <c r="D4417" t="s">
        <v>10</v>
      </c>
      <c r="E4417">
        <v>18</v>
      </c>
      <c r="F4417" s="1">
        <v>40329</v>
      </c>
      <c r="G4417">
        <v>-1.10789910444264E-2</v>
      </c>
    </row>
    <row r="4418" spans="1:7" x14ac:dyDescent="0.25">
      <c r="A4418" t="s">
        <v>7</v>
      </c>
      <c r="B4418" t="s">
        <v>22</v>
      </c>
      <c r="C4418" t="s">
        <v>9</v>
      </c>
      <c r="D4418" t="s">
        <v>10</v>
      </c>
      <c r="E4418">
        <v>18</v>
      </c>
      <c r="F4418" s="1">
        <v>40359</v>
      </c>
      <c r="G4418">
        <v>-6.9775453803313497E-3</v>
      </c>
    </row>
    <row r="4419" spans="1:7" x14ac:dyDescent="0.25">
      <c r="A4419" t="s">
        <v>7</v>
      </c>
      <c r="B4419" t="s">
        <v>22</v>
      </c>
      <c r="C4419" t="s">
        <v>9</v>
      </c>
      <c r="D4419" t="s">
        <v>10</v>
      </c>
      <c r="E4419">
        <v>18</v>
      </c>
      <c r="F4419" s="1">
        <v>40390</v>
      </c>
      <c r="G4419">
        <v>-1.05210054574594E-2</v>
      </c>
    </row>
    <row r="4420" spans="1:7" x14ac:dyDescent="0.25">
      <c r="A4420" t="s">
        <v>7</v>
      </c>
      <c r="B4420" t="s">
        <v>22</v>
      </c>
      <c r="C4420" t="s">
        <v>9</v>
      </c>
      <c r="D4420" t="s">
        <v>10</v>
      </c>
      <c r="E4420">
        <v>18</v>
      </c>
      <c r="F4420" s="1">
        <v>40421</v>
      </c>
      <c r="G4420">
        <v>-5.6107146924076704E-3</v>
      </c>
    </row>
    <row r="4421" spans="1:7" x14ac:dyDescent="0.25">
      <c r="A4421" t="s">
        <v>7</v>
      </c>
      <c r="B4421" t="s">
        <v>22</v>
      </c>
      <c r="C4421" t="s">
        <v>9</v>
      </c>
      <c r="D4421" t="s">
        <v>10</v>
      </c>
      <c r="E4421">
        <v>18</v>
      </c>
      <c r="F4421" s="1">
        <v>40451</v>
      </c>
      <c r="G4421">
        <v>-1.08932212993314E-2</v>
      </c>
    </row>
    <row r="4422" spans="1:7" x14ac:dyDescent="0.25">
      <c r="A4422" t="s">
        <v>7</v>
      </c>
      <c r="B4422" t="s">
        <v>22</v>
      </c>
      <c r="C4422" t="s">
        <v>9</v>
      </c>
      <c r="D4422" t="s">
        <v>10</v>
      </c>
      <c r="E4422">
        <v>18</v>
      </c>
      <c r="F4422" s="1">
        <v>40482</v>
      </c>
      <c r="G4422">
        <v>-1.6613496041614599E-2</v>
      </c>
    </row>
    <row r="4423" spans="1:7" x14ac:dyDescent="0.25">
      <c r="A4423" t="s">
        <v>7</v>
      </c>
      <c r="B4423" t="s">
        <v>22</v>
      </c>
      <c r="C4423" t="s">
        <v>9</v>
      </c>
      <c r="D4423" t="s">
        <v>10</v>
      </c>
      <c r="E4423">
        <v>18</v>
      </c>
      <c r="F4423" s="1">
        <v>40512</v>
      </c>
      <c r="G4423">
        <v>4.2980508752640803E-3</v>
      </c>
    </row>
    <row r="4424" spans="1:7" x14ac:dyDescent="0.25">
      <c r="A4424" t="s">
        <v>7</v>
      </c>
      <c r="B4424" t="s">
        <v>22</v>
      </c>
      <c r="C4424" t="s">
        <v>9</v>
      </c>
      <c r="D4424" t="s">
        <v>10</v>
      </c>
      <c r="E4424">
        <v>18</v>
      </c>
      <c r="F4424" s="1">
        <v>40543</v>
      </c>
      <c r="G4424">
        <v>2.0993331920540401E-2</v>
      </c>
    </row>
    <row r="4425" spans="1:7" x14ac:dyDescent="0.25">
      <c r="A4425" t="s">
        <v>7</v>
      </c>
      <c r="B4425" t="s">
        <v>22</v>
      </c>
      <c r="C4425" t="s">
        <v>9</v>
      </c>
      <c r="D4425" t="s">
        <v>10</v>
      </c>
      <c r="E4425">
        <v>18</v>
      </c>
      <c r="F4425" s="1">
        <v>40574</v>
      </c>
      <c r="G4425">
        <v>3.6560216112875403E-2</v>
      </c>
    </row>
    <row r="4426" spans="1:7" x14ac:dyDescent="0.25">
      <c r="A4426" t="s">
        <v>7</v>
      </c>
      <c r="B4426" t="s">
        <v>22</v>
      </c>
      <c r="C4426" t="s">
        <v>9</v>
      </c>
      <c r="D4426" t="s">
        <v>10</v>
      </c>
      <c r="E4426">
        <v>18</v>
      </c>
      <c r="F4426" s="1">
        <v>40602</v>
      </c>
      <c r="G4426">
        <v>-8.1826406042813105E-3</v>
      </c>
    </row>
    <row r="4427" spans="1:7" x14ac:dyDescent="0.25">
      <c r="A4427" t="s">
        <v>7</v>
      </c>
      <c r="B4427" t="s">
        <v>22</v>
      </c>
      <c r="C4427" t="s">
        <v>9</v>
      </c>
      <c r="D4427" t="s">
        <v>10</v>
      </c>
      <c r="E4427">
        <v>18</v>
      </c>
      <c r="F4427" s="1">
        <v>40633</v>
      </c>
      <c r="G4427">
        <v>-9.4866874325738194E-3</v>
      </c>
    </row>
    <row r="4428" spans="1:7" x14ac:dyDescent="0.25">
      <c r="A4428" t="s">
        <v>7</v>
      </c>
      <c r="B4428" t="s">
        <v>22</v>
      </c>
      <c r="C4428" t="s">
        <v>9</v>
      </c>
      <c r="D4428" t="s">
        <v>10</v>
      </c>
      <c r="E4428">
        <v>18</v>
      </c>
      <c r="F4428" s="1">
        <v>40663</v>
      </c>
      <c r="G4428">
        <v>1.4923636115330201E-2</v>
      </c>
    </row>
    <row r="4429" spans="1:7" x14ac:dyDescent="0.25">
      <c r="A4429" t="s">
        <v>7</v>
      </c>
      <c r="B4429" t="s">
        <v>22</v>
      </c>
      <c r="C4429" t="s">
        <v>9</v>
      </c>
      <c r="D4429" t="s">
        <v>10</v>
      </c>
      <c r="E4429">
        <v>18</v>
      </c>
      <c r="F4429" s="1">
        <v>40694</v>
      </c>
      <c r="G4429">
        <v>2.8150386477368498E-2</v>
      </c>
    </row>
    <row r="4430" spans="1:7" x14ac:dyDescent="0.25">
      <c r="A4430" t="s">
        <v>7</v>
      </c>
      <c r="B4430" t="s">
        <v>22</v>
      </c>
      <c r="C4430" t="s">
        <v>9</v>
      </c>
      <c r="D4430" t="s">
        <v>10</v>
      </c>
      <c r="E4430">
        <v>18</v>
      </c>
      <c r="F4430" s="1">
        <v>40724</v>
      </c>
      <c r="G4430">
        <v>1.1481078421887701E-2</v>
      </c>
    </row>
    <row r="4431" spans="1:7" x14ac:dyDescent="0.25">
      <c r="A4431" t="s">
        <v>7</v>
      </c>
      <c r="B4431" t="s">
        <v>22</v>
      </c>
      <c r="C4431" t="s">
        <v>9</v>
      </c>
      <c r="D4431" t="s">
        <v>10</v>
      </c>
      <c r="E4431">
        <v>18</v>
      </c>
      <c r="F4431" s="1">
        <v>40755</v>
      </c>
      <c r="G4431">
        <v>1.7131394995188599E-2</v>
      </c>
    </row>
    <row r="4432" spans="1:7" x14ac:dyDescent="0.25">
      <c r="A4432" t="s">
        <v>7</v>
      </c>
      <c r="B4432" t="s">
        <v>22</v>
      </c>
      <c r="C4432" t="s">
        <v>9</v>
      </c>
      <c r="D4432" t="s">
        <v>10</v>
      </c>
      <c r="E4432">
        <v>18</v>
      </c>
      <c r="F4432" s="1">
        <v>40786</v>
      </c>
      <c r="G4432">
        <v>1.36871450434099E-2</v>
      </c>
    </row>
    <row r="4433" spans="1:7" x14ac:dyDescent="0.25">
      <c r="A4433" t="s">
        <v>7</v>
      </c>
      <c r="B4433" t="s">
        <v>22</v>
      </c>
      <c r="C4433" t="s">
        <v>9</v>
      </c>
      <c r="D4433" t="s">
        <v>10</v>
      </c>
      <c r="E4433">
        <v>18</v>
      </c>
      <c r="F4433" s="1">
        <v>40816</v>
      </c>
      <c r="G4433">
        <v>1.7857692918772001E-2</v>
      </c>
    </row>
    <row r="4434" spans="1:7" x14ac:dyDescent="0.25">
      <c r="A4434" t="s">
        <v>7</v>
      </c>
      <c r="B4434" t="s">
        <v>22</v>
      </c>
      <c r="C4434" t="s">
        <v>9</v>
      </c>
      <c r="D4434" t="s">
        <v>10</v>
      </c>
      <c r="E4434">
        <v>18</v>
      </c>
      <c r="F4434" s="1">
        <v>40847</v>
      </c>
      <c r="G4434">
        <v>1.3880771107465001E-2</v>
      </c>
    </row>
    <row r="4435" spans="1:7" x14ac:dyDescent="0.25">
      <c r="A4435" t="s">
        <v>7</v>
      </c>
      <c r="B4435" t="s">
        <v>22</v>
      </c>
      <c r="C4435" t="s">
        <v>9</v>
      </c>
      <c r="D4435" t="s">
        <v>10</v>
      </c>
      <c r="E4435">
        <v>18</v>
      </c>
      <c r="F4435" s="1">
        <v>40877</v>
      </c>
      <c r="G4435">
        <v>5.2940086082159804E-3</v>
      </c>
    </row>
    <row r="4436" spans="1:7" x14ac:dyDescent="0.25">
      <c r="A4436" t="s">
        <v>7</v>
      </c>
      <c r="B4436" t="s">
        <v>22</v>
      </c>
      <c r="C4436" t="s">
        <v>9</v>
      </c>
      <c r="D4436" t="s">
        <v>10</v>
      </c>
      <c r="E4436">
        <v>18</v>
      </c>
      <c r="F4436" s="1">
        <v>40908</v>
      </c>
      <c r="G4436">
        <v>9.9133661351097201E-3</v>
      </c>
    </row>
    <row r="4437" spans="1:7" x14ac:dyDescent="0.25">
      <c r="A4437" t="s">
        <v>7</v>
      </c>
      <c r="B4437" t="s">
        <v>22</v>
      </c>
      <c r="C4437" t="s">
        <v>9</v>
      </c>
      <c r="D4437" t="s">
        <v>10</v>
      </c>
      <c r="E4437">
        <v>18</v>
      </c>
      <c r="F4437" s="1">
        <v>40939</v>
      </c>
      <c r="G4437">
        <v>1.5997245934408998E-2</v>
      </c>
    </row>
    <row r="4438" spans="1:7" x14ac:dyDescent="0.25">
      <c r="A4438" t="s">
        <v>7</v>
      </c>
      <c r="B4438" t="s">
        <v>22</v>
      </c>
      <c r="C4438" t="s">
        <v>9</v>
      </c>
      <c r="D4438" t="s">
        <v>10</v>
      </c>
      <c r="E4438">
        <v>18</v>
      </c>
      <c r="F4438" s="1">
        <v>40968</v>
      </c>
      <c r="G4438">
        <v>-2.1506424971682699E-2</v>
      </c>
    </row>
    <row r="4439" spans="1:7" x14ac:dyDescent="0.25">
      <c r="A4439" t="s">
        <v>7</v>
      </c>
      <c r="B4439" t="s">
        <v>22</v>
      </c>
      <c r="C4439" t="s">
        <v>9</v>
      </c>
      <c r="D4439" t="s">
        <v>10</v>
      </c>
      <c r="E4439">
        <v>18</v>
      </c>
      <c r="F4439" s="1">
        <v>40999</v>
      </c>
      <c r="G4439">
        <v>-5.7614430607338804E-3</v>
      </c>
    </row>
    <row r="4440" spans="1:7" x14ac:dyDescent="0.25">
      <c r="A4440" t="s">
        <v>7</v>
      </c>
      <c r="B4440" t="s">
        <v>22</v>
      </c>
      <c r="C4440" t="s">
        <v>9</v>
      </c>
      <c r="D4440" t="s">
        <v>10</v>
      </c>
      <c r="E4440">
        <v>18</v>
      </c>
      <c r="F4440" s="1">
        <v>41029</v>
      </c>
      <c r="G4440">
        <v>-8.6383808210566404E-3</v>
      </c>
    </row>
    <row r="4441" spans="1:7" x14ac:dyDescent="0.25">
      <c r="A4441" t="s">
        <v>7</v>
      </c>
      <c r="B4441" t="s">
        <v>22</v>
      </c>
      <c r="C4441" t="s">
        <v>9</v>
      </c>
      <c r="D4441" t="s">
        <v>10</v>
      </c>
      <c r="E4441">
        <v>18</v>
      </c>
      <c r="F4441" s="1">
        <v>41060</v>
      </c>
      <c r="G4441">
        <v>-1.3954256495266401E-2</v>
      </c>
    </row>
    <row r="4442" spans="1:7" x14ac:dyDescent="0.25">
      <c r="A4442" t="s">
        <v>7</v>
      </c>
      <c r="B4442" t="s">
        <v>22</v>
      </c>
      <c r="C4442" t="s">
        <v>9</v>
      </c>
      <c r="D4442" t="s">
        <v>10</v>
      </c>
      <c r="E4442">
        <v>18</v>
      </c>
      <c r="F4442" s="1">
        <v>41090</v>
      </c>
      <c r="G4442">
        <v>2.6745465968130398E-2</v>
      </c>
    </row>
    <row r="4443" spans="1:7" x14ac:dyDescent="0.25">
      <c r="A4443" t="s">
        <v>7</v>
      </c>
      <c r="B4443" t="s">
        <v>22</v>
      </c>
      <c r="C4443" t="s">
        <v>9</v>
      </c>
      <c r="D4443" t="s">
        <v>10</v>
      </c>
      <c r="E4443">
        <v>18</v>
      </c>
      <c r="F4443" s="1">
        <v>41121</v>
      </c>
      <c r="G4443">
        <v>8.6023366544913799E-3</v>
      </c>
    </row>
    <row r="4444" spans="1:7" x14ac:dyDescent="0.25">
      <c r="A4444" t="s">
        <v>7</v>
      </c>
      <c r="B4444" t="s">
        <v>22</v>
      </c>
      <c r="C4444" t="s">
        <v>9</v>
      </c>
      <c r="D4444" t="s">
        <v>10</v>
      </c>
      <c r="E4444">
        <v>18</v>
      </c>
      <c r="F4444" s="1">
        <v>41152</v>
      </c>
      <c r="G4444">
        <v>2.45618843997869E-3</v>
      </c>
    </row>
    <row r="4445" spans="1:7" x14ac:dyDescent="0.25">
      <c r="A4445" t="s">
        <v>7</v>
      </c>
      <c r="B4445" t="s">
        <v>22</v>
      </c>
      <c r="C4445" t="s">
        <v>9</v>
      </c>
      <c r="D4445" t="s">
        <v>10</v>
      </c>
      <c r="E4445">
        <v>18</v>
      </c>
      <c r="F4445" s="1">
        <v>41182</v>
      </c>
      <c r="G4445">
        <v>1.74895825544799E-2</v>
      </c>
    </row>
    <row r="4446" spans="1:7" x14ac:dyDescent="0.25">
      <c r="A4446" t="s">
        <v>7</v>
      </c>
      <c r="B4446" t="s">
        <v>22</v>
      </c>
      <c r="C4446" t="s">
        <v>9</v>
      </c>
      <c r="D4446" t="s">
        <v>10</v>
      </c>
      <c r="E4446">
        <v>18</v>
      </c>
      <c r="F4446" s="1">
        <v>41213</v>
      </c>
      <c r="G4446">
        <v>-7.3294859655635605E-4</v>
      </c>
    </row>
    <row r="4447" spans="1:7" x14ac:dyDescent="0.25">
      <c r="A4447" t="s">
        <v>7</v>
      </c>
      <c r="B4447" t="s">
        <v>22</v>
      </c>
      <c r="C4447" t="s">
        <v>9</v>
      </c>
      <c r="D4447" t="s">
        <v>10</v>
      </c>
      <c r="E4447">
        <v>18</v>
      </c>
      <c r="F4447" s="1">
        <v>41243</v>
      </c>
      <c r="G4447">
        <v>-1.2916401167398599E-2</v>
      </c>
    </row>
    <row r="4448" spans="1:7" x14ac:dyDescent="0.25">
      <c r="A4448" t="s">
        <v>7</v>
      </c>
      <c r="B4448" t="s">
        <v>22</v>
      </c>
      <c r="C4448" t="s">
        <v>9</v>
      </c>
      <c r="D4448" t="s">
        <v>10</v>
      </c>
      <c r="E4448">
        <v>18</v>
      </c>
      <c r="F4448" s="1">
        <v>41274</v>
      </c>
      <c r="G4448">
        <v>1.2704821218582499E-2</v>
      </c>
    </row>
    <row r="4449" spans="1:7" x14ac:dyDescent="0.25">
      <c r="A4449" t="s">
        <v>7</v>
      </c>
      <c r="B4449" t="s">
        <v>22</v>
      </c>
      <c r="C4449" t="s">
        <v>9</v>
      </c>
      <c r="D4449" t="s">
        <v>10</v>
      </c>
      <c r="E4449">
        <v>18</v>
      </c>
      <c r="F4449" s="1">
        <v>41305</v>
      </c>
      <c r="G4449">
        <v>2.26301488615454E-2</v>
      </c>
    </row>
    <row r="4450" spans="1:7" x14ac:dyDescent="0.25">
      <c r="A4450" t="s">
        <v>7</v>
      </c>
      <c r="B4450" t="s">
        <v>22</v>
      </c>
      <c r="C4450" t="s">
        <v>9</v>
      </c>
      <c r="D4450" t="s">
        <v>10</v>
      </c>
      <c r="E4450">
        <v>18</v>
      </c>
      <c r="F4450" s="1">
        <v>41333</v>
      </c>
      <c r="G4450">
        <v>6.0312296031258296E-3</v>
      </c>
    </row>
    <row r="4451" spans="1:7" x14ac:dyDescent="0.25">
      <c r="A4451" t="s">
        <v>7</v>
      </c>
      <c r="B4451" t="s">
        <v>22</v>
      </c>
      <c r="C4451" t="s">
        <v>9</v>
      </c>
      <c r="D4451" t="s">
        <v>10</v>
      </c>
      <c r="E4451">
        <v>18</v>
      </c>
      <c r="F4451" s="1">
        <v>41364</v>
      </c>
      <c r="G4451">
        <v>2.21985477033304E-2</v>
      </c>
    </row>
    <row r="4452" spans="1:7" x14ac:dyDescent="0.25">
      <c r="A4452" t="s">
        <v>7</v>
      </c>
      <c r="B4452" t="s">
        <v>22</v>
      </c>
      <c r="C4452" t="s">
        <v>9</v>
      </c>
      <c r="D4452" t="s">
        <v>10</v>
      </c>
      <c r="E4452">
        <v>18</v>
      </c>
      <c r="F4452" s="1">
        <v>41394</v>
      </c>
      <c r="G4452">
        <v>-2.3641146776953101E-3</v>
      </c>
    </row>
    <row r="4453" spans="1:7" x14ac:dyDescent="0.25">
      <c r="A4453" t="s">
        <v>7</v>
      </c>
      <c r="B4453" t="s">
        <v>22</v>
      </c>
      <c r="C4453" t="s">
        <v>9</v>
      </c>
      <c r="D4453" t="s">
        <v>10</v>
      </c>
      <c r="E4453">
        <v>18</v>
      </c>
      <c r="F4453" s="1">
        <v>41425</v>
      </c>
      <c r="G4453">
        <v>-8.4733498182533E-3</v>
      </c>
    </row>
    <row r="4454" spans="1:7" x14ac:dyDescent="0.25">
      <c r="A4454" t="s">
        <v>7</v>
      </c>
      <c r="B4454" t="s">
        <v>22</v>
      </c>
      <c r="C4454" t="s">
        <v>9</v>
      </c>
      <c r="D4454" t="s">
        <v>10</v>
      </c>
      <c r="E4454">
        <v>18</v>
      </c>
      <c r="F4454" s="1">
        <v>41455</v>
      </c>
      <c r="G4454">
        <v>4.2139309192027602E-3</v>
      </c>
    </row>
    <row r="4455" spans="1:7" x14ac:dyDescent="0.25">
      <c r="A4455" t="s">
        <v>7</v>
      </c>
      <c r="B4455" t="s">
        <v>22</v>
      </c>
      <c r="C4455" t="s">
        <v>9</v>
      </c>
      <c r="D4455" t="s">
        <v>10</v>
      </c>
      <c r="E4455">
        <v>18</v>
      </c>
      <c r="F4455" s="1">
        <v>41486</v>
      </c>
      <c r="G4455">
        <v>8.4530545190303393E-3</v>
      </c>
    </row>
    <row r="4456" spans="1:7" x14ac:dyDescent="0.25">
      <c r="A4456" t="s">
        <v>7</v>
      </c>
      <c r="B4456" t="s">
        <v>22</v>
      </c>
      <c r="C4456" t="s">
        <v>9</v>
      </c>
      <c r="D4456" t="s">
        <v>10</v>
      </c>
      <c r="E4456">
        <v>18</v>
      </c>
      <c r="F4456" s="1">
        <v>41517</v>
      </c>
      <c r="G4456">
        <v>9.6977404117952696E-3</v>
      </c>
    </row>
    <row r="4457" spans="1:7" x14ac:dyDescent="0.25">
      <c r="A4457" t="s">
        <v>7</v>
      </c>
      <c r="B4457" t="s">
        <v>22</v>
      </c>
      <c r="C4457" t="s">
        <v>9</v>
      </c>
      <c r="D4457" t="s">
        <v>10</v>
      </c>
      <c r="E4457">
        <v>18</v>
      </c>
      <c r="F4457" s="1">
        <v>41547</v>
      </c>
      <c r="G4457">
        <v>2.0475571100709199E-2</v>
      </c>
    </row>
    <row r="4458" spans="1:7" x14ac:dyDescent="0.25">
      <c r="A4458" t="s">
        <v>7</v>
      </c>
      <c r="B4458" t="s">
        <v>22</v>
      </c>
      <c r="C4458" t="s">
        <v>9</v>
      </c>
      <c r="D4458" t="s">
        <v>10</v>
      </c>
      <c r="E4458">
        <v>18</v>
      </c>
      <c r="F4458" s="1">
        <v>41578</v>
      </c>
      <c r="G4458">
        <v>3.3165182476840402E-2</v>
      </c>
    </row>
    <row r="4459" spans="1:7" x14ac:dyDescent="0.25">
      <c r="A4459" t="s">
        <v>7</v>
      </c>
      <c r="B4459" t="s">
        <v>22</v>
      </c>
      <c r="C4459" t="s">
        <v>9</v>
      </c>
      <c r="D4459" t="s">
        <v>10</v>
      </c>
      <c r="E4459">
        <v>18</v>
      </c>
      <c r="F4459" s="1">
        <v>41608</v>
      </c>
      <c r="G4459">
        <v>-1.5498786931360401E-2</v>
      </c>
    </row>
    <row r="4460" spans="1:7" x14ac:dyDescent="0.25">
      <c r="A4460" t="s">
        <v>7</v>
      </c>
      <c r="B4460" t="s">
        <v>22</v>
      </c>
      <c r="C4460" t="s">
        <v>9</v>
      </c>
      <c r="D4460" t="s">
        <v>10</v>
      </c>
      <c r="E4460">
        <v>18</v>
      </c>
      <c r="F4460" s="1">
        <v>41639</v>
      </c>
      <c r="G4460">
        <v>6.9157769096781698E-3</v>
      </c>
    </row>
    <row r="4461" spans="1:7" x14ac:dyDescent="0.25">
      <c r="A4461" t="s">
        <v>7</v>
      </c>
      <c r="B4461" t="s">
        <v>22</v>
      </c>
      <c r="C4461" t="s">
        <v>9</v>
      </c>
      <c r="D4461" t="s">
        <v>10</v>
      </c>
      <c r="E4461">
        <v>18</v>
      </c>
      <c r="F4461" s="1">
        <v>41670</v>
      </c>
      <c r="G4461">
        <v>-3.7571051881194499E-3</v>
      </c>
    </row>
    <row r="4462" spans="1:7" x14ac:dyDescent="0.25">
      <c r="A4462" t="s">
        <v>7</v>
      </c>
      <c r="B4462" t="s">
        <v>22</v>
      </c>
      <c r="C4462" t="s">
        <v>9</v>
      </c>
      <c r="D4462" t="s">
        <v>10</v>
      </c>
      <c r="E4462">
        <v>18</v>
      </c>
      <c r="F4462" s="1">
        <v>41698</v>
      </c>
      <c r="G4462">
        <v>-2.7905382404192401E-2</v>
      </c>
    </row>
    <row r="4463" spans="1:7" x14ac:dyDescent="0.25">
      <c r="A4463" t="s">
        <v>7</v>
      </c>
      <c r="B4463" t="s">
        <v>22</v>
      </c>
      <c r="C4463" t="s">
        <v>9</v>
      </c>
      <c r="D4463" t="s">
        <v>10</v>
      </c>
      <c r="E4463">
        <v>18</v>
      </c>
      <c r="F4463" s="1">
        <v>41729</v>
      </c>
      <c r="G4463">
        <v>6.9491463120936595E-4</v>
      </c>
    </row>
    <row r="4464" spans="1:7" x14ac:dyDescent="0.25">
      <c r="A4464" t="s">
        <v>7</v>
      </c>
      <c r="B4464" t="s">
        <v>22</v>
      </c>
      <c r="C4464" t="s">
        <v>9</v>
      </c>
      <c r="D4464" t="s">
        <v>10</v>
      </c>
      <c r="E4464">
        <v>18</v>
      </c>
      <c r="F4464" s="1">
        <v>41759</v>
      </c>
      <c r="G4464">
        <v>-2.3811485645309901E-3</v>
      </c>
    </row>
    <row r="4465" spans="1:7" x14ac:dyDescent="0.25">
      <c r="A4465" t="s">
        <v>7</v>
      </c>
      <c r="B4465" t="s">
        <v>22</v>
      </c>
      <c r="C4465" t="s">
        <v>9</v>
      </c>
      <c r="D4465" t="s">
        <v>10</v>
      </c>
      <c r="E4465">
        <v>18</v>
      </c>
      <c r="F4465" s="1">
        <v>41790</v>
      </c>
      <c r="G4465">
        <v>-2.5226185131805499E-2</v>
      </c>
    </row>
    <row r="4466" spans="1:7" x14ac:dyDescent="0.25">
      <c r="A4466" t="s">
        <v>7</v>
      </c>
      <c r="B4466" t="s">
        <v>22</v>
      </c>
      <c r="C4466" t="s">
        <v>9</v>
      </c>
      <c r="D4466" t="s">
        <v>10</v>
      </c>
      <c r="E4466">
        <v>18</v>
      </c>
      <c r="F4466" s="1">
        <v>41820</v>
      </c>
      <c r="G4466">
        <v>-2.9648088335533602E-3</v>
      </c>
    </row>
    <row r="4467" spans="1:7" x14ac:dyDescent="0.25">
      <c r="A4467" t="s">
        <v>7</v>
      </c>
      <c r="B4467" t="s">
        <v>22</v>
      </c>
      <c r="C4467" t="s">
        <v>9</v>
      </c>
      <c r="D4467" t="s">
        <v>10</v>
      </c>
      <c r="E4467">
        <v>18</v>
      </c>
      <c r="F4467" s="1">
        <v>41851</v>
      </c>
      <c r="G4467">
        <v>-3.37000309469192E-3</v>
      </c>
    </row>
    <row r="4468" spans="1:7" x14ac:dyDescent="0.25">
      <c r="A4468" t="s">
        <v>7</v>
      </c>
      <c r="B4468" t="s">
        <v>22</v>
      </c>
      <c r="C4468" t="s">
        <v>9</v>
      </c>
      <c r="D4468" t="s">
        <v>10</v>
      </c>
      <c r="E4468">
        <v>18</v>
      </c>
      <c r="F4468" s="1">
        <v>41882</v>
      </c>
      <c r="G4468">
        <v>9.0823629656949807E-3</v>
      </c>
    </row>
    <row r="4469" spans="1:7" x14ac:dyDescent="0.25">
      <c r="A4469" t="s">
        <v>7</v>
      </c>
      <c r="B4469" t="s">
        <v>22</v>
      </c>
      <c r="C4469" t="s">
        <v>9</v>
      </c>
      <c r="D4469" t="s">
        <v>10</v>
      </c>
      <c r="E4469">
        <v>18</v>
      </c>
      <c r="F4469" s="1">
        <v>41912</v>
      </c>
      <c r="G4469">
        <v>-1.6100402202651101E-2</v>
      </c>
    </row>
    <row r="4470" spans="1:7" x14ac:dyDescent="0.25">
      <c r="A4470" t="s">
        <v>7</v>
      </c>
      <c r="B4470" t="s">
        <v>22</v>
      </c>
      <c r="C4470" t="s">
        <v>9</v>
      </c>
      <c r="D4470" t="s">
        <v>10</v>
      </c>
      <c r="E4470">
        <v>18</v>
      </c>
      <c r="F4470" s="1">
        <v>41943</v>
      </c>
      <c r="G4470">
        <v>-2.49908183969333E-2</v>
      </c>
    </row>
    <row r="4471" spans="1:7" x14ac:dyDescent="0.25">
      <c r="A4471" t="s">
        <v>7</v>
      </c>
      <c r="B4471" t="s">
        <v>22</v>
      </c>
      <c r="C4471" t="s">
        <v>9</v>
      </c>
      <c r="D4471" t="s">
        <v>10</v>
      </c>
      <c r="E4471">
        <v>18</v>
      </c>
      <c r="F4471" s="1">
        <v>41973</v>
      </c>
      <c r="G4471">
        <v>-1.5931579493348998E-2</v>
      </c>
    </row>
    <row r="4472" spans="1:7" x14ac:dyDescent="0.25">
      <c r="A4472" t="s">
        <v>7</v>
      </c>
      <c r="B4472" t="s">
        <v>22</v>
      </c>
      <c r="C4472" t="s">
        <v>9</v>
      </c>
      <c r="D4472" t="s">
        <v>10</v>
      </c>
      <c r="E4472">
        <v>18</v>
      </c>
      <c r="F4472" s="1">
        <v>42004</v>
      </c>
      <c r="G4472">
        <v>-1.4703904469653801E-2</v>
      </c>
    </row>
    <row r="4473" spans="1:7" x14ac:dyDescent="0.25">
      <c r="A4473" t="s">
        <v>7</v>
      </c>
      <c r="B4473" t="s">
        <v>22</v>
      </c>
      <c r="C4473" t="s">
        <v>9</v>
      </c>
      <c r="D4473" t="s">
        <v>10</v>
      </c>
      <c r="E4473">
        <v>18</v>
      </c>
      <c r="F4473" s="1">
        <v>42035</v>
      </c>
      <c r="G4473">
        <v>-6.1276295957806296E-3</v>
      </c>
    </row>
    <row r="4474" spans="1:7" x14ac:dyDescent="0.25">
      <c r="A4474" t="s">
        <v>7</v>
      </c>
      <c r="B4474" t="s">
        <v>22</v>
      </c>
      <c r="C4474" t="s">
        <v>9</v>
      </c>
      <c r="D4474" t="s">
        <v>10</v>
      </c>
      <c r="E4474">
        <v>18</v>
      </c>
      <c r="F4474" s="1">
        <v>42063</v>
      </c>
      <c r="G4474">
        <v>2.88145904509928E-2</v>
      </c>
    </row>
    <row r="4475" spans="1:7" x14ac:dyDescent="0.25">
      <c r="A4475" t="s">
        <v>7</v>
      </c>
      <c r="B4475" t="s">
        <v>22</v>
      </c>
      <c r="C4475" t="s">
        <v>9</v>
      </c>
      <c r="D4475" t="s">
        <v>10</v>
      </c>
      <c r="E4475">
        <v>18</v>
      </c>
      <c r="F4475" s="1">
        <v>42094</v>
      </c>
      <c r="G4475">
        <v>-6.3481359229300496E-3</v>
      </c>
    </row>
    <row r="4476" spans="1:7" x14ac:dyDescent="0.25">
      <c r="A4476" t="s">
        <v>7</v>
      </c>
      <c r="B4476" t="s">
        <v>22</v>
      </c>
      <c r="C4476" t="s">
        <v>9</v>
      </c>
      <c r="D4476" t="s">
        <v>10</v>
      </c>
      <c r="E4476">
        <v>18</v>
      </c>
      <c r="F4476" s="1">
        <v>42124</v>
      </c>
      <c r="G4476">
        <v>9.7133795456938003E-3</v>
      </c>
    </row>
    <row r="4477" spans="1:7" x14ac:dyDescent="0.25">
      <c r="A4477" t="s">
        <v>7</v>
      </c>
      <c r="B4477" t="s">
        <v>22</v>
      </c>
      <c r="C4477" t="s">
        <v>9</v>
      </c>
      <c r="D4477" t="s">
        <v>10</v>
      </c>
      <c r="E4477">
        <v>18</v>
      </c>
      <c r="F4477" s="1">
        <v>42155</v>
      </c>
      <c r="G4477">
        <v>-2.9291461125405299E-2</v>
      </c>
    </row>
    <row r="4478" spans="1:7" x14ac:dyDescent="0.25">
      <c r="A4478" t="s">
        <v>7</v>
      </c>
      <c r="B4478" t="s">
        <v>22</v>
      </c>
      <c r="C4478" t="s">
        <v>9</v>
      </c>
      <c r="D4478" t="s">
        <v>10</v>
      </c>
      <c r="E4478">
        <v>18</v>
      </c>
      <c r="F4478" s="1">
        <v>42185</v>
      </c>
      <c r="G4478">
        <v>-1.6477176267610399E-2</v>
      </c>
    </row>
    <row r="4479" spans="1:7" x14ac:dyDescent="0.25">
      <c r="A4479" t="s">
        <v>7</v>
      </c>
      <c r="B4479" t="s">
        <v>22</v>
      </c>
      <c r="C4479" t="s">
        <v>9</v>
      </c>
      <c r="D4479" t="s">
        <v>10</v>
      </c>
      <c r="E4479">
        <v>18</v>
      </c>
      <c r="F4479" s="1">
        <v>42216</v>
      </c>
      <c r="G4479">
        <v>-2.2343171600740001E-2</v>
      </c>
    </row>
    <row r="4480" spans="1:7" x14ac:dyDescent="0.25">
      <c r="A4480" t="s">
        <v>7</v>
      </c>
      <c r="B4480" t="s">
        <v>22</v>
      </c>
      <c r="C4480" t="s">
        <v>9</v>
      </c>
      <c r="D4480" t="s">
        <v>10</v>
      </c>
      <c r="E4480">
        <v>18</v>
      </c>
      <c r="F4480" s="1">
        <v>42247</v>
      </c>
      <c r="G4480">
        <v>-2.2889438550285499E-2</v>
      </c>
    </row>
    <row r="4481" spans="1:7" x14ac:dyDescent="0.25">
      <c r="A4481" t="s">
        <v>7</v>
      </c>
      <c r="B4481" t="s">
        <v>22</v>
      </c>
      <c r="C4481" t="s">
        <v>9</v>
      </c>
      <c r="D4481" t="s">
        <v>10</v>
      </c>
      <c r="E4481">
        <v>18</v>
      </c>
      <c r="F4481" s="1">
        <v>42277</v>
      </c>
      <c r="G4481">
        <v>-2.04903337881167E-2</v>
      </c>
    </row>
    <row r="4482" spans="1:7" x14ac:dyDescent="0.25">
      <c r="A4482" t="s">
        <v>7</v>
      </c>
      <c r="B4482" t="s">
        <v>22</v>
      </c>
      <c r="C4482" t="s">
        <v>9</v>
      </c>
      <c r="D4482" t="s">
        <v>10</v>
      </c>
      <c r="E4482">
        <v>18</v>
      </c>
      <c r="F4482" s="1">
        <v>42308</v>
      </c>
      <c r="G4482">
        <v>5.4195839038342998E-2</v>
      </c>
    </row>
    <row r="4483" spans="1:7" x14ac:dyDescent="0.25">
      <c r="A4483" t="s">
        <v>7</v>
      </c>
      <c r="B4483" t="s">
        <v>22</v>
      </c>
      <c r="C4483" t="s">
        <v>9</v>
      </c>
      <c r="D4483" t="s">
        <v>10</v>
      </c>
      <c r="E4483">
        <v>18</v>
      </c>
      <c r="F4483" s="1">
        <v>42338</v>
      </c>
      <c r="G4483">
        <v>3.2970771993341398E-4</v>
      </c>
    </row>
    <row r="4484" spans="1:7" x14ac:dyDescent="0.25">
      <c r="A4484" t="s">
        <v>7</v>
      </c>
      <c r="B4484" t="s">
        <v>22</v>
      </c>
      <c r="C4484" t="s">
        <v>9</v>
      </c>
      <c r="D4484" t="s">
        <v>10</v>
      </c>
      <c r="E4484">
        <v>18</v>
      </c>
      <c r="F4484" s="1">
        <v>42369</v>
      </c>
      <c r="G4484">
        <v>-6.1078152254442396E-3</v>
      </c>
    </row>
    <row r="4485" spans="1:7" x14ac:dyDescent="0.25">
      <c r="A4485" t="s">
        <v>7</v>
      </c>
      <c r="B4485" t="s">
        <v>22</v>
      </c>
      <c r="C4485" t="s">
        <v>9</v>
      </c>
      <c r="D4485" t="s">
        <v>10</v>
      </c>
      <c r="E4485">
        <v>18</v>
      </c>
      <c r="F4485" s="1">
        <v>42400</v>
      </c>
      <c r="G4485">
        <v>-3.9437565196065102E-2</v>
      </c>
    </row>
    <row r="4486" spans="1:7" x14ac:dyDescent="0.25">
      <c r="A4486" t="s">
        <v>7</v>
      </c>
      <c r="B4486" t="s">
        <v>22</v>
      </c>
      <c r="C4486" t="s">
        <v>9</v>
      </c>
      <c r="D4486" t="s">
        <v>10</v>
      </c>
      <c r="E4486">
        <v>18</v>
      </c>
      <c r="F4486" s="1">
        <v>42429</v>
      </c>
      <c r="G4486">
        <v>4.1992442812248697E-2</v>
      </c>
    </row>
    <row r="4487" spans="1:7" x14ac:dyDescent="0.25">
      <c r="A4487" t="s">
        <v>7</v>
      </c>
      <c r="B4487" t="s">
        <v>22</v>
      </c>
      <c r="C4487" t="s">
        <v>9</v>
      </c>
      <c r="D4487" t="s">
        <v>10</v>
      </c>
      <c r="E4487">
        <v>18</v>
      </c>
      <c r="F4487" s="1">
        <v>42460</v>
      </c>
      <c r="G4487">
        <v>6.14017561482132E-2</v>
      </c>
    </row>
    <row r="4488" spans="1:7" x14ac:dyDescent="0.25">
      <c r="A4488" t="s">
        <v>7</v>
      </c>
      <c r="B4488" t="s">
        <v>22</v>
      </c>
      <c r="C4488" t="s">
        <v>9</v>
      </c>
      <c r="D4488" t="s">
        <v>10</v>
      </c>
      <c r="E4488">
        <v>18</v>
      </c>
      <c r="F4488" s="1">
        <v>42490</v>
      </c>
      <c r="G4488">
        <v>-1.4660110951070201E-2</v>
      </c>
    </row>
    <row r="4489" spans="1:7" x14ac:dyDescent="0.25">
      <c r="A4489" t="s">
        <v>7</v>
      </c>
      <c r="B4489" t="s">
        <v>22</v>
      </c>
      <c r="C4489" t="s">
        <v>9</v>
      </c>
      <c r="D4489" t="s">
        <v>10</v>
      </c>
      <c r="E4489">
        <v>18</v>
      </c>
      <c r="F4489" s="1">
        <v>42521</v>
      </c>
      <c r="G4489">
        <v>-5.1402154830387297E-3</v>
      </c>
    </row>
    <row r="4490" spans="1:7" x14ac:dyDescent="0.25">
      <c r="A4490" t="s">
        <v>7</v>
      </c>
      <c r="B4490" t="s">
        <v>22</v>
      </c>
      <c r="C4490" t="s">
        <v>9</v>
      </c>
      <c r="D4490" t="s">
        <v>10</v>
      </c>
      <c r="E4490">
        <v>18</v>
      </c>
      <c r="F4490" s="1">
        <v>42551</v>
      </c>
      <c r="G4490">
        <v>-1.86168622546997E-2</v>
      </c>
    </row>
    <row r="4491" spans="1:7" x14ac:dyDescent="0.25">
      <c r="A4491" t="s">
        <v>7</v>
      </c>
      <c r="B4491" t="s">
        <v>22</v>
      </c>
      <c r="C4491" t="s">
        <v>9</v>
      </c>
      <c r="D4491" t="s">
        <v>10</v>
      </c>
      <c r="E4491">
        <v>18</v>
      </c>
      <c r="F4491" s="1">
        <v>42582</v>
      </c>
      <c r="G4491">
        <v>3.4556155164879997E-2</v>
      </c>
    </row>
    <row r="4492" spans="1:7" x14ac:dyDescent="0.25">
      <c r="A4492" t="s">
        <v>7</v>
      </c>
      <c r="B4492" t="s">
        <v>22</v>
      </c>
      <c r="C4492" t="s">
        <v>9</v>
      </c>
      <c r="D4492" t="s">
        <v>10</v>
      </c>
      <c r="E4492">
        <v>18</v>
      </c>
      <c r="F4492" s="1">
        <v>42613</v>
      </c>
      <c r="G4492">
        <v>4.3688222200493898E-2</v>
      </c>
    </row>
    <row r="4493" spans="1:7" x14ac:dyDescent="0.25">
      <c r="A4493" t="s">
        <v>7</v>
      </c>
      <c r="B4493" t="s">
        <v>22</v>
      </c>
      <c r="C4493" t="s">
        <v>9</v>
      </c>
      <c r="D4493" t="s">
        <v>10</v>
      </c>
      <c r="E4493">
        <v>18</v>
      </c>
      <c r="F4493" s="1">
        <v>42643</v>
      </c>
      <c r="G4493">
        <v>-1.7300170194877899E-2</v>
      </c>
    </row>
    <row r="4494" spans="1:7" x14ac:dyDescent="0.25">
      <c r="A4494" t="s">
        <v>7</v>
      </c>
      <c r="B4494" t="s">
        <v>22</v>
      </c>
      <c r="C4494" t="s">
        <v>9</v>
      </c>
      <c r="D4494" t="s">
        <v>10</v>
      </c>
      <c r="E4494">
        <v>18</v>
      </c>
      <c r="F4494" s="1">
        <v>42674</v>
      </c>
      <c r="G4494">
        <v>3.38577584171545E-2</v>
      </c>
    </row>
    <row r="4495" spans="1:7" x14ac:dyDescent="0.25">
      <c r="A4495" t="s">
        <v>7</v>
      </c>
      <c r="B4495" t="s">
        <v>22</v>
      </c>
      <c r="C4495" t="s">
        <v>9</v>
      </c>
      <c r="D4495" t="s">
        <v>10</v>
      </c>
      <c r="E4495">
        <v>18</v>
      </c>
      <c r="F4495" s="1">
        <v>42704</v>
      </c>
      <c r="G4495">
        <v>4.3689039594972397E-2</v>
      </c>
    </row>
    <row r="4496" spans="1:7" x14ac:dyDescent="0.25">
      <c r="A4496" t="s">
        <v>7</v>
      </c>
      <c r="B4496" t="s">
        <v>22</v>
      </c>
      <c r="C4496" t="s">
        <v>9</v>
      </c>
      <c r="D4496" t="s">
        <v>10</v>
      </c>
      <c r="E4496">
        <v>18</v>
      </c>
      <c r="F4496" s="1">
        <v>42735</v>
      </c>
      <c r="G4496">
        <v>2.39340721344025E-2</v>
      </c>
    </row>
    <row r="4497" spans="1:7" x14ac:dyDescent="0.25">
      <c r="A4497" t="s">
        <v>7</v>
      </c>
      <c r="B4497" t="s">
        <v>22</v>
      </c>
      <c r="C4497" t="s">
        <v>9</v>
      </c>
      <c r="D4497" t="s">
        <v>10</v>
      </c>
      <c r="E4497">
        <v>18</v>
      </c>
      <c r="F4497" s="1">
        <v>42766</v>
      </c>
      <c r="G4497">
        <v>9.7056625710342393E-3</v>
      </c>
    </row>
    <row r="4498" spans="1:7" x14ac:dyDescent="0.25">
      <c r="A4498" t="s">
        <v>7</v>
      </c>
      <c r="B4498" t="s">
        <v>22</v>
      </c>
      <c r="C4498" t="s">
        <v>9</v>
      </c>
      <c r="D4498" t="s">
        <v>10</v>
      </c>
      <c r="E4498">
        <v>18</v>
      </c>
      <c r="F4498" s="1">
        <v>42794</v>
      </c>
      <c r="G4498">
        <v>-1.2735507277997699E-3</v>
      </c>
    </row>
    <row r="4499" spans="1:7" x14ac:dyDescent="0.25">
      <c r="A4499" t="s">
        <v>7</v>
      </c>
      <c r="B4499" t="s">
        <v>22</v>
      </c>
      <c r="C4499" t="s">
        <v>9</v>
      </c>
      <c r="D4499" t="s">
        <v>10</v>
      </c>
      <c r="E4499">
        <v>18</v>
      </c>
      <c r="F4499" s="1">
        <v>42825</v>
      </c>
      <c r="G4499">
        <v>-1.43959257338115E-2</v>
      </c>
    </row>
    <row r="4500" spans="1:7" x14ac:dyDescent="0.25">
      <c r="A4500" t="s">
        <v>7</v>
      </c>
      <c r="B4500" t="s">
        <v>22</v>
      </c>
      <c r="C4500" t="s">
        <v>9</v>
      </c>
      <c r="D4500" t="s">
        <v>10</v>
      </c>
      <c r="E4500">
        <v>18</v>
      </c>
      <c r="F4500" s="1">
        <v>42855</v>
      </c>
      <c r="G4500">
        <v>-3.0518976099129399E-2</v>
      </c>
    </row>
    <row r="4501" spans="1:7" x14ac:dyDescent="0.25">
      <c r="A4501" t="s">
        <v>7</v>
      </c>
      <c r="B4501" t="s">
        <v>22</v>
      </c>
      <c r="C4501" t="s">
        <v>9</v>
      </c>
      <c r="D4501" t="s">
        <v>10</v>
      </c>
      <c r="E4501">
        <v>18</v>
      </c>
      <c r="F4501" s="1">
        <v>42886</v>
      </c>
      <c r="G4501">
        <v>-2.3549681408440801E-2</v>
      </c>
    </row>
    <row r="4502" spans="1:7" x14ac:dyDescent="0.25">
      <c r="A4502" t="s">
        <v>7</v>
      </c>
      <c r="B4502" t="s">
        <v>22</v>
      </c>
      <c r="C4502" t="s">
        <v>9</v>
      </c>
      <c r="D4502" t="s">
        <v>10</v>
      </c>
      <c r="E4502">
        <v>18</v>
      </c>
      <c r="F4502" s="1">
        <v>42916</v>
      </c>
      <c r="G4502">
        <v>-9.0834490330641299E-3</v>
      </c>
    </row>
    <row r="4503" spans="1:7" x14ac:dyDescent="0.25">
      <c r="A4503" t="s">
        <v>7</v>
      </c>
      <c r="B4503" t="s">
        <v>22</v>
      </c>
      <c r="C4503" t="s">
        <v>9</v>
      </c>
      <c r="D4503" t="s">
        <v>10</v>
      </c>
      <c r="E4503">
        <v>18</v>
      </c>
      <c r="F4503" s="1">
        <v>42947</v>
      </c>
      <c r="G4503">
        <v>2.33025417503906E-3</v>
      </c>
    </row>
    <row r="4504" spans="1:7" x14ac:dyDescent="0.25">
      <c r="A4504" t="s">
        <v>7</v>
      </c>
      <c r="B4504" t="s">
        <v>22</v>
      </c>
      <c r="C4504" t="s">
        <v>9</v>
      </c>
      <c r="D4504" t="s">
        <v>10</v>
      </c>
      <c r="E4504">
        <v>18</v>
      </c>
      <c r="F4504" s="1">
        <v>42978</v>
      </c>
      <c r="G4504">
        <v>1.07051805487975E-2</v>
      </c>
    </row>
    <row r="4505" spans="1:7" x14ac:dyDescent="0.25">
      <c r="A4505" t="s">
        <v>7</v>
      </c>
      <c r="B4505" t="s">
        <v>22</v>
      </c>
      <c r="C4505" t="s">
        <v>9</v>
      </c>
      <c r="D4505" t="s">
        <v>10</v>
      </c>
      <c r="E4505">
        <v>18</v>
      </c>
      <c r="F4505" s="1">
        <v>43008</v>
      </c>
      <c r="G4505">
        <v>-1.53711847293372E-2</v>
      </c>
    </row>
    <row r="4506" spans="1:7" x14ac:dyDescent="0.25">
      <c r="A4506" t="s">
        <v>7</v>
      </c>
      <c r="B4506" t="s">
        <v>22</v>
      </c>
      <c r="C4506" t="s">
        <v>9</v>
      </c>
      <c r="D4506" t="s">
        <v>10</v>
      </c>
      <c r="E4506">
        <v>18</v>
      </c>
      <c r="F4506" s="1">
        <v>43039</v>
      </c>
      <c r="G4506">
        <v>-4.8385897751163903E-3</v>
      </c>
    </row>
    <row r="4507" spans="1:7" x14ac:dyDescent="0.25">
      <c r="A4507" t="s">
        <v>7</v>
      </c>
      <c r="B4507" t="s">
        <v>22</v>
      </c>
      <c r="C4507" t="s">
        <v>9</v>
      </c>
      <c r="D4507" t="s">
        <v>10</v>
      </c>
      <c r="E4507">
        <v>18</v>
      </c>
      <c r="F4507" s="1">
        <v>43069</v>
      </c>
      <c r="G4507">
        <v>1.6416971624755199E-3</v>
      </c>
    </row>
    <row r="4508" spans="1:7" x14ac:dyDescent="0.25">
      <c r="A4508" t="s">
        <v>7</v>
      </c>
      <c r="B4508" t="s">
        <v>22</v>
      </c>
      <c r="C4508" t="s">
        <v>9</v>
      </c>
      <c r="D4508" t="s">
        <v>10</v>
      </c>
      <c r="E4508">
        <v>18</v>
      </c>
      <c r="F4508" s="1">
        <v>43100</v>
      </c>
      <c r="G4508">
        <v>3.0587933646568002E-2</v>
      </c>
    </row>
    <row r="4509" spans="1:7" x14ac:dyDescent="0.25">
      <c r="A4509" t="s">
        <v>7</v>
      </c>
      <c r="B4509" t="s">
        <v>22</v>
      </c>
      <c r="C4509" t="s">
        <v>9</v>
      </c>
      <c r="D4509" t="s">
        <v>10</v>
      </c>
      <c r="E4509">
        <v>18</v>
      </c>
      <c r="F4509" s="1">
        <v>43131</v>
      </c>
      <c r="G4509">
        <v>1.7127327726556601E-2</v>
      </c>
    </row>
    <row r="4510" spans="1:7" x14ac:dyDescent="0.25">
      <c r="A4510" t="s">
        <v>7</v>
      </c>
      <c r="B4510" t="s">
        <v>22</v>
      </c>
      <c r="C4510" t="s">
        <v>9</v>
      </c>
      <c r="D4510" t="s">
        <v>10</v>
      </c>
      <c r="E4510">
        <v>18</v>
      </c>
      <c r="F4510" s="1">
        <v>43159</v>
      </c>
      <c r="G4510">
        <v>9.7231521906352095E-3</v>
      </c>
    </row>
    <row r="4511" spans="1:7" x14ac:dyDescent="0.25">
      <c r="A4511" t="s">
        <v>7</v>
      </c>
      <c r="B4511" t="s">
        <v>22</v>
      </c>
      <c r="C4511" t="s">
        <v>9</v>
      </c>
      <c r="D4511" t="s">
        <v>10</v>
      </c>
      <c r="E4511">
        <v>18</v>
      </c>
      <c r="F4511" s="1">
        <v>43190</v>
      </c>
      <c r="G4511">
        <v>-1.08886419401658E-2</v>
      </c>
    </row>
    <row r="4512" spans="1:7" x14ac:dyDescent="0.25">
      <c r="A4512" t="s">
        <v>7</v>
      </c>
      <c r="B4512" t="s">
        <v>22</v>
      </c>
      <c r="C4512" t="s">
        <v>9</v>
      </c>
      <c r="D4512" t="s">
        <v>10</v>
      </c>
      <c r="E4512">
        <v>18</v>
      </c>
      <c r="F4512" s="1">
        <v>43220</v>
      </c>
      <c r="G4512">
        <v>-1.23064533147056E-3</v>
      </c>
    </row>
    <row r="4513" spans="1:7" x14ac:dyDescent="0.25">
      <c r="A4513" t="s">
        <v>7</v>
      </c>
      <c r="B4513" t="s">
        <v>22</v>
      </c>
      <c r="C4513" t="s">
        <v>9</v>
      </c>
      <c r="D4513" t="s">
        <v>10</v>
      </c>
      <c r="E4513">
        <v>18</v>
      </c>
      <c r="F4513" s="1">
        <v>43251</v>
      </c>
      <c r="G4513">
        <v>-8.4048089856963697E-3</v>
      </c>
    </row>
    <row r="4514" spans="1:7" x14ac:dyDescent="0.25">
      <c r="A4514" t="s">
        <v>7</v>
      </c>
      <c r="B4514" t="s">
        <v>22</v>
      </c>
      <c r="C4514" t="s">
        <v>9</v>
      </c>
      <c r="D4514" t="s">
        <v>10</v>
      </c>
      <c r="E4514">
        <v>18</v>
      </c>
      <c r="F4514" s="1">
        <v>43281</v>
      </c>
      <c r="G4514">
        <v>-1.7503349263060099E-2</v>
      </c>
    </row>
    <row r="4515" spans="1:7" x14ac:dyDescent="0.25">
      <c r="A4515" t="s">
        <v>7</v>
      </c>
      <c r="B4515" t="s">
        <v>22</v>
      </c>
      <c r="C4515" t="s">
        <v>9</v>
      </c>
      <c r="D4515" t="s">
        <v>10</v>
      </c>
      <c r="E4515">
        <v>18</v>
      </c>
      <c r="F4515" s="1">
        <v>43312</v>
      </c>
      <c r="G4515">
        <v>-7.7476437420348195E-4</v>
      </c>
    </row>
    <row r="4516" spans="1:7" x14ac:dyDescent="0.25">
      <c r="A4516" t="s">
        <v>7</v>
      </c>
      <c r="B4516" t="s">
        <v>22</v>
      </c>
      <c r="C4516" t="s">
        <v>9</v>
      </c>
      <c r="D4516" t="s">
        <v>10</v>
      </c>
      <c r="E4516">
        <v>18</v>
      </c>
      <c r="F4516" s="1">
        <v>43343</v>
      </c>
      <c r="G4516">
        <v>-1.53973661816388E-3</v>
      </c>
    </row>
    <row r="4517" spans="1:7" x14ac:dyDescent="0.25">
      <c r="A4517" t="s">
        <v>7</v>
      </c>
      <c r="B4517" t="s">
        <v>22</v>
      </c>
      <c r="C4517" t="s">
        <v>9</v>
      </c>
      <c r="D4517" t="s">
        <v>10</v>
      </c>
      <c r="E4517">
        <v>18</v>
      </c>
      <c r="F4517" s="1">
        <v>43373</v>
      </c>
      <c r="G4517">
        <v>-7.8545543446885795E-3</v>
      </c>
    </row>
    <row r="4518" spans="1:7" x14ac:dyDescent="0.25">
      <c r="A4518" t="s">
        <v>7</v>
      </c>
      <c r="B4518" t="s">
        <v>22</v>
      </c>
      <c r="C4518" t="s">
        <v>9</v>
      </c>
      <c r="D4518" t="s">
        <v>10</v>
      </c>
      <c r="E4518">
        <v>18</v>
      </c>
      <c r="F4518" s="1">
        <v>43404</v>
      </c>
      <c r="G4518">
        <v>4.2759737097266201E-2</v>
      </c>
    </row>
    <row r="4519" spans="1:7" x14ac:dyDescent="0.25">
      <c r="A4519" t="s">
        <v>7</v>
      </c>
      <c r="B4519" t="s">
        <v>22</v>
      </c>
      <c r="C4519" t="s">
        <v>9</v>
      </c>
      <c r="D4519" t="s">
        <v>10</v>
      </c>
      <c r="E4519">
        <v>18</v>
      </c>
      <c r="F4519" s="1">
        <v>43434</v>
      </c>
      <c r="G4519">
        <v>-2.6052806013101198E-2</v>
      </c>
    </row>
    <row r="4520" spans="1:7" x14ac:dyDescent="0.25">
      <c r="A4520" t="s">
        <v>7</v>
      </c>
      <c r="B4520" t="s">
        <v>22</v>
      </c>
      <c r="C4520" t="s">
        <v>9</v>
      </c>
      <c r="D4520" t="s">
        <v>10</v>
      </c>
      <c r="E4520">
        <v>18</v>
      </c>
      <c r="F4520" s="1">
        <v>43465</v>
      </c>
      <c r="G4520">
        <v>-1.08994668662248E-2</v>
      </c>
    </row>
    <row r="4521" spans="1:7" x14ac:dyDescent="0.25">
      <c r="A4521" t="s">
        <v>7</v>
      </c>
      <c r="B4521" t="s">
        <v>22</v>
      </c>
      <c r="C4521" t="s">
        <v>9</v>
      </c>
      <c r="D4521" t="s">
        <v>10</v>
      </c>
      <c r="E4521">
        <v>18</v>
      </c>
      <c r="F4521" s="1">
        <v>43496</v>
      </c>
      <c r="G4521">
        <v>4.5067602471320502E-2</v>
      </c>
    </row>
    <row r="4522" spans="1:7" x14ac:dyDescent="0.25">
      <c r="A4522" t="s">
        <v>7</v>
      </c>
      <c r="B4522" t="s">
        <v>22</v>
      </c>
      <c r="C4522" t="s">
        <v>9</v>
      </c>
      <c r="D4522" t="s">
        <v>10</v>
      </c>
      <c r="E4522">
        <v>18</v>
      </c>
      <c r="F4522" s="1">
        <v>43524</v>
      </c>
      <c r="G4522">
        <v>-8.7988582638238305E-3</v>
      </c>
    </row>
    <row r="4523" spans="1:7" x14ac:dyDescent="0.25">
      <c r="A4523" t="s">
        <v>7</v>
      </c>
      <c r="B4523" t="s">
        <v>22</v>
      </c>
      <c r="C4523" t="s">
        <v>9</v>
      </c>
      <c r="D4523" t="s">
        <v>10</v>
      </c>
      <c r="E4523">
        <v>18</v>
      </c>
      <c r="F4523" s="1">
        <v>43555</v>
      </c>
      <c r="G4523">
        <v>1.72519537024E-2</v>
      </c>
    </row>
    <row r="4524" spans="1:7" x14ac:dyDescent="0.25">
      <c r="A4524" t="s">
        <v>7</v>
      </c>
      <c r="B4524" t="s">
        <v>22</v>
      </c>
      <c r="C4524" t="s">
        <v>9</v>
      </c>
      <c r="D4524" t="s">
        <v>10</v>
      </c>
      <c r="E4524">
        <v>18</v>
      </c>
      <c r="F4524" s="1">
        <v>43585</v>
      </c>
      <c r="G4524">
        <v>2.49274907885878E-3</v>
      </c>
    </row>
    <row r="4525" spans="1:7" x14ac:dyDescent="0.25">
      <c r="A4525" t="s">
        <v>7</v>
      </c>
      <c r="B4525" t="s">
        <v>22</v>
      </c>
      <c r="C4525" t="s">
        <v>9</v>
      </c>
      <c r="D4525" t="s">
        <v>10</v>
      </c>
      <c r="E4525">
        <v>18</v>
      </c>
      <c r="F4525" s="1">
        <v>43616</v>
      </c>
      <c r="G4525">
        <v>1.3249509235110399E-2</v>
      </c>
    </row>
    <row r="4526" spans="1:7" x14ac:dyDescent="0.25">
      <c r="A4526" t="s">
        <v>7</v>
      </c>
      <c r="B4526" t="s">
        <v>22</v>
      </c>
      <c r="C4526" t="s">
        <v>9</v>
      </c>
      <c r="D4526" t="s">
        <v>10</v>
      </c>
      <c r="E4526">
        <v>18</v>
      </c>
      <c r="F4526" s="1">
        <v>43646</v>
      </c>
      <c r="G4526">
        <v>-3.6465807194919699E-3</v>
      </c>
    </row>
    <row r="4527" spans="1:7" x14ac:dyDescent="0.25">
      <c r="A4527" t="s">
        <v>7</v>
      </c>
      <c r="B4527" t="s">
        <v>22</v>
      </c>
      <c r="C4527" t="s">
        <v>9</v>
      </c>
      <c r="D4527" t="s">
        <v>10</v>
      </c>
      <c r="E4527">
        <v>18</v>
      </c>
      <c r="F4527" s="1">
        <v>43677</v>
      </c>
      <c r="G4527">
        <v>-2.35070081990526E-2</v>
      </c>
    </row>
    <row r="4528" spans="1:7" x14ac:dyDescent="0.25">
      <c r="A4528" t="s">
        <v>7</v>
      </c>
      <c r="B4528" t="s">
        <v>22</v>
      </c>
      <c r="C4528" t="s">
        <v>9</v>
      </c>
      <c r="D4528" t="s">
        <v>10</v>
      </c>
      <c r="E4528">
        <v>18</v>
      </c>
      <c r="F4528" s="1">
        <v>43708</v>
      </c>
      <c r="G4528">
        <v>-4.6663646810584297E-2</v>
      </c>
    </row>
    <row r="4529" spans="1:7" x14ac:dyDescent="0.25">
      <c r="A4529" t="s">
        <v>7</v>
      </c>
      <c r="B4529" t="s">
        <v>22</v>
      </c>
      <c r="C4529" t="s">
        <v>9</v>
      </c>
      <c r="D4529" t="s">
        <v>10</v>
      </c>
      <c r="E4529">
        <v>18</v>
      </c>
      <c r="F4529" s="1">
        <v>43738</v>
      </c>
      <c r="G4529">
        <v>2.59188240109495E-3</v>
      </c>
    </row>
    <row r="4530" spans="1:7" x14ac:dyDescent="0.25">
      <c r="A4530" t="s">
        <v>7</v>
      </c>
      <c r="B4530" t="s">
        <v>22</v>
      </c>
      <c r="C4530" t="s">
        <v>9</v>
      </c>
      <c r="D4530" t="s">
        <v>10</v>
      </c>
      <c r="E4530">
        <v>18</v>
      </c>
      <c r="F4530" s="1">
        <v>43769</v>
      </c>
      <c r="G4530">
        <v>-2.13970184092694E-2</v>
      </c>
    </row>
    <row r="4531" spans="1:7" x14ac:dyDescent="0.25">
      <c r="A4531" t="s">
        <v>7</v>
      </c>
      <c r="B4531" t="s">
        <v>22</v>
      </c>
      <c r="C4531" t="s">
        <v>9</v>
      </c>
      <c r="D4531" t="s">
        <v>10</v>
      </c>
      <c r="E4531">
        <v>18</v>
      </c>
      <c r="F4531" s="1">
        <v>43799</v>
      </c>
      <c r="G4531">
        <v>1.3106844539267399E-2</v>
      </c>
    </row>
    <row r="4532" spans="1:7" x14ac:dyDescent="0.25">
      <c r="A4532" t="s">
        <v>7</v>
      </c>
      <c r="B4532" t="s">
        <v>22</v>
      </c>
      <c r="C4532" t="s">
        <v>9</v>
      </c>
      <c r="D4532" t="s">
        <v>10</v>
      </c>
      <c r="E4532">
        <v>18</v>
      </c>
      <c r="F4532" s="1">
        <v>43830</v>
      </c>
      <c r="G4532">
        <v>1.44524966967033E-2</v>
      </c>
    </row>
    <row r="4533" spans="1:7" x14ac:dyDescent="0.25">
      <c r="A4533" t="s">
        <v>7</v>
      </c>
      <c r="B4533" t="s">
        <v>22</v>
      </c>
      <c r="C4533" t="s">
        <v>9</v>
      </c>
      <c r="D4533" t="s">
        <v>10</v>
      </c>
      <c r="E4533">
        <v>18</v>
      </c>
      <c r="F4533" s="1">
        <v>43861</v>
      </c>
      <c r="G4533">
        <v>-3.9543235192769102E-2</v>
      </c>
    </row>
    <row r="4534" spans="1:7" x14ac:dyDescent="0.25">
      <c r="A4534" t="s">
        <v>7</v>
      </c>
      <c r="B4534" t="s">
        <v>22</v>
      </c>
      <c r="C4534" t="s">
        <v>9</v>
      </c>
      <c r="D4534" t="s">
        <v>10</v>
      </c>
      <c r="E4534">
        <v>18</v>
      </c>
      <c r="F4534" s="1">
        <v>43890</v>
      </c>
      <c r="G4534">
        <v>-1.13526041751834E-2</v>
      </c>
    </row>
    <row r="4535" spans="1:7" x14ac:dyDescent="0.25">
      <c r="A4535" t="s">
        <v>7</v>
      </c>
      <c r="B4535" t="s">
        <v>22</v>
      </c>
      <c r="C4535" t="s">
        <v>9</v>
      </c>
      <c r="D4535" t="s">
        <v>10</v>
      </c>
      <c r="E4535">
        <v>18</v>
      </c>
      <c r="F4535" s="1">
        <v>43921</v>
      </c>
      <c r="G4535">
        <v>1.7274599714937999E-2</v>
      </c>
    </row>
    <row r="4536" spans="1:7" x14ac:dyDescent="0.25">
      <c r="A4536" t="s">
        <v>7</v>
      </c>
      <c r="B4536" t="s">
        <v>22</v>
      </c>
      <c r="C4536" t="s">
        <v>9</v>
      </c>
      <c r="D4536" t="s">
        <v>10</v>
      </c>
      <c r="E4536">
        <v>18</v>
      </c>
      <c r="F4536" s="1">
        <v>43951</v>
      </c>
      <c r="G4536">
        <v>-3.9392796953518897E-2</v>
      </c>
    </row>
    <row r="4537" spans="1:7" x14ac:dyDescent="0.25">
      <c r="A4537" t="s">
        <v>7</v>
      </c>
      <c r="B4537" t="s">
        <v>22</v>
      </c>
      <c r="C4537" t="s">
        <v>9</v>
      </c>
      <c r="D4537" t="s">
        <v>10</v>
      </c>
      <c r="E4537">
        <v>18</v>
      </c>
      <c r="F4537" s="1">
        <v>43982</v>
      </c>
      <c r="G4537">
        <v>-2.0759805286740499E-2</v>
      </c>
    </row>
    <row r="4538" spans="1:7" x14ac:dyDescent="0.25">
      <c r="A4538" t="s">
        <v>7</v>
      </c>
      <c r="B4538" t="s">
        <v>22</v>
      </c>
      <c r="C4538" t="s">
        <v>9</v>
      </c>
      <c r="D4538" t="s">
        <v>10</v>
      </c>
      <c r="E4538">
        <v>18</v>
      </c>
      <c r="F4538" s="1">
        <v>44012</v>
      </c>
      <c r="G4538">
        <v>-3.3563219404266799E-2</v>
      </c>
    </row>
    <row r="4539" spans="1:7" x14ac:dyDescent="0.25">
      <c r="A4539" t="s">
        <v>7</v>
      </c>
      <c r="B4539" t="s">
        <v>22</v>
      </c>
      <c r="C4539" t="s">
        <v>9</v>
      </c>
      <c r="D4539" t="s">
        <v>10</v>
      </c>
      <c r="E4539">
        <v>18</v>
      </c>
      <c r="F4539" s="1">
        <v>44043</v>
      </c>
      <c r="G4539">
        <v>-4.9188851547981603E-2</v>
      </c>
    </row>
    <row r="4540" spans="1:7" x14ac:dyDescent="0.25">
      <c r="A4540" t="s">
        <v>7</v>
      </c>
      <c r="B4540" t="s">
        <v>22</v>
      </c>
      <c r="C4540" t="s">
        <v>9</v>
      </c>
      <c r="D4540" t="s">
        <v>10</v>
      </c>
      <c r="E4540">
        <v>18</v>
      </c>
      <c r="F4540" s="1">
        <v>44074</v>
      </c>
      <c r="G4540">
        <v>-4.3293255174706897E-2</v>
      </c>
    </row>
    <row r="4541" spans="1:7" x14ac:dyDescent="0.25">
      <c r="A4541" t="s">
        <v>7</v>
      </c>
      <c r="B4541" t="s">
        <v>22</v>
      </c>
      <c r="C4541" t="s">
        <v>9</v>
      </c>
      <c r="D4541" t="s">
        <v>10</v>
      </c>
      <c r="E4541">
        <v>18</v>
      </c>
      <c r="F4541" s="1">
        <v>44104</v>
      </c>
      <c r="G4541">
        <v>-5.2289300828456502E-3</v>
      </c>
    </row>
    <row r="4542" spans="1:7" x14ac:dyDescent="0.25">
      <c r="A4542" t="s">
        <v>7</v>
      </c>
      <c r="B4542" t="s">
        <v>22</v>
      </c>
      <c r="C4542" t="s">
        <v>9</v>
      </c>
      <c r="D4542" t="s">
        <v>10</v>
      </c>
      <c r="E4542">
        <v>18</v>
      </c>
      <c r="F4542" s="1">
        <v>44135</v>
      </c>
      <c r="G4542">
        <v>-2.3145405302949201E-2</v>
      </c>
    </row>
    <row r="4543" spans="1:7" x14ac:dyDescent="0.25">
      <c r="A4543" t="s">
        <v>7</v>
      </c>
      <c r="B4543" t="s">
        <v>22</v>
      </c>
      <c r="C4543" t="s">
        <v>9</v>
      </c>
      <c r="D4543" t="s">
        <v>10</v>
      </c>
      <c r="E4543">
        <v>18</v>
      </c>
      <c r="F4543" s="1">
        <v>44165</v>
      </c>
      <c r="G4543">
        <v>7.2350883544460898E-2</v>
      </c>
    </row>
    <row r="4544" spans="1:7" x14ac:dyDescent="0.25">
      <c r="A4544" t="s">
        <v>7</v>
      </c>
      <c r="B4544" t="s">
        <v>22</v>
      </c>
      <c r="C4544" t="s">
        <v>9</v>
      </c>
      <c r="D4544" t="s">
        <v>10</v>
      </c>
      <c r="E4544">
        <v>18</v>
      </c>
      <c r="F4544" s="1">
        <v>44196</v>
      </c>
      <c r="G4544">
        <v>3.68945086295838E-3</v>
      </c>
    </row>
    <row r="4545" spans="1:7" x14ac:dyDescent="0.25">
      <c r="A4545" t="s">
        <v>7</v>
      </c>
      <c r="B4545" t="s">
        <v>22</v>
      </c>
      <c r="C4545" t="s">
        <v>9</v>
      </c>
      <c r="D4545" t="s">
        <v>10</v>
      </c>
      <c r="E4545">
        <v>18</v>
      </c>
      <c r="F4545" s="1">
        <v>44227</v>
      </c>
      <c r="G4545">
        <v>-8.0817271041000102E-2</v>
      </c>
    </row>
    <row r="4546" spans="1:7" x14ac:dyDescent="0.25">
      <c r="A4546" t="s">
        <v>7</v>
      </c>
      <c r="B4546" t="s">
        <v>22</v>
      </c>
      <c r="C4546" t="s">
        <v>9</v>
      </c>
      <c r="D4546" t="s">
        <v>10</v>
      </c>
      <c r="E4546">
        <v>18</v>
      </c>
      <c r="F4546" s="1">
        <v>44255</v>
      </c>
      <c r="G4546">
        <v>-3.50784069936256E-3</v>
      </c>
    </row>
    <row r="4547" spans="1:7" x14ac:dyDescent="0.25">
      <c r="A4547" t="s">
        <v>7</v>
      </c>
      <c r="B4547" t="s">
        <v>22</v>
      </c>
      <c r="C4547" t="s">
        <v>9</v>
      </c>
      <c r="D4547" t="s">
        <v>10</v>
      </c>
      <c r="E4547">
        <v>18</v>
      </c>
      <c r="F4547" s="1">
        <v>44286</v>
      </c>
      <c r="G4547">
        <v>0.11685455880088801</v>
      </c>
    </row>
    <row r="4548" spans="1:7" x14ac:dyDescent="0.25">
      <c r="A4548" t="s">
        <v>7</v>
      </c>
      <c r="B4548" t="s">
        <v>22</v>
      </c>
      <c r="C4548" t="s">
        <v>9</v>
      </c>
      <c r="D4548" t="s">
        <v>10</v>
      </c>
      <c r="E4548">
        <v>18</v>
      </c>
      <c r="F4548" s="1">
        <v>44316</v>
      </c>
      <c r="G4548">
        <v>2.57783242871512E-2</v>
      </c>
    </row>
    <row r="4549" spans="1:7" x14ac:dyDescent="0.25">
      <c r="A4549" t="s">
        <v>7</v>
      </c>
      <c r="B4549" t="s">
        <v>22</v>
      </c>
      <c r="C4549" t="s">
        <v>9</v>
      </c>
      <c r="D4549" t="s">
        <v>10</v>
      </c>
      <c r="E4549">
        <v>18</v>
      </c>
      <c r="F4549" s="1">
        <v>44347</v>
      </c>
      <c r="G4549">
        <v>1.8241530091699099E-2</v>
      </c>
    </row>
    <row r="4550" spans="1:7" x14ac:dyDescent="0.25">
      <c r="A4550" t="s">
        <v>7</v>
      </c>
      <c r="B4550" t="s">
        <v>22</v>
      </c>
      <c r="C4550" t="s">
        <v>9</v>
      </c>
      <c r="D4550" t="s">
        <v>10</v>
      </c>
      <c r="E4550">
        <v>18</v>
      </c>
      <c r="F4550" s="1">
        <v>44377</v>
      </c>
      <c r="G4550">
        <v>-2.7434442848065399E-2</v>
      </c>
    </row>
    <row r="4551" spans="1:7" x14ac:dyDescent="0.25">
      <c r="A4551" t="s">
        <v>7</v>
      </c>
      <c r="B4551" t="s">
        <v>22</v>
      </c>
      <c r="C4551" t="s">
        <v>9</v>
      </c>
      <c r="D4551" t="s">
        <v>10</v>
      </c>
      <c r="E4551">
        <v>18</v>
      </c>
      <c r="F4551" s="1">
        <v>44408</v>
      </c>
      <c r="G4551">
        <v>1.7650129059409998E-2</v>
      </c>
    </row>
    <row r="4552" spans="1:7" x14ac:dyDescent="0.25">
      <c r="A4552" t="s">
        <v>7</v>
      </c>
      <c r="B4552" t="s">
        <v>22</v>
      </c>
      <c r="C4552" t="s">
        <v>9</v>
      </c>
      <c r="D4552" t="s">
        <v>10</v>
      </c>
      <c r="E4552">
        <v>18</v>
      </c>
      <c r="F4552" s="1">
        <v>44439</v>
      </c>
      <c r="G4552">
        <v>2.5005275561731301E-2</v>
      </c>
    </row>
    <row r="4553" spans="1:7" x14ac:dyDescent="0.25">
      <c r="A4553" t="s">
        <v>7</v>
      </c>
      <c r="B4553" t="s">
        <v>22</v>
      </c>
      <c r="C4553" t="s">
        <v>9</v>
      </c>
      <c r="D4553" t="s">
        <v>10</v>
      </c>
      <c r="E4553">
        <v>18</v>
      </c>
      <c r="F4553" s="1">
        <v>44469</v>
      </c>
      <c r="G4553">
        <v>5.46006696584923E-2</v>
      </c>
    </row>
    <row r="4554" spans="1:7" x14ac:dyDescent="0.25">
      <c r="A4554" t="s">
        <v>7</v>
      </c>
      <c r="B4554" t="s">
        <v>22</v>
      </c>
      <c r="C4554" t="s">
        <v>9</v>
      </c>
      <c r="D4554" t="s">
        <v>10</v>
      </c>
      <c r="E4554">
        <v>18</v>
      </c>
      <c r="F4554" s="1">
        <v>44500</v>
      </c>
      <c r="G4554">
        <v>8.79220913318179E-2</v>
      </c>
    </row>
    <row r="4555" spans="1:7" x14ac:dyDescent="0.25">
      <c r="A4555" t="s">
        <v>7</v>
      </c>
      <c r="B4555" t="s">
        <v>22</v>
      </c>
      <c r="C4555" t="s">
        <v>9</v>
      </c>
      <c r="D4555" t="s">
        <v>10</v>
      </c>
      <c r="E4555">
        <v>18</v>
      </c>
      <c r="F4555" s="1">
        <v>44530</v>
      </c>
      <c r="G4555">
        <v>8.3415090970439199E-2</v>
      </c>
    </row>
    <row r="4556" spans="1:7" x14ac:dyDescent="0.25">
      <c r="A4556" t="s">
        <v>7</v>
      </c>
      <c r="B4556" t="s">
        <v>22</v>
      </c>
      <c r="C4556" t="s">
        <v>9</v>
      </c>
      <c r="D4556" t="s">
        <v>10</v>
      </c>
      <c r="E4556">
        <v>18</v>
      </c>
      <c r="F4556" s="1">
        <v>44561</v>
      </c>
      <c r="G4556">
        <v>3.8406149796961997E-2</v>
      </c>
    </row>
    <row r="4557" spans="1:7" x14ac:dyDescent="0.25">
      <c r="A4557" t="s">
        <v>7</v>
      </c>
      <c r="B4557" t="s">
        <v>22</v>
      </c>
      <c r="C4557" t="s">
        <v>9</v>
      </c>
      <c r="D4557" t="s">
        <v>10</v>
      </c>
      <c r="E4557">
        <v>18</v>
      </c>
      <c r="F4557" s="1">
        <v>44592</v>
      </c>
      <c r="G4557">
        <v>2.8728077520613401E-3</v>
      </c>
    </row>
    <row r="4558" spans="1:7" x14ac:dyDescent="0.25">
      <c r="A4558" t="s">
        <v>7</v>
      </c>
      <c r="B4558" t="s">
        <v>22</v>
      </c>
      <c r="C4558" t="s">
        <v>9</v>
      </c>
      <c r="D4558" t="s">
        <v>10</v>
      </c>
      <c r="E4558">
        <v>18</v>
      </c>
      <c r="F4558" s="1">
        <v>44620</v>
      </c>
      <c r="G4558">
        <v>2.5321858192064301E-2</v>
      </c>
    </row>
    <row r="4559" spans="1:7" x14ac:dyDescent="0.25">
      <c r="A4559" t="s">
        <v>7</v>
      </c>
      <c r="B4559" t="s">
        <v>22</v>
      </c>
      <c r="C4559" t="s">
        <v>9</v>
      </c>
      <c r="D4559" t="s">
        <v>10</v>
      </c>
      <c r="E4559">
        <v>18</v>
      </c>
      <c r="F4559" s="1">
        <v>44651</v>
      </c>
      <c r="G4559">
        <v>-6.4764989473768296E-3</v>
      </c>
    </row>
    <row r="4560" spans="1:7" x14ac:dyDescent="0.25">
      <c r="A4560" t="s">
        <v>7</v>
      </c>
      <c r="B4560" t="s">
        <v>22</v>
      </c>
      <c r="C4560" t="s">
        <v>9</v>
      </c>
      <c r="D4560" t="s">
        <v>10</v>
      </c>
      <c r="E4560">
        <v>18</v>
      </c>
      <c r="F4560" s="1">
        <v>44681</v>
      </c>
      <c r="G4560">
        <v>8.4924955863527093E-2</v>
      </c>
    </row>
    <row r="4561" spans="1:7" x14ac:dyDescent="0.25">
      <c r="A4561" t="s">
        <v>7</v>
      </c>
      <c r="B4561" t="s">
        <v>22</v>
      </c>
      <c r="C4561" t="s">
        <v>9</v>
      </c>
      <c r="D4561" t="s">
        <v>10</v>
      </c>
      <c r="E4561">
        <v>18</v>
      </c>
      <c r="F4561" s="1">
        <v>44712</v>
      </c>
      <c r="G4561">
        <v>6.0279188223716397E-2</v>
      </c>
    </row>
    <row r="4562" spans="1:7" x14ac:dyDescent="0.25">
      <c r="A4562" t="s">
        <v>7</v>
      </c>
      <c r="B4562" t="s">
        <v>22</v>
      </c>
      <c r="C4562" t="s">
        <v>9</v>
      </c>
      <c r="D4562" t="s">
        <v>10</v>
      </c>
      <c r="E4562">
        <v>18</v>
      </c>
      <c r="F4562" s="1">
        <v>44742</v>
      </c>
      <c r="G4562">
        <v>1.6636720131045401E-2</v>
      </c>
    </row>
    <row r="4563" spans="1:7" x14ac:dyDescent="0.25">
      <c r="A4563" t="s">
        <v>7</v>
      </c>
      <c r="B4563" t="s">
        <v>22</v>
      </c>
      <c r="C4563" t="s">
        <v>9</v>
      </c>
      <c r="D4563" t="s">
        <v>10</v>
      </c>
      <c r="E4563">
        <v>18</v>
      </c>
      <c r="F4563" s="1">
        <v>44773</v>
      </c>
      <c r="G4563">
        <v>-5.9158099250536403E-2</v>
      </c>
    </row>
    <row r="4564" spans="1:7" x14ac:dyDescent="0.25">
      <c r="A4564" t="s">
        <v>7</v>
      </c>
      <c r="B4564" t="s">
        <v>22</v>
      </c>
      <c r="C4564" t="s">
        <v>9</v>
      </c>
      <c r="D4564" t="s">
        <v>10</v>
      </c>
      <c r="E4564">
        <v>18</v>
      </c>
      <c r="F4564" s="1">
        <v>44804</v>
      </c>
      <c r="G4564">
        <v>-5.2762852325467201E-2</v>
      </c>
    </row>
    <row r="4565" spans="1:7" x14ac:dyDescent="0.25">
      <c r="A4565" t="s">
        <v>7</v>
      </c>
      <c r="B4565" t="s">
        <v>22</v>
      </c>
      <c r="C4565" t="s">
        <v>9</v>
      </c>
      <c r="D4565" t="s">
        <v>10</v>
      </c>
      <c r="E4565">
        <v>18</v>
      </c>
      <c r="F4565" s="1">
        <v>44834</v>
      </c>
      <c r="G4565">
        <v>-2.4048010765089299E-2</v>
      </c>
    </row>
    <row r="4566" spans="1:7" x14ac:dyDescent="0.25">
      <c r="A4566" t="s">
        <v>7</v>
      </c>
      <c r="B4566" t="s">
        <v>22</v>
      </c>
      <c r="C4566" t="s">
        <v>9</v>
      </c>
      <c r="D4566" t="s">
        <v>10</v>
      </c>
      <c r="E4566">
        <v>18</v>
      </c>
      <c r="F4566" s="1">
        <v>44865</v>
      </c>
      <c r="G4566">
        <v>-7.3547773506234301E-2</v>
      </c>
    </row>
    <row r="4567" spans="1:7" x14ac:dyDescent="0.25">
      <c r="A4567" t="s">
        <v>7</v>
      </c>
      <c r="B4567" t="s">
        <v>22</v>
      </c>
      <c r="C4567" t="s">
        <v>9</v>
      </c>
      <c r="D4567" t="s">
        <v>10</v>
      </c>
      <c r="E4567">
        <v>18</v>
      </c>
      <c r="F4567" s="1">
        <v>44895</v>
      </c>
      <c r="G4567">
        <v>9.0572604084281E-2</v>
      </c>
    </row>
    <row r="4568" spans="1:7" x14ac:dyDescent="0.25">
      <c r="A4568" t="s">
        <v>7</v>
      </c>
      <c r="B4568" t="s">
        <v>22</v>
      </c>
      <c r="C4568" t="s">
        <v>9</v>
      </c>
      <c r="D4568" t="s">
        <v>10</v>
      </c>
      <c r="E4568">
        <v>18</v>
      </c>
      <c r="F4568" s="1">
        <v>44926</v>
      </c>
      <c r="G4568">
        <v>2.6341253283789199E-2</v>
      </c>
    </row>
    <row r="4569" spans="1:7" x14ac:dyDescent="0.25">
      <c r="A4569" t="s">
        <v>7</v>
      </c>
      <c r="B4569" t="s">
        <v>22</v>
      </c>
      <c r="C4569" t="s">
        <v>9</v>
      </c>
      <c r="D4569" t="s">
        <v>10</v>
      </c>
      <c r="E4569">
        <v>18</v>
      </c>
      <c r="F4569" s="1">
        <v>44957</v>
      </c>
      <c r="G4569">
        <v>-1.55181043809319E-2</v>
      </c>
    </row>
    <row r="4570" spans="1:7" x14ac:dyDescent="0.25">
      <c r="A4570" t="s">
        <v>7</v>
      </c>
      <c r="B4570" t="s">
        <v>22</v>
      </c>
      <c r="C4570" t="s">
        <v>9</v>
      </c>
      <c r="D4570" t="s">
        <v>10</v>
      </c>
      <c r="E4570">
        <v>18</v>
      </c>
      <c r="F4570" s="1">
        <v>44985</v>
      </c>
      <c r="G4570">
        <v>2.4996645177143E-2</v>
      </c>
    </row>
    <row r="4571" spans="1:7" x14ac:dyDescent="0.25">
      <c r="A4571" t="s">
        <v>7</v>
      </c>
      <c r="B4571" t="s">
        <v>22</v>
      </c>
      <c r="C4571" t="s">
        <v>9</v>
      </c>
      <c r="D4571" t="s">
        <v>10</v>
      </c>
      <c r="E4571">
        <v>18</v>
      </c>
      <c r="F4571" s="1">
        <v>45016</v>
      </c>
      <c r="G4571">
        <v>2.20823506377897E-2</v>
      </c>
    </row>
    <row r="4572" spans="1:7" x14ac:dyDescent="0.25">
      <c r="A4572" t="s">
        <v>7</v>
      </c>
      <c r="B4572" t="s">
        <v>22</v>
      </c>
      <c r="C4572" t="s">
        <v>9</v>
      </c>
      <c r="D4572" t="s">
        <v>10</v>
      </c>
      <c r="E4572">
        <v>18</v>
      </c>
      <c r="F4572" s="1">
        <v>45046</v>
      </c>
      <c r="G4572">
        <v>-1.41536867398292E-2</v>
      </c>
    </row>
    <row r="4573" spans="1:7" x14ac:dyDescent="0.25">
      <c r="A4573" t="s">
        <v>7</v>
      </c>
      <c r="B4573" t="s">
        <v>22</v>
      </c>
      <c r="C4573" t="s">
        <v>9</v>
      </c>
      <c r="D4573" t="s">
        <v>10</v>
      </c>
      <c r="E4573">
        <v>18</v>
      </c>
      <c r="F4573" s="1">
        <v>45077</v>
      </c>
      <c r="G4573">
        <v>-3.0692311838013402E-2</v>
      </c>
    </row>
    <row r="4574" spans="1:7" x14ac:dyDescent="0.25">
      <c r="A4574" t="s">
        <v>7</v>
      </c>
      <c r="B4574" t="s">
        <v>22</v>
      </c>
      <c r="C4574" t="s">
        <v>9</v>
      </c>
      <c r="D4574" t="s">
        <v>10</v>
      </c>
      <c r="E4574">
        <v>18</v>
      </c>
      <c r="F4574" s="1">
        <v>45107</v>
      </c>
      <c r="G4574">
        <v>4.92511050899932E-3</v>
      </c>
    </row>
    <row r="4575" spans="1:7" x14ac:dyDescent="0.25">
      <c r="A4575" t="s">
        <v>7</v>
      </c>
      <c r="B4575" t="s">
        <v>22</v>
      </c>
      <c r="C4575" t="s">
        <v>9</v>
      </c>
      <c r="D4575" t="s">
        <v>10</v>
      </c>
      <c r="E4575">
        <v>18</v>
      </c>
      <c r="F4575" s="1">
        <v>45138</v>
      </c>
      <c r="G4575">
        <v>7.7498614938488596E-3</v>
      </c>
    </row>
    <row r="4576" spans="1:7" x14ac:dyDescent="0.25">
      <c r="A4576" t="s">
        <v>7</v>
      </c>
      <c r="B4576" t="s">
        <v>22</v>
      </c>
      <c r="C4576" t="s">
        <v>9</v>
      </c>
      <c r="D4576" t="s">
        <v>10</v>
      </c>
      <c r="E4576">
        <v>18</v>
      </c>
      <c r="F4576" s="1">
        <v>45169</v>
      </c>
      <c r="G4576">
        <v>3.85063815538415E-2</v>
      </c>
    </row>
    <row r="4577" spans="1:7" x14ac:dyDescent="0.25">
      <c r="A4577" t="s">
        <v>7</v>
      </c>
      <c r="B4577" t="s">
        <v>22</v>
      </c>
      <c r="C4577" t="s">
        <v>9</v>
      </c>
      <c r="D4577" t="s">
        <v>10</v>
      </c>
      <c r="E4577">
        <v>18</v>
      </c>
      <c r="F4577" s="1">
        <v>45199</v>
      </c>
      <c r="G4577">
        <v>2.92677113415802E-2</v>
      </c>
    </row>
    <row r="4578" spans="1:7" x14ac:dyDescent="0.25">
      <c r="A4578" t="s">
        <v>7</v>
      </c>
      <c r="B4578" t="s">
        <v>22</v>
      </c>
      <c r="C4578" t="s">
        <v>9</v>
      </c>
      <c r="D4578" t="s">
        <v>10</v>
      </c>
      <c r="E4578">
        <v>18</v>
      </c>
      <c r="F4578" s="1">
        <v>45230</v>
      </c>
      <c r="G4578">
        <v>5.5177783840786698E-2</v>
      </c>
    </row>
    <row r="4579" spans="1:7" x14ac:dyDescent="0.25">
      <c r="A4579" t="s">
        <v>7</v>
      </c>
      <c r="B4579" t="s">
        <v>22</v>
      </c>
      <c r="C4579" t="s">
        <v>9</v>
      </c>
      <c r="D4579" t="s">
        <v>10</v>
      </c>
      <c r="E4579">
        <v>18</v>
      </c>
      <c r="F4579" s="1">
        <v>45260</v>
      </c>
      <c r="G4579">
        <v>1.75535916196198E-2</v>
      </c>
    </row>
    <row r="4580" spans="1:7" x14ac:dyDescent="0.25">
      <c r="A4580" t="s">
        <v>7</v>
      </c>
      <c r="B4580" t="s">
        <v>22</v>
      </c>
      <c r="C4580" t="s">
        <v>9</v>
      </c>
      <c r="D4580" t="s">
        <v>10</v>
      </c>
      <c r="E4580">
        <v>18</v>
      </c>
      <c r="F4580" s="1">
        <v>45291</v>
      </c>
      <c r="G4580">
        <v>2.52596653519553E-3</v>
      </c>
    </row>
    <row r="4581" spans="1:7" x14ac:dyDescent="0.25">
      <c r="A4581" t="s">
        <v>7</v>
      </c>
      <c r="B4581" t="s">
        <v>22</v>
      </c>
      <c r="C4581" t="s">
        <v>9</v>
      </c>
      <c r="D4581" t="s">
        <v>10</v>
      </c>
      <c r="E4581">
        <v>18</v>
      </c>
      <c r="F4581" s="1">
        <v>45322</v>
      </c>
      <c r="G4581">
        <v>1.7857347472271901E-2</v>
      </c>
    </row>
    <row r="4582" spans="1:7" x14ac:dyDescent="0.25">
      <c r="A4582" t="s">
        <v>7</v>
      </c>
      <c r="B4582" t="s">
        <v>22</v>
      </c>
      <c r="C4582" t="s">
        <v>9</v>
      </c>
      <c r="D4582" t="s">
        <v>10</v>
      </c>
      <c r="E4582">
        <v>18</v>
      </c>
      <c r="F4582" s="1">
        <v>45351</v>
      </c>
      <c r="G4582">
        <v>1.0962607596731899E-2</v>
      </c>
    </row>
    <row r="4583" spans="1:7" x14ac:dyDescent="0.25">
      <c r="A4583" t="s">
        <v>7</v>
      </c>
      <c r="B4583" t="s">
        <v>22</v>
      </c>
      <c r="C4583" t="s">
        <v>9</v>
      </c>
      <c r="D4583" t="s">
        <v>10</v>
      </c>
      <c r="E4583">
        <v>18</v>
      </c>
      <c r="F4583" s="1">
        <v>45382</v>
      </c>
      <c r="G4583">
        <v>-1.7266489172374399E-2</v>
      </c>
    </row>
    <row r="4584" spans="1:7" x14ac:dyDescent="0.25">
      <c r="A4584" t="s">
        <v>7</v>
      </c>
      <c r="B4584" t="s">
        <v>22</v>
      </c>
      <c r="C4584" t="s">
        <v>9</v>
      </c>
      <c r="D4584" t="s">
        <v>10</v>
      </c>
      <c r="E4584">
        <v>18</v>
      </c>
      <c r="F4584" s="1">
        <v>45412</v>
      </c>
      <c r="G4584">
        <v>9.9970191609468403E-3</v>
      </c>
    </row>
    <row r="4585" spans="1:7" x14ac:dyDescent="0.25">
      <c r="A4585" t="s">
        <v>7</v>
      </c>
      <c r="B4585" t="s">
        <v>22</v>
      </c>
      <c r="C4585" t="s">
        <v>9</v>
      </c>
      <c r="D4585" t="s">
        <v>10</v>
      </c>
      <c r="E4585">
        <v>18</v>
      </c>
      <c r="F4585" s="1">
        <v>45443</v>
      </c>
      <c r="G4585">
        <v>1.13890218721087E-2</v>
      </c>
    </row>
    <row r="4586" spans="1:7" x14ac:dyDescent="0.25">
      <c r="A4586" t="s">
        <v>7</v>
      </c>
      <c r="B4586" t="s">
        <v>22</v>
      </c>
      <c r="C4586" t="s">
        <v>9</v>
      </c>
      <c r="D4586" t="s">
        <v>10</v>
      </c>
      <c r="E4586">
        <v>18</v>
      </c>
      <c r="F4586" s="1">
        <v>45473</v>
      </c>
      <c r="G4586">
        <v>-3.9477354011805002E-3</v>
      </c>
    </row>
    <row r="4587" spans="1:7" x14ac:dyDescent="0.25">
      <c r="A4587" t="s">
        <v>7</v>
      </c>
      <c r="B4587" t="s">
        <v>22</v>
      </c>
      <c r="C4587" t="s">
        <v>9</v>
      </c>
      <c r="D4587" t="s">
        <v>10</v>
      </c>
      <c r="E4587">
        <v>18</v>
      </c>
      <c r="F4587" s="1">
        <v>45504</v>
      </c>
      <c r="G4587">
        <v>-3.1388911976659398E-2</v>
      </c>
    </row>
    <row r="4588" spans="1:7" x14ac:dyDescent="0.25">
      <c r="A4588" t="s">
        <v>7</v>
      </c>
      <c r="B4588" t="s">
        <v>22</v>
      </c>
      <c r="C4588" t="s">
        <v>9</v>
      </c>
      <c r="D4588" t="s">
        <v>10</v>
      </c>
      <c r="E4588">
        <v>18</v>
      </c>
      <c r="F4588" s="1">
        <v>45535</v>
      </c>
      <c r="G4588">
        <v>-1.66148102282231E-3</v>
      </c>
    </row>
    <row r="4589" spans="1:7" x14ac:dyDescent="0.25">
      <c r="A4589" t="s">
        <v>7</v>
      </c>
      <c r="B4589" t="s">
        <v>22</v>
      </c>
      <c r="C4589" t="s">
        <v>9</v>
      </c>
      <c r="D4589" t="s">
        <v>10</v>
      </c>
      <c r="E4589">
        <v>18</v>
      </c>
      <c r="F4589" s="1">
        <v>45565</v>
      </c>
      <c r="G4589">
        <v>1.39044703883971E-2</v>
      </c>
    </row>
    <row r="4590" spans="1:7" x14ac:dyDescent="0.25">
      <c r="A4590" t="s">
        <v>7</v>
      </c>
      <c r="B4590" t="s">
        <v>22</v>
      </c>
      <c r="C4590" t="s">
        <v>9</v>
      </c>
      <c r="D4590" t="s">
        <v>10</v>
      </c>
      <c r="E4590">
        <v>18</v>
      </c>
      <c r="F4590" s="1">
        <v>45596</v>
      </c>
      <c r="G4590">
        <v>-1.3761081915254099E-3</v>
      </c>
    </row>
    <row r="4591" spans="1:7" x14ac:dyDescent="0.25">
      <c r="A4591" t="s">
        <v>7</v>
      </c>
      <c r="B4591" t="s">
        <v>22</v>
      </c>
      <c r="C4591" t="s">
        <v>9</v>
      </c>
      <c r="D4591" t="s">
        <v>10</v>
      </c>
      <c r="E4591">
        <v>18</v>
      </c>
      <c r="F4591" s="1">
        <v>45626</v>
      </c>
      <c r="G4591">
        <v>-1.27625541013133E-2</v>
      </c>
    </row>
    <row r="4592" spans="1:7" x14ac:dyDescent="0.25">
      <c r="A4592" t="s">
        <v>7</v>
      </c>
      <c r="B4592" t="s">
        <v>22</v>
      </c>
      <c r="C4592" t="s">
        <v>9</v>
      </c>
      <c r="D4592" t="s">
        <v>10</v>
      </c>
      <c r="E4592">
        <v>18</v>
      </c>
      <c r="F4592" s="1">
        <v>45657</v>
      </c>
      <c r="G4592">
        <v>-4.5158301585078104E-3</v>
      </c>
    </row>
    <row r="4593" spans="1:7" x14ac:dyDescent="0.25">
      <c r="A4593" t="s">
        <v>7</v>
      </c>
      <c r="B4593" t="s">
        <v>22</v>
      </c>
      <c r="C4593" t="s">
        <v>9</v>
      </c>
      <c r="D4593" t="s">
        <v>10</v>
      </c>
      <c r="E4593">
        <v>18</v>
      </c>
      <c r="F4593" s="1">
        <v>45688</v>
      </c>
      <c r="G4593">
        <v>4.1491391570475699E-3</v>
      </c>
    </row>
    <row r="4594" spans="1:7" x14ac:dyDescent="0.25">
      <c r="A4594" t="s">
        <v>7</v>
      </c>
      <c r="B4594" t="s">
        <v>22</v>
      </c>
      <c r="C4594" t="s">
        <v>9</v>
      </c>
      <c r="D4594" t="s">
        <v>10</v>
      </c>
      <c r="E4594">
        <v>18</v>
      </c>
      <c r="F4594" s="1">
        <v>45716</v>
      </c>
      <c r="G4594">
        <v>2.0779736458701601E-2</v>
      </c>
    </row>
    <row r="4595" spans="1:7" x14ac:dyDescent="0.25">
      <c r="A4595" t="s">
        <v>7</v>
      </c>
      <c r="B4595" t="s">
        <v>22</v>
      </c>
      <c r="C4595" t="s">
        <v>9</v>
      </c>
      <c r="D4595" t="s">
        <v>10</v>
      </c>
      <c r="E4595">
        <v>18</v>
      </c>
      <c r="F4595" s="1">
        <v>45747</v>
      </c>
      <c r="G4595">
        <v>4.6919422598682897E-2</v>
      </c>
    </row>
    <row r="4596" spans="1:7" x14ac:dyDescent="0.25">
      <c r="A4596" t="s">
        <v>7</v>
      </c>
      <c r="B4596" t="s">
        <v>22</v>
      </c>
      <c r="C4596" t="s">
        <v>9</v>
      </c>
      <c r="D4596" t="s">
        <v>10</v>
      </c>
      <c r="E4596">
        <v>18</v>
      </c>
      <c r="F4596" s="1">
        <v>45777</v>
      </c>
      <c r="G4596">
        <v>-1.3449269972594E-2</v>
      </c>
    </row>
    <row r="4597" spans="1:7" x14ac:dyDescent="0.25">
      <c r="A4597" t="s">
        <v>7</v>
      </c>
      <c r="B4597" t="s">
        <v>22</v>
      </c>
      <c r="C4597" t="s">
        <v>9</v>
      </c>
      <c r="D4597" t="s">
        <v>10</v>
      </c>
      <c r="E4597">
        <v>18</v>
      </c>
      <c r="F4597" s="1">
        <v>45808</v>
      </c>
      <c r="G4597">
        <v>-2.0614013337714E-2</v>
      </c>
    </row>
    <row r="4598" spans="1:7" x14ac:dyDescent="0.25">
      <c r="A4598" t="s">
        <v>7</v>
      </c>
      <c r="B4598" t="s">
        <v>22</v>
      </c>
      <c r="C4598" t="s">
        <v>9</v>
      </c>
      <c r="D4598" t="s">
        <v>10</v>
      </c>
      <c r="E4598">
        <v>18</v>
      </c>
      <c r="F4598" s="1">
        <v>45838</v>
      </c>
      <c r="G4598">
        <v>-7.7074858402457098E-3</v>
      </c>
    </row>
    <row r="4599" spans="1:7" x14ac:dyDescent="0.25">
      <c r="A4599" t="s">
        <v>7</v>
      </c>
      <c r="B4599" t="s">
        <v>22</v>
      </c>
      <c r="C4599" t="s">
        <v>9</v>
      </c>
      <c r="D4599" t="s">
        <v>10</v>
      </c>
      <c r="E4599">
        <v>18</v>
      </c>
      <c r="F4599" s="1">
        <v>45869</v>
      </c>
      <c r="G4599">
        <v>3.4946098050593503E-2</v>
      </c>
    </row>
    <row r="4600" spans="1:7" x14ac:dyDescent="0.25">
      <c r="A4600" t="s">
        <v>7</v>
      </c>
      <c r="B4600" t="s">
        <v>22</v>
      </c>
      <c r="C4600" t="s">
        <v>9</v>
      </c>
      <c r="D4600" t="s">
        <v>10</v>
      </c>
      <c r="E4600">
        <v>18</v>
      </c>
      <c r="F4600" s="1">
        <v>45900</v>
      </c>
      <c r="G4600">
        <v>1.1530325408665301E-2</v>
      </c>
    </row>
    <row r="4601" spans="1:7" x14ac:dyDescent="0.25">
      <c r="A4601" t="s">
        <v>7</v>
      </c>
      <c r="B4601" t="s">
        <v>22</v>
      </c>
      <c r="C4601" t="s">
        <v>9</v>
      </c>
      <c r="D4601" t="s">
        <v>10</v>
      </c>
      <c r="E4601">
        <v>18</v>
      </c>
      <c r="F4601" s="1">
        <v>45930</v>
      </c>
      <c r="G4601">
        <v>8.9776568532466093E-3</v>
      </c>
    </row>
    <row r="4602" spans="1:7" x14ac:dyDescent="0.25">
      <c r="A4602" t="s">
        <v>7</v>
      </c>
      <c r="B4602" t="s">
        <v>22</v>
      </c>
      <c r="C4602" t="s">
        <v>9</v>
      </c>
      <c r="D4602" t="s">
        <v>10</v>
      </c>
      <c r="E4602">
        <v>18</v>
      </c>
      <c r="F4602" s="1">
        <v>45961</v>
      </c>
      <c r="G4602">
        <v>-7.0072101431693703E-3</v>
      </c>
    </row>
    <row r="4603" spans="1:7" x14ac:dyDescent="0.25">
      <c r="A4603" t="s">
        <v>7</v>
      </c>
      <c r="B4603" t="s">
        <v>22</v>
      </c>
      <c r="C4603" t="s">
        <v>9</v>
      </c>
      <c r="D4603" t="s">
        <v>10</v>
      </c>
      <c r="E4603">
        <v>18</v>
      </c>
      <c r="F4603" s="1">
        <v>45991</v>
      </c>
      <c r="G4603">
        <v>-8.3575691476892294E-3</v>
      </c>
    </row>
    <row r="4604" spans="1:7" x14ac:dyDescent="0.25">
      <c r="A4604" t="s">
        <v>7</v>
      </c>
      <c r="B4604" t="s">
        <v>22</v>
      </c>
      <c r="C4604" t="s">
        <v>9</v>
      </c>
      <c r="D4604" t="s">
        <v>10</v>
      </c>
      <c r="E4604">
        <v>18</v>
      </c>
      <c r="F4604" s="1">
        <v>46022</v>
      </c>
      <c r="G4604">
        <v>3.3887577783508799E-3</v>
      </c>
    </row>
  </sheetData>
  <autoFilter ref="A1:G4604" xr:uid="{A2EA4C7D-E413-4354-ACC9-7D50CEA14FA4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A0CF8-E272-4E8C-A8B4-37FAEE3AAD0B}">
  <dimension ref="A1:C315"/>
  <sheetViews>
    <sheetView workbookViewId="0">
      <selection sqref="A1:B1048576"/>
    </sheetView>
  </sheetViews>
  <sheetFormatPr defaultRowHeight="15" x14ac:dyDescent="0.25"/>
  <cols>
    <col min="1" max="1" width="10.42578125" bestFit="1" customWidth="1"/>
  </cols>
  <sheetData>
    <row r="1" spans="1:3" x14ac:dyDescent="0.25">
      <c r="A1" t="s">
        <v>32</v>
      </c>
      <c r="B1" t="s">
        <v>33</v>
      </c>
    </row>
    <row r="2" spans="1:3" x14ac:dyDescent="0.25">
      <c r="A2" s="1">
        <f>_xll.BDH(B$1,"PX_LAST","1990-01-01","","Dir=V","Per=M","Dts=S","cols=2;rows=314")</f>
        <v>36738</v>
      </c>
      <c r="B2">
        <v>7.3103999999999996</v>
      </c>
    </row>
    <row r="3" spans="1:3" x14ac:dyDescent="0.25">
      <c r="A3" s="1">
        <v>36769</v>
      </c>
      <c r="B3">
        <v>7.5917000000000003</v>
      </c>
      <c r="C3">
        <f>+B3/B2-1</f>
        <v>3.8479426570365627E-2</v>
      </c>
    </row>
    <row r="4" spans="1:3" x14ac:dyDescent="0.25">
      <c r="A4" s="1">
        <v>36798</v>
      </c>
      <c r="B4">
        <v>6.9671000000000003</v>
      </c>
      <c r="C4">
        <f t="shared" ref="C4:C67" si="0">+B4/B3-1</f>
        <v>-8.227406246295299E-2</v>
      </c>
    </row>
    <row r="5" spans="1:3" x14ac:dyDescent="0.25">
      <c r="A5" s="1">
        <v>36830</v>
      </c>
      <c r="B5">
        <v>6.1982999999999997</v>
      </c>
      <c r="C5">
        <f t="shared" si="0"/>
        <v>-0.11034720328400638</v>
      </c>
    </row>
    <row r="6" spans="1:3" x14ac:dyDescent="0.25">
      <c r="A6" s="1">
        <v>36860</v>
      </c>
      <c r="B6">
        <v>5.5496999999999996</v>
      </c>
      <c r="C6">
        <f t="shared" si="0"/>
        <v>-0.10464159527612416</v>
      </c>
    </row>
    <row r="7" spans="1:3" x14ac:dyDescent="0.25">
      <c r="A7" s="1">
        <v>36889</v>
      </c>
      <c r="B7">
        <v>6.3444000000000003</v>
      </c>
      <c r="C7">
        <f t="shared" si="0"/>
        <v>0.14319692956376029</v>
      </c>
    </row>
    <row r="8" spans="1:3" x14ac:dyDescent="0.25">
      <c r="A8" s="1">
        <v>36922</v>
      </c>
      <c r="B8">
        <v>7.2095000000000002</v>
      </c>
      <c r="C8">
        <f t="shared" si="0"/>
        <v>0.13635647184918986</v>
      </c>
    </row>
    <row r="9" spans="1:3" x14ac:dyDescent="0.25">
      <c r="A9" s="1">
        <v>36950</v>
      </c>
      <c r="B9">
        <v>6.3444000000000003</v>
      </c>
      <c r="C9">
        <f t="shared" si="0"/>
        <v>-0.11999445176503221</v>
      </c>
    </row>
    <row r="10" spans="1:3" x14ac:dyDescent="0.25">
      <c r="A10" s="1">
        <v>36980</v>
      </c>
      <c r="B10">
        <v>5.7599</v>
      </c>
      <c r="C10">
        <f t="shared" si="0"/>
        <v>-9.21284912678898E-2</v>
      </c>
    </row>
    <row r="11" spans="1:3" x14ac:dyDescent="0.25">
      <c r="A11" s="1">
        <v>37011</v>
      </c>
      <c r="B11">
        <v>5.8638000000000003</v>
      </c>
      <c r="C11">
        <f t="shared" si="0"/>
        <v>1.8038507612979426E-2</v>
      </c>
    </row>
    <row r="12" spans="1:3" x14ac:dyDescent="0.25">
      <c r="A12" s="1">
        <v>37042</v>
      </c>
      <c r="B12">
        <v>5.6638000000000002</v>
      </c>
      <c r="C12">
        <f t="shared" si="0"/>
        <v>-3.4107575292472436E-2</v>
      </c>
    </row>
    <row r="13" spans="1:3" x14ac:dyDescent="0.25">
      <c r="A13" s="1">
        <v>37071</v>
      </c>
      <c r="B13">
        <v>5.5292000000000003</v>
      </c>
      <c r="C13">
        <f t="shared" si="0"/>
        <v>-2.3764963452099219E-2</v>
      </c>
    </row>
    <row r="14" spans="1:3" x14ac:dyDescent="0.25">
      <c r="A14" s="1">
        <v>37103</v>
      </c>
      <c r="B14">
        <v>4.8833000000000002</v>
      </c>
      <c r="C14">
        <f t="shared" si="0"/>
        <v>-0.11681617593865301</v>
      </c>
    </row>
    <row r="15" spans="1:3" x14ac:dyDescent="0.25">
      <c r="A15" s="1">
        <v>37134</v>
      </c>
      <c r="B15">
        <v>4.4934000000000003</v>
      </c>
      <c r="C15">
        <f t="shared" si="0"/>
        <v>-7.9843548420125754E-2</v>
      </c>
    </row>
    <row r="16" spans="1:3" x14ac:dyDescent="0.25">
      <c r="A16" s="1">
        <v>37162</v>
      </c>
      <c r="B16">
        <v>3.7309999999999999</v>
      </c>
      <c r="C16">
        <f t="shared" si="0"/>
        <v>-0.16967107312947882</v>
      </c>
    </row>
    <row r="17" spans="1:3" x14ac:dyDescent="0.25">
      <c r="A17" s="1">
        <v>37195</v>
      </c>
      <c r="B17">
        <v>3.8527</v>
      </c>
      <c r="C17">
        <f t="shared" si="0"/>
        <v>3.2618600911283879E-2</v>
      </c>
    </row>
    <row r="18" spans="1:3" x14ac:dyDescent="0.25">
      <c r="A18" s="1">
        <v>37225</v>
      </c>
      <c r="B18">
        <v>4.5785999999999998</v>
      </c>
      <c r="C18">
        <f t="shared" si="0"/>
        <v>0.1884133205284606</v>
      </c>
    </row>
    <row r="19" spans="1:3" x14ac:dyDescent="0.25">
      <c r="A19" s="1">
        <v>37256</v>
      </c>
      <c r="B19">
        <v>5.1504000000000003</v>
      </c>
      <c r="C19">
        <f t="shared" si="0"/>
        <v>0.12488533612894792</v>
      </c>
    </row>
    <row r="20" spans="1:3" x14ac:dyDescent="0.25">
      <c r="A20" s="1">
        <v>37287</v>
      </c>
      <c r="B20">
        <v>4.6840000000000002</v>
      </c>
      <c r="C20">
        <f t="shared" si="0"/>
        <v>-9.0556073314694063E-2</v>
      </c>
    </row>
    <row r="21" spans="1:3" x14ac:dyDescent="0.25">
      <c r="A21" s="1">
        <v>37315</v>
      </c>
      <c r="B21">
        <v>5.5357000000000003</v>
      </c>
      <c r="C21">
        <f t="shared" si="0"/>
        <v>0.18183176771989751</v>
      </c>
    </row>
    <row r="22" spans="1:3" x14ac:dyDescent="0.25">
      <c r="A22" s="1">
        <v>37344</v>
      </c>
      <c r="B22">
        <v>5.3654000000000002</v>
      </c>
      <c r="C22">
        <f t="shared" si="0"/>
        <v>-3.0763950358581593E-2</v>
      </c>
    </row>
    <row r="23" spans="1:3" x14ac:dyDescent="0.25">
      <c r="A23" s="1">
        <v>37376</v>
      </c>
      <c r="B23">
        <v>5.2923999999999998</v>
      </c>
      <c r="C23">
        <f t="shared" si="0"/>
        <v>-1.3605695754277503E-2</v>
      </c>
    </row>
    <row r="24" spans="1:3" x14ac:dyDescent="0.25">
      <c r="A24" s="1">
        <v>37407</v>
      </c>
      <c r="B24">
        <v>4.9070999999999998</v>
      </c>
      <c r="C24">
        <f t="shared" si="0"/>
        <v>-7.2802509258559467E-2</v>
      </c>
    </row>
    <row r="25" spans="1:3" x14ac:dyDescent="0.25">
      <c r="A25" s="1">
        <v>37435</v>
      </c>
      <c r="B25">
        <v>3.9338000000000002</v>
      </c>
      <c r="C25">
        <f t="shared" si="0"/>
        <v>-0.19834525483483112</v>
      </c>
    </row>
    <row r="26" spans="1:3" x14ac:dyDescent="0.25">
      <c r="A26" s="1">
        <v>37468</v>
      </c>
      <c r="B26">
        <v>2.8307000000000002</v>
      </c>
      <c r="C26">
        <f t="shared" si="0"/>
        <v>-0.28041588286135544</v>
      </c>
    </row>
    <row r="27" spans="1:3" x14ac:dyDescent="0.25">
      <c r="A27" s="1">
        <v>37498</v>
      </c>
      <c r="B27">
        <v>3.2646000000000002</v>
      </c>
      <c r="C27">
        <f t="shared" si="0"/>
        <v>0.15328364008902384</v>
      </c>
    </row>
    <row r="28" spans="1:3" x14ac:dyDescent="0.25">
      <c r="A28" s="1">
        <v>37529</v>
      </c>
      <c r="B28">
        <v>2.3481000000000001</v>
      </c>
      <c r="C28">
        <f t="shared" si="0"/>
        <v>-0.28073883477301964</v>
      </c>
    </row>
    <row r="29" spans="1:3" x14ac:dyDescent="0.25">
      <c r="A29" s="1">
        <v>37560</v>
      </c>
      <c r="B29">
        <v>3.0131999999999999</v>
      </c>
      <c r="C29">
        <f t="shared" si="0"/>
        <v>0.28325028746646219</v>
      </c>
    </row>
    <row r="30" spans="1:3" x14ac:dyDescent="0.25">
      <c r="A30" s="1">
        <v>37589</v>
      </c>
      <c r="B30">
        <v>2.9645000000000001</v>
      </c>
      <c r="C30">
        <f t="shared" si="0"/>
        <v>-1.6162219567237401E-2</v>
      </c>
    </row>
    <row r="31" spans="1:3" x14ac:dyDescent="0.25">
      <c r="A31" s="1">
        <v>37621</v>
      </c>
      <c r="B31">
        <v>3.2787999999999999</v>
      </c>
      <c r="C31">
        <f t="shared" si="0"/>
        <v>0.10602125147579677</v>
      </c>
    </row>
    <row r="32" spans="1:3" x14ac:dyDescent="0.25">
      <c r="A32" s="1">
        <v>37652</v>
      </c>
      <c r="B32">
        <v>3.2336</v>
      </c>
      <c r="C32">
        <f t="shared" si="0"/>
        <v>-1.3785531291936048E-2</v>
      </c>
    </row>
    <row r="33" spans="1:3" x14ac:dyDescent="0.25">
      <c r="A33" s="1">
        <v>37680</v>
      </c>
      <c r="B33">
        <v>3.0609999999999999</v>
      </c>
      <c r="C33">
        <f t="shared" si="0"/>
        <v>-5.3377041068777831E-2</v>
      </c>
    </row>
    <row r="34" spans="1:3" x14ac:dyDescent="0.25">
      <c r="A34" s="1">
        <v>37711</v>
      </c>
      <c r="B34">
        <v>3.4308000000000001</v>
      </c>
      <c r="C34">
        <f t="shared" si="0"/>
        <v>0.12081019274746829</v>
      </c>
    </row>
    <row r="35" spans="1:3" x14ac:dyDescent="0.25">
      <c r="A35" s="1">
        <v>37741</v>
      </c>
      <c r="B35">
        <v>4.1498999999999997</v>
      </c>
      <c r="C35">
        <f t="shared" si="0"/>
        <v>0.20960125918153194</v>
      </c>
    </row>
    <row r="36" spans="1:3" x14ac:dyDescent="0.25">
      <c r="A36" s="1">
        <v>37771</v>
      </c>
      <c r="B36">
        <v>4.3635000000000002</v>
      </c>
      <c r="C36">
        <f t="shared" si="0"/>
        <v>5.1471119786019148E-2</v>
      </c>
    </row>
    <row r="37" spans="1:3" x14ac:dyDescent="0.25">
      <c r="A37" s="1">
        <v>37802</v>
      </c>
      <c r="B37">
        <v>4.3593999999999999</v>
      </c>
      <c r="C37">
        <f t="shared" si="0"/>
        <v>-9.3961269623010768E-4</v>
      </c>
    </row>
    <row r="38" spans="1:3" x14ac:dyDescent="0.25">
      <c r="A38" s="1">
        <v>37833</v>
      </c>
      <c r="B38">
        <v>4.4867999999999997</v>
      </c>
      <c r="C38">
        <f t="shared" si="0"/>
        <v>2.9224205165848449E-2</v>
      </c>
    </row>
    <row r="39" spans="1:3" x14ac:dyDescent="0.25">
      <c r="A39" s="1">
        <v>37862</v>
      </c>
      <c r="B39">
        <v>5.0373000000000001</v>
      </c>
      <c r="C39">
        <f t="shared" si="0"/>
        <v>0.12269323348488914</v>
      </c>
    </row>
    <row r="40" spans="1:3" x14ac:dyDescent="0.25">
      <c r="A40" s="1">
        <v>37894</v>
      </c>
      <c r="B40">
        <v>5.2140000000000004</v>
      </c>
      <c r="C40">
        <f t="shared" si="0"/>
        <v>3.5078315764397683E-2</v>
      </c>
    </row>
    <row r="41" spans="1:3" x14ac:dyDescent="0.25">
      <c r="A41" s="1">
        <v>37925</v>
      </c>
      <c r="B41">
        <v>5.7398999999999996</v>
      </c>
      <c r="C41">
        <f t="shared" si="0"/>
        <v>0.10086306098964304</v>
      </c>
    </row>
    <row r="42" spans="1:3" x14ac:dyDescent="0.25">
      <c r="A42" s="1">
        <v>37953</v>
      </c>
      <c r="B42">
        <v>6.0686</v>
      </c>
      <c r="C42">
        <f t="shared" si="0"/>
        <v>5.7265806024495269E-2</v>
      </c>
    </row>
    <row r="43" spans="1:3" x14ac:dyDescent="0.25">
      <c r="A43" s="1">
        <v>37986</v>
      </c>
      <c r="B43">
        <v>7.1013000000000002</v>
      </c>
      <c r="C43">
        <f t="shared" si="0"/>
        <v>0.17017104439244646</v>
      </c>
    </row>
    <row r="44" spans="1:3" x14ac:dyDescent="0.25">
      <c r="A44" s="1">
        <v>38016</v>
      </c>
      <c r="B44">
        <v>6.6669</v>
      </c>
      <c r="C44">
        <f t="shared" si="0"/>
        <v>-6.1171898103164257E-2</v>
      </c>
    </row>
    <row r="45" spans="1:3" x14ac:dyDescent="0.25">
      <c r="A45" s="1">
        <v>38044</v>
      </c>
      <c r="B45">
        <v>6.976</v>
      </c>
      <c r="C45">
        <f t="shared" si="0"/>
        <v>4.6363377281795071E-2</v>
      </c>
    </row>
    <row r="46" spans="1:3" x14ac:dyDescent="0.25">
      <c r="A46" s="1">
        <v>38077</v>
      </c>
      <c r="B46">
        <v>7.0178000000000003</v>
      </c>
      <c r="C46">
        <f t="shared" si="0"/>
        <v>5.991972477064289E-3</v>
      </c>
    </row>
    <row r="47" spans="1:3" x14ac:dyDescent="0.25">
      <c r="A47" s="1">
        <v>38107</v>
      </c>
      <c r="B47">
        <v>5.9734999999999996</v>
      </c>
      <c r="C47">
        <f t="shared" si="0"/>
        <v>-0.14880731853287366</v>
      </c>
    </row>
    <row r="48" spans="1:3" x14ac:dyDescent="0.25">
      <c r="A48" s="1">
        <v>38138</v>
      </c>
      <c r="B48">
        <v>5.9066000000000001</v>
      </c>
      <c r="C48">
        <f t="shared" si="0"/>
        <v>-1.119946430066121E-2</v>
      </c>
    </row>
    <row r="49" spans="1:3" x14ac:dyDescent="0.25">
      <c r="A49" s="1">
        <v>38168</v>
      </c>
      <c r="B49">
        <v>6.1447000000000003</v>
      </c>
      <c r="C49">
        <f t="shared" si="0"/>
        <v>4.0310838722784625E-2</v>
      </c>
    </row>
    <row r="50" spans="1:3" x14ac:dyDescent="0.25">
      <c r="A50" s="1">
        <v>38198</v>
      </c>
      <c r="B50">
        <v>6.5792000000000002</v>
      </c>
      <c r="C50">
        <f t="shared" si="0"/>
        <v>7.0711344736114068E-2</v>
      </c>
    </row>
    <row r="51" spans="1:3" x14ac:dyDescent="0.25">
      <c r="A51" s="1">
        <v>38230</v>
      </c>
      <c r="B51">
        <v>7.1097000000000001</v>
      </c>
      <c r="C51">
        <f t="shared" si="0"/>
        <v>8.0632903696498115E-2</v>
      </c>
    </row>
    <row r="52" spans="1:3" x14ac:dyDescent="0.25">
      <c r="A52" s="1">
        <v>38260</v>
      </c>
      <c r="B52">
        <v>7.7446000000000002</v>
      </c>
      <c r="C52">
        <f t="shared" si="0"/>
        <v>8.9300533074532007E-2</v>
      </c>
    </row>
    <row r="53" spans="1:3" x14ac:dyDescent="0.25">
      <c r="A53" s="1">
        <v>38289</v>
      </c>
      <c r="B53">
        <v>7.8490000000000002</v>
      </c>
      <c r="C53">
        <f t="shared" si="0"/>
        <v>1.348036050925816E-2</v>
      </c>
    </row>
    <row r="54" spans="1:3" x14ac:dyDescent="0.25">
      <c r="A54" s="1">
        <v>38321</v>
      </c>
      <c r="B54">
        <v>8.7095000000000002</v>
      </c>
      <c r="C54">
        <f t="shared" si="0"/>
        <v>0.10963180022932861</v>
      </c>
    </row>
    <row r="55" spans="1:3" x14ac:dyDescent="0.25">
      <c r="A55" s="1">
        <v>38352</v>
      </c>
      <c r="B55">
        <v>9.4896999999999991</v>
      </c>
      <c r="C55">
        <f t="shared" si="0"/>
        <v>8.9580343303289345E-2</v>
      </c>
    </row>
    <row r="56" spans="1:3" x14ac:dyDescent="0.25">
      <c r="A56" s="1">
        <v>38383</v>
      </c>
      <c r="B56">
        <v>9.1910000000000007</v>
      </c>
      <c r="C56">
        <f t="shared" si="0"/>
        <v>-3.1476232125356773E-2</v>
      </c>
    </row>
    <row r="57" spans="1:3" x14ac:dyDescent="0.25">
      <c r="A57" s="1">
        <v>38411</v>
      </c>
      <c r="B57">
        <v>10.6929</v>
      </c>
      <c r="C57">
        <f t="shared" si="0"/>
        <v>0.16340985746926329</v>
      </c>
    </row>
    <row r="58" spans="1:3" x14ac:dyDescent="0.25">
      <c r="A58" s="1">
        <v>38442</v>
      </c>
      <c r="B58">
        <v>9.7201000000000004</v>
      </c>
      <c r="C58">
        <f t="shared" si="0"/>
        <v>-9.0976255272189888E-2</v>
      </c>
    </row>
    <row r="59" spans="1:3" x14ac:dyDescent="0.25">
      <c r="A59" s="1">
        <v>38471</v>
      </c>
      <c r="B59">
        <v>9.3232999999999997</v>
      </c>
      <c r="C59">
        <f t="shared" si="0"/>
        <v>-4.082262528163294E-2</v>
      </c>
    </row>
    <row r="60" spans="1:3" x14ac:dyDescent="0.25">
      <c r="A60" s="1">
        <v>38503</v>
      </c>
      <c r="B60">
        <v>10.151</v>
      </c>
      <c r="C60">
        <f t="shared" si="0"/>
        <v>8.8777578754303699E-2</v>
      </c>
    </row>
    <row r="61" spans="1:3" x14ac:dyDescent="0.25">
      <c r="A61" s="1">
        <v>38533</v>
      </c>
      <c r="B61">
        <v>10.5905</v>
      </c>
      <c r="C61">
        <f t="shared" si="0"/>
        <v>4.3296226972712182E-2</v>
      </c>
    </row>
    <row r="62" spans="1:3" x14ac:dyDescent="0.25">
      <c r="A62" s="1">
        <v>38562</v>
      </c>
      <c r="B62">
        <v>10.825200000000001</v>
      </c>
      <c r="C62">
        <f t="shared" si="0"/>
        <v>2.21613710400832E-2</v>
      </c>
    </row>
    <row r="63" spans="1:3" x14ac:dyDescent="0.25">
      <c r="A63" s="1">
        <v>38595</v>
      </c>
      <c r="B63">
        <v>11.985799999999999</v>
      </c>
      <c r="C63">
        <f t="shared" si="0"/>
        <v>0.10721279976351461</v>
      </c>
    </row>
    <row r="64" spans="1:3" x14ac:dyDescent="0.25">
      <c r="A64" s="1">
        <v>38625</v>
      </c>
      <c r="B64">
        <v>14.2174</v>
      </c>
      <c r="C64">
        <f t="shared" si="0"/>
        <v>0.18618698793572408</v>
      </c>
    </row>
    <row r="65" spans="1:3" x14ac:dyDescent="0.25">
      <c r="A65" s="1">
        <v>38656</v>
      </c>
      <c r="B65">
        <v>13.475</v>
      </c>
      <c r="C65">
        <f t="shared" si="0"/>
        <v>-5.2217705065623843E-2</v>
      </c>
    </row>
    <row r="66" spans="1:3" x14ac:dyDescent="0.25">
      <c r="A66" s="1">
        <v>38686</v>
      </c>
      <c r="B66">
        <v>14.4223</v>
      </c>
      <c r="C66">
        <f t="shared" si="0"/>
        <v>7.0300556586270879E-2</v>
      </c>
    </row>
    <row r="67" spans="1:3" x14ac:dyDescent="0.25">
      <c r="A67" s="1">
        <v>38716</v>
      </c>
      <c r="B67">
        <v>14.488099999999999</v>
      </c>
      <c r="C67">
        <f t="shared" si="0"/>
        <v>4.5623790934872233E-3</v>
      </c>
    </row>
    <row r="68" spans="1:3" x14ac:dyDescent="0.25">
      <c r="A68" s="1">
        <v>38748</v>
      </c>
      <c r="B68">
        <v>17.948399999999999</v>
      </c>
      <c r="C68">
        <f t="shared" ref="C68:C131" si="1">+B68/B67-1</f>
        <v>0.2388373906861494</v>
      </c>
    </row>
    <row r="69" spans="1:3" x14ac:dyDescent="0.25">
      <c r="A69" s="1">
        <v>38776</v>
      </c>
      <c r="B69">
        <v>17.891999999999999</v>
      </c>
      <c r="C69">
        <f t="shared" si="1"/>
        <v>-3.1423413786186849E-3</v>
      </c>
    </row>
    <row r="70" spans="1:3" x14ac:dyDescent="0.25">
      <c r="A70" s="1">
        <v>38807</v>
      </c>
      <c r="B70">
        <v>17.344899999999999</v>
      </c>
      <c r="C70">
        <f t="shared" si="1"/>
        <v>-3.0577911915940059E-2</v>
      </c>
    </row>
    <row r="71" spans="1:3" x14ac:dyDescent="0.25">
      <c r="A71" s="1">
        <v>38835</v>
      </c>
      <c r="B71">
        <v>19.2118</v>
      </c>
      <c r="C71">
        <f t="shared" si="1"/>
        <v>0.10763394427180328</v>
      </c>
    </row>
    <row r="72" spans="1:3" x14ac:dyDescent="0.25">
      <c r="A72" s="1">
        <v>38868</v>
      </c>
      <c r="B72">
        <v>16.042400000000001</v>
      </c>
      <c r="C72">
        <f t="shared" si="1"/>
        <v>-0.16497152791513547</v>
      </c>
    </row>
    <row r="73" spans="1:3" x14ac:dyDescent="0.25">
      <c r="A73" s="1">
        <v>38898</v>
      </c>
      <c r="B73">
        <v>16.9846</v>
      </c>
      <c r="C73">
        <f t="shared" si="1"/>
        <v>5.8731860569490868E-2</v>
      </c>
    </row>
    <row r="74" spans="1:3" x14ac:dyDescent="0.25">
      <c r="A74" s="1">
        <v>38929</v>
      </c>
      <c r="B74">
        <v>17.136500000000002</v>
      </c>
      <c r="C74">
        <f t="shared" si="1"/>
        <v>8.9433957820614918E-3</v>
      </c>
    </row>
    <row r="75" spans="1:3" x14ac:dyDescent="0.25">
      <c r="A75" s="1">
        <v>38960</v>
      </c>
      <c r="B75">
        <v>17.0063</v>
      </c>
      <c r="C75">
        <f t="shared" si="1"/>
        <v>-7.5978175239985735E-3</v>
      </c>
    </row>
    <row r="76" spans="1:3" x14ac:dyDescent="0.25">
      <c r="A76" s="1">
        <v>38989</v>
      </c>
      <c r="B76">
        <v>16.702300000000001</v>
      </c>
      <c r="C76">
        <f t="shared" si="1"/>
        <v>-1.7875728406531621E-2</v>
      </c>
    </row>
    <row r="77" spans="1:3" x14ac:dyDescent="0.25">
      <c r="A77" s="1">
        <v>39021</v>
      </c>
      <c r="B77">
        <v>18.226299999999998</v>
      </c>
      <c r="C77">
        <f t="shared" si="1"/>
        <v>9.124491836453652E-2</v>
      </c>
    </row>
    <row r="78" spans="1:3" x14ac:dyDescent="0.25">
      <c r="A78" s="1">
        <v>39051</v>
      </c>
      <c r="B78">
        <v>19.259599999999999</v>
      </c>
      <c r="C78">
        <f t="shared" si="1"/>
        <v>5.6692801062201426E-2</v>
      </c>
    </row>
    <row r="79" spans="1:3" x14ac:dyDescent="0.25">
      <c r="A79" s="1">
        <v>39080</v>
      </c>
      <c r="B79">
        <v>20.762799999999999</v>
      </c>
      <c r="C79">
        <f t="shared" si="1"/>
        <v>7.804938835697528E-2</v>
      </c>
    </row>
    <row r="80" spans="1:3" x14ac:dyDescent="0.25">
      <c r="A80" s="1">
        <v>39113</v>
      </c>
      <c r="B80">
        <v>20.94</v>
      </c>
      <c r="C80">
        <f t="shared" si="1"/>
        <v>8.5344943841871856E-3</v>
      </c>
    </row>
    <row r="81" spans="1:3" x14ac:dyDescent="0.25">
      <c r="A81" s="1">
        <v>39141</v>
      </c>
      <c r="B81">
        <v>20.3063</v>
      </c>
      <c r="C81">
        <f t="shared" si="1"/>
        <v>-3.0262655205348654E-2</v>
      </c>
    </row>
    <row r="82" spans="1:3" x14ac:dyDescent="0.25">
      <c r="A82" s="1">
        <v>39171</v>
      </c>
      <c r="B82">
        <v>21.813099999999999</v>
      </c>
      <c r="C82">
        <f t="shared" si="1"/>
        <v>7.4203572290372888E-2</v>
      </c>
    </row>
    <row r="83" spans="1:3" x14ac:dyDescent="0.25">
      <c r="A83" s="1">
        <v>39202</v>
      </c>
      <c r="B83">
        <v>23.293299999999999</v>
      </c>
      <c r="C83">
        <f t="shared" si="1"/>
        <v>6.7858305330283253E-2</v>
      </c>
    </row>
    <row r="84" spans="1:3" x14ac:dyDescent="0.25">
      <c r="A84" s="1">
        <v>39233</v>
      </c>
      <c r="B84">
        <v>26.2759</v>
      </c>
      <c r="C84">
        <f t="shared" si="1"/>
        <v>0.1280454036139147</v>
      </c>
    </row>
    <row r="85" spans="1:3" x14ac:dyDescent="0.25">
      <c r="A85" s="1">
        <v>39262</v>
      </c>
      <c r="B85">
        <v>27.219799999999999</v>
      </c>
      <c r="C85">
        <f t="shared" si="1"/>
        <v>3.5922651555227336E-2</v>
      </c>
    </row>
    <row r="86" spans="1:3" x14ac:dyDescent="0.25">
      <c r="A86" s="1">
        <v>39294</v>
      </c>
      <c r="B86">
        <v>28.1859</v>
      </c>
      <c r="C86">
        <f t="shared" si="1"/>
        <v>3.5492545867346514E-2</v>
      </c>
    </row>
    <row r="87" spans="1:3" x14ac:dyDescent="0.25">
      <c r="A87" s="1">
        <v>39325</v>
      </c>
      <c r="B87">
        <v>27.2774</v>
      </c>
      <c r="C87">
        <f t="shared" si="1"/>
        <v>-3.2232428270873026E-2</v>
      </c>
    </row>
    <row r="88" spans="1:3" x14ac:dyDescent="0.25">
      <c r="A88" s="1">
        <v>39353</v>
      </c>
      <c r="B88">
        <v>32.595500000000001</v>
      </c>
      <c r="C88">
        <f t="shared" si="1"/>
        <v>0.19496359623717807</v>
      </c>
    </row>
    <row r="89" spans="1:3" x14ac:dyDescent="0.25">
      <c r="A89" s="1">
        <v>39386</v>
      </c>
      <c r="B89">
        <v>37.9358</v>
      </c>
      <c r="C89">
        <f t="shared" si="1"/>
        <v>0.1638354987651669</v>
      </c>
    </row>
    <row r="90" spans="1:3" x14ac:dyDescent="0.25">
      <c r="A90" s="1">
        <v>39416</v>
      </c>
      <c r="B90">
        <v>35.875</v>
      </c>
      <c r="C90">
        <f t="shared" si="1"/>
        <v>-5.4323356829169334E-2</v>
      </c>
    </row>
    <row r="91" spans="1:3" x14ac:dyDescent="0.25">
      <c r="A91" s="1">
        <v>39447</v>
      </c>
      <c r="B91">
        <v>36.296399999999998</v>
      </c>
      <c r="C91">
        <f t="shared" si="1"/>
        <v>1.1746341463414689E-2</v>
      </c>
    </row>
    <row r="92" spans="1:3" x14ac:dyDescent="0.25">
      <c r="A92" s="1">
        <v>39478</v>
      </c>
      <c r="B92">
        <v>34.402799999999999</v>
      </c>
      <c r="C92">
        <f t="shared" si="1"/>
        <v>-5.2170463186431704E-2</v>
      </c>
    </row>
    <row r="93" spans="1:3" x14ac:dyDescent="0.25">
      <c r="A93" s="1">
        <v>39507</v>
      </c>
      <c r="B93">
        <v>37.569200000000002</v>
      </c>
      <c r="C93">
        <f t="shared" si="1"/>
        <v>9.2039020079760947E-2</v>
      </c>
    </row>
    <row r="94" spans="1:3" x14ac:dyDescent="0.25">
      <c r="A94" s="1">
        <v>39538</v>
      </c>
      <c r="B94">
        <v>34.645699999999998</v>
      </c>
      <c r="C94">
        <f t="shared" si="1"/>
        <v>-7.781640279803681E-2</v>
      </c>
    </row>
    <row r="95" spans="1:3" x14ac:dyDescent="0.25">
      <c r="A95" s="1">
        <v>39568</v>
      </c>
      <c r="B95">
        <v>40.623100000000001</v>
      </c>
      <c r="C95">
        <f t="shared" si="1"/>
        <v>0.17252934707626055</v>
      </c>
    </row>
    <row r="96" spans="1:3" x14ac:dyDescent="0.25">
      <c r="A96" s="1">
        <v>39598</v>
      </c>
      <c r="B96">
        <v>44.635100000000001</v>
      </c>
      <c r="C96">
        <f t="shared" si="1"/>
        <v>9.8761542078275699E-2</v>
      </c>
    </row>
    <row r="97" spans="1:3" x14ac:dyDescent="0.25">
      <c r="A97" s="1">
        <v>39629</v>
      </c>
      <c r="B97">
        <v>40.447699999999998</v>
      </c>
      <c r="C97">
        <f t="shared" si="1"/>
        <v>-9.3814061131262227E-2</v>
      </c>
    </row>
    <row r="98" spans="1:3" x14ac:dyDescent="0.25">
      <c r="A98" s="1">
        <v>39660</v>
      </c>
      <c r="B98">
        <v>36.801099999999998</v>
      </c>
      <c r="C98">
        <f t="shared" si="1"/>
        <v>-9.0155929756203679E-2</v>
      </c>
    </row>
    <row r="99" spans="1:3" x14ac:dyDescent="0.25">
      <c r="A99" s="1">
        <v>39689</v>
      </c>
      <c r="B99">
        <v>33.240600000000001</v>
      </c>
      <c r="C99">
        <f t="shared" si="1"/>
        <v>-9.6749825412827284E-2</v>
      </c>
    </row>
    <row r="100" spans="1:3" x14ac:dyDescent="0.25">
      <c r="A100" s="1">
        <v>39721</v>
      </c>
      <c r="B100">
        <v>25.507999999999999</v>
      </c>
      <c r="C100">
        <f t="shared" si="1"/>
        <v>-0.2326251632040337</v>
      </c>
    </row>
    <row r="101" spans="1:3" x14ac:dyDescent="0.25">
      <c r="A101" s="1">
        <v>39752</v>
      </c>
      <c r="B101">
        <v>17.059699999999999</v>
      </c>
      <c r="C101">
        <f t="shared" si="1"/>
        <v>-0.33120197585071354</v>
      </c>
    </row>
    <row r="102" spans="1:3" x14ac:dyDescent="0.25">
      <c r="A102" s="1">
        <v>39780</v>
      </c>
      <c r="B102">
        <v>15.927199999999999</v>
      </c>
      <c r="C102">
        <f t="shared" si="1"/>
        <v>-6.6384520243615075E-2</v>
      </c>
    </row>
    <row r="103" spans="1:3" x14ac:dyDescent="0.25">
      <c r="A103" s="1">
        <v>39813</v>
      </c>
      <c r="B103">
        <v>16.5793</v>
      </c>
      <c r="C103">
        <f t="shared" si="1"/>
        <v>4.0942538550404306E-2</v>
      </c>
    </row>
    <row r="104" spans="1:3" x14ac:dyDescent="0.25">
      <c r="A104" s="1">
        <v>39843</v>
      </c>
      <c r="B104">
        <v>16.821000000000002</v>
      </c>
      <c r="C104">
        <f t="shared" si="1"/>
        <v>1.4578420078049215E-2</v>
      </c>
    </row>
    <row r="105" spans="1:3" x14ac:dyDescent="0.25">
      <c r="A105" s="1">
        <v>39871</v>
      </c>
      <c r="B105">
        <v>16.204999999999998</v>
      </c>
      <c r="C105">
        <f t="shared" si="1"/>
        <v>-3.6620890553475061E-2</v>
      </c>
    </row>
    <row r="106" spans="1:3" x14ac:dyDescent="0.25">
      <c r="A106" s="1">
        <v>39903</v>
      </c>
      <c r="B106">
        <v>17.863399999999999</v>
      </c>
      <c r="C106">
        <f t="shared" si="1"/>
        <v>0.10233878432582544</v>
      </c>
    </row>
    <row r="107" spans="1:3" x14ac:dyDescent="0.25">
      <c r="A107" s="1">
        <v>39933</v>
      </c>
      <c r="B107">
        <v>21.369700000000002</v>
      </c>
      <c r="C107">
        <f t="shared" si="1"/>
        <v>0.19628402207866391</v>
      </c>
    </row>
    <row r="108" spans="1:3" x14ac:dyDescent="0.25">
      <c r="A108" s="1">
        <v>39962</v>
      </c>
      <c r="B108">
        <v>26.1554</v>
      </c>
      <c r="C108">
        <f t="shared" si="1"/>
        <v>0.22394792626943749</v>
      </c>
    </row>
    <row r="109" spans="1:3" x14ac:dyDescent="0.25">
      <c r="A109" s="1">
        <v>39994</v>
      </c>
      <c r="B109">
        <v>25.309100000000001</v>
      </c>
      <c r="C109">
        <f t="shared" si="1"/>
        <v>-3.2356607048640074E-2</v>
      </c>
    </row>
    <row r="110" spans="1:3" x14ac:dyDescent="0.25">
      <c r="A110" s="1">
        <v>40025</v>
      </c>
      <c r="B110">
        <v>27.5213</v>
      </c>
      <c r="C110">
        <f t="shared" si="1"/>
        <v>8.7407296189907946E-2</v>
      </c>
    </row>
    <row r="111" spans="1:3" x14ac:dyDescent="0.25">
      <c r="A111" s="1">
        <v>40056</v>
      </c>
      <c r="B111">
        <v>27.812799999999999</v>
      </c>
      <c r="C111">
        <f t="shared" si="1"/>
        <v>1.0591796172419121E-2</v>
      </c>
    </row>
    <row r="112" spans="1:3" x14ac:dyDescent="0.25">
      <c r="A112" s="1">
        <v>40086</v>
      </c>
      <c r="B112">
        <v>32.318399999999997</v>
      </c>
      <c r="C112">
        <f t="shared" si="1"/>
        <v>0.161997353736409</v>
      </c>
    </row>
    <row r="113" spans="1:3" x14ac:dyDescent="0.25">
      <c r="A113" s="1">
        <v>40116</v>
      </c>
      <c r="B113">
        <v>32.887</v>
      </c>
      <c r="C113">
        <f t="shared" si="1"/>
        <v>1.7593692757067236E-2</v>
      </c>
    </row>
    <row r="114" spans="1:3" x14ac:dyDescent="0.25">
      <c r="A114" s="1">
        <v>40147</v>
      </c>
      <c r="B114">
        <v>36.537399999999998</v>
      </c>
      <c r="C114">
        <f t="shared" si="1"/>
        <v>0.11099826679234948</v>
      </c>
    </row>
    <row r="115" spans="1:3" x14ac:dyDescent="0.25">
      <c r="A115" s="1">
        <v>40178</v>
      </c>
      <c r="B115">
        <v>36.804099999999998</v>
      </c>
      <c r="C115">
        <f t="shared" si="1"/>
        <v>7.2993699606431761E-3</v>
      </c>
    </row>
    <row r="116" spans="1:3" x14ac:dyDescent="0.25">
      <c r="A116" s="1">
        <v>40207</v>
      </c>
      <c r="B116">
        <v>31.910699999999999</v>
      </c>
      <c r="C116">
        <f t="shared" si="1"/>
        <v>-0.13295801283009234</v>
      </c>
    </row>
    <row r="117" spans="1:3" x14ac:dyDescent="0.25">
      <c r="A117" s="1">
        <v>40235</v>
      </c>
      <c r="B117">
        <v>33.725999999999999</v>
      </c>
      <c r="C117">
        <f t="shared" si="1"/>
        <v>5.6886874935366594E-2</v>
      </c>
    </row>
    <row r="118" spans="1:3" x14ac:dyDescent="0.25">
      <c r="A118" s="1">
        <v>40268</v>
      </c>
      <c r="B118">
        <v>36.325600000000001</v>
      </c>
      <c r="C118">
        <f t="shared" si="1"/>
        <v>7.707999762794282E-2</v>
      </c>
    </row>
    <row r="119" spans="1:3" x14ac:dyDescent="0.25">
      <c r="A119" s="1">
        <v>40298</v>
      </c>
      <c r="B119">
        <v>35.643599999999999</v>
      </c>
      <c r="C119">
        <f t="shared" si="1"/>
        <v>-1.8774638271632171E-2</v>
      </c>
    </row>
    <row r="120" spans="1:3" x14ac:dyDescent="0.25">
      <c r="A120" s="1">
        <v>40329</v>
      </c>
      <c r="B120">
        <v>31.333500000000001</v>
      </c>
      <c r="C120">
        <f t="shared" si="1"/>
        <v>-0.12092212907787092</v>
      </c>
    </row>
    <row r="121" spans="1:3" x14ac:dyDescent="0.25">
      <c r="A121" s="1">
        <v>40359</v>
      </c>
      <c r="B121">
        <v>30.626200000000001</v>
      </c>
      <c r="C121">
        <f t="shared" si="1"/>
        <v>-2.2573284184658537E-2</v>
      </c>
    </row>
    <row r="122" spans="1:3" x14ac:dyDescent="0.25">
      <c r="A122" s="1">
        <v>40389</v>
      </c>
      <c r="B122">
        <v>34.861199999999997</v>
      </c>
      <c r="C122">
        <f t="shared" si="1"/>
        <v>0.13828029595575009</v>
      </c>
    </row>
    <row r="123" spans="1:3" x14ac:dyDescent="0.25">
      <c r="A123" s="1">
        <v>40421</v>
      </c>
      <c r="B123">
        <v>33.558500000000002</v>
      </c>
      <c r="C123">
        <f t="shared" si="1"/>
        <v>-3.7368191571144793E-2</v>
      </c>
    </row>
    <row r="124" spans="1:3" x14ac:dyDescent="0.25">
      <c r="A124" s="1">
        <v>40451</v>
      </c>
      <c r="B124">
        <v>38.1145</v>
      </c>
      <c r="C124">
        <f t="shared" si="1"/>
        <v>0.13576292146550051</v>
      </c>
    </row>
    <row r="125" spans="1:3" x14ac:dyDescent="0.25">
      <c r="A125" s="1">
        <v>40480</v>
      </c>
      <c r="B125">
        <v>38.1601</v>
      </c>
      <c r="C125">
        <f t="shared" si="1"/>
        <v>1.1963950727413852E-3</v>
      </c>
    </row>
    <row r="126" spans="1:3" x14ac:dyDescent="0.25">
      <c r="A126" s="1">
        <v>40512</v>
      </c>
      <c r="B126">
        <v>37.075299999999999</v>
      </c>
      <c r="C126">
        <f t="shared" si="1"/>
        <v>-2.8427598460171732E-2</v>
      </c>
    </row>
    <row r="127" spans="1:3" x14ac:dyDescent="0.25">
      <c r="A127" s="1">
        <v>40543</v>
      </c>
      <c r="B127">
        <v>39.6768</v>
      </c>
      <c r="C127">
        <f t="shared" si="1"/>
        <v>7.0168009429458555E-2</v>
      </c>
    </row>
    <row r="128" spans="1:3" x14ac:dyDescent="0.25">
      <c r="A128" s="1">
        <v>40574</v>
      </c>
      <c r="B128">
        <v>37.523800000000001</v>
      </c>
      <c r="C128">
        <f t="shared" si="1"/>
        <v>-5.4263448665214931E-2</v>
      </c>
    </row>
    <row r="129" spans="1:3" x14ac:dyDescent="0.25">
      <c r="A129" s="1">
        <v>40602</v>
      </c>
      <c r="B129">
        <v>38.072299999999998</v>
      </c>
      <c r="C129">
        <f t="shared" si="1"/>
        <v>1.461738949679936E-2</v>
      </c>
    </row>
    <row r="130" spans="1:3" x14ac:dyDescent="0.25">
      <c r="A130" s="1">
        <v>40633</v>
      </c>
      <c r="B130">
        <v>39.733199999999997</v>
      </c>
      <c r="C130">
        <f t="shared" si="1"/>
        <v>4.3624892638479906E-2</v>
      </c>
    </row>
    <row r="131" spans="1:3" x14ac:dyDescent="0.25">
      <c r="A131" s="1">
        <v>40662</v>
      </c>
      <c r="B131">
        <v>39.840800000000002</v>
      </c>
      <c r="C131">
        <f t="shared" si="1"/>
        <v>2.7080627787343658E-3</v>
      </c>
    </row>
    <row r="132" spans="1:3" x14ac:dyDescent="0.25">
      <c r="A132" s="1">
        <v>40694</v>
      </c>
      <c r="B132">
        <v>38.5593</v>
      </c>
      <c r="C132">
        <f t="shared" ref="C132:C195" si="2">+B132/B131-1</f>
        <v>-3.2165518764683432E-2</v>
      </c>
    </row>
    <row r="133" spans="1:3" x14ac:dyDescent="0.25">
      <c r="A133" s="1">
        <v>40724</v>
      </c>
      <c r="B133">
        <v>38.177500000000002</v>
      </c>
      <c r="C133">
        <f t="shared" si="2"/>
        <v>-9.9016320317018014E-3</v>
      </c>
    </row>
    <row r="134" spans="1:3" x14ac:dyDescent="0.25">
      <c r="A134" s="1">
        <v>40753</v>
      </c>
      <c r="B134">
        <v>36.730600000000003</v>
      </c>
      <c r="C134">
        <f t="shared" si="2"/>
        <v>-3.7899286228799678E-2</v>
      </c>
    </row>
    <row r="135" spans="1:3" x14ac:dyDescent="0.25">
      <c r="A135" s="1">
        <v>40786</v>
      </c>
      <c r="B135">
        <v>34.091700000000003</v>
      </c>
      <c r="C135">
        <f t="shared" si="2"/>
        <v>-7.1844728918122769E-2</v>
      </c>
    </row>
    <row r="136" spans="1:3" x14ac:dyDescent="0.25">
      <c r="A136" s="1">
        <v>40816</v>
      </c>
      <c r="B136">
        <v>27.070399999999999</v>
      </c>
      <c r="C136">
        <f t="shared" si="2"/>
        <v>-0.20595335521549241</v>
      </c>
    </row>
    <row r="137" spans="1:3" x14ac:dyDescent="0.25">
      <c r="A137" s="1">
        <v>40847</v>
      </c>
      <c r="B137">
        <v>32.462600000000002</v>
      </c>
      <c r="C137">
        <f t="shared" si="2"/>
        <v>0.19919173710030158</v>
      </c>
    </row>
    <row r="138" spans="1:3" x14ac:dyDescent="0.25">
      <c r="A138" s="1">
        <v>40877</v>
      </c>
      <c r="B138">
        <v>30.719000000000001</v>
      </c>
      <c r="C138">
        <f t="shared" si="2"/>
        <v>-5.3711039781163539E-2</v>
      </c>
    </row>
    <row r="139" spans="1:3" x14ac:dyDescent="0.25">
      <c r="A139" s="1">
        <v>40907</v>
      </c>
      <c r="B139">
        <v>30.098199999999999</v>
      </c>
      <c r="C139">
        <f t="shared" si="2"/>
        <v>-2.0208991178098379E-2</v>
      </c>
    </row>
    <row r="140" spans="1:3" x14ac:dyDescent="0.25">
      <c r="A140" s="1">
        <v>40939</v>
      </c>
      <c r="B140">
        <v>34.404000000000003</v>
      </c>
      <c r="C140">
        <f t="shared" si="2"/>
        <v>0.14305838887375333</v>
      </c>
    </row>
    <row r="141" spans="1:3" x14ac:dyDescent="0.25">
      <c r="A141" s="1">
        <v>40968</v>
      </c>
      <c r="B141">
        <v>36.281500000000001</v>
      </c>
      <c r="C141">
        <f t="shared" si="2"/>
        <v>5.4572142774095944E-2</v>
      </c>
    </row>
    <row r="142" spans="1:3" x14ac:dyDescent="0.25">
      <c r="A142" s="1">
        <v>40998</v>
      </c>
      <c r="B142">
        <v>33.911000000000001</v>
      </c>
      <c r="C142">
        <f t="shared" si="2"/>
        <v>-6.5336328431845447E-2</v>
      </c>
    </row>
    <row r="143" spans="1:3" x14ac:dyDescent="0.25">
      <c r="A143" s="1">
        <v>41029</v>
      </c>
      <c r="B143">
        <v>31.6008</v>
      </c>
      <c r="C143">
        <f t="shared" si="2"/>
        <v>-6.8125387042552665E-2</v>
      </c>
    </row>
    <row r="144" spans="1:3" x14ac:dyDescent="0.25">
      <c r="A144" s="1">
        <v>41060</v>
      </c>
      <c r="B144">
        <v>27.292400000000001</v>
      </c>
      <c r="C144">
        <f t="shared" si="2"/>
        <v>-0.13633832054884687</v>
      </c>
    </row>
    <row r="145" spans="1:3" x14ac:dyDescent="0.25">
      <c r="A145" s="1">
        <v>41089</v>
      </c>
      <c r="B145">
        <v>27.652200000000001</v>
      </c>
      <c r="C145">
        <f t="shared" si="2"/>
        <v>1.3183157215928221E-2</v>
      </c>
    </row>
    <row r="146" spans="1:3" x14ac:dyDescent="0.25">
      <c r="A146" s="1">
        <v>41121</v>
      </c>
      <c r="B146">
        <v>28.056100000000001</v>
      </c>
      <c r="C146">
        <f t="shared" si="2"/>
        <v>1.4606432761226973E-2</v>
      </c>
    </row>
    <row r="147" spans="1:3" x14ac:dyDescent="0.25">
      <c r="A147" s="1">
        <v>41152</v>
      </c>
      <c r="B147">
        <v>28.200500000000002</v>
      </c>
      <c r="C147">
        <f t="shared" si="2"/>
        <v>5.1468308139763774E-3</v>
      </c>
    </row>
    <row r="148" spans="1:3" x14ac:dyDescent="0.25">
      <c r="A148" s="1">
        <v>41180</v>
      </c>
      <c r="B148">
        <v>28.917300000000001</v>
      </c>
      <c r="C148">
        <f t="shared" si="2"/>
        <v>2.5417989042747502E-2</v>
      </c>
    </row>
    <row r="149" spans="1:3" x14ac:dyDescent="0.25">
      <c r="A149" s="1">
        <v>41213</v>
      </c>
      <c r="B149">
        <v>28.537500000000001</v>
      </c>
      <c r="C149">
        <f t="shared" si="2"/>
        <v>-1.3134006286893984E-2</v>
      </c>
    </row>
    <row r="150" spans="1:3" x14ac:dyDescent="0.25">
      <c r="A150" s="1">
        <v>41243</v>
      </c>
      <c r="B150">
        <v>27.590699999999998</v>
      </c>
      <c r="C150">
        <f t="shared" si="2"/>
        <v>-3.3177398160315508E-2</v>
      </c>
    </row>
    <row r="151" spans="1:3" x14ac:dyDescent="0.25">
      <c r="A151" s="1">
        <v>41274</v>
      </c>
      <c r="B151">
        <v>30.206499999999998</v>
      </c>
      <c r="C151">
        <f t="shared" si="2"/>
        <v>9.4807308259667211E-2</v>
      </c>
    </row>
    <row r="152" spans="1:3" x14ac:dyDescent="0.25">
      <c r="A152" s="1">
        <v>41305</v>
      </c>
      <c r="B152">
        <v>30.654599999999999</v>
      </c>
      <c r="C152">
        <f t="shared" si="2"/>
        <v>1.483455547647039E-2</v>
      </c>
    </row>
    <row r="153" spans="1:3" x14ac:dyDescent="0.25">
      <c r="A153" s="1">
        <v>41333</v>
      </c>
      <c r="B153">
        <v>29.769100000000002</v>
      </c>
      <c r="C153">
        <f t="shared" si="2"/>
        <v>-2.888636615711826E-2</v>
      </c>
    </row>
    <row r="154" spans="1:3" x14ac:dyDescent="0.25">
      <c r="A154" s="1">
        <v>41362</v>
      </c>
      <c r="B154">
        <v>29.418099999999999</v>
      </c>
      <c r="C154">
        <f t="shared" si="2"/>
        <v>-1.1790749468408634E-2</v>
      </c>
    </row>
    <row r="155" spans="1:3" x14ac:dyDescent="0.25">
      <c r="A155" s="1">
        <v>41394</v>
      </c>
      <c r="B155">
        <v>29.779900000000001</v>
      </c>
      <c r="C155">
        <f t="shared" si="2"/>
        <v>1.2298550892137827E-2</v>
      </c>
    </row>
    <row r="156" spans="1:3" x14ac:dyDescent="0.25">
      <c r="A156" s="1">
        <v>41425</v>
      </c>
      <c r="B156">
        <v>27.479600000000001</v>
      </c>
      <c r="C156">
        <f t="shared" si="2"/>
        <v>-7.7243375565398176E-2</v>
      </c>
    </row>
    <row r="157" spans="1:3" x14ac:dyDescent="0.25">
      <c r="A157" s="1">
        <v>41453</v>
      </c>
      <c r="B157">
        <v>24.145600000000002</v>
      </c>
      <c r="C157">
        <f t="shared" si="2"/>
        <v>-0.12132636574040379</v>
      </c>
    </row>
    <row r="158" spans="1:3" x14ac:dyDescent="0.25">
      <c r="A158" s="1">
        <v>41486</v>
      </c>
      <c r="B158">
        <v>23.947399999999998</v>
      </c>
      <c r="C158">
        <f t="shared" si="2"/>
        <v>-8.2085348883441656E-3</v>
      </c>
    </row>
    <row r="159" spans="1:3" x14ac:dyDescent="0.25">
      <c r="A159" s="1">
        <v>41516</v>
      </c>
      <c r="B159">
        <v>23.336300000000001</v>
      </c>
      <c r="C159">
        <f t="shared" si="2"/>
        <v>-2.5518427887787243E-2</v>
      </c>
    </row>
    <row r="160" spans="1:3" x14ac:dyDescent="0.25">
      <c r="A160" s="1">
        <v>41547</v>
      </c>
      <c r="B160">
        <v>26.3752</v>
      </c>
      <c r="C160">
        <f t="shared" si="2"/>
        <v>0.13022201462956851</v>
      </c>
    </row>
    <row r="161" spans="1:3" x14ac:dyDescent="0.25">
      <c r="A161" s="1">
        <v>41578</v>
      </c>
      <c r="B161">
        <v>27.6111</v>
      </c>
      <c r="C161">
        <f t="shared" si="2"/>
        <v>4.6858412448057329E-2</v>
      </c>
    </row>
    <row r="162" spans="1:3" x14ac:dyDescent="0.25">
      <c r="A162" s="1">
        <v>41607</v>
      </c>
      <c r="B162">
        <v>25.846699999999998</v>
      </c>
      <c r="C162">
        <f t="shared" si="2"/>
        <v>-6.3901836580215976E-2</v>
      </c>
    </row>
    <row r="163" spans="1:3" x14ac:dyDescent="0.25">
      <c r="A163" s="1">
        <v>41639</v>
      </c>
      <c r="B163">
        <v>24.925799999999999</v>
      </c>
      <c r="C163">
        <f t="shared" si="2"/>
        <v>-3.5629306642627534E-2</v>
      </c>
    </row>
    <row r="164" spans="1:3" x14ac:dyDescent="0.25">
      <c r="A164" s="1">
        <v>41670</v>
      </c>
      <c r="B164">
        <v>21.890999999999998</v>
      </c>
      <c r="C164">
        <f t="shared" si="2"/>
        <v>-0.12175336398430547</v>
      </c>
    </row>
    <row r="165" spans="1:3" x14ac:dyDescent="0.25">
      <c r="A165" s="1">
        <v>41698</v>
      </c>
      <c r="B165">
        <v>22.872800000000002</v>
      </c>
      <c r="C165">
        <f t="shared" si="2"/>
        <v>4.4849481522086787E-2</v>
      </c>
    </row>
    <row r="166" spans="1:3" x14ac:dyDescent="0.25">
      <c r="A166" s="1">
        <v>41729</v>
      </c>
      <c r="B166">
        <v>25.123899999999999</v>
      </c>
      <c r="C166">
        <f t="shared" si="2"/>
        <v>9.8418208527158768E-2</v>
      </c>
    </row>
    <row r="167" spans="1:3" x14ac:dyDescent="0.25">
      <c r="A167" s="1">
        <v>41759</v>
      </c>
      <c r="B167">
        <v>26.2424</v>
      </c>
      <c r="C167">
        <f t="shared" si="2"/>
        <v>4.4519362041721244E-2</v>
      </c>
    </row>
    <row r="168" spans="1:3" x14ac:dyDescent="0.25">
      <c r="A168" s="1">
        <v>41789</v>
      </c>
      <c r="B168">
        <v>25.935600000000001</v>
      </c>
      <c r="C168">
        <f t="shared" si="2"/>
        <v>-1.169100387159705E-2</v>
      </c>
    </row>
    <row r="169" spans="1:3" x14ac:dyDescent="0.25">
      <c r="A169" s="1">
        <v>41820</v>
      </c>
      <c r="B169">
        <v>27.186399999999999</v>
      </c>
      <c r="C169">
        <f t="shared" si="2"/>
        <v>4.8227147241629131E-2</v>
      </c>
    </row>
    <row r="170" spans="1:3" x14ac:dyDescent="0.25">
      <c r="A170" s="1">
        <v>41851</v>
      </c>
      <c r="B170">
        <v>27.5961</v>
      </c>
      <c r="C170">
        <f t="shared" si="2"/>
        <v>1.5070035017508809E-2</v>
      </c>
    </row>
    <row r="171" spans="1:3" x14ac:dyDescent="0.25">
      <c r="A171" s="1">
        <v>41880</v>
      </c>
      <c r="B171">
        <v>30.5548</v>
      </c>
      <c r="C171">
        <f t="shared" si="2"/>
        <v>0.10721442522675306</v>
      </c>
    </row>
    <row r="172" spans="1:3" x14ac:dyDescent="0.25">
      <c r="A172" s="1">
        <v>41912</v>
      </c>
      <c r="B172">
        <v>24.7227</v>
      </c>
      <c r="C172">
        <f t="shared" si="2"/>
        <v>-0.19087344705250897</v>
      </c>
    </row>
    <row r="173" spans="1:3" x14ac:dyDescent="0.25">
      <c r="A173" s="1">
        <v>41943</v>
      </c>
      <c r="B173">
        <v>24.603200000000001</v>
      </c>
      <c r="C173">
        <f t="shared" si="2"/>
        <v>-4.8336144514958823E-3</v>
      </c>
    </row>
    <row r="174" spans="1:3" x14ac:dyDescent="0.25">
      <c r="A174" s="1">
        <v>41971</v>
      </c>
      <c r="B174">
        <v>23.8123</v>
      </c>
      <c r="C174">
        <f t="shared" si="2"/>
        <v>-3.2146224881316243E-2</v>
      </c>
    </row>
    <row r="175" spans="1:3" x14ac:dyDescent="0.25">
      <c r="A175" s="1">
        <v>42004</v>
      </c>
      <c r="B175">
        <v>21.0686</v>
      </c>
      <c r="C175">
        <f t="shared" si="2"/>
        <v>-0.11522196511886718</v>
      </c>
    </row>
    <row r="176" spans="1:3" x14ac:dyDescent="0.25">
      <c r="A176" s="1">
        <v>42034</v>
      </c>
      <c r="B176">
        <v>19.7666</v>
      </c>
      <c r="C176">
        <f t="shared" si="2"/>
        <v>-6.1798126121336949E-2</v>
      </c>
    </row>
    <row r="177" spans="1:3" x14ac:dyDescent="0.25">
      <c r="A177" s="1">
        <v>42062</v>
      </c>
      <c r="B177">
        <v>20.382999999999999</v>
      </c>
      <c r="C177">
        <f t="shared" si="2"/>
        <v>3.1183916303259007E-2</v>
      </c>
    </row>
    <row r="178" spans="1:3" x14ac:dyDescent="0.25">
      <c r="A178" s="1">
        <v>42094</v>
      </c>
      <c r="B178">
        <v>18.072800000000001</v>
      </c>
      <c r="C178">
        <f t="shared" si="2"/>
        <v>-0.1133395476622675</v>
      </c>
    </row>
    <row r="179" spans="1:3" x14ac:dyDescent="0.25">
      <c r="A179" s="1">
        <v>42124</v>
      </c>
      <c r="B179">
        <v>20.8612</v>
      </c>
      <c r="C179">
        <f t="shared" si="2"/>
        <v>0.15428710548448499</v>
      </c>
    </row>
    <row r="180" spans="1:3" x14ac:dyDescent="0.25">
      <c r="A180" s="1">
        <v>42153</v>
      </c>
      <c r="B180">
        <v>18.5913</v>
      </c>
      <c r="C180">
        <f t="shared" si="2"/>
        <v>-0.10880965620386174</v>
      </c>
    </row>
    <row r="181" spans="1:3" x14ac:dyDescent="0.25">
      <c r="A181" s="1">
        <v>42185</v>
      </c>
      <c r="B181">
        <v>19.226600000000001</v>
      </c>
      <c r="C181">
        <f t="shared" si="2"/>
        <v>3.4171897608020974E-2</v>
      </c>
    </row>
    <row r="182" spans="1:3" x14ac:dyDescent="0.25">
      <c r="A182" s="1">
        <v>42216</v>
      </c>
      <c r="B182">
        <v>16.832799999999999</v>
      </c>
      <c r="C182">
        <f t="shared" si="2"/>
        <v>-0.12450459259567481</v>
      </c>
    </row>
    <row r="183" spans="1:3" x14ac:dyDescent="0.25">
      <c r="A183" s="1">
        <v>42247</v>
      </c>
      <c r="B183">
        <v>14.5974</v>
      </c>
      <c r="C183">
        <f t="shared" si="2"/>
        <v>-0.13280024713654281</v>
      </c>
    </row>
    <row r="184" spans="1:3" x14ac:dyDescent="0.25">
      <c r="A184" s="1">
        <v>42277</v>
      </c>
      <c r="B184">
        <v>12.878299999999999</v>
      </c>
      <c r="C184">
        <f t="shared" si="2"/>
        <v>-0.11776754764547115</v>
      </c>
    </row>
    <row r="185" spans="1:3" x14ac:dyDescent="0.25">
      <c r="A185" s="1">
        <v>42307</v>
      </c>
      <c r="B185">
        <v>13.418100000000001</v>
      </c>
      <c r="C185">
        <f t="shared" si="2"/>
        <v>4.1915470209577421E-2</v>
      </c>
    </row>
    <row r="186" spans="1:3" x14ac:dyDescent="0.25">
      <c r="A186" s="1">
        <v>42338</v>
      </c>
      <c r="B186">
        <v>13.2128</v>
      </c>
      <c r="C186">
        <f t="shared" si="2"/>
        <v>-1.5300228795433135E-2</v>
      </c>
    </row>
    <row r="187" spans="1:3" x14ac:dyDescent="0.25">
      <c r="A187" s="1">
        <v>42369</v>
      </c>
      <c r="B187">
        <v>12.2677</v>
      </c>
      <c r="C187">
        <f t="shared" si="2"/>
        <v>-7.1529123274400641E-2</v>
      </c>
    </row>
    <row r="188" spans="1:3" x14ac:dyDescent="0.25">
      <c r="A188" s="1">
        <v>42398</v>
      </c>
      <c r="B188">
        <v>11.763500000000001</v>
      </c>
      <c r="C188">
        <f t="shared" si="2"/>
        <v>-4.1099798658265074E-2</v>
      </c>
    </row>
    <row r="189" spans="1:3" x14ac:dyDescent="0.25">
      <c r="A189" s="1">
        <v>42429</v>
      </c>
      <c r="B189">
        <v>12.154999999999999</v>
      </c>
      <c r="C189">
        <f t="shared" si="2"/>
        <v>3.3280911293407378E-2</v>
      </c>
    </row>
    <row r="190" spans="1:3" x14ac:dyDescent="0.25">
      <c r="A190" s="1">
        <v>42460</v>
      </c>
      <c r="B190">
        <v>15.601599999999999</v>
      </c>
      <c r="C190">
        <f t="shared" si="2"/>
        <v>0.28355409296585776</v>
      </c>
    </row>
    <row r="191" spans="1:3" x14ac:dyDescent="0.25">
      <c r="A191" s="1">
        <v>42489</v>
      </c>
      <c r="B191">
        <v>17.505800000000001</v>
      </c>
      <c r="C191">
        <f t="shared" si="2"/>
        <v>0.12205158445287667</v>
      </c>
    </row>
    <row r="192" spans="1:3" x14ac:dyDescent="0.25">
      <c r="A192" s="1">
        <v>42521</v>
      </c>
      <c r="B192">
        <v>15.0914</v>
      </c>
      <c r="C192">
        <f t="shared" si="2"/>
        <v>-0.13792000365593116</v>
      </c>
    </row>
    <row r="193" spans="1:3" x14ac:dyDescent="0.25">
      <c r="A193" s="1">
        <v>42551</v>
      </c>
      <c r="B193">
        <v>18.033100000000001</v>
      </c>
      <c r="C193">
        <f t="shared" si="2"/>
        <v>0.19492558675802107</v>
      </c>
    </row>
    <row r="194" spans="1:3" x14ac:dyDescent="0.25">
      <c r="A194" s="1">
        <v>42580</v>
      </c>
      <c r="B194">
        <v>19.864699999999999</v>
      </c>
      <c r="C194">
        <f t="shared" si="2"/>
        <v>0.10156878185115148</v>
      </c>
    </row>
    <row r="195" spans="1:3" x14ac:dyDescent="0.25">
      <c r="A195" s="1">
        <v>42613</v>
      </c>
      <c r="B195">
        <v>20.0321</v>
      </c>
      <c r="C195">
        <f t="shared" si="2"/>
        <v>8.4270087139499683E-3</v>
      </c>
    </row>
    <row r="196" spans="1:3" x14ac:dyDescent="0.25">
      <c r="A196" s="1">
        <v>42643</v>
      </c>
      <c r="B196">
        <v>20.157599999999999</v>
      </c>
      <c r="C196">
        <f t="shared" ref="C196:C259" si="3">+B196/B195-1</f>
        <v>6.2649447636542455E-3</v>
      </c>
    </row>
    <row r="197" spans="1:3" x14ac:dyDescent="0.25">
      <c r="A197" s="1">
        <v>42674</v>
      </c>
      <c r="B197">
        <v>22.565999999999999</v>
      </c>
      <c r="C197">
        <f t="shared" si="3"/>
        <v>0.11947850934635085</v>
      </c>
    </row>
    <row r="198" spans="1:3" x14ac:dyDescent="0.25">
      <c r="A198" s="1">
        <v>42704</v>
      </c>
      <c r="B198">
        <v>20.014199999999999</v>
      </c>
      <c r="C198">
        <f t="shared" si="3"/>
        <v>-0.11308162722680137</v>
      </c>
    </row>
    <row r="199" spans="1:3" x14ac:dyDescent="0.25">
      <c r="A199" s="1">
        <v>42734</v>
      </c>
      <c r="B199">
        <v>20.177600000000002</v>
      </c>
      <c r="C199">
        <f t="shared" si="3"/>
        <v>8.1642034155751109E-3</v>
      </c>
    </row>
    <row r="200" spans="1:3" x14ac:dyDescent="0.25">
      <c r="A200" s="1">
        <v>42766</v>
      </c>
      <c r="B200">
        <v>22.3139</v>
      </c>
      <c r="C200">
        <f t="shared" si="3"/>
        <v>0.10587483149631272</v>
      </c>
    </row>
    <row r="201" spans="1:3" x14ac:dyDescent="0.25">
      <c r="A201" s="1">
        <v>42794</v>
      </c>
      <c r="B201">
        <v>22.834399999999999</v>
      </c>
      <c r="C201">
        <f t="shared" si="3"/>
        <v>2.3326267483496865E-2</v>
      </c>
    </row>
    <row r="202" spans="1:3" x14ac:dyDescent="0.25">
      <c r="A202" s="1">
        <v>42825</v>
      </c>
      <c r="B202">
        <v>22.670999999999999</v>
      </c>
      <c r="C202">
        <f t="shared" si="3"/>
        <v>-7.1558700907402573E-3</v>
      </c>
    </row>
    <row r="203" spans="1:3" x14ac:dyDescent="0.25">
      <c r="A203" s="1">
        <v>42853</v>
      </c>
      <c r="B203">
        <v>22.4955</v>
      </c>
      <c r="C203">
        <f t="shared" si="3"/>
        <v>-7.741167129813431E-3</v>
      </c>
    </row>
    <row r="204" spans="1:3" x14ac:dyDescent="0.25">
      <c r="A204" s="1">
        <v>42886</v>
      </c>
      <c r="B204">
        <v>21.2851</v>
      </c>
      <c r="C204">
        <f t="shared" si="3"/>
        <v>-5.3806316818919342E-2</v>
      </c>
    </row>
    <row r="205" spans="1:3" x14ac:dyDescent="0.25">
      <c r="A205" s="1">
        <v>42916</v>
      </c>
      <c r="B205">
        <v>20.829699999999999</v>
      </c>
      <c r="C205">
        <f t="shared" si="3"/>
        <v>-2.1395248319246885E-2</v>
      </c>
    </row>
    <row r="206" spans="1:3" x14ac:dyDescent="0.25">
      <c r="A206" s="1">
        <v>42947</v>
      </c>
      <c r="B206">
        <v>23.062799999999999</v>
      </c>
      <c r="C206">
        <f t="shared" si="3"/>
        <v>0.10720749698747456</v>
      </c>
    </row>
    <row r="207" spans="1:3" x14ac:dyDescent="0.25">
      <c r="A207" s="1">
        <v>42978</v>
      </c>
      <c r="B207">
        <v>24.405100000000001</v>
      </c>
      <c r="C207">
        <f t="shared" si="3"/>
        <v>5.8201952928525591E-2</v>
      </c>
    </row>
    <row r="208" spans="1:3" x14ac:dyDescent="0.25">
      <c r="A208" s="1">
        <v>43007</v>
      </c>
      <c r="B208">
        <v>25.436199999999999</v>
      </c>
      <c r="C208">
        <f t="shared" si="3"/>
        <v>4.2249365911223524E-2</v>
      </c>
    </row>
    <row r="209" spans="1:3" x14ac:dyDescent="0.25">
      <c r="A209" s="1">
        <v>43039</v>
      </c>
      <c r="B209">
        <v>24.508800000000001</v>
      </c>
      <c r="C209">
        <f t="shared" si="3"/>
        <v>-3.6459848562285235E-2</v>
      </c>
    </row>
    <row r="210" spans="1:3" x14ac:dyDescent="0.25">
      <c r="A210" s="1">
        <v>43069</v>
      </c>
      <c r="B210">
        <v>23.611899999999999</v>
      </c>
      <c r="C210">
        <f t="shared" si="3"/>
        <v>-3.6595018931975587E-2</v>
      </c>
    </row>
    <row r="211" spans="1:3" x14ac:dyDescent="0.25">
      <c r="A211" s="1">
        <v>43098</v>
      </c>
      <c r="B211">
        <v>24.942900000000002</v>
      </c>
      <c r="C211">
        <f t="shared" si="3"/>
        <v>5.6369881288672374E-2</v>
      </c>
    </row>
    <row r="212" spans="1:3" x14ac:dyDescent="0.25">
      <c r="A212" s="1">
        <v>43131</v>
      </c>
      <c r="B212">
        <v>28.728999999999999</v>
      </c>
      <c r="C212">
        <f t="shared" si="3"/>
        <v>0.15179068993581324</v>
      </c>
    </row>
    <row r="213" spans="1:3" x14ac:dyDescent="0.25">
      <c r="A213" s="1">
        <v>43159</v>
      </c>
      <c r="B213">
        <v>28.044499999999999</v>
      </c>
      <c r="C213">
        <f t="shared" si="3"/>
        <v>-2.3826099063663841E-2</v>
      </c>
    </row>
    <row r="214" spans="1:3" x14ac:dyDescent="0.25">
      <c r="A214" s="1">
        <v>43189</v>
      </c>
      <c r="B214">
        <v>27.674600000000002</v>
      </c>
      <c r="C214">
        <f t="shared" si="3"/>
        <v>-1.3189752001283583E-2</v>
      </c>
    </row>
    <row r="215" spans="1:3" x14ac:dyDescent="0.25">
      <c r="A215" s="1">
        <v>43220</v>
      </c>
      <c r="B215">
        <v>26.083600000000001</v>
      </c>
      <c r="C215">
        <f t="shared" si="3"/>
        <v>-5.7489539144197188E-2</v>
      </c>
    </row>
    <row r="216" spans="1:3" x14ac:dyDescent="0.25">
      <c r="A216" s="1">
        <v>43251</v>
      </c>
      <c r="B216">
        <v>21.964500000000001</v>
      </c>
      <c r="C216">
        <f t="shared" si="3"/>
        <v>-0.15791915226425801</v>
      </c>
    </row>
    <row r="217" spans="1:3" x14ac:dyDescent="0.25">
      <c r="A217" s="1">
        <v>43280</v>
      </c>
      <c r="B217">
        <v>20.090599999999998</v>
      </c>
      <c r="C217">
        <f t="shared" si="3"/>
        <v>-8.5314940016845475E-2</v>
      </c>
    </row>
    <row r="218" spans="1:3" x14ac:dyDescent="0.25">
      <c r="A218" s="1">
        <v>43312</v>
      </c>
      <c r="B218">
        <v>22.6294</v>
      </c>
      <c r="C218">
        <f t="shared" si="3"/>
        <v>0.12636755497595908</v>
      </c>
    </row>
    <row r="219" spans="1:3" x14ac:dyDescent="0.25">
      <c r="A219" s="1">
        <v>43343</v>
      </c>
      <c r="B219">
        <v>20.3414</v>
      </c>
      <c r="C219">
        <f t="shared" si="3"/>
        <v>-0.10110740894588455</v>
      </c>
    </row>
    <row r="220" spans="1:3" x14ac:dyDescent="0.25">
      <c r="A220" s="1">
        <v>43371</v>
      </c>
      <c r="B220">
        <v>21.143699999999999</v>
      </c>
      <c r="C220">
        <f t="shared" si="3"/>
        <v>3.9441729674456916E-2</v>
      </c>
    </row>
    <row r="221" spans="1:3" x14ac:dyDescent="0.25">
      <c r="A221" s="1">
        <v>43404</v>
      </c>
      <c r="B221">
        <v>25.168099999999999</v>
      </c>
      <c r="C221">
        <f t="shared" si="3"/>
        <v>0.1903356555380562</v>
      </c>
    </row>
    <row r="222" spans="1:3" x14ac:dyDescent="0.25">
      <c r="A222" s="1">
        <v>43434</v>
      </c>
      <c r="B222">
        <v>24.948699999999999</v>
      </c>
      <c r="C222">
        <f t="shared" si="3"/>
        <v>-8.7173843079135782E-3</v>
      </c>
    </row>
    <row r="223" spans="1:3" x14ac:dyDescent="0.25">
      <c r="A223" s="1">
        <v>43465</v>
      </c>
      <c r="B223">
        <v>24.314900000000002</v>
      </c>
      <c r="C223">
        <f t="shared" si="3"/>
        <v>-2.5404129273268627E-2</v>
      </c>
    </row>
    <row r="224" spans="1:3" x14ac:dyDescent="0.25">
      <c r="A224" s="1">
        <v>43496</v>
      </c>
      <c r="B224">
        <v>28.878699999999998</v>
      </c>
      <c r="C224">
        <f t="shared" si="3"/>
        <v>0.18769561051042771</v>
      </c>
    </row>
    <row r="225" spans="1:3" x14ac:dyDescent="0.25">
      <c r="A225" s="1">
        <v>43524</v>
      </c>
      <c r="B225">
        <v>27.370200000000001</v>
      </c>
      <c r="C225">
        <f t="shared" si="3"/>
        <v>-5.2235730832759009E-2</v>
      </c>
    </row>
    <row r="226" spans="1:3" x14ac:dyDescent="0.25">
      <c r="A226" s="1">
        <v>43553</v>
      </c>
      <c r="B226">
        <v>26.090800000000002</v>
      </c>
      <c r="C226">
        <f t="shared" si="3"/>
        <v>-4.6744269314802245E-2</v>
      </c>
    </row>
    <row r="227" spans="1:3" x14ac:dyDescent="0.25">
      <c r="A227" s="1">
        <v>43585</v>
      </c>
      <c r="B227">
        <v>26.345400000000001</v>
      </c>
      <c r="C227">
        <f t="shared" si="3"/>
        <v>9.7582289542674783E-3</v>
      </c>
    </row>
    <row r="228" spans="1:3" x14ac:dyDescent="0.25">
      <c r="A228" s="1">
        <v>43616</v>
      </c>
      <c r="B228">
        <v>26.510899999999999</v>
      </c>
      <c r="C228">
        <f t="shared" si="3"/>
        <v>6.2819315705966439E-3</v>
      </c>
    </row>
    <row r="229" spans="1:3" x14ac:dyDescent="0.25">
      <c r="A229" s="1">
        <v>43644</v>
      </c>
      <c r="B229">
        <v>28.1828</v>
      </c>
      <c r="C229">
        <f t="shared" si="3"/>
        <v>6.3064626248071631E-2</v>
      </c>
    </row>
    <row r="230" spans="1:3" x14ac:dyDescent="0.25">
      <c r="A230" s="1">
        <v>43677</v>
      </c>
      <c r="B230">
        <v>28.685600000000001</v>
      </c>
      <c r="C230">
        <f t="shared" si="3"/>
        <v>1.7840668776700763E-2</v>
      </c>
    </row>
    <row r="231" spans="1:3" x14ac:dyDescent="0.25">
      <c r="A231" s="1">
        <v>43707</v>
      </c>
      <c r="B231">
        <v>26.422999999999998</v>
      </c>
      <c r="C231">
        <f t="shared" si="3"/>
        <v>-7.8875812254232125E-2</v>
      </c>
    </row>
    <row r="232" spans="1:3" x14ac:dyDescent="0.25">
      <c r="A232" s="1">
        <v>43738</v>
      </c>
      <c r="B232">
        <v>27.157900000000001</v>
      </c>
      <c r="C232">
        <f t="shared" si="3"/>
        <v>2.7812890284979019E-2</v>
      </c>
    </row>
    <row r="233" spans="1:3" x14ac:dyDescent="0.25">
      <c r="A233" s="1">
        <v>43769</v>
      </c>
      <c r="B233">
        <v>28.7501</v>
      </c>
      <c r="C233">
        <f t="shared" si="3"/>
        <v>5.8627508017924823E-2</v>
      </c>
    </row>
    <row r="234" spans="1:3" x14ac:dyDescent="0.25">
      <c r="A234" s="1">
        <v>43798</v>
      </c>
      <c r="B234">
        <v>27.377099999999999</v>
      </c>
      <c r="C234">
        <f t="shared" si="3"/>
        <v>-4.7756355630067415E-2</v>
      </c>
    </row>
    <row r="235" spans="1:3" x14ac:dyDescent="0.25">
      <c r="A235" s="1">
        <v>43830</v>
      </c>
      <c r="B235">
        <v>31.0426</v>
      </c>
      <c r="C235">
        <f t="shared" si="3"/>
        <v>0.13388927242111115</v>
      </c>
    </row>
    <row r="236" spans="1:3" x14ac:dyDescent="0.25">
      <c r="A236" s="1">
        <v>43861</v>
      </c>
      <c r="B236">
        <v>28.628499999999999</v>
      </c>
      <c r="C236">
        <f t="shared" si="3"/>
        <v>-7.7767326190460895E-2</v>
      </c>
    </row>
    <row r="237" spans="1:3" x14ac:dyDescent="0.25">
      <c r="A237" s="1">
        <v>43889</v>
      </c>
      <c r="B237">
        <v>25.095800000000001</v>
      </c>
      <c r="C237">
        <f t="shared" si="3"/>
        <v>-0.12339801247009097</v>
      </c>
    </row>
    <row r="238" spans="1:3" x14ac:dyDescent="0.25">
      <c r="A238" s="1">
        <v>43921</v>
      </c>
      <c r="B238">
        <v>15.413399999999999</v>
      </c>
      <c r="C238">
        <f t="shared" si="3"/>
        <v>-0.38581754715928562</v>
      </c>
    </row>
    <row r="239" spans="1:3" x14ac:dyDescent="0.25">
      <c r="A239" s="1">
        <v>43951</v>
      </c>
      <c r="B239">
        <v>16.139500000000002</v>
      </c>
      <c r="C239">
        <f t="shared" si="3"/>
        <v>4.7108360257957616E-2</v>
      </c>
    </row>
    <row r="240" spans="1:3" x14ac:dyDescent="0.25">
      <c r="A240" s="1">
        <v>43980</v>
      </c>
      <c r="B240">
        <v>17.7882</v>
      </c>
      <c r="C240">
        <f t="shared" si="3"/>
        <v>0.10215310263638888</v>
      </c>
    </row>
    <row r="241" spans="1:3" x14ac:dyDescent="0.25">
      <c r="A241" s="1">
        <v>44012</v>
      </c>
      <c r="B241">
        <v>19.039200000000001</v>
      </c>
      <c r="C241">
        <f t="shared" si="3"/>
        <v>7.0327520491112239E-2</v>
      </c>
    </row>
    <row r="242" spans="1:3" x14ac:dyDescent="0.25">
      <c r="A242" s="1">
        <v>44043</v>
      </c>
      <c r="B242">
        <v>21.541599999999999</v>
      </c>
      <c r="C242">
        <f t="shared" si="3"/>
        <v>0.13143409386949023</v>
      </c>
    </row>
    <row r="243" spans="1:3" x14ac:dyDescent="0.25">
      <c r="A243" s="1">
        <v>44074</v>
      </c>
      <c r="B243">
        <v>19.7409</v>
      </c>
      <c r="C243">
        <f t="shared" si="3"/>
        <v>-8.3591748059568372E-2</v>
      </c>
    </row>
    <row r="244" spans="1:3" x14ac:dyDescent="0.25">
      <c r="A244" s="1">
        <v>44104</v>
      </c>
      <c r="B244">
        <v>18.311</v>
      </c>
      <c r="C244">
        <f t="shared" si="3"/>
        <v>-7.2433374364897274E-2</v>
      </c>
    </row>
    <row r="245" spans="1:3" x14ac:dyDescent="0.25">
      <c r="A245" s="1">
        <v>44134</v>
      </c>
      <c r="B245">
        <v>17.781400000000001</v>
      </c>
      <c r="C245">
        <f t="shared" si="3"/>
        <v>-2.8922505597728021E-2</v>
      </c>
    </row>
    <row r="246" spans="1:3" x14ac:dyDescent="0.25">
      <c r="A246" s="1">
        <v>44165</v>
      </c>
      <c r="B246">
        <v>22.011600000000001</v>
      </c>
      <c r="C246">
        <f t="shared" si="3"/>
        <v>0.23790027781839451</v>
      </c>
    </row>
    <row r="247" spans="1:3" x14ac:dyDescent="0.25">
      <c r="A247" s="1">
        <v>44196</v>
      </c>
      <c r="B247">
        <v>24.724299999999999</v>
      </c>
      <c r="C247">
        <f t="shared" si="3"/>
        <v>0.1232395645932145</v>
      </c>
    </row>
    <row r="248" spans="1:3" x14ac:dyDescent="0.25">
      <c r="A248" s="1">
        <v>44225</v>
      </c>
      <c r="B248">
        <v>22.8035</v>
      </c>
      <c r="C248">
        <f t="shared" si="3"/>
        <v>-7.7688751552116742E-2</v>
      </c>
    </row>
    <row r="249" spans="1:3" x14ac:dyDescent="0.25">
      <c r="A249" s="1">
        <v>44253</v>
      </c>
      <c r="B249">
        <v>21.2761</v>
      </c>
      <c r="C249">
        <f t="shared" si="3"/>
        <v>-6.6980945907426537E-2</v>
      </c>
    </row>
    <row r="250" spans="1:3" x14ac:dyDescent="0.25">
      <c r="A250" s="1">
        <v>44286</v>
      </c>
      <c r="B250">
        <v>22.309899999999999</v>
      </c>
      <c r="C250">
        <f t="shared" si="3"/>
        <v>4.8589732140758901E-2</v>
      </c>
    </row>
    <row r="251" spans="1:3" x14ac:dyDescent="0.25">
      <c r="A251" s="1">
        <v>44316</v>
      </c>
      <c r="B251">
        <v>23.717199999999998</v>
      </c>
      <c r="C251">
        <f t="shared" si="3"/>
        <v>6.3079619361807948E-2</v>
      </c>
    </row>
    <row r="252" spans="1:3" x14ac:dyDescent="0.25">
      <c r="A252" s="1">
        <v>44347</v>
      </c>
      <c r="B252">
        <v>25.951499999999999</v>
      </c>
      <c r="C252">
        <f t="shared" si="3"/>
        <v>9.4205892769804178E-2</v>
      </c>
    </row>
    <row r="253" spans="1:3" x14ac:dyDescent="0.25">
      <c r="A253" s="1">
        <v>44377</v>
      </c>
      <c r="B253">
        <v>27.454000000000001</v>
      </c>
      <c r="C253">
        <f t="shared" si="3"/>
        <v>5.7896460705546993E-2</v>
      </c>
    </row>
    <row r="254" spans="1:3" x14ac:dyDescent="0.25">
      <c r="A254" s="1">
        <v>44407</v>
      </c>
      <c r="B254">
        <v>25.327500000000001</v>
      </c>
      <c r="C254">
        <f t="shared" si="3"/>
        <v>-7.7456836890799186E-2</v>
      </c>
    </row>
    <row r="255" spans="1:3" x14ac:dyDescent="0.25">
      <c r="A255" s="1">
        <v>44439</v>
      </c>
      <c r="B255">
        <v>24.650300000000001</v>
      </c>
      <c r="C255">
        <f t="shared" si="3"/>
        <v>-2.6737735662817008E-2</v>
      </c>
    </row>
    <row r="256" spans="1:3" x14ac:dyDescent="0.25">
      <c r="A256" s="1">
        <v>44469</v>
      </c>
      <c r="B256">
        <v>21.758700000000001</v>
      </c>
      <c r="C256">
        <f t="shared" si="3"/>
        <v>-0.11730486038709464</v>
      </c>
    </row>
    <row r="257" spans="1:3" x14ac:dyDescent="0.25">
      <c r="A257" s="1">
        <v>44498</v>
      </c>
      <c r="B257">
        <v>19.855699999999999</v>
      </c>
      <c r="C257">
        <f t="shared" si="3"/>
        <v>-8.7459269165896969E-2</v>
      </c>
    </row>
    <row r="258" spans="1:3" x14ac:dyDescent="0.25">
      <c r="A258" s="1">
        <v>44530</v>
      </c>
      <c r="B258">
        <v>19.632200000000001</v>
      </c>
      <c r="C258">
        <f t="shared" si="3"/>
        <v>-1.1256213580986718E-2</v>
      </c>
    </row>
    <row r="259" spans="1:3" x14ac:dyDescent="0.25">
      <c r="A259" s="1">
        <v>44561</v>
      </c>
      <c r="B259">
        <v>20.443300000000001</v>
      </c>
      <c r="C259">
        <f t="shared" si="3"/>
        <v>4.1314778781797346E-2</v>
      </c>
    </row>
    <row r="260" spans="1:3" x14ac:dyDescent="0.25">
      <c r="A260" s="1">
        <v>44592</v>
      </c>
      <c r="B260">
        <v>23.028700000000001</v>
      </c>
      <c r="C260">
        <f t="shared" ref="C260:C315" si="4">+B260/B259-1</f>
        <v>0.12646686200368817</v>
      </c>
    </row>
    <row r="261" spans="1:3" x14ac:dyDescent="0.25">
      <c r="A261" s="1">
        <v>44620</v>
      </c>
      <c r="B261">
        <v>23.953700000000001</v>
      </c>
      <c r="C261">
        <f t="shared" si="4"/>
        <v>4.0167269537576988E-2</v>
      </c>
    </row>
    <row r="262" spans="1:3" x14ac:dyDescent="0.25">
      <c r="A262" s="1">
        <v>44651</v>
      </c>
      <c r="B262">
        <v>27.536899999999999</v>
      </c>
      <c r="C262">
        <f t="shared" si="4"/>
        <v>0.14958858130476704</v>
      </c>
    </row>
    <row r="263" spans="1:3" x14ac:dyDescent="0.25">
      <c r="A263" s="1">
        <v>44680</v>
      </c>
      <c r="B263">
        <v>23.866299999999999</v>
      </c>
      <c r="C263">
        <f t="shared" si="4"/>
        <v>-0.13329750262375217</v>
      </c>
    </row>
    <row r="264" spans="1:3" x14ac:dyDescent="0.25">
      <c r="A264" s="1">
        <v>44712</v>
      </c>
      <c r="B264">
        <v>25.672499999999999</v>
      </c>
      <c r="C264">
        <f t="shared" si="4"/>
        <v>7.5679933630265372E-2</v>
      </c>
    </row>
    <row r="265" spans="1:3" x14ac:dyDescent="0.25">
      <c r="A265" s="1">
        <v>44742</v>
      </c>
      <c r="B265">
        <v>20.882000000000001</v>
      </c>
      <c r="C265">
        <f t="shared" si="4"/>
        <v>-0.18660044795014108</v>
      </c>
    </row>
    <row r="266" spans="1:3" x14ac:dyDescent="0.25">
      <c r="A266" s="1">
        <v>44771</v>
      </c>
      <c r="B266">
        <v>22.124700000000001</v>
      </c>
      <c r="C266">
        <f t="shared" si="4"/>
        <v>5.9510583277463835E-2</v>
      </c>
    </row>
    <row r="267" spans="1:3" x14ac:dyDescent="0.25">
      <c r="A267" s="1">
        <v>44804</v>
      </c>
      <c r="B267">
        <v>23.2682</v>
      </c>
      <c r="C267">
        <f t="shared" si="4"/>
        <v>5.1684316623502147E-2</v>
      </c>
    </row>
    <row r="268" spans="1:3" x14ac:dyDescent="0.25">
      <c r="A268" s="1">
        <v>44834</v>
      </c>
      <c r="B268">
        <v>22.589700000000001</v>
      </c>
      <c r="C268">
        <f t="shared" si="4"/>
        <v>-2.9159969400297414E-2</v>
      </c>
    </row>
    <row r="269" spans="1:3" x14ac:dyDescent="0.25">
      <c r="A269" s="1">
        <v>44865</v>
      </c>
      <c r="B269">
        <v>24.907399999999999</v>
      </c>
      <c r="C269">
        <f t="shared" si="4"/>
        <v>0.1025998574571596</v>
      </c>
    </row>
    <row r="270" spans="1:3" x14ac:dyDescent="0.25">
      <c r="A270" s="1">
        <v>44895</v>
      </c>
      <c r="B270">
        <v>24.0001</v>
      </c>
      <c r="C270">
        <f t="shared" si="4"/>
        <v>-3.6426925331427551E-2</v>
      </c>
    </row>
    <row r="271" spans="1:3" x14ac:dyDescent="0.25">
      <c r="A271" s="1">
        <v>44925</v>
      </c>
      <c r="B271">
        <v>22.915099999999999</v>
      </c>
      <c r="C271">
        <f t="shared" si="4"/>
        <v>-4.5208144966062624E-2</v>
      </c>
    </row>
    <row r="272" spans="1:3" x14ac:dyDescent="0.25">
      <c r="A272" s="1">
        <v>44957</v>
      </c>
      <c r="B272">
        <v>24.8567</v>
      </c>
      <c r="C272">
        <f t="shared" si="4"/>
        <v>8.4730156097944098E-2</v>
      </c>
    </row>
    <row r="273" spans="1:3" x14ac:dyDescent="0.25">
      <c r="A273" s="1">
        <v>44985</v>
      </c>
      <c r="B273">
        <v>22.3416</v>
      </c>
      <c r="C273">
        <f t="shared" si="4"/>
        <v>-0.10118398661125572</v>
      </c>
    </row>
    <row r="274" spans="1:3" x14ac:dyDescent="0.25">
      <c r="A274" s="1">
        <v>45016</v>
      </c>
      <c r="B274">
        <v>22.431699999999999</v>
      </c>
      <c r="C274">
        <f t="shared" si="4"/>
        <v>4.0328356071186455E-3</v>
      </c>
    </row>
    <row r="275" spans="1:3" x14ac:dyDescent="0.25">
      <c r="A275" s="1">
        <v>45044</v>
      </c>
      <c r="B275">
        <v>23.160900000000002</v>
      </c>
      <c r="C275">
        <f t="shared" si="4"/>
        <v>3.2507567415755556E-2</v>
      </c>
    </row>
    <row r="276" spans="1:3" x14ac:dyDescent="0.25">
      <c r="A276" s="1">
        <v>45077</v>
      </c>
      <c r="B276">
        <v>23.611499999999999</v>
      </c>
      <c r="C276">
        <f t="shared" si="4"/>
        <v>1.9455202518036785E-2</v>
      </c>
    </row>
    <row r="277" spans="1:3" x14ac:dyDescent="0.25">
      <c r="A277" s="1">
        <v>45107</v>
      </c>
      <c r="B277">
        <v>27.2258</v>
      </c>
      <c r="C277">
        <f t="shared" si="4"/>
        <v>0.15307371408000336</v>
      </c>
    </row>
    <row r="278" spans="1:3" x14ac:dyDescent="0.25">
      <c r="A278" s="1">
        <v>45138</v>
      </c>
      <c r="B278">
        <v>28.434699999999999</v>
      </c>
      <c r="C278">
        <f t="shared" si="4"/>
        <v>4.4402735640458602E-2</v>
      </c>
    </row>
    <row r="279" spans="1:3" x14ac:dyDescent="0.25">
      <c r="A279" s="1">
        <v>45169</v>
      </c>
      <c r="B279">
        <v>25.8993</v>
      </c>
      <c r="C279">
        <f t="shared" si="4"/>
        <v>-8.9165702469166219E-2</v>
      </c>
    </row>
    <row r="280" spans="1:3" x14ac:dyDescent="0.25">
      <c r="A280" s="1">
        <v>45198</v>
      </c>
      <c r="B280">
        <v>25.748200000000001</v>
      </c>
      <c r="C280">
        <f t="shared" si="4"/>
        <v>-5.8341345132879585E-3</v>
      </c>
    </row>
    <row r="281" spans="1:3" x14ac:dyDescent="0.25">
      <c r="A281" s="1">
        <v>45230</v>
      </c>
      <c r="B281">
        <v>24.992599999999999</v>
      </c>
      <c r="C281">
        <f t="shared" si="4"/>
        <v>-2.9345740673134446E-2</v>
      </c>
    </row>
    <row r="282" spans="1:3" x14ac:dyDescent="0.25">
      <c r="A282" s="1">
        <v>45260</v>
      </c>
      <c r="B282">
        <v>28.552199999999999</v>
      </c>
      <c r="C282">
        <f t="shared" si="4"/>
        <v>0.14242615814281034</v>
      </c>
    </row>
    <row r="283" spans="1:3" x14ac:dyDescent="0.25">
      <c r="A283" s="1">
        <v>45289</v>
      </c>
      <c r="B283">
        <v>30.3903</v>
      </c>
      <c r="C283">
        <f t="shared" si="4"/>
        <v>6.4376825603631227E-2</v>
      </c>
    </row>
    <row r="284" spans="1:3" x14ac:dyDescent="0.25">
      <c r="A284" s="1">
        <v>45322</v>
      </c>
      <c r="B284">
        <v>28.617000000000001</v>
      </c>
      <c r="C284">
        <f t="shared" si="4"/>
        <v>-5.8350855371615218E-2</v>
      </c>
    </row>
    <row r="285" spans="1:3" x14ac:dyDescent="0.25">
      <c r="A285" s="1">
        <v>45351</v>
      </c>
      <c r="B285">
        <v>28.6952</v>
      </c>
      <c r="C285">
        <f t="shared" si="4"/>
        <v>2.7326414369079899E-3</v>
      </c>
    </row>
    <row r="286" spans="1:3" x14ac:dyDescent="0.25">
      <c r="A286" s="1">
        <v>45380</v>
      </c>
      <c r="B286">
        <v>28.182300000000001</v>
      </c>
      <c r="C286">
        <f t="shared" si="4"/>
        <v>-1.7874069530792513E-2</v>
      </c>
    </row>
    <row r="287" spans="1:3" x14ac:dyDescent="0.25">
      <c r="A287" s="1">
        <v>45412</v>
      </c>
      <c r="B287">
        <v>26.974</v>
      </c>
      <c r="C287">
        <f t="shared" si="4"/>
        <v>-4.2874428275903709E-2</v>
      </c>
    </row>
    <row r="288" spans="1:3" x14ac:dyDescent="0.25">
      <c r="A288" s="1">
        <v>45443</v>
      </c>
      <c r="B288">
        <v>25.730899999999998</v>
      </c>
      <c r="C288">
        <f t="shared" si="4"/>
        <v>-4.6085119003484887E-2</v>
      </c>
    </row>
    <row r="289" spans="1:3" x14ac:dyDescent="0.25">
      <c r="A289" s="1">
        <v>45471</v>
      </c>
      <c r="B289">
        <v>24.542000000000002</v>
      </c>
      <c r="C289">
        <f t="shared" si="4"/>
        <v>-4.6205146341558034E-2</v>
      </c>
    </row>
    <row r="290" spans="1:3" x14ac:dyDescent="0.25">
      <c r="A290" s="1">
        <v>45504</v>
      </c>
      <c r="B290">
        <v>24.937100000000001</v>
      </c>
      <c r="C290">
        <f t="shared" si="4"/>
        <v>1.6098932442343727E-2</v>
      </c>
    </row>
    <row r="291" spans="1:3" x14ac:dyDescent="0.25">
      <c r="A291" s="1">
        <v>45534</v>
      </c>
      <c r="B291">
        <v>26.822900000000001</v>
      </c>
      <c r="C291">
        <f t="shared" si="4"/>
        <v>7.5622265620300722E-2</v>
      </c>
    </row>
    <row r="292" spans="1:3" x14ac:dyDescent="0.25">
      <c r="A292" s="1">
        <v>45565</v>
      </c>
      <c r="B292">
        <v>26.4816</v>
      </c>
      <c r="C292">
        <f t="shared" si="4"/>
        <v>-1.2724202081057623E-2</v>
      </c>
    </row>
    <row r="293" spans="1:3" x14ac:dyDescent="0.25">
      <c r="A293" s="1">
        <v>45596</v>
      </c>
      <c r="B293">
        <v>24.946100000000001</v>
      </c>
      <c r="C293">
        <f t="shared" si="4"/>
        <v>-5.798365657664184E-2</v>
      </c>
    </row>
    <row r="294" spans="1:3" x14ac:dyDescent="0.25">
      <c r="A294" s="1">
        <v>45625</v>
      </c>
      <c r="B294">
        <v>22.916599999999999</v>
      </c>
      <c r="C294">
        <f t="shared" si="4"/>
        <v>-8.1355402247245134E-2</v>
      </c>
    </row>
    <row r="295" spans="1:3" x14ac:dyDescent="0.25">
      <c r="A295" s="1">
        <v>45657</v>
      </c>
      <c r="B295">
        <v>21.148599999999998</v>
      </c>
      <c r="C295">
        <f t="shared" si="4"/>
        <v>-7.714931534346281E-2</v>
      </c>
    </row>
    <row r="296" spans="1:3" x14ac:dyDescent="0.25">
      <c r="A296" s="1">
        <v>45688</v>
      </c>
      <c r="B296">
        <v>23.798100000000002</v>
      </c>
      <c r="C296">
        <f t="shared" si="4"/>
        <v>0.12528016038886758</v>
      </c>
    </row>
    <row r="297" spans="1:3" x14ac:dyDescent="0.25">
      <c r="A297" s="1">
        <v>45716</v>
      </c>
      <c r="B297">
        <v>22.651900000000001</v>
      </c>
      <c r="C297">
        <f t="shared" si="4"/>
        <v>-4.8163508851546966E-2</v>
      </c>
    </row>
    <row r="298" spans="1:3" x14ac:dyDescent="0.25">
      <c r="A298" s="1">
        <v>45747</v>
      </c>
      <c r="B298">
        <v>24.2866</v>
      </c>
      <c r="C298">
        <f t="shared" si="4"/>
        <v>7.2166131759366703E-2</v>
      </c>
    </row>
    <row r="299" spans="1:3" x14ac:dyDescent="0.25">
      <c r="A299" s="1">
        <v>45777</v>
      </c>
      <c r="B299">
        <v>25.404699999999998</v>
      </c>
      <c r="C299">
        <f t="shared" si="4"/>
        <v>4.6037732741511794E-2</v>
      </c>
    </row>
    <row r="300" spans="1:3" x14ac:dyDescent="0.25">
      <c r="A300" s="1">
        <v>45807</v>
      </c>
      <c r="B300">
        <v>25.564399999999999</v>
      </c>
      <c r="C300">
        <f t="shared" si="4"/>
        <v>6.2862383732145144E-3</v>
      </c>
    </row>
    <row r="301" spans="1:3" x14ac:dyDescent="0.25">
      <c r="A301" s="1">
        <v>45838</v>
      </c>
      <c r="B301">
        <v>27.610700000000001</v>
      </c>
      <c r="C301">
        <f t="shared" si="4"/>
        <v>8.0044906197681343E-2</v>
      </c>
    </row>
    <row r="302" spans="1:3" x14ac:dyDescent="0.25">
      <c r="A302" s="1">
        <v>45869</v>
      </c>
      <c r="B302">
        <v>25.409500000000001</v>
      </c>
      <c r="C302">
        <f t="shared" si="4"/>
        <v>-7.9722716193359799E-2</v>
      </c>
    </row>
    <row r="303" spans="1:3" x14ac:dyDescent="0.25">
      <c r="A303" s="1">
        <v>45898</v>
      </c>
      <c r="B303">
        <v>28.232800000000001</v>
      </c>
      <c r="C303">
        <f t="shared" si="4"/>
        <v>0.11111198567464919</v>
      </c>
    </row>
    <row r="304" spans="1:3" x14ac:dyDescent="0.25">
      <c r="A304" s="1">
        <v>45930</v>
      </c>
      <c r="B304">
        <v>29.668299999999999</v>
      </c>
      <c r="C304">
        <f t="shared" si="4"/>
        <v>5.0845116318608108E-2</v>
      </c>
    </row>
    <row r="305" spans="1:3" x14ac:dyDescent="0.25">
      <c r="A305" s="1">
        <v>45961</v>
      </c>
      <c r="B305">
        <v>29.831</v>
      </c>
      <c r="C305">
        <f t="shared" si="4"/>
        <v>5.4839677366078643E-3</v>
      </c>
    </row>
    <row r="306" spans="1:3" x14ac:dyDescent="0.25">
      <c r="A306" s="1">
        <v>45989</v>
      </c>
      <c r="B306">
        <v>32.166200000000003</v>
      </c>
      <c r="C306">
        <f t="shared" si="4"/>
        <v>7.8280982870168714E-2</v>
      </c>
    </row>
    <row r="307" spans="1:3" x14ac:dyDescent="0.25">
      <c r="A307" s="1">
        <v>46022</v>
      </c>
      <c r="B307">
        <v>31.470700000000001</v>
      </c>
      <c r="C307">
        <f t="shared" si="4"/>
        <v>-2.1622075346170888E-2</v>
      </c>
    </row>
    <row r="308" spans="1:3" x14ac:dyDescent="0.25">
      <c r="A308" s="1">
        <v>46052</v>
      </c>
      <c r="B308">
        <v>36.691000000000003</v>
      </c>
      <c r="C308">
        <f t="shared" si="4"/>
        <v>0.16587810248898194</v>
      </c>
    </row>
    <row r="309" spans="1:3" x14ac:dyDescent="0.25">
      <c r="A309" s="1">
        <v>46080</v>
      </c>
      <c r="B309">
        <v>38.365099999999998</v>
      </c>
      <c r="C309">
        <f t="shared" si="4"/>
        <v>4.5626992995557281E-2</v>
      </c>
    </row>
    <row r="310" spans="1:3" x14ac:dyDescent="0.25">
      <c r="A310" s="1">
        <v>46112</v>
      </c>
      <c r="B310">
        <v>38.028300000000002</v>
      </c>
      <c r="C310">
        <f t="shared" si="4"/>
        <v>-8.7788119931916375E-3</v>
      </c>
    </row>
    <row r="311" spans="1:3" x14ac:dyDescent="0.25">
      <c r="A311" s="1">
        <v>46142</v>
      </c>
      <c r="B311">
        <v>39.325899999999997</v>
      </c>
      <c r="C311">
        <f t="shared" si="4"/>
        <v>3.4121956542890297E-2</v>
      </c>
    </row>
    <row r="312" spans="1:3" x14ac:dyDescent="0.25">
      <c r="A312" s="1">
        <v>46171</v>
      </c>
      <c r="B312">
        <v>35.5717</v>
      </c>
      <c r="C312">
        <f t="shared" si="4"/>
        <v>-9.5463803752742993E-2</v>
      </c>
    </row>
    <row r="313" spans="1:3" x14ac:dyDescent="0.25">
      <c r="A313" s="1">
        <v>46203</v>
      </c>
      <c r="B313">
        <v>34.5</v>
      </c>
      <c r="C313">
        <f t="shared" si="4"/>
        <v>-3.012788255832588E-2</v>
      </c>
    </row>
    <row r="314" spans="1:3" x14ac:dyDescent="0.25">
      <c r="A314" s="1">
        <v>46234</v>
      </c>
      <c r="B314">
        <v>36.65</v>
      </c>
      <c r="C314">
        <f t="shared" si="4"/>
        <v>6.2318840579710155E-2</v>
      </c>
    </row>
    <row r="315" spans="1:3" x14ac:dyDescent="0.25">
      <c r="A315" s="1">
        <v>46265</v>
      </c>
      <c r="B315">
        <v>36.03</v>
      </c>
      <c r="C315">
        <f t="shared" si="4"/>
        <v>-1.6916780354706562E-2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B631-3C8B-495B-8E95-2846F6574FBF}">
  <dimension ref="A1:N378"/>
  <sheetViews>
    <sheetView workbookViewId="0">
      <selection activeCell="G3" sqref="G3"/>
    </sheetView>
  </sheetViews>
  <sheetFormatPr defaultRowHeight="15" x14ac:dyDescent="0.25"/>
  <cols>
    <col min="1" max="1" width="10.42578125" bestFit="1" customWidth="1"/>
    <col min="9" max="9" width="10.42578125" bestFit="1" customWidth="1"/>
  </cols>
  <sheetData>
    <row r="1" spans="1:14" x14ac:dyDescent="0.25">
      <c r="A1" t="s">
        <v>5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I1" t="str">
        <f t="shared" ref="I1:N1" si="0">+A1</f>
        <v>date</v>
      </c>
      <c r="J1" t="str">
        <f t="shared" si="0"/>
        <v>ret_3_1</v>
      </c>
      <c r="K1" t="str">
        <f t="shared" si="0"/>
        <v>ret_6_1</v>
      </c>
      <c r="L1" t="str">
        <f t="shared" si="0"/>
        <v>ret_9_1</v>
      </c>
      <c r="M1" t="str">
        <f t="shared" si="0"/>
        <v>ret_12_1</v>
      </c>
      <c r="N1" t="str">
        <f t="shared" si="0"/>
        <v>ret_12_7</v>
      </c>
    </row>
    <row r="2" spans="1:14" x14ac:dyDescent="0.25">
      <c r="A2" s="1">
        <v>34577</v>
      </c>
      <c r="I2" s="7">
        <f>+A2</f>
        <v>34577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4" x14ac:dyDescent="0.25">
      <c r="A3" s="1">
        <v>34607</v>
      </c>
      <c r="B3">
        <v>-7.9667884044070394E-2</v>
      </c>
      <c r="C3">
        <v>-2.70947584412356E-2</v>
      </c>
      <c r="D3">
        <v>-0.119100567698599</v>
      </c>
      <c r="E3">
        <v>-0.13409729102471599</v>
      </c>
      <c r="F3">
        <v>-0.18483309271201301</v>
      </c>
      <c r="I3" s="7">
        <f t="shared" ref="I3:I66" si="1">+A3</f>
        <v>34607</v>
      </c>
      <c r="J3">
        <f t="shared" ref="J3:J66" si="2">+J2*(1+B3)</f>
        <v>92.033211595592959</v>
      </c>
      <c r="K3">
        <f t="shared" ref="K3:K66" si="3">+K2*(1+C3)</f>
        <v>97.29052415587644</v>
      </c>
      <c r="L3">
        <f t="shared" ref="L3:L66" si="4">+L2*(1+D3)</f>
        <v>88.089943230140094</v>
      </c>
      <c r="M3">
        <f t="shared" ref="M3:M66" si="5">+M2*(1+E3)</f>
        <v>86.590270897528399</v>
      </c>
      <c r="N3">
        <f t="shared" ref="N3:N66" si="6">+N2*(1+F3)</f>
        <v>81.516690728798707</v>
      </c>
    </row>
    <row r="4" spans="1:14" x14ac:dyDescent="0.25">
      <c r="A4" s="1">
        <v>34638</v>
      </c>
      <c r="B4">
        <v>-1.6749038147068399E-3</v>
      </c>
      <c r="C4">
        <v>6.7771589354422603E-3</v>
      </c>
      <c r="D4">
        <v>-6.4075484530685803E-2</v>
      </c>
      <c r="E4">
        <v>-6.9171202916846503E-2</v>
      </c>
      <c r="F4">
        <v>-2.3499104739746701E-2</v>
      </c>
      <c r="I4" s="7">
        <f t="shared" si="1"/>
        <v>34638</v>
      </c>
      <c r="J4">
        <f t="shared" si="2"/>
        <v>91.879064818411777</v>
      </c>
      <c r="K4">
        <f t="shared" si="3"/>
        <v>97.949877500993296</v>
      </c>
      <c r="L4">
        <f t="shared" si="4"/>
        <v>82.44553743538826</v>
      </c>
      <c r="M4">
        <f t="shared" si="5"/>
        <v>80.600717698650755</v>
      </c>
      <c r="N4">
        <f t="shared" si="6"/>
        <v>79.601121475325129</v>
      </c>
    </row>
    <row r="5" spans="1:14" x14ac:dyDescent="0.25">
      <c r="A5" s="1">
        <v>34668</v>
      </c>
      <c r="B5">
        <v>-7.3311721146340797E-2</v>
      </c>
      <c r="C5">
        <v>-1.26933214447073E-4</v>
      </c>
      <c r="D5">
        <v>6.5023071625018802E-2</v>
      </c>
      <c r="E5">
        <v>1.24260322609588E-2</v>
      </c>
      <c r="F5">
        <v>-2.0656860900580901E-2</v>
      </c>
      <c r="I5" s="7">
        <f t="shared" si="1"/>
        <v>34668</v>
      </c>
      <c r="J5">
        <f t="shared" si="2"/>
        <v>85.143252439257807</v>
      </c>
      <c r="K5">
        <f t="shared" si="3"/>
        <v>97.937444408187389</v>
      </c>
      <c r="L5">
        <f t="shared" si="4"/>
        <v>87.806399521212683</v>
      </c>
      <c r="M5">
        <f t="shared" si="5"/>
        <v>81.60226481703063</v>
      </c>
      <c r="N5">
        <f t="shared" si="6"/>
        <v>77.956812181479094</v>
      </c>
    </row>
    <row r="6" spans="1:14" x14ac:dyDescent="0.25">
      <c r="A6" s="1">
        <v>34699</v>
      </c>
      <c r="B6">
        <v>-7.8190329319069898E-2</v>
      </c>
      <c r="C6">
        <v>-1.9688817809719199E-2</v>
      </c>
      <c r="D6">
        <v>0.15705562278673499</v>
      </c>
      <c r="E6">
        <v>0.15655756204967999</v>
      </c>
      <c r="F6">
        <v>0.13620837802673799</v>
      </c>
      <c r="I6" s="7">
        <f t="shared" si="1"/>
        <v>34699</v>
      </c>
      <c r="J6">
        <f t="shared" si="2"/>
        <v>78.485873491735546</v>
      </c>
      <c r="K6">
        <f t="shared" si="3"/>
        <v>96.009171908485087</v>
      </c>
      <c r="L6">
        <f t="shared" si="4"/>
        <v>101.59688828267761</v>
      </c>
      <c r="M6">
        <f t="shared" si="5"/>
        <v>94.377716454517312</v>
      </c>
      <c r="N6">
        <f t="shared" si="6"/>
        <v>88.57518312485341</v>
      </c>
    </row>
    <row r="7" spans="1:14" x14ac:dyDescent="0.25">
      <c r="A7" s="1">
        <v>34730</v>
      </c>
      <c r="B7">
        <v>5.4814415760867499E-2</v>
      </c>
      <c r="C7">
        <v>7.7755833369374194E-2</v>
      </c>
      <c r="D7">
        <v>0.130400150535295</v>
      </c>
      <c r="E7">
        <v>3.7350578779188598E-2</v>
      </c>
      <c r="F7">
        <v>-1.10338454795431E-3</v>
      </c>
      <c r="I7" s="7">
        <f t="shared" si="1"/>
        <v>34730</v>
      </c>
      <c r="J7">
        <f t="shared" si="2"/>
        <v>82.788030792666376</v>
      </c>
      <c r="K7">
        <f t="shared" si="3"/>
        <v>103.47444508133286</v>
      </c>
      <c r="L7">
        <f t="shared" si="4"/>
        <v>114.84513780865632</v>
      </c>
      <c r="M7">
        <f t="shared" si="5"/>
        <v>97.902778787951689</v>
      </c>
      <c r="N7">
        <f t="shared" si="6"/>
        <v>88.477450636461228</v>
      </c>
    </row>
    <row r="8" spans="1:14" x14ac:dyDescent="0.25">
      <c r="A8" s="1">
        <v>34758</v>
      </c>
      <c r="B8">
        <v>-8.8809464069709895E-2</v>
      </c>
      <c r="C8">
        <v>-0.145419614123766</v>
      </c>
      <c r="D8">
        <v>-0.155137870861556</v>
      </c>
      <c r="E8">
        <v>7.9516732278059305E-5</v>
      </c>
      <c r="F8">
        <v>3.30972793920776E-2</v>
      </c>
      <c r="I8" s="7">
        <f t="shared" si="1"/>
        <v>34758</v>
      </c>
      <c r="J8">
        <f t="shared" si="2"/>
        <v>75.435670146583035</v>
      </c>
      <c r="K8">
        <f t="shared" si="3"/>
        <v>88.427231205934618</v>
      </c>
      <c r="L8">
        <f t="shared" si="4"/>
        <v>97.028307650219389</v>
      </c>
      <c r="M8">
        <f t="shared" si="5"/>
        <v>97.910563697001848</v>
      </c>
      <c r="N8">
        <f t="shared" si="6"/>
        <v>91.405813540074945</v>
      </c>
    </row>
    <row r="9" spans="1:14" x14ac:dyDescent="0.25">
      <c r="A9" s="1">
        <v>34789</v>
      </c>
      <c r="B9">
        <v>-1.0126199130144099E-2</v>
      </c>
      <c r="C9">
        <v>-6.2915590539303401E-2</v>
      </c>
      <c r="D9">
        <v>-7.4423849894776004E-2</v>
      </c>
      <c r="E9">
        <v>4.5764975912771497E-2</v>
      </c>
      <c r="F9">
        <v>7.4053612210207606E-2</v>
      </c>
      <c r="I9" s="7">
        <f t="shared" si="1"/>
        <v>34789</v>
      </c>
      <c r="J9">
        <f t="shared" si="2"/>
        <v>74.671793529162869</v>
      </c>
      <c r="K9">
        <f t="shared" si="3"/>
        <v>82.863779734857729</v>
      </c>
      <c r="L9">
        <f t="shared" si="4"/>
        <v>89.807087446115318</v>
      </c>
      <c r="M9">
        <f t="shared" si="5"/>
        <v>102.39143828620101</v>
      </c>
      <c r="N9">
        <f t="shared" si="6"/>
        <v>98.174744209730193</v>
      </c>
    </row>
    <row r="10" spans="1:14" x14ac:dyDescent="0.25">
      <c r="A10" s="1">
        <v>34819</v>
      </c>
      <c r="B10">
        <v>0.11589878159464</v>
      </c>
      <c r="C10">
        <v>-0.13093157563941199</v>
      </c>
      <c r="D10">
        <v>-0.120637269726094</v>
      </c>
      <c r="E10">
        <v>-0.173262837981741</v>
      </c>
      <c r="F10">
        <v>-0.25001114858052698</v>
      </c>
      <c r="I10" s="7">
        <f t="shared" si="1"/>
        <v>34819</v>
      </c>
      <c r="J10">
        <f t="shared" si="2"/>
        <v>83.326163418679371</v>
      </c>
      <c r="K10">
        <f t="shared" si="3"/>
        <v>72.014294490735622</v>
      </c>
      <c r="L10">
        <f t="shared" si="4"/>
        <v>78.973005614563391</v>
      </c>
      <c r="M10">
        <f t="shared" si="5"/>
        <v>84.650807103701524</v>
      </c>
      <c r="N10">
        <f t="shared" si="6"/>
        <v>73.629963648256108</v>
      </c>
    </row>
    <row r="11" spans="1:14" x14ac:dyDescent="0.25">
      <c r="A11" s="1">
        <v>34850</v>
      </c>
      <c r="B11">
        <v>-0.11683856186976201</v>
      </c>
      <c r="C11">
        <v>-0.12616423642361399</v>
      </c>
      <c r="D11">
        <v>-9.0498505718566904E-3</v>
      </c>
      <c r="E11">
        <v>-2.37113782666101E-2</v>
      </c>
      <c r="F11">
        <v>0.182341967165563</v>
      </c>
      <c r="I11" s="7">
        <f t="shared" si="1"/>
        <v>34850</v>
      </c>
      <c r="J11">
        <f t="shared" si="2"/>
        <v>73.590454318716098</v>
      </c>
      <c r="K11">
        <f t="shared" si="3"/>
        <v>62.928666014726694</v>
      </c>
      <c r="L11">
        <f t="shared" si="4"/>
        <v>78.258311714541193</v>
      </c>
      <c r="M11">
        <f t="shared" si="5"/>
        <v>82.643619795891809</v>
      </c>
      <c r="N11">
        <f t="shared" si="6"/>
        <v>87.055796062208032</v>
      </c>
    </row>
    <row r="12" spans="1:14" x14ac:dyDescent="0.25">
      <c r="A12" s="1">
        <v>34880</v>
      </c>
      <c r="B12">
        <v>-1.36709788355564E-2</v>
      </c>
      <c r="C12">
        <v>-3.3626221578712E-2</v>
      </c>
      <c r="D12">
        <v>-4.7657499396929398E-2</v>
      </c>
      <c r="E12">
        <v>-3.8325660875053701E-2</v>
      </c>
      <c r="F12">
        <v>-4.0526115712390502E-3</v>
      </c>
      <c r="I12" s="7">
        <f t="shared" si="1"/>
        <v>34880</v>
      </c>
      <c r="J12">
        <f t="shared" si="2"/>
        <v>72.584400775225959</v>
      </c>
      <c r="K12">
        <f t="shared" si="3"/>
        <v>60.812612747662733</v>
      </c>
      <c r="L12">
        <f t="shared" si="4"/>
        <v>74.528716271200736</v>
      </c>
      <c r="M12">
        <f t="shared" si="5"/>
        <v>79.476248450107576</v>
      </c>
      <c r="N12">
        <f t="shared" si="6"/>
        <v>86.702992735742896</v>
      </c>
    </row>
    <row r="13" spans="1:14" x14ac:dyDescent="0.25">
      <c r="A13" s="1">
        <v>34911</v>
      </c>
      <c r="B13">
        <v>2.2511682708733601E-2</v>
      </c>
      <c r="C13">
        <v>-2.6807902904851699E-2</v>
      </c>
      <c r="D13">
        <v>7.3562993349597997E-2</v>
      </c>
      <c r="E13">
        <v>0.13592966420427499</v>
      </c>
      <c r="F13">
        <v>0.11018750942521099</v>
      </c>
      <c r="I13" s="7">
        <f t="shared" si="1"/>
        <v>34911</v>
      </c>
      <c r="J13">
        <f t="shared" si="2"/>
        <v>74.218397775081399</v>
      </c>
      <c r="K13">
        <f t="shared" si="3"/>
        <v>59.182354129733042</v>
      </c>
      <c r="L13">
        <f t="shared" si="4"/>
        <v>80.01127173061316</v>
      </c>
      <c r="M13">
        <f t="shared" si="5"/>
        <v>90.279428214146236</v>
      </c>
      <c r="N13">
        <f t="shared" si="6"/>
        <v>96.256579565006561</v>
      </c>
    </row>
    <row r="14" spans="1:14" x14ac:dyDescent="0.25">
      <c r="A14" s="1">
        <v>34942</v>
      </c>
      <c r="B14">
        <v>2.65277205979817E-2</v>
      </c>
      <c r="C14">
        <v>2.7725162262130398E-2</v>
      </c>
      <c r="D14">
        <v>-1.37546966261458E-2</v>
      </c>
      <c r="E14">
        <v>-3.8572022087325101E-3</v>
      </c>
      <c r="F14">
        <v>2.25727979722628E-2</v>
      </c>
      <c r="I14" s="7">
        <f t="shared" si="1"/>
        <v>34942</v>
      </c>
      <c r="J14">
        <f t="shared" si="2"/>
        <v>76.187242694488631</v>
      </c>
      <c r="K14">
        <f t="shared" si="3"/>
        <v>60.823194501034756</v>
      </c>
      <c r="L14">
        <f t="shared" si="4"/>
        <v>78.910740961286464</v>
      </c>
      <c r="M14">
        <f t="shared" si="5"/>
        <v>89.931202204235518</v>
      </c>
      <c r="N14">
        <f t="shared" si="6"/>
        <v>98.42935988902849</v>
      </c>
    </row>
    <row r="15" spans="1:14" x14ac:dyDescent="0.25">
      <c r="A15" s="1">
        <v>34972</v>
      </c>
      <c r="B15">
        <v>-9.0193091903562797E-2</v>
      </c>
      <c r="C15">
        <v>-1.1297281488981801E-2</v>
      </c>
      <c r="D15">
        <v>-4.7957721275234698E-2</v>
      </c>
      <c r="E15">
        <v>-3.9614722811279202E-2</v>
      </c>
      <c r="F15">
        <v>-2.0714730907397099E-2</v>
      </c>
      <c r="I15" s="7">
        <f t="shared" si="1"/>
        <v>34972</v>
      </c>
      <c r="J15">
        <f t="shared" si="2"/>
        <v>69.315679712265577</v>
      </c>
      <c r="K15">
        <f t="shared" si="3"/>
        <v>60.136057751697479</v>
      </c>
      <c r="L15">
        <f t="shared" si="4"/>
        <v>75.126361640642841</v>
      </c>
      <c r="M15">
        <f t="shared" si="5"/>
        <v>86.368602556829629</v>
      </c>
      <c r="N15">
        <f t="shared" si="6"/>
        <v>96.390422185539919</v>
      </c>
    </row>
    <row r="16" spans="1:14" x14ac:dyDescent="0.25">
      <c r="A16" s="1">
        <v>35003</v>
      </c>
      <c r="B16">
        <v>1.8636315578608099E-2</v>
      </c>
      <c r="C16">
        <v>4.7137488168525102E-2</v>
      </c>
      <c r="D16">
        <v>-1.4530268256300599E-2</v>
      </c>
      <c r="E16">
        <v>4.4039916618301998E-2</v>
      </c>
      <c r="F16">
        <v>4.74771044157591E-2</v>
      </c>
      <c r="I16" s="7">
        <f t="shared" si="1"/>
        <v>35003</v>
      </c>
      <c r="J16">
        <f t="shared" si="2"/>
        <v>70.60746859392907</v>
      </c>
      <c r="K16">
        <f t="shared" si="3"/>
        <v>62.970720462469863</v>
      </c>
      <c r="L16">
        <f t="shared" si="4"/>
        <v>74.034755452884454</v>
      </c>
      <c r="M16">
        <f t="shared" si="5"/>
        <v>90.172268611871672</v>
      </c>
      <c r="N16">
        <f t="shared" si="6"/>
        <v>100.96676032432191</v>
      </c>
    </row>
    <row r="17" spans="1:14" x14ac:dyDescent="0.25">
      <c r="A17" s="1">
        <v>35033</v>
      </c>
      <c r="B17">
        <v>7.47046161614802E-3</v>
      </c>
      <c r="C17">
        <v>-5.5284945317063003E-2</v>
      </c>
      <c r="D17">
        <v>6.8130819996251604E-2</v>
      </c>
      <c r="E17">
        <v>5.4934876687881502E-2</v>
      </c>
      <c r="F17">
        <v>5.5906329493771799E-2</v>
      </c>
      <c r="I17" s="7">
        <f t="shared" si="1"/>
        <v>35033</v>
      </c>
      <c r="J17">
        <f t="shared" si="2"/>
        <v>71.134938977873404</v>
      </c>
      <c r="K17">
        <f t="shared" si="3"/>
        <v>59.489387625126156</v>
      </c>
      <c r="L17">
        <f t="shared" si="4"/>
        <v>79.07880405011143</v>
      </c>
      <c r="M17">
        <f t="shared" si="5"/>
        <v>95.125871068731371</v>
      </c>
      <c r="N17">
        <f t="shared" si="6"/>
        <v>106.61144129493213</v>
      </c>
    </row>
    <row r="18" spans="1:14" x14ac:dyDescent="0.25">
      <c r="A18" s="1">
        <v>35064</v>
      </c>
      <c r="B18">
        <v>-9.2677684138149502E-2</v>
      </c>
      <c r="C18">
        <v>-0.133338921341286</v>
      </c>
      <c r="D18">
        <v>-0.100986763549332</v>
      </c>
      <c r="E18">
        <v>-5.2272919324052397E-2</v>
      </c>
      <c r="F18">
        <v>6.9658110538301302E-2</v>
      </c>
      <c r="I18" s="7">
        <f t="shared" si="1"/>
        <v>35064</v>
      </c>
      <c r="J18">
        <f t="shared" si="2"/>
        <v>64.542317572095513</v>
      </c>
      <c r="K18">
        <f t="shared" si="3"/>
        <v>51.557136847938189</v>
      </c>
      <c r="L18">
        <f t="shared" si="4"/>
        <v>71.092891563738874</v>
      </c>
      <c r="M18">
        <f t="shared" si="5"/>
        <v>90.153364084725368</v>
      </c>
      <c r="N18">
        <f t="shared" si="6"/>
        <v>114.03779285730215</v>
      </c>
    </row>
    <row r="19" spans="1:14" x14ac:dyDescent="0.25">
      <c r="A19" s="1">
        <v>35095</v>
      </c>
      <c r="B19">
        <v>0.10672559670699901</v>
      </c>
      <c r="C19">
        <v>2.8502300823909301E-3</v>
      </c>
      <c r="D19">
        <v>0.108385207785718</v>
      </c>
      <c r="E19">
        <v>9.4687020733979194E-2</v>
      </c>
      <c r="F19">
        <v>1.92582508606246E-2</v>
      </c>
      <c r="I19" s="7">
        <f t="shared" si="1"/>
        <v>35095</v>
      </c>
      <c r="J19">
        <f t="shared" si="2"/>
        <v>71.430634927830042</v>
      </c>
      <c r="K19">
        <f t="shared" si="3"/>
        <v>51.70408655034413</v>
      </c>
      <c r="L19">
        <f t="shared" si="4"/>
        <v>78.79830938796222</v>
      </c>
      <c r="M19">
        <f t="shared" si="5"/>
        <v>98.689717539053731</v>
      </c>
      <c r="N19">
        <f t="shared" si="6"/>
        <v>116.23396127974</v>
      </c>
    </row>
    <row r="20" spans="1:14" x14ac:dyDescent="0.25">
      <c r="A20" s="1">
        <v>35124</v>
      </c>
      <c r="B20">
        <v>-1.02178719694961E-3</v>
      </c>
      <c r="C20">
        <v>4.8429755513921501E-2</v>
      </c>
      <c r="D20">
        <v>4.1393798166971002E-2</v>
      </c>
      <c r="E20">
        <v>-1.2198394239841201E-3</v>
      </c>
      <c r="F20">
        <v>-4.84442283056182E-3</v>
      </c>
      <c r="I20" s="7">
        <f t="shared" si="1"/>
        <v>35124</v>
      </c>
      <c r="J20">
        <f t="shared" si="2"/>
        <v>71.357648019590812</v>
      </c>
      <c r="K20">
        <f t="shared" si="3"/>
        <v>54.20810282104793</v>
      </c>
      <c r="L20">
        <f t="shared" si="4"/>
        <v>82.060070702666067</v>
      </c>
      <c r="M20">
        <f t="shared" si="5"/>
        <v>98.569331930857743</v>
      </c>
      <c r="N20">
        <f t="shared" si="6"/>
        <v>115.67087482402978</v>
      </c>
    </row>
    <row r="21" spans="1:14" x14ac:dyDescent="0.25">
      <c r="A21" s="1">
        <v>35155</v>
      </c>
      <c r="B21">
        <v>6.9201636458181195E-4</v>
      </c>
      <c r="C21">
        <v>6.9243586988154707E-2</v>
      </c>
      <c r="D21">
        <v>-1.6609281771649199E-2</v>
      </c>
      <c r="E21">
        <v>-1.5969767923667898E-2</v>
      </c>
      <c r="F21">
        <v>0.14616947975261299</v>
      </c>
      <c r="I21" s="7">
        <f t="shared" si="1"/>
        <v>35155</v>
      </c>
      <c r="J21">
        <f t="shared" si="2"/>
        <v>71.40702867975844</v>
      </c>
      <c r="K21">
        <f t="shared" si="3"/>
        <v>57.961666304199994</v>
      </c>
      <c r="L21">
        <f t="shared" si="4"/>
        <v>80.697111866164036</v>
      </c>
      <c r="M21">
        <f t="shared" si="5"/>
        <v>96.995202575530953</v>
      </c>
      <c r="N21">
        <f t="shared" si="6"/>
        <v>132.57842641958783</v>
      </c>
    </row>
    <row r="22" spans="1:14" x14ac:dyDescent="0.25">
      <c r="A22" s="1">
        <v>35185</v>
      </c>
      <c r="B22">
        <v>1.4037992183112099E-2</v>
      </c>
      <c r="C22">
        <v>9.64983893387929E-2</v>
      </c>
      <c r="D22">
        <v>0.12447824445293799</v>
      </c>
      <c r="E22">
        <v>6.9010851475688306E-2</v>
      </c>
      <c r="F22">
        <v>5.5517400863975197E-3</v>
      </c>
      <c r="I22" s="7">
        <f t="shared" si="1"/>
        <v>35185</v>
      </c>
      <c r="J22">
        <f t="shared" si="2"/>
        <v>72.409439990184154</v>
      </c>
      <c r="K22">
        <f t="shared" si="3"/>
        <v>63.55487374594788</v>
      </c>
      <c r="L22">
        <f t="shared" si="4"/>
        <v>90.742146683686485</v>
      </c>
      <c r="M22">
        <f t="shared" si="5"/>
        <v>103.68892409432522</v>
      </c>
      <c r="N22">
        <f t="shared" si="6"/>
        <v>133.31446738413297</v>
      </c>
    </row>
    <row r="23" spans="1:14" x14ac:dyDescent="0.25">
      <c r="A23" s="1">
        <v>35216</v>
      </c>
      <c r="B23">
        <v>5.0662212859939097E-2</v>
      </c>
      <c r="C23">
        <v>2.5951312031007399E-2</v>
      </c>
      <c r="D23">
        <v>-3.5080466957951098E-2</v>
      </c>
      <c r="E23">
        <v>2.2257705113337401E-2</v>
      </c>
      <c r="F23">
        <v>-5.8002923955819803E-2</v>
      </c>
      <c r="I23" s="7">
        <f t="shared" si="1"/>
        <v>35216</v>
      </c>
      <c r="J23">
        <f t="shared" si="2"/>
        <v>76.077862452035845</v>
      </c>
      <c r="K23">
        <f t="shared" si="3"/>
        <v>65.204206105620244</v>
      </c>
      <c r="L23">
        <f t="shared" si="4"/>
        <v>87.558869805255867</v>
      </c>
      <c r="M23">
        <f t="shared" si="5"/>
        <v>105.99680159033593</v>
      </c>
      <c r="N23">
        <f t="shared" si="6"/>
        <v>125.58183847024048</v>
      </c>
    </row>
    <row r="24" spans="1:14" x14ac:dyDescent="0.25">
      <c r="A24" s="1">
        <v>35246</v>
      </c>
      <c r="B24">
        <v>0.121806326604823</v>
      </c>
      <c r="C24">
        <v>0.22270587538359601</v>
      </c>
      <c r="D24">
        <v>0.178612934779177</v>
      </c>
      <c r="E24">
        <v>0.26071014574884899</v>
      </c>
      <c r="F24">
        <v>0.16149030045451301</v>
      </c>
      <c r="I24" s="7">
        <f t="shared" si="1"/>
        <v>35246</v>
      </c>
      <c r="J24">
        <f t="shared" si="2"/>
        <v>85.344627413265329</v>
      </c>
      <c r="K24">
        <f t="shared" si="3"/>
        <v>79.725565905064812</v>
      </c>
      <c r="L24">
        <f t="shared" si="4"/>
        <v>103.19801650712049</v>
      </c>
      <c r="M24">
        <f t="shared" si="5"/>
        <v>133.63124318186425</v>
      </c>
      <c r="N24">
        <f t="shared" si="6"/>
        <v>145.86208729642973</v>
      </c>
    </row>
    <row r="25" spans="1:14" x14ac:dyDescent="0.25">
      <c r="A25" s="1">
        <v>35277</v>
      </c>
      <c r="B25">
        <v>-2.3712110518645E-2</v>
      </c>
      <c r="C25">
        <v>2.3981602557120299E-2</v>
      </c>
      <c r="D25">
        <v>-5.6398654508570303E-2</v>
      </c>
      <c r="E25">
        <v>-1.67852768231418E-2</v>
      </c>
      <c r="F25">
        <v>-2.4213362457685898E-2</v>
      </c>
      <c r="I25" s="7">
        <f t="shared" si="1"/>
        <v>35277</v>
      </c>
      <c r="J25">
        <f t="shared" si="2"/>
        <v>83.320926175869403</v>
      </c>
      <c r="K25">
        <f t="shared" si="3"/>
        <v>81.637512740241576</v>
      </c>
      <c r="L25">
        <f t="shared" si="4"/>
        <v>97.377787228165658</v>
      </c>
      <c r="M25">
        <f t="shared" si="5"/>
        <v>131.38820577283607</v>
      </c>
      <c r="N25">
        <f t="shared" si="6"/>
        <v>142.33027570788667</v>
      </c>
    </row>
    <row r="26" spans="1:14" x14ac:dyDescent="0.25">
      <c r="A26" s="1">
        <v>35308</v>
      </c>
      <c r="B26">
        <v>-7.95219789499024E-2</v>
      </c>
      <c r="C26">
        <v>-0.100142811603614</v>
      </c>
      <c r="D26">
        <v>-2.4221824586170601E-2</v>
      </c>
      <c r="E26">
        <v>-2.4623122587345801E-2</v>
      </c>
      <c r="F26">
        <v>1.20078167290033E-2</v>
      </c>
      <c r="I26" s="7">
        <f t="shared" si="1"/>
        <v>35308</v>
      </c>
      <c r="J26">
        <f t="shared" si="2"/>
        <v>76.695081238425544</v>
      </c>
      <c r="K26">
        <f t="shared" si="3"/>
        <v>73.462102682107925</v>
      </c>
      <c r="L26">
        <f t="shared" si="4"/>
        <v>95.019119547335578</v>
      </c>
      <c r="M26">
        <f t="shared" si="5"/>
        <v>128.15301787556012</v>
      </c>
      <c r="N26">
        <f t="shared" si="6"/>
        <v>144.03935157357546</v>
      </c>
    </row>
    <row r="27" spans="1:14" x14ac:dyDescent="0.25">
      <c r="A27" s="1">
        <v>35338</v>
      </c>
      <c r="B27">
        <v>-4.0447766848335197E-2</v>
      </c>
      <c r="C27">
        <v>-4.1798519212884702E-2</v>
      </c>
      <c r="D27">
        <v>-8.0110396110787394E-2</v>
      </c>
      <c r="E27">
        <v>-8.0110396110787394E-2</v>
      </c>
      <c r="F27">
        <v>2.9023966575422201E-2</v>
      </c>
      <c r="I27" s="7">
        <f t="shared" si="1"/>
        <v>35338</v>
      </c>
      <c r="J27">
        <f t="shared" si="2"/>
        <v>73.592936474079579</v>
      </c>
      <c r="K27">
        <f t="shared" si="3"/>
        <v>70.391495571730928</v>
      </c>
      <c r="L27">
        <f t="shared" si="4"/>
        <v>87.40710024230026</v>
      </c>
      <c r="M27">
        <f t="shared" si="5"/>
        <v>117.88662885075618</v>
      </c>
      <c r="N27">
        <f t="shared" si="6"/>
        <v>148.2199448991924</v>
      </c>
    </row>
    <row r="28" spans="1:14" x14ac:dyDescent="0.25">
      <c r="A28" s="1">
        <v>35369</v>
      </c>
      <c r="B28">
        <v>3.2633161103671697E-2</v>
      </c>
      <c r="C28">
        <v>-1.7271836434442099E-2</v>
      </c>
      <c r="D28">
        <v>-5.99570847202959E-2</v>
      </c>
      <c r="E28">
        <v>8.9237347768235005E-3</v>
      </c>
      <c r="F28">
        <v>2.6050669637304801E-2</v>
      </c>
      <c r="I28" s="7">
        <f t="shared" si="1"/>
        <v>35369</v>
      </c>
      <c r="J28">
        <f t="shared" si="2"/>
        <v>75.994506626130487</v>
      </c>
      <c r="K28">
        <f t="shared" si="3"/>
        <v>69.175705173840242</v>
      </c>
      <c r="L28">
        <f t="shared" si="4"/>
        <v>82.166425327917267</v>
      </c>
      <c r="M28">
        <f t="shared" si="5"/>
        <v>118.93861786035414</v>
      </c>
      <c r="N28">
        <f t="shared" si="6"/>
        <v>152.0811737174208</v>
      </c>
    </row>
    <row r="29" spans="1:14" x14ac:dyDescent="0.25">
      <c r="A29" s="1">
        <v>35399</v>
      </c>
      <c r="B29">
        <v>-1.52925621013051E-4</v>
      </c>
      <c r="C29">
        <v>-4.5236791770680899E-2</v>
      </c>
      <c r="D29">
        <v>-5.2996105500630802E-2</v>
      </c>
      <c r="E29">
        <v>-8.54140914327799E-3</v>
      </c>
      <c r="F29">
        <v>9.7700433359617297E-2</v>
      </c>
      <c r="I29" s="7">
        <f t="shared" si="1"/>
        <v>35399</v>
      </c>
      <c r="J29">
        <f t="shared" si="2"/>
        <v>75.982885119011101</v>
      </c>
      <c r="K29">
        <f t="shared" si="3"/>
        <v>66.046418203301215</v>
      </c>
      <c r="L29">
        <f t="shared" si="4"/>
        <v>77.811924782629262</v>
      </c>
      <c r="M29">
        <f t="shared" si="5"/>
        <v>117.92271446227288</v>
      </c>
      <c r="N29">
        <f t="shared" si="6"/>
        <v>166.93957029545203</v>
      </c>
    </row>
    <row r="30" spans="1:14" x14ac:dyDescent="0.25">
      <c r="A30" s="1">
        <v>35430</v>
      </c>
      <c r="B30">
        <v>-4.2267157288940101E-2</v>
      </c>
      <c r="C30">
        <v>1.44882236693019E-2</v>
      </c>
      <c r="D30">
        <v>3.5005507590255801E-2</v>
      </c>
      <c r="E30">
        <v>7.4272976130477605E-2</v>
      </c>
      <c r="F30">
        <v>-4.8218661551952501E-2</v>
      </c>
      <c r="I30" s="7">
        <f t="shared" si="1"/>
        <v>35430</v>
      </c>
      <c r="J30">
        <f t="shared" si="2"/>
        <v>72.771304562418393</v>
      </c>
      <c r="K30">
        <f t="shared" si="3"/>
        <v>67.003313482786893</v>
      </c>
      <c r="L30">
        <f t="shared" si="4"/>
        <v>80.535770706220006</v>
      </c>
      <c r="M30">
        <f t="shared" si="5"/>
        <v>126.68118541877041</v>
      </c>
      <c r="N30">
        <f t="shared" si="6"/>
        <v>158.88996765574723</v>
      </c>
    </row>
    <row r="31" spans="1:14" x14ac:dyDescent="0.25">
      <c r="A31" s="1">
        <v>35461</v>
      </c>
      <c r="B31">
        <v>9.8013982996603993E-2</v>
      </c>
      <c r="C31">
        <v>1.2520506936258899E-2</v>
      </c>
      <c r="D31">
        <v>1.1394665438615699E-2</v>
      </c>
      <c r="E31">
        <v>1.11389042982868E-2</v>
      </c>
      <c r="F31">
        <v>-4.2937853350224096E-3</v>
      </c>
      <c r="I31" s="7">
        <f t="shared" si="1"/>
        <v>35461</v>
      </c>
      <c r="J31">
        <f t="shared" si="2"/>
        <v>79.903909970439969</v>
      </c>
      <c r="K31">
        <f t="shared" si="3"/>
        <v>67.842228934000445</v>
      </c>
      <c r="L31">
        <f t="shared" si="4"/>
        <v>81.453448869258452</v>
      </c>
      <c r="M31">
        <f t="shared" si="5"/>
        <v>128.09227501954362</v>
      </c>
      <c r="N31">
        <f t="shared" si="6"/>
        <v>158.20772824274479</v>
      </c>
    </row>
    <row r="32" spans="1:14" x14ac:dyDescent="0.25">
      <c r="A32" s="1">
        <v>35489</v>
      </c>
      <c r="B32">
        <v>1.20813607176032E-2</v>
      </c>
      <c r="C32">
        <v>5.2202800344903003E-2</v>
      </c>
      <c r="D32">
        <v>9.7415937573489805E-2</v>
      </c>
      <c r="E32">
        <v>0.13565187895272901</v>
      </c>
      <c r="F32">
        <v>4.2067992140795402E-2</v>
      </c>
      <c r="I32" s="7">
        <f t="shared" si="1"/>
        <v>35489</v>
      </c>
      <c r="J32">
        <f t="shared" si="2"/>
        <v>80.869257929539742</v>
      </c>
      <c r="K32">
        <f t="shared" si="3"/>
        <v>71.383783265995277</v>
      </c>
      <c r="L32">
        <f t="shared" si="4"/>
        <v>89.388312959451568</v>
      </c>
      <c r="M32">
        <f t="shared" si="5"/>
        <v>145.46823280527443</v>
      </c>
      <c r="N32">
        <f t="shared" si="6"/>
        <v>164.86320971107367</v>
      </c>
    </row>
    <row r="33" spans="1:14" x14ac:dyDescent="0.25">
      <c r="A33" s="1">
        <v>35520</v>
      </c>
      <c r="B33">
        <v>2.4377440896924899E-2</v>
      </c>
      <c r="C33">
        <v>5.2884492710348001E-2</v>
      </c>
      <c r="D33">
        <v>7.7569712453892901E-3</v>
      </c>
      <c r="E33">
        <v>1.43509255441317E-2</v>
      </c>
      <c r="F33">
        <v>2.8200090504329402E-2</v>
      </c>
      <c r="I33" s="7">
        <f t="shared" si="1"/>
        <v>35520</v>
      </c>
      <c r="J33">
        <f t="shared" si="2"/>
        <v>82.840643485095271</v>
      </c>
      <c r="K33">
        <f t="shared" si="3"/>
        <v>75.158878431762872</v>
      </c>
      <c r="L33">
        <f t="shared" si="4"/>
        <v>90.081695532751894</v>
      </c>
      <c r="M33">
        <f t="shared" si="5"/>
        <v>147.55583658329934</v>
      </c>
      <c r="N33">
        <f t="shared" si="6"/>
        <v>169.51236714576018</v>
      </c>
    </row>
    <row r="34" spans="1:14" x14ac:dyDescent="0.25">
      <c r="A34" s="1">
        <v>35550</v>
      </c>
      <c r="B34">
        <v>9.1204806411943604E-2</v>
      </c>
      <c r="C34">
        <v>0.1163672432089</v>
      </c>
      <c r="D34">
        <v>7.6150892133643802E-2</v>
      </c>
      <c r="E34">
        <v>0.18252410687767001</v>
      </c>
      <c r="F34">
        <v>7.9543678053766803E-2</v>
      </c>
      <c r="I34" s="7">
        <f t="shared" si="1"/>
        <v>35550</v>
      </c>
      <c r="J34">
        <f t="shared" si="2"/>
        <v>90.396108337194221</v>
      </c>
      <c r="K34">
        <f t="shared" si="3"/>
        <v>83.904909917539968</v>
      </c>
      <c r="L34">
        <f t="shared" si="4"/>
        <v>96.94149701248223</v>
      </c>
      <c r="M34">
        <f t="shared" si="5"/>
        <v>174.48833387025346</v>
      </c>
      <c r="N34">
        <f t="shared" si="6"/>
        <v>182.99600430413446</v>
      </c>
    </row>
    <row r="35" spans="1:14" x14ac:dyDescent="0.25">
      <c r="A35" s="1">
        <v>35581</v>
      </c>
      <c r="B35">
        <v>6.4726362297727394E-2</v>
      </c>
      <c r="C35">
        <v>4.18268701070275E-2</v>
      </c>
      <c r="D35">
        <v>-3.3082960169664201E-2</v>
      </c>
      <c r="E35">
        <v>3.09205274490328E-2</v>
      </c>
      <c r="F35">
        <v>6.6579905326351E-3</v>
      </c>
      <c r="I35" s="7">
        <f t="shared" si="1"/>
        <v>35581</v>
      </c>
      <c r="J35">
        <f t="shared" si="2"/>
        <v>96.247119595732073</v>
      </c>
      <c r="K35">
        <f t="shared" si="3"/>
        <v>87.41438968600275</v>
      </c>
      <c r="L35">
        <f t="shared" si="4"/>
        <v>93.734385328030669</v>
      </c>
      <c r="M35">
        <f t="shared" si="5"/>
        <v>179.88360518722462</v>
      </c>
      <c r="N35">
        <f t="shared" si="6"/>
        <v>184.21438996830145</v>
      </c>
    </row>
    <row r="36" spans="1:14" x14ac:dyDescent="0.25">
      <c r="A36" s="1">
        <v>35611</v>
      </c>
      <c r="B36">
        <v>-0.14690426512701399</v>
      </c>
      <c r="C36">
        <v>-1.49730596488294E-2</v>
      </c>
      <c r="D36">
        <v>-0.13229405380037301</v>
      </c>
      <c r="E36">
        <v>-0.16562961425617101</v>
      </c>
      <c r="F36">
        <v>6.4338358706955298E-2</v>
      </c>
      <c r="I36" s="7">
        <f t="shared" si="1"/>
        <v>35611</v>
      </c>
      <c r="J36">
        <f t="shared" si="2"/>
        <v>82.108007220929224</v>
      </c>
      <c r="K36">
        <f t="shared" si="3"/>
        <v>86.105528815068212</v>
      </c>
      <c r="L36">
        <f t="shared" si="4"/>
        <v>81.333883512499284</v>
      </c>
      <c r="M36">
        <f t="shared" si="5"/>
        <v>150.08955304905524</v>
      </c>
      <c r="N36">
        <f t="shared" si="6"/>
        <v>196.06644146906496</v>
      </c>
    </row>
    <row r="37" spans="1:14" x14ac:dyDescent="0.25">
      <c r="A37" s="1">
        <v>35642</v>
      </c>
      <c r="B37">
        <v>-6.1331417940794997E-2</v>
      </c>
      <c r="C37">
        <v>4.4819378271964097E-2</v>
      </c>
      <c r="D37">
        <v>4.3847289005763103E-2</v>
      </c>
      <c r="E37">
        <v>-2.6995263838307099E-2</v>
      </c>
      <c r="F37">
        <v>9.6001759183936997E-2</v>
      </c>
      <c r="I37" s="7">
        <f t="shared" si="1"/>
        <v>35642</v>
      </c>
      <c r="J37">
        <f t="shared" si="2"/>
        <v>77.072206713776595</v>
      </c>
      <c r="K37">
        <f t="shared" si="3"/>
        <v>89.964725082338262</v>
      </c>
      <c r="L37">
        <f t="shared" si="4"/>
        <v>84.900153808832911</v>
      </c>
      <c r="M37">
        <f t="shared" si="5"/>
        <v>146.03784596512241</v>
      </c>
      <c r="N37">
        <f t="shared" si="6"/>
        <v>214.88916476702963</v>
      </c>
    </row>
    <row r="38" spans="1:14" x14ac:dyDescent="0.25">
      <c r="A38" s="1">
        <v>35673</v>
      </c>
      <c r="B38">
        <v>-7.2907168130711103E-2</v>
      </c>
      <c r="C38">
        <v>-0.121703703183345</v>
      </c>
      <c r="D38">
        <v>-6.3463227883230097E-2</v>
      </c>
      <c r="E38">
        <v>-0.112748201286282</v>
      </c>
      <c r="F38">
        <v>-0.14027594730654899</v>
      </c>
      <c r="I38" s="7">
        <f t="shared" si="1"/>
        <v>35673</v>
      </c>
      <c r="J38">
        <f t="shared" si="2"/>
        <v>71.453090380690369</v>
      </c>
      <c r="K38">
        <f t="shared" si="3"/>
        <v>79.015684883946136</v>
      </c>
      <c r="L38">
        <f t="shared" si="4"/>
        <v>79.512116000341663</v>
      </c>
      <c r="M38">
        <f t="shared" si="5"/>
        <v>129.57234151283174</v>
      </c>
      <c r="N38">
        <f t="shared" si="6"/>
        <v>184.74538361342144</v>
      </c>
    </row>
    <row r="39" spans="1:14" x14ac:dyDescent="0.25">
      <c r="A39" s="1">
        <v>35703</v>
      </c>
      <c r="B39">
        <v>3.57872349183549E-2</v>
      </c>
      <c r="C39">
        <v>2.3829771769881498E-2</v>
      </c>
      <c r="D39">
        <v>5.7893032847539903E-2</v>
      </c>
      <c r="E39">
        <v>6.8708687497611498E-2</v>
      </c>
      <c r="F39">
        <v>7.1392508161416804E-2</v>
      </c>
      <c r="I39" s="7">
        <f t="shared" si="1"/>
        <v>35703</v>
      </c>
      <c r="J39">
        <f t="shared" si="2"/>
        <v>74.010198911786588</v>
      </c>
      <c r="K39">
        <f t="shared" si="3"/>
        <v>80.898610620971439</v>
      </c>
      <c r="L39">
        <f t="shared" si="4"/>
        <v>84.115313543726856</v>
      </c>
      <c r="M39">
        <f t="shared" si="5"/>
        <v>138.47508703417068</v>
      </c>
      <c r="N39">
        <f t="shared" si="6"/>
        <v>197.93481992082673</v>
      </c>
    </row>
    <row r="40" spans="1:14" x14ac:dyDescent="0.25">
      <c r="A40" s="1">
        <v>35734</v>
      </c>
      <c r="B40">
        <v>0.11988861644920901</v>
      </c>
      <c r="C40">
        <v>2.5965709679890401E-2</v>
      </c>
      <c r="D40">
        <v>6.72489224044963E-2</v>
      </c>
      <c r="E40">
        <v>0.13321299790841501</v>
      </c>
      <c r="F40">
        <v>7.6875902773381105E-2</v>
      </c>
      <c r="I40" s="7">
        <f t="shared" si="1"/>
        <v>35734</v>
      </c>
      <c r="J40">
        <f t="shared" si="2"/>
        <v>82.883179262451435</v>
      </c>
      <c r="K40">
        <f t="shared" si="3"/>
        <v>82.999200457862088</v>
      </c>
      <c r="L40">
        <f t="shared" si="4"/>
        <v>89.771977737258823</v>
      </c>
      <c r="M40">
        <f t="shared" si="5"/>
        <v>156.92176851362123</v>
      </c>
      <c r="N40">
        <f t="shared" si="6"/>
        <v>213.15123789252692</v>
      </c>
    </row>
    <row r="41" spans="1:14" x14ac:dyDescent="0.25">
      <c r="A41" s="1">
        <v>35764</v>
      </c>
      <c r="B41">
        <v>-0.27221186465687103</v>
      </c>
      <c r="C41">
        <v>6.75621766680196E-2</v>
      </c>
      <c r="D41">
        <v>0.206956283246407</v>
      </c>
      <c r="E41">
        <v>6.9421400323114807E-2</v>
      </c>
      <c r="F41">
        <v>2.8204280118747501E-3</v>
      </c>
      <c r="I41" s="7">
        <f t="shared" si="1"/>
        <v>35764</v>
      </c>
      <c r="J41">
        <f t="shared" si="2"/>
        <v>60.32139448672983</v>
      </c>
      <c r="K41">
        <f t="shared" si="3"/>
        <v>88.606807102500539</v>
      </c>
      <c r="L41">
        <f t="shared" si="4"/>
        <v>108.35085258944109</v>
      </c>
      <c r="M41">
        <f t="shared" si="5"/>
        <v>167.81549742501647</v>
      </c>
      <c r="N41">
        <f t="shared" si="6"/>
        <v>213.75241561464478</v>
      </c>
    </row>
    <row r="42" spans="1:14" x14ac:dyDescent="0.25">
      <c r="A42" s="1">
        <v>35795</v>
      </c>
      <c r="B42">
        <v>-5.3004245017698598E-2</v>
      </c>
      <c r="C42">
        <v>2.7385145895547899E-2</v>
      </c>
      <c r="D42">
        <v>3.6739808812541699E-2</v>
      </c>
      <c r="E42">
        <v>2.96354669636982E-2</v>
      </c>
      <c r="F42">
        <v>3.5618605153280497E-2</v>
      </c>
      <c r="I42" s="7">
        <f t="shared" si="1"/>
        <v>35795</v>
      </c>
      <c r="J42">
        <f t="shared" si="2"/>
        <v>57.124104513545944</v>
      </c>
      <c r="K42">
        <f t="shared" si="3"/>
        <v>91.033317442341186</v>
      </c>
      <c r="L42">
        <f t="shared" si="4"/>
        <v>112.33164219825304</v>
      </c>
      <c r="M42">
        <f t="shared" si="5"/>
        <v>172.78878805495214</v>
      </c>
      <c r="N42">
        <f t="shared" si="6"/>
        <v>221.36597850698271</v>
      </c>
    </row>
    <row r="43" spans="1:14" x14ac:dyDescent="0.25">
      <c r="A43" s="1">
        <v>35826</v>
      </c>
      <c r="B43">
        <v>-8.2120847501349306E-2</v>
      </c>
      <c r="C43">
        <v>4.0842737273504903E-2</v>
      </c>
      <c r="D43">
        <v>-0.165176937258325</v>
      </c>
      <c r="E43">
        <v>-0.25970841839481801</v>
      </c>
      <c r="F43">
        <v>-0.16785071024593701</v>
      </c>
      <c r="I43" s="7">
        <f t="shared" si="1"/>
        <v>35826</v>
      </c>
      <c r="J43">
        <f t="shared" si="2"/>
        <v>52.433024638137901</v>
      </c>
      <c r="K43">
        <f t="shared" si="3"/>
        <v>94.751367309774309</v>
      </c>
      <c r="L43">
        <f t="shared" si="4"/>
        <v>93.77704558274759</v>
      </c>
      <c r="M43">
        <f t="shared" si="5"/>
        <v>127.9140851928431</v>
      </c>
      <c r="N43">
        <f t="shared" si="6"/>
        <v>184.20954179029883</v>
      </c>
    </row>
    <row r="44" spans="1:14" x14ac:dyDescent="0.25">
      <c r="A44" s="1">
        <v>35854</v>
      </c>
      <c r="B44">
        <v>8.4197669519013099E-2</v>
      </c>
      <c r="C44">
        <v>0.10769065117005</v>
      </c>
      <c r="D44">
        <v>0.12195383355457701</v>
      </c>
      <c r="E44">
        <v>5.9143644219243001E-2</v>
      </c>
      <c r="F44">
        <v>0.16272355073271799</v>
      </c>
      <c r="I44" s="7">
        <f t="shared" si="1"/>
        <v>35854</v>
      </c>
      <c r="J44">
        <f t="shared" si="2"/>
        <v>56.847763118502115</v>
      </c>
      <c r="K44">
        <f t="shared" si="3"/>
        <v>104.95520375461649</v>
      </c>
      <c r="L44">
        <f t="shared" si="4"/>
        <v>105.21351579098597</v>
      </c>
      <c r="M44">
        <f t="shared" si="5"/>
        <v>135.47939033811855</v>
      </c>
      <c r="N44">
        <f t="shared" si="6"/>
        <v>214.18477250926327</v>
      </c>
    </row>
    <row r="45" spans="1:14" x14ac:dyDescent="0.25">
      <c r="A45" s="1">
        <v>35885</v>
      </c>
      <c r="B45">
        <v>1.0603016693804699E-2</v>
      </c>
      <c r="C45">
        <v>-7.7168557748235403E-2</v>
      </c>
      <c r="D45">
        <v>-5.2816718202361203E-2</v>
      </c>
      <c r="E45">
        <v>-8.9701318292292095E-2</v>
      </c>
      <c r="F45">
        <v>-3.9432164580762999E-2</v>
      </c>
      <c r="I45" s="7">
        <f t="shared" si="1"/>
        <v>35885</v>
      </c>
      <c r="J45">
        <f t="shared" si="2"/>
        <v>57.450520899853046</v>
      </c>
      <c r="K45">
        <f t="shared" si="3"/>
        <v>96.855962052700562</v>
      </c>
      <c r="L45">
        <f t="shared" si="4"/>
        <v>99.656483176373783</v>
      </c>
      <c r="M45">
        <f t="shared" si="5"/>
        <v>123.32671042335329</v>
      </c>
      <c r="N45">
        <f t="shared" si="6"/>
        <v>205.73900330898471</v>
      </c>
    </row>
    <row r="46" spans="1:14" x14ac:dyDescent="0.25">
      <c r="A46" s="1">
        <v>35915</v>
      </c>
      <c r="B46">
        <v>0.114465721947508</v>
      </c>
      <c r="C46">
        <v>4.9537640759752997E-2</v>
      </c>
      <c r="D46">
        <v>5.3789240976251797E-2</v>
      </c>
      <c r="E46">
        <v>8.7012738443836807E-2</v>
      </c>
      <c r="F46">
        <v>4.16438338647327E-2</v>
      </c>
      <c r="I46" s="7">
        <f t="shared" si="1"/>
        <v>35915</v>
      </c>
      <c r="J46">
        <f t="shared" si="2"/>
        <v>64.026636250915118</v>
      </c>
      <c r="K46">
        <f t="shared" si="3"/>
        <v>101.6539779063075</v>
      </c>
      <c r="L46">
        <f t="shared" si="4"/>
        <v>105.01692976479353</v>
      </c>
      <c r="M46">
        <f t="shared" si="5"/>
        <v>134.05770522055934</v>
      </c>
      <c r="N46">
        <f t="shared" si="6"/>
        <v>214.30676418227975</v>
      </c>
    </row>
    <row r="47" spans="1:14" x14ac:dyDescent="0.25">
      <c r="A47" s="1">
        <v>35946</v>
      </c>
      <c r="B47">
        <v>-5.9123625217474898E-2</v>
      </c>
      <c r="C47">
        <v>3.1808469292675001E-2</v>
      </c>
      <c r="D47">
        <v>0.14848647722427599</v>
      </c>
      <c r="E47">
        <v>2.5641352607967401E-2</v>
      </c>
      <c r="F47">
        <v>2.0508601934212099E-3</v>
      </c>
      <c r="I47" s="7">
        <f t="shared" si="1"/>
        <v>35946</v>
      </c>
      <c r="J47">
        <f t="shared" si="2"/>
        <v>60.241149405280417</v>
      </c>
      <c r="K47">
        <f t="shared" si="3"/>
        <v>104.88743534101854</v>
      </c>
      <c r="L47">
        <f t="shared" si="4"/>
        <v>120.61052371447694</v>
      </c>
      <c r="M47">
        <f t="shared" si="5"/>
        <v>137.49512610993463</v>
      </c>
      <c r="N47">
        <f t="shared" si="6"/>
        <v>214.7462773941221</v>
      </c>
    </row>
    <row r="48" spans="1:14" x14ac:dyDescent="0.25">
      <c r="A48" s="1">
        <v>35976</v>
      </c>
      <c r="B48">
        <v>-5.1983123968715302E-2</v>
      </c>
      <c r="C48">
        <v>0.25633330401358601</v>
      </c>
      <c r="D48">
        <v>0.320663038813433</v>
      </c>
      <c r="E48">
        <v>-2.1494569922032102E-2</v>
      </c>
      <c r="F48">
        <v>6.7715384931708797E-2</v>
      </c>
      <c r="I48" s="7">
        <f t="shared" si="1"/>
        <v>35976</v>
      </c>
      <c r="J48">
        <f t="shared" si="2"/>
        <v>57.109626267727826</v>
      </c>
      <c r="K48">
        <f t="shared" si="3"/>
        <v>131.77357819149319</v>
      </c>
      <c r="L48">
        <f t="shared" si="4"/>
        <v>159.28586076164075</v>
      </c>
      <c r="M48">
        <f t="shared" si="5"/>
        <v>134.539727507826</v>
      </c>
      <c r="N48">
        <f t="shared" si="6"/>
        <v>229.28790423051657</v>
      </c>
    </row>
    <row r="49" spans="1:14" x14ac:dyDescent="0.25">
      <c r="A49" s="1">
        <v>36007</v>
      </c>
      <c r="B49">
        <v>-6.5836644457499094E-2</v>
      </c>
      <c r="C49">
        <v>-0.152014411035365</v>
      </c>
      <c r="D49">
        <v>-4.8051038253398598E-2</v>
      </c>
      <c r="E49">
        <v>-8.6011882268099998E-2</v>
      </c>
      <c r="F49">
        <v>5.2125420820050797E-2</v>
      </c>
      <c r="I49" s="7">
        <f t="shared" si="1"/>
        <v>36007</v>
      </c>
      <c r="J49">
        <f t="shared" si="2"/>
        <v>53.349720108038774</v>
      </c>
      <c r="K49">
        <f t="shared" si="3"/>
        <v>111.74209531269074</v>
      </c>
      <c r="L49">
        <f t="shared" si="4"/>
        <v>151.63200977295762</v>
      </c>
      <c r="M49">
        <f t="shared" si="5"/>
        <v>122.96771230504062</v>
      </c>
      <c r="N49">
        <f t="shared" si="6"/>
        <v>241.23963272747974</v>
      </c>
    </row>
    <row r="50" spans="1:14" x14ac:dyDescent="0.25">
      <c r="A50" s="1">
        <v>36038</v>
      </c>
      <c r="B50">
        <v>0.163822266994535</v>
      </c>
      <c r="C50">
        <v>0.12767037074642401</v>
      </c>
      <c r="D50">
        <v>7.0424867335594193E-2</v>
      </c>
      <c r="E50">
        <v>8.3356963323362399E-2</v>
      </c>
      <c r="F50">
        <v>-3.8881464920268401E-2</v>
      </c>
      <c r="I50" s="7">
        <f t="shared" si="1"/>
        <v>36038</v>
      </c>
      <c r="J50">
        <f t="shared" si="2"/>
        <v>62.089592199661617</v>
      </c>
      <c r="K50">
        <f t="shared" si="3"/>
        <v>126.00825004924421</v>
      </c>
      <c r="L50">
        <f t="shared" si="4"/>
        <v>162.31067394504768</v>
      </c>
      <c r="M50">
        <f t="shared" si="5"/>
        <v>133.21792738960968</v>
      </c>
      <c r="N50">
        <f t="shared" si="6"/>
        <v>231.8598824102078</v>
      </c>
    </row>
    <row r="51" spans="1:14" x14ac:dyDescent="0.25">
      <c r="A51" s="1">
        <v>36068</v>
      </c>
      <c r="B51">
        <v>0.16553850990320099</v>
      </c>
      <c r="C51">
        <v>8.7019872958947503E-2</v>
      </c>
      <c r="D51">
        <v>0.169775617483097</v>
      </c>
      <c r="E51">
        <v>4.3258094548807399E-2</v>
      </c>
      <c r="F51">
        <v>-3.99906843489533E-4</v>
      </c>
      <c r="I51" s="7">
        <f t="shared" si="1"/>
        <v>36068</v>
      </c>
      <c r="J51">
        <f t="shared" si="2"/>
        <v>72.367810772891005</v>
      </c>
      <c r="K51">
        <f t="shared" si="3"/>
        <v>136.97347196030873</v>
      </c>
      <c r="L51">
        <f t="shared" si="4"/>
        <v>189.86706883816581</v>
      </c>
      <c r="M51">
        <f t="shared" si="5"/>
        <v>138.98068108822559</v>
      </c>
      <c r="N51">
        <f t="shared" si="6"/>
        <v>231.76716005650127</v>
      </c>
    </row>
    <row r="52" spans="1:14" x14ac:dyDescent="0.25">
      <c r="A52" s="1">
        <v>36099</v>
      </c>
      <c r="B52">
        <v>0.160637013468589</v>
      </c>
      <c r="C52">
        <v>-0.106037712842088</v>
      </c>
      <c r="D52">
        <v>-0.10660812636957299</v>
      </c>
      <c r="E52">
        <v>-8.94778133719243E-2</v>
      </c>
      <c r="F52">
        <v>0.10481213032857099</v>
      </c>
      <c r="I52" s="7">
        <f t="shared" si="1"/>
        <v>36099</v>
      </c>
      <c r="J52">
        <f t="shared" si="2"/>
        <v>83.992759766708204</v>
      </c>
      <c r="K52">
        <f t="shared" si="3"/>
        <v>122.44911827359772</v>
      </c>
      <c r="L52">
        <f t="shared" si="4"/>
        <v>169.62569637004623</v>
      </c>
      <c r="M52">
        <f t="shared" si="5"/>
        <v>126.54499364351042</v>
      </c>
      <c r="N52">
        <f t="shared" si="6"/>
        <v>256.05916984222603</v>
      </c>
    </row>
    <row r="53" spans="1:14" x14ac:dyDescent="0.25">
      <c r="A53" s="1">
        <v>36129</v>
      </c>
      <c r="B53">
        <v>-0.32335794679591301</v>
      </c>
      <c r="C53">
        <v>-0.32988262493281301</v>
      </c>
      <c r="D53">
        <v>-0.25173732693347101</v>
      </c>
      <c r="E53">
        <v>-0.25691170232543198</v>
      </c>
      <c r="F53">
        <v>0.15627817554394999</v>
      </c>
      <c r="I53" s="7">
        <f t="shared" si="1"/>
        <v>36129</v>
      </c>
      <c r="J53">
        <f t="shared" si="2"/>
        <v>56.833033422823071</v>
      </c>
      <c r="K53">
        <f t="shared" si="3"/>
        <v>82.055281716794823</v>
      </c>
      <c r="L53">
        <f t="shared" si="4"/>
        <v>126.9245769866222</v>
      </c>
      <c r="M53">
        <f t="shared" si="5"/>
        <v>94.034103905795192</v>
      </c>
      <c r="N53">
        <f t="shared" si="6"/>
        <v>296.07562973646753</v>
      </c>
    </row>
    <row r="54" spans="1:14" x14ac:dyDescent="0.25">
      <c r="A54" s="1">
        <v>36160</v>
      </c>
      <c r="B54">
        <v>3.5685754226201698E-3</v>
      </c>
      <c r="C54">
        <v>0.23295489341675699</v>
      </c>
      <c r="D54">
        <v>0.21827477114809901</v>
      </c>
      <c r="E54">
        <v>0.22734112745965701</v>
      </c>
      <c r="F54">
        <v>0.25073497944811002</v>
      </c>
      <c r="I54" s="7">
        <f t="shared" si="1"/>
        <v>36160</v>
      </c>
      <c r="J54">
        <f t="shared" si="2"/>
        <v>57.035846389088711</v>
      </c>
      <c r="K54">
        <f t="shared" si="3"/>
        <v>101.17046112341272</v>
      </c>
      <c r="L54">
        <f t="shared" si="4"/>
        <v>154.62900998144644</v>
      </c>
      <c r="M54">
        <f t="shared" si="5"/>
        <v>115.41192310739721</v>
      </c>
      <c r="N54">
        <f t="shared" si="6"/>
        <v>370.31214667352691</v>
      </c>
    </row>
    <row r="55" spans="1:14" x14ac:dyDescent="0.25">
      <c r="A55" s="1">
        <v>36191</v>
      </c>
      <c r="B55">
        <v>-0.24035256434015501</v>
      </c>
      <c r="C55">
        <v>0.20301229432762</v>
      </c>
      <c r="D55">
        <v>0.253143673319351</v>
      </c>
      <c r="E55">
        <v>0.25077736329862299</v>
      </c>
      <c r="F55">
        <v>8.2395480521599198E-3</v>
      </c>
      <c r="I55" s="7">
        <f t="shared" si="1"/>
        <v>36191</v>
      </c>
      <c r="J55">
        <f t="shared" si="2"/>
        <v>43.327134450160074</v>
      </c>
      <c r="K55">
        <f t="shared" si="3"/>
        <v>121.70930855426002</v>
      </c>
      <c r="L55">
        <f t="shared" si="4"/>
        <v>193.77236556988439</v>
      </c>
      <c r="M55">
        <f t="shared" si="5"/>
        <v>144.35462087749372</v>
      </c>
      <c r="N55">
        <f t="shared" si="6"/>
        <v>373.36335140034197</v>
      </c>
    </row>
    <row r="56" spans="1:14" x14ac:dyDescent="0.25">
      <c r="A56" s="1">
        <v>36219</v>
      </c>
      <c r="B56">
        <v>-0.229722251419088</v>
      </c>
      <c r="C56">
        <v>-0.20894050073390599</v>
      </c>
      <c r="D56">
        <v>-0.22224616652868001</v>
      </c>
      <c r="E56">
        <v>-0.193154889113474</v>
      </c>
      <c r="F56">
        <v>-0.12201171870631999</v>
      </c>
      <c r="I56" s="7">
        <f t="shared" si="1"/>
        <v>36219</v>
      </c>
      <c r="J56">
        <f t="shared" si="2"/>
        <v>33.373927576731774</v>
      </c>
      <c r="K56">
        <f t="shared" si="3"/>
        <v>96.279304680955462</v>
      </c>
      <c r="L56">
        <f t="shared" si="4"/>
        <v>150.70720014278359</v>
      </c>
      <c r="M56">
        <f t="shared" si="5"/>
        <v>116.47182008888383</v>
      </c>
      <c r="N56">
        <f t="shared" si="6"/>
        <v>327.80864719403456</v>
      </c>
    </row>
    <row r="57" spans="1:14" x14ac:dyDescent="0.25">
      <c r="A57" s="1">
        <v>36250</v>
      </c>
      <c r="B57">
        <v>-0.37039956540341801</v>
      </c>
      <c r="C57">
        <v>-0.36376551553766001</v>
      </c>
      <c r="D57">
        <v>-0.46265565366251399</v>
      </c>
      <c r="E57">
        <v>-0.37204793351549598</v>
      </c>
      <c r="F57">
        <v>-0.234269243210975</v>
      </c>
      <c r="I57" s="7">
        <f t="shared" si="1"/>
        <v>36250</v>
      </c>
      <c r="J57">
        <f t="shared" si="2"/>
        <v>21.012239306505176</v>
      </c>
      <c r="K57">
        <f t="shared" si="3"/>
        <v>61.256213778080259</v>
      </c>
      <c r="L57">
        <f t="shared" si="4"/>
        <v>80.981661949076738</v>
      </c>
      <c r="M57">
        <f t="shared" si="5"/>
        <v>73.138720112025965</v>
      </c>
      <c r="N57">
        <f t="shared" si="6"/>
        <v>251.01316349787459</v>
      </c>
    </row>
    <row r="58" spans="1:14" x14ac:dyDescent="0.25">
      <c r="A58" s="1">
        <v>36280</v>
      </c>
      <c r="B58">
        <v>-7.6165678278512394E-2</v>
      </c>
      <c r="C58">
        <v>2.0363359140226699E-2</v>
      </c>
      <c r="D58">
        <v>-0.130680301272182</v>
      </c>
      <c r="E58">
        <v>-0.18851059299849701</v>
      </c>
      <c r="F58">
        <v>-0.18370147669193199</v>
      </c>
      <c r="I58" s="7">
        <f t="shared" si="1"/>
        <v>36280</v>
      </c>
      <c r="J58">
        <f t="shared" si="2"/>
        <v>19.411827847574791</v>
      </c>
      <c r="K58">
        <f t="shared" si="3"/>
        <v>62.50359605881382</v>
      </c>
      <c r="L58">
        <f t="shared" si="4"/>
        <v>70.398953968049398</v>
      </c>
      <c r="M58">
        <f t="shared" si="5"/>
        <v>59.351296612556851</v>
      </c>
      <c r="N58">
        <f t="shared" si="6"/>
        <v>204.90167469420166</v>
      </c>
    </row>
    <row r="59" spans="1:14" x14ac:dyDescent="0.25">
      <c r="A59" s="1">
        <v>36311</v>
      </c>
      <c r="B59">
        <v>-4.4533802729631901E-2</v>
      </c>
      <c r="C59">
        <v>1.27565756204455E-2</v>
      </c>
      <c r="D59">
        <v>4.8381749688648501E-3</v>
      </c>
      <c r="E59">
        <v>5.2663784508819797E-3</v>
      </c>
      <c r="F59">
        <v>3.7679163340887598E-2</v>
      </c>
      <c r="I59" s="7">
        <f t="shared" si="1"/>
        <v>36311</v>
      </c>
      <c r="J59">
        <f t="shared" si="2"/>
        <v>18.54734533558932</v>
      </c>
      <c r="K59">
        <f t="shared" si="3"/>
        <v>63.300927908487857</v>
      </c>
      <c r="L59">
        <f t="shared" si="4"/>
        <v>70.73955642497188</v>
      </c>
      <c r="M59">
        <f t="shared" si="5"/>
        <v>59.663863002069121</v>
      </c>
      <c r="N59">
        <f t="shared" si="6"/>
        <v>212.62219836382587</v>
      </c>
    </row>
    <row r="60" spans="1:14" x14ac:dyDescent="0.25">
      <c r="A60" s="1">
        <v>36341</v>
      </c>
      <c r="B60">
        <v>5.2710132859872701E-2</v>
      </c>
      <c r="C60">
        <v>0.169951203076982</v>
      </c>
      <c r="D60">
        <v>0.18944705106863299</v>
      </c>
      <c r="E60">
        <v>0.22866908980321601</v>
      </c>
      <c r="F60">
        <v>4.2120912924954797E-2</v>
      </c>
      <c r="I60" s="7">
        <f t="shared" si="1"/>
        <v>36341</v>
      </c>
      <c r="J60">
        <f t="shared" si="2"/>
        <v>19.524978372426173</v>
      </c>
      <c r="K60">
        <f t="shared" si="3"/>
        <v>74.058996762424684</v>
      </c>
      <c r="L60">
        <f t="shared" si="4"/>
        <v>84.140956783585978</v>
      </c>
      <c r="M60">
        <f t="shared" si="5"/>
        <v>73.307144248896037</v>
      </c>
      <c r="N60">
        <f t="shared" si="6"/>
        <v>221.57803946702109</v>
      </c>
    </row>
    <row r="61" spans="1:14" x14ac:dyDescent="0.25">
      <c r="A61" s="1">
        <v>36372</v>
      </c>
      <c r="B61">
        <v>3.19290300369129E-2</v>
      </c>
      <c r="C61">
        <v>4.5770460912646298E-2</v>
      </c>
      <c r="D61">
        <v>4.1280433592622602E-2</v>
      </c>
      <c r="E61">
        <v>3.7341525515061702E-2</v>
      </c>
      <c r="F61">
        <v>0.12769605377909701</v>
      </c>
      <c r="I61" s="7">
        <f t="shared" si="1"/>
        <v>36372</v>
      </c>
      <c r="J61">
        <f t="shared" si="2"/>
        <v>20.148391993349442</v>
      </c>
      <c r="K61">
        <f t="shared" si="3"/>
        <v>77.448711178969049</v>
      </c>
      <c r="L61">
        <f t="shared" si="4"/>
        <v>87.614331962510533</v>
      </c>
      <c r="M61">
        <f t="shared" si="5"/>
        <v>76.0445448463025</v>
      </c>
      <c r="N61">
        <f t="shared" si="6"/>
        <v>249.87268071106868</v>
      </c>
    </row>
    <row r="62" spans="1:14" x14ac:dyDescent="0.25">
      <c r="A62" s="1">
        <v>36403</v>
      </c>
      <c r="B62">
        <v>5.18223136958074E-2</v>
      </c>
      <c r="C62">
        <v>3.1423797373823299E-3</v>
      </c>
      <c r="D62">
        <v>-2.5069022142230001E-3</v>
      </c>
      <c r="E62">
        <v>9.3364574844418999E-2</v>
      </c>
      <c r="F62">
        <v>5.1073326493119499E-2</v>
      </c>
      <c r="I62" s="7">
        <f t="shared" si="1"/>
        <v>36403</v>
      </c>
      <c r="J62">
        <f t="shared" si="2"/>
        <v>21.192528283694891</v>
      </c>
      <c r="K62">
        <f t="shared" si="3"/>
        <v>77.692084439664228</v>
      </c>
      <c r="L62">
        <f t="shared" si="4"/>
        <v>87.394691399716052</v>
      </c>
      <c r="M62">
        <f t="shared" si="5"/>
        <v>83.144411445114883</v>
      </c>
      <c r="N62">
        <f t="shared" si="6"/>
        <v>262.63450971473611</v>
      </c>
    </row>
    <row r="63" spans="1:14" x14ac:dyDescent="0.25">
      <c r="A63" s="1">
        <v>36433</v>
      </c>
      <c r="B63">
        <v>-0.108972541140456</v>
      </c>
      <c r="C63">
        <v>-2.2990657553608601E-2</v>
      </c>
      <c r="D63">
        <v>-9.4357270346062394E-2</v>
      </c>
      <c r="E63">
        <v>-5.19990602525141E-2</v>
      </c>
      <c r="F63">
        <v>-5.2297544586652499E-2</v>
      </c>
      <c r="I63" s="7">
        <f t="shared" si="1"/>
        <v>36433</v>
      </c>
      <c r="J63">
        <f t="shared" si="2"/>
        <v>18.883124623429673</v>
      </c>
      <c r="K63">
        <f t="shared" si="3"/>
        <v>75.905892331685862</v>
      </c>
      <c r="L63">
        <f t="shared" si="4"/>
        <v>79.148366876502351</v>
      </c>
      <c r="M63">
        <f t="shared" si="5"/>
        <v>78.820980184720526</v>
      </c>
      <c r="N63">
        <f t="shared" si="6"/>
        <v>248.89936973293609</v>
      </c>
    </row>
    <row r="64" spans="1:14" x14ac:dyDescent="0.25">
      <c r="A64" s="1">
        <v>36464</v>
      </c>
      <c r="B64">
        <v>-4.5971881052059897E-2</v>
      </c>
      <c r="C64">
        <v>-2.5399315760069801E-2</v>
      </c>
      <c r="D64">
        <v>-6.19677373949361E-2</v>
      </c>
      <c r="E64">
        <v>-7.7065137472414294E-2</v>
      </c>
      <c r="F64">
        <v>-0.116434997028156</v>
      </c>
      <c r="I64" s="7">
        <f t="shared" si="1"/>
        <v>36464</v>
      </c>
      <c r="J64">
        <f t="shared" si="2"/>
        <v>18.015031864350142</v>
      </c>
      <c r="K64">
        <f t="shared" si="3"/>
        <v>73.977934604303513</v>
      </c>
      <c r="L64">
        <f t="shared" si="4"/>
        <v>74.243721662661187</v>
      </c>
      <c r="M64">
        <f t="shared" si="5"/>
        <v>72.746630511074599</v>
      </c>
      <c r="N64">
        <f t="shared" si="6"/>
        <v>219.91877235777179</v>
      </c>
    </row>
    <row r="65" spans="1:14" x14ac:dyDescent="0.25">
      <c r="A65" s="1">
        <v>36494</v>
      </c>
      <c r="B65">
        <v>-0.12863678069505999</v>
      </c>
      <c r="C65">
        <v>-1.8270850780134101E-2</v>
      </c>
      <c r="D65">
        <v>4.5361794267266199E-2</v>
      </c>
      <c r="E65">
        <v>4.0880731173354203E-2</v>
      </c>
      <c r="F65">
        <v>8.19589464102621E-3</v>
      </c>
      <c r="I65" s="7">
        <f t="shared" si="1"/>
        <v>36494</v>
      </c>
      <c r="J65">
        <f t="shared" si="2"/>
        <v>15.697636161201215</v>
      </c>
      <c r="K65">
        <f t="shared" si="3"/>
        <v>72.626294800125763</v>
      </c>
      <c r="L65">
        <f t="shared" si="4"/>
        <v>77.611550090359003</v>
      </c>
      <c r="M65">
        <f t="shared" si="5"/>
        <v>75.720565956765157</v>
      </c>
      <c r="N65">
        <f t="shared" si="6"/>
        <v>221.72120344559988</v>
      </c>
    </row>
    <row r="66" spans="1:14" x14ac:dyDescent="0.25">
      <c r="A66" s="1">
        <v>36525</v>
      </c>
      <c r="B66">
        <v>1.7130485483757198E-2</v>
      </c>
      <c r="C66">
        <v>-0.13477874650351299</v>
      </c>
      <c r="D66">
        <v>1.02146172245589E-2</v>
      </c>
      <c r="E66">
        <v>-2.1660233833953699E-2</v>
      </c>
      <c r="F66">
        <v>-4.4747985169310799E-3</v>
      </c>
      <c r="I66" s="7">
        <f t="shared" si="1"/>
        <v>36525</v>
      </c>
      <c r="J66">
        <f t="shared" si="2"/>
        <v>15.966544289589976</v>
      </c>
      <c r="K66">
        <f t="shared" si="3"/>
        <v>62.837813823770212</v>
      </c>
      <c r="L66">
        <f t="shared" si="4"/>
        <v>78.404322366736707</v>
      </c>
      <c r="M66">
        <f t="shared" si="5"/>
        <v>74.080440792102308</v>
      </c>
      <c r="N66">
        <f t="shared" si="6"/>
        <v>220.72904573324934</v>
      </c>
    </row>
    <row r="67" spans="1:14" x14ac:dyDescent="0.25">
      <c r="A67" s="1">
        <v>36556</v>
      </c>
      <c r="B67">
        <v>1.2871069667377E-2</v>
      </c>
      <c r="C67">
        <v>8.1103024013919695E-2</v>
      </c>
      <c r="D67">
        <v>-1.212238868947E-2</v>
      </c>
      <c r="E67">
        <v>-1.7294044008269598E-2</v>
      </c>
      <c r="F67">
        <v>-7.3891995961012605E-2</v>
      </c>
      <c r="I67" s="7">
        <f t="shared" ref="I67:I130" si="7">+A67</f>
        <v>36556</v>
      </c>
      <c r="J67">
        <f t="shared" ref="J67:J130" si="8">+J66*(1+B67)</f>
        <v>16.172050793488548</v>
      </c>
      <c r="K67">
        <f t="shared" ref="K67:K130" si="9">+K66*(1+C67)</f>
        <v>67.934150547301655</v>
      </c>
      <c r="L67">
        <f t="shared" ref="L67:L130" si="10">+L66*(1+D67)</f>
        <v>77.453874696072617</v>
      </c>
      <c r="M67">
        <f t="shared" ref="M67:M130" si="11">+M66*(1+E67)</f>
        <v>72.799290388891677</v>
      </c>
      <c r="N67">
        <f t="shared" ref="N67:N130" si="12">+N66*(1+F67)</f>
        <v>204.41893597744991</v>
      </c>
    </row>
    <row r="68" spans="1:14" x14ac:dyDescent="0.25">
      <c r="A68" s="1">
        <v>36585</v>
      </c>
      <c r="B68">
        <v>4.8345448632547902E-2</v>
      </c>
      <c r="C68">
        <v>0.133308858700353</v>
      </c>
      <c r="D68">
        <v>5.5634477331828601E-2</v>
      </c>
      <c r="E68">
        <v>9.1098895853262904E-3</v>
      </c>
      <c r="F68">
        <v>-3.3028978132942401E-2</v>
      </c>
      <c r="I68" s="7">
        <f t="shared" si="7"/>
        <v>36585</v>
      </c>
      <c r="J68">
        <f t="shared" si="8"/>
        <v>16.953895844408105</v>
      </c>
      <c r="K68">
        <f t="shared" si="9"/>
        <v>76.990374623540404</v>
      </c>
      <c r="L68">
        <f t="shared" si="10"/>
        <v>81.762980532113573</v>
      </c>
      <c r="M68">
        <f t="shared" si="11"/>
        <v>73.462483886224589</v>
      </c>
      <c r="N68">
        <f t="shared" si="12"/>
        <v>197.66718741109136</v>
      </c>
    </row>
    <row r="69" spans="1:14" x14ac:dyDescent="0.25">
      <c r="A69" s="1">
        <v>36616</v>
      </c>
      <c r="B69">
        <v>-4.9174099426356102E-2</v>
      </c>
      <c r="C69">
        <v>-0.103009201027967</v>
      </c>
      <c r="D69">
        <v>3.4723557008619801E-2</v>
      </c>
      <c r="E69">
        <v>4.8034273123002798E-2</v>
      </c>
      <c r="F69">
        <v>9.5630228208377799E-2</v>
      </c>
      <c r="I69" s="7">
        <f t="shared" si="7"/>
        <v>36616</v>
      </c>
      <c r="J69">
        <f t="shared" si="8"/>
        <v>16.120203284491097</v>
      </c>
      <c r="K69">
        <f t="shared" si="9"/>
        <v>69.05965764672564</v>
      </c>
      <c r="L69">
        <f t="shared" si="10"/>
        <v>84.602082047815088</v>
      </c>
      <c r="M69">
        <f t="shared" si="11"/>
        <v>76.9912009015097</v>
      </c>
      <c r="N69">
        <f t="shared" si="12"/>
        <v>216.57014565252223</v>
      </c>
    </row>
    <row r="70" spans="1:14" x14ac:dyDescent="0.25">
      <c r="A70" s="1">
        <v>36646</v>
      </c>
      <c r="B70">
        <v>-8.1467999084951601E-2</v>
      </c>
      <c r="C70">
        <v>-5.9642236686324297E-2</v>
      </c>
      <c r="D70">
        <v>-0.12092393891542599</v>
      </c>
      <c r="E70">
        <v>-0.12597514300806201</v>
      </c>
      <c r="F70">
        <v>-6.3123484402544006E-2</v>
      </c>
      <c r="I70" s="7">
        <f t="shared" si="7"/>
        <v>36646</v>
      </c>
      <c r="J70">
        <f t="shared" si="8"/>
        <v>14.806922578060943</v>
      </c>
      <c r="K70">
        <f t="shared" si="9"/>
        <v>64.940785199883109</v>
      </c>
      <c r="L70">
        <f t="shared" si="10"/>
        <v>74.371665046147243</v>
      </c>
      <c r="M70">
        <f t="shared" si="11"/>
        <v>67.292223357579587</v>
      </c>
      <c r="N70">
        <f t="shared" si="12"/>
        <v>202.89948344136855</v>
      </c>
    </row>
    <row r="71" spans="1:14" x14ac:dyDescent="0.25">
      <c r="A71" s="1">
        <v>36677</v>
      </c>
      <c r="B71">
        <v>0.16644674813452801</v>
      </c>
      <c r="C71">
        <v>2.0508204378300601E-2</v>
      </c>
      <c r="D71">
        <v>1.09810152529506E-2</v>
      </c>
      <c r="E71">
        <v>0.14966510407839601</v>
      </c>
      <c r="F71">
        <v>0.24635185866612799</v>
      </c>
      <c r="I71" s="7">
        <f t="shared" si="7"/>
        <v>36677</v>
      </c>
      <c r="J71">
        <f t="shared" si="8"/>
        <v>17.271486691058907</v>
      </c>
      <c r="K71">
        <f t="shared" si="9"/>
        <v>66.272604095249633</v>
      </c>
      <c r="L71">
        <f t="shared" si="10"/>
        <v>75.188341434406311</v>
      </c>
      <c r="M71">
        <f t="shared" si="11"/>
        <v>77.363520970058417</v>
      </c>
      <c r="N71">
        <f t="shared" si="12"/>
        <v>252.88414830954693</v>
      </c>
    </row>
    <row r="72" spans="1:14" x14ac:dyDescent="0.25">
      <c r="A72" s="1">
        <v>36707</v>
      </c>
      <c r="B72">
        <v>2.4372251178010299E-2</v>
      </c>
      <c r="C72">
        <v>7.5490015775588296E-2</v>
      </c>
      <c r="D72">
        <v>5.93390073288068E-2</v>
      </c>
      <c r="E72">
        <v>5.2738113009498801E-2</v>
      </c>
      <c r="F72">
        <v>-9.4849749786628204E-2</v>
      </c>
      <c r="I72" s="7">
        <f t="shared" si="7"/>
        <v>36707</v>
      </c>
      <c r="J72">
        <f t="shared" si="8"/>
        <v>17.692431702911055</v>
      </c>
      <c r="K72">
        <f t="shared" si="9"/>
        <v>71.275524023889346</v>
      </c>
      <c r="L72">
        <f t="shared" si="10"/>
        <v>79.649942977823372</v>
      </c>
      <c r="M72">
        <f t="shared" si="11"/>
        <v>81.443527081790094</v>
      </c>
      <c r="N72">
        <f t="shared" si="12"/>
        <v>228.89815011738182</v>
      </c>
    </row>
    <row r="73" spans="1:14" x14ac:dyDescent="0.25">
      <c r="A73" s="1">
        <v>36738</v>
      </c>
      <c r="B73">
        <v>-6.5497349304582703E-2</v>
      </c>
      <c r="C73">
        <v>2.37539377915824E-2</v>
      </c>
      <c r="D73">
        <v>-5.9762680653611303E-2</v>
      </c>
      <c r="E73">
        <v>-6.9424965597107702E-2</v>
      </c>
      <c r="F73">
        <v>0.142081529157322</v>
      </c>
      <c r="I73" s="7">
        <f t="shared" si="7"/>
        <v>36738</v>
      </c>
      <c r="J73">
        <f t="shared" si="8"/>
        <v>16.533624323618017</v>
      </c>
      <c r="K73">
        <f t="shared" si="9"/>
        <v>72.968598387615245</v>
      </c>
      <c r="L73">
        <f t="shared" si="10"/>
        <v>74.889848871561355</v>
      </c>
      <c r="M73">
        <f t="shared" si="11"/>
        <v>75.789313016029709</v>
      </c>
      <c r="N73">
        <f t="shared" si="12"/>
        <v>261.42034930734167</v>
      </c>
    </row>
    <row r="74" spans="1:14" x14ac:dyDescent="0.25">
      <c r="A74" s="1">
        <v>36769</v>
      </c>
      <c r="B74">
        <v>-0.17542136278159001</v>
      </c>
      <c r="C74">
        <v>-0.144808847272273</v>
      </c>
      <c r="D74">
        <v>-3.2477703315919697E-2</v>
      </c>
      <c r="E74">
        <v>-4.3677117528267903E-2</v>
      </c>
      <c r="F74">
        <v>2.8174384416818399E-2</v>
      </c>
      <c r="I74" s="7">
        <f t="shared" si="7"/>
        <v>36769</v>
      </c>
      <c r="J74">
        <f t="shared" si="8"/>
        <v>13.6332734130501</v>
      </c>
      <c r="K74">
        <f t="shared" si="9"/>
        <v>62.402099768031242</v>
      </c>
      <c r="L74">
        <f t="shared" si="10"/>
        <v>72.457598578536718</v>
      </c>
      <c r="M74">
        <f t="shared" si="11"/>
        <v>72.479054284041894</v>
      </c>
      <c r="N74">
        <f t="shared" si="12"/>
        <v>268.78570672310565</v>
      </c>
    </row>
    <row r="75" spans="1:14" x14ac:dyDescent="0.25">
      <c r="A75" s="1">
        <v>36799</v>
      </c>
      <c r="B75">
        <v>0.11367013871182299</v>
      </c>
      <c r="C75">
        <v>0.101978652438597</v>
      </c>
      <c r="D75">
        <v>7.7733600691823307E-2</v>
      </c>
      <c r="E75">
        <v>1.70532905954477E-2</v>
      </c>
      <c r="F75">
        <v>7.2450552686188496E-2</v>
      </c>
      <c r="I75" s="7">
        <f t="shared" si="7"/>
        <v>36799</v>
      </c>
      <c r="J75">
        <f t="shared" si="8"/>
        <v>15.182969493007715</v>
      </c>
      <c r="K75">
        <f t="shared" si="9"/>
        <v>68.765781811713964</v>
      </c>
      <c r="L75">
        <f t="shared" si="10"/>
        <v>78.089988613529115</v>
      </c>
      <c r="M75">
        <f t="shared" si="11"/>
        <v>73.715060658830893</v>
      </c>
      <c r="N75">
        <f t="shared" si="12"/>
        <v>288.25937972934241</v>
      </c>
    </row>
    <row r="76" spans="1:14" x14ac:dyDescent="0.25">
      <c r="A76" s="1">
        <v>36830</v>
      </c>
      <c r="B76">
        <v>-1.6919648286686899E-2</v>
      </c>
      <c r="C76">
        <v>2.1911060971583199E-2</v>
      </c>
      <c r="D76">
        <v>-8.6201127118687507E-2</v>
      </c>
      <c r="E76">
        <v>-7.14816694880826E-2</v>
      </c>
      <c r="F76">
        <v>-9.4567661994310603E-2</v>
      </c>
      <c r="I76" s="7">
        <f t="shared" si="7"/>
        <v>36830</v>
      </c>
      <c r="J76">
        <f t="shared" si="8"/>
        <v>14.926078989238528</v>
      </c>
      <c r="K76">
        <f t="shared" si="9"/>
        <v>70.272513049749008</v>
      </c>
      <c r="L76">
        <f t="shared" si="10"/>
        <v>71.358543578357427</v>
      </c>
      <c r="M76">
        <f t="shared" si="11"/>
        <v>68.445785056522382</v>
      </c>
      <c r="N76">
        <f t="shared" si="12"/>
        <v>260.99936414040837</v>
      </c>
    </row>
    <row r="77" spans="1:14" x14ac:dyDescent="0.25">
      <c r="A77" s="1">
        <v>36860</v>
      </c>
      <c r="B77">
        <v>3.6374862489423503E-2</v>
      </c>
      <c r="C77">
        <v>4.9163354717900197E-2</v>
      </c>
      <c r="D77">
        <v>2.8380441213657299E-4</v>
      </c>
      <c r="E77">
        <v>-4.7134190050871199E-3</v>
      </c>
      <c r="F77">
        <v>-2.6382294810481599E-2</v>
      </c>
      <c r="I77" s="7">
        <f t="shared" si="7"/>
        <v>36860</v>
      </c>
      <c r="J77">
        <f t="shared" si="8"/>
        <v>15.469013059978353</v>
      </c>
      <c r="K77">
        <f t="shared" si="9"/>
        <v>73.727345535732098</v>
      </c>
      <c r="L77">
        <f t="shared" si="10"/>
        <v>71.378795447868598</v>
      </c>
      <c r="M77">
        <f t="shared" si="11"/>
        <v>68.123171392418854</v>
      </c>
      <c r="N77">
        <f t="shared" si="12"/>
        <v>254.11360197030788</v>
      </c>
    </row>
    <row r="78" spans="1:14" x14ac:dyDescent="0.25">
      <c r="A78" s="1">
        <v>36891</v>
      </c>
      <c r="B78">
        <v>-3.9503767997649E-2</v>
      </c>
      <c r="C78">
        <v>-3.1548093416100598E-2</v>
      </c>
      <c r="D78">
        <v>-4.7831397777271904E-3</v>
      </c>
      <c r="E78">
        <v>4.3842004251435996E-3</v>
      </c>
      <c r="F78">
        <v>5.0320712807614E-2</v>
      </c>
      <c r="I78" s="7">
        <f t="shared" si="7"/>
        <v>36891</v>
      </c>
      <c r="J78">
        <f t="shared" si="8"/>
        <v>14.857928756904366</v>
      </c>
      <c r="K78">
        <f t="shared" si="9"/>
        <v>71.401388351449697</v>
      </c>
      <c r="L78">
        <f t="shared" si="10"/>
        <v>71.037380692075644</v>
      </c>
      <c r="M78">
        <f t="shared" si="11"/>
        <v>68.421837029399626</v>
      </c>
      <c r="N78">
        <f t="shared" si="12"/>
        <v>266.9007795555641</v>
      </c>
    </row>
    <row r="79" spans="1:14" x14ac:dyDescent="0.25">
      <c r="A79" s="1">
        <v>36922</v>
      </c>
      <c r="B79">
        <v>2.16737216595859E-2</v>
      </c>
      <c r="C79">
        <v>-1.77458651171605E-2</v>
      </c>
      <c r="D79">
        <v>-0.111099840430504</v>
      </c>
      <c r="E79">
        <v>-9.5947521844868197E-2</v>
      </c>
      <c r="F79">
        <v>-0.24276607555094301</v>
      </c>
      <c r="I79" s="7">
        <f t="shared" si="7"/>
        <v>36922</v>
      </c>
      <c r="J79">
        <f t="shared" si="8"/>
        <v>15.179955369219469</v>
      </c>
      <c r="K79">
        <f t="shared" si="9"/>
        <v>70.134308944586877</v>
      </c>
      <c r="L79">
        <f t="shared" si="10"/>
        <v>63.145139032585071</v>
      </c>
      <c r="M79">
        <f t="shared" si="11"/>
        <v>61.856931326355294</v>
      </c>
      <c r="N79">
        <f t="shared" si="12"/>
        <v>202.10632474137245</v>
      </c>
    </row>
    <row r="80" spans="1:14" x14ac:dyDescent="0.25">
      <c r="A80" s="1">
        <v>36950</v>
      </c>
      <c r="B80">
        <v>-1.9308872510719801E-2</v>
      </c>
      <c r="C80">
        <v>0.117997876288936</v>
      </c>
      <c r="D80">
        <v>6.7733598581009802E-2</v>
      </c>
      <c r="E80">
        <v>7.2613060804417595E-2</v>
      </c>
      <c r="F80">
        <v>-5.8065824755580503E-2</v>
      </c>
      <c r="I80" s="7">
        <f t="shared" si="7"/>
        <v>36950</v>
      </c>
      <c r="J80">
        <f t="shared" si="8"/>
        <v>14.886847546276794</v>
      </c>
      <c r="K80">
        <f t="shared" si="9"/>
        <v>78.410008455040256</v>
      </c>
      <c r="L80">
        <f t="shared" si="10"/>
        <v>67.422186532160239</v>
      </c>
      <c r="M80">
        <f t="shared" si="11"/>
        <v>66.348552441930607</v>
      </c>
      <c r="N80">
        <f t="shared" si="12"/>
        <v>190.37085430694546</v>
      </c>
    </row>
    <row r="81" spans="1:14" x14ac:dyDescent="0.25">
      <c r="A81" s="1">
        <v>36981</v>
      </c>
      <c r="B81">
        <v>-3.2157903727697702E-2</v>
      </c>
      <c r="C81">
        <v>4.5295055058222899E-3</v>
      </c>
      <c r="D81">
        <v>7.0291812505197004E-2</v>
      </c>
      <c r="E81">
        <v>0.15990429867324299</v>
      </c>
      <c r="F81">
        <v>8.3287608589539597E-2</v>
      </c>
      <c r="I81" s="7">
        <f t="shared" si="7"/>
        <v>36981</v>
      </c>
      <c r="J81">
        <f t="shared" si="8"/>
        <v>14.408117736074713</v>
      </c>
      <c r="K81">
        <f t="shared" si="9"/>
        <v>78.765167020048935</v>
      </c>
      <c r="L81">
        <f t="shared" si="10"/>
        <v>72.161414226569264</v>
      </c>
      <c r="M81">
        <f t="shared" si="11"/>
        <v>76.957971188142409</v>
      </c>
      <c r="N81">
        <f t="shared" si="12"/>
        <v>206.22638750731861</v>
      </c>
    </row>
    <row r="82" spans="1:14" x14ac:dyDescent="0.25">
      <c r="A82" s="1">
        <v>37011</v>
      </c>
      <c r="B82">
        <v>1.81255310648251E-2</v>
      </c>
      <c r="C82">
        <v>0.119609774348341</v>
      </c>
      <c r="D82">
        <v>-8.7503515051137196E-2</v>
      </c>
      <c r="E82">
        <v>-0.117382817370581</v>
      </c>
      <c r="F82">
        <v>-5.07809025961466E-2</v>
      </c>
      <c r="I82" s="7">
        <f t="shared" si="7"/>
        <v>37011</v>
      </c>
      <c r="J82">
        <f t="shared" si="8"/>
        <v>14.669272521685594</v>
      </c>
      <c r="K82">
        <f t="shared" si="9"/>
        <v>88.186250873826381</v>
      </c>
      <c r="L82">
        <f t="shared" si="10"/>
        <v>65.847036830683322</v>
      </c>
      <c r="M82">
        <f t="shared" si="11"/>
        <v>67.924427710954262</v>
      </c>
      <c r="N82">
        <f t="shared" si="12"/>
        <v>195.75402541055428</v>
      </c>
    </row>
    <row r="83" spans="1:14" x14ac:dyDescent="0.25">
      <c r="A83" s="1">
        <v>37042</v>
      </c>
      <c r="B83">
        <v>7.1118003659232806E-2</v>
      </c>
      <c r="C83">
        <v>-4.5982586084582699E-3</v>
      </c>
      <c r="D83">
        <v>-9.7160190625225004E-3</v>
      </c>
      <c r="E83">
        <v>-3.65981807456124E-3</v>
      </c>
      <c r="F83">
        <v>-8.5410452861903199E-2</v>
      </c>
      <c r="I83" s="7">
        <f t="shared" si="7"/>
        <v>37042</v>
      </c>
      <c r="J83">
        <f t="shared" si="8"/>
        <v>15.712521898561112</v>
      </c>
      <c r="K83">
        <f t="shared" si="9"/>
        <v>87.780747686598147</v>
      </c>
      <c r="L83">
        <f t="shared" si="10"/>
        <v>65.207265765625777</v>
      </c>
      <c r="M83">
        <f t="shared" si="11"/>
        <v>67.675836662713479</v>
      </c>
      <c r="N83">
        <f t="shared" si="12"/>
        <v>179.03458545069833</v>
      </c>
    </row>
    <row r="84" spans="1:14" x14ac:dyDescent="0.25">
      <c r="A84" s="1">
        <v>37072</v>
      </c>
      <c r="B84">
        <v>0.118833171391218</v>
      </c>
      <c r="C84">
        <v>0.14079951317845199</v>
      </c>
      <c r="D84">
        <v>0.17238004256221301</v>
      </c>
      <c r="E84">
        <v>0.13831723860050499</v>
      </c>
      <c r="F84">
        <v>0.10540168846178199</v>
      </c>
      <c r="I84" s="7">
        <f t="shared" si="7"/>
        <v>37072</v>
      </c>
      <c r="J84">
        <f t="shared" si="8"/>
        <v>17.579690706321092</v>
      </c>
      <c r="K84">
        <f t="shared" si="9"/>
        <v>100.14023422731169</v>
      </c>
      <c r="L84">
        <f t="shared" si="10"/>
        <v>76.447697013669881</v>
      </c>
      <c r="M84">
        <f t="shared" si="11"/>
        <v>77.036571509878826</v>
      </c>
      <c r="N84">
        <f t="shared" si="12"/>
        <v>197.90513305025709</v>
      </c>
    </row>
    <row r="85" spans="1:14" x14ac:dyDescent="0.25">
      <c r="A85" s="1">
        <v>37103</v>
      </c>
      <c r="B85">
        <v>-5.67297950252382E-2</v>
      </c>
      <c r="C85">
        <v>4.2884365006838898E-2</v>
      </c>
      <c r="D85">
        <v>6.9353024463723999E-3</v>
      </c>
      <c r="E85">
        <v>2.42045181150948E-2</v>
      </c>
      <c r="F85">
        <v>-8.1516657763220004E-3</v>
      </c>
      <c r="I85" s="7">
        <f t="shared" si="7"/>
        <v>37103</v>
      </c>
      <c r="J85">
        <f t="shared" si="8"/>
        <v>16.582398455944411</v>
      </c>
      <c r="K85">
        <f t="shared" si="9"/>
        <v>104.43468458378607</v>
      </c>
      <c r="L85">
        <f t="shared" si="10"/>
        <v>76.977884913788316</v>
      </c>
      <c r="M85">
        <f t="shared" si="11"/>
        <v>78.901204600514475</v>
      </c>
      <c r="N85">
        <f t="shared" si="12"/>
        <v>196.29187655021286</v>
      </c>
    </row>
    <row r="86" spans="1:14" x14ac:dyDescent="0.25">
      <c r="A86" s="1">
        <v>37134</v>
      </c>
      <c r="B86">
        <v>1.71974273229192E-2</v>
      </c>
      <c r="C86">
        <v>-4.7088288738546799E-2</v>
      </c>
      <c r="D86">
        <v>-2.78702112528579E-2</v>
      </c>
      <c r="E86">
        <v>6.4242514099395007E-2</v>
      </c>
      <c r="F86">
        <v>7.3700277890035804E-2</v>
      </c>
      <c r="I86" s="7">
        <f t="shared" si="7"/>
        <v>37134</v>
      </c>
      <c r="J86">
        <f t="shared" si="8"/>
        <v>16.867573048230202</v>
      </c>
      <c r="K86">
        <f t="shared" si="9"/>
        <v>99.517034001785689</v>
      </c>
      <c r="L86">
        <f t="shared" si="10"/>
        <v>74.832494999442844</v>
      </c>
      <c r="M86">
        <f t="shared" si="11"/>
        <v>83.970016349522268</v>
      </c>
      <c r="N86">
        <f t="shared" si="12"/>
        <v>210.75864239952014</v>
      </c>
    </row>
    <row r="87" spans="1:14" x14ac:dyDescent="0.25">
      <c r="A87" s="1">
        <v>37164</v>
      </c>
      <c r="B87">
        <v>3.7677160768266403E-2</v>
      </c>
      <c r="C87">
        <v>1.5667458430712801E-2</v>
      </c>
      <c r="D87">
        <v>-7.6630728291182098E-3</v>
      </c>
      <c r="E87">
        <v>0.10801447443673801</v>
      </c>
      <c r="F87">
        <v>-1.3545712377214201E-2</v>
      </c>
      <c r="I87" s="7">
        <f t="shared" si="7"/>
        <v>37164</v>
      </c>
      <c r="J87">
        <f t="shared" si="8"/>
        <v>17.50309530973885</v>
      </c>
      <c r="K87">
        <f t="shared" si="9"/>
        <v>101.0762129951565</v>
      </c>
      <c r="L87">
        <f t="shared" si="10"/>
        <v>74.2590481402775</v>
      </c>
      <c r="M87">
        <f t="shared" si="11"/>
        <v>93.039993533960214</v>
      </c>
      <c r="N87">
        <f t="shared" si="12"/>
        <v>207.90376644856408</v>
      </c>
    </row>
    <row r="88" spans="1:14" x14ac:dyDescent="0.25">
      <c r="A88" s="1">
        <v>37195</v>
      </c>
      <c r="B88">
        <v>-7.3265799182070698E-2</v>
      </c>
      <c r="C88">
        <v>-0.100519309856241</v>
      </c>
      <c r="D88">
        <v>-4.3310671192230102E-2</v>
      </c>
      <c r="E88">
        <v>-1.9187776833307999E-2</v>
      </c>
      <c r="F88">
        <v>0.10518177756057</v>
      </c>
      <c r="I88" s="7">
        <f t="shared" si="7"/>
        <v>37195</v>
      </c>
      <c r="J88">
        <f t="shared" si="8"/>
        <v>16.220717043710881</v>
      </c>
      <c r="K88">
        <f t="shared" si="9"/>
        <v>90.91610182200094</v>
      </c>
      <c r="L88">
        <f t="shared" si="10"/>
        <v>71.042838923225958</v>
      </c>
      <c r="M88">
        <f t="shared" si="11"/>
        <v>91.254762901458164</v>
      </c>
      <c r="N88">
        <f t="shared" si="12"/>
        <v>229.77145416516163</v>
      </c>
    </row>
    <row r="89" spans="1:14" x14ac:dyDescent="0.25">
      <c r="A89" s="1">
        <v>37225</v>
      </c>
      <c r="B89">
        <v>-9.6760582526533995E-2</v>
      </c>
      <c r="C89">
        <v>-1.8846888694838599E-2</v>
      </c>
      <c r="D89">
        <v>-0.134793077311472</v>
      </c>
      <c r="E89">
        <v>-0.11964534091428</v>
      </c>
      <c r="F89">
        <v>-8.9060350419877699E-2</v>
      </c>
      <c r="I89" s="7">
        <f t="shared" si="7"/>
        <v>37225</v>
      </c>
      <c r="J89">
        <f t="shared" si="8"/>
        <v>14.651191013563338</v>
      </c>
      <c r="K89">
        <f t="shared" si="9"/>
        <v>89.202616170393071</v>
      </c>
      <c r="L89">
        <f t="shared" si="10"/>
        <v>61.466756043821107</v>
      </c>
      <c r="M89">
        <f t="shared" si="11"/>
        <v>80.336555684061409</v>
      </c>
      <c r="N89">
        <f t="shared" si="12"/>
        <v>209.30792794072747</v>
      </c>
    </row>
    <row r="90" spans="1:14" x14ac:dyDescent="0.25">
      <c r="A90" s="1">
        <v>37256</v>
      </c>
      <c r="B90">
        <v>-7.6416361929805797E-3</v>
      </c>
      <c r="C90">
        <v>4.8325139542588498E-2</v>
      </c>
      <c r="D90">
        <v>6.5446781425245695E-2</v>
      </c>
      <c r="E90">
        <v>0.106225511486727</v>
      </c>
      <c r="F90">
        <v>4.8782170195349903E-2</v>
      </c>
      <c r="I90" s="7">
        <f t="shared" si="7"/>
        <v>37256</v>
      </c>
      <c r="J90">
        <f t="shared" si="8"/>
        <v>14.539231942043822</v>
      </c>
      <c r="K90">
        <f t="shared" si="9"/>
        <v>93.513345044391286</v>
      </c>
      <c r="L90">
        <f t="shared" si="10"/>
        <v>65.489557391539975</v>
      </c>
      <c r="M90">
        <f t="shared" si="11"/>
        <v>88.870347402682754</v>
      </c>
      <c r="N90">
        <f t="shared" si="12"/>
        <v>219.51842290476807</v>
      </c>
    </row>
    <row r="91" spans="1:14" x14ac:dyDescent="0.25">
      <c r="A91" s="1">
        <v>37287</v>
      </c>
      <c r="B91">
        <v>-8.4670481724165095E-2</v>
      </c>
      <c r="C91">
        <v>-2.4097905524352401E-2</v>
      </c>
      <c r="D91">
        <v>-2.42190502423861E-2</v>
      </c>
      <c r="E91">
        <v>5.1000233994208499E-2</v>
      </c>
      <c r="F91">
        <v>1.09326754198614E-2</v>
      </c>
      <c r="I91" s="7">
        <f t="shared" si="7"/>
        <v>37287</v>
      </c>
      <c r="J91">
        <f t="shared" si="8"/>
        <v>13.308188169611602</v>
      </c>
      <c r="K91">
        <f t="shared" si="9"/>
        <v>91.259869290245376</v>
      </c>
      <c r="L91">
        <f t="shared" si="10"/>
        <v>63.90346251072264</v>
      </c>
      <c r="M91">
        <f t="shared" si="11"/>
        <v>93.402755915366185</v>
      </c>
      <c r="N91">
        <f t="shared" si="12"/>
        <v>221.91834657106574</v>
      </c>
    </row>
    <row r="92" spans="1:14" x14ac:dyDescent="0.25">
      <c r="A92" s="1">
        <v>37315</v>
      </c>
      <c r="B92">
        <v>9.8467519272874601E-2</v>
      </c>
      <c r="C92">
        <v>6.8334446363095103E-2</v>
      </c>
      <c r="D92">
        <v>7.9571714434258603E-2</v>
      </c>
      <c r="E92">
        <v>7.7041299797399501E-2</v>
      </c>
      <c r="F92">
        <v>4.7154753263997998E-2</v>
      </c>
      <c r="I92" s="7">
        <f t="shared" si="7"/>
        <v>37315</v>
      </c>
      <c r="J92">
        <f t="shared" si="8"/>
        <v>14.618612444689875</v>
      </c>
      <c r="K92">
        <f t="shared" si="9"/>
        <v>97.496061933362711</v>
      </c>
      <c r="L92">
        <f t="shared" si="10"/>
        <v>68.988370580986214</v>
      </c>
      <c r="M92">
        <f t="shared" si="11"/>
        <v>100.59862563574524</v>
      </c>
      <c r="N92">
        <f t="shared" si="12"/>
        <v>232.38285144837874</v>
      </c>
    </row>
    <row r="93" spans="1:14" x14ac:dyDescent="0.25">
      <c r="A93" s="1">
        <v>37346</v>
      </c>
      <c r="B93">
        <v>-2.1201196527224499E-2</v>
      </c>
      <c r="C93">
        <v>7.63454920389358E-2</v>
      </c>
      <c r="D93">
        <v>5.40667117035337E-2</v>
      </c>
      <c r="E93">
        <v>7.0080376638756006E-2</v>
      </c>
      <c r="F93">
        <v>3.52822652989788E-2</v>
      </c>
      <c r="I93" s="7">
        <f t="shared" si="7"/>
        <v>37346</v>
      </c>
      <c r="J93">
        <f t="shared" si="8"/>
        <v>14.308680369294676</v>
      </c>
      <c r="K93">
        <f t="shared" si="9"/>
        <v>104.93944675352384</v>
      </c>
      <c r="L93">
        <f t="shared" si="10"/>
        <v>72.718344924084931</v>
      </c>
      <c r="M93">
        <f t="shared" si="11"/>
        <v>107.64861520963949</v>
      </c>
      <c r="N93">
        <f t="shared" si="12"/>
        <v>240.58184486411363</v>
      </c>
    </row>
    <row r="94" spans="1:14" x14ac:dyDescent="0.25">
      <c r="A94" s="1">
        <v>37376</v>
      </c>
      <c r="B94">
        <v>0.104749676677868</v>
      </c>
      <c r="C94">
        <v>0.13799904283699099</v>
      </c>
      <c r="D94">
        <v>7.9120413401508799E-2</v>
      </c>
      <c r="E94">
        <v>-4.9089263506652903E-3</v>
      </c>
      <c r="F94">
        <v>7.6403010492178694E-2</v>
      </c>
      <c r="I94" s="7">
        <f t="shared" si="7"/>
        <v>37376</v>
      </c>
      <c r="J94">
        <f t="shared" si="8"/>
        <v>15.807510011665249</v>
      </c>
      <c r="K94">
        <f t="shared" si="9"/>
        <v>119.42098996135351</v>
      </c>
      <c r="L94">
        <f t="shared" si="10"/>
        <v>78.471850436352042</v>
      </c>
      <c r="M94">
        <f t="shared" si="11"/>
        <v>107.12017608582426</v>
      </c>
      <c r="N94">
        <f t="shared" si="12"/>
        <v>258.96302208149422</v>
      </c>
    </row>
    <row r="95" spans="1:14" x14ac:dyDescent="0.25">
      <c r="A95" s="1">
        <v>37407</v>
      </c>
      <c r="B95">
        <v>-6.6544854242337803E-2</v>
      </c>
      <c r="C95">
        <v>-6.87917070849942E-2</v>
      </c>
      <c r="D95">
        <v>-1.4216280527306E-2</v>
      </c>
      <c r="E95">
        <v>-0.11016348371955501</v>
      </c>
      <c r="F95">
        <v>-1.05434578395347E-2</v>
      </c>
      <c r="I95" s="7">
        <f t="shared" si="7"/>
        <v>37407</v>
      </c>
      <c r="J95">
        <f t="shared" si="8"/>
        <v>14.755601562004689</v>
      </c>
      <c r="K95">
        <f t="shared" si="9"/>
        <v>111.20581620013205</v>
      </c>
      <c r="L95">
        <f t="shared" si="10"/>
        <v>77.356272597052069</v>
      </c>
      <c r="M95">
        <f t="shared" si="11"/>
        <v>95.319444311557689</v>
      </c>
      <c r="N95">
        <f t="shared" si="12"/>
        <v>256.23265637617948</v>
      </c>
    </row>
    <row r="96" spans="1:14" x14ac:dyDescent="0.25">
      <c r="A96" s="1">
        <v>37437</v>
      </c>
      <c r="B96">
        <v>-2.8132744697195199E-2</v>
      </c>
      <c r="C96">
        <v>1.1360447419939399E-3</v>
      </c>
      <c r="D96">
        <v>-5.2134121009651702E-2</v>
      </c>
      <c r="E96">
        <v>-8.6736740055526201E-2</v>
      </c>
      <c r="F96">
        <v>-4.7799105829806697E-2</v>
      </c>
      <c r="I96" s="7">
        <f t="shared" si="7"/>
        <v>37437</v>
      </c>
      <c r="J96">
        <f t="shared" si="8"/>
        <v>14.340485990407275</v>
      </c>
      <c r="K96">
        <f t="shared" si="9"/>
        <v>111.33215098290535</v>
      </c>
      <c r="L96">
        <f t="shared" si="10"/>
        <v>73.323371320621746</v>
      </c>
      <c r="M96">
        <f t="shared" si="11"/>
        <v>87.051746448068897</v>
      </c>
      <c r="N96">
        <f t="shared" si="12"/>
        <v>243.98496451700197</v>
      </c>
    </row>
    <row r="97" spans="1:14" x14ac:dyDescent="0.25">
      <c r="A97" s="1">
        <v>37468</v>
      </c>
      <c r="B97">
        <v>3.00645687377981E-2</v>
      </c>
      <c r="C97">
        <v>2.52222703737566E-2</v>
      </c>
      <c r="D97">
        <v>1.6676829584864199E-2</v>
      </c>
      <c r="E97">
        <v>4.9369598982459698E-2</v>
      </c>
      <c r="F97">
        <v>3.33299961233307E-2</v>
      </c>
      <c r="I97" s="7">
        <f t="shared" si="7"/>
        <v>37468</v>
      </c>
      <c r="J97">
        <f t="shared" si="8"/>
        <v>14.771626517199305</v>
      </c>
      <c r="K97">
        <f t="shared" si="9"/>
        <v>114.14020059628807</v>
      </c>
      <c r="L97">
        <f t="shared" si="10"/>
        <v>74.546172688723473</v>
      </c>
      <c r="M97">
        <f t="shared" si="11"/>
        <v>91.349456260932811</v>
      </c>
      <c r="N97">
        <f t="shared" si="12"/>
        <v>252.11698243850461</v>
      </c>
    </row>
    <row r="98" spans="1:14" x14ac:dyDescent="0.25">
      <c r="A98" s="1">
        <v>37499</v>
      </c>
      <c r="B98">
        <v>-0.30154596281225798</v>
      </c>
      <c r="C98">
        <v>-0.171777201209311</v>
      </c>
      <c r="D98">
        <v>-0.16304722752265499</v>
      </c>
      <c r="E98">
        <v>-1.0110200851720199E-2</v>
      </c>
      <c r="F98">
        <v>0.24789547097032899</v>
      </c>
      <c r="I98" s="7">
        <f t="shared" si="7"/>
        <v>37499</v>
      </c>
      <c r="J98">
        <f t="shared" si="8"/>
        <v>10.31730217676736</v>
      </c>
      <c r="K98">
        <f t="shared" si="9"/>
        <v>94.533516392388364</v>
      </c>
      <c r="L98">
        <f t="shared" si="10"/>
        <v>62.391625909402045</v>
      </c>
      <c r="M98">
        <f t="shared" si="11"/>
        <v>90.425894910439354</v>
      </c>
      <c r="N98">
        <f t="shared" si="12"/>
        <v>314.61564053971586</v>
      </c>
    </row>
    <row r="99" spans="1:14" x14ac:dyDescent="0.25">
      <c r="A99" s="1">
        <v>37529</v>
      </c>
      <c r="B99">
        <v>0.16863706097578399</v>
      </c>
      <c r="C99">
        <v>7.6257838589217294E-2</v>
      </c>
      <c r="D99">
        <v>-5.6539870566000197E-2</v>
      </c>
      <c r="E99">
        <v>-0.10951786075478701</v>
      </c>
      <c r="F99">
        <v>-4.0534517551811401E-2</v>
      </c>
      <c r="I99" s="7">
        <f t="shared" si="7"/>
        <v>37529</v>
      </c>
      <c r="J99">
        <f t="shared" si="8"/>
        <v>12.057181693056465</v>
      </c>
      <c r="K99">
        <f t="shared" si="9"/>
        <v>101.74243802671023</v>
      </c>
      <c r="L99">
        <f t="shared" si="10"/>
        <v>58.864011456082153</v>
      </c>
      <c r="M99">
        <f t="shared" si="11"/>
        <v>80.522644343010853</v>
      </c>
      <c r="N99">
        <f t="shared" si="12"/>
        <v>301.86284733618436</v>
      </c>
    </row>
    <row r="100" spans="1:14" x14ac:dyDescent="0.25">
      <c r="A100" s="1">
        <v>37560</v>
      </c>
      <c r="B100">
        <v>5.2679075647495098E-2</v>
      </c>
      <c r="C100">
        <v>0.16580213967424301</v>
      </c>
      <c r="D100">
        <v>0.37263004346307399</v>
      </c>
      <c r="E100">
        <v>0.29697680090477102</v>
      </c>
      <c r="F100">
        <v>0.29936972359573</v>
      </c>
      <c r="I100" s="7">
        <f t="shared" si="7"/>
        <v>37560</v>
      </c>
      <c r="J100">
        <f t="shared" si="8"/>
        <v>12.692342879560579</v>
      </c>
      <c r="K100">
        <f t="shared" si="9"/>
        <v>118.61155194721286</v>
      </c>
      <c r="L100">
        <f t="shared" si="10"/>
        <v>80.798510603372932</v>
      </c>
      <c r="M100">
        <f t="shared" si="11"/>
        <v>104.43600166039087</v>
      </c>
      <c r="N100">
        <f t="shared" si="12"/>
        <v>392.23144450703791</v>
      </c>
    </row>
    <row r="101" spans="1:14" x14ac:dyDescent="0.25">
      <c r="A101" s="1">
        <v>37590</v>
      </c>
      <c r="B101">
        <v>0.12196577712541599</v>
      </c>
      <c r="C101">
        <v>6.4885943730922893E-2</v>
      </c>
      <c r="D101">
        <v>5.5210547017672001E-2</v>
      </c>
      <c r="E101">
        <v>-0.101542430963146</v>
      </c>
      <c r="F101">
        <v>-0.124712126507525</v>
      </c>
      <c r="I101" s="7">
        <f t="shared" si="7"/>
        <v>37590</v>
      </c>
      <c r="J101">
        <f t="shared" si="8"/>
        <v>14.240374342408424</v>
      </c>
      <c r="K101">
        <f t="shared" si="9"/>
        <v>126.30777443269714</v>
      </c>
      <c r="L101">
        <f t="shared" si="10"/>
        <v>85.259440571998326</v>
      </c>
      <c r="M101">
        <f t="shared" si="11"/>
        <v>93.831316171723628</v>
      </c>
      <c r="N101">
        <f t="shared" si="12"/>
        <v>343.3154269794469</v>
      </c>
    </row>
    <row r="102" spans="1:14" x14ac:dyDescent="0.25">
      <c r="A102" s="1">
        <v>37621</v>
      </c>
      <c r="B102">
        <v>5.6026647460084997E-2</v>
      </c>
      <c r="C102">
        <v>2.8251963251451399E-2</v>
      </c>
      <c r="D102">
        <v>3.2281307233822799E-3</v>
      </c>
      <c r="E102">
        <v>0.12647188107458299</v>
      </c>
      <c r="F102">
        <v>9.1451966498496198E-2</v>
      </c>
      <c r="I102" s="7">
        <f t="shared" si="7"/>
        <v>37621</v>
      </c>
      <c r="J102">
        <f t="shared" si="8"/>
        <v>15.03821477539018</v>
      </c>
      <c r="K102">
        <f t="shared" si="9"/>
        <v>129.87621703434229</v>
      </c>
      <c r="L102">
        <f t="shared" si="10"/>
        <v>85.53466919156719</v>
      </c>
      <c r="M102">
        <f t="shared" si="11"/>
        <v>105.69833923166546</v>
      </c>
      <c r="N102">
        <f t="shared" si="12"/>
        <v>374.71229790598824</v>
      </c>
    </row>
    <row r="103" spans="1:14" x14ac:dyDescent="0.25">
      <c r="A103" s="1">
        <v>37652</v>
      </c>
      <c r="B103">
        <v>1.58518421534866E-2</v>
      </c>
      <c r="C103">
        <v>2.90391121048242E-3</v>
      </c>
      <c r="D103">
        <v>3.8676961886129298E-2</v>
      </c>
      <c r="E103">
        <v>8.6316136263653698E-2</v>
      </c>
      <c r="F103">
        <v>5.0977103688181202E-2</v>
      </c>
      <c r="I103" s="7">
        <f t="shared" si="7"/>
        <v>37652</v>
      </c>
      <c r="J103">
        <f t="shared" si="8"/>
        <v>15.276598182279894</v>
      </c>
      <c r="K103">
        <f t="shared" si="9"/>
        <v>130.25336603696337</v>
      </c>
      <c r="L103">
        <f t="shared" si="10"/>
        <v>88.842890331832109</v>
      </c>
      <c r="M103">
        <f t="shared" si="11"/>
        <v>114.8218114836278</v>
      </c>
      <c r="N103">
        <f t="shared" si="12"/>
        <v>393.81404556957847</v>
      </c>
    </row>
    <row r="104" spans="1:14" x14ac:dyDescent="0.25">
      <c r="A104" s="1">
        <v>37680</v>
      </c>
      <c r="B104">
        <v>8.9264136324722104E-2</v>
      </c>
      <c r="C104">
        <v>0.24749444603096199</v>
      </c>
      <c r="D104">
        <v>5.8335614100196602E-2</v>
      </c>
      <c r="E104">
        <v>9.3723708285305601E-2</v>
      </c>
      <c r="F104">
        <v>-5.8714557975155797E-2</v>
      </c>
      <c r="I104" s="7">
        <f t="shared" si="7"/>
        <v>37680</v>
      </c>
      <c r="J104">
        <f t="shared" si="8"/>
        <v>16.64025052500093</v>
      </c>
      <c r="K104">
        <f t="shared" si="9"/>
        <v>162.49035070794974</v>
      </c>
      <c r="L104">
        <f t="shared" si="10"/>
        <v>94.025594897775946</v>
      </c>
      <c r="M104">
        <f t="shared" si="11"/>
        <v>125.58333744790967</v>
      </c>
      <c r="N104">
        <f t="shared" si="12"/>
        <v>370.69142795955281</v>
      </c>
    </row>
    <row r="105" spans="1:14" x14ac:dyDescent="0.25">
      <c r="A105" s="1">
        <v>37711</v>
      </c>
      <c r="B105">
        <v>7.6355635538898597E-2</v>
      </c>
      <c r="C105">
        <v>-4.9146158492597999E-2</v>
      </c>
      <c r="D105">
        <v>-2.7048263491682701E-2</v>
      </c>
      <c r="E105">
        <v>9.3416260336794996E-2</v>
      </c>
      <c r="F105">
        <v>0.12128392106384001</v>
      </c>
      <c r="I105" s="7">
        <f t="shared" si="7"/>
        <v>37711</v>
      </c>
      <c r="J105">
        <f t="shared" si="8"/>
        <v>17.910827429363867</v>
      </c>
      <c r="K105">
        <f t="shared" si="9"/>
        <v>154.50457417853903</v>
      </c>
      <c r="L105">
        <f t="shared" si="10"/>
        <v>91.482365832018687</v>
      </c>
      <c r="M105">
        <f t="shared" si="11"/>
        <v>137.31486319290718</v>
      </c>
      <c r="N105">
        <f t="shared" si="12"/>
        <v>415.6503378472413</v>
      </c>
    </row>
    <row r="106" spans="1:14" x14ac:dyDescent="0.25">
      <c r="A106" s="1">
        <v>37741</v>
      </c>
      <c r="B106">
        <v>-0.163588979436874</v>
      </c>
      <c r="C106">
        <v>-0.100293881034949</v>
      </c>
      <c r="D106">
        <v>-0.16176643104878199</v>
      </c>
      <c r="E106">
        <v>-7.0124045347591105E-2</v>
      </c>
      <c r="F106">
        <v>-0.16723658977942399</v>
      </c>
      <c r="I106" s="7">
        <f t="shared" si="7"/>
        <v>37741</v>
      </c>
      <c r="J106">
        <f t="shared" si="8"/>
        <v>14.980813449324263</v>
      </c>
      <c r="K106">
        <f t="shared" si="9"/>
        <v>139.0087107965212</v>
      </c>
      <c r="L106">
        <f t="shared" si="10"/>
        <v>76.683590007473995</v>
      </c>
      <c r="M106">
        <f t="shared" si="11"/>
        <v>127.68578949946949</v>
      </c>
      <c r="N106">
        <f t="shared" si="12"/>
        <v>346.13839280500321</v>
      </c>
    </row>
    <row r="107" spans="1:14" x14ac:dyDescent="0.25">
      <c r="A107" s="1">
        <v>37772</v>
      </c>
      <c r="B107">
        <v>9.0747078766117498E-2</v>
      </c>
      <c r="C107">
        <v>-2.59223916567227E-2</v>
      </c>
      <c r="D107">
        <v>6.2134222201476602E-2</v>
      </c>
      <c r="E107">
        <v>4.32192434743092E-2</v>
      </c>
      <c r="F107">
        <v>-6.1924541371495702E-2</v>
      </c>
      <c r="I107" s="7">
        <f t="shared" si="7"/>
        <v>37772</v>
      </c>
      <c r="J107">
        <f t="shared" si="8"/>
        <v>16.340278507390604</v>
      </c>
      <c r="K107">
        <f t="shared" si="9"/>
        <v>135.40527255155769</v>
      </c>
      <c r="L107">
        <f t="shared" si="10"/>
        <v>81.448265228205315</v>
      </c>
      <c r="M107">
        <f t="shared" si="11"/>
        <v>133.20427272405647</v>
      </c>
      <c r="N107">
        <f t="shared" si="12"/>
        <v>324.70393157948672</v>
      </c>
    </row>
    <row r="108" spans="1:14" x14ac:dyDescent="0.25">
      <c r="A108" s="1">
        <v>37802</v>
      </c>
      <c r="B108">
        <v>-0.13074927318339299</v>
      </c>
      <c r="C108">
        <v>-1.3233127068369699E-3</v>
      </c>
      <c r="D108">
        <v>0.181112657784291</v>
      </c>
      <c r="E108">
        <v>0.172318214356074</v>
      </c>
      <c r="F108">
        <v>0.234724233714248</v>
      </c>
      <c r="I108" s="7">
        <f t="shared" si="7"/>
        <v>37802</v>
      </c>
      <c r="J108">
        <f t="shared" si="8"/>
        <v>14.203798968935065</v>
      </c>
      <c r="K108">
        <f t="shared" si="9"/>
        <v>135.22608903381749</v>
      </c>
      <c r="L108">
        <f t="shared" si="10"/>
        <v>96.199577015605428</v>
      </c>
      <c r="M108">
        <f t="shared" si="11"/>
        <v>156.15779514446535</v>
      </c>
      <c r="N108">
        <f t="shared" si="12"/>
        <v>400.9198131034853</v>
      </c>
    </row>
    <row r="109" spans="1:14" x14ac:dyDescent="0.25">
      <c r="A109" s="1">
        <v>37833</v>
      </c>
      <c r="B109">
        <v>-2.6496723970580501E-2</v>
      </c>
      <c r="C109">
        <v>9.5088723293193206E-2</v>
      </c>
      <c r="D109">
        <v>8.2178654311798494E-2</v>
      </c>
      <c r="E109">
        <v>2.4263154610884501E-2</v>
      </c>
      <c r="F109">
        <v>3.1332016642400803E-2</v>
      </c>
      <c r="I109" s="7">
        <f t="shared" si="7"/>
        <v>37833</v>
      </c>
      <c r="J109">
        <f t="shared" si="8"/>
        <v>13.827444828321577</v>
      </c>
      <c r="K109">
        <f t="shared" si="9"/>
        <v>148.08456519597487</v>
      </c>
      <c r="L109">
        <f t="shared" si="10"/>
        <v>104.1051288001121</v>
      </c>
      <c r="M109">
        <f t="shared" si="11"/>
        <v>159.94667587175033</v>
      </c>
      <c r="N109">
        <f t="shared" si="12"/>
        <v>413.48143935991186</v>
      </c>
    </row>
    <row r="110" spans="1:14" x14ac:dyDescent="0.25">
      <c r="A110" s="1">
        <v>37864</v>
      </c>
      <c r="B110">
        <v>2.6102561221367102E-2</v>
      </c>
      <c r="C110">
        <v>9.4057676641931903E-2</v>
      </c>
      <c r="D110">
        <v>0.12794509999259801</v>
      </c>
      <c r="E110">
        <v>7.3329778600022599E-2</v>
      </c>
      <c r="F110">
        <v>-3.1228600858903999E-2</v>
      </c>
      <c r="I110" s="7">
        <f t="shared" si="7"/>
        <v>37864</v>
      </c>
      <c r="J110">
        <f t="shared" si="8"/>
        <v>14.188376553487915</v>
      </c>
      <c r="K110">
        <f t="shared" si="9"/>
        <v>162.01305534483896</v>
      </c>
      <c r="L110">
        <f t="shared" si="10"/>
        <v>117.42486991418473</v>
      </c>
      <c r="M110">
        <f t="shared" si="11"/>
        <v>171.67553020123538</v>
      </c>
      <c r="N110">
        <f t="shared" si="12"/>
        <v>400.56899252757603</v>
      </c>
    </row>
    <row r="111" spans="1:14" x14ac:dyDescent="0.25">
      <c r="A111" s="1">
        <v>37894</v>
      </c>
      <c r="B111">
        <v>-9.5062457370979195E-2</v>
      </c>
      <c r="C111">
        <v>-0.12935458438346101</v>
      </c>
      <c r="D111">
        <v>-6.9916268004815402E-2</v>
      </c>
      <c r="E111">
        <v>-9.2519437906268098E-2</v>
      </c>
      <c r="F111">
        <v>-2.5456339190663299E-2</v>
      </c>
      <c r="I111" s="7">
        <f t="shared" si="7"/>
        <v>37894</v>
      </c>
      <c r="J111">
        <f t="shared" si="8"/>
        <v>12.83959461220857</v>
      </c>
      <c r="K111">
        <f t="shared" si="9"/>
        <v>141.05592390601265</v>
      </c>
      <c r="L111">
        <f t="shared" si="10"/>
        <v>109.21496123883399</v>
      </c>
      <c r="M111">
        <f t="shared" si="11"/>
        <v>155.7922066447565</v>
      </c>
      <c r="N111">
        <f t="shared" si="12"/>
        <v>390.37197238453177</v>
      </c>
    </row>
    <row r="112" spans="1:14" x14ac:dyDescent="0.25">
      <c r="A112" s="1">
        <v>37925</v>
      </c>
      <c r="B112">
        <v>2.9690385619509499E-2</v>
      </c>
      <c r="C112">
        <v>3.5465096921846802E-2</v>
      </c>
      <c r="D112">
        <v>7.2279095469226298E-2</v>
      </c>
      <c r="E112">
        <v>6.1875251689298402E-2</v>
      </c>
      <c r="F112">
        <v>5.2021436669735998E-3</v>
      </c>
      <c r="I112" s="7">
        <f t="shared" si="7"/>
        <v>37925</v>
      </c>
      <c r="J112">
        <f t="shared" si="8"/>
        <v>13.220807127443218</v>
      </c>
      <c r="K112">
        <f t="shared" si="9"/>
        <v>146.05848591874005</v>
      </c>
      <c r="L112">
        <f t="shared" si="10"/>
        <v>117.10891984888352</v>
      </c>
      <c r="M112">
        <f t="shared" si="11"/>
        <v>165.43188864213201</v>
      </c>
      <c r="N112">
        <f t="shared" si="12"/>
        <v>392.40274346843597</v>
      </c>
    </row>
    <row r="113" spans="1:14" x14ac:dyDescent="0.25">
      <c r="A113" s="1">
        <v>37955</v>
      </c>
      <c r="B113">
        <v>9.24218290223697E-2</v>
      </c>
      <c r="C113">
        <v>-2.9769947157326102E-2</v>
      </c>
      <c r="D113">
        <v>3.0613863585019899E-2</v>
      </c>
      <c r="E113">
        <v>0.100577578809428</v>
      </c>
      <c r="F113">
        <v>-0.112478135449935</v>
      </c>
      <c r="I113" s="7">
        <f t="shared" si="7"/>
        <v>37955</v>
      </c>
      <c r="J113">
        <f t="shared" si="8"/>
        <v>14.442698303313502</v>
      </c>
      <c r="K113">
        <f t="shared" si="9"/>
        <v>141.7103325110601</v>
      </c>
      <c r="L113">
        <f t="shared" si="10"/>
        <v>120.69407634572627</v>
      </c>
      <c r="M113">
        <f t="shared" si="11"/>
        <v>182.07062745962858</v>
      </c>
      <c r="N113">
        <f t="shared" si="12"/>
        <v>348.2660145376671</v>
      </c>
    </row>
    <row r="114" spans="1:14" x14ac:dyDescent="0.25">
      <c r="A114" s="1">
        <v>37986</v>
      </c>
      <c r="B114">
        <v>-9.9625793834819107E-2</v>
      </c>
      <c r="C114">
        <v>0.101182560235078</v>
      </c>
      <c r="D114">
        <v>-2.26852311127177E-2</v>
      </c>
      <c r="E114">
        <v>-7.6245769094717003E-2</v>
      </c>
      <c r="F114">
        <v>-6.4401903151906303E-2</v>
      </c>
      <c r="I114" s="7">
        <f t="shared" si="7"/>
        <v>37986</v>
      </c>
      <c r="J114">
        <f t="shared" si="8"/>
        <v>13.0038330197291</v>
      </c>
      <c r="K114">
        <f t="shared" si="9"/>
        <v>156.04894676629337</v>
      </c>
      <c r="L114">
        <f t="shared" si="10"/>
        <v>117.95610332988748</v>
      </c>
      <c r="M114">
        <f t="shared" si="11"/>
        <v>168.18851243941148</v>
      </c>
      <c r="N114">
        <f t="shared" si="12"/>
        <v>325.83702039831189</v>
      </c>
    </row>
    <row r="115" spans="1:14" x14ac:dyDescent="0.25">
      <c r="A115" s="1">
        <v>38017</v>
      </c>
      <c r="B115">
        <v>-0.29586492529536401</v>
      </c>
      <c r="C115">
        <v>-0.38486701844524501</v>
      </c>
      <c r="D115">
        <v>-0.14309386156562601</v>
      </c>
      <c r="E115">
        <v>-2.4459950014399701E-2</v>
      </c>
      <c r="F115">
        <v>-1.8466436614918098E-2</v>
      </c>
      <c r="I115" s="7">
        <f t="shared" si="7"/>
        <v>38017</v>
      </c>
      <c r="J115">
        <f t="shared" si="8"/>
        <v>9.1564549347935618</v>
      </c>
      <c r="K115">
        <f t="shared" si="9"/>
        <v>95.990853892829293</v>
      </c>
      <c r="L115">
        <f t="shared" si="10"/>
        <v>101.07730900917988</v>
      </c>
      <c r="M115">
        <f t="shared" si="11"/>
        <v>164.07462983214722</v>
      </c>
      <c r="N115">
        <f t="shared" si="12"/>
        <v>319.81997171433267</v>
      </c>
    </row>
    <row r="116" spans="1:14" x14ac:dyDescent="0.25">
      <c r="A116" s="1">
        <v>38046</v>
      </c>
      <c r="B116">
        <v>2.8906850237279701E-2</v>
      </c>
      <c r="C116">
        <v>0.13448570339479499</v>
      </c>
      <c r="D116">
        <v>0.14094053384481001</v>
      </c>
      <c r="E116">
        <v>7.7969215023007896E-2</v>
      </c>
      <c r="F116">
        <v>6.4771990347943995E-2</v>
      </c>
      <c r="I116" s="7">
        <f t="shared" si="7"/>
        <v>38046</v>
      </c>
      <c r="J116">
        <f t="shared" si="8"/>
        <v>9.4211392062980401</v>
      </c>
      <c r="K116">
        <f t="shared" si="9"/>
        <v>108.90025139807344</v>
      </c>
      <c r="L116">
        <f t="shared" si="10"/>
        <v>115.32319890053051</v>
      </c>
      <c r="M116">
        <f t="shared" si="11"/>
        <v>176.86739992535033</v>
      </c>
      <c r="N116">
        <f t="shared" si="12"/>
        <v>340.53534783529312</v>
      </c>
    </row>
    <row r="117" spans="1:14" x14ac:dyDescent="0.25">
      <c r="A117" s="1">
        <v>38077</v>
      </c>
      <c r="B117">
        <v>1.2204022133326499E-2</v>
      </c>
      <c r="C117">
        <v>4.9851603218355302E-3</v>
      </c>
      <c r="D117">
        <v>6.2692045806479798E-3</v>
      </c>
      <c r="E117">
        <v>2.1449121643888298E-2</v>
      </c>
      <c r="F117">
        <v>2.8359799641958901E-2</v>
      </c>
      <c r="I117" s="7">
        <f t="shared" si="7"/>
        <v>38077</v>
      </c>
      <c r="J117">
        <f t="shared" si="8"/>
        <v>9.5361149976928523</v>
      </c>
      <c r="K117">
        <f t="shared" si="9"/>
        <v>109.44313661038103</v>
      </c>
      <c r="L117">
        <f t="shared" si="10"/>
        <v>116.04618362733271</v>
      </c>
      <c r="M117">
        <f t="shared" si="11"/>
        <v>180.6610503011874</v>
      </c>
      <c r="N117">
        <f t="shared" si="12"/>
        <v>350.19286207090681</v>
      </c>
    </row>
    <row r="118" spans="1:14" x14ac:dyDescent="0.25">
      <c r="A118" s="1">
        <v>38107</v>
      </c>
      <c r="B118">
        <v>1.8624311051937199E-2</v>
      </c>
      <c r="C118">
        <v>-4.0157745842341899E-2</v>
      </c>
      <c r="D118">
        <v>-7.18754011140562E-2</v>
      </c>
      <c r="E118">
        <v>-4.8569820423418203E-2</v>
      </c>
      <c r="F118">
        <v>-2.93874705087157E-2</v>
      </c>
      <c r="I118" s="7">
        <f t="shared" si="7"/>
        <v>38107</v>
      </c>
      <c r="J118">
        <f t="shared" si="8"/>
        <v>9.7137185696369279</v>
      </c>
      <c r="K118">
        <f t="shared" si="9"/>
        <v>105.04814694619265</v>
      </c>
      <c r="L118">
        <f t="shared" si="10"/>
        <v>107.70531763136275</v>
      </c>
      <c r="M118">
        <f t="shared" si="11"/>
        <v>171.88637553055261</v>
      </c>
      <c r="N118">
        <f t="shared" si="12"/>
        <v>339.9015796644353</v>
      </c>
    </row>
    <row r="119" spans="1:14" x14ac:dyDescent="0.25">
      <c r="A119" s="1">
        <v>38138</v>
      </c>
      <c r="B119">
        <v>0.102312111531492</v>
      </c>
      <c r="C119">
        <v>-2.0447211326389301E-2</v>
      </c>
      <c r="D119">
        <v>2.87503208251812E-2</v>
      </c>
      <c r="E119">
        <v>3.5161713785548401E-2</v>
      </c>
      <c r="F119">
        <v>1.8191888352203499E-2</v>
      </c>
      <c r="I119" s="7">
        <f t="shared" si="7"/>
        <v>38138</v>
      </c>
      <c r="J119">
        <f t="shared" si="8"/>
        <v>10.707549627319146</v>
      </c>
      <c r="K119">
        <f t="shared" si="9"/>
        <v>102.90020528613825</v>
      </c>
      <c r="L119">
        <f t="shared" si="10"/>
        <v>110.80188006784246</v>
      </c>
      <c r="M119">
        <f t="shared" si="11"/>
        <v>177.93019507059321</v>
      </c>
      <c r="N119">
        <f t="shared" si="12"/>
        <v>346.08503125242828</v>
      </c>
    </row>
    <row r="120" spans="1:14" x14ac:dyDescent="0.25">
      <c r="A120" s="1">
        <v>38168</v>
      </c>
      <c r="B120">
        <v>7.0237713832019405E-2</v>
      </c>
      <c r="C120">
        <v>8.8075608906744499E-2</v>
      </c>
      <c r="D120">
        <v>5.5156063203701897E-3</v>
      </c>
      <c r="E120">
        <v>7.12384157286041E-4</v>
      </c>
      <c r="F120">
        <v>-4.8776057035820799E-3</v>
      </c>
      <c r="I120" s="7">
        <f t="shared" si="7"/>
        <v>38168</v>
      </c>
      <c r="J120">
        <f t="shared" si="8"/>
        <v>11.459623433884934</v>
      </c>
      <c r="K120">
        <f t="shared" si="9"/>
        <v>111.96320352334388</v>
      </c>
      <c r="L120">
        <f t="shared" si="10"/>
        <v>111.41301961785356</v>
      </c>
      <c r="M120">
        <f t="shared" si="11"/>
        <v>178.05694972266431</v>
      </c>
      <c r="N120">
        <f t="shared" si="12"/>
        <v>344.39696493006704</v>
      </c>
    </row>
    <row r="121" spans="1:14" x14ac:dyDescent="0.25">
      <c r="A121" s="1">
        <v>38199</v>
      </c>
      <c r="B121">
        <v>-5.6146717168596899E-2</v>
      </c>
      <c r="C121">
        <v>6.97066430336232E-2</v>
      </c>
      <c r="D121">
        <v>4.06173600976091E-2</v>
      </c>
      <c r="E121">
        <v>9.8594573398583796E-2</v>
      </c>
      <c r="F121">
        <v>-1.65469634277704E-2</v>
      </c>
      <c r="I121" s="7">
        <f t="shared" si="7"/>
        <v>38199</v>
      </c>
      <c r="J121">
        <f t="shared" si="8"/>
        <v>10.816203198083972</v>
      </c>
      <c r="K121">
        <f t="shared" si="9"/>
        <v>119.76778258424652</v>
      </c>
      <c r="L121">
        <f t="shared" si="10"/>
        <v>115.93832235523392</v>
      </c>
      <c r="M121">
        <f t="shared" si="11"/>
        <v>195.61239872122349</v>
      </c>
      <c r="N121">
        <f t="shared" si="12"/>
        <v>338.69824094673407</v>
      </c>
    </row>
    <row r="122" spans="1:14" x14ac:dyDescent="0.25">
      <c r="A122" s="1">
        <v>38230</v>
      </c>
      <c r="B122">
        <v>9.9331226036886197E-2</v>
      </c>
      <c r="C122">
        <v>0.104525664227513</v>
      </c>
      <c r="D122">
        <v>0.112246184189389</v>
      </c>
      <c r="E122">
        <v>0.120848570116946</v>
      </c>
      <c r="F122">
        <v>0.13348477104640499</v>
      </c>
      <c r="I122" s="7">
        <f t="shared" si="7"/>
        <v>38230</v>
      </c>
      <c r="J122">
        <f t="shared" si="8"/>
        <v>11.890589922813742</v>
      </c>
      <c r="K122">
        <f t="shared" si="9"/>
        <v>132.28658961192124</v>
      </c>
      <c r="L122">
        <f t="shared" si="10"/>
        <v>128.95195664092824</v>
      </c>
      <c r="M122">
        <f t="shared" si="11"/>
        <v>219.25187740382924</v>
      </c>
      <c r="N122">
        <f t="shared" si="12"/>
        <v>383.90929809332903</v>
      </c>
    </row>
    <row r="123" spans="1:14" x14ac:dyDescent="0.25">
      <c r="A123" s="1">
        <v>38260</v>
      </c>
      <c r="B123">
        <v>-3.5624645925055799E-2</v>
      </c>
      <c r="C123">
        <v>5.3385651117910597E-2</v>
      </c>
      <c r="D123">
        <v>8.0320461450702997E-4</v>
      </c>
      <c r="E123">
        <v>1.18542029523259E-2</v>
      </c>
      <c r="F123">
        <v>1.7394472441879701E-3</v>
      </c>
      <c r="I123" s="7">
        <f t="shared" si="7"/>
        <v>38260</v>
      </c>
      <c r="J123">
        <f t="shared" si="8"/>
        <v>11.466991866973466</v>
      </c>
      <c r="K123">
        <f t="shared" si="9"/>
        <v>139.34879533252146</v>
      </c>
      <c r="L123">
        <f t="shared" si="10"/>
        <v>129.05553144755194</v>
      </c>
      <c r="M123">
        <f t="shared" si="11"/>
        <v>221.85093365625269</v>
      </c>
      <c r="N123">
        <f t="shared" si="12"/>
        <v>384.57708806391565</v>
      </c>
    </row>
    <row r="124" spans="1:14" x14ac:dyDescent="0.25">
      <c r="A124" s="1">
        <v>38291</v>
      </c>
      <c r="B124">
        <v>-1.9311192876672101E-2</v>
      </c>
      <c r="C124">
        <v>7.1243206812212898E-2</v>
      </c>
      <c r="D124">
        <v>2.1756715034249599E-2</v>
      </c>
      <c r="E124">
        <v>2.35579411298255E-3</v>
      </c>
      <c r="F124">
        <v>-1.1977317120072301E-2</v>
      </c>
      <c r="I124" s="7">
        <f t="shared" si="7"/>
        <v>38291</v>
      </c>
      <c r="J124">
        <f t="shared" si="8"/>
        <v>11.245550575315111</v>
      </c>
      <c r="K124">
        <f t="shared" si="9"/>
        <v>149.276450377429</v>
      </c>
      <c r="L124">
        <f t="shared" si="10"/>
        <v>131.86335586884999</v>
      </c>
      <c r="M124">
        <f t="shared" si="11"/>
        <v>222.37356877971979</v>
      </c>
      <c r="N124">
        <f t="shared" si="12"/>
        <v>379.97088632306014</v>
      </c>
    </row>
    <row r="125" spans="1:14" x14ac:dyDescent="0.25">
      <c r="A125" s="1">
        <v>38321</v>
      </c>
      <c r="B125">
        <v>9.6095088148951804E-2</v>
      </c>
      <c r="C125">
        <v>0.128662443457667</v>
      </c>
      <c r="D125">
        <v>0.15049903289665001</v>
      </c>
      <c r="E125">
        <v>0.13463627617776999</v>
      </c>
      <c r="F125">
        <v>3.7563333787763803E-2</v>
      </c>
      <c r="I125" s="7">
        <f t="shared" si="7"/>
        <v>38321</v>
      </c>
      <c r="J125">
        <f t="shared" si="8"/>
        <v>12.326192749133511</v>
      </c>
      <c r="K125">
        <f t="shared" si="9"/>
        <v>168.48272323367621</v>
      </c>
      <c r="L125">
        <f t="shared" si="10"/>
        <v>151.70866340161871</v>
      </c>
      <c r="M125">
        <f t="shared" si="11"/>
        <v>252.31311800058248</v>
      </c>
      <c r="N125">
        <f t="shared" si="12"/>
        <v>394.24385955564571</v>
      </c>
    </row>
    <row r="126" spans="1:14" x14ac:dyDescent="0.25">
      <c r="A126" s="1">
        <v>38352</v>
      </c>
      <c r="B126">
        <v>1.6303732575846601E-2</v>
      </c>
      <c r="C126">
        <v>3.6850586545353302E-2</v>
      </c>
      <c r="D126">
        <v>6.4782281596645494E-2</v>
      </c>
      <c r="E126">
        <v>7.1663503558371505E-2</v>
      </c>
      <c r="F126">
        <v>6.6264651580215897E-2</v>
      </c>
      <c r="I126" s="7">
        <f t="shared" si="7"/>
        <v>38352</v>
      </c>
      <c r="J126">
        <f t="shared" si="8"/>
        <v>12.527155699393724</v>
      </c>
      <c r="K126">
        <f t="shared" si="9"/>
        <v>174.69141040759558</v>
      </c>
      <c r="L126">
        <f t="shared" si="10"/>
        <v>161.53669675475308</v>
      </c>
      <c r="M126">
        <f t="shared" si="11"/>
        <v>270.394760030241</v>
      </c>
      <c r="N126">
        <f t="shared" si="12"/>
        <v>420.36829154674012</v>
      </c>
    </row>
    <row r="127" spans="1:14" x14ac:dyDescent="0.25">
      <c r="A127" s="1">
        <v>38383</v>
      </c>
      <c r="B127">
        <v>-2.7162275149333299E-2</v>
      </c>
      <c r="C127">
        <v>-2.79454276572806E-2</v>
      </c>
      <c r="D127">
        <v>-7.6885890142426902E-2</v>
      </c>
      <c r="E127">
        <v>-1.7197495690674101E-2</v>
      </c>
      <c r="F127">
        <v>5.2766072096877802E-2</v>
      </c>
      <c r="I127" s="7">
        <f t="shared" si="7"/>
        <v>38383</v>
      </c>
      <c r="J127">
        <f t="shared" si="8"/>
        <v>12.186889649448252</v>
      </c>
      <c r="K127">
        <f t="shared" si="9"/>
        <v>169.80958423570181</v>
      </c>
      <c r="L127">
        <f t="shared" si="10"/>
        <v>149.11680403409662</v>
      </c>
      <c r="M127">
        <f t="shared" si="11"/>
        <v>265.7446473098401</v>
      </c>
      <c r="N127">
        <f t="shared" si="12"/>
        <v>442.54947512573682</v>
      </c>
    </row>
    <row r="128" spans="1:14" x14ac:dyDescent="0.25">
      <c r="A128" s="1">
        <v>38411</v>
      </c>
      <c r="B128">
        <v>9.5720823415024303E-2</v>
      </c>
      <c r="C128">
        <v>2.1535970256538702E-2</v>
      </c>
      <c r="D128">
        <v>1.13077263278529E-2</v>
      </c>
      <c r="E128">
        <v>4.9094553106144197E-2</v>
      </c>
      <c r="F128">
        <v>-0.110700538843722</v>
      </c>
      <c r="I128" s="7">
        <f t="shared" si="7"/>
        <v>38411</v>
      </c>
      <c r="J128">
        <f t="shared" si="8"/>
        <v>13.353428761561474</v>
      </c>
      <c r="K128">
        <f t="shared" si="9"/>
        <v>173.4665983910771</v>
      </c>
      <c r="L128">
        <f t="shared" si="10"/>
        <v>150.80297604499825</v>
      </c>
      <c r="M128">
        <f t="shared" si="11"/>
        <v>278.79126200986661</v>
      </c>
      <c r="N128">
        <f t="shared" si="12"/>
        <v>393.55900976431138</v>
      </c>
    </row>
    <row r="129" spans="1:14" x14ac:dyDescent="0.25">
      <c r="A129" s="1">
        <v>38442</v>
      </c>
      <c r="B129">
        <v>-3.5525940094169699E-2</v>
      </c>
      <c r="C129">
        <v>-6.2575134998241702E-2</v>
      </c>
      <c r="D129">
        <v>-9.1086752543631494E-2</v>
      </c>
      <c r="E129">
        <v>-6.8313431960998303E-2</v>
      </c>
      <c r="F129">
        <v>3.3707396968954501E-2</v>
      </c>
      <c r="I129" s="7">
        <f t="shared" si="7"/>
        <v>38442</v>
      </c>
      <c r="J129">
        <f t="shared" si="8"/>
        <v>12.879035651326479</v>
      </c>
      <c r="K129">
        <f t="shared" si="9"/>
        <v>162.61190257906966</v>
      </c>
      <c r="L129">
        <f t="shared" si="10"/>
        <v>137.0668226831443</v>
      </c>
      <c r="M129">
        <f t="shared" si="11"/>
        <v>259.74607410123474</v>
      </c>
      <c r="N129">
        <f t="shared" si="12"/>
        <v>406.8248595371457</v>
      </c>
    </row>
    <row r="130" spans="1:14" x14ac:dyDescent="0.25">
      <c r="A130" s="1">
        <v>38472</v>
      </c>
      <c r="B130">
        <v>2.3637230206522402E-3</v>
      </c>
      <c r="C130">
        <v>4.4779324452582803E-3</v>
      </c>
      <c r="D130">
        <v>-1.6190969304386401E-2</v>
      </c>
      <c r="E130">
        <v>-7.5839150149039298E-3</v>
      </c>
      <c r="F130">
        <v>6.7097077589347298E-2</v>
      </c>
      <c r="I130" s="7">
        <f t="shared" si="7"/>
        <v>38472</v>
      </c>
      <c r="J130">
        <f t="shared" si="8"/>
        <v>12.909478124379319</v>
      </c>
      <c r="K130">
        <f t="shared" si="9"/>
        <v>163.34006769361363</v>
      </c>
      <c r="L130">
        <f t="shared" si="10"/>
        <v>134.84757796443174</v>
      </c>
      <c r="M130">
        <f t="shared" si="11"/>
        <v>257.77618194979601</v>
      </c>
      <c r="N130">
        <f t="shared" si="12"/>
        <v>434.12161870278493</v>
      </c>
    </row>
    <row r="131" spans="1:14" x14ac:dyDescent="0.25">
      <c r="A131" s="1">
        <v>38503</v>
      </c>
      <c r="B131">
        <v>-2.6648019196654299E-2</v>
      </c>
      <c r="C131">
        <v>-3.1883203202755103E-2</v>
      </c>
      <c r="D131">
        <v>-3.71352728212688E-2</v>
      </c>
      <c r="E131">
        <v>-4.6108047040671597E-2</v>
      </c>
      <c r="F131">
        <v>7.8216388674311795E-3</v>
      </c>
      <c r="I131" s="7">
        <f t="shared" ref="I131:I194" si="13">+A131</f>
        <v>38503</v>
      </c>
      <c r="J131">
        <f t="shared" ref="J131:J194" si="14">+J130*(1+B131)</f>
        <v>12.565466103502072</v>
      </c>
      <c r="K131">
        <f t="shared" ref="K131:K194" si="15">+K130*(1+C131)</f>
        <v>158.13226312418638</v>
      </c>
      <c r="L131">
        <f t="shared" ref="L131:L194" si="16">+L130*(1+D131)</f>
        <v>129.83997636743524</v>
      </c>
      <c r="M131">
        <f t="shared" ref="M131:M194" si="17">+M130*(1+E131)</f>
        <v>245.89062562649008</v>
      </c>
      <c r="N131">
        <f t="shared" ref="N131:N194" si="18">+N130*(1+F131)</f>
        <v>437.51716122882283</v>
      </c>
    </row>
    <row r="132" spans="1:14" x14ac:dyDescent="0.25">
      <c r="A132" s="1">
        <v>38533</v>
      </c>
      <c r="B132">
        <v>3.4616301195910103E-2</v>
      </c>
      <c r="C132">
        <v>-2.5694559748417101E-2</v>
      </c>
      <c r="D132">
        <v>-1.2782592033422101E-2</v>
      </c>
      <c r="E132">
        <v>1.8998908234727399E-4</v>
      </c>
      <c r="F132">
        <v>-1.8713514536307301E-2</v>
      </c>
      <c r="I132" s="7">
        <f t="shared" si="13"/>
        <v>38533</v>
      </c>
      <c r="J132">
        <f t="shared" si="14"/>
        <v>13.0004360628079</v>
      </c>
      <c r="K132">
        <f t="shared" si="15"/>
        <v>154.06912424118957</v>
      </c>
      <c r="L132">
        <f t="shared" si="16"/>
        <v>128.18028491990114</v>
      </c>
      <c r="M132">
        <f t="shared" si="17"/>
        <v>245.93734216081066</v>
      </c>
      <c r="N132">
        <f t="shared" si="18"/>
        <v>429.32967747228332</v>
      </c>
    </row>
    <row r="133" spans="1:14" x14ac:dyDescent="0.25">
      <c r="A133" s="1">
        <v>38564</v>
      </c>
      <c r="B133">
        <v>-4.5760678782749399E-2</v>
      </c>
      <c r="C133">
        <v>4.5260214185893301E-2</v>
      </c>
      <c r="D133">
        <v>-2.0718062534748501E-2</v>
      </c>
      <c r="E133">
        <v>2.51932578646543E-2</v>
      </c>
      <c r="F133">
        <v>0.28091389555311602</v>
      </c>
      <c r="I133" s="7">
        <f t="shared" si="13"/>
        <v>38564</v>
      </c>
      <c r="J133">
        <f t="shared" si="14"/>
        <v>12.405527284102076</v>
      </c>
      <c r="K133">
        <f t="shared" si="15"/>
        <v>161.04232580377882</v>
      </c>
      <c r="L133">
        <f t="shared" si="16"/>
        <v>125.52463776120875</v>
      </c>
      <c r="M133">
        <f t="shared" si="17"/>
        <v>252.13330504041568</v>
      </c>
      <c r="N133">
        <f t="shared" si="18"/>
        <v>549.93434964758535</v>
      </c>
    </row>
    <row r="134" spans="1:14" x14ac:dyDescent="0.25">
      <c r="A134" s="1">
        <v>38595</v>
      </c>
      <c r="B134">
        <v>4.5867554493510099E-2</v>
      </c>
      <c r="C134">
        <v>3.7682131286557799E-2</v>
      </c>
      <c r="D134">
        <v>6.6061150278699202E-2</v>
      </c>
      <c r="E134">
        <v>0.107478659397509</v>
      </c>
      <c r="F134">
        <v>6.8065164447697904E-2</v>
      </c>
      <c r="I134" s="7">
        <f t="shared" si="13"/>
        <v>38595</v>
      </c>
      <c r="J134">
        <f t="shared" si="14"/>
        <v>12.974538482826354</v>
      </c>
      <c r="K134">
        <f t="shared" si="15"/>
        <v>167.11074386740944</v>
      </c>
      <c r="L134">
        <f t="shared" si="16"/>
        <v>133.81693972003123</v>
      </c>
      <c r="M134">
        <f t="shared" si="17"/>
        <v>279.23225465562274</v>
      </c>
      <c r="N134">
        <f t="shared" si="18"/>
        <v>587.36572159178604</v>
      </c>
    </row>
    <row r="135" spans="1:14" x14ac:dyDescent="0.25">
      <c r="A135" s="1">
        <v>38625</v>
      </c>
      <c r="B135">
        <v>-3.57227945914717E-2</v>
      </c>
      <c r="C135">
        <v>2.69694613091786E-2</v>
      </c>
      <c r="D135">
        <v>1.41282817540957E-2</v>
      </c>
      <c r="E135">
        <v>0.10370368515459499</v>
      </c>
      <c r="F135">
        <v>3.8856610437644303E-2</v>
      </c>
      <c r="I135" s="7">
        <f t="shared" si="13"/>
        <v>38625</v>
      </c>
      <c r="J135">
        <f t="shared" si="14"/>
        <v>12.511051709685203</v>
      </c>
      <c r="K135">
        <f t="shared" si="15"/>
        <v>171.61763060848961</v>
      </c>
      <c r="L135">
        <f t="shared" si="16"/>
        <v>135.70754314786669</v>
      </c>
      <c r="M135">
        <f t="shared" si="17"/>
        <v>308.18966847743712</v>
      </c>
      <c r="N135">
        <f t="shared" si="18"/>
        <v>610.18876262010383</v>
      </c>
    </row>
    <row r="136" spans="1:14" x14ac:dyDescent="0.25">
      <c r="A136" s="1">
        <v>38656</v>
      </c>
      <c r="B136">
        <v>-7.20143855365344E-2</v>
      </c>
      <c r="C136">
        <v>6.2655262673284598E-2</v>
      </c>
      <c r="D136">
        <v>7.4547605329613104E-2</v>
      </c>
      <c r="E136">
        <v>1.7702087948673499E-2</v>
      </c>
      <c r="F136">
        <v>-0.106482156817955</v>
      </c>
      <c r="I136" s="7">
        <f t="shared" si="13"/>
        <v>38656</v>
      </c>
      <c r="J136">
        <f t="shared" si="14"/>
        <v>11.610076008396415</v>
      </c>
      <c r="K136">
        <f t="shared" si="15"/>
        <v>182.37037833363124</v>
      </c>
      <c r="L136">
        <f t="shared" si="16"/>
        <v>145.82421551470529</v>
      </c>
      <c r="M136">
        <f t="shared" si="17"/>
        <v>313.64526909369727</v>
      </c>
      <c r="N136">
        <f t="shared" si="18"/>
        <v>545.21454711023603</v>
      </c>
    </row>
    <row r="137" spans="1:14" x14ac:dyDescent="0.25">
      <c r="A137" s="1">
        <v>38686</v>
      </c>
      <c r="B137">
        <v>-5.2146261661603799E-2</v>
      </c>
      <c r="C137">
        <v>-4.3269828623429298E-2</v>
      </c>
      <c r="D137">
        <v>-5.6629753182060802E-2</v>
      </c>
      <c r="E137">
        <v>-4.0490522608143301E-2</v>
      </c>
      <c r="F137">
        <v>1.92308484739942E-2</v>
      </c>
      <c r="I137" s="7">
        <f t="shared" si="13"/>
        <v>38686</v>
      </c>
      <c r="J137">
        <f t="shared" si="14"/>
        <v>11.004653946951468</v>
      </c>
      <c r="K137">
        <f t="shared" si="15"/>
        <v>174.47924331714503</v>
      </c>
      <c r="L137">
        <f t="shared" si="16"/>
        <v>137.5662261821399</v>
      </c>
      <c r="M137">
        <f t="shared" si="17"/>
        <v>300.94560823452173</v>
      </c>
      <c r="N137">
        <f t="shared" si="18"/>
        <v>555.69948545153034</v>
      </c>
    </row>
    <row r="138" spans="1:14" x14ac:dyDescent="0.25">
      <c r="A138" s="1">
        <v>38717</v>
      </c>
      <c r="B138">
        <v>1.56020858363973E-2</v>
      </c>
      <c r="C138">
        <v>3.2190668765408603E-2</v>
      </c>
      <c r="D138">
        <v>5.5712086624273599E-2</v>
      </c>
      <c r="E138">
        <v>6.0856443131623097E-2</v>
      </c>
      <c r="F138">
        <v>-0.153827822321257</v>
      </c>
      <c r="I138" s="7">
        <f t="shared" si="13"/>
        <v>38717</v>
      </c>
      <c r="J138">
        <f t="shared" si="14"/>
        <v>11.176349502431652</v>
      </c>
      <c r="K138">
        <f t="shared" si="15"/>
        <v>180.09584684520638</v>
      </c>
      <c r="L138">
        <f t="shared" si="16"/>
        <v>145.23032769177368</v>
      </c>
      <c r="M138">
        <f t="shared" si="17"/>
        <v>319.26008752775766</v>
      </c>
      <c r="N138">
        <f t="shared" si="18"/>
        <v>470.21744373947837</v>
      </c>
    </row>
    <row r="139" spans="1:14" x14ac:dyDescent="0.25">
      <c r="A139" s="1">
        <v>38748</v>
      </c>
      <c r="B139">
        <v>-9.3590241784521203E-2</v>
      </c>
      <c r="C139">
        <v>6.67305517918938E-2</v>
      </c>
      <c r="D139">
        <v>5.7201444391599798E-2</v>
      </c>
      <c r="E139">
        <v>5.4641304018412502E-2</v>
      </c>
      <c r="F139">
        <v>1.0795618556058E-2</v>
      </c>
      <c r="I139" s="7">
        <f t="shared" si="13"/>
        <v>38748</v>
      </c>
      <c r="J139">
        <f t="shared" si="14"/>
        <v>10.130352250230761</v>
      </c>
      <c r="K139">
        <f t="shared" si="15"/>
        <v>192.11374208061537</v>
      </c>
      <c r="L139">
        <f t="shared" si="16"/>
        <v>153.53771220520849</v>
      </c>
      <c r="M139">
        <f t="shared" si="17"/>
        <v>336.70487503130687</v>
      </c>
      <c r="N139">
        <f t="shared" si="18"/>
        <v>475.29373190049444</v>
      </c>
    </row>
    <row r="140" spans="1:14" x14ac:dyDescent="0.25">
      <c r="A140" s="1">
        <v>38776</v>
      </c>
      <c r="B140">
        <v>-5.61083294228234E-2</v>
      </c>
      <c r="C140">
        <v>-6.6926986217220805E-2</v>
      </c>
      <c r="D140">
        <v>-3.92173224103722E-2</v>
      </c>
      <c r="E140">
        <v>-2.3546822529012201E-2</v>
      </c>
      <c r="F140">
        <v>4.2271532055956403E-3</v>
      </c>
      <c r="I140" s="7">
        <f t="shared" si="13"/>
        <v>38776</v>
      </c>
      <c r="J140">
        <f t="shared" si="14"/>
        <v>9.5619551090055737</v>
      </c>
      <c r="K140">
        <f t="shared" si="15"/>
        <v>179.25614831224732</v>
      </c>
      <c r="L140">
        <f t="shared" si="16"/>
        <v>147.51637424350588</v>
      </c>
      <c r="M140">
        <f t="shared" si="17"/>
        <v>328.77654509429146</v>
      </c>
      <c r="N140">
        <f t="shared" si="18"/>
        <v>477.3028713228972</v>
      </c>
    </row>
    <row r="141" spans="1:14" x14ac:dyDescent="0.25">
      <c r="A141" s="1">
        <v>38807</v>
      </c>
      <c r="B141">
        <v>2.4390361600812802E-2</v>
      </c>
      <c r="C141">
        <v>2.7184713566353901E-2</v>
      </c>
      <c r="D141">
        <v>-1.72391969537137E-2</v>
      </c>
      <c r="E141">
        <v>-2.13525438140761E-3</v>
      </c>
      <c r="F141">
        <v>3.3069053003758702E-3</v>
      </c>
      <c r="I141" s="7">
        <f t="shared" si="13"/>
        <v>38807</v>
      </c>
      <c r="J141">
        <f t="shared" si="14"/>
        <v>9.7951746517249578</v>
      </c>
      <c r="K141">
        <f t="shared" si="15"/>
        <v>184.12917535912362</v>
      </c>
      <c r="L141">
        <f t="shared" si="16"/>
        <v>144.97331041402435</v>
      </c>
      <c r="M141">
        <f t="shared" si="17"/>
        <v>328.07452353587485</v>
      </c>
      <c r="N141">
        <f t="shared" si="18"/>
        <v>478.88126671795948</v>
      </c>
    </row>
    <row r="142" spans="1:14" x14ac:dyDescent="0.25">
      <c r="A142" s="1">
        <v>38837</v>
      </c>
      <c r="B142">
        <v>5.5648062395734103E-2</v>
      </c>
      <c r="C142">
        <v>8.8464638012313496E-2</v>
      </c>
      <c r="D142">
        <v>3.7727221570620202E-2</v>
      </c>
      <c r="E142">
        <v>1.10003900178441E-2</v>
      </c>
      <c r="F142">
        <v>-4.0381673179153199E-2</v>
      </c>
      <c r="I142" s="7">
        <f t="shared" si="13"/>
        <v>38837</v>
      </c>
      <c r="J142">
        <f t="shared" si="14"/>
        <v>10.340257141921262</v>
      </c>
      <c r="K142">
        <f t="shared" si="15"/>
        <v>200.41809620477429</v>
      </c>
      <c r="L142">
        <f t="shared" si="16"/>
        <v>150.44275061784055</v>
      </c>
      <c r="M142">
        <f t="shared" si="17"/>
        <v>331.68347124968784</v>
      </c>
      <c r="N142">
        <f t="shared" si="18"/>
        <v>459.54323991373593</v>
      </c>
    </row>
    <row r="143" spans="1:14" x14ac:dyDescent="0.25">
      <c r="A143" s="1">
        <v>38868</v>
      </c>
      <c r="B143">
        <v>-3.03749136336188E-2</v>
      </c>
      <c r="C143">
        <v>-4.83128085371008E-2</v>
      </c>
      <c r="D143">
        <v>-6.0215839584927398E-2</v>
      </c>
      <c r="E143">
        <v>-3.4247914336634398E-2</v>
      </c>
      <c r="F143">
        <v>-1.82520165026736E-2</v>
      </c>
      <c r="I143" s="7">
        <f t="shared" si="13"/>
        <v>38868</v>
      </c>
      <c r="J143">
        <f t="shared" si="14"/>
        <v>10.026172724285994</v>
      </c>
      <c r="K143">
        <f t="shared" si="15"/>
        <v>190.73533509546277</v>
      </c>
      <c r="L143">
        <f t="shared" si="16"/>
        <v>141.38371407992142</v>
      </c>
      <c r="M143">
        <f t="shared" si="17"/>
        <v>320.32400413945101</v>
      </c>
      <c r="N143">
        <f t="shared" si="18"/>
        <v>451.15564911513832</v>
      </c>
    </row>
    <row r="144" spans="1:14" x14ac:dyDescent="0.25">
      <c r="A144" s="1">
        <v>38898</v>
      </c>
      <c r="B144">
        <v>-6.03263672321247E-2</v>
      </c>
      <c r="C144">
        <v>-5.4510347958387504E-3</v>
      </c>
      <c r="D144">
        <v>3.1887411309288898E-3</v>
      </c>
      <c r="E144">
        <v>-5.7232292635718301E-2</v>
      </c>
      <c r="F144">
        <v>-7.6240000412843997E-2</v>
      </c>
      <c r="I144" s="7">
        <f t="shared" si="13"/>
        <v>38898</v>
      </c>
      <c r="J144">
        <f t="shared" si="14"/>
        <v>9.4213301465880051</v>
      </c>
      <c r="K144">
        <f t="shared" si="15"/>
        <v>189.69563014706145</v>
      </c>
      <c r="L144">
        <f t="shared" si="16"/>
        <v>141.83455014425155</v>
      </c>
      <c r="M144">
        <f t="shared" si="17"/>
        <v>301.99112699629694</v>
      </c>
      <c r="N144">
        <f t="shared" si="18"/>
        <v>416.75954224034331</v>
      </c>
    </row>
    <row r="145" spans="1:14" x14ac:dyDescent="0.25">
      <c r="A145" s="1">
        <v>38929</v>
      </c>
      <c r="B145">
        <v>1.05805616168779E-2</v>
      </c>
      <c r="C145">
        <v>2.3111568860387299E-2</v>
      </c>
      <c r="D145">
        <v>-1.9836949004270899E-3</v>
      </c>
      <c r="E145">
        <v>3.4754484129197499E-3</v>
      </c>
      <c r="F145">
        <v>3.1304350830079798E-2</v>
      </c>
      <c r="I145" s="7">
        <f t="shared" si="13"/>
        <v>38929</v>
      </c>
      <c r="J145">
        <f t="shared" si="14"/>
        <v>9.5210131107169289</v>
      </c>
      <c r="K145">
        <f t="shared" si="15"/>
        <v>194.07979376571984</v>
      </c>
      <c r="L145">
        <f t="shared" si="16"/>
        <v>141.55319367042603</v>
      </c>
      <c r="M145">
        <f t="shared" si="17"/>
        <v>303.0406815793321</v>
      </c>
      <c r="N145">
        <f t="shared" si="18"/>
        <v>429.80592916241852</v>
      </c>
    </row>
    <row r="146" spans="1:14" x14ac:dyDescent="0.25">
      <c r="A146" s="1">
        <v>38960</v>
      </c>
      <c r="B146">
        <v>-4.59857859829035E-4</v>
      </c>
      <c r="C146">
        <v>-2.78505904396678E-2</v>
      </c>
      <c r="D146">
        <v>-1.5383357250106399E-2</v>
      </c>
      <c r="E146">
        <v>-5.1181368910996498E-2</v>
      </c>
      <c r="F146">
        <v>3.91767449775378E-2</v>
      </c>
      <c r="I146" s="7">
        <f t="shared" si="13"/>
        <v>38960</v>
      </c>
      <c r="J146">
        <f t="shared" si="14"/>
        <v>9.5166347980044304</v>
      </c>
      <c r="K146">
        <f t="shared" si="15"/>
        <v>188.67455691693559</v>
      </c>
      <c r="L146">
        <f t="shared" si="16"/>
        <v>139.37563032230037</v>
      </c>
      <c r="M146">
        <f t="shared" si="17"/>
        <v>287.53064466038052</v>
      </c>
      <c r="N146">
        <f t="shared" si="18"/>
        <v>446.64432643904826</v>
      </c>
    </row>
    <row r="147" spans="1:14" x14ac:dyDescent="0.25">
      <c r="A147" s="1">
        <v>38990</v>
      </c>
      <c r="B147">
        <v>-1.5334876445951899E-2</v>
      </c>
      <c r="C147">
        <v>-5.7575774457310396E-3</v>
      </c>
      <c r="D147">
        <v>-5.9475740678222103E-3</v>
      </c>
      <c r="E147">
        <v>-2.94453230307558E-2</v>
      </c>
      <c r="F147">
        <v>6.8225673626523499E-3</v>
      </c>
      <c r="I147" s="7">
        <f t="shared" si="13"/>
        <v>38990</v>
      </c>
      <c r="J147">
        <f t="shared" si="14"/>
        <v>9.3706983791957867</v>
      </c>
      <c r="K147">
        <f t="shared" si="15"/>
        <v>187.58824854344735</v>
      </c>
      <c r="L147">
        <f t="shared" si="16"/>
        <v>138.54668343770908</v>
      </c>
      <c r="M147">
        <f t="shared" si="17"/>
        <v>279.06421194711419</v>
      </c>
      <c r="N147">
        <f t="shared" si="18"/>
        <v>449.69158744332515</v>
      </c>
    </row>
    <row r="148" spans="1:14" x14ac:dyDescent="0.25">
      <c r="A148" s="1">
        <v>39021</v>
      </c>
      <c r="B148">
        <v>-5.5513912382551697E-2</v>
      </c>
      <c r="C148">
        <v>-4.92517902628751E-2</v>
      </c>
      <c r="D148">
        <v>4.3220344055592396E-3</v>
      </c>
      <c r="E148">
        <v>-2.1556924753773101E-2</v>
      </c>
      <c r="F148">
        <v>-5.3749847019800099E-3</v>
      </c>
      <c r="I148" s="7">
        <f t="shared" si="13"/>
        <v>39021</v>
      </c>
      <c r="J148">
        <f t="shared" si="14"/>
        <v>8.8504942504097937</v>
      </c>
      <c r="K148">
        <f t="shared" si="15"/>
        <v>178.3491914704054</v>
      </c>
      <c r="L148">
        <f t="shared" si="16"/>
        <v>139.14548697030298</v>
      </c>
      <c r="M148">
        <f t="shared" si="17"/>
        <v>273.04844572869928</v>
      </c>
      <c r="N148">
        <f t="shared" si="18"/>
        <v>447.27450204020812</v>
      </c>
    </row>
    <row r="149" spans="1:14" x14ac:dyDescent="0.25">
      <c r="A149" s="1">
        <v>39051</v>
      </c>
      <c r="B149">
        <v>-5.03474281257765E-2</v>
      </c>
      <c r="C149">
        <v>-1.91403257824098E-2</v>
      </c>
      <c r="D149">
        <v>-5.1358315321812599E-2</v>
      </c>
      <c r="E149">
        <v>-8.2417469669112606E-2</v>
      </c>
      <c r="F149">
        <v>-3.0946203341974499E-2</v>
      </c>
      <c r="I149" s="7">
        <f t="shared" si="13"/>
        <v>39051</v>
      </c>
      <c r="J149">
        <f t="shared" si="14"/>
        <v>8.4048946272596883</v>
      </c>
      <c r="K149">
        <f t="shared" si="15"/>
        <v>174.93552984263246</v>
      </c>
      <c r="L149">
        <f t="shared" si="16"/>
        <v>131.99920917487501</v>
      </c>
      <c r="M149">
        <f t="shared" si="17"/>
        <v>250.54448373465587</v>
      </c>
      <c r="N149">
        <f t="shared" si="18"/>
        <v>433.43305435039144</v>
      </c>
    </row>
    <row r="150" spans="1:14" x14ac:dyDescent="0.25">
      <c r="A150" s="1">
        <v>39082</v>
      </c>
      <c r="B150">
        <v>-1.6588458411712401E-2</v>
      </c>
      <c r="C150">
        <v>-2.0255449654815998E-2</v>
      </c>
      <c r="D150">
        <v>-2.0668350697541499E-2</v>
      </c>
      <c r="E150">
        <v>2.7137752511085501E-2</v>
      </c>
      <c r="F150">
        <v>3.8732065772088702E-2</v>
      </c>
      <c r="I150" s="7">
        <f t="shared" si="13"/>
        <v>39082</v>
      </c>
      <c r="J150">
        <f t="shared" si="14"/>
        <v>8.2654703822805651</v>
      </c>
      <c r="K150">
        <f t="shared" si="15"/>
        <v>171.39213202506647</v>
      </c>
      <c r="L150">
        <f t="shared" si="16"/>
        <v>129.27100322785054</v>
      </c>
      <c r="M150">
        <f t="shared" si="17"/>
        <v>257.3436979272646</v>
      </c>
      <c r="N150">
        <f t="shared" si="18"/>
        <v>450.22081191928805</v>
      </c>
    </row>
    <row r="151" spans="1:14" x14ac:dyDescent="0.25">
      <c r="A151" s="1">
        <v>39113</v>
      </c>
      <c r="B151">
        <v>5.9591500543465403E-2</v>
      </c>
      <c r="C151">
        <v>2.0853497309942699E-2</v>
      </c>
      <c r="D151">
        <v>1.6809547695535498E-2</v>
      </c>
      <c r="E151">
        <v>3.88259538949811E-2</v>
      </c>
      <c r="F151">
        <v>7.0758970653409303E-2</v>
      </c>
      <c r="I151" s="7">
        <f t="shared" si="13"/>
        <v>39113</v>
      </c>
      <c r="J151">
        <f t="shared" si="14"/>
        <v>8.7580221650582359</v>
      </c>
      <c r="K151">
        <f t="shared" si="15"/>
        <v>174.96625738919656</v>
      </c>
      <c r="L151">
        <f t="shared" si="16"/>
        <v>131.4439903222588</v>
      </c>
      <c r="M151">
        <f t="shared" si="17"/>
        <v>267.3353124781525</v>
      </c>
      <c r="N151">
        <f t="shared" si="18"/>
        <v>482.07797313743907</v>
      </c>
    </row>
    <row r="152" spans="1:14" x14ac:dyDescent="0.25">
      <c r="A152" s="1">
        <v>39141</v>
      </c>
      <c r="B152">
        <v>-3.0241166322364202E-3</v>
      </c>
      <c r="C152">
        <v>-3.8130855093956501E-2</v>
      </c>
      <c r="D152">
        <v>-2.1375874459090099E-2</v>
      </c>
      <c r="E152">
        <v>-5.3363205565389399E-2</v>
      </c>
      <c r="F152">
        <v>-1.4890017050634001E-2</v>
      </c>
      <c r="I152" s="7">
        <f t="shared" si="13"/>
        <v>39141</v>
      </c>
      <c r="J152">
        <f t="shared" si="14"/>
        <v>8.7315368845633881</v>
      </c>
      <c r="K152">
        <f t="shared" si="15"/>
        <v>168.29464438235721</v>
      </c>
      <c r="L152">
        <f t="shared" si="16"/>
        <v>128.63426008672835</v>
      </c>
      <c r="M152">
        <f t="shared" si="17"/>
        <v>253.06944324349323</v>
      </c>
      <c r="N152">
        <f t="shared" si="18"/>
        <v>474.89982389768755</v>
      </c>
    </row>
    <row r="153" spans="1:14" x14ac:dyDescent="0.25">
      <c r="A153" s="1">
        <v>39172</v>
      </c>
      <c r="B153">
        <v>3.2347370996235698E-2</v>
      </c>
      <c r="C153">
        <v>-4.2095688683379602E-2</v>
      </c>
      <c r="D153">
        <v>-5.1868660843034403E-2</v>
      </c>
      <c r="E153">
        <v>-1.0990478714034701E-2</v>
      </c>
      <c r="F153">
        <v>4.55943474288674E-2</v>
      </c>
      <c r="I153" s="7">
        <f t="shared" si="13"/>
        <v>39172</v>
      </c>
      <c r="J153">
        <f t="shared" si="14"/>
        <v>9.0139791475356752</v>
      </c>
      <c r="K153">
        <f t="shared" si="15"/>
        <v>161.21016542535742</v>
      </c>
      <c r="L153">
        <f t="shared" si="16"/>
        <v>121.96217327749515</v>
      </c>
      <c r="M153">
        <f t="shared" si="17"/>
        <v>250.28808891435301</v>
      </c>
      <c r="N153">
        <f t="shared" si="18"/>
        <v>496.55257146238665</v>
      </c>
    </row>
    <row r="154" spans="1:14" x14ac:dyDescent="0.25">
      <c r="A154" s="1">
        <v>39202</v>
      </c>
      <c r="B154">
        <v>-6.3259082671048905E-2</v>
      </c>
      <c r="C154">
        <v>-1.52954900542722E-2</v>
      </c>
      <c r="D154">
        <v>1.6050869795057002E-2</v>
      </c>
      <c r="E154">
        <v>7.7015217361201798E-3</v>
      </c>
      <c r="F154">
        <v>1.7655066841161599E-2</v>
      </c>
      <c r="I154" s="7">
        <f t="shared" si="13"/>
        <v>39202</v>
      </c>
      <c r="J154">
        <f t="shared" si="14"/>
        <v>8.4437630954466059</v>
      </c>
      <c r="K154">
        <f t="shared" si="15"/>
        <v>158.74437694344627</v>
      </c>
      <c r="L154">
        <f t="shared" si="16"/>
        <v>123.91977224069441</v>
      </c>
      <c r="M154">
        <f t="shared" si="17"/>
        <v>252.2156880714189</v>
      </c>
      <c r="N154">
        <f t="shared" si="18"/>
        <v>505.3192403017058</v>
      </c>
    </row>
    <row r="155" spans="1:14" x14ac:dyDescent="0.25">
      <c r="A155" s="1">
        <v>39233</v>
      </c>
      <c r="B155">
        <v>-8.5373359101256208E-3</v>
      </c>
      <c r="C155">
        <v>1.11194121874186E-2</v>
      </c>
      <c r="D155">
        <v>1.5737334395686701E-2</v>
      </c>
      <c r="E155">
        <v>-4.2120936337381502E-2</v>
      </c>
      <c r="F155">
        <v>-6.9646818610299699E-3</v>
      </c>
      <c r="I155" s="7">
        <f t="shared" si="13"/>
        <v>39233</v>
      </c>
      <c r="J155">
        <f t="shared" si="14"/>
        <v>8.3716758535552565</v>
      </c>
      <c r="K155">
        <f t="shared" si="15"/>
        <v>160.50952110311539</v>
      </c>
      <c r="L155">
        <f t="shared" si="16"/>
        <v>125.86993913468356</v>
      </c>
      <c r="M155">
        <f t="shared" si="17"/>
        <v>241.59212713087379</v>
      </c>
      <c r="N155">
        <f t="shared" si="18"/>
        <v>501.79985255474708</v>
      </c>
    </row>
    <row r="156" spans="1:14" x14ac:dyDescent="0.25">
      <c r="A156" s="1">
        <v>39263</v>
      </c>
      <c r="B156">
        <v>8.4582371163385104E-3</v>
      </c>
      <c r="C156">
        <v>7.39716264145025E-2</v>
      </c>
      <c r="D156">
        <v>6.5932664654250697E-2</v>
      </c>
      <c r="E156">
        <v>7.9042606298800999E-2</v>
      </c>
      <c r="F156">
        <v>1.5214071513562201E-2</v>
      </c>
      <c r="I156" s="7">
        <f t="shared" si="13"/>
        <v>39263</v>
      </c>
      <c r="J156">
        <f t="shared" si="14"/>
        <v>8.4424854729857515</v>
      </c>
      <c r="K156">
        <f t="shared" si="15"/>
        <v>172.38267143412574</v>
      </c>
      <c r="L156">
        <f t="shared" si="16"/>
        <v>134.16887962170159</v>
      </c>
      <c r="M156">
        <f t="shared" si="17"/>
        <v>260.6881985205693</v>
      </c>
      <c r="N156">
        <f t="shared" si="18"/>
        <v>509.43427139700998</v>
      </c>
    </row>
    <row r="157" spans="1:14" x14ac:dyDescent="0.25">
      <c r="A157" s="1">
        <v>39294</v>
      </c>
      <c r="B157">
        <v>-1.7015847727906399E-2</v>
      </c>
      <c r="C157">
        <v>6.04877166578194E-2</v>
      </c>
      <c r="D157">
        <v>5.7427999607633597E-2</v>
      </c>
      <c r="E157">
        <v>3.6411275072334999E-2</v>
      </c>
      <c r="F157">
        <v>1.8519937427491799E-2</v>
      </c>
      <c r="I157" s="7">
        <f t="shared" si="13"/>
        <v>39294</v>
      </c>
      <c r="J157">
        <f t="shared" si="14"/>
        <v>8.2988294257323645</v>
      </c>
      <c r="K157">
        <f t="shared" si="15"/>
        <v>182.80970562055114</v>
      </c>
      <c r="L157">
        <f t="shared" si="16"/>
        <v>141.87392998797333</v>
      </c>
      <c r="M157">
        <f t="shared" si="17"/>
        <v>270.18018822501324</v>
      </c>
      <c r="N157">
        <f t="shared" si="18"/>
        <v>518.86896222670248</v>
      </c>
    </row>
    <row r="158" spans="1:14" x14ac:dyDescent="0.25">
      <c r="A158" s="1">
        <v>39325</v>
      </c>
      <c r="B158">
        <v>2.47867333043172E-3</v>
      </c>
      <c r="C158">
        <v>7.5613457086182903E-2</v>
      </c>
      <c r="D158">
        <v>-9.9923474125756494E-3</v>
      </c>
      <c r="E158">
        <v>-3.07289066818681E-2</v>
      </c>
      <c r="F158">
        <v>-2.35602918936322E-2</v>
      </c>
      <c r="I158" s="7">
        <f t="shared" si="13"/>
        <v>39325</v>
      </c>
      <c r="J158">
        <f t="shared" si="14"/>
        <v>8.319399512903729</v>
      </c>
      <c r="K158">
        <f t="shared" si="15"/>
        <v>196.6325794514284</v>
      </c>
      <c r="L158">
        <f t="shared" si="16"/>
        <v>140.45627639074607</v>
      </c>
      <c r="M158">
        <f t="shared" si="17"/>
        <v>261.87784643375727</v>
      </c>
      <c r="N158">
        <f t="shared" si="18"/>
        <v>506.64425802209536</v>
      </c>
    </row>
    <row r="159" spans="1:14" x14ac:dyDescent="0.25">
      <c r="A159" s="1">
        <v>39355</v>
      </c>
      <c r="B159">
        <v>-9.5171215318233197E-3</v>
      </c>
      <c r="C159">
        <v>5.0439180064247802E-2</v>
      </c>
      <c r="D159">
        <v>4.0379540304998997E-2</v>
      </c>
      <c r="E159">
        <v>3.5169193411042098E-2</v>
      </c>
      <c r="F159">
        <v>-9.98587392572081E-3</v>
      </c>
      <c r="I159" s="7">
        <f t="shared" si="13"/>
        <v>39355</v>
      </c>
      <c r="J159">
        <f t="shared" si="14"/>
        <v>8.2402227766676326</v>
      </c>
      <c r="K159">
        <f t="shared" si="15"/>
        <v>206.5505655328765</v>
      </c>
      <c r="L159">
        <f t="shared" si="16"/>
        <v>146.12783626435626</v>
      </c>
      <c r="M159">
        <f t="shared" si="17"/>
        <v>271.08787906505324</v>
      </c>
      <c r="N159">
        <f t="shared" si="18"/>
        <v>501.58497233629635</v>
      </c>
    </row>
    <row r="160" spans="1:14" x14ac:dyDescent="0.25">
      <c r="A160" s="1">
        <v>39386</v>
      </c>
      <c r="B160">
        <v>2.9668218204886999E-2</v>
      </c>
      <c r="C160">
        <v>7.4939631815720803E-2</v>
      </c>
      <c r="D160">
        <v>8.6335851151468399E-2</v>
      </c>
      <c r="E160">
        <v>5.3264516341252302E-2</v>
      </c>
      <c r="F160">
        <v>1.03665300214808E-2</v>
      </c>
      <c r="I160" s="7">
        <f t="shared" si="13"/>
        <v>39386</v>
      </c>
      <c r="J160">
        <f t="shared" si="14"/>
        <v>8.4846955040626888</v>
      </c>
      <c r="K160">
        <f t="shared" si="15"/>
        <v>222.02938886523916</v>
      </c>
      <c r="L160">
        <f t="shared" si="16"/>
        <v>158.74390738516189</v>
      </c>
      <c r="M160">
        <f t="shared" si="17"/>
        <v>285.52724382942921</v>
      </c>
      <c r="N160">
        <f t="shared" si="18"/>
        <v>506.78466801034421</v>
      </c>
    </row>
    <row r="161" spans="1:14" x14ac:dyDescent="0.25">
      <c r="A161" s="1">
        <v>39416</v>
      </c>
      <c r="B161">
        <v>8.3298195937046501E-2</v>
      </c>
      <c r="C161">
        <v>5.4941859139335997E-2</v>
      </c>
      <c r="D161">
        <v>5.2656746254387599E-2</v>
      </c>
      <c r="E161">
        <v>3.4264704145362798E-2</v>
      </c>
      <c r="F161">
        <v>2.5734986083981899E-2</v>
      </c>
      <c r="I161" s="7">
        <f t="shared" si="13"/>
        <v>39416</v>
      </c>
      <c r="J161">
        <f t="shared" si="14"/>
        <v>9.1914553326262798</v>
      </c>
      <c r="K161">
        <f t="shared" si="15"/>
        <v>234.228096273066</v>
      </c>
      <c r="L161">
        <f t="shared" si="16"/>
        <v>167.10284503577236</v>
      </c>
      <c r="M161">
        <f t="shared" si="17"/>
        <v>295.31075036468548</v>
      </c>
      <c r="N161">
        <f t="shared" si="18"/>
        <v>519.82676438916587</v>
      </c>
    </row>
    <row r="162" spans="1:14" x14ac:dyDescent="0.25">
      <c r="A162" s="1">
        <v>39447</v>
      </c>
      <c r="B162">
        <v>5.6179718197100499E-2</v>
      </c>
      <c r="C162">
        <v>4.57523176344291E-2</v>
      </c>
      <c r="D162">
        <v>4.8297359217566602E-2</v>
      </c>
      <c r="E162">
        <v>0.12299935038752299</v>
      </c>
      <c r="F162">
        <v>0.138138655501441</v>
      </c>
      <c r="I162" s="7">
        <f t="shared" si="13"/>
        <v>39447</v>
      </c>
      <c r="J162">
        <f t="shared" si="14"/>
        <v>9.7078287030344601</v>
      </c>
      <c r="K162">
        <f t="shared" si="15"/>
        <v>244.94457453265892</v>
      </c>
      <c r="L162">
        <f t="shared" si="16"/>
        <v>175.17347116874242</v>
      </c>
      <c r="M162">
        <f t="shared" si="17"/>
        <v>331.63378082199381</v>
      </c>
      <c r="N162">
        <f t="shared" si="18"/>
        <v>591.63493471554955</v>
      </c>
    </row>
    <row r="163" spans="1:14" x14ac:dyDescent="0.25">
      <c r="A163" s="1">
        <v>39478</v>
      </c>
      <c r="B163">
        <v>-2.0842146152859401E-2</v>
      </c>
      <c r="C163">
        <v>2.12913760949245E-2</v>
      </c>
      <c r="D163">
        <v>-9.1628660308964108E-3</v>
      </c>
      <c r="E163">
        <v>5.91310377401876E-3</v>
      </c>
      <c r="F163">
        <v>-2.52917434105559E-2</v>
      </c>
      <c r="I163" s="7">
        <f t="shared" si="13"/>
        <v>39478</v>
      </c>
      <c r="J163">
        <f t="shared" si="14"/>
        <v>9.5054967183788932</v>
      </c>
      <c r="K163">
        <f t="shared" si="15"/>
        <v>250.15978159144501</v>
      </c>
      <c r="L163">
        <f t="shared" si="16"/>
        <v>173.56838012025614</v>
      </c>
      <c r="M163">
        <f t="shared" si="17"/>
        <v>333.59476578296443</v>
      </c>
      <c r="N163">
        <f t="shared" si="18"/>
        <v>576.67145575400286</v>
      </c>
    </row>
    <row r="164" spans="1:14" x14ac:dyDescent="0.25">
      <c r="A164" s="1">
        <v>39507</v>
      </c>
      <c r="B164">
        <v>-2.2276960388901701E-2</v>
      </c>
      <c r="C164">
        <v>-1.34269534134782E-2</v>
      </c>
      <c r="D164">
        <v>-2.1270922526703099E-2</v>
      </c>
      <c r="E164">
        <v>-9.3743692413536302E-3</v>
      </c>
      <c r="F164">
        <v>2.11067880440205E-2</v>
      </c>
      <c r="I164" s="7">
        <f t="shared" si="13"/>
        <v>39507</v>
      </c>
      <c r="J164">
        <f t="shared" si="14"/>
        <v>9.2937431445067311</v>
      </c>
      <c r="K164">
        <f t="shared" si="15"/>
        <v>246.80089785809079</v>
      </c>
      <c r="L164">
        <f t="shared" si="16"/>
        <v>169.87642055363281</v>
      </c>
      <c r="M164">
        <f t="shared" si="17"/>
        <v>330.46752527153205</v>
      </c>
      <c r="N164">
        <f t="shared" si="18"/>
        <v>588.84313794163938</v>
      </c>
    </row>
    <row r="165" spans="1:14" x14ac:dyDescent="0.25">
      <c r="A165" s="1">
        <v>39538</v>
      </c>
      <c r="B165">
        <v>1.9473842502049799E-2</v>
      </c>
      <c r="C165">
        <v>1.05211580985607E-2</v>
      </c>
      <c r="D165">
        <v>-4.6823753573022597E-3</v>
      </c>
      <c r="E165">
        <v>2.01843798280925E-2</v>
      </c>
      <c r="F165">
        <v>1.5949283145593799E-2</v>
      </c>
      <c r="I165" s="7">
        <f t="shared" si="13"/>
        <v>39538</v>
      </c>
      <c r="J165">
        <f t="shared" si="14"/>
        <v>9.4747280347573604</v>
      </c>
      <c r="K165">
        <f t="shared" si="15"/>
        <v>249.3975291233225</v>
      </c>
      <c r="L165">
        <f t="shared" si="16"/>
        <v>169.08099538824578</v>
      </c>
      <c r="M165">
        <f t="shared" si="17"/>
        <v>337.13780732246244</v>
      </c>
      <c r="N165">
        <f t="shared" si="18"/>
        <v>598.23476387701055</v>
      </c>
    </row>
    <row r="166" spans="1:14" x14ac:dyDescent="0.25">
      <c r="A166" s="1">
        <v>39568</v>
      </c>
      <c r="B166">
        <v>7.8738143976451402E-2</v>
      </c>
      <c r="C166">
        <v>3.5864540351666602E-3</v>
      </c>
      <c r="D166">
        <v>5.2676736407815498E-2</v>
      </c>
      <c r="E166">
        <v>6.3788969863280698E-2</v>
      </c>
      <c r="F166">
        <v>5.7247881720392697E-2</v>
      </c>
      <c r="I166" s="7">
        <f t="shared" si="13"/>
        <v>39568</v>
      </c>
      <c r="J166">
        <f t="shared" si="14"/>
        <v>10.220750534895807</v>
      </c>
      <c r="K166">
        <f t="shared" si="15"/>
        <v>250.29198189800744</v>
      </c>
      <c r="L166">
        <f t="shared" si="16"/>
        <v>177.98763041388349</v>
      </c>
      <c r="M166">
        <f t="shared" si="17"/>
        <v>358.64348075352757</v>
      </c>
      <c r="N166">
        <f t="shared" si="18"/>
        <v>632.48243688046875</v>
      </c>
    </row>
    <row r="167" spans="1:14" x14ac:dyDescent="0.25">
      <c r="A167" s="1">
        <v>39599</v>
      </c>
      <c r="B167">
        <v>-1.58849901472407E-2</v>
      </c>
      <c r="C167">
        <v>-9.6615205775265903E-2</v>
      </c>
      <c r="D167">
        <v>-7.4960172119055202E-2</v>
      </c>
      <c r="E167">
        <v>3.67346248608795E-3</v>
      </c>
      <c r="F167">
        <v>5.43645483304563E-2</v>
      </c>
      <c r="I167" s="7">
        <f t="shared" si="13"/>
        <v>39599</v>
      </c>
      <c r="J167">
        <f t="shared" si="14"/>
        <v>10.058394013351583</v>
      </c>
      <c r="K167">
        <f t="shared" si="15"/>
        <v>226.10997056303231</v>
      </c>
      <c r="L167">
        <f t="shared" si="16"/>
        <v>164.64564700299601</v>
      </c>
      <c r="M167">
        <f t="shared" si="17"/>
        <v>359.96094412595562</v>
      </c>
      <c r="N167">
        <f t="shared" si="18"/>
        <v>666.86705888842175</v>
      </c>
    </row>
    <row r="168" spans="1:14" x14ac:dyDescent="0.25">
      <c r="A168" s="1">
        <v>39629</v>
      </c>
      <c r="B168">
        <v>4.4687195493887999E-2</v>
      </c>
      <c r="C168">
        <v>7.2882077620367997E-2</v>
      </c>
      <c r="D168">
        <v>6.07629799750816E-2</v>
      </c>
      <c r="E168">
        <v>1.6481978418903101E-2</v>
      </c>
      <c r="F168">
        <v>1.0025393598445899E-2</v>
      </c>
      <c r="I168" s="7">
        <f t="shared" si="13"/>
        <v>39629</v>
      </c>
      <c r="J168">
        <f t="shared" si="14"/>
        <v>10.507875432980777</v>
      </c>
      <c r="K168">
        <f t="shared" si="15"/>
        <v>242.58933498834637</v>
      </c>
      <c r="L168">
        <f t="shared" si="16"/>
        <v>174.65000715482341</v>
      </c>
      <c r="M168">
        <f t="shared" si="17"/>
        <v>365.89381263868762</v>
      </c>
      <c r="N168">
        <f t="shared" si="18"/>
        <v>673.55266363161627</v>
      </c>
    </row>
    <row r="169" spans="1:14" x14ac:dyDescent="0.25">
      <c r="A169" s="1">
        <v>39660</v>
      </c>
      <c r="B169">
        <v>-3.4022142679083101E-2</v>
      </c>
      <c r="C169">
        <v>3.44971452552661E-2</v>
      </c>
      <c r="D169">
        <v>1.7273346486634599E-2</v>
      </c>
      <c r="E169">
        <v>-1.97037737859986E-2</v>
      </c>
      <c r="F169">
        <v>-3.9383999584737102E-2</v>
      </c>
      <c r="I169" s="7">
        <f t="shared" si="13"/>
        <v>39660</v>
      </c>
      <c r="J169">
        <f t="shared" si="14"/>
        <v>10.150374995745873</v>
      </c>
      <c r="K169">
        <f t="shared" si="15"/>
        <v>250.95797451481775</v>
      </c>
      <c r="L169">
        <f t="shared" si="16"/>
        <v>177.6667972423019</v>
      </c>
      <c r="M169">
        <f t="shared" si="17"/>
        <v>358.68432372475837</v>
      </c>
      <c r="N169">
        <f t="shared" si="18"/>
        <v>647.02546580685009</v>
      </c>
    </row>
    <row r="170" spans="1:14" x14ac:dyDescent="0.25">
      <c r="A170" s="1">
        <v>39691</v>
      </c>
      <c r="B170">
        <v>-1.36297047430128E-2</v>
      </c>
      <c r="C170">
        <v>-1.34633600459385E-2</v>
      </c>
      <c r="D170">
        <v>-7.7366531655165801E-3</v>
      </c>
      <c r="E170">
        <v>-2.9582831348038002E-2</v>
      </c>
      <c r="F170">
        <v>3.98296880493164E-2</v>
      </c>
      <c r="I170" s="7">
        <f t="shared" si="13"/>
        <v>39691</v>
      </c>
      <c r="J170">
        <f t="shared" si="14"/>
        <v>10.012028381522995</v>
      </c>
      <c r="K170">
        <f t="shared" si="15"/>
        <v>247.57923694752529</v>
      </c>
      <c r="L170">
        <f t="shared" si="16"/>
        <v>176.29225085301005</v>
      </c>
      <c r="M170">
        <f t="shared" si="17"/>
        <v>348.07342586882379</v>
      </c>
      <c r="N170">
        <f t="shared" si="18"/>
        <v>672.79628826990051</v>
      </c>
    </row>
    <row r="171" spans="1:14" x14ac:dyDescent="0.25">
      <c r="A171" s="1">
        <v>39721</v>
      </c>
      <c r="B171">
        <v>6.2477022609168001E-2</v>
      </c>
      <c r="C171">
        <v>4.2993586250072199E-2</v>
      </c>
      <c r="D171">
        <v>6.4865033567148003E-3</v>
      </c>
      <c r="E171">
        <v>8.2947807667365495E-2</v>
      </c>
      <c r="F171">
        <v>3.57269024642307E-2</v>
      </c>
      <c r="I171" s="7">
        <f t="shared" si="13"/>
        <v>39721</v>
      </c>
      <c r="J171">
        <f t="shared" si="14"/>
        <v>10.63755010507904</v>
      </c>
      <c r="K171">
        <f t="shared" si="15"/>
        <v>258.22355622495576</v>
      </c>
      <c r="L171">
        <f t="shared" si="16"/>
        <v>177.43577112993088</v>
      </c>
      <c r="M171">
        <f t="shared" si="17"/>
        <v>376.94535345191201</v>
      </c>
      <c r="N171">
        <f t="shared" si="18"/>
        <v>696.83321563921561</v>
      </c>
    </row>
    <row r="172" spans="1:14" x14ac:dyDescent="0.25">
      <c r="A172" s="1">
        <v>39752</v>
      </c>
      <c r="B172">
        <v>0.100695216656461</v>
      </c>
      <c r="C172">
        <v>9.4154820080814203E-2</v>
      </c>
      <c r="D172">
        <v>0.10254700030113199</v>
      </c>
      <c r="E172">
        <v>6.4204535107535404E-2</v>
      </c>
      <c r="F172">
        <v>-0.10001398415023501</v>
      </c>
      <c r="I172" s="7">
        <f t="shared" si="13"/>
        <v>39752</v>
      </c>
      <c r="J172">
        <f t="shared" si="14"/>
        <v>11.708700517603933</v>
      </c>
      <c r="K172">
        <f t="shared" si="15"/>
        <v>282.53654870194447</v>
      </c>
      <c r="L172">
        <f t="shared" si="16"/>
        <v>195.63127720542349</v>
      </c>
      <c r="M172">
        <f t="shared" si="17"/>
        <v>401.14695463123763</v>
      </c>
      <c r="N172">
        <f t="shared" si="18"/>
        <v>627.14014945491783</v>
      </c>
    </row>
    <row r="173" spans="1:14" x14ac:dyDescent="0.25">
      <c r="A173" s="1">
        <v>39782</v>
      </c>
      <c r="B173">
        <v>2.0134352815896799E-2</v>
      </c>
      <c r="C173">
        <v>0.115842063394857</v>
      </c>
      <c r="D173">
        <v>0.20774755149500801</v>
      </c>
      <c r="E173">
        <v>0.13011938546610899</v>
      </c>
      <c r="F173">
        <v>8.6322118466358802E-3</v>
      </c>
      <c r="I173" s="7">
        <f t="shared" si="13"/>
        <v>39782</v>
      </c>
      <c r="J173">
        <f t="shared" si="14"/>
        <v>11.944447624841045</v>
      </c>
      <c r="K173">
        <f t="shared" si="15"/>
        <v>315.26616548803918</v>
      </c>
      <c r="L173">
        <f t="shared" si="16"/>
        <v>236.2731960406914</v>
      </c>
      <c r="M173">
        <f t="shared" si="17"/>
        <v>453.34394984945533</v>
      </c>
      <c r="N173">
        <f t="shared" si="18"/>
        <v>632.5537560825436</v>
      </c>
    </row>
    <row r="174" spans="1:14" x14ac:dyDescent="0.25">
      <c r="A174" s="1">
        <v>39813</v>
      </c>
      <c r="B174">
        <v>-0.162220570915771</v>
      </c>
      <c r="C174">
        <v>-9.4544063069301604E-2</v>
      </c>
      <c r="D174">
        <v>-0.116776202491134</v>
      </c>
      <c r="E174">
        <v>-0.112321884786952</v>
      </c>
      <c r="F174">
        <v>-8.1220919580481096E-2</v>
      </c>
      <c r="I174" s="7">
        <f t="shared" si="13"/>
        <v>39813</v>
      </c>
      <c r="J174">
        <f t="shared" si="14"/>
        <v>10.006812511865805</v>
      </c>
      <c r="K174">
        <f t="shared" si="15"/>
        <v>285.4596212545211</v>
      </c>
      <c r="L174">
        <f t="shared" si="16"/>
        <v>208.68210945661625</v>
      </c>
      <c r="M174">
        <f t="shared" si="17"/>
        <v>402.42350294560305</v>
      </c>
      <c r="N174">
        <f t="shared" si="18"/>
        <v>581.17715832943213</v>
      </c>
    </row>
    <row r="175" spans="1:14" x14ac:dyDescent="0.25">
      <c r="A175" s="1">
        <v>39844</v>
      </c>
      <c r="B175">
        <v>-4.0390975667844303E-2</v>
      </c>
      <c r="C175">
        <v>-6.1943296028002401E-2</v>
      </c>
      <c r="D175">
        <v>-7.1377025437300998E-2</v>
      </c>
      <c r="E175">
        <v>-4.0879753428519502E-2</v>
      </c>
      <c r="F175">
        <v>3.8529171843596798E-3</v>
      </c>
      <c r="I175" s="7">
        <f t="shared" si="13"/>
        <v>39844</v>
      </c>
      <c r="J175">
        <f t="shared" si="14"/>
        <v>9.6026275911863532</v>
      </c>
      <c r="K175">
        <f t="shared" si="15"/>
        <v>267.77731143111083</v>
      </c>
      <c r="L175">
        <f t="shared" si="16"/>
        <v>193.78700122162172</v>
      </c>
      <c r="M175">
        <f t="shared" si="17"/>
        <v>385.97252937134573</v>
      </c>
      <c r="N175">
        <f t="shared" si="18"/>
        <v>583.41638578991694</v>
      </c>
    </row>
    <row r="176" spans="1:14" x14ac:dyDescent="0.25">
      <c r="A176" s="1">
        <v>39872</v>
      </c>
      <c r="B176">
        <v>0.118781036444428</v>
      </c>
      <c r="C176">
        <v>9.3276368202349899E-2</v>
      </c>
      <c r="D176">
        <v>0.10234068677482901</v>
      </c>
      <c r="E176">
        <v>9.9319735272389895E-2</v>
      </c>
      <c r="F176">
        <v>4.6117262893981499E-2</v>
      </c>
      <c r="I176" s="7">
        <f t="shared" si="13"/>
        <v>39872</v>
      </c>
      <c r="J176">
        <f t="shared" si="14"/>
        <v>10.743237649057329</v>
      </c>
      <c r="K176">
        <f t="shared" si="15"/>
        <v>292.75460652839445</v>
      </c>
      <c r="L176">
        <f t="shared" si="16"/>
        <v>213.61929601467713</v>
      </c>
      <c r="M176">
        <f t="shared" si="17"/>
        <v>424.30721881092251</v>
      </c>
      <c r="N176">
        <f t="shared" si="18"/>
        <v>610.32195263004701</v>
      </c>
    </row>
    <row r="177" spans="1:14" x14ac:dyDescent="0.25">
      <c r="A177" s="1">
        <v>39903</v>
      </c>
      <c r="B177">
        <v>9.2543179161212394E-2</v>
      </c>
      <c r="C177">
        <v>-2.8029612651328799E-2</v>
      </c>
      <c r="D177">
        <v>-5.6281078865984401E-2</v>
      </c>
      <c r="E177">
        <v>-5.2304058146362901E-2</v>
      </c>
      <c r="F177">
        <v>-4.8415450832816703E-2</v>
      </c>
      <c r="I177" s="7">
        <f t="shared" si="13"/>
        <v>39903</v>
      </c>
      <c r="J177">
        <f t="shared" si="14"/>
        <v>11.737451015585524</v>
      </c>
      <c r="K177">
        <f t="shared" si="15"/>
        <v>284.54880830551139</v>
      </c>
      <c r="L177">
        <f t="shared" si="16"/>
        <v>201.59657156837901</v>
      </c>
      <c r="M177">
        <f t="shared" si="17"/>
        <v>402.11422936631453</v>
      </c>
      <c r="N177">
        <f t="shared" si="18"/>
        <v>580.77294014029826</v>
      </c>
    </row>
    <row r="178" spans="1:14" x14ac:dyDescent="0.25">
      <c r="A178" s="1">
        <v>39933</v>
      </c>
      <c r="B178">
        <v>-6.8640209349374703E-2</v>
      </c>
      <c r="C178">
        <v>-0.195524845742305</v>
      </c>
      <c r="D178">
        <v>-0.275013149433255</v>
      </c>
      <c r="E178">
        <v>-0.295196994197441</v>
      </c>
      <c r="F178">
        <v>-0.214787488812374</v>
      </c>
      <c r="I178" s="7">
        <f t="shared" si="13"/>
        <v>39933</v>
      </c>
      <c r="J178">
        <f t="shared" si="14"/>
        <v>10.931789920647702</v>
      </c>
      <c r="K178">
        <f t="shared" si="15"/>
        <v>228.91244645541957</v>
      </c>
      <c r="L178">
        <f t="shared" si="16"/>
        <v>146.15486350641248</v>
      </c>
      <c r="M178">
        <f t="shared" si="17"/>
        <v>283.4113175333581</v>
      </c>
      <c r="N178">
        <f t="shared" si="18"/>
        <v>456.03017875738442</v>
      </c>
    </row>
    <row r="179" spans="1:14" x14ac:dyDescent="0.25">
      <c r="A179" s="1">
        <v>39964</v>
      </c>
      <c r="B179">
        <v>-6.3549017828438303E-2</v>
      </c>
      <c r="C179">
        <v>-5.0776391403094798E-2</v>
      </c>
      <c r="D179">
        <v>-0.11410720320984399</v>
      </c>
      <c r="E179">
        <v>-0.13727170535970001</v>
      </c>
      <c r="F179">
        <v>-8.2431422454953496E-2</v>
      </c>
      <c r="I179" s="7">
        <f t="shared" si="13"/>
        <v>39964</v>
      </c>
      <c r="J179">
        <f t="shared" si="14"/>
        <v>10.237085408083718</v>
      </c>
      <c r="K179">
        <f t="shared" si="15"/>
        <v>217.28909847715923</v>
      </c>
      <c r="L179">
        <f t="shared" si="16"/>
        <v>129.47754079617926</v>
      </c>
      <c r="M179">
        <f t="shared" si="17"/>
        <v>244.50696265731457</v>
      </c>
      <c r="N179">
        <f t="shared" si="18"/>
        <v>418.4389624400265</v>
      </c>
    </row>
    <row r="180" spans="1:14" x14ac:dyDescent="0.25">
      <c r="A180" s="1">
        <v>39994</v>
      </c>
      <c r="B180">
        <v>-3.2913738348325998E-2</v>
      </c>
      <c r="C180">
        <v>-2.4585004301369999E-2</v>
      </c>
      <c r="D180">
        <v>4.2380690137461902E-2</v>
      </c>
      <c r="E180">
        <v>3.4629311250919302E-2</v>
      </c>
      <c r="F180">
        <v>2.1081002310054098E-2</v>
      </c>
      <c r="I180" s="7">
        <f t="shared" si="13"/>
        <v>39994</v>
      </c>
      <c r="J180">
        <f t="shared" si="14"/>
        <v>9.900144657512584</v>
      </c>
      <c r="K180">
        <f t="shared" si="15"/>
        <v>211.94704505645745</v>
      </c>
      <c r="L180">
        <f t="shared" si="16"/>
        <v>134.9648883324227</v>
      </c>
      <c r="M180">
        <f t="shared" si="17"/>
        <v>252.97407037019161</v>
      </c>
      <c r="N180">
        <f t="shared" si="18"/>
        <v>427.2600751738413</v>
      </c>
    </row>
    <row r="181" spans="1:14" x14ac:dyDescent="0.25">
      <c r="A181" s="1">
        <v>40025</v>
      </c>
      <c r="B181">
        <v>0.13251382666553399</v>
      </c>
      <c r="C181">
        <v>0.11616362477525</v>
      </c>
      <c r="D181">
        <v>-1.3388498658187101E-2</v>
      </c>
      <c r="E181">
        <v>-0.130686291687518</v>
      </c>
      <c r="F181">
        <v>-0.14951394978907101</v>
      </c>
      <c r="I181" s="7">
        <f t="shared" si="13"/>
        <v>40025</v>
      </c>
      <c r="J181">
        <f t="shared" si="14"/>
        <v>11.212050710621918</v>
      </c>
      <c r="K181">
        <f t="shared" si="15"/>
        <v>236.56758207061878</v>
      </c>
      <c r="L181">
        <f t="shared" si="16"/>
        <v>133.15791110608168</v>
      </c>
      <c r="M181">
        <f t="shared" si="17"/>
        <v>219.91382722041405</v>
      </c>
      <c r="N181">
        <f t="shared" si="18"/>
        <v>363.37873374742492</v>
      </c>
    </row>
    <row r="182" spans="1:14" x14ac:dyDescent="0.25">
      <c r="A182" s="1">
        <v>40056</v>
      </c>
      <c r="B182">
        <v>-2.5838305766963301E-2</v>
      </c>
      <c r="C182">
        <v>1.09431143646158E-2</v>
      </c>
      <c r="D182">
        <v>-1.3321274030188001E-2</v>
      </c>
      <c r="E182">
        <v>-0.104396759426104</v>
      </c>
      <c r="F182">
        <v>-7.5670435252253795E-2</v>
      </c>
      <c r="I182" s="7">
        <f t="shared" si="13"/>
        <v>40056</v>
      </c>
      <c r="J182">
        <f t="shared" si="14"/>
        <v>10.92235031608617</v>
      </c>
      <c r="K182">
        <f t="shared" si="15"/>
        <v>239.15636817617818</v>
      </c>
      <c r="L182">
        <f t="shared" si="16"/>
        <v>131.38407808295017</v>
      </c>
      <c r="M182">
        <f t="shared" si="17"/>
        <v>196.95553630561068</v>
      </c>
      <c r="N182">
        <f t="shared" si="18"/>
        <v>335.8817068033444</v>
      </c>
    </row>
    <row r="183" spans="1:14" x14ac:dyDescent="0.25">
      <c r="A183" s="1">
        <v>40086</v>
      </c>
      <c r="B183">
        <v>5.9696384369108298E-2</v>
      </c>
      <c r="C183">
        <v>6.2754395971287194E-2</v>
      </c>
      <c r="D183">
        <v>8.6845097817472697E-2</v>
      </c>
      <c r="E183">
        <v>5.3927381684251097E-2</v>
      </c>
      <c r="F183">
        <v>1.13646823232658E-2</v>
      </c>
      <c r="I183" s="7">
        <f t="shared" si="13"/>
        <v>40086</v>
      </c>
      <c r="J183">
        <f t="shared" si="14"/>
        <v>11.574375138769302</v>
      </c>
      <c r="K183">
        <f t="shared" si="15"/>
        <v>254.16448160376103</v>
      </c>
      <c r="L183">
        <f t="shared" si="16"/>
        <v>142.79414119572243</v>
      </c>
      <c r="M183">
        <f t="shared" si="17"/>
        <v>207.57683268678974</v>
      </c>
      <c r="N183">
        <f t="shared" si="18"/>
        <v>339.69889569936072</v>
      </c>
    </row>
    <row r="184" spans="1:14" x14ac:dyDescent="0.25">
      <c r="A184" s="1">
        <v>40117</v>
      </c>
      <c r="B184">
        <v>-8.4308377088138202E-3</v>
      </c>
      <c r="C184">
        <v>-8.3183810950826706E-3</v>
      </c>
      <c r="D184">
        <v>-2.5694275373760599E-4</v>
      </c>
      <c r="E184">
        <v>1.26976696438888E-2</v>
      </c>
      <c r="F184">
        <v>3.5467451927201299E-2</v>
      </c>
      <c r="I184" s="7">
        <f t="shared" si="13"/>
        <v>40117</v>
      </c>
      <c r="J184">
        <f t="shared" si="14"/>
        <v>11.476793460393408</v>
      </c>
      <c r="K184">
        <f t="shared" si="15"/>
        <v>252.05024458494682</v>
      </c>
      <c r="L184">
        <f t="shared" si="16"/>
        <v>142.757451275866</v>
      </c>
      <c r="M184">
        <f t="shared" si="17"/>
        <v>210.21257473397137</v>
      </c>
      <c r="N184">
        <f t="shared" si="18"/>
        <v>351.74714995230119</v>
      </c>
    </row>
    <row r="185" spans="1:14" x14ac:dyDescent="0.25">
      <c r="A185" s="1">
        <v>40147</v>
      </c>
      <c r="B185">
        <v>1.60382872295168E-2</v>
      </c>
      <c r="C185">
        <v>7.1242843575196294E-2</v>
      </c>
      <c r="D185">
        <v>6.5404439625705801E-2</v>
      </c>
      <c r="E185">
        <v>6.5444336103965994E-2</v>
      </c>
      <c r="F185">
        <v>-2.21508798091994E-2</v>
      </c>
      <c r="I185" s="7">
        <f t="shared" si="13"/>
        <v>40147</v>
      </c>
      <c r="J185">
        <f t="shared" si="14"/>
        <v>11.660861570385038</v>
      </c>
      <c r="K185">
        <f t="shared" si="15"/>
        <v>270.00702073300221</v>
      </c>
      <c r="L185">
        <f t="shared" si="16"/>
        <v>152.09442237895803</v>
      </c>
      <c r="M185">
        <f t="shared" si="17"/>
        <v>223.96979712814147</v>
      </c>
      <c r="N185">
        <f t="shared" si="18"/>
        <v>343.95564111047935</v>
      </c>
    </row>
    <row r="186" spans="1:14" x14ac:dyDescent="0.25">
      <c r="A186" s="1">
        <v>40178</v>
      </c>
      <c r="B186">
        <v>-3.6282775048077497E-2</v>
      </c>
      <c r="C186">
        <v>-3.6898254156579803E-2</v>
      </c>
      <c r="D186">
        <v>-1.91317188941236E-2</v>
      </c>
      <c r="E186">
        <v>-2.8709799377057001E-2</v>
      </c>
      <c r="F186">
        <v>-3.1246078074412501E-2</v>
      </c>
      <c r="I186" s="7">
        <f t="shared" si="13"/>
        <v>40178</v>
      </c>
      <c r="J186">
        <f t="shared" si="14"/>
        <v>11.237773153159985</v>
      </c>
      <c r="K186">
        <f t="shared" si="15"/>
        <v>260.044233057935</v>
      </c>
      <c r="L186">
        <f t="shared" si="16"/>
        <v>149.1845946446397</v>
      </c>
      <c r="M186">
        <f t="shared" si="17"/>
        <v>217.53966918607236</v>
      </c>
      <c r="N186">
        <f t="shared" si="18"/>
        <v>333.20837629420669</v>
      </c>
    </row>
    <row r="187" spans="1:14" x14ac:dyDescent="0.25">
      <c r="A187" s="1">
        <v>40209</v>
      </c>
      <c r="B187">
        <v>0.16130893453196399</v>
      </c>
      <c r="C187">
        <v>-2.5276044466716E-2</v>
      </c>
      <c r="D187">
        <v>-1.25993306753338E-2</v>
      </c>
      <c r="E187">
        <v>5.6805909595728597E-3</v>
      </c>
      <c r="F187">
        <v>-2.0209483237215099E-2</v>
      </c>
      <c r="I187" s="7">
        <f t="shared" si="13"/>
        <v>40209</v>
      </c>
      <c r="J187">
        <f t="shared" si="14"/>
        <v>13.050526367008132</v>
      </c>
      <c r="K187">
        <f t="shared" si="15"/>
        <v>253.47134345984958</v>
      </c>
      <c r="L187">
        <f t="shared" si="16"/>
        <v>147.30496860504624</v>
      </c>
      <c r="M187">
        <f t="shared" si="17"/>
        <v>218.77542306419926</v>
      </c>
      <c r="N187">
        <f t="shared" si="18"/>
        <v>326.4744071989893</v>
      </c>
    </row>
    <row r="188" spans="1:14" x14ac:dyDescent="0.25">
      <c r="A188" s="1">
        <v>40237</v>
      </c>
      <c r="B188">
        <v>-1.4465963703222401E-2</v>
      </c>
      <c r="C188">
        <v>7.2676301671049503E-3</v>
      </c>
      <c r="D188">
        <v>2.1765422526850299E-2</v>
      </c>
      <c r="E188">
        <v>2.3359859566873E-2</v>
      </c>
      <c r="F188">
        <v>-6.0735856317988696E-3</v>
      </c>
      <c r="I188" s="7">
        <f t="shared" si="13"/>
        <v>40237</v>
      </c>
      <c r="J188">
        <f t="shared" si="14"/>
        <v>12.861737926275046</v>
      </c>
      <c r="K188">
        <f t="shared" si="15"/>
        <v>255.31347944207496</v>
      </c>
      <c r="L188">
        <f t="shared" si="16"/>
        <v>150.51112348703947</v>
      </c>
      <c r="M188">
        <f t="shared" si="17"/>
        <v>223.88598622366217</v>
      </c>
      <c r="N188">
        <f t="shared" si="18"/>
        <v>324.49153693027546</v>
      </c>
    </row>
    <row r="189" spans="1:14" x14ac:dyDescent="0.25">
      <c r="A189" s="1">
        <v>40268</v>
      </c>
      <c r="B189">
        <v>1.03370339045381E-2</v>
      </c>
      <c r="C189">
        <v>-3.3242811770304699E-2</v>
      </c>
      <c r="D189">
        <v>-6.9125676318078005E-2</v>
      </c>
      <c r="E189">
        <v>-7.3635485082802099E-2</v>
      </c>
      <c r="F189">
        <v>-6.9802482770060195E-2</v>
      </c>
      <c r="I189" s="7">
        <f t="shared" si="13"/>
        <v>40268</v>
      </c>
      <c r="J189">
        <f t="shared" si="14"/>
        <v>12.994690147290235</v>
      </c>
      <c r="K189">
        <f t="shared" si="15"/>
        <v>246.82614150256049</v>
      </c>
      <c r="L189">
        <f t="shared" si="16"/>
        <v>140.10694028260411</v>
      </c>
      <c r="M189">
        <f t="shared" si="17"/>
        <v>207.40003302484126</v>
      </c>
      <c r="N189">
        <f t="shared" si="18"/>
        <v>301.84122201466954</v>
      </c>
    </row>
    <row r="190" spans="1:14" x14ac:dyDescent="0.25">
      <c r="A190" s="1">
        <v>40298</v>
      </c>
      <c r="B190">
        <v>1.3996968067936E-3</v>
      </c>
      <c r="C190">
        <v>-5.0214818733837902E-3</v>
      </c>
      <c r="D190">
        <v>-9.4372286442469498E-3</v>
      </c>
      <c r="E190">
        <v>-1.49192217927597E-2</v>
      </c>
      <c r="F190">
        <v>1.2593479984590801E-2</v>
      </c>
      <c r="I190" s="7">
        <f t="shared" si="13"/>
        <v>40298</v>
      </c>
      <c r="J190">
        <f t="shared" si="14"/>
        <v>13.012878773594668</v>
      </c>
      <c r="K190">
        <f t="shared" si="15"/>
        <v>245.58670850712812</v>
      </c>
      <c r="L190">
        <f t="shared" si="16"/>
        <v>138.78471905251132</v>
      </c>
      <c r="M190">
        <f t="shared" si="17"/>
        <v>204.30578593231797</v>
      </c>
      <c r="N190">
        <f t="shared" si="18"/>
        <v>305.64245340263574</v>
      </c>
    </row>
    <row r="191" spans="1:14" x14ac:dyDescent="0.25">
      <c r="A191" s="1">
        <v>40329</v>
      </c>
      <c r="B191">
        <v>-2.77859711017541E-4</v>
      </c>
      <c r="C191">
        <v>-9.9975288773444092E-3</v>
      </c>
      <c r="D191">
        <v>-1.29259022479725E-2</v>
      </c>
      <c r="E191">
        <v>-6.2726128861778597E-3</v>
      </c>
      <c r="F191">
        <v>-1.8030254142316699E-2</v>
      </c>
      <c r="I191" s="7">
        <f t="shared" si="13"/>
        <v>40329</v>
      </c>
      <c r="J191">
        <f t="shared" si="14"/>
        <v>13.00926301885913</v>
      </c>
      <c r="K191">
        <f t="shared" si="15"/>
        <v>243.13144829693616</v>
      </c>
      <c r="L191">
        <f t="shared" si="16"/>
        <v>136.99080134052622</v>
      </c>
      <c r="M191">
        <f t="shared" si="17"/>
        <v>203.02425482675821</v>
      </c>
      <c r="N191">
        <f t="shared" si="18"/>
        <v>300.13164229110504</v>
      </c>
    </row>
    <row r="192" spans="1:14" x14ac:dyDescent="0.25">
      <c r="A192" s="1">
        <v>40359</v>
      </c>
      <c r="B192">
        <v>-1.91700592068152E-2</v>
      </c>
      <c r="C192">
        <v>1.54084517976481E-2</v>
      </c>
      <c r="D192">
        <v>8.48264382701386E-3</v>
      </c>
      <c r="E192">
        <v>2.64807018278094E-2</v>
      </c>
      <c r="F192">
        <v>7.8059349261541998E-3</v>
      </c>
      <c r="I192" s="7">
        <f t="shared" si="13"/>
        <v>40359</v>
      </c>
      <c r="J192">
        <f t="shared" si="14"/>
        <v>12.759874676550568</v>
      </c>
      <c r="K192">
        <f t="shared" si="15"/>
        <v>246.87772749851186</v>
      </c>
      <c r="L192">
        <f t="shared" si="16"/>
        <v>138.1528455158751</v>
      </c>
      <c r="M192">
        <f t="shared" si="17"/>
        <v>208.40047958263881</v>
      </c>
      <c r="N192">
        <f t="shared" si="18"/>
        <v>302.47445036010919</v>
      </c>
    </row>
    <row r="193" spans="1:14" x14ac:dyDescent="0.25">
      <c r="A193" s="1">
        <v>40390</v>
      </c>
      <c r="B193">
        <v>-2.0960977195226899E-2</v>
      </c>
      <c r="C193">
        <v>-6.5011582358240699E-2</v>
      </c>
      <c r="D193">
        <v>-6.5873936350250101E-2</v>
      </c>
      <c r="E193">
        <v>2.0949953847440798E-2</v>
      </c>
      <c r="F193">
        <v>9.3342703846410205E-2</v>
      </c>
      <c r="I193" s="7">
        <f t="shared" si="13"/>
        <v>40390</v>
      </c>
      <c r="J193">
        <f t="shared" si="14"/>
        <v>12.492415234441438</v>
      </c>
      <c r="K193">
        <f t="shared" si="15"/>
        <v>230.82781578482707</v>
      </c>
      <c r="L193">
        <f t="shared" si="16"/>
        <v>129.0521737637564</v>
      </c>
      <c r="M193">
        <f t="shared" si="17"/>
        <v>212.76646001167961</v>
      </c>
      <c r="N193">
        <f t="shared" si="18"/>
        <v>330.70823340117857</v>
      </c>
    </row>
    <row r="194" spans="1:14" x14ac:dyDescent="0.25">
      <c r="A194" s="1">
        <v>40421</v>
      </c>
      <c r="B194">
        <v>4.35196300983232E-2</v>
      </c>
      <c r="C194">
        <v>3.0796227363865301E-2</v>
      </c>
      <c r="D194">
        <v>6.7115557855340804E-2</v>
      </c>
      <c r="E194">
        <v>6.8310106354296102E-2</v>
      </c>
      <c r="F194">
        <v>3.41639602899909E-2</v>
      </c>
      <c r="I194" s="7">
        <f t="shared" si="13"/>
        <v>40421</v>
      </c>
      <c r="J194">
        <f t="shared" si="14"/>
        <v>13.036080524478987</v>
      </c>
      <c r="K194">
        <f t="shared" si="15"/>
        <v>237.93644168164101</v>
      </c>
      <c r="L194">
        <f t="shared" si="16"/>
        <v>137.7135823983553</v>
      </c>
      <c r="M194">
        <f t="shared" si="17"/>
        <v>227.30055952370455</v>
      </c>
      <c r="N194">
        <f t="shared" si="18"/>
        <v>342.00653635466944</v>
      </c>
    </row>
    <row r="195" spans="1:14" x14ac:dyDescent="0.25">
      <c r="A195" s="1">
        <v>40451</v>
      </c>
      <c r="B195">
        <v>-8.7911201404602902E-4</v>
      </c>
      <c r="C195">
        <v>4.1718575995377302E-2</v>
      </c>
      <c r="D195">
        <v>1.25193121631806E-2</v>
      </c>
      <c r="E195">
        <v>6.6066465516625003E-3</v>
      </c>
      <c r="F195">
        <v>-1.9568053926747701E-2</v>
      </c>
      <c r="I195" s="7">
        <f t="shared" ref="I195:I258" si="19">+A195</f>
        <v>40451</v>
      </c>
      <c r="J195">
        <f t="shared" ref="J195:J258" si="20">+J194*(1+B195)</f>
        <v>13.024620349473846</v>
      </c>
      <c r="K195">
        <f t="shared" ref="K195:K258" si="21">+K194*(1+C195)</f>
        <v>247.86281120600623</v>
      </c>
      <c r="L195">
        <f t="shared" ref="L195:L258" si="22">+L194*(1+D195)</f>
        <v>139.4376617255102</v>
      </c>
      <c r="M195">
        <f t="shared" ref="M195:M258" si="23">+M194*(1+E195)</f>
        <v>228.8022539814728</v>
      </c>
      <c r="N195">
        <f t="shared" ref="N195:N258" si="24">+N194*(1+F195)</f>
        <v>335.31413400798107</v>
      </c>
    </row>
    <row r="196" spans="1:14" x14ac:dyDescent="0.25">
      <c r="A196" s="1">
        <v>40482</v>
      </c>
      <c r="B196">
        <v>4.9880262180193799E-2</v>
      </c>
      <c r="C196">
        <v>7.6154261844964197E-2</v>
      </c>
      <c r="D196">
        <v>4.8289486261128202E-2</v>
      </c>
      <c r="E196">
        <v>6.4360913181065793E-2</v>
      </c>
      <c r="F196">
        <v>5.4277629936925899E-2</v>
      </c>
      <c r="I196" s="7">
        <f t="shared" si="19"/>
        <v>40482</v>
      </c>
      <c r="J196">
        <f t="shared" si="20"/>
        <v>13.674291827303087</v>
      </c>
      <c r="K196">
        <f t="shared" si="21"/>
        <v>266.73862063221736</v>
      </c>
      <c r="L196">
        <f t="shared" si="22"/>
        <v>146.17103477568807</v>
      </c>
      <c r="M196">
        <f t="shared" si="23"/>
        <v>243.52817598560654</v>
      </c>
      <c r="N196">
        <f t="shared" si="24"/>
        <v>353.51419048628702</v>
      </c>
    </row>
    <row r="197" spans="1:14" x14ac:dyDescent="0.25">
      <c r="A197" s="1">
        <v>40512</v>
      </c>
      <c r="B197">
        <v>3.0015125054938901E-2</v>
      </c>
      <c r="C197">
        <v>9.9488367444739104E-3</v>
      </c>
      <c r="D197">
        <v>8.9472519807577092E-3</v>
      </c>
      <c r="E197">
        <v>5.9347970705350504E-3</v>
      </c>
      <c r="F197">
        <v>-4.9385629673088403E-3</v>
      </c>
      <c r="I197" s="7">
        <f t="shared" si="19"/>
        <v>40512</v>
      </c>
      <c r="J197">
        <f t="shared" si="20"/>
        <v>14.084727406537318</v>
      </c>
      <c r="K197">
        <f t="shared" si="21"/>
        <v>269.39235962233346</v>
      </c>
      <c r="L197">
        <f t="shared" si="22"/>
        <v>147.47886385611423</v>
      </c>
      <c r="M197">
        <f t="shared" si="23"/>
        <v>244.97346629103865</v>
      </c>
      <c r="N197">
        <f t="shared" si="24"/>
        <v>351.76833839673327</v>
      </c>
    </row>
    <row r="198" spans="1:14" x14ac:dyDescent="0.25">
      <c r="A198" s="1">
        <v>40543</v>
      </c>
      <c r="B198">
        <v>-4.58131708281279E-2</v>
      </c>
      <c r="C198">
        <v>-2.0182244994599599E-2</v>
      </c>
      <c r="D198">
        <v>-1.69573578827968E-2</v>
      </c>
      <c r="E198">
        <v>-1.7789631064432401E-2</v>
      </c>
      <c r="F198">
        <v>-1.60705683979653E-2</v>
      </c>
      <c r="I198" s="7">
        <f t="shared" si="19"/>
        <v>40543</v>
      </c>
      <c r="J198">
        <f t="shared" si="20"/>
        <v>13.43946138379401</v>
      </c>
      <c r="K198">
        <f t="shared" si="21"/>
        <v>263.95541702076224</v>
      </c>
      <c r="L198">
        <f t="shared" si="22"/>
        <v>144.97801198155784</v>
      </c>
      <c r="M198">
        <f t="shared" si="23"/>
        <v>240.6154787051459</v>
      </c>
      <c r="N198">
        <f t="shared" si="24"/>
        <v>346.11522125428996</v>
      </c>
    </row>
    <row r="199" spans="1:14" x14ac:dyDescent="0.25">
      <c r="A199" s="1">
        <v>40574</v>
      </c>
      <c r="B199">
        <v>1.1880888726948E-3</v>
      </c>
      <c r="C199">
        <v>-1.0099060723912201E-3</v>
      </c>
      <c r="D199">
        <v>-2.5660621903282499E-2</v>
      </c>
      <c r="E199">
        <v>-1.7407658437660199E-2</v>
      </c>
      <c r="F199">
        <v>1.3004915066695599E-2</v>
      </c>
      <c r="I199" s="7">
        <f t="shared" si="19"/>
        <v>40574</v>
      </c>
      <c r="J199">
        <f t="shared" si="20"/>
        <v>13.455428658319105</v>
      </c>
      <c r="K199">
        <f t="shared" si="21"/>
        <v>263.68884684227243</v>
      </c>
      <c r="L199">
        <f t="shared" si="22"/>
        <v>141.25778603180953</v>
      </c>
      <c r="M199">
        <f t="shared" si="23"/>
        <v>236.42692663703261</v>
      </c>
      <c r="N199">
        <f t="shared" si="24"/>
        <v>350.61642030999252</v>
      </c>
    </row>
    <row r="200" spans="1:14" x14ac:dyDescent="0.25">
      <c r="A200" s="1">
        <v>40602</v>
      </c>
      <c r="B200">
        <v>5.1559135345752901E-3</v>
      </c>
      <c r="C200">
        <v>1.49924279684362E-2</v>
      </c>
      <c r="D200">
        <v>-9.5873791708593493E-3</v>
      </c>
      <c r="E200">
        <v>2.62502022165041E-2</v>
      </c>
      <c r="F200">
        <v>8.4516375345334398E-3</v>
      </c>
      <c r="I200" s="7">
        <f t="shared" si="19"/>
        <v>40602</v>
      </c>
      <c r="J200">
        <f t="shared" si="20"/>
        <v>13.524803685052046</v>
      </c>
      <c r="K200">
        <f t="shared" si="21"/>
        <v>267.64218288463519</v>
      </c>
      <c r="L200">
        <f t="shared" si="22"/>
        <v>139.90349407628645</v>
      </c>
      <c r="M200">
        <f t="shared" si="23"/>
        <v>242.63318127068129</v>
      </c>
      <c r="N200">
        <f t="shared" si="24"/>
        <v>353.57970320810819</v>
      </c>
    </row>
    <row r="201" spans="1:14" x14ac:dyDescent="0.25">
      <c r="A201" s="1">
        <v>40633</v>
      </c>
      <c r="B201">
        <v>-2.3489883168857001E-2</v>
      </c>
      <c r="C201">
        <v>4.1574762210025004E-3</v>
      </c>
      <c r="D201">
        <v>8.9998859557918406E-3</v>
      </c>
      <c r="E201">
        <v>3.3039567107741898E-2</v>
      </c>
      <c r="F201">
        <v>4.9024684991604103E-2</v>
      </c>
      <c r="I201" s="7">
        <f t="shared" si="19"/>
        <v>40633</v>
      </c>
      <c r="J201">
        <f t="shared" si="20"/>
        <v>13.207107626608446</v>
      </c>
      <c r="K201">
        <f t="shared" si="21"/>
        <v>268.75489889571531</v>
      </c>
      <c r="L201">
        <f t="shared" si="22"/>
        <v>141.16260956778981</v>
      </c>
      <c r="M201">
        <f t="shared" si="23"/>
        <v>250.64967654583887</v>
      </c>
      <c r="N201">
        <f t="shared" si="24"/>
        <v>370.91383677731056</v>
      </c>
    </row>
    <row r="202" spans="1:14" x14ac:dyDescent="0.25">
      <c r="A202" s="1">
        <v>40663</v>
      </c>
      <c r="B202">
        <v>-2.2262815576804401E-2</v>
      </c>
      <c r="C202">
        <v>1.11753087359007E-2</v>
      </c>
      <c r="D202">
        <v>1.68952952934407E-2</v>
      </c>
      <c r="E202">
        <v>1.70165373653452E-2</v>
      </c>
      <c r="F202">
        <v>2.4370880193336199E-2</v>
      </c>
      <c r="I202" s="7">
        <f t="shared" si="19"/>
        <v>40663</v>
      </c>
      <c r="J202">
        <f t="shared" si="20"/>
        <v>12.913080225214255</v>
      </c>
      <c r="K202">
        <f t="shared" si="21"/>
        <v>271.75831786516073</v>
      </c>
      <c r="L202">
        <f t="shared" si="22"/>
        <v>143.54759354083029</v>
      </c>
      <c r="M202">
        <f t="shared" si="23"/>
        <v>254.91486613239283</v>
      </c>
      <c r="N202">
        <f t="shared" si="24"/>
        <v>379.95333345546106</v>
      </c>
    </row>
    <row r="203" spans="1:14" x14ac:dyDescent="0.25">
      <c r="A203" s="1">
        <v>40694</v>
      </c>
      <c r="B203">
        <v>-7.1114920988599502E-3</v>
      </c>
      <c r="C203">
        <v>2.66601845271775E-2</v>
      </c>
      <c r="D203">
        <v>2.3117655432779102E-2</v>
      </c>
      <c r="E203">
        <v>4.1628772288251299E-2</v>
      </c>
      <c r="F203">
        <v>2.3987113702649498E-2</v>
      </c>
      <c r="I203" s="7">
        <f t="shared" si="19"/>
        <v>40694</v>
      </c>
      <c r="J203">
        <f t="shared" si="20"/>
        <v>12.8212489572207</v>
      </c>
      <c r="K203">
        <f t="shared" si="21"/>
        <v>279.00344476624127</v>
      </c>
      <c r="L203">
        <f t="shared" si="22"/>
        <v>146.86607734651182</v>
      </c>
      <c r="M203">
        <f t="shared" si="23"/>
        <v>265.5266590475083</v>
      </c>
      <c r="N203">
        <f t="shared" si="24"/>
        <v>389.06731726675793</v>
      </c>
    </row>
    <row r="204" spans="1:14" x14ac:dyDescent="0.25">
      <c r="A204" s="1">
        <v>40724</v>
      </c>
      <c r="B204">
        <v>2.06770449874733E-2</v>
      </c>
      <c r="C204">
        <v>3.1793498257251598E-2</v>
      </c>
      <c r="D204">
        <v>3.2997027995176599E-2</v>
      </c>
      <c r="E204">
        <v>3.2814626719425997E-2</v>
      </c>
      <c r="F204">
        <v>-9.6557596886362208E-3</v>
      </c>
      <c r="I204" s="7">
        <f t="shared" si="19"/>
        <v>40724</v>
      </c>
      <c r="J204">
        <f t="shared" si="20"/>
        <v>13.086354498704749</v>
      </c>
      <c r="K204">
        <f t="shared" si="21"/>
        <v>287.87394030118395</v>
      </c>
      <c r="L204">
        <f t="shared" si="22"/>
        <v>151.71222141225644</v>
      </c>
      <c r="M204">
        <f t="shared" si="23"/>
        <v>274.23981724820862</v>
      </c>
      <c r="N204">
        <f t="shared" si="24"/>
        <v>385.31057674852775</v>
      </c>
    </row>
    <row r="205" spans="1:14" x14ac:dyDescent="0.25">
      <c r="A205" s="1">
        <v>40755</v>
      </c>
      <c r="B205">
        <v>3.6543332677346399E-2</v>
      </c>
      <c r="C205">
        <v>8.7257675918852404E-2</v>
      </c>
      <c r="D205">
        <v>5.10414576975586E-2</v>
      </c>
      <c r="E205">
        <v>4.1885414563073799E-2</v>
      </c>
      <c r="F205">
        <v>-1.7238297613024998E-2</v>
      </c>
      <c r="I205" s="7">
        <f t="shared" si="19"/>
        <v>40755</v>
      </c>
      <c r="J205">
        <f t="shared" si="20"/>
        <v>13.564573504684605</v>
      </c>
      <c r="K205">
        <f t="shared" si="21"/>
        <v>312.99315128946773</v>
      </c>
      <c r="L205">
        <f t="shared" si="22"/>
        <v>159.45583434367276</v>
      </c>
      <c r="M205">
        <f t="shared" si="23"/>
        <v>285.72646568335142</v>
      </c>
      <c r="N205">
        <f t="shared" si="24"/>
        <v>378.66847835309034</v>
      </c>
    </row>
    <row r="206" spans="1:14" x14ac:dyDescent="0.25">
      <c r="A206" s="1">
        <v>40786</v>
      </c>
      <c r="B206">
        <v>1.1321269069986E-2</v>
      </c>
      <c r="C206">
        <v>1.8828499749925402E-2</v>
      </c>
      <c r="D206">
        <v>-3.4162663363522501E-3</v>
      </c>
      <c r="E206">
        <v>4.5379435651720597E-2</v>
      </c>
      <c r="F206">
        <v>2.0232610577922101E-2</v>
      </c>
      <c r="I206" s="7">
        <f t="shared" si="19"/>
        <v>40786</v>
      </c>
      <c r="J206">
        <f t="shared" si="20"/>
        <v>13.718141691150741</v>
      </c>
      <c r="K206">
        <f t="shared" si="21"/>
        <v>318.88634276024987</v>
      </c>
      <c r="L206">
        <f t="shared" si="22"/>
        <v>158.91109074466951</v>
      </c>
      <c r="M206">
        <f t="shared" si="23"/>
        <v>298.69257144682263</v>
      </c>
      <c r="N206">
        <f t="shared" si="24"/>
        <v>386.32993021374273</v>
      </c>
    </row>
    <row r="207" spans="1:14" x14ac:dyDescent="0.25">
      <c r="A207" s="1">
        <v>40816</v>
      </c>
      <c r="B207">
        <v>7.3123956771998705E-2</v>
      </c>
      <c r="C207">
        <v>4.3935501163129297E-2</v>
      </c>
      <c r="D207">
        <v>5.58767634742139E-2</v>
      </c>
      <c r="E207">
        <v>8.1062272162080007E-2</v>
      </c>
      <c r="F207">
        <v>5.3685559395641201E-2</v>
      </c>
      <c r="I207" s="7">
        <f t="shared" si="19"/>
        <v>40816</v>
      </c>
      <c r="J207">
        <f t="shared" si="20"/>
        <v>14.721266491166602</v>
      </c>
      <c r="K207">
        <f t="shared" si="21"/>
        <v>332.89677404349885</v>
      </c>
      <c r="L207">
        <f t="shared" si="22"/>
        <v>167.79052817563874</v>
      </c>
      <c r="M207">
        <f t="shared" si="23"/>
        <v>322.90526996623646</v>
      </c>
      <c r="N207">
        <f t="shared" si="24"/>
        <v>407.0702686285465</v>
      </c>
    </row>
    <row r="208" spans="1:14" x14ac:dyDescent="0.25">
      <c r="A208" s="1">
        <v>40847</v>
      </c>
      <c r="B208">
        <v>-4.1758544234587101E-2</v>
      </c>
      <c r="C208">
        <v>-3.8024465079922097E-2</v>
      </c>
      <c r="D208">
        <v>-6.4318371872528798E-2</v>
      </c>
      <c r="E208">
        <v>-0.106585277010791</v>
      </c>
      <c r="F208">
        <v>-0.12965200456866399</v>
      </c>
      <c r="I208" s="7">
        <f t="shared" si="19"/>
        <v>40847</v>
      </c>
      <c r="J208">
        <f t="shared" si="20"/>
        <v>14.106527833206076</v>
      </c>
      <c r="K208">
        <f t="shared" si="21"/>
        <v>320.23855228366313</v>
      </c>
      <c r="L208">
        <f t="shared" si="22"/>
        <v>156.99851458774998</v>
      </c>
      <c r="M208">
        <f t="shared" si="23"/>
        <v>288.48832231864088</v>
      </c>
      <c r="N208">
        <f t="shared" si="24"/>
        <v>354.2927923005509</v>
      </c>
    </row>
    <row r="209" spans="1:14" x14ac:dyDescent="0.25">
      <c r="A209" s="1">
        <v>40877</v>
      </c>
      <c r="B209">
        <v>6.1312354539432103E-2</v>
      </c>
      <c r="C209">
        <v>6.2068501076073701E-2</v>
      </c>
      <c r="D209">
        <v>6.87978107786546E-2</v>
      </c>
      <c r="E209">
        <v>6.5015325985774003E-2</v>
      </c>
      <c r="F209">
        <v>4.7437590039239197E-2</v>
      </c>
      <c r="I209" s="7">
        <f t="shared" si="19"/>
        <v>40877</v>
      </c>
      <c r="J209">
        <f t="shared" si="20"/>
        <v>14.971432269035974</v>
      </c>
      <c r="K209">
        <f t="shared" si="21"/>
        <v>340.11527921068199</v>
      </c>
      <c r="L209">
        <f t="shared" si="22"/>
        <v>167.79966868688786</v>
      </c>
      <c r="M209">
        <f t="shared" si="23"/>
        <v>307.24448463727634</v>
      </c>
      <c r="N209">
        <f t="shared" si="24"/>
        <v>371.09958853556174</v>
      </c>
    </row>
    <row r="210" spans="1:14" x14ac:dyDescent="0.25">
      <c r="A210" s="1">
        <v>40908</v>
      </c>
      <c r="B210">
        <v>1.0060910269102699E-2</v>
      </c>
      <c r="C210">
        <v>2.2181302267940801E-2</v>
      </c>
      <c r="D210">
        <v>1.4716558831530901E-2</v>
      </c>
      <c r="E210">
        <v>3.3190331815687001E-2</v>
      </c>
      <c r="F210">
        <v>2.41575516769552E-2</v>
      </c>
      <c r="I210" s="7">
        <f t="shared" si="19"/>
        <v>40908</v>
      </c>
      <c r="J210">
        <f t="shared" si="20"/>
        <v>15.122058505694694</v>
      </c>
      <c r="K210">
        <f t="shared" si="21"/>
        <v>347.65947902479923</v>
      </c>
      <c r="L210">
        <f t="shared" si="22"/>
        <v>170.26910238302986</v>
      </c>
      <c r="M210">
        <f t="shared" si="23"/>
        <v>317.4420310309273</v>
      </c>
      <c r="N210">
        <f t="shared" si="24"/>
        <v>380.0644460229064</v>
      </c>
    </row>
    <row r="211" spans="1:14" x14ac:dyDescent="0.25">
      <c r="A211" s="1">
        <v>40939</v>
      </c>
      <c r="B211">
        <v>9.7450112848518899E-3</v>
      </c>
      <c r="C211">
        <v>-7.8138798543339494E-2</v>
      </c>
      <c r="D211">
        <v>-7.5352200279714898E-2</v>
      </c>
      <c r="E211">
        <v>-0.106009290226808</v>
      </c>
      <c r="F211">
        <v>-5.8484906004378501E-2</v>
      </c>
      <c r="I211" s="7">
        <f t="shared" si="19"/>
        <v>40939</v>
      </c>
      <c r="J211">
        <f t="shared" si="20"/>
        <v>15.269423136482878</v>
      </c>
      <c r="K211">
        <f t="shared" si="21"/>
        <v>320.49378503159807</v>
      </c>
      <c r="L211">
        <f t="shared" si="22"/>
        <v>157.43895087881651</v>
      </c>
      <c r="M211">
        <f t="shared" si="23"/>
        <v>283.79022663318233</v>
      </c>
      <c r="N211">
        <f t="shared" si="24"/>
        <v>357.83641262165054</v>
      </c>
    </row>
    <row r="212" spans="1:14" x14ac:dyDescent="0.25">
      <c r="A212" s="1">
        <v>40968</v>
      </c>
      <c r="B212">
        <v>1.4066284275869799E-2</v>
      </c>
      <c r="C212">
        <v>-1.67577679396919E-2</v>
      </c>
      <c r="D212">
        <v>1.48729502129479E-2</v>
      </c>
      <c r="E212">
        <v>1.0326832615423699E-2</v>
      </c>
      <c r="F212">
        <v>4.5785222019418599E-2</v>
      </c>
      <c r="I212" s="7">
        <f t="shared" si="19"/>
        <v>40968</v>
      </c>
      <c r="J212">
        <f t="shared" si="20"/>
        <v>15.484207183049191</v>
      </c>
      <c r="K212">
        <f t="shared" si="21"/>
        <v>315.12302455592504</v>
      </c>
      <c r="L212">
        <f t="shared" si="22"/>
        <v>159.7805325568159</v>
      </c>
      <c r="M212">
        <f t="shared" si="23"/>
        <v>286.72088080151639</v>
      </c>
      <c r="N212">
        <f t="shared" si="24"/>
        <v>374.22003222016508</v>
      </c>
    </row>
    <row r="213" spans="1:14" x14ac:dyDescent="0.25">
      <c r="A213" s="1">
        <v>40999</v>
      </c>
      <c r="B213">
        <v>-9.5711052637364093E-3</v>
      </c>
      <c r="C213">
        <v>2.70043334931153E-2</v>
      </c>
      <c r="D213">
        <v>4.1610167492094799E-2</v>
      </c>
      <c r="E213">
        <v>4.9819267839791799E-2</v>
      </c>
      <c r="F213">
        <v>3.7276477214417798E-2</v>
      </c>
      <c r="I213" s="7">
        <f t="shared" si="19"/>
        <v>40999</v>
      </c>
      <c r="J213">
        <f t="shared" si="20"/>
        <v>15.336006206174725</v>
      </c>
      <c r="K213">
        <f t="shared" si="21"/>
        <v>323.63271180239241</v>
      </c>
      <c r="L213">
        <f t="shared" si="22"/>
        <v>166.4290272784811</v>
      </c>
      <c r="M213">
        <f t="shared" si="23"/>
        <v>301.00510515742815</v>
      </c>
      <c r="N213">
        <f t="shared" si="24"/>
        <v>388.1696367243988</v>
      </c>
    </row>
    <row r="214" spans="1:14" x14ac:dyDescent="0.25">
      <c r="A214" s="1">
        <v>41029</v>
      </c>
      <c r="B214">
        <v>-3.9240255902428398E-2</v>
      </c>
      <c r="C214">
        <v>8.2894998970579701E-3</v>
      </c>
      <c r="D214">
        <v>6.2691623053291706E-2</v>
      </c>
      <c r="E214">
        <v>6.5265277000365399E-2</v>
      </c>
      <c r="F214">
        <v>3.1406883311998E-2</v>
      </c>
      <c r="I214" s="7">
        <f t="shared" si="19"/>
        <v>41029</v>
      </c>
      <c r="J214">
        <f t="shared" si="20"/>
        <v>14.734217398123198</v>
      </c>
      <c r="K214">
        <f t="shared" si="21"/>
        <v>326.31546513356295</v>
      </c>
      <c r="L214">
        <f t="shared" si="22"/>
        <v>176.86273312174964</v>
      </c>
      <c r="M214">
        <f t="shared" si="23"/>
        <v>320.6502867240518</v>
      </c>
      <c r="N214">
        <f t="shared" si="24"/>
        <v>400.36083521026268</v>
      </c>
    </row>
    <row r="215" spans="1:14" x14ac:dyDescent="0.25">
      <c r="A215" s="1">
        <v>41060</v>
      </c>
      <c r="B215">
        <v>4.0397556708827699E-2</v>
      </c>
      <c r="C215">
        <v>4.1901260274917702E-2</v>
      </c>
      <c r="D215">
        <v>5.6574302205365599E-2</v>
      </c>
      <c r="E215">
        <v>6.78027229423077E-2</v>
      </c>
      <c r="F215">
        <v>9.1469255540220701E-2</v>
      </c>
      <c r="I215" s="7">
        <f t="shared" si="19"/>
        <v>41060</v>
      </c>
      <c r="J215">
        <f t="shared" si="20"/>
        <v>15.329443781024075</v>
      </c>
      <c r="K215">
        <f t="shared" si="21"/>
        <v>339.98849436985523</v>
      </c>
      <c r="L215">
        <f t="shared" si="22"/>
        <v>186.8686188342464</v>
      </c>
      <c r="M215">
        <f t="shared" si="23"/>
        <v>342.39124927617422</v>
      </c>
      <c r="N215">
        <f t="shared" si="24"/>
        <v>436.98154275440641</v>
      </c>
    </row>
    <row r="216" spans="1:14" x14ac:dyDescent="0.25">
      <c r="A216" s="1">
        <v>41090</v>
      </c>
      <c r="B216">
        <v>0.117612986856691</v>
      </c>
      <c r="C216">
        <v>9.0316785238207895E-2</v>
      </c>
      <c r="D216">
        <v>4.7065549086033803E-2</v>
      </c>
      <c r="E216">
        <v>0.122902770653494</v>
      </c>
      <c r="F216">
        <v>4.2125820462514299E-2</v>
      </c>
      <c r="I216" s="7">
        <f t="shared" si="19"/>
        <v>41090</v>
      </c>
      <c r="J216">
        <f t="shared" si="20"/>
        <v>17.132385450962044</v>
      </c>
      <c r="K216">
        <f t="shared" si="21"/>
        <v>370.6951621993191</v>
      </c>
      <c r="L216">
        <f t="shared" si="22"/>
        <v>195.66369298662897</v>
      </c>
      <c r="M216">
        <f t="shared" si="23"/>
        <v>384.47208245972712</v>
      </c>
      <c r="N216">
        <f t="shared" si="24"/>
        <v>455.38974876991108</v>
      </c>
    </row>
    <row r="217" spans="1:14" x14ac:dyDescent="0.25">
      <c r="A217" s="1">
        <v>41121</v>
      </c>
      <c r="B217">
        <v>3.2907391083559598E-2</v>
      </c>
      <c r="C217">
        <v>4.9876235224195403E-2</v>
      </c>
      <c r="D217">
        <v>2.0018734238391199E-2</v>
      </c>
      <c r="E217">
        <v>-1.9387264668500001E-3</v>
      </c>
      <c r="F217">
        <v>-5.58219307116576E-3</v>
      </c>
      <c r="I217" s="7">
        <f t="shared" si="19"/>
        <v>41121</v>
      </c>
      <c r="J217">
        <f t="shared" si="20"/>
        <v>17.696167559191139</v>
      </c>
      <c r="K217">
        <f t="shared" si="21"/>
        <v>389.18404130564363</v>
      </c>
      <c r="L217">
        <f t="shared" si="22"/>
        <v>199.5806324566305</v>
      </c>
      <c r="M217">
        <f t="shared" si="23"/>
        <v>383.72669625769748</v>
      </c>
      <c r="N217">
        <f t="shared" si="24"/>
        <v>452.84767526964777</v>
      </c>
    </row>
    <row r="218" spans="1:14" x14ac:dyDescent="0.25">
      <c r="A218" s="1">
        <v>41152</v>
      </c>
      <c r="B218">
        <v>-5.1911445959293298E-2</v>
      </c>
      <c r="C218">
        <v>-4.4130706154357199E-2</v>
      </c>
      <c r="D218">
        <v>-5.4334272976246302E-2</v>
      </c>
      <c r="E218">
        <v>-3.4108986994756701E-2</v>
      </c>
      <c r="F218">
        <v>-4.27302700827226E-2</v>
      </c>
      <c r="I218" s="7">
        <f t="shared" si="19"/>
        <v>41152</v>
      </c>
      <c r="J218">
        <f t="shared" si="20"/>
        <v>16.777533913255589</v>
      </c>
      <c r="K218">
        <f t="shared" si="21"/>
        <v>372.00907473881904</v>
      </c>
      <c r="L218">
        <f t="shared" si="22"/>
        <v>188.73656389196006</v>
      </c>
      <c r="M218">
        <f t="shared" si="23"/>
        <v>370.63816736550274</v>
      </c>
      <c r="N218">
        <f t="shared" si="24"/>
        <v>433.4973717990427</v>
      </c>
    </row>
    <row r="219" spans="1:14" x14ac:dyDescent="0.25">
      <c r="A219" s="1">
        <v>41182</v>
      </c>
      <c r="B219">
        <v>-8.9147885087376994E-3</v>
      </c>
      <c r="C219">
        <v>-1.90660706968767E-2</v>
      </c>
      <c r="D219">
        <v>-1.6058259839773301E-2</v>
      </c>
      <c r="E219">
        <v>-2.8825289679396099E-2</v>
      </c>
      <c r="F219">
        <v>-2.7559205608664799E-2</v>
      </c>
      <c r="I219" s="7">
        <f t="shared" si="19"/>
        <v>41182</v>
      </c>
      <c r="J219">
        <f t="shared" si="20"/>
        <v>16.62796574672074</v>
      </c>
      <c r="K219">
        <f t="shared" si="21"/>
        <v>364.91632341996905</v>
      </c>
      <c r="L219">
        <f t="shared" si="22"/>
        <v>185.705783107717</v>
      </c>
      <c r="M219">
        <f t="shared" si="23"/>
        <v>359.95441482495164</v>
      </c>
      <c r="N219">
        <f t="shared" si="24"/>
        <v>421.5505285988171</v>
      </c>
    </row>
    <row r="220" spans="1:14" x14ac:dyDescent="0.25">
      <c r="A220" s="1">
        <v>41213</v>
      </c>
      <c r="B220">
        <v>-1.76698622792427E-2</v>
      </c>
      <c r="C220">
        <v>6.5417451371975896E-2</v>
      </c>
      <c r="D220">
        <v>6.1373383685156303E-2</v>
      </c>
      <c r="E220">
        <v>4.3713567393375001E-2</v>
      </c>
      <c r="F220">
        <v>-2.66507521471296E-2</v>
      </c>
      <c r="I220" s="7">
        <f t="shared" si="19"/>
        <v>41213</v>
      </c>
      <c r="J220">
        <f t="shared" si="20"/>
        <v>16.33415188199222</v>
      </c>
      <c r="K220">
        <f t="shared" si="21"/>
        <v>388.7882192621351</v>
      </c>
      <c r="L220">
        <f t="shared" si="22"/>
        <v>197.10317538693931</v>
      </c>
      <c r="M220">
        <f t="shared" si="23"/>
        <v>375.68930639594504</v>
      </c>
      <c r="N220">
        <f t="shared" si="24"/>
        <v>410.31588994363852</v>
      </c>
    </row>
    <row r="221" spans="1:14" x14ac:dyDescent="0.25">
      <c r="A221" s="1">
        <v>41243</v>
      </c>
      <c r="B221">
        <v>1.6149690558993401E-2</v>
      </c>
      <c r="C221">
        <v>4.2935363765079997E-2</v>
      </c>
      <c r="D221">
        <v>1.16419576114653E-2</v>
      </c>
      <c r="E221">
        <v>1.1990519548578001E-2</v>
      </c>
      <c r="F221">
        <v>-4.2445067397231797E-3</v>
      </c>
      <c r="I221" s="7">
        <f t="shared" si="19"/>
        <v>41243</v>
      </c>
      <c r="J221">
        <f t="shared" si="20"/>
        <v>16.597943380429996</v>
      </c>
      <c r="K221">
        <f t="shared" si="21"/>
        <v>405.48098288373257</v>
      </c>
      <c r="L221">
        <f t="shared" si="22"/>
        <v>199.39784219987925</v>
      </c>
      <c r="M221">
        <f t="shared" si="23"/>
        <v>380.19401636847738</v>
      </c>
      <c r="N221">
        <f t="shared" si="24"/>
        <v>408.57430138335724</v>
      </c>
    </row>
    <row r="222" spans="1:14" x14ac:dyDescent="0.25">
      <c r="A222" s="1">
        <v>41274</v>
      </c>
      <c r="B222">
        <v>6.6947168961290198E-3</v>
      </c>
      <c r="C222">
        <v>2.7270290448340999E-2</v>
      </c>
      <c r="D222">
        <v>-1.8880189822011499E-2</v>
      </c>
      <c r="E222">
        <v>-2.4601261194644598E-2</v>
      </c>
      <c r="F222">
        <v>-2.1736430696694401E-2</v>
      </c>
      <c r="I222" s="7">
        <f t="shared" si="19"/>
        <v>41274</v>
      </c>
      <c r="J222">
        <f t="shared" si="20"/>
        <v>16.709061912419955</v>
      </c>
      <c r="K222">
        <f t="shared" si="21"/>
        <v>416.53856705825075</v>
      </c>
      <c r="L222">
        <f t="shared" si="22"/>
        <v>195.63317308904604</v>
      </c>
      <c r="M222">
        <f t="shared" si="23"/>
        <v>370.84076406715548</v>
      </c>
      <c r="N222">
        <f t="shared" si="24"/>
        <v>399.69335439688757</v>
      </c>
    </row>
    <row r="223" spans="1:14" x14ac:dyDescent="0.25">
      <c r="A223" s="1">
        <v>41305</v>
      </c>
      <c r="B223">
        <v>-2.33273772290251E-4</v>
      </c>
      <c r="C223">
        <v>1.0915105711143701E-2</v>
      </c>
      <c r="D223">
        <v>8.1547176716220294E-3</v>
      </c>
      <c r="E223">
        <v>-5.6871056635263801E-4</v>
      </c>
      <c r="F223">
        <v>5.07363505182551E-3</v>
      </c>
      <c r="I223" s="7">
        <f t="shared" si="19"/>
        <v>41305</v>
      </c>
      <c r="J223">
        <f t="shared" si="20"/>
        <v>16.705164126516213</v>
      </c>
      <c r="K223">
        <f t="shared" si="21"/>
        <v>421.08512955045984</v>
      </c>
      <c r="L223">
        <f t="shared" si="22"/>
        <v>197.22850638279078</v>
      </c>
      <c r="M223">
        <f t="shared" si="23"/>
        <v>370.62986300619622</v>
      </c>
      <c r="N223">
        <f t="shared" si="24"/>
        <v>401.72125260973729</v>
      </c>
    </row>
    <row r="224" spans="1:14" x14ac:dyDescent="0.25">
      <c r="A224" s="1">
        <v>41333</v>
      </c>
      <c r="B224">
        <v>2.4776825850908599E-2</v>
      </c>
      <c r="C224">
        <v>7.2391425771407597E-4</v>
      </c>
      <c r="D224">
        <v>2.2051263887006199E-2</v>
      </c>
      <c r="E224">
        <v>2.4250309743596699E-2</v>
      </c>
      <c r="F224">
        <v>3.6809653619785603E-2</v>
      </c>
      <c r="I224" s="7">
        <f t="shared" si="19"/>
        <v>41333</v>
      </c>
      <c r="J224">
        <f t="shared" si="20"/>
        <v>17.119065068889753</v>
      </c>
      <c r="K224">
        <f t="shared" si="21"/>
        <v>421.38995907945275</v>
      </c>
      <c r="L224">
        <f t="shared" si="22"/>
        <v>201.57764422307781</v>
      </c>
      <c r="M224">
        <f t="shared" si="23"/>
        <v>379.61775198432326</v>
      </c>
      <c r="N224">
        <f t="shared" si="24"/>
        <v>416.5084727700081</v>
      </c>
    </row>
    <row r="225" spans="1:14" x14ac:dyDescent="0.25">
      <c r="A225" s="1">
        <v>41364</v>
      </c>
      <c r="B225">
        <v>5.8428047026600698E-2</v>
      </c>
      <c r="C225">
        <v>4.4412326480688998E-2</v>
      </c>
      <c r="D225">
        <v>2.6789660306337899E-2</v>
      </c>
      <c r="E225">
        <v>2.9595592611161899E-2</v>
      </c>
      <c r="F225">
        <v>1.3794827945229699E-2</v>
      </c>
      <c r="I225" s="7">
        <f t="shared" si="19"/>
        <v>41364</v>
      </c>
      <c r="J225">
        <f t="shared" si="20"/>
        <v>18.119298607786284</v>
      </c>
      <c r="K225">
        <f t="shared" si="21"/>
        <v>440.10486751777358</v>
      </c>
      <c r="L225">
        <f t="shared" si="22"/>
        <v>206.97784083716593</v>
      </c>
      <c r="M225">
        <f t="shared" si="23"/>
        <v>390.85276432001643</v>
      </c>
      <c r="N225">
        <f t="shared" si="24"/>
        <v>422.2541354896008</v>
      </c>
    </row>
    <row r="226" spans="1:14" x14ac:dyDescent="0.25">
      <c r="A226" s="1">
        <v>41394</v>
      </c>
      <c r="B226">
        <v>-2.3828393140062402E-3</v>
      </c>
      <c r="C226">
        <v>1.7682560004905899E-2</v>
      </c>
      <c r="D226">
        <v>-1.9095465700911E-3</v>
      </c>
      <c r="E226">
        <v>1.0427339612728501E-2</v>
      </c>
      <c r="F226">
        <v>2.1512171620942201E-2</v>
      </c>
      <c r="I226" s="7">
        <f t="shared" si="19"/>
        <v>41394</v>
      </c>
      <c r="J226">
        <f t="shared" si="20"/>
        <v>18.076123230721432</v>
      </c>
      <c r="K226">
        <f t="shared" si="21"/>
        <v>447.88704824610784</v>
      </c>
      <c r="L226">
        <f t="shared" si="22"/>
        <v>206.58260701111044</v>
      </c>
      <c r="M226">
        <f t="shared" si="23"/>
        <v>394.92831883215501</v>
      </c>
      <c r="N226">
        <f t="shared" si="24"/>
        <v>431.33773891990563</v>
      </c>
    </row>
    <row r="227" spans="1:14" x14ac:dyDescent="0.25">
      <c r="A227" s="1">
        <v>41425</v>
      </c>
      <c r="B227">
        <v>2.7582324814864799E-2</v>
      </c>
      <c r="C227">
        <v>2.6555857425816998E-2</v>
      </c>
      <c r="D227">
        <v>3.3521311471923797E-2</v>
      </c>
      <c r="E227">
        <v>9.05753107179833E-3</v>
      </c>
      <c r="F227">
        <v>-3.12448992323861E-3</v>
      </c>
      <c r="I227" s="7">
        <f t="shared" si="19"/>
        <v>41425</v>
      </c>
      <c r="J227">
        <f t="shared" si="20"/>
        <v>18.574704733064713</v>
      </c>
      <c r="K227">
        <f t="shared" si="21"/>
        <v>459.78107284220147</v>
      </c>
      <c r="L227">
        <f t="shared" si="22"/>
        <v>213.5075269254119</v>
      </c>
      <c r="M227">
        <f t="shared" si="23"/>
        <v>398.50539435111034</v>
      </c>
      <c r="N227">
        <f t="shared" si="24"/>
        <v>429.99002850113783</v>
      </c>
    </row>
    <row r="228" spans="1:14" x14ac:dyDescent="0.25">
      <c r="A228" s="1">
        <v>41455</v>
      </c>
      <c r="B228">
        <v>5.2233968870719398E-2</v>
      </c>
      <c r="C228">
        <v>4.6207471734153197E-2</v>
      </c>
      <c r="D228">
        <v>3.3601440767573702E-2</v>
      </c>
      <c r="E228">
        <v>9.0844190560977599E-3</v>
      </c>
      <c r="F228">
        <v>-3.5870260666146798E-2</v>
      </c>
      <c r="I228" s="7">
        <f t="shared" si="19"/>
        <v>41455</v>
      </c>
      <c r="J228">
        <f t="shared" si="20"/>
        <v>19.54493528187442</v>
      </c>
      <c r="K228">
        <f t="shared" si="21"/>
        <v>481.02639376945609</v>
      </c>
      <c r="L228">
        <f t="shared" si="22"/>
        <v>220.68168744482728</v>
      </c>
      <c r="M228">
        <f t="shared" si="23"/>
        <v>402.12558434951131</v>
      </c>
      <c r="N228">
        <f t="shared" si="24"/>
        <v>414.56617409495811</v>
      </c>
    </row>
    <row r="229" spans="1:14" x14ac:dyDescent="0.25">
      <c r="A229" s="1">
        <v>41486</v>
      </c>
      <c r="B229">
        <v>-1.1109441418416801E-2</v>
      </c>
      <c r="C229">
        <v>2.2782869848796902E-2</v>
      </c>
      <c r="D229">
        <v>2.08237013557044E-2</v>
      </c>
      <c r="E229">
        <v>1.1000188650423201E-2</v>
      </c>
      <c r="F229">
        <v>1.41749308512614E-2</v>
      </c>
      <c r="I229" s="7">
        <f t="shared" si="19"/>
        <v>41486</v>
      </c>
      <c r="J229">
        <f t="shared" si="20"/>
        <v>19.327801968333688</v>
      </c>
      <c r="K229">
        <f t="shared" si="21"/>
        <v>491.98555549254172</v>
      </c>
      <c r="L229">
        <f t="shared" si="22"/>
        <v>225.27709699885128</v>
      </c>
      <c r="M229">
        <f t="shared" si="23"/>
        <v>406.54904163851762</v>
      </c>
      <c r="N229">
        <f t="shared" si="24"/>
        <v>420.44262094602612</v>
      </c>
    </row>
    <row r="230" spans="1:14" x14ac:dyDescent="0.25">
      <c r="A230" s="1">
        <v>41517</v>
      </c>
      <c r="B230">
        <v>5.5422805576385702E-2</v>
      </c>
      <c r="C230">
        <v>3.4123417038607599E-2</v>
      </c>
      <c r="D230">
        <v>3.6860323833313197E-2</v>
      </c>
      <c r="E230">
        <v>5.3458525574610498E-2</v>
      </c>
      <c r="F230">
        <v>3.1886646867537699E-2</v>
      </c>
      <c r="I230" s="7">
        <f t="shared" si="19"/>
        <v>41517</v>
      </c>
      <c r="J230">
        <f t="shared" si="20"/>
        <v>20.39900297904353</v>
      </c>
      <c r="K230">
        <f t="shared" si="21"/>
        <v>508.77378377958473</v>
      </c>
      <c r="L230">
        <f t="shared" si="22"/>
        <v>233.58088374645763</v>
      </c>
      <c r="M230">
        <f t="shared" si="23"/>
        <v>428.28255397828372</v>
      </c>
      <c r="N230">
        <f t="shared" si="24"/>
        <v>433.84912632819402</v>
      </c>
    </row>
    <row r="231" spans="1:14" x14ac:dyDescent="0.25">
      <c r="A231" s="1">
        <v>41547</v>
      </c>
      <c r="B231">
        <v>-2.52550407797494E-2</v>
      </c>
      <c r="C231">
        <v>-4.9490721428335098E-2</v>
      </c>
      <c r="D231">
        <v>-3.7165651522273802E-2</v>
      </c>
      <c r="E231">
        <v>-4.8537950988822298E-2</v>
      </c>
      <c r="F231">
        <v>-8.5434912245951396E-3</v>
      </c>
      <c r="I231" s="7">
        <f t="shared" si="19"/>
        <v>41547</v>
      </c>
      <c r="J231">
        <f t="shared" si="20"/>
        <v>19.883825326941558</v>
      </c>
      <c r="K231">
        <f t="shared" si="21"/>
        <v>483.59420217650933</v>
      </c>
      <c r="L231">
        <f t="shared" si="22"/>
        <v>224.89969801887204</v>
      </c>
      <c r="M231">
        <f t="shared" si="23"/>
        <v>407.49459636391816</v>
      </c>
      <c r="N231">
        <f t="shared" si="24"/>
        <v>430.14254012461078</v>
      </c>
    </row>
    <row r="232" spans="1:14" x14ac:dyDescent="0.25">
      <c r="A232" s="1">
        <v>41578</v>
      </c>
      <c r="B232">
        <v>7.3889651899915906E-2</v>
      </c>
      <c r="C232">
        <v>6.4690834919691895E-2</v>
      </c>
      <c r="D232">
        <v>4.7126969358131703E-2</v>
      </c>
      <c r="E232">
        <v>5.3824282253834899E-2</v>
      </c>
      <c r="F232">
        <v>4.1513074344413002E-2</v>
      </c>
      <c r="I232" s="7">
        <f t="shared" si="19"/>
        <v>41578</v>
      </c>
      <c r="J232">
        <f t="shared" si="20"/>
        <v>21.353034258788</v>
      </c>
      <c r="K232">
        <f t="shared" si="21"/>
        <v>514.87831487763003</v>
      </c>
      <c r="L232">
        <f t="shared" si="22"/>
        <v>235.49853919606051</v>
      </c>
      <c r="M232">
        <f t="shared" si="23"/>
        <v>429.42770053552221</v>
      </c>
      <c r="N232">
        <f t="shared" si="24"/>
        <v>447.9990793714984</v>
      </c>
    </row>
    <row r="233" spans="1:14" x14ac:dyDescent="0.25">
      <c r="A233" s="1">
        <v>41608</v>
      </c>
      <c r="B233">
        <v>-4.0900941180729997E-2</v>
      </c>
      <c r="C233">
        <v>3.4437599059568197E-2</v>
      </c>
      <c r="D233">
        <v>3.1427197828599603E-2</v>
      </c>
      <c r="E233">
        <v>2.7695059854043198E-2</v>
      </c>
      <c r="F233">
        <v>1.43096935191895E-2</v>
      </c>
      <c r="I233" s="7">
        <f t="shared" si="19"/>
        <v>41608</v>
      </c>
      <c r="J233">
        <f t="shared" si="20"/>
        <v>20.479675060539201</v>
      </c>
      <c r="K233">
        <f t="shared" si="21"/>
        <v>532.60948784985203</v>
      </c>
      <c r="L233">
        <f t="shared" si="22"/>
        <v>242.89959837572133</v>
      </c>
      <c r="M233">
        <f t="shared" si="23"/>
        <v>441.32072640483767</v>
      </c>
      <c r="N233">
        <f t="shared" si="24"/>
        <v>454.40980889418358</v>
      </c>
    </row>
    <row r="234" spans="1:14" x14ac:dyDescent="0.25">
      <c r="A234" s="1">
        <v>41639</v>
      </c>
      <c r="B234">
        <v>2.8986743906113702E-4</v>
      </c>
      <c r="C234">
        <v>-2.3549480166561499E-4</v>
      </c>
      <c r="D234">
        <v>6.18494318188542E-3</v>
      </c>
      <c r="E234">
        <v>2.5088885864724799E-3</v>
      </c>
      <c r="F234">
        <v>-3.2008900180941102E-2</v>
      </c>
      <c r="I234" s="7">
        <f t="shared" si="19"/>
        <v>41639</v>
      </c>
      <c r="J234">
        <f t="shared" si="20"/>
        <v>20.485611451501804</v>
      </c>
      <c r="K234">
        <f t="shared" si="21"/>
        <v>532.48406108414565</v>
      </c>
      <c r="L234">
        <f t="shared" si="22"/>
        <v>244.40191859057796</v>
      </c>
      <c r="M234">
        <f t="shared" si="23"/>
        <v>442.42795093828857</v>
      </c>
      <c r="N234">
        <f t="shared" si="24"/>
        <v>439.86465068004912</v>
      </c>
    </row>
    <row r="235" spans="1:14" x14ac:dyDescent="0.25">
      <c r="A235" s="1">
        <v>41670</v>
      </c>
      <c r="B235">
        <v>7.2060031830495303E-3</v>
      </c>
      <c r="C235">
        <v>7.6797157226679196E-3</v>
      </c>
      <c r="D235">
        <v>3.3156532206838799E-2</v>
      </c>
      <c r="E235">
        <v>6.8413522337038698E-3</v>
      </c>
      <c r="F235">
        <v>1.9263949494687301E-2</v>
      </c>
      <c r="I235" s="7">
        <f t="shared" si="19"/>
        <v>41670</v>
      </c>
      <c r="J235">
        <f t="shared" si="20"/>
        <v>20.63323083282804</v>
      </c>
      <c r="K235">
        <f t="shared" si="21"/>
        <v>536.57338730012373</v>
      </c>
      <c r="L235">
        <f t="shared" si="22"/>
        <v>252.50543867573964</v>
      </c>
      <c r="M235">
        <f t="shared" si="23"/>
        <v>445.45475638869328</v>
      </c>
      <c r="N235">
        <f t="shared" si="24"/>
        <v>448.33818109524788</v>
      </c>
    </row>
    <row r="236" spans="1:14" x14ac:dyDescent="0.25">
      <c r="A236" s="1">
        <v>41698</v>
      </c>
      <c r="B236">
        <v>1.6995363379127999E-2</v>
      </c>
      <c r="C236">
        <v>1.7518020219488499E-2</v>
      </c>
      <c r="D236">
        <v>1.6611298039769701E-2</v>
      </c>
      <c r="E236">
        <v>-3.8464126031483199E-3</v>
      </c>
      <c r="F236">
        <v>2.1270336777529E-2</v>
      </c>
      <c r="I236" s="7">
        <f t="shared" si="19"/>
        <v>41698</v>
      </c>
      <c r="J236">
        <f t="shared" si="20"/>
        <v>20.98390008851738</v>
      </c>
      <c r="K236">
        <f t="shared" si="21"/>
        <v>545.97309074808675</v>
      </c>
      <c r="L236">
        <f t="shared" si="22"/>
        <v>256.69988177424511</v>
      </c>
      <c r="M236">
        <f t="shared" si="23"/>
        <v>443.74135359958746</v>
      </c>
      <c r="N236">
        <f t="shared" si="24"/>
        <v>457.87448519736864</v>
      </c>
    </row>
    <row r="237" spans="1:14" x14ac:dyDescent="0.25">
      <c r="A237" s="1">
        <v>41729</v>
      </c>
      <c r="B237">
        <v>-4.9041521842702399E-2</v>
      </c>
      <c r="C237">
        <v>3.23855370334509E-3</v>
      </c>
      <c r="D237">
        <v>8.75194129542622E-4</v>
      </c>
      <c r="E237">
        <v>1.54790023417737E-3</v>
      </c>
      <c r="F237">
        <v>2.2419867261151898E-2</v>
      </c>
      <c r="I237" s="7">
        <f t="shared" si="19"/>
        <v>41729</v>
      </c>
      <c r="J237">
        <f t="shared" si="20"/>
        <v>19.954817693981269</v>
      </c>
      <c r="K237">
        <f t="shared" si="21"/>
        <v>547.74125392305564</v>
      </c>
      <c r="L237">
        <f t="shared" si="22"/>
        <v>256.9245440038282</v>
      </c>
      <c r="M237">
        <f t="shared" si="23"/>
        <v>444.42822094473843</v>
      </c>
      <c r="N237">
        <f t="shared" si="24"/>
        <v>468.13997037776193</v>
      </c>
    </row>
    <row r="238" spans="1:14" x14ac:dyDescent="0.25">
      <c r="A238" s="1">
        <v>41759</v>
      </c>
      <c r="B238">
        <v>1.2850157230336799E-2</v>
      </c>
      <c r="C238">
        <v>-5.84042288032279E-3</v>
      </c>
      <c r="D238">
        <v>-3.6874858170701102E-4</v>
      </c>
      <c r="E238">
        <v>2.8326664876040001E-4</v>
      </c>
      <c r="F238">
        <v>1.1006349271345899E-2</v>
      </c>
      <c r="I238" s="7">
        <f t="shared" si="19"/>
        <v>41759</v>
      </c>
      <c r="J238">
        <f t="shared" si="20"/>
        <v>20.211240238851634</v>
      </c>
      <c r="K238">
        <f t="shared" si="21"/>
        <v>544.54221337114666</v>
      </c>
      <c r="L238">
        <f t="shared" si="22"/>
        <v>256.82980344262108</v>
      </c>
      <c r="M238">
        <f t="shared" si="23"/>
        <v>444.5541126375</v>
      </c>
      <c r="N238">
        <f t="shared" si="24"/>
        <v>473.29248239961709</v>
      </c>
    </row>
    <row r="239" spans="1:14" x14ac:dyDescent="0.25">
      <c r="A239" s="1">
        <v>41790</v>
      </c>
      <c r="B239">
        <v>8.9074020990836597E-3</v>
      </c>
      <c r="C239">
        <v>4.4765772225745501E-2</v>
      </c>
      <c r="D239">
        <v>7.1438457803200397E-3</v>
      </c>
      <c r="E239">
        <v>-7.8173210866893193E-3</v>
      </c>
      <c r="F239">
        <v>-1.54252225410844E-2</v>
      </c>
      <c r="I239" s="7">
        <f t="shared" si="19"/>
        <v>41790</v>
      </c>
      <c r="J239">
        <f t="shared" si="20"/>
        <v>20.391269882580264</v>
      </c>
      <c r="K239">
        <f t="shared" si="21"/>
        <v>568.91906606222267</v>
      </c>
      <c r="L239">
        <f t="shared" si="22"/>
        <v>258.66455595020511</v>
      </c>
      <c r="M239">
        <f t="shared" si="23"/>
        <v>441.07889039860441</v>
      </c>
      <c r="N239">
        <f t="shared" si="24"/>
        <v>465.99184053158075</v>
      </c>
    </row>
    <row r="240" spans="1:14" x14ac:dyDescent="0.25">
      <c r="A240" s="1">
        <v>41820</v>
      </c>
      <c r="B240">
        <v>4.9610679198509797E-2</v>
      </c>
      <c r="C240">
        <v>3.1727071010867601E-2</v>
      </c>
      <c r="D240">
        <v>4.9670326994396198E-2</v>
      </c>
      <c r="E240">
        <v>3.4700941513129399E-2</v>
      </c>
      <c r="F240">
        <v>3.3830659030051197E-2</v>
      </c>
      <c r="I240" s="7">
        <f t="shared" si="19"/>
        <v>41820</v>
      </c>
      <c r="J240">
        <f t="shared" si="20"/>
        <v>21.40289463117519</v>
      </c>
      <c r="K240">
        <f t="shared" si="21"/>
        <v>586.96920167061535</v>
      </c>
      <c r="L240">
        <f t="shared" si="22"/>
        <v>271.51250902611207</v>
      </c>
      <c r="M240">
        <f t="shared" si="23"/>
        <v>456.38474317700241</v>
      </c>
      <c r="N240">
        <f t="shared" si="24"/>
        <v>481.75665159939064</v>
      </c>
    </row>
    <row r="241" spans="1:14" x14ac:dyDescent="0.25">
      <c r="A241" s="1">
        <v>41851</v>
      </c>
      <c r="B241">
        <v>-4.73058820261704E-2</v>
      </c>
      <c r="C241">
        <v>-9.63351073510736E-3</v>
      </c>
      <c r="D241">
        <v>4.3652682090247396E-3</v>
      </c>
      <c r="E241">
        <v>4.8009903812404102E-2</v>
      </c>
      <c r="F241">
        <v>2.6878867876910899E-2</v>
      </c>
      <c r="I241" s="7">
        <f t="shared" si="19"/>
        <v>41851</v>
      </c>
      <c r="J241">
        <f t="shared" si="20"/>
        <v>20.390411822734261</v>
      </c>
      <c r="K241">
        <f t="shared" si="21"/>
        <v>581.31462756514406</v>
      </c>
      <c r="L241">
        <f t="shared" si="22"/>
        <v>272.69773395011629</v>
      </c>
      <c r="M241">
        <f t="shared" si="23"/>
        <v>478.295730798379</v>
      </c>
      <c r="N241">
        <f t="shared" si="24"/>
        <v>494.70572498655366</v>
      </c>
    </row>
    <row r="242" spans="1:14" x14ac:dyDescent="0.25">
      <c r="A242" s="1">
        <v>41882</v>
      </c>
      <c r="B242">
        <v>-3.1631564793725399E-2</v>
      </c>
      <c r="C242">
        <v>1.6809666653821501E-2</v>
      </c>
      <c r="D242">
        <v>-5.1707774857369097E-2</v>
      </c>
      <c r="E242">
        <v>8.92757554608406E-3</v>
      </c>
      <c r="F242">
        <v>-1.73910322529362E-2</v>
      </c>
      <c r="I242" s="7">
        <f t="shared" si="19"/>
        <v>41882</v>
      </c>
      <c r="J242">
        <f t="shared" si="20"/>
        <v>19.745431189992697</v>
      </c>
      <c r="K242">
        <f t="shared" si="21"/>
        <v>591.08633267550454</v>
      </c>
      <c r="L242">
        <f t="shared" si="22"/>
        <v>258.59714091890896</v>
      </c>
      <c r="M242">
        <f t="shared" si="23"/>
        <v>482.56575206845099</v>
      </c>
      <c r="N242">
        <f t="shared" si="24"/>
        <v>486.10228176760029</v>
      </c>
    </row>
    <row r="243" spans="1:14" x14ac:dyDescent="0.25">
      <c r="A243" s="1">
        <v>41912</v>
      </c>
      <c r="B243">
        <v>-1.0718353820188001E-2</v>
      </c>
      <c r="C243">
        <v>-4.4127422455923597E-2</v>
      </c>
      <c r="D243">
        <v>-7.0585720006788501E-3</v>
      </c>
      <c r="E243">
        <v>-9.96900385066995E-3</v>
      </c>
      <c r="F243">
        <v>2.8813206387536001E-2</v>
      </c>
      <c r="I243" s="7">
        <f t="shared" si="19"/>
        <v>41912</v>
      </c>
      <c r="J243">
        <f t="shared" si="20"/>
        <v>19.533792672166179</v>
      </c>
      <c r="K243">
        <f t="shared" si="21"/>
        <v>565.00321636561</v>
      </c>
      <c r="L243">
        <f t="shared" si="22"/>
        <v>256.77181438056317</v>
      </c>
      <c r="M243">
        <f t="shared" si="23"/>
        <v>477.75505222787916</v>
      </c>
      <c r="N243">
        <f t="shared" si="24"/>
        <v>500.10844713762231</v>
      </c>
    </row>
    <row r="244" spans="1:14" x14ac:dyDescent="0.25">
      <c r="A244" s="1">
        <v>41943</v>
      </c>
      <c r="B244">
        <v>3.6252076310735099E-2</v>
      </c>
      <c r="C244">
        <v>5.1291865537546798E-2</v>
      </c>
      <c r="D244">
        <v>5.31506361575243E-2</v>
      </c>
      <c r="E244">
        <v>5.3442772987032601E-2</v>
      </c>
      <c r="F244">
        <v>2.2181157568653499E-2</v>
      </c>
      <c r="I244" s="7">
        <f t="shared" si="19"/>
        <v>41943</v>
      </c>
      <c r="J244">
        <f t="shared" si="20"/>
        <v>20.241933214755623</v>
      </c>
      <c r="K244">
        <f t="shared" si="21"/>
        <v>593.98328536771623</v>
      </c>
      <c r="L244">
        <f t="shared" si="22"/>
        <v>270.41939966221184</v>
      </c>
      <c r="M244">
        <f t="shared" si="23"/>
        <v>503.28760702750162</v>
      </c>
      <c r="N244">
        <f t="shared" si="24"/>
        <v>511.20143140499653</v>
      </c>
    </row>
    <row r="245" spans="1:14" x14ac:dyDescent="0.25">
      <c r="A245" s="1">
        <v>41973</v>
      </c>
      <c r="B245">
        <v>1.1281041162707801E-2</v>
      </c>
      <c r="C245">
        <v>2.9474606570466001E-2</v>
      </c>
      <c r="D245">
        <v>4.8844383182247098E-2</v>
      </c>
      <c r="E245">
        <v>5.67419598853975E-2</v>
      </c>
      <c r="F245">
        <v>2.5300427588073202E-2</v>
      </c>
      <c r="I245" s="7">
        <f t="shared" si="19"/>
        <v>41973</v>
      </c>
      <c r="J245">
        <f t="shared" si="20"/>
        <v>20.470283296564062</v>
      </c>
      <c r="K245">
        <f t="shared" si="21"/>
        <v>611.49070901336256</v>
      </c>
      <c r="L245">
        <f t="shared" si="22"/>
        <v>283.62786843922618</v>
      </c>
      <c r="M245">
        <f t="shared" si="23"/>
        <v>531.8451322362738</v>
      </c>
      <c r="N245">
        <f t="shared" si="24"/>
        <v>524.13504620317804</v>
      </c>
    </row>
    <row r="246" spans="1:14" x14ac:dyDescent="0.25">
      <c r="A246" s="1">
        <v>42004</v>
      </c>
      <c r="B246">
        <v>6.4460523634327596E-2</v>
      </c>
      <c r="C246">
        <v>1.1144981878407E-2</v>
      </c>
      <c r="D246">
        <v>1.7180942432365499E-3</v>
      </c>
      <c r="E246">
        <v>2.1557478738665401E-2</v>
      </c>
      <c r="F246">
        <v>4.81082860008327E-3</v>
      </c>
      <c r="I246" s="7">
        <f t="shared" si="19"/>
        <v>42004</v>
      </c>
      <c r="J246">
        <f t="shared" si="20"/>
        <v>21.789808476803614</v>
      </c>
      <c r="K246">
        <f t="shared" si="21"/>
        <v>618.30576188413079</v>
      </c>
      <c r="L246">
        <f t="shared" si="22"/>
        <v>284.11516784721312</v>
      </c>
      <c r="M246">
        <f t="shared" si="23"/>
        <v>543.31037236672</v>
      </c>
      <c r="N246">
        <f t="shared" si="24"/>
        <v>526.65657007375819</v>
      </c>
    </row>
    <row r="247" spans="1:14" x14ac:dyDescent="0.25">
      <c r="A247" s="1">
        <v>42035</v>
      </c>
      <c r="B247">
        <v>2.8005112689079299E-2</v>
      </c>
      <c r="C247">
        <v>2.9347716823947299E-2</v>
      </c>
      <c r="D247">
        <v>4.7560953384278501E-2</v>
      </c>
      <c r="E247">
        <v>1.36863195172468E-2</v>
      </c>
      <c r="F247">
        <v>-3.1465438305723699E-3</v>
      </c>
      <c r="I247" s="7">
        <f t="shared" si="19"/>
        <v>42035</v>
      </c>
      <c r="J247">
        <f t="shared" si="20"/>
        <v>22.400034518669955</v>
      </c>
      <c r="K247">
        <f t="shared" si="21"/>
        <v>636.45162429452125</v>
      </c>
      <c r="L247">
        <f t="shared" si="22"/>
        <v>297.62795610096089</v>
      </c>
      <c r="M247">
        <f t="shared" si="23"/>
        <v>550.74629171996526</v>
      </c>
      <c r="N247">
        <f t="shared" si="24"/>
        <v>524.99942209236224</v>
      </c>
    </row>
    <row r="248" spans="1:14" x14ac:dyDescent="0.25">
      <c r="A248" s="1">
        <v>42063</v>
      </c>
      <c r="B248">
        <v>5.7850552210322696E-3</v>
      </c>
      <c r="C248">
        <v>-3.77389820475438E-2</v>
      </c>
      <c r="D248">
        <v>-3.4815610975165001E-2</v>
      </c>
      <c r="E248">
        <v>1.26289618990398E-2</v>
      </c>
      <c r="F248">
        <v>-1.54593939219832E-2</v>
      </c>
      <c r="I248" s="7">
        <f t="shared" si="19"/>
        <v>42063</v>
      </c>
      <c r="J248">
        <f t="shared" si="20"/>
        <v>22.529619955313493</v>
      </c>
      <c r="K248">
        <f t="shared" si="21"/>
        <v>612.43258787114019</v>
      </c>
      <c r="L248">
        <f t="shared" si="22"/>
        <v>287.26585696601637</v>
      </c>
      <c r="M248">
        <f t="shared" si="23"/>
        <v>557.70164565413415</v>
      </c>
      <c r="N248">
        <f t="shared" si="24"/>
        <v>516.88324921742287</v>
      </c>
    </row>
    <row r="249" spans="1:14" x14ac:dyDescent="0.25">
      <c r="A249" s="1">
        <v>42094</v>
      </c>
      <c r="B249">
        <v>3.7177421502141199E-2</v>
      </c>
      <c r="C249">
        <v>2.7059742784048199E-2</v>
      </c>
      <c r="D249">
        <v>2.76213889145468E-2</v>
      </c>
      <c r="E249">
        <v>3.2238749011850601E-2</v>
      </c>
      <c r="F249">
        <v>-5.1773585430772602E-2</v>
      </c>
      <c r="I249" s="7">
        <f t="shared" si="19"/>
        <v>42094</v>
      </c>
      <c r="J249">
        <f t="shared" si="20"/>
        <v>23.367213132675236</v>
      </c>
      <c r="K249">
        <f t="shared" si="21"/>
        <v>629.0048561715023</v>
      </c>
      <c r="L249">
        <f t="shared" si="22"/>
        <v>295.2005389231453</v>
      </c>
      <c r="M249">
        <f t="shared" si="23"/>
        <v>575.68124903187379</v>
      </c>
      <c r="N249">
        <f t="shared" si="24"/>
        <v>490.12235015632933</v>
      </c>
    </row>
    <row r="250" spans="1:14" x14ac:dyDescent="0.25">
      <c r="A250" s="1">
        <v>42124</v>
      </c>
      <c r="B250">
        <v>-6.0165405568571299E-2</v>
      </c>
      <c r="C250">
        <v>-3.8115718866278597E-2</v>
      </c>
      <c r="D250">
        <v>-4.6302010546546798E-2</v>
      </c>
      <c r="E250">
        <v>-3.0890286604870799E-2</v>
      </c>
      <c r="F250">
        <v>5.6906790508117498E-2</v>
      </c>
      <c r="I250" s="7">
        <f t="shared" si="19"/>
        <v>42124</v>
      </c>
      <c r="J250">
        <f t="shared" si="20"/>
        <v>21.961315277540585</v>
      </c>
      <c r="K250">
        <f t="shared" si="21"/>
        <v>605.02988390814528</v>
      </c>
      <c r="L250">
        <f t="shared" si="22"/>
        <v>281.5321604565795</v>
      </c>
      <c r="M250">
        <f t="shared" si="23"/>
        <v>557.89829025622919</v>
      </c>
      <c r="N250">
        <f t="shared" si="24"/>
        <v>518.01364006002177</v>
      </c>
    </row>
    <row r="251" spans="1:14" x14ac:dyDescent="0.25">
      <c r="A251" s="1">
        <v>42155</v>
      </c>
      <c r="B251">
        <v>-1.8324987435754399E-2</v>
      </c>
      <c r="C251">
        <v>4.7150027959540701E-2</v>
      </c>
      <c r="D251">
        <v>5.9496033265574802E-2</v>
      </c>
      <c r="E251">
        <v>2.9920645038237E-2</v>
      </c>
      <c r="F251">
        <v>1.9436208960576601E-2</v>
      </c>
      <c r="I251" s="7">
        <f t="shared" si="19"/>
        <v>42155</v>
      </c>
      <c r="J251">
        <f t="shared" si="20"/>
        <v>21.558874451007014</v>
      </c>
      <c r="K251">
        <f t="shared" si="21"/>
        <v>633.55705985077202</v>
      </c>
      <c r="L251">
        <f t="shared" si="22"/>
        <v>298.28220724043331</v>
      </c>
      <c r="M251">
        <f t="shared" si="23"/>
        <v>574.59096696642519</v>
      </c>
      <c r="N251">
        <f t="shared" si="24"/>
        <v>528.0818614126573</v>
      </c>
    </row>
    <row r="252" spans="1:14" x14ac:dyDescent="0.25">
      <c r="A252" s="1">
        <v>42185</v>
      </c>
      <c r="B252">
        <v>2.5196549818991401E-2</v>
      </c>
      <c r="C252">
        <v>2.6759455412319399E-2</v>
      </c>
      <c r="D252">
        <v>2.40851523186227E-2</v>
      </c>
      <c r="E252">
        <v>4.0715628069745803E-2</v>
      </c>
      <c r="F252">
        <v>4.3793809588097497E-2</v>
      </c>
      <c r="I252" s="7">
        <f t="shared" si="19"/>
        <v>42185</v>
      </c>
      <c r="J252">
        <f t="shared" si="20"/>
        <v>22.102083705153195</v>
      </c>
      <c r="K252">
        <f t="shared" si="21"/>
        <v>650.51070174500887</v>
      </c>
      <c r="L252">
        <f t="shared" si="22"/>
        <v>305.46637963575415</v>
      </c>
      <c r="M252">
        <f t="shared" si="23"/>
        <v>597.98579906966575</v>
      </c>
      <c r="N252">
        <f t="shared" si="24"/>
        <v>551.20857789829131</v>
      </c>
    </row>
    <row r="253" spans="1:14" x14ac:dyDescent="0.25">
      <c r="A253" s="1">
        <v>42216</v>
      </c>
      <c r="B253">
        <v>-2.4329037570561901E-2</v>
      </c>
      <c r="C253">
        <v>6.5576111138369697E-2</v>
      </c>
      <c r="D253">
        <v>0.101519581813244</v>
      </c>
      <c r="E253">
        <v>9.2886114473504394E-2</v>
      </c>
      <c r="F253">
        <v>5.3008944864417998E-2</v>
      </c>
      <c r="I253" s="7">
        <f t="shared" si="19"/>
        <v>42216</v>
      </c>
      <c r="J253">
        <f t="shared" si="20"/>
        <v>21.564361280302819</v>
      </c>
      <c r="K253">
        <f t="shared" si="21"/>
        <v>693.16866381933846</v>
      </c>
      <c r="L253">
        <f t="shared" si="22"/>
        <v>336.4771987543815</v>
      </c>
      <c r="M253">
        <f t="shared" si="23"/>
        <v>653.53037645558072</v>
      </c>
      <c r="N253">
        <f t="shared" si="24"/>
        <v>580.42756301289603</v>
      </c>
    </row>
    <row r="254" spans="1:14" x14ac:dyDescent="0.25">
      <c r="A254" s="1">
        <v>42247</v>
      </c>
      <c r="B254">
        <v>6.4282234499986298E-3</v>
      </c>
      <c r="C254">
        <v>5.2077573011538002E-3</v>
      </c>
      <c r="D254">
        <v>4.1183264162052299E-2</v>
      </c>
      <c r="E254">
        <v>3.4740195100359E-2</v>
      </c>
      <c r="F254">
        <v>3.8631472675007897E-2</v>
      </c>
      <c r="I254" s="7">
        <f t="shared" si="19"/>
        <v>42247</v>
      </c>
      <c r="J254">
        <f t="shared" si="20"/>
        <v>21.702981813169103</v>
      </c>
      <c r="K254">
        <f t="shared" si="21"/>
        <v>696.77851798927463</v>
      </c>
      <c r="L254">
        <f t="shared" si="22"/>
        <v>350.33442811519052</v>
      </c>
      <c r="M254">
        <f t="shared" si="23"/>
        <v>676.2341492376587</v>
      </c>
      <c r="N254">
        <f t="shared" si="24"/>
        <v>602.85033455325015</v>
      </c>
    </row>
    <row r="255" spans="1:14" x14ac:dyDescent="0.25">
      <c r="A255" s="1">
        <v>42277</v>
      </c>
      <c r="B255">
        <v>-1.72811077811946E-4</v>
      </c>
      <c r="C255">
        <v>6.5526824592300206E-2</v>
      </c>
      <c r="D255">
        <v>8.1056053764158101E-2</v>
      </c>
      <c r="E255">
        <v>7.0003314413635997E-2</v>
      </c>
      <c r="F255">
        <v>2.13760280670071E-2</v>
      </c>
      <c r="I255" s="7">
        <f t="shared" si="19"/>
        <v>42277</v>
      </c>
      <c r="J255">
        <f t="shared" si="20"/>
        <v>21.699231297490236</v>
      </c>
      <c r="K255">
        <f t="shared" si="21"/>
        <v>742.43620171724069</v>
      </c>
      <c r="L255">
        <f t="shared" si="22"/>
        <v>378.73115435593098</v>
      </c>
      <c r="M255">
        <f t="shared" si="23"/>
        <v>723.57278100398025</v>
      </c>
      <c r="N255">
        <f t="shared" si="24"/>
        <v>615.73688022486499</v>
      </c>
    </row>
    <row r="256" spans="1:14" x14ac:dyDescent="0.25">
      <c r="A256" s="1">
        <v>42308</v>
      </c>
      <c r="B256">
        <v>-8.2580229722283405E-2</v>
      </c>
      <c r="C256">
        <v>-0.12901038909458801</v>
      </c>
      <c r="D256">
        <v>-0.12965509737684899</v>
      </c>
      <c r="E256">
        <v>-0.14063985313234301</v>
      </c>
      <c r="F256">
        <v>-0.12790304123103499</v>
      </c>
      <c r="I256" s="7">
        <f t="shared" si="19"/>
        <v>42308</v>
      </c>
      <c r="J256">
        <f t="shared" si="20"/>
        <v>19.907303792146532</v>
      </c>
      <c r="K256">
        <f t="shared" si="21"/>
        <v>646.65421845579147</v>
      </c>
      <c r="L256">
        <f t="shared" si="22"/>
        <v>329.6267296582663</v>
      </c>
      <c r="M256">
        <f t="shared" si="23"/>
        <v>621.80961135301948</v>
      </c>
      <c r="N256">
        <f t="shared" si="24"/>
        <v>536.98226064599521</v>
      </c>
    </row>
    <row r="257" spans="1:14" x14ac:dyDescent="0.25">
      <c r="A257" s="1">
        <v>42338</v>
      </c>
      <c r="B257">
        <v>-2.3634286403942301E-2</v>
      </c>
      <c r="C257">
        <v>-2.0544914604535499E-2</v>
      </c>
      <c r="D257">
        <v>-1.18428461759514E-2</v>
      </c>
      <c r="E257">
        <v>-1.0312270588436799E-2</v>
      </c>
      <c r="F257">
        <v>3.6581536130106997E-4</v>
      </c>
      <c r="I257" s="7">
        <f t="shared" si="19"/>
        <v>42338</v>
      </c>
      <c r="J257">
        <f t="shared" si="20"/>
        <v>19.436808872792653</v>
      </c>
      <c r="K257">
        <f t="shared" si="21"/>
        <v>633.36876275895463</v>
      </c>
      <c r="L257">
        <f t="shared" si="22"/>
        <v>325.72301100344151</v>
      </c>
      <c r="M257">
        <f t="shared" si="23"/>
        <v>615.39734238625647</v>
      </c>
      <c r="N257">
        <f t="shared" si="24"/>
        <v>537.17869700568565</v>
      </c>
    </row>
    <row r="258" spans="1:14" x14ac:dyDescent="0.25">
      <c r="A258" s="1">
        <v>42369</v>
      </c>
      <c r="B258">
        <v>1.05547941349379E-2</v>
      </c>
      <c r="C258">
        <v>2.77316664429311E-2</v>
      </c>
      <c r="D258">
        <v>3.61129655041698E-2</v>
      </c>
      <c r="E258">
        <v>1.9286226556769301E-2</v>
      </c>
      <c r="F258">
        <v>-1.28649802334279E-2</v>
      </c>
      <c r="I258" s="7">
        <f t="shared" si="19"/>
        <v>42369</v>
      </c>
      <c r="J258">
        <f t="shared" si="20"/>
        <v>19.641960389085117</v>
      </c>
      <c r="K258">
        <f t="shared" si="21"/>
        <v>650.93313402315789</v>
      </c>
      <c r="L258">
        <f t="shared" si="22"/>
        <v>337.48583486372314</v>
      </c>
      <c r="M258">
        <f t="shared" si="23"/>
        <v>627.26603495395148</v>
      </c>
      <c r="N258">
        <f t="shared" si="24"/>
        <v>530.26790368688899</v>
      </c>
    </row>
    <row r="259" spans="1:14" x14ac:dyDescent="0.25">
      <c r="A259" s="1">
        <v>42400</v>
      </c>
      <c r="B259">
        <v>2.3409097469354299E-2</v>
      </c>
      <c r="C259">
        <v>2.3571526364893701E-2</v>
      </c>
      <c r="D259">
        <v>-3.3699359212342301E-3</v>
      </c>
      <c r="E259">
        <v>3.7802703943470101E-2</v>
      </c>
      <c r="F259">
        <v>2.1557395322605501E-2</v>
      </c>
      <c r="I259" s="7">
        <f t="shared" ref="I259:I322" si="25">+A259</f>
        <v>42400</v>
      </c>
      <c r="J259">
        <f t="shared" ref="J259:J322" si="26">+J258*(1+B259)</f>
        <v>20.101760954322408</v>
      </c>
      <c r="K259">
        <f t="shared" ref="K259:K322" si="27">+K258*(1+C259)</f>
        <v>666.27662155356768</v>
      </c>
      <c r="L259">
        <f t="shared" ref="L259:L322" si="28">+L258*(1+D259)</f>
        <v>336.34852922590818</v>
      </c>
      <c r="M259">
        <f t="shared" ref="M259:M322" si="29">+M258*(1+E259)</f>
        <v>650.9783871671101</v>
      </c>
      <c r="N259">
        <f t="shared" ref="N259:N322" si="30">+N258*(1+F259)</f>
        <v>541.69909851355658</v>
      </c>
    </row>
    <row r="260" spans="1:14" x14ac:dyDescent="0.25">
      <c r="A260" s="1">
        <v>42429</v>
      </c>
      <c r="B260">
        <v>-4.0061578901655903E-2</v>
      </c>
      <c r="C260">
        <v>3.6412754843837901E-2</v>
      </c>
      <c r="D260">
        <v>-2.96268293599375E-2</v>
      </c>
      <c r="E260">
        <v>-1.73057298735027E-2</v>
      </c>
      <c r="F260">
        <v>-3.9564736519429898E-2</v>
      </c>
      <c r="I260" s="7">
        <f t="shared" si="25"/>
        <v>42429</v>
      </c>
      <c r="J260">
        <f t="shared" si="26"/>
        <v>19.296452671788597</v>
      </c>
      <c r="K260">
        <f t="shared" si="27"/>
        <v>690.53758883237833</v>
      </c>
      <c r="L260">
        <f t="shared" si="28"/>
        <v>326.38358874506622</v>
      </c>
      <c r="M260">
        <f t="shared" si="29"/>
        <v>639.71273104530769</v>
      </c>
      <c r="N260">
        <f t="shared" si="30"/>
        <v>520.26691640805495</v>
      </c>
    </row>
    <row r="261" spans="1:14" x14ac:dyDescent="0.25">
      <c r="A261" s="1">
        <v>42460</v>
      </c>
      <c r="B261">
        <v>-3.4773098222480502E-2</v>
      </c>
      <c r="C261">
        <v>-0.127903647927228</v>
      </c>
      <c r="D261">
        <v>-0.20503640306283499</v>
      </c>
      <c r="E261">
        <v>-0.204043919361762</v>
      </c>
      <c r="F261">
        <v>-0.110593904087732</v>
      </c>
      <c r="I261" s="7">
        <f t="shared" si="25"/>
        <v>42460</v>
      </c>
      <c r="J261">
        <f t="shared" si="26"/>
        <v>18.625455227687045</v>
      </c>
      <c r="K261">
        <f t="shared" si="27"/>
        <v>602.21531218984489</v>
      </c>
      <c r="L261">
        <f t="shared" si="28"/>
        <v>259.46307169003825</v>
      </c>
      <c r="M261">
        <f t="shared" si="29"/>
        <v>509.18323813720639</v>
      </c>
      <c r="N261">
        <f t="shared" si="30"/>
        <v>462.72856695480249</v>
      </c>
    </row>
    <row r="262" spans="1:14" x14ac:dyDescent="0.25">
      <c r="A262" s="1">
        <v>42490</v>
      </c>
      <c r="B262">
        <v>3.1160141407274199E-2</v>
      </c>
      <c r="C262">
        <v>5.5567904382825002E-2</v>
      </c>
      <c r="D262">
        <v>3.3418500939010301E-3</v>
      </c>
      <c r="E262">
        <v>-1.6025350916950998E-2</v>
      </c>
      <c r="F262">
        <v>-6.6833742632712995E-2</v>
      </c>
      <c r="I262" s="7">
        <f t="shared" si="25"/>
        <v>42490</v>
      </c>
      <c r="J262">
        <f t="shared" si="26"/>
        <v>19.205827046356628</v>
      </c>
      <c r="K262">
        <f t="shared" si="27"/>
        <v>635.67915507548332</v>
      </c>
      <c r="L262">
        <f t="shared" si="28"/>
        <v>260.33015838052944</v>
      </c>
      <c r="M262">
        <f t="shared" si="29"/>
        <v>501.02339806502823</v>
      </c>
      <c r="N262">
        <f t="shared" si="30"/>
        <v>431.80268500214112</v>
      </c>
    </row>
    <row r="263" spans="1:14" x14ac:dyDescent="0.25">
      <c r="A263" s="1">
        <v>42521</v>
      </c>
      <c r="B263">
        <v>-9.2064907864727E-2</v>
      </c>
      <c r="C263">
        <v>-7.9059906345792894E-2</v>
      </c>
      <c r="D263">
        <v>-5.5854205805056498E-2</v>
      </c>
      <c r="E263">
        <v>3.2711560098899598E-3</v>
      </c>
      <c r="F263">
        <v>0.111405808019546</v>
      </c>
      <c r="I263" s="7">
        <f t="shared" si="25"/>
        <v>42521</v>
      </c>
      <c r="J263">
        <f t="shared" si="26"/>
        <v>17.437644348867924</v>
      </c>
      <c r="K263">
        <f t="shared" si="27"/>
        <v>585.42242060924286</v>
      </c>
      <c r="L263">
        <f t="shared" si="28"/>
        <v>245.78962413708038</v>
      </c>
      <c r="M263">
        <f t="shared" si="29"/>
        <v>502.66232376470413</v>
      </c>
      <c r="N263">
        <f t="shared" si="30"/>
        <v>479.90801202981413</v>
      </c>
    </row>
    <row r="264" spans="1:14" x14ac:dyDescent="0.25">
      <c r="A264" s="1">
        <v>42551</v>
      </c>
      <c r="B264">
        <v>0.11501653804895599</v>
      </c>
      <c r="C264">
        <v>0.114081533954909</v>
      </c>
      <c r="D264">
        <v>0.107253068654226</v>
      </c>
      <c r="E264">
        <v>6.0508140395666397E-2</v>
      </c>
      <c r="F264">
        <v>-8.36018815146886E-2</v>
      </c>
      <c r="I264" s="7">
        <f t="shared" si="25"/>
        <v>42551</v>
      </c>
      <c r="J264">
        <f t="shared" si="26"/>
        <v>19.443261833603653</v>
      </c>
      <c r="K264">
        <f t="shared" si="27"/>
        <v>652.20830836394123</v>
      </c>
      <c r="L264">
        <f t="shared" si="28"/>
        <v>272.15131556915105</v>
      </c>
      <c r="M264">
        <f t="shared" si="29"/>
        <v>533.07748622267081</v>
      </c>
      <c r="N264">
        <f t="shared" si="30"/>
        <v>439.78679927014787</v>
      </c>
    </row>
    <row r="265" spans="1:14" x14ac:dyDescent="0.25">
      <c r="A265" s="1">
        <v>42582</v>
      </c>
      <c r="B265">
        <v>-8.0479206772911899E-2</v>
      </c>
      <c r="C265">
        <v>-1.9395558815150898E-2</v>
      </c>
      <c r="D265">
        <v>1.41417969607383E-2</v>
      </c>
      <c r="E265">
        <v>-3.2385434579953E-2</v>
      </c>
      <c r="F265">
        <v>-5.8995166955700902E-2</v>
      </c>
      <c r="I265" s="7">
        <f t="shared" si="25"/>
        <v>42582</v>
      </c>
      <c r="J265">
        <f t="shared" si="26"/>
        <v>17.878483544157199</v>
      </c>
      <c r="K265">
        <f t="shared" si="27"/>
        <v>639.55836375933836</v>
      </c>
      <c r="L265">
        <f t="shared" si="28"/>
        <v>276.00002421652778</v>
      </c>
      <c r="M265">
        <f t="shared" si="29"/>
        <v>515.81354016656076</v>
      </c>
      <c r="N265">
        <f t="shared" si="30"/>
        <v>413.84150362229218</v>
      </c>
    </row>
    <row r="266" spans="1:14" x14ac:dyDescent="0.25">
      <c r="A266" s="1">
        <v>42613</v>
      </c>
      <c r="B266">
        <v>-1.18565663564825E-2</v>
      </c>
      <c r="C266">
        <v>-6.7959330771887205E-2</v>
      </c>
      <c r="D266">
        <v>-8.2990501790384696E-2</v>
      </c>
      <c r="E266">
        <v>-7.4175017284422204E-2</v>
      </c>
      <c r="F266">
        <v>-2.9373185651073101E-2</v>
      </c>
      <c r="I266" s="7">
        <f t="shared" si="25"/>
        <v>42613</v>
      </c>
      <c r="J266">
        <f t="shared" si="26"/>
        <v>17.666506117662617</v>
      </c>
      <c r="K266">
        <f t="shared" si="27"/>
        <v>596.09440536869056</v>
      </c>
      <c r="L266">
        <f t="shared" si="28"/>
        <v>253.09464371263982</v>
      </c>
      <c r="M266">
        <f t="shared" si="29"/>
        <v>477.55306190916707</v>
      </c>
      <c r="N266">
        <f t="shared" si="30"/>
        <v>401.68566030627539</v>
      </c>
    </row>
    <row r="267" spans="1:14" x14ac:dyDescent="0.25">
      <c r="A267" s="1">
        <v>42643</v>
      </c>
      <c r="B267">
        <v>-1.6412684766187902E-2</v>
      </c>
      <c r="C267">
        <v>-1.2088273993728299E-2</v>
      </c>
      <c r="D267">
        <v>1.1633197863863701E-2</v>
      </c>
      <c r="E267">
        <v>2.9166300573889001E-2</v>
      </c>
      <c r="F267">
        <v>3.6983682824593599E-2</v>
      </c>
      <c r="I267" s="7">
        <f t="shared" si="25"/>
        <v>42643</v>
      </c>
      <c r="J267">
        <f t="shared" si="26"/>
        <v>17.376551321833492</v>
      </c>
      <c r="K267">
        <f t="shared" si="27"/>
        <v>588.88865287046531</v>
      </c>
      <c r="L267">
        <f t="shared" si="28"/>
        <v>256.03894378123306</v>
      </c>
      <c r="M267">
        <f t="shared" si="29"/>
        <v>491.48151805279082</v>
      </c>
      <c r="N267">
        <f t="shared" si="30"/>
        <v>416.54147536223007</v>
      </c>
    </row>
    <row r="268" spans="1:14" x14ac:dyDescent="0.25">
      <c r="A268" s="1">
        <v>42674</v>
      </c>
      <c r="B268">
        <v>-2.96317616121856E-2</v>
      </c>
      <c r="C268">
        <v>3.49396912796925E-2</v>
      </c>
      <c r="D268">
        <v>0.10850648189765601</v>
      </c>
      <c r="E268">
        <v>8.5915892900570695E-2</v>
      </c>
      <c r="F268">
        <v>3.3416085702171097E-2</v>
      </c>
      <c r="I268" s="7">
        <f t="shared" si="25"/>
        <v>42674</v>
      </c>
      <c r="J268">
        <f t="shared" si="26"/>
        <v>16.861653495423013</v>
      </c>
      <c r="K268">
        <f t="shared" si="27"/>
        <v>609.46424059987328</v>
      </c>
      <c r="L268">
        <f t="shared" si="28"/>
        <v>283.82082879972637</v>
      </c>
      <c r="M268">
        <f t="shared" si="29"/>
        <v>533.70759152042433</v>
      </c>
      <c r="N268">
        <f t="shared" si="30"/>
        <v>430.4606610014431</v>
      </c>
    </row>
    <row r="269" spans="1:14" x14ac:dyDescent="0.25">
      <c r="A269" s="1">
        <v>42704</v>
      </c>
      <c r="B269">
        <v>3.7078685160315601E-2</v>
      </c>
      <c r="C269">
        <v>-2.66788608518112E-2</v>
      </c>
      <c r="D269">
        <v>-2.58704889421487E-2</v>
      </c>
      <c r="E269">
        <v>-2.5427494453955E-2</v>
      </c>
      <c r="F269">
        <v>-1.25031075770275E-2</v>
      </c>
      <c r="I269" s="7">
        <f t="shared" si="25"/>
        <v>42704</v>
      </c>
      <c r="J269">
        <f t="shared" si="26"/>
        <v>17.486861436662139</v>
      </c>
      <c r="K269">
        <f t="shared" si="27"/>
        <v>593.20442893075449</v>
      </c>
      <c r="L269">
        <f t="shared" si="28"/>
        <v>276.47824518671155</v>
      </c>
      <c r="M269">
        <f t="shared" si="29"/>
        <v>520.13674469700504</v>
      </c>
      <c r="N269">
        <f t="shared" si="30"/>
        <v>425.07856504926366</v>
      </c>
    </row>
    <row r="270" spans="1:14" x14ac:dyDescent="0.25">
      <c r="A270" s="1">
        <v>42735</v>
      </c>
      <c r="B270">
        <v>-2.3220596033889498E-2</v>
      </c>
      <c r="C270">
        <v>-5.4334910875033997E-2</v>
      </c>
      <c r="D270">
        <v>-2.7297712286737299E-2</v>
      </c>
      <c r="E270">
        <v>-1.01945889814906E-2</v>
      </c>
      <c r="F270">
        <v>-1.5623588960863299E-2</v>
      </c>
      <c r="I270" s="7">
        <f t="shared" si="25"/>
        <v>42735</v>
      </c>
      <c r="J270">
        <f t="shared" si="26"/>
        <v>17.080806091340808</v>
      </c>
      <c r="K270">
        <f t="shared" si="27"/>
        <v>560.97271915412648</v>
      </c>
      <c r="L270">
        <f t="shared" si="28"/>
        <v>268.93102159606269</v>
      </c>
      <c r="M270">
        <f t="shared" si="29"/>
        <v>514.83416437064852</v>
      </c>
      <c r="N270">
        <f t="shared" si="30"/>
        <v>418.43731227286037</v>
      </c>
    </row>
    <row r="271" spans="1:14" x14ac:dyDescent="0.25">
      <c r="A271" s="1">
        <v>42766</v>
      </c>
      <c r="B271">
        <v>1.37358612053696E-2</v>
      </c>
      <c r="C271">
        <v>1.03385165808787E-2</v>
      </c>
      <c r="D271">
        <v>5.3524456610517801E-2</v>
      </c>
      <c r="E271">
        <v>6.9460702913296896E-2</v>
      </c>
      <c r="F271">
        <v>5.5653930671067199E-2</v>
      </c>
      <c r="I271" s="7">
        <f t="shared" si="25"/>
        <v>42766</v>
      </c>
      <c r="J271">
        <f t="shared" si="26"/>
        <v>17.315425673087294</v>
      </c>
      <c r="K271">
        <f t="shared" si="27"/>
        <v>566.77234491252204</v>
      </c>
      <c r="L271">
        <f t="shared" si="28"/>
        <v>283.32540839270337</v>
      </c>
      <c r="M271">
        <f t="shared" si="29"/>
        <v>550.59490731161361</v>
      </c>
      <c r="N271">
        <f t="shared" si="30"/>
        <v>441.72499344028188</v>
      </c>
    </row>
    <row r="272" spans="1:14" x14ac:dyDescent="0.25">
      <c r="A272" s="1">
        <v>42794</v>
      </c>
      <c r="B272">
        <v>-1.7794491403230601E-2</v>
      </c>
      <c r="C272">
        <v>-3.4336175857553001E-3</v>
      </c>
      <c r="D272">
        <v>2.18957828600846E-2</v>
      </c>
      <c r="E272">
        <v>3.4937951484994803E-2</v>
      </c>
      <c r="F272">
        <v>3.2618912495006001E-2</v>
      </c>
      <c r="I272" s="7">
        <f t="shared" si="25"/>
        <v>42794</v>
      </c>
      <c r="J272">
        <f t="shared" si="26"/>
        <v>17.007306479804264</v>
      </c>
      <c r="K272">
        <f t="shared" si="27"/>
        <v>564.82626542191065</v>
      </c>
      <c r="L272">
        <f t="shared" si="28"/>
        <v>289.52904001361475</v>
      </c>
      <c r="M272">
        <f t="shared" si="29"/>
        <v>569.83156547115198</v>
      </c>
      <c r="N272">
        <f t="shared" si="30"/>
        <v>456.13358234816752</v>
      </c>
    </row>
    <row r="273" spans="1:14" x14ac:dyDescent="0.25">
      <c r="A273" s="1">
        <v>42825</v>
      </c>
      <c r="B273">
        <v>-1.8105011895991299E-2</v>
      </c>
      <c r="C273">
        <v>-3.8384239647263001E-2</v>
      </c>
      <c r="D273">
        <v>-3.1794428486198602E-2</v>
      </c>
      <c r="E273">
        <v>-1.96184498693781E-2</v>
      </c>
      <c r="F273">
        <v>-1.6344734678228601E-2</v>
      </c>
      <c r="I273" s="7">
        <f t="shared" si="25"/>
        <v>42825</v>
      </c>
      <c r="J273">
        <f t="shared" si="26"/>
        <v>16.699388993668638</v>
      </c>
      <c r="K273">
        <f t="shared" si="27"/>
        <v>543.14583869088744</v>
      </c>
      <c r="L273">
        <f t="shared" si="28"/>
        <v>280.32362965622411</v>
      </c>
      <c r="M273">
        <f t="shared" si="29"/>
        <v>558.6523534699669</v>
      </c>
      <c r="N273">
        <f t="shared" si="30"/>
        <v>448.67819996685677</v>
      </c>
    </row>
    <row r="274" spans="1:14" x14ac:dyDescent="0.25">
      <c r="A274" s="1">
        <v>42855</v>
      </c>
      <c r="B274">
        <v>2.2602531541592E-3</v>
      </c>
      <c r="C274">
        <v>-2.6357213076094999E-2</v>
      </c>
      <c r="D274">
        <v>8.2556069499530906E-3</v>
      </c>
      <c r="E274">
        <v>1.32608802326478E-2</v>
      </c>
      <c r="F274">
        <v>4.8391249279676897E-2</v>
      </c>
      <c r="I274" s="7">
        <f t="shared" si="25"/>
        <v>42855</v>
      </c>
      <c r="J274">
        <f t="shared" si="26"/>
        <v>16.737133840314108</v>
      </c>
      <c r="K274">
        <f t="shared" si="27"/>
        <v>528.83002808911738</v>
      </c>
      <c r="L274">
        <f t="shared" si="28"/>
        <v>282.6378713614501</v>
      </c>
      <c r="M274">
        <f t="shared" si="29"/>
        <v>566.06057542101894</v>
      </c>
      <c r="N274">
        <f t="shared" si="30"/>
        <v>470.3902985878097</v>
      </c>
    </row>
    <row r="275" spans="1:14" x14ac:dyDescent="0.25">
      <c r="A275" s="1">
        <v>42886</v>
      </c>
      <c r="B275">
        <v>-2.7803694968916999E-2</v>
      </c>
      <c r="C275">
        <v>-6.9071177429828401E-3</v>
      </c>
      <c r="D275">
        <v>1.6370651732230498E-2</v>
      </c>
      <c r="E275">
        <v>-2.3574302549020602E-2</v>
      </c>
      <c r="F275">
        <v>1.77373407732727E-2</v>
      </c>
      <c r="I275" s="7">
        <f t="shared" si="25"/>
        <v>42886</v>
      </c>
      <c r="J275">
        <f t="shared" si="26"/>
        <v>16.271779676364076</v>
      </c>
      <c r="K275">
        <f t="shared" si="27"/>
        <v>525.17733681908089</v>
      </c>
      <c r="L275">
        <f t="shared" si="28"/>
        <v>287.26483751984733</v>
      </c>
      <c r="M275">
        <f t="shared" si="29"/>
        <v>552.71609215497119</v>
      </c>
      <c r="N275">
        <f t="shared" si="30"/>
        <v>478.73377161030311</v>
      </c>
    </row>
    <row r="276" spans="1:14" x14ac:dyDescent="0.25">
      <c r="A276" s="1">
        <v>42916</v>
      </c>
      <c r="B276">
        <v>-8.0425139898993494E-3</v>
      </c>
      <c r="C276">
        <v>-6.1339737106000302E-3</v>
      </c>
      <c r="D276">
        <v>-1.7099023011528401E-2</v>
      </c>
      <c r="E276">
        <v>2.6484040823466499E-3</v>
      </c>
      <c r="F276">
        <v>-2.69173846964221E-2</v>
      </c>
      <c r="I276" s="7">
        <f t="shared" si="25"/>
        <v>42916</v>
      </c>
      <c r="J276">
        <f t="shared" si="26"/>
        <v>16.140913660676357</v>
      </c>
      <c r="K276">
        <f t="shared" si="27"/>
        <v>521.9559128416297</v>
      </c>
      <c r="L276">
        <f t="shared" si="28"/>
        <v>282.35288945269247</v>
      </c>
      <c r="M276">
        <f t="shared" si="29"/>
        <v>554.17990770981316</v>
      </c>
      <c r="N276">
        <f t="shared" si="30"/>
        <v>465.8475105126995</v>
      </c>
    </row>
    <row r="277" spans="1:14" x14ac:dyDescent="0.25">
      <c r="A277" s="1">
        <v>42947</v>
      </c>
      <c r="B277">
        <v>-1.3795489242067501E-2</v>
      </c>
      <c r="C277">
        <v>4.0459134788975303E-2</v>
      </c>
      <c r="D277">
        <v>4.2768647804172E-2</v>
      </c>
      <c r="E277">
        <v>4.9902621473220297E-2</v>
      </c>
      <c r="F277">
        <v>9.9408561268367404E-3</v>
      </c>
      <c r="I277" s="7">
        <f t="shared" si="25"/>
        <v>42947</v>
      </c>
      <c r="J277">
        <f t="shared" si="26"/>
        <v>15.918241859913357</v>
      </c>
      <c r="K277">
        <f t="shared" si="27"/>
        <v>543.0737974731918</v>
      </c>
      <c r="L277">
        <f t="shared" si="28"/>
        <v>294.42874073818496</v>
      </c>
      <c r="M277">
        <f t="shared" si="29"/>
        <v>581.8349378723201</v>
      </c>
      <c r="N277">
        <f t="shared" si="30"/>
        <v>470.47843359175135</v>
      </c>
    </row>
    <row r="278" spans="1:14" x14ac:dyDescent="0.25">
      <c r="A278" s="1">
        <v>42978</v>
      </c>
      <c r="B278">
        <v>-3.4771423003534099E-2</v>
      </c>
      <c r="C278">
        <v>-8.8822668160114995E-3</v>
      </c>
      <c r="D278">
        <v>3.6214333988077503E-2</v>
      </c>
      <c r="E278">
        <v>3.4484488581555499E-2</v>
      </c>
      <c r="F278">
        <v>3.5613525232158799E-2</v>
      </c>
      <c r="I278" s="7">
        <f t="shared" si="25"/>
        <v>42978</v>
      </c>
      <c r="J278">
        <f t="shared" si="26"/>
        <v>15.364741938729747</v>
      </c>
      <c r="K278">
        <f t="shared" si="27"/>
        <v>538.25007110325032</v>
      </c>
      <c r="L278">
        <f t="shared" si="28"/>
        <v>305.09128149096671</v>
      </c>
      <c r="M278">
        <f t="shared" si="29"/>
        <v>601.89921814372815</v>
      </c>
      <c r="N278">
        <f t="shared" si="30"/>
        <v>487.23382915765774</v>
      </c>
    </row>
    <row r="279" spans="1:14" x14ac:dyDescent="0.25">
      <c r="A279" s="1">
        <v>43008</v>
      </c>
      <c r="B279">
        <v>2.6817687221227599E-2</v>
      </c>
      <c r="C279">
        <v>2.02952150340131E-2</v>
      </c>
      <c r="D279">
        <v>1.7756311030025899E-2</v>
      </c>
      <c r="E279">
        <v>4.4527263560129402E-3</v>
      </c>
      <c r="F279">
        <v>1.0606718787476E-2</v>
      </c>
      <c r="I279" s="7">
        <f t="shared" si="25"/>
        <v>43008</v>
      </c>
      <c r="J279">
        <f t="shared" si="26"/>
        <v>15.776788782277478</v>
      </c>
      <c r="K279">
        <f t="shared" si="27"/>
        <v>549.17397203836356</v>
      </c>
      <c r="L279">
        <f t="shared" si="28"/>
        <v>310.50857717766945</v>
      </c>
      <c r="M279">
        <f t="shared" si="29"/>
        <v>604.57931065602031</v>
      </c>
      <c r="N279">
        <f t="shared" si="30"/>
        <v>492.4017813672782</v>
      </c>
    </row>
    <row r="280" spans="1:14" x14ac:dyDescent="0.25">
      <c r="A280" s="1">
        <v>43039</v>
      </c>
      <c r="B280">
        <v>-1.8165334214378499E-2</v>
      </c>
      <c r="C280">
        <v>2.1111221455307801E-2</v>
      </c>
      <c r="D280">
        <v>1.35146934807265E-2</v>
      </c>
      <c r="E280">
        <v>3.2406776663826103E-2</v>
      </c>
      <c r="F280">
        <v>1.1599856150063899E-2</v>
      </c>
      <c r="I280" s="7">
        <f t="shared" si="25"/>
        <v>43039</v>
      </c>
      <c r="J280">
        <f t="shared" si="26"/>
        <v>15.49019814121775</v>
      </c>
      <c r="K280">
        <f t="shared" si="27"/>
        <v>560.76770537955645</v>
      </c>
      <c r="L280">
        <f t="shared" si="28"/>
        <v>314.70500542136216</v>
      </c>
      <c r="M280">
        <f t="shared" si="29"/>
        <v>624.17177735201983</v>
      </c>
      <c r="N280">
        <f t="shared" si="30"/>
        <v>498.1135711991738</v>
      </c>
    </row>
    <row r="281" spans="1:14" x14ac:dyDescent="0.25">
      <c r="A281" s="1">
        <v>43069</v>
      </c>
      <c r="B281">
        <v>-1.54811378730323E-2</v>
      </c>
      <c r="C281">
        <v>9.2537966113498907E-3</v>
      </c>
      <c r="D281">
        <v>-1.6511398219484701E-2</v>
      </c>
      <c r="E281">
        <v>-2.8096937821638801E-2</v>
      </c>
      <c r="F281">
        <v>-6.6660526499948802E-2</v>
      </c>
      <c r="I281" s="7">
        <f t="shared" si="25"/>
        <v>43069</v>
      </c>
      <c r="J281">
        <f t="shared" si="26"/>
        <v>15.25039224811297</v>
      </c>
      <c r="K281">
        <f t="shared" si="27"/>
        <v>565.95693567135231</v>
      </c>
      <c r="L281">
        <f t="shared" si="28"/>
        <v>309.50878575518499</v>
      </c>
      <c r="M281">
        <f t="shared" si="29"/>
        <v>606.63446173373836</v>
      </c>
      <c r="N281">
        <f t="shared" si="30"/>
        <v>464.90905828626717</v>
      </c>
    </row>
    <row r="282" spans="1:14" x14ac:dyDescent="0.25">
      <c r="A282" s="1">
        <v>43100</v>
      </c>
      <c r="B282">
        <v>-5.8394496613085101E-2</v>
      </c>
      <c r="C282">
        <v>-2.7470341157164499E-4</v>
      </c>
      <c r="D282">
        <v>-7.7070913316480399E-3</v>
      </c>
      <c r="E282">
        <v>2.89924639644321E-2</v>
      </c>
      <c r="F282">
        <v>1.9526005908398401E-2</v>
      </c>
      <c r="I282" s="7">
        <f t="shared" si="25"/>
        <v>43100</v>
      </c>
      <c r="J282">
        <f t="shared" si="26"/>
        <v>14.359853269632318</v>
      </c>
      <c r="K282">
        <f t="shared" si="27"/>
        <v>565.80146537032078</v>
      </c>
      <c r="L282">
        <f t="shared" si="28"/>
        <v>307.1233732754223</v>
      </c>
      <c r="M282">
        <f t="shared" si="29"/>
        <v>624.22228950513647</v>
      </c>
      <c r="N282">
        <f t="shared" si="30"/>
        <v>473.98687530523273</v>
      </c>
    </row>
    <row r="283" spans="1:14" x14ac:dyDescent="0.25">
      <c r="A283" s="1">
        <v>43131</v>
      </c>
      <c r="B283">
        <v>-2.2802459999488002E-3</v>
      </c>
      <c r="C283">
        <v>-2.6588194788033401E-2</v>
      </c>
      <c r="D283">
        <v>-5.1784697430200699E-2</v>
      </c>
      <c r="E283">
        <v>-3.9566608160243003E-2</v>
      </c>
      <c r="F283">
        <v>-3.00928854060259E-2</v>
      </c>
      <c r="I283" s="7">
        <f t="shared" si="25"/>
        <v>43131</v>
      </c>
      <c r="J283">
        <f t="shared" si="26"/>
        <v>14.327109271654386</v>
      </c>
      <c r="K283">
        <f t="shared" si="27"/>
        <v>550.75782579769998</v>
      </c>
      <c r="L283">
        <f t="shared" si="28"/>
        <v>291.21908231661195</v>
      </c>
      <c r="M283">
        <f t="shared" si="29"/>
        <v>599.52393077139698</v>
      </c>
      <c r="N283">
        <f t="shared" si="30"/>
        <v>459.72324258271203</v>
      </c>
    </row>
    <row r="284" spans="1:14" x14ac:dyDescent="0.25">
      <c r="A284" s="1">
        <v>43159</v>
      </c>
      <c r="B284">
        <v>1.68037758571454E-2</v>
      </c>
      <c r="C284">
        <v>6.3556990437310695E-2</v>
      </c>
      <c r="D284">
        <v>4.16145798071752E-2</v>
      </c>
      <c r="E284">
        <v>2.7353828359466498E-2</v>
      </c>
      <c r="F284">
        <v>-1.4440990004696799E-2</v>
      </c>
      <c r="I284" s="7">
        <f t="shared" si="25"/>
        <v>43159</v>
      </c>
      <c r="J284">
        <f t="shared" si="26"/>
        <v>14.567858804536096</v>
      </c>
      <c r="K284">
        <f t="shared" si="27"/>
        <v>585.76233566519852</v>
      </c>
      <c r="L284">
        <f t="shared" si="28"/>
        <v>303.33804205904892</v>
      </c>
      <c r="M284">
        <f t="shared" si="29"/>
        <v>615.92320547111046</v>
      </c>
      <c r="N284">
        <f t="shared" si="30"/>
        <v>453.08438383164827</v>
      </c>
    </row>
    <row r="285" spans="1:14" x14ac:dyDescent="0.25">
      <c r="A285" s="1">
        <v>43190</v>
      </c>
      <c r="B285">
        <v>3.5378286040640701E-2</v>
      </c>
      <c r="C285">
        <v>3.3948608724819203E-2</v>
      </c>
      <c r="D285">
        <v>5.2384204272861397E-2</v>
      </c>
      <c r="E285">
        <v>6.3129282529877095E-2</v>
      </c>
      <c r="F285">
        <v>4.7862113314182199E-2</v>
      </c>
      <c r="I285" s="7">
        <f t="shared" si="25"/>
        <v>43190</v>
      </c>
      <c r="J285">
        <f t="shared" si="26"/>
        <v>15.08324468032264</v>
      </c>
      <c r="K285">
        <f t="shared" si="27"/>
        <v>605.64815200443263</v>
      </c>
      <c r="L285">
        <f t="shared" si="28"/>
        <v>319.22816401799997</v>
      </c>
      <c r="M285">
        <f t="shared" si="29"/>
        <v>654.8059955260037</v>
      </c>
      <c r="N285">
        <f t="shared" si="30"/>
        <v>474.76995995148502</v>
      </c>
    </row>
    <row r="286" spans="1:14" x14ac:dyDescent="0.25">
      <c r="A286" s="1">
        <v>43220</v>
      </c>
      <c r="B286">
        <v>1.4175588443412501E-2</v>
      </c>
      <c r="C286">
        <v>3.6619935320403398E-2</v>
      </c>
      <c r="D286">
        <v>5.6125508865909203E-2</v>
      </c>
      <c r="E286">
        <v>7.5804949541943695E-2</v>
      </c>
      <c r="F286">
        <v>7.2881796622846606E-2</v>
      </c>
      <c r="I286" s="7">
        <f t="shared" si="25"/>
        <v>43220</v>
      </c>
      <c r="J286">
        <f t="shared" si="26"/>
        <v>15.297058549302184</v>
      </c>
      <c r="K286">
        <f t="shared" si="27"/>
        <v>627.82694815775676</v>
      </c>
      <c r="L286">
        <f t="shared" si="28"/>
        <v>337.14500716784016</v>
      </c>
      <c r="M286">
        <f t="shared" si="29"/>
        <v>704.44353097661462</v>
      </c>
      <c r="N286">
        <f t="shared" si="30"/>
        <v>509.37204761530614</v>
      </c>
    </row>
    <row r="287" spans="1:14" x14ac:dyDescent="0.25">
      <c r="A287" s="1">
        <v>43251</v>
      </c>
      <c r="B287">
        <v>3.37413744885302E-2</v>
      </c>
      <c r="C287">
        <v>5.7094655068951901E-2</v>
      </c>
      <c r="D287">
        <v>3.9825746287527303E-2</v>
      </c>
      <c r="E287">
        <v>3.2639719765869497E-2</v>
      </c>
      <c r="F287">
        <v>-6.5728901218960996E-3</v>
      </c>
      <c r="I287" s="7">
        <f t="shared" si="25"/>
        <v>43251</v>
      </c>
      <c r="J287">
        <f t="shared" si="26"/>
        <v>15.813202330387162</v>
      </c>
      <c r="K287">
        <f t="shared" si="27"/>
        <v>663.6725112058167</v>
      </c>
      <c r="L287">
        <f t="shared" si="28"/>
        <v>350.57205868541314</v>
      </c>
      <c r="M287">
        <f t="shared" si="29"/>
        <v>727.43637041857085</v>
      </c>
      <c r="N287">
        <f t="shared" si="30"/>
        <v>506.0240011151655</v>
      </c>
    </row>
    <row r="288" spans="1:14" x14ac:dyDescent="0.25">
      <c r="A288" s="1">
        <v>43281</v>
      </c>
      <c r="B288">
        <v>4.5408340476657899E-2</v>
      </c>
      <c r="C288">
        <v>4.3698695878148397E-2</v>
      </c>
      <c r="D288">
        <v>4.8418157781506502E-2</v>
      </c>
      <c r="E288">
        <v>3.5936246260813903E-2</v>
      </c>
      <c r="F288">
        <v>2.1270309792719599E-2</v>
      </c>
      <c r="I288" s="7">
        <f t="shared" si="25"/>
        <v>43281</v>
      </c>
      <c r="J288">
        <f t="shared" si="26"/>
        <v>16.531253605831662</v>
      </c>
      <c r="K288">
        <f t="shared" si="27"/>
        <v>692.67413443568671</v>
      </c>
      <c r="L288">
        <f t="shared" si="28"/>
        <v>367.54611193663106</v>
      </c>
      <c r="M288">
        <f t="shared" si="29"/>
        <v>753.5777029650053</v>
      </c>
      <c r="N288">
        <f t="shared" si="30"/>
        <v>516.78728838143661</v>
      </c>
    </row>
    <row r="289" spans="1:14" x14ac:dyDescent="0.25">
      <c r="A289" s="1">
        <v>43312</v>
      </c>
      <c r="B289">
        <v>-2.47181117959007E-2</v>
      </c>
      <c r="C289">
        <v>6.4529680405742201E-3</v>
      </c>
      <c r="D289">
        <v>-1.3281827502032601E-2</v>
      </c>
      <c r="E289">
        <v>-4.5682134863051296E-3</v>
      </c>
      <c r="F289">
        <v>5.8213457630637601E-2</v>
      </c>
      <c r="I289" s="7">
        <f t="shared" si="25"/>
        <v>43312</v>
      </c>
      <c r="J289">
        <f t="shared" si="26"/>
        <v>16.122632231076327</v>
      </c>
      <c r="K289">
        <f t="shared" si="27"/>
        <v>697.14393848773261</v>
      </c>
      <c r="L289">
        <f t="shared" si="28"/>
        <v>362.66442787884597</v>
      </c>
      <c r="M289">
        <f t="shared" si="29"/>
        <v>750.13519913934169</v>
      </c>
      <c r="N289">
        <f t="shared" si="30"/>
        <v>546.87126329768148</v>
      </c>
    </row>
    <row r="290" spans="1:14" x14ac:dyDescent="0.25">
      <c r="A290" s="1">
        <v>43343</v>
      </c>
      <c r="B290">
        <v>5.3352363888025903E-2</v>
      </c>
      <c r="C290">
        <v>5.4472057368266498E-2</v>
      </c>
      <c r="D290">
        <v>4.6165950881555902E-2</v>
      </c>
      <c r="E290">
        <v>3.2384371597835498E-2</v>
      </c>
      <c r="F290">
        <v>1.8118904189731101E-2</v>
      </c>
      <c r="I290" s="7">
        <f t="shared" si="25"/>
        <v>43343</v>
      </c>
      <c r="J290">
        <f t="shared" si="26"/>
        <v>16.982812772701529</v>
      </c>
      <c r="K290">
        <f t="shared" si="27"/>
        <v>735.1188030989756</v>
      </c>
      <c r="L290">
        <f t="shared" si="28"/>
        <v>379.40717604278836</v>
      </c>
      <c r="M290">
        <f t="shared" si="29"/>
        <v>774.42785617688651</v>
      </c>
      <c r="N290">
        <f t="shared" si="30"/>
        <v>556.77997132148937</v>
      </c>
    </row>
    <row r="291" spans="1:14" x14ac:dyDescent="0.25">
      <c r="A291" s="1">
        <v>43373</v>
      </c>
      <c r="B291">
        <v>6.3644686313155494E-2</v>
      </c>
      <c r="C291">
        <v>4.1866602630659902E-2</v>
      </c>
      <c r="D291">
        <v>4.8520887532891403E-2</v>
      </c>
      <c r="E291">
        <v>6.05058507140213E-2</v>
      </c>
      <c r="F291">
        <v>1.85482299380965E-4</v>
      </c>
      <c r="I291" s="7">
        <f t="shared" si="25"/>
        <v>43373</v>
      </c>
      <c r="J291">
        <f t="shared" si="26"/>
        <v>18.063678564335166</v>
      </c>
      <c r="K291">
        <f t="shared" si="27"/>
        <v>765.89572991464684</v>
      </c>
      <c r="L291">
        <f t="shared" si="28"/>
        <v>397.8163489607324</v>
      </c>
      <c r="M291">
        <f t="shared" si="29"/>
        <v>821.28527243150472</v>
      </c>
      <c r="N291">
        <f t="shared" si="30"/>
        <v>556.88324415081934</v>
      </c>
    </row>
    <row r="292" spans="1:14" x14ac:dyDescent="0.25">
      <c r="A292" s="1">
        <v>43404</v>
      </c>
      <c r="B292">
        <v>-8.9326477400415799E-2</v>
      </c>
      <c r="C292">
        <v>-0.16561943803721499</v>
      </c>
      <c r="D292">
        <v>-0.10729805232565</v>
      </c>
      <c r="E292">
        <v>-0.135948045521358</v>
      </c>
      <c r="F292">
        <v>-4.49096016585281E-2</v>
      </c>
      <c r="I292" s="7">
        <f t="shared" si="25"/>
        <v>43404</v>
      </c>
      <c r="J292">
        <f t="shared" si="26"/>
        <v>16.450113789289706</v>
      </c>
      <c r="K292">
        <f t="shared" si="27"/>
        <v>639.04850953108041</v>
      </c>
      <c r="L292">
        <f t="shared" si="28"/>
        <v>355.1314295339447</v>
      </c>
      <c r="M292">
        <f t="shared" si="29"/>
        <v>709.63314482896567</v>
      </c>
      <c r="N292">
        <f t="shared" si="30"/>
        <v>531.8738394856972</v>
      </c>
    </row>
    <row r="293" spans="1:14" x14ac:dyDescent="0.25">
      <c r="A293" s="1">
        <v>43434</v>
      </c>
      <c r="B293">
        <v>6.87605255397487E-3</v>
      </c>
      <c r="C293">
        <v>1.08907713522069E-2</v>
      </c>
      <c r="D293">
        <v>9.9243692494422001E-3</v>
      </c>
      <c r="E293">
        <v>1.62773897260328E-2</v>
      </c>
      <c r="F293">
        <v>1.0730057806775601E-2</v>
      </c>
      <c r="I293" s="7">
        <f t="shared" si="25"/>
        <v>43434</v>
      </c>
      <c r="J293">
        <f t="shared" si="26"/>
        <v>16.563225636223727</v>
      </c>
      <c r="K293">
        <f t="shared" si="27"/>
        <v>646.00824073135198</v>
      </c>
      <c r="L293">
        <f t="shared" si="28"/>
        <v>358.65588497272182</v>
      </c>
      <c r="M293">
        <f t="shared" si="29"/>
        <v>721.18412008985706</v>
      </c>
      <c r="N293">
        <f t="shared" si="30"/>
        <v>537.58087652929032</v>
      </c>
    </row>
    <row r="294" spans="1:14" x14ac:dyDescent="0.25">
      <c r="A294" s="1">
        <v>43465</v>
      </c>
      <c r="B294">
        <v>6.0581501198699303E-2</v>
      </c>
      <c r="C294">
        <v>4.9148414760384597E-2</v>
      </c>
      <c r="D294">
        <v>3.8211987826695999E-2</v>
      </c>
      <c r="E294">
        <v>3.9179428358561502E-2</v>
      </c>
      <c r="F294">
        <v>5.0018716515411498E-3</v>
      </c>
      <c r="I294" s="7">
        <f t="shared" si="25"/>
        <v>43465</v>
      </c>
      <c r="J294">
        <f t="shared" si="26"/>
        <v>17.566650709958939</v>
      </c>
      <c r="K294">
        <f t="shared" si="27"/>
        <v>677.75852168544293</v>
      </c>
      <c r="L294">
        <f t="shared" si="28"/>
        <v>372.36083928327236</v>
      </c>
      <c r="M294">
        <f t="shared" si="29"/>
        <v>749.43970165624989</v>
      </c>
      <c r="N294">
        <f t="shared" si="30"/>
        <v>540.2697870760129</v>
      </c>
    </row>
    <row r="295" spans="1:14" x14ac:dyDescent="0.25">
      <c r="A295" s="1">
        <v>43496</v>
      </c>
      <c r="B295">
        <v>2.2622678103226702E-2</v>
      </c>
      <c r="C295">
        <v>-4.4566627676528303E-3</v>
      </c>
      <c r="D295">
        <v>-6.9861514577594097E-2</v>
      </c>
      <c r="E295">
        <v>-8.1262004462617096E-2</v>
      </c>
      <c r="F295">
        <v>-9.31572688170825E-2</v>
      </c>
      <c r="I295" s="7">
        <f t="shared" si="25"/>
        <v>43496</v>
      </c>
      <c r="J295">
        <f t="shared" si="26"/>
        <v>17.964055394322155</v>
      </c>
      <c r="K295">
        <f t="shared" si="27"/>
        <v>674.73798051638801</v>
      </c>
      <c r="L295">
        <f t="shared" si="28"/>
        <v>346.34714708155889</v>
      </c>
      <c r="M295">
        <f t="shared" si="29"/>
        <v>688.53872927579732</v>
      </c>
      <c r="N295">
        <f t="shared" si="30"/>
        <v>489.93972928762486</v>
      </c>
    </row>
    <row r="296" spans="1:14" x14ac:dyDescent="0.25">
      <c r="A296" s="1">
        <v>43524</v>
      </c>
      <c r="B296">
        <v>-3.2096722859143903E-2</v>
      </c>
      <c r="C296">
        <v>-1.9065619506838698E-2</v>
      </c>
      <c r="D296">
        <v>1.0745703721314801E-3</v>
      </c>
      <c r="E296">
        <v>2.9102326414092199E-2</v>
      </c>
      <c r="F296">
        <v>3.7887379708216803E-2</v>
      </c>
      <c r="I296" s="7">
        <f t="shared" si="25"/>
        <v>43524</v>
      </c>
      <c r="J296">
        <f t="shared" si="26"/>
        <v>17.387468086904288</v>
      </c>
      <c r="K296">
        <f t="shared" si="27"/>
        <v>661.87368291304983</v>
      </c>
      <c r="L296">
        <f t="shared" si="28"/>
        <v>346.71932146428503</v>
      </c>
      <c r="M296">
        <f t="shared" si="29"/>
        <v>708.57680812392584</v>
      </c>
      <c r="N296">
        <f t="shared" si="30"/>
        <v>508.50226184528606</v>
      </c>
    </row>
    <row r="297" spans="1:14" x14ac:dyDescent="0.25">
      <c r="A297" s="1">
        <v>43555</v>
      </c>
      <c r="B297">
        <v>-1.90982339750508E-2</v>
      </c>
      <c r="C297">
        <v>-4.8102297219336397E-3</v>
      </c>
      <c r="D297">
        <v>7.9901760387496596E-3</v>
      </c>
      <c r="E297">
        <v>2.1651365259785098E-2</v>
      </c>
      <c r="F297">
        <v>5.0395634675875399E-2</v>
      </c>
      <c r="I297" s="7">
        <f t="shared" si="25"/>
        <v>43555</v>
      </c>
      <c r="J297">
        <f t="shared" si="26"/>
        <v>17.055398153146861</v>
      </c>
      <c r="K297">
        <f t="shared" si="27"/>
        <v>658.68991845133576</v>
      </c>
      <c r="L297">
        <f t="shared" si="28"/>
        <v>349.48966987882051</v>
      </c>
      <c r="M297">
        <f t="shared" si="29"/>
        <v>723.91846341122971</v>
      </c>
      <c r="N297">
        <f t="shared" si="30"/>
        <v>534.12855606509743</v>
      </c>
    </row>
    <row r="298" spans="1:14" x14ac:dyDescent="0.25">
      <c r="A298" s="1">
        <v>43585</v>
      </c>
      <c r="B298">
        <v>-1.3767250956675499E-2</v>
      </c>
      <c r="C298">
        <v>3.9463189262020797E-2</v>
      </c>
      <c r="D298">
        <v>6.0184715457283003E-2</v>
      </c>
      <c r="E298">
        <v>9.2332118731904504E-3</v>
      </c>
      <c r="F298">
        <v>-4.0304606677725096E-3</v>
      </c>
      <c r="I298" s="7">
        <f t="shared" si="25"/>
        <v>43585</v>
      </c>
      <c r="J298">
        <f t="shared" si="26"/>
        <v>16.820592206606467</v>
      </c>
      <c r="K298">
        <f t="shared" si="27"/>
        <v>684.68392336816578</v>
      </c>
      <c r="L298">
        <f t="shared" si="28"/>
        <v>370.52360621573706</v>
      </c>
      <c r="M298">
        <f t="shared" si="29"/>
        <v>730.60255596282002</v>
      </c>
      <c r="N298">
        <f t="shared" si="30"/>
        <v>531.97577192834297</v>
      </c>
    </row>
    <row r="299" spans="1:14" x14ac:dyDescent="0.25">
      <c r="A299" s="1">
        <v>43616</v>
      </c>
      <c r="B299">
        <v>-1.31431808225611E-2</v>
      </c>
      <c r="C299">
        <v>2.95872026422608E-2</v>
      </c>
      <c r="D299">
        <v>8.7316039670567197E-2</v>
      </c>
      <c r="E299">
        <v>8.3387077823117203E-2</v>
      </c>
      <c r="F299">
        <v>2.5845849496806898E-2</v>
      </c>
      <c r="I299" s="7">
        <f t="shared" si="25"/>
        <v>43616</v>
      </c>
      <c r="J299">
        <f t="shared" si="26"/>
        <v>16.599516121692478</v>
      </c>
      <c r="K299">
        <f t="shared" si="27"/>
        <v>704.94180535475789</v>
      </c>
      <c r="L299">
        <f t="shared" si="28"/>
        <v>402.876260114952</v>
      </c>
      <c r="M299">
        <f t="shared" si="29"/>
        <v>791.52536815465999</v>
      </c>
      <c r="N299">
        <f t="shared" si="30"/>
        <v>545.72513766555051</v>
      </c>
    </row>
    <row r="300" spans="1:14" x14ac:dyDescent="0.25">
      <c r="A300" s="1">
        <v>43646</v>
      </c>
      <c r="B300">
        <v>-3.7108759033167099E-2</v>
      </c>
      <c r="C300">
        <v>-3.50397467036783E-2</v>
      </c>
      <c r="D300">
        <v>-1.6109950474516601E-2</v>
      </c>
      <c r="E300">
        <v>-2.2056647158106499E-2</v>
      </c>
      <c r="F300">
        <v>2.5935632442754299E-2</v>
      </c>
      <c r="I300" s="7">
        <f t="shared" si="25"/>
        <v>43646</v>
      </c>
      <c r="J300">
        <f t="shared" si="26"/>
        <v>15.983528677865419</v>
      </c>
      <c r="K300">
        <f t="shared" si="27"/>
        <v>680.24082305429351</v>
      </c>
      <c r="L300">
        <f t="shared" si="28"/>
        <v>396.38594351714164</v>
      </c>
      <c r="M300">
        <f t="shared" si="29"/>
        <v>774.06697239258233</v>
      </c>
      <c r="N300">
        <f t="shared" si="30"/>
        <v>559.8788642508157</v>
      </c>
    </row>
    <row r="301" spans="1:14" x14ac:dyDescent="0.25">
      <c r="A301" s="1">
        <v>43677</v>
      </c>
      <c r="B301">
        <v>6.4307118124747903E-2</v>
      </c>
      <c r="C301">
        <v>7.2238609779487206E-2</v>
      </c>
      <c r="D301">
        <v>3.1377554648607302E-2</v>
      </c>
      <c r="E301">
        <v>4.1138119705690999E-2</v>
      </c>
      <c r="F301">
        <v>2.2135660361552199E-2</v>
      </c>
      <c r="I301" s="7">
        <f t="shared" si="25"/>
        <v>43677</v>
      </c>
      <c r="J301">
        <f t="shared" si="26"/>
        <v>17.011383344603207</v>
      </c>
      <c r="K301">
        <f t="shared" si="27"/>
        <v>729.38047442698974</v>
      </c>
      <c r="L301">
        <f t="shared" si="28"/>
        <v>408.82356512179052</v>
      </c>
      <c r="M301">
        <f t="shared" si="29"/>
        <v>805.91063216309021</v>
      </c>
      <c r="N301">
        <f t="shared" si="30"/>
        <v>572.2721526334833</v>
      </c>
    </row>
    <row r="302" spans="1:14" x14ac:dyDescent="0.25">
      <c r="A302" s="1">
        <v>43708</v>
      </c>
      <c r="B302">
        <v>3.18784371147132E-2</v>
      </c>
      <c r="C302">
        <v>7.8155450143178207E-2</v>
      </c>
      <c r="D302">
        <v>7.3689377726683603E-2</v>
      </c>
      <c r="E302">
        <v>7.2454256557893906E-2</v>
      </c>
      <c r="F302">
        <v>6.4542921194508399E-2</v>
      </c>
      <c r="I302" s="7">
        <f t="shared" si="25"/>
        <v>43708</v>
      </c>
      <c r="J302">
        <f t="shared" si="26"/>
        <v>17.553679658788418</v>
      </c>
      <c r="K302">
        <f t="shared" si="27"/>
        <v>786.38553373147602</v>
      </c>
      <c r="L302">
        <f t="shared" si="28"/>
        <v>438.94951923561956</v>
      </c>
      <c r="M302">
        <f t="shared" si="29"/>
        <v>864.30228786856912</v>
      </c>
      <c r="N302">
        <f t="shared" si="30"/>
        <v>609.20826908271783</v>
      </c>
    </row>
    <row r="303" spans="1:14" x14ac:dyDescent="0.25">
      <c r="A303" s="1">
        <v>43738</v>
      </c>
      <c r="B303">
        <v>-3.9915528370190701E-3</v>
      </c>
      <c r="C303">
        <v>-1.51835355791695E-2</v>
      </c>
      <c r="D303">
        <v>-2.9080068431749598E-2</v>
      </c>
      <c r="E303">
        <v>-4.5758579458340699E-2</v>
      </c>
      <c r="F303">
        <v>-2.921658343318E-2</v>
      </c>
      <c r="I303" s="7">
        <f t="shared" si="25"/>
        <v>43738</v>
      </c>
      <c r="J303">
        <f t="shared" si="26"/>
        <v>17.483613218946257</v>
      </c>
      <c r="K303">
        <f t="shared" si="27"/>
        <v>774.44542100111994</v>
      </c>
      <c r="L303">
        <f t="shared" si="28"/>
        <v>426.18483717816417</v>
      </c>
      <c r="M303">
        <f t="shared" si="29"/>
        <v>824.75304295310957</v>
      </c>
      <c r="N303">
        <f t="shared" si="30"/>
        <v>591.40928486087944</v>
      </c>
    </row>
    <row r="304" spans="1:14" x14ac:dyDescent="0.25">
      <c r="A304" s="1">
        <v>43769</v>
      </c>
      <c r="B304">
        <v>3.7323427472805003E-2</v>
      </c>
      <c r="C304">
        <v>3.8741608903701499E-2</v>
      </c>
      <c r="D304">
        <v>3.9485924937933202E-2</v>
      </c>
      <c r="E304">
        <v>3.6574765646885998E-2</v>
      </c>
      <c r="F304">
        <v>4.1373716045695397E-2</v>
      </c>
      <c r="I304" s="7">
        <f t="shared" si="25"/>
        <v>43769</v>
      </c>
      <c r="J304">
        <f t="shared" si="26"/>
        <v>18.136161588886171</v>
      </c>
      <c r="K304">
        <f t="shared" si="27"/>
        <v>804.44868261880788</v>
      </c>
      <c r="L304">
        <f t="shared" si="28"/>
        <v>443.01313966866644</v>
      </c>
      <c r="M304">
        <f t="shared" si="29"/>
        <v>854.91819221567562</v>
      </c>
      <c r="N304">
        <f t="shared" si="30"/>
        <v>615.87808467950117</v>
      </c>
    </row>
    <row r="305" spans="1:14" x14ac:dyDescent="0.25">
      <c r="A305" s="1">
        <v>43799</v>
      </c>
      <c r="B305">
        <v>-1.14114199790382E-2</v>
      </c>
      <c r="C305">
        <v>3.89262680351154E-3</v>
      </c>
      <c r="D305">
        <v>-1.5209213360514701E-2</v>
      </c>
      <c r="E305">
        <v>-3.06977952655339E-2</v>
      </c>
      <c r="F305">
        <v>-2.7989390063932602E-2</v>
      </c>
      <c r="I305" s="7">
        <f t="shared" si="25"/>
        <v>43799</v>
      </c>
      <c r="J305">
        <f t="shared" si="26"/>
        <v>17.929202232187691</v>
      </c>
      <c r="K305">
        <f t="shared" si="27"/>
        <v>807.58010112281943</v>
      </c>
      <c r="L305">
        <f t="shared" si="28"/>
        <v>436.27525830593419</v>
      </c>
      <c r="M305">
        <f t="shared" si="29"/>
        <v>828.67408858225849</v>
      </c>
      <c r="N305">
        <f t="shared" si="30"/>
        <v>598.64003273557887</v>
      </c>
    </row>
    <row r="306" spans="1:14" x14ac:dyDescent="0.25">
      <c r="A306" s="1">
        <v>43830</v>
      </c>
      <c r="B306">
        <v>-2.1084241166515801E-2</v>
      </c>
      <c r="C306">
        <v>-6.3173110599493404E-2</v>
      </c>
      <c r="D306">
        <v>-5.8579697499935399E-2</v>
      </c>
      <c r="E306">
        <v>-6.4909977958116094E-2</v>
      </c>
      <c r="F306">
        <v>-4.5212201712136198E-2</v>
      </c>
      <c r="I306" s="7">
        <f t="shared" si="25"/>
        <v>43830</v>
      </c>
      <c r="J306">
        <f t="shared" si="26"/>
        <v>17.551178608401013</v>
      </c>
      <c r="K306">
        <f t="shared" si="27"/>
        <v>756.56275407663748</v>
      </c>
      <c r="L306">
        <f t="shared" si="28"/>
        <v>410.71838564766637</v>
      </c>
      <c r="M306">
        <f t="shared" si="29"/>
        <v>774.88487175792216</v>
      </c>
      <c r="N306">
        <f t="shared" si="30"/>
        <v>571.57419882257807</v>
      </c>
    </row>
    <row r="307" spans="1:14" x14ac:dyDescent="0.25">
      <c r="A307" s="1">
        <v>43861</v>
      </c>
      <c r="B307">
        <v>5.6772217070935098E-2</v>
      </c>
      <c r="C307">
        <v>8.6932482318457696E-2</v>
      </c>
      <c r="D307">
        <v>9.1476263258488899E-2</v>
      </c>
      <c r="E307">
        <v>8.5482689396734493E-2</v>
      </c>
      <c r="F307">
        <v>4.4382400177678902E-2</v>
      </c>
      <c r="I307" s="7">
        <f t="shared" si="25"/>
        <v>43861</v>
      </c>
      <c r="J307">
        <f t="shared" si="26"/>
        <v>18.547597930207907</v>
      </c>
      <c r="K307">
        <f t="shared" si="27"/>
        <v>822.33263231820831</v>
      </c>
      <c r="L307">
        <f t="shared" si="28"/>
        <v>448.28936881827389</v>
      </c>
      <c r="M307">
        <f t="shared" si="29"/>
        <v>841.12411456863299</v>
      </c>
      <c r="N307">
        <f t="shared" si="30"/>
        <v>596.94203364595796</v>
      </c>
    </row>
    <row r="308" spans="1:14" x14ac:dyDescent="0.25">
      <c r="A308" s="1">
        <v>43890</v>
      </c>
      <c r="B308">
        <v>2.7766392591238399E-2</v>
      </c>
      <c r="C308">
        <v>3.2605565663036601E-2</v>
      </c>
      <c r="D308">
        <v>3.78690767312993E-2</v>
      </c>
      <c r="E308">
        <v>2.9882641322328901E-2</v>
      </c>
      <c r="F308">
        <v>-1.5140184183944701E-2</v>
      </c>
      <c r="I308" s="7">
        <f t="shared" si="25"/>
        <v>43890</v>
      </c>
      <c r="J308">
        <f t="shared" si="26"/>
        <v>19.062597815962501</v>
      </c>
      <c r="K308">
        <f t="shared" si="27"/>
        <v>849.14525295811745</v>
      </c>
      <c r="L308">
        <f t="shared" si="28"/>
        <v>465.26567332387879</v>
      </c>
      <c r="M308">
        <f t="shared" si="29"/>
        <v>866.25912479184899</v>
      </c>
      <c r="N308">
        <f t="shared" si="30"/>
        <v>587.90422130941965</v>
      </c>
    </row>
    <row r="309" spans="1:14" x14ac:dyDescent="0.25">
      <c r="A309" s="1">
        <v>43921</v>
      </c>
      <c r="B309">
        <v>-9.3353810437507803E-2</v>
      </c>
      <c r="C309">
        <v>-6.9138951150407593E-2</v>
      </c>
      <c r="D309">
        <v>-7.14153235773307E-2</v>
      </c>
      <c r="E309">
        <v>-4.5810008757894503E-2</v>
      </c>
      <c r="F309">
        <v>-4.8964988433276201E-2</v>
      </c>
      <c r="I309" s="7">
        <f t="shared" si="25"/>
        <v>43921</v>
      </c>
      <c r="J309">
        <f t="shared" si="26"/>
        <v>17.28303167300469</v>
      </c>
      <c r="K309">
        <f t="shared" si="27"/>
        <v>790.43624079424569</v>
      </c>
      <c r="L309">
        <f t="shared" si="28"/>
        <v>432.03857471402932</v>
      </c>
      <c r="M309">
        <f t="shared" si="29"/>
        <v>826.5757866985283</v>
      </c>
      <c r="N309">
        <f t="shared" si="30"/>
        <v>559.11749791312968</v>
      </c>
    </row>
    <row r="310" spans="1:14" x14ac:dyDescent="0.25">
      <c r="A310" s="1">
        <v>43951</v>
      </c>
      <c r="B310">
        <v>6.1779695606920801E-2</v>
      </c>
      <c r="C310">
        <v>9.5210085860203894E-2</v>
      </c>
      <c r="D310">
        <v>0.11802713471777999</v>
      </c>
      <c r="E310">
        <v>0.129303667020331</v>
      </c>
      <c r="F310">
        <v>0.122104338171519</v>
      </c>
      <c r="I310" s="7">
        <f t="shared" si="25"/>
        <v>43951</v>
      </c>
      <c r="J310">
        <f t="shared" si="26"/>
        <v>18.350772108927689</v>
      </c>
      <c r="K310">
        <f t="shared" si="27"/>
        <v>865.69374314728259</v>
      </c>
      <c r="L310">
        <f t="shared" si="28"/>
        <v>483.03084977507967</v>
      </c>
      <c r="M310">
        <f t="shared" si="29"/>
        <v>933.45506698886288</v>
      </c>
      <c r="N310">
        <f t="shared" si="30"/>
        <v>627.38816995592799</v>
      </c>
    </row>
    <row r="311" spans="1:14" x14ac:dyDescent="0.25">
      <c r="A311" s="1">
        <v>43982</v>
      </c>
      <c r="B311">
        <v>-7.6169064582172199E-3</v>
      </c>
      <c r="C311">
        <v>2.7555773252264801E-2</v>
      </c>
      <c r="D311">
        <v>8.7813557484717596E-3</v>
      </c>
      <c r="E311">
        <v>3.8609303474731502E-2</v>
      </c>
      <c r="F311">
        <v>1.3606612848682699E-2</v>
      </c>
      <c r="I311" s="7">
        <f t="shared" si="25"/>
        <v>43982</v>
      </c>
      <c r="J311">
        <f t="shared" si="26"/>
        <v>18.210995994337924</v>
      </c>
      <c r="K311">
        <f t="shared" si="27"/>
        <v>889.54860363935359</v>
      </c>
      <c r="L311">
        <f t="shared" si="28"/>
        <v>487.27251550444123</v>
      </c>
      <c r="M311">
        <f t="shared" si="29"/>
        <v>969.49511695026172</v>
      </c>
      <c r="N311">
        <f t="shared" si="30"/>
        <v>635.9247978903619</v>
      </c>
    </row>
    <row r="312" spans="1:14" x14ac:dyDescent="0.25">
      <c r="A312" s="1">
        <v>44012</v>
      </c>
      <c r="B312">
        <v>-8.1606962631786295E-2</v>
      </c>
      <c r="C312">
        <v>-2.1586788550067501E-2</v>
      </c>
      <c r="D312">
        <v>-1.8382846472853401E-3</v>
      </c>
      <c r="E312">
        <v>2.6839473363629001E-2</v>
      </c>
      <c r="F312">
        <v>6.66918931376108E-2</v>
      </c>
      <c r="I312" s="7">
        <f t="shared" si="25"/>
        <v>44012</v>
      </c>
      <c r="J312">
        <f t="shared" si="26"/>
        <v>16.724851924740378</v>
      </c>
      <c r="K312">
        <f t="shared" si="27"/>
        <v>870.34610602758312</v>
      </c>
      <c r="L312">
        <f t="shared" si="28"/>
        <v>486.37676992014531</v>
      </c>
      <c r="M312">
        <f t="shared" si="29"/>
        <v>995.51585531781666</v>
      </c>
      <c r="N312">
        <f t="shared" si="30"/>
        <v>678.33582655482269</v>
      </c>
    </row>
    <row r="313" spans="1:14" x14ac:dyDescent="0.25">
      <c r="A313" s="1">
        <v>44043</v>
      </c>
      <c r="B313">
        <v>6.7876411831512495E-2</v>
      </c>
      <c r="C313">
        <v>7.8592898060597202E-2</v>
      </c>
      <c r="D313">
        <v>9.9644061657927704E-2</v>
      </c>
      <c r="E313">
        <v>9.3737454186639493E-2</v>
      </c>
      <c r="F313">
        <v>6.7550472604017003E-2</v>
      </c>
      <c r="I313" s="7">
        <f t="shared" si="25"/>
        <v>44043</v>
      </c>
      <c r="J313">
        <f t="shared" si="26"/>
        <v>17.860074861805121</v>
      </c>
      <c r="K313">
        <f t="shared" si="27"/>
        <v>938.74912881604666</v>
      </c>
      <c r="L313">
        <f t="shared" si="28"/>
        <v>534.84132677105197</v>
      </c>
      <c r="M313">
        <f t="shared" si="29"/>
        <v>1088.8329771977437</v>
      </c>
      <c r="N313">
        <f t="shared" si="30"/>
        <v>724.15773222283747</v>
      </c>
    </row>
    <row r="314" spans="1:14" x14ac:dyDescent="0.25">
      <c r="A314" s="1">
        <v>44074</v>
      </c>
      <c r="B314">
        <v>-1.3316884065098599E-2</v>
      </c>
      <c r="C314">
        <v>2.7038170971268399E-2</v>
      </c>
      <c r="D314">
        <v>5.23207020415083E-2</v>
      </c>
      <c r="E314">
        <v>4.1704712072564702E-2</v>
      </c>
      <c r="F314">
        <v>5.2086634481244801E-2</v>
      </c>
      <c r="I314" s="7">
        <f t="shared" si="25"/>
        <v>44074</v>
      </c>
      <c r="J314">
        <f t="shared" si="26"/>
        <v>17.622234315476479</v>
      </c>
      <c r="K314">
        <f t="shared" si="27"/>
        <v>964.13118826010418</v>
      </c>
      <c r="L314">
        <f t="shared" si="28"/>
        <v>562.8246004685252</v>
      </c>
      <c r="M314">
        <f t="shared" si="29"/>
        <v>1134.2424430068891</v>
      </c>
      <c r="N314">
        <f t="shared" si="30"/>
        <v>761.87667132789545</v>
      </c>
    </row>
    <row r="315" spans="1:14" x14ac:dyDescent="0.25">
      <c r="A315" s="1">
        <v>44104</v>
      </c>
      <c r="B315">
        <v>2.4277531963598099E-2</v>
      </c>
      <c r="C315">
        <v>1.1452494437674701E-2</v>
      </c>
      <c r="D315">
        <v>1.0634297733286301E-2</v>
      </c>
      <c r="E315">
        <v>6.86687545010254E-3</v>
      </c>
      <c r="F315">
        <v>-2.3518415248707E-2</v>
      </c>
      <c r="I315" s="7">
        <f t="shared" si="25"/>
        <v>44104</v>
      </c>
      <c r="J315">
        <f t="shared" si="26"/>
        <v>18.050058672340477</v>
      </c>
      <c r="K315">
        <f t="shared" si="27"/>
        <v>975.17289533084158</v>
      </c>
      <c r="L315">
        <f t="shared" si="28"/>
        <v>568.80984484152543</v>
      </c>
      <c r="M315">
        <f t="shared" si="29"/>
        <v>1142.0311445932373</v>
      </c>
      <c r="N315">
        <f t="shared" si="30"/>
        <v>743.95853940330335</v>
      </c>
    </row>
    <row r="316" spans="1:14" x14ac:dyDescent="0.25">
      <c r="A316" s="1">
        <v>44135</v>
      </c>
      <c r="B316">
        <v>8.3605770783505298E-2</v>
      </c>
      <c r="C316">
        <v>4.8089707344542501E-2</v>
      </c>
      <c r="D316">
        <v>4.9266018304438303E-2</v>
      </c>
      <c r="E316">
        <v>3.9602547976736902E-2</v>
      </c>
      <c r="F316">
        <v>2.11193364266118E-2</v>
      </c>
      <c r="I316" s="7">
        <f t="shared" si="25"/>
        <v>44135</v>
      </c>
      <c r="J316">
        <f t="shared" si="26"/>
        <v>19.559147740328999</v>
      </c>
      <c r="K316">
        <f t="shared" si="27"/>
        <v>1022.0686744776319</v>
      </c>
      <c r="L316">
        <f t="shared" si="28"/>
        <v>596.8328410692327</v>
      </c>
      <c r="M316">
        <f t="shared" si="29"/>
        <v>1187.2584877879185</v>
      </c>
      <c r="N316">
        <f t="shared" si="30"/>
        <v>759.67045008441244</v>
      </c>
    </row>
    <row r="317" spans="1:14" x14ac:dyDescent="0.25">
      <c r="A317" s="1">
        <v>44165</v>
      </c>
      <c r="B317">
        <v>-2.7037825487635201E-2</v>
      </c>
      <c r="C317">
        <v>-6.6014736584496497E-2</v>
      </c>
      <c r="D317">
        <v>-8.6737844725394295E-2</v>
      </c>
      <c r="E317">
        <v>-7.1081490886487297E-2</v>
      </c>
      <c r="F317">
        <v>-8.0084704856906094E-2</v>
      </c>
      <c r="I317" s="7">
        <f t="shared" si="25"/>
        <v>44165</v>
      </c>
      <c r="J317">
        <f t="shared" si="26"/>
        <v>19.03031091703911</v>
      </c>
      <c r="K317">
        <f t="shared" si="27"/>
        <v>954.59708016072557</v>
      </c>
      <c r="L317">
        <f t="shared" si="28"/>
        <v>545.06484677355365</v>
      </c>
      <c r="M317">
        <f t="shared" si="29"/>
        <v>1102.8663844083169</v>
      </c>
      <c r="N317">
        <f t="shared" si="30"/>
        <v>698.83246630088922</v>
      </c>
    </row>
    <row r="318" spans="1:14" x14ac:dyDescent="0.25">
      <c r="A318" s="1">
        <v>44196</v>
      </c>
      <c r="B318">
        <v>2.00933810845393E-2</v>
      </c>
      <c r="C318">
        <v>8.2891036064187892E-3</v>
      </c>
      <c r="D318">
        <v>-5.51829273652396E-3</v>
      </c>
      <c r="E318">
        <v>-8.4614529403835505E-4</v>
      </c>
      <c r="F318">
        <v>-5.3631277391144899E-2</v>
      </c>
      <c r="I318" s="7">
        <f t="shared" si="25"/>
        <v>44196</v>
      </c>
      <c r="J318">
        <f t="shared" si="26"/>
        <v>19.412694206452446</v>
      </c>
      <c r="K318">
        <f t="shared" si="27"/>
        <v>962.50983426056268</v>
      </c>
      <c r="L318">
        <f t="shared" si="28"/>
        <v>542.05701938866866</v>
      </c>
      <c r="M318">
        <f t="shared" si="29"/>
        <v>1101.9331992071966</v>
      </c>
      <c r="N318">
        <f t="shared" si="30"/>
        <v>661.35318845076824</v>
      </c>
    </row>
    <row r="319" spans="1:14" x14ac:dyDescent="0.25">
      <c r="A319" s="1">
        <v>44227</v>
      </c>
      <c r="B319">
        <v>-6.5894891904787894E-2</v>
      </c>
      <c r="C319">
        <v>-5.5569361486919197E-2</v>
      </c>
      <c r="D319">
        <v>-5.5608631616362099E-2</v>
      </c>
      <c r="E319">
        <v>5.0292046084308401E-2</v>
      </c>
      <c r="F319">
        <v>0.11306155620805999</v>
      </c>
      <c r="I319" s="7">
        <f t="shared" si="25"/>
        <v>44227</v>
      </c>
      <c r="J319">
        <f t="shared" si="26"/>
        <v>18.133496820137559</v>
      </c>
      <c r="K319">
        <f t="shared" si="27"/>
        <v>909.02377734582285</v>
      </c>
      <c r="L319">
        <f t="shared" si="28"/>
        <v>511.91397028242096</v>
      </c>
      <c r="M319">
        <f t="shared" si="29"/>
        <v>1157.3516744435542</v>
      </c>
      <c r="N319">
        <f t="shared" si="30"/>
        <v>736.12680914017437</v>
      </c>
    </row>
    <row r="320" spans="1:14" x14ac:dyDescent="0.25">
      <c r="A320" s="1">
        <v>44255</v>
      </c>
      <c r="B320">
        <v>-6.1775130979451797E-3</v>
      </c>
      <c r="C320">
        <v>2.93449140072468E-2</v>
      </c>
      <c r="D320">
        <v>8.3899251176665496E-3</v>
      </c>
      <c r="E320">
        <v>7.2368453740676297E-2</v>
      </c>
      <c r="F320">
        <v>8.3640267810615301E-2</v>
      </c>
      <c r="I320" s="7">
        <f t="shared" si="25"/>
        <v>44255</v>
      </c>
      <c r="J320">
        <f t="shared" si="26"/>
        <v>18.021476906019611</v>
      </c>
      <c r="K320">
        <f t="shared" si="27"/>
        <v>935.69900192257865</v>
      </c>
      <c r="L320">
        <f t="shared" si="28"/>
        <v>516.20889015977775</v>
      </c>
      <c r="M320">
        <f t="shared" si="29"/>
        <v>1241.1074255572169</v>
      </c>
      <c r="N320">
        <f t="shared" si="30"/>
        <v>797.69665259923238</v>
      </c>
    </row>
    <row r="321" spans="1:14" x14ac:dyDescent="0.25">
      <c r="A321" s="1">
        <v>44286</v>
      </c>
      <c r="B321">
        <v>-4.97856549992906E-2</v>
      </c>
      <c r="C321">
        <v>-4.1076834039599896E-3</v>
      </c>
      <c r="D321">
        <v>-6.2143524062752198E-2</v>
      </c>
      <c r="E321">
        <v>-9.8350193227928595E-2</v>
      </c>
      <c r="F321">
        <v>-8.9653169459641899E-2</v>
      </c>
      <c r="I321" s="7">
        <f t="shared" si="25"/>
        <v>44286</v>
      </c>
      <c r="J321">
        <f t="shared" si="26"/>
        <v>17.124265874198837</v>
      </c>
      <c r="K321">
        <f t="shared" si="27"/>
        <v>931.85544666127942</v>
      </c>
      <c r="L321">
        <f t="shared" si="28"/>
        <v>484.12985057272704</v>
      </c>
      <c r="M321">
        <f t="shared" si="29"/>
        <v>1119.0442704370475</v>
      </c>
      <c r="N321">
        <f t="shared" si="30"/>
        <v>726.18061942636439</v>
      </c>
    </row>
    <row r="322" spans="1:14" x14ac:dyDescent="0.25">
      <c r="A322" s="1">
        <v>44316</v>
      </c>
      <c r="B322">
        <v>1.4047042119994101E-3</v>
      </c>
      <c r="C322">
        <v>-2.34526482658995E-2</v>
      </c>
      <c r="D322">
        <v>-7.2327447608589099E-3</v>
      </c>
      <c r="E322">
        <v>1.32617827338554E-2</v>
      </c>
      <c r="F322">
        <v>9.2138698033365704E-2</v>
      </c>
      <c r="I322" s="7">
        <f t="shared" si="25"/>
        <v>44316</v>
      </c>
      <c r="J322">
        <f t="shared" si="26"/>
        <v>17.148320402599722</v>
      </c>
      <c r="K322">
        <f t="shared" si="27"/>
        <v>910.00096863606973</v>
      </c>
      <c r="L322">
        <f t="shared" si="28"/>
        <v>480.62826293242176</v>
      </c>
      <c r="M322">
        <f t="shared" si="29"/>
        <v>1133.8847924211495</v>
      </c>
      <c r="N322">
        <f t="shared" si="30"/>
        <v>793.08995623737258</v>
      </c>
    </row>
    <row r="323" spans="1:14" x14ac:dyDescent="0.25">
      <c r="A323" s="1">
        <v>44347</v>
      </c>
      <c r="B323">
        <v>1.75817991601343E-2</v>
      </c>
      <c r="C323">
        <v>3.1221158190923901E-2</v>
      </c>
      <c r="D323">
        <v>-9.6777370432130604E-3</v>
      </c>
      <c r="E323">
        <v>-4.8364608230357702E-2</v>
      </c>
      <c r="F323">
        <v>-5.0506124649221003E-2</v>
      </c>
      <c r="I323" s="7">
        <f t="shared" ref="I323:I378" si="31">+A323</f>
        <v>44347</v>
      </c>
      <c r="J323">
        <f t="shared" ref="J323:J378" si="32">+J322*(1+B323)</f>
        <v>17.449818727851866</v>
      </c>
      <c r="K323">
        <f t="shared" ref="K323:K378" si="33">+K322*(1+C323)</f>
        <v>938.41225283175038</v>
      </c>
      <c r="L323">
        <f t="shared" ref="L323:L378" si="34">+L322*(1+D323)</f>
        <v>475.97686898822553</v>
      </c>
      <c r="M323">
        <f t="shared" ref="M323:M378" si="35">+M322*(1+E323)</f>
        <v>1079.0448986573401</v>
      </c>
      <c r="N323">
        <f t="shared" ref="N323:N378" si="36">+N322*(1+F323)</f>
        <v>753.03405604960267</v>
      </c>
    </row>
    <row r="324" spans="1:14" x14ac:dyDescent="0.25">
      <c r="A324" s="1">
        <v>44377</v>
      </c>
      <c r="B324">
        <v>2.07095811314081E-3</v>
      </c>
      <c r="C324">
        <v>4.8753413327522503E-3</v>
      </c>
      <c r="D324">
        <v>-8.1555262782423404E-3</v>
      </c>
      <c r="E324">
        <v>2.0035391194557099E-2</v>
      </c>
      <c r="F324">
        <v>2.8992677576434499E-2</v>
      </c>
      <c r="I324" s="7">
        <f t="shared" si="31"/>
        <v>44377</v>
      </c>
      <c r="J324">
        <f t="shared" si="32"/>
        <v>17.485956571519147</v>
      </c>
      <c r="K324">
        <f t="shared" si="33"/>
        <v>942.98733287514222</v>
      </c>
      <c r="L324">
        <f t="shared" si="34"/>
        <v>472.09502712535652</v>
      </c>
      <c r="M324">
        <f t="shared" si="35"/>
        <v>1100.6639853184311</v>
      </c>
      <c r="N324">
        <f t="shared" si="36"/>
        <v>774.86652964072346</v>
      </c>
    </row>
    <row r="325" spans="1:14" x14ac:dyDescent="0.25">
      <c r="A325" s="1">
        <v>44408</v>
      </c>
      <c r="B325">
        <v>2.3255662899237001E-2</v>
      </c>
      <c r="C325">
        <v>4.74130508774116E-2</v>
      </c>
      <c r="D325">
        <v>4.5629505815429502E-2</v>
      </c>
      <c r="E325">
        <v>5.1281708500684198E-2</v>
      </c>
      <c r="F325">
        <v>1.14565053191024E-2</v>
      </c>
      <c r="I325" s="7">
        <f t="shared" si="31"/>
        <v>44408</v>
      </c>
      <c r="J325">
        <f t="shared" si="32"/>
        <v>17.892604083017094</v>
      </c>
      <c r="K325">
        <f t="shared" si="33"/>
        <v>987.69723926550591</v>
      </c>
      <c r="L325">
        <f t="shared" si="34"/>
        <v>493.63648991100831</v>
      </c>
      <c r="M325">
        <f t="shared" si="35"/>
        <v>1157.1079149707323</v>
      </c>
      <c r="N325">
        <f t="shared" si="36"/>
        <v>783.74379215914689</v>
      </c>
    </row>
    <row r="326" spans="1:14" x14ac:dyDescent="0.25">
      <c r="A326" s="1">
        <v>44439</v>
      </c>
      <c r="B326">
        <v>-2.8293977586990099E-3</v>
      </c>
      <c r="C326">
        <v>-4.0792947494181102E-2</v>
      </c>
      <c r="D326">
        <v>-8.4849689605191597E-3</v>
      </c>
      <c r="E326">
        <v>1.6449259857246101E-2</v>
      </c>
      <c r="F326">
        <v>2.8514781031525101E-4</v>
      </c>
      <c r="I326" s="7">
        <f t="shared" si="31"/>
        <v>44439</v>
      </c>
      <c r="J326">
        <f t="shared" si="32"/>
        <v>17.841978789127317</v>
      </c>
      <c r="K326">
        <f t="shared" si="33"/>
        <v>947.40615764400059</v>
      </c>
      <c r="L326">
        <f t="shared" si="34"/>
        <v>489.44799961633373</v>
      </c>
      <c r="M326">
        <f t="shared" si="35"/>
        <v>1176.1414837469622</v>
      </c>
      <c r="N326">
        <f t="shared" si="36"/>
        <v>783.96727498532914</v>
      </c>
    </row>
    <row r="327" spans="1:14" x14ac:dyDescent="0.25">
      <c r="A327" s="1">
        <v>44469</v>
      </c>
      <c r="B327">
        <v>3.13375577415268E-2</v>
      </c>
      <c r="C327">
        <v>2.29417065368481E-2</v>
      </c>
      <c r="D327">
        <v>4.3503604100115202E-2</v>
      </c>
      <c r="E327">
        <v>4.4056833502962599E-2</v>
      </c>
      <c r="F327">
        <v>5.6070280220784198E-3</v>
      </c>
      <c r="I327" s="7">
        <f t="shared" si="31"/>
        <v>44469</v>
      </c>
      <c r="J327">
        <f t="shared" si="32"/>
        <v>18.401102829654693</v>
      </c>
      <c r="K327">
        <f t="shared" si="33"/>
        <v>969.14127168387199</v>
      </c>
      <c r="L327">
        <f t="shared" si="34"/>
        <v>510.74075161923599</v>
      </c>
      <c r="M327">
        <f t="shared" si="35"/>
        <v>1227.9585532723295</v>
      </c>
      <c r="N327">
        <f t="shared" si="36"/>
        <v>788.36300146456426</v>
      </c>
    </row>
    <row r="328" spans="1:14" x14ac:dyDescent="0.25">
      <c r="A328" s="1">
        <v>44500</v>
      </c>
      <c r="B328">
        <v>6.6727058730575203E-2</v>
      </c>
      <c r="C328">
        <v>2.08143975161586E-2</v>
      </c>
      <c r="D328">
        <v>1.35099224187078E-2</v>
      </c>
      <c r="E328">
        <v>3.74493663728186E-2</v>
      </c>
      <c r="F328">
        <v>-8.8853550201584098E-4</v>
      </c>
      <c r="I328" s="7">
        <f t="shared" si="31"/>
        <v>44500</v>
      </c>
      <c r="J328">
        <f t="shared" si="32"/>
        <v>19.628954298876415</v>
      </c>
      <c r="K328">
        <f t="shared" si="33"/>
        <v>989.31336336201548</v>
      </c>
      <c r="L328">
        <f t="shared" si="34"/>
        <v>517.64081954968447</v>
      </c>
      <c r="M328">
        <f t="shared" si="35"/>
        <v>1273.9448230244611</v>
      </c>
      <c r="N328">
        <f t="shared" si="36"/>
        <v>787.66251294928725</v>
      </c>
    </row>
    <row r="329" spans="1:14" x14ac:dyDescent="0.25">
      <c r="A329" s="1">
        <v>44530</v>
      </c>
      <c r="B329">
        <v>1.0921013417137601E-2</v>
      </c>
      <c r="C329">
        <v>-3.7831059595044403E-2</v>
      </c>
      <c r="D329">
        <v>-2.59953396334732E-2</v>
      </c>
      <c r="E329">
        <v>-1.1153230140978101E-2</v>
      </c>
      <c r="F329">
        <v>2.7404334329444599E-2</v>
      </c>
      <c r="I329" s="7">
        <f t="shared" si="31"/>
        <v>44530</v>
      </c>
      <c r="J329">
        <f t="shared" si="32"/>
        <v>19.843322372138825</v>
      </c>
      <c r="K329">
        <f t="shared" si="33"/>
        <v>951.8865905544933</v>
      </c>
      <c r="L329">
        <f t="shared" si="34"/>
        <v>504.18457063734098</v>
      </c>
      <c r="M329">
        <f t="shared" si="35"/>
        <v>1259.7362232263617</v>
      </c>
      <c r="N329">
        <f t="shared" si="36"/>
        <v>809.24787979292</v>
      </c>
    </row>
    <row r="330" spans="1:14" x14ac:dyDescent="0.25">
      <c r="A330" s="1">
        <v>44561</v>
      </c>
      <c r="B330">
        <v>-2.11304573998615E-2</v>
      </c>
      <c r="C330">
        <v>-6.6176255091495604E-3</v>
      </c>
      <c r="D330">
        <v>-1.3147740702056E-2</v>
      </c>
      <c r="E330">
        <v>3.3133368090705301E-2</v>
      </c>
      <c r="F330">
        <v>6.4270475902195395E-2</v>
      </c>
      <c r="I330" s="7">
        <f t="shared" si="31"/>
        <v>44561</v>
      </c>
      <c r="J330">
        <f t="shared" si="32"/>
        <v>19.424023894082627</v>
      </c>
      <c r="K330">
        <f t="shared" si="33"/>
        <v>945.58736157102248</v>
      </c>
      <c r="L330">
        <f t="shared" si="34"/>
        <v>497.55568263662377</v>
      </c>
      <c r="M330">
        <f t="shared" si="35"/>
        <v>1301.4755272077157</v>
      </c>
      <c r="N330">
        <f t="shared" si="36"/>
        <v>861.2586261500536</v>
      </c>
    </row>
    <row r="331" spans="1:14" x14ac:dyDescent="0.25">
      <c r="A331" s="1">
        <v>44592</v>
      </c>
      <c r="B331">
        <v>4.27206492864304E-3</v>
      </c>
      <c r="C331">
        <v>-5.2591872704925997E-2</v>
      </c>
      <c r="D331">
        <v>-5.4248914423909902E-2</v>
      </c>
      <c r="E331">
        <v>-6.8422387250721403E-2</v>
      </c>
      <c r="F331">
        <v>-4.9149160358292102E-2</v>
      </c>
      <c r="I331" s="7">
        <f t="shared" si="31"/>
        <v>44592</v>
      </c>
      <c r="J331">
        <f t="shared" si="32"/>
        <v>19.507004585333661</v>
      </c>
      <c r="K331">
        <f t="shared" si="33"/>
        <v>895.85715141989238</v>
      </c>
      <c r="L331">
        <f t="shared" si="34"/>
        <v>470.56382698813951</v>
      </c>
      <c r="M331">
        <f t="shared" si="35"/>
        <v>1212.4254646877725</v>
      </c>
      <c r="N331">
        <f t="shared" si="36"/>
        <v>818.92848782344231</v>
      </c>
    </row>
    <row r="332" spans="1:14" x14ac:dyDescent="0.25">
      <c r="A332" s="1">
        <v>44620</v>
      </c>
      <c r="B332">
        <v>-1.8346708933155601E-2</v>
      </c>
      <c r="C332">
        <v>4.9990060886664002E-2</v>
      </c>
      <c r="D332">
        <v>3.0103508680251599E-2</v>
      </c>
      <c r="E332">
        <v>4.17725359118096E-2</v>
      </c>
      <c r="F332">
        <v>2.9744643558457198E-2</v>
      </c>
      <c r="I332" s="7">
        <f t="shared" si="31"/>
        <v>44620</v>
      </c>
      <c r="J332">
        <f t="shared" si="32"/>
        <v>19.149115250048812</v>
      </c>
      <c r="K332">
        <f t="shared" si="33"/>
        <v>940.64110496512603</v>
      </c>
      <c r="L332">
        <f t="shared" si="34"/>
        <v>484.72944923848939</v>
      </c>
      <c r="M332">
        <f t="shared" si="35"/>
        <v>1263.071550951835</v>
      </c>
      <c r="N332">
        <f t="shared" si="36"/>
        <v>843.28722379361693</v>
      </c>
    </row>
    <row r="333" spans="1:14" x14ac:dyDescent="0.25">
      <c r="A333" s="1">
        <v>44651</v>
      </c>
      <c r="B333">
        <v>-2.2654718984035298E-2</v>
      </c>
      <c r="C333">
        <v>-9.7985593099096605E-3</v>
      </c>
      <c r="D333">
        <v>-8.8273381664461994E-3</v>
      </c>
      <c r="E333">
        <v>-1.4694181029609699E-3</v>
      </c>
      <c r="F333">
        <v>-9.0057377928019992E-3</v>
      </c>
      <c r="I333" s="7">
        <f t="shared" si="31"/>
        <v>44651</v>
      </c>
      <c r="J333">
        <f t="shared" si="32"/>
        <v>18.715297425266051</v>
      </c>
      <c r="K333">
        <f t="shared" si="33"/>
        <v>931.42417730878628</v>
      </c>
      <c r="L333">
        <f t="shared" si="34"/>
        <v>480.45057847082603</v>
      </c>
      <c r="M333">
        <f t="shared" si="35"/>
        <v>1261.2155707495313</v>
      </c>
      <c r="N333">
        <f t="shared" si="36"/>
        <v>835.69280017211167</v>
      </c>
    </row>
    <row r="334" spans="1:14" x14ac:dyDescent="0.25">
      <c r="A334" s="1">
        <v>44681</v>
      </c>
      <c r="B334">
        <v>4.1144495957440998E-2</v>
      </c>
      <c r="C334">
        <v>0.109095923706581</v>
      </c>
      <c r="D334">
        <v>0.13954242760574401</v>
      </c>
      <c r="E334">
        <v>0.14343919781356801</v>
      </c>
      <c r="F334">
        <v>5.4504972149404203E-2</v>
      </c>
      <c r="I334" s="7">
        <f t="shared" si="31"/>
        <v>44681</v>
      </c>
      <c r="J334">
        <f t="shared" si="32"/>
        <v>19.485328904522216</v>
      </c>
      <c r="K334">
        <f t="shared" si="33"/>
        <v>1033.0387582949306</v>
      </c>
      <c r="L334">
        <f t="shared" si="34"/>
        <v>547.49381853522914</v>
      </c>
      <c r="M334">
        <f t="shared" si="35"/>
        <v>1442.1233204878254</v>
      </c>
      <c r="N334">
        <f t="shared" si="36"/>
        <v>881.24221297095028</v>
      </c>
    </row>
    <row r="335" spans="1:14" x14ac:dyDescent="0.25">
      <c r="A335" s="1">
        <v>44712</v>
      </c>
      <c r="B335">
        <v>5.3434240797761101E-2</v>
      </c>
      <c r="C335">
        <v>7.8459442045564196E-2</v>
      </c>
      <c r="D335">
        <v>5.8901269495821501E-2</v>
      </c>
      <c r="E335">
        <v>6.5322345138386806E-2</v>
      </c>
      <c r="F335">
        <v>-3.1271501019823303E-2</v>
      </c>
      <c r="I335" s="7">
        <f t="shared" si="31"/>
        <v>44712</v>
      </c>
      <c r="J335">
        <f t="shared" si="32"/>
        <v>20.526512661230029</v>
      </c>
      <c r="K335">
        <f t="shared" si="33"/>
        <v>1114.0904028821933</v>
      </c>
      <c r="L335">
        <f t="shared" si="34"/>
        <v>579.74189948806907</v>
      </c>
      <c r="M335">
        <f t="shared" si="35"/>
        <v>1536.3261977608477</v>
      </c>
      <c r="N335">
        <f t="shared" si="36"/>
        <v>853.6844462093178</v>
      </c>
    </row>
    <row r="336" spans="1:14" x14ac:dyDescent="0.25">
      <c r="A336" s="1">
        <v>44742</v>
      </c>
      <c r="B336">
        <v>6.3355977292712001E-2</v>
      </c>
      <c r="C336">
        <v>4.8042449245474697E-2</v>
      </c>
      <c r="D336">
        <v>8.9970445910292796E-2</v>
      </c>
      <c r="E336">
        <v>8.5401723484203607E-2</v>
      </c>
      <c r="F336">
        <v>7.9508250966677602E-2</v>
      </c>
      <c r="I336" s="7">
        <f t="shared" si="31"/>
        <v>44742</v>
      </c>
      <c r="J336">
        <f t="shared" si="32"/>
        <v>21.826989931293483</v>
      </c>
      <c r="K336">
        <f t="shared" si="33"/>
        <v>1167.6140345175315</v>
      </c>
      <c r="L336">
        <f t="shared" si="34"/>
        <v>631.90153669789083</v>
      </c>
      <c r="M336">
        <f t="shared" si="35"/>
        <v>1667.5311028835577</v>
      </c>
      <c r="N336">
        <f t="shared" si="36"/>
        <v>921.55940340487734</v>
      </c>
    </row>
    <row r="337" spans="1:14" x14ac:dyDescent="0.25">
      <c r="A337" s="1">
        <v>44773</v>
      </c>
      <c r="B337">
        <v>-3.0897330447755299E-2</v>
      </c>
      <c r="C337">
        <v>-4.8875854848471401E-2</v>
      </c>
      <c r="D337">
        <v>-5.70519870366544E-2</v>
      </c>
      <c r="E337">
        <v>-4.2351590659264901E-2</v>
      </c>
      <c r="F337">
        <v>-1.20565359669111E-2</v>
      </c>
      <c r="I337" s="7">
        <f t="shared" si="31"/>
        <v>44773</v>
      </c>
      <c r="J337">
        <f t="shared" si="32"/>
        <v>21.152594210706479</v>
      </c>
      <c r="K337">
        <f t="shared" si="33"/>
        <v>1110.5459004474146</v>
      </c>
      <c r="L337">
        <f t="shared" si="34"/>
        <v>595.85029841776077</v>
      </c>
      <c r="M337">
        <f t="shared" si="35"/>
        <v>1596.9085082026406</v>
      </c>
      <c r="N337">
        <f t="shared" si="36"/>
        <v>910.44858931208125</v>
      </c>
    </row>
    <row r="338" spans="1:14" x14ac:dyDescent="0.25">
      <c r="A338" s="1">
        <v>44804</v>
      </c>
      <c r="B338">
        <v>-7.6339970597459103E-2</v>
      </c>
      <c r="C338">
        <v>-7.2409576196453607E-2</v>
      </c>
      <c r="D338">
        <v>-7.4403924709870201E-2</v>
      </c>
      <c r="E338">
        <v>-9.3958430024785003E-2</v>
      </c>
      <c r="F338">
        <v>-9.2279487315887102E-2</v>
      </c>
      <c r="I338" s="7">
        <f t="shared" si="31"/>
        <v>44804</v>
      </c>
      <c r="J338">
        <f t="shared" si="32"/>
        <v>19.537805790601162</v>
      </c>
      <c r="K338">
        <f t="shared" si="33"/>
        <v>1030.1317424493084</v>
      </c>
      <c r="L338">
        <f t="shared" si="34"/>
        <v>551.51669767593194</v>
      </c>
      <c r="M338">
        <f t="shared" si="35"/>
        <v>1446.865491878699</v>
      </c>
      <c r="N338">
        <f t="shared" si="36"/>
        <v>826.43286026288979</v>
      </c>
    </row>
    <row r="339" spans="1:14" x14ac:dyDescent="0.25">
      <c r="A339" s="1">
        <v>44834</v>
      </c>
      <c r="B339">
        <v>2.29321195121838E-2</v>
      </c>
      <c r="C339">
        <v>-3.56493600436735E-2</v>
      </c>
      <c r="D339">
        <v>1.6997887915285999E-2</v>
      </c>
      <c r="E339">
        <v>-7.1327803906715897E-3</v>
      </c>
      <c r="F339">
        <v>-7.54917014527223E-3</v>
      </c>
      <c r="I339" s="7">
        <f t="shared" si="31"/>
        <v>44834</v>
      </c>
      <c r="J339">
        <f t="shared" si="32"/>
        <v>19.985849087997067</v>
      </c>
      <c r="K339">
        <f t="shared" si="33"/>
        <v>993.40820507031628</v>
      </c>
      <c r="L339">
        <f t="shared" si="34"/>
        <v>560.89131668643608</v>
      </c>
      <c r="M339">
        <f t="shared" si="35"/>
        <v>1436.5453180702873</v>
      </c>
      <c r="N339">
        <f t="shared" si="36"/>
        <v>820.19397798712123</v>
      </c>
    </row>
    <row r="340" spans="1:14" x14ac:dyDescent="0.25">
      <c r="A340" s="1">
        <v>44865</v>
      </c>
      <c r="B340">
        <v>1.6101940801896801E-3</v>
      </c>
      <c r="C340">
        <v>2.9048288658613999E-2</v>
      </c>
      <c r="D340">
        <v>3.4340798879858199E-2</v>
      </c>
      <c r="E340">
        <v>2.1027306101013499E-2</v>
      </c>
      <c r="F340">
        <v>-1.8108705066721999E-2</v>
      </c>
      <c r="I340" s="7">
        <f t="shared" si="31"/>
        <v>44865</v>
      </c>
      <c r="J340">
        <f t="shared" si="32"/>
        <v>20.018030183886122</v>
      </c>
      <c r="K340">
        <f t="shared" si="33"/>
        <v>1022.2650133670345</v>
      </c>
      <c r="L340">
        <f t="shared" si="34"/>
        <v>580.15277258622393</v>
      </c>
      <c r="M340">
        <f t="shared" si="35"/>
        <v>1466.7519962013291</v>
      </c>
      <c r="N340">
        <f t="shared" si="36"/>
        <v>805.34132714225098</v>
      </c>
    </row>
    <row r="341" spans="1:14" x14ac:dyDescent="0.25">
      <c r="A341" s="1">
        <v>44895</v>
      </c>
      <c r="B341">
        <v>-0.105112938110697</v>
      </c>
      <c r="C341">
        <v>-2.5336195284758598E-3</v>
      </c>
      <c r="D341">
        <v>2.96674608721017E-2</v>
      </c>
      <c r="E341">
        <v>4.5831382284625702E-2</v>
      </c>
      <c r="F341">
        <v>5.0307289212076299E-2</v>
      </c>
      <c r="I341" s="7">
        <f t="shared" si="31"/>
        <v>44895</v>
      </c>
      <c r="J341">
        <f t="shared" si="32"/>
        <v>17.913876216069237</v>
      </c>
      <c r="K341">
        <f t="shared" si="33"/>
        <v>1019.6749827658901</v>
      </c>
      <c r="L341">
        <f t="shared" si="34"/>
        <v>597.36443226676704</v>
      </c>
      <c r="M341">
        <f t="shared" si="35"/>
        <v>1533.9752676559701</v>
      </c>
      <c r="N341">
        <f t="shared" si="36"/>
        <v>845.85586620123365</v>
      </c>
    </row>
    <row r="342" spans="1:14" x14ac:dyDescent="0.25">
      <c r="A342" s="1">
        <v>44926</v>
      </c>
      <c r="B342">
        <v>-9.1176176676613704E-3</v>
      </c>
      <c r="C342">
        <v>-1.2601363196770301E-2</v>
      </c>
      <c r="D342">
        <v>1.3124904078819799E-2</v>
      </c>
      <c r="E342">
        <v>2.8193195657708701E-2</v>
      </c>
      <c r="F342">
        <v>5.54445586557843E-2</v>
      </c>
      <c r="I342" s="7">
        <f t="shared" si="31"/>
        <v>44926</v>
      </c>
      <c r="J342">
        <f t="shared" si="32"/>
        <v>17.750544341785304</v>
      </c>
      <c r="K342">
        <f t="shared" si="33"/>
        <v>1006.8256879653967</v>
      </c>
      <c r="L342">
        <f t="shared" si="34"/>
        <v>605.204783140367</v>
      </c>
      <c r="M342">
        <f t="shared" si="35"/>
        <v>1577.2229325110809</v>
      </c>
      <c r="N342">
        <f t="shared" si="36"/>
        <v>892.75397138916719</v>
      </c>
    </row>
    <row r="343" spans="1:14" x14ac:dyDescent="0.25">
      <c r="A343" s="1">
        <v>44957</v>
      </c>
      <c r="B343">
        <v>-2.1570337944893901E-2</v>
      </c>
      <c r="C343">
        <v>2.7029550541055301E-2</v>
      </c>
      <c r="D343">
        <v>-3.4085849276359201E-2</v>
      </c>
      <c r="E343">
        <v>-2.53499982188083E-2</v>
      </c>
      <c r="F343">
        <v>-6.9067618690691404E-3</v>
      </c>
      <c r="I343" s="7">
        <f t="shared" si="31"/>
        <v>44957</v>
      </c>
      <c r="J343">
        <f t="shared" si="32"/>
        <v>17.367659101627169</v>
      </c>
      <c r="K343">
        <f t="shared" si="33"/>
        <v>1034.0397337842903</v>
      </c>
      <c r="L343">
        <f t="shared" si="34"/>
        <v>584.5758641209128</v>
      </c>
      <c r="M343">
        <f t="shared" si="35"/>
        <v>1537.2403339812613</v>
      </c>
      <c r="N343">
        <f t="shared" si="36"/>
        <v>886.58793230111644</v>
      </c>
    </row>
    <row r="344" spans="1:14" x14ac:dyDescent="0.25">
      <c r="A344" s="1">
        <v>44985</v>
      </c>
      <c r="B344">
        <v>6.9111666316241105E-2</v>
      </c>
      <c r="C344">
        <v>2.4272764816993302E-2</v>
      </c>
      <c r="D344">
        <v>6.7501599465785003E-2</v>
      </c>
      <c r="E344">
        <v>7.4631194050620298E-2</v>
      </c>
      <c r="F344">
        <v>8.4203464853965598E-2</v>
      </c>
      <c r="I344" s="7">
        <f t="shared" si="31"/>
        <v>44985</v>
      </c>
      <c r="J344">
        <f t="shared" si="32"/>
        <v>18.567966962153054</v>
      </c>
      <c r="K344">
        <f t="shared" si="33"/>
        <v>1059.1387370538628</v>
      </c>
      <c r="L344">
        <f t="shared" si="34"/>
        <v>624.03566995816789</v>
      </c>
      <c r="M344">
        <f t="shared" si="35"/>
        <v>1651.9664156490574</v>
      </c>
      <c r="N344">
        <f t="shared" si="36"/>
        <v>961.24170809858356</v>
      </c>
    </row>
    <row r="345" spans="1:14" x14ac:dyDescent="0.25">
      <c r="A345" s="1">
        <v>45016</v>
      </c>
      <c r="B345">
        <v>-6.1294051834168304E-3</v>
      </c>
      <c r="C345">
        <v>2.3673258355326899E-2</v>
      </c>
      <c r="D345">
        <v>4.5386582036702101E-2</v>
      </c>
      <c r="E345">
        <v>6.2870212999573002E-2</v>
      </c>
      <c r="F345">
        <v>3.9069174845290801E-2</v>
      </c>
      <c r="I345" s="7">
        <f t="shared" si="31"/>
        <v>45016</v>
      </c>
      <c r="J345">
        <f t="shared" si="32"/>
        <v>18.45415636920972</v>
      </c>
      <c r="K345">
        <f t="shared" si="33"/>
        <v>1084.2120020102736</v>
      </c>
      <c r="L345">
        <f t="shared" si="34"/>
        <v>652.35851608655264</v>
      </c>
      <c r="M345">
        <f t="shared" si="35"/>
        <v>1755.8258960690548</v>
      </c>
      <c r="N345">
        <f t="shared" si="36"/>
        <v>998.79662846087297</v>
      </c>
    </row>
    <row r="346" spans="1:14" x14ac:dyDescent="0.25">
      <c r="A346" s="1">
        <v>45046</v>
      </c>
      <c r="B346">
        <v>1.8266702928281101E-2</v>
      </c>
      <c r="C346">
        <v>-3.4088250901146103E-2</v>
      </c>
      <c r="D346">
        <v>-6.3621294407731699E-3</v>
      </c>
      <c r="E346">
        <v>-2.1576424726963599E-3</v>
      </c>
      <c r="F346">
        <v>1.53414439187602E-2</v>
      </c>
      <c r="I346" s="7">
        <f t="shared" si="31"/>
        <v>45046</v>
      </c>
      <c r="J346">
        <f t="shared" si="32"/>
        <v>18.791252961398119</v>
      </c>
      <c r="K346">
        <f t="shared" si="33"/>
        <v>1047.2531112557135</v>
      </c>
      <c r="L346">
        <f t="shared" si="34"/>
        <v>648.20812676541925</v>
      </c>
      <c r="M346">
        <f t="shared" si="35"/>
        <v>1752.037451541036</v>
      </c>
      <c r="N346">
        <f t="shared" si="36"/>
        <v>1014.1196109226522</v>
      </c>
    </row>
    <row r="347" spans="1:14" x14ac:dyDescent="0.25">
      <c r="A347" s="1">
        <v>45077</v>
      </c>
      <c r="B347">
        <v>-0.100459399774214</v>
      </c>
      <c r="C347">
        <v>-0.15914990664620199</v>
      </c>
      <c r="D347">
        <v>-0.13151266704645101</v>
      </c>
      <c r="E347">
        <v>-8.8370219980464307E-2</v>
      </c>
      <c r="F347">
        <v>-2.73445775173662E-3</v>
      </c>
      <c r="I347" s="7">
        <f t="shared" si="31"/>
        <v>45077</v>
      </c>
      <c r="J347">
        <f t="shared" si="32"/>
        <v>16.903494967890641</v>
      </c>
      <c r="K347">
        <f t="shared" si="33"/>
        <v>880.58287636442208</v>
      </c>
      <c r="L347">
        <f t="shared" si="34"/>
        <v>562.96054721331495</v>
      </c>
      <c r="M347">
        <f t="shared" si="35"/>
        <v>1597.2095165343426</v>
      </c>
      <c r="N347">
        <f t="shared" si="36"/>
        <v>1011.3465436913766</v>
      </c>
    </row>
    <row r="348" spans="1:14" x14ac:dyDescent="0.25">
      <c r="A348" s="1">
        <v>45107</v>
      </c>
      <c r="B348">
        <v>1.5278107407844899E-2</v>
      </c>
      <c r="C348">
        <v>-4.3288641923004197E-2</v>
      </c>
      <c r="D348">
        <v>-7.2062319151434295E-2</v>
      </c>
      <c r="E348">
        <v>-4.5204098040094398E-2</v>
      </c>
      <c r="F348">
        <v>-5.8160953278547601E-3</v>
      </c>
      <c r="I348" s="7">
        <f t="shared" si="31"/>
        <v>45107</v>
      </c>
      <c r="J348">
        <f t="shared" si="32"/>
        <v>17.161748379578039</v>
      </c>
      <c r="K348">
        <f t="shared" si="33"/>
        <v>842.46363954595358</v>
      </c>
      <c r="L348">
        <f t="shared" si="34"/>
        <v>522.39230459036298</v>
      </c>
      <c r="M348">
        <f t="shared" si="35"/>
        <v>1525.0091009583523</v>
      </c>
      <c r="N348">
        <f t="shared" si="36"/>
        <v>1005.4644557837711</v>
      </c>
    </row>
    <row r="349" spans="1:14" x14ac:dyDescent="0.25">
      <c r="A349" s="1">
        <v>45138</v>
      </c>
      <c r="B349">
        <v>9.7636234815551403E-3</v>
      </c>
      <c r="C349">
        <v>-5.57536152347963E-2</v>
      </c>
      <c r="D349">
        <v>-3.4608746521533097E-2</v>
      </c>
      <c r="E349">
        <v>-2.8272778162142999E-2</v>
      </c>
      <c r="F349">
        <v>5.9053456689127102E-3</v>
      </c>
      <c r="I349" s="7">
        <f t="shared" si="31"/>
        <v>45138</v>
      </c>
      <c r="J349">
        <f t="shared" si="32"/>
        <v>17.329309229041431</v>
      </c>
      <c r="K349">
        <f t="shared" si="33"/>
        <v>795.49324593740243</v>
      </c>
      <c r="L349">
        <f t="shared" si="34"/>
        <v>504.3129617359956</v>
      </c>
      <c r="M349">
        <f t="shared" si="35"/>
        <v>1481.8928569517077</v>
      </c>
      <c r="N349">
        <f t="shared" si="36"/>
        <v>1011.4020709529794</v>
      </c>
    </row>
    <row r="350" spans="1:14" x14ac:dyDescent="0.25">
      <c r="A350" s="1">
        <v>45169</v>
      </c>
      <c r="B350">
        <v>-5.1577922222100503E-2</v>
      </c>
      <c r="C350">
        <v>2.5427926170833101E-2</v>
      </c>
      <c r="D350">
        <v>4.0664418549083703E-2</v>
      </c>
      <c r="E350">
        <v>2.4830780630569899E-2</v>
      </c>
      <c r="F350">
        <v>3.82276124884742E-2</v>
      </c>
      <c r="I350" s="7">
        <f t="shared" si="31"/>
        <v>45169</v>
      </c>
      <c r="J350">
        <f t="shared" si="32"/>
        <v>16.435499465463206</v>
      </c>
      <c r="K350">
        <f t="shared" si="33"/>
        <v>815.72098946449501</v>
      </c>
      <c r="L350">
        <f t="shared" si="34"/>
        <v>524.82055509175609</v>
      </c>
      <c r="M350">
        <f t="shared" si="35"/>
        <v>1518.6894134006841</v>
      </c>
      <c r="N350">
        <f t="shared" si="36"/>
        <v>1050.0655573914103</v>
      </c>
    </row>
    <row r="351" spans="1:14" x14ac:dyDescent="0.25">
      <c r="A351" s="1">
        <v>45199</v>
      </c>
      <c r="B351">
        <v>-1.19414421675053E-2</v>
      </c>
      <c r="C351">
        <v>-2.46248263677897E-2</v>
      </c>
      <c r="D351">
        <v>-6.6654996451748498E-4</v>
      </c>
      <c r="E351">
        <v>3.6298883738350003E-2</v>
      </c>
      <c r="F351">
        <v>1.98311925897477E-2</v>
      </c>
      <c r="I351" s="7">
        <f t="shared" si="31"/>
        <v>45199</v>
      </c>
      <c r="J351">
        <f t="shared" si="32"/>
        <v>16.239235899102315</v>
      </c>
      <c r="K351">
        <f t="shared" si="33"/>
        <v>795.63400173437014</v>
      </c>
      <c r="L351">
        <f t="shared" si="34"/>
        <v>524.47073596938162</v>
      </c>
      <c r="M351">
        <f t="shared" si="35"/>
        <v>1573.8161438523784</v>
      </c>
      <c r="N351">
        <f t="shared" si="36"/>
        <v>1070.8896096919</v>
      </c>
    </row>
    <row r="352" spans="1:14" x14ac:dyDescent="0.25">
      <c r="A352" s="1">
        <v>45230</v>
      </c>
      <c r="B352">
        <v>5.7755640734068601E-2</v>
      </c>
      <c r="C352">
        <v>-3.40695354994393E-2</v>
      </c>
      <c r="D352">
        <v>2.6351064866452101E-2</v>
      </c>
      <c r="E352">
        <v>4.6922113634487402E-2</v>
      </c>
      <c r="F352">
        <v>7.1233432992809306E-2</v>
      </c>
      <c r="I352" s="7">
        <f t="shared" si="31"/>
        <v>45230</v>
      </c>
      <c r="J352">
        <f t="shared" si="32"/>
        <v>17.177143373486658</v>
      </c>
      <c r="K352">
        <f t="shared" si="33"/>
        <v>768.5271208677201</v>
      </c>
      <c r="L352">
        <f t="shared" si="34"/>
        <v>538.29109835346662</v>
      </c>
      <c r="M352">
        <f t="shared" si="35"/>
        <v>1647.6629237940108</v>
      </c>
      <c r="N352">
        <f t="shared" si="36"/>
        <v>1147.1727529465836</v>
      </c>
    </row>
    <row r="353" spans="1:14" x14ac:dyDescent="0.25">
      <c r="A353" s="1">
        <v>45260</v>
      </c>
      <c r="B353">
        <v>-6.1838244676547298E-2</v>
      </c>
      <c r="C353">
        <v>-3.5906530892077198E-3</v>
      </c>
      <c r="D353">
        <v>-2.5524254800542101E-2</v>
      </c>
      <c r="E353">
        <v>-5.0516992041007999E-2</v>
      </c>
      <c r="F353">
        <v>-6.1979717313651497E-2</v>
      </c>
      <c r="I353" s="7">
        <f t="shared" si="31"/>
        <v>45260</v>
      </c>
      <c r="J353">
        <f t="shared" si="32"/>
        <v>16.114938978712857</v>
      </c>
      <c r="K353">
        <f t="shared" si="33"/>
        <v>765.76760658703654</v>
      </c>
      <c r="L353">
        <f t="shared" si="34"/>
        <v>524.55161920222906</v>
      </c>
      <c r="M353">
        <f t="shared" si="35"/>
        <v>1564.4279489864448</v>
      </c>
      <c r="N353">
        <f t="shared" si="36"/>
        <v>1076.0713100090311</v>
      </c>
    </row>
    <row r="354" spans="1:14" x14ac:dyDescent="0.25">
      <c r="A354" s="1">
        <v>45291</v>
      </c>
      <c r="B354">
        <v>-3.3851800912677303E-2</v>
      </c>
      <c r="C354">
        <v>-3.0295837857374799E-2</v>
      </c>
      <c r="D354">
        <v>-1.8345874425006799E-2</v>
      </c>
      <c r="E354">
        <v>-1.6116019929673799E-2</v>
      </c>
      <c r="F354">
        <v>-8.7329068669766106E-3</v>
      </c>
      <c r="I354" s="7">
        <f t="shared" si="31"/>
        <v>45291</v>
      </c>
      <c r="J354">
        <f t="shared" si="32"/>
        <v>15.569419272685527</v>
      </c>
      <c r="K354">
        <f t="shared" si="33"/>
        <v>742.56803534144569</v>
      </c>
      <c r="L354">
        <f t="shared" si="34"/>
        <v>514.92826106691098</v>
      </c>
      <c r="M354">
        <f t="shared" si="35"/>
        <v>1539.2155969820406</v>
      </c>
      <c r="N354">
        <f t="shared" si="36"/>
        <v>1066.6740794764967</v>
      </c>
    </row>
    <row r="355" spans="1:14" x14ac:dyDescent="0.25">
      <c r="A355" s="1">
        <v>45322</v>
      </c>
      <c r="B355">
        <v>4.5570819489740698E-2</v>
      </c>
      <c r="C355">
        <v>4.9511822668237698E-2</v>
      </c>
      <c r="D355">
        <v>3.0395902412322599E-2</v>
      </c>
      <c r="E355">
        <v>5.0492810833701503E-2</v>
      </c>
      <c r="F355">
        <v>1.94772259329518E-2</v>
      </c>
      <c r="I355" s="7">
        <f t="shared" si="31"/>
        <v>45322</v>
      </c>
      <c r="J355">
        <f t="shared" si="32"/>
        <v>16.278930467921167</v>
      </c>
      <c r="K355">
        <f t="shared" si="33"/>
        <v>779.33393222637301</v>
      </c>
      <c r="L355">
        <f t="shared" si="34"/>
        <v>530.57997023964776</v>
      </c>
      <c r="M355">
        <f t="shared" si="35"/>
        <v>1616.9349189527377</v>
      </c>
      <c r="N355">
        <f t="shared" si="36"/>
        <v>1087.4499315192838</v>
      </c>
    </row>
    <row r="356" spans="1:14" x14ac:dyDescent="0.25">
      <c r="A356" s="1">
        <v>45351</v>
      </c>
      <c r="B356">
        <v>-2.0170882830146401E-2</v>
      </c>
      <c r="C356">
        <v>8.0026141103384506E-5</v>
      </c>
      <c r="D356">
        <v>3.1611628298443902E-4</v>
      </c>
      <c r="E356">
        <v>1.45394849992042E-2</v>
      </c>
      <c r="F356">
        <v>7.6341023234167598E-3</v>
      </c>
      <c r="I356" s="7">
        <f t="shared" si="31"/>
        <v>45351</v>
      </c>
      <c r="J356">
        <f t="shared" si="32"/>
        <v>15.950570068852629</v>
      </c>
      <c r="K356">
        <f t="shared" si="33"/>
        <v>779.39629931360003</v>
      </c>
      <c r="L356">
        <f t="shared" si="34"/>
        <v>530.74769520766586</v>
      </c>
      <c r="M356">
        <f t="shared" si="35"/>
        <v>1640.4443199515406</v>
      </c>
      <c r="N356">
        <f t="shared" si="36"/>
        <v>1095.7516355680946</v>
      </c>
    </row>
    <row r="357" spans="1:14" x14ac:dyDescent="0.25">
      <c r="A357" s="1">
        <v>45382</v>
      </c>
      <c r="B357">
        <v>2.6086247449070201E-2</v>
      </c>
      <c r="C357">
        <v>-9.2924667079113503E-3</v>
      </c>
      <c r="D357">
        <v>-5.63294807459515E-3</v>
      </c>
      <c r="E357">
        <v>-6.86884180398645E-3</v>
      </c>
      <c r="F357">
        <v>1.34603750783756E-2</v>
      </c>
      <c r="I357" s="7">
        <f t="shared" si="31"/>
        <v>45382</v>
      </c>
      <c r="J357">
        <f t="shared" si="32"/>
        <v>16.366660586622451</v>
      </c>
      <c r="K357">
        <f t="shared" si="33"/>
        <v>772.15378514995905</v>
      </c>
      <c r="L357">
        <f t="shared" si="34"/>
        <v>527.75802099985003</v>
      </c>
      <c r="M357">
        <f t="shared" si="35"/>
        <v>1629.1763674295453</v>
      </c>
      <c r="N357">
        <f t="shared" si="36"/>
        <v>1110.5008635755846</v>
      </c>
    </row>
    <row r="358" spans="1:14" x14ac:dyDescent="0.25">
      <c r="A358" s="1">
        <v>45412</v>
      </c>
      <c r="B358">
        <v>1.6306904313785401E-2</v>
      </c>
      <c r="C358">
        <v>1.85637256990323E-2</v>
      </c>
      <c r="D358">
        <v>3.9366213390479798E-2</v>
      </c>
      <c r="E358">
        <v>7.1508760663012202E-3</v>
      </c>
      <c r="F358">
        <v>-1.6579330466318001E-2</v>
      </c>
      <c r="I358" s="7">
        <f t="shared" si="31"/>
        <v>45412</v>
      </c>
      <c r="J358">
        <f t="shared" si="32"/>
        <v>16.633550154744707</v>
      </c>
      <c r="K358">
        <f t="shared" si="33"/>
        <v>786.48783621495238</v>
      </c>
      <c r="L358">
        <f t="shared" si="34"/>
        <v>548.53385587306741</v>
      </c>
      <c r="M358">
        <f t="shared" si="35"/>
        <v>1640.8264057231809</v>
      </c>
      <c r="N358">
        <f t="shared" si="36"/>
        <v>1092.0895027752335</v>
      </c>
    </row>
    <row r="359" spans="1:14" x14ac:dyDescent="0.25">
      <c r="A359" s="1">
        <v>45443</v>
      </c>
      <c r="B359">
        <v>-6.7668466747127495E-2</v>
      </c>
      <c r="C359">
        <v>-5.6864433228072997E-2</v>
      </c>
      <c r="D359">
        <v>4.5795985164151102E-3</v>
      </c>
      <c r="E359">
        <v>-2.56976156263913E-2</v>
      </c>
      <c r="F359">
        <v>-3.7972340924576499E-2</v>
      </c>
      <c r="I359" s="7">
        <f t="shared" si="31"/>
        <v>45443</v>
      </c>
      <c r="J359">
        <f t="shared" si="32"/>
        <v>15.507983319211688</v>
      </c>
      <c r="K359">
        <f t="shared" si="33"/>
        <v>741.7646511678156</v>
      </c>
      <c r="L359">
        <f t="shared" si="34"/>
        <v>551.04592070562717</v>
      </c>
      <c r="M359">
        <f t="shared" si="35"/>
        <v>1598.6610794392734</v>
      </c>
      <c r="N359">
        <f t="shared" si="36"/>
        <v>1050.6203078557012</v>
      </c>
    </row>
    <row r="360" spans="1:14" x14ac:dyDescent="0.25">
      <c r="A360" s="1">
        <v>45473</v>
      </c>
      <c r="B360">
        <v>4.8463685750259201E-2</v>
      </c>
      <c r="C360">
        <v>3.8402994276740501E-2</v>
      </c>
      <c r="D360">
        <v>4.5420895215271199E-2</v>
      </c>
      <c r="E360">
        <v>4.4937509203816499E-2</v>
      </c>
      <c r="F360">
        <v>2.3234351105909601E-2</v>
      </c>
      <c r="I360" s="7">
        <f t="shared" si="31"/>
        <v>45473</v>
      </c>
      <c r="J360">
        <f t="shared" si="32"/>
        <v>16.259557349414223</v>
      </c>
      <c r="K360">
        <f t="shared" si="33"/>
        <v>770.25063482130167</v>
      </c>
      <c r="L360">
        <f t="shared" si="34"/>
        <v>576.07491972880018</v>
      </c>
      <c r="M360">
        <f t="shared" si="35"/>
        <v>1670.5009264103589</v>
      </c>
      <c r="N360">
        <f t="shared" si="36"/>
        <v>1075.0307889674195</v>
      </c>
    </row>
    <row r="361" spans="1:14" x14ac:dyDescent="0.25">
      <c r="A361" s="1">
        <v>45504</v>
      </c>
      <c r="B361">
        <v>6.4979704783892497E-3</v>
      </c>
      <c r="C361">
        <v>1.77504165562898E-2</v>
      </c>
      <c r="D361">
        <v>-4.2809812798301804E-3</v>
      </c>
      <c r="E361">
        <v>-9.1935251929015794E-3</v>
      </c>
      <c r="F361">
        <v>-2.7350920123328001E-2</v>
      </c>
      <c r="I361" s="7">
        <f t="shared" si="31"/>
        <v>45504</v>
      </c>
      <c r="J361">
        <f t="shared" si="32"/>
        <v>16.365211473062391</v>
      </c>
      <c r="K361">
        <f t="shared" si="33"/>
        <v>783.92290444212642</v>
      </c>
      <c r="L361">
        <f t="shared" si="34"/>
        <v>573.60875378166145</v>
      </c>
      <c r="M361">
        <f t="shared" si="35"/>
        <v>1655.1431340586398</v>
      </c>
      <c r="N361">
        <f t="shared" si="36"/>
        <v>1045.6277077282534</v>
      </c>
    </row>
    <row r="362" spans="1:14" x14ac:dyDescent="0.25">
      <c r="A362" s="1">
        <v>45535</v>
      </c>
      <c r="B362">
        <v>4.60251551590556E-2</v>
      </c>
      <c r="C362">
        <v>1.9113215768733701E-2</v>
      </c>
      <c r="D362">
        <v>4.8832974753486497E-2</v>
      </c>
      <c r="E362">
        <v>1.9010452595665701E-2</v>
      </c>
      <c r="F362">
        <v>1.9790642873029899E-2</v>
      </c>
      <c r="I362" s="7">
        <f t="shared" si="31"/>
        <v>45535</v>
      </c>
      <c r="J362">
        <f t="shared" si="32"/>
        <v>17.118422870320845</v>
      </c>
      <c r="K362">
        <f t="shared" si="33"/>
        <v>798.90619206078122</v>
      </c>
      <c r="L362">
        <f t="shared" si="34"/>
        <v>601.61977557346017</v>
      </c>
      <c r="M362">
        <f t="shared" si="35"/>
        <v>1686.6081541477033</v>
      </c>
      <c r="N362">
        <f t="shared" si="36"/>
        <v>1066.3213522700482</v>
      </c>
    </row>
    <row r="363" spans="1:14" x14ac:dyDescent="0.25">
      <c r="A363" s="1">
        <v>45565</v>
      </c>
      <c r="B363">
        <v>1.21223772185148E-2</v>
      </c>
      <c r="C363">
        <v>1.86803206782594E-2</v>
      </c>
      <c r="D363">
        <v>6.23152371569409E-3</v>
      </c>
      <c r="E363">
        <v>5.5025751985109499E-2</v>
      </c>
      <c r="F363">
        <v>4.7372915154417598E-3</v>
      </c>
      <c r="I363" s="7">
        <f t="shared" si="31"/>
        <v>45565</v>
      </c>
      <c r="J363">
        <f t="shared" si="32"/>
        <v>17.325938849740925</v>
      </c>
      <c r="K363">
        <f t="shared" si="33"/>
        <v>813.8300159203236</v>
      </c>
      <c r="L363">
        <f t="shared" si="34"/>
        <v>605.36878347277673</v>
      </c>
      <c r="M363">
        <f t="shared" si="35"/>
        <v>1779.415036133898</v>
      </c>
      <c r="N363">
        <f t="shared" si="36"/>
        <v>1071.3728273648915</v>
      </c>
    </row>
    <row r="364" spans="1:14" x14ac:dyDescent="0.25">
      <c r="A364" s="1">
        <v>45596</v>
      </c>
      <c r="B364">
        <v>2.3144629608166399E-2</v>
      </c>
      <c r="C364">
        <v>9.4004257473778007E-3</v>
      </c>
      <c r="D364">
        <v>2.7193344764534E-2</v>
      </c>
      <c r="E364">
        <v>3.0838292328683101E-2</v>
      </c>
      <c r="F364">
        <v>2.6332013908292502E-2</v>
      </c>
      <c r="I364" s="7">
        <f t="shared" si="31"/>
        <v>45596</v>
      </c>
      <c r="J364">
        <f t="shared" si="32"/>
        <v>17.72694128703192</v>
      </c>
      <c r="K364">
        <f t="shared" si="33"/>
        <v>821.48036455596991</v>
      </c>
      <c r="L364">
        <f t="shared" si="34"/>
        <v>621.83078551143853</v>
      </c>
      <c r="M364">
        <f t="shared" si="35"/>
        <v>1834.2891571922494</v>
      </c>
      <c r="N364">
        <f t="shared" si="36"/>
        <v>1099.5842315560305</v>
      </c>
    </row>
    <row r="365" spans="1:14" x14ac:dyDescent="0.25">
      <c r="A365" s="1">
        <v>45626</v>
      </c>
      <c r="B365">
        <v>4.6843781251128799E-2</v>
      </c>
      <c r="C365">
        <v>2.89111464838081E-2</v>
      </c>
      <c r="D365">
        <v>7.0573698254099801E-2</v>
      </c>
      <c r="E365">
        <v>4.80686061105575E-2</v>
      </c>
      <c r="F365">
        <v>2.0968999934836099E-2</v>
      </c>
      <c r="I365" s="7">
        <f t="shared" si="31"/>
        <v>45626</v>
      </c>
      <c r="J365">
        <f t="shared" si="32"/>
        <v>18.557338246933249</v>
      </c>
      <c r="K365">
        <f t="shared" si="33"/>
        <v>845.2303037092197</v>
      </c>
      <c r="L365">
        <f t="shared" si="34"/>
        <v>665.71568373323271</v>
      </c>
      <c r="M365">
        <f t="shared" si="35"/>
        <v>1922.4608801821901</v>
      </c>
      <c r="N365">
        <f t="shared" si="36"/>
        <v>1122.6414132358757</v>
      </c>
    </row>
    <row r="366" spans="1:14" x14ac:dyDescent="0.25">
      <c r="A366" s="1">
        <v>45657</v>
      </c>
      <c r="B366">
        <v>1.26494859060677E-2</v>
      </c>
      <c r="C366">
        <v>5.3115678279766598E-2</v>
      </c>
      <c r="D366">
        <v>3.8938482087102898E-2</v>
      </c>
      <c r="E366">
        <v>5.3726415094595498E-2</v>
      </c>
      <c r="F366">
        <v>6.5966776948717498E-2</v>
      </c>
      <c r="I366" s="7">
        <f t="shared" si="31"/>
        <v>45657</v>
      </c>
      <c r="J366">
        <f t="shared" si="32"/>
        <v>18.792079035541963</v>
      </c>
      <c r="K366">
        <f t="shared" si="33"/>
        <v>890.12528459334806</v>
      </c>
      <c r="L366">
        <f t="shared" si="34"/>
        <v>691.63764195938256</v>
      </c>
      <c r="M366">
        <f t="shared" si="35"/>
        <v>2025.7478114339799</v>
      </c>
      <c r="N366">
        <f t="shared" si="36"/>
        <v>1196.6984489361998</v>
      </c>
    </row>
    <row r="367" spans="1:14" x14ac:dyDescent="0.25">
      <c r="A367" s="1">
        <v>45688</v>
      </c>
      <c r="B367">
        <v>-6.7722447544001294E-2</v>
      </c>
      <c r="C367">
        <v>-1.7334902115200598E-2</v>
      </c>
      <c r="D367">
        <v>-2.3640697553770702E-2</v>
      </c>
      <c r="E367">
        <v>-2.3339764977086199E-2</v>
      </c>
      <c r="F367">
        <v>4.81742965608533E-3</v>
      </c>
      <c r="I367" s="7">
        <f t="shared" si="31"/>
        <v>45688</v>
      </c>
      <c r="J367">
        <f t="shared" si="32"/>
        <v>17.519433448814748</v>
      </c>
      <c r="K367">
        <f t="shared" si="33"/>
        <v>874.69504991465726</v>
      </c>
      <c r="L367">
        <f t="shared" si="34"/>
        <v>675.28684564901766</v>
      </c>
      <c r="M367">
        <f t="shared" si="35"/>
        <v>1978.4673336122639</v>
      </c>
      <c r="N367">
        <f t="shared" si="36"/>
        <v>1202.4634595334962</v>
      </c>
    </row>
    <row r="368" spans="1:14" x14ac:dyDescent="0.25">
      <c r="A368" s="1">
        <v>45716</v>
      </c>
      <c r="B368">
        <v>1.7411980212376402E-2</v>
      </c>
      <c r="C368">
        <v>3.3788916512893702E-2</v>
      </c>
      <c r="D368">
        <v>1.4254782919534499E-2</v>
      </c>
      <c r="E368">
        <v>1.0756937807413301E-2</v>
      </c>
      <c r="F368">
        <v>-4.4275749693148903E-2</v>
      </c>
      <c r="I368" s="7">
        <f t="shared" si="31"/>
        <v>45716</v>
      </c>
      <c r="J368">
        <f t="shared" si="32"/>
        <v>17.824481477357558</v>
      </c>
      <c r="K368">
        <f t="shared" si="33"/>
        <v>904.25004793046503</v>
      </c>
      <c r="L368">
        <f t="shared" si="34"/>
        <v>684.91291304216168</v>
      </c>
      <c r="M368">
        <f t="shared" si="35"/>
        <v>1999.7495836739299</v>
      </c>
      <c r="N368">
        <f t="shared" si="36"/>
        <v>1149.2234883840333</v>
      </c>
    </row>
    <row r="369" spans="1:14" x14ac:dyDescent="0.25">
      <c r="A369" s="1">
        <v>45747</v>
      </c>
      <c r="B369">
        <v>-2.8692462001978399E-2</v>
      </c>
      <c r="C369">
        <v>-2.3381485838580199E-2</v>
      </c>
      <c r="D369">
        <v>-1.26553497150328E-2</v>
      </c>
      <c r="E369">
        <v>-3.5452365153797398E-2</v>
      </c>
      <c r="F369">
        <v>-5.21055367941895E-2</v>
      </c>
      <c r="I369" s="7">
        <f t="shared" si="31"/>
        <v>45747</v>
      </c>
      <c r="J369">
        <f t="shared" si="32"/>
        <v>17.313053219863509</v>
      </c>
      <c r="K369">
        <f t="shared" si="33"/>
        <v>883.10733824024339</v>
      </c>
      <c r="L369">
        <f t="shared" si="34"/>
        <v>676.24510060327123</v>
      </c>
      <c r="M369">
        <f t="shared" si="35"/>
        <v>1928.8537312173676</v>
      </c>
      <c r="N369">
        <f t="shared" si="36"/>
        <v>1089.3425816252923</v>
      </c>
    </row>
    <row r="370" spans="1:14" x14ac:dyDescent="0.25">
      <c r="A370" s="1">
        <v>45777</v>
      </c>
      <c r="B370">
        <v>3.4276396331338999E-2</v>
      </c>
      <c r="C370">
        <v>-5.6902118473277197E-2</v>
      </c>
      <c r="D370">
        <v>-5.2552640282037703E-2</v>
      </c>
      <c r="E370">
        <v>-4.8478430343211101E-2</v>
      </c>
      <c r="F370">
        <v>-2.9105239082486902E-3</v>
      </c>
      <c r="I370" s="7">
        <f t="shared" si="31"/>
        <v>45777</v>
      </c>
      <c r="J370">
        <f t="shared" si="32"/>
        <v>17.906482293733117</v>
      </c>
      <c r="K370">
        <f t="shared" si="33"/>
        <v>832.8566598550766</v>
      </c>
      <c r="L370">
        <f t="shared" si="34"/>
        <v>640.70663508877715</v>
      </c>
      <c r="M370">
        <f t="shared" si="35"/>
        <v>1835.3459299663036</v>
      </c>
      <c r="N370">
        <f t="shared" si="36"/>
        <v>1086.1720239971985</v>
      </c>
    </row>
    <row r="371" spans="1:14" x14ac:dyDescent="0.25">
      <c r="A371" s="1">
        <v>45808</v>
      </c>
      <c r="B371">
        <v>-3.3481216389023398E-2</v>
      </c>
      <c r="C371">
        <v>-2.2550594882270399E-2</v>
      </c>
      <c r="D371">
        <v>-2.9162572990879199E-2</v>
      </c>
      <c r="E371">
        <v>-1.5587730462459501E-2</v>
      </c>
      <c r="F371">
        <v>-4.3884448141668798E-3</v>
      </c>
      <c r="I371" s="7">
        <f t="shared" si="31"/>
        <v>45808</v>
      </c>
      <c r="J371">
        <f t="shared" si="32"/>
        <v>17.306951485290423</v>
      </c>
      <c r="K371">
        <f t="shared" si="33"/>
        <v>814.0752467236839</v>
      </c>
      <c r="L371">
        <f t="shared" si="34"/>
        <v>622.02198107726008</v>
      </c>
      <c r="M371">
        <f t="shared" si="35"/>
        <v>1806.7370523046168</v>
      </c>
      <c r="N371">
        <f t="shared" si="36"/>
        <v>1081.4054180111948</v>
      </c>
    </row>
    <row r="372" spans="1:14" x14ac:dyDescent="0.25">
      <c r="A372" s="1">
        <v>45838</v>
      </c>
      <c r="B372">
        <v>8.5268148294584799E-3</v>
      </c>
      <c r="C372">
        <v>6.3136417137391E-4</v>
      </c>
      <c r="D372">
        <v>-4.8402596632025202E-3</v>
      </c>
      <c r="E372">
        <v>3.4607166431218899E-3</v>
      </c>
      <c r="F372">
        <v>2.7723650290398201E-2</v>
      </c>
      <c r="I372" s="7">
        <f t="shared" si="31"/>
        <v>45838</v>
      </c>
      <c r="J372">
        <f t="shared" si="32"/>
        <v>17.454524655867914</v>
      </c>
      <c r="K372">
        <f t="shared" si="33"/>
        <v>814.58922466726767</v>
      </c>
      <c r="L372">
        <f t="shared" si="34"/>
        <v>619.01123317262648</v>
      </c>
      <c r="M372">
        <f t="shared" si="35"/>
        <v>1812.9896572912726</v>
      </c>
      <c r="N372">
        <f t="shared" si="36"/>
        <v>1111.3859236422791</v>
      </c>
    </row>
    <row r="373" spans="1:14" x14ac:dyDescent="0.25">
      <c r="A373" s="1">
        <v>45869</v>
      </c>
      <c r="B373">
        <v>-5.0595276198989098E-2</v>
      </c>
      <c r="C373">
        <v>-4.2067341880482098E-2</v>
      </c>
      <c r="D373">
        <v>-2.15780329676135E-2</v>
      </c>
      <c r="E373">
        <v>-3.07724236139661E-2</v>
      </c>
      <c r="F373">
        <v>3.2037065219998398E-2</v>
      </c>
      <c r="I373" s="7">
        <f t="shared" si="31"/>
        <v>45869</v>
      </c>
      <c r="J373">
        <f t="shared" si="32"/>
        <v>16.571408159982212</v>
      </c>
      <c r="K373">
        <f t="shared" si="33"/>
        <v>780.32162126103287</v>
      </c>
      <c r="L373">
        <f t="shared" si="34"/>
        <v>605.65418837590448</v>
      </c>
      <c r="M373">
        <f t="shared" si="35"/>
        <v>1757.1995715493663</v>
      </c>
      <c r="N373">
        <f t="shared" si="36"/>
        <v>1146.9914669625948</v>
      </c>
    </row>
    <row r="374" spans="1:14" x14ac:dyDescent="0.25">
      <c r="A374" s="1">
        <v>45900</v>
      </c>
      <c r="B374">
        <v>-5.8904012036537197E-3</v>
      </c>
      <c r="C374">
        <v>3.3352333422315E-2</v>
      </c>
      <c r="D374">
        <v>1.84317842447752E-2</v>
      </c>
      <c r="E374">
        <v>1.44550397605748E-2</v>
      </c>
      <c r="F374">
        <v>-4.6582385039830199E-2</v>
      </c>
      <c r="I374" s="7">
        <f t="shared" si="31"/>
        <v>45900</v>
      </c>
      <c r="J374">
        <f t="shared" si="32"/>
        <v>16.473795917410417</v>
      </c>
      <c r="K374">
        <f t="shared" si="33"/>
        <v>806.34716814997216</v>
      </c>
      <c r="L374">
        <f t="shared" si="34"/>
        <v>616.81747570299365</v>
      </c>
      <c r="M374">
        <f t="shared" si="35"/>
        <v>1782.5999612233772</v>
      </c>
      <c r="N374">
        <f t="shared" si="36"/>
        <v>1093.5618688111435</v>
      </c>
    </row>
    <row r="375" spans="1:14" x14ac:dyDescent="0.25">
      <c r="A375" s="1">
        <v>45930</v>
      </c>
      <c r="B375">
        <v>1.28948055543559E-2</v>
      </c>
      <c r="C375">
        <v>2.0441401319313799E-2</v>
      </c>
      <c r="D375">
        <v>2.6574040897935899E-2</v>
      </c>
      <c r="E375">
        <v>-4.85115695997886E-3</v>
      </c>
      <c r="F375">
        <v>-1.7210630731983801E-2</v>
      </c>
      <c r="I375" s="7">
        <f t="shared" si="31"/>
        <v>45930</v>
      </c>
      <c r="J375">
        <f t="shared" si="32"/>
        <v>16.686222312507564</v>
      </c>
      <c r="K375">
        <f t="shared" si="33"/>
        <v>822.83003421681792</v>
      </c>
      <c r="L375">
        <f t="shared" si="34"/>
        <v>633.20880852888649</v>
      </c>
      <c r="M375">
        <f t="shared" si="35"/>
        <v>1773.9522890146304</v>
      </c>
      <c r="N375">
        <f t="shared" si="36"/>
        <v>1074.7409793044569</v>
      </c>
    </row>
    <row r="376" spans="1:14" x14ac:dyDescent="0.25">
      <c r="A376" s="1">
        <v>45961</v>
      </c>
      <c r="B376">
        <v>1.3048321790029301E-2</v>
      </c>
      <c r="C376">
        <v>-4.0444520755990199E-2</v>
      </c>
      <c r="D376">
        <v>-2.4925238114076299E-2</v>
      </c>
      <c r="E376">
        <v>-2.06947920602462E-2</v>
      </c>
      <c r="F376">
        <v>-8.2590488829351501E-3</v>
      </c>
      <c r="I376" s="7">
        <f t="shared" si="31"/>
        <v>45961</v>
      </c>
      <c r="J376">
        <f t="shared" si="32"/>
        <v>16.903949510701128</v>
      </c>
      <c r="K376">
        <f t="shared" si="33"/>
        <v>789.55106781928362</v>
      </c>
      <c r="L376">
        <f t="shared" si="34"/>
        <v>617.42592820037339</v>
      </c>
      <c r="M376">
        <f t="shared" si="35"/>
        <v>1737.2407152686749</v>
      </c>
      <c r="N376">
        <f t="shared" si="36"/>
        <v>1065.8646410198878</v>
      </c>
    </row>
    <row r="377" spans="1:14" x14ac:dyDescent="0.25">
      <c r="A377" s="1">
        <v>45991</v>
      </c>
      <c r="B377">
        <v>6.7074806196763301E-2</v>
      </c>
      <c r="C377">
        <v>1.6942050349010401E-2</v>
      </c>
      <c r="D377">
        <v>7.0731316611935699E-2</v>
      </c>
      <c r="E377">
        <v>3.94667449121417E-2</v>
      </c>
      <c r="F377">
        <v>-6.85951379011796E-3</v>
      </c>
      <c r="I377" s="7">
        <f t="shared" si="31"/>
        <v>45991</v>
      </c>
      <c r="J377">
        <f t="shared" si="32"/>
        <v>18.037778648091276</v>
      </c>
      <c r="K377">
        <f t="shared" si="33"/>
        <v>802.9276817633928</v>
      </c>
      <c r="L377">
        <f t="shared" si="34"/>
        <v>661.09727701233226</v>
      </c>
      <c r="M377">
        <f t="shared" si="35"/>
        <v>1805.8039514291704</v>
      </c>
      <c r="N377">
        <f t="shared" si="36"/>
        <v>1058.5533278164128</v>
      </c>
    </row>
    <row r="378" spans="1:14" x14ac:dyDescent="0.25">
      <c r="A378" s="1">
        <v>46022</v>
      </c>
      <c r="B378">
        <v>3.0126771100424499E-2</v>
      </c>
      <c r="C378">
        <v>1.34634398781175E-2</v>
      </c>
      <c r="D378">
        <v>-7.2231853494077999E-2</v>
      </c>
      <c r="E378">
        <v>-6.89187255424102E-2</v>
      </c>
      <c r="F378">
        <v>-7.0007589403448395E-2</v>
      </c>
      <c r="I378" s="7">
        <f t="shared" si="31"/>
        <v>46022</v>
      </c>
      <c r="J378">
        <f t="shared" si="32"/>
        <v>18.581198676582446</v>
      </c>
      <c r="K378">
        <f t="shared" si="33"/>
        <v>813.73785033329045</v>
      </c>
      <c r="L378">
        <f t="shared" si="34"/>
        <v>613.34499535384361</v>
      </c>
      <c r="M378">
        <f t="shared" si="35"/>
        <v>1681.3502445172237</v>
      </c>
      <c r="N378">
        <f t="shared" si="36"/>
        <v>984.44656108098741</v>
      </c>
    </row>
  </sheetData>
  <autoFilter ref="A1:B378" xr:uid="{B824B631-3C8B-495B-8E95-2846F6574FBF}">
    <sortState xmlns:xlrd2="http://schemas.microsoft.com/office/spreadsheetml/2017/richdata2" ref="A2:B378">
      <sortCondition ref="A1:A378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9D8DC-1D1F-4D63-80D2-E95CB0ED9C60}">
  <dimension ref="A1:B417"/>
  <sheetViews>
    <sheetView tabSelected="1" workbookViewId="0"/>
  </sheetViews>
  <sheetFormatPr defaultRowHeight="15" x14ac:dyDescent="0.25"/>
  <cols>
    <col min="1" max="1" width="10.42578125" bestFit="1" customWidth="1"/>
  </cols>
  <sheetData>
    <row r="1" spans="1:2" x14ac:dyDescent="0.25">
      <c r="A1" t="s">
        <v>32</v>
      </c>
      <c r="B1" t="s">
        <v>35</v>
      </c>
    </row>
    <row r="2" spans="1:2" x14ac:dyDescent="0.25">
      <c r="A2" s="8">
        <f>_xll.BDH(B$1,"PX_LAST","1990-01-01","","Dir=V","Per=M","Dts=S","cols=2;rows=416")</f>
        <v>33634</v>
      </c>
      <c r="B2">
        <v>5.0000000000000001E-4</v>
      </c>
    </row>
    <row r="3" spans="1:2" x14ac:dyDescent="0.25">
      <c r="A3" s="8">
        <v>33662</v>
      </c>
      <c r="B3">
        <v>5.0000000000000001E-4</v>
      </c>
    </row>
    <row r="4" spans="1:2" x14ac:dyDescent="0.25">
      <c r="A4" s="8">
        <v>33694</v>
      </c>
      <c r="B4">
        <v>6.9999999999999999E-4</v>
      </c>
    </row>
    <row r="5" spans="1:2" x14ac:dyDescent="0.25">
      <c r="A5" s="8">
        <v>33724</v>
      </c>
      <c r="B5">
        <v>8.9999999999999998E-4</v>
      </c>
    </row>
    <row r="6" spans="1:2" x14ac:dyDescent="0.25">
      <c r="A6" s="8">
        <v>33753</v>
      </c>
      <c r="B6">
        <v>1E-3</v>
      </c>
    </row>
    <row r="7" spans="1:2" x14ac:dyDescent="0.25">
      <c r="A7" s="8">
        <v>33785</v>
      </c>
      <c r="B7">
        <v>1.2999999999999999E-3</v>
      </c>
    </row>
    <row r="8" spans="1:2" x14ac:dyDescent="0.25">
      <c r="A8" s="8">
        <v>33816</v>
      </c>
      <c r="B8">
        <v>1.5E-3</v>
      </c>
    </row>
    <row r="9" spans="1:2" x14ac:dyDescent="0.25">
      <c r="A9" s="8">
        <v>33847</v>
      </c>
      <c r="B9">
        <v>1.9E-3</v>
      </c>
    </row>
    <row r="10" spans="1:2" x14ac:dyDescent="0.25">
      <c r="A10" s="8">
        <v>33877</v>
      </c>
      <c r="B10">
        <v>2.3E-3</v>
      </c>
    </row>
    <row r="11" spans="1:2" x14ac:dyDescent="0.25">
      <c r="A11" s="8">
        <v>33907</v>
      </c>
      <c r="B11">
        <v>2.8999999999999998E-3</v>
      </c>
    </row>
    <row r="12" spans="1:2" x14ac:dyDescent="0.25">
      <c r="A12" s="8">
        <v>33938</v>
      </c>
      <c r="B12">
        <v>3.5999999999999999E-3</v>
      </c>
    </row>
    <row r="13" spans="1:2" x14ac:dyDescent="0.25">
      <c r="A13" s="8">
        <v>33969</v>
      </c>
      <c r="B13">
        <v>4.4999999999999997E-3</v>
      </c>
    </row>
    <row r="14" spans="1:2" x14ac:dyDescent="0.25">
      <c r="A14" s="8">
        <v>33998</v>
      </c>
      <c r="B14">
        <v>5.7000000000000002E-3</v>
      </c>
    </row>
    <row r="15" spans="1:2" x14ac:dyDescent="0.25">
      <c r="A15" s="8">
        <v>34026</v>
      </c>
      <c r="B15">
        <v>7.1000000000000004E-3</v>
      </c>
    </row>
    <row r="16" spans="1:2" x14ac:dyDescent="0.25">
      <c r="A16" s="8">
        <v>34059</v>
      </c>
      <c r="B16">
        <v>9.1000000000000004E-3</v>
      </c>
    </row>
    <row r="17" spans="1:2" x14ac:dyDescent="0.25">
      <c r="A17" s="8">
        <v>34089</v>
      </c>
      <c r="B17">
        <v>1.17E-2</v>
      </c>
    </row>
    <row r="18" spans="1:2" x14ac:dyDescent="0.25">
      <c r="A18" s="8">
        <v>34120</v>
      </c>
      <c r="B18">
        <v>1.52E-2</v>
      </c>
    </row>
    <row r="19" spans="1:2" x14ac:dyDescent="0.25">
      <c r="A19" s="8">
        <v>34150</v>
      </c>
      <c r="B19">
        <v>1.9800000000000002E-2</v>
      </c>
    </row>
    <row r="20" spans="1:2" x14ac:dyDescent="0.25">
      <c r="A20" s="8">
        <v>34180</v>
      </c>
      <c r="B20">
        <v>2.5899999999999999E-2</v>
      </c>
    </row>
    <row r="21" spans="1:2" x14ac:dyDescent="0.25">
      <c r="A21" s="8">
        <v>34212</v>
      </c>
      <c r="B21">
        <v>3.44E-2</v>
      </c>
    </row>
    <row r="22" spans="1:2" x14ac:dyDescent="0.25">
      <c r="A22" s="8">
        <v>34242</v>
      </c>
      <c r="B22">
        <v>4.6600000000000003E-2</v>
      </c>
    </row>
    <row r="23" spans="1:2" x14ac:dyDescent="0.25">
      <c r="A23" s="8">
        <v>34271</v>
      </c>
      <c r="B23">
        <v>6.3299999999999995E-2</v>
      </c>
    </row>
    <row r="24" spans="1:2" x14ac:dyDescent="0.25">
      <c r="A24" s="8">
        <v>34303</v>
      </c>
      <c r="B24">
        <v>8.5800000000000001E-2</v>
      </c>
    </row>
    <row r="25" spans="1:2" x14ac:dyDescent="0.25">
      <c r="A25" s="8">
        <v>34334</v>
      </c>
      <c r="B25">
        <v>0.1167</v>
      </c>
    </row>
    <row r="26" spans="1:2" x14ac:dyDescent="0.25">
      <c r="A26" s="8">
        <v>34365</v>
      </c>
      <c r="B26">
        <v>0.1668</v>
      </c>
    </row>
    <row r="27" spans="1:2" x14ac:dyDescent="0.25">
      <c r="A27" s="8">
        <v>34393</v>
      </c>
      <c r="B27">
        <v>0.23169999999999999</v>
      </c>
    </row>
    <row r="28" spans="1:2" x14ac:dyDescent="0.25">
      <c r="A28" s="8">
        <v>34424</v>
      </c>
      <c r="B28">
        <v>0.33210000000000001</v>
      </c>
    </row>
    <row r="29" spans="1:2" x14ac:dyDescent="0.25">
      <c r="A29" s="8">
        <v>34453</v>
      </c>
      <c r="B29">
        <v>0.47349999999999998</v>
      </c>
    </row>
    <row r="30" spans="1:2" x14ac:dyDescent="0.25">
      <c r="A30" s="8">
        <v>34485</v>
      </c>
      <c r="B30">
        <v>0.68189999999999995</v>
      </c>
    </row>
    <row r="31" spans="1:2" x14ac:dyDescent="0.25">
      <c r="A31" s="8">
        <v>34515</v>
      </c>
      <c r="B31">
        <v>1</v>
      </c>
    </row>
    <row r="32" spans="1:2" x14ac:dyDescent="0.25">
      <c r="A32" s="8">
        <v>34544</v>
      </c>
      <c r="B32">
        <v>0.93799999999999994</v>
      </c>
    </row>
    <row r="33" spans="1:2" x14ac:dyDescent="0.25">
      <c r="A33" s="8">
        <v>34577</v>
      </c>
      <c r="B33">
        <v>0.88800000000000001</v>
      </c>
    </row>
    <row r="34" spans="1:2" x14ac:dyDescent="0.25">
      <c r="A34" s="8">
        <v>34607</v>
      </c>
      <c r="B34">
        <v>0.85199999999999998</v>
      </c>
    </row>
    <row r="35" spans="1:2" x14ac:dyDescent="0.25">
      <c r="A35" s="8">
        <v>34638</v>
      </c>
      <c r="B35">
        <v>0.84499999999999997</v>
      </c>
    </row>
    <row r="36" spans="1:2" x14ac:dyDescent="0.25">
      <c r="A36" s="8">
        <v>34668</v>
      </c>
      <c r="B36">
        <v>0.84599999999999997</v>
      </c>
    </row>
    <row r="37" spans="1:2" x14ac:dyDescent="0.25">
      <c r="A37" s="8">
        <v>34698</v>
      </c>
      <c r="B37">
        <v>0.84599999999999997</v>
      </c>
    </row>
    <row r="38" spans="1:2" x14ac:dyDescent="0.25">
      <c r="A38" s="8">
        <v>34730</v>
      </c>
      <c r="B38">
        <v>0.84099999999999997</v>
      </c>
    </row>
    <row r="39" spans="1:2" x14ac:dyDescent="0.25">
      <c r="A39" s="8">
        <v>34758</v>
      </c>
      <c r="B39">
        <v>0.85</v>
      </c>
    </row>
    <row r="40" spans="1:2" x14ac:dyDescent="0.25">
      <c r="A40" s="8">
        <v>34789</v>
      </c>
      <c r="B40">
        <v>0.89500000000000002</v>
      </c>
    </row>
    <row r="41" spans="1:2" x14ac:dyDescent="0.25">
      <c r="A41" s="8">
        <v>34817</v>
      </c>
      <c r="B41">
        <v>0.91200000000000003</v>
      </c>
    </row>
    <row r="42" spans="1:2" x14ac:dyDescent="0.25">
      <c r="A42" s="8">
        <v>34850</v>
      </c>
      <c r="B42">
        <v>0.90749999999999997</v>
      </c>
    </row>
    <row r="43" spans="1:2" x14ac:dyDescent="0.25">
      <c r="A43" s="8">
        <v>34880</v>
      </c>
      <c r="B43">
        <v>0.92100000000000004</v>
      </c>
    </row>
    <row r="44" spans="1:2" x14ac:dyDescent="0.25">
      <c r="A44" s="8">
        <v>34911</v>
      </c>
      <c r="B44">
        <v>0.93500000000000005</v>
      </c>
    </row>
    <row r="45" spans="1:2" x14ac:dyDescent="0.25">
      <c r="A45" s="8">
        <v>34942</v>
      </c>
      <c r="B45">
        <v>0.95</v>
      </c>
    </row>
    <row r="46" spans="1:2" x14ac:dyDescent="0.25">
      <c r="A46" s="8">
        <v>34971</v>
      </c>
      <c r="B46">
        <v>0.95299999999999996</v>
      </c>
    </row>
    <row r="47" spans="1:2" x14ac:dyDescent="0.25">
      <c r="A47" s="8">
        <v>35003</v>
      </c>
      <c r="B47">
        <v>0.96140000000000003</v>
      </c>
    </row>
    <row r="48" spans="1:2" x14ac:dyDescent="0.25">
      <c r="A48" s="8">
        <v>35033</v>
      </c>
      <c r="B48">
        <v>0.96599999999999997</v>
      </c>
    </row>
    <row r="49" spans="1:2" x14ac:dyDescent="0.25">
      <c r="A49" s="8">
        <v>35062</v>
      </c>
      <c r="B49">
        <v>0.97170000000000001</v>
      </c>
    </row>
    <row r="50" spans="1:2" x14ac:dyDescent="0.25">
      <c r="A50" s="8">
        <v>35095</v>
      </c>
      <c r="B50">
        <v>0.97819999999999996</v>
      </c>
    </row>
    <row r="51" spans="1:2" x14ac:dyDescent="0.25">
      <c r="A51" s="8">
        <v>35124</v>
      </c>
      <c r="B51">
        <v>0.98250000000000004</v>
      </c>
    </row>
    <row r="52" spans="1:2" x14ac:dyDescent="0.25">
      <c r="A52" s="8">
        <v>35153</v>
      </c>
      <c r="B52">
        <v>0.98719999999999997</v>
      </c>
    </row>
    <row r="53" spans="1:2" x14ac:dyDescent="0.25">
      <c r="A53" s="8">
        <v>35185</v>
      </c>
      <c r="B53">
        <v>0.99209999999999998</v>
      </c>
    </row>
    <row r="54" spans="1:2" x14ac:dyDescent="0.25">
      <c r="A54" s="8">
        <v>35216</v>
      </c>
      <c r="B54">
        <v>0.99809999999999999</v>
      </c>
    </row>
    <row r="55" spans="1:2" x14ac:dyDescent="0.25">
      <c r="A55" s="8">
        <v>35244</v>
      </c>
      <c r="B55">
        <v>1.004</v>
      </c>
    </row>
    <row r="56" spans="1:2" x14ac:dyDescent="0.25">
      <c r="A56" s="8">
        <v>35277</v>
      </c>
      <c r="B56">
        <v>1.0123</v>
      </c>
    </row>
    <row r="57" spans="1:2" x14ac:dyDescent="0.25">
      <c r="A57" s="8">
        <v>35307</v>
      </c>
      <c r="B57">
        <v>1.0165</v>
      </c>
    </row>
    <row r="58" spans="1:2" x14ac:dyDescent="0.25">
      <c r="A58" s="8">
        <v>35338</v>
      </c>
      <c r="B58">
        <v>1.0210999999999999</v>
      </c>
    </row>
    <row r="59" spans="1:2" x14ac:dyDescent="0.25">
      <c r="A59" s="8">
        <v>35369</v>
      </c>
      <c r="B59">
        <v>1.0271999999999999</v>
      </c>
    </row>
    <row r="60" spans="1:2" x14ac:dyDescent="0.25">
      <c r="A60" s="8">
        <v>35398</v>
      </c>
      <c r="B60">
        <v>1.0327999999999999</v>
      </c>
    </row>
    <row r="61" spans="1:2" x14ac:dyDescent="0.25">
      <c r="A61" s="8">
        <v>35430</v>
      </c>
      <c r="B61">
        <v>1.0385</v>
      </c>
    </row>
    <row r="62" spans="1:2" x14ac:dyDescent="0.25">
      <c r="A62" s="8">
        <v>35461</v>
      </c>
      <c r="B62">
        <v>1.0456000000000001</v>
      </c>
    </row>
    <row r="63" spans="1:2" x14ac:dyDescent="0.25">
      <c r="A63" s="8">
        <v>35489</v>
      </c>
      <c r="B63">
        <v>1.0509999999999999</v>
      </c>
    </row>
    <row r="64" spans="1:2" x14ac:dyDescent="0.25">
      <c r="A64" s="8">
        <v>35520</v>
      </c>
      <c r="B64">
        <v>1.0595000000000001</v>
      </c>
    </row>
    <row r="65" spans="1:2" x14ac:dyDescent="0.25">
      <c r="A65" s="8">
        <v>35550</v>
      </c>
      <c r="B65">
        <v>1.0634999999999999</v>
      </c>
    </row>
    <row r="66" spans="1:2" x14ac:dyDescent="0.25">
      <c r="A66" s="8">
        <v>35580</v>
      </c>
      <c r="B66">
        <v>1.0703</v>
      </c>
    </row>
    <row r="67" spans="1:2" x14ac:dyDescent="0.25">
      <c r="A67" s="8">
        <v>35611</v>
      </c>
      <c r="B67">
        <v>1.0766</v>
      </c>
    </row>
    <row r="68" spans="1:2" x14ac:dyDescent="0.25">
      <c r="A68" s="8">
        <v>35642</v>
      </c>
      <c r="B68">
        <v>1.083</v>
      </c>
    </row>
    <row r="69" spans="1:2" x14ac:dyDescent="0.25">
      <c r="A69" s="8">
        <v>35671</v>
      </c>
      <c r="B69">
        <v>1.0912999999999999</v>
      </c>
    </row>
    <row r="70" spans="1:2" x14ac:dyDescent="0.25">
      <c r="A70" s="8">
        <v>35703</v>
      </c>
      <c r="B70">
        <v>1.0960000000000001</v>
      </c>
    </row>
    <row r="71" spans="1:2" x14ac:dyDescent="0.25">
      <c r="A71" s="8">
        <v>35734</v>
      </c>
      <c r="B71">
        <v>1.1027</v>
      </c>
    </row>
    <row r="72" spans="1:2" x14ac:dyDescent="0.25">
      <c r="A72" s="8">
        <v>35762</v>
      </c>
      <c r="B72">
        <v>1.1094999999999999</v>
      </c>
    </row>
    <row r="73" spans="1:2" x14ac:dyDescent="0.25">
      <c r="A73" s="8">
        <v>35795</v>
      </c>
      <c r="B73">
        <v>1.1160000000000001</v>
      </c>
    </row>
    <row r="74" spans="1:2" x14ac:dyDescent="0.25">
      <c r="A74" s="8">
        <v>35825</v>
      </c>
      <c r="B74">
        <v>1.1234</v>
      </c>
    </row>
    <row r="75" spans="1:2" x14ac:dyDescent="0.25">
      <c r="A75" s="8">
        <v>35853</v>
      </c>
      <c r="B75">
        <v>1.1299999999999999</v>
      </c>
    </row>
    <row r="76" spans="1:2" x14ac:dyDescent="0.25">
      <c r="A76" s="8">
        <v>35885</v>
      </c>
      <c r="B76">
        <v>1.137</v>
      </c>
    </row>
    <row r="77" spans="1:2" x14ac:dyDescent="0.25">
      <c r="A77" s="8">
        <v>35915</v>
      </c>
      <c r="B77">
        <v>1.1443000000000001</v>
      </c>
    </row>
    <row r="78" spans="1:2" x14ac:dyDescent="0.25">
      <c r="A78" s="8">
        <v>35944</v>
      </c>
      <c r="B78">
        <v>1.1500999999999999</v>
      </c>
    </row>
    <row r="79" spans="1:2" x14ac:dyDescent="0.25">
      <c r="A79" s="8">
        <v>35976</v>
      </c>
      <c r="B79">
        <v>1.1565000000000001</v>
      </c>
    </row>
    <row r="80" spans="1:2" x14ac:dyDescent="0.25">
      <c r="A80" s="8">
        <v>36007</v>
      </c>
      <c r="B80">
        <v>1.163</v>
      </c>
    </row>
    <row r="81" spans="1:2" x14ac:dyDescent="0.25">
      <c r="A81" s="8">
        <v>36038</v>
      </c>
      <c r="B81">
        <v>1.1765000000000001</v>
      </c>
    </row>
    <row r="82" spans="1:2" x14ac:dyDescent="0.25">
      <c r="A82" s="8">
        <v>36068</v>
      </c>
      <c r="B82">
        <v>1.1856</v>
      </c>
    </row>
    <row r="83" spans="1:2" x14ac:dyDescent="0.25">
      <c r="A83" s="8">
        <v>36098</v>
      </c>
      <c r="B83">
        <v>1.1928000000000001</v>
      </c>
    </row>
    <row r="84" spans="1:2" x14ac:dyDescent="0.25">
      <c r="A84" s="8">
        <v>36129</v>
      </c>
      <c r="B84">
        <v>1.2008000000000001</v>
      </c>
    </row>
    <row r="85" spans="1:2" x14ac:dyDescent="0.25">
      <c r="A85" s="8">
        <v>36160</v>
      </c>
      <c r="B85">
        <v>1.2082999999999999</v>
      </c>
    </row>
    <row r="86" spans="1:2" x14ac:dyDescent="0.25">
      <c r="A86" s="8">
        <v>36189</v>
      </c>
      <c r="B86">
        <v>2.0499999999999998</v>
      </c>
    </row>
    <row r="87" spans="1:2" x14ac:dyDescent="0.25">
      <c r="A87" s="8">
        <v>36217</v>
      </c>
      <c r="B87">
        <v>2.0350000000000001</v>
      </c>
    </row>
    <row r="88" spans="1:2" x14ac:dyDescent="0.25">
      <c r="A88" s="8">
        <v>36250</v>
      </c>
      <c r="B88">
        <v>1.7175</v>
      </c>
    </row>
    <row r="89" spans="1:2" x14ac:dyDescent="0.25">
      <c r="A89" s="8">
        <v>36280</v>
      </c>
      <c r="B89">
        <v>1.665</v>
      </c>
    </row>
    <row r="90" spans="1:2" x14ac:dyDescent="0.25">
      <c r="A90" s="8">
        <v>36311</v>
      </c>
      <c r="B90">
        <v>1.7210000000000001</v>
      </c>
    </row>
    <row r="91" spans="1:2" x14ac:dyDescent="0.25">
      <c r="A91" s="8">
        <v>36341</v>
      </c>
      <c r="B91">
        <v>1.7524999999999999</v>
      </c>
    </row>
    <row r="92" spans="1:2" x14ac:dyDescent="0.25">
      <c r="A92" s="8">
        <v>36371</v>
      </c>
      <c r="B92">
        <v>1.8009999999999999</v>
      </c>
    </row>
    <row r="93" spans="1:2" x14ac:dyDescent="0.25">
      <c r="A93" s="8">
        <v>36403</v>
      </c>
      <c r="B93">
        <v>1.919</v>
      </c>
    </row>
    <row r="94" spans="1:2" x14ac:dyDescent="0.25">
      <c r="A94" s="8">
        <v>36433</v>
      </c>
      <c r="B94">
        <v>1.9375</v>
      </c>
    </row>
    <row r="95" spans="1:2" x14ac:dyDescent="0.25">
      <c r="A95" s="8">
        <v>36462</v>
      </c>
      <c r="B95">
        <v>1.9490000000000001</v>
      </c>
    </row>
    <row r="96" spans="1:2" x14ac:dyDescent="0.25">
      <c r="A96" s="8">
        <v>36494</v>
      </c>
      <c r="B96">
        <v>1.923</v>
      </c>
    </row>
    <row r="97" spans="1:2" x14ac:dyDescent="0.25">
      <c r="A97" s="8">
        <v>36525</v>
      </c>
      <c r="B97">
        <v>1.7989999999999999</v>
      </c>
    </row>
    <row r="98" spans="1:2" x14ac:dyDescent="0.25">
      <c r="A98" s="8">
        <v>36556</v>
      </c>
      <c r="B98">
        <v>1.784</v>
      </c>
    </row>
    <row r="99" spans="1:2" x14ac:dyDescent="0.25">
      <c r="A99" s="8">
        <v>36585</v>
      </c>
      <c r="B99">
        <v>1.7665</v>
      </c>
    </row>
    <row r="100" spans="1:2" x14ac:dyDescent="0.25">
      <c r="A100" s="8">
        <v>36616</v>
      </c>
      <c r="B100">
        <v>1.736</v>
      </c>
    </row>
    <row r="101" spans="1:2" x14ac:dyDescent="0.25">
      <c r="A101" s="8">
        <v>36644</v>
      </c>
      <c r="B101">
        <v>1.8069999999999999</v>
      </c>
    </row>
    <row r="102" spans="1:2" x14ac:dyDescent="0.25">
      <c r="A102" s="8">
        <v>36677</v>
      </c>
      <c r="B102">
        <v>1.8240000000000001</v>
      </c>
    </row>
    <row r="103" spans="1:2" x14ac:dyDescent="0.25">
      <c r="A103" s="8">
        <v>36707</v>
      </c>
      <c r="B103">
        <v>1.806</v>
      </c>
    </row>
    <row r="104" spans="1:2" x14ac:dyDescent="0.25">
      <c r="A104" s="8">
        <v>36738</v>
      </c>
      <c r="B104">
        <v>1.7815000000000001</v>
      </c>
    </row>
    <row r="105" spans="1:2" x14ac:dyDescent="0.25">
      <c r="A105" s="8">
        <v>36769</v>
      </c>
      <c r="B105">
        <v>1.8234999999999999</v>
      </c>
    </row>
    <row r="106" spans="1:2" x14ac:dyDescent="0.25">
      <c r="A106" s="8">
        <v>36798</v>
      </c>
      <c r="B106">
        <v>1.8440000000000001</v>
      </c>
    </row>
    <row r="107" spans="1:2" x14ac:dyDescent="0.25">
      <c r="A107" s="8">
        <v>36830</v>
      </c>
      <c r="B107">
        <v>1.901</v>
      </c>
    </row>
    <row r="108" spans="1:2" x14ac:dyDescent="0.25">
      <c r="A108" s="8">
        <v>36860</v>
      </c>
      <c r="B108">
        <v>1.98</v>
      </c>
    </row>
    <row r="109" spans="1:2" x14ac:dyDescent="0.25">
      <c r="A109" s="8">
        <v>36889</v>
      </c>
      <c r="B109">
        <v>1.95</v>
      </c>
    </row>
    <row r="110" spans="1:2" x14ac:dyDescent="0.25">
      <c r="A110" s="8">
        <v>36922</v>
      </c>
      <c r="B110">
        <v>1.972</v>
      </c>
    </row>
    <row r="111" spans="1:2" x14ac:dyDescent="0.25">
      <c r="A111" s="8">
        <v>36950</v>
      </c>
      <c r="B111">
        <v>2.0459999999999998</v>
      </c>
    </row>
    <row r="112" spans="1:2" x14ac:dyDescent="0.25">
      <c r="A112" s="8">
        <v>36980</v>
      </c>
      <c r="B112">
        <v>2.1524999999999999</v>
      </c>
    </row>
    <row r="113" spans="1:2" x14ac:dyDescent="0.25">
      <c r="A113" s="8">
        <v>37011</v>
      </c>
      <c r="B113">
        <v>2.2000000000000002</v>
      </c>
    </row>
    <row r="114" spans="1:2" x14ac:dyDescent="0.25">
      <c r="A114" s="8">
        <v>37042</v>
      </c>
      <c r="B114">
        <v>2.3820000000000001</v>
      </c>
    </row>
    <row r="115" spans="1:2" x14ac:dyDescent="0.25">
      <c r="A115" s="8">
        <v>37071</v>
      </c>
      <c r="B115">
        <v>2.3105000000000002</v>
      </c>
    </row>
    <row r="116" spans="1:2" x14ac:dyDescent="0.25">
      <c r="A116" s="8">
        <v>37103</v>
      </c>
      <c r="B116">
        <v>2.4664999999999999</v>
      </c>
    </row>
    <row r="117" spans="1:2" x14ac:dyDescent="0.25">
      <c r="A117" s="8">
        <v>37134</v>
      </c>
      <c r="B117">
        <v>2.5634999999999999</v>
      </c>
    </row>
    <row r="118" spans="1:2" x14ac:dyDescent="0.25">
      <c r="A118" s="8">
        <v>37162</v>
      </c>
      <c r="B118">
        <v>2.67</v>
      </c>
    </row>
    <row r="119" spans="1:2" x14ac:dyDescent="0.25">
      <c r="A119" s="8">
        <v>37195</v>
      </c>
      <c r="B119">
        <v>2.6964999999999999</v>
      </c>
    </row>
    <row r="120" spans="1:2" x14ac:dyDescent="0.25">
      <c r="A120" s="8">
        <v>37225</v>
      </c>
      <c r="B120">
        <v>2.4984999999999999</v>
      </c>
    </row>
    <row r="121" spans="1:2" x14ac:dyDescent="0.25">
      <c r="A121" s="8">
        <v>37256</v>
      </c>
      <c r="B121">
        <v>2.3105000000000002</v>
      </c>
    </row>
    <row r="122" spans="1:2" x14ac:dyDescent="0.25">
      <c r="A122" s="8">
        <v>37287</v>
      </c>
      <c r="B122">
        <v>2.4129999999999998</v>
      </c>
    </row>
    <row r="123" spans="1:2" x14ac:dyDescent="0.25">
      <c r="A123" s="8">
        <v>37315</v>
      </c>
      <c r="B123">
        <v>2.3635000000000002</v>
      </c>
    </row>
    <row r="124" spans="1:2" x14ac:dyDescent="0.25">
      <c r="A124" s="8">
        <v>37344</v>
      </c>
      <c r="B124">
        <v>2.3250000000000002</v>
      </c>
    </row>
    <row r="125" spans="1:2" x14ac:dyDescent="0.25">
      <c r="A125" s="8">
        <v>37376</v>
      </c>
      <c r="B125">
        <v>2.3610000000000002</v>
      </c>
    </row>
    <row r="126" spans="1:2" x14ac:dyDescent="0.25">
      <c r="A126" s="8">
        <v>37407</v>
      </c>
      <c r="B126">
        <v>2.5129999999999999</v>
      </c>
    </row>
    <row r="127" spans="1:2" x14ac:dyDescent="0.25">
      <c r="A127" s="8">
        <v>37435</v>
      </c>
      <c r="B127">
        <v>2.8174999999999999</v>
      </c>
    </row>
    <row r="128" spans="1:2" x14ac:dyDescent="0.25">
      <c r="A128" s="8">
        <v>37468</v>
      </c>
      <c r="B128">
        <v>3.46</v>
      </c>
    </row>
    <row r="129" spans="1:2" x14ac:dyDescent="0.25">
      <c r="A129" s="8">
        <v>37498</v>
      </c>
      <c r="B129">
        <v>3.0059999999999998</v>
      </c>
    </row>
    <row r="130" spans="1:2" x14ac:dyDescent="0.25">
      <c r="A130" s="8">
        <v>37529</v>
      </c>
      <c r="B130">
        <v>3.7395</v>
      </c>
    </row>
    <row r="131" spans="1:2" x14ac:dyDescent="0.25">
      <c r="A131" s="8">
        <v>37560</v>
      </c>
      <c r="B131">
        <v>3.63</v>
      </c>
    </row>
    <row r="132" spans="1:2" x14ac:dyDescent="0.25">
      <c r="A132" s="8">
        <v>37589</v>
      </c>
      <c r="B132">
        <v>3.653</v>
      </c>
    </row>
    <row r="133" spans="1:2" x14ac:dyDescent="0.25">
      <c r="A133" s="8">
        <v>37621</v>
      </c>
      <c r="B133">
        <v>3.54</v>
      </c>
    </row>
    <row r="134" spans="1:2" x14ac:dyDescent="0.25">
      <c r="A134" s="8">
        <v>37652</v>
      </c>
      <c r="B134">
        <v>3.4975000000000001</v>
      </c>
    </row>
    <row r="135" spans="1:2" x14ac:dyDescent="0.25">
      <c r="A135" s="8">
        <v>37680</v>
      </c>
      <c r="B135">
        <v>3.5684999999999998</v>
      </c>
    </row>
    <row r="136" spans="1:2" x14ac:dyDescent="0.25">
      <c r="A136" s="8">
        <v>37711</v>
      </c>
      <c r="B136">
        <v>3.3525</v>
      </c>
    </row>
    <row r="137" spans="1:2" x14ac:dyDescent="0.25">
      <c r="A137" s="8">
        <v>37741</v>
      </c>
      <c r="B137">
        <v>2.9104999999999999</v>
      </c>
    </row>
    <row r="138" spans="1:2" x14ac:dyDescent="0.25">
      <c r="A138" s="8">
        <v>37771</v>
      </c>
      <c r="B138">
        <v>2.9674999999999998</v>
      </c>
    </row>
    <row r="139" spans="1:2" x14ac:dyDescent="0.25">
      <c r="A139" s="8">
        <v>37802</v>
      </c>
      <c r="B139">
        <v>2.8439999999999999</v>
      </c>
    </row>
    <row r="140" spans="1:2" x14ac:dyDescent="0.25">
      <c r="A140" s="8">
        <v>37833</v>
      </c>
      <c r="B140">
        <v>2.9660000000000002</v>
      </c>
    </row>
    <row r="141" spans="1:2" x14ac:dyDescent="0.25">
      <c r="A141" s="8">
        <v>37862</v>
      </c>
      <c r="B141">
        <v>2.976</v>
      </c>
    </row>
    <row r="142" spans="1:2" x14ac:dyDescent="0.25">
      <c r="A142" s="8">
        <v>37894</v>
      </c>
      <c r="B142">
        <v>2.9</v>
      </c>
    </row>
    <row r="143" spans="1:2" x14ac:dyDescent="0.25">
      <c r="A143" s="8">
        <v>37925</v>
      </c>
      <c r="B143">
        <v>2.8675000000000002</v>
      </c>
    </row>
    <row r="144" spans="1:2" x14ac:dyDescent="0.25">
      <c r="A144" s="8">
        <v>37953</v>
      </c>
      <c r="B144">
        <v>2.9460000000000002</v>
      </c>
    </row>
    <row r="145" spans="1:2" x14ac:dyDescent="0.25">
      <c r="A145" s="8">
        <v>37986</v>
      </c>
      <c r="B145">
        <v>2.8915000000000002</v>
      </c>
    </row>
    <row r="146" spans="1:2" x14ac:dyDescent="0.25">
      <c r="A146" s="8">
        <v>38016</v>
      </c>
      <c r="B146">
        <v>2.9344999999999999</v>
      </c>
    </row>
    <row r="147" spans="1:2" x14ac:dyDescent="0.25">
      <c r="A147" s="8">
        <v>38044</v>
      </c>
      <c r="B147">
        <v>2.9058999999999999</v>
      </c>
    </row>
    <row r="148" spans="1:2" x14ac:dyDescent="0.25">
      <c r="A148" s="8">
        <v>38077</v>
      </c>
      <c r="B148">
        <v>2.8953000000000002</v>
      </c>
    </row>
    <row r="149" spans="1:2" x14ac:dyDescent="0.25">
      <c r="A149" s="8">
        <v>38107</v>
      </c>
      <c r="B149">
        <v>2.9329999999999998</v>
      </c>
    </row>
    <row r="150" spans="1:2" x14ac:dyDescent="0.25">
      <c r="A150" s="8">
        <v>38138</v>
      </c>
      <c r="B150">
        <v>3.1890000000000001</v>
      </c>
    </row>
    <row r="151" spans="1:2" x14ac:dyDescent="0.25">
      <c r="A151" s="8">
        <v>38168</v>
      </c>
      <c r="B151">
        <v>3.085</v>
      </c>
    </row>
    <row r="152" spans="1:2" x14ac:dyDescent="0.25">
      <c r="A152" s="8">
        <v>38198</v>
      </c>
      <c r="B152">
        <v>3.0365000000000002</v>
      </c>
    </row>
    <row r="153" spans="1:2" x14ac:dyDescent="0.25">
      <c r="A153" s="8">
        <v>38230</v>
      </c>
      <c r="B153">
        <v>2.927</v>
      </c>
    </row>
    <row r="154" spans="1:2" x14ac:dyDescent="0.25">
      <c r="A154" s="8">
        <v>38260</v>
      </c>
      <c r="B154">
        <v>2.8607999999999998</v>
      </c>
    </row>
    <row r="155" spans="1:2" x14ac:dyDescent="0.25">
      <c r="A155" s="8">
        <v>38289</v>
      </c>
      <c r="B155">
        <v>2.8570000000000002</v>
      </c>
    </row>
    <row r="156" spans="1:2" x14ac:dyDescent="0.25">
      <c r="A156" s="8">
        <v>38321</v>
      </c>
      <c r="B156">
        <v>2.72</v>
      </c>
    </row>
    <row r="157" spans="1:2" x14ac:dyDescent="0.25">
      <c r="A157" s="8">
        <v>38352</v>
      </c>
      <c r="B157">
        <v>2.6560000000000001</v>
      </c>
    </row>
    <row r="158" spans="1:2" x14ac:dyDescent="0.25">
      <c r="A158" s="8">
        <v>38383</v>
      </c>
      <c r="B158">
        <v>2.6088</v>
      </c>
    </row>
    <row r="159" spans="1:2" x14ac:dyDescent="0.25">
      <c r="A159" s="8">
        <v>38411</v>
      </c>
      <c r="B159">
        <v>2.5874999999999999</v>
      </c>
    </row>
    <row r="160" spans="1:2" x14ac:dyDescent="0.25">
      <c r="A160" s="8">
        <v>38442</v>
      </c>
      <c r="B160">
        <v>2.6789999999999998</v>
      </c>
    </row>
    <row r="161" spans="1:2" x14ac:dyDescent="0.25">
      <c r="A161" s="8">
        <v>38471</v>
      </c>
      <c r="B161">
        <v>2.528</v>
      </c>
    </row>
    <row r="162" spans="1:2" x14ac:dyDescent="0.25">
      <c r="A162" s="8">
        <v>38503</v>
      </c>
      <c r="B162">
        <v>2.4076</v>
      </c>
    </row>
    <row r="163" spans="1:2" x14ac:dyDescent="0.25">
      <c r="A163" s="8">
        <v>38533</v>
      </c>
      <c r="B163">
        <v>2.3325</v>
      </c>
    </row>
    <row r="164" spans="1:2" x14ac:dyDescent="0.25">
      <c r="A164" s="8">
        <v>38562</v>
      </c>
      <c r="B164">
        <v>2.3786999999999998</v>
      </c>
    </row>
    <row r="165" spans="1:2" x14ac:dyDescent="0.25">
      <c r="A165" s="8">
        <v>38595</v>
      </c>
      <c r="B165">
        <v>2.3570000000000002</v>
      </c>
    </row>
    <row r="166" spans="1:2" x14ac:dyDescent="0.25">
      <c r="A166" s="8">
        <v>38625</v>
      </c>
      <c r="B166">
        <v>2.2275</v>
      </c>
    </row>
    <row r="167" spans="1:2" x14ac:dyDescent="0.25">
      <c r="A167" s="8">
        <v>38656</v>
      </c>
      <c r="B167">
        <v>2.2517999999999998</v>
      </c>
    </row>
    <row r="168" spans="1:2" x14ac:dyDescent="0.25">
      <c r="A168" s="8">
        <v>38686</v>
      </c>
      <c r="B168">
        <v>2.2035</v>
      </c>
    </row>
    <row r="169" spans="1:2" x14ac:dyDescent="0.25">
      <c r="A169" s="8">
        <v>38716</v>
      </c>
      <c r="B169">
        <v>2.3355000000000001</v>
      </c>
    </row>
    <row r="170" spans="1:2" x14ac:dyDescent="0.25">
      <c r="A170" s="8">
        <v>38748</v>
      </c>
      <c r="B170">
        <v>2.2120000000000002</v>
      </c>
    </row>
    <row r="171" spans="1:2" x14ac:dyDescent="0.25">
      <c r="A171" s="8">
        <v>38776</v>
      </c>
      <c r="B171">
        <v>2.1234999999999999</v>
      </c>
    </row>
    <row r="172" spans="1:2" x14ac:dyDescent="0.25">
      <c r="A172" s="8">
        <v>38807</v>
      </c>
      <c r="B172">
        <v>2.1640000000000001</v>
      </c>
    </row>
    <row r="173" spans="1:2" x14ac:dyDescent="0.25">
      <c r="A173" s="8">
        <v>38835</v>
      </c>
      <c r="B173">
        <v>2.0870000000000002</v>
      </c>
    </row>
    <row r="174" spans="1:2" x14ac:dyDescent="0.25">
      <c r="A174" s="8">
        <v>38868</v>
      </c>
      <c r="B174">
        <v>2.3069999999999999</v>
      </c>
    </row>
    <row r="175" spans="1:2" x14ac:dyDescent="0.25">
      <c r="A175" s="8">
        <v>38898</v>
      </c>
      <c r="B175">
        <v>2.165</v>
      </c>
    </row>
    <row r="176" spans="1:2" x14ac:dyDescent="0.25">
      <c r="A176" s="8">
        <v>38929</v>
      </c>
      <c r="B176">
        <v>2.177</v>
      </c>
    </row>
    <row r="177" spans="1:2" x14ac:dyDescent="0.25">
      <c r="A177" s="8">
        <v>38960</v>
      </c>
      <c r="B177">
        <v>2.145</v>
      </c>
    </row>
    <row r="178" spans="1:2" x14ac:dyDescent="0.25">
      <c r="A178" s="8">
        <v>38989</v>
      </c>
      <c r="B178">
        <v>2.169</v>
      </c>
    </row>
    <row r="179" spans="1:2" x14ac:dyDescent="0.25">
      <c r="A179" s="8">
        <v>39021</v>
      </c>
      <c r="B179">
        <v>2.1417999999999999</v>
      </c>
    </row>
    <row r="180" spans="1:2" x14ac:dyDescent="0.25">
      <c r="A180" s="8">
        <v>39051</v>
      </c>
      <c r="B180">
        <v>2.1648999999999998</v>
      </c>
    </row>
    <row r="181" spans="1:2" x14ac:dyDescent="0.25">
      <c r="A181" s="8">
        <v>39080</v>
      </c>
      <c r="B181">
        <v>2.1364000000000001</v>
      </c>
    </row>
    <row r="182" spans="1:2" x14ac:dyDescent="0.25">
      <c r="A182" s="8">
        <v>39113</v>
      </c>
      <c r="B182">
        <v>2.1229</v>
      </c>
    </row>
    <row r="183" spans="1:2" x14ac:dyDescent="0.25">
      <c r="A183" s="8">
        <v>39141</v>
      </c>
      <c r="B183">
        <v>2.1204999999999998</v>
      </c>
    </row>
    <row r="184" spans="1:2" x14ac:dyDescent="0.25">
      <c r="A184" s="8">
        <v>39171</v>
      </c>
      <c r="B184">
        <v>2.0594000000000001</v>
      </c>
    </row>
    <row r="185" spans="1:2" x14ac:dyDescent="0.25">
      <c r="A185" s="8">
        <v>39202</v>
      </c>
      <c r="B185">
        <v>2.0345</v>
      </c>
    </row>
    <row r="186" spans="1:2" x14ac:dyDescent="0.25">
      <c r="A186" s="8">
        <v>39233</v>
      </c>
      <c r="B186">
        <v>1.9246000000000001</v>
      </c>
    </row>
    <row r="187" spans="1:2" x14ac:dyDescent="0.25">
      <c r="A187" s="8">
        <v>39262</v>
      </c>
      <c r="B187">
        <v>1.929</v>
      </c>
    </row>
    <row r="188" spans="1:2" x14ac:dyDescent="0.25">
      <c r="A188" s="8">
        <v>39294</v>
      </c>
      <c r="B188">
        <v>1.8825000000000001</v>
      </c>
    </row>
    <row r="189" spans="1:2" x14ac:dyDescent="0.25">
      <c r="A189" s="8">
        <v>39325</v>
      </c>
      <c r="B189">
        <v>1.9619</v>
      </c>
    </row>
    <row r="190" spans="1:2" x14ac:dyDescent="0.25">
      <c r="A190" s="8">
        <v>39353</v>
      </c>
      <c r="B190">
        <v>1.8335999999999999</v>
      </c>
    </row>
    <row r="191" spans="1:2" x14ac:dyDescent="0.25">
      <c r="A191" s="8">
        <v>39386</v>
      </c>
      <c r="B191">
        <v>1.736</v>
      </c>
    </row>
    <row r="192" spans="1:2" x14ac:dyDescent="0.25">
      <c r="A192" s="8">
        <v>39416</v>
      </c>
      <c r="B192">
        <v>1.7924</v>
      </c>
    </row>
    <row r="193" spans="1:2" x14ac:dyDescent="0.25">
      <c r="A193" s="8">
        <v>39447</v>
      </c>
      <c r="B193">
        <v>1.78</v>
      </c>
    </row>
    <row r="194" spans="1:2" x14ac:dyDescent="0.25">
      <c r="A194" s="8">
        <v>39478</v>
      </c>
      <c r="B194">
        <v>1.7592000000000001</v>
      </c>
    </row>
    <row r="195" spans="1:2" x14ac:dyDescent="0.25">
      <c r="A195" s="8">
        <v>39507</v>
      </c>
      <c r="B195">
        <v>1.6907000000000001</v>
      </c>
    </row>
    <row r="196" spans="1:2" x14ac:dyDescent="0.25">
      <c r="A196" s="8">
        <v>39538</v>
      </c>
      <c r="B196">
        <v>1.7519</v>
      </c>
    </row>
    <row r="197" spans="1:2" x14ac:dyDescent="0.25">
      <c r="A197" s="8">
        <v>39568</v>
      </c>
      <c r="B197">
        <v>1.6629</v>
      </c>
    </row>
    <row r="198" spans="1:2" x14ac:dyDescent="0.25">
      <c r="A198" s="8">
        <v>39598</v>
      </c>
      <c r="B198">
        <v>1.627</v>
      </c>
    </row>
    <row r="199" spans="1:2" x14ac:dyDescent="0.25">
      <c r="A199" s="8">
        <v>39629</v>
      </c>
      <c r="B199">
        <v>1.6036999999999999</v>
      </c>
    </row>
    <row r="200" spans="1:2" x14ac:dyDescent="0.25">
      <c r="A200" s="8">
        <v>39660</v>
      </c>
      <c r="B200">
        <v>1.5653999999999999</v>
      </c>
    </row>
    <row r="201" spans="1:2" x14ac:dyDescent="0.25">
      <c r="A201" s="8">
        <v>39689</v>
      </c>
      <c r="B201">
        <v>1.6315</v>
      </c>
    </row>
    <row r="202" spans="1:2" x14ac:dyDescent="0.25">
      <c r="A202" s="8">
        <v>39721</v>
      </c>
      <c r="B202">
        <v>1.9046000000000001</v>
      </c>
    </row>
    <row r="203" spans="1:2" x14ac:dyDescent="0.25">
      <c r="A203" s="8">
        <v>39752</v>
      </c>
      <c r="B203">
        <v>2.1589999999999998</v>
      </c>
    </row>
    <row r="204" spans="1:2" x14ac:dyDescent="0.25">
      <c r="A204" s="8">
        <v>39780</v>
      </c>
      <c r="B204">
        <v>2.3062999999999998</v>
      </c>
    </row>
    <row r="205" spans="1:2" x14ac:dyDescent="0.25">
      <c r="A205" s="8">
        <v>39813</v>
      </c>
      <c r="B205">
        <v>2.3144999999999998</v>
      </c>
    </row>
    <row r="206" spans="1:2" x14ac:dyDescent="0.25">
      <c r="A206" s="8">
        <v>39843</v>
      </c>
      <c r="B206">
        <v>2.323</v>
      </c>
    </row>
    <row r="207" spans="1:2" x14ac:dyDescent="0.25">
      <c r="A207" s="8">
        <v>39871</v>
      </c>
      <c r="B207">
        <v>2.3866000000000001</v>
      </c>
    </row>
    <row r="208" spans="1:2" x14ac:dyDescent="0.25">
      <c r="A208" s="8">
        <v>39903</v>
      </c>
      <c r="B208">
        <v>2.3228</v>
      </c>
    </row>
    <row r="209" spans="1:2" x14ac:dyDescent="0.25">
      <c r="A209" s="8">
        <v>39933</v>
      </c>
      <c r="B209">
        <v>2.1903999999999999</v>
      </c>
    </row>
    <row r="210" spans="1:2" x14ac:dyDescent="0.25">
      <c r="A210" s="8">
        <v>39962</v>
      </c>
      <c r="B210">
        <v>1.9702</v>
      </c>
    </row>
    <row r="211" spans="1:2" x14ac:dyDescent="0.25">
      <c r="A211" s="8">
        <v>39994</v>
      </c>
      <c r="B211">
        <v>1.9518</v>
      </c>
    </row>
    <row r="212" spans="1:2" x14ac:dyDescent="0.25">
      <c r="A212" s="8">
        <v>40025</v>
      </c>
      <c r="B212">
        <v>1.8651</v>
      </c>
    </row>
    <row r="213" spans="1:2" x14ac:dyDescent="0.25">
      <c r="A213" s="8">
        <v>40056</v>
      </c>
      <c r="B213">
        <v>1.8804000000000001</v>
      </c>
    </row>
    <row r="214" spans="1:2" x14ac:dyDescent="0.25">
      <c r="A214" s="8">
        <v>40086</v>
      </c>
      <c r="B214">
        <v>1.7669999999999999</v>
      </c>
    </row>
    <row r="215" spans="1:2" x14ac:dyDescent="0.25">
      <c r="A215" s="8">
        <v>40116</v>
      </c>
      <c r="B215">
        <v>1.7612000000000001</v>
      </c>
    </row>
    <row r="216" spans="1:2" x14ac:dyDescent="0.25">
      <c r="A216" s="8">
        <v>40147</v>
      </c>
      <c r="B216">
        <v>1.7557</v>
      </c>
    </row>
    <row r="217" spans="1:2" x14ac:dyDescent="0.25">
      <c r="A217" s="8">
        <v>40178</v>
      </c>
      <c r="B217">
        <v>1.7444999999999999</v>
      </c>
    </row>
    <row r="218" spans="1:2" x14ac:dyDescent="0.25">
      <c r="A218" s="8">
        <v>40207</v>
      </c>
      <c r="B218">
        <v>1.895</v>
      </c>
    </row>
    <row r="219" spans="1:2" x14ac:dyDescent="0.25">
      <c r="A219" s="8">
        <v>40235</v>
      </c>
      <c r="B219">
        <v>1.8076000000000001</v>
      </c>
    </row>
    <row r="220" spans="1:2" x14ac:dyDescent="0.25">
      <c r="A220" s="8">
        <v>40268</v>
      </c>
      <c r="B220">
        <v>1.7813000000000001</v>
      </c>
    </row>
    <row r="221" spans="1:2" x14ac:dyDescent="0.25">
      <c r="A221" s="8">
        <v>40298</v>
      </c>
      <c r="B221">
        <v>1.7394000000000001</v>
      </c>
    </row>
    <row r="222" spans="1:2" x14ac:dyDescent="0.25">
      <c r="A222" s="8">
        <v>40329</v>
      </c>
      <c r="B222">
        <v>1.8209</v>
      </c>
    </row>
    <row r="223" spans="1:2" x14ac:dyDescent="0.25">
      <c r="A223" s="8">
        <v>40359</v>
      </c>
      <c r="B223">
        <v>1.8047</v>
      </c>
    </row>
    <row r="224" spans="1:2" x14ac:dyDescent="0.25">
      <c r="A224" s="8">
        <v>40389</v>
      </c>
      <c r="B224">
        <v>1.7548999999999999</v>
      </c>
    </row>
    <row r="225" spans="1:2" x14ac:dyDescent="0.25">
      <c r="A225" s="8">
        <v>40421</v>
      </c>
      <c r="B225">
        <v>1.7559</v>
      </c>
    </row>
    <row r="226" spans="1:2" x14ac:dyDescent="0.25">
      <c r="A226" s="8">
        <v>40451</v>
      </c>
      <c r="B226">
        <v>1.7079</v>
      </c>
    </row>
    <row r="227" spans="1:2" x14ac:dyDescent="0.25">
      <c r="A227" s="8">
        <v>40480</v>
      </c>
      <c r="B227">
        <v>1.7019</v>
      </c>
    </row>
    <row r="228" spans="1:2" x14ac:dyDescent="0.25">
      <c r="A228" s="8">
        <v>40512</v>
      </c>
      <c r="B228">
        <v>1.7129000000000001</v>
      </c>
    </row>
    <row r="229" spans="1:2" x14ac:dyDescent="0.25">
      <c r="A229" s="8">
        <v>40543</v>
      </c>
      <c r="B229">
        <v>1.6613</v>
      </c>
    </row>
    <row r="230" spans="1:2" x14ac:dyDescent="0.25">
      <c r="A230" s="8">
        <v>40574</v>
      </c>
      <c r="B230">
        <v>1.6736</v>
      </c>
    </row>
    <row r="231" spans="1:2" x14ac:dyDescent="0.25">
      <c r="A231" s="8">
        <v>40602</v>
      </c>
      <c r="B231">
        <v>1.6632</v>
      </c>
    </row>
    <row r="232" spans="1:2" x14ac:dyDescent="0.25">
      <c r="A232" s="8">
        <v>40633</v>
      </c>
      <c r="B232">
        <v>1.6325000000000001</v>
      </c>
    </row>
    <row r="233" spans="1:2" x14ac:dyDescent="0.25">
      <c r="A233" s="8">
        <v>40662</v>
      </c>
      <c r="B233">
        <v>1.5743</v>
      </c>
    </row>
    <row r="234" spans="1:2" x14ac:dyDescent="0.25">
      <c r="A234" s="8">
        <v>40694</v>
      </c>
      <c r="B234">
        <v>1.5805</v>
      </c>
    </row>
    <row r="235" spans="1:2" x14ac:dyDescent="0.25">
      <c r="A235" s="8">
        <v>40724</v>
      </c>
      <c r="B235">
        <v>1.5634999999999999</v>
      </c>
    </row>
    <row r="236" spans="1:2" x14ac:dyDescent="0.25">
      <c r="A236" s="8">
        <v>40753</v>
      </c>
      <c r="B236">
        <v>1.5497000000000001</v>
      </c>
    </row>
    <row r="237" spans="1:2" x14ac:dyDescent="0.25">
      <c r="A237" s="8">
        <v>40786</v>
      </c>
      <c r="B237">
        <v>1.5895999999999999</v>
      </c>
    </row>
    <row r="238" spans="1:2" x14ac:dyDescent="0.25">
      <c r="A238" s="8">
        <v>40816</v>
      </c>
      <c r="B238">
        <v>1.8792</v>
      </c>
    </row>
    <row r="239" spans="1:2" x14ac:dyDescent="0.25">
      <c r="A239" s="8">
        <v>40847</v>
      </c>
      <c r="B239">
        <v>1.7173</v>
      </c>
    </row>
    <row r="240" spans="1:2" x14ac:dyDescent="0.25">
      <c r="A240" s="8">
        <v>40877</v>
      </c>
      <c r="B240">
        <v>1.8085</v>
      </c>
    </row>
    <row r="241" spans="1:2" x14ac:dyDescent="0.25">
      <c r="A241" s="8">
        <v>40907</v>
      </c>
      <c r="B241">
        <v>1.8663000000000001</v>
      </c>
    </row>
    <row r="242" spans="1:2" x14ac:dyDescent="0.25">
      <c r="A242" s="8">
        <v>40939</v>
      </c>
      <c r="B242">
        <v>1.7471000000000001</v>
      </c>
    </row>
    <row r="243" spans="1:2" x14ac:dyDescent="0.25">
      <c r="A243" s="8">
        <v>40968</v>
      </c>
      <c r="B243">
        <v>1.7177</v>
      </c>
    </row>
    <row r="244" spans="1:2" x14ac:dyDescent="0.25">
      <c r="A244" s="8">
        <v>40998</v>
      </c>
      <c r="B244">
        <v>1.8263</v>
      </c>
    </row>
    <row r="245" spans="1:2" x14ac:dyDescent="0.25">
      <c r="A245" s="8">
        <v>41029</v>
      </c>
      <c r="B245">
        <v>1.9073</v>
      </c>
    </row>
    <row r="246" spans="1:2" x14ac:dyDescent="0.25">
      <c r="A246" s="8">
        <v>41060</v>
      </c>
      <c r="B246">
        <v>2.0226000000000002</v>
      </c>
    </row>
    <row r="247" spans="1:2" x14ac:dyDescent="0.25">
      <c r="A247" s="8">
        <v>41089</v>
      </c>
      <c r="B247">
        <v>2.0093000000000001</v>
      </c>
    </row>
    <row r="248" spans="1:2" x14ac:dyDescent="0.25">
      <c r="A248" s="8">
        <v>41121</v>
      </c>
      <c r="B248">
        <v>2.0569000000000002</v>
      </c>
    </row>
    <row r="249" spans="1:2" x14ac:dyDescent="0.25">
      <c r="A249" s="8">
        <v>41152</v>
      </c>
      <c r="B249">
        <v>2.0297000000000001</v>
      </c>
    </row>
    <row r="250" spans="1:2" x14ac:dyDescent="0.25">
      <c r="A250" s="8">
        <v>41180</v>
      </c>
      <c r="B250">
        <v>2.0257999999999998</v>
      </c>
    </row>
    <row r="251" spans="1:2" x14ac:dyDescent="0.25">
      <c r="A251" s="8">
        <v>41213</v>
      </c>
      <c r="B251">
        <v>2.0299</v>
      </c>
    </row>
    <row r="252" spans="1:2" x14ac:dyDescent="0.25">
      <c r="A252" s="8">
        <v>41243</v>
      </c>
      <c r="B252">
        <v>2.1360000000000001</v>
      </c>
    </row>
    <row r="253" spans="1:2" x14ac:dyDescent="0.25">
      <c r="A253" s="8">
        <v>41274</v>
      </c>
      <c r="B253">
        <v>2.0428000000000002</v>
      </c>
    </row>
    <row r="254" spans="1:2" x14ac:dyDescent="0.25">
      <c r="A254" s="8">
        <v>41305</v>
      </c>
      <c r="B254">
        <v>1.9916</v>
      </c>
    </row>
    <row r="255" spans="1:2" x14ac:dyDescent="0.25">
      <c r="A255" s="8">
        <v>41333</v>
      </c>
      <c r="B255">
        <v>1.9775</v>
      </c>
    </row>
    <row r="256" spans="1:2" x14ac:dyDescent="0.25">
      <c r="A256" s="8">
        <v>41362</v>
      </c>
      <c r="B256">
        <v>2.0219</v>
      </c>
    </row>
    <row r="257" spans="1:2" x14ac:dyDescent="0.25">
      <c r="A257" s="8">
        <v>41394</v>
      </c>
      <c r="B257">
        <v>2.0013999999999998</v>
      </c>
    </row>
    <row r="258" spans="1:2" x14ac:dyDescent="0.25">
      <c r="A258" s="8">
        <v>41425</v>
      </c>
      <c r="B258">
        <v>2.1385999999999998</v>
      </c>
    </row>
    <row r="259" spans="1:2" x14ac:dyDescent="0.25">
      <c r="A259" s="8">
        <v>41453</v>
      </c>
      <c r="B259">
        <v>2.2322000000000002</v>
      </c>
    </row>
    <row r="260" spans="1:2" x14ac:dyDescent="0.25">
      <c r="A260" s="8">
        <v>41486</v>
      </c>
      <c r="B260">
        <v>2.2765</v>
      </c>
    </row>
    <row r="261" spans="1:2" x14ac:dyDescent="0.25">
      <c r="A261" s="8">
        <v>41516</v>
      </c>
      <c r="B261">
        <v>2.3855</v>
      </c>
    </row>
    <row r="262" spans="1:2" x14ac:dyDescent="0.25">
      <c r="A262" s="8">
        <v>41547</v>
      </c>
      <c r="B262">
        <v>2.2168999999999999</v>
      </c>
    </row>
    <row r="263" spans="1:2" x14ac:dyDescent="0.25">
      <c r="A263" s="8">
        <v>41578</v>
      </c>
      <c r="B263">
        <v>2.2399</v>
      </c>
    </row>
    <row r="264" spans="1:2" x14ac:dyDescent="0.25">
      <c r="A264" s="8">
        <v>41607</v>
      </c>
      <c r="B264">
        <v>2.3361000000000001</v>
      </c>
    </row>
    <row r="265" spans="1:2" x14ac:dyDescent="0.25">
      <c r="A265" s="8">
        <v>41639</v>
      </c>
      <c r="B265">
        <v>2.3592</v>
      </c>
    </row>
    <row r="266" spans="1:2" x14ac:dyDescent="0.25">
      <c r="A266" s="8">
        <v>41670</v>
      </c>
      <c r="B266">
        <v>2.4127999999999998</v>
      </c>
    </row>
    <row r="267" spans="1:2" x14ac:dyDescent="0.25">
      <c r="A267" s="8">
        <v>41698</v>
      </c>
      <c r="B267">
        <v>2.3435000000000001</v>
      </c>
    </row>
    <row r="268" spans="1:2" x14ac:dyDescent="0.25">
      <c r="A268" s="8">
        <v>41729</v>
      </c>
      <c r="B268">
        <v>2.2719999999999998</v>
      </c>
    </row>
    <row r="269" spans="1:2" x14ac:dyDescent="0.25">
      <c r="A269" s="8">
        <v>41759</v>
      </c>
      <c r="B269">
        <v>2.2326999999999999</v>
      </c>
    </row>
    <row r="270" spans="1:2" x14ac:dyDescent="0.25">
      <c r="A270" s="8">
        <v>41789</v>
      </c>
      <c r="B270">
        <v>2.2412999999999998</v>
      </c>
    </row>
    <row r="271" spans="1:2" x14ac:dyDescent="0.25">
      <c r="A271" s="8">
        <v>41820</v>
      </c>
      <c r="B271">
        <v>2.2145000000000001</v>
      </c>
    </row>
    <row r="272" spans="1:2" x14ac:dyDescent="0.25">
      <c r="A272" s="8">
        <v>41851</v>
      </c>
      <c r="B272">
        <v>2.2637999999999998</v>
      </c>
    </row>
    <row r="273" spans="1:2" x14ac:dyDescent="0.25">
      <c r="A273" s="8">
        <v>41880</v>
      </c>
      <c r="B273">
        <v>2.2362000000000002</v>
      </c>
    </row>
    <row r="274" spans="1:2" x14ac:dyDescent="0.25">
      <c r="A274" s="8">
        <v>41912</v>
      </c>
      <c r="B274">
        <v>2.4460999999999999</v>
      </c>
    </row>
    <row r="275" spans="1:2" x14ac:dyDescent="0.25">
      <c r="A275" s="8">
        <v>41943</v>
      </c>
      <c r="B275">
        <v>2.4779</v>
      </c>
    </row>
    <row r="276" spans="1:2" x14ac:dyDescent="0.25">
      <c r="A276" s="8">
        <v>41971</v>
      </c>
      <c r="B276">
        <v>2.5651000000000002</v>
      </c>
    </row>
    <row r="277" spans="1:2" x14ac:dyDescent="0.25">
      <c r="A277" s="8">
        <v>42004</v>
      </c>
      <c r="B277">
        <v>2.6581999999999999</v>
      </c>
    </row>
    <row r="278" spans="1:2" x14ac:dyDescent="0.25">
      <c r="A278" s="8">
        <v>42034</v>
      </c>
      <c r="B278">
        <v>2.6836000000000002</v>
      </c>
    </row>
    <row r="279" spans="1:2" x14ac:dyDescent="0.25">
      <c r="A279" s="8">
        <v>42062</v>
      </c>
      <c r="B279">
        <v>2.8389000000000002</v>
      </c>
    </row>
    <row r="280" spans="1:2" x14ac:dyDescent="0.25">
      <c r="A280" s="8">
        <v>42094</v>
      </c>
      <c r="B280">
        <v>3.1974</v>
      </c>
    </row>
    <row r="281" spans="1:2" x14ac:dyDescent="0.25">
      <c r="A281" s="8">
        <v>42124</v>
      </c>
      <c r="B281">
        <v>3.0144000000000002</v>
      </c>
    </row>
    <row r="282" spans="1:2" x14ac:dyDescent="0.25">
      <c r="A282" s="8">
        <v>42153</v>
      </c>
      <c r="B282">
        <v>3.1787000000000001</v>
      </c>
    </row>
    <row r="283" spans="1:2" x14ac:dyDescent="0.25">
      <c r="A283" s="8">
        <v>42185</v>
      </c>
      <c r="B283">
        <v>3.1030000000000002</v>
      </c>
    </row>
    <row r="284" spans="1:2" x14ac:dyDescent="0.25">
      <c r="A284" s="8">
        <v>42216</v>
      </c>
      <c r="B284">
        <v>3.4211</v>
      </c>
    </row>
    <row r="285" spans="1:2" x14ac:dyDescent="0.25">
      <c r="A285" s="8">
        <v>42247</v>
      </c>
      <c r="B285">
        <v>3.6198000000000001</v>
      </c>
    </row>
    <row r="286" spans="1:2" x14ac:dyDescent="0.25">
      <c r="A286" s="8">
        <v>42277</v>
      </c>
      <c r="B286">
        <v>3.9470999999999998</v>
      </c>
    </row>
    <row r="287" spans="1:2" x14ac:dyDescent="0.25">
      <c r="A287" s="8">
        <v>42307</v>
      </c>
      <c r="B287">
        <v>3.8567999999999998</v>
      </c>
    </row>
    <row r="288" spans="1:2" x14ac:dyDescent="0.25">
      <c r="A288" s="8">
        <v>42338</v>
      </c>
      <c r="B288">
        <v>3.8685</v>
      </c>
    </row>
    <row r="289" spans="1:2" x14ac:dyDescent="0.25">
      <c r="A289" s="8">
        <v>42369</v>
      </c>
      <c r="B289">
        <v>3.964</v>
      </c>
    </row>
    <row r="290" spans="1:2" x14ac:dyDescent="0.25">
      <c r="A290" s="8">
        <v>42398</v>
      </c>
      <c r="B290">
        <v>3.9990999999999999</v>
      </c>
    </row>
    <row r="291" spans="1:2" x14ac:dyDescent="0.25">
      <c r="A291" s="8">
        <v>42429</v>
      </c>
      <c r="B291">
        <v>4.0163000000000002</v>
      </c>
    </row>
    <row r="292" spans="1:2" x14ac:dyDescent="0.25">
      <c r="A292" s="8">
        <v>42460</v>
      </c>
      <c r="B292">
        <v>3.5928</v>
      </c>
    </row>
    <row r="293" spans="1:2" x14ac:dyDescent="0.25">
      <c r="A293" s="8">
        <v>42489</v>
      </c>
      <c r="B293">
        <v>3.4350999999999998</v>
      </c>
    </row>
    <row r="294" spans="1:2" x14ac:dyDescent="0.25">
      <c r="A294" s="8">
        <v>42521</v>
      </c>
      <c r="B294">
        <v>3.6109</v>
      </c>
    </row>
    <row r="295" spans="1:2" x14ac:dyDescent="0.25">
      <c r="A295" s="8">
        <v>42551</v>
      </c>
      <c r="B295">
        <v>3.2126000000000001</v>
      </c>
    </row>
    <row r="296" spans="1:2" x14ac:dyDescent="0.25">
      <c r="A296" s="8">
        <v>42580</v>
      </c>
      <c r="B296">
        <v>3.2490999999999999</v>
      </c>
    </row>
    <row r="297" spans="1:2" x14ac:dyDescent="0.25">
      <c r="A297" s="8">
        <v>42613</v>
      </c>
      <c r="B297">
        <v>3.2263000000000002</v>
      </c>
    </row>
    <row r="298" spans="1:2" x14ac:dyDescent="0.25">
      <c r="A298" s="8">
        <v>42643</v>
      </c>
      <c r="B298">
        <v>3.2612999999999999</v>
      </c>
    </row>
    <row r="299" spans="1:2" x14ac:dyDescent="0.25">
      <c r="A299" s="8">
        <v>42674</v>
      </c>
      <c r="B299">
        <v>3.1939000000000002</v>
      </c>
    </row>
    <row r="300" spans="1:2" x14ac:dyDescent="0.25">
      <c r="A300" s="8">
        <v>42704</v>
      </c>
      <c r="B300">
        <v>3.3856999999999999</v>
      </c>
    </row>
    <row r="301" spans="1:2" x14ac:dyDescent="0.25">
      <c r="A301" s="8">
        <v>42734</v>
      </c>
      <c r="B301">
        <v>3.25</v>
      </c>
    </row>
    <row r="302" spans="1:2" x14ac:dyDescent="0.25">
      <c r="A302" s="8">
        <v>42766</v>
      </c>
      <c r="B302">
        <v>3.1486000000000001</v>
      </c>
    </row>
    <row r="303" spans="1:2" x14ac:dyDescent="0.25">
      <c r="A303" s="8">
        <v>42794</v>
      </c>
      <c r="B303">
        <v>3.1097000000000001</v>
      </c>
    </row>
    <row r="304" spans="1:2" x14ac:dyDescent="0.25">
      <c r="A304" s="8">
        <v>42825</v>
      </c>
      <c r="B304">
        <v>3.1223999999999998</v>
      </c>
    </row>
    <row r="305" spans="1:2" x14ac:dyDescent="0.25">
      <c r="A305" s="8">
        <v>42853</v>
      </c>
      <c r="B305">
        <v>3.1764999999999999</v>
      </c>
    </row>
    <row r="306" spans="1:2" x14ac:dyDescent="0.25">
      <c r="A306" s="8">
        <v>42886</v>
      </c>
      <c r="B306">
        <v>3.2265999999999999</v>
      </c>
    </row>
    <row r="307" spans="1:2" x14ac:dyDescent="0.25">
      <c r="A307" s="8">
        <v>42916</v>
      </c>
      <c r="B307">
        <v>3.3071999999999999</v>
      </c>
    </row>
    <row r="308" spans="1:2" x14ac:dyDescent="0.25">
      <c r="A308" s="8">
        <v>42947</v>
      </c>
      <c r="B308">
        <v>3.1265999999999998</v>
      </c>
    </row>
    <row r="309" spans="1:2" x14ac:dyDescent="0.25">
      <c r="A309" s="8">
        <v>42978</v>
      </c>
      <c r="B309">
        <v>3.1490999999999998</v>
      </c>
    </row>
    <row r="310" spans="1:2" x14ac:dyDescent="0.25">
      <c r="A310" s="8">
        <v>43007</v>
      </c>
      <c r="B310">
        <v>3.1623000000000001</v>
      </c>
    </row>
    <row r="311" spans="1:2" x14ac:dyDescent="0.25">
      <c r="A311" s="8">
        <v>43039</v>
      </c>
      <c r="B311">
        <v>3.2713000000000001</v>
      </c>
    </row>
    <row r="312" spans="1:2" x14ac:dyDescent="0.25">
      <c r="A312" s="8">
        <v>43069</v>
      </c>
      <c r="B312">
        <v>3.2683</v>
      </c>
    </row>
    <row r="313" spans="1:2" x14ac:dyDescent="0.25">
      <c r="A313" s="8">
        <v>43098</v>
      </c>
      <c r="B313">
        <v>3.3085</v>
      </c>
    </row>
    <row r="314" spans="1:2" x14ac:dyDescent="0.25">
      <c r="A314" s="8">
        <v>43131</v>
      </c>
      <c r="B314">
        <v>3.1869000000000001</v>
      </c>
    </row>
    <row r="315" spans="1:2" x14ac:dyDescent="0.25">
      <c r="A315" s="8">
        <v>43159</v>
      </c>
      <c r="B315">
        <v>3.2477</v>
      </c>
    </row>
    <row r="316" spans="1:2" x14ac:dyDescent="0.25">
      <c r="A316" s="8">
        <v>43189</v>
      </c>
      <c r="B316">
        <v>3.3062999999999998</v>
      </c>
    </row>
    <row r="317" spans="1:2" x14ac:dyDescent="0.25">
      <c r="A317" s="8">
        <v>43220</v>
      </c>
      <c r="B317">
        <v>3.5072000000000001</v>
      </c>
    </row>
    <row r="318" spans="1:2" x14ac:dyDescent="0.25">
      <c r="A318" s="8">
        <v>43251</v>
      </c>
      <c r="B318">
        <v>3.7239</v>
      </c>
    </row>
    <row r="319" spans="1:2" x14ac:dyDescent="0.25">
      <c r="A319" s="8">
        <v>43280</v>
      </c>
      <c r="B319">
        <v>3.8765000000000001</v>
      </c>
    </row>
    <row r="320" spans="1:2" x14ac:dyDescent="0.25">
      <c r="A320" s="8">
        <v>43312</v>
      </c>
      <c r="B320">
        <v>3.7574000000000001</v>
      </c>
    </row>
    <row r="321" spans="1:2" x14ac:dyDescent="0.25">
      <c r="A321" s="8">
        <v>43343</v>
      </c>
      <c r="B321">
        <v>4.0540000000000003</v>
      </c>
    </row>
    <row r="322" spans="1:2" x14ac:dyDescent="0.25">
      <c r="A322" s="8">
        <v>43371</v>
      </c>
      <c r="B322">
        <v>4.0492999999999997</v>
      </c>
    </row>
    <row r="323" spans="1:2" x14ac:dyDescent="0.25">
      <c r="A323" s="8">
        <v>43404</v>
      </c>
      <c r="B323">
        <v>3.7223999999999999</v>
      </c>
    </row>
    <row r="324" spans="1:2" x14ac:dyDescent="0.25">
      <c r="A324" s="8">
        <v>43434</v>
      </c>
      <c r="B324">
        <v>3.8662999999999998</v>
      </c>
    </row>
    <row r="325" spans="1:2" x14ac:dyDescent="0.25">
      <c r="A325" s="8">
        <v>43465</v>
      </c>
      <c r="B325">
        <v>3.8744999999999998</v>
      </c>
    </row>
    <row r="326" spans="1:2" x14ac:dyDescent="0.25">
      <c r="A326" s="8">
        <v>43496</v>
      </c>
      <c r="B326">
        <v>3.6467999999999998</v>
      </c>
    </row>
    <row r="327" spans="1:2" x14ac:dyDescent="0.25">
      <c r="A327" s="8">
        <v>43524</v>
      </c>
      <c r="B327">
        <v>3.7568000000000001</v>
      </c>
    </row>
    <row r="328" spans="1:2" x14ac:dyDescent="0.25">
      <c r="A328" s="8">
        <v>43553</v>
      </c>
      <c r="B328">
        <v>3.9205000000000001</v>
      </c>
    </row>
    <row r="329" spans="1:2" x14ac:dyDescent="0.25">
      <c r="A329" s="8">
        <v>43585</v>
      </c>
      <c r="B329">
        <v>3.9209999999999998</v>
      </c>
    </row>
    <row r="330" spans="1:2" x14ac:dyDescent="0.25">
      <c r="A330" s="8">
        <v>43616</v>
      </c>
      <c r="B330">
        <v>3.9232</v>
      </c>
    </row>
    <row r="331" spans="1:2" x14ac:dyDescent="0.25">
      <c r="A331" s="8">
        <v>43644</v>
      </c>
      <c r="B331">
        <v>3.8498999999999999</v>
      </c>
    </row>
    <row r="332" spans="1:2" x14ac:dyDescent="0.25">
      <c r="A332" s="8">
        <v>43677</v>
      </c>
      <c r="B332">
        <v>3.8148</v>
      </c>
    </row>
    <row r="333" spans="1:2" x14ac:dyDescent="0.25">
      <c r="A333" s="8">
        <v>43707</v>
      </c>
      <c r="B333">
        <v>4.1452999999999998</v>
      </c>
    </row>
    <row r="334" spans="1:2" x14ac:dyDescent="0.25">
      <c r="A334" s="8">
        <v>43738</v>
      </c>
      <c r="B334">
        <v>4.1562000000000001</v>
      </c>
    </row>
    <row r="335" spans="1:2" x14ac:dyDescent="0.25">
      <c r="A335" s="8">
        <v>43769</v>
      </c>
      <c r="B335">
        <v>4.0183</v>
      </c>
    </row>
    <row r="336" spans="1:2" x14ac:dyDescent="0.25">
      <c r="A336" s="8">
        <v>43798</v>
      </c>
      <c r="B336">
        <v>4.2371999999999996</v>
      </c>
    </row>
    <row r="337" spans="1:2" x14ac:dyDescent="0.25">
      <c r="A337" s="8">
        <v>43830</v>
      </c>
      <c r="B337">
        <v>4.0304000000000002</v>
      </c>
    </row>
    <row r="338" spans="1:2" x14ac:dyDescent="0.25">
      <c r="A338" s="8">
        <v>43861</v>
      </c>
      <c r="B338">
        <v>4.2828999999999997</v>
      </c>
    </row>
    <row r="339" spans="1:2" x14ac:dyDescent="0.25">
      <c r="A339" s="8">
        <v>43889</v>
      </c>
      <c r="B339">
        <v>4.4720000000000004</v>
      </c>
    </row>
    <row r="340" spans="1:2" x14ac:dyDescent="0.25">
      <c r="A340" s="8">
        <v>43921</v>
      </c>
      <c r="B340">
        <v>5.2058999999999997</v>
      </c>
    </row>
    <row r="341" spans="1:2" x14ac:dyDescent="0.25">
      <c r="A341" s="8">
        <v>43951</v>
      </c>
      <c r="B341">
        <v>5.4866000000000001</v>
      </c>
    </row>
    <row r="342" spans="1:2" x14ac:dyDescent="0.25">
      <c r="A342" s="8">
        <v>43980</v>
      </c>
      <c r="B342">
        <v>5.3362999999999996</v>
      </c>
    </row>
    <row r="343" spans="1:2" x14ac:dyDescent="0.25">
      <c r="A343" s="8">
        <v>44012</v>
      </c>
      <c r="B343">
        <v>5.4676</v>
      </c>
    </row>
    <row r="344" spans="1:2" x14ac:dyDescent="0.25">
      <c r="A344" s="8">
        <v>44043</v>
      </c>
      <c r="B344">
        <v>5.2210000000000001</v>
      </c>
    </row>
    <row r="345" spans="1:2" x14ac:dyDescent="0.25">
      <c r="A345" s="8">
        <v>44074</v>
      </c>
      <c r="B345">
        <v>5.4945000000000004</v>
      </c>
    </row>
    <row r="346" spans="1:2" x14ac:dyDescent="0.25">
      <c r="A346" s="8">
        <v>44104</v>
      </c>
      <c r="B346">
        <v>5.6094999999999997</v>
      </c>
    </row>
    <row r="347" spans="1:2" x14ac:dyDescent="0.25">
      <c r="A347" s="8">
        <v>44134</v>
      </c>
      <c r="B347">
        <v>5.7450999999999999</v>
      </c>
    </row>
    <row r="348" spans="1:2" x14ac:dyDescent="0.25">
      <c r="A348" s="8">
        <v>44165</v>
      </c>
      <c r="B348">
        <v>5.3593999999999999</v>
      </c>
    </row>
    <row r="349" spans="1:2" x14ac:dyDescent="0.25">
      <c r="A349" s="8">
        <v>44196</v>
      </c>
      <c r="B349">
        <v>5.1985000000000001</v>
      </c>
    </row>
    <row r="350" spans="1:2" x14ac:dyDescent="0.25">
      <c r="A350" s="8">
        <v>44225</v>
      </c>
      <c r="B350">
        <v>5.4717000000000002</v>
      </c>
    </row>
    <row r="351" spans="1:2" x14ac:dyDescent="0.25">
      <c r="A351" s="8">
        <v>44253</v>
      </c>
      <c r="B351">
        <v>5.6032999999999999</v>
      </c>
    </row>
    <row r="352" spans="1:2" x14ac:dyDescent="0.25">
      <c r="A352" s="8">
        <v>44286</v>
      </c>
      <c r="B352">
        <v>5.6337000000000002</v>
      </c>
    </row>
    <row r="353" spans="1:2" x14ac:dyDescent="0.25">
      <c r="A353" s="8">
        <v>44316</v>
      </c>
      <c r="B353">
        <v>5.4375999999999998</v>
      </c>
    </row>
    <row r="354" spans="1:2" x14ac:dyDescent="0.25">
      <c r="A354" s="8">
        <v>44347</v>
      </c>
      <c r="B354">
        <v>5.2187999999999999</v>
      </c>
    </row>
    <row r="355" spans="1:2" x14ac:dyDescent="0.25">
      <c r="A355" s="8">
        <v>44377</v>
      </c>
      <c r="B355">
        <v>4.9695999999999998</v>
      </c>
    </row>
    <row r="356" spans="1:2" x14ac:dyDescent="0.25">
      <c r="A356" s="8">
        <v>44407</v>
      </c>
      <c r="B356">
        <v>5.2119</v>
      </c>
    </row>
    <row r="357" spans="1:2" x14ac:dyDescent="0.25">
      <c r="A357" s="8">
        <v>44439</v>
      </c>
      <c r="B357">
        <v>5.1528999999999998</v>
      </c>
    </row>
    <row r="358" spans="1:2" x14ac:dyDescent="0.25">
      <c r="A358" s="8">
        <v>44469</v>
      </c>
      <c r="B358">
        <v>5.4428999999999998</v>
      </c>
    </row>
    <row r="359" spans="1:2" x14ac:dyDescent="0.25">
      <c r="A359" s="8">
        <v>44498</v>
      </c>
      <c r="B359">
        <v>5.6364000000000001</v>
      </c>
    </row>
    <row r="360" spans="1:2" x14ac:dyDescent="0.25">
      <c r="A360" s="8">
        <v>44530</v>
      </c>
      <c r="B360">
        <v>5.6237000000000004</v>
      </c>
    </row>
    <row r="361" spans="1:2" x14ac:dyDescent="0.25">
      <c r="A361" s="8">
        <v>44561</v>
      </c>
      <c r="B361">
        <v>5.5758000000000001</v>
      </c>
    </row>
    <row r="362" spans="1:2" x14ac:dyDescent="0.25">
      <c r="A362" s="8">
        <v>44592</v>
      </c>
      <c r="B362">
        <v>5.3102</v>
      </c>
    </row>
    <row r="363" spans="1:2" x14ac:dyDescent="0.25">
      <c r="A363" s="8">
        <v>44620</v>
      </c>
      <c r="B363">
        <v>5.1521999999999997</v>
      </c>
    </row>
    <row r="364" spans="1:2" x14ac:dyDescent="0.25">
      <c r="A364" s="8">
        <v>44651</v>
      </c>
      <c r="B364">
        <v>4.7416999999999998</v>
      </c>
    </row>
    <row r="365" spans="1:2" x14ac:dyDescent="0.25">
      <c r="A365" s="8">
        <v>44680</v>
      </c>
      <c r="B365">
        <v>4.9721000000000002</v>
      </c>
    </row>
    <row r="366" spans="1:2" x14ac:dyDescent="0.25">
      <c r="A366" s="8">
        <v>44712</v>
      </c>
      <c r="B366">
        <v>4.7336</v>
      </c>
    </row>
    <row r="367" spans="1:2" x14ac:dyDescent="0.25">
      <c r="A367" s="8">
        <v>44742</v>
      </c>
      <c r="B367">
        <v>5.2568000000000001</v>
      </c>
    </row>
    <row r="368" spans="1:2" x14ac:dyDescent="0.25">
      <c r="A368" s="8">
        <v>44771</v>
      </c>
      <c r="B368">
        <v>5.1733000000000002</v>
      </c>
    </row>
    <row r="369" spans="1:2" x14ac:dyDescent="0.25">
      <c r="A369" s="8">
        <v>44804</v>
      </c>
      <c r="B369">
        <v>5.1839000000000004</v>
      </c>
    </row>
    <row r="370" spans="1:2" x14ac:dyDescent="0.25">
      <c r="A370" s="8">
        <v>44834</v>
      </c>
      <c r="B370">
        <v>5.4154999999999998</v>
      </c>
    </row>
    <row r="371" spans="1:2" x14ac:dyDescent="0.25">
      <c r="A371" s="8">
        <v>44865</v>
      </c>
      <c r="B371">
        <v>5.1797000000000004</v>
      </c>
    </row>
    <row r="372" spans="1:2" x14ac:dyDescent="0.25">
      <c r="A372" s="8">
        <v>44895</v>
      </c>
      <c r="B372">
        <v>5.1905999999999999</v>
      </c>
    </row>
    <row r="373" spans="1:2" x14ac:dyDescent="0.25">
      <c r="A373" s="8">
        <v>44925</v>
      </c>
      <c r="B373">
        <v>5.2804000000000002</v>
      </c>
    </row>
    <row r="374" spans="1:2" x14ac:dyDescent="0.25">
      <c r="A374" s="8">
        <v>44957</v>
      </c>
      <c r="B374">
        <v>5.0757000000000003</v>
      </c>
    </row>
    <row r="375" spans="1:2" x14ac:dyDescent="0.25">
      <c r="A375" s="8">
        <v>44985</v>
      </c>
      <c r="B375">
        <v>5.2363999999999997</v>
      </c>
    </row>
    <row r="376" spans="1:2" x14ac:dyDescent="0.25">
      <c r="A376" s="8">
        <v>45016</v>
      </c>
      <c r="B376">
        <v>5.0631000000000004</v>
      </c>
    </row>
    <row r="377" spans="1:2" x14ac:dyDescent="0.25">
      <c r="A377" s="8">
        <v>45044</v>
      </c>
      <c r="B377">
        <v>4.9880000000000004</v>
      </c>
    </row>
    <row r="378" spans="1:2" x14ac:dyDescent="0.25">
      <c r="A378" s="8">
        <v>45077</v>
      </c>
      <c r="B378">
        <v>5.0556000000000001</v>
      </c>
    </row>
    <row r="379" spans="1:2" x14ac:dyDescent="0.25">
      <c r="A379" s="8">
        <v>45107</v>
      </c>
      <c r="B379">
        <v>4.7854000000000001</v>
      </c>
    </row>
    <row r="380" spans="1:2" x14ac:dyDescent="0.25">
      <c r="A380" s="8">
        <v>45138</v>
      </c>
      <c r="B380">
        <v>4.7259000000000002</v>
      </c>
    </row>
    <row r="381" spans="1:2" x14ac:dyDescent="0.25">
      <c r="A381" s="8">
        <v>45169</v>
      </c>
      <c r="B381">
        <v>4.9550000000000001</v>
      </c>
    </row>
    <row r="382" spans="1:2" x14ac:dyDescent="0.25">
      <c r="A382" s="8">
        <v>45198</v>
      </c>
      <c r="B382">
        <v>5.0340999999999996</v>
      </c>
    </row>
    <row r="383" spans="1:2" x14ac:dyDescent="0.25">
      <c r="A383" s="8">
        <v>45230</v>
      </c>
      <c r="B383">
        <v>5.0381</v>
      </c>
    </row>
    <row r="384" spans="1:2" x14ac:dyDescent="0.25">
      <c r="A384" s="8">
        <v>45260</v>
      </c>
      <c r="B384">
        <v>4.9195000000000002</v>
      </c>
    </row>
    <row r="385" spans="1:2" x14ac:dyDescent="0.25">
      <c r="A385" s="8">
        <v>45289</v>
      </c>
      <c r="B385">
        <v>4.8571999999999997</v>
      </c>
    </row>
    <row r="386" spans="1:2" x14ac:dyDescent="0.25">
      <c r="A386" s="8">
        <v>45322</v>
      </c>
      <c r="B386">
        <v>4.9554</v>
      </c>
    </row>
    <row r="387" spans="1:2" x14ac:dyDescent="0.25">
      <c r="A387" s="8">
        <v>45351</v>
      </c>
      <c r="B387">
        <v>4.9707999999999997</v>
      </c>
    </row>
    <row r="388" spans="1:2" x14ac:dyDescent="0.25">
      <c r="A388" s="8">
        <v>45380</v>
      </c>
      <c r="B388">
        <v>5.0141</v>
      </c>
    </row>
    <row r="389" spans="1:2" x14ac:dyDescent="0.25">
      <c r="A389" s="8">
        <v>45412</v>
      </c>
      <c r="B389">
        <v>5.1933999999999996</v>
      </c>
    </row>
    <row r="390" spans="1:2" x14ac:dyDescent="0.25">
      <c r="A390" s="8">
        <v>45443</v>
      </c>
      <c r="B390">
        <v>5.2461000000000002</v>
      </c>
    </row>
    <row r="391" spans="1:2" x14ac:dyDescent="0.25">
      <c r="A391" s="8">
        <v>45471</v>
      </c>
      <c r="B391">
        <v>5.5940000000000003</v>
      </c>
    </row>
    <row r="392" spans="1:2" x14ac:dyDescent="0.25">
      <c r="A392" s="8">
        <v>45504</v>
      </c>
      <c r="B392">
        <v>5.6505000000000001</v>
      </c>
    </row>
    <row r="393" spans="1:2" x14ac:dyDescent="0.25">
      <c r="A393" s="8">
        <v>45534</v>
      </c>
      <c r="B393">
        <v>5.6067999999999998</v>
      </c>
    </row>
    <row r="394" spans="1:2" x14ac:dyDescent="0.25">
      <c r="A394" s="8">
        <v>45565</v>
      </c>
      <c r="B394">
        <v>5.4496000000000002</v>
      </c>
    </row>
    <row r="395" spans="1:2" x14ac:dyDescent="0.25">
      <c r="A395" s="8">
        <v>45596</v>
      </c>
      <c r="B395">
        <v>5.7877000000000001</v>
      </c>
    </row>
    <row r="396" spans="1:2" x14ac:dyDescent="0.25">
      <c r="A396" s="8">
        <v>45625</v>
      </c>
      <c r="B396">
        <v>5.9713000000000003</v>
      </c>
    </row>
    <row r="397" spans="1:2" x14ac:dyDescent="0.25">
      <c r="A397" s="8">
        <v>45657</v>
      </c>
      <c r="B397">
        <v>6.1773999999999996</v>
      </c>
    </row>
    <row r="398" spans="1:2" x14ac:dyDescent="0.25">
      <c r="A398" s="8">
        <v>45688</v>
      </c>
      <c r="B398">
        <v>5.8440000000000003</v>
      </c>
    </row>
    <row r="399" spans="1:2" x14ac:dyDescent="0.25">
      <c r="A399" s="8">
        <v>45716</v>
      </c>
      <c r="B399">
        <v>5.8844000000000003</v>
      </c>
    </row>
    <row r="400" spans="1:2" x14ac:dyDescent="0.25">
      <c r="A400" s="8">
        <v>45747</v>
      </c>
      <c r="B400">
        <v>5.7057000000000002</v>
      </c>
    </row>
    <row r="401" spans="1:2" x14ac:dyDescent="0.25">
      <c r="A401" s="8">
        <v>45777</v>
      </c>
      <c r="B401">
        <v>5.6734</v>
      </c>
    </row>
    <row r="402" spans="1:2" x14ac:dyDescent="0.25">
      <c r="A402" s="8">
        <v>45807</v>
      </c>
      <c r="B402">
        <v>5.7230999999999996</v>
      </c>
    </row>
    <row r="403" spans="1:2" x14ac:dyDescent="0.25">
      <c r="A403" s="8">
        <v>45838</v>
      </c>
      <c r="B403">
        <v>5.4317000000000002</v>
      </c>
    </row>
    <row r="404" spans="1:2" x14ac:dyDescent="0.25">
      <c r="A404" s="8">
        <v>45869</v>
      </c>
      <c r="B404">
        <v>5.6002999999999998</v>
      </c>
    </row>
    <row r="405" spans="1:2" x14ac:dyDescent="0.25">
      <c r="A405" s="8">
        <v>45898</v>
      </c>
      <c r="B405">
        <v>5.4297000000000004</v>
      </c>
    </row>
    <row r="406" spans="1:2" x14ac:dyDescent="0.25">
      <c r="A406" s="8">
        <v>45930</v>
      </c>
      <c r="B406">
        <v>5.3217999999999996</v>
      </c>
    </row>
    <row r="407" spans="1:2" x14ac:dyDescent="0.25">
      <c r="A407" s="8">
        <v>45961</v>
      </c>
      <c r="B407">
        <v>5.3765999999999998</v>
      </c>
    </row>
    <row r="408" spans="1:2" x14ac:dyDescent="0.25">
      <c r="A408" s="8">
        <v>45989</v>
      </c>
      <c r="B408">
        <v>5.3350999999999997</v>
      </c>
    </row>
    <row r="409" spans="1:2" x14ac:dyDescent="0.25">
      <c r="A409" s="8">
        <v>46022</v>
      </c>
      <c r="B409">
        <v>5.4748999999999999</v>
      </c>
    </row>
    <row r="410" spans="1:2" x14ac:dyDescent="0.25">
      <c r="A410" s="8">
        <v>46052</v>
      </c>
      <c r="B410">
        <v>5.2633999999999999</v>
      </c>
    </row>
    <row r="411" spans="1:2" x14ac:dyDescent="0.25">
      <c r="A411" s="8">
        <v>46080</v>
      </c>
      <c r="B411">
        <v>5.1252000000000004</v>
      </c>
    </row>
    <row r="412" spans="1:2" x14ac:dyDescent="0.25">
      <c r="A412" s="8">
        <v>46112</v>
      </c>
      <c r="B412">
        <v>5.1805000000000003</v>
      </c>
    </row>
    <row r="413" spans="1:2" x14ac:dyDescent="0.25">
      <c r="A413" s="8">
        <v>46142</v>
      </c>
      <c r="B413">
        <v>4.9554</v>
      </c>
    </row>
    <row r="414" spans="1:2" x14ac:dyDescent="0.25">
      <c r="A414" s="8">
        <v>46171</v>
      </c>
      <c r="B414">
        <v>5.0358000000000001</v>
      </c>
    </row>
    <row r="415" spans="1:2" x14ac:dyDescent="0.25">
      <c r="A415" s="8">
        <v>46203</v>
      </c>
      <c r="B415">
        <v>5.1616</v>
      </c>
    </row>
    <row r="416" spans="1:2" x14ac:dyDescent="0.25">
      <c r="A416" s="8">
        <v>46234</v>
      </c>
      <c r="B416">
        <v>5.0728999999999997</v>
      </c>
    </row>
    <row r="417" spans="1:2" x14ac:dyDescent="0.25">
      <c r="A417" s="8">
        <v>46265</v>
      </c>
      <c r="B417">
        <v>5.1852999999999998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</vt:vector>
  </HeadingPairs>
  <TitlesOfParts>
    <vt:vector size="7" baseType="lpstr">
      <vt:lpstr>Sheet1</vt:lpstr>
      <vt:lpstr>All_factors</vt:lpstr>
      <vt:lpstr>IBOV</vt:lpstr>
      <vt:lpstr>Momo</vt:lpstr>
      <vt:lpstr>USDBRL</vt:lpstr>
      <vt:lpstr>factores</vt:lpstr>
      <vt:lpstr>Momo_G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Llambi, Ruben Orlando</dc:creator>
  <cp:lastModifiedBy>Llambi, Ruben Orlando</cp:lastModifiedBy>
  <dcterms:created xsi:type="dcterms:W3CDTF">2026-09-23T17:31:56Z</dcterms:created>
  <dcterms:modified xsi:type="dcterms:W3CDTF">2026-09-23T20:35:46Z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SR_MIGRATION_STATUS">
    <vt:lpwstr>2</vt:lpwstr>
  </property>
  <property fmtid="{D5CDD505-2E9C-101B-9397-08002B2CF9AE}" pid="3" name="SpreadsheetBuilder_1">
    <vt:lpwstr>eyIwIjoiSGlzdG9yeSIsIjEiOjAsIjIiOjEsIjMiOjAsIjQiOjAsIjUiOjEsIjYiOjEsIjciOjEsIjgiOjAsIjkiOjEsIjEwIjowLCIxMSI6MCwiMTIiOjB9</vt:lpwstr>
  </property>
</Properties>
</file>