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Base" sheetId="2" state="visible" r:id="rId4"/>
    <sheet name="Transf" sheetId="3" state="visible" r:id="rId5"/>
    <sheet name="Senal" sheetId="4" state="visible" r:id="rId6"/>
    <sheet name="Backtest" sheetId="5" state="visible" r:id="rId7"/>
    <sheet name="Resume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<sst xmlns="http://schemas.openxmlformats.org/spreadsheetml/2006/main" count="182" uniqueCount="175">
  <si>
    <t xml:space="preserve">Backtest - Modelo de factores macro Oil &amp; Gas vs Merval</t>
  </si>
  <si>
    <t xml:space="preserve">ORDEN DE LAS HOJAS</t>
  </si>
  <si>
    <t xml:space="preserve">   Base      Datos crudos. Columnas A:T copiadas de tu archivo; columna U (Brent) descargada de FRED. Todo en AZUL = entrada.</t>
  </si>
  <si>
    <t xml:space="preserve">   Transf    Los 8 factores "Exc." Replica tus formulas, con el signo de inventarios corregido.</t>
  </si>
  <si>
    <t xml:space="preserve">   Senal     Normalizacion z expansiva, winsorizacion Tukey point-in-time, mediana, umbral y senal.</t>
  </si>
  <si>
    <t xml:space="preserve">   Backtest  Beta a Brent, retorno cubierto, escalera de 12 tramos, P&amp;L, drawdown y retornos forward.</t>
  </si>
  <si>
    <t xml:space="preserve">   Resumen   Metricas, IC y la lectura de hoy. Los parametros editables estan en AMARILLO.</t>
  </si>
  <si>
    <t xml:space="preserve">CODIGO DE COLORES</t>
  </si>
  <si>
    <t xml:space="preserve">   AZUL   dato de entrada (hardcodeado)</t>
  </si>
  <si>
    <t xml:space="preserve">   NEGRO  formula</t>
  </si>
  <si>
    <t xml:space="preserve">   VERDE  referencia a otra hoja</t>
  </si>
  <si>
    <t xml:space="preserve">   AMARILLO  parametro que podes cambiar</t>
  </si>
  <si>
    <t xml:space="preserve">QUE VALIDAR (numeros de referencia calculados en Python sobre los mismos datos)</t>
  </si>
  <si>
    <t xml:space="preserve">   Cubierto de Brent, costo 30 pb:   n=163   retorno 4,29%   vol 7,54%   SR 0,57   maxDD -8,28%</t>
  </si>
  <si>
    <t xml:space="preserve">   Sin cubrir, costo 30 pb:          n=199   retorno 3,40%   vol 6,66%   SR 0,51   maxDD -7,82%</t>
  </si>
  <si>
    <t xml:space="preserve">   Rotacion anual 0,40x   |Posicion| media 0,226</t>
  </si>
  <si>
    <t xml:space="preserve">   IC cubierto:  1m +0,102   3m +0,205   6m +0,277   12m +0,546</t>
  </si>
  <si>
    <t xml:space="preserve">   IC sin cubrir a 12m: +0,395</t>
  </si>
  <si>
    <t xml:space="preserve">   Si la hoja Resumen no reproduce estos numeros, hay un error de rango en alguna formula.</t>
  </si>
  <si>
    <t xml:space="preserve">COMO SE LEE LA SENAL</t>
  </si>
  <si>
    <t xml:space="preserve">   score  &gt;  +umbral   -&gt;  SOBREponderar O&amp;G, tamano proporcional al score</t>
  </si>
  <si>
    <t xml:space="preserve">   |score| &lt;= umbral   -&gt;  peso de BENCHMARK (sin apuesta activa)</t>
  </si>
  <si>
    <t xml:space="preserve">   score  &lt;  -umbral   -&gt;  INFRAponderar O&amp;G, tamano proporcional al score</t>
  </si>
  <si>
    <t xml:space="preserve">   La posicion de la escalera es adimensional (-1 a +1). El peso activo en el fondo es esa posicion por el peso maximo del Resumen.</t>
  </si>
  <si>
    <t xml:space="preserve">COMO ACTUALIZARLO CADA MES</t>
  </si>
  <si>
    <t xml:space="preserve">   1. Agrega una fila al final de Base con los datos del mes y el nuevo valor del ratio y del Brent.</t>
  </si>
  <si>
    <t xml:space="preserve">   2. Arrastra hacia abajo la ultima fila de Transf, Senal y Backtest.</t>
  </si>
  <si>
    <t xml:space="preserve">   3. Las formulas de Resumen ya cubren hasta la fila 273; si extendes mas alla, ampliá esos rangos.</t>
  </si>
  <si>
    <t xml:space="preserve">DIFERENCIAS CONTRA TU ARCHIVO ACTUAL</t>
  </si>
  <si>
    <t xml:space="preserve">   1. Inventarios de crudo entra con signo invertido. En tu archivo falta, y es el factor con mayor IC.</t>
  </si>
  <si>
    <t xml:space="preserve">   2. El filtro Tukey se calcula con cuartiles expansivos (solo informacion pasada). En tu archivo los cuartiles usan toda la muestra, 2026 incluido.</t>
  </si>
  <si>
    <t xml:space="preserve">   3. El score es la MEDIANA de los 8 factores, no el promedio. Sube el IC de 0,494 a 0,527 y baja la volatilidad de 10,5% a 8,5%.</t>
  </si>
  <si>
    <t xml:space="preserve">   4. Se agrega la banda muerta: si |score| esta por debajo del umbral, la posicion es cero.</t>
  </si>
  <si>
    <t xml:space="preserve">   5. Se saco la brecha cambiaria (no es una variable continua: 24% de los meses en cero y solo dos episodios de cepo en la muestra).</t>
  </si>
  <si>
    <t xml:space="preserve">Fecha</t>
  </si>
  <si>
    <t xml:space="preserve">Exp nivel</t>
  </si>
  <si>
    <t xml:space="preserve">Exp yoy %</t>
  </si>
  <si>
    <t xml:space="preserve">Impo</t>
  </si>
  <si>
    <t xml:space="preserve">PBI nominal</t>
  </si>
  <si>
    <t xml:space="preserve">(Exp+Imp)/PBI</t>
  </si>
  <si>
    <t xml:space="preserve">EMAE yoy %</t>
  </si>
  <si>
    <t xml:space="preserve">EMAE Transp yoy %</t>
  </si>
  <si>
    <t xml:space="preserve">IPC Transp yoy %</t>
  </si>
  <si>
    <t xml:space="preserve">Prod. petroleo Arg</t>
  </si>
  <si>
    <t xml:space="preserve">Prod. petroleo yoy %</t>
  </si>
  <si>
    <t xml:space="preserve">ITCRM</t>
  </si>
  <si>
    <t xml:space="preserve">ITCRM yoy %</t>
  </si>
  <si>
    <t xml:space="preserve">Invent. crudo EEUU</t>
  </si>
  <si>
    <t xml:space="preserve">Invent. crudo yoy %</t>
  </si>
  <si>
    <t xml:space="preserve">Crack spread yoy %</t>
  </si>
  <si>
    <t xml:space="preserve">PBI yoy %</t>
  </si>
  <si>
    <t xml:space="preserve">PBI prom 5A</t>
  </si>
  <si>
    <t xml:space="preserve">REM 12M</t>
  </si>
  <si>
    <t xml:space="preserve">Ratio O&amp;G/Merval</t>
  </si>
  <si>
    <t xml:space="preserve">Brent (USD/bbl)</t>
  </si>
  <si>
    <t xml:space="preserve">Columnas A:S copiadas de tu archivo "oilgas factor model" (hoja Sheet1, columnas A:S, filas 4:275).</t>
  </si>
  <si>
    <t xml:space="preserve">Columna T (Ratio O&amp;G/Merval) copiada de tu columna AW, que apunta a un libro externo [1]Indice.</t>
  </si>
  <si>
    <t xml:space="preserve">Columna U (Brent) descargada de FRED, serie MCOILBRENTEU (promedio mensual, USD/barril). Fuente: https://fred.stlouisfed.org/series/MCOILBRENTEU</t>
  </si>
  <si>
    <t xml:space="preserve">AZUL = dato de entrada. Para actualizar el modelo, agrega filas abajo y arrastra las formulas de las demas hojas.</t>
  </si>
  <si>
    <t xml:space="preserve">Exc. Exp</t>
  </si>
  <si>
    <t xml:space="preserve">Exc. EMAE</t>
  </si>
  <si>
    <t xml:space="preserve">Exc. EMAE Transp</t>
  </si>
  <si>
    <t xml:space="preserve">Exc. IPC Transp</t>
  </si>
  <si>
    <t xml:space="preserve">Exc. Prod. petroleo</t>
  </si>
  <si>
    <t xml:space="preserve">Exc. ITCRM</t>
  </si>
  <si>
    <t xml:space="preserve">Exc. Invent. (signo inv.)</t>
  </si>
  <si>
    <t xml:space="preserve">Exc. Crack spread</t>
  </si>
  <si>
    <t xml:space="preserve">Replica exacta de tus columnas U:AB, con DOS cambios documentados:</t>
  </si>
  <si>
    <t xml:space="preserve">  (1) Exc. Invent. lleva signo invertido (-AVERAGE). En tu archivo falta el signo; es el factor con mayor IC y entraba al reves.</t>
  </si>
  <si>
    <t xml:space="preserve">  (2) Exc. IPC Transp: valores pegados de tu archivo hasta may-2016 (tu columna X los tenia hardcodeados) y formula desde jun-2016.</t>
  </si>
  <si>
    <t xml:space="preserve">Exc. ITCRM conserva la multiplicacion por la apertura comercial promedio para reproducir tu archivo, pero es un no-op:</t>
  </si>
  <si>
    <t xml:space="preserve">  corr(Exc. ITCRM, promedio movil 3m de ITCRM yoy) = 0,9976. Se puede borrar sin cambiar nada.</t>
  </si>
  <si>
    <t xml:space="preserve">z Exp</t>
  </si>
  <si>
    <t xml:space="preserve">z EMAE</t>
  </si>
  <si>
    <t xml:space="preserve">z EMAE Transp</t>
  </si>
  <si>
    <t xml:space="preserve">z IPC Transp</t>
  </si>
  <si>
    <t xml:space="preserve">z Prod. petroleo</t>
  </si>
  <si>
    <t xml:space="preserve">z ITCRM</t>
  </si>
  <si>
    <t xml:space="preserve">z Invent.</t>
  </si>
  <si>
    <t xml:space="preserve">z Crack</t>
  </si>
  <si>
    <t xml:space="preserve">w Exp</t>
  </si>
  <si>
    <t xml:space="preserve">w EMAE</t>
  </si>
  <si>
    <t xml:space="preserve">w EMAE Transp</t>
  </si>
  <si>
    <t xml:space="preserve">w IPC Transp</t>
  </si>
  <si>
    <t xml:space="preserve">w Prod. petroleo</t>
  </si>
  <si>
    <t xml:space="preserve">w ITCRM</t>
  </si>
  <si>
    <t xml:space="preserve">w Invent.</t>
  </si>
  <si>
    <t xml:space="preserve">w Crack</t>
  </si>
  <si>
    <t xml:space="preserve">MEDIANA (score)</t>
  </si>
  <si>
    <t xml:space="preserve">|score|</t>
  </si>
  <si>
    <t xml:space="preserve">Umbral</t>
  </si>
  <si>
    <t xml:space="preserve">Senal</t>
  </si>
  <si>
    <t xml:space="preserve">Posicion cruda (clip +-1)</t>
  </si>
  <si>
    <t xml:space="preserve">Score EW (media, comparacion)</t>
  </si>
  <si>
    <t xml:space="preserve">z  = (x - media expansiva) / desvio expansivo, ambos desde feb-2007, minimo 36 observaciones. Sin look-ahead.</t>
  </si>
  <si>
    <t xml:space="preserve">w  = filtro Tukey point-in-time: recorta a [Q1-1,5*RIC ; Q3+1,5*RIC] con cuartiles calculados sobre la historia DISPONIBLE hasta t (min 60 obs).</t>
  </si>
  <si>
    <t xml:space="preserve">MEDIANA = mediana de los 8 factores winsorizados. Reemplaza al promedio: es robusta a que un solo factor quede en un extremo.</t>
  </si>
  <si>
    <t xml:space="preserve">Umbral  = mediana expansiva de |score| hasta t-1 (banda muerta). Antes de tener 60 observaciones el umbral es 0.</t>
  </si>
  <si>
    <t xml:space="preserve">Senal   = score si |score| &gt;= umbral, si no 0. Los tres quintiles centrales del score no tienen poder predictivo.</t>
  </si>
  <si>
    <t xml:space="preserve">Posicion cruda = senal recortada a +-1. Es adimensional: +1 = sobreponderacion maxima, 0 = peso de benchmark, -1 = infraponderacion maxima.</t>
  </si>
  <si>
    <t xml:space="preserve">Ratio</t>
  </si>
  <si>
    <t xml:space="preserve">ln(Ratio)</t>
  </si>
  <si>
    <t xml:space="preserve">r relativo</t>
  </si>
  <si>
    <t xml:space="preserve">Brent</t>
  </si>
  <si>
    <t xml:space="preserve">ln(Brent)</t>
  </si>
  <si>
    <t xml:space="preserve">r Brent</t>
  </si>
  <si>
    <t xml:space="preserve">Beta a Brent</t>
  </si>
  <si>
    <t xml:space="preserve">r relativo cubierto</t>
  </si>
  <si>
    <t xml:space="preserve">Posicion (escalera 12)</t>
  </si>
  <si>
    <t xml:space="preserve">|Posicion|</t>
  </si>
  <si>
    <t xml:space="preserve">Rotacion</t>
  </si>
  <si>
    <t xml:space="preserve">PnL cubierto neto</t>
  </si>
  <si>
    <t xml:space="preserve">PnL sin cubrir neto</t>
  </si>
  <si>
    <t xml:space="preserve">Acumulado cubierto</t>
  </si>
  <si>
    <t xml:space="preserve">Pico</t>
  </si>
  <si>
    <t xml:space="preserve">Drawdown</t>
  </si>
  <si>
    <t xml:space="preserve">Fwd 1m cub.</t>
  </si>
  <si>
    <t xml:space="preserve">Fwd 3m cub.</t>
  </si>
  <si>
    <t xml:space="preserve">Fwd 6m cub.</t>
  </si>
  <si>
    <t xml:space="preserve">Fwd 12m cub.</t>
  </si>
  <si>
    <t xml:space="preserve">Acum. s/cub.</t>
  </si>
  <si>
    <t xml:space="preserve">Pico s/cub.</t>
  </si>
  <si>
    <t xml:space="preserve">Drawdown s/cub.</t>
  </si>
  <si>
    <t xml:space="preserve">Fwd 1m s/cub.</t>
  </si>
  <si>
    <t xml:space="preserve">Fwd 3m s/cub.</t>
  </si>
  <si>
    <t xml:space="preserve">Fwd 6m s/cub.</t>
  </si>
  <si>
    <t xml:space="preserve">Fwd 12m s/cub.</t>
  </si>
  <si>
    <t xml:space="preserve">Beta a Brent: pendiente de la regresion del retorno relativo contra el de Brent, ventana expansiva que TERMINA en t-1 (min 36 meses). Sin look-ahead.</t>
  </si>
  <si>
    <t xml:space="preserve">r relativo cubierto = r relativo - beta * r Brent. Arranca en feb-2013, cuando la beta tiene 36 observaciones.</t>
  </si>
  <si>
    <t xml:space="preserve">Posicion (escalera 12) = promedio de las 12 posiciones crudas de los meses t-12 a t-1. Cada mes entra 1/12 nuevo y vence el de hace 12 meses.</t>
  </si>
  <si>
    <t xml:space="preserve">PnL esta expresado con peso_max = 100%. Para escalarlo, multiplicalo por el peso maximo de la hoja Resumen.</t>
  </si>
  <si>
    <t xml:space="preserve">Rotacion = |cambio de la posicion|. El costo se descuenta de esa rotacion al valor en puntos basicos de la hoja Resumen.</t>
  </si>
  <si>
    <t xml:space="preserve">Backtest del modelo de factores macro - Oil &amp; Gas vs Merval</t>
  </si>
  <si>
    <t xml:space="preserve">Senal = mediana de 8 factores macro, normalizacion y winsorizacion point-in-time, banda muerta, escalera de 12 tramos.</t>
  </si>
  <si>
    <t xml:space="preserve">Parametros (editables)</t>
  </si>
  <si>
    <t xml:space="preserve">Peso activo maximo (% del fondo)</t>
  </si>
  <si>
    <t xml:space="preserve">Tramos de la escalera (meses)</t>
  </si>
  <si>
    <t xml:space="preserve">fijo: para cambiarlo hay que reescribir la columna J de Backtest</t>
  </si>
  <si>
    <t xml:space="preserve">Costo por rebalanceo (puntos basicos)</t>
  </si>
  <si>
    <t xml:space="preserve">Resultados con peso_max = 100% (unidad de escala)</t>
  </si>
  <si>
    <t xml:space="preserve">Cubierto de Brent</t>
  </si>
  <si>
    <t xml:space="preserve">Sin cubrir</t>
  </si>
  <si>
    <t xml:space="preserve">Meses con P&amp;L</t>
  </si>
  <si>
    <t xml:space="preserve">Retorno anualizado</t>
  </si>
  <si>
    <t xml:space="preserve">Volatilidad anualizada</t>
  </si>
  <si>
    <t xml:space="preserve">Sharpe / Information Ratio</t>
  </si>
  <si>
    <t xml:space="preserve">Maximo drawdown (log)</t>
  </si>
  <si>
    <t xml:space="preserve">Rotacion anual (veces)</t>
  </si>
  <si>
    <t xml:space="preserve">|Posicion| media</t>
  </si>
  <si>
    <t xml:space="preserve">Escalado a tu peso activo maximo</t>
  </si>
  <si>
    <t xml:space="preserve">Alpha esperado</t>
  </si>
  <si>
    <t xml:space="preserve">Tracking error</t>
  </si>
  <si>
    <t xml:space="preserve">Information Ratio</t>
  </si>
  <si>
    <t xml:space="preserve">Peso activo tipico</t>
  </si>
  <si>
    <t xml:space="preserve">Peso activo maximo alcanzado</t>
  </si>
  <si>
    <t xml:space="preserve">Information Coefficient de la senal (correlacion con el retorno relativo futuro)</t>
  </si>
  <si>
    <t xml:space="preserve">IC a 1 mes(es)</t>
  </si>
  <si>
    <t xml:space="preserve">IC a 3 mes(es)</t>
  </si>
  <si>
    <t xml:space="preserve">IC a 6 mes(es)</t>
  </si>
  <si>
    <t xml:space="preserve">IC a 12 mes(es)</t>
  </si>
  <si>
    <t xml:space="preserve">Comparacion: score EW (promedio simple, sin banda muerta)</t>
  </si>
  <si>
    <t xml:space="preserve">IC a 12 meses, cubierto</t>
  </si>
  <si>
    <t xml:space="preserve">vs. la senal de arriba en B33</t>
  </si>
  <si>
    <t xml:space="preserve">Lectura actual</t>
  </si>
  <si>
    <t xml:space="preserve">Fecha del ultimo dato</t>
  </si>
  <si>
    <t xml:space="preserve">Score (mediana de los 8)</t>
  </si>
  <si>
    <t xml:space="preserve">Posicion de la escalera</t>
  </si>
  <si>
    <t xml:space="preserve">Peso activo a aplicar</t>
  </si>
  <si>
    <t xml:space="preserve">Advertencias</t>
  </si>
  <si>
    <t xml:space="preserve">1. El IR estimado tiene un error estandar de aproximadamente 0,29 (hay ~12,7 observaciones independientes a 12 meses).</t>
  </si>
  <si>
    <t xml:space="preserve">   El intervalo de confianza del 95% del IR va de 0,02 a 1,16. Dimensiona la posicion respetando esa incertidumbre.</t>
  </si>
  <si>
    <t xml:space="preserve">2. IPC Transporte e ITCRM tienen IC cercano a cero en toda la muestra. Estan incluidos por fidelidad a tu archivo, no porque aporten.</t>
  </si>
  <si>
    <t xml:space="preserve">3. La produccion de petroleo viene con el mismo valor repetido desde abr-2026 en la base. Actualizala antes de operar la senal.</t>
  </si>
  <si>
    <t xml:space="preserve">4. La banda muerta (umbral) sale de que los tres quintiles centrales del score no predicen. El concepto esta validado; el nivel exacto no es un parametro ajustado porque se calcula como mediana expansiva.</t>
  </si>
  <si>
    <t xml:space="preserve">5. El P&amp;L no incluye el costo del overlay de futuros de Brent en la version cubierta.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</si>
</sst>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/mm/yyyy"/>
    <numFmt numFmtId="166" formatCode="#,##0.000"/>
    <numFmt numFmtId="167" formatCode="0.000"/>
    <numFmt numFmtId="168" formatCode="0.0000"/>
    <numFmt numFmtId="169" formatCode="#,##0.00"/>
    <numFmt numFmtId="170" formatCode="0.00%"/>
    <numFmt numFmtId="171" formatCode="0.0%"/>
    <numFmt numFmtId="172" formatCode="0"/>
    <numFmt numFmtId="173" formatCode="0.00"/>
    <numFmt numFmtId="174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P&amp;L acumulado (peso_max = 100%, log)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Backtest!O1</c:f>
              <c:strCache>
                <c:ptCount val="1"/>
                <c:pt idx="0">
                  <c:v>Acumulado cubierto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Backtest!$A$2:$A$273</c:f>
              <c:strCache>
                <c:ptCount val="272"/>
                <c:pt idx="0">
                  <c:v>31/01/2004</c:v>
                </c:pt>
                <c:pt idx="1">
                  <c:v>29/02/2004</c:v>
                </c:pt>
                <c:pt idx="2">
                  <c:v>31/03/2004</c:v>
                </c:pt>
                <c:pt idx="3">
                  <c:v>30/04/2004</c:v>
                </c:pt>
                <c:pt idx="4">
                  <c:v>31/05/2004</c:v>
                </c:pt>
                <c:pt idx="5">
                  <c:v>30/06/2004</c:v>
                </c:pt>
                <c:pt idx="6">
                  <c:v>31/07/2004</c:v>
                </c:pt>
                <c:pt idx="7">
                  <c:v>31/08/2004</c:v>
                </c:pt>
                <c:pt idx="8">
                  <c:v>30/09/2004</c:v>
                </c:pt>
                <c:pt idx="9">
                  <c:v>31/10/2004</c:v>
                </c:pt>
                <c:pt idx="10">
                  <c:v>30/11/2004</c:v>
                </c:pt>
                <c:pt idx="11">
                  <c:v>31/12/2004</c:v>
                </c:pt>
                <c:pt idx="12">
                  <c:v>31/01/2005</c:v>
                </c:pt>
                <c:pt idx="13">
                  <c:v>28/02/2005</c:v>
                </c:pt>
                <c:pt idx="14">
                  <c:v>31/03/2005</c:v>
                </c:pt>
                <c:pt idx="15">
                  <c:v>30/04/2005</c:v>
                </c:pt>
                <c:pt idx="16">
                  <c:v>31/05/2005</c:v>
                </c:pt>
                <c:pt idx="17">
                  <c:v>30/06/2005</c:v>
                </c:pt>
                <c:pt idx="18">
                  <c:v>31/07/2005</c:v>
                </c:pt>
                <c:pt idx="19">
                  <c:v>31/08/2005</c:v>
                </c:pt>
                <c:pt idx="20">
                  <c:v>30/09/2005</c:v>
                </c:pt>
                <c:pt idx="21">
                  <c:v>31/10/2005</c:v>
                </c:pt>
                <c:pt idx="22">
                  <c:v>30/11/2005</c:v>
                </c:pt>
                <c:pt idx="23">
                  <c:v>31/12/2005</c:v>
                </c:pt>
                <c:pt idx="24">
                  <c:v>31/01/2006</c:v>
                </c:pt>
                <c:pt idx="25">
                  <c:v>28/02/2006</c:v>
                </c:pt>
                <c:pt idx="26">
                  <c:v>31/03/2006</c:v>
                </c:pt>
                <c:pt idx="27">
                  <c:v>30/04/2006</c:v>
                </c:pt>
                <c:pt idx="28">
                  <c:v>31/05/2006</c:v>
                </c:pt>
                <c:pt idx="29">
                  <c:v>30/06/2006</c:v>
                </c:pt>
                <c:pt idx="30">
                  <c:v>31/07/2006</c:v>
                </c:pt>
                <c:pt idx="31">
                  <c:v>31/08/2006</c:v>
                </c:pt>
                <c:pt idx="32">
                  <c:v>30/09/2006</c:v>
                </c:pt>
                <c:pt idx="33">
                  <c:v>31/10/2006</c:v>
                </c:pt>
                <c:pt idx="34">
                  <c:v>30/11/2006</c:v>
                </c:pt>
                <c:pt idx="35">
                  <c:v>31/12/2006</c:v>
                </c:pt>
                <c:pt idx="36">
                  <c:v>31/01/2007</c:v>
                </c:pt>
                <c:pt idx="37">
                  <c:v>28/02/2007</c:v>
                </c:pt>
                <c:pt idx="38">
                  <c:v>31/03/2007</c:v>
                </c:pt>
                <c:pt idx="39">
                  <c:v>30/04/2007</c:v>
                </c:pt>
                <c:pt idx="40">
                  <c:v>31/05/2007</c:v>
                </c:pt>
                <c:pt idx="41">
                  <c:v>30/06/2007</c:v>
                </c:pt>
                <c:pt idx="42">
                  <c:v>31/07/2007</c:v>
                </c:pt>
                <c:pt idx="43">
                  <c:v>31/08/2007</c:v>
                </c:pt>
                <c:pt idx="44">
                  <c:v>30/09/2007</c:v>
                </c:pt>
                <c:pt idx="45">
                  <c:v>31/10/2007</c:v>
                </c:pt>
                <c:pt idx="46">
                  <c:v>30/11/2007</c:v>
                </c:pt>
                <c:pt idx="47">
                  <c:v>31/12/2007</c:v>
                </c:pt>
                <c:pt idx="48">
                  <c:v>31/01/2008</c:v>
                </c:pt>
                <c:pt idx="49">
                  <c:v>29/02/2008</c:v>
                </c:pt>
                <c:pt idx="50">
                  <c:v>31/03/2008</c:v>
                </c:pt>
                <c:pt idx="51">
                  <c:v>30/04/2008</c:v>
                </c:pt>
                <c:pt idx="52">
                  <c:v>31/05/2008</c:v>
                </c:pt>
                <c:pt idx="53">
                  <c:v>30/06/2008</c:v>
                </c:pt>
                <c:pt idx="54">
                  <c:v>31/07/2008</c:v>
                </c:pt>
                <c:pt idx="55">
                  <c:v>31/08/2008</c:v>
                </c:pt>
                <c:pt idx="56">
                  <c:v>30/09/2008</c:v>
                </c:pt>
                <c:pt idx="57">
                  <c:v>31/10/2008</c:v>
                </c:pt>
                <c:pt idx="58">
                  <c:v>30/11/2008</c:v>
                </c:pt>
                <c:pt idx="59">
                  <c:v>31/12/2008</c:v>
                </c:pt>
                <c:pt idx="60">
                  <c:v>31/01/2009</c:v>
                </c:pt>
                <c:pt idx="61">
                  <c:v>28/02/2009</c:v>
                </c:pt>
                <c:pt idx="62">
                  <c:v>31/03/2009</c:v>
                </c:pt>
                <c:pt idx="63">
                  <c:v>30/04/2009</c:v>
                </c:pt>
                <c:pt idx="64">
                  <c:v>31/05/2009</c:v>
                </c:pt>
                <c:pt idx="65">
                  <c:v>30/06/2009</c:v>
                </c:pt>
                <c:pt idx="66">
                  <c:v>31/07/2009</c:v>
                </c:pt>
                <c:pt idx="67">
                  <c:v>31/08/2009</c:v>
                </c:pt>
                <c:pt idx="68">
                  <c:v>30/09/2009</c:v>
                </c:pt>
                <c:pt idx="69">
                  <c:v>31/10/2009</c:v>
                </c:pt>
                <c:pt idx="70">
                  <c:v>30/11/2009</c:v>
                </c:pt>
                <c:pt idx="71">
                  <c:v>31/12/2009</c:v>
                </c:pt>
                <c:pt idx="72">
                  <c:v>31/01/2010</c:v>
                </c:pt>
                <c:pt idx="73">
                  <c:v>28/02/2010</c:v>
                </c:pt>
                <c:pt idx="74">
                  <c:v>31/03/2010</c:v>
                </c:pt>
                <c:pt idx="75">
                  <c:v>30/04/2010</c:v>
                </c:pt>
                <c:pt idx="76">
                  <c:v>31/05/2010</c:v>
                </c:pt>
                <c:pt idx="77">
                  <c:v>30/06/2010</c:v>
                </c:pt>
                <c:pt idx="78">
                  <c:v>31/07/2010</c:v>
                </c:pt>
                <c:pt idx="79">
                  <c:v>31/08/2010</c:v>
                </c:pt>
                <c:pt idx="80">
                  <c:v>30/09/2010</c:v>
                </c:pt>
                <c:pt idx="81">
                  <c:v>31/10/2010</c:v>
                </c:pt>
                <c:pt idx="82">
                  <c:v>30/11/2010</c:v>
                </c:pt>
                <c:pt idx="83">
                  <c:v>31/12/2010</c:v>
                </c:pt>
                <c:pt idx="84">
                  <c:v>31/01/2011</c:v>
                </c:pt>
                <c:pt idx="85">
                  <c:v>28/02/2011</c:v>
                </c:pt>
                <c:pt idx="86">
                  <c:v>31/03/2011</c:v>
                </c:pt>
                <c:pt idx="87">
                  <c:v>30/04/2011</c:v>
                </c:pt>
                <c:pt idx="88">
                  <c:v>31/05/2011</c:v>
                </c:pt>
                <c:pt idx="89">
                  <c:v>30/06/2011</c:v>
                </c:pt>
                <c:pt idx="90">
                  <c:v>31/07/2011</c:v>
                </c:pt>
                <c:pt idx="91">
                  <c:v>31/08/2011</c:v>
                </c:pt>
                <c:pt idx="92">
                  <c:v>30/09/2011</c:v>
                </c:pt>
                <c:pt idx="93">
                  <c:v>31/10/2011</c:v>
                </c:pt>
                <c:pt idx="94">
                  <c:v>30/11/2011</c:v>
                </c:pt>
                <c:pt idx="95">
                  <c:v>31/12/2011</c:v>
                </c:pt>
                <c:pt idx="96">
                  <c:v>31/01/2012</c:v>
                </c:pt>
                <c:pt idx="97">
                  <c:v>29/02/2012</c:v>
                </c:pt>
                <c:pt idx="98">
                  <c:v>31/03/2012</c:v>
                </c:pt>
                <c:pt idx="99">
                  <c:v>30/04/2012</c:v>
                </c:pt>
                <c:pt idx="100">
                  <c:v>31/05/2012</c:v>
                </c:pt>
                <c:pt idx="101">
                  <c:v>30/06/2012</c:v>
                </c:pt>
                <c:pt idx="102">
                  <c:v>31/07/2012</c:v>
                </c:pt>
                <c:pt idx="103">
                  <c:v>31/08/2012</c:v>
                </c:pt>
                <c:pt idx="104">
                  <c:v>30/09/2012</c:v>
                </c:pt>
                <c:pt idx="105">
                  <c:v>31/10/2012</c:v>
                </c:pt>
                <c:pt idx="106">
                  <c:v>30/11/2012</c:v>
                </c:pt>
                <c:pt idx="107">
                  <c:v>31/12/2012</c:v>
                </c:pt>
                <c:pt idx="108">
                  <c:v>31/01/2013</c:v>
                </c:pt>
                <c:pt idx="109">
                  <c:v>28/02/2013</c:v>
                </c:pt>
                <c:pt idx="110">
                  <c:v>31/03/2013</c:v>
                </c:pt>
                <c:pt idx="111">
                  <c:v>30/04/2013</c:v>
                </c:pt>
                <c:pt idx="112">
                  <c:v>31/05/2013</c:v>
                </c:pt>
                <c:pt idx="113">
                  <c:v>30/06/2013</c:v>
                </c:pt>
                <c:pt idx="114">
                  <c:v>31/07/2013</c:v>
                </c:pt>
                <c:pt idx="115">
                  <c:v>31/08/2013</c:v>
                </c:pt>
                <c:pt idx="116">
                  <c:v>30/09/2013</c:v>
                </c:pt>
                <c:pt idx="117">
                  <c:v>31/10/2013</c:v>
                </c:pt>
                <c:pt idx="118">
                  <c:v>30/11/2013</c:v>
                </c:pt>
                <c:pt idx="119">
                  <c:v>31/12/2013</c:v>
                </c:pt>
                <c:pt idx="120">
                  <c:v>31/01/2014</c:v>
                </c:pt>
                <c:pt idx="121">
                  <c:v>28/02/2014</c:v>
                </c:pt>
                <c:pt idx="122">
                  <c:v>31/03/2014</c:v>
                </c:pt>
                <c:pt idx="123">
                  <c:v>30/04/2014</c:v>
                </c:pt>
                <c:pt idx="124">
                  <c:v>31/05/2014</c:v>
                </c:pt>
                <c:pt idx="125">
                  <c:v>30/06/2014</c:v>
                </c:pt>
                <c:pt idx="126">
                  <c:v>31/07/2014</c:v>
                </c:pt>
                <c:pt idx="127">
                  <c:v>31/08/2014</c:v>
                </c:pt>
                <c:pt idx="128">
                  <c:v>30/09/2014</c:v>
                </c:pt>
                <c:pt idx="129">
                  <c:v>31/10/2014</c:v>
                </c:pt>
                <c:pt idx="130">
                  <c:v>30/11/2014</c:v>
                </c:pt>
                <c:pt idx="131">
                  <c:v>31/12/2014</c:v>
                </c:pt>
                <c:pt idx="132">
                  <c:v>31/01/2015</c:v>
                </c:pt>
                <c:pt idx="133">
                  <c:v>28/02/2015</c:v>
                </c:pt>
                <c:pt idx="134">
                  <c:v>31/03/2015</c:v>
                </c:pt>
                <c:pt idx="135">
                  <c:v>30/04/2015</c:v>
                </c:pt>
                <c:pt idx="136">
                  <c:v>31/05/2015</c:v>
                </c:pt>
                <c:pt idx="137">
                  <c:v>30/06/2015</c:v>
                </c:pt>
                <c:pt idx="138">
                  <c:v>31/07/2015</c:v>
                </c:pt>
                <c:pt idx="139">
                  <c:v>31/08/2015</c:v>
                </c:pt>
                <c:pt idx="140">
                  <c:v>30/09/2015</c:v>
                </c:pt>
                <c:pt idx="141">
                  <c:v>31/10/2015</c:v>
                </c:pt>
                <c:pt idx="142">
                  <c:v>30/11/2015</c:v>
                </c:pt>
                <c:pt idx="143">
                  <c:v>31/12/2015</c:v>
                </c:pt>
                <c:pt idx="144">
                  <c:v>31/01/2016</c:v>
                </c:pt>
                <c:pt idx="145">
                  <c:v>29/02/2016</c:v>
                </c:pt>
                <c:pt idx="146">
                  <c:v>31/03/2016</c:v>
                </c:pt>
                <c:pt idx="147">
                  <c:v>30/04/2016</c:v>
                </c:pt>
                <c:pt idx="148">
                  <c:v>31/05/2016</c:v>
                </c:pt>
                <c:pt idx="149">
                  <c:v>30/06/2016</c:v>
                </c:pt>
                <c:pt idx="150">
                  <c:v>31/07/2016</c:v>
                </c:pt>
                <c:pt idx="151">
                  <c:v>31/08/2016</c:v>
                </c:pt>
                <c:pt idx="152">
                  <c:v>30/09/2016</c:v>
                </c:pt>
                <c:pt idx="153">
                  <c:v>31/10/2016</c:v>
                </c:pt>
                <c:pt idx="154">
                  <c:v>30/11/2016</c:v>
                </c:pt>
                <c:pt idx="155">
                  <c:v>31/12/2016</c:v>
                </c:pt>
                <c:pt idx="156">
                  <c:v>31/01/2017</c:v>
                </c:pt>
                <c:pt idx="157">
                  <c:v>28/02/2017</c:v>
                </c:pt>
                <c:pt idx="158">
                  <c:v>31/03/2017</c:v>
                </c:pt>
                <c:pt idx="159">
                  <c:v>30/04/2017</c:v>
                </c:pt>
                <c:pt idx="160">
                  <c:v>31/05/2017</c:v>
                </c:pt>
                <c:pt idx="161">
                  <c:v>30/06/2017</c:v>
                </c:pt>
                <c:pt idx="162">
                  <c:v>31/07/2017</c:v>
                </c:pt>
                <c:pt idx="163">
                  <c:v>31/08/2017</c:v>
                </c:pt>
                <c:pt idx="164">
                  <c:v>30/09/2017</c:v>
                </c:pt>
                <c:pt idx="165">
                  <c:v>31/10/2017</c:v>
                </c:pt>
                <c:pt idx="166">
                  <c:v>30/11/2017</c:v>
                </c:pt>
                <c:pt idx="167">
                  <c:v>31/12/2017</c:v>
                </c:pt>
                <c:pt idx="168">
                  <c:v>31/01/2018</c:v>
                </c:pt>
                <c:pt idx="169">
                  <c:v>28/02/2018</c:v>
                </c:pt>
                <c:pt idx="170">
                  <c:v>31/03/2018</c:v>
                </c:pt>
                <c:pt idx="171">
                  <c:v>30/04/2018</c:v>
                </c:pt>
                <c:pt idx="172">
                  <c:v>31/05/2018</c:v>
                </c:pt>
                <c:pt idx="173">
                  <c:v>30/06/2018</c:v>
                </c:pt>
                <c:pt idx="174">
                  <c:v>31/07/2018</c:v>
                </c:pt>
                <c:pt idx="175">
                  <c:v>31/08/2018</c:v>
                </c:pt>
                <c:pt idx="176">
                  <c:v>30/09/2018</c:v>
                </c:pt>
                <c:pt idx="177">
                  <c:v>31/10/2018</c:v>
                </c:pt>
                <c:pt idx="178">
                  <c:v>30/11/2018</c:v>
                </c:pt>
                <c:pt idx="179">
                  <c:v>31/12/2018</c:v>
                </c:pt>
                <c:pt idx="180">
                  <c:v>31/01/2019</c:v>
                </c:pt>
                <c:pt idx="181">
                  <c:v>28/02/2019</c:v>
                </c:pt>
                <c:pt idx="182">
                  <c:v>31/03/2019</c:v>
                </c:pt>
                <c:pt idx="183">
                  <c:v>30/04/2019</c:v>
                </c:pt>
                <c:pt idx="184">
                  <c:v>31/05/2019</c:v>
                </c:pt>
                <c:pt idx="185">
                  <c:v>30/06/2019</c:v>
                </c:pt>
                <c:pt idx="186">
                  <c:v>31/07/2019</c:v>
                </c:pt>
                <c:pt idx="187">
                  <c:v>31/08/2019</c:v>
                </c:pt>
                <c:pt idx="188">
                  <c:v>30/09/2019</c:v>
                </c:pt>
                <c:pt idx="189">
                  <c:v>31/10/2019</c:v>
                </c:pt>
                <c:pt idx="190">
                  <c:v>30/11/2019</c:v>
                </c:pt>
                <c:pt idx="191">
                  <c:v>31/12/2019</c:v>
                </c:pt>
                <c:pt idx="192">
                  <c:v>31/01/2020</c:v>
                </c:pt>
                <c:pt idx="193">
                  <c:v>29/02/2020</c:v>
                </c:pt>
                <c:pt idx="194">
                  <c:v>31/03/2020</c:v>
                </c:pt>
                <c:pt idx="195">
                  <c:v>30/04/2020</c:v>
                </c:pt>
                <c:pt idx="196">
                  <c:v>31/05/2020</c:v>
                </c:pt>
                <c:pt idx="197">
                  <c:v>30/06/2020</c:v>
                </c:pt>
                <c:pt idx="198">
                  <c:v>31/07/2020</c:v>
                </c:pt>
                <c:pt idx="199">
                  <c:v>31/08/2020</c:v>
                </c:pt>
                <c:pt idx="200">
                  <c:v>30/09/2020</c:v>
                </c:pt>
                <c:pt idx="201">
                  <c:v>31/10/2020</c:v>
                </c:pt>
                <c:pt idx="202">
                  <c:v>30/11/2020</c:v>
                </c:pt>
                <c:pt idx="203">
                  <c:v>31/12/2020</c:v>
                </c:pt>
                <c:pt idx="204">
                  <c:v>31/01/2021</c:v>
                </c:pt>
                <c:pt idx="205">
                  <c:v>28/02/2021</c:v>
                </c:pt>
                <c:pt idx="206">
                  <c:v>31/03/2021</c:v>
                </c:pt>
                <c:pt idx="207">
                  <c:v>30/04/2021</c:v>
                </c:pt>
                <c:pt idx="208">
                  <c:v>31/05/2021</c:v>
                </c:pt>
                <c:pt idx="209">
                  <c:v>30/06/2021</c:v>
                </c:pt>
                <c:pt idx="210">
                  <c:v>31/07/2021</c:v>
                </c:pt>
                <c:pt idx="211">
                  <c:v>31/08/2021</c:v>
                </c:pt>
                <c:pt idx="212">
                  <c:v>30/09/2021</c:v>
                </c:pt>
                <c:pt idx="213">
                  <c:v>31/10/2021</c:v>
                </c:pt>
                <c:pt idx="214">
                  <c:v>30/11/2021</c:v>
                </c:pt>
                <c:pt idx="215">
                  <c:v>31/12/2021</c:v>
                </c:pt>
                <c:pt idx="216">
                  <c:v>31/01/2022</c:v>
                </c:pt>
                <c:pt idx="217">
                  <c:v>28/02/2022</c:v>
                </c:pt>
                <c:pt idx="218">
                  <c:v>31/03/2022</c:v>
                </c:pt>
                <c:pt idx="219">
                  <c:v>30/04/2022</c:v>
                </c:pt>
                <c:pt idx="220">
                  <c:v>31/05/2022</c:v>
                </c:pt>
                <c:pt idx="221">
                  <c:v>30/06/2022</c:v>
                </c:pt>
                <c:pt idx="222">
                  <c:v>31/07/2022</c:v>
                </c:pt>
                <c:pt idx="223">
                  <c:v>31/08/2022</c:v>
                </c:pt>
                <c:pt idx="224">
                  <c:v>30/09/2022</c:v>
                </c:pt>
                <c:pt idx="225">
                  <c:v>31/10/2022</c:v>
                </c:pt>
                <c:pt idx="226">
                  <c:v>30/11/2022</c:v>
                </c:pt>
                <c:pt idx="227">
                  <c:v>31/12/2022</c:v>
                </c:pt>
                <c:pt idx="228">
                  <c:v>31/01/2023</c:v>
                </c:pt>
                <c:pt idx="229">
                  <c:v>28/02/2023</c:v>
                </c:pt>
                <c:pt idx="230">
                  <c:v>31/03/2023</c:v>
                </c:pt>
                <c:pt idx="231">
                  <c:v>30/04/2023</c:v>
                </c:pt>
                <c:pt idx="232">
                  <c:v>31/05/2023</c:v>
                </c:pt>
                <c:pt idx="233">
                  <c:v>30/06/2023</c:v>
                </c:pt>
                <c:pt idx="234">
                  <c:v>31/07/2023</c:v>
                </c:pt>
                <c:pt idx="235">
                  <c:v>31/08/2023</c:v>
                </c:pt>
                <c:pt idx="236">
                  <c:v>30/09/2023</c:v>
                </c:pt>
                <c:pt idx="237">
                  <c:v>31/10/2023</c:v>
                </c:pt>
                <c:pt idx="238">
                  <c:v>30/11/2023</c:v>
                </c:pt>
                <c:pt idx="239">
                  <c:v>31/12/2023</c:v>
                </c:pt>
                <c:pt idx="240">
                  <c:v>31/01/2024</c:v>
                </c:pt>
                <c:pt idx="241">
                  <c:v>29/02/2024</c:v>
                </c:pt>
                <c:pt idx="242">
                  <c:v>31/03/2024</c:v>
                </c:pt>
                <c:pt idx="243">
                  <c:v>30/04/2024</c:v>
                </c:pt>
                <c:pt idx="244">
                  <c:v>31/05/2024</c:v>
                </c:pt>
                <c:pt idx="245">
                  <c:v>30/06/2024</c:v>
                </c:pt>
                <c:pt idx="246">
                  <c:v>31/07/2024</c:v>
                </c:pt>
                <c:pt idx="247">
                  <c:v>31/08/2024</c:v>
                </c:pt>
                <c:pt idx="248">
                  <c:v>30/09/2024</c:v>
                </c:pt>
                <c:pt idx="249">
                  <c:v>31/10/2024</c:v>
                </c:pt>
                <c:pt idx="250">
                  <c:v>30/11/2024</c:v>
                </c:pt>
                <c:pt idx="251">
                  <c:v>31/12/2024</c:v>
                </c:pt>
                <c:pt idx="252">
                  <c:v>31/01/2025</c:v>
                </c:pt>
                <c:pt idx="253">
                  <c:v>28/02/2025</c:v>
                </c:pt>
                <c:pt idx="254">
                  <c:v>31/03/2025</c:v>
                </c:pt>
                <c:pt idx="255">
                  <c:v>30/04/2025</c:v>
                </c:pt>
                <c:pt idx="256">
                  <c:v>31/05/2025</c:v>
                </c:pt>
                <c:pt idx="257">
                  <c:v>30/06/2025</c:v>
                </c:pt>
                <c:pt idx="258">
                  <c:v>31/07/2025</c:v>
                </c:pt>
                <c:pt idx="259">
                  <c:v>31/08/2025</c:v>
                </c:pt>
                <c:pt idx="260">
                  <c:v>30/09/2025</c:v>
                </c:pt>
                <c:pt idx="261">
                  <c:v>31/10/2025</c:v>
                </c:pt>
                <c:pt idx="262">
                  <c:v>30/11/2025</c:v>
                </c:pt>
                <c:pt idx="263">
                  <c:v>31/12/2025</c:v>
                </c:pt>
                <c:pt idx="264">
                  <c:v>31/01/2026</c:v>
                </c:pt>
                <c:pt idx="265">
                  <c:v>28/02/2026</c:v>
                </c:pt>
                <c:pt idx="266">
                  <c:v>31/03/2026</c:v>
                </c:pt>
                <c:pt idx="267">
                  <c:v>30/04/2026</c:v>
                </c:pt>
                <c:pt idx="268">
                  <c:v>31/05/2026</c:v>
                </c:pt>
                <c:pt idx="269">
                  <c:v>30/06/2026</c:v>
                </c:pt>
                <c:pt idx="270">
                  <c:v>31/07/2026</c:v>
                </c:pt>
                <c:pt idx="271">
                  <c:v>31/08/2026</c:v>
                </c:pt>
              </c:strCache>
            </c:strRef>
          </c:cat>
          <c:val>
            <c:numRef>
              <c:f>Backtest!$O$2:$O$273</c:f>
              <c:numCache>
                <c:formatCode>0.00%</c:formatCode>
                <c:ptCount val="272"/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0.00486160792823744</c:v>
                </c:pt>
                <c:pt idx="134">
                  <c:v>0.00376918152326385</c:v>
                </c:pt>
                <c:pt idx="135">
                  <c:v>0.0121075755268966</c:v>
                </c:pt>
                <c:pt idx="136">
                  <c:v>0.00988278863720793</c:v>
                </c:pt>
                <c:pt idx="137">
                  <c:v>0.0119879919725793</c:v>
                </c:pt>
                <c:pt idx="138">
                  <c:v>0.0176456886787908</c:v>
                </c:pt>
                <c:pt idx="139">
                  <c:v>0.0159106310864623</c:v>
                </c:pt>
                <c:pt idx="140">
                  <c:v>0.0433935782653511</c:v>
                </c:pt>
                <c:pt idx="141">
                  <c:v>0.0318316544419852</c:v>
                </c:pt>
                <c:pt idx="142">
                  <c:v>0.0581299410683894</c:v>
                </c:pt>
                <c:pt idx="143">
                  <c:v>0.0723441630667213</c:v>
                </c:pt>
                <c:pt idx="144">
                  <c:v>0.0148236786033537</c:v>
                </c:pt>
                <c:pt idx="145">
                  <c:v>-0.0104550988918184</c:v>
                </c:pt>
                <c:pt idx="146">
                  <c:v>0.0440784879079741</c:v>
                </c:pt>
                <c:pt idx="147">
                  <c:v>0.0461949540919639</c:v>
                </c:pt>
                <c:pt idx="148">
                  <c:v>0.00722998799137962</c:v>
                </c:pt>
                <c:pt idx="149">
                  <c:v>0.0366077722805796</c:v>
                </c:pt>
                <c:pt idx="150">
                  <c:v>0.0749694730987426</c:v>
                </c:pt>
                <c:pt idx="151">
                  <c:v>0.101510079678923</c:v>
                </c:pt>
                <c:pt idx="152">
                  <c:v>0.0853271582150104</c:v>
                </c:pt>
                <c:pt idx="153">
                  <c:v>0.102701135552449</c:v>
                </c:pt>
                <c:pt idx="154">
                  <c:v>0.0943792031761503</c:v>
                </c:pt>
                <c:pt idx="155">
                  <c:v>0.0905929177386214</c:v>
                </c:pt>
                <c:pt idx="156">
                  <c:v>0.081665777136174</c:v>
                </c:pt>
                <c:pt idx="157">
                  <c:v>0.0818263361746962</c:v>
                </c:pt>
                <c:pt idx="158">
                  <c:v>0.0805033500552325</c:v>
                </c:pt>
                <c:pt idx="159">
                  <c:v>0.080285184223187</c:v>
                </c:pt>
                <c:pt idx="160">
                  <c:v>0.0801400168701832</c:v>
                </c:pt>
                <c:pt idx="161">
                  <c:v>0.0804996055838957</c:v>
                </c:pt>
                <c:pt idx="162">
                  <c:v>0.0804693732016001</c:v>
                </c:pt>
                <c:pt idx="163">
                  <c:v>0.0770956790550955</c:v>
                </c:pt>
                <c:pt idx="164">
                  <c:v>0.0725776974278719</c:v>
                </c:pt>
                <c:pt idx="165">
                  <c:v>0.075570241300331</c:v>
                </c:pt>
                <c:pt idx="166">
                  <c:v>0.0655662195963595</c:v>
                </c:pt>
                <c:pt idx="167">
                  <c:v>0.0589547780495726</c:v>
                </c:pt>
                <c:pt idx="168">
                  <c:v>0.0558851581781488</c:v>
                </c:pt>
                <c:pt idx="169">
                  <c:v>0.0541311273997963</c:v>
                </c:pt>
                <c:pt idx="170">
                  <c:v>0.0513215220897334</c:v>
                </c:pt>
                <c:pt idx="171">
                  <c:v>0.0584823839180149</c:v>
                </c:pt>
                <c:pt idx="172">
                  <c:v>0.0813531212484942</c:v>
                </c:pt>
                <c:pt idx="173">
                  <c:v>0.0541326122714892</c:v>
                </c:pt>
                <c:pt idx="174">
                  <c:v>0.0789612915368231</c:v>
                </c:pt>
                <c:pt idx="175">
                  <c:v>0.151587288499777</c:v>
                </c:pt>
                <c:pt idx="176">
                  <c:v>0.149042892889483</c:v>
                </c:pt>
                <c:pt idx="177">
                  <c:v>0.135514570967165</c:v>
                </c:pt>
                <c:pt idx="178">
                  <c:v>0.157769631698471</c:v>
                </c:pt>
                <c:pt idx="179">
                  <c:v>0.126699477686574</c:v>
                </c:pt>
                <c:pt idx="180">
                  <c:v>0.112190492861669</c:v>
                </c:pt>
                <c:pt idx="181">
                  <c:v>0.0899216478773284</c:v>
                </c:pt>
                <c:pt idx="182">
                  <c:v>0.128248404325733</c:v>
                </c:pt>
                <c:pt idx="183">
                  <c:v>0.145248655595283</c:v>
                </c:pt>
                <c:pt idx="184">
                  <c:v>0.144921382876758</c:v>
                </c:pt>
                <c:pt idx="185">
                  <c:v>0.132625491432471</c:v>
                </c:pt>
                <c:pt idx="186">
                  <c:v>0.122909478833116</c:v>
                </c:pt>
                <c:pt idx="187">
                  <c:v>0.187955736711561</c:v>
                </c:pt>
                <c:pt idx="188">
                  <c:v>0.178198655132967</c:v>
                </c:pt>
                <c:pt idx="189">
                  <c:v>0.181564731647926</c:v>
                </c:pt>
                <c:pt idx="190">
                  <c:v>0.159804348871789</c:v>
                </c:pt>
                <c:pt idx="191">
                  <c:v>0.157841904206384</c:v>
                </c:pt>
                <c:pt idx="192">
                  <c:v>0.152462083176326</c:v>
                </c:pt>
                <c:pt idx="193">
                  <c:v>0.151053842993897</c:v>
                </c:pt>
                <c:pt idx="194">
                  <c:v>0.146683619945374</c:v>
                </c:pt>
                <c:pt idx="195">
                  <c:v>0.148088328694303</c:v>
                </c:pt>
                <c:pt idx="196">
                  <c:v>0.148846489256715</c:v>
                </c:pt>
                <c:pt idx="197">
                  <c:v>0.148218194375011</c:v>
                </c:pt>
                <c:pt idx="198">
                  <c:v>0.146982175905941</c:v>
                </c:pt>
                <c:pt idx="199">
                  <c:v>0.145161152711641</c:v>
                </c:pt>
                <c:pt idx="200">
                  <c:v>0.16142981223192</c:v>
                </c:pt>
                <c:pt idx="201">
                  <c:v>0.158521097284229</c:v>
                </c:pt>
                <c:pt idx="202">
                  <c:v>0.119398745491086</c:v>
                </c:pt>
                <c:pt idx="203">
                  <c:v>0.136559842460327</c:v>
                </c:pt>
                <c:pt idx="204">
                  <c:v>0.175146215507825</c:v>
                </c:pt>
                <c:pt idx="205">
                  <c:v>0.170993177347775</c:v>
                </c:pt>
                <c:pt idx="206">
                  <c:v>0.17301541623138</c:v>
                </c:pt>
                <c:pt idx="207">
                  <c:v>0.197927428908993</c:v>
                </c:pt>
                <c:pt idx="208">
                  <c:v>0.193182357095057</c:v>
                </c:pt>
                <c:pt idx="209">
                  <c:v>0.201765936718237</c:v>
                </c:pt>
                <c:pt idx="210">
                  <c:v>0.209459283815735</c:v>
                </c:pt>
                <c:pt idx="211">
                  <c:v>0.206854755056482</c:v>
                </c:pt>
                <c:pt idx="212">
                  <c:v>0.204103162040152</c:v>
                </c:pt>
                <c:pt idx="213">
                  <c:v>0.196403296222212</c:v>
                </c:pt>
                <c:pt idx="214">
                  <c:v>0.164566436398851</c:v>
                </c:pt>
                <c:pt idx="215">
                  <c:v>0.17892935755197</c:v>
                </c:pt>
                <c:pt idx="216">
                  <c:v>0.228480180764122</c:v>
                </c:pt>
                <c:pt idx="217">
                  <c:v>0.206573922904686</c:v>
                </c:pt>
                <c:pt idx="218">
                  <c:v>0.218181230992861</c:v>
                </c:pt>
                <c:pt idx="219">
                  <c:v>0.243122983291628</c:v>
                </c:pt>
                <c:pt idx="220">
                  <c:v>0.278734595389307</c:v>
                </c:pt>
                <c:pt idx="221">
                  <c:v>0.247607125050276</c:v>
                </c:pt>
                <c:pt idx="222">
                  <c:v>0.229362754879152</c:v>
                </c:pt>
                <c:pt idx="223">
                  <c:v>0.338315686198143</c:v>
                </c:pt>
                <c:pt idx="224">
                  <c:v>0.437057805766104</c:v>
                </c:pt>
                <c:pt idx="225">
                  <c:v>0.523608507240071</c:v>
                </c:pt>
                <c:pt idx="226">
                  <c:v>0.558762335818391</c:v>
                </c:pt>
                <c:pt idx="227">
                  <c:v>0.561006249815549</c:v>
                </c:pt>
                <c:pt idx="228">
                  <c:v>0.525732778066794</c:v>
                </c:pt>
                <c:pt idx="229">
                  <c:v>0.555101447989423</c:v>
                </c:pt>
                <c:pt idx="230">
                  <c:v>0.586148012364138</c:v>
                </c:pt>
                <c:pt idx="231">
                  <c:v>0.562760159262995</c:v>
                </c:pt>
                <c:pt idx="232">
                  <c:v>0.560362867338062</c:v>
                </c:pt>
                <c:pt idx="233">
                  <c:v>0.57060618440776</c:v>
                </c:pt>
                <c:pt idx="234">
                  <c:v>0.55537018519447</c:v>
                </c:pt>
                <c:pt idx="235">
                  <c:v>0.565216712237921</c:v>
                </c:pt>
                <c:pt idx="236">
                  <c:v>0.56012612792041</c:v>
                </c:pt>
                <c:pt idx="237">
                  <c:v>0.554724593407316</c:v>
                </c:pt>
                <c:pt idx="238">
                  <c:v>0.549697682382541</c:v>
                </c:pt>
                <c:pt idx="239">
                  <c:v>0.55301010200636</c:v>
                </c:pt>
                <c:pt idx="240">
                  <c:v>0.557700446214031</c:v>
                </c:pt>
                <c:pt idx="241">
                  <c:v>0.557361757539967</c:v>
                </c:pt>
                <c:pt idx="242">
                  <c:v>0.564474763094643</c:v>
                </c:pt>
                <c:pt idx="243">
                  <c:v>0.564666471148052</c:v>
                </c:pt>
                <c:pt idx="244">
                  <c:v>0.564277247756143</c:v>
                </c:pt>
                <c:pt idx="245">
                  <c:v>0.564166658760678</c:v>
                </c:pt>
                <c:pt idx="246">
                  <c:v>0.564554535368802</c:v>
                </c:pt>
                <c:pt idx="247">
                  <c:v>0.567225922360611</c:v>
                </c:pt>
                <c:pt idx="248">
                  <c:v>0.559460770644301</c:v>
                </c:pt>
                <c:pt idx="249">
                  <c:v>0.561354322976595</c:v>
                </c:pt>
                <c:pt idx="250">
                  <c:v>0.573156075582066</c:v>
                </c:pt>
                <c:pt idx="251">
                  <c:v>0.570151833724496</c:v>
                </c:pt>
                <c:pt idx="252">
                  <c:v>0.563610326448897</c:v>
                </c:pt>
                <c:pt idx="253">
                  <c:v>0.570014029691963</c:v>
                </c:pt>
                <c:pt idx="254">
                  <c:v>0.579023499271716</c:v>
                </c:pt>
                <c:pt idx="255">
                  <c:v>0.561070780357805</c:v>
                </c:pt>
                <c:pt idx="256">
                  <c:v>0.569356544350798</c:v>
                </c:pt>
                <c:pt idx="257">
                  <c:v>0.574577819747456</c:v>
                </c:pt>
                <c:pt idx="258">
                  <c:v>0.576483694427211</c:v>
                </c:pt>
                <c:pt idx="259">
                  <c:v>0.586590497642425</c:v>
                </c:pt>
                <c:pt idx="260">
                  <c:v>0.590359406854989</c:v>
                </c:pt>
                <c:pt idx="261">
                  <c:v>0.569958426454134</c:v>
                </c:pt>
                <c:pt idx="262">
                  <c:v>0.572667073624638</c:v>
                </c:pt>
                <c:pt idx="263">
                  <c:v>0.564798329388028</c:v>
                </c:pt>
                <c:pt idx="264">
                  <c:v>0.567507280815547</c:v>
                </c:pt>
                <c:pt idx="265">
                  <c:v>0.570674300574457</c:v>
                </c:pt>
                <c:pt idx="266">
                  <c:v>0.579379831599371</c:v>
                </c:pt>
                <c:pt idx="267">
                  <c:v>0.574414749422694</c:v>
                </c:pt>
                <c:pt idx="268">
                  <c:v>0.577065381151182</c:v>
                </c:pt>
                <c:pt idx="269">
                  <c:v>0.574214027866464</c:v>
                </c:pt>
                <c:pt idx="270">
                  <c:v>0.580352593122448</c:v>
                </c:pt>
                <c:pt idx="271">
                  <c:v>0.583259904692374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Backtest!V1</c:f>
              <c:strCache>
                <c:ptCount val="1"/>
                <c:pt idx="0">
                  <c:v>Acum. s/cub.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Backtest!$A$2:$A$273</c:f>
              <c:strCache>
                <c:ptCount val="272"/>
                <c:pt idx="0">
                  <c:v>31/01/2004</c:v>
                </c:pt>
                <c:pt idx="1">
                  <c:v>29/02/2004</c:v>
                </c:pt>
                <c:pt idx="2">
                  <c:v>31/03/2004</c:v>
                </c:pt>
                <c:pt idx="3">
                  <c:v>30/04/2004</c:v>
                </c:pt>
                <c:pt idx="4">
                  <c:v>31/05/2004</c:v>
                </c:pt>
                <c:pt idx="5">
                  <c:v>30/06/2004</c:v>
                </c:pt>
                <c:pt idx="6">
                  <c:v>31/07/2004</c:v>
                </c:pt>
                <c:pt idx="7">
                  <c:v>31/08/2004</c:v>
                </c:pt>
                <c:pt idx="8">
                  <c:v>30/09/2004</c:v>
                </c:pt>
                <c:pt idx="9">
                  <c:v>31/10/2004</c:v>
                </c:pt>
                <c:pt idx="10">
                  <c:v>30/11/2004</c:v>
                </c:pt>
                <c:pt idx="11">
                  <c:v>31/12/2004</c:v>
                </c:pt>
                <c:pt idx="12">
                  <c:v>31/01/2005</c:v>
                </c:pt>
                <c:pt idx="13">
                  <c:v>28/02/2005</c:v>
                </c:pt>
                <c:pt idx="14">
                  <c:v>31/03/2005</c:v>
                </c:pt>
                <c:pt idx="15">
                  <c:v>30/04/2005</c:v>
                </c:pt>
                <c:pt idx="16">
                  <c:v>31/05/2005</c:v>
                </c:pt>
                <c:pt idx="17">
                  <c:v>30/06/2005</c:v>
                </c:pt>
                <c:pt idx="18">
                  <c:v>31/07/2005</c:v>
                </c:pt>
                <c:pt idx="19">
                  <c:v>31/08/2005</c:v>
                </c:pt>
                <c:pt idx="20">
                  <c:v>30/09/2005</c:v>
                </c:pt>
                <c:pt idx="21">
                  <c:v>31/10/2005</c:v>
                </c:pt>
                <c:pt idx="22">
                  <c:v>30/11/2005</c:v>
                </c:pt>
                <c:pt idx="23">
                  <c:v>31/12/2005</c:v>
                </c:pt>
                <c:pt idx="24">
                  <c:v>31/01/2006</c:v>
                </c:pt>
                <c:pt idx="25">
                  <c:v>28/02/2006</c:v>
                </c:pt>
                <c:pt idx="26">
                  <c:v>31/03/2006</c:v>
                </c:pt>
                <c:pt idx="27">
                  <c:v>30/04/2006</c:v>
                </c:pt>
                <c:pt idx="28">
                  <c:v>31/05/2006</c:v>
                </c:pt>
                <c:pt idx="29">
                  <c:v>30/06/2006</c:v>
                </c:pt>
                <c:pt idx="30">
                  <c:v>31/07/2006</c:v>
                </c:pt>
                <c:pt idx="31">
                  <c:v>31/08/2006</c:v>
                </c:pt>
                <c:pt idx="32">
                  <c:v>30/09/2006</c:v>
                </c:pt>
                <c:pt idx="33">
                  <c:v>31/10/2006</c:v>
                </c:pt>
                <c:pt idx="34">
                  <c:v>30/11/2006</c:v>
                </c:pt>
                <c:pt idx="35">
                  <c:v>31/12/2006</c:v>
                </c:pt>
                <c:pt idx="36">
                  <c:v>31/01/2007</c:v>
                </c:pt>
                <c:pt idx="37">
                  <c:v>28/02/2007</c:v>
                </c:pt>
                <c:pt idx="38">
                  <c:v>31/03/2007</c:v>
                </c:pt>
                <c:pt idx="39">
                  <c:v>30/04/2007</c:v>
                </c:pt>
                <c:pt idx="40">
                  <c:v>31/05/2007</c:v>
                </c:pt>
                <c:pt idx="41">
                  <c:v>30/06/2007</c:v>
                </c:pt>
                <c:pt idx="42">
                  <c:v>31/07/2007</c:v>
                </c:pt>
                <c:pt idx="43">
                  <c:v>31/08/2007</c:v>
                </c:pt>
                <c:pt idx="44">
                  <c:v>30/09/2007</c:v>
                </c:pt>
                <c:pt idx="45">
                  <c:v>31/10/2007</c:v>
                </c:pt>
                <c:pt idx="46">
                  <c:v>30/11/2007</c:v>
                </c:pt>
                <c:pt idx="47">
                  <c:v>31/12/2007</c:v>
                </c:pt>
                <c:pt idx="48">
                  <c:v>31/01/2008</c:v>
                </c:pt>
                <c:pt idx="49">
                  <c:v>29/02/2008</c:v>
                </c:pt>
                <c:pt idx="50">
                  <c:v>31/03/2008</c:v>
                </c:pt>
                <c:pt idx="51">
                  <c:v>30/04/2008</c:v>
                </c:pt>
                <c:pt idx="52">
                  <c:v>31/05/2008</c:v>
                </c:pt>
                <c:pt idx="53">
                  <c:v>30/06/2008</c:v>
                </c:pt>
                <c:pt idx="54">
                  <c:v>31/07/2008</c:v>
                </c:pt>
                <c:pt idx="55">
                  <c:v>31/08/2008</c:v>
                </c:pt>
                <c:pt idx="56">
                  <c:v>30/09/2008</c:v>
                </c:pt>
                <c:pt idx="57">
                  <c:v>31/10/2008</c:v>
                </c:pt>
                <c:pt idx="58">
                  <c:v>30/11/2008</c:v>
                </c:pt>
                <c:pt idx="59">
                  <c:v>31/12/2008</c:v>
                </c:pt>
                <c:pt idx="60">
                  <c:v>31/01/2009</c:v>
                </c:pt>
                <c:pt idx="61">
                  <c:v>28/02/2009</c:v>
                </c:pt>
                <c:pt idx="62">
                  <c:v>31/03/2009</c:v>
                </c:pt>
                <c:pt idx="63">
                  <c:v>30/04/2009</c:v>
                </c:pt>
                <c:pt idx="64">
                  <c:v>31/05/2009</c:v>
                </c:pt>
                <c:pt idx="65">
                  <c:v>30/06/2009</c:v>
                </c:pt>
                <c:pt idx="66">
                  <c:v>31/07/2009</c:v>
                </c:pt>
                <c:pt idx="67">
                  <c:v>31/08/2009</c:v>
                </c:pt>
                <c:pt idx="68">
                  <c:v>30/09/2009</c:v>
                </c:pt>
                <c:pt idx="69">
                  <c:v>31/10/2009</c:v>
                </c:pt>
                <c:pt idx="70">
                  <c:v>30/11/2009</c:v>
                </c:pt>
                <c:pt idx="71">
                  <c:v>31/12/2009</c:v>
                </c:pt>
                <c:pt idx="72">
                  <c:v>31/01/2010</c:v>
                </c:pt>
                <c:pt idx="73">
                  <c:v>28/02/2010</c:v>
                </c:pt>
                <c:pt idx="74">
                  <c:v>31/03/2010</c:v>
                </c:pt>
                <c:pt idx="75">
                  <c:v>30/04/2010</c:v>
                </c:pt>
                <c:pt idx="76">
                  <c:v>31/05/2010</c:v>
                </c:pt>
                <c:pt idx="77">
                  <c:v>30/06/2010</c:v>
                </c:pt>
                <c:pt idx="78">
                  <c:v>31/07/2010</c:v>
                </c:pt>
                <c:pt idx="79">
                  <c:v>31/08/2010</c:v>
                </c:pt>
                <c:pt idx="80">
                  <c:v>30/09/2010</c:v>
                </c:pt>
                <c:pt idx="81">
                  <c:v>31/10/2010</c:v>
                </c:pt>
                <c:pt idx="82">
                  <c:v>30/11/2010</c:v>
                </c:pt>
                <c:pt idx="83">
                  <c:v>31/12/2010</c:v>
                </c:pt>
                <c:pt idx="84">
                  <c:v>31/01/2011</c:v>
                </c:pt>
                <c:pt idx="85">
                  <c:v>28/02/2011</c:v>
                </c:pt>
                <c:pt idx="86">
                  <c:v>31/03/2011</c:v>
                </c:pt>
                <c:pt idx="87">
                  <c:v>30/04/2011</c:v>
                </c:pt>
                <c:pt idx="88">
                  <c:v>31/05/2011</c:v>
                </c:pt>
                <c:pt idx="89">
                  <c:v>30/06/2011</c:v>
                </c:pt>
                <c:pt idx="90">
                  <c:v>31/07/2011</c:v>
                </c:pt>
                <c:pt idx="91">
                  <c:v>31/08/2011</c:v>
                </c:pt>
                <c:pt idx="92">
                  <c:v>30/09/2011</c:v>
                </c:pt>
                <c:pt idx="93">
                  <c:v>31/10/2011</c:v>
                </c:pt>
                <c:pt idx="94">
                  <c:v>30/11/2011</c:v>
                </c:pt>
                <c:pt idx="95">
                  <c:v>31/12/2011</c:v>
                </c:pt>
                <c:pt idx="96">
                  <c:v>31/01/2012</c:v>
                </c:pt>
                <c:pt idx="97">
                  <c:v>29/02/2012</c:v>
                </c:pt>
                <c:pt idx="98">
                  <c:v>31/03/2012</c:v>
                </c:pt>
                <c:pt idx="99">
                  <c:v>30/04/2012</c:v>
                </c:pt>
                <c:pt idx="100">
                  <c:v>31/05/2012</c:v>
                </c:pt>
                <c:pt idx="101">
                  <c:v>30/06/2012</c:v>
                </c:pt>
                <c:pt idx="102">
                  <c:v>31/07/2012</c:v>
                </c:pt>
                <c:pt idx="103">
                  <c:v>31/08/2012</c:v>
                </c:pt>
                <c:pt idx="104">
                  <c:v>30/09/2012</c:v>
                </c:pt>
                <c:pt idx="105">
                  <c:v>31/10/2012</c:v>
                </c:pt>
                <c:pt idx="106">
                  <c:v>30/11/2012</c:v>
                </c:pt>
                <c:pt idx="107">
                  <c:v>31/12/2012</c:v>
                </c:pt>
                <c:pt idx="108">
                  <c:v>31/01/2013</c:v>
                </c:pt>
                <c:pt idx="109">
                  <c:v>28/02/2013</c:v>
                </c:pt>
                <c:pt idx="110">
                  <c:v>31/03/2013</c:v>
                </c:pt>
                <c:pt idx="111">
                  <c:v>30/04/2013</c:v>
                </c:pt>
                <c:pt idx="112">
                  <c:v>31/05/2013</c:v>
                </c:pt>
                <c:pt idx="113">
                  <c:v>30/06/2013</c:v>
                </c:pt>
                <c:pt idx="114">
                  <c:v>31/07/2013</c:v>
                </c:pt>
                <c:pt idx="115">
                  <c:v>31/08/2013</c:v>
                </c:pt>
                <c:pt idx="116">
                  <c:v>30/09/2013</c:v>
                </c:pt>
                <c:pt idx="117">
                  <c:v>31/10/2013</c:v>
                </c:pt>
                <c:pt idx="118">
                  <c:v>30/11/2013</c:v>
                </c:pt>
                <c:pt idx="119">
                  <c:v>31/12/2013</c:v>
                </c:pt>
                <c:pt idx="120">
                  <c:v>31/01/2014</c:v>
                </c:pt>
                <c:pt idx="121">
                  <c:v>28/02/2014</c:v>
                </c:pt>
                <c:pt idx="122">
                  <c:v>31/03/2014</c:v>
                </c:pt>
                <c:pt idx="123">
                  <c:v>30/04/2014</c:v>
                </c:pt>
                <c:pt idx="124">
                  <c:v>31/05/2014</c:v>
                </c:pt>
                <c:pt idx="125">
                  <c:v>30/06/2014</c:v>
                </c:pt>
                <c:pt idx="126">
                  <c:v>31/07/2014</c:v>
                </c:pt>
                <c:pt idx="127">
                  <c:v>31/08/2014</c:v>
                </c:pt>
                <c:pt idx="128">
                  <c:v>30/09/2014</c:v>
                </c:pt>
                <c:pt idx="129">
                  <c:v>31/10/2014</c:v>
                </c:pt>
                <c:pt idx="130">
                  <c:v>30/11/2014</c:v>
                </c:pt>
                <c:pt idx="131">
                  <c:v>31/12/2014</c:v>
                </c:pt>
                <c:pt idx="132">
                  <c:v>31/01/2015</c:v>
                </c:pt>
                <c:pt idx="133">
                  <c:v>28/02/2015</c:v>
                </c:pt>
                <c:pt idx="134">
                  <c:v>31/03/2015</c:v>
                </c:pt>
                <c:pt idx="135">
                  <c:v>30/04/2015</c:v>
                </c:pt>
                <c:pt idx="136">
                  <c:v>31/05/2015</c:v>
                </c:pt>
                <c:pt idx="137">
                  <c:v>30/06/2015</c:v>
                </c:pt>
                <c:pt idx="138">
                  <c:v>31/07/2015</c:v>
                </c:pt>
                <c:pt idx="139">
                  <c:v>31/08/2015</c:v>
                </c:pt>
                <c:pt idx="140">
                  <c:v>30/09/2015</c:v>
                </c:pt>
                <c:pt idx="141">
                  <c:v>31/10/2015</c:v>
                </c:pt>
                <c:pt idx="142">
                  <c:v>30/11/2015</c:v>
                </c:pt>
                <c:pt idx="143">
                  <c:v>31/12/2015</c:v>
                </c:pt>
                <c:pt idx="144">
                  <c:v>31/01/2016</c:v>
                </c:pt>
                <c:pt idx="145">
                  <c:v>29/02/2016</c:v>
                </c:pt>
                <c:pt idx="146">
                  <c:v>31/03/2016</c:v>
                </c:pt>
                <c:pt idx="147">
                  <c:v>30/04/2016</c:v>
                </c:pt>
                <c:pt idx="148">
                  <c:v>31/05/2016</c:v>
                </c:pt>
                <c:pt idx="149">
                  <c:v>30/06/2016</c:v>
                </c:pt>
                <c:pt idx="150">
                  <c:v>31/07/2016</c:v>
                </c:pt>
                <c:pt idx="151">
                  <c:v>31/08/2016</c:v>
                </c:pt>
                <c:pt idx="152">
                  <c:v>30/09/2016</c:v>
                </c:pt>
                <c:pt idx="153">
                  <c:v>31/10/2016</c:v>
                </c:pt>
                <c:pt idx="154">
                  <c:v>30/11/2016</c:v>
                </c:pt>
                <c:pt idx="155">
                  <c:v>31/12/2016</c:v>
                </c:pt>
                <c:pt idx="156">
                  <c:v>31/01/2017</c:v>
                </c:pt>
                <c:pt idx="157">
                  <c:v>28/02/2017</c:v>
                </c:pt>
                <c:pt idx="158">
                  <c:v>31/03/2017</c:v>
                </c:pt>
                <c:pt idx="159">
                  <c:v>30/04/2017</c:v>
                </c:pt>
                <c:pt idx="160">
                  <c:v>31/05/2017</c:v>
                </c:pt>
                <c:pt idx="161">
                  <c:v>30/06/2017</c:v>
                </c:pt>
                <c:pt idx="162">
                  <c:v>31/07/2017</c:v>
                </c:pt>
                <c:pt idx="163">
                  <c:v>31/08/2017</c:v>
                </c:pt>
                <c:pt idx="164">
                  <c:v>30/09/2017</c:v>
                </c:pt>
                <c:pt idx="165">
                  <c:v>31/10/2017</c:v>
                </c:pt>
                <c:pt idx="166">
                  <c:v>30/11/2017</c:v>
                </c:pt>
                <c:pt idx="167">
                  <c:v>31/12/2017</c:v>
                </c:pt>
                <c:pt idx="168">
                  <c:v>31/01/2018</c:v>
                </c:pt>
                <c:pt idx="169">
                  <c:v>28/02/2018</c:v>
                </c:pt>
                <c:pt idx="170">
                  <c:v>31/03/2018</c:v>
                </c:pt>
                <c:pt idx="171">
                  <c:v>30/04/2018</c:v>
                </c:pt>
                <c:pt idx="172">
                  <c:v>31/05/2018</c:v>
                </c:pt>
                <c:pt idx="173">
                  <c:v>30/06/2018</c:v>
                </c:pt>
                <c:pt idx="174">
                  <c:v>31/07/2018</c:v>
                </c:pt>
                <c:pt idx="175">
                  <c:v>31/08/2018</c:v>
                </c:pt>
                <c:pt idx="176">
                  <c:v>30/09/2018</c:v>
                </c:pt>
                <c:pt idx="177">
                  <c:v>31/10/2018</c:v>
                </c:pt>
                <c:pt idx="178">
                  <c:v>30/11/2018</c:v>
                </c:pt>
                <c:pt idx="179">
                  <c:v>31/12/2018</c:v>
                </c:pt>
                <c:pt idx="180">
                  <c:v>31/01/2019</c:v>
                </c:pt>
                <c:pt idx="181">
                  <c:v>28/02/2019</c:v>
                </c:pt>
                <c:pt idx="182">
                  <c:v>31/03/2019</c:v>
                </c:pt>
                <c:pt idx="183">
                  <c:v>30/04/2019</c:v>
                </c:pt>
                <c:pt idx="184">
                  <c:v>31/05/2019</c:v>
                </c:pt>
                <c:pt idx="185">
                  <c:v>30/06/2019</c:v>
                </c:pt>
                <c:pt idx="186">
                  <c:v>31/07/2019</c:v>
                </c:pt>
                <c:pt idx="187">
                  <c:v>31/08/2019</c:v>
                </c:pt>
                <c:pt idx="188">
                  <c:v>30/09/2019</c:v>
                </c:pt>
                <c:pt idx="189">
                  <c:v>31/10/2019</c:v>
                </c:pt>
                <c:pt idx="190">
                  <c:v>30/11/2019</c:v>
                </c:pt>
                <c:pt idx="191">
                  <c:v>31/12/2019</c:v>
                </c:pt>
                <c:pt idx="192">
                  <c:v>31/01/2020</c:v>
                </c:pt>
                <c:pt idx="193">
                  <c:v>29/02/2020</c:v>
                </c:pt>
                <c:pt idx="194">
                  <c:v>31/03/2020</c:v>
                </c:pt>
                <c:pt idx="195">
                  <c:v>30/04/2020</c:v>
                </c:pt>
                <c:pt idx="196">
                  <c:v>31/05/2020</c:v>
                </c:pt>
                <c:pt idx="197">
                  <c:v>30/06/2020</c:v>
                </c:pt>
                <c:pt idx="198">
                  <c:v>31/07/2020</c:v>
                </c:pt>
                <c:pt idx="199">
                  <c:v>31/08/2020</c:v>
                </c:pt>
                <c:pt idx="200">
                  <c:v>30/09/2020</c:v>
                </c:pt>
                <c:pt idx="201">
                  <c:v>31/10/2020</c:v>
                </c:pt>
                <c:pt idx="202">
                  <c:v>30/11/2020</c:v>
                </c:pt>
                <c:pt idx="203">
                  <c:v>31/12/2020</c:v>
                </c:pt>
                <c:pt idx="204">
                  <c:v>31/01/2021</c:v>
                </c:pt>
                <c:pt idx="205">
                  <c:v>28/02/2021</c:v>
                </c:pt>
                <c:pt idx="206">
                  <c:v>31/03/2021</c:v>
                </c:pt>
                <c:pt idx="207">
                  <c:v>30/04/2021</c:v>
                </c:pt>
                <c:pt idx="208">
                  <c:v>31/05/2021</c:v>
                </c:pt>
                <c:pt idx="209">
                  <c:v>30/06/2021</c:v>
                </c:pt>
                <c:pt idx="210">
                  <c:v>31/07/2021</c:v>
                </c:pt>
                <c:pt idx="211">
                  <c:v>31/08/2021</c:v>
                </c:pt>
                <c:pt idx="212">
                  <c:v>30/09/2021</c:v>
                </c:pt>
                <c:pt idx="213">
                  <c:v>31/10/2021</c:v>
                </c:pt>
                <c:pt idx="214">
                  <c:v>30/11/2021</c:v>
                </c:pt>
                <c:pt idx="215">
                  <c:v>31/12/2021</c:v>
                </c:pt>
                <c:pt idx="216">
                  <c:v>31/01/2022</c:v>
                </c:pt>
                <c:pt idx="217">
                  <c:v>28/02/2022</c:v>
                </c:pt>
                <c:pt idx="218">
                  <c:v>31/03/2022</c:v>
                </c:pt>
                <c:pt idx="219">
                  <c:v>30/04/2022</c:v>
                </c:pt>
                <c:pt idx="220">
                  <c:v>31/05/2022</c:v>
                </c:pt>
                <c:pt idx="221">
                  <c:v>30/06/2022</c:v>
                </c:pt>
                <c:pt idx="222">
                  <c:v>31/07/2022</c:v>
                </c:pt>
                <c:pt idx="223">
                  <c:v>31/08/2022</c:v>
                </c:pt>
                <c:pt idx="224">
                  <c:v>30/09/2022</c:v>
                </c:pt>
                <c:pt idx="225">
                  <c:v>31/10/2022</c:v>
                </c:pt>
                <c:pt idx="226">
                  <c:v>30/11/2022</c:v>
                </c:pt>
                <c:pt idx="227">
                  <c:v>31/12/2022</c:v>
                </c:pt>
                <c:pt idx="228">
                  <c:v>31/01/2023</c:v>
                </c:pt>
                <c:pt idx="229">
                  <c:v>28/02/2023</c:v>
                </c:pt>
                <c:pt idx="230">
                  <c:v>31/03/2023</c:v>
                </c:pt>
                <c:pt idx="231">
                  <c:v>30/04/2023</c:v>
                </c:pt>
                <c:pt idx="232">
                  <c:v>31/05/2023</c:v>
                </c:pt>
                <c:pt idx="233">
                  <c:v>30/06/2023</c:v>
                </c:pt>
                <c:pt idx="234">
                  <c:v>31/07/2023</c:v>
                </c:pt>
                <c:pt idx="235">
                  <c:v>31/08/2023</c:v>
                </c:pt>
                <c:pt idx="236">
                  <c:v>30/09/2023</c:v>
                </c:pt>
                <c:pt idx="237">
                  <c:v>31/10/2023</c:v>
                </c:pt>
                <c:pt idx="238">
                  <c:v>30/11/2023</c:v>
                </c:pt>
                <c:pt idx="239">
                  <c:v>31/12/2023</c:v>
                </c:pt>
                <c:pt idx="240">
                  <c:v>31/01/2024</c:v>
                </c:pt>
                <c:pt idx="241">
                  <c:v>29/02/2024</c:v>
                </c:pt>
                <c:pt idx="242">
                  <c:v>31/03/2024</c:v>
                </c:pt>
                <c:pt idx="243">
                  <c:v>30/04/2024</c:v>
                </c:pt>
                <c:pt idx="244">
                  <c:v>31/05/2024</c:v>
                </c:pt>
                <c:pt idx="245">
                  <c:v>30/06/2024</c:v>
                </c:pt>
                <c:pt idx="246">
                  <c:v>31/07/2024</c:v>
                </c:pt>
                <c:pt idx="247">
                  <c:v>31/08/2024</c:v>
                </c:pt>
                <c:pt idx="248">
                  <c:v>30/09/2024</c:v>
                </c:pt>
                <c:pt idx="249">
                  <c:v>31/10/2024</c:v>
                </c:pt>
                <c:pt idx="250">
                  <c:v>30/11/2024</c:v>
                </c:pt>
                <c:pt idx="251">
                  <c:v>31/12/2024</c:v>
                </c:pt>
                <c:pt idx="252">
                  <c:v>31/01/2025</c:v>
                </c:pt>
                <c:pt idx="253">
                  <c:v>28/02/2025</c:v>
                </c:pt>
                <c:pt idx="254">
                  <c:v>31/03/2025</c:v>
                </c:pt>
                <c:pt idx="255">
                  <c:v>30/04/2025</c:v>
                </c:pt>
                <c:pt idx="256">
                  <c:v>31/05/2025</c:v>
                </c:pt>
                <c:pt idx="257">
                  <c:v>30/06/2025</c:v>
                </c:pt>
                <c:pt idx="258">
                  <c:v>31/07/2025</c:v>
                </c:pt>
                <c:pt idx="259">
                  <c:v>31/08/2025</c:v>
                </c:pt>
                <c:pt idx="260">
                  <c:v>30/09/2025</c:v>
                </c:pt>
                <c:pt idx="261">
                  <c:v>31/10/2025</c:v>
                </c:pt>
                <c:pt idx="262">
                  <c:v>30/11/2025</c:v>
                </c:pt>
                <c:pt idx="263">
                  <c:v>31/12/2025</c:v>
                </c:pt>
                <c:pt idx="264">
                  <c:v>31/01/2026</c:v>
                </c:pt>
                <c:pt idx="265">
                  <c:v>28/02/2026</c:v>
                </c:pt>
                <c:pt idx="266">
                  <c:v>31/03/2026</c:v>
                </c:pt>
                <c:pt idx="267">
                  <c:v>30/04/2026</c:v>
                </c:pt>
                <c:pt idx="268">
                  <c:v>31/05/2026</c:v>
                </c:pt>
                <c:pt idx="269">
                  <c:v>30/06/2026</c:v>
                </c:pt>
                <c:pt idx="270">
                  <c:v>31/07/2026</c:v>
                </c:pt>
                <c:pt idx="271">
                  <c:v>31/08/2026</c:v>
                </c:pt>
              </c:strCache>
            </c:strRef>
          </c:cat>
          <c:val>
            <c:numRef>
              <c:f>Backtest!$V$2:$V$273</c:f>
              <c:numCache>
                <c:formatCode>0.00%</c:formatCode>
                <c:ptCount val="272"/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0.00243025064445177</c:v>
                </c:pt>
                <c:pt idx="134">
                  <c:v>0.00192877392051235</c:v>
                </c:pt>
                <c:pt idx="135">
                  <c:v>0.00931907341898327</c:v>
                </c:pt>
                <c:pt idx="136">
                  <c:v>0.00574847029741843</c:v>
                </c:pt>
                <c:pt idx="137">
                  <c:v>0.00892909097325017</c:v>
                </c:pt>
                <c:pt idx="138">
                  <c:v>0.0174234891554712</c:v>
                </c:pt>
                <c:pt idx="139">
                  <c:v>0.0240362509121439</c:v>
                </c:pt>
                <c:pt idx="140">
                  <c:v>0.0503707799662563</c:v>
                </c:pt>
                <c:pt idx="141">
                  <c:v>0.0378862284130332</c:v>
                </c:pt>
                <c:pt idx="142">
                  <c:v>0.0699591447499373</c:v>
                </c:pt>
                <c:pt idx="143">
                  <c:v>0.0960777143834725</c:v>
                </c:pt>
                <c:pt idx="144">
                  <c:v>0.0575871062028385</c:v>
                </c:pt>
                <c:pt idx="145">
                  <c:v>0.0297175987834569</c:v>
                </c:pt>
                <c:pt idx="146">
                  <c:v>0.0748655075105359</c:v>
                </c:pt>
                <c:pt idx="147">
                  <c:v>0.0739382862976474</c:v>
                </c:pt>
                <c:pt idx="148">
                  <c:v>0.031010484533827</c:v>
                </c:pt>
                <c:pt idx="149">
                  <c:v>0.059140089562879</c:v>
                </c:pt>
                <c:pt idx="150">
                  <c:v>0.100062059949613</c:v>
                </c:pt>
                <c:pt idx="151">
                  <c:v>0.12581552790827</c:v>
                </c:pt>
                <c:pt idx="152">
                  <c:v>0.109052081772461</c:v>
                </c:pt>
                <c:pt idx="153">
                  <c:v>0.12447247425442</c:v>
                </c:pt>
                <c:pt idx="154">
                  <c:v>0.118569738054038</c:v>
                </c:pt>
                <c:pt idx="155">
                  <c:v>0.111924287983328</c:v>
                </c:pt>
                <c:pt idx="156">
                  <c:v>0.102814486227935</c:v>
                </c:pt>
                <c:pt idx="157">
                  <c:v>0.102966334088483</c:v>
                </c:pt>
                <c:pt idx="158">
                  <c:v>0.1017444842388</c:v>
                </c:pt>
                <c:pt idx="159">
                  <c:v>0.101505568068033</c:v>
                </c:pt>
                <c:pt idx="160">
                  <c:v>0.101418572230002</c:v>
                </c:pt>
                <c:pt idx="161">
                  <c:v>0.101900487810888</c:v>
                </c:pt>
                <c:pt idx="162">
                  <c:v>0.101987730182432</c:v>
                </c:pt>
                <c:pt idx="163">
                  <c:v>0.0991068139628287</c:v>
                </c:pt>
                <c:pt idx="164">
                  <c:v>0.0958883105826976</c:v>
                </c:pt>
                <c:pt idx="165">
                  <c:v>0.0993509453249489</c:v>
                </c:pt>
                <c:pt idx="166">
                  <c:v>0.0914186596269547</c:v>
                </c:pt>
                <c:pt idx="167">
                  <c:v>0.085472442683504</c:v>
                </c:pt>
                <c:pt idx="168">
                  <c:v>0.0838632001218686</c:v>
                </c:pt>
                <c:pt idx="169">
                  <c:v>0.0812629008018982</c:v>
                </c:pt>
                <c:pt idx="170">
                  <c:v>0.0786552710164346</c:v>
                </c:pt>
                <c:pt idx="171">
                  <c:v>0.0880256632502596</c:v>
                </c:pt>
                <c:pt idx="172">
                  <c:v>0.113106191098989</c:v>
                </c:pt>
                <c:pt idx="173">
                  <c:v>0.084392430355996</c:v>
                </c:pt>
                <c:pt idx="174">
                  <c:v>0.109104504836678</c:v>
                </c:pt>
                <c:pt idx="175">
                  <c:v>0.180307740863795</c:v>
                </c:pt>
                <c:pt idx="176">
                  <c:v>0.18274927592129</c:v>
                </c:pt>
                <c:pt idx="177">
                  <c:v>0.170828918325279</c:v>
                </c:pt>
                <c:pt idx="178">
                  <c:v>0.179510970901651</c:v>
                </c:pt>
                <c:pt idx="179">
                  <c:v>0.141843632166783</c:v>
                </c:pt>
                <c:pt idx="180">
                  <c:v>0.129576089542226</c:v>
                </c:pt>
                <c:pt idx="181">
                  <c:v>0.111976995653766</c:v>
                </c:pt>
                <c:pt idx="182">
                  <c:v>0.152232838898463</c:v>
                </c:pt>
                <c:pt idx="183">
                  <c:v>0.173185729787361</c:v>
                </c:pt>
                <c:pt idx="184">
                  <c:v>0.172918920828049</c:v>
                </c:pt>
                <c:pt idx="185">
                  <c:v>0.156343019087117</c:v>
                </c:pt>
                <c:pt idx="186">
                  <c:v>0.146442917801282</c:v>
                </c:pt>
                <c:pt idx="187">
                  <c:v>0.208393594846988</c:v>
                </c:pt>
                <c:pt idx="188">
                  <c:v>0.200293845130196</c:v>
                </c:pt>
                <c:pt idx="189">
                  <c:v>0.202551736016773</c:v>
                </c:pt>
                <c:pt idx="190">
                  <c:v>0.181784205763067</c:v>
                </c:pt>
                <c:pt idx="191">
                  <c:v>0.180563942123597</c:v>
                </c:pt>
                <c:pt idx="192">
                  <c:v>0.174609001906135</c:v>
                </c:pt>
                <c:pt idx="193">
                  <c:v>0.171776382217961</c:v>
                </c:pt>
                <c:pt idx="194">
                  <c:v>0.161472203426515</c:v>
                </c:pt>
                <c:pt idx="195">
                  <c:v>0.155910039333728</c:v>
                </c:pt>
                <c:pt idx="196">
                  <c:v>0.160433880179237</c:v>
                </c:pt>
                <c:pt idx="197">
                  <c:v>0.15996638350371</c:v>
                </c:pt>
                <c:pt idx="198">
                  <c:v>0.157969990145005</c:v>
                </c:pt>
                <c:pt idx="199">
                  <c:v>0.155390378532357</c:v>
                </c:pt>
                <c:pt idx="200">
                  <c:v>0.174292403917662</c:v>
                </c:pt>
                <c:pt idx="201">
                  <c:v>0.172047974230514</c:v>
                </c:pt>
                <c:pt idx="202">
                  <c:v>0.130239713743381</c:v>
                </c:pt>
                <c:pt idx="203">
                  <c:v>0.13898997585896</c:v>
                </c:pt>
                <c:pt idx="204">
                  <c:v>0.172048338899477</c:v>
                </c:pt>
                <c:pt idx="205">
                  <c:v>0.159757852566726</c:v>
                </c:pt>
                <c:pt idx="206">
                  <c:v>0.158642806949206</c:v>
                </c:pt>
                <c:pt idx="207">
                  <c:v>0.184115588419459</c:v>
                </c:pt>
                <c:pt idx="208">
                  <c:v>0.176496947802735</c:v>
                </c:pt>
                <c:pt idx="209">
                  <c:v>0.182637602044411</c:v>
                </c:pt>
                <c:pt idx="210">
                  <c:v>0.189715469440686</c:v>
                </c:pt>
                <c:pt idx="211">
                  <c:v>0.187610585598875</c:v>
                </c:pt>
                <c:pt idx="212">
                  <c:v>0.185170708920556</c:v>
                </c:pt>
                <c:pt idx="213">
                  <c:v>0.179773532335194</c:v>
                </c:pt>
                <c:pt idx="214">
                  <c:v>0.146924855931074</c:v>
                </c:pt>
                <c:pt idx="215">
                  <c:v>0.157062752364752</c:v>
                </c:pt>
                <c:pt idx="216">
                  <c:v>0.215749334587326</c:v>
                </c:pt>
                <c:pt idx="217">
                  <c:v>0.202668819280503</c:v>
                </c:pt>
                <c:pt idx="218">
                  <c:v>0.229821037139956</c:v>
                </c:pt>
                <c:pt idx="219">
                  <c:v>0.244638670436684</c:v>
                </c:pt>
                <c:pt idx="220">
                  <c:v>0.287312199560775</c:v>
                </c:pt>
                <c:pt idx="221">
                  <c:v>0.263295281102886</c:v>
                </c:pt>
                <c:pt idx="222">
                  <c:v>0.23691117344037</c:v>
                </c:pt>
                <c:pt idx="223">
                  <c:v>0.336221553365872</c:v>
                </c:pt>
                <c:pt idx="224">
                  <c:v>0.425679120462779</c:v>
                </c:pt>
                <c:pt idx="225">
                  <c:v>0.515186795799389</c:v>
                </c:pt>
                <c:pt idx="226">
                  <c:v>0.548747628397206</c:v>
                </c:pt>
                <c:pt idx="227">
                  <c:v>0.5418643060456</c:v>
                </c:pt>
                <c:pt idx="228">
                  <c:v>0.507960333115858</c:v>
                </c:pt>
                <c:pt idx="229">
                  <c:v>0.537398896427417</c:v>
                </c:pt>
                <c:pt idx="230">
                  <c:v>0.565463592505851</c:v>
                </c:pt>
                <c:pt idx="231">
                  <c:v>0.545921649041318</c:v>
                </c:pt>
                <c:pt idx="232">
                  <c:v>0.538540466984182</c:v>
                </c:pt>
                <c:pt idx="233">
                  <c:v>0.548495223137962</c:v>
                </c:pt>
                <c:pt idx="234">
                  <c:v>0.534914483449371</c:v>
                </c:pt>
                <c:pt idx="235">
                  <c:v>0.545861057040303</c:v>
                </c:pt>
                <c:pt idx="236">
                  <c:v>0.541552430350195</c:v>
                </c:pt>
                <c:pt idx="237">
                  <c:v>0.536031160340871</c:v>
                </c:pt>
                <c:pt idx="238">
                  <c:v>0.531191716562449</c:v>
                </c:pt>
                <c:pt idx="239">
                  <c:v>0.534900073234171</c:v>
                </c:pt>
                <c:pt idx="240">
                  <c:v>0.53931816942655</c:v>
                </c:pt>
                <c:pt idx="241">
                  <c:v>0.538627991992735</c:v>
                </c:pt>
                <c:pt idx="242">
                  <c:v>0.545545058626963</c:v>
                </c:pt>
                <c:pt idx="243">
                  <c:v>0.545464386419085</c:v>
                </c:pt>
                <c:pt idx="244">
                  <c:v>0.545324380528222</c:v>
                </c:pt>
                <c:pt idx="245">
                  <c:v>0.545213462753253</c:v>
                </c:pt>
                <c:pt idx="246">
                  <c:v>0.545719617490796</c:v>
                </c:pt>
                <c:pt idx="247">
                  <c:v>0.548051446674491</c:v>
                </c:pt>
                <c:pt idx="248">
                  <c:v>0.53981170880543</c:v>
                </c:pt>
                <c:pt idx="249">
                  <c:v>0.541835962222757</c:v>
                </c:pt>
                <c:pt idx="250">
                  <c:v>0.553533622941466</c:v>
                </c:pt>
                <c:pt idx="251">
                  <c:v>0.550489727247107</c:v>
                </c:pt>
                <c:pt idx="252">
                  <c:v>0.54457962484998</c:v>
                </c:pt>
                <c:pt idx="253">
                  <c:v>0.550362816986141</c:v>
                </c:pt>
                <c:pt idx="254">
                  <c:v>0.558837803737255</c:v>
                </c:pt>
                <c:pt idx="255">
                  <c:v>0.540146771617108</c:v>
                </c:pt>
                <c:pt idx="256">
                  <c:v>0.547925103084894</c:v>
                </c:pt>
                <c:pt idx="257">
                  <c:v>0.554062884237158</c:v>
                </c:pt>
                <c:pt idx="258">
                  <c:v>0.555917181201319</c:v>
                </c:pt>
                <c:pt idx="259">
                  <c:v>0.565604926521856</c:v>
                </c:pt>
                <c:pt idx="260">
                  <c:v>0.569389646662354</c:v>
                </c:pt>
                <c:pt idx="261">
                  <c:v>0.548522327752613</c:v>
                </c:pt>
                <c:pt idx="262">
                  <c:v>0.551096965412503</c:v>
                </c:pt>
                <c:pt idx="263">
                  <c:v>0.542947317722084</c:v>
                </c:pt>
                <c:pt idx="264">
                  <c:v>0.54635562589762</c:v>
                </c:pt>
                <c:pt idx="265">
                  <c:v>0.549969410284016</c:v>
                </c:pt>
                <c:pt idx="266">
                  <c:v>0.560468046794536</c:v>
                </c:pt>
                <c:pt idx="267">
                  <c:v>0.55631375447842</c:v>
                </c:pt>
                <c:pt idx="268">
                  <c:v>0.558418583991329</c:v>
                </c:pt>
                <c:pt idx="269">
                  <c:v>0.554226180861848</c:v>
                </c:pt>
                <c:pt idx="270">
                  <c:v>0.560244942495554</c:v>
                </c:pt>
                <c:pt idx="271">
                  <c:v>0.5636653094579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275187"/>
        <c:axId val="21149579"/>
      </c:lineChart>
      <c:catAx>
        <c:axId val="53275187"/>
        <c:scaling>
          <c:orientation val="minMax"/>
        </c:scaling>
        <c:delete val="0"/>
        <c:axPos val="b"/>
        <c:numFmt formatCode="dd/mm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49579"/>
        <c:crosses val="autoZero"/>
        <c:auto val="1"/>
        <c:lblAlgn val="ctr"/>
        <c:lblOffset val="100"/>
        <c:noMultiLvlLbl val="0"/>
      </c:catAx>
      <c:valAx>
        <c:axId val="21149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751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8</xdr:row>
      <xdr:rowOff>176040</xdr:rowOff>
    </xdr:from>
    <xdr:to>
      <xdr:col>12</xdr:col>
      <xdr:colOff>320760</xdr:colOff>
      <xdr:row>25</xdr:row>
      <xdr:rowOff>177120</xdr:rowOff>
    </xdr:to>
    <xdr:graphicFrame>
      <xdr:nvGraphicFramePr>
        <xdr:cNvPr id="0" name="Chart 1"/>
        <xdr:cNvGraphicFramePr/>
      </xdr:nvGraphicFramePr>
      <xdr:xfrm>
        <a:off x="5216040" y="1714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2" customFormat="false" ht="17.35" hidden="false" customHeight="false" outlineLevel="0" collapsed="false">
      <c r="A2" s="1" t="s">
        <v>0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2" t="s">
        <v>24</v>
      </c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2" t="s">
        <v>26</v>
      </c>
    </row>
    <row r="34" customFormat="false" ht="1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2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2" t="s">
        <v>29</v>
      </c>
    </row>
    <row r="38" customFormat="false" ht="15" hidden="false" customHeight="false" outlineLevel="0" collapsed="false">
      <c r="A38" s="2" t="s">
        <v>30</v>
      </c>
    </row>
    <row r="39" customFormat="false" ht="15" hidden="false" customHeight="false" outlineLevel="0" collapsed="false">
      <c r="A39" s="2" t="s">
        <v>31</v>
      </c>
    </row>
    <row r="40" customFormat="false" ht="15" hidden="false" customHeight="false" outlineLevel="0" collapsed="false">
      <c r="A40" s="2" t="s">
        <v>32</v>
      </c>
    </row>
    <row r="41" customFormat="false" ht="15" hidden="false" customHeight="false" outlineLevel="0" collapsed="false">
      <c r="A41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13"/>
  </cols>
  <sheetData>
    <row r="1" customFormat="false" ht="30" hidden="false" customHeight="true" outlineLevel="0" collapsed="false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  <c r="R1" s="3" t="s">
        <v>51</v>
      </c>
      <c r="S1" s="3" t="s">
        <v>52</v>
      </c>
      <c r="T1" s="3" t="s">
        <v>53</v>
      </c>
      <c r="U1" s="3" t="s">
        <v>54</v>
      </c>
    </row>
    <row r="2" customFormat="false" ht="15" hidden="false" customHeight="false" outlineLevel="0" collapsed="false">
      <c r="A2" s="4" t="n">
        <v>38017</v>
      </c>
      <c r="B2" s="5" t="n">
        <v>2322</v>
      </c>
      <c r="D2" s="5" t="n">
        <v>1609</v>
      </c>
      <c r="G2" s="5" t="n">
        <v>10.2</v>
      </c>
      <c r="I2" s="5" t="n">
        <v>-0.407923477295502</v>
      </c>
      <c r="J2" s="5" t="n">
        <v>701.755</v>
      </c>
      <c r="L2" s="5" t="n">
        <v>159.536</v>
      </c>
      <c r="N2" s="5" t="n">
        <v>255245</v>
      </c>
      <c r="P2" s="5" t="n">
        <v>3.76099484379737</v>
      </c>
    </row>
    <row r="3" customFormat="false" ht="15" hidden="false" customHeight="false" outlineLevel="0" collapsed="false">
      <c r="A3" s="4" t="n">
        <v>38046</v>
      </c>
      <c r="B3" s="5" t="n">
        <v>2395</v>
      </c>
      <c r="D3" s="5" t="n">
        <v>1364</v>
      </c>
      <c r="G3" s="5" t="n">
        <v>10.2</v>
      </c>
      <c r="I3" s="5" t="n">
        <v>-0.923119055813178</v>
      </c>
      <c r="J3" s="5" t="n">
        <v>706.096</v>
      </c>
      <c r="L3" s="5" t="n">
        <v>159.629</v>
      </c>
      <c r="N3" s="5" t="n">
        <v>259092</v>
      </c>
      <c r="P3" s="5" t="n">
        <v>-8.53776111408677</v>
      </c>
    </row>
    <row r="4" customFormat="false" ht="15" hidden="false" customHeight="false" outlineLevel="0" collapsed="false">
      <c r="A4" s="4" t="n">
        <v>38077</v>
      </c>
      <c r="B4" s="5" t="n">
        <v>2658</v>
      </c>
      <c r="D4" s="5" t="n">
        <v>1690</v>
      </c>
      <c r="E4" s="5" t="n">
        <v>151.11</v>
      </c>
      <c r="G4" s="5" t="n">
        <v>13.2</v>
      </c>
      <c r="I4" s="5" t="n">
        <v>-0.906757260382921</v>
      </c>
      <c r="J4" s="5" t="n">
        <v>683.964</v>
      </c>
      <c r="L4" s="5" t="n">
        <v>155.118</v>
      </c>
      <c r="N4" s="5" t="n">
        <v>277539</v>
      </c>
      <c r="P4" s="5" t="n">
        <v>30.7163586375439</v>
      </c>
    </row>
    <row r="5" customFormat="false" ht="15" hidden="false" customHeight="false" outlineLevel="0" collapsed="false">
      <c r="A5" s="4" t="n">
        <v>38107</v>
      </c>
      <c r="B5" s="5" t="n">
        <v>3040</v>
      </c>
      <c r="D5" s="5" t="n">
        <v>1651</v>
      </c>
      <c r="E5" s="5" t="n">
        <v>151.11</v>
      </c>
      <c r="G5" s="5" t="n">
        <v>6.8</v>
      </c>
      <c r="I5" s="5" t="n">
        <v>-0.0316567713943035</v>
      </c>
      <c r="J5" s="5" t="n">
        <v>679.854</v>
      </c>
      <c r="L5" s="5" t="n">
        <v>151.165</v>
      </c>
      <c r="N5" s="5" t="n">
        <v>282748</v>
      </c>
      <c r="P5" s="5" t="n">
        <v>72.3625557206538</v>
      </c>
    </row>
    <row r="6" customFormat="false" ht="15" hidden="false" customHeight="false" outlineLevel="0" collapsed="false">
      <c r="A6" s="4" t="n">
        <v>38138</v>
      </c>
      <c r="B6" s="5" t="n">
        <v>3394</v>
      </c>
      <c r="D6" s="5" t="n">
        <v>1792</v>
      </c>
      <c r="E6" s="5" t="n">
        <v>151.11</v>
      </c>
      <c r="G6" s="5" t="n">
        <v>5.9</v>
      </c>
      <c r="I6" s="5" t="n">
        <v>1.06785875603728</v>
      </c>
      <c r="J6" s="5" t="n">
        <v>712.11</v>
      </c>
      <c r="L6" s="5" t="n">
        <v>155.047</v>
      </c>
      <c r="N6" s="5" t="n">
        <v>285384</v>
      </c>
      <c r="P6" s="5" t="n">
        <v>112.773494478016</v>
      </c>
    </row>
    <row r="7" customFormat="false" ht="15" hidden="false" customHeight="false" outlineLevel="0" collapsed="false">
      <c r="A7" s="4" t="n">
        <v>38168</v>
      </c>
      <c r="B7" s="5" t="n">
        <v>2951</v>
      </c>
      <c r="D7" s="5" t="n">
        <v>2039</v>
      </c>
      <c r="E7" s="5" t="n">
        <v>175.44</v>
      </c>
      <c r="G7" s="5" t="n">
        <v>8.8</v>
      </c>
      <c r="I7" s="5" t="n">
        <v>1.94465207521529</v>
      </c>
      <c r="J7" s="5" t="n">
        <v>707.394</v>
      </c>
      <c r="L7" s="5" t="n">
        <v>154.076</v>
      </c>
      <c r="N7" s="5" t="n">
        <v>288862</v>
      </c>
      <c r="P7" s="5" t="n">
        <v>89.0604154755098</v>
      </c>
    </row>
    <row r="8" customFormat="false" ht="15" hidden="false" customHeight="false" outlineLevel="0" collapsed="false">
      <c r="A8" s="4" t="n">
        <v>38199</v>
      </c>
      <c r="B8" s="5" t="n">
        <v>3034</v>
      </c>
      <c r="D8" s="5" t="n">
        <v>1970</v>
      </c>
      <c r="E8" s="5" t="n">
        <v>175.44</v>
      </c>
      <c r="G8" s="5" t="n">
        <v>7.3</v>
      </c>
      <c r="I8" s="5" t="n">
        <v>1.95909820367303</v>
      </c>
      <c r="J8" s="5" t="n">
        <v>696.371</v>
      </c>
      <c r="L8" s="5" t="n">
        <v>156.135</v>
      </c>
      <c r="N8" s="5" t="n">
        <v>282564</v>
      </c>
      <c r="P8" s="5" t="n">
        <v>65.2813067150635</v>
      </c>
    </row>
    <row r="9" customFormat="false" ht="15" hidden="false" customHeight="false" outlineLevel="0" collapsed="false">
      <c r="A9" s="4" t="n">
        <v>38230</v>
      </c>
      <c r="B9" s="5" t="n">
        <v>2945</v>
      </c>
      <c r="D9" s="5" t="n">
        <v>2032</v>
      </c>
      <c r="E9" s="5" t="n">
        <v>175.44</v>
      </c>
      <c r="G9" s="5" t="n">
        <v>10.1</v>
      </c>
      <c r="I9" s="5" t="n">
        <v>2.32383278719209</v>
      </c>
      <c r="J9" s="5" t="n">
        <v>688.71</v>
      </c>
      <c r="L9" s="5" t="n">
        <v>159.947</v>
      </c>
      <c r="N9" s="5" t="n">
        <v>271284</v>
      </c>
      <c r="P9" s="5" t="n">
        <v>-8.48363393453574</v>
      </c>
    </row>
    <row r="10" customFormat="false" ht="15" hidden="false" customHeight="false" outlineLevel="0" collapsed="false">
      <c r="A10" s="4" t="n">
        <v>38260</v>
      </c>
      <c r="B10" s="5" t="n">
        <v>3002</v>
      </c>
      <c r="D10" s="5" t="n">
        <v>2025</v>
      </c>
      <c r="E10" s="5" t="n">
        <v>163.49</v>
      </c>
      <c r="G10" s="5" t="n">
        <v>8.9</v>
      </c>
      <c r="I10" s="5" t="n">
        <v>2.9918852079468</v>
      </c>
      <c r="J10" s="5" t="n">
        <v>706.017</v>
      </c>
      <c r="L10" s="5" t="n">
        <v>160.499</v>
      </c>
      <c r="N10" s="5" t="n">
        <v>257031</v>
      </c>
      <c r="P10" s="5" t="n">
        <v>60.2679602679603</v>
      </c>
    </row>
    <row r="11" customFormat="false" ht="15" hidden="false" customHeight="false" outlineLevel="0" collapsed="false">
      <c r="A11" s="4" t="n">
        <v>38291</v>
      </c>
      <c r="B11" s="5" t="n">
        <v>2831</v>
      </c>
      <c r="D11" s="5" t="n">
        <v>1973</v>
      </c>
      <c r="E11" s="5" t="n">
        <v>163.49</v>
      </c>
      <c r="G11" s="5" t="n">
        <v>7.3</v>
      </c>
      <c r="I11" s="5" t="n">
        <v>2.77299055300339</v>
      </c>
      <c r="J11" s="5" t="n">
        <v>698.292</v>
      </c>
      <c r="L11" s="5" t="n">
        <v>161.079</v>
      </c>
      <c r="N11" s="5" t="n">
        <v>273529</v>
      </c>
      <c r="P11" s="5" t="n">
        <v>35.9990834097159</v>
      </c>
    </row>
    <row r="12" customFormat="false" ht="15" hidden="false" customHeight="false" outlineLevel="0" collapsed="false">
      <c r="A12" s="4" t="n">
        <v>38321</v>
      </c>
      <c r="B12" s="5" t="n">
        <v>3042</v>
      </c>
      <c r="D12" s="5" t="n">
        <v>2193</v>
      </c>
      <c r="E12" s="5" t="n">
        <v>163.49</v>
      </c>
      <c r="G12" s="5" t="n">
        <v>10.9</v>
      </c>
      <c r="I12" s="5" t="n">
        <v>2.4934672948877</v>
      </c>
      <c r="J12" s="5" t="n">
        <v>675.486</v>
      </c>
      <c r="L12" s="5" t="n">
        <v>165.003</v>
      </c>
      <c r="N12" s="5" t="n">
        <v>276981</v>
      </c>
      <c r="P12" s="5" t="n">
        <v>40.9177015365186</v>
      </c>
    </row>
    <row r="13" customFormat="false" ht="15" hidden="false" customHeight="false" outlineLevel="0" collapsed="false">
      <c r="A13" s="4" t="n">
        <v>38352</v>
      </c>
      <c r="B13" s="5" t="n">
        <v>2962</v>
      </c>
      <c r="D13" s="5" t="n">
        <v>2109</v>
      </c>
      <c r="E13" s="5" t="n">
        <v>169.79</v>
      </c>
      <c r="F13" s="5" t="n">
        <v>0.335844278226044</v>
      </c>
      <c r="G13" s="5" t="n">
        <v>9.6</v>
      </c>
      <c r="I13" s="5" t="n">
        <v>3.20499113977757</v>
      </c>
      <c r="J13" s="5" t="n">
        <v>682.534</v>
      </c>
      <c r="L13" s="5" t="n">
        <v>169.353</v>
      </c>
      <c r="N13" s="5" t="n">
        <v>275442</v>
      </c>
      <c r="P13" s="5" t="n">
        <v>-9.33499843896347</v>
      </c>
    </row>
    <row r="14" customFormat="false" ht="15" hidden="false" customHeight="false" outlineLevel="0" collapsed="false">
      <c r="A14" s="4" t="n">
        <v>38383</v>
      </c>
      <c r="B14" s="5" t="n">
        <v>2781</v>
      </c>
      <c r="C14" s="5" t="n">
        <v>19.7674418604651</v>
      </c>
      <c r="D14" s="5" t="n">
        <v>1901</v>
      </c>
      <c r="E14" s="5" t="n">
        <v>169.79</v>
      </c>
      <c r="F14" s="5" t="n">
        <v>0.340267389127746</v>
      </c>
      <c r="G14" s="5" t="n">
        <v>6.3</v>
      </c>
      <c r="H14" s="5" t="n">
        <v>12.3</v>
      </c>
      <c r="I14" s="5" t="n">
        <v>4.40886341435116</v>
      </c>
      <c r="J14" s="5" t="n">
        <v>678.684</v>
      </c>
      <c r="K14" s="5" t="n">
        <v>-3.28761462333721</v>
      </c>
      <c r="L14" s="5" t="n">
        <v>163.055</v>
      </c>
      <c r="M14" s="5" t="n">
        <v>2.20577173804033</v>
      </c>
      <c r="N14" s="5" t="n">
        <v>279566</v>
      </c>
      <c r="O14" s="5" t="n">
        <v>9.52849223295265</v>
      </c>
      <c r="P14" s="5" t="n">
        <v>22.858813212511</v>
      </c>
    </row>
    <row r="15" customFormat="false" ht="15" hidden="false" customHeight="false" outlineLevel="0" collapsed="false">
      <c r="A15" s="4" t="n">
        <v>38411</v>
      </c>
      <c r="B15" s="5" t="n">
        <v>2606</v>
      </c>
      <c r="C15" s="5" t="n">
        <v>8.81002087682672</v>
      </c>
      <c r="D15" s="5" t="n">
        <v>1867</v>
      </c>
      <c r="E15" s="5" t="n">
        <v>169.79</v>
      </c>
      <c r="F15" s="5" t="n">
        <v>0.344472583779964</v>
      </c>
      <c r="G15" s="5" t="n">
        <v>6.6</v>
      </c>
      <c r="H15" s="5" t="n">
        <v>12.4</v>
      </c>
      <c r="I15" s="5" t="n">
        <v>5.39140496513146</v>
      </c>
      <c r="J15" s="5" t="n">
        <v>678.364</v>
      </c>
      <c r="K15" s="5" t="n">
        <v>-3.92751127325463</v>
      </c>
      <c r="L15" s="5" t="n">
        <v>164.581</v>
      </c>
      <c r="M15" s="5" t="n">
        <v>3.10219321050687</v>
      </c>
      <c r="N15" s="5" t="n">
        <v>283301</v>
      </c>
      <c r="O15" s="5" t="n">
        <v>9.34378521914996</v>
      </c>
      <c r="P15" s="5" t="n">
        <v>-4.67322557976108</v>
      </c>
    </row>
    <row r="16" customFormat="false" ht="15" hidden="false" customHeight="false" outlineLevel="0" collapsed="false">
      <c r="A16" s="4" t="n">
        <v>38442</v>
      </c>
      <c r="B16" s="5" t="n">
        <v>3054</v>
      </c>
      <c r="C16" s="5" t="n">
        <v>14.8984198645598</v>
      </c>
      <c r="D16" s="5" t="n">
        <v>2198</v>
      </c>
      <c r="E16" s="5" t="n">
        <v>174.34</v>
      </c>
      <c r="F16" s="5" t="n">
        <v>0.340667660892509</v>
      </c>
      <c r="G16" s="5" t="n">
        <v>8.6</v>
      </c>
      <c r="H16" s="5" t="n">
        <v>14.4</v>
      </c>
      <c r="I16" s="5" t="n">
        <v>6.48004326280671</v>
      </c>
      <c r="J16" s="5" t="n">
        <v>676.981</v>
      </c>
      <c r="K16" s="5" t="n">
        <v>-1.0209601674942</v>
      </c>
      <c r="L16" s="5" t="n">
        <v>158.604</v>
      </c>
      <c r="M16" s="5" t="n">
        <v>2.24732139403552</v>
      </c>
      <c r="N16" s="5" t="n">
        <v>298349</v>
      </c>
      <c r="O16" s="5" t="n">
        <v>7.49804531975686</v>
      </c>
      <c r="P16" s="5" t="n">
        <v>61.1591493339565</v>
      </c>
      <c r="Q16" s="5" t="n">
        <v>7.2</v>
      </c>
    </row>
    <row r="17" customFormat="false" ht="15" hidden="false" customHeight="false" outlineLevel="0" collapsed="false">
      <c r="A17" s="4" t="n">
        <v>38472</v>
      </c>
      <c r="B17" s="5" t="n">
        <v>3561</v>
      </c>
      <c r="C17" s="5" t="n">
        <v>17.1381578947369</v>
      </c>
      <c r="D17" s="5" t="n">
        <v>2380</v>
      </c>
      <c r="E17" s="5" t="n">
        <v>174.34</v>
      </c>
      <c r="F17" s="5" t="n">
        <v>0.347837558793163</v>
      </c>
      <c r="G17" s="5" t="n">
        <v>13.6</v>
      </c>
      <c r="H17" s="5" t="n">
        <v>15.6</v>
      </c>
      <c r="I17" s="5" t="n">
        <v>6.05677963828984</v>
      </c>
      <c r="J17" s="5" t="n">
        <v>677.515</v>
      </c>
      <c r="K17" s="5" t="n">
        <v>-0.344044456603931</v>
      </c>
      <c r="L17" s="5" t="n">
        <v>161.298</v>
      </c>
      <c r="M17" s="5" t="n">
        <v>6.70327125988159</v>
      </c>
      <c r="N17" s="5" t="n">
        <v>311127</v>
      </c>
      <c r="O17" s="5" t="n">
        <v>10.036852603732</v>
      </c>
      <c r="P17" s="5" t="n">
        <v>16.2164750957854</v>
      </c>
      <c r="Q17" s="5" t="n">
        <v>7.2</v>
      </c>
    </row>
    <row r="18" customFormat="false" ht="15" hidden="false" customHeight="false" outlineLevel="0" collapsed="false">
      <c r="A18" s="4" t="n">
        <v>38503</v>
      </c>
      <c r="B18" s="5" t="n">
        <v>3695</v>
      </c>
      <c r="C18" s="5" t="n">
        <v>8.86859163229228</v>
      </c>
      <c r="D18" s="5" t="n">
        <v>2476</v>
      </c>
      <c r="E18" s="5" t="n">
        <v>174.34</v>
      </c>
      <c r="F18" s="5" t="n">
        <v>0.353487438338878</v>
      </c>
      <c r="G18" s="5" t="n">
        <v>15.3</v>
      </c>
      <c r="H18" s="5" t="n">
        <v>17.8</v>
      </c>
      <c r="I18" s="5" t="n">
        <v>6.05960601233313</v>
      </c>
      <c r="J18" s="5" t="n">
        <v>682.57</v>
      </c>
      <c r="K18" s="5" t="n">
        <v>-4.14823552541039</v>
      </c>
      <c r="L18" s="5" t="n">
        <v>160.255</v>
      </c>
      <c r="M18" s="5" t="n">
        <v>3.35898147013487</v>
      </c>
      <c r="N18" s="5" t="n">
        <v>317706</v>
      </c>
      <c r="O18" s="5" t="n">
        <v>11.3257926162644</v>
      </c>
      <c r="P18" s="5" t="n">
        <v>-7.95220840270298</v>
      </c>
      <c r="Q18" s="5" t="n">
        <v>7.2</v>
      </c>
    </row>
    <row r="19" customFormat="false" ht="15" hidden="false" customHeight="false" outlineLevel="0" collapsed="false">
      <c r="A19" s="4" t="n">
        <v>38533</v>
      </c>
      <c r="B19" s="5" t="n">
        <v>3450</v>
      </c>
      <c r="C19" s="5" t="n">
        <v>16.9095221958658</v>
      </c>
      <c r="D19" s="5" t="n">
        <v>2724</v>
      </c>
      <c r="E19" s="5" t="n">
        <v>209.55</v>
      </c>
      <c r="F19" s="5" t="n">
        <v>0.299742304939155</v>
      </c>
      <c r="G19" s="5" t="n">
        <v>10.3</v>
      </c>
      <c r="H19" s="5" t="n">
        <v>16.5</v>
      </c>
      <c r="I19" s="5" t="n">
        <v>6.31554919991399</v>
      </c>
      <c r="J19" s="5" t="n">
        <v>671.959</v>
      </c>
      <c r="K19" s="5" t="n">
        <v>-5.00923106500762</v>
      </c>
      <c r="L19" s="5" t="n">
        <v>159.909</v>
      </c>
      <c r="M19" s="5" t="n">
        <v>3.78579402372854</v>
      </c>
      <c r="N19" s="5" t="n">
        <v>312453</v>
      </c>
      <c r="O19" s="5" t="n">
        <v>8.16687553226108</v>
      </c>
      <c r="P19" s="5" t="n">
        <v>3.30645161290322</v>
      </c>
      <c r="Q19" s="5" t="n">
        <v>13.1</v>
      </c>
    </row>
    <row r="20" customFormat="false" ht="15" hidden="false" customHeight="false" outlineLevel="0" collapsed="false">
      <c r="A20" s="4" t="n">
        <v>38564</v>
      </c>
      <c r="B20" s="5" t="n">
        <v>3601</v>
      </c>
      <c r="C20" s="5" t="n">
        <v>18.6882003955175</v>
      </c>
      <c r="D20" s="5" t="n">
        <v>2349</v>
      </c>
      <c r="E20" s="5" t="n">
        <v>209.55</v>
      </c>
      <c r="F20" s="5" t="n">
        <v>0.304256740634693</v>
      </c>
      <c r="G20" s="5" t="n">
        <v>6.4</v>
      </c>
      <c r="H20" s="5" t="n">
        <v>16.6</v>
      </c>
      <c r="I20" s="5" t="n">
        <v>6.94674129014268</v>
      </c>
      <c r="J20" s="5" t="n">
        <v>671.923</v>
      </c>
      <c r="K20" s="5" t="n">
        <v>-3.51077227512346</v>
      </c>
      <c r="L20" s="5" t="n">
        <v>157.442</v>
      </c>
      <c r="M20" s="5" t="n">
        <v>0.837096102731616</v>
      </c>
      <c r="N20" s="5" t="n">
        <v>302036</v>
      </c>
      <c r="O20" s="5" t="n">
        <v>6.89118217465778</v>
      </c>
      <c r="P20" s="5" t="n">
        <v>23.2897770945427</v>
      </c>
      <c r="Q20" s="5" t="n">
        <v>13.1</v>
      </c>
    </row>
    <row r="21" customFormat="false" ht="15" hidden="false" customHeight="false" outlineLevel="0" collapsed="false">
      <c r="A21" s="4" t="n">
        <v>38595</v>
      </c>
      <c r="B21" s="5" t="n">
        <v>3837</v>
      </c>
      <c r="C21" s="5" t="n">
        <v>30.2886247877759</v>
      </c>
      <c r="D21" s="5" t="n">
        <v>2626</v>
      </c>
      <c r="E21" s="5" t="n">
        <v>209.55</v>
      </c>
      <c r="F21" s="5" t="n">
        <v>0.311348126938678</v>
      </c>
      <c r="G21" s="5" t="n">
        <v>7.6</v>
      </c>
      <c r="H21" s="5" t="n">
        <v>16.3</v>
      </c>
      <c r="I21" s="5" t="n">
        <v>7.05616130531271</v>
      </c>
      <c r="J21" s="5" t="n">
        <v>666.511</v>
      </c>
      <c r="K21" s="5" t="n">
        <v>-3.22327249495434</v>
      </c>
      <c r="L21" s="5" t="n">
        <v>161.454</v>
      </c>
      <c r="M21" s="5" t="n">
        <v>0.94218709947671</v>
      </c>
      <c r="N21" s="5" t="n">
        <v>305363</v>
      </c>
      <c r="O21" s="5" t="n">
        <v>12.5621120301971</v>
      </c>
      <c r="P21" s="5" t="n">
        <v>324.799270072993</v>
      </c>
      <c r="Q21" s="5" t="n">
        <v>13.1</v>
      </c>
    </row>
    <row r="22" customFormat="false" ht="15" hidden="false" customHeight="false" outlineLevel="0" collapsed="false">
      <c r="A22" s="4" t="n">
        <v>38625</v>
      </c>
      <c r="B22" s="5" t="n">
        <v>3483</v>
      </c>
      <c r="C22" s="5" t="n">
        <v>16.0226515656229</v>
      </c>
      <c r="D22" s="5" t="n">
        <v>2468</v>
      </c>
      <c r="E22" s="5" t="n">
        <v>204.28</v>
      </c>
      <c r="F22" s="5" t="n">
        <v>0.323903465831212</v>
      </c>
      <c r="G22" s="5" t="n">
        <v>6.9</v>
      </c>
      <c r="H22" s="5" t="n">
        <v>15.9</v>
      </c>
      <c r="I22" s="5" t="n">
        <v>7.68133056488528</v>
      </c>
      <c r="J22" s="5" t="n">
        <v>645.615</v>
      </c>
      <c r="K22" s="5" t="n">
        <v>-8.55531807307757</v>
      </c>
      <c r="L22" s="5" t="n">
        <v>162.7</v>
      </c>
      <c r="M22" s="5" t="n">
        <v>1.3713481080879</v>
      </c>
      <c r="N22" s="5" t="n">
        <v>289398</v>
      </c>
      <c r="O22" s="5" t="n">
        <v>12.5926444670098</v>
      </c>
      <c r="P22" s="5" t="n">
        <v>221.202075526088</v>
      </c>
      <c r="Q22" s="5" t="n">
        <v>7</v>
      </c>
    </row>
    <row r="23" customFormat="false" ht="15" hidden="false" customHeight="false" outlineLevel="0" collapsed="false">
      <c r="A23" s="4" t="n">
        <v>38656</v>
      </c>
      <c r="B23" s="5" t="n">
        <v>3399</v>
      </c>
      <c r="C23" s="5" t="n">
        <v>20.063581773225</v>
      </c>
      <c r="D23" s="5" t="n">
        <v>2503</v>
      </c>
      <c r="E23" s="5" t="n">
        <v>204.28</v>
      </c>
      <c r="F23" s="5" t="n">
        <v>0.329278441355003</v>
      </c>
      <c r="G23" s="5" t="n">
        <v>6.8</v>
      </c>
      <c r="H23" s="5" t="n">
        <v>14.7</v>
      </c>
      <c r="I23" s="5" t="n">
        <v>8.13238697012298</v>
      </c>
      <c r="J23" s="5" t="n">
        <v>623.582</v>
      </c>
      <c r="K23" s="5" t="n">
        <v>-10.6989626116295</v>
      </c>
      <c r="L23" s="5" t="n">
        <v>166.021</v>
      </c>
      <c r="M23" s="5" t="n">
        <v>3.06805977191316</v>
      </c>
      <c r="N23" s="5" t="n">
        <v>303027</v>
      </c>
      <c r="O23" s="5" t="n">
        <v>10.7842312880901</v>
      </c>
      <c r="P23" s="5" t="n">
        <v>73.4962089300759</v>
      </c>
      <c r="Q23" s="5" t="n">
        <v>7</v>
      </c>
    </row>
    <row r="24" customFormat="false" ht="15" hidden="false" customHeight="false" outlineLevel="0" collapsed="false">
      <c r="A24" s="4" t="n">
        <v>38686</v>
      </c>
      <c r="B24" s="5" t="n">
        <v>3274</v>
      </c>
      <c r="C24" s="5" t="n">
        <v>7.62656147271532</v>
      </c>
      <c r="D24" s="5" t="n">
        <v>2701</v>
      </c>
      <c r="E24" s="5" t="n">
        <v>204.28</v>
      </c>
      <c r="F24" s="5" t="n">
        <v>0.332900920305463</v>
      </c>
      <c r="G24" s="5" t="n">
        <v>7.9</v>
      </c>
      <c r="H24" s="5" t="n">
        <v>12.4</v>
      </c>
      <c r="I24" s="5" t="n">
        <v>9.57275060740957</v>
      </c>
      <c r="J24" s="5" t="n">
        <v>650.316</v>
      </c>
      <c r="K24" s="5" t="n">
        <v>-3.72620602055408</v>
      </c>
      <c r="L24" s="5" t="n">
        <v>163.367</v>
      </c>
      <c r="M24" s="5" t="n">
        <v>-0.991497124294705</v>
      </c>
      <c r="N24" s="5" t="n">
        <v>301443</v>
      </c>
      <c r="O24" s="5" t="n">
        <v>8.83165271264095</v>
      </c>
      <c r="P24" s="5" t="n">
        <v>23.3009708737864</v>
      </c>
      <c r="Q24" s="5" t="n">
        <v>7</v>
      </c>
    </row>
    <row r="25" customFormat="false" ht="15" hidden="false" customHeight="false" outlineLevel="0" collapsed="false">
      <c r="A25" s="4" t="n">
        <v>38717</v>
      </c>
      <c r="B25" s="5" t="n">
        <v>3645</v>
      </c>
      <c r="C25" s="5" t="n">
        <v>23.0587440918298</v>
      </c>
      <c r="D25" s="5" t="n">
        <v>2495</v>
      </c>
      <c r="E25" s="5" t="n">
        <v>209.23</v>
      </c>
      <c r="F25" s="5" t="n">
        <v>0.330134301964346</v>
      </c>
      <c r="G25" s="5" t="n">
        <v>8.7</v>
      </c>
      <c r="H25" s="5" t="n">
        <v>14</v>
      </c>
      <c r="I25" s="5" t="n">
        <v>9.89857809937304</v>
      </c>
      <c r="J25" s="5" t="n">
        <v>653.195</v>
      </c>
      <c r="K25" s="5" t="n">
        <v>-4.29854043901109</v>
      </c>
      <c r="L25" s="5" t="n">
        <v>162.511</v>
      </c>
      <c r="M25" s="5" t="n">
        <v>-4.04008195898509</v>
      </c>
      <c r="N25" s="5" t="n">
        <v>305527</v>
      </c>
      <c r="O25" s="5" t="n">
        <v>10.9224446525947</v>
      </c>
      <c r="P25" s="5" t="n">
        <v>108.402203856749</v>
      </c>
      <c r="Q25" s="5" t="n">
        <v>7.8</v>
      </c>
    </row>
    <row r="26" customFormat="false" ht="15" hidden="false" customHeight="false" outlineLevel="0" collapsed="false">
      <c r="A26" s="4" t="n">
        <v>38748</v>
      </c>
      <c r="B26" s="5" t="n">
        <v>3188</v>
      </c>
      <c r="C26" s="5" t="n">
        <v>14.6350233728875</v>
      </c>
      <c r="D26" s="5" t="n">
        <v>2324</v>
      </c>
      <c r="E26" s="5" t="n">
        <v>209.23</v>
      </c>
      <c r="F26" s="5" t="n">
        <v>0.334101228313339</v>
      </c>
      <c r="G26" s="5" t="n">
        <v>8.2</v>
      </c>
      <c r="H26" s="5" t="n">
        <v>12.4</v>
      </c>
      <c r="I26" s="5" t="n">
        <v>9.65620725415013</v>
      </c>
      <c r="J26" s="5" t="n">
        <v>648.863</v>
      </c>
      <c r="K26" s="5" t="n">
        <v>-4.3939447519022</v>
      </c>
      <c r="L26" s="5" t="n">
        <v>167.111</v>
      </c>
      <c r="M26" s="5" t="n">
        <v>2.4875042163687</v>
      </c>
      <c r="N26" s="5" t="n">
        <v>304935</v>
      </c>
      <c r="O26" s="5" t="n">
        <v>9.07442249772863</v>
      </c>
      <c r="P26" s="5" t="n">
        <v>1.0349750178444</v>
      </c>
      <c r="Q26" s="5" t="n">
        <v>7.8</v>
      </c>
    </row>
    <row r="27" customFormat="false" ht="15" hidden="false" customHeight="false" outlineLevel="0" collapsed="false">
      <c r="A27" s="4" t="n">
        <v>38776</v>
      </c>
      <c r="B27" s="5" t="n">
        <v>3090</v>
      </c>
      <c r="C27" s="5" t="n">
        <v>18.5725249424405</v>
      </c>
      <c r="D27" s="5" t="n">
        <v>2326</v>
      </c>
      <c r="E27" s="5" t="n">
        <v>209.23</v>
      </c>
      <c r="F27" s="5" t="n">
        <v>0.338608230177317</v>
      </c>
      <c r="G27" s="5" t="n">
        <v>8.3</v>
      </c>
      <c r="H27" s="5" t="n">
        <v>13.9</v>
      </c>
      <c r="I27" s="5" t="n">
        <v>8.99259219907763</v>
      </c>
      <c r="J27" s="5" t="n">
        <v>629.005</v>
      </c>
      <c r="K27" s="5" t="n">
        <v>-7.2761821087204</v>
      </c>
      <c r="L27" s="5" t="n">
        <v>169.294</v>
      </c>
      <c r="M27" s="5" t="n">
        <v>2.86363553508608</v>
      </c>
      <c r="N27" s="5" t="n">
        <v>312135</v>
      </c>
      <c r="O27" s="5" t="n">
        <v>10.1778673566278</v>
      </c>
      <c r="P27" s="5" t="n">
        <v>-11.0087234303968</v>
      </c>
      <c r="Q27" s="5" t="n">
        <v>7.8</v>
      </c>
    </row>
    <row r="28" customFormat="false" ht="15" hidden="false" customHeight="false" outlineLevel="0" collapsed="false">
      <c r="A28" s="4" t="n">
        <v>38807</v>
      </c>
      <c r="B28" s="5" t="n">
        <v>3648</v>
      </c>
      <c r="C28" s="5" t="n">
        <v>19.4499017681729</v>
      </c>
      <c r="D28" s="5" t="n">
        <v>2722</v>
      </c>
      <c r="E28" s="5" t="n">
        <v>210.06</v>
      </c>
      <c r="F28" s="5" t="n">
        <v>0.342592592592593</v>
      </c>
      <c r="G28" s="5" t="n">
        <v>7.2</v>
      </c>
      <c r="H28" s="5" t="n">
        <v>13.2</v>
      </c>
      <c r="I28" s="5" t="n">
        <v>8.59332451467439</v>
      </c>
      <c r="J28" s="5" t="n">
        <v>659.655</v>
      </c>
      <c r="K28" s="5" t="n">
        <v>-2.55930373230564</v>
      </c>
      <c r="L28" s="5" t="n">
        <v>166.789</v>
      </c>
      <c r="M28" s="5" t="n">
        <v>5.16065168595998</v>
      </c>
      <c r="N28" s="5" t="n">
        <v>326442</v>
      </c>
      <c r="O28" s="5" t="n">
        <v>9.41615356512005</v>
      </c>
      <c r="P28" s="5" t="n">
        <v>-11.4196635730858</v>
      </c>
      <c r="Q28" s="5" t="n">
        <v>7.8</v>
      </c>
    </row>
    <row r="29" customFormat="false" ht="15" hidden="false" customHeight="false" outlineLevel="0" collapsed="false">
      <c r="A29" s="4" t="n">
        <v>38837</v>
      </c>
      <c r="B29" s="5" t="n">
        <v>3925</v>
      </c>
      <c r="C29" s="5" t="n">
        <v>10.2218477955631</v>
      </c>
      <c r="D29" s="5" t="n">
        <v>2545</v>
      </c>
      <c r="E29" s="5" t="n">
        <v>210.06</v>
      </c>
      <c r="F29" s="5" t="n">
        <v>0.345110920689327</v>
      </c>
      <c r="G29" s="5" t="n">
        <v>4.8</v>
      </c>
      <c r="H29" s="5" t="n">
        <v>11.3</v>
      </c>
      <c r="I29" s="5" t="n">
        <v>9.16737750301949</v>
      </c>
      <c r="J29" s="5" t="n">
        <v>659.69</v>
      </c>
      <c r="K29" s="5" t="n">
        <v>-2.63093806041194</v>
      </c>
      <c r="L29" s="5" t="n">
        <v>168.339</v>
      </c>
      <c r="M29" s="5" t="n">
        <v>4.36521221589852</v>
      </c>
      <c r="N29" s="5" t="n">
        <v>330289</v>
      </c>
      <c r="O29" s="5" t="n">
        <v>6.15889974190604</v>
      </c>
      <c r="P29" s="5" t="n">
        <v>21.9648891453062</v>
      </c>
      <c r="Q29" s="5" t="n">
        <v>7.8</v>
      </c>
    </row>
    <row r="30" customFormat="false" ht="15" hidden="false" customHeight="false" outlineLevel="0" collapsed="false">
      <c r="A30" s="4" t="n">
        <v>38868</v>
      </c>
      <c r="B30" s="5" t="n">
        <v>4181</v>
      </c>
      <c r="C30" s="5" t="n">
        <v>13.1529093369418</v>
      </c>
      <c r="D30" s="5" t="n">
        <v>2826</v>
      </c>
      <c r="E30" s="5" t="n">
        <v>210.06</v>
      </c>
      <c r="F30" s="5" t="n">
        <v>0.349090735980196</v>
      </c>
      <c r="G30" s="5" t="n">
        <v>5.3</v>
      </c>
      <c r="H30" s="5" t="n">
        <v>10.2</v>
      </c>
      <c r="I30" s="5" t="n">
        <v>9.01152190172981</v>
      </c>
      <c r="J30" s="5" t="n">
        <v>669.476</v>
      </c>
      <c r="K30" s="5" t="n">
        <v>-1.91833804591471</v>
      </c>
      <c r="L30" s="5" t="n">
        <v>164.076</v>
      </c>
      <c r="M30" s="5" t="n">
        <v>2.38432498205985</v>
      </c>
      <c r="N30" s="5" t="n">
        <v>329151</v>
      </c>
      <c r="O30" s="5" t="n">
        <v>3.60238711261356</v>
      </c>
      <c r="P30" s="5" t="n">
        <v>63.0386211299075</v>
      </c>
      <c r="Q30" s="5" t="n">
        <v>7.8</v>
      </c>
    </row>
    <row r="31" customFormat="false" ht="15" hidden="false" customHeight="false" outlineLevel="0" collapsed="false">
      <c r="A31" s="4" t="n">
        <v>38898</v>
      </c>
      <c r="B31" s="5" t="n">
        <v>3848</v>
      </c>
      <c r="C31" s="5" t="n">
        <v>11.536231884058</v>
      </c>
      <c r="D31" s="5" t="n">
        <v>2859</v>
      </c>
      <c r="E31" s="5" t="n">
        <v>237.31</v>
      </c>
      <c r="F31" s="5" t="n">
        <v>0.311251106148076</v>
      </c>
      <c r="G31" s="5" t="n">
        <v>6.7</v>
      </c>
      <c r="H31" s="5" t="n">
        <v>11</v>
      </c>
      <c r="I31" s="5" t="n">
        <v>8.49731772194464</v>
      </c>
      <c r="J31" s="5" t="n">
        <v>675.142</v>
      </c>
      <c r="K31" s="5" t="n">
        <v>0.473689614991413</v>
      </c>
      <c r="L31" s="5" t="n">
        <v>167.011</v>
      </c>
      <c r="M31" s="5" t="n">
        <v>4.44127597571118</v>
      </c>
      <c r="N31" s="5" t="n">
        <v>325089</v>
      </c>
      <c r="O31" s="5" t="n">
        <v>4.04412823688682</v>
      </c>
      <c r="P31" s="5" t="n">
        <v>61.9535519125683</v>
      </c>
      <c r="Q31" s="5" t="n">
        <v>5.6</v>
      </c>
    </row>
    <row r="32" customFormat="false" ht="15" hidden="false" customHeight="false" outlineLevel="0" collapsed="false">
      <c r="A32" s="4" t="n">
        <v>38929</v>
      </c>
      <c r="B32" s="5" t="n">
        <v>3817</v>
      </c>
      <c r="C32" s="5" t="n">
        <v>5.99833379616772</v>
      </c>
      <c r="D32" s="5" t="n">
        <v>2852</v>
      </c>
      <c r="E32" s="5" t="n">
        <v>237.31</v>
      </c>
      <c r="F32" s="5" t="n">
        <v>0.314280898402933</v>
      </c>
      <c r="G32" s="5" t="n">
        <v>8.8</v>
      </c>
      <c r="H32" s="5" t="n">
        <v>11.6</v>
      </c>
      <c r="I32" s="5" t="n">
        <v>8.04155150758302</v>
      </c>
      <c r="J32" s="5" t="n">
        <v>672.102</v>
      </c>
      <c r="K32" s="5" t="n">
        <v>0.026639957257002</v>
      </c>
      <c r="L32" s="5" t="n">
        <v>165.536</v>
      </c>
      <c r="M32" s="5" t="n">
        <v>5.14094079089442</v>
      </c>
      <c r="N32" s="5" t="n">
        <v>317566</v>
      </c>
      <c r="O32" s="5" t="n">
        <v>5.14177117959449</v>
      </c>
      <c r="P32" s="5" t="n">
        <v>43.0085500534378</v>
      </c>
      <c r="Q32" s="5" t="n">
        <v>5.6</v>
      </c>
    </row>
    <row r="33" customFormat="false" ht="15" hidden="false" customHeight="false" outlineLevel="0" collapsed="false">
      <c r="A33" s="4" t="n">
        <v>38960</v>
      </c>
      <c r="B33" s="5" t="n">
        <v>4246</v>
      </c>
      <c r="C33" s="5" t="n">
        <v>10.6593692989315</v>
      </c>
      <c r="D33" s="5" t="n">
        <v>3281</v>
      </c>
      <c r="E33" s="5" t="n">
        <v>237.31</v>
      </c>
      <c r="F33" s="5" t="n">
        <v>0.318764485272429</v>
      </c>
      <c r="G33" s="5" t="n">
        <v>9.9</v>
      </c>
      <c r="H33" s="5" t="n">
        <v>13.4</v>
      </c>
      <c r="I33" s="5" t="n">
        <v>8.18989832608761</v>
      </c>
      <c r="J33" s="5" t="n">
        <v>665.749</v>
      </c>
      <c r="K33" s="5" t="n">
        <v>-0.11432669528334</v>
      </c>
      <c r="L33" s="5" t="n">
        <v>167.349</v>
      </c>
      <c r="M33" s="5" t="n">
        <v>3.65119476754987</v>
      </c>
      <c r="N33" s="5" t="n">
        <v>316611</v>
      </c>
      <c r="O33" s="5" t="n">
        <v>3.68348490157615</v>
      </c>
      <c r="P33" s="5" t="n">
        <v>-66.1626358520555</v>
      </c>
      <c r="Q33" s="5" t="n">
        <v>5.6</v>
      </c>
    </row>
    <row r="34" customFormat="false" ht="15" hidden="false" customHeight="false" outlineLevel="0" collapsed="false">
      <c r="A34" s="4" t="n">
        <v>38990</v>
      </c>
      <c r="B34" s="5" t="n">
        <v>4048</v>
      </c>
      <c r="C34" s="5" t="n">
        <v>16.2216480045937</v>
      </c>
      <c r="D34" s="5" t="n">
        <v>3169</v>
      </c>
      <c r="E34" s="5" t="n">
        <v>236.27</v>
      </c>
      <c r="F34" s="5" t="n">
        <v>0.325525881406865</v>
      </c>
      <c r="G34" s="5" t="n">
        <v>9.4</v>
      </c>
      <c r="H34" s="5" t="n">
        <v>13.6</v>
      </c>
      <c r="I34" s="5" t="n">
        <v>7.87410308055413</v>
      </c>
      <c r="J34" s="5" t="n">
        <v>679.69</v>
      </c>
      <c r="K34" s="5" t="n">
        <v>5.27791330746654</v>
      </c>
      <c r="L34" s="5" t="n">
        <v>165.185</v>
      </c>
      <c r="M34" s="5" t="n">
        <v>1.52735095267365</v>
      </c>
      <c r="N34" s="5" t="n">
        <v>312001</v>
      </c>
      <c r="O34" s="5" t="n">
        <v>7.81035114271695</v>
      </c>
      <c r="P34" s="5" t="n">
        <v>-76.8992595916536</v>
      </c>
      <c r="Q34" s="5" t="n">
        <v>9.4</v>
      </c>
    </row>
    <row r="35" customFormat="false" ht="15" hidden="false" customHeight="false" outlineLevel="0" collapsed="false">
      <c r="A35" s="4" t="n">
        <v>39021</v>
      </c>
      <c r="B35" s="5" t="n">
        <v>4204</v>
      </c>
      <c r="C35" s="5" t="n">
        <v>23.6834363047955</v>
      </c>
      <c r="D35" s="5" t="n">
        <v>3255</v>
      </c>
      <c r="E35" s="5" t="n">
        <v>236.27</v>
      </c>
      <c r="F35" s="5" t="n">
        <v>0.332115799720659</v>
      </c>
      <c r="G35" s="5" t="n">
        <v>11.5</v>
      </c>
      <c r="H35" s="5" t="n">
        <v>13.4</v>
      </c>
      <c r="I35" s="5" t="n">
        <v>7.96883613646011</v>
      </c>
      <c r="J35" s="5" t="n">
        <v>677.663</v>
      </c>
      <c r="K35" s="5" t="n">
        <v>8.67263647764047</v>
      </c>
      <c r="L35" s="5" t="n">
        <v>164.601</v>
      </c>
      <c r="M35" s="5" t="n">
        <v>-0.855313484438713</v>
      </c>
      <c r="N35" s="5" t="n">
        <v>317857</v>
      </c>
      <c r="O35" s="5" t="n">
        <v>4.89395334409144</v>
      </c>
      <c r="P35" s="5" t="n">
        <v>-55.5987180732252</v>
      </c>
      <c r="Q35" s="5" t="n">
        <v>9.4</v>
      </c>
    </row>
    <row r="36" customFormat="false" ht="15" hidden="false" customHeight="false" outlineLevel="0" collapsed="false">
      <c r="A36" s="4" t="n">
        <v>39051</v>
      </c>
      <c r="B36" s="5" t="n">
        <v>4110</v>
      </c>
      <c r="C36" s="5" t="n">
        <v>25.5345143555284</v>
      </c>
      <c r="D36" s="5" t="n">
        <v>3237</v>
      </c>
      <c r="E36" s="5" t="n">
        <v>236.27</v>
      </c>
      <c r="F36" s="5" t="n">
        <v>0.337922715537309</v>
      </c>
      <c r="G36" s="5" t="n">
        <v>9.4</v>
      </c>
      <c r="H36" s="5" t="n">
        <v>14.2</v>
      </c>
      <c r="I36" s="5" t="n">
        <v>7.37924535737806</v>
      </c>
      <c r="J36" s="5" t="n">
        <v>627.333</v>
      </c>
      <c r="K36" s="5" t="n">
        <v>-3.53412802391454</v>
      </c>
      <c r="L36" s="5" t="n">
        <v>163.401</v>
      </c>
      <c r="M36" s="5" t="n">
        <v>0.0208120367026554</v>
      </c>
      <c r="N36" s="5" t="n">
        <v>324458</v>
      </c>
      <c r="O36" s="5" t="n">
        <v>7.63494259279531</v>
      </c>
      <c r="P36" s="5" t="n">
        <v>14.9364021804967</v>
      </c>
      <c r="Q36" s="5" t="n">
        <v>9.4</v>
      </c>
    </row>
    <row r="37" customFormat="false" ht="15" hidden="false" customHeight="false" outlineLevel="0" collapsed="false">
      <c r="A37" s="4" t="n">
        <v>39082</v>
      </c>
      <c r="B37" s="5" t="n">
        <v>4241</v>
      </c>
      <c r="C37" s="5" t="n">
        <v>16.3511659807956</v>
      </c>
      <c r="D37" s="5" t="n">
        <v>2756</v>
      </c>
      <c r="E37" s="5" t="n">
        <v>247.8</v>
      </c>
      <c r="F37" s="5" t="n">
        <v>0.325657788539145</v>
      </c>
      <c r="G37" s="5" t="n">
        <v>8.2</v>
      </c>
      <c r="H37" s="5" t="n">
        <v>12.5</v>
      </c>
      <c r="I37" s="5" t="n">
        <v>5.21615061946913</v>
      </c>
      <c r="J37" s="5" t="n">
        <v>662.072</v>
      </c>
      <c r="K37" s="5" t="n">
        <v>1.3590122398365</v>
      </c>
      <c r="L37" s="5" t="n">
        <v>162.793</v>
      </c>
      <c r="M37" s="5" t="n">
        <v>0.17352671511468</v>
      </c>
      <c r="N37" s="5" t="n">
        <v>303219</v>
      </c>
      <c r="O37" s="5" t="n">
        <v>-0.755416051609181</v>
      </c>
      <c r="P37" s="5" t="n">
        <v>-39.8463317911434</v>
      </c>
      <c r="Q37" s="5" t="n">
        <v>9.7</v>
      </c>
    </row>
    <row r="38" customFormat="false" ht="15" hidden="false" customHeight="false" outlineLevel="0" collapsed="false">
      <c r="A38" s="4" t="n">
        <v>39113</v>
      </c>
      <c r="B38" s="5" t="n">
        <v>3390</v>
      </c>
      <c r="C38" s="5" t="n">
        <v>6.33626097867002</v>
      </c>
      <c r="D38" s="5" t="n">
        <v>2951</v>
      </c>
      <c r="E38" s="5" t="n">
        <v>247.8</v>
      </c>
      <c r="F38" s="5" t="n">
        <v>0.329003228410008</v>
      </c>
      <c r="G38" s="5" t="n">
        <v>7.7</v>
      </c>
      <c r="H38" s="5" t="n">
        <v>13.3</v>
      </c>
      <c r="I38" s="5" t="n">
        <v>5.13360946814201</v>
      </c>
      <c r="J38" s="5" t="n">
        <v>652.861</v>
      </c>
      <c r="K38" s="5" t="n">
        <v>0.616154719871509</v>
      </c>
      <c r="L38" s="5" t="n">
        <v>163.081</v>
      </c>
      <c r="M38" s="5" t="n">
        <v>-2.41157075237417</v>
      </c>
      <c r="N38" s="5" t="n">
        <v>307711</v>
      </c>
      <c r="O38" s="5" t="n">
        <v>0.910357945135853</v>
      </c>
      <c r="P38" s="5" t="n">
        <v>4.79218179677381</v>
      </c>
      <c r="Q38" s="5" t="n">
        <v>9.7</v>
      </c>
    </row>
    <row r="39" customFormat="false" ht="15" hidden="false" customHeight="false" outlineLevel="0" collapsed="false">
      <c r="A39" s="4" t="n">
        <v>39141</v>
      </c>
      <c r="B39" s="5" t="n">
        <v>3587</v>
      </c>
      <c r="C39" s="5" t="n">
        <v>16.084142394822</v>
      </c>
      <c r="D39" s="5" t="n">
        <v>2791</v>
      </c>
      <c r="E39" s="5" t="n">
        <v>247.8</v>
      </c>
      <c r="F39" s="5" t="n">
        <v>0.332885391444714</v>
      </c>
      <c r="G39" s="5" t="n">
        <v>8.3</v>
      </c>
      <c r="H39" s="5" t="n">
        <v>12.6</v>
      </c>
      <c r="I39" s="5" t="n">
        <v>5.67488218207424</v>
      </c>
      <c r="J39" s="5" t="n">
        <v>654.151</v>
      </c>
      <c r="K39" s="5" t="n">
        <v>3.99774246627609</v>
      </c>
      <c r="L39" s="5" t="n">
        <v>163.327</v>
      </c>
      <c r="M39" s="5" t="n">
        <v>-3.52463761267382</v>
      </c>
      <c r="N39" s="5" t="n">
        <v>311719</v>
      </c>
      <c r="O39" s="5" t="n">
        <v>-0.133275665977861</v>
      </c>
      <c r="P39" s="5" t="n">
        <v>114.966174237195</v>
      </c>
      <c r="Q39" s="5" t="n">
        <v>9.7</v>
      </c>
      <c r="R39" s="5" t="n">
        <v>8.45</v>
      </c>
    </row>
    <row r="40" customFormat="false" ht="15" hidden="false" customHeight="false" outlineLevel="0" collapsed="false">
      <c r="A40" s="4" t="n">
        <v>39172</v>
      </c>
      <c r="B40" s="5" t="n">
        <v>4173</v>
      </c>
      <c r="C40" s="5" t="n">
        <v>14.3914473684211</v>
      </c>
      <c r="D40" s="5" t="n">
        <v>3422</v>
      </c>
      <c r="E40" s="5" t="n">
        <v>250.14</v>
      </c>
      <c r="F40" s="5" t="n">
        <v>0.334668585592069</v>
      </c>
      <c r="G40" s="5" t="n">
        <v>9</v>
      </c>
      <c r="H40" s="5" t="n">
        <v>13.3</v>
      </c>
      <c r="I40" s="5" t="n">
        <v>5.93152250018479</v>
      </c>
      <c r="J40" s="5" t="n">
        <v>658.454</v>
      </c>
      <c r="K40" s="5" t="n">
        <v>-0.182064867241216</v>
      </c>
      <c r="L40" s="5" t="n">
        <v>164.445</v>
      </c>
      <c r="M40" s="5" t="n">
        <v>-1.40536845955068</v>
      </c>
      <c r="N40" s="5" t="n">
        <v>315387</v>
      </c>
      <c r="O40" s="5" t="n">
        <v>-3.38651276490157</v>
      </c>
      <c r="P40" s="5" t="n">
        <v>47.5894245723173</v>
      </c>
      <c r="Q40" s="5" t="n">
        <v>8.4</v>
      </c>
      <c r="R40" s="5" t="n">
        <v>8.448</v>
      </c>
    </row>
    <row r="41" customFormat="false" ht="15" hidden="false" customHeight="false" outlineLevel="0" collapsed="false">
      <c r="A41" s="4" t="n">
        <v>39202</v>
      </c>
      <c r="B41" s="5" t="n">
        <v>4299</v>
      </c>
      <c r="C41" s="5" t="n">
        <v>9.52866242038217</v>
      </c>
      <c r="D41" s="5" t="n">
        <v>3061</v>
      </c>
      <c r="E41" s="5" t="n">
        <v>250.14</v>
      </c>
      <c r="F41" s="5" t="n">
        <v>0.33822659310786</v>
      </c>
      <c r="G41" s="5" t="n">
        <v>9.3</v>
      </c>
      <c r="H41" s="5" t="n">
        <v>13.5</v>
      </c>
      <c r="I41" s="5" t="n">
        <v>7.91075449992023</v>
      </c>
      <c r="J41" s="5" t="n">
        <v>666.882</v>
      </c>
      <c r="K41" s="5" t="n">
        <v>1.09020903757824</v>
      </c>
      <c r="L41" s="5" t="n">
        <v>162.919</v>
      </c>
      <c r="M41" s="5" t="n">
        <v>-3.21969359447305</v>
      </c>
      <c r="N41" s="5" t="n">
        <v>318468</v>
      </c>
      <c r="O41" s="5" t="n">
        <v>-3.57898688724118</v>
      </c>
      <c r="P41" s="5" t="n">
        <v>62.724692526017</v>
      </c>
      <c r="Q41" s="5" t="n">
        <v>8.4</v>
      </c>
      <c r="R41" s="5" t="n">
        <v>8.44615384615385</v>
      </c>
    </row>
    <row r="42" customFormat="false" ht="15" hidden="false" customHeight="false" outlineLevel="0" collapsed="false">
      <c r="A42" s="4" t="n">
        <v>39233</v>
      </c>
      <c r="B42" s="5" t="n">
        <v>4856</v>
      </c>
      <c r="C42" s="5" t="n">
        <v>16.1444630471179</v>
      </c>
      <c r="D42" s="5" t="n">
        <v>3542</v>
      </c>
      <c r="E42" s="5" t="n">
        <v>250.14</v>
      </c>
      <c r="F42" s="5" t="n">
        <v>0.343787479011753</v>
      </c>
      <c r="G42" s="5" t="n">
        <v>10.7</v>
      </c>
      <c r="H42" s="5" t="n">
        <v>14.4</v>
      </c>
      <c r="I42" s="5" t="n">
        <v>9.97682231294736</v>
      </c>
      <c r="J42" s="5" t="n">
        <v>663.095</v>
      </c>
      <c r="K42" s="5" t="n">
        <v>-0.953133495450165</v>
      </c>
      <c r="L42" s="5" t="n">
        <v>162.155</v>
      </c>
      <c r="M42" s="5" t="n">
        <v>-1.17079889807162</v>
      </c>
      <c r="N42" s="5" t="n">
        <v>325014</v>
      </c>
      <c r="O42" s="5" t="n">
        <v>-1.25686994722787</v>
      </c>
      <c r="P42" s="5" t="n">
        <v>56.8976768467763</v>
      </c>
      <c r="Q42" s="5" t="n">
        <v>8.4</v>
      </c>
      <c r="R42" s="5" t="n">
        <v>8.44444444444444</v>
      </c>
    </row>
    <row r="43" customFormat="false" ht="15" hidden="false" customHeight="false" outlineLevel="0" collapsed="false">
      <c r="A43" s="4" t="n">
        <v>39263</v>
      </c>
      <c r="B43" s="5" t="n">
        <v>4521</v>
      </c>
      <c r="C43" s="5" t="n">
        <v>17.489604989605</v>
      </c>
      <c r="D43" s="5" t="n">
        <v>3579</v>
      </c>
      <c r="E43" s="5" t="n">
        <v>293.29</v>
      </c>
      <c r="F43" s="5" t="n">
        <v>0.297957652835078</v>
      </c>
      <c r="G43" s="5" t="n">
        <v>9.5</v>
      </c>
      <c r="H43" s="5" t="n">
        <v>14.3</v>
      </c>
      <c r="I43" s="5" t="n">
        <v>12.5466105236494</v>
      </c>
      <c r="J43" s="5" t="n">
        <v>655.071</v>
      </c>
      <c r="K43" s="5" t="n">
        <v>-2.97285608064675</v>
      </c>
      <c r="L43" s="5" t="n">
        <v>159.444</v>
      </c>
      <c r="M43" s="5" t="n">
        <v>-4.53083928603506</v>
      </c>
      <c r="N43" s="5" t="n">
        <v>336924</v>
      </c>
      <c r="O43" s="5" t="n">
        <v>3.64054151324713</v>
      </c>
      <c r="P43" s="5" t="n">
        <v>24.7936374043502</v>
      </c>
      <c r="Q43" s="5" t="n">
        <v>9.9</v>
      </c>
      <c r="R43" s="5" t="n">
        <v>8.49642857142857</v>
      </c>
    </row>
    <row r="44" customFormat="false" ht="15" hidden="false" customHeight="false" outlineLevel="0" collapsed="false">
      <c r="A44" s="4" t="n">
        <v>39294</v>
      </c>
      <c r="B44" s="5" t="n">
        <v>4614</v>
      </c>
      <c r="C44" s="5" t="n">
        <v>20.8802724652869</v>
      </c>
      <c r="D44" s="5" t="n">
        <v>4126</v>
      </c>
      <c r="E44" s="5" t="n">
        <v>293.29</v>
      </c>
      <c r="F44" s="5" t="n">
        <v>0.305018923250026</v>
      </c>
      <c r="G44" s="5" t="n">
        <v>8.8</v>
      </c>
      <c r="H44" s="5" t="n">
        <v>13.6</v>
      </c>
      <c r="I44" s="5" t="n">
        <v>15.3132951044099</v>
      </c>
      <c r="J44" s="5" t="n">
        <v>632.482</v>
      </c>
      <c r="K44" s="5" t="n">
        <v>-5.89493856587244</v>
      </c>
      <c r="L44" s="5" t="n">
        <v>159.679</v>
      </c>
      <c r="M44" s="5" t="n">
        <v>-3.53820317030736</v>
      </c>
      <c r="N44" s="5" t="n">
        <v>327287</v>
      </c>
      <c r="O44" s="5" t="n">
        <v>3.06109596115454</v>
      </c>
      <c r="P44" s="5" t="n">
        <v>-34.7325154138382</v>
      </c>
      <c r="Q44" s="5" t="n">
        <v>9.9</v>
      </c>
      <c r="R44" s="5" t="n">
        <v>8.5448275862069</v>
      </c>
    </row>
    <row r="45" customFormat="false" ht="15" hidden="false" customHeight="false" outlineLevel="0" collapsed="false">
      <c r="A45" s="4" t="n">
        <v>39325</v>
      </c>
      <c r="B45" s="5" t="n">
        <v>4922</v>
      </c>
      <c r="C45" s="5" t="n">
        <v>15.9208666980688</v>
      </c>
      <c r="D45" s="5" t="n">
        <v>4606</v>
      </c>
      <c r="E45" s="5" t="n">
        <v>293.29</v>
      </c>
      <c r="F45" s="5" t="n">
        <v>0.311841522043029</v>
      </c>
      <c r="G45" s="5" t="n">
        <v>8.8</v>
      </c>
      <c r="H45" s="5" t="n">
        <v>12.1</v>
      </c>
      <c r="I45" s="5" t="n">
        <v>19.2499190413722</v>
      </c>
      <c r="J45" s="5" t="n">
        <v>655.962</v>
      </c>
      <c r="K45" s="5" t="n">
        <v>-1.47007355625018</v>
      </c>
      <c r="L45" s="5" t="n">
        <v>154.497</v>
      </c>
      <c r="M45" s="5" t="n">
        <v>-7.67975906638222</v>
      </c>
      <c r="N45" s="5" t="n">
        <v>312591</v>
      </c>
      <c r="O45" s="5" t="n">
        <v>-1.26969688355743</v>
      </c>
      <c r="P45" s="5" t="n">
        <v>24.0319918750793</v>
      </c>
      <c r="Q45" s="5" t="n">
        <v>9.9</v>
      </c>
      <c r="R45" s="5" t="n">
        <v>8.59</v>
      </c>
    </row>
    <row r="46" customFormat="false" ht="15" hidden="false" customHeight="false" outlineLevel="0" collapsed="false">
      <c r="A46" s="4" t="n">
        <v>39355</v>
      </c>
      <c r="B46" s="5" t="n">
        <v>4828</v>
      </c>
      <c r="C46" s="5" t="n">
        <v>19.2687747035573</v>
      </c>
      <c r="D46" s="5" t="n">
        <v>3963</v>
      </c>
      <c r="E46" s="5" t="n">
        <v>291.46</v>
      </c>
      <c r="F46" s="5" t="n">
        <v>0.319199890207919</v>
      </c>
      <c r="G46" s="5" t="n">
        <v>7.6</v>
      </c>
      <c r="H46" s="5" t="n">
        <v>10.5</v>
      </c>
      <c r="I46" s="5" t="n">
        <v>21.2983959560564</v>
      </c>
      <c r="J46" s="5" t="n">
        <v>663.274</v>
      </c>
      <c r="K46" s="5" t="n">
        <v>-2.41521870264386</v>
      </c>
      <c r="L46" s="5" t="n">
        <v>157.525</v>
      </c>
      <c r="M46" s="5" t="n">
        <v>-4.63722492962436</v>
      </c>
      <c r="N46" s="5" t="n">
        <v>304684</v>
      </c>
      <c r="O46" s="5" t="n">
        <v>-2.34518479107438</v>
      </c>
      <c r="P46" s="5" t="n">
        <v>29.1569541569542</v>
      </c>
      <c r="Q46" s="5" t="n">
        <v>8.4</v>
      </c>
      <c r="R46" s="5" t="n">
        <v>8.58387096774193</v>
      </c>
    </row>
    <row r="47" customFormat="false" ht="15" hidden="false" customHeight="false" outlineLevel="0" collapsed="false">
      <c r="A47" s="4" t="n">
        <v>39386</v>
      </c>
      <c r="B47" s="5" t="n">
        <v>5581</v>
      </c>
      <c r="C47" s="5" t="n">
        <v>32.7545195052331</v>
      </c>
      <c r="D47" s="5" t="n">
        <v>4400</v>
      </c>
      <c r="E47" s="5" t="n">
        <v>291.46</v>
      </c>
      <c r="F47" s="5" t="n">
        <v>0.32785287861113</v>
      </c>
      <c r="G47" s="5" t="n">
        <v>10.2</v>
      </c>
      <c r="H47" s="5" t="n">
        <v>12.7</v>
      </c>
      <c r="I47" s="5" t="n">
        <v>22.5298699211928</v>
      </c>
      <c r="J47" s="5" t="n">
        <v>658.56</v>
      </c>
      <c r="K47" s="5" t="n">
        <v>-2.81895278331561</v>
      </c>
      <c r="L47" s="5" t="n">
        <v>159.438</v>
      </c>
      <c r="M47" s="5" t="n">
        <v>-3.13667596187144</v>
      </c>
      <c r="N47" s="5" t="n">
        <v>295477</v>
      </c>
      <c r="O47" s="5" t="n">
        <v>-7.04090204085485</v>
      </c>
      <c r="P47" s="5" t="n">
        <v>38.1452318460192</v>
      </c>
      <c r="Q47" s="5" t="n">
        <v>8.4</v>
      </c>
      <c r="R47" s="5" t="n">
        <v>8.578125</v>
      </c>
    </row>
    <row r="48" customFormat="false" ht="15" hidden="false" customHeight="false" outlineLevel="0" collapsed="false">
      <c r="A48" s="4" t="n">
        <v>39416</v>
      </c>
      <c r="B48" s="5" t="n">
        <v>5424</v>
      </c>
      <c r="C48" s="5" t="n">
        <v>31.970802919708</v>
      </c>
      <c r="D48" s="5" t="n">
        <v>4384</v>
      </c>
      <c r="E48" s="5" t="n">
        <v>291.46</v>
      </c>
      <c r="F48" s="5" t="n">
        <v>0.336296575859466</v>
      </c>
      <c r="G48" s="5" t="n">
        <v>9.8</v>
      </c>
      <c r="H48" s="5" t="n">
        <v>11</v>
      </c>
      <c r="I48" s="5" t="n">
        <v>20.6241276120064</v>
      </c>
      <c r="J48" s="5" t="n">
        <v>622.965</v>
      </c>
      <c r="K48" s="5" t="n">
        <v>-0.696280922572212</v>
      </c>
      <c r="L48" s="5" t="n">
        <v>159.413</v>
      </c>
      <c r="M48" s="5" t="n">
        <v>-2.44062153842388</v>
      </c>
      <c r="N48" s="5" t="n">
        <v>287895</v>
      </c>
      <c r="O48" s="5" t="n">
        <v>-11.2689469823521</v>
      </c>
      <c r="P48" s="5" t="n">
        <v>-5.59654300168633</v>
      </c>
      <c r="Q48" s="5" t="n">
        <v>8.4</v>
      </c>
      <c r="R48" s="5" t="n">
        <v>8.57272727272727</v>
      </c>
    </row>
    <row r="49" customFormat="false" ht="15" hidden="false" customHeight="false" outlineLevel="0" collapsed="false">
      <c r="A49" s="4" t="n">
        <v>39447</v>
      </c>
      <c r="B49" s="5" t="n">
        <v>5787</v>
      </c>
      <c r="C49" s="5" t="n">
        <v>36.4536665880689</v>
      </c>
      <c r="D49" s="5" t="n">
        <v>3881</v>
      </c>
      <c r="E49" s="5" t="n">
        <v>316.38</v>
      </c>
      <c r="F49" s="5" t="n">
        <v>0.318250205449144</v>
      </c>
      <c r="G49" s="5" t="n">
        <v>7.8</v>
      </c>
      <c r="H49" s="5" t="n">
        <v>11</v>
      </c>
      <c r="I49" s="5" t="n">
        <v>19.7839078844645</v>
      </c>
      <c r="J49" s="5" t="n">
        <v>654.397</v>
      </c>
      <c r="K49" s="5" t="n">
        <v>-1.15923947848572</v>
      </c>
      <c r="L49" s="5" t="n">
        <v>159.57</v>
      </c>
      <c r="M49" s="5" t="n">
        <v>-1.97981485690417</v>
      </c>
      <c r="N49" s="5" t="n">
        <v>271865</v>
      </c>
      <c r="O49" s="5" t="n">
        <v>-10.3403810447235</v>
      </c>
      <c r="P49" s="5" t="n">
        <v>49.0729295426452</v>
      </c>
      <c r="Q49" s="5" t="n">
        <v>9.3</v>
      </c>
      <c r="R49" s="5" t="n">
        <v>8.59411764705882</v>
      </c>
    </row>
    <row r="50" customFormat="false" ht="15" hidden="false" customHeight="false" outlineLevel="0" collapsed="false">
      <c r="A50" s="4" t="n">
        <v>39478</v>
      </c>
      <c r="B50" s="5" t="n">
        <v>5818</v>
      </c>
      <c r="C50" s="5" t="n">
        <v>71.6224188790561</v>
      </c>
      <c r="D50" s="5" t="n">
        <v>4479</v>
      </c>
      <c r="E50" s="5" t="n">
        <v>316.38</v>
      </c>
      <c r="F50" s="5" t="n">
        <v>0.33075415639421</v>
      </c>
      <c r="G50" s="5" t="n">
        <v>10</v>
      </c>
      <c r="H50" s="5" t="n">
        <v>11.4</v>
      </c>
      <c r="I50" s="5" t="n">
        <v>20.9568129780465</v>
      </c>
      <c r="J50" s="5" t="n">
        <v>665.363</v>
      </c>
      <c r="K50" s="5" t="n">
        <v>1.91495586349928</v>
      </c>
      <c r="L50" s="5" t="n">
        <v>159.852</v>
      </c>
      <c r="M50" s="5" t="n">
        <v>-1.97999766986956</v>
      </c>
      <c r="N50" s="5" t="n">
        <v>275472</v>
      </c>
      <c r="O50" s="5" t="n">
        <v>-10.4770385199099</v>
      </c>
      <c r="P50" s="5" t="n">
        <v>8.52808988764044</v>
      </c>
      <c r="Q50" s="5" t="n">
        <v>9.3</v>
      </c>
      <c r="R50" s="5" t="n">
        <v>8.61428571428571</v>
      </c>
    </row>
    <row r="51" customFormat="false" ht="15" hidden="false" customHeight="false" outlineLevel="0" collapsed="false">
      <c r="A51" s="4" t="n">
        <v>39507</v>
      </c>
      <c r="B51" s="5" t="n">
        <v>5226</v>
      </c>
      <c r="C51" s="5" t="n">
        <v>45.6927794814608</v>
      </c>
      <c r="D51" s="5" t="n">
        <v>4210</v>
      </c>
      <c r="E51" s="5" t="n">
        <v>316.38</v>
      </c>
      <c r="F51" s="5" t="n">
        <v>0.340419748403818</v>
      </c>
      <c r="G51" s="5" t="n">
        <v>8.9</v>
      </c>
      <c r="H51" s="5" t="n">
        <v>11.8</v>
      </c>
      <c r="I51" s="5" t="n">
        <v>23.0208979187137</v>
      </c>
      <c r="J51" s="5" t="n">
        <v>675.032</v>
      </c>
      <c r="K51" s="5" t="n">
        <v>3.19207644718116</v>
      </c>
      <c r="L51" s="5" t="n">
        <v>161.674</v>
      </c>
      <c r="M51" s="5" t="n">
        <v>-1.01208006024723</v>
      </c>
      <c r="N51" s="5" t="n">
        <v>287785</v>
      </c>
      <c r="O51" s="5" t="n">
        <v>-7.67806903012007</v>
      </c>
      <c r="P51" s="5" t="n">
        <v>-21.5542710340398</v>
      </c>
      <c r="Q51" s="5" t="n">
        <v>9.3</v>
      </c>
      <c r="R51" s="5" t="n">
        <v>8.63333333333333</v>
      </c>
    </row>
    <row r="52" customFormat="false" ht="15" hidden="false" customHeight="false" outlineLevel="0" collapsed="false">
      <c r="A52" s="4" t="n">
        <v>39538</v>
      </c>
      <c r="B52" s="5" t="n">
        <v>4991</v>
      </c>
      <c r="C52" s="5" t="n">
        <v>19.6022046489336</v>
      </c>
      <c r="D52" s="5" t="n">
        <v>4163</v>
      </c>
      <c r="E52" s="5" t="n">
        <v>327.41</v>
      </c>
      <c r="F52" s="5" t="n">
        <v>0.3337130814575</v>
      </c>
      <c r="G52" s="5" t="n">
        <v>2.4</v>
      </c>
      <c r="H52" s="5" t="n">
        <v>5.4</v>
      </c>
      <c r="I52" s="5" t="n">
        <v>27.0270402275216</v>
      </c>
      <c r="J52" s="5" t="n">
        <v>675.279</v>
      </c>
      <c r="K52" s="5" t="n">
        <v>2.55522785190765</v>
      </c>
      <c r="L52" s="5" t="n">
        <v>156.563</v>
      </c>
      <c r="M52" s="5" t="n">
        <v>-4.79309191523002</v>
      </c>
      <c r="N52" s="5" t="n">
        <v>301723</v>
      </c>
      <c r="O52" s="5" t="n">
        <v>-4.33245504729111</v>
      </c>
      <c r="P52" s="5" t="n">
        <v>-29.765404026399</v>
      </c>
      <c r="Q52" s="5" t="n">
        <v>6.9</v>
      </c>
      <c r="R52" s="5" t="n">
        <v>8.58648648648648</v>
      </c>
    </row>
    <row r="53" customFormat="false" ht="15" hidden="false" customHeight="false" outlineLevel="0" collapsed="false">
      <c r="A53" s="4" t="n">
        <v>39568</v>
      </c>
      <c r="B53" s="5" t="n">
        <v>5846</v>
      </c>
      <c r="C53" s="5" t="n">
        <v>35.9851128169342</v>
      </c>
      <c r="D53" s="5" t="n">
        <v>4930</v>
      </c>
      <c r="E53" s="5" t="n">
        <v>327.41</v>
      </c>
      <c r="F53" s="5" t="n">
        <v>0.344146483002963</v>
      </c>
      <c r="G53" s="5" t="n">
        <v>8.9</v>
      </c>
      <c r="H53" s="5" t="n">
        <v>9</v>
      </c>
      <c r="I53" s="5" t="n">
        <v>27.9991793834679</v>
      </c>
      <c r="J53" s="5" t="n">
        <v>672.179</v>
      </c>
      <c r="K53" s="5" t="n">
        <v>0.794293443217842</v>
      </c>
      <c r="L53" s="5" t="n">
        <v>153.17</v>
      </c>
      <c r="M53" s="5" t="n">
        <v>-5.9839552170097</v>
      </c>
      <c r="N53" s="5" t="n">
        <v>302429</v>
      </c>
      <c r="O53" s="5" t="n">
        <v>-5.03629878041122</v>
      </c>
      <c r="P53" s="5" t="n">
        <v>-49.6345514950166</v>
      </c>
      <c r="Q53" s="5" t="n">
        <v>6.9</v>
      </c>
      <c r="R53" s="5" t="n">
        <v>8.54210526315789</v>
      </c>
    </row>
    <row r="54" customFormat="false" ht="15" hidden="false" customHeight="false" outlineLevel="0" collapsed="false">
      <c r="A54" s="4" t="n">
        <v>39599</v>
      </c>
      <c r="B54" s="5" t="n">
        <v>6240</v>
      </c>
      <c r="C54" s="5" t="n">
        <v>28.500823723229</v>
      </c>
      <c r="D54" s="5" t="n">
        <v>5200</v>
      </c>
      <c r="E54" s="5" t="n">
        <v>327.41</v>
      </c>
      <c r="F54" s="5" t="n">
        <v>0.353437585901469</v>
      </c>
      <c r="G54" s="5" t="n">
        <v>4.4</v>
      </c>
      <c r="H54" s="5" t="n">
        <v>5.8</v>
      </c>
      <c r="I54" s="5" t="n">
        <v>25.5030496651738</v>
      </c>
      <c r="J54" s="5" t="n">
        <v>547.599</v>
      </c>
      <c r="K54" s="5" t="n">
        <v>-17.4177154103107</v>
      </c>
      <c r="L54" s="5" t="n">
        <v>152.406</v>
      </c>
      <c r="M54" s="5" t="n">
        <v>-6.01214886990842</v>
      </c>
      <c r="N54" s="5" t="n">
        <v>289256</v>
      </c>
      <c r="O54" s="5" t="n">
        <v>-11.0019876066877</v>
      </c>
      <c r="P54" s="5" t="n">
        <v>-26.2446450110219</v>
      </c>
      <c r="Q54" s="5" t="n">
        <v>6.9</v>
      </c>
      <c r="R54" s="5" t="n">
        <v>8.5</v>
      </c>
    </row>
    <row r="55" customFormat="false" ht="15" hidden="false" customHeight="false" outlineLevel="0" collapsed="false">
      <c r="A55" s="4" t="n">
        <v>39629</v>
      </c>
      <c r="B55" s="5" t="n">
        <v>5407</v>
      </c>
      <c r="C55" s="5" t="n">
        <v>19.5974341959744</v>
      </c>
      <c r="D55" s="5" t="n">
        <v>5196</v>
      </c>
      <c r="E55" s="5" t="n">
        <v>389.04</v>
      </c>
      <c r="F55" s="5" t="n">
        <v>0.303881348961546</v>
      </c>
      <c r="G55" s="5" t="n">
        <v>3.2</v>
      </c>
      <c r="H55" s="5" t="n">
        <v>2.8</v>
      </c>
      <c r="I55" s="5" t="n">
        <v>25.193293626027</v>
      </c>
      <c r="J55" s="5" t="n">
        <v>637.479</v>
      </c>
      <c r="K55" s="5" t="n">
        <v>-2.68551042558746</v>
      </c>
      <c r="L55" s="5" t="n">
        <v>147.065</v>
      </c>
      <c r="M55" s="5" t="n">
        <v>-7.76385439401921</v>
      </c>
      <c r="N55" s="5" t="n">
        <v>282258</v>
      </c>
      <c r="O55" s="5" t="n">
        <v>-16.22502404103</v>
      </c>
      <c r="P55" s="5" t="n">
        <v>-38.6104673619158</v>
      </c>
      <c r="Q55" s="5" t="n">
        <v>5.5</v>
      </c>
      <c r="R55" s="5" t="n">
        <v>8.425</v>
      </c>
    </row>
    <row r="56" customFormat="false" ht="15" hidden="false" customHeight="false" outlineLevel="0" collapsed="false">
      <c r="A56" s="4" t="n">
        <v>39660</v>
      </c>
      <c r="B56" s="5" t="n">
        <v>7011</v>
      </c>
      <c r="C56" s="5" t="n">
        <v>51.9505851755527</v>
      </c>
      <c r="D56" s="5" t="n">
        <v>6047</v>
      </c>
      <c r="E56" s="5" t="n">
        <v>389.04</v>
      </c>
      <c r="F56" s="5" t="n">
        <v>0.314980464733704</v>
      </c>
      <c r="G56" s="5" t="n">
        <v>7.3</v>
      </c>
      <c r="H56" s="5" t="n">
        <v>6.5</v>
      </c>
      <c r="I56" s="5" t="n">
        <v>23.6687509206673</v>
      </c>
      <c r="J56" s="5" t="n">
        <v>670.664</v>
      </c>
      <c r="K56" s="5" t="n">
        <v>6.03685164162775</v>
      </c>
      <c r="L56" s="5" t="n">
        <v>147.927</v>
      </c>
      <c r="M56" s="5" t="n">
        <v>-7.35976552959375</v>
      </c>
      <c r="N56" s="5" t="n">
        <v>277865</v>
      </c>
      <c r="O56" s="5" t="n">
        <v>-15.1005081167294</v>
      </c>
      <c r="P56" s="5" t="n">
        <v>-1.38358778625953</v>
      </c>
      <c r="Q56" s="5" t="n">
        <v>5.5</v>
      </c>
      <c r="R56" s="5" t="n">
        <v>8.35365853658536</v>
      </c>
    </row>
    <row r="57" customFormat="false" ht="15" hidden="false" customHeight="false" outlineLevel="0" collapsed="false">
      <c r="A57" s="4" t="n">
        <v>39691</v>
      </c>
      <c r="B57" s="5" t="n">
        <v>7367</v>
      </c>
      <c r="C57" s="5" t="n">
        <v>49.6749288906948</v>
      </c>
      <c r="D57" s="5" t="n">
        <v>5159</v>
      </c>
      <c r="E57" s="5" t="n">
        <v>389.04</v>
      </c>
      <c r="F57" s="5" t="n">
        <v>0.322686613201727</v>
      </c>
      <c r="G57" s="5" t="n">
        <v>3.7</v>
      </c>
      <c r="H57" s="5" t="n">
        <v>4.9</v>
      </c>
      <c r="I57" s="5" t="n">
        <v>20.4065392580588</v>
      </c>
      <c r="J57" s="5" t="n">
        <v>684.646</v>
      </c>
      <c r="K57" s="5" t="n">
        <v>4.3728142788759</v>
      </c>
      <c r="L57" s="5" t="n">
        <v>141.692</v>
      </c>
      <c r="M57" s="5" t="n">
        <v>-8.28818682563416</v>
      </c>
      <c r="N57" s="5" t="n">
        <v>286362</v>
      </c>
      <c r="O57" s="5" t="n">
        <v>-8.39083658838547</v>
      </c>
      <c r="P57" s="5" t="n">
        <v>-6.40736949846469</v>
      </c>
      <c r="Q57" s="5" t="n">
        <v>5.5</v>
      </c>
      <c r="R57" s="5" t="n">
        <v>8.28571428571428</v>
      </c>
    </row>
    <row r="58" customFormat="false" ht="15" hidden="false" customHeight="false" outlineLevel="0" collapsed="false">
      <c r="A58" s="4" t="n">
        <v>39721</v>
      </c>
      <c r="B58" s="5" t="n">
        <v>6919</v>
      </c>
      <c r="C58" s="5" t="n">
        <v>43.3098591549296</v>
      </c>
      <c r="D58" s="5" t="n">
        <v>5311</v>
      </c>
      <c r="E58" s="5" t="n">
        <v>388.64</v>
      </c>
      <c r="F58" s="5" t="n">
        <v>0.331867538081515</v>
      </c>
      <c r="G58" s="5" t="n">
        <v>7</v>
      </c>
      <c r="H58" s="5" t="n">
        <v>6.8</v>
      </c>
      <c r="I58" s="5" t="n">
        <v>19.2166050120654</v>
      </c>
      <c r="J58" s="5" t="n">
        <v>684.566</v>
      </c>
      <c r="K58" s="5" t="n">
        <v>3.21013638405847</v>
      </c>
      <c r="L58" s="5" t="n">
        <v>134.444</v>
      </c>
      <c r="M58" s="5" t="n">
        <v>-14.6522774162831</v>
      </c>
      <c r="N58" s="5" t="n">
        <v>276912</v>
      </c>
      <c r="O58" s="5" t="n">
        <v>-9.11501752635517</v>
      </c>
      <c r="P58" s="5" t="n">
        <v>30.8617837268762</v>
      </c>
      <c r="Q58" s="5" t="n">
        <v>6</v>
      </c>
      <c r="R58" s="5" t="n">
        <v>8.23255813953488</v>
      </c>
    </row>
    <row r="59" customFormat="false" ht="15" hidden="false" customHeight="false" outlineLevel="0" collapsed="false">
      <c r="A59" s="4" t="n">
        <v>39752</v>
      </c>
      <c r="B59" s="5" t="n">
        <v>6061</v>
      </c>
      <c r="C59" s="5" t="n">
        <v>8.60060920981902</v>
      </c>
      <c r="D59" s="5" t="n">
        <v>5129</v>
      </c>
      <c r="E59" s="5" t="n">
        <v>388.64</v>
      </c>
      <c r="F59" s="5" t="n">
        <v>0.334978386167147</v>
      </c>
      <c r="G59" s="5" t="n">
        <v>1.5</v>
      </c>
      <c r="H59" s="5" t="n">
        <v>3.1</v>
      </c>
      <c r="I59" s="5" t="n">
        <v>18.1294361917583</v>
      </c>
      <c r="J59" s="5" t="n">
        <v>681.347</v>
      </c>
      <c r="K59" s="5" t="n">
        <v>3.46012512147718</v>
      </c>
      <c r="L59" s="5" t="n">
        <v>132.898</v>
      </c>
      <c r="M59" s="5" t="n">
        <v>-16.6459689659931</v>
      </c>
      <c r="N59" s="5" t="n">
        <v>294444</v>
      </c>
      <c r="O59" s="5" t="n">
        <v>-0.349604199311626</v>
      </c>
      <c r="P59" s="5" t="n">
        <v>-48.4800506649778</v>
      </c>
      <c r="Q59" s="5" t="n">
        <v>6</v>
      </c>
      <c r="R59" s="5" t="n">
        <v>8.18181818181818</v>
      </c>
    </row>
    <row r="60" customFormat="false" ht="15" hidden="false" customHeight="false" outlineLevel="0" collapsed="false">
      <c r="A60" s="4" t="n">
        <v>39782</v>
      </c>
      <c r="B60" s="5" t="n">
        <v>4903</v>
      </c>
      <c r="C60" s="5" t="n">
        <v>-9.60545722713865</v>
      </c>
      <c r="D60" s="5" t="n">
        <v>4182</v>
      </c>
      <c r="E60" s="5" t="n">
        <v>388.64</v>
      </c>
      <c r="F60" s="5" t="n">
        <v>0.333118052696583</v>
      </c>
      <c r="G60" s="5" t="n">
        <v>-3.2</v>
      </c>
      <c r="H60" s="5" t="n">
        <v>-0.1</v>
      </c>
      <c r="I60" s="5" t="n">
        <v>19.4794782054036</v>
      </c>
      <c r="J60" s="5" t="n">
        <v>682.59</v>
      </c>
      <c r="K60" s="5" t="n">
        <v>9.57116370903661</v>
      </c>
      <c r="L60" s="5" t="n">
        <v>127.244</v>
      </c>
      <c r="M60" s="5" t="n">
        <v>-20.1796591244127</v>
      </c>
      <c r="N60" s="5" t="n">
        <v>302817</v>
      </c>
      <c r="O60" s="5" t="n">
        <v>5.18313968634399</v>
      </c>
      <c r="P60" s="5" t="n">
        <v>-59.6070112760969</v>
      </c>
      <c r="Q60" s="5" t="n">
        <v>6</v>
      </c>
      <c r="R60" s="5" t="n">
        <v>8.13333333333333</v>
      </c>
    </row>
    <row r="61" customFormat="false" ht="15" hidden="false" customHeight="false" outlineLevel="0" collapsed="false">
      <c r="A61" s="4" t="n">
        <v>39813</v>
      </c>
      <c r="B61" s="5" t="n">
        <v>4231</v>
      </c>
      <c r="C61" s="5" t="n">
        <v>-26.8878520822533</v>
      </c>
      <c r="D61" s="5" t="n">
        <v>3457</v>
      </c>
      <c r="E61" s="5" t="n">
        <v>351.04</v>
      </c>
      <c r="F61" s="5" t="n">
        <v>0.363158044667274</v>
      </c>
      <c r="G61" s="5" t="n">
        <v>-4.2</v>
      </c>
      <c r="H61" s="5" t="n">
        <v>-0.7</v>
      </c>
      <c r="I61" s="5" t="n">
        <v>18.7925040436835</v>
      </c>
      <c r="J61" s="5" t="n">
        <v>659.761</v>
      </c>
      <c r="K61" s="5" t="n">
        <v>0.819685909318024</v>
      </c>
      <c r="L61" s="5" t="n">
        <v>132.552</v>
      </c>
      <c r="M61" s="5" t="n">
        <v>-16.9317540891145</v>
      </c>
      <c r="N61" s="5" t="n">
        <v>301142</v>
      </c>
      <c r="O61" s="5" t="n">
        <v>10.7689478233682</v>
      </c>
      <c r="P61" s="5" t="n">
        <v>-50.9397457158651</v>
      </c>
      <c r="Q61" s="5" t="n">
        <v>-2</v>
      </c>
      <c r="R61" s="5" t="n">
        <v>7.91304347826087</v>
      </c>
    </row>
    <row r="62" customFormat="false" ht="15" hidden="false" customHeight="false" outlineLevel="0" collapsed="false">
      <c r="A62" s="4" t="n">
        <v>39844</v>
      </c>
      <c r="B62" s="5" t="n">
        <v>3715</v>
      </c>
      <c r="C62" s="5" t="n">
        <v>-36.1464420763149</v>
      </c>
      <c r="D62" s="5" t="n">
        <v>2760</v>
      </c>
      <c r="E62" s="5" t="n">
        <v>351.04</v>
      </c>
      <c r="F62" s="5" t="n">
        <v>0.352270396536007</v>
      </c>
      <c r="G62" s="5" t="n">
        <v>-7.5</v>
      </c>
      <c r="H62" s="5" t="n">
        <v>-3.6</v>
      </c>
      <c r="I62" s="5" t="n">
        <v>17.6926392530341</v>
      </c>
      <c r="J62" s="5" t="n">
        <v>639.731</v>
      </c>
      <c r="K62" s="5" t="n">
        <v>-3.85233323764622</v>
      </c>
      <c r="L62" s="5" t="n">
        <v>130.397</v>
      </c>
      <c r="M62" s="5" t="n">
        <v>-18.4264194379801</v>
      </c>
      <c r="N62" s="5" t="n">
        <v>327868</v>
      </c>
      <c r="O62" s="5" t="n">
        <v>19.0204449091015</v>
      </c>
      <c r="P62" s="5" t="n">
        <v>44.1142975463298</v>
      </c>
      <c r="Q62" s="5" t="n">
        <v>-2</v>
      </c>
      <c r="R62" s="5" t="n">
        <v>7.70212765957447</v>
      </c>
    </row>
    <row r="63" customFormat="false" ht="15" hidden="false" customHeight="false" outlineLevel="0" collapsed="false">
      <c r="A63" s="4" t="n">
        <v>39872</v>
      </c>
      <c r="B63" s="5" t="n">
        <v>3945</v>
      </c>
      <c r="C63" s="5" t="n">
        <v>-24.51205510907</v>
      </c>
      <c r="D63" s="5" t="n">
        <v>2663</v>
      </c>
      <c r="E63" s="5" t="n">
        <v>351.04</v>
      </c>
      <c r="F63" s="5" t="n">
        <v>0.344214334548769</v>
      </c>
      <c r="G63" s="5" t="n">
        <v>-6.5</v>
      </c>
      <c r="H63" s="5" t="n">
        <v>-2.6</v>
      </c>
      <c r="I63" s="5" t="n">
        <v>14.8670864517361</v>
      </c>
      <c r="J63" s="5" t="n">
        <v>653.343</v>
      </c>
      <c r="K63" s="5" t="n">
        <v>-3.21303286362722</v>
      </c>
      <c r="L63" s="5" t="n">
        <v>131.852</v>
      </c>
      <c r="M63" s="5" t="n">
        <v>-18.4457612232023</v>
      </c>
      <c r="N63" s="5" t="n">
        <v>332309</v>
      </c>
      <c r="O63" s="5" t="n">
        <v>15.4712719564953</v>
      </c>
      <c r="P63" s="5" t="n">
        <v>-6.54167348943836</v>
      </c>
      <c r="Q63" s="5" t="n">
        <v>-2</v>
      </c>
      <c r="R63" s="5" t="n">
        <v>7.5</v>
      </c>
    </row>
    <row r="64" customFormat="false" ht="15" hidden="false" customHeight="false" outlineLevel="0" collapsed="false">
      <c r="A64" s="4" t="n">
        <v>39903</v>
      </c>
      <c r="B64" s="5" t="n">
        <v>4264</v>
      </c>
      <c r="C64" s="5" t="n">
        <v>-14.5662191945502</v>
      </c>
      <c r="D64" s="5" t="n">
        <v>2888</v>
      </c>
      <c r="E64" s="5" t="n">
        <v>313.91</v>
      </c>
      <c r="F64" s="5" t="n">
        <v>0.378551177088975</v>
      </c>
      <c r="G64" s="5" t="n">
        <v>-4.7</v>
      </c>
      <c r="H64" s="5" t="n">
        <v>0.4</v>
      </c>
      <c r="I64" s="5" t="n">
        <v>12.778842934548</v>
      </c>
      <c r="J64" s="5" t="n">
        <v>649.899</v>
      </c>
      <c r="K64" s="5" t="n">
        <v>-3.75844650877637</v>
      </c>
      <c r="L64" s="5" t="n">
        <v>137.689</v>
      </c>
      <c r="M64" s="5" t="n">
        <v>-12.0552110013222</v>
      </c>
      <c r="N64" s="5" t="n">
        <v>340912</v>
      </c>
      <c r="O64" s="5" t="n">
        <v>12.9884032705495</v>
      </c>
      <c r="P64" s="5" t="n">
        <v>-26.6661402400505</v>
      </c>
      <c r="Q64" s="5" t="n">
        <v>-6.2</v>
      </c>
      <c r="R64" s="5" t="n">
        <v>7.2204081632653</v>
      </c>
    </row>
    <row r="65" customFormat="false" ht="15" hidden="false" customHeight="false" outlineLevel="0" collapsed="false">
      <c r="A65" s="4" t="n">
        <v>39933</v>
      </c>
      <c r="B65" s="5" t="n">
        <v>5052</v>
      </c>
      <c r="C65" s="5" t="n">
        <v>-13.5819363667465</v>
      </c>
      <c r="D65" s="5" t="n">
        <v>2777</v>
      </c>
      <c r="E65" s="5" t="n">
        <v>313.91</v>
      </c>
      <c r="F65" s="5" t="n">
        <v>0.369163135930681</v>
      </c>
      <c r="G65" s="5" t="n">
        <v>-11.9</v>
      </c>
      <c r="H65" s="5" t="n">
        <v>-2.5</v>
      </c>
      <c r="I65" s="5" t="n">
        <v>11.3781255562148</v>
      </c>
      <c r="J65" s="5" t="n">
        <v>647.198</v>
      </c>
      <c r="K65" s="5" t="n">
        <v>-3.71642077482337</v>
      </c>
      <c r="L65" s="5" t="n">
        <v>138.163</v>
      </c>
      <c r="M65" s="5" t="n">
        <v>-9.79761049813931</v>
      </c>
      <c r="N65" s="5" t="n">
        <v>355909</v>
      </c>
      <c r="O65" s="5" t="n">
        <v>17.6834893479131</v>
      </c>
      <c r="P65" s="5" t="n">
        <v>-28.7763852242744</v>
      </c>
      <c r="Q65" s="5" t="n">
        <v>-6.2</v>
      </c>
      <c r="R65" s="5" t="n">
        <v>6.952</v>
      </c>
    </row>
    <row r="66" customFormat="false" ht="15" hidden="false" customHeight="false" outlineLevel="0" collapsed="false">
      <c r="A66" s="4" t="n">
        <v>39964</v>
      </c>
      <c r="B66" s="5" t="n">
        <v>5203</v>
      </c>
      <c r="C66" s="5" t="n">
        <v>-16.6185897435897</v>
      </c>
      <c r="D66" s="5" t="n">
        <v>2660</v>
      </c>
      <c r="E66" s="5" t="n">
        <v>313.91</v>
      </c>
      <c r="F66" s="5" t="n">
        <v>0.357768150106719</v>
      </c>
      <c r="G66" s="5" t="n">
        <v>-13.7</v>
      </c>
      <c r="H66" s="5" t="n">
        <v>-3.8</v>
      </c>
      <c r="I66" s="5" t="n">
        <v>12.1291110090202</v>
      </c>
      <c r="J66" s="5" t="n">
        <v>643.551</v>
      </c>
      <c r="K66" s="5" t="n">
        <v>17.5223110341692</v>
      </c>
      <c r="L66" s="5" t="n">
        <v>146.883</v>
      </c>
      <c r="M66" s="5" t="n">
        <v>-3.62387307586315</v>
      </c>
      <c r="N66" s="5" t="n">
        <v>347582</v>
      </c>
      <c r="O66" s="5" t="n">
        <v>20.1641452554139</v>
      </c>
      <c r="P66" s="5" t="n">
        <v>-42.2263576383015</v>
      </c>
      <c r="Q66" s="5" t="n">
        <v>-6.2</v>
      </c>
      <c r="R66" s="5" t="n">
        <v>6.69411764705882</v>
      </c>
    </row>
    <row r="67" customFormat="false" ht="15" hidden="false" customHeight="false" outlineLevel="0" collapsed="false">
      <c r="A67" s="4" t="n">
        <v>39994</v>
      </c>
      <c r="B67" s="5" t="n">
        <v>5211</v>
      </c>
      <c r="C67" s="5" t="n">
        <v>-3.62493064545959</v>
      </c>
      <c r="D67" s="5" t="n">
        <v>3619</v>
      </c>
      <c r="E67" s="5" t="n">
        <v>335.73</v>
      </c>
      <c r="F67" s="5" t="n">
        <v>0.329234801775236</v>
      </c>
      <c r="G67" s="5" t="n">
        <v>-8</v>
      </c>
      <c r="H67" s="5" t="n">
        <v>1.4</v>
      </c>
      <c r="I67" s="5" t="n">
        <v>9.85581178349528</v>
      </c>
      <c r="J67" s="5" t="n">
        <v>628.18</v>
      </c>
      <c r="K67" s="5" t="n">
        <v>-1.45871471844564</v>
      </c>
      <c r="L67" s="5" t="n">
        <v>148.79</v>
      </c>
      <c r="M67" s="5" t="n">
        <v>1.17295073606909</v>
      </c>
      <c r="N67" s="5" t="n">
        <v>331784</v>
      </c>
      <c r="O67" s="5" t="n">
        <v>17.5463582963105</v>
      </c>
      <c r="P67" s="5" t="n">
        <v>-33.9834840739284</v>
      </c>
      <c r="Q67" s="5" t="n">
        <v>-11.3</v>
      </c>
      <c r="R67" s="5" t="n">
        <v>6.34807692307692</v>
      </c>
    </row>
    <row r="68" customFormat="false" ht="15" hidden="false" customHeight="false" outlineLevel="0" collapsed="false">
      <c r="A68" s="4" t="n">
        <v>40025</v>
      </c>
      <c r="B68" s="5" t="n">
        <v>4925</v>
      </c>
      <c r="C68" s="5" t="n">
        <v>-29.7532449008701</v>
      </c>
      <c r="D68" s="5" t="n">
        <v>3589</v>
      </c>
      <c r="E68" s="5" t="n">
        <v>335.73</v>
      </c>
      <c r="F68" s="5" t="n">
        <v>0.315700116164775</v>
      </c>
      <c r="G68" s="5" t="n">
        <v>-6.8</v>
      </c>
      <c r="H68" s="5" t="n">
        <v>-2.7</v>
      </c>
      <c r="I68" s="5" t="n">
        <v>9.38058847260221</v>
      </c>
      <c r="J68" s="5" t="n">
        <v>628.563</v>
      </c>
      <c r="K68" s="5" t="n">
        <v>-6.27751004974175</v>
      </c>
      <c r="L68" s="5" t="n">
        <v>152.007</v>
      </c>
      <c r="M68" s="5" t="n">
        <v>2.75811717941958</v>
      </c>
      <c r="N68" s="5" t="n">
        <v>331296</v>
      </c>
      <c r="O68" s="5" t="n">
        <v>19.2291220556745</v>
      </c>
      <c r="P68" s="5" t="n">
        <v>21.5094339622642</v>
      </c>
      <c r="Q68" s="5" t="n">
        <v>-11.3</v>
      </c>
      <c r="R68" s="5" t="n">
        <v>6.01509433962264</v>
      </c>
    </row>
    <row r="69" customFormat="false" ht="15" hidden="false" customHeight="false" outlineLevel="0" collapsed="false">
      <c r="A69" s="4" t="n">
        <v>40056</v>
      </c>
      <c r="B69" s="5" t="n">
        <v>4352</v>
      </c>
      <c r="C69" s="5" t="n">
        <v>-40.9257499660649</v>
      </c>
      <c r="D69" s="5" t="n">
        <v>3255</v>
      </c>
      <c r="E69" s="5" t="n">
        <v>335.73</v>
      </c>
      <c r="F69" s="5" t="n">
        <v>0.301048461561374</v>
      </c>
      <c r="G69" s="5" t="n">
        <v>-5.6</v>
      </c>
      <c r="H69" s="5" t="n">
        <v>-1.8</v>
      </c>
      <c r="I69" s="5" t="n">
        <v>10.621822867276</v>
      </c>
      <c r="J69" s="5" t="n">
        <v>555.804</v>
      </c>
      <c r="K69" s="5" t="n">
        <v>-18.8187764187624</v>
      </c>
      <c r="L69" s="5" t="n">
        <v>150.187</v>
      </c>
      <c r="M69" s="5" t="n">
        <v>5.99539846992068</v>
      </c>
      <c r="N69" s="5" t="n">
        <v>325351</v>
      </c>
      <c r="O69" s="5" t="n">
        <v>13.6152841508301</v>
      </c>
      <c r="P69" s="5" t="n">
        <v>-33.989501312336</v>
      </c>
      <c r="Q69" s="5" t="n">
        <v>-11.3</v>
      </c>
      <c r="R69" s="5" t="n">
        <v>5.69444444444444</v>
      </c>
    </row>
    <row r="70" customFormat="false" ht="15" hidden="false" customHeight="false" outlineLevel="0" collapsed="false">
      <c r="A70" s="4" t="n">
        <v>40086</v>
      </c>
      <c r="B70" s="5" t="n">
        <v>4531</v>
      </c>
      <c r="C70" s="5" t="n">
        <v>-34.5136580430698</v>
      </c>
      <c r="D70" s="5" t="n">
        <v>3666</v>
      </c>
      <c r="E70" s="5" t="n">
        <v>331.52</v>
      </c>
      <c r="F70" s="5" t="n">
        <v>0.292706322393822</v>
      </c>
      <c r="G70" s="5" t="n">
        <v>-4.5</v>
      </c>
      <c r="H70" s="5" t="n">
        <v>-1.2</v>
      </c>
      <c r="I70" s="5" t="n">
        <v>11.1756249252076</v>
      </c>
      <c r="J70" s="5" t="n">
        <v>629.323</v>
      </c>
      <c r="K70" s="5" t="n">
        <v>-8.06978435972573</v>
      </c>
      <c r="L70" s="5" t="n">
        <v>151.71</v>
      </c>
      <c r="M70" s="5" t="n">
        <v>12.8425217934605</v>
      </c>
      <c r="N70" s="5" t="n">
        <v>320467</v>
      </c>
      <c r="O70" s="5" t="n">
        <v>15.7288235973883</v>
      </c>
      <c r="P70" s="5" t="n">
        <v>-53.016894609815</v>
      </c>
      <c r="Q70" s="5" t="n">
        <v>-5.7</v>
      </c>
      <c r="R70" s="5" t="n">
        <v>5.48727272727273</v>
      </c>
    </row>
    <row r="71" customFormat="false" ht="15" hidden="false" customHeight="false" outlineLevel="0" collapsed="false">
      <c r="A71" s="4" t="n">
        <v>40117</v>
      </c>
      <c r="B71" s="5" t="n">
        <v>4808</v>
      </c>
      <c r="C71" s="5" t="n">
        <v>-20.6731562448441</v>
      </c>
      <c r="D71" s="5" t="n">
        <v>3656</v>
      </c>
      <c r="E71" s="5" t="n">
        <v>331.52</v>
      </c>
      <c r="F71" s="5" t="n">
        <v>0.284483590733591</v>
      </c>
      <c r="G71" s="5" t="n">
        <v>-2.5</v>
      </c>
      <c r="H71" s="5" t="n">
        <v>0.8</v>
      </c>
      <c r="I71" s="5" t="n">
        <v>12.4835767408338</v>
      </c>
      <c r="J71" s="5" t="n">
        <v>638.98</v>
      </c>
      <c r="K71" s="5" t="n">
        <v>-6.21812380475734</v>
      </c>
      <c r="L71" s="5" t="n">
        <v>149.761</v>
      </c>
      <c r="M71" s="5" t="n">
        <v>12.6886785354181</v>
      </c>
      <c r="N71" s="5" t="n">
        <v>317821</v>
      </c>
      <c r="O71" s="5" t="n">
        <v>7.93937047452147</v>
      </c>
      <c r="P71" s="5" t="n">
        <v>82.5138291333743</v>
      </c>
      <c r="Q71" s="5" t="n">
        <v>-5.7</v>
      </c>
      <c r="R71" s="5" t="n">
        <v>5.2875</v>
      </c>
    </row>
    <row r="72" customFormat="false" ht="15" hidden="false" customHeight="false" outlineLevel="0" collapsed="false">
      <c r="A72" s="4" t="n">
        <v>40147</v>
      </c>
      <c r="B72" s="5" t="n">
        <v>4872</v>
      </c>
      <c r="C72" s="5" t="n">
        <v>-0.632265959616563</v>
      </c>
      <c r="D72" s="5" t="n">
        <v>3651</v>
      </c>
      <c r="E72" s="5" t="n">
        <v>331.52</v>
      </c>
      <c r="F72" s="5" t="n">
        <v>0.282788368725869</v>
      </c>
      <c r="G72" s="5" t="n">
        <v>1.2</v>
      </c>
      <c r="H72" s="5" t="n">
        <v>3.8</v>
      </c>
      <c r="I72" s="5" t="n">
        <v>13.1064716170401</v>
      </c>
      <c r="J72" s="5" t="n">
        <v>617.115</v>
      </c>
      <c r="K72" s="5" t="n">
        <v>-9.59214169560059</v>
      </c>
      <c r="L72" s="5" t="n">
        <v>149.585</v>
      </c>
      <c r="M72" s="5" t="n">
        <v>17.5576058596083</v>
      </c>
      <c r="N72" s="5" t="n">
        <v>321832</v>
      </c>
      <c r="O72" s="5" t="n">
        <v>6.27937004857719</v>
      </c>
      <c r="P72" s="5" t="n">
        <v>113.18407960199</v>
      </c>
      <c r="Q72" s="5" t="n">
        <v>-5.7</v>
      </c>
      <c r="R72" s="5" t="n">
        <v>5.09473684210526</v>
      </c>
    </row>
    <row r="73" customFormat="false" ht="15" hidden="false" customHeight="false" outlineLevel="0" collapsed="false">
      <c r="A73" s="4" t="n">
        <v>40178</v>
      </c>
      <c r="B73" s="5" t="n">
        <v>4794</v>
      </c>
      <c r="C73" s="5" t="n">
        <v>13.3065469156228</v>
      </c>
      <c r="D73" s="5" t="n">
        <v>3602</v>
      </c>
      <c r="E73" s="5" t="n">
        <v>356.1</v>
      </c>
      <c r="F73" s="5" t="n">
        <v>0.265256950294861</v>
      </c>
      <c r="G73" s="5" t="n">
        <v>2.3</v>
      </c>
      <c r="H73" s="5" t="n">
        <v>4.2</v>
      </c>
      <c r="I73" s="5" t="n">
        <v>16.5079063909193</v>
      </c>
      <c r="J73" s="5" t="n">
        <v>616.566</v>
      </c>
      <c r="K73" s="5" t="n">
        <v>-6.5470678018252</v>
      </c>
      <c r="L73" s="5" t="n">
        <v>143.615</v>
      </c>
      <c r="M73" s="5" t="n">
        <v>8.34615848874405</v>
      </c>
      <c r="N73" s="5" t="n">
        <v>307969</v>
      </c>
      <c r="O73" s="5" t="n">
        <v>2.26703681319775</v>
      </c>
      <c r="P73" s="5" t="n">
        <v>45.3521126760563</v>
      </c>
      <c r="Q73" s="5" t="n">
        <v>0.3</v>
      </c>
      <c r="R73" s="5" t="n">
        <v>5.01206896551724</v>
      </c>
    </row>
    <row r="74" customFormat="false" ht="15" hidden="false" customHeight="false" outlineLevel="0" collapsed="false">
      <c r="A74" s="4" t="n">
        <v>40209</v>
      </c>
      <c r="B74" s="5" t="n">
        <v>4408</v>
      </c>
      <c r="C74" s="5" t="n">
        <v>18.6541049798116</v>
      </c>
      <c r="D74" s="5" t="n">
        <v>3209</v>
      </c>
      <c r="E74" s="5" t="n">
        <v>356.1</v>
      </c>
      <c r="F74" s="5" t="n">
        <v>0.268463914630722</v>
      </c>
      <c r="G74" s="5" t="n">
        <v>4.1</v>
      </c>
      <c r="H74" s="5" t="n">
        <v>6.3</v>
      </c>
      <c r="I74" s="5" t="n">
        <v>17.8414027786331</v>
      </c>
      <c r="J74" s="5" t="n">
        <v>625.542</v>
      </c>
      <c r="K74" s="5" t="n">
        <v>-2.21796348777845</v>
      </c>
      <c r="L74" s="5" t="n">
        <v>137.363</v>
      </c>
      <c r="M74" s="5" t="n">
        <v>5.34214744204238</v>
      </c>
      <c r="N74" s="5" t="n">
        <v>308283</v>
      </c>
      <c r="O74" s="5" t="n">
        <v>-5.97344053094538</v>
      </c>
      <c r="P74" s="5" t="n">
        <v>-46.3577586206897</v>
      </c>
      <c r="Q74" s="5" t="n">
        <v>0.3</v>
      </c>
      <c r="R74" s="5" t="n">
        <v>4.93220338983051</v>
      </c>
      <c r="T74" s="5" t="n">
        <v>0.881973806818588</v>
      </c>
      <c r="U74" s="5" t="n">
        <v>76.17</v>
      </c>
    </row>
    <row r="75" customFormat="false" ht="15" hidden="false" customHeight="false" outlineLevel="0" collapsed="false">
      <c r="A75" s="4" t="n">
        <v>40237</v>
      </c>
      <c r="B75" s="5" t="n">
        <v>3959</v>
      </c>
      <c r="C75" s="5" t="n">
        <v>0.35487959442333</v>
      </c>
      <c r="D75" s="5" t="n">
        <v>3455</v>
      </c>
      <c r="E75" s="5" t="n">
        <v>356.1</v>
      </c>
      <c r="F75" s="5" t="n">
        <v>0.270727323785454</v>
      </c>
      <c r="G75" s="5" t="n">
        <v>4.3</v>
      </c>
      <c r="H75" s="5" t="n">
        <v>5.5</v>
      </c>
      <c r="I75" s="5" t="n">
        <v>23.477929905061</v>
      </c>
      <c r="J75" s="5" t="n">
        <v>626.65</v>
      </c>
      <c r="K75" s="5" t="n">
        <v>-4.08560281506039</v>
      </c>
      <c r="L75" s="5" t="n">
        <v>134.975</v>
      </c>
      <c r="M75" s="5" t="n">
        <v>2.36856475442162</v>
      </c>
      <c r="N75" s="5" t="n">
        <v>320730</v>
      </c>
      <c r="O75" s="5" t="n">
        <v>-3.48440758450719</v>
      </c>
      <c r="P75" s="5" t="n">
        <v>-11.5637319316688</v>
      </c>
      <c r="Q75" s="5" t="n">
        <v>0.3</v>
      </c>
      <c r="R75" s="5" t="n">
        <v>4.855</v>
      </c>
      <c r="T75" s="5" t="n">
        <v>0.885077822923992</v>
      </c>
      <c r="U75" s="5" t="n">
        <v>73.75</v>
      </c>
    </row>
    <row r="76" customFormat="false" ht="15" hidden="false" customHeight="false" outlineLevel="0" collapsed="false">
      <c r="A76" s="4" t="n">
        <v>40268</v>
      </c>
      <c r="B76" s="5" t="n">
        <v>4687</v>
      </c>
      <c r="C76" s="5" t="n">
        <v>9.9202626641651</v>
      </c>
      <c r="D76" s="5" t="n">
        <v>4403</v>
      </c>
      <c r="E76" s="5" t="n">
        <v>369.47</v>
      </c>
      <c r="F76" s="5" t="n">
        <v>0.266175873548597</v>
      </c>
      <c r="G76" s="5" t="n">
        <v>8.5</v>
      </c>
      <c r="H76" s="5" t="n">
        <v>7.6</v>
      </c>
      <c r="I76" s="5" t="n">
        <v>23.8450246280855</v>
      </c>
      <c r="J76" s="5" t="n">
        <v>627.027</v>
      </c>
      <c r="K76" s="5" t="n">
        <v>-3.51931607834447</v>
      </c>
      <c r="L76" s="5" t="n">
        <v>132.964</v>
      </c>
      <c r="M76" s="5" t="n">
        <v>-3.43164668201527</v>
      </c>
      <c r="N76" s="5" t="n">
        <v>333386</v>
      </c>
      <c r="O76" s="5" t="n">
        <v>-2.20760782841319</v>
      </c>
      <c r="P76" s="5" t="n">
        <v>22.1923118337461</v>
      </c>
      <c r="Q76" s="5" t="n">
        <v>5.7</v>
      </c>
      <c r="R76" s="5" t="n">
        <v>4.83</v>
      </c>
      <c r="T76" s="5" t="n">
        <v>0.824523870117928</v>
      </c>
      <c r="U76" s="5" t="n">
        <v>78.83</v>
      </c>
    </row>
    <row r="77" customFormat="false" ht="15" hidden="false" customHeight="false" outlineLevel="0" collapsed="false">
      <c r="A77" s="4" t="n">
        <v>40298</v>
      </c>
      <c r="B77" s="5" t="n">
        <v>6208</v>
      </c>
      <c r="C77" s="5" t="n">
        <v>22.8820269200317</v>
      </c>
      <c r="D77" s="5" t="n">
        <v>4101</v>
      </c>
      <c r="E77" s="5" t="n">
        <v>369.47</v>
      </c>
      <c r="F77" s="5" t="n">
        <v>0.27288819119279</v>
      </c>
      <c r="G77" s="5" t="n">
        <v>13.9</v>
      </c>
      <c r="H77" s="5" t="n">
        <v>9.6</v>
      </c>
      <c r="I77" s="5" t="n">
        <v>23.2433675265324</v>
      </c>
      <c r="J77" s="5" t="n">
        <v>626.594</v>
      </c>
      <c r="K77" s="5" t="n">
        <v>-3.18356978853457</v>
      </c>
      <c r="L77" s="5" t="n">
        <v>132.848</v>
      </c>
      <c r="M77" s="5" t="n">
        <v>-3.84690546673132</v>
      </c>
      <c r="N77" s="5" t="n">
        <v>339942</v>
      </c>
      <c r="O77" s="5" t="n">
        <v>-4.48625912803554</v>
      </c>
      <c r="P77" s="5" t="n">
        <v>55.7420699235934</v>
      </c>
      <c r="Q77" s="5" t="n">
        <v>5.7</v>
      </c>
      <c r="R77" s="5" t="n">
        <v>4.805</v>
      </c>
      <c r="T77" s="5" t="n">
        <v>0.906598702746612</v>
      </c>
      <c r="U77" s="5" t="n">
        <v>84.82</v>
      </c>
    </row>
    <row r="78" customFormat="false" ht="15" hidden="false" customHeight="false" outlineLevel="0" collapsed="false">
      <c r="A78" s="4" t="n">
        <v>40329</v>
      </c>
      <c r="B78" s="5" t="n">
        <v>6503</v>
      </c>
      <c r="C78" s="5" t="n">
        <v>24.985585239285</v>
      </c>
      <c r="D78" s="5" t="n">
        <v>4575</v>
      </c>
      <c r="E78" s="5" t="n">
        <v>369.47</v>
      </c>
      <c r="F78" s="5" t="n">
        <v>0.281589844912983</v>
      </c>
      <c r="G78" s="5" t="n">
        <v>18.8</v>
      </c>
      <c r="H78" s="5" t="n">
        <v>13.5</v>
      </c>
      <c r="I78" s="5" t="n">
        <v>24.1970557778071</v>
      </c>
      <c r="J78" s="5" t="n">
        <v>625.2</v>
      </c>
      <c r="K78" s="5" t="n">
        <v>-2.8515222569773</v>
      </c>
      <c r="L78" s="5" t="n">
        <v>127.344</v>
      </c>
      <c r="M78" s="5" t="n">
        <v>-13.3024243785871</v>
      </c>
      <c r="N78" s="5" t="n">
        <v>342581</v>
      </c>
      <c r="O78" s="5" t="n">
        <v>-1.43879717591821</v>
      </c>
      <c r="P78" s="5" t="n">
        <v>5.78818936066374</v>
      </c>
      <c r="Q78" s="5" t="n">
        <v>5.7</v>
      </c>
      <c r="R78" s="5" t="n">
        <v>4.78</v>
      </c>
      <c r="T78" s="5" t="n">
        <v>0.838912913466038</v>
      </c>
      <c r="U78" s="5" t="n">
        <v>75.95</v>
      </c>
    </row>
    <row r="79" customFormat="false" ht="15" hidden="false" customHeight="false" outlineLevel="0" collapsed="false">
      <c r="A79" s="4" t="n">
        <v>40359</v>
      </c>
      <c r="B79" s="5" t="n">
        <v>6369</v>
      </c>
      <c r="C79" s="5" t="n">
        <v>22.2222222222222</v>
      </c>
      <c r="D79" s="5" t="n">
        <v>5151</v>
      </c>
      <c r="E79" s="5" t="n">
        <v>432.2</v>
      </c>
      <c r="F79" s="5" t="n">
        <v>0.246943544655252</v>
      </c>
      <c r="G79" s="5" t="n">
        <v>15.9</v>
      </c>
      <c r="H79" s="5" t="n">
        <v>11.1</v>
      </c>
      <c r="I79" s="5" t="n">
        <v>24.94702495741</v>
      </c>
      <c r="J79" s="5" t="n">
        <v>627.703</v>
      </c>
      <c r="K79" s="5" t="n">
        <v>-0.0759336495908758</v>
      </c>
      <c r="L79" s="5" t="n">
        <v>126.58</v>
      </c>
      <c r="M79" s="5" t="n">
        <v>-14.9270784326904</v>
      </c>
      <c r="N79" s="5" t="n">
        <v>342606</v>
      </c>
      <c r="O79" s="5" t="n">
        <v>3.26176066356425</v>
      </c>
      <c r="P79" s="5" t="n">
        <v>25.3276149630689</v>
      </c>
      <c r="Q79" s="5" t="n">
        <v>16.2</v>
      </c>
      <c r="R79" s="5" t="n">
        <v>4.83166666666667</v>
      </c>
      <c r="T79" s="5" t="n">
        <v>0.854042880972611</v>
      </c>
      <c r="U79" s="5" t="n">
        <v>74.76</v>
      </c>
    </row>
    <row r="80" customFormat="false" ht="15" hidden="false" customHeight="false" outlineLevel="0" collapsed="false">
      <c r="A80" s="4" t="n">
        <v>40390</v>
      </c>
      <c r="B80" s="5" t="n">
        <v>5984</v>
      </c>
      <c r="C80" s="5" t="n">
        <v>21.502538071066</v>
      </c>
      <c r="D80" s="5" t="n">
        <v>5291</v>
      </c>
      <c r="E80" s="5" t="n">
        <v>432.2</v>
      </c>
      <c r="F80" s="5" t="n">
        <v>0.253331790837575</v>
      </c>
      <c r="G80" s="5" t="n">
        <v>9.5</v>
      </c>
      <c r="H80" s="5" t="n">
        <v>10.4</v>
      </c>
      <c r="I80" s="5" t="n">
        <v>25.5681600043681</v>
      </c>
      <c r="J80" s="5" t="n">
        <v>624.752</v>
      </c>
      <c r="K80" s="5" t="n">
        <v>-0.606303584525347</v>
      </c>
      <c r="L80" s="5" t="n">
        <v>128.581</v>
      </c>
      <c r="M80" s="5" t="n">
        <v>-15.4111323820614</v>
      </c>
      <c r="N80" s="5" t="n">
        <v>337388</v>
      </c>
      <c r="O80" s="5" t="n">
        <v>1.83883898386941</v>
      </c>
      <c r="P80" s="5" t="n">
        <v>-22.6708074534161</v>
      </c>
      <c r="Q80" s="5" t="n">
        <v>16.2</v>
      </c>
      <c r="R80" s="5" t="n">
        <v>4.88333333333333</v>
      </c>
      <c r="T80" s="5" t="n">
        <v>0.835306645714991</v>
      </c>
      <c r="U80" s="5" t="n">
        <v>75.58</v>
      </c>
    </row>
    <row r="81" customFormat="false" ht="15" hidden="false" customHeight="false" outlineLevel="0" collapsed="false">
      <c r="A81" s="4" t="n">
        <v>40421</v>
      </c>
      <c r="B81" s="5" t="n">
        <v>6383</v>
      </c>
      <c r="C81" s="5" t="n">
        <v>46.6681985294118</v>
      </c>
      <c r="D81" s="5" t="n">
        <v>5355</v>
      </c>
      <c r="E81" s="5" t="n">
        <v>432.2</v>
      </c>
      <c r="F81" s="5" t="n">
        <v>0.262889865802869</v>
      </c>
      <c r="G81" s="5" t="n">
        <v>10.7</v>
      </c>
      <c r="H81" s="5" t="n">
        <v>10.8</v>
      </c>
      <c r="I81" s="5" t="n">
        <v>24.5010602751187</v>
      </c>
      <c r="J81" s="5" t="n">
        <v>625.585</v>
      </c>
      <c r="K81" s="5" t="n">
        <v>12.5549654194644</v>
      </c>
      <c r="L81" s="5" t="n">
        <v>127.302</v>
      </c>
      <c r="M81" s="5" t="n">
        <v>-15.2376703709376</v>
      </c>
      <c r="N81" s="5" t="n">
        <v>341105</v>
      </c>
      <c r="O81" s="5" t="n">
        <v>4.8421550878897</v>
      </c>
      <c r="P81" s="5" t="n">
        <v>32.1404903909874</v>
      </c>
      <c r="Q81" s="5" t="n">
        <v>16.2</v>
      </c>
      <c r="R81" s="5" t="n">
        <v>4.935</v>
      </c>
      <c r="T81" s="5" t="n">
        <v>0.854002019832444</v>
      </c>
      <c r="U81" s="5" t="n">
        <v>77.04</v>
      </c>
    </row>
    <row r="82" customFormat="false" ht="15" hidden="false" customHeight="false" outlineLevel="0" collapsed="false">
      <c r="A82" s="4" t="n">
        <v>40451</v>
      </c>
      <c r="B82" s="5" t="n">
        <v>6375</v>
      </c>
      <c r="C82" s="5" t="n">
        <v>40.6974177885676</v>
      </c>
      <c r="D82" s="5" t="n">
        <v>5337</v>
      </c>
      <c r="E82" s="5" t="n">
        <v>434.56</v>
      </c>
      <c r="F82" s="5" t="n">
        <v>0.269550810014728</v>
      </c>
      <c r="G82" s="5" t="n">
        <v>8.3</v>
      </c>
      <c r="H82" s="5" t="n">
        <v>9.2</v>
      </c>
      <c r="I82" s="5" t="n">
        <v>24.5636746507756</v>
      </c>
      <c r="J82" s="5" t="n">
        <v>615.741</v>
      </c>
      <c r="K82" s="5" t="n">
        <v>-2.15819221607981</v>
      </c>
      <c r="L82" s="5" t="n">
        <v>130.347</v>
      </c>
      <c r="M82" s="5" t="n">
        <v>-14.0814712280008</v>
      </c>
      <c r="N82" s="5" t="n">
        <v>337343</v>
      </c>
      <c r="O82" s="5" t="n">
        <v>5.26606483662904</v>
      </c>
      <c r="P82" s="5" t="n">
        <v>115.019569471624</v>
      </c>
      <c r="Q82" s="5" t="n">
        <v>9.5</v>
      </c>
      <c r="R82" s="5" t="n">
        <v>4.97666666666667</v>
      </c>
      <c r="T82" s="5" t="n">
        <v>0.765312247062326</v>
      </c>
      <c r="U82" s="5" t="n">
        <v>77.84</v>
      </c>
    </row>
    <row r="83" customFormat="false" ht="15" hidden="false" customHeight="false" outlineLevel="0" collapsed="false">
      <c r="A83" s="4" t="n">
        <v>40482</v>
      </c>
      <c r="B83" s="5" t="n">
        <v>5899</v>
      </c>
      <c r="C83" s="5" t="n">
        <v>22.6913477537438</v>
      </c>
      <c r="D83" s="5" t="n">
        <v>4951</v>
      </c>
      <c r="E83" s="5" t="n">
        <v>434.56</v>
      </c>
      <c r="F83" s="5" t="n">
        <v>0.275041421207658</v>
      </c>
      <c r="G83" s="5" t="n">
        <v>6.3</v>
      </c>
      <c r="H83" s="5" t="n">
        <v>7.7</v>
      </c>
      <c r="I83" s="5" t="n">
        <v>26.7019469392788</v>
      </c>
      <c r="J83" s="5" t="n">
        <v>608.529</v>
      </c>
      <c r="K83" s="5" t="n">
        <v>-4.76556386741369</v>
      </c>
      <c r="L83" s="5" t="n">
        <v>127.506</v>
      </c>
      <c r="M83" s="5" t="n">
        <v>-14.860344148343</v>
      </c>
      <c r="N83" s="5" t="n">
        <v>347394</v>
      </c>
      <c r="O83" s="5" t="n">
        <v>9.30492321149325</v>
      </c>
      <c r="P83" s="5" t="n">
        <v>27.3109951170231</v>
      </c>
      <c r="Q83" s="5" t="n">
        <v>9.5</v>
      </c>
      <c r="R83" s="5" t="n">
        <v>5.01833333333333</v>
      </c>
      <c r="T83" s="5" t="n">
        <v>0.674449401263859</v>
      </c>
      <c r="U83" s="5" t="n">
        <v>82.67</v>
      </c>
    </row>
    <row r="84" customFormat="false" ht="15" hidden="false" customHeight="false" outlineLevel="0" collapsed="false">
      <c r="A84" s="4" t="n">
        <v>40512</v>
      </c>
      <c r="B84" s="5" t="n">
        <v>5915</v>
      </c>
      <c r="C84" s="5" t="n">
        <v>21.4080459770115</v>
      </c>
      <c r="D84" s="5" t="n">
        <v>5576</v>
      </c>
      <c r="E84" s="5" t="n">
        <v>434.56</v>
      </c>
      <c r="F84" s="5" t="n">
        <v>0.281871318114875</v>
      </c>
      <c r="G84" s="5" t="n">
        <v>9.8</v>
      </c>
      <c r="H84" s="5" t="n">
        <v>8</v>
      </c>
      <c r="I84" s="5" t="n">
        <v>27.7212628515268</v>
      </c>
      <c r="J84" s="5" t="n">
        <v>608.272</v>
      </c>
      <c r="K84" s="5" t="n">
        <v>-1.43295820065952</v>
      </c>
      <c r="L84" s="5" t="n">
        <v>124.236</v>
      </c>
      <c r="M84" s="5" t="n">
        <v>-16.9462178694388</v>
      </c>
      <c r="N84" s="5" t="n">
        <v>338658</v>
      </c>
      <c r="O84" s="5" t="n">
        <v>5.22819359168758</v>
      </c>
      <c r="P84" s="5" t="n">
        <v>25.2690263192014</v>
      </c>
      <c r="Q84" s="5" t="n">
        <v>9.5</v>
      </c>
      <c r="R84" s="5" t="n">
        <v>5.06</v>
      </c>
      <c r="T84" s="5" t="n">
        <v>0.684538839008929</v>
      </c>
      <c r="U84" s="5" t="n">
        <v>85.28</v>
      </c>
    </row>
    <row r="85" customFormat="false" ht="15" hidden="false" customHeight="false" outlineLevel="0" collapsed="false">
      <c r="A85" s="4" t="n">
        <v>40543</v>
      </c>
      <c r="B85" s="5" t="n">
        <v>5484</v>
      </c>
      <c r="C85" s="5" t="n">
        <v>14.3929912390488</v>
      </c>
      <c r="D85" s="5" t="n">
        <v>5389</v>
      </c>
      <c r="E85" s="5" t="n">
        <v>461.07</v>
      </c>
      <c r="F85" s="5" t="n">
        <v>0.271036935823194</v>
      </c>
      <c r="G85" s="5" t="n">
        <v>9.7</v>
      </c>
      <c r="H85" s="5" t="n">
        <v>6.5</v>
      </c>
      <c r="I85" s="5" t="n">
        <v>25.7063303225888</v>
      </c>
      <c r="J85" s="5" t="n">
        <v>520.601</v>
      </c>
      <c r="K85" s="5" t="n">
        <v>-15.5644326803619</v>
      </c>
      <c r="L85" s="5" t="n">
        <v>125.461</v>
      </c>
      <c r="M85" s="5" t="n">
        <v>-12.6407408696863</v>
      </c>
      <c r="N85" s="5" t="n">
        <v>313918</v>
      </c>
      <c r="O85" s="5" t="n">
        <v>1.93168792962928</v>
      </c>
      <c r="P85" s="5" t="n">
        <v>58.4237726098191</v>
      </c>
      <c r="Q85" s="5" t="n">
        <v>8.6</v>
      </c>
      <c r="R85" s="5" t="n">
        <v>5.07333333333334</v>
      </c>
      <c r="T85" s="5" t="n">
        <v>0.770661696723705</v>
      </c>
      <c r="U85" s="5" t="n">
        <v>91.45</v>
      </c>
    </row>
    <row r="86" customFormat="false" ht="15" hidden="false" customHeight="false" outlineLevel="0" collapsed="false">
      <c r="A86" s="4" t="n">
        <v>40574</v>
      </c>
      <c r="B86" s="5" t="n">
        <v>5185</v>
      </c>
      <c r="C86" s="5" t="n">
        <v>17.6270417422868</v>
      </c>
      <c r="D86" s="5" t="n">
        <v>4889</v>
      </c>
      <c r="E86" s="5" t="n">
        <v>461.07</v>
      </c>
      <c r="F86" s="5" t="n">
        <v>0.276365844665669</v>
      </c>
      <c r="G86" s="5" t="n">
        <v>9.5</v>
      </c>
      <c r="H86" s="5" t="n">
        <v>8.4</v>
      </c>
      <c r="I86" s="5" t="n">
        <v>24.2148828411364</v>
      </c>
      <c r="J86" s="5" t="n">
        <v>600.395</v>
      </c>
      <c r="K86" s="5" t="n">
        <v>-4.02003382666553</v>
      </c>
      <c r="L86" s="5" t="n">
        <v>125.875</v>
      </c>
      <c r="M86" s="5" t="n">
        <v>-8.36324192104133</v>
      </c>
      <c r="N86" s="5" t="n">
        <v>321573</v>
      </c>
      <c r="O86" s="5" t="n">
        <v>4.31097400764882</v>
      </c>
      <c r="P86" s="5" t="n">
        <v>116.646578277755</v>
      </c>
      <c r="Q86" s="5" t="n">
        <v>8.6</v>
      </c>
      <c r="R86" s="5" t="n">
        <v>5.08666666666667</v>
      </c>
      <c r="T86" s="5" t="n">
        <v>0.759138967942367</v>
      </c>
      <c r="U86" s="5" t="n">
        <v>96.52</v>
      </c>
    </row>
    <row r="87" customFormat="false" ht="15" hidden="false" customHeight="false" outlineLevel="0" collapsed="false">
      <c r="A87" s="4" t="n">
        <v>40602</v>
      </c>
      <c r="B87" s="5" t="n">
        <v>5398</v>
      </c>
      <c r="C87" s="5" t="n">
        <v>36.3475625157868</v>
      </c>
      <c r="D87" s="5" t="n">
        <v>4764</v>
      </c>
      <c r="E87" s="5" t="n">
        <v>461.07</v>
      </c>
      <c r="F87" s="5" t="n">
        <v>0.282325894115861</v>
      </c>
      <c r="G87" s="5" t="n">
        <v>8.1</v>
      </c>
      <c r="H87" s="5" t="n">
        <v>7.5</v>
      </c>
      <c r="I87" s="5" t="n">
        <v>19.9562532931789</v>
      </c>
      <c r="J87" s="5" t="n">
        <v>604.323</v>
      </c>
      <c r="K87" s="5" t="n">
        <v>-3.56291390728477</v>
      </c>
      <c r="L87" s="5" t="n">
        <v>127.089</v>
      </c>
      <c r="M87" s="5" t="n">
        <v>-5.84256343767364</v>
      </c>
      <c r="N87" s="5" t="n">
        <v>324722</v>
      </c>
      <c r="O87" s="5" t="n">
        <v>1.24466061796527</v>
      </c>
      <c r="P87" s="5" t="n">
        <v>149.331352154532</v>
      </c>
      <c r="Q87" s="5" t="n">
        <v>8.6</v>
      </c>
      <c r="R87" s="5" t="n">
        <v>5.1</v>
      </c>
      <c r="T87" s="5" t="n">
        <v>0.838588083153803</v>
      </c>
      <c r="U87" s="5" t="n">
        <v>103.72</v>
      </c>
    </row>
    <row r="88" customFormat="false" ht="15" hidden="false" customHeight="false" outlineLevel="0" collapsed="false">
      <c r="A88" s="4" t="n">
        <v>40633</v>
      </c>
      <c r="B88" s="5" t="n">
        <v>6098</v>
      </c>
      <c r="C88" s="5" t="n">
        <v>30.104544484745</v>
      </c>
      <c r="D88" s="5" t="n">
        <v>5642</v>
      </c>
      <c r="E88" s="5" t="n">
        <v>470.77</v>
      </c>
      <c r="F88" s="5" t="n">
        <v>0.282137774284683</v>
      </c>
      <c r="G88" s="5" t="n">
        <v>7.4</v>
      </c>
      <c r="H88" s="5" t="n">
        <v>7.3</v>
      </c>
      <c r="I88" s="5" t="n">
        <v>20.0105857656129</v>
      </c>
      <c r="J88" s="5" t="n">
        <v>599.16</v>
      </c>
      <c r="K88" s="5" t="n">
        <v>-4.44430622604769</v>
      </c>
      <c r="L88" s="5" t="n">
        <v>127.141</v>
      </c>
      <c r="M88" s="5" t="n">
        <v>-4.37938088505159</v>
      </c>
      <c r="N88" s="5" t="n">
        <v>333920</v>
      </c>
      <c r="O88" s="5" t="n">
        <v>0.160174692398596</v>
      </c>
      <c r="P88" s="5" t="n">
        <v>110.354247444484</v>
      </c>
      <c r="Q88" s="5" t="n">
        <v>8.3</v>
      </c>
      <c r="R88" s="5" t="n">
        <v>5.10833333333334</v>
      </c>
      <c r="T88" s="5" t="n">
        <v>0.713319354382261</v>
      </c>
      <c r="U88" s="5" t="n">
        <v>114.64</v>
      </c>
    </row>
    <row r="89" customFormat="false" ht="15" hidden="false" customHeight="false" outlineLevel="0" collapsed="false">
      <c r="A89" s="4" t="n">
        <v>40663</v>
      </c>
      <c r="B89" s="5" t="n">
        <v>7043</v>
      </c>
      <c r="C89" s="5" t="n">
        <v>13.4503865979381</v>
      </c>
      <c r="D89" s="5" t="n">
        <v>5533</v>
      </c>
      <c r="E89" s="5" t="n">
        <v>470.77</v>
      </c>
      <c r="F89" s="5" t="n">
        <v>0.286953289292011</v>
      </c>
      <c r="G89" s="5" t="n">
        <v>3.6</v>
      </c>
      <c r="H89" s="5" t="n">
        <v>5.2</v>
      </c>
      <c r="I89" s="5" t="n">
        <v>21.5975213422137</v>
      </c>
      <c r="J89" s="5" t="n">
        <v>504.641</v>
      </c>
      <c r="K89" s="5" t="n">
        <v>-19.4628419678452</v>
      </c>
      <c r="L89" s="5" t="n">
        <v>129.135</v>
      </c>
      <c r="M89" s="5" t="n">
        <v>-2.79492352161871</v>
      </c>
      <c r="N89" s="5" t="n">
        <v>344418</v>
      </c>
      <c r="O89" s="5" t="n">
        <v>1.31669520094604</v>
      </c>
      <c r="P89" s="5" t="n">
        <v>101.337991526054</v>
      </c>
      <c r="Q89" s="5" t="n">
        <v>8.3</v>
      </c>
      <c r="R89" s="5" t="n">
        <v>5.11666666666667</v>
      </c>
      <c r="T89" s="5" t="n">
        <v>0.756364134919988</v>
      </c>
      <c r="U89" s="5" t="n">
        <v>123.26</v>
      </c>
    </row>
    <row r="90" customFormat="false" ht="15" hidden="false" customHeight="false" outlineLevel="0" collapsed="false">
      <c r="A90" s="4" t="n">
        <v>40694</v>
      </c>
      <c r="B90" s="5" t="n">
        <v>7933</v>
      </c>
      <c r="C90" s="5" t="n">
        <v>21.9898508380747</v>
      </c>
      <c r="D90" s="5" t="n">
        <v>6490</v>
      </c>
      <c r="E90" s="5" t="n">
        <v>470.77</v>
      </c>
      <c r="F90" s="5" t="n">
        <v>0.294058669838775</v>
      </c>
      <c r="G90" s="5" t="n">
        <v>5.1</v>
      </c>
      <c r="H90" s="5" t="n">
        <v>4.3</v>
      </c>
      <c r="I90" s="5" t="n">
        <v>21.8044354416469</v>
      </c>
      <c r="J90" s="5" t="n">
        <v>528.395</v>
      </c>
      <c r="K90" s="5" t="n">
        <v>-15.4838451695458</v>
      </c>
      <c r="L90" s="5" t="n">
        <v>126.298</v>
      </c>
      <c r="M90" s="5" t="n">
        <v>-0.82139716044729</v>
      </c>
      <c r="N90" s="5" t="n">
        <v>351529</v>
      </c>
      <c r="O90" s="5" t="n">
        <v>2.61193703095035</v>
      </c>
      <c r="P90" s="5" t="n">
        <v>134.821922863997</v>
      </c>
      <c r="Q90" s="5" t="n">
        <v>8.3</v>
      </c>
      <c r="R90" s="5" t="n">
        <v>5.125</v>
      </c>
      <c r="T90" s="5" t="n">
        <v>0.859468002378934</v>
      </c>
      <c r="U90" s="5" t="n">
        <v>114.99</v>
      </c>
    </row>
    <row r="91" customFormat="false" ht="15" hidden="false" customHeight="false" outlineLevel="0" collapsed="false">
      <c r="A91" s="4" t="n">
        <v>40724</v>
      </c>
      <c r="B91" s="5" t="n">
        <v>7817</v>
      </c>
      <c r="C91" s="5" t="n">
        <v>22.735123253258</v>
      </c>
      <c r="D91" s="5" t="n">
        <v>6705</v>
      </c>
      <c r="E91" s="5" t="n">
        <v>548.13</v>
      </c>
      <c r="F91" s="5" t="n">
        <v>0.258033678142047</v>
      </c>
      <c r="G91" s="5" t="n">
        <v>4.6</v>
      </c>
      <c r="H91" s="5" t="n">
        <v>4</v>
      </c>
      <c r="I91" s="5" t="n">
        <v>22.3532812549783</v>
      </c>
      <c r="J91" s="5" t="n">
        <v>536.417</v>
      </c>
      <c r="K91" s="5" t="n">
        <v>-14.5428650173729</v>
      </c>
      <c r="L91" s="5" t="n">
        <v>126.136</v>
      </c>
      <c r="M91" s="5" t="n">
        <v>-0.350766313793649</v>
      </c>
      <c r="N91" s="5" t="n">
        <v>337405</v>
      </c>
      <c r="O91" s="5" t="n">
        <v>-1.51807031984261</v>
      </c>
      <c r="P91" s="5" t="n">
        <v>175.342205323194</v>
      </c>
      <c r="Q91" s="5" t="n">
        <v>4.4</v>
      </c>
      <c r="R91" s="5" t="n">
        <v>5.105</v>
      </c>
      <c r="T91" s="5" t="n">
        <v>0.770735274544826</v>
      </c>
      <c r="U91" s="5" t="n">
        <v>113.83</v>
      </c>
    </row>
    <row r="92" customFormat="false" ht="15" hidden="false" customHeight="false" outlineLevel="0" collapsed="false">
      <c r="A92" s="4" t="n">
        <v>40755</v>
      </c>
      <c r="B92" s="5" t="n">
        <v>7226</v>
      </c>
      <c r="C92" s="5" t="n">
        <v>20.7553475935829</v>
      </c>
      <c r="D92" s="5" t="n">
        <v>6859</v>
      </c>
      <c r="E92" s="5" t="n">
        <v>548.13</v>
      </c>
      <c r="F92" s="5" t="n">
        <v>0.263160199222812</v>
      </c>
      <c r="G92" s="5" t="n">
        <v>4.9</v>
      </c>
      <c r="H92" s="5" t="n">
        <v>4.1</v>
      </c>
      <c r="I92" s="5" t="n">
        <v>22.7140925014175</v>
      </c>
      <c r="J92" s="5" t="n">
        <v>562.13</v>
      </c>
      <c r="K92" s="5" t="n">
        <v>-10.0234973237381</v>
      </c>
      <c r="L92" s="5" t="n">
        <v>126.039</v>
      </c>
      <c r="M92" s="5" t="n">
        <v>-1.97696393712912</v>
      </c>
      <c r="N92" s="5" t="n">
        <v>332927</v>
      </c>
      <c r="O92" s="5" t="n">
        <v>-1.32221655779103</v>
      </c>
      <c r="P92" s="5" t="n">
        <v>243.043970754814</v>
      </c>
      <c r="Q92" s="5" t="n">
        <v>4.4</v>
      </c>
      <c r="R92" s="5" t="n">
        <v>5.085</v>
      </c>
      <c r="T92" s="5" t="n">
        <v>0.762141619683279</v>
      </c>
      <c r="U92" s="5" t="n">
        <v>116.97</v>
      </c>
    </row>
    <row r="93" customFormat="false" ht="15" hidden="false" customHeight="false" outlineLevel="0" collapsed="false">
      <c r="A93" s="4" t="n">
        <v>40786</v>
      </c>
      <c r="B93" s="5" t="n">
        <v>8328</v>
      </c>
      <c r="C93" s="5" t="n">
        <v>30.471565094783</v>
      </c>
      <c r="D93" s="5" t="n">
        <v>7671</v>
      </c>
      <c r="E93" s="5" t="n">
        <v>548.13</v>
      </c>
      <c r="F93" s="5" t="n">
        <v>0.270933902541368</v>
      </c>
      <c r="G93" s="5" t="n">
        <v>6.7</v>
      </c>
      <c r="H93" s="5" t="n">
        <v>5.4</v>
      </c>
      <c r="I93" s="5" t="n">
        <v>24.5260213304003</v>
      </c>
      <c r="J93" s="5" t="n">
        <v>592.374</v>
      </c>
      <c r="K93" s="5" t="n">
        <v>-5.30879097165053</v>
      </c>
      <c r="L93" s="5" t="n">
        <v>123.523</v>
      </c>
      <c r="M93" s="5" t="n">
        <v>-2.9685315234639</v>
      </c>
      <c r="N93" s="5" t="n">
        <v>335107</v>
      </c>
      <c r="O93" s="5" t="n">
        <v>-1.75840283783586</v>
      </c>
      <c r="P93" s="5" t="n">
        <v>337.58776328987</v>
      </c>
      <c r="Q93" s="5" t="n">
        <v>4.4</v>
      </c>
      <c r="R93" s="5" t="n">
        <v>5.065</v>
      </c>
      <c r="T93" s="5" t="n">
        <v>0.807285987506562</v>
      </c>
      <c r="U93" s="5" t="n">
        <v>110.22</v>
      </c>
    </row>
    <row r="94" customFormat="false" ht="15" hidden="false" customHeight="false" outlineLevel="0" collapsed="false">
      <c r="A94" s="4" t="n">
        <v>40816</v>
      </c>
      <c r="B94" s="5" t="n">
        <v>7718</v>
      </c>
      <c r="C94" s="5" t="n">
        <v>21.0666666666667</v>
      </c>
      <c r="D94" s="5" t="n">
        <v>6889</v>
      </c>
      <c r="E94" s="5" t="n">
        <v>540.17</v>
      </c>
      <c r="F94" s="5" t="n">
        <v>0.280285835940537</v>
      </c>
      <c r="G94" s="5" t="n">
        <v>7.7</v>
      </c>
      <c r="H94" s="5" t="n">
        <v>6</v>
      </c>
      <c r="I94" s="5" t="n">
        <v>24.9672508963661</v>
      </c>
      <c r="J94" s="5" t="n">
        <v>596.773</v>
      </c>
      <c r="K94" s="5" t="n">
        <v>-3.08051599617371</v>
      </c>
      <c r="L94" s="5" t="n">
        <v>111.065</v>
      </c>
      <c r="M94" s="5" t="n">
        <v>-14.7928222360315</v>
      </c>
      <c r="N94" s="5" t="n">
        <v>314342</v>
      </c>
      <c r="O94" s="5" t="n">
        <v>-6.8182828752931</v>
      </c>
      <c r="P94" s="5" t="n">
        <v>250.136518771331</v>
      </c>
      <c r="Q94" s="5" t="n">
        <v>6.4</v>
      </c>
      <c r="R94" s="5" t="n">
        <v>5.015</v>
      </c>
      <c r="T94" s="5" t="n">
        <v>0.98393477046239</v>
      </c>
      <c r="U94" s="5" t="n">
        <v>112.83</v>
      </c>
    </row>
    <row r="95" customFormat="false" ht="15" hidden="false" customHeight="false" outlineLevel="0" collapsed="false">
      <c r="A95" s="4" t="n">
        <v>40847</v>
      </c>
      <c r="B95" s="5" t="n">
        <v>7435</v>
      </c>
      <c r="C95" s="5" t="n">
        <v>26.0383115782336</v>
      </c>
      <c r="D95" s="5" t="n">
        <v>6303</v>
      </c>
      <c r="E95" s="5" t="n">
        <v>540.17</v>
      </c>
      <c r="F95" s="5" t="n">
        <v>0.285632300942296</v>
      </c>
      <c r="G95" s="5" t="n">
        <v>7.3</v>
      </c>
      <c r="H95" s="5" t="n">
        <v>4.7</v>
      </c>
      <c r="I95" s="5" t="n">
        <v>22.1192972064045</v>
      </c>
      <c r="J95" s="5" t="n">
        <v>600.061</v>
      </c>
      <c r="K95" s="5" t="n">
        <v>-1.39155241574354</v>
      </c>
      <c r="L95" s="5" t="n">
        <v>116.799</v>
      </c>
      <c r="M95" s="5" t="n">
        <v>-8.39725189402851</v>
      </c>
      <c r="N95" s="5" t="n">
        <v>317407</v>
      </c>
      <c r="O95" s="5" t="n">
        <v>-8.63198558409184</v>
      </c>
      <c r="P95" s="5" t="n">
        <v>198.717100912578</v>
      </c>
      <c r="Q95" s="5" t="n">
        <v>6.4</v>
      </c>
      <c r="R95" s="5" t="n">
        <v>4.965</v>
      </c>
      <c r="T95" s="5" t="n">
        <v>0.79206395721483</v>
      </c>
      <c r="U95" s="5" t="n">
        <v>109.55</v>
      </c>
    </row>
    <row r="96" customFormat="false" ht="15" hidden="false" customHeight="false" outlineLevel="0" collapsed="false">
      <c r="A96" s="4" t="n">
        <v>40877</v>
      </c>
      <c r="B96" s="5" t="n">
        <v>6493</v>
      </c>
      <c r="C96" s="5" t="n">
        <v>9.77176669484361</v>
      </c>
      <c r="D96" s="5" t="n">
        <v>6230</v>
      </c>
      <c r="E96" s="5" t="n">
        <v>540.17</v>
      </c>
      <c r="F96" s="5" t="n">
        <v>0.28791306440565</v>
      </c>
      <c r="G96" s="5" t="n">
        <v>4.8</v>
      </c>
      <c r="H96" s="5" t="n">
        <v>3.8</v>
      </c>
      <c r="I96" s="5" t="n">
        <v>21.4581651230148</v>
      </c>
      <c r="J96" s="5" t="n">
        <v>597.596</v>
      </c>
      <c r="K96" s="5" t="n">
        <v>-1.75513586027304</v>
      </c>
      <c r="L96" s="5" t="n">
        <v>112.153</v>
      </c>
      <c r="M96" s="5" t="n">
        <v>-9.72584436073279</v>
      </c>
      <c r="N96" s="5" t="n">
        <v>312476</v>
      </c>
      <c r="O96" s="5" t="n">
        <v>-7.73110335500712</v>
      </c>
      <c r="P96" s="5" t="n">
        <v>41.0370523701097</v>
      </c>
      <c r="Q96" s="5" t="n">
        <v>6.4</v>
      </c>
      <c r="R96" s="5" t="n">
        <v>4.915</v>
      </c>
      <c r="T96" s="5" t="n">
        <v>0.927867682205458</v>
      </c>
      <c r="U96" s="5" t="n">
        <v>110.77</v>
      </c>
    </row>
    <row r="97" customFormat="false" ht="15" hidden="false" customHeight="false" outlineLevel="0" collapsed="false">
      <c r="A97" s="4" t="n">
        <v>40908</v>
      </c>
      <c r="B97" s="5" t="n">
        <v>6306</v>
      </c>
      <c r="C97" s="5" t="n">
        <v>14.9890590809628</v>
      </c>
      <c r="D97" s="5" t="n">
        <v>5987</v>
      </c>
      <c r="E97" s="5" t="n">
        <v>549.86</v>
      </c>
      <c r="F97" s="5" t="n">
        <v>0.285421743716582</v>
      </c>
      <c r="G97" s="5" t="n">
        <v>3.5</v>
      </c>
      <c r="H97" s="5" t="n">
        <v>4.5</v>
      </c>
      <c r="I97" s="5" t="n">
        <v>21.6707996102417</v>
      </c>
      <c r="J97" s="5" t="n">
        <v>590.585</v>
      </c>
      <c r="K97" s="5" t="n">
        <v>13.4429246198144</v>
      </c>
      <c r="L97" s="5" t="n">
        <v>109.129</v>
      </c>
      <c r="M97" s="5" t="n">
        <v>-13.0175911239349</v>
      </c>
      <c r="N97" s="5" t="n">
        <v>307231</v>
      </c>
      <c r="O97" s="5" t="n">
        <v>-2.13017412190445</v>
      </c>
      <c r="P97" s="5" t="n">
        <v>33.5508073723699</v>
      </c>
      <c r="Q97" s="5" t="n">
        <v>5.2</v>
      </c>
      <c r="R97" s="5" t="n">
        <v>4.84</v>
      </c>
      <c r="T97" s="5" t="n">
        <v>0.985211938993666</v>
      </c>
      <c r="U97" s="5" t="n">
        <v>107.87</v>
      </c>
    </row>
    <row r="98" customFormat="false" ht="15" hidden="false" customHeight="false" outlineLevel="0" collapsed="false">
      <c r="A98" s="4" t="n">
        <v>40939</v>
      </c>
      <c r="B98" s="5" t="n">
        <v>5399</v>
      </c>
      <c r="C98" s="5" t="n">
        <v>4.12729026036645</v>
      </c>
      <c r="D98" s="5" t="n">
        <v>5364</v>
      </c>
      <c r="E98" s="5" t="n">
        <v>549.86</v>
      </c>
      <c r="F98" s="5" t="n">
        <v>0.286674789946532</v>
      </c>
      <c r="G98" s="5" t="n">
        <v>2.3</v>
      </c>
      <c r="H98" s="5" t="n">
        <v>2.1</v>
      </c>
      <c r="I98" s="5" t="n">
        <v>21.7430541156696</v>
      </c>
      <c r="J98" s="5" t="n">
        <v>556.879</v>
      </c>
      <c r="K98" s="5" t="n">
        <v>-7.24789513570232</v>
      </c>
      <c r="L98" s="5" t="n">
        <v>112.722</v>
      </c>
      <c r="M98" s="5" t="n">
        <v>-10.4492552135055</v>
      </c>
      <c r="N98" s="5" t="n">
        <v>313351</v>
      </c>
      <c r="O98" s="5" t="n">
        <v>-2.55680669707967</v>
      </c>
      <c r="P98" s="5" t="n">
        <v>55.6407244853805</v>
      </c>
      <c r="Q98" s="5" t="n">
        <v>5.2</v>
      </c>
      <c r="R98" s="5" t="n">
        <v>4.765</v>
      </c>
      <c r="T98" s="5" t="n">
        <v>0.935788773349249</v>
      </c>
      <c r="U98" s="5" t="n">
        <v>110.69</v>
      </c>
    </row>
    <row r="99" customFormat="false" ht="15" hidden="false" customHeight="false" outlineLevel="0" collapsed="false">
      <c r="A99" s="4" t="n">
        <v>40968</v>
      </c>
      <c r="B99" s="5" t="n">
        <v>6005</v>
      </c>
      <c r="C99" s="5" t="n">
        <v>11.2449055205632</v>
      </c>
      <c r="D99" s="5" t="n">
        <v>4725</v>
      </c>
      <c r="E99" s="5" t="n">
        <v>549.86</v>
      </c>
      <c r="F99" s="5" t="n">
        <v>0.287707780162223</v>
      </c>
      <c r="G99" s="5" t="n">
        <v>2.2</v>
      </c>
      <c r="H99" s="5" t="n">
        <v>2.8</v>
      </c>
      <c r="I99" s="5" t="n">
        <v>22.2585076125436</v>
      </c>
      <c r="J99" s="5" t="n">
        <v>556.648</v>
      </c>
      <c r="K99" s="5" t="n">
        <v>-7.88899313777566</v>
      </c>
      <c r="L99" s="5" t="n">
        <v>113.884</v>
      </c>
      <c r="M99" s="5" t="n">
        <v>-10.3903563644375</v>
      </c>
      <c r="N99" s="5" t="n">
        <v>319264</v>
      </c>
      <c r="O99" s="5" t="n">
        <v>-1.68082236497681</v>
      </c>
      <c r="P99" s="5" t="n">
        <v>15.2721493841875</v>
      </c>
      <c r="Q99" s="5" t="n">
        <v>5.2</v>
      </c>
      <c r="R99" s="5" t="n">
        <v>4.69</v>
      </c>
      <c r="T99" s="5" t="n">
        <v>0.836745242757829</v>
      </c>
      <c r="U99" s="5" t="n">
        <v>119.33</v>
      </c>
    </row>
    <row r="100" customFormat="false" ht="15" hidden="false" customHeight="false" outlineLevel="0" collapsed="false">
      <c r="A100" s="4" t="n">
        <v>40999</v>
      </c>
      <c r="B100" s="5" t="n">
        <v>6200</v>
      </c>
      <c r="C100" s="5" t="n">
        <v>1.67267956707118</v>
      </c>
      <c r="D100" s="5" t="n">
        <v>5147</v>
      </c>
      <c r="E100" s="5" t="n">
        <v>540.45</v>
      </c>
      <c r="F100" s="5" t="n">
        <v>0.291990008326395</v>
      </c>
      <c r="G100" s="5" t="n">
        <v>0.3</v>
      </c>
      <c r="H100" s="5" t="n">
        <v>0.7</v>
      </c>
      <c r="I100" s="5" t="n">
        <v>23.2046626618765</v>
      </c>
      <c r="J100" s="5" t="n">
        <v>559.114</v>
      </c>
      <c r="K100" s="5" t="n">
        <v>-6.68369050003337</v>
      </c>
      <c r="L100" s="5" t="n">
        <v>108.372</v>
      </c>
      <c r="M100" s="5" t="n">
        <v>-14.7623504612989</v>
      </c>
      <c r="N100" s="5" t="n">
        <v>336811</v>
      </c>
      <c r="O100" s="5" t="n">
        <v>0.865776233828464</v>
      </c>
      <c r="P100" s="5" t="n">
        <v>42.3819697540949</v>
      </c>
      <c r="Q100" s="5" t="n">
        <v>1.6</v>
      </c>
      <c r="R100" s="5" t="n">
        <v>4.57666666666667</v>
      </c>
      <c r="T100" s="5" t="n">
        <v>0.798802704309362</v>
      </c>
      <c r="U100" s="5" t="n">
        <v>125.45</v>
      </c>
    </row>
    <row r="101" customFormat="false" ht="15" hidden="false" customHeight="false" outlineLevel="0" collapsed="false">
      <c r="A101" s="4" t="n">
        <v>41029</v>
      </c>
      <c r="B101" s="5" t="n">
        <v>6715</v>
      </c>
      <c r="C101" s="5" t="n">
        <v>-4.65710634672725</v>
      </c>
      <c r="D101" s="5" t="n">
        <v>4770</v>
      </c>
      <c r="E101" s="5" t="n">
        <v>540.45</v>
      </c>
      <c r="F101" s="5" t="n">
        <v>0.289971320196133</v>
      </c>
      <c r="G101" s="5" t="n">
        <v>-3.7</v>
      </c>
      <c r="H101" s="5" t="n">
        <v>-0.9</v>
      </c>
      <c r="I101" s="5" t="n">
        <v>22.4256969032648</v>
      </c>
      <c r="J101" s="5" t="n">
        <v>552.907</v>
      </c>
      <c r="K101" s="5" t="n">
        <v>9.56442302547753</v>
      </c>
      <c r="L101" s="5" t="n">
        <v>106.071</v>
      </c>
      <c r="M101" s="5" t="n">
        <v>-17.8603786734812</v>
      </c>
      <c r="N101" s="5" t="n">
        <v>350051</v>
      </c>
      <c r="O101" s="5" t="n">
        <v>1.63551266193984</v>
      </c>
      <c r="P101" s="5" t="n">
        <v>0.41349774791406</v>
      </c>
      <c r="Q101" s="5" t="n">
        <v>1.6</v>
      </c>
      <c r="R101" s="5" t="n">
        <v>4.46333333333334</v>
      </c>
      <c r="T101" s="5" t="n">
        <v>0.51110408475653</v>
      </c>
      <c r="U101" s="5" t="n">
        <v>119.75</v>
      </c>
    </row>
    <row r="102" customFormat="false" ht="15" hidden="false" customHeight="false" outlineLevel="0" collapsed="false">
      <c r="A102" s="4" t="n">
        <v>41060</v>
      </c>
      <c r="B102" s="5" t="n">
        <v>7081</v>
      </c>
      <c r="C102" s="5" t="n">
        <v>-10.739947056599</v>
      </c>
      <c r="D102" s="5" t="n">
        <v>5987</v>
      </c>
      <c r="E102" s="5" t="n">
        <v>540.45</v>
      </c>
      <c r="F102" s="5" t="n">
        <v>0.287464150245166</v>
      </c>
      <c r="G102" s="5" t="n">
        <v>-5.3</v>
      </c>
      <c r="H102" s="5" t="n">
        <v>-0.8</v>
      </c>
      <c r="I102" s="5" t="n">
        <v>22.6455508707713</v>
      </c>
      <c r="J102" s="5" t="n">
        <v>557.634</v>
      </c>
      <c r="K102" s="5" t="n">
        <v>5.53354971186328</v>
      </c>
      <c r="L102" s="5" t="n">
        <v>100.248</v>
      </c>
      <c r="M102" s="5" t="n">
        <v>-20.625821469857</v>
      </c>
      <c r="N102" s="5" t="n">
        <v>360564</v>
      </c>
      <c r="O102" s="5" t="n">
        <v>2.57020046710228</v>
      </c>
      <c r="P102" s="5" t="n">
        <v>8.25147347740669</v>
      </c>
      <c r="Q102" s="5" t="n">
        <v>1.6</v>
      </c>
      <c r="R102" s="5" t="n">
        <v>4.35</v>
      </c>
      <c r="T102" s="5" t="n">
        <v>0.535822157757337</v>
      </c>
      <c r="U102" s="5" t="n">
        <v>110.34</v>
      </c>
    </row>
    <row r="103" customFormat="false" ht="15" hidden="false" customHeight="false" outlineLevel="0" collapsed="false">
      <c r="A103" s="4" t="n">
        <v>41090</v>
      </c>
      <c r="B103" s="5" t="n">
        <v>6822</v>
      </c>
      <c r="C103" s="5" t="n">
        <v>-12.7286682870667</v>
      </c>
      <c r="D103" s="5" t="n">
        <v>6034</v>
      </c>
      <c r="E103" s="5" t="n">
        <v>596.03</v>
      </c>
      <c r="F103" s="5" t="n">
        <v>0.257862859252051</v>
      </c>
      <c r="G103" s="5" t="n">
        <v>-4.9</v>
      </c>
      <c r="H103" s="5" t="n">
        <v>-0.1</v>
      </c>
      <c r="I103" s="5" t="n">
        <v>22.4217741233564</v>
      </c>
      <c r="J103" s="5" t="n">
        <v>532.106</v>
      </c>
      <c r="K103" s="5" t="n">
        <v>-0.803665804775022</v>
      </c>
      <c r="L103" s="5" t="n">
        <v>101.074</v>
      </c>
      <c r="M103" s="5" t="n">
        <v>-19.8690302530602</v>
      </c>
      <c r="N103" s="5" t="n">
        <v>357068</v>
      </c>
      <c r="O103" s="5" t="n">
        <v>5.82771446777612</v>
      </c>
      <c r="P103" s="5" t="n">
        <v>-7.92998688117103</v>
      </c>
      <c r="Q103" s="5" t="n">
        <v>-4.6</v>
      </c>
      <c r="R103" s="5" t="n">
        <v>4.10833333333333</v>
      </c>
      <c r="T103" s="5" t="n">
        <v>0.51571767928415</v>
      </c>
      <c r="U103" s="5" t="n">
        <v>95.16</v>
      </c>
    </row>
    <row r="104" customFormat="false" ht="15" hidden="false" customHeight="false" outlineLevel="0" collapsed="false">
      <c r="A104" s="4" t="n">
        <v>41121</v>
      </c>
      <c r="B104" s="5" t="n">
        <v>7655</v>
      </c>
      <c r="C104" s="5" t="n">
        <v>5.93689454746749</v>
      </c>
      <c r="D104" s="5" t="n">
        <v>6345</v>
      </c>
      <c r="E104" s="5" t="n">
        <v>596.03</v>
      </c>
      <c r="F104" s="5" t="n">
        <v>0.257720248980756</v>
      </c>
      <c r="G104" s="5" t="n">
        <v>0.3</v>
      </c>
      <c r="H104" s="5" t="n">
        <v>3.3</v>
      </c>
      <c r="I104" s="5" t="n">
        <v>22.3805397214788</v>
      </c>
      <c r="J104" s="5" t="n">
        <v>550.436</v>
      </c>
      <c r="K104" s="5" t="n">
        <v>-2.08030170956896</v>
      </c>
      <c r="L104" s="5" t="n">
        <v>100.078</v>
      </c>
      <c r="M104" s="5" t="n">
        <v>-20.5975928085751</v>
      </c>
      <c r="N104" s="5" t="n">
        <v>347599</v>
      </c>
      <c r="O104" s="5" t="n">
        <v>4.40697209898866</v>
      </c>
      <c r="P104" s="5" t="n">
        <v>-11.4699966979858</v>
      </c>
      <c r="Q104" s="5" t="n">
        <v>-4.6</v>
      </c>
      <c r="R104" s="5" t="n">
        <v>3.86666666666667</v>
      </c>
      <c r="T104" s="5" t="n">
        <v>0.502367655731654</v>
      </c>
      <c r="U104" s="5" t="n">
        <v>102.62</v>
      </c>
    </row>
    <row r="105" customFormat="false" ht="15" hidden="false" customHeight="false" outlineLevel="0" collapsed="false">
      <c r="A105" s="4" t="n">
        <v>41152</v>
      </c>
      <c r="B105" s="5" t="n">
        <v>7451</v>
      </c>
      <c r="C105" s="5" t="n">
        <v>-10.530739673391</v>
      </c>
      <c r="D105" s="5" t="n">
        <v>6276</v>
      </c>
      <c r="E105" s="5" t="n">
        <v>596.03</v>
      </c>
      <c r="F105" s="5" t="n">
        <v>0.253908360317434</v>
      </c>
      <c r="G105" s="5" t="n">
        <v>-0.5</v>
      </c>
      <c r="H105" s="5" t="n">
        <v>0.5</v>
      </c>
      <c r="I105" s="5" t="n">
        <v>21.5482924974077</v>
      </c>
      <c r="J105" s="5" t="n">
        <v>558.607</v>
      </c>
      <c r="K105" s="5" t="n">
        <v>-5.7002839422392</v>
      </c>
      <c r="L105" s="5" t="n">
        <v>100.607</v>
      </c>
      <c r="M105" s="5" t="n">
        <v>-18.5520105567384</v>
      </c>
      <c r="N105" s="5" t="n">
        <v>331065</v>
      </c>
      <c r="O105" s="5" t="n">
        <v>-1.20618190607776</v>
      </c>
      <c r="P105" s="5" t="n">
        <v>-10.3461119706607</v>
      </c>
      <c r="Q105" s="5" t="n">
        <v>-4.6</v>
      </c>
      <c r="R105" s="5" t="n">
        <v>3.625</v>
      </c>
      <c r="T105" s="5" t="n">
        <v>0.497432577318643</v>
      </c>
      <c r="U105" s="5" t="n">
        <v>113.36</v>
      </c>
    </row>
    <row r="106" customFormat="false" ht="15" hidden="false" customHeight="false" outlineLevel="0" collapsed="false">
      <c r="A106" s="4" t="n">
        <v>41182</v>
      </c>
      <c r="B106" s="5" t="n">
        <v>6803</v>
      </c>
      <c r="C106" s="5" t="n">
        <v>-11.8554029541332</v>
      </c>
      <c r="D106" s="5" t="n">
        <v>5855</v>
      </c>
      <c r="E106" s="5" t="n">
        <v>587.25</v>
      </c>
      <c r="F106" s="5" t="n">
        <v>0.254385696040869</v>
      </c>
      <c r="G106" s="5" t="n">
        <v>-3.2</v>
      </c>
      <c r="H106" s="5" t="n">
        <v>-2.1</v>
      </c>
      <c r="I106" s="5" t="n">
        <v>21.0990178980699</v>
      </c>
      <c r="J106" s="5" t="n">
        <v>558.065</v>
      </c>
      <c r="K106" s="5" t="n">
        <v>-6.48621837784216</v>
      </c>
      <c r="L106" s="5" t="n">
        <v>101.679</v>
      </c>
      <c r="M106" s="5" t="n">
        <v>-8.45090712645748</v>
      </c>
      <c r="N106" s="5" t="n">
        <v>338080</v>
      </c>
      <c r="O106" s="5" t="n">
        <v>7.55164756857181</v>
      </c>
      <c r="P106" s="5" t="n">
        <v>9.82876823602039</v>
      </c>
      <c r="Q106" s="5" t="n">
        <v>-1.1</v>
      </c>
      <c r="R106" s="5" t="n">
        <v>3.46666666666667</v>
      </c>
      <c r="T106" s="5" t="n">
        <v>0.492246505576804</v>
      </c>
      <c r="U106" s="5" t="n">
        <v>112.86</v>
      </c>
    </row>
    <row r="107" customFormat="false" ht="15" hidden="false" customHeight="false" outlineLevel="0" collapsed="false">
      <c r="A107" s="4" t="n">
        <v>41213</v>
      </c>
      <c r="B107" s="5" t="n">
        <v>6889</v>
      </c>
      <c r="C107" s="5" t="n">
        <v>-7.34364492266308</v>
      </c>
      <c r="D107" s="5" t="n">
        <v>6257</v>
      </c>
      <c r="E107" s="5" t="n">
        <v>587.25</v>
      </c>
      <c r="F107" s="5" t="n">
        <v>0.25337760749255</v>
      </c>
      <c r="G107" s="5" t="n">
        <v>1.5</v>
      </c>
      <c r="H107" s="5" t="n">
        <v>0.7</v>
      </c>
      <c r="I107" s="5" t="n">
        <v>21.6122317392049</v>
      </c>
      <c r="J107" s="5" t="n">
        <v>552.118</v>
      </c>
      <c r="K107" s="5" t="n">
        <v>-7.98968771508229</v>
      </c>
      <c r="L107" s="5" t="n">
        <v>101.855</v>
      </c>
      <c r="M107" s="5" t="n">
        <v>-12.7946300910111</v>
      </c>
      <c r="N107" s="5" t="n">
        <v>346303</v>
      </c>
      <c r="O107" s="5" t="n">
        <v>9.10376897799985</v>
      </c>
      <c r="P107" s="5" t="n">
        <v>34.069777738422</v>
      </c>
      <c r="Q107" s="5" t="n">
        <v>-1.1</v>
      </c>
      <c r="R107" s="5" t="n">
        <v>3.30833333333333</v>
      </c>
      <c r="T107" s="5" t="n">
        <v>0.474040333869011</v>
      </c>
      <c r="U107" s="5" t="n">
        <v>111.71</v>
      </c>
    </row>
    <row r="108" customFormat="false" ht="15" hidden="false" customHeight="false" outlineLevel="0" collapsed="false">
      <c r="A108" s="4" t="n">
        <v>41243</v>
      </c>
      <c r="B108" s="5" t="n">
        <v>6649</v>
      </c>
      <c r="C108" s="5" t="n">
        <v>2.40258740181734</v>
      </c>
      <c r="D108" s="5" t="n">
        <v>5779</v>
      </c>
      <c r="E108" s="5" t="n">
        <v>587.25</v>
      </c>
      <c r="F108" s="5" t="n">
        <v>0.252875266070668</v>
      </c>
      <c r="G108" s="5" t="n">
        <v>0</v>
      </c>
      <c r="H108" s="5" t="n">
        <v>1.3</v>
      </c>
      <c r="I108" s="5" t="n">
        <v>22.275983983477</v>
      </c>
      <c r="J108" s="5" t="n">
        <v>532.536</v>
      </c>
      <c r="K108" s="5" t="n">
        <v>-10.8869537279366</v>
      </c>
      <c r="L108" s="5" t="n">
        <v>99.973</v>
      </c>
      <c r="M108" s="5" t="n">
        <v>-10.8601642399223</v>
      </c>
      <c r="N108" s="5" t="n">
        <v>344769</v>
      </c>
      <c r="O108" s="5" t="n">
        <v>10.3345536937237</v>
      </c>
      <c r="P108" s="5" t="n">
        <v>122.998458941807</v>
      </c>
      <c r="Q108" s="5" t="n">
        <v>-1.1</v>
      </c>
      <c r="R108" s="5" t="n">
        <v>3.15</v>
      </c>
      <c r="T108" s="5" t="n">
        <v>0.474357157890901</v>
      </c>
      <c r="U108" s="5" t="n">
        <v>109.06</v>
      </c>
    </row>
    <row r="109" customFormat="false" ht="15" hidden="false" customHeight="false" outlineLevel="0" collapsed="false">
      <c r="A109" s="4" t="n">
        <v>41274</v>
      </c>
      <c r="B109" s="5" t="n">
        <v>6313</v>
      </c>
      <c r="C109" s="5" t="n">
        <v>0.111005391690444</v>
      </c>
      <c r="D109" s="5" t="n">
        <v>5437</v>
      </c>
      <c r="E109" s="5" t="n">
        <v>593.92</v>
      </c>
      <c r="F109" s="5" t="n">
        <v>0.24912109375</v>
      </c>
      <c r="G109" s="5" t="n">
        <v>0.2</v>
      </c>
      <c r="H109" s="5" t="n">
        <v>0</v>
      </c>
      <c r="I109" s="5" t="n">
        <v>21.3810513926255</v>
      </c>
      <c r="J109" s="5" t="n">
        <v>545.813</v>
      </c>
      <c r="K109" s="5" t="n">
        <v>-7.58095786381301</v>
      </c>
      <c r="L109" s="5" t="n">
        <v>102.214</v>
      </c>
      <c r="M109" s="5" t="n">
        <v>-6.3365374923256</v>
      </c>
      <c r="N109" s="5" t="n">
        <v>332239</v>
      </c>
      <c r="O109" s="5" t="n">
        <v>8.13980360054811</v>
      </c>
      <c r="P109" s="5" t="n">
        <v>70.6949193942354</v>
      </c>
      <c r="Q109" s="5" t="n">
        <v>0.6</v>
      </c>
      <c r="R109" s="5" t="n">
        <v>3.005</v>
      </c>
      <c r="T109" s="5" t="n">
        <v>0.511926181093269</v>
      </c>
      <c r="U109" s="5" t="n">
        <v>109.49</v>
      </c>
    </row>
    <row r="110" customFormat="false" ht="15" hidden="false" customHeight="false" outlineLevel="0" collapsed="false">
      <c r="A110" s="4" t="n">
        <v>41305</v>
      </c>
      <c r="B110" s="5" t="n">
        <v>5383</v>
      </c>
      <c r="C110" s="5" t="n">
        <v>-0.296351176143728</v>
      </c>
      <c r="D110" s="5" t="n">
        <v>5358</v>
      </c>
      <c r="E110" s="5" t="n">
        <v>593.92</v>
      </c>
      <c r="F110" s="5" t="n">
        <v>0.249084051724138</v>
      </c>
      <c r="G110" s="5" t="n">
        <v>0.2</v>
      </c>
      <c r="H110" s="5" t="n">
        <v>-0.3</v>
      </c>
      <c r="I110" s="5" t="n">
        <v>22.0503387026124</v>
      </c>
      <c r="J110" s="5" t="n">
        <v>533.686</v>
      </c>
      <c r="K110" s="5" t="n">
        <v>-4.16481856920444</v>
      </c>
      <c r="L110" s="5" t="n">
        <v>103.524</v>
      </c>
      <c r="M110" s="5" t="n">
        <v>-8.15989780167137</v>
      </c>
      <c r="N110" s="5" t="n">
        <v>340940</v>
      </c>
      <c r="O110" s="5" t="n">
        <v>8.80450357586222</v>
      </c>
      <c r="P110" s="5" t="n">
        <v>23.3576932242434</v>
      </c>
      <c r="Q110" s="5" t="n">
        <v>0.6</v>
      </c>
      <c r="R110" s="5" t="n">
        <v>2.86</v>
      </c>
      <c r="T110" s="5" t="n">
        <v>0.52319774751013</v>
      </c>
      <c r="U110" s="5" t="n">
        <v>112.96</v>
      </c>
    </row>
    <row r="111" customFormat="false" ht="15" hidden="false" customHeight="false" outlineLevel="0" collapsed="false">
      <c r="A111" s="4" t="n">
        <v>41333</v>
      </c>
      <c r="B111" s="5" t="n">
        <v>4906</v>
      </c>
      <c r="C111" s="5" t="n">
        <v>-18.3014154870941</v>
      </c>
      <c r="D111" s="5" t="n">
        <v>5175</v>
      </c>
      <c r="E111" s="5" t="n">
        <v>593.92</v>
      </c>
      <c r="F111" s="5" t="n">
        <v>0.247991311961207</v>
      </c>
      <c r="G111" s="5" t="n">
        <v>0.3</v>
      </c>
      <c r="H111" s="5" t="n">
        <v>-1.4</v>
      </c>
      <c r="I111" s="5" t="n">
        <v>23.4069171964094</v>
      </c>
      <c r="J111" s="5" t="n">
        <v>533.772</v>
      </c>
      <c r="K111" s="5" t="n">
        <v>-4.10959888475302</v>
      </c>
      <c r="L111" s="5" t="n">
        <v>103.174</v>
      </c>
      <c r="M111" s="5" t="n">
        <v>-9.40430613606828</v>
      </c>
      <c r="N111" s="5" t="n">
        <v>349107</v>
      </c>
      <c r="O111" s="5" t="n">
        <v>9.34743660418964</v>
      </c>
      <c r="P111" s="5" t="n">
        <v>25.8771627490177</v>
      </c>
      <c r="Q111" s="5" t="n">
        <v>0.6</v>
      </c>
      <c r="R111" s="5" t="n">
        <v>2.715</v>
      </c>
      <c r="T111" s="5" t="n">
        <v>0.545294471419428</v>
      </c>
      <c r="U111" s="5" t="n">
        <v>116.05</v>
      </c>
    </row>
    <row r="112" customFormat="false" ht="15" hidden="false" customHeight="false" outlineLevel="0" collapsed="false">
      <c r="A112" s="4" t="n">
        <v>41364</v>
      </c>
      <c r="B112" s="5" t="n">
        <v>6160</v>
      </c>
      <c r="C112" s="5" t="n">
        <v>-0.645161290322582</v>
      </c>
      <c r="D112" s="5" t="n">
        <v>5619</v>
      </c>
      <c r="E112" s="5" t="n">
        <v>576.43</v>
      </c>
      <c r="F112" s="5" t="n">
        <v>0.256265288066201</v>
      </c>
      <c r="G112" s="5" t="n">
        <v>1.3</v>
      </c>
      <c r="H112" s="5" t="n">
        <v>2</v>
      </c>
      <c r="I112" s="5" t="n">
        <v>22.2225090164545</v>
      </c>
      <c r="J112" s="5" t="n">
        <v>535.723</v>
      </c>
      <c r="K112" s="5" t="n">
        <v>-4.1835833121689</v>
      </c>
      <c r="L112" s="5" t="n">
        <v>101.872</v>
      </c>
      <c r="M112" s="5" t="n">
        <v>-5.99785922563024</v>
      </c>
      <c r="N112" s="5" t="n">
        <v>360116</v>
      </c>
      <c r="O112" s="5" t="n">
        <v>6.91931083010946</v>
      </c>
      <c r="P112" s="5" t="n">
        <v>-4.30446039778746</v>
      </c>
      <c r="Q112" s="5" t="n">
        <v>0.7</v>
      </c>
      <c r="R112" s="5" t="n">
        <v>2.61166666666667</v>
      </c>
      <c r="T112" s="5" t="n">
        <v>0.540389462100528</v>
      </c>
      <c r="U112" s="5" t="n">
        <v>108.47</v>
      </c>
    </row>
    <row r="113" customFormat="false" ht="15" hidden="false" customHeight="false" outlineLevel="0" collapsed="false">
      <c r="A113" s="4" t="n">
        <v>41394</v>
      </c>
      <c r="B113" s="5" t="n">
        <v>6895</v>
      </c>
      <c r="C113" s="5" t="n">
        <v>2.68056589724497</v>
      </c>
      <c r="D113" s="5" t="n">
        <v>6193</v>
      </c>
      <c r="E113" s="5" t="n">
        <v>576.43</v>
      </c>
      <c r="F113" s="5" t="n">
        <v>0.259046198150686</v>
      </c>
      <c r="G113" s="5" t="n">
        <v>7.2</v>
      </c>
      <c r="H113" s="5" t="n">
        <v>4.3</v>
      </c>
      <c r="I113" s="5" t="n">
        <v>21.7437629199146</v>
      </c>
      <c r="J113" s="5" t="n">
        <v>531.699</v>
      </c>
      <c r="K113" s="5" t="n">
        <v>-3.83572644224075</v>
      </c>
      <c r="L113" s="5" t="n">
        <v>102.348</v>
      </c>
      <c r="M113" s="5" t="n">
        <v>-3.50991317136635</v>
      </c>
      <c r="N113" s="5" t="n">
        <v>366408</v>
      </c>
      <c r="O113" s="5" t="n">
        <v>4.67274768533728</v>
      </c>
      <c r="P113" s="5" t="n">
        <v>-9.00066181336863</v>
      </c>
      <c r="Q113" s="5" t="n">
        <v>0.7</v>
      </c>
      <c r="R113" s="5" t="n">
        <v>2.50833333333333</v>
      </c>
      <c r="T113" s="5" t="n">
        <v>0.471695531670624</v>
      </c>
      <c r="U113" s="5" t="n">
        <v>102.25</v>
      </c>
    </row>
    <row r="114" customFormat="false" ht="15" hidden="false" customHeight="false" outlineLevel="0" collapsed="false">
      <c r="A114" s="4" t="n">
        <v>41425</v>
      </c>
      <c r="B114" s="5" t="n">
        <v>8393</v>
      </c>
      <c r="C114" s="5" t="n">
        <v>18.5284564327072</v>
      </c>
      <c r="D114" s="5" t="n">
        <v>7028</v>
      </c>
      <c r="E114" s="5" t="n">
        <v>576.43</v>
      </c>
      <c r="F114" s="5" t="n">
        <v>0.263128220252242</v>
      </c>
      <c r="G114" s="5" t="n">
        <v>6.7</v>
      </c>
      <c r="H114" s="5" t="n">
        <v>4.5</v>
      </c>
      <c r="I114" s="5" t="n">
        <v>21.7468454768888</v>
      </c>
      <c r="J114" s="5" t="n">
        <v>541.307</v>
      </c>
      <c r="K114" s="5" t="n">
        <v>-2.92790611763272</v>
      </c>
      <c r="L114" s="5" t="n">
        <v>99.202</v>
      </c>
      <c r="M114" s="5" t="n">
        <v>-1.04341233740325</v>
      </c>
      <c r="N114" s="5" t="n">
        <v>362550</v>
      </c>
      <c r="O114" s="5" t="n">
        <v>0.550803740806072</v>
      </c>
      <c r="P114" s="5" t="n">
        <v>-12.497277676951</v>
      </c>
      <c r="Q114" s="5" t="n">
        <v>0.7</v>
      </c>
      <c r="R114" s="5" t="n">
        <v>2.405</v>
      </c>
      <c r="T114" s="5" t="n">
        <v>0.51805189738356</v>
      </c>
      <c r="U114" s="5" t="n">
        <v>102.56</v>
      </c>
    </row>
    <row r="115" customFormat="false" ht="15" hidden="false" customHeight="false" outlineLevel="0" collapsed="false">
      <c r="A115" s="4" t="n">
        <v>41455</v>
      </c>
      <c r="B115" s="5" t="n">
        <v>7483</v>
      </c>
      <c r="C115" s="5" t="n">
        <v>9.68924069187922</v>
      </c>
      <c r="D115" s="5" t="n">
        <v>6643</v>
      </c>
      <c r="E115" s="5" t="n">
        <v>646.69</v>
      </c>
      <c r="F115" s="5" t="n">
        <v>0.236504352935719</v>
      </c>
      <c r="G115" s="5" t="n">
        <v>4.9</v>
      </c>
      <c r="H115" s="5" t="n">
        <v>3.5</v>
      </c>
      <c r="I115" s="5" t="n">
        <v>23.0692487209435</v>
      </c>
      <c r="J115" s="5" t="n">
        <v>539.01</v>
      </c>
      <c r="K115" s="5" t="n">
        <v>1.29748583928766</v>
      </c>
      <c r="L115" s="5" t="n">
        <v>97.923</v>
      </c>
      <c r="M115" s="5" t="n">
        <v>-3.1175178582029</v>
      </c>
      <c r="N115" s="5" t="n">
        <v>355163</v>
      </c>
      <c r="O115" s="5" t="n">
        <v>-0.533511824078325</v>
      </c>
      <c r="P115" s="5" t="n">
        <v>-26.8813978776857</v>
      </c>
      <c r="Q115" s="5" t="n">
        <v>6.2</v>
      </c>
      <c r="R115" s="5" t="n">
        <v>2.41666666666667</v>
      </c>
      <c r="T115" s="5" t="n">
        <v>0.567505891662736</v>
      </c>
      <c r="U115" s="5" t="n">
        <v>102.92</v>
      </c>
    </row>
    <row r="116" customFormat="false" ht="15" hidden="false" customHeight="false" outlineLevel="0" collapsed="false">
      <c r="A116" s="4" t="n">
        <v>41486</v>
      </c>
      <c r="B116" s="5" t="n">
        <v>6931</v>
      </c>
      <c r="C116" s="5" t="n">
        <v>-9.4578706727629</v>
      </c>
      <c r="D116" s="5" t="n">
        <v>6988</v>
      </c>
      <c r="E116" s="5" t="n">
        <v>646.69</v>
      </c>
      <c r="F116" s="5" t="n">
        <v>0.236379099723206</v>
      </c>
      <c r="G116" s="5" t="n">
        <v>2.6</v>
      </c>
      <c r="H116" s="5" t="n">
        <v>1.7</v>
      </c>
      <c r="I116" s="5" t="n">
        <v>23.8001663402044</v>
      </c>
      <c r="J116" s="5" t="n">
        <v>544.781</v>
      </c>
      <c r="K116" s="5" t="n">
        <v>-1.02736739602789</v>
      </c>
      <c r="L116" s="5" t="n">
        <v>97.144</v>
      </c>
      <c r="M116" s="5" t="n">
        <v>-2.93171326365435</v>
      </c>
      <c r="N116" s="5" t="n">
        <v>336130</v>
      </c>
      <c r="O116" s="5" t="n">
        <v>-3.29949165561466</v>
      </c>
      <c r="P116" s="5" t="n">
        <v>-26.6377322663773</v>
      </c>
      <c r="Q116" s="5" t="n">
        <v>6.2</v>
      </c>
      <c r="R116" s="5" t="n">
        <v>2.42833333333333</v>
      </c>
      <c r="T116" s="5" t="n">
        <v>0.574856549709473</v>
      </c>
      <c r="U116" s="5" t="n">
        <v>107.93</v>
      </c>
    </row>
    <row r="117" customFormat="false" ht="15" hidden="false" customHeight="false" outlineLevel="0" collapsed="false">
      <c r="A117" s="4" t="n">
        <v>41517</v>
      </c>
      <c r="B117" s="5" t="n">
        <v>7200</v>
      </c>
      <c r="C117" s="5" t="n">
        <v>-3.3686753455912</v>
      </c>
      <c r="D117" s="5" t="n">
        <v>7074</v>
      </c>
      <c r="E117" s="5" t="n">
        <v>646.69</v>
      </c>
      <c r="F117" s="5" t="n">
        <v>0.237224945491658</v>
      </c>
      <c r="G117" s="5" t="n">
        <v>1.9</v>
      </c>
      <c r="H117" s="5" t="n">
        <v>3.3</v>
      </c>
      <c r="I117" s="5" t="n">
        <v>23.9422609780442</v>
      </c>
      <c r="J117" s="5" t="n">
        <v>542.363</v>
      </c>
      <c r="K117" s="5" t="n">
        <v>-2.90794780588141</v>
      </c>
      <c r="L117" s="5" t="n">
        <v>96.483</v>
      </c>
      <c r="M117" s="5" t="n">
        <v>-4.09911835160575</v>
      </c>
      <c r="N117" s="5" t="n">
        <v>331609</v>
      </c>
      <c r="O117" s="5" t="n">
        <v>0.164318185250623</v>
      </c>
      <c r="P117" s="5" t="n">
        <v>-45.0800549678821</v>
      </c>
      <c r="Q117" s="5" t="n">
        <v>6.2</v>
      </c>
      <c r="R117" s="5" t="n">
        <v>2.44</v>
      </c>
      <c r="T117" s="5" t="n">
        <v>0.561443442236957</v>
      </c>
      <c r="U117" s="5" t="n">
        <v>111.28</v>
      </c>
    </row>
    <row r="118" customFormat="false" ht="15" hidden="false" customHeight="false" outlineLevel="0" collapsed="false">
      <c r="A118" s="4" t="n">
        <v>41547</v>
      </c>
      <c r="B118" s="5" t="n">
        <v>6545</v>
      </c>
      <c r="C118" s="5" t="n">
        <v>-3.7924445097751</v>
      </c>
      <c r="D118" s="5" t="n">
        <v>6029</v>
      </c>
      <c r="E118" s="5" t="n">
        <v>616.04</v>
      </c>
      <c r="F118" s="5" t="n">
        <v>0.248891305759366</v>
      </c>
      <c r="G118" s="5" t="n">
        <v>3.2</v>
      </c>
      <c r="H118" s="5" t="n">
        <v>4.1</v>
      </c>
      <c r="I118" s="5" t="n">
        <v>24.3783768727203</v>
      </c>
      <c r="J118" s="5" t="n">
        <v>545.645</v>
      </c>
      <c r="K118" s="5" t="n">
        <v>-2.22554720328279</v>
      </c>
      <c r="L118" s="5" t="n">
        <v>100.07</v>
      </c>
      <c r="M118" s="5" t="n">
        <v>-1.5824309837823</v>
      </c>
      <c r="N118" s="5" t="n">
        <v>334730</v>
      </c>
      <c r="O118" s="5" t="n">
        <v>-0.990889730241362</v>
      </c>
      <c r="P118" s="5" t="n">
        <v>-61.9519555055914</v>
      </c>
      <c r="Q118" s="5" t="n">
        <v>2.6</v>
      </c>
      <c r="R118" s="5" t="n">
        <v>2.38333333333333</v>
      </c>
      <c r="T118" s="5" t="n">
        <v>0.57229005835841</v>
      </c>
      <c r="U118" s="5" t="n">
        <v>111.6</v>
      </c>
    </row>
    <row r="119" customFormat="false" ht="15" hidden="false" customHeight="false" outlineLevel="0" collapsed="false">
      <c r="A119" s="4" t="n">
        <v>41578</v>
      </c>
      <c r="B119" s="5" t="n">
        <v>6027</v>
      </c>
      <c r="C119" s="5" t="n">
        <v>-12.5127014080418</v>
      </c>
      <c r="D119" s="5" t="n">
        <v>6831</v>
      </c>
      <c r="E119" s="5" t="n">
        <v>616.04</v>
      </c>
      <c r="F119" s="5" t="n">
        <v>0.248423803649114</v>
      </c>
      <c r="G119" s="5" t="n">
        <v>1</v>
      </c>
      <c r="H119" s="5" t="n">
        <v>2.5</v>
      </c>
      <c r="I119" s="5" t="n">
        <v>26.8468084185816</v>
      </c>
      <c r="J119" s="5" t="n">
        <v>546.842</v>
      </c>
      <c r="K119" s="5" t="n">
        <v>-0.955592826171225</v>
      </c>
      <c r="L119" s="5" t="n">
        <v>99.389</v>
      </c>
      <c r="M119" s="5" t="n">
        <v>-2.42108880270975</v>
      </c>
      <c r="N119" s="5" t="n">
        <v>354806</v>
      </c>
      <c r="O119" s="5" t="n">
        <v>2.45536423305601</v>
      </c>
      <c r="P119" s="5" t="n">
        <v>-42.5018988804861</v>
      </c>
      <c r="Q119" s="5" t="n">
        <v>2.6</v>
      </c>
      <c r="R119" s="5" t="n">
        <v>2.32666666666667</v>
      </c>
      <c r="T119" s="5" t="n">
        <v>0.553437953762444</v>
      </c>
      <c r="U119" s="5" t="n">
        <v>109.08</v>
      </c>
    </row>
    <row r="120" customFormat="false" ht="15" hidden="false" customHeight="false" outlineLevel="0" collapsed="false">
      <c r="A120" s="4" t="n">
        <v>41608</v>
      </c>
      <c r="B120" s="5" t="n">
        <v>5090</v>
      </c>
      <c r="C120" s="5" t="n">
        <v>-23.4471349075049</v>
      </c>
      <c r="D120" s="5" t="n">
        <v>6092</v>
      </c>
      <c r="E120" s="5" t="n">
        <v>616.04</v>
      </c>
      <c r="F120" s="5" t="n">
        <v>0.246401207713785</v>
      </c>
      <c r="G120" s="5" t="n">
        <v>-0.5</v>
      </c>
      <c r="H120" s="5" t="n">
        <v>2.5</v>
      </c>
      <c r="I120" s="5" t="n">
        <v>28.1415514095774</v>
      </c>
      <c r="J120" s="5" t="n">
        <v>543.31</v>
      </c>
      <c r="K120" s="5" t="n">
        <v>2.02314960866497</v>
      </c>
      <c r="L120" s="5" t="n">
        <v>98.975</v>
      </c>
      <c r="M120" s="5" t="n">
        <v>-0.998269532773854</v>
      </c>
      <c r="N120" s="5" t="n">
        <v>356378</v>
      </c>
      <c r="O120" s="5" t="n">
        <v>3.36718208423612</v>
      </c>
      <c r="P120" s="5" t="n">
        <v>-20.1329472160063</v>
      </c>
      <c r="Q120" s="5" t="n">
        <v>2.6</v>
      </c>
      <c r="R120" s="5" t="n">
        <v>2.27</v>
      </c>
      <c r="T120" s="5" t="n">
        <v>0.642184114331486</v>
      </c>
      <c r="U120" s="5" t="n">
        <v>107.79</v>
      </c>
    </row>
    <row r="121" customFormat="false" ht="15" hidden="false" customHeight="false" outlineLevel="0" collapsed="false">
      <c r="A121" s="4" t="n">
        <v>41639</v>
      </c>
      <c r="B121" s="5" t="n">
        <v>4951</v>
      </c>
      <c r="C121" s="5" t="n">
        <v>-21.574528750198</v>
      </c>
      <c r="D121" s="5" t="n">
        <v>5412</v>
      </c>
      <c r="E121" s="5" t="n">
        <v>607.94</v>
      </c>
      <c r="F121" s="5" t="n">
        <v>0.247402704214232</v>
      </c>
      <c r="G121" s="5" t="n">
        <v>-0.7</v>
      </c>
      <c r="H121" s="5" t="n">
        <v>1.3</v>
      </c>
      <c r="I121" s="5" t="n">
        <v>30.9908250333657</v>
      </c>
      <c r="J121" s="5" t="n">
        <v>540.548</v>
      </c>
      <c r="K121" s="5" t="n">
        <v>-0.964616086461845</v>
      </c>
      <c r="L121" s="5" t="n">
        <v>102.69</v>
      </c>
      <c r="M121" s="5" t="n">
        <v>0.465689631557331</v>
      </c>
      <c r="N121" s="5" t="n">
        <v>330695</v>
      </c>
      <c r="O121" s="5" t="n">
        <v>-0.464725694454893</v>
      </c>
      <c r="P121" s="5" t="n">
        <v>-19.5149000107323</v>
      </c>
      <c r="Q121" s="5" t="n">
        <v>-0.1</v>
      </c>
      <c r="R121" s="5" t="n">
        <v>2.30166666666667</v>
      </c>
      <c r="T121" s="5" t="n">
        <v>0.776143992281228</v>
      </c>
      <c r="U121" s="5" t="n">
        <v>110.76</v>
      </c>
    </row>
    <row r="122" customFormat="false" ht="15" hidden="false" customHeight="false" outlineLevel="0" collapsed="false">
      <c r="A122" s="4" t="n">
        <v>41670</v>
      </c>
      <c r="B122" s="5" t="n">
        <v>4275</v>
      </c>
      <c r="C122" s="5" t="n">
        <v>-20.5833178524986</v>
      </c>
      <c r="D122" s="5" t="n">
        <v>5649</v>
      </c>
      <c r="E122" s="5" t="n">
        <v>607.94</v>
      </c>
      <c r="F122" s="5" t="n">
        <v>0.246058821594236</v>
      </c>
      <c r="G122" s="5" t="n">
        <v>1.1</v>
      </c>
      <c r="H122" s="5" t="n">
        <v>1.7</v>
      </c>
      <c r="I122" s="5" t="n">
        <v>34.5031606452986</v>
      </c>
      <c r="J122" s="5" t="n">
        <v>539.133</v>
      </c>
      <c r="K122" s="5" t="n">
        <v>1.02063760338476</v>
      </c>
      <c r="L122" s="5" t="n">
        <v>119.181</v>
      </c>
      <c r="M122" s="5" t="n">
        <v>15.1240292106178</v>
      </c>
      <c r="N122" s="5" t="n">
        <v>326930</v>
      </c>
      <c r="O122" s="5" t="n">
        <v>-4.10922743004635</v>
      </c>
      <c r="P122" s="5" t="n">
        <v>-41.5660517080396</v>
      </c>
      <c r="Q122" s="5" t="n">
        <v>-0.1</v>
      </c>
      <c r="R122" s="5" t="n">
        <v>2.33333333333333</v>
      </c>
      <c r="T122" s="5" t="n">
        <v>0.656759619861643</v>
      </c>
      <c r="U122" s="5" t="n">
        <v>108.12</v>
      </c>
    </row>
    <row r="123" customFormat="false" ht="15" hidden="false" customHeight="false" outlineLevel="0" collapsed="false">
      <c r="A123" s="4" t="n">
        <v>41698</v>
      </c>
      <c r="B123" s="5" t="n">
        <v>4648</v>
      </c>
      <c r="C123" s="5" t="n">
        <v>-5.25886669384428</v>
      </c>
      <c r="D123" s="5" t="n">
        <v>5537</v>
      </c>
      <c r="E123" s="5" t="n">
        <v>607.94</v>
      </c>
      <c r="F123" s="5" t="n">
        <v>0.246229891107675</v>
      </c>
      <c r="G123" s="5" t="n">
        <v>-0.2</v>
      </c>
      <c r="H123" s="5" t="n">
        <v>3.4</v>
      </c>
      <c r="I123" s="5" t="n">
        <v>41.1200094300601</v>
      </c>
      <c r="J123" s="5" t="n">
        <v>538.93</v>
      </c>
      <c r="K123" s="5" t="n">
        <v>0.966330193415899</v>
      </c>
      <c r="L123" s="5" t="n">
        <v>113.337</v>
      </c>
      <c r="M123" s="5" t="n">
        <v>9.85034989435323</v>
      </c>
      <c r="N123" s="5" t="n">
        <v>332453</v>
      </c>
      <c r="O123" s="5" t="n">
        <v>-4.770457195072</v>
      </c>
      <c r="P123" s="5" t="n">
        <v>-37.0105689721264</v>
      </c>
      <c r="Q123" s="5" t="n">
        <v>-0.1</v>
      </c>
      <c r="R123" s="5" t="n">
        <v>2.365</v>
      </c>
      <c r="T123" s="5" t="n">
        <v>0.692240169650139</v>
      </c>
      <c r="U123" s="5" t="n">
        <v>108.9</v>
      </c>
    </row>
    <row r="124" customFormat="false" ht="15" hidden="false" customHeight="false" outlineLevel="0" collapsed="false">
      <c r="A124" s="4" t="n">
        <v>41729</v>
      </c>
      <c r="B124" s="5" t="n">
        <v>4913</v>
      </c>
      <c r="C124" s="5" t="n">
        <v>-20.2435064935065</v>
      </c>
      <c r="D124" s="5" t="n">
        <v>5390</v>
      </c>
      <c r="E124" s="5" t="n">
        <v>517.45</v>
      </c>
      <c r="F124" s="5" t="n">
        <v>0.286437336940767</v>
      </c>
      <c r="G124" s="5" t="n">
        <v>-3.3</v>
      </c>
      <c r="H124" s="5" t="n">
        <v>-0.8</v>
      </c>
      <c r="I124" s="5" t="n">
        <v>43.3741783911921</v>
      </c>
      <c r="J124" s="5" t="n">
        <v>534.697</v>
      </c>
      <c r="K124" s="5" t="n">
        <v>-0.191516884658671</v>
      </c>
      <c r="L124" s="5" t="n">
        <v>112.366</v>
      </c>
      <c r="M124" s="5" t="n">
        <v>10.3011622428145</v>
      </c>
      <c r="N124" s="5" t="n">
        <v>348423</v>
      </c>
      <c r="O124" s="5" t="n">
        <v>-3.2470092970043</v>
      </c>
      <c r="P124" s="5" t="n">
        <v>-35.0099923136049</v>
      </c>
      <c r="Q124" s="5" t="n">
        <v>-0.9</v>
      </c>
      <c r="R124" s="5" t="n">
        <v>2.45333333333333</v>
      </c>
      <c r="T124" s="5" t="n">
        <v>0.711672006075668</v>
      </c>
      <c r="U124" s="5" t="n">
        <v>107.48</v>
      </c>
    </row>
    <row r="125" customFormat="false" ht="15" hidden="false" customHeight="false" outlineLevel="0" collapsed="false">
      <c r="A125" s="4" t="n">
        <v>41759</v>
      </c>
      <c r="B125" s="5" t="n">
        <v>6479</v>
      </c>
      <c r="C125" s="5" t="n">
        <v>-6.03335750543872</v>
      </c>
      <c r="D125" s="5" t="n">
        <v>5656</v>
      </c>
      <c r="E125" s="5" t="n">
        <v>517.45</v>
      </c>
      <c r="F125" s="5" t="n">
        <v>0.284595613102715</v>
      </c>
      <c r="G125" s="5" t="n">
        <v>-2.3</v>
      </c>
      <c r="H125" s="5" t="n">
        <v>0.4</v>
      </c>
      <c r="I125" s="5" t="n">
        <v>44.0257448198993</v>
      </c>
      <c r="J125" s="5" t="n">
        <v>514.669</v>
      </c>
      <c r="K125" s="5" t="n">
        <v>-3.20294000929097</v>
      </c>
      <c r="L125" s="5" t="n">
        <v>110.249</v>
      </c>
      <c r="M125" s="5" t="n">
        <v>7.71974049321922</v>
      </c>
      <c r="N125" s="5" t="n">
        <v>367576</v>
      </c>
      <c r="O125" s="5" t="n">
        <v>0.318770332525498</v>
      </c>
      <c r="P125" s="5" t="n">
        <v>-1.99191919191919</v>
      </c>
      <c r="Q125" s="5" t="n">
        <v>-0.9</v>
      </c>
      <c r="R125" s="5" t="n">
        <v>2.54166666666667</v>
      </c>
      <c r="T125" s="5" t="n">
        <v>0.623347488451944</v>
      </c>
      <c r="U125" s="5" t="n">
        <v>107.76</v>
      </c>
    </row>
    <row r="126" customFormat="false" ht="15" hidden="false" customHeight="false" outlineLevel="0" collapsed="false">
      <c r="A126" s="4" t="n">
        <v>41790</v>
      </c>
      <c r="B126" s="5" t="n">
        <v>7179</v>
      </c>
      <c r="C126" s="5" t="n">
        <v>-14.4644346479209</v>
      </c>
      <c r="D126" s="5" t="n">
        <v>5777</v>
      </c>
      <c r="E126" s="5" t="n">
        <v>517.45</v>
      </c>
      <c r="F126" s="5" t="n">
        <v>0.279831867813315</v>
      </c>
      <c r="G126" s="5" t="n">
        <v>-2.2</v>
      </c>
      <c r="H126" s="5" t="n">
        <v>0.3</v>
      </c>
      <c r="I126" s="5" t="n">
        <v>45.0002073584849</v>
      </c>
      <c r="J126" s="5" t="n">
        <v>528.454</v>
      </c>
      <c r="K126" s="5" t="n">
        <v>-2.37443816540338</v>
      </c>
      <c r="L126" s="5" t="n">
        <v>108.873</v>
      </c>
      <c r="M126" s="5" t="n">
        <v>9.74879538718978</v>
      </c>
      <c r="N126" s="5" t="n">
        <v>357951</v>
      </c>
      <c r="O126" s="5" t="n">
        <v>-1.2685146876293</v>
      </c>
      <c r="P126" s="5" t="n">
        <v>-13.1455593810926</v>
      </c>
      <c r="Q126" s="5" t="n">
        <v>-0.9</v>
      </c>
      <c r="R126" s="5" t="n">
        <v>2.63</v>
      </c>
      <c r="T126" s="5" t="n">
        <v>0.627200676289038</v>
      </c>
      <c r="U126" s="5" t="n">
        <v>109.54</v>
      </c>
    </row>
    <row r="127" customFormat="false" ht="15" hidden="false" customHeight="false" outlineLevel="0" collapsed="false">
      <c r="A127" s="4" t="n">
        <v>41820</v>
      </c>
      <c r="B127" s="5" t="n">
        <v>7204</v>
      </c>
      <c r="C127" s="5" t="n">
        <v>-3.72845115595349</v>
      </c>
      <c r="D127" s="5" t="n">
        <v>5848</v>
      </c>
      <c r="E127" s="5" t="n">
        <v>583.71</v>
      </c>
      <c r="F127" s="5" t="n">
        <v>0.246226722173682</v>
      </c>
      <c r="G127" s="5" t="n">
        <v>-1.6</v>
      </c>
      <c r="H127" s="5" t="n">
        <v>1.4</v>
      </c>
      <c r="I127" s="5" t="n">
        <v>44.1683633653836</v>
      </c>
      <c r="J127" s="5" t="n">
        <v>530.135</v>
      </c>
      <c r="K127" s="5" t="n">
        <v>-1.64653716999684</v>
      </c>
      <c r="L127" s="5" t="n">
        <v>108.332</v>
      </c>
      <c r="M127" s="5" t="n">
        <v>10.6297805418543</v>
      </c>
      <c r="N127" s="5" t="n">
        <v>353229</v>
      </c>
      <c r="O127" s="5" t="n">
        <v>-0.544538704763731</v>
      </c>
      <c r="P127" s="5" t="n">
        <v>10.2410256410257</v>
      </c>
      <c r="Q127" s="5" t="n">
        <v>-2</v>
      </c>
      <c r="R127" s="5" t="n">
        <v>2.785</v>
      </c>
      <c r="T127" s="5" t="n">
        <v>0.634285562837138</v>
      </c>
      <c r="U127" s="5" t="n">
        <v>111.8</v>
      </c>
    </row>
    <row r="128" customFormat="false" ht="15" hidden="false" customHeight="false" outlineLevel="0" collapsed="false">
      <c r="A128" s="4" t="n">
        <v>41851</v>
      </c>
      <c r="B128" s="5" t="n">
        <v>6417</v>
      </c>
      <c r="C128" s="5" t="n">
        <v>-7.41595729331986</v>
      </c>
      <c r="D128" s="5" t="n">
        <v>6145</v>
      </c>
      <c r="E128" s="5" t="n">
        <v>583.71</v>
      </c>
      <c r="F128" s="5" t="n">
        <v>0.243901937606003</v>
      </c>
      <c r="G128" s="5" t="n">
        <v>-3.5</v>
      </c>
      <c r="H128" s="5" t="n">
        <v>0.2</v>
      </c>
      <c r="I128" s="5" t="n">
        <v>43.7207695456018</v>
      </c>
      <c r="J128" s="5" t="n">
        <v>524.932</v>
      </c>
      <c r="K128" s="5" t="n">
        <v>-3.64348242688345</v>
      </c>
      <c r="L128" s="5" t="n">
        <v>105.747</v>
      </c>
      <c r="M128" s="5" t="n">
        <v>8.85592522440912</v>
      </c>
      <c r="N128" s="5" t="n">
        <v>335631</v>
      </c>
      <c r="O128" s="5" t="n">
        <v>-0.148454467021686</v>
      </c>
      <c r="P128" s="5" t="n">
        <v>-4.70049916805324</v>
      </c>
      <c r="Q128" s="5" t="n">
        <v>-2</v>
      </c>
      <c r="R128" s="5" t="n">
        <v>2.94</v>
      </c>
      <c r="T128" s="5" t="n">
        <v>0.651450943595225</v>
      </c>
      <c r="U128" s="5" t="n">
        <v>106.77</v>
      </c>
    </row>
    <row r="129" customFormat="false" ht="15" hidden="false" customHeight="false" outlineLevel="0" collapsed="false">
      <c r="A129" s="4" t="n">
        <v>41882</v>
      </c>
      <c r="B129" s="5" t="n">
        <v>6420</v>
      </c>
      <c r="C129" s="5" t="n">
        <v>-10.8333333333333</v>
      </c>
      <c r="D129" s="5" t="n">
        <v>5644</v>
      </c>
      <c r="E129" s="5" t="n">
        <v>583.71</v>
      </c>
      <c r="F129" s="5" t="n">
        <v>0.240115810933512</v>
      </c>
      <c r="G129" s="5" t="n">
        <v>-5.6</v>
      </c>
      <c r="H129" s="5" t="n">
        <v>-1.3</v>
      </c>
      <c r="I129" s="5" t="n">
        <v>44.6543790921994</v>
      </c>
      <c r="J129" s="5" t="n">
        <v>528.872</v>
      </c>
      <c r="K129" s="5" t="n">
        <v>-2.48744844320135</v>
      </c>
      <c r="L129" s="5" t="n">
        <v>106.013</v>
      </c>
      <c r="M129" s="5" t="n">
        <v>9.87738772633522</v>
      </c>
      <c r="N129" s="5" t="n">
        <v>328119</v>
      </c>
      <c r="O129" s="5" t="n">
        <v>-1.0524442943346</v>
      </c>
      <c r="P129" s="5" t="n">
        <v>1.96683153913297</v>
      </c>
      <c r="Q129" s="5" t="n">
        <v>-2</v>
      </c>
      <c r="R129" s="5" t="n">
        <v>3.095</v>
      </c>
      <c r="T129" s="5" t="n">
        <v>0.636341474088373</v>
      </c>
      <c r="U129" s="5" t="n">
        <v>101.61</v>
      </c>
    </row>
    <row r="130" customFormat="false" ht="15" hidden="false" customHeight="false" outlineLevel="0" collapsed="false">
      <c r="A130" s="4" t="n">
        <v>41912</v>
      </c>
      <c r="B130" s="5" t="n">
        <v>5685</v>
      </c>
      <c r="C130" s="5" t="n">
        <v>-13.1398013750955</v>
      </c>
      <c r="D130" s="5" t="n">
        <v>5644</v>
      </c>
      <c r="E130" s="5" t="n">
        <v>564.94</v>
      </c>
      <c r="F130" s="5" t="n">
        <v>0.24588982900839</v>
      </c>
      <c r="G130" s="5" t="n">
        <v>-3.6</v>
      </c>
      <c r="H130" s="5" t="n">
        <v>0.2</v>
      </c>
      <c r="I130" s="5" t="n">
        <v>46.474585809309</v>
      </c>
      <c r="J130" s="5" t="n">
        <v>539.603</v>
      </c>
      <c r="K130" s="5" t="n">
        <v>-1.10731336308406</v>
      </c>
      <c r="L130" s="5" t="n">
        <v>98.904</v>
      </c>
      <c r="M130" s="5" t="n">
        <v>-1.16518437094034</v>
      </c>
      <c r="N130" s="5" t="n">
        <v>325465</v>
      </c>
      <c r="O130" s="5" t="n">
        <v>-2.76790248857288</v>
      </c>
      <c r="P130" s="5" t="n">
        <v>10.3413420418319</v>
      </c>
      <c r="Q130" s="5" t="n">
        <v>-4.2</v>
      </c>
      <c r="R130" s="5" t="n">
        <v>3.12</v>
      </c>
      <c r="T130" s="5" t="n">
        <v>0.648201593323571</v>
      </c>
      <c r="U130" s="5" t="n">
        <v>97.09</v>
      </c>
    </row>
    <row r="131" customFormat="false" ht="15" hidden="false" customHeight="false" outlineLevel="0" collapsed="false">
      <c r="A131" s="4" t="n">
        <v>41943</v>
      </c>
      <c r="B131" s="5" t="n">
        <v>5794</v>
      </c>
      <c r="C131" s="5" t="n">
        <v>-3.86593661854986</v>
      </c>
      <c r="D131" s="5" t="n">
        <v>5494</v>
      </c>
      <c r="E131" s="5" t="n">
        <v>564.94</v>
      </c>
      <c r="F131" s="5" t="n">
        <v>0.243110772825433</v>
      </c>
      <c r="G131" s="5" t="n">
        <v>-3.6</v>
      </c>
      <c r="H131" s="5" t="n">
        <v>1.1</v>
      </c>
      <c r="I131" s="5" t="n">
        <v>43.2899703172312</v>
      </c>
      <c r="J131" s="5" t="n">
        <v>538.63</v>
      </c>
      <c r="K131" s="5" t="n">
        <v>-1.50171347482454</v>
      </c>
      <c r="L131" s="5" t="n">
        <v>98.05</v>
      </c>
      <c r="M131" s="5" t="n">
        <v>-1.34723158498425</v>
      </c>
      <c r="N131" s="5" t="n">
        <v>348935</v>
      </c>
      <c r="O131" s="5" t="n">
        <v>-1.65470707936168</v>
      </c>
      <c r="P131" s="5" t="n">
        <v>-15.2776980070071</v>
      </c>
      <c r="Q131" s="5" t="n">
        <v>-4.2</v>
      </c>
      <c r="R131" s="5" t="n">
        <v>3.145</v>
      </c>
      <c r="T131" s="5" t="n">
        <v>0.624300635392028</v>
      </c>
      <c r="U131" s="5" t="n">
        <v>87.43</v>
      </c>
    </row>
    <row r="132" customFormat="false" ht="15" hidden="false" customHeight="false" outlineLevel="0" collapsed="false">
      <c r="A132" s="4" t="n">
        <v>41973</v>
      </c>
      <c r="B132" s="5" t="n">
        <v>4889</v>
      </c>
      <c r="C132" s="5" t="n">
        <v>-3.94891944990177</v>
      </c>
      <c r="D132" s="5" t="n">
        <v>4651</v>
      </c>
      <c r="E132" s="5" t="n">
        <v>564.94</v>
      </c>
      <c r="F132" s="5" t="n">
        <v>0.240204269479945</v>
      </c>
      <c r="G132" s="5" t="n">
        <v>-3.3</v>
      </c>
      <c r="H132" s="5" t="n">
        <v>0.4</v>
      </c>
      <c r="I132" s="5" t="n">
        <v>41.2082154998935</v>
      </c>
      <c r="J132" s="5" t="n">
        <v>533.65</v>
      </c>
      <c r="K132" s="5" t="n">
        <v>-1.77799046584822</v>
      </c>
      <c r="L132" s="5" t="n">
        <v>94.843</v>
      </c>
      <c r="M132" s="5" t="n">
        <v>-4.17479161404394</v>
      </c>
      <c r="N132" s="5" t="n">
        <v>347015</v>
      </c>
      <c r="O132" s="5" t="n">
        <v>-2.62726655405215</v>
      </c>
      <c r="P132" s="5" t="n">
        <v>-37.0416151627524</v>
      </c>
      <c r="Q132" s="5" t="n">
        <v>-4.2</v>
      </c>
      <c r="R132" s="5" t="n">
        <v>3.17</v>
      </c>
      <c r="T132" s="5" t="n">
        <v>0.61077318300718</v>
      </c>
      <c r="U132" s="5" t="n">
        <v>79.44</v>
      </c>
    </row>
    <row r="133" customFormat="false" ht="15" hidden="false" customHeight="false" outlineLevel="0" collapsed="false">
      <c r="A133" s="4" t="n">
        <v>42004</v>
      </c>
      <c r="B133" s="5" t="n">
        <v>4502</v>
      </c>
      <c r="C133" s="5" t="n">
        <v>-9.06887497475257</v>
      </c>
      <c r="D133" s="5" t="n">
        <v>4300</v>
      </c>
      <c r="E133" s="5" t="n">
        <v>588.64</v>
      </c>
      <c r="F133" s="5" t="n">
        <v>0.227881217722207</v>
      </c>
      <c r="G133" s="5" t="n">
        <v>-1.5</v>
      </c>
      <c r="H133" s="5" t="n">
        <v>2.5</v>
      </c>
      <c r="I133" s="5" t="n">
        <v>38.5863785092245</v>
      </c>
      <c r="J133" s="5" t="n">
        <v>534.525</v>
      </c>
      <c r="K133" s="5" t="n">
        <v>-1.1142396234932</v>
      </c>
      <c r="L133" s="5" t="n">
        <v>92.014</v>
      </c>
      <c r="M133" s="5" t="n">
        <v>-10.396338494498</v>
      </c>
      <c r="N133" s="5" t="n">
        <v>352979</v>
      </c>
      <c r="O133" s="5" t="n">
        <v>6.73853550855017</v>
      </c>
      <c r="P133" s="5" t="n">
        <v>-39.4657302871366</v>
      </c>
      <c r="Q133" s="5" t="n">
        <v>-2.8</v>
      </c>
      <c r="R133" s="5" t="n">
        <v>3.11833333333333</v>
      </c>
      <c r="T133" s="5" t="n">
        <v>0.531739501228313</v>
      </c>
      <c r="U133" s="5" t="n">
        <v>62.34</v>
      </c>
    </row>
    <row r="134" customFormat="false" ht="15" hidden="false" customHeight="false" outlineLevel="0" collapsed="false">
      <c r="A134" s="4" t="n">
        <v>42035</v>
      </c>
      <c r="B134" s="5" t="n">
        <v>3796</v>
      </c>
      <c r="C134" s="5" t="n">
        <v>-11.2046783625731</v>
      </c>
      <c r="D134" s="5" t="n">
        <v>4363</v>
      </c>
      <c r="E134" s="5" t="n">
        <v>588.64</v>
      </c>
      <c r="F134" s="5" t="n">
        <v>0.224882780646915</v>
      </c>
      <c r="G134" s="5" t="n">
        <v>-2.9</v>
      </c>
      <c r="H134" s="5" t="n">
        <v>2.1</v>
      </c>
      <c r="I134" s="5" t="n">
        <v>34.7416865582072</v>
      </c>
      <c r="J134" s="5" t="n">
        <v>533.25</v>
      </c>
      <c r="K134" s="5" t="n">
        <v>-1.09119642092026</v>
      </c>
      <c r="L134" s="5" t="n">
        <v>89.833</v>
      </c>
      <c r="M134" s="5" t="n">
        <v>-24.6247304520016</v>
      </c>
      <c r="N134" s="5" t="n">
        <v>379473</v>
      </c>
      <c r="O134" s="5" t="n">
        <v>16.0716361300584</v>
      </c>
      <c r="P134" s="5" t="n">
        <v>-6.45214612375337</v>
      </c>
      <c r="Q134" s="5" t="n">
        <v>-2.8</v>
      </c>
      <c r="R134" s="5" t="n">
        <v>3.06666666666667</v>
      </c>
      <c r="T134" s="5" t="n">
        <v>0.527064345374647</v>
      </c>
      <c r="U134" s="5" t="n">
        <v>47.76</v>
      </c>
    </row>
    <row r="135" customFormat="false" ht="15" hidden="false" customHeight="false" outlineLevel="0" collapsed="false">
      <c r="A135" s="4" t="n">
        <v>42063</v>
      </c>
      <c r="B135" s="5" t="n">
        <v>3872</v>
      </c>
      <c r="C135" s="5" t="n">
        <v>-16.6953528399312</v>
      </c>
      <c r="D135" s="5" t="n">
        <v>4085</v>
      </c>
      <c r="E135" s="5" t="n">
        <v>588.64</v>
      </c>
      <c r="F135" s="5" t="n">
        <v>0.22109778472411</v>
      </c>
      <c r="G135" s="5" t="n">
        <v>0.1</v>
      </c>
      <c r="H135" s="5" t="n">
        <v>2.4</v>
      </c>
      <c r="I135" s="5" t="n">
        <v>27.7172115027826</v>
      </c>
      <c r="J135" s="5" t="n">
        <v>528.836</v>
      </c>
      <c r="K135" s="5" t="n">
        <v>-1.87297051565137</v>
      </c>
      <c r="L135" s="5" t="n">
        <v>88.198</v>
      </c>
      <c r="M135" s="5" t="n">
        <v>-22.180752975639</v>
      </c>
      <c r="N135" s="5" t="n">
        <v>410246</v>
      </c>
      <c r="O135" s="5" t="n">
        <v>23.3996986040132</v>
      </c>
      <c r="P135" s="5" t="n">
        <v>44.5468376439904</v>
      </c>
      <c r="Q135" s="5" t="n">
        <v>-2.8</v>
      </c>
      <c r="R135" s="5" t="n">
        <v>3.015</v>
      </c>
      <c r="T135" s="5" t="n">
        <v>0.501729389587765</v>
      </c>
      <c r="U135" s="5" t="n">
        <v>58.1</v>
      </c>
    </row>
    <row r="136" customFormat="false" ht="15" hidden="false" customHeight="false" outlineLevel="0" collapsed="false">
      <c r="A136" s="4" t="n">
        <v>42094</v>
      </c>
      <c r="B136" s="5" t="n">
        <v>4381</v>
      </c>
      <c r="C136" s="5" t="n">
        <v>-10.828414410747</v>
      </c>
      <c r="D136" s="5" t="n">
        <v>5059</v>
      </c>
      <c r="E136" s="5" t="n">
        <v>586.41</v>
      </c>
      <c r="F136" s="5" t="n">
        <v>0.220466908818062</v>
      </c>
      <c r="G136" s="5" t="n">
        <v>3.4</v>
      </c>
      <c r="H136" s="5" t="n">
        <v>3.1</v>
      </c>
      <c r="I136" s="5" t="n">
        <v>25.1322107193436</v>
      </c>
      <c r="J136" s="5" t="n">
        <v>531.491</v>
      </c>
      <c r="K136" s="5" t="n">
        <v>-0.599591918413611</v>
      </c>
      <c r="L136" s="5" t="n">
        <v>83.732</v>
      </c>
      <c r="M136" s="5" t="n">
        <v>-25.4827972874357</v>
      </c>
      <c r="N136" s="5" t="n">
        <v>437983</v>
      </c>
      <c r="O136" s="5" t="n">
        <v>25.7043880570456</v>
      </c>
      <c r="P136" s="5" t="n">
        <v>22.3956854953165</v>
      </c>
      <c r="Q136" s="5" t="n">
        <v>0.3</v>
      </c>
      <c r="R136" s="5" t="n">
        <v>2.925</v>
      </c>
      <c r="T136" s="5" t="n">
        <v>0.50419769188612</v>
      </c>
      <c r="U136" s="5" t="n">
        <v>55.89</v>
      </c>
    </row>
    <row r="137" customFormat="false" ht="15" hidden="false" customHeight="false" outlineLevel="0" collapsed="false">
      <c r="A137" s="4" t="n">
        <v>42124</v>
      </c>
      <c r="B137" s="5" t="n">
        <v>5155</v>
      </c>
      <c r="C137" s="5" t="n">
        <v>-20.4352523537583</v>
      </c>
      <c r="D137" s="5" t="n">
        <v>4933</v>
      </c>
      <c r="E137" s="5" t="n">
        <v>586.41</v>
      </c>
      <c r="F137" s="5" t="n">
        <v>0.216976177077471</v>
      </c>
      <c r="G137" s="5" t="n">
        <v>3.4</v>
      </c>
      <c r="H137" s="5" t="n">
        <v>2.9</v>
      </c>
      <c r="I137" s="5" t="n">
        <v>24.8131008330551</v>
      </c>
      <c r="J137" s="5" t="n">
        <v>533.286</v>
      </c>
      <c r="K137" s="5" t="n">
        <v>3.61727634654505</v>
      </c>
      <c r="L137" s="5" t="n">
        <v>85.585</v>
      </c>
      <c r="M137" s="5" t="n">
        <v>-22.3711779698682</v>
      </c>
      <c r="N137" s="5" t="n">
        <v>458181</v>
      </c>
      <c r="O137" s="5" t="n">
        <v>24.6493242213855</v>
      </c>
      <c r="P137" s="5" t="n">
        <v>4.54714103145484</v>
      </c>
      <c r="Q137" s="5" t="n">
        <v>0.3</v>
      </c>
      <c r="R137" s="5" t="n">
        <v>2.835</v>
      </c>
      <c r="T137" s="5" t="n">
        <v>0.461416076365356</v>
      </c>
      <c r="U137" s="5" t="n">
        <v>59.52</v>
      </c>
    </row>
    <row r="138" customFormat="false" ht="15" hidden="false" customHeight="false" outlineLevel="0" collapsed="false">
      <c r="A138" s="4" t="n">
        <v>42155</v>
      </c>
      <c r="B138" s="5" t="n">
        <v>5206</v>
      </c>
      <c r="C138" s="5" t="n">
        <v>-27.4829363421089</v>
      </c>
      <c r="D138" s="5" t="n">
        <v>5003</v>
      </c>
      <c r="E138" s="5" t="n">
        <v>586.41</v>
      </c>
      <c r="F138" s="5" t="n">
        <v>0.212291741273171</v>
      </c>
      <c r="G138" s="5" t="n">
        <v>2.9</v>
      </c>
      <c r="H138" s="5" t="n">
        <v>0.9</v>
      </c>
      <c r="I138" s="5" t="n">
        <v>24.0272201190802</v>
      </c>
      <c r="J138" s="5" t="n">
        <v>536.364</v>
      </c>
      <c r="K138" s="5" t="n">
        <v>1.49681902303702</v>
      </c>
      <c r="L138" s="5" t="n">
        <v>83.154</v>
      </c>
      <c r="M138" s="5" t="n">
        <v>-23.6229368162906</v>
      </c>
      <c r="N138" s="5" t="n">
        <v>444464</v>
      </c>
      <c r="O138" s="5" t="n">
        <v>24.1689504988113</v>
      </c>
      <c r="P138" s="5" t="n">
        <v>18.2109083962174</v>
      </c>
      <c r="Q138" s="5" t="n">
        <v>0.3</v>
      </c>
      <c r="R138" s="5" t="n">
        <v>2.745</v>
      </c>
      <c r="T138" s="5" t="n">
        <v>0.475986336767351</v>
      </c>
      <c r="U138" s="5" t="n">
        <v>64.08</v>
      </c>
    </row>
    <row r="139" customFormat="false" ht="15" hidden="false" customHeight="false" outlineLevel="0" collapsed="false">
      <c r="A139" s="4" t="n">
        <v>42185</v>
      </c>
      <c r="B139" s="5" t="n">
        <v>6046</v>
      </c>
      <c r="C139" s="5" t="n">
        <v>-16.0744031093837</v>
      </c>
      <c r="D139" s="5" t="n">
        <v>5707</v>
      </c>
      <c r="E139" s="5" t="n">
        <v>664.83</v>
      </c>
      <c r="F139" s="5" t="n">
        <v>0.185296993216311</v>
      </c>
      <c r="G139" s="5" t="n">
        <v>5.9</v>
      </c>
      <c r="H139" s="5" t="n">
        <v>2.9</v>
      </c>
      <c r="I139" s="5" t="n">
        <v>23.1131103872956</v>
      </c>
      <c r="J139" s="5" t="n">
        <v>533.622</v>
      </c>
      <c r="K139" s="5" t="n">
        <v>0.657756986427982</v>
      </c>
      <c r="L139" s="5" t="n">
        <v>84.047</v>
      </c>
      <c r="M139" s="5" t="n">
        <v>-22.4171989809105</v>
      </c>
      <c r="N139" s="5" t="n">
        <v>433223</v>
      </c>
      <c r="O139" s="5" t="n">
        <v>22.646498447183</v>
      </c>
      <c r="P139" s="5" t="n">
        <v>14.1740708005768</v>
      </c>
      <c r="Q139" s="5" t="n">
        <v>4</v>
      </c>
      <c r="R139" s="5" t="n">
        <v>2.54166666666667</v>
      </c>
      <c r="T139" s="5" t="n">
        <v>0.465853637286185</v>
      </c>
      <c r="U139" s="5" t="n">
        <v>61.48</v>
      </c>
    </row>
    <row r="140" customFormat="false" ht="15" hidden="false" customHeight="false" outlineLevel="0" collapsed="false">
      <c r="A140" s="4" t="n">
        <v>42216</v>
      </c>
      <c r="B140" s="5" t="n">
        <v>5569</v>
      </c>
      <c r="C140" s="5" t="n">
        <v>-13.2148979273804</v>
      </c>
      <c r="D140" s="5" t="n">
        <v>5801</v>
      </c>
      <c r="E140" s="5" t="n">
        <v>664.83</v>
      </c>
      <c r="F140" s="5" t="n">
        <v>0.183504053667855</v>
      </c>
      <c r="G140" s="5" t="n">
        <v>4.4</v>
      </c>
      <c r="H140" s="5" t="n">
        <v>4.3</v>
      </c>
      <c r="I140" s="5" t="n">
        <v>23.5548882447011</v>
      </c>
      <c r="J140" s="5" t="n">
        <v>532.181</v>
      </c>
      <c r="K140" s="5" t="n">
        <v>1.38094076947111</v>
      </c>
      <c r="L140" s="5" t="n">
        <v>80.363</v>
      </c>
      <c r="M140" s="5" t="n">
        <v>-24.0044634835977</v>
      </c>
      <c r="N140" s="5" t="n">
        <v>423226</v>
      </c>
      <c r="O140" s="5" t="n">
        <v>26.098602334111</v>
      </c>
      <c r="P140" s="5" t="n">
        <v>20.7818031912314</v>
      </c>
      <c r="Q140" s="5" t="n">
        <v>4</v>
      </c>
      <c r="R140" s="5" t="n">
        <v>2.33833333333333</v>
      </c>
      <c r="T140" s="5" t="n">
        <v>0.446216960331801</v>
      </c>
      <c r="U140" s="5" t="n">
        <v>56.56</v>
      </c>
    </row>
    <row r="141" customFormat="false" ht="15" hidden="false" customHeight="false" outlineLevel="0" collapsed="false">
      <c r="A141" s="4" t="n">
        <v>42247</v>
      </c>
      <c r="B141" s="5" t="n">
        <v>5136</v>
      </c>
      <c r="C141" s="5" t="n">
        <v>-20</v>
      </c>
      <c r="D141" s="5" t="n">
        <v>5605</v>
      </c>
      <c r="E141" s="5" t="n">
        <v>664.83</v>
      </c>
      <c r="F141" s="5" t="n">
        <v>0.181514071266339</v>
      </c>
      <c r="G141" s="5" t="n">
        <v>4.5</v>
      </c>
      <c r="H141" s="5" t="n">
        <v>4.8</v>
      </c>
      <c r="I141" s="5" t="n">
        <v>22.7691796477834</v>
      </c>
      <c r="J141" s="5" t="n">
        <v>529.224</v>
      </c>
      <c r="K141" s="5" t="n">
        <v>0.0665567471902717</v>
      </c>
      <c r="L141" s="5" t="n">
        <v>78.262</v>
      </c>
      <c r="M141" s="5" t="n">
        <v>-26.1769782951148</v>
      </c>
      <c r="N141" s="5" t="n">
        <v>423657</v>
      </c>
      <c r="O141" s="5" t="n">
        <v>29.1168752800051</v>
      </c>
      <c r="P141" s="5" t="n">
        <v>-5.31301717742396</v>
      </c>
      <c r="Q141" s="5" t="n">
        <v>4</v>
      </c>
      <c r="R141" s="5" t="n">
        <v>2.135</v>
      </c>
      <c r="T141" s="5" t="n">
        <v>0.434119043632932</v>
      </c>
      <c r="U141" s="5" t="n">
        <v>46.52</v>
      </c>
    </row>
    <row r="142" customFormat="false" ht="15" hidden="false" customHeight="false" outlineLevel="0" collapsed="false">
      <c r="A142" s="4" t="n">
        <v>42277</v>
      </c>
      <c r="B142" s="5" t="n">
        <v>5162</v>
      </c>
      <c r="C142" s="5" t="n">
        <v>-9.19964819700968</v>
      </c>
      <c r="D142" s="5" t="n">
        <v>5487</v>
      </c>
      <c r="E142" s="5" t="n">
        <v>672.91</v>
      </c>
      <c r="F142" s="5" t="n">
        <v>0.178323995779525</v>
      </c>
      <c r="G142" s="5" t="n">
        <v>2.9</v>
      </c>
      <c r="H142" s="5" t="n">
        <v>5.2</v>
      </c>
      <c r="I142" s="5" t="n">
        <v>21.9235126716036</v>
      </c>
      <c r="J142" s="5" t="n">
        <v>529.271</v>
      </c>
      <c r="K142" s="5" t="n">
        <v>-1.91474102256659</v>
      </c>
      <c r="L142" s="5" t="n">
        <v>75.251</v>
      </c>
      <c r="M142" s="5" t="n">
        <v>-23.9151096012295</v>
      </c>
      <c r="N142" s="5" t="n">
        <v>425988</v>
      </c>
      <c r="O142" s="5" t="n">
        <v>30.8859631604013</v>
      </c>
      <c r="P142" s="5" t="n">
        <v>3.59382707349729</v>
      </c>
      <c r="Q142" s="5" t="n">
        <v>4</v>
      </c>
      <c r="R142" s="5" t="n">
        <v>2.04333333333333</v>
      </c>
      <c r="T142" s="5" t="n">
        <v>0.396913095873296</v>
      </c>
      <c r="U142" s="5" t="n">
        <v>47.62</v>
      </c>
    </row>
    <row r="143" customFormat="false" ht="15" hidden="false" customHeight="false" outlineLevel="0" collapsed="false">
      <c r="A143" s="4" t="n">
        <v>42308</v>
      </c>
      <c r="B143" s="5" t="n">
        <v>5033</v>
      </c>
      <c r="C143" s="5" t="n">
        <v>-13.1342768381084</v>
      </c>
      <c r="D143" s="5" t="n">
        <v>5058</v>
      </c>
      <c r="E143" s="5" t="n">
        <v>672.91</v>
      </c>
      <c r="F143" s="5" t="n">
        <v>0.176545154626919</v>
      </c>
      <c r="G143" s="5" t="n">
        <v>2.6</v>
      </c>
      <c r="H143" s="5" t="n">
        <v>3.3</v>
      </c>
      <c r="I143" s="5" t="n">
        <v>22.0921956583478</v>
      </c>
      <c r="J143" s="5" t="n">
        <v>534.619</v>
      </c>
      <c r="K143" s="5" t="n">
        <v>-0.744667025601986</v>
      </c>
      <c r="L143" s="5" t="n">
        <v>75.824</v>
      </c>
      <c r="M143" s="5" t="n">
        <v>-22.6680265170831</v>
      </c>
      <c r="N143" s="5" t="n">
        <v>450841</v>
      </c>
      <c r="O143" s="5" t="n">
        <v>29.2048662358319</v>
      </c>
      <c r="P143" s="5" t="n">
        <v>-11.5382007999458</v>
      </c>
      <c r="Q143" s="5" t="n">
        <v>4</v>
      </c>
      <c r="R143" s="5" t="n">
        <v>1.95166666666667</v>
      </c>
      <c r="T143" s="5" t="n">
        <v>0.411478995385011</v>
      </c>
      <c r="U143" s="5" t="n">
        <v>48.43</v>
      </c>
    </row>
    <row r="144" customFormat="false" ht="15" hidden="false" customHeight="false" outlineLevel="0" collapsed="false">
      <c r="A144" s="4" t="n">
        <v>42338</v>
      </c>
      <c r="B144" s="5" t="n">
        <v>3999</v>
      </c>
      <c r="C144" s="5" t="n">
        <v>-18.204131724279</v>
      </c>
      <c r="D144" s="5" t="n">
        <v>4700</v>
      </c>
      <c r="E144" s="5" t="n">
        <v>672.91</v>
      </c>
      <c r="F144" s="5" t="n">
        <v>0.175295358963309</v>
      </c>
      <c r="G144" s="5" t="n">
        <v>3.8</v>
      </c>
      <c r="H144" s="5" t="n">
        <v>2.6</v>
      </c>
      <c r="I144" s="5" t="n">
        <v>23.9314558876148</v>
      </c>
      <c r="J144" s="5" t="n">
        <v>532.164</v>
      </c>
      <c r="K144" s="5" t="n">
        <v>-0.27845966457416</v>
      </c>
      <c r="L144" s="5" t="n">
        <v>74.05</v>
      </c>
      <c r="M144" s="5" t="n">
        <v>-21.9236000548275</v>
      </c>
      <c r="N144" s="5" t="n">
        <v>457212</v>
      </c>
      <c r="O144" s="5" t="n">
        <v>31.7556877944758</v>
      </c>
      <c r="P144" s="5" t="n">
        <v>-9.01832460732984</v>
      </c>
      <c r="Q144" s="5" t="n">
        <v>4</v>
      </c>
      <c r="R144" s="5" t="n">
        <v>1.86</v>
      </c>
      <c r="T144" s="5" t="n">
        <v>0.379314909895315</v>
      </c>
      <c r="U144" s="5" t="n">
        <v>44.27</v>
      </c>
    </row>
    <row r="145" customFormat="false" ht="15" hidden="false" customHeight="false" outlineLevel="0" collapsed="false">
      <c r="A145" s="4" t="n">
        <v>42369</v>
      </c>
      <c r="B145" s="5" t="n">
        <v>3429</v>
      </c>
      <c r="C145" s="5" t="n">
        <v>-23.8338516215016</v>
      </c>
      <c r="D145" s="5" t="n">
        <v>4404</v>
      </c>
      <c r="E145" s="5" t="n">
        <v>652.54</v>
      </c>
      <c r="F145" s="5" t="n">
        <v>0.179282496092194</v>
      </c>
      <c r="G145" s="5" t="n">
        <v>1.1</v>
      </c>
      <c r="H145" s="5" t="n">
        <v>2</v>
      </c>
      <c r="I145" s="5" t="n">
        <v>30.5877182478167</v>
      </c>
      <c r="J145" s="5" t="n">
        <v>532.217</v>
      </c>
      <c r="K145" s="5" t="n">
        <v>-0.431785229876991</v>
      </c>
      <c r="L145" s="5" t="n">
        <v>94.865</v>
      </c>
      <c r="M145" s="5" t="n">
        <v>3.09844154150456</v>
      </c>
      <c r="N145" s="5" t="n">
        <v>455106</v>
      </c>
      <c r="O145" s="5" t="n">
        <v>28.9328826927381</v>
      </c>
      <c r="P145" s="5" t="n">
        <v>4.87554152287246</v>
      </c>
      <c r="Q145" s="5" t="n">
        <v>2.5</v>
      </c>
      <c r="R145" s="5" t="n">
        <v>1.75833333333333</v>
      </c>
      <c r="T145" s="5" t="n">
        <v>0.357731817514796</v>
      </c>
      <c r="U145" s="5" t="n">
        <v>38.01</v>
      </c>
    </row>
    <row r="146" customFormat="false" ht="15" hidden="false" customHeight="false" outlineLevel="0" collapsed="false">
      <c r="A146" s="4" t="n">
        <v>42400</v>
      </c>
      <c r="B146" s="5" t="n">
        <v>3881</v>
      </c>
      <c r="C146" s="5" t="n">
        <v>2.23919915700737</v>
      </c>
      <c r="D146" s="5" t="n">
        <v>4123</v>
      </c>
      <c r="E146" s="5" t="n">
        <v>652.54</v>
      </c>
      <c r="F146" s="5" t="n">
        <v>0.179044962760904</v>
      </c>
      <c r="G146" s="5" t="n">
        <v>0.6</v>
      </c>
      <c r="H146" s="5" t="n">
        <v>5.8</v>
      </c>
      <c r="I146" s="5" t="n">
        <v>34.333878268597</v>
      </c>
      <c r="J146" s="5" t="n">
        <v>524.605</v>
      </c>
      <c r="K146" s="5" t="n">
        <v>-1.62119081106422</v>
      </c>
      <c r="L146" s="5" t="n">
        <v>97.104</v>
      </c>
      <c r="M146" s="5" t="n">
        <v>8.09390758407267</v>
      </c>
      <c r="N146" s="5" t="n">
        <v>471344</v>
      </c>
      <c r="O146" s="5" t="n">
        <v>24.2101546091553</v>
      </c>
      <c r="P146" s="5" t="n">
        <v>-22.334786193898</v>
      </c>
      <c r="Q146" s="5" t="n">
        <v>2.5</v>
      </c>
      <c r="R146" s="5" t="n">
        <v>1.65666666666667</v>
      </c>
      <c r="T146" s="5" t="n">
        <v>0.386787862385136</v>
      </c>
      <c r="U146" s="5" t="n">
        <v>30.7</v>
      </c>
    </row>
    <row r="147" customFormat="false" ht="15" hidden="false" customHeight="false" outlineLevel="0" collapsed="false">
      <c r="A147" s="4" t="n">
        <v>42429</v>
      </c>
      <c r="B147" s="5" t="n">
        <v>4141</v>
      </c>
      <c r="C147" s="5" t="n">
        <v>6.94731404958677</v>
      </c>
      <c r="D147" s="5" t="n">
        <v>4096</v>
      </c>
      <c r="E147" s="5" t="n">
        <v>652.54</v>
      </c>
      <c r="F147" s="5" t="n">
        <v>0.179474055230331</v>
      </c>
      <c r="G147" s="5" t="n">
        <v>1.2</v>
      </c>
      <c r="H147" s="5" t="n">
        <v>6.1</v>
      </c>
      <c r="I147" s="5" t="n">
        <v>35.3453681944846</v>
      </c>
      <c r="J147" s="5" t="n">
        <v>518.274</v>
      </c>
      <c r="K147" s="5" t="n">
        <v>-1.99721652837553</v>
      </c>
      <c r="L147" s="5" t="n">
        <v>107.663</v>
      </c>
      <c r="M147" s="5" t="n">
        <v>22.0696614435702</v>
      </c>
      <c r="N147" s="5" t="n">
        <v>486699</v>
      </c>
      <c r="O147" s="5" t="n">
        <v>18.6358916357503</v>
      </c>
      <c r="P147" s="5" t="n">
        <v>-44.2426247255887</v>
      </c>
      <c r="Q147" s="5" t="n">
        <v>2.5</v>
      </c>
      <c r="R147" s="5" t="n">
        <v>1.555</v>
      </c>
      <c r="T147" s="5" t="n">
        <v>0.412008211916104</v>
      </c>
      <c r="U147" s="5" t="n">
        <v>32.18</v>
      </c>
    </row>
    <row r="148" customFormat="false" ht="15" hidden="false" customHeight="false" outlineLevel="0" collapsed="false">
      <c r="A148" s="4" t="n">
        <v>42460</v>
      </c>
      <c r="B148" s="5" t="n">
        <v>4421</v>
      </c>
      <c r="C148" s="5" t="n">
        <v>0.913033553983111</v>
      </c>
      <c r="D148" s="5" t="n">
        <v>4556</v>
      </c>
      <c r="E148" s="5" t="n">
        <v>486.18</v>
      </c>
      <c r="F148" s="5" t="n">
        <v>0.239933769385824</v>
      </c>
      <c r="G148" s="5" t="n">
        <v>0.5</v>
      </c>
      <c r="H148" s="5" t="n">
        <v>6</v>
      </c>
      <c r="I148" s="5" t="n">
        <v>36.6631250248822</v>
      </c>
      <c r="J148" s="5" t="n">
        <v>521.645</v>
      </c>
      <c r="K148" s="5" t="n">
        <v>-1.85252431367605</v>
      </c>
      <c r="L148" s="5" t="n">
        <v>101.927</v>
      </c>
      <c r="M148" s="5" t="n">
        <v>21.7300434720298</v>
      </c>
      <c r="N148" s="5" t="n">
        <v>503816</v>
      </c>
      <c r="O148" s="5" t="n">
        <v>15.0309486897893</v>
      </c>
      <c r="P148" s="5" t="n">
        <v>-27.4698515769944</v>
      </c>
      <c r="Q148" s="5" t="n">
        <v>0.7</v>
      </c>
      <c r="R148" s="5" t="n">
        <v>1.42833333333333</v>
      </c>
      <c r="T148" s="5" t="n">
        <v>0.368754574279001</v>
      </c>
      <c r="U148" s="5" t="n">
        <v>38.21</v>
      </c>
    </row>
    <row r="149" customFormat="false" ht="15" hidden="false" customHeight="false" outlineLevel="0" collapsed="false">
      <c r="A149" s="4" t="n">
        <v>42490</v>
      </c>
      <c r="B149" s="5" t="n">
        <v>4740</v>
      </c>
      <c r="C149" s="5" t="n">
        <v>-8.05043646944714</v>
      </c>
      <c r="D149" s="5" t="n">
        <v>4423</v>
      </c>
      <c r="E149" s="5" t="n">
        <v>486.18</v>
      </c>
      <c r="F149" s="5" t="n">
        <v>0.238031181866798</v>
      </c>
      <c r="G149" s="5" t="n">
        <v>-2.7</v>
      </c>
      <c r="H149" s="5" t="n">
        <v>1.5</v>
      </c>
      <c r="I149" s="5" t="n">
        <v>38.9392312223295</v>
      </c>
      <c r="J149" s="5" t="n">
        <v>520.957</v>
      </c>
      <c r="K149" s="5" t="n">
        <v>-2.31189268047538</v>
      </c>
      <c r="L149" s="5" t="n">
        <v>95.719</v>
      </c>
      <c r="M149" s="5" t="n">
        <v>11.8408599637787</v>
      </c>
      <c r="N149" s="5" t="n">
        <v>512095</v>
      </c>
      <c r="O149" s="5" t="n">
        <v>11.7669654568828</v>
      </c>
      <c r="P149" s="5" t="n">
        <v>-27.4171924290221</v>
      </c>
      <c r="Q149" s="5" t="n">
        <v>0.7</v>
      </c>
      <c r="R149" s="5" t="n">
        <v>1.30166666666667</v>
      </c>
      <c r="T149" s="5" t="n">
        <v>0.369593777039911</v>
      </c>
      <c r="U149" s="5" t="n">
        <v>41.58</v>
      </c>
    </row>
    <row r="150" customFormat="false" ht="15" hidden="false" customHeight="false" outlineLevel="0" collapsed="false">
      <c r="A150" s="4" t="n">
        <v>42521</v>
      </c>
      <c r="B150" s="5" t="n">
        <v>5383</v>
      </c>
      <c r="C150" s="5" t="n">
        <v>3.39992316557818</v>
      </c>
      <c r="D150" s="5" t="n">
        <v>4874</v>
      </c>
      <c r="E150" s="5" t="n">
        <v>486.18</v>
      </c>
      <c r="F150" s="5" t="n">
        <v>0.238129910732651</v>
      </c>
      <c r="G150" s="5" t="n">
        <v>-3.2</v>
      </c>
      <c r="H150" s="5" t="n">
        <v>3.1</v>
      </c>
      <c r="I150" s="5" t="n">
        <v>42.2243398288831</v>
      </c>
      <c r="J150" s="5" t="n">
        <v>499.134</v>
      </c>
      <c r="K150" s="5" t="n">
        <v>-6.94118173479205</v>
      </c>
      <c r="L150" s="5" t="n">
        <v>88.075</v>
      </c>
      <c r="M150" s="5" t="n">
        <v>5.91793539697429</v>
      </c>
      <c r="N150" s="5" t="n">
        <v>504205</v>
      </c>
      <c r="O150" s="5" t="n">
        <v>13.4411335901221</v>
      </c>
      <c r="P150" s="5" t="n">
        <v>-31.1744980000808</v>
      </c>
      <c r="Q150" s="5" t="n">
        <v>0.7</v>
      </c>
      <c r="R150" s="5" t="n">
        <v>1.175</v>
      </c>
      <c r="T150" s="5" t="n">
        <v>0.413804798894967</v>
      </c>
      <c r="U150" s="5" t="n">
        <v>46.74</v>
      </c>
    </row>
    <row r="151" customFormat="false" ht="15" hidden="false" customHeight="false" outlineLevel="0" collapsed="false">
      <c r="A151" s="4" t="n">
        <v>42551</v>
      </c>
      <c r="B151" s="5" t="n">
        <v>5305</v>
      </c>
      <c r="C151" s="5" t="n">
        <v>-12.2560370492888</v>
      </c>
      <c r="D151" s="5" t="n">
        <v>5046</v>
      </c>
      <c r="E151" s="5" t="n">
        <v>592.1</v>
      </c>
      <c r="F151" s="5" t="n">
        <v>0.193163317007262</v>
      </c>
      <c r="G151" s="5" t="n">
        <v>-5.7</v>
      </c>
      <c r="H151" s="5" t="n">
        <v>1.2</v>
      </c>
      <c r="I151" s="5" t="n">
        <v>45.2008858351158</v>
      </c>
      <c r="J151" s="5" t="n">
        <v>500.539</v>
      </c>
      <c r="K151" s="5" t="n">
        <v>-6.19970690863569</v>
      </c>
      <c r="L151" s="5" t="n">
        <v>95.262</v>
      </c>
      <c r="M151" s="5" t="n">
        <v>13.3437243447119</v>
      </c>
      <c r="N151" s="5" t="n">
        <v>495941</v>
      </c>
      <c r="O151" s="5" t="n">
        <v>14.4770707003091</v>
      </c>
      <c r="P151" s="5" t="n">
        <v>-40.7268578878748</v>
      </c>
      <c r="Q151" s="5" t="n">
        <v>-3.9</v>
      </c>
      <c r="R151" s="5" t="n">
        <v>1.03666666666667</v>
      </c>
      <c r="S151" s="5" t="n">
        <v>21.5</v>
      </c>
      <c r="T151" s="5" t="n">
        <v>0.38058612201092</v>
      </c>
      <c r="U151" s="5" t="n">
        <v>48.25</v>
      </c>
    </row>
    <row r="152" customFormat="false" ht="15" hidden="false" customHeight="false" outlineLevel="0" collapsed="false">
      <c r="A152" s="4" t="n">
        <v>42582</v>
      </c>
      <c r="B152" s="5" t="n">
        <v>5002</v>
      </c>
      <c r="C152" s="5" t="n">
        <v>-10.1813611061232</v>
      </c>
      <c r="D152" s="5" t="n">
        <v>4718</v>
      </c>
      <c r="E152" s="5" t="n">
        <v>592.1</v>
      </c>
      <c r="F152" s="5" t="n">
        <v>0.190376625570005</v>
      </c>
      <c r="G152" s="5" t="n">
        <v>-5.3</v>
      </c>
      <c r="H152" s="5" t="n">
        <v>1</v>
      </c>
      <c r="I152" s="5" t="n">
        <v>44.8081853048755</v>
      </c>
      <c r="J152" s="5" t="n">
        <v>511.638</v>
      </c>
      <c r="K152" s="5" t="n">
        <v>-3.86015284273584</v>
      </c>
      <c r="L152" s="5" t="n">
        <v>93.549</v>
      </c>
      <c r="M152" s="5" t="n">
        <v>16.4080484800219</v>
      </c>
      <c r="N152" s="5" t="n">
        <v>491914</v>
      </c>
      <c r="O152" s="5" t="n">
        <v>16.2296267242561</v>
      </c>
      <c r="P152" s="5" t="n">
        <v>-45.1975586251205</v>
      </c>
      <c r="Q152" s="5" t="n">
        <v>-3.9</v>
      </c>
      <c r="R152" s="5" t="n">
        <v>0.898333333333334</v>
      </c>
      <c r="S152" s="5" t="n">
        <v>21.7</v>
      </c>
      <c r="T152" s="5" t="n">
        <v>0.335748420074366</v>
      </c>
      <c r="U152" s="5" t="n">
        <v>44.95</v>
      </c>
    </row>
    <row r="153" customFormat="false" ht="15" hidden="false" customHeight="false" outlineLevel="0" collapsed="false">
      <c r="A153" s="4" t="n">
        <v>42613</v>
      </c>
      <c r="B153" s="5" t="n">
        <v>5764</v>
      </c>
      <c r="C153" s="5" t="n">
        <v>12.2274143302181</v>
      </c>
      <c r="D153" s="5" t="n">
        <v>5174</v>
      </c>
      <c r="E153" s="5" t="n">
        <v>592.1</v>
      </c>
      <c r="F153" s="5" t="n">
        <v>0.190709339638575</v>
      </c>
      <c r="G153" s="5" t="n">
        <v>-1.9</v>
      </c>
      <c r="H153" s="5" t="n">
        <v>2.9</v>
      </c>
      <c r="I153" s="5" t="n">
        <v>42.1916510060396</v>
      </c>
      <c r="J153" s="5" t="n">
        <v>509.502</v>
      </c>
      <c r="K153" s="5" t="n">
        <v>-3.72658836333953</v>
      </c>
      <c r="L153" s="5" t="n">
        <v>92.911</v>
      </c>
      <c r="M153" s="5" t="n">
        <v>18.7178962970535</v>
      </c>
      <c r="N153" s="5" t="n">
        <v>495238</v>
      </c>
      <c r="O153" s="5" t="n">
        <v>16.8959795306108</v>
      </c>
      <c r="P153" s="5" t="n">
        <v>-24.0899228543876</v>
      </c>
      <c r="Q153" s="5" t="n">
        <v>-3.9</v>
      </c>
      <c r="R153" s="5" t="n">
        <v>0.76</v>
      </c>
      <c r="S153" s="5" t="n">
        <v>21.9</v>
      </c>
      <c r="T153" s="5" t="n">
        <v>0.310131645729962</v>
      </c>
      <c r="U153" s="5" t="n">
        <v>45.84</v>
      </c>
    </row>
    <row r="154" customFormat="false" ht="15" hidden="false" customHeight="false" outlineLevel="0" collapsed="false">
      <c r="A154" s="4" t="n">
        <v>42643</v>
      </c>
      <c r="B154" s="5" t="n">
        <v>5050</v>
      </c>
      <c r="C154" s="5" t="n">
        <v>-2.16970166602092</v>
      </c>
      <c r="D154" s="5" t="n">
        <v>4741</v>
      </c>
      <c r="E154" s="5" t="n">
        <v>570.56</v>
      </c>
      <c r="F154" s="5" t="n">
        <v>0.196405286034773</v>
      </c>
      <c r="G154" s="5" t="n">
        <v>-2.7</v>
      </c>
      <c r="H154" s="5" t="n">
        <v>1.7</v>
      </c>
      <c r="I154" s="5" t="n">
        <v>40.2607519699913</v>
      </c>
      <c r="J154" s="5" t="n">
        <v>512.865</v>
      </c>
      <c r="K154" s="5" t="n">
        <v>-3.09973529628488</v>
      </c>
      <c r="L154" s="5" t="n">
        <v>94.287</v>
      </c>
      <c r="M154" s="5" t="n">
        <v>25.2966737983548</v>
      </c>
      <c r="N154" s="5" t="n">
        <v>469108</v>
      </c>
      <c r="O154" s="5" t="n">
        <v>10.1223508643436</v>
      </c>
      <c r="P154" s="5" t="n">
        <v>-2.9793891572002</v>
      </c>
      <c r="Q154" s="5" t="n">
        <v>-3.3</v>
      </c>
      <c r="R154" s="5" t="n">
        <v>0.598333333333334</v>
      </c>
      <c r="S154" s="5" t="n">
        <v>21.1</v>
      </c>
      <c r="T154" s="5" t="n">
        <v>0.327555470830118</v>
      </c>
      <c r="U154" s="5" t="n">
        <v>46.57</v>
      </c>
    </row>
    <row r="155" customFormat="false" ht="15" hidden="false" customHeight="false" outlineLevel="0" collapsed="false">
      <c r="A155" s="4" t="n">
        <v>42674</v>
      </c>
      <c r="B155" s="5" t="n">
        <v>4737</v>
      </c>
      <c r="C155" s="5" t="n">
        <v>-5.88118418438307</v>
      </c>
      <c r="D155" s="5" t="n">
        <v>4783</v>
      </c>
      <c r="E155" s="5" t="n">
        <v>570.56</v>
      </c>
      <c r="F155" s="5" t="n">
        <v>0.195404514862591</v>
      </c>
      <c r="G155" s="5" t="n">
        <v>-4</v>
      </c>
      <c r="H155" s="5" t="n">
        <v>2.1</v>
      </c>
      <c r="I155" s="5" t="n">
        <v>41.7156122377393</v>
      </c>
      <c r="J155" s="5" t="n">
        <v>510.614</v>
      </c>
      <c r="K155" s="5" t="n">
        <v>-4.49011352009563</v>
      </c>
      <c r="L155" s="5" t="n">
        <v>90.841</v>
      </c>
      <c r="M155" s="5" t="n">
        <v>19.8050749103186</v>
      </c>
      <c r="N155" s="5" t="n">
        <v>482578</v>
      </c>
      <c r="O155" s="5" t="n">
        <v>7.03951060351653</v>
      </c>
      <c r="P155" s="5" t="n">
        <v>6.83577285615757</v>
      </c>
      <c r="Q155" s="5" t="n">
        <v>-3.3</v>
      </c>
      <c r="R155" s="5" t="n">
        <v>0.436666666666667</v>
      </c>
      <c r="S155" s="5" t="n">
        <v>19.43</v>
      </c>
      <c r="T155" s="5" t="n">
        <v>0.308435700914147</v>
      </c>
      <c r="U155" s="5" t="n">
        <v>49.52</v>
      </c>
    </row>
    <row r="156" customFormat="false" ht="15" hidden="false" customHeight="false" outlineLevel="0" collapsed="false">
      <c r="A156" s="4" t="n">
        <v>42704</v>
      </c>
      <c r="B156" s="5" t="n">
        <v>4837</v>
      </c>
      <c r="C156" s="5" t="n">
        <v>20.9552388097024</v>
      </c>
      <c r="D156" s="5" t="n">
        <v>4723</v>
      </c>
      <c r="E156" s="5" t="n">
        <v>570.56</v>
      </c>
      <c r="F156" s="5" t="n">
        <v>0.196913558609086</v>
      </c>
      <c r="G156" s="5" t="n">
        <v>-0.8</v>
      </c>
      <c r="H156" s="5" t="n">
        <v>4.8</v>
      </c>
      <c r="I156" s="5" t="n">
        <v>39.8578519427478</v>
      </c>
      <c r="J156" s="5" t="n">
        <v>501.973</v>
      </c>
      <c r="K156" s="5" t="n">
        <v>-5.67325110304342</v>
      </c>
      <c r="L156" s="5" t="n">
        <v>90.473</v>
      </c>
      <c r="M156" s="5" t="n">
        <v>22.1782579338285</v>
      </c>
      <c r="N156" s="5" t="n">
        <v>488145</v>
      </c>
      <c r="O156" s="5" t="n">
        <v>6.76557045746831</v>
      </c>
      <c r="P156" s="5" t="n">
        <v>1.69759746799023</v>
      </c>
      <c r="Q156" s="5" t="n">
        <v>-3.3</v>
      </c>
      <c r="R156" s="5" t="n">
        <v>0.275</v>
      </c>
      <c r="S156" s="5" t="n">
        <v>20</v>
      </c>
      <c r="T156" s="5" t="n">
        <v>0.317188736086541</v>
      </c>
      <c r="U156" s="5" t="n">
        <v>44.73</v>
      </c>
    </row>
    <row r="157" customFormat="false" ht="15" hidden="false" customHeight="false" outlineLevel="0" collapsed="false">
      <c r="A157" s="4" t="n">
        <v>42735</v>
      </c>
      <c r="B157" s="5" t="n">
        <v>4649</v>
      </c>
      <c r="C157" s="5" t="n">
        <v>35.5788859725868</v>
      </c>
      <c r="D157" s="5" t="n">
        <v>4595</v>
      </c>
      <c r="E157" s="5" t="n">
        <v>580.29</v>
      </c>
      <c r="F157" s="5" t="n">
        <v>0.196043357631529</v>
      </c>
      <c r="G157" s="5" t="n">
        <v>0.5</v>
      </c>
      <c r="H157" s="5" t="n">
        <v>5.3</v>
      </c>
      <c r="I157" s="5" t="n">
        <v>32.3729938757246</v>
      </c>
      <c r="J157" s="5" t="n">
        <v>494.637</v>
      </c>
      <c r="K157" s="5" t="n">
        <v>-7.06102961761838</v>
      </c>
      <c r="L157" s="5" t="n">
        <v>90.712</v>
      </c>
      <c r="M157" s="5" t="n">
        <v>-4.37780003162388</v>
      </c>
      <c r="N157" s="5" t="n">
        <v>479012</v>
      </c>
      <c r="O157" s="5" t="n">
        <v>5.25284219500513</v>
      </c>
      <c r="P157" s="5" t="n">
        <v>20.8429601624309</v>
      </c>
      <c r="Q157" s="5" t="n">
        <v>-1.5</v>
      </c>
      <c r="R157" s="5" t="n">
        <v>0.163333333333334</v>
      </c>
      <c r="S157" s="5" t="n">
        <v>19.6</v>
      </c>
      <c r="T157" s="5" t="n">
        <v>0.330955705921033</v>
      </c>
      <c r="U157" s="5" t="n">
        <v>53.31</v>
      </c>
    </row>
    <row r="158" customFormat="false" ht="15" hidden="false" customHeight="false" outlineLevel="0" collapsed="false">
      <c r="A158" s="4" t="n">
        <v>42766</v>
      </c>
      <c r="B158" s="5" t="n">
        <v>4291</v>
      </c>
      <c r="C158" s="5" t="n">
        <v>10.5642875547539</v>
      </c>
      <c r="D158" s="5" t="n">
        <v>4344</v>
      </c>
      <c r="E158" s="5" t="n">
        <v>580.29</v>
      </c>
      <c r="F158" s="5" t="n">
        <v>0.197130744972341</v>
      </c>
      <c r="G158" s="5" t="n">
        <v>1.5</v>
      </c>
      <c r="H158" s="5" t="n">
        <v>3.5</v>
      </c>
      <c r="I158" s="5" t="n">
        <v>28.7893317499581</v>
      </c>
      <c r="J158" s="5" t="n">
        <v>497.315</v>
      </c>
      <c r="K158" s="5" t="n">
        <v>-5.20200913067928</v>
      </c>
      <c r="L158" s="5" t="n">
        <v>91.316</v>
      </c>
      <c r="M158" s="5" t="n">
        <v>-5.96061954193442</v>
      </c>
      <c r="N158" s="5" t="n">
        <v>494762</v>
      </c>
      <c r="O158" s="5" t="n">
        <v>4.96834583658645</v>
      </c>
      <c r="P158" s="5" t="n">
        <v>1.80494463825269</v>
      </c>
      <c r="Q158" s="5" t="n">
        <v>-1.5</v>
      </c>
      <c r="R158" s="5" t="n">
        <v>0.0516666666666668</v>
      </c>
      <c r="S158" s="5" t="n">
        <v>19.65</v>
      </c>
      <c r="T158" s="5" t="n">
        <v>0.378571508844906</v>
      </c>
      <c r="U158" s="5" t="n">
        <v>54.58</v>
      </c>
    </row>
    <row r="159" customFormat="false" ht="15" hidden="false" customHeight="false" outlineLevel="0" collapsed="false">
      <c r="A159" s="4" t="n">
        <v>42794</v>
      </c>
      <c r="B159" s="5" t="n">
        <v>3899</v>
      </c>
      <c r="C159" s="5" t="n">
        <v>-5.84399903404975</v>
      </c>
      <c r="D159" s="5" t="n">
        <v>4117</v>
      </c>
      <c r="E159" s="5" t="n">
        <v>580.29</v>
      </c>
      <c r="F159" s="5" t="n">
        <v>0.196749900911613</v>
      </c>
      <c r="G159" s="5" t="n">
        <v>-1.2</v>
      </c>
      <c r="H159" s="5" t="n">
        <v>0.9</v>
      </c>
      <c r="I159" s="5" t="n">
        <v>27.9119835730021</v>
      </c>
      <c r="J159" s="5" t="n">
        <v>485.703</v>
      </c>
      <c r="K159" s="5" t="n">
        <v>-6.28451359705484</v>
      </c>
      <c r="L159" s="5" t="n">
        <v>87.799</v>
      </c>
      <c r="M159" s="5" t="n">
        <v>-18.4501639374715</v>
      </c>
      <c r="N159" s="5" t="n">
        <v>520184</v>
      </c>
      <c r="O159" s="5" t="n">
        <v>6.88002235467917</v>
      </c>
      <c r="P159" s="5" t="n">
        <v>-6.3049457958039</v>
      </c>
      <c r="Q159" s="5" t="n">
        <v>-1.5</v>
      </c>
      <c r="R159" s="5" t="n">
        <v>-0.06</v>
      </c>
      <c r="S159" s="5" t="n">
        <v>19.45</v>
      </c>
      <c r="T159" s="5" t="n">
        <v>0.369778115087479</v>
      </c>
      <c r="U159" s="5" t="n">
        <v>54.87</v>
      </c>
    </row>
    <row r="160" customFormat="false" ht="15" hidden="false" customHeight="false" outlineLevel="0" collapsed="false">
      <c r="A160" s="4" t="n">
        <v>42825</v>
      </c>
      <c r="B160" s="5" t="n">
        <v>4565</v>
      </c>
      <c r="C160" s="5" t="n">
        <v>3.25718163311468</v>
      </c>
      <c r="D160" s="5" t="n">
        <v>5475</v>
      </c>
      <c r="E160" s="5" t="n">
        <v>589.43</v>
      </c>
      <c r="F160" s="5" t="n">
        <v>0.195502434555418</v>
      </c>
      <c r="G160" s="5" t="n">
        <v>1.3</v>
      </c>
      <c r="H160" s="5" t="n">
        <v>3</v>
      </c>
      <c r="I160" s="5" t="n">
        <v>27.1003963245833</v>
      </c>
      <c r="J160" s="5" t="n">
        <v>485.379</v>
      </c>
      <c r="K160" s="5" t="n">
        <v>-6.95223763287293</v>
      </c>
      <c r="L160" s="5" t="n">
        <v>85.386</v>
      </c>
      <c r="M160" s="5" t="n">
        <v>-16.2282810246549</v>
      </c>
      <c r="N160" s="5" t="n">
        <v>535543</v>
      </c>
      <c r="O160" s="5" t="n">
        <v>6.29733871095797</v>
      </c>
      <c r="P160" s="5" t="n">
        <v>1.93445243804955</v>
      </c>
      <c r="Q160" s="5" t="n">
        <v>0.6</v>
      </c>
      <c r="R160" s="5" t="n">
        <v>-0.0766666666666667</v>
      </c>
      <c r="S160" s="5" t="n">
        <v>18.4</v>
      </c>
      <c r="T160" s="5" t="n">
        <v>0.405692179151279</v>
      </c>
      <c r="U160" s="5" t="n">
        <v>51.59</v>
      </c>
    </row>
    <row r="161" customFormat="false" ht="15" hidden="false" customHeight="false" outlineLevel="0" collapsed="false">
      <c r="A161" s="4" t="n">
        <v>42855</v>
      </c>
      <c r="B161" s="5" t="n">
        <v>4867</v>
      </c>
      <c r="C161" s="5" t="n">
        <v>2.67932489451477</v>
      </c>
      <c r="D161" s="5" t="n">
        <v>4973</v>
      </c>
      <c r="E161" s="5" t="n">
        <v>589.43</v>
      </c>
      <c r="F161" s="5" t="n">
        <v>0.196651001815313</v>
      </c>
      <c r="G161" s="5" t="n">
        <v>-0.7</v>
      </c>
      <c r="H161" s="5" t="n">
        <v>2.4</v>
      </c>
      <c r="I161" s="5" t="n">
        <v>26.1145675535965</v>
      </c>
      <c r="J161" s="5" t="n">
        <v>453.853</v>
      </c>
      <c r="K161" s="5" t="n">
        <v>-12.8809095568348</v>
      </c>
      <c r="L161" s="5" t="n">
        <v>83.418</v>
      </c>
      <c r="M161" s="5" t="n">
        <v>-12.8511580772887</v>
      </c>
      <c r="N161" s="5" t="n">
        <v>527772</v>
      </c>
      <c r="O161" s="5" t="n">
        <v>3.06134603930912</v>
      </c>
      <c r="P161" s="5" t="n">
        <v>-17.8682023143369</v>
      </c>
      <c r="Q161" s="5" t="n">
        <v>0.6</v>
      </c>
      <c r="R161" s="5" t="n">
        <v>-0.0933333333333334</v>
      </c>
      <c r="S161" s="5" t="n">
        <v>17.51</v>
      </c>
      <c r="T161" s="5" t="n">
        <v>0.413112217661806</v>
      </c>
      <c r="U161" s="5" t="n">
        <v>52.31</v>
      </c>
    </row>
    <row r="162" customFormat="false" ht="15" hidden="false" customHeight="false" outlineLevel="0" collapsed="false">
      <c r="A162" s="4" t="n">
        <v>42886</v>
      </c>
      <c r="B162" s="5" t="n">
        <v>5493</v>
      </c>
      <c r="C162" s="5" t="n">
        <v>2.04347018391231</v>
      </c>
      <c r="D162" s="5" t="n">
        <v>6064</v>
      </c>
      <c r="E162" s="5" t="n">
        <v>589.43</v>
      </c>
      <c r="F162" s="5" t="n">
        <v>0.198856522403</v>
      </c>
      <c r="G162" s="5" t="n">
        <v>2.4</v>
      </c>
      <c r="H162" s="5" t="n">
        <v>3.7</v>
      </c>
      <c r="I162" s="5" t="n">
        <v>22.4876467013773</v>
      </c>
      <c r="J162" s="5" t="n">
        <v>469.778</v>
      </c>
      <c r="K162" s="5" t="n">
        <v>-5.88138656152456</v>
      </c>
      <c r="L162" s="5" t="n">
        <v>86.212</v>
      </c>
      <c r="M162" s="5" t="n">
        <v>-2.11524269088844</v>
      </c>
      <c r="N162" s="5" t="n">
        <v>509912</v>
      </c>
      <c r="O162" s="5" t="n">
        <v>1.1318808817842</v>
      </c>
      <c r="P162" s="5" t="n">
        <v>3.51041972409745</v>
      </c>
      <c r="Q162" s="5" t="n">
        <v>0.6</v>
      </c>
      <c r="R162" s="5" t="n">
        <v>-0.11</v>
      </c>
      <c r="S162" s="5" t="n">
        <v>17</v>
      </c>
      <c r="T162" s="5" t="n">
        <v>0.415847629555801</v>
      </c>
      <c r="U162" s="5" t="n">
        <v>50.33</v>
      </c>
    </row>
    <row r="163" customFormat="false" ht="15" hidden="false" customHeight="false" outlineLevel="0" collapsed="false">
      <c r="A163" s="4" t="n">
        <v>42916</v>
      </c>
      <c r="B163" s="5" t="n">
        <v>5158</v>
      </c>
      <c r="C163" s="5" t="n">
        <v>-2.77097078228087</v>
      </c>
      <c r="D163" s="5" t="n">
        <v>5898</v>
      </c>
      <c r="E163" s="5" t="n">
        <v>671.52</v>
      </c>
      <c r="F163" s="5" t="n">
        <v>0.175597152728139</v>
      </c>
      <c r="G163" s="5" t="n">
        <v>5.2</v>
      </c>
      <c r="H163" s="5" t="n">
        <v>3.4</v>
      </c>
      <c r="I163" s="5" t="n">
        <v>20.0504328758272</v>
      </c>
      <c r="J163" s="5" t="n">
        <v>461.521</v>
      </c>
      <c r="K163" s="5" t="n">
        <v>-7.79519677787345</v>
      </c>
      <c r="L163" s="5" t="n">
        <v>87.929</v>
      </c>
      <c r="M163" s="5" t="n">
        <v>-7.69771787281393</v>
      </c>
      <c r="N163" s="5" t="n">
        <v>502914</v>
      </c>
      <c r="O163" s="5" t="n">
        <v>1.40601402182921</v>
      </c>
      <c r="P163" s="5" t="n">
        <v>17.5900467418202</v>
      </c>
      <c r="Q163" s="5" t="n">
        <v>2.3</v>
      </c>
      <c r="R163" s="5" t="n">
        <v>0.00499999999999998</v>
      </c>
      <c r="S163" s="5" t="n">
        <v>17</v>
      </c>
      <c r="T163" s="5" t="n">
        <v>0.400919236957675</v>
      </c>
      <c r="U163" s="5" t="n">
        <v>46.37</v>
      </c>
    </row>
    <row r="164" customFormat="false" ht="15" hidden="false" customHeight="false" outlineLevel="0" collapsed="false">
      <c r="A164" s="4" t="n">
        <v>42947</v>
      </c>
      <c r="B164" s="5" t="n">
        <v>5304</v>
      </c>
      <c r="C164" s="5" t="n">
        <v>6.03758496601359</v>
      </c>
      <c r="D164" s="5" t="n">
        <v>6043</v>
      </c>
      <c r="E164" s="5" t="n">
        <v>671.52</v>
      </c>
      <c r="F164" s="5" t="n">
        <v>0.178020014295926</v>
      </c>
      <c r="G164" s="5" t="n">
        <v>4.2</v>
      </c>
      <c r="H164" s="5" t="n">
        <v>3.5</v>
      </c>
      <c r="I164" s="5" t="n">
        <v>19.6469250069853</v>
      </c>
      <c r="J164" s="5" t="n">
        <v>473.381</v>
      </c>
      <c r="K164" s="5" t="n">
        <v>-7.47735703759299</v>
      </c>
      <c r="L164" s="5" t="n">
        <v>94.525</v>
      </c>
      <c r="M164" s="5" t="n">
        <v>1.04330350939079</v>
      </c>
      <c r="N164" s="5" t="n">
        <v>481888</v>
      </c>
      <c r="O164" s="5" t="n">
        <v>-2.03816114198824</v>
      </c>
      <c r="P164" s="5" t="n">
        <v>47.4062133645955</v>
      </c>
      <c r="Q164" s="5" t="n">
        <v>2.3</v>
      </c>
      <c r="R164" s="5" t="n">
        <v>0.12</v>
      </c>
      <c r="S164" s="5" t="n">
        <v>17.1</v>
      </c>
      <c r="T164" s="5" t="n">
        <v>0.404365614100554</v>
      </c>
      <c r="U164" s="5" t="n">
        <v>48.48</v>
      </c>
    </row>
    <row r="165" customFormat="false" ht="15" hidden="false" customHeight="false" outlineLevel="0" collapsed="false">
      <c r="A165" s="4" t="n">
        <v>42978</v>
      </c>
      <c r="B165" s="5" t="n">
        <v>5272</v>
      </c>
      <c r="C165" s="5" t="n">
        <v>-8.53573907009022</v>
      </c>
      <c r="D165" s="5" t="n">
        <v>6317</v>
      </c>
      <c r="E165" s="5" t="n">
        <v>671.52</v>
      </c>
      <c r="F165" s="5" t="n">
        <v>0.178989456754825</v>
      </c>
      <c r="G165" s="5" t="n">
        <v>4</v>
      </c>
      <c r="H165" s="5" t="n">
        <v>1.6</v>
      </c>
      <c r="I165" s="5" t="n">
        <v>21.2116291893318</v>
      </c>
      <c r="J165" s="5" t="n">
        <v>478.944</v>
      </c>
      <c r="K165" s="5" t="n">
        <v>-5.99762120658997</v>
      </c>
      <c r="L165" s="5" t="n">
        <v>92.082</v>
      </c>
      <c r="M165" s="5" t="n">
        <v>-0.892251724768878</v>
      </c>
      <c r="N165" s="5" t="n">
        <v>457773</v>
      </c>
      <c r="O165" s="5" t="n">
        <v>-7.5650495317403</v>
      </c>
      <c r="P165" s="5" t="n">
        <v>114.16435093291</v>
      </c>
      <c r="Q165" s="5" t="n">
        <v>2.3</v>
      </c>
      <c r="R165" s="5" t="n">
        <v>0.235</v>
      </c>
      <c r="S165" s="5" t="n">
        <v>17.2</v>
      </c>
      <c r="T165" s="5" t="n">
        <v>0.387760931026711</v>
      </c>
      <c r="U165" s="5" t="n">
        <v>51.7</v>
      </c>
    </row>
    <row r="166" customFormat="false" ht="15" hidden="false" customHeight="false" outlineLevel="0" collapsed="false">
      <c r="A166" s="4" t="n">
        <v>43008</v>
      </c>
      <c r="B166" s="5" t="n">
        <v>5268</v>
      </c>
      <c r="C166" s="5" t="n">
        <v>4.31683168316832</v>
      </c>
      <c r="D166" s="5" t="n">
        <v>5968</v>
      </c>
      <c r="E166" s="5" t="n">
        <v>643.78</v>
      </c>
      <c r="F166" s="5" t="n">
        <v>0.18894653453043</v>
      </c>
      <c r="G166" s="5" t="n">
        <v>3.3</v>
      </c>
      <c r="H166" s="5" t="n">
        <v>1.5</v>
      </c>
      <c r="I166" s="5" t="n">
        <v>22.1896526535326</v>
      </c>
      <c r="J166" s="5" t="n">
        <v>484.506</v>
      </c>
      <c r="K166" s="5" t="n">
        <v>-5.52952531367904</v>
      </c>
      <c r="L166" s="5" t="n">
        <v>89.856</v>
      </c>
      <c r="M166" s="5" t="n">
        <v>-4.69948137070859</v>
      </c>
      <c r="N166" s="5" t="n">
        <v>464963</v>
      </c>
      <c r="O166" s="5" t="n">
        <v>-0.883591838126829</v>
      </c>
      <c r="P166" s="5" t="n">
        <v>26.9508518544486</v>
      </c>
      <c r="Q166" s="5" t="n">
        <v>3.9</v>
      </c>
      <c r="R166" s="5" t="n">
        <v>0.318333333333334</v>
      </c>
      <c r="S166" s="5" t="n">
        <v>16.9</v>
      </c>
      <c r="T166" s="5" t="n">
        <v>0.379591138833583</v>
      </c>
      <c r="U166" s="5" t="n">
        <v>56.15</v>
      </c>
    </row>
    <row r="167" customFormat="false" ht="15" hidden="false" customHeight="false" outlineLevel="0" collapsed="false">
      <c r="A167" s="4" t="n">
        <v>43039</v>
      </c>
      <c r="B167" s="5" t="n">
        <v>5281</v>
      </c>
      <c r="C167" s="5" t="n">
        <v>11.4840616423897</v>
      </c>
      <c r="D167" s="5" t="n">
        <v>6209</v>
      </c>
      <c r="E167" s="5" t="n">
        <v>643.78</v>
      </c>
      <c r="F167" s="5" t="n">
        <v>0.192006586100842</v>
      </c>
      <c r="G167" s="5" t="n">
        <v>6</v>
      </c>
      <c r="H167" s="5" t="n">
        <v>2.3</v>
      </c>
      <c r="I167" s="5" t="n">
        <v>21.0916381140436</v>
      </c>
      <c r="J167" s="5" t="n">
        <v>489.386</v>
      </c>
      <c r="K167" s="5" t="n">
        <v>-4.15734782046712</v>
      </c>
      <c r="L167" s="5" t="n">
        <v>88.843</v>
      </c>
      <c r="M167" s="5" t="n">
        <v>-2.19944738609217</v>
      </c>
      <c r="N167" s="5" t="n">
        <v>454906</v>
      </c>
      <c r="O167" s="5" t="n">
        <v>-5.73420255378405</v>
      </c>
      <c r="P167" s="5" t="n">
        <v>46.739832149774</v>
      </c>
      <c r="Q167" s="5" t="n">
        <v>3.9</v>
      </c>
      <c r="R167" s="5" t="n">
        <v>0.401666666666667</v>
      </c>
      <c r="S167" s="5" t="n">
        <v>17.3</v>
      </c>
      <c r="T167" s="5" t="n">
        <v>0.387198477882165</v>
      </c>
      <c r="U167" s="5" t="n">
        <v>57.51</v>
      </c>
    </row>
    <row r="168" customFormat="false" ht="15" hidden="false" customHeight="false" outlineLevel="0" collapsed="false">
      <c r="A168" s="4" t="n">
        <v>43069</v>
      </c>
      <c r="B168" s="5" t="n">
        <v>4668</v>
      </c>
      <c r="C168" s="5" t="n">
        <v>-3.49390117841637</v>
      </c>
      <c r="D168" s="5" t="n">
        <v>6163</v>
      </c>
      <c r="E168" s="5" t="n">
        <v>643.78</v>
      </c>
      <c r="F168" s="5" t="n">
        <v>0.193980863027742</v>
      </c>
      <c r="G168" s="5" t="n">
        <v>5.1</v>
      </c>
      <c r="H168" s="5" t="n">
        <v>1.4</v>
      </c>
      <c r="I168" s="5" t="n">
        <v>20.7755779927421</v>
      </c>
      <c r="J168" s="5" t="n">
        <v>488.847</v>
      </c>
      <c r="K168" s="5" t="n">
        <v>-2.61488167690295</v>
      </c>
      <c r="L168" s="5" t="n">
        <v>86.471</v>
      </c>
      <c r="M168" s="5" t="n">
        <v>-4.42341914162235</v>
      </c>
      <c r="N168" s="5" t="n">
        <v>453713</v>
      </c>
      <c r="O168" s="5" t="n">
        <v>-7.05364184822133</v>
      </c>
      <c r="P168" s="5" t="n">
        <v>24.5296364407979</v>
      </c>
      <c r="Q168" s="5" t="n">
        <v>3.9</v>
      </c>
      <c r="R168" s="5" t="n">
        <v>0.485</v>
      </c>
      <c r="S168" s="5" t="n">
        <v>17.5</v>
      </c>
      <c r="T168" s="5" t="n">
        <v>0.37353168413582</v>
      </c>
      <c r="U168" s="5" t="n">
        <v>62.71</v>
      </c>
    </row>
    <row r="169" customFormat="false" ht="15" hidden="false" customHeight="false" outlineLevel="0" collapsed="false">
      <c r="A169" s="4" t="n">
        <v>43100</v>
      </c>
      <c r="B169" s="5" t="n">
        <v>4578</v>
      </c>
      <c r="C169" s="5" t="n">
        <v>-1.52721015272102</v>
      </c>
      <c r="D169" s="5" t="n">
        <v>5366</v>
      </c>
      <c r="E169" s="5" t="n">
        <v>668.85</v>
      </c>
      <c r="F169" s="5" t="n">
        <v>0.187756597144352</v>
      </c>
      <c r="G169" s="5" t="n">
        <v>2.5</v>
      </c>
      <c r="H169" s="5" t="n">
        <v>-0.2</v>
      </c>
      <c r="I169" s="5" t="n">
        <v>20.6</v>
      </c>
      <c r="J169" s="5" t="n">
        <v>486.578</v>
      </c>
      <c r="K169" s="5" t="n">
        <v>-1.62927561019496</v>
      </c>
      <c r="L169" s="5" t="n">
        <v>91.083</v>
      </c>
      <c r="M169" s="5" t="n">
        <v>0.408986683129009</v>
      </c>
      <c r="N169" s="5" t="n">
        <v>424463</v>
      </c>
      <c r="O169" s="5" t="n">
        <v>-11.3878149190417</v>
      </c>
      <c r="P169" s="5" t="n">
        <v>8.64426419466975</v>
      </c>
      <c r="Q169" s="5" t="n">
        <v>4.5</v>
      </c>
      <c r="R169" s="5" t="n">
        <v>0.55</v>
      </c>
      <c r="S169" s="5" t="n">
        <v>17.4</v>
      </c>
      <c r="T169" s="5" t="n">
        <v>0.364635138038461</v>
      </c>
      <c r="U169" s="5" t="n">
        <v>64.37</v>
      </c>
    </row>
    <row r="170" customFormat="false" ht="15" hidden="false" customHeight="false" outlineLevel="0" collapsed="false">
      <c r="A170" s="4" t="n">
        <v>43131</v>
      </c>
      <c r="B170" s="5" t="n">
        <v>4810</v>
      </c>
      <c r="C170" s="5" t="n">
        <v>12.0950827312981</v>
      </c>
      <c r="D170" s="5" t="n">
        <v>5743</v>
      </c>
      <c r="E170" s="5" t="n">
        <v>668.85</v>
      </c>
      <c r="F170" s="5" t="n">
        <v>0.190624205726247</v>
      </c>
      <c r="G170" s="5" t="n">
        <v>4.5</v>
      </c>
      <c r="H170" s="5" t="n">
        <v>1</v>
      </c>
      <c r="I170" s="5" t="n">
        <v>20.7</v>
      </c>
      <c r="J170" s="5" t="n">
        <v>480.849</v>
      </c>
      <c r="K170" s="5" t="n">
        <v>-3.31097996239808</v>
      </c>
      <c r="L170" s="5" t="n">
        <v>97.072</v>
      </c>
      <c r="M170" s="5" t="n">
        <v>6.30338604406675</v>
      </c>
      <c r="N170" s="5" t="n">
        <v>418359</v>
      </c>
      <c r="O170" s="5" t="n">
        <v>-15.4423743133062</v>
      </c>
      <c r="P170" s="5" t="n">
        <v>28.3000595947557</v>
      </c>
      <c r="Q170" s="5" t="n">
        <v>4.5</v>
      </c>
      <c r="R170" s="5" t="n">
        <v>0.615</v>
      </c>
      <c r="S170" s="5" t="n">
        <v>18.6</v>
      </c>
      <c r="T170" s="5" t="n">
        <v>0.361943327068426</v>
      </c>
      <c r="U170" s="5" t="n">
        <v>69.08</v>
      </c>
    </row>
    <row r="171" customFormat="false" ht="15" hidden="false" customHeight="false" outlineLevel="0" collapsed="false">
      <c r="A171" s="4" t="n">
        <v>43159</v>
      </c>
      <c r="B171" s="5" t="n">
        <v>4304</v>
      </c>
      <c r="C171" s="5" t="n">
        <v>10.3872787894332</v>
      </c>
      <c r="D171" s="5" t="n">
        <v>5196</v>
      </c>
      <c r="E171" s="5" t="n">
        <v>668.85</v>
      </c>
      <c r="F171" s="5" t="n">
        <v>0.192842939373552</v>
      </c>
      <c r="G171" s="5" t="n">
        <v>5</v>
      </c>
      <c r="H171" s="5" t="n">
        <v>0.4</v>
      </c>
      <c r="I171" s="5" t="n">
        <v>23.8</v>
      </c>
      <c r="J171" s="5" t="n">
        <v>482.809</v>
      </c>
      <c r="K171" s="5" t="n">
        <v>-0.59583737386838</v>
      </c>
      <c r="L171" s="5" t="n">
        <v>96.538</v>
      </c>
      <c r="M171" s="5" t="n">
        <v>9.95341632592626</v>
      </c>
      <c r="N171" s="5" t="n">
        <v>423498</v>
      </c>
      <c r="O171" s="5" t="n">
        <v>-18.5868846408194</v>
      </c>
      <c r="P171" s="5" t="n">
        <v>8.78425051807506</v>
      </c>
      <c r="Q171" s="5" t="n">
        <v>4.5</v>
      </c>
      <c r="R171" s="5" t="n">
        <v>0.68</v>
      </c>
      <c r="S171" s="5" t="n">
        <v>17.64</v>
      </c>
      <c r="T171" s="5" t="n">
        <v>0.355965600089892</v>
      </c>
      <c r="U171" s="5" t="n">
        <v>65.32</v>
      </c>
    </row>
    <row r="172" customFormat="false" ht="15" hidden="false" customHeight="false" outlineLevel="0" collapsed="false">
      <c r="A172" s="4" t="n">
        <v>43190</v>
      </c>
      <c r="B172" s="5" t="n">
        <v>5417</v>
      </c>
      <c r="C172" s="5" t="n">
        <v>18.6637458926616</v>
      </c>
      <c r="D172" s="5" t="n">
        <v>5979</v>
      </c>
      <c r="E172" s="5" t="n">
        <v>633.29</v>
      </c>
      <c r="F172" s="5" t="n">
        <v>0.205812502960729</v>
      </c>
      <c r="G172" s="5" t="n">
        <v>2.1</v>
      </c>
      <c r="H172" s="5" t="n">
        <v>-0.3</v>
      </c>
      <c r="I172" s="5" t="n">
        <v>24.6</v>
      </c>
      <c r="J172" s="5" t="n">
        <v>487.324</v>
      </c>
      <c r="K172" s="5" t="n">
        <v>0.400717789603577</v>
      </c>
      <c r="L172" s="5" t="n">
        <v>93.8</v>
      </c>
      <c r="M172" s="5" t="n">
        <v>9.85407443843254</v>
      </c>
      <c r="N172" s="5" t="n">
        <v>425332</v>
      </c>
      <c r="O172" s="5" t="n">
        <v>-20.5792998881509</v>
      </c>
      <c r="P172" s="5" t="n">
        <v>4.19803429527395</v>
      </c>
      <c r="Q172" s="5" t="n">
        <v>3.8</v>
      </c>
      <c r="R172" s="5" t="n">
        <v>0.731666666666667</v>
      </c>
      <c r="S172" s="5" t="n">
        <v>17.8</v>
      </c>
      <c r="T172" s="5" t="n">
        <v>0.351154606105479</v>
      </c>
      <c r="U172" s="5" t="n">
        <v>66.02</v>
      </c>
    </row>
    <row r="173" customFormat="false" ht="15" hidden="false" customHeight="false" outlineLevel="0" collapsed="false">
      <c r="A173" s="4" t="n">
        <v>43220</v>
      </c>
      <c r="B173" s="5" t="n">
        <v>5216</v>
      </c>
      <c r="C173" s="5" t="n">
        <v>7.17074173001848</v>
      </c>
      <c r="D173" s="5" t="n">
        <v>6106</v>
      </c>
      <c r="E173" s="5" t="n">
        <v>633.29</v>
      </c>
      <c r="F173" s="5" t="n">
        <v>0.208152663076947</v>
      </c>
      <c r="G173" s="5" t="n">
        <v>-0.3</v>
      </c>
      <c r="H173" s="5" t="n">
        <v>-1.4</v>
      </c>
      <c r="I173" s="5" t="n">
        <v>28.8</v>
      </c>
      <c r="J173" s="5" t="n">
        <v>486.588</v>
      </c>
      <c r="K173" s="5" t="n">
        <v>7.21268780860764</v>
      </c>
      <c r="L173" s="5" t="n">
        <v>91.443</v>
      </c>
      <c r="M173" s="5" t="n">
        <v>9.62022585053584</v>
      </c>
      <c r="N173" s="5" t="n">
        <v>435955</v>
      </c>
      <c r="O173" s="5" t="n">
        <v>-17.3970957155742</v>
      </c>
      <c r="P173" s="5" t="n">
        <v>40.1177404418574</v>
      </c>
      <c r="Q173" s="5" t="n">
        <v>3.8</v>
      </c>
      <c r="R173" s="5" t="n">
        <v>0.783333333333333</v>
      </c>
      <c r="S173" s="5" t="n">
        <v>18.2</v>
      </c>
      <c r="T173" s="5" t="n">
        <v>0.365240449550483</v>
      </c>
      <c r="U173" s="5" t="n">
        <v>72.11</v>
      </c>
    </row>
    <row r="174" customFormat="false" ht="15" hidden="false" customHeight="false" outlineLevel="0" collapsed="false">
      <c r="A174" s="4" t="n">
        <v>43251</v>
      </c>
      <c r="B174" s="5" t="n">
        <v>5163</v>
      </c>
      <c r="C174" s="5" t="n">
        <v>-6.00764609503004</v>
      </c>
      <c r="D174" s="5" t="n">
        <v>6448</v>
      </c>
      <c r="E174" s="5" t="n">
        <v>633.29</v>
      </c>
      <c r="F174" s="5" t="n">
        <v>0.208237932069036</v>
      </c>
      <c r="G174" s="5" t="n">
        <v>-5.2</v>
      </c>
      <c r="H174" s="5" t="n">
        <v>-5.2</v>
      </c>
      <c r="I174" s="5" t="n">
        <v>30</v>
      </c>
      <c r="J174" s="5" t="n">
        <v>485.156</v>
      </c>
      <c r="K174" s="5" t="n">
        <v>3.27346108161728</v>
      </c>
      <c r="L174" s="5" t="n">
        <v>105.215</v>
      </c>
      <c r="M174" s="5" t="n">
        <v>22.0421751032339</v>
      </c>
      <c r="N174" s="5" t="n">
        <v>434512</v>
      </c>
      <c r="O174" s="5" t="n">
        <v>-14.7868651845809</v>
      </c>
      <c r="P174" s="5" t="n">
        <v>37.9118697895991</v>
      </c>
      <c r="Q174" s="5" t="n">
        <v>3.8</v>
      </c>
      <c r="R174" s="5" t="n">
        <v>0.835</v>
      </c>
      <c r="S174" s="5" t="n">
        <v>22.24</v>
      </c>
      <c r="T174" s="5" t="n">
        <v>0.396184705947355</v>
      </c>
      <c r="U174" s="5" t="n">
        <v>76.98</v>
      </c>
    </row>
    <row r="175" customFormat="false" ht="15" hidden="false" customHeight="false" outlineLevel="0" collapsed="false">
      <c r="A175" s="4" t="n">
        <v>43281</v>
      </c>
      <c r="B175" s="5" t="n">
        <v>5133</v>
      </c>
      <c r="C175" s="5" t="n">
        <v>-0.484683986041101</v>
      </c>
      <c r="D175" s="5" t="n">
        <v>5461</v>
      </c>
      <c r="E175" s="5" t="n">
        <v>620.1</v>
      </c>
      <c r="F175" s="5" t="n">
        <v>0.211922270601516</v>
      </c>
      <c r="G175" s="5" t="n">
        <v>-6.2</v>
      </c>
      <c r="H175" s="5" t="n">
        <v>-5.8</v>
      </c>
      <c r="I175" s="5" t="n">
        <v>36.8</v>
      </c>
      <c r="J175" s="5" t="n">
        <v>484.764</v>
      </c>
      <c r="K175" s="5" t="n">
        <v>5.03617386857802</v>
      </c>
      <c r="L175" s="5" t="n">
        <v>115.747</v>
      </c>
      <c r="M175" s="5" t="n">
        <v>31.6368888535068</v>
      </c>
      <c r="N175" s="5" t="n">
        <v>417881</v>
      </c>
      <c r="O175" s="5" t="n">
        <v>-16.9080598273263</v>
      </c>
      <c r="P175" s="5" t="n">
        <v>-1.66013912433506</v>
      </c>
      <c r="Q175" s="5" t="n">
        <v>-4</v>
      </c>
      <c r="R175" s="5" t="n">
        <v>0.665</v>
      </c>
      <c r="S175" s="5" t="n">
        <v>24.15</v>
      </c>
      <c r="T175" s="5" t="n">
        <v>0.367145986825021</v>
      </c>
      <c r="U175" s="5" t="n">
        <v>74.41</v>
      </c>
    </row>
    <row r="176" customFormat="false" ht="15" hidden="false" customHeight="false" outlineLevel="0" collapsed="false">
      <c r="A176" s="4" t="n">
        <v>43312</v>
      </c>
      <c r="B176" s="5" t="n">
        <v>5415</v>
      </c>
      <c r="C176" s="5" t="n">
        <v>2.09276018099547</v>
      </c>
      <c r="D176" s="5" t="n">
        <v>6182</v>
      </c>
      <c r="E176" s="5" t="n">
        <v>620.1</v>
      </c>
      <c r="F176" s="5" t="n">
        <v>0.212325431382035</v>
      </c>
      <c r="G176" s="5" t="n">
        <v>-2.9</v>
      </c>
      <c r="H176" s="5" t="n">
        <v>-3.8</v>
      </c>
      <c r="I176" s="5" t="n">
        <v>40.9</v>
      </c>
      <c r="J176" s="5" t="n">
        <v>483.489</v>
      </c>
      <c r="K176" s="5" t="n">
        <v>2.135277926237</v>
      </c>
      <c r="L176" s="5" t="n">
        <v>108.072</v>
      </c>
      <c r="M176" s="5" t="n">
        <v>14.3316582914573</v>
      </c>
      <c r="N176" s="5" t="n">
        <v>408740</v>
      </c>
      <c r="O176" s="5" t="n">
        <v>-15.1794607875689</v>
      </c>
      <c r="P176" s="5" t="n">
        <v>-3.4794711203897</v>
      </c>
      <c r="Q176" s="5" t="n">
        <v>-4</v>
      </c>
      <c r="R176" s="5" t="n">
        <v>0.495</v>
      </c>
      <c r="S176" s="5" t="n">
        <v>23.7</v>
      </c>
      <c r="T176" s="5" t="n">
        <v>0.388137374667459</v>
      </c>
      <c r="U176" s="5" t="n">
        <v>74.25</v>
      </c>
    </row>
    <row r="177" customFormat="false" ht="15" hidden="false" customHeight="false" outlineLevel="0" collapsed="false">
      <c r="A177" s="4" t="n">
        <v>43343</v>
      </c>
      <c r="B177" s="5" t="n">
        <v>5202</v>
      </c>
      <c r="C177" s="5" t="n">
        <v>-1.32776934749621</v>
      </c>
      <c r="D177" s="5" t="n">
        <v>6314</v>
      </c>
      <c r="E177" s="5" t="n">
        <v>620.1</v>
      </c>
      <c r="F177" s="5" t="n">
        <v>0.212207708434124</v>
      </c>
      <c r="G177" s="5" t="n">
        <v>-1.7</v>
      </c>
      <c r="H177" s="5" t="n">
        <v>-3.4</v>
      </c>
      <c r="I177" s="5" t="n">
        <v>45</v>
      </c>
      <c r="J177" s="5" t="n">
        <v>491.076</v>
      </c>
      <c r="K177" s="5" t="n">
        <v>2.53307276007215</v>
      </c>
      <c r="L177" s="5" t="n">
        <v>135.468</v>
      </c>
      <c r="M177" s="5" t="n">
        <v>47.1167003323125</v>
      </c>
      <c r="N177" s="5" t="n">
        <v>401490</v>
      </c>
      <c r="O177" s="5" t="n">
        <v>-12.2949584182553</v>
      </c>
      <c r="P177" s="5" t="n">
        <v>-35.32661081041</v>
      </c>
      <c r="Q177" s="5" t="n">
        <v>-4</v>
      </c>
      <c r="R177" s="5" t="n">
        <v>0.325</v>
      </c>
      <c r="S177" s="5" t="n">
        <v>31.5</v>
      </c>
      <c r="T177" s="5" t="n">
        <v>0.447262724976403</v>
      </c>
      <c r="U177" s="5" t="n">
        <v>72.53</v>
      </c>
    </row>
    <row r="178" customFormat="false" ht="15" hidden="false" customHeight="false" outlineLevel="0" collapsed="false">
      <c r="A178" s="4" t="n">
        <v>43373</v>
      </c>
      <c r="B178" s="5" t="n">
        <v>5037</v>
      </c>
      <c r="C178" s="5" t="n">
        <v>-4.38496583143508</v>
      </c>
      <c r="D178" s="5" t="n">
        <v>4700</v>
      </c>
      <c r="E178" s="5" t="n">
        <v>490.17</v>
      </c>
      <c r="F178" s="5" t="n">
        <v>0.265399759267193</v>
      </c>
      <c r="G178" s="5" t="n">
        <v>-5.9</v>
      </c>
      <c r="H178" s="5" t="n">
        <v>-5</v>
      </c>
      <c r="I178" s="5" t="n">
        <v>58.8</v>
      </c>
      <c r="J178" s="5" t="n">
        <v>498.558</v>
      </c>
      <c r="K178" s="5" t="n">
        <v>2.90027368082129</v>
      </c>
      <c r="L178" s="5" t="n">
        <v>143.657</v>
      </c>
      <c r="M178" s="5" t="n">
        <v>59.8746883903134</v>
      </c>
      <c r="N178" s="5" t="n">
        <v>403964</v>
      </c>
      <c r="O178" s="5" t="n">
        <v>-13.1191084021739</v>
      </c>
      <c r="P178" s="5" t="n">
        <v>-0.994090683161208</v>
      </c>
      <c r="Q178" s="5" t="n">
        <v>-3.5</v>
      </c>
      <c r="R178" s="5" t="n">
        <v>0.223333333333333</v>
      </c>
      <c r="S178" s="5" t="n">
        <v>31.9</v>
      </c>
      <c r="T178" s="5" t="n">
        <v>0.449417727690296</v>
      </c>
      <c r="U178" s="5" t="n">
        <v>78.89</v>
      </c>
    </row>
    <row r="179" customFormat="false" ht="15" hidden="false" customHeight="false" outlineLevel="0" collapsed="false">
      <c r="A179" s="4" t="n">
        <v>43404</v>
      </c>
      <c r="B179" s="5" t="n">
        <v>5398</v>
      </c>
      <c r="C179" s="5" t="n">
        <v>2.21548949062678</v>
      </c>
      <c r="D179" s="5" t="n">
        <v>5073</v>
      </c>
      <c r="E179" s="5" t="n">
        <v>490.17</v>
      </c>
      <c r="F179" s="5" t="n">
        <v>0.263320888671277</v>
      </c>
      <c r="G179" s="5" t="n">
        <v>-4.4</v>
      </c>
      <c r="H179" s="5" t="n">
        <v>-3.9</v>
      </c>
      <c r="I179" s="5" t="n">
        <v>68.7</v>
      </c>
      <c r="J179" s="5" t="n">
        <v>498.423</v>
      </c>
      <c r="K179" s="5" t="n">
        <v>1.84659961666251</v>
      </c>
      <c r="L179" s="5" t="n">
        <v>119.604</v>
      </c>
      <c r="M179" s="5" t="n">
        <v>34.623999639814</v>
      </c>
      <c r="N179" s="5" t="n">
        <v>426004</v>
      </c>
      <c r="O179" s="5" t="n">
        <v>-6.35340048273709</v>
      </c>
      <c r="P179" s="5" t="n">
        <v>-25.4582783399325</v>
      </c>
      <c r="Q179" s="5" t="n">
        <v>-3.5</v>
      </c>
      <c r="R179" s="5" t="n">
        <v>0.121666666666667</v>
      </c>
      <c r="S179" s="5" t="n">
        <v>30.6</v>
      </c>
      <c r="T179" s="5" t="n">
        <v>0.439269928594846</v>
      </c>
      <c r="U179" s="5" t="n">
        <v>81.03</v>
      </c>
    </row>
    <row r="180" customFormat="false" ht="15" hidden="false" customHeight="false" outlineLevel="0" collapsed="false">
      <c r="A180" s="4" t="n">
        <v>43434</v>
      </c>
      <c r="B180" s="5" t="n">
        <v>5350</v>
      </c>
      <c r="C180" s="5" t="n">
        <v>14.6101113967438</v>
      </c>
      <c r="D180" s="5" t="n">
        <v>4363</v>
      </c>
      <c r="E180" s="5" t="n">
        <v>490.17</v>
      </c>
      <c r="F180" s="5" t="n">
        <v>0.261040047330518</v>
      </c>
      <c r="G180" s="5" t="n">
        <v>-7.5</v>
      </c>
      <c r="H180" s="5" t="n">
        <v>-5.6</v>
      </c>
      <c r="I180" s="5" t="n">
        <v>68.2</v>
      </c>
      <c r="J180" s="5" t="n">
        <v>496.003</v>
      </c>
      <c r="K180" s="5" t="n">
        <v>1.46385269828802</v>
      </c>
      <c r="L180" s="5" t="n">
        <v>120.869</v>
      </c>
      <c r="M180" s="5" t="n">
        <v>39.7798105723306</v>
      </c>
      <c r="N180" s="5" t="n">
        <v>443162</v>
      </c>
      <c r="O180" s="5" t="n">
        <v>-2.32547888202453</v>
      </c>
      <c r="P180" s="5" t="n">
        <v>-20.3169374077019</v>
      </c>
      <c r="Q180" s="5" t="n">
        <v>-3.5</v>
      </c>
      <c r="R180" s="5" t="n">
        <v>0.0200000000000002</v>
      </c>
      <c r="S180" s="5" t="n">
        <v>28.63</v>
      </c>
      <c r="T180" s="5" t="n">
        <v>0.446562424170607</v>
      </c>
      <c r="U180" s="5" t="n">
        <v>64.75</v>
      </c>
    </row>
    <row r="181" customFormat="false" ht="15" hidden="false" customHeight="false" outlineLevel="0" collapsed="false">
      <c r="A181" s="4" t="n">
        <v>43465</v>
      </c>
      <c r="B181" s="5" t="n">
        <v>5336</v>
      </c>
      <c r="C181" s="5" t="n">
        <v>16.5574486675404</v>
      </c>
      <c r="D181" s="5" t="n">
        <v>3917</v>
      </c>
      <c r="E181" s="5" t="n">
        <v>453.41</v>
      </c>
      <c r="F181" s="5" t="n">
        <v>0.280679737985488</v>
      </c>
      <c r="G181" s="5" t="n">
        <v>-7.2</v>
      </c>
      <c r="H181" s="5" t="n">
        <v>-4.7</v>
      </c>
      <c r="I181" s="5" t="n">
        <v>66.8</v>
      </c>
      <c r="J181" s="5" t="n">
        <v>498.726</v>
      </c>
      <c r="K181" s="5" t="n">
        <v>2.4966192470683</v>
      </c>
      <c r="L181" s="5" t="n">
        <v>117.942</v>
      </c>
      <c r="M181" s="5" t="n">
        <v>29.4884885214584</v>
      </c>
      <c r="N181" s="5" t="n">
        <v>441418</v>
      </c>
      <c r="O181" s="5" t="n">
        <v>3.99445888098609</v>
      </c>
      <c r="P181" s="5" t="n">
        <v>-22.3549488054607</v>
      </c>
      <c r="Q181" s="5" t="n">
        <v>-6.3</v>
      </c>
      <c r="R181" s="5" t="n">
        <v>-0.0833333333333332</v>
      </c>
      <c r="S181" s="5" t="n">
        <v>28.65</v>
      </c>
      <c r="T181" s="5" t="n">
        <v>0.417142311797012</v>
      </c>
      <c r="U181" s="5" t="n">
        <v>57.36</v>
      </c>
    </row>
    <row r="182" customFormat="false" ht="15" hidden="false" customHeight="false" outlineLevel="0" collapsed="false">
      <c r="A182" s="4" t="n">
        <v>43496</v>
      </c>
      <c r="B182" s="5" t="n">
        <v>4585</v>
      </c>
      <c r="C182" s="5" t="n">
        <v>-4.67775467775468</v>
      </c>
      <c r="D182" s="5" t="n">
        <v>4212</v>
      </c>
      <c r="E182" s="5" t="n">
        <v>453.41</v>
      </c>
      <c r="F182" s="5" t="n">
        <v>0.276806863545136</v>
      </c>
      <c r="G182" s="5" t="n">
        <v>-5.7</v>
      </c>
      <c r="H182" s="5" t="n">
        <v>-5.6</v>
      </c>
      <c r="I182" s="5" t="n">
        <v>67.3</v>
      </c>
      <c r="J182" s="5" t="n">
        <v>500.856</v>
      </c>
      <c r="K182" s="5" t="n">
        <v>4.16076564576406</v>
      </c>
      <c r="L182" s="5" t="n">
        <v>116.62</v>
      </c>
      <c r="M182" s="5" t="n">
        <v>20.1376298005604</v>
      </c>
      <c r="N182" s="5" t="n">
        <v>445944</v>
      </c>
      <c r="O182" s="5" t="n">
        <v>6.59361935562519</v>
      </c>
      <c r="P182" s="5" t="n">
        <v>-34.7732683040121</v>
      </c>
      <c r="Q182" s="5" t="n">
        <v>-6.3</v>
      </c>
      <c r="R182" s="5" t="n">
        <v>-0.186666666666667</v>
      </c>
      <c r="S182" s="5" t="n">
        <v>28.5</v>
      </c>
      <c r="T182" s="5" t="n">
        <v>0.408735552756204</v>
      </c>
      <c r="U182" s="5" t="n">
        <v>59.41</v>
      </c>
    </row>
    <row r="183" customFormat="false" ht="15" hidden="false" customHeight="false" outlineLevel="0" collapsed="false">
      <c r="A183" s="4" t="n">
        <v>43524</v>
      </c>
      <c r="B183" s="5" t="n">
        <v>4448</v>
      </c>
      <c r="C183" s="5" t="n">
        <v>3.3457249070632</v>
      </c>
      <c r="D183" s="5" t="n">
        <v>3998</v>
      </c>
      <c r="E183" s="5" t="n">
        <v>453.41</v>
      </c>
      <c r="F183" s="5" t="n">
        <v>0.27448225667718</v>
      </c>
      <c r="G183" s="5" t="n">
        <v>-4.7</v>
      </c>
      <c r="H183" s="5" t="n">
        <v>-4</v>
      </c>
      <c r="I183" s="5" t="n">
        <v>63.6</v>
      </c>
      <c r="J183" s="5" t="n">
        <v>484.349</v>
      </c>
      <c r="K183" s="5" t="n">
        <v>0.318966713545099</v>
      </c>
      <c r="L183" s="5" t="n">
        <v>117.531</v>
      </c>
      <c r="M183" s="5" t="n">
        <v>21.745841015973</v>
      </c>
      <c r="N183" s="5" t="n">
        <v>445865</v>
      </c>
      <c r="O183" s="5" t="n">
        <v>5.28148893265139</v>
      </c>
      <c r="P183" s="5" t="n">
        <v>7.04307334109429</v>
      </c>
      <c r="Q183" s="5" t="n">
        <v>-6.3</v>
      </c>
      <c r="R183" s="5" t="n">
        <v>-0.29</v>
      </c>
      <c r="S183" s="5" t="n">
        <v>29</v>
      </c>
      <c r="T183" s="5" t="n">
        <v>0.396843087549532</v>
      </c>
      <c r="U183" s="5" t="n">
        <v>63.96</v>
      </c>
    </row>
    <row r="184" customFormat="false" ht="15" hidden="false" customHeight="false" outlineLevel="0" collapsed="false">
      <c r="A184" s="4" t="n">
        <v>43555</v>
      </c>
      <c r="B184" s="5" t="n">
        <v>5137</v>
      </c>
      <c r="C184" s="5" t="n">
        <v>-5.16891268229648</v>
      </c>
      <c r="D184" s="5" t="n">
        <v>3956</v>
      </c>
      <c r="E184" s="5" t="n">
        <v>449.24</v>
      </c>
      <c r="F184" s="5" t="n">
        <v>0.271903659513846</v>
      </c>
      <c r="G184" s="5" t="n">
        <v>-7</v>
      </c>
      <c r="H184" s="5" t="n">
        <v>-3.9</v>
      </c>
      <c r="I184" s="5" t="n">
        <v>67.5</v>
      </c>
      <c r="J184" s="5" t="n">
        <v>502.531</v>
      </c>
      <c r="K184" s="5" t="n">
        <v>3.1205111999409</v>
      </c>
      <c r="L184" s="5" t="n">
        <v>122.806</v>
      </c>
      <c r="M184" s="5" t="n">
        <v>30.9232409381663</v>
      </c>
      <c r="N184" s="5" t="n">
        <v>449521</v>
      </c>
      <c r="O184" s="5" t="n">
        <v>5.68708679337553</v>
      </c>
      <c r="P184" s="5" t="n">
        <v>0.677336812001395</v>
      </c>
      <c r="Q184" s="5" t="n">
        <v>-5.9</v>
      </c>
      <c r="R184" s="5" t="n">
        <v>-0.373333333333333</v>
      </c>
      <c r="S184" s="5" t="n">
        <v>30.7</v>
      </c>
      <c r="T184" s="5" t="n">
        <v>0.426550273732269</v>
      </c>
      <c r="U184" s="5" t="n">
        <v>66.14</v>
      </c>
    </row>
    <row r="185" customFormat="false" ht="15" hidden="false" customHeight="false" outlineLevel="0" collapsed="false">
      <c r="A185" s="4" t="n">
        <v>43585</v>
      </c>
      <c r="B185" s="5" t="n">
        <v>5337</v>
      </c>
      <c r="C185" s="5" t="n">
        <v>2.31978527607362</v>
      </c>
      <c r="D185" s="5" t="n">
        <v>4172</v>
      </c>
      <c r="E185" s="5" t="n">
        <v>449.24</v>
      </c>
      <c r="F185" s="5" t="n">
        <v>0.267867954768053</v>
      </c>
      <c r="G185" s="5" t="n">
        <v>-1.1</v>
      </c>
      <c r="H185" s="5" t="n">
        <v>-0.9</v>
      </c>
      <c r="I185" s="5" t="n">
        <v>68</v>
      </c>
      <c r="J185" s="5" t="n">
        <v>507.703</v>
      </c>
      <c r="K185" s="5" t="n">
        <v>4.33940006740814</v>
      </c>
      <c r="L185" s="5" t="n">
        <v>120.671</v>
      </c>
      <c r="M185" s="5" t="n">
        <v>31.9630808263071</v>
      </c>
      <c r="N185" s="5" t="n">
        <v>470567</v>
      </c>
      <c r="O185" s="5" t="n">
        <v>7.93935153857623</v>
      </c>
      <c r="P185" s="5" t="n">
        <v>8.92696973988576</v>
      </c>
      <c r="Q185" s="5" t="n">
        <v>-5.9</v>
      </c>
      <c r="R185" s="5" t="n">
        <v>-0.456666666666667</v>
      </c>
      <c r="S185" s="5" t="n">
        <v>31.4</v>
      </c>
      <c r="T185" s="5" t="n">
        <v>0.444966749432347</v>
      </c>
      <c r="U185" s="5" t="n">
        <v>71.23</v>
      </c>
    </row>
    <row r="186" customFormat="false" ht="15" hidden="false" customHeight="false" outlineLevel="0" collapsed="false">
      <c r="A186" s="4" t="n">
        <v>43616</v>
      </c>
      <c r="B186" s="5" t="n">
        <v>6044</v>
      </c>
      <c r="C186" s="5" t="n">
        <v>17.0637226418749</v>
      </c>
      <c r="D186" s="5" t="n">
        <v>4645</v>
      </c>
      <c r="E186" s="5" t="n">
        <v>449.24</v>
      </c>
      <c r="F186" s="5" t="n">
        <v>0.265815599679459</v>
      </c>
      <c r="G186" s="5" t="n">
        <v>2.9</v>
      </c>
      <c r="H186" s="5" t="n">
        <v>2.1</v>
      </c>
      <c r="I186" s="5" t="n">
        <v>70.6</v>
      </c>
      <c r="J186" s="5" t="n">
        <v>506.096</v>
      </c>
      <c r="K186" s="5" t="n">
        <v>4.31613748979709</v>
      </c>
      <c r="L186" s="5" t="n">
        <v>118.073</v>
      </c>
      <c r="M186" s="5" t="n">
        <v>12.220690966117</v>
      </c>
      <c r="N186" s="5" t="n">
        <v>483264</v>
      </c>
      <c r="O186" s="5" t="n">
        <v>11.2199432927054</v>
      </c>
      <c r="P186" s="5" t="n">
        <v>-10.8232584916523</v>
      </c>
      <c r="Q186" s="5" t="n">
        <v>-5.9</v>
      </c>
      <c r="R186" s="5" t="n">
        <v>-0.54</v>
      </c>
      <c r="S186" s="5" t="n">
        <v>31</v>
      </c>
      <c r="T186" s="5" t="n">
        <v>0.444902451968586</v>
      </c>
      <c r="U186" s="5" t="n">
        <v>71.32</v>
      </c>
    </row>
    <row r="187" customFormat="false" ht="15" hidden="false" customHeight="false" outlineLevel="0" collapsed="false">
      <c r="A187" s="4" t="n">
        <v>43646</v>
      </c>
      <c r="B187" s="5" t="n">
        <v>5239</v>
      </c>
      <c r="C187" s="5" t="n">
        <v>2.06506916033509</v>
      </c>
      <c r="D187" s="5" t="n">
        <v>4171</v>
      </c>
      <c r="E187" s="5" t="n">
        <v>483.7</v>
      </c>
      <c r="F187" s="5" t="n">
        <v>0.244430432086004</v>
      </c>
      <c r="G187" s="5" t="n">
        <v>-0.2</v>
      </c>
      <c r="H187" s="5" t="n">
        <v>2.2</v>
      </c>
      <c r="I187" s="5" t="n">
        <v>63.6</v>
      </c>
      <c r="J187" s="5" t="n">
        <v>498.107</v>
      </c>
      <c r="K187" s="5" t="n">
        <v>2.75247336848445</v>
      </c>
      <c r="L187" s="5" t="n">
        <v>111.088</v>
      </c>
      <c r="M187" s="5" t="n">
        <v>-4.02515831943809</v>
      </c>
      <c r="N187" s="5" t="n">
        <v>468491</v>
      </c>
      <c r="O187" s="5" t="n">
        <v>12.1111034002503</v>
      </c>
      <c r="P187" s="5" t="n">
        <v>30.0838138263092</v>
      </c>
      <c r="Q187" s="5" t="n">
        <v>0.6</v>
      </c>
      <c r="R187" s="5" t="n">
        <v>-0.496666666666667</v>
      </c>
      <c r="S187" s="5" t="n">
        <v>30.02</v>
      </c>
      <c r="T187" s="5" t="n">
        <v>0.425527602970424</v>
      </c>
      <c r="U187" s="5" t="n">
        <v>64.22</v>
      </c>
    </row>
    <row r="188" customFormat="false" ht="15" hidden="false" customHeight="false" outlineLevel="0" collapsed="false">
      <c r="A188" s="4" t="n">
        <v>43677</v>
      </c>
      <c r="B188" s="5" t="n">
        <v>5856</v>
      </c>
      <c r="C188" s="5" t="n">
        <v>8.14404432132965</v>
      </c>
      <c r="D188" s="5" t="n">
        <v>4905</v>
      </c>
      <c r="E188" s="5" t="n">
        <v>483.7</v>
      </c>
      <c r="F188" s="5" t="n">
        <v>0.242702088071119</v>
      </c>
      <c r="G188" s="5" t="n">
        <v>0.6</v>
      </c>
      <c r="H188" s="5" t="n">
        <v>1.1</v>
      </c>
      <c r="I188" s="5" t="n">
        <v>57.3</v>
      </c>
      <c r="J188" s="5" t="n">
        <v>505.191</v>
      </c>
      <c r="K188" s="5" t="n">
        <v>4.48862331924822</v>
      </c>
      <c r="L188" s="5" t="n">
        <v>112.587</v>
      </c>
      <c r="M188" s="5" t="n">
        <v>4.17777037530536</v>
      </c>
      <c r="N188" s="5" t="n">
        <v>436545</v>
      </c>
      <c r="O188" s="5" t="n">
        <v>6.80261290796105</v>
      </c>
      <c r="P188" s="5" t="n">
        <v>8.77021320424349</v>
      </c>
      <c r="Q188" s="5" t="n">
        <v>0.6</v>
      </c>
      <c r="R188" s="5" t="n">
        <v>-0.453333333333333</v>
      </c>
      <c r="S188" s="5" t="n">
        <v>30.2</v>
      </c>
      <c r="T188" s="5" t="n">
        <v>0.413501373691228</v>
      </c>
      <c r="U188" s="5" t="n">
        <v>63.92</v>
      </c>
    </row>
    <row r="189" customFormat="false" ht="15" hidden="false" customHeight="false" outlineLevel="0" collapsed="false">
      <c r="A189" s="4" t="n">
        <v>43708</v>
      </c>
      <c r="B189" s="5" t="n">
        <v>5568</v>
      </c>
      <c r="C189" s="5" t="n">
        <v>7.03575547866204</v>
      </c>
      <c r="D189" s="5" t="n">
        <v>4400</v>
      </c>
      <c r="E189" s="5" t="n">
        <v>483.7</v>
      </c>
      <c r="F189" s="5" t="n">
        <v>0.239501757287575</v>
      </c>
      <c r="G189" s="5" t="n">
        <v>-3.7</v>
      </c>
      <c r="H189" s="5" t="n">
        <v>-0.6</v>
      </c>
      <c r="I189" s="5" t="n">
        <v>57.1</v>
      </c>
      <c r="J189" s="5" t="n">
        <v>519.389</v>
      </c>
      <c r="K189" s="5" t="n">
        <v>5.76550269204768</v>
      </c>
      <c r="L189" s="5" t="n">
        <v>141.489</v>
      </c>
      <c r="M189" s="5" t="n">
        <v>4.44459208078663</v>
      </c>
      <c r="N189" s="5" t="n">
        <v>422980</v>
      </c>
      <c r="O189" s="5" t="n">
        <v>5.35256170763905</v>
      </c>
      <c r="P189" s="5" t="n">
        <v>-23.6686729721983</v>
      </c>
      <c r="Q189" s="5" t="n">
        <v>0.6</v>
      </c>
      <c r="R189" s="5" t="n">
        <v>-0.41</v>
      </c>
      <c r="S189" s="5" t="n">
        <v>48.3</v>
      </c>
      <c r="T189" s="5" t="n">
        <v>0.496301818558923</v>
      </c>
      <c r="U189" s="5" t="n">
        <v>59.04</v>
      </c>
    </row>
    <row r="190" customFormat="false" ht="15" hidden="false" customHeight="false" outlineLevel="0" collapsed="false">
      <c r="A190" s="4" t="n">
        <v>43738</v>
      </c>
      <c r="B190" s="5" t="n">
        <v>5746</v>
      </c>
      <c r="C190" s="5" t="n">
        <v>14.0758387929323</v>
      </c>
      <c r="D190" s="5" t="n">
        <v>4002</v>
      </c>
      <c r="E190" s="5" t="n">
        <v>451.13</v>
      </c>
      <c r="F190" s="5" t="n">
        <v>0.256817325382927</v>
      </c>
      <c r="G190" s="5" t="n">
        <v>-2.1</v>
      </c>
      <c r="H190" s="5" t="n">
        <v>1</v>
      </c>
      <c r="I190" s="5" t="n">
        <v>49</v>
      </c>
      <c r="J190" s="5" t="n">
        <v>517.144</v>
      </c>
      <c r="K190" s="5" t="n">
        <v>3.72795141187183</v>
      </c>
      <c r="L190" s="5" t="n">
        <v>128.593</v>
      </c>
      <c r="M190" s="5" t="n">
        <v>-10.4860883910983</v>
      </c>
      <c r="N190" s="5" t="n">
        <v>422642</v>
      </c>
      <c r="O190" s="5" t="n">
        <v>4.62367933776278</v>
      </c>
      <c r="P190" s="5" t="n">
        <v>-8.76889607854075</v>
      </c>
      <c r="Q190" s="5" t="n">
        <v>-1.8</v>
      </c>
      <c r="R190" s="5" t="n">
        <v>-0.37</v>
      </c>
      <c r="S190" s="5" t="n">
        <v>48</v>
      </c>
      <c r="T190" s="5" t="n">
        <v>0.482605740599833</v>
      </c>
      <c r="U190" s="5" t="n">
        <v>62.83</v>
      </c>
    </row>
    <row r="191" customFormat="false" ht="15" hidden="false" customHeight="false" outlineLevel="0" collapsed="false">
      <c r="A191" s="4" t="n">
        <v>43769</v>
      </c>
      <c r="B191" s="5" t="n">
        <v>5889</v>
      </c>
      <c r="C191" s="5" t="n">
        <v>9.09596146721008</v>
      </c>
      <c r="D191" s="5" t="n">
        <v>4121</v>
      </c>
      <c r="E191" s="5" t="n">
        <v>451.13</v>
      </c>
      <c r="F191" s="5" t="n">
        <v>0.255795446988673</v>
      </c>
      <c r="G191" s="5" t="n">
        <v>-0.8</v>
      </c>
      <c r="H191" s="5" t="n">
        <v>-0.1</v>
      </c>
      <c r="I191" s="5" t="n">
        <v>43.3</v>
      </c>
      <c r="J191" s="5" t="n">
        <v>514.233</v>
      </c>
      <c r="K191" s="5" t="n">
        <v>3.17200450219992</v>
      </c>
      <c r="L191" s="5" t="n">
        <v>131.355</v>
      </c>
      <c r="M191" s="5" t="n">
        <v>9.82492224340323</v>
      </c>
      <c r="N191" s="5" t="n">
        <v>438853</v>
      </c>
      <c r="O191" s="5" t="n">
        <v>3.01616886226421</v>
      </c>
      <c r="P191" s="5" t="n">
        <v>9.54160928585481</v>
      </c>
      <c r="Q191" s="5" t="n">
        <v>-1.8</v>
      </c>
      <c r="R191" s="5" t="n">
        <v>-0.33</v>
      </c>
      <c r="S191" s="5" t="n">
        <v>48.2</v>
      </c>
      <c r="T191" s="5" t="n">
        <v>0.487488551609308</v>
      </c>
      <c r="U191" s="5" t="n">
        <v>59.71</v>
      </c>
    </row>
    <row r="192" customFormat="false" ht="15" hidden="false" customHeight="false" outlineLevel="0" collapsed="false">
      <c r="A192" s="4" t="n">
        <v>43799</v>
      </c>
      <c r="B192" s="5" t="n">
        <v>5893</v>
      </c>
      <c r="C192" s="5" t="n">
        <v>10.1495327102804</v>
      </c>
      <c r="D192" s="5" t="n">
        <v>3409</v>
      </c>
      <c r="E192" s="5" t="n">
        <v>451.13</v>
      </c>
      <c r="F192" s="5" t="n">
        <v>0.25488440139206</v>
      </c>
      <c r="G192" s="5" t="n">
        <v>-2</v>
      </c>
      <c r="H192" s="5" t="n">
        <v>0</v>
      </c>
      <c r="I192" s="5" t="n">
        <v>46</v>
      </c>
      <c r="J192" s="5" t="n">
        <v>514.126</v>
      </c>
      <c r="K192" s="5" t="n">
        <v>3.65380854551283</v>
      </c>
      <c r="L192" s="5" t="n">
        <v>124.246</v>
      </c>
      <c r="M192" s="5" t="n">
        <v>2.79393392846801</v>
      </c>
      <c r="N192" s="5" t="n">
        <v>447096</v>
      </c>
      <c r="O192" s="5" t="n">
        <v>0.887711491508747</v>
      </c>
      <c r="P192" s="5" t="n">
        <v>9.96507235013187</v>
      </c>
      <c r="Q192" s="5" t="n">
        <v>-1.8</v>
      </c>
      <c r="R192" s="5" t="n">
        <v>-0.29</v>
      </c>
      <c r="S192" s="5" t="n">
        <v>45.6</v>
      </c>
      <c r="T192" s="5" t="n">
        <v>0.438135472898696</v>
      </c>
      <c r="U192" s="5" t="n">
        <v>63.21</v>
      </c>
    </row>
    <row r="193" customFormat="false" ht="15" hidden="false" customHeight="false" outlineLevel="0" collapsed="false">
      <c r="A193" s="4" t="n">
        <v>43830</v>
      </c>
      <c r="B193" s="5" t="n">
        <v>5374</v>
      </c>
      <c r="C193" s="5" t="n">
        <v>0.71214392803598</v>
      </c>
      <c r="D193" s="5" t="n">
        <v>3133</v>
      </c>
      <c r="E193" s="5" t="n">
        <v>425</v>
      </c>
      <c r="F193" s="5" t="n">
        <v>0.2688</v>
      </c>
      <c r="G193" s="5" t="n">
        <v>-0.4</v>
      </c>
      <c r="H193" s="5" t="n">
        <v>0.4</v>
      </c>
      <c r="I193" s="5" t="n">
        <v>49.7</v>
      </c>
      <c r="J193" s="5" t="n">
        <v>517.089</v>
      </c>
      <c r="K193" s="5" t="n">
        <v>3.68198168934446</v>
      </c>
      <c r="L193" s="5" t="n">
        <v>123.399</v>
      </c>
      <c r="M193" s="5" t="n">
        <v>4.62685048583202</v>
      </c>
      <c r="N193" s="5" t="n">
        <v>429896</v>
      </c>
      <c r="O193" s="5" t="n">
        <v>-2.61022432252422</v>
      </c>
      <c r="P193" s="5" t="n">
        <v>0.796703296703294</v>
      </c>
      <c r="Q193" s="5" t="n">
        <v>-1.1</v>
      </c>
      <c r="R193" s="5" t="n">
        <v>-0.261666666666667</v>
      </c>
      <c r="S193" s="5" t="n">
        <v>42.2</v>
      </c>
      <c r="T193" s="5" t="n">
        <v>0.434891223402418</v>
      </c>
      <c r="U193" s="5" t="n">
        <v>67.31</v>
      </c>
    </row>
    <row r="194" customFormat="false" ht="15" hidden="false" customHeight="false" outlineLevel="0" collapsed="false">
      <c r="A194" s="4" t="n">
        <v>43861</v>
      </c>
      <c r="B194" s="5" t="n">
        <v>4579</v>
      </c>
      <c r="C194" s="5" t="n">
        <v>-0.130861504907309</v>
      </c>
      <c r="D194" s="5" t="n">
        <v>3535</v>
      </c>
      <c r="E194" s="5" t="n">
        <v>425</v>
      </c>
      <c r="F194" s="5" t="n">
        <v>0.267192941176471</v>
      </c>
      <c r="G194" s="5" t="n">
        <v>-0.5</v>
      </c>
      <c r="H194" s="5" t="n">
        <v>-2</v>
      </c>
      <c r="I194" s="5" t="n">
        <v>48.2</v>
      </c>
      <c r="J194" s="5" t="n">
        <v>513.285</v>
      </c>
      <c r="K194" s="5" t="n">
        <v>2.48155158368872</v>
      </c>
      <c r="L194" s="5" t="n">
        <v>119.412</v>
      </c>
      <c r="M194" s="5" t="n">
        <v>2.39410049734179</v>
      </c>
      <c r="N194" s="5" t="n">
        <v>435009</v>
      </c>
      <c r="O194" s="5" t="n">
        <v>-2.45210160917065</v>
      </c>
      <c r="P194" s="5" t="n">
        <v>17.527149724052</v>
      </c>
      <c r="Q194" s="5" t="n">
        <v>-1.1</v>
      </c>
      <c r="R194" s="5" t="n">
        <v>-0.233333333333334</v>
      </c>
      <c r="S194" s="5" t="n">
        <v>40.04</v>
      </c>
      <c r="T194" s="5" t="n">
        <v>0.41510411983428</v>
      </c>
      <c r="U194" s="5" t="n">
        <v>63.65</v>
      </c>
    </row>
    <row r="195" customFormat="false" ht="15" hidden="false" customHeight="false" outlineLevel="0" collapsed="false">
      <c r="A195" s="4" t="n">
        <v>43890</v>
      </c>
      <c r="B195" s="5" t="n">
        <v>4378</v>
      </c>
      <c r="C195" s="5" t="n">
        <v>-1.57374100719424</v>
      </c>
      <c r="D195" s="5" t="n">
        <v>3191</v>
      </c>
      <c r="E195" s="5" t="n">
        <v>425</v>
      </c>
      <c r="F195" s="5" t="n">
        <v>0.265129411764706</v>
      </c>
      <c r="G195" s="5" t="n">
        <v>-2.5</v>
      </c>
      <c r="H195" s="5" t="n">
        <v>-0.9</v>
      </c>
      <c r="I195" s="5" t="n">
        <v>47.4</v>
      </c>
      <c r="J195" s="5" t="n">
        <v>516.264</v>
      </c>
      <c r="K195" s="5" t="n">
        <v>6.58925692011338</v>
      </c>
      <c r="L195" s="5" t="n">
        <v>118.938</v>
      </c>
      <c r="M195" s="5" t="n">
        <v>1.1971309697016</v>
      </c>
      <c r="N195" s="5" t="n">
        <v>444119</v>
      </c>
      <c r="O195" s="5" t="n">
        <v>-0.391598353761791</v>
      </c>
      <c r="P195" s="5" t="n">
        <v>-15.3245340847298</v>
      </c>
      <c r="Q195" s="5" t="n">
        <v>-1.1</v>
      </c>
      <c r="R195" s="5" t="n">
        <v>-0.205</v>
      </c>
      <c r="S195" s="5" t="n">
        <v>39.9</v>
      </c>
      <c r="T195" s="5" t="n">
        <v>0.405929351546185</v>
      </c>
      <c r="U195" s="5" t="n">
        <v>55.66</v>
      </c>
    </row>
    <row r="196" customFormat="false" ht="15" hidden="false" customHeight="false" outlineLevel="0" collapsed="false">
      <c r="A196" s="4" t="n">
        <v>43921</v>
      </c>
      <c r="B196" s="5" t="n">
        <v>4383</v>
      </c>
      <c r="C196" s="5" t="n">
        <v>-14.6778275257933</v>
      </c>
      <c r="D196" s="5" t="n">
        <v>3154</v>
      </c>
      <c r="E196" s="5" t="n">
        <v>406.58</v>
      </c>
      <c r="F196" s="5" t="n">
        <v>0.273313984947612</v>
      </c>
      <c r="G196" s="5" t="n">
        <v>-11.6</v>
      </c>
      <c r="H196" s="5" t="n">
        <v>-14.4</v>
      </c>
      <c r="I196" s="5" t="n">
        <v>43.8</v>
      </c>
      <c r="J196" s="5" t="n">
        <v>518.479</v>
      </c>
      <c r="K196" s="5" t="n">
        <v>3.17353556298021</v>
      </c>
      <c r="L196" s="5" t="n">
        <v>112.494</v>
      </c>
      <c r="M196" s="5" t="n">
        <v>-8.39698386072342</v>
      </c>
      <c r="N196" s="5" t="n">
        <v>469193</v>
      </c>
      <c r="O196" s="5" t="n">
        <v>4.37621379201416</v>
      </c>
      <c r="P196" s="5" t="n">
        <v>-51.8738164058607</v>
      </c>
      <c r="Q196" s="5" t="n">
        <v>-5</v>
      </c>
      <c r="R196" s="5" t="n">
        <v>-0.293333333333333</v>
      </c>
      <c r="S196" s="5" t="n">
        <v>39.5</v>
      </c>
      <c r="T196" s="5" t="n">
        <v>0.374232017312486</v>
      </c>
      <c r="U196" s="5" t="n">
        <v>32.01</v>
      </c>
    </row>
    <row r="197" customFormat="false" ht="15" hidden="false" customHeight="false" outlineLevel="0" collapsed="false">
      <c r="A197" s="4" t="n">
        <v>43951</v>
      </c>
      <c r="B197" s="5" t="n">
        <v>4349</v>
      </c>
      <c r="C197" s="5" t="n">
        <v>-18.5122728124415</v>
      </c>
      <c r="D197" s="5" t="n">
        <v>2894</v>
      </c>
      <c r="E197" s="5" t="n">
        <v>406.58</v>
      </c>
      <c r="F197" s="5" t="n">
        <v>0.267740666043583</v>
      </c>
      <c r="G197" s="5" t="n">
        <v>-24.4</v>
      </c>
      <c r="H197" s="5" t="n">
        <v>-25.8</v>
      </c>
      <c r="I197" s="5" t="n">
        <v>39.6</v>
      </c>
      <c r="J197" s="5" t="n">
        <v>460.741</v>
      </c>
      <c r="K197" s="5" t="n">
        <v>-9.24989610067303</v>
      </c>
      <c r="L197" s="5" t="n">
        <v>113.255</v>
      </c>
      <c r="M197" s="5" t="n">
        <v>-6.14563565396824</v>
      </c>
      <c r="N197" s="5" t="n">
        <v>527631</v>
      </c>
      <c r="O197" s="5" t="n">
        <v>12.1266472149556</v>
      </c>
      <c r="P197" s="5" t="n">
        <v>-37.1543728872324</v>
      </c>
      <c r="Q197" s="5" t="n">
        <v>-5</v>
      </c>
      <c r="R197" s="5" t="n">
        <v>-0.381666666666667</v>
      </c>
      <c r="S197" s="5" t="n">
        <v>48.98</v>
      </c>
      <c r="T197" s="5" t="n">
        <v>0.358163209594983</v>
      </c>
      <c r="U197" s="5" t="n">
        <v>18.38</v>
      </c>
    </row>
    <row r="198" customFormat="false" ht="15" hidden="false" customHeight="false" outlineLevel="0" collapsed="false">
      <c r="A198" s="4" t="n">
        <v>43982</v>
      </c>
      <c r="B198" s="5" t="n">
        <v>5078</v>
      </c>
      <c r="C198" s="5" t="n">
        <v>-15.9827928524156</v>
      </c>
      <c r="D198" s="5" t="n">
        <v>3166</v>
      </c>
      <c r="E198" s="5" t="n">
        <v>406.58</v>
      </c>
      <c r="F198" s="5" t="n">
        <v>0.261727089379704</v>
      </c>
      <c r="G198" s="5" t="n">
        <v>-20.2</v>
      </c>
      <c r="H198" s="5" t="n">
        <v>-20.9</v>
      </c>
      <c r="I198" s="5" t="n">
        <v>36.4</v>
      </c>
      <c r="J198" s="5" t="n">
        <v>447.666</v>
      </c>
      <c r="K198" s="5" t="n">
        <v>-11.5452404286934</v>
      </c>
      <c r="L198" s="5" t="n">
        <v>114.764</v>
      </c>
      <c r="M198" s="5" t="n">
        <v>-2.8025035359481</v>
      </c>
      <c r="N198" s="5" t="n">
        <v>532345</v>
      </c>
      <c r="O198" s="5" t="n">
        <v>10.1561465368825</v>
      </c>
      <c r="P198" s="5" t="n">
        <v>-57.6593193765563</v>
      </c>
      <c r="Q198" s="5" t="n">
        <v>-5</v>
      </c>
      <c r="R198" s="5" t="n">
        <v>-0.47</v>
      </c>
      <c r="S198" s="5" t="n">
        <v>51</v>
      </c>
      <c r="T198" s="5" t="n">
        <v>0.377770847420583</v>
      </c>
      <c r="U198" s="5" t="n">
        <v>29.38</v>
      </c>
    </row>
    <row r="199" customFormat="false" ht="15" hidden="false" customHeight="false" outlineLevel="0" collapsed="false">
      <c r="A199" s="4" t="n">
        <v>44012</v>
      </c>
      <c r="B199" s="5" t="n">
        <v>4786</v>
      </c>
      <c r="C199" s="5" t="n">
        <v>-8.64668829929376</v>
      </c>
      <c r="D199" s="5" t="n">
        <v>3299</v>
      </c>
      <c r="E199" s="5" t="n">
        <v>355.47</v>
      </c>
      <c r="F199" s="5" t="n">
        <v>0.295631136242158</v>
      </c>
      <c r="G199" s="5" t="n">
        <v>-12.2</v>
      </c>
      <c r="H199" s="5" t="n">
        <v>-19.2</v>
      </c>
      <c r="I199" s="5" t="n">
        <v>36.7</v>
      </c>
      <c r="J199" s="5" t="n">
        <v>467.237</v>
      </c>
      <c r="K199" s="5" t="n">
        <v>-6.19746359717892</v>
      </c>
      <c r="L199" s="5" t="n">
        <v>116.106</v>
      </c>
      <c r="M199" s="5" t="n">
        <v>4.51713956502953</v>
      </c>
      <c r="N199" s="5" t="n">
        <v>533527</v>
      </c>
      <c r="O199" s="5" t="n">
        <v>13.882016943762</v>
      </c>
      <c r="P199" s="5" t="n">
        <v>-49.7623834765125</v>
      </c>
      <c r="Q199" s="5" t="n">
        <v>-18.9</v>
      </c>
      <c r="R199" s="5" t="n">
        <v>-0.851666666666667</v>
      </c>
      <c r="S199" s="5" t="n">
        <v>52.5</v>
      </c>
      <c r="T199" s="5" t="n">
        <v>0.362149085505738</v>
      </c>
      <c r="U199" s="5" t="n">
        <v>40.27</v>
      </c>
    </row>
    <row r="200" customFormat="false" ht="15" hidden="false" customHeight="false" outlineLevel="0" collapsed="false">
      <c r="A200" s="4" t="n">
        <v>44043</v>
      </c>
      <c r="B200" s="5" t="n">
        <v>4931</v>
      </c>
      <c r="C200" s="5" t="n">
        <v>-15.7957650273224</v>
      </c>
      <c r="D200" s="5" t="n">
        <v>3451</v>
      </c>
      <c r="E200" s="5" t="n">
        <v>355.47</v>
      </c>
      <c r="F200" s="5" t="n">
        <v>0.288938588347821</v>
      </c>
      <c r="G200" s="5" t="n">
        <v>-13.2</v>
      </c>
      <c r="H200" s="5" t="n">
        <v>-23.2</v>
      </c>
      <c r="I200" s="5" t="n">
        <v>37.6</v>
      </c>
      <c r="J200" s="5" t="n">
        <v>469.493</v>
      </c>
      <c r="K200" s="5" t="n">
        <v>-7.06623831382586</v>
      </c>
      <c r="L200" s="5" t="n">
        <v>121.211</v>
      </c>
      <c r="M200" s="5" t="n">
        <v>7.65985415722952</v>
      </c>
      <c r="N200" s="5" t="n">
        <v>518596</v>
      </c>
      <c r="O200" s="5" t="n">
        <v>18.7955422694109</v>
      </c>
      <c r="P200" s="5" t="n">
        <v>-53.7285166422044</v>
      </c>
      <c r="Q200" s="5" t="n">
        <v>-18.9</v>
      </c>
      <c r="R200" s="5" t="n">
        <v>-1.23333333333333</v>
      </c>
      <c r="S200" s="5" t="n">
        <v>51.9</v>
      </c>
      <c r="T200" s="5" t="n">
        <v>0.36676130412014</v>
      </c>
      <c r="U200" s="5" t="n">
        <v>43.24</v>
      </c>
    </row>
    <row r="201" customFormat="false" ht="15" hidden="false" customHeight="false" outlineLevel="0" collapsed="false">
      <c r="A201" s="4" t="n">
        <v>44074</v>
      </c>
      <c r="B201" s="5" t="n">
        <v>4955</v>
      </c>
      <c r="C201" s="5" t="n">
        <v>-11.0093390804598</v>
      </c>
      <c r="D201" s="5" t="n">
        <v>3508</v>
      </c>
      <c r="E201" s="5" t="n">
        <v>355.47</v>
      </c>
      <c r="F201" s="5" t="n">
        <v>0.284704757082173</v>
      </c>
      <c r="G201" s="5" t="n">
        <v>-11.4</v>
      </c>
      <c r="H201" s="5" t="n">
        <v>-21.1</v>
      </c>
      <c r="I201" s="5" t="n">
        <v>36.2</v>
      </c>
      <c r="J201" s="5" t="n">
        <v>472.765</v>
      </c>
      <c r="K201" s="5" t="n">
        <v>-8.97670147038155</v>
      </c>
      <c r="L201" s="5" t="n">
        <v>120.75</v>
      </c>
      <c r="M201" s="5" t="n">
        <v>-14.6576765684965</v>
      </c>
      <c r="N201" s="5" t="n">
        <v>498401</v>
      </c>
      <c r="O201" s="5" t="n">
        <v>17.8308667076458</v>
      </c>
      <c r="P201" s="5" t="n">
        <v>-36.0093121057375</v>
      </c>
      <c r="Q201" s="5" t="n">
        <v>-18.9</v>
      </c>
      <c r="R201" s="5" t="n">
        <v>-1.615</v>
      </c>
      <c r="S201" s="5" t="n">
        <v>51.15</v>
      </c>
      <c r="T201" s="5" t="n">
        <v>0.369823378690905</v>
      </c>
      <c r="U201" s="5" t="n">
        <v>44.74</v>
      </c>
    </row>
    <row r="202" customFormat="false" ht="15" hidden="false" customHeight="false" outlineLevel="0" collapsed="false">
      <c r="A202" s="4" t="n">
        <v>44104</v>
      </c>
      <c r="B202" s="5" t="n">
        <v>4727</v>
      </c>
      <c r="C202" s="5" t="n">
        <v>-17.7340758788723</v>
      </c>
      <c r="D202" s="5" t="n">
        <v>4129</v>
      </c>
      <c r="E202" s="5" t="n">
        <v>376</v>
      </c>
      <c r="F202" s="5" t="n">
        <v>0.266787234042553</v>
      </c>
      <c r="G202" s="5" t="n">
        <v>-5.7</v>
      </c>
      <c r="H202" s="5" t="n">
        <v>-18.7</v>
      </c>
      <c r="I202" s="5" t="n">
        <v>34.7</v>
      </c>
      <c r="J202" s="5" t="n">
        <v>470.689</v>
      </c>
      <c r="K202" s="5" t="n">
        <v>-8.98299119780951</v>
      </c>
      <c r="L202" s="5" t="n">
        <v>119.011</v>
      </c>
      <c r="M202" s="5" t="n">
        <v>-7.45141648456759</v>
      </c>
      <c r="N202" s="5" t="n">
        <v>492426</v>
      </c>
      <c r="O202" s="5" t="n">
        <v>16.5113736921555</v>
      </c>
      <c r="P202" s="5" t="n">
        <v>-44.5429532253134</v>
      </c>
      <c r="Q202" s="5" t="n">
        <v>-10.2</v>
      </c>
      <c r="R202" s="5" t="n">
        <v>-1.85166666666667</v>
      </c>
      <c r="S202" s="5" t="n">
        <v>50.51</v>
      </c>
      <c r="T202" s="5" t="n">
        <v>0.349845716700271</v>
      </c>
      <c r="U202" s="5" t="n">
        <v>40.91</v>
      </c>
    </row>
    <row r="203" customFormat="false" ht="15" hidden="false" customHeight="false" outlineLevel="0" collapsed="false">
      <c r="A203" s="4" t="n">
        <v>44135</v>
      </c>
      <c r="B203" s="5" t="n">
        <v>4674</v>
      </c>
      <c r="C203" s="5" t="n">
        <v>-20.6316861946001</v>
      </c>
      <c r="D203" s="5" t="n">
        <v>4004</v>
      </c>
      <c r="E203" s="5" t="n">
        <v>376</v>
      </c>
      <c r="F203" s="5" t="n">
        <v>0.263244680851064</v>
      </c>
      <c r="G203" s="5" t="n">
        <v>-7.3</v>
      </c>
      <c r="H203" s="5" t="n">
        <v>-19.6</v>
      </c>
      <c r="I203" s="5" t="n">
        <v>35.6</v>
      </c>
      <c r="J203" s="5" t="n">
        <v>474.428</v>
      </c>
      <c r="K203" s="5" t="n">
        <v>-7.74065452820024</v>
      </c>
      <c r="L203" s="5" t="n">
        <v>117.83</v>
      </c>
      <c r="M203" s="5" t="n">
        <v>-10.2965246850139</v>
      </c>
      <c r="N203" s="5" t="n">
        <v>484429</v>
      </c>
      <c r="O203" s="5" t="n">
        <v>10.3852542878823</v>
      </c>
      <c r="P203" s="5" t="n">
        <v>-50.0897988505747</v>
      </c>
      <c r="Q203" s="5" t="n">
        <v>-10.2</v>
      </c>
      <c r="R203" s="5" t="n">
        <v>-2.08833333333333</v>
      </c>
      <c r="S203" s="5" t="n">
        <v>52.1</v>
      </c>
      <c r="T203" s="5" t="n">
        <v>0.351478965244636</v>
      </c>
      <c r="U203" s="5" t="n">
        <v>40.19</v>
      </c>
    </row>
    <row r="204" customFormat="false" ht="15" hidden="false" customHeight="false" outlineLevel="0" collapsed="false">
      <c r="A204" s="4" t="n">
        <v>44165</v>
      </c>
      <c r="B204" s="5" t="n">
        <v>4500</v>
      </c>
      <c r="C204" s="5" t="n">
        <v>-23.6382148311556</v>
      </c>
      <c r="D204" s="5" t="n">
        <v>4115</v>
      </c>
      <c r="E204" s="5" t="n">
        <v>376</v>
      </c>
      <c r="F204" s="5" t="n">
        <v>0.261417553191489</v>
      </c>
      <c r="G204" s="5" t="n">
        <v>-4.1</v>
      </c>
      <c r="H204" s="5" t="n">
        <v>-17.5</v>
      </c>
      <c r="I204" s="5" t="n">
        <v>34.3</v>
      </c>
      <c r="J204" s="5" t="n">
        <v>473.996</v>
      </c>
      <c r="K204" s="5" t="n">
        <v>-7.80547959060619</v>
      </c>
      <c r="L204" s="5" t="n">
        <v>121.801</v>
      </c>
      <c r="M204" s="5" t="n">
        <v>-1.9678701930042</v>
      </c>
      <c r="N204" s="5" t="n">
        <v>488042</v>
      </c>
      <c r="O204" s="5" t="n">
        <v>9.15821210657219</v>
      </c>
      <c r="P204" s="5" t="n">
        <v>-43.780385039217</v>
      </c>
      <c r="Q204" s="5" t="n">
        <v>-10.2</v>
      </c>
      <c r="R204" s="5" t="n">
        <v>-2.325</v>
      </c>
      <c r="S204" s="5" t="n">
        <v>52.45</v>
      </c>
      <c r="T204" s="5" t="n">
        <v>0.381322185240796</v>
      </c>
      <c r="U204" s="5" t="n">
        <v>42.69</v>
      </c>
    </row>
    <row r="205" customFormat="false" ht="15" hidden="false" customHeight="false" outlineLevel="0" collapsed="false">
      <c r="A205" s="4" t="n">
        <v>44196</v>
      </c>
      <c r="B205" s="5" t="n">
        <v>3544</v>
      </c>
      <c r="C205" s="5" t="n">
        <v>-34.05284704131</v>
      </c>
      <c r="D205" s="5" t="n">
        <v>3908</v>
      </c>
      <c r="E205" s="5" t="n">
        <v>403.84</v>
      </c>
      <c r="F205" s="5" t="n">
        <v>0.240783478605388</v>
      </c>
      <c r="G205" s="5" t="n">
        <v>-1.4</v>
      </c>
      <c r="H205" s="5" t="n">
        <v>-18.4</v>
      </c>
      <c r="I205" s="5" t="n">
        <v>34.2</v>
      </c>
      <c r="J205" s="5" t="n">
        <v>479.776</v>
      </c>
      <c r="K205" s="5" t="n">
        <v>-7.21597249216287</v>
      </c>
      <c r="L205" s="5" t="n">
        <v>124.515</v>
      </c>
      <c r="M205" s="5" t="n">
        <v>0.904383341842308</v>
      </c>
      <c r="N205" s="5" t="n">
        <v>493469</v>
      </c>
      <c r="O205" s="5" t="n">
        <v>14.7879952360571</v>
      </c>
      <c r="P205" s="5" t="n">
        <v>-19.0719542109567</v>
      </c>
      <c r="Q205" s="5" t="n">
        <v>-4.3</v>
      </c>
      <c r="R205" s="5" t="n">
        <v>-2.43833333333333</v>
      </c>
      <c r="S205" s="5" t="n">
        <v>49.8</v>
      </c>
      <c r="T205" s="5" t="n">
        <v>0.375551131899986</v>
      </c>
      <c r="U205" s="5" t="n">
        <v>49.99</v>
      </c>
    </row>
    <row r="206" customFormat="false" ht="15" hidden="false" customHeight="false" outlineLevel="0" collapsed="false">
      <c r="A206" s="4" t="n">
        <v>44227</v>
      </c>
      <c r="B206" s="5" t="n">
        <v>4912</v>
      </c>
      <c r="C206" s="5" t="n">
        <v>7.27233020310112</v>
      </c>
      <c r="D206" s="5" t="n">
        <v>3844</v>
      </c>
      <c r="E206" s="5" t="n">
        <v>403.84</v>
      </c>
      <c r="F206" s="5" t="n">
        <v>0.242373217115689</v>
      </c>
      <c r="G206" s="5" t="n">
        <v>-1.8</v>
      </c>
      <c r="H206" s="5" t="n">
        <v>-13.6</v>
      </c>
      <c r="I206" s="5" t="n">
        <v>38.4</v>
      </c>
      <c r="J206" s="5" t="n">
        <v>487.39</v>
      </c>
      <c r="K206" s="5" t="n">
        <v>-5.04495553152732</v>
      </c>
      <c r="L206" s="5" t="n">
        <v>122.981</v>
      </c>
      <c r="M206" s="5" t="n">
        <v>2.98881184470572</v>
      </c>
      <c r="N206" s="5" t="n">
        <v>475659</v>
      </c>
      <c r="O206" s="5" t="n">
        <v>9.34463424894658</v>
      </c>
      <c r="P206" s="5" t="n">
        <v>4.1505718397334</v>
      </c>
      <c r="Q206" s="5" t="n">
        <v>-4.3</v>
      </c>
      <c r="R206" s="5" t="n">
        <v>-2.55166666666667</v>
      </c>
      <c r="S206" s="5" t="n">
        <v>49.35</v>
      </c>
      <c r="T206" s="5" t="n">
        <v>0.357733750595337</v>
      </c>
      <c r="U206" s="5" t="n">
        <v>54.77</v>
      </c>
    </row>
    <row r="207" customFormat="false" ht="15" hidden="false" customHeight="false" outlineLevel="0" collapsed="false">
      <c r="A207" s="4" t="n">
        <v>44255</v>
      </c>
      <c r="B207" s="5" t="n">
        <v>4775</v>
      </c>
      <c r="C207" s="5" t="n">
        <v>9.06806761078118</v>
      </c>
      <c r="D207" s="5" t="n">
        <v>3713</v>
      </c>
      <c r="E207" s="5" t="n">
        <v>403.84</v>
      </c>
      <c r="F207" s="5" t="n">
        <v>0.244648870839937</v>
      </c>
      <c r="G207" s="5" t="n">
        <v>-2.1</v>
      </c>
      <c r="H207" s="5" t="n">
        <v>-13.5</v>
      </c>
      <c r="I207" s="5" t="n">
        <v>42.7</v>
      </c>
      <c r="J207" s="5" t="n">
        <v>492.66</v>
      </c>
      <c r="K207" s="5" t="n">
        <v>-4.57207940123657</v>
      </c>
      <c r="L207" s="5" t="n">
        <v>122.15</v>
      </c>
      <c r="M207" s="5" t="n">
        <v>2.70056668180061</v>
      </c>
      <c r="N207" s="5" t="n">
        <v>484605</v>
      </c>
      <c r="O207" s="5" t="n">
        <v>9.11602520945962</v>
      </c>
      <c r="P207" s="5" t="n">
        <v>9.75538560336271</v>
      </c>
      <c r="Q207" s="5" t="n">
        <v>-4.3</v>
      </c>
      <c r="R207" s="5" t="n">
        <v>-2.665</v>
      </c>
      <c r="S207" s="5" t="n">
        <v>44.95</v>
      </c>
      <c r="T207" s="5" t="n">
        <v>0.363641567409389</v>
      </c>
      <c r="U207" s="5" t="n">
        <v>62.28</v>
      </c>
    </row>
    <row r="208" customFormat="false" ht="15" hidden="false" customHeight="false" outlineLevel="0" collapsed="false">
      <c r="A208" s="4" t="n">
        <v>44286</v>
      </c>
      <c r="B208" s="5" t="n">
        <v>5720</v>
      </c>
      <c r="C208" s="5" t="n">
        <v>30.5042208532968</v>
      </c>
      <c r="D208" s="5" t="n">
        <v>5320</v>
      </c>
      <c r="E208" s="5" t="n">
        <v>415</v>
      </c>
      <c r="F208" s="5" t="n">
        <v>0.246510843373494</v>
      </c>
      <c r="G208" s="5" t="n">
        <v>13.8</v>
      </c>
      <c r="H208" s="5" t="n">
        <v>2.3</v>
      </c>
      <c r="I208" s="5" t="n">
        <v>46.3</v>
      </c>
      <c r="J208" s="5" t="n">
        <v>497.404</v>
      </c>
      <c r="K208" s="5" t="n">
        <v>-4.06477407956736</v>
      </c>
      <c r="L208" s="5" t="n">
        <v>117.788</v>
      </c>
      <c r="M208" s="5" t="n">
        <v>4.70602876597863</v>
      </c>
      <c r="N208" s="5" t="n">
        <v>501835</v>
      </c>
      <c r="O208" s="5" t="n">
        <v>6.95705178892268</v>
      </c>
      <c r="P208" s="5" t="n">
        <v>111.670290980636</v>
      </c>
      <c r="Q208" s="5" t="n">
        <v>3.2</v>
      </c>
      <c r="R208" s="5" t="n">
        <v>-2.62333333333333</v>
      </c>
      <c r="S208" s="5" t="n">
        <v>43.1</v>
      </c>
      <c r="T208" s="5" t="n">
        <v>0.364189622796808</v>
      </c>
      <c r="U208" s="5" t="n">
        <v>65.41</v>
      </c>
    </row>
    <row r="209" customFormat="false" ht="15" hidden="false" customHeight="false" outlineLevel="0" collapsed="false">
      <c r="A209" s="4" t="n">
        <v>44316</v>
      </c>
      <c r="B209" s="5" t="n">
        <v>6143</v>
      </c>
      <c r="C209" s="5" t="n">
        <v>41.2508622671879</v>
      </c>
      <c r="D209" s="5" t="n">
        <v>4673</v>
      </c>
      <c r="E209" s="5" t="n">
        <v>415</v>
      </c>
      <c r="F209" s="5" t="n">
        <v>0.255120481927711</v>
      </c>
      <c r="G209" s="5" t="n">
        <v>30</v>
      </c>
      <c r="H209" s="5" t="n">
        <v>18.4</v>
      </c>
      <c r="I209" s="5" t="n">
        <v>52.6</v>
      </c>
      <c r="J209" s="5" t="n">
        <v>503.032</v>
      </c>
      <c r="K209" s="5" t="n">
        <v>9.17890962601549</v>
      </c>
      <c r="L209" s="5" t="n">
        <v>117.542</v>
      </c>
      <c r="M209" s="5" t="n">
        <v>3.78526334378173</v>
      </c>
      <c r="N209" s="5" t="n">
        <v>485117</v>
      </c>
      <c r="O209" s="5" t="n">
        <v>-8.05752505065093</v>
      </c>
      <c r="P209" s="5" t="n">
        <v>47.4243155644438</v>
      </c>
      <c r="Q209" s="5" t="n">
        <v>3.2</v>
      </c>
      <c r="R209" s="5" t="n">
        <v>-2.58166666666667</v>
      </c>
      <c r="S209" s="5" t="n">
        <v>43.3</v>
      </c>
      <c r="T209" s="5" t="n">
        <v>0.351179992575079</v>
      </c>
      <c r="U209" s="5" t="n">
        <v>64.81</v>
      </c>
    </row>
    <row r="210" customFormat="false" ht="15" hidden="false" customHeight="false" outlineLevel="0" collapsed="false">
      <c r="A210" s="4" t="n">
        <v>44347</v>
      </c>
      <c r="B210" s="5" t="n">
        <v>6813</v>
      </c>
      <c r="C210" s="5" t="n">
        <v>34.166994879874</v>
      </c>
      <c r="D210" s="5" t="n">
        <v>5141</v>
      </c>
      <c r="E210" s="5" t="n">
        <v>415</v>
      </c>
      <c r="F210" s="5" t="n">
        <v>0.264060240963855</v>
      </c>
      <c r="G210" s="5" t="n">
        <v>15.4</v>
      </c>
      <c r="H210" s="5" t="n">
        <v>8.1</v>
      </c>
      <c r="I210" s="5" t="n">
        <v>60</v>
      </c>
      <c r="J210" s="5" t="n">
        <v>504.405</v>
      </c>
      <c r="K210" s="5" t="n">
        <v>12.6744045784134</v>
      </c>
      <c r="L210" s="5" t="n">
        <v>117.882</v>
      </c>
      <c r="M210" s="5" t="n">
        <v>2.71687985779514</v>
      </c>
      <c r="N210" s="5" t="n">
        <v>479270</v>
      </c>
      <c r="O210" s="5" t="n">
        <v>-9.97003822708957</v>
      </c>
      <c r="P210" s="5" t="n">
        <v>137.333914179917</v>
      </c>
      <c r="Q210" s="5" t="n">
        <v>3.2</v>
      </c>
      <c r="R210" s="5" t="n">
        <v>-2.54</v>
      </c>
      <c r="S210" s="5" t="n">
        <v>43.26</v>
      </c>
      <c r="T210" s="5" t="n">
        <v>0.355515899662324</v>
      </c>
      <c r="U210" s="5" t="n">
        <v>68.53</v>
      </c>
    </row>
    <row r="211" customFormat="false" ht="15" hidden="false" customHeight="false" outlineLevel="0" collapsed="false">
      <c r="A211" s="4" t="n">
        <v>44377</v>
      </c>
      <c r="B211" s="5" t="n">
        <v>7010</v>
      </c>
      <c r="C211" s="5" t="n">
        <v>46.4688675302967</v>
      </c>
      <c r="D211" s="5" t="n">
        <v>5909</v>
      </c>
      <c r="E211" s="5" t="n">
        <v>492.72</v>
      </c>
      <c r="F211" s="5" t="n">
        <v>0.23221911024517</v>
      </c>
      <c r="G211" s="5" t="n">
        <v>12.4</v>
      </c>
      <c r="H211" s="5" t="n">
        <v>9.5</v>
      </c>
      <c r="I211" s="5" t="n">
        <v>62.2</v>
      </c>
      <c r="J211" s="5" t="n">
        <v>502.598</v>
      </c>
      <c r="K211" s="5" t="n">
        <v>7.56810783392583</v>
      </c>
      <c r="L211" s="5" t="n">
        <v>115.972</v>
      </c>
      <c r="M211" s="5" t="n">
        <v>-0.115411778891705</v>
      </c>
      <c r="N211" s="5" t="n">
        <v>452342</v>
      </c>
      <c r="O211" s="5" t="n">
        <v>-15.2166619496295</v>
      </c>
      <c r="P211" s="5" t="n">
        <v>74.3041659086775</v>
      </c>
      <c r="Q211" s="5" t="n">
        <v>18.7</v>
      </c>
      <c r="R211" s="5" t="n">
        <v>-2.16333333333333</v>
      </c>
      <c r="S211" s="5" t="n">
        <v>42.9</v>
      </c>
      <c r="T211" s="5" t="n">
        <v>0.350058629566219</v>
      </c>
      <c r="U211" s="5" t="n">
        <v>73.16</v>
      </c>
    </row>
    <row r="212" customFormat="false" ht="15" hidden="false" customHeight="false" outlineLevel="0" collapsed="false">
      <c r="A212" s="4" t="n">
        <v>44408</v>
      </c>
      <c r="B212" s="5" t="n">
        <v>7252</v>
      </c>
      <c r="C212" s="5" t="n">
        <v>47.0695599269925</v>
      </c>
      <c r="D212" s="5" t="n">
        <v>5715</v>
      </c>
      <c r="E212" s="5" t="n">
        <v>492.72</v>
      </c>
      <c r="F212" s="5" t="n">
        <v>0.24152459814905</v>
      </c>
      <c r="G212" s="5" t="n">
        <v>11.7</v>
      </c>
      <c r="H212" s="5" t="n">
        <v>12.1</v>
      </c>
      <c r="I212" s="5" t="n">
        <v>62.9</v>
      </c>
      <c r="J212" s="5" t="n">
        <v>511.923</v>
      </c>
      <c r="K212" s="5" t="n">
        <v>9.03740843846448</v>
      </c>
      <c r="L212" s="5" t="n">
        <v>113.636</v>
      </c>
      <c r="M212" s="5" t="n">
        <v>-6.24943280725347</v>
      </c>
      <c r="N212" s="5" t="n">
        <v>439225</v>
      </c>
      <c r="O212" s="5" t="n">
        <v>-15.3049772848229</v>
      </c>
      <c r="P212" s="5" t="n">
        <v>125.181622838432</v>
      </c>
      <c r="Q212" s="5" t="n">
        <v>18.7</v>
      </c>
      <c r="R212" s="5" t="n">
        <v>-1.78666666666667</v>
      </c>
      <c r="S212" s="5" t="n">
        <v>43.2</v>
      </c>
      <c r="T212" s="5" t="n">
        <v>0.340091036573044</v>
      </c>
      <c r="U212" s="5" t="n">
        <v>75.17</v>
      </c>
    </row>
    <row r="213" customFormat="false" ht="15" hidden="false" customHeight="false" outlineLevel="0" collapsed="false">
      <c r="A213" s="4" t="n">
        <v>44439</v>
      </c>
      <c r="B213" s="5" t="n">
        <v>8099</v>
      </c>
      <c r="C213" s="5" t="n">
        <v>63.4510595358224</v>
      </c>
      <c r="D213" s="5" t="n">
        <v>5754</v>
      </c>
      <c r="E213" s="5" t="n">
        <v>492.72</v>
      </c>
      <c r="F213" s="5" t="n">
        <v>0.25246387400552</v>
      </c>
      <c r="G213" s="5" t="n">
        <v>12.6</v>
      </c>
      <c r="H213" s="5" t="n">
        <v>13.5</v>
      </c>
      <c r="I213" s="5" t="n">
        <v>62.3</v>
      </c>
      <c r="J213" s="5" t="n">
        <v>508.757</v>
      </c>
      <c r="K213" s="5" t="n">
        <v>7.61308472496907</v>
      </c>
      <c r="L213" s="5" t="n">
        <v>112.738</v>
      </c>
      <c r="M213" s="5" t="n">
        <v>-6.6351966873706</v>
      </c>
      <c r="N213" s="5" t="n">
        <v>425395</v>
      </c>
      <c r="O213" s="5" t="n">
        <v>-14.6480444461388</v>
      </c>
      <c r="P213" s="5" t="n">
        <v>146.942847083676</v>
      </c>
      <c r="Q213" s="5" t="n">
        <v>18.7</v>
      </c>
      <c r="R213" s="5" t="n">
        <v>-1.41</v>
      </c>
      <c r="S213" s="5" t="n">
        <v>43.67</v>
      </c>
      <c r="T213" s="5" t="n">
        <v>0.345844957651177</v>
      </c>
      <c r="U213" s="5" t="n">
        <v>70.75</v>
      </c>
    </row>
    <row r="214" customFormat="false" ht="15" hidden="false" customHeight="false" outlineLevel="0" collapsed="false">
      <c r="A214" s="4" t="n">
        <v>44469</v>
      </c>
      <c r="B214" s="5" t="n">
        <v>7570</v>
      </c>
      <c r="C214" s="5" t="n">
        <v>60.1438544531415</v>
      </c>
      <c r="D214" s="5" t="n">
        <v>5886</v>
      </c>
      <c r="E214" s="5" t="n">
        <v>488.15</v>
      </c>
      <c r="F214" s="5" t="n">
        <v>0.264250742599611</v>
      </c>
      <c r="G214" s="5" t="n">
        <v>11.1</v>
      </c>
      <c r="H214" s="5" t="n">
        <v>12.3</v>
      </c>
      <c r="I214" s="5" t="n">
        <v>61.4</v>
      </c>
      <c r="J214" s="5" t="n">
        <v>523.449</v>
      </c>
      <c r="K214" s="5" t="n">
        <v>11.2090998514943</v>
      </c>
      <c r="L214" s="5" t="n">
        <v>107.526</v>
      </c>
      <c r="M214" s="5" t="n">
        <v>-9.65036845333625</v>
      </c>
      <c r="N214" s="5" t="n">
        <v>418542</v>
      </c>
      <c r="O214" s="5" t="n">
        <v>-15.0040818315849</v>
      </c>
      <c r="P214" s="5" t="n">
        <v>110.088202866593</v>
      </c>
      <c r="Q214" s="5" t="n">
        <v>11.8</v>
      </c>
      <c r="R214" s="5" t="n">
        <v>-1.15833333333334</v>
      </c>
      <c r="S214" s="5" t="n">
        <v>45.6</v>
      </c>
      <c r="T214" s="5" t="n">
        <v>0.33652470007185</v>
      </c>
      <c r="U214" s="5" t="n">
        <v>74.49</v>
      </c>
    </row>
    <row r="215" customFormat="false" ht="15" hidden="false" customHeight="false" outlineLevel="0" collapsed="false">
      <c r="A215" s="4" t="n">
        <v>44500</v>
      </c>
      <c r="B215" s="5" t="n">
        <v>6863</v>
      </c>
      <c r="C215" s="5" t="n">
        <v>46.8335472828413</v>
      </c>
      <c r="D215" s="5" t="n">
        <v>5247</v>
      </c>
      <c r="E215" s="5" t="n">
        <v>488.15</v>
      </c>
      <c r="F215" s="5" t="n">
        <v>0.271281368431835</v>
      </c>
      <c r="G215" s="5" t="n">
        <v>6.2</v>
      </c>
      <c r="H215" s="5" t="n">
        <v>12.7</v>
      </c>
      <c r="I215" s="5" t="n">
        <v>59.8</v>
      </c>
      <c r="J215" s="5" t="n">
        <v>533.039</v>
      </c>
      <c r="K215" s="5" t="n">
        <v>12.3540347534294</v>
      </c>
      <c r="L215" s="5" t="n">
        <v>104.813</v>
      </c>
      <c r="M215" s="5" t="n">
        <v>-11.0472714928287</v>
      </c>
      <c r="N215" s="5" t="n">
        <v>434102</v>
      </c>
      <c r="O215" s="5" t="n">
        <v>-10.3889321242122</v>
      </c>
      <c r="P215" s="5" t="n">
        <v>110.291471752429</v>
      </c>
      <c r="Q215" s="5" t="n">
        <v>11.8</v>
      </c>
      <c r="R215" s="5" t="n">
        <v>-0.906666666666668</v>
      </c>
      <c r="S215" s="5" t="n">
        <v>48.64</v>
      </c>
      <c r="T215" s="5" t="n">
        <v>0.329661719031972</v>
      </c>
      <c r="U215" s="5" t="n">
        <v>83.54</v>
      </c>
    </row>
    <row r="216" customFormat="false" ht="15" hidden="false" customHeight="false" outlineLevel="0" collapsed="false">
      <c r="A216" s="4" t="n">
        <v>44530</v>
      </c>
      <c r="B216" s="5" t="n">
        <v>6191</v>
      </c>
      <c r="C216" s="5" t="n">
        <v>37.5777777777778</v>
      </c>
      <c r="D216" s="5" t="n">
        <v>5767</v>
      </c>
      <c r="E216" s="5" t="n">
        <v>488.15</v>
      </c>
      <c r="F216" s="5" t="n">
        <v>0.278129673256171</v>
      </c>
      <c r="G216" s="5" t="n">
        <v>8.8</v>
      </c>
      <c r="H216" s="5" t="n">
        <v>14</v>
      </c>
      <c r="I216" s="5" t="n">
        <v>57.6</v>
      </c>
      <c r="J216" s="5" t="n">
        <v>547.341</v>
      </c>
      <c r="K216" s="5" t="n">
        <v>15.4737592722302</v>
      </c>
      <c r="L216" s="5" t="n">
        <v>103.26</v>
      </c>
      <c r="M216" s="5" t="n">
        <v>-15.2223709164949</v>
      </c>
      <c r="N216" s="5" t="n">
        <v>433111</v>
      </c>
      <c r="O216" s="5" t="n">
        <v>-11.2553837579553</v>
      </c>
      <c r="P216" s="5" t="n">
        <v>99.0430070333218</v>
      </c>
      <c r="Q216" s="5" t="n">
        <v>11.8</v>
      </c>
      <c r="R216" s="5" t="n">
        <v>-0.655000000000001</v>
      </c>
      <c r="S216" s="5" t="n">
        <v>52.3</v>
      </c>
      <c r="T216" s="5" t="n">
        <v>0.304218872293164</v>
      </c>
      <c r="U216" s="5" t="n">
        <v>81.05</v>
      </c>
    </row>
    <row r="217" customFormat="false" ht="15" hidden="false" customHeight="false" outlineLevel="0" collapsed="false">
      <c r="A217" s="4" t="n">
        <v>44561</v>
      </c>
      <c r="B217" s="5" t="n">
        <v>6587</v>
      </c>
      <c r="C217" s="5" t="n">
        <v>85.8634311512415</v>
      </c>
      <c r="D217" s="5" t="n">
        <v>6216</v>
      </c>
      <c r="E217" s="5" t="n">
        <v>539.97</v>
      </c>
      <c r="F217" s="5" t="n">
        <v>0.261347852658481</v>
      </c>
      <c r="G217" s="5" t="n">
        <v>10</v>
      </c>
      <c r="H217" s="5" t="n">
        <v>17</v>
      </c>
      <c r="I217" s="5" t="n">
        <v>57.6</v>
      </c>
      <c r="J217" s="5" t="n">
        <v>549.437</v>
      </c>
      <c r="K217" s="5" t="n">
        <v>14.5194840925765</v>
      </c>
      <c r="L217" s="5" t="n">
        <v>102.239</v>
      </c>
      <c r="M217" s="5" t="n">
        <v>-17.8902140304381</v>
      </c>
      <c r="N217" s="5" t="n">
        <v>417851</v>
      </c>
      <c r="O217" s="5" t="n">
        <v>-15.3237589392647</v>
      </c>
      <c r="P217" s="5" t="n">
        <v>61.875894586175</v>
      </c>
      <c r="Q217" s="5" t="n">
        <v>8.4</v>
      </c>
      <c r="R217" s="5" t="n">
        <v>-0.490000000000001</v>
      </c>
      <c r="S217" s="5" t="n">
        <v>54.77</v>
      </c>
      <c r="T217" s="5" t="n">
        <v>0.309988964595679</v>
      </c>
      <c r="U217" s="5" t="n">
        <v>74.17</v>
      </c>
    </row>
    <row r="218" customFormat="false" ht="15" hidden="false" customHeight="false" outlineLevel="0" collapsed="false">
      <c r="A218" s="4" t="n">
        <v>44592</v>
      </c>
      <c r="B218" s="5" t="n">
        <v>5591</v>
      </c>
      <c r="C218" s="5" t="n">
        <v>13.8232899022801</v>
      </c>
      <c r="D218" s="5" t="n">
        <v>5251</v>
      </c>
      <c r="E218" s="5" t="n">
        <v>539.97</v>
      </c>
      <c r="F218" s="5" t="n">
        <v>0.265211030242421</v>
      </c>
      <c r="G218" s="5" t="n">
        <v>6.2</v>
      </c>
      <c r="H218" s="5" t="n">
        <v>8.3</v>
      </c>
      <c r="I218" s="5" t="n">
        <v>54.9</v>
      </c>
      <c r="J218" s="5" t="n">
        <v>559.897</v>
      </c>
      <c r="K218" s="5" t="n">
        <v>14.8765875377008</v>
      </c>
      <c r="L218" s="5" t="n">
        <v>102.361</v>
      </c>
      <c r="M218" s="5" t="n">
        <v>-16.766817638497</v>
      </c>
      <c r="N218" s="5" t="n">
        <v>415143</v>
      </c>
      <c r="O218" s="5" t="n">
        <v>-12.7225596488241</v>
      </c>
      <c r="P218" s="5" t="n">
        <v>56.3958984801106</v>
      </c>
      <c r="Q218" s="5" t="n">
        <v>8.4</v>
      </c>
      <c r="R218" s="5" t="n">
        <v>-0.325000000000001</v>
      </c>
      <c r="S218" s="5" t="n">
        <v>53.85</v>
      </c>
      <c r="T218" s="5" t="n">
        <v>0.336569185866199</v>
      </c>
      <c r="U218" s="5" t="n">
        <v>86.51</v>
      </c>
    </row>
    <row r="219" customFormat="false" ht="15" hidden="false" customHeight="false" outlineLevel="0" collapsed="false">
      <c r="A219" s="4" t="n">
        <v>44620</v>
      </c>
      <c r="B219" s="5" t="n">
        <v>6518</v>
      </c>
      <c r="C219" s="5" t="n">
        <v>36.5026178010471</v>
      </c>
      <c r="D219" s="5" t="n">
        <v>5639</v>
      </c>
      <c r="E219" s="5" t="n">
        <v>539.97</v>
      </c>
      <c r="F219" s="5" t="n">
        <v>0.272005852176973</v>
      </c>
      <c r="G219" s="5" t="n">
        <v>9.2</v>
      </c>
      <c r="H219" s="5" t="n">
        <v>12.2</v>
      </c>
      <c r="I219" s="5" t="n">
        <v>55</v>
      </c>
      <c r="J219" s="5" t="n">
        <v>559.515</v>
      </c>
      <c r="K219" s="5" t="n">
        <v>13.5702106929728</v>
      </c>
      <c r="L219" s="5" t="n">
        <v>102.105</v>
      </c>
      <c r="M219" s="5" t="n">
        <v>-16.4101514531314</v>
      </c>
      <c r="N219" s="5" t="n">
        <v>413425</v>
      </c>
      <c r="O219" s="5" t="n">
        <v>-14.6882512561777</v>
      </c>
      <c r="P219" s="5" t="n">
        <v>46.7340425531915</v>
      </c>
      <c r="Q219" s="5" t="n">
        <v>8.4</v>
      </c>
      <c r="R219" s="5" t="n">
        <v>-0.160000000000001</v>
      </c>
      <c r="S219" s="5" t="n">
        <v>52.9</v>
      </c>
      <c r="T219" s="5" t="n">
        <v>0.331628520015166</v>
      </c>
      <c r="U219" s="5" t="n">
        <v>97.13</v>
      </c>
    </row>
    <row r="220" customFormat="false" ht="15" hidden="false" customHeight="false" outlineLevel="0" collapsed="false">
      <c r="A220" s="4" t="n">
        <v>44651</v>
      </c>
      <c r="B220" s="5" t="n">
        <v>7408</v>
      </c>
      <c r="C220" s="5" t="n">
        <v>29.5104895104895</v>
      </c>
      <c r="D220" s="5" t="n">
        <v>7084</v>
      </c>
      <c r="E220" s="5" t="n">
        <v>566.46</v>
      </c>
      <c r="F220" s="5" t="n">
        <v>0.265379726723864</v>
      </c>
      <c r="G220" s="5" t="n">
        <v>5.5</v>
      </c>
      <c r="H220" s="5" t="n">
        <v>10.2</v>
      </c>
      <c r="I220" s="5" t="n">
        <v>56.9</v>
      </c>
      <c r="J220" s="5" t="n">
        <v>562.744</v>
      </c>
      <c r="K220" s="5" t="n">
        <v>13.1362031668423</v>
      </c>
      <c r="L220" s="5" t="n">
        <v>102.029</v>
      </c>
      <c r="M220" s="5" t="n">
        <v>-13.3791218120691</v>
      </c>
      <c r="N220" s="5" t="n">
        <v>409950</v>
      </c>
      <c r="O220" s="5" t="n">
        <v>-18.3098030229059</v>
      </c>
      <c r="P220" s="5" t="n">
        <v>68.6316716403307</v>
      </c>
      <c r="Q220" s="5" t="n">
        <v>6.9</v>
      </c>
      <c r="R220" s="5" t="n">
        <v>-0.0550000000000013</v>
      </c>
      <c r="S220" s="5" t="n">
        <v>55.37</v>
      </c>
      <c r="T220" s="5" t="n">
        <v>0.341438951830281</v>
      </c>
      <c r="U220" s="5" t="n">
        <v>117.25</v>
      </c>
    </row>
    <row r="221" customFormat="false" ht="15" hidden="false" customHeight="false" outlineLevel="0" collapsed="false">
      <c r="A221" s="4" t="n">
        <v>44681</v>
      </c>
      <c r="B221" s="5" t="n">
        <v>8366</v>
      </c>
      <c r="C221" s="5" t="n">
        <v>36.187530522546</v>
      </c>
      <c r="D221" s="5" t="n">
        <v>6889</v>
      </c>
      <c r="E221" s="5" t="n">
        <v>566.46</v>
      </c>
      <c r="F221" s="5" t="n">
        <v>0.273216114112206</v>
      </c>
      <c r="G221" s="5" t="n">
        <v>7</v>
      </c>
      <c r="H221" s="5" t="n">
        <v>11.1</v>
      </c>
      <c r="I221" s="5" t="n">
        <v>56.5</v>
      </c>
      <c r="J221" s="5" t="n">
        <v>569.219</v>
      </c>
      <c r="K221" s="5" t="n">
        <v>13.1576122393804</v>
      </c>
      <c r="L221" s="5" t="n">
        <v>97.317</v>
      </c>
      <c r="M221" s="5" t="n">
        <v>-17.2066155076483</v>
      </c>
      <c r="N221" s="5" t="n">
        <v>415727</v>
      </c>
      <c r="O221" s="5" t="n">
        <v>-14.3037658956499</v>
      </c>
      <c r="P221" s="5" t="n">
        <v>124.347460005613</v>
      </c>
      <c r="Q221" s="5" t="n">
        <v>6.9</v>
      </c>
      <c r="R221" s="5" t="n">
        <v>0.0499999999999988</v>
      </c>
      <c r="S221" s="5" t="n">
        <v>56.11</v>
      </c>
      <c r="T221" s="5" t="n">
        <v>0.346656653128397</v>
      </c>
      <c r="U221" s="5" t="n">
        <v>104.58</v>
      </c>
    </row>
    <row r="222" customFormat="false" ht="15" hidden="false" customHeight="false" outlineLevel="0" collapsed="false">
      <c r="A222" s="4" t="n">
        <v>44712</v>
      </c>
      <c r="B222" s="5" t="n">
        <v>8361</v>
      </c>
      <c r="C222" s="5" t="n">
        <v>22.7212681638045</v>
      </c>
      <c r="D222" s="5" t="n">
        <v>7892</v>
      </c>
      <c r="E222" s="5" t="n">
        <v>566.46</v>
      </c>
      <c r="F222" s="5" t="n">
        <v>0.280805352540338</v>
      </c>
      <c r="G222" s="5" t="n">
        <v>8.9</v>
      </c>
      <c r="H222" s="5" t="n">
        <v>11.6</v>
      </c>
      <c r="I222" s="5" t="n">
        <v>56.7</v>
      </c>
      <c r="J222" s="5" t="n">
        <v>576.516</v>
      </c>
      <c r="K222" s="5" t="n">
        <v>14.2962500371725</v>
      </c>
      <c r="L222" s="5" t="n">
        <v>98.3</v>
      </c>
      <c r="M222" s="5" t="n">
        <v>-16.6115267810183</v>
      </c>
      <c r="N222" s="5" t="n">
        <v>414733</v>
      </c>
      <c r="O222" s="5" t="n">
        <v>-13.4656873995869</v>
      </c>
      <c r="P222" s="5" t="n">
        <v>134.962371512482</v>
      </c>
      <c r="Q222" s="5" t="n">
        <v>6.9</v>
      </c>
      <c r="R222" s="5" t="n">
        <v>0.154999999999999</v>
      </c>
      <c r="S222" s="5" t="n">
        <v>60.1</v>
      </c>
      <c r="T222" s="5" t="n">
        <v>0.361784884277403</v>
      </c>
      <c r="U222" s="5" t="n">
        <v>113.34</v>
      </c>
    </row>
    <row r="223" customFormat="false" ht="15" hidden="false" customHeight="false" outlineLevel="0" collapsed="false">
      <c r="A223" s="4" t="n">
        <v>44742</v>
      </c>
      <c r="B223" s="5" t="n">
        <v>8457</v>
      </c>
      <c r="C223" s="5" t="n">
        <v>20.641940085592</v>
      </c>
      <c r="D223" s="5" t="n">
        <v>8667</v>
      </c>
      <c r="E223" s="5" t="n">
        <v>667.31</v>
      </c>
      <c r="F223" s="5" t="n">
        <v>0.244668894516791</v>
      </c>
      <c r="G223" s="5" t="n">
        <v>8.4</v>
      </c>
      <c r="H223" s="5" t="n">
        <v>9.8</v>
      </c>
      <c r="I223" s="5" t="n">
        <v>59</v>
      </c>
      <c r="J223" s="5" t="n">
        <v>573.808</v>
      </c>
      <c r="K223" s="5" t="n">
        <v>14.1683810918468</v>
      </c>
      <c r="L223" s="5" t="n">
        <v>94.43</v>
      </c>
      <c r="M223" s="5" t="n">
        <v>-18.5751733176974</v>
      </c>
      <c r="N223" s="5" t="n">
        <v>415566</v>
      </c>
      <c r="O223" s="5" t="n">
        <v>-8.13013162607054</v>
      </c>
      <c r="P223" s="5" t="n">
        <v>150.044356311642</v>
      </c>
      <c r="Q223" s="5" t="n">
        <v>8.1</v>
      </c>
      <c r="R223" s="5" t="n">
        <v>0.251666666666666</v>
      </c>
      <c r="S223" s="5" t="n">
        <v>68.75</v>
      </c>
      <c r="T223" s="5" t="n">
        <v>0.353199436886099</v>
      </c>
      <c r="U223" s="5" t="n">
        <v>122.71</v>
      </c>
    </row>
    <row r="224" customFormat="false" ht="15" hidden="false" customHeight="false" outlineLevel="0" collapsed="false">
      <c r="A224" s="4" t="n">
        <v>44773</v>
      </c>
      <c r="B224" s="5" t="n">
        <v>7656</v>
      </c>
      <c r="C224" s="5" t="n">
        <v>5.57087699944843</v>
      </c>
      <c r="D224" s="5" t="n">
        <v>8302</v>
      </c>
      <c r="E224" s="5" t="n">
        <v>667.31</v>
      </c>
      <c r="F224" s="5" t="n">
        <v>0.249151069218204</v>
      </c>
      <c r="G224" s="5" t="n">
        <v>7</v>
      </c>
      <c r="H224" s="5" t="n">
        <v>10</v>
      </c>
      <c r="I224" s="5" t="n">
        <v>63.9</v>
      </c>
      <c r="J224" s="5" t="n">
        <v>579.77</v>
      </c>
      <c r="K224" s="5" t="n">
        <v>13.2533603686492</v>
      </c>
      <c r="L224" s="5" t="n">
        <v>92.422</v>
      </c>
      <c r="M224" s="5" t="n">
        <v>-18.6683797388152</v>
      </c>
      <c r="N224" s="5" t="n">
        <v>426553</v>
      </c>
      <c r="O224" s="5" t="n">
        <v>-2.88508167795549</v>
      </c>
      <c r="P224" s="5" t="n">
        <v>71.7317217249057</v>
      </c>
      <c r="Q224" s="5" t="n">
        <v>8.1</v>
      </c>
      <c r="R224" s="5" t="n">
        <v>0.348333333333332</v>
      </c>
      <c r="S224" s="5" t="n">
        <v>83.7</v>
      </c>
      <c r="T224" s="5" t="n">
        <v>0.3440024456328</v>
      </c>
      <c r="U224" s="5" t="n">
        <v>111.93</v>
      </c>
    </row>
    <row r="225" customFormat="false" ht="15" hidden="false" customHeight="false" outlineLevel="0" collapsed="false">
      <c r="A225" s="4" t="n">
        <v>44804</v>
      </c>
      <c r="B225" s="5" t="n">
        <v>7583</v>
      </c>
      <c r="C225" s="5" t="n">
        <v>-6.37115693295468</v>
      </c>
      <c r="D225" s="5" t="n">
        <v>7918</v>
      </c>
      <c r="E225" s="5" t="n">
        <v>667.31</v>
      </c>
      <c r="F225" s="5" t="n">
        <v>0.251620686037973</v>
      </c>
      <c r="G225" s="5" t="n">
        <v>7.4</v>
      </c>
      <c r="H225" s="5" t="n">
        <v>7.1</v>
      </c>
      <c r="I225" s="5" t="n">
        <v>71</v>
      </c>
      <c r="J225" s="5" t="n">
        <v>584.092</v>
      </c>
      <c r="K225" s="5" t="n">
        <v>14.8076586661216</v>
      </c>
      <c r="L225" s="5" t="n">
        <v>90.402</v>
      </c>
      <c r="M225" s="5" t="n">
        <v>-19.8123081835761</v>
      </c>
      <c r="N225" s="5" t="n">
        <v>418346</v>
      </c>
      <c r="O225" s="5" t="n">
        <v>-1.65704815524395</v>
      </c>
      <c r="P225" s="5" t="n">
        <v>40.8231156734151</v>
      </c>
      <c r="Q225" s="5" t="n">
        <v>8.1</v>
      </c>
      <c r="R225" s="5" t="n">
        <v>0.444999999999999</v>
      </c>
      <c r="S225" s="5" t="n">
        <v>90.53</v>
      </c>
      <c r="T225" s="5" t="n">
        <v>0.379919408248633</v>
      </c>
      <c r="U225" s="5" t="n">
        <v>100.45</v>
      </c>
    </row>
    <row r="226" customFormat="false" ht="15" hidden="false" customHeight="false" outlineLevel="0" collapsed="false">
      <c r="A226" s="4" t="n">
        <v>44834</v>
      </c>
      <c r="B226" s="5" t="n">
        <v>7494</v>
      </c>
      <c r="C226" s="5" t="n">
        <v>-1.00396301188903</v>
      </c>
      <c r="D226" s="5" t="n">
        <v>7144</v>
      </c>
      <c r="E226" s="5" t="n">
        <v>648.4</v>
      </c>
      <c r="F226" s="5" t="n">
        <v>0.260781924737816</v>
      </c>
      <c r="G226" s="5" t="n">
        <v>5.6</v>
      </c>
      <c r="H226" s="5" t="n">
        <v>5.6</v>
      </c>
      <c r="I226" s="5" t="n">
        <v>75.6</v>
      </c>
      <c r="J226" s="5" t="n">
        <v>594.639</v>
      </c>
      <c r="K226" s="5" t="n">
        <v>13.6001788139819</v>
      </c>
      <c r="L226" s="5" t="n">
        <v>87.787</v>
      </c>
      <c r="M226" s="5" t="n">
        <v>-18.3574205308483</v>
      </c>
      <c r="N226" s="5" t="n">
        <v>429203</v>
      </c>
      <c r="O226" s="5" t="n">
        <v>2.54717567173666</v>
      </c>
      <c r="P226" s="5" t="n">
        <v>67.725006559958</v>
      </c>
      <c r="Q226" s="5" t="n">
        <v>6.7</v>
      </c>
      <c r="R226" s="5" t="n">
        <v>0.491666666666666</v>
      </c>
      <c r="S226" s="5" t="n">
        <v>94.05</v>
      </c>
      <c r="T226" s="5" t="n">
        <v>0.415472619233123</v>
      </c>
      <c r="U226" s="5" t="n">
        <v>89.76</v>
      </c>
    </row>
    <row r="227" customFormat="false" ht="15" hidden="false" customHeight="false" outlineLevel="0" collapsed="false">
      <c r="A227" s="4" t="n">
        <v>44865</v>
      </c>
      <c r="B227" s="5" t="n">
        <v>8021</v>
      </c>
      <c r="C227" s="5" t="n">
        <v>16.8730875710331</v>
      </c>
      <c r="D227" s="5" t="n">
        <v>6089</v>
      </c>
      <c r="E227" s="5" t="n">
        <v>648.4</v>
      </c>
      <c r="F227" s="5" t="n">
        <v>0.263866440468846</v>
      </c>
      <c r="G227" s="5" t="n">
        <v>5</v>
      </c>
      <c r="H227" s="5" t="n">
        <v>6.2</v>
      </c>
      <c r="I227" s="5" t="n">
        <v>77.9</v>
      </c>
      <c r="J227" s="5" t="n">
        <v>609.637</v>
      </c>
      <c r="K227" s="5" t="n">
        <v>14.3700554743649</v>
      </c>
      <c r="L227" s="5" t="n">
        <v>88.7</v>
      </c>
      <c r="M227" s="5" t="n">
        <v>-15.3730930323529</v>
      </c>
      <c r="N227" s="5" t="n">
        <v>436830</v>
      </c>
      <c r="O227" s="5" t="n">
        <v>0.628423734514017</v>
      </c>
      <c r="P227" s="5" t="n">
        <v>104.083960757472</v>
      </c>
      <c r="Q227" s="5" t="n">
        <v>6.7</v>
      </c>
      <c r="R227" s="5" t="n">
        <v>0.538333333333332</v>
      </c>
      <c r="S227" s="5" t="n">
        <v>98.85</v>
      </c>
      <c r="T227" s="5" t="n">
        <v>0.454698492464019</v>
      </c>
      <c r="U227" s="5" t="n">
        <v>93.33</v>
      </c>
    </row>
    <row r="228" customFormat="false" ht="15" hidden="false" customHeight="false" outlineLevel="0" collapsed="false">
      <c r="A228" s="4" t="n">
        <v>44895</v>
      </c>
      <c r="B228" s="5" t="n">
        <v>7137</v>
      </c>
      <c r="C228" s="5" t="n">
        <v>15.280245517687</v>
      </c>
      <c r="D228" s="5" t="n">
        <v>5778</v>
      </c>
      <c r="E228" s="5" t="n">
        <v>648.4</v>
      </c>
      <c r="F228" s="5" t="n">
        <v>0.265342381246144</v>
      </c>
      <c r="G228" s="5" t="n">
        <v>3</v>
      </c>
      <c r="H228" s="5" t="n">
        <v>2.9</v>
      </c>
      <c r="I228" s="5" t="n">
        <v>84.7</v>
      </c>
      <c r="J228" s="5" t="n">
        <v>608.943</v>
      </c>
      <c r="K228" s="5" t="n">
        <v>11.2547753594194</v>
      </c>
      <c r="L228" s="5" t="n">
        <v>91.485</v>
      </c>
      <c r="M228" s="5" t="n">
        <v>-11.4032539221383</v>
      </c>
      <c r="N228" s="5" t="n">
        <v>419084</v>
      </c>
      <c r="O228" s="5" t="n">
        <v>-3.23866168257098</v>
      </c>
      <c r="P228" s="5" t="n">
        <v>91.4267508544285</v>
      </c>
      <c r="Q228" s="5" t="n">
        <v>6.7</v>
      </c>
      <c r="R228" s="5" t="n">
        <v>0.584999999999999</v>
      </c>
      <c r="S228" s="5" t="n">
        <v>100.7</v>
      </c>
      <c r="T228" s="5" t="n">
        <v>0.470462679476621</v>
      </c>
      <c r="U228" s="5" t="n">
        <v>91.42</v>
      </c>
    </row>
    <row r="229" customFormat="false" ht="15" hidden="false" customHeight="false" outlineLevel="0" collapsed="false">
      <c r="A229" s="4" t="n">
        <v>44926</v>
      </c>
      <c r="B229" s="5" t="n">
        <v>6110</v>
      </c>
      <c r="C229" s="5" t="n">
        <v>-7.24153635949598</v>
      </c>
      <c r="D229" s="5" t="n">
        <v>5089</v>
      </c>
      <c r="E229" s="5" t="n">
        <v>643.68</v>
      </c>
      <c r="F229" s="5" t="n">
        <v>0.264796172010937</v>
      </c>
      <c r="G229" s="5" t="n">
        <v>-0.7</v>
      </c>
      <c r="H229" s="5" t="n">
        <v>0.8</v>
      </c>
      <c r="I229" s="5" t="n">
        <v>86.2</v>
      </c>
      <c r="J229" s="5" t="n">
        <v>611.503</v>
      </c>
      <c r="K229" s="5" t="n">
        <v>11.2962905665254</v>
      </c>
      <c r="L229" s="5" t="n">
        <v>94.082</v>
      </c>
      <c r="M229" s="5" t="n">
        <v>-7.97836442062228</v>
      </c>
      <c r="N229" s="5" t="n">
        <v>420646</v>
      </c>
      <c r="O229" s="5" t="n">
        <v>0.668898722271805</v>
      </c>
      <c r="P229" s="5" t="n">
        <v>84.9838760012483</v>
      </c>
      <c r="Q229" s="5" t="n">
        <v>2.4</v>
      </c>
      <c r="R229" s="5" t="n">
        <v>0.549999999999999</v>
      </c>
      <c r="S229" s="5" t="n">
        <v>98.43</v>
      </c>
      <c r="T229" s="5" t="n">
        <v>0.467143154075422</v>
      </c>
      <c r="U229" s="5" t="n">
        <v>80.92</v>
      </c>
    </row>
    <row r="230" customFormat="false" ht="15" hidden="false" customHeight="false" outlineLevel="0" collapsed="false">
      <c r="A230" s="4" t="n">
        <v>44957</v>
      </c>
      <c r="B230" s="5" t="n">
        <v>4905</v>
      </c>
      <c r="C230" s="5" t="n">
        <v>-12.2697191915579</v>
      </c>
      <c r="D230" s="5" t="n">
        <v>5367</v>
      </c>
      <c r="E230" s="5" t="n">
        <v>643.68</v>
      </c>
      <c r="F230" s="5" t="n">
        <v>0.263910638826746</v>
      </c>
      <c r="G230" s="5" t="n">
        <v>2.4</v>
      </c>
      <c r="H230" s="5" t="n">
        <v>3.7</v>
      </c>
      <c r="I230" s="5" t="n">
        <v>92</v>
      </c>
      <c r="J230" s="5" t="n">
        <v>615.978</v>
      </c>
      <c r="K230" s="5" t="n">
        <v>10.0163065706728</v>
      </c>
      <c r="L230" s="5" t="n">
        <v>96.215</v>
      </c>
      <c r="M230" s="5" t="n">
        <v>-6.00423989605416</v>
      </c>
      <c r="N230" s="5" t="n">
        <v>452688</v>
      </c>
      <c r="O230" s="5" t="n">
        <v>9.04387162977576</v>
      </c>
      <c r="P230" s="5" t="n">
        <v>70.7011996652097</v>
      </c>
      <c r="Q230" s="5" t="n">
        <v>2.4</v>
      </c>
      <c r="R230" s="5" t="n">
        <v>0.514999999999999</v>
      </c>
      <c r="S230" s="5" t="n">
        <v>98.5</v>
      </c>
      <c r="T230" s="5" t="n">
        <v>0.450235477029038</v>
      </c>
      <c r="U230" s="5" t="n">
        <v>82.5</v>
      </c>
    </row>
    <row r="231" customFormat="false" ht="15" hidden="false" customHeight="false" outlineLevel="0" collapsed="false">
      <c r="A231" s="4" t="n">
        <v>44985</v>
      </c>
      <c r="B231" s="5" t="n">
        <v>5262</v>
      </c>
      <c r="C231" s="5" t="n">
        <v>-19.2697146363915</v>
      </c>
      <c r="D231" s="5" t="n">
        <v>5031</v>
      </c>
      <c r="E231" s="5" t="n">
        <v>643.68</v>
      </c>
      <c r="F231" s="5" t="n">
        <v>0.261014789957743</v>
      </c>
      <c r="G231" s="5" t="n">
        <v>-0.4</v>
      </c>
      <c r="H231" s="5" t="n">
        <v>0</v>
      </c>
      <c r="I231" s="5" t="n">
        <v>91.8</v>
      </c>
      <c r="J231" s="5" t="n">
        <v>627.241</v>
      </c>
      <c r="K231" s="5" t="n">
        <v>12.1044118566973</v>
      </c>
      <c r="L231" s="5" t="n">
        <v>94.024</v>
      </c>
      <c r="M231" s="5" t="n">
        <v>-7.91440184124186</v>
      </c>
      <c r="N231" s="5" t="n">
        <v>480207</v>
      </c>
      <c r="O231" s="5" t="n">
        <v>16.153353087017</v>
      </c>
      <c r="P231" s="5" t="n">
        <v>31.2948597114479</v>
      </c>
      <c r="Q231" s="5" t="n">
        <v>2.4</v>
      </c>
      <c r="R231" s="5" t="n">
        <v>0.479999999999999</v>
      </c>
      <c r="S231" s="5" t="n">
        <v>103.53</v>
      </c>
      <c r="T231" s="5" t="n">
        <v>0.466580221672397</v>
      </c>
      <c r="U231" s="5" t="n">
        <v>82.59</v>
      </c>
    </row>
    <row r="232" customFormat="false" ht="15" hidden="false" customHeight="false" outlineLevel="0" collapsed="false">
      <c r="A232" s="4" t="n">
        <v>45016</v>
      </c>
      <c r="B232" s="5" t="n">
        <v>5771</v>
      </c>
      <c r="C232" s="5" t="n">
        <v>-22.0977321814255</v>
      </c>
      <c r="D232" s="5" t="n">
        <v>6844</v>
      </c>
      <c r="E232" s="5" t="n">
        <v>628.06</v>
      </c>
      <c r="F232" s="5" t="n">
        <v>0.264517721236825</v>
      </c>
      <c r="G232" s="5" t="n">
        <v>0.7</v>
      </c>
      <c r="H232" s="5" t="n">
        <v>-1.1</v>
      </c>
      <c r="I232" s="5" t="n">
        <v>91.5</v>
      </c>
      <c r="J232" s="5" t="n">
        <v>631.126</v>
      </c>
      <c r="K232" s="5" t="n">
        <v>12.1515289367812</v>
      </c>
      <c r="L232" s="5" t="n">
        <v>94.215</v>
      </c>
      <c r="M232" s="5" t="n">
        <v>-7.65860686667516</v>
      </c>
      <c r="N232" s="5" t="n">
        <v>469952</v>
      </c>
      <c r="O232" s="5" t="n">
        <v>14.636419075497</v>
      </c>
      <c r="P232" s="5" t="n">
        <v>4.06440382941689</v>
      </c>
      <c r="Q232" s="5" t="n">
        <v>0.9</v>
      </c>
      <c r="R232" s="5" t="n">
        <v>0.431666666666666</v>
      </c>
      <c r="S232" s="5" t="n">
        <v>113.26</v>
      </c>
      <c r="T232" s="5" t="n">
        <v>0.484550529715977</v>
      </c>
      <c r="U232" s="5" t="n">
        <v>78.43</v>
      </c>
    </row>
    <row r="233" customFormat="false" ht="15" hidden="false" customHeight="false" outlineLevel="0" collapsed="false">
      <c r="A233" s="4" t="n">
        <v>45046</v>
      </c>
      <c r="B233" s="5" t="n">
        <v>5819</v>
      </c>
      <c r="C233" s="5" t="n">
        <v>-30.4446569447765</v>
      </c>
      <c r="D233" s="5" t="n">
        <v>6110</v>
      </c>
      <c r="E233" s="5" t="n">
        <v>628.06</v>
      </c>
      <c r="F233" s="5" t="n">
        <v>0.259222048848836</v>
      </c>
      <c r="G233" s="5" t="n">
        <v>-4.8</v>
      </c>
      <c r="H233" s="5" t="n">
        <v>-3.3</v>
      </c>
      <c r="I233" s="5" t="n">
        <v>93.5</v>
      </c>
      <c r="J233" s="5" t="n">
        <v>627.84</v>
      </c>
      <c r="K233" s="5" t="n">
        <v>10.2984967121617</v>
      </c>
      <c r="L233" s="5" t="n">
        <v>93.915</v>
      </c>
      <c r="M233" s="5" t="n">
        <v>-3.49579210209932</v>
      </c>
      <c r="N233" s="5" t="n">
        <v>459633</v>
      </c>
      <c r="O233" s="5" t="n">
        <v>10.5612577484744</v>
      </c>
      <c r="P233" s="5" t="n">
        <v>-43.0495611017285</v>
      </c>
      <c r="Q233" s="5" t="n">
        <v>0.9</v>
      </c>
      <c r="R233" s="5" t="n">
        <v>0.383333333333332</v>
      </c>
      <c r="S233" s="5" t="n">
        <v>146.5</v>
      </c>
      <c r="T233" s="5" t="n">
        <v>0.470713827183772</v>
      </c>
      <c r="U233" s="5" t="n">
        <v>84.64</v>
      </c>
    </row>
    <row r="234" customFormat="false" ht="15" hidden="false" customHeight="false" outlineLevel="0" collapsed="false">
      <c r="A234" s="4" t="n">
        <v>45077</v>
      </c>
      <c r="B234" s="5" t="n">
        <v>6280</v>
      </c>
      <c r="C234" s="5" t="n">
        <v>-24.8893673005621</v>
      </c>
      <c r="D234" s="5" t="n">
        <v>7406</v>
      </c>
      <c r="E234" s="5" t="n">
        <v>628.06</v>
      </c>
      <c r="F234" s="5" t="n">
        <v>0.255134859726778</v>
      </c>
      <c r="G234" s="5" t="n">
        <v>-6.6</v>
      </c>
      <c r="H234" s="5" t="n">
        <v>-3.4</v>
      </c>
      <c r="I234" s="5" t="n">
        <v>97.2</v>
      </c>
      <c r="J234" s="5" t="n">
        <v>627.989</v>
      </c>
      <c r="K234" s="5" t="n">
        <v>8.9282864655968</v>
      </c>
      <c r="L234" s="5" t="n">
        <v>91.729</v>
      </c>
      <c r="M234" s="5" t="n">
        <v>-6.68463886063072</v>
      </c>
      <c r="N234" s="5" t="n">
        <v>459657</v>
      </c>
      <c r="O234" s="5" t="n">
        <v>10.8320292814895</v>
      </c>
      <c r="P234" s="5" t="n">
        <v>-37.6579497295081</v>
      </c>
      <c r="Q234" s="5" t="n">
        <v>0.9</v>
      </c>
      <c r="R234" s="5" t="n">
        <v>0.334999999999999</v>
      </c>
      <c r="S234" s="5" t="n">
        <v>171.1</v>
      </c>
      <c r="T234" s="5" t="n">
        <v>0.464986918817157</v>
      </c>
      <c r="U234" s="5" t="n">
        <v>75.47</v>
      </c>
    </row>
    <row r="235" customFormat="false" ht="15" hidden="false" customHeight="false" outlineLevel="0" collapsed="false">
      <c r="A235" s="4" t="n">
        <v>45107</v>
      </c>
      <c r="B235" s="5" t="n">
        <v>5434</v>
      </c>
      <c r="C235" s="5" t="n">
        <v>-35.7455362421663</v>
      </c>
      <c r="D235" s="5" t="n">
        <v>7252</v>
      </c>
      <c r="E235" s="5" t="n">
        <v>691.48</v>
      </c>
      <c r="F235" s="5" t="n">
        <v>0.225316711980101</v>
      </c>
      <c r="G235" s="5" t="n">
        <v>-5.5</v>
      </c>
      <c r="H235" s="5" t="n">
        <v>-3.3</v>
      </c>
      <c r="I235" s="5" t="n">
        <v>100.5</v>
      </c>
      <c r="J235" s="5" t="n">
        <v>620.273</v>
      </c>
      <c r="K235" s="5" t="n">
        <v>8.09765635892146</v>
      </c>
      <c r="L235" s="5" t="n">
        <v>94.755</v>
      </c>
      <c r="M235" s="5" t="n">
        <v>0.344170284867085</v>
      </c>
      <c r="N235" s="5" t="n">
        <v>452182</v>
      </c>
      <c r="O235" s="5" t="n">
        <v>8.81111544255304</v>
      </c>
      <c r="P235" s="5" t="n">
        <v>-27.3541197094916</v>
      </c>
      <c r="Q235" s="5" t="n">
        <v>-5.7</v>
      </c>
      <c r="R235" s="5" t="n">
        <v>0.306666666666666</v>
      </c>
      <c r="S235" s="5" t="n">
        <v>161.42</v>
      </c>
      <c r="T235" s="5" t="n">
        <v>0.475499439705457</v>
      </c>
      <c r="U235" s="5" t="n">
        <v>74.84</v>
      </c>
    </row>
    <row r="236" customFormat="false" ht="15" hidden="false" customHeight="false" outlineLevel="0" collapsed="false">
      <c r="A236" s="4" t="n">
        <v>45138</v>
      </c>
      <c r="B236" s="5" t="n">
        <v>6086</v>
      </c>
      <c r="C236" s="5" t="n">
        <v>-20.5067920585162</v>
      </c>
      <c r="D236" s="5" t="n">
        <v>6754</v>
      </c>
      <c r="E236" s="5" t="n">
        <v>691.48</v>
      </c>
      <c r="F236" s="5" t="n">
        <v>0.220807543240585</v>
      </c>
      <c r="G236" s="5" t="n">
        <v>-1.5</v>
      </c>
      <c r="H236" s="5" t="n">
        <v>-0.8</v>
      </c>
      <c r="I236" s="5" t="n">
        <v>100.1</v>
      </c>
      <c r="J236" s="5" t="n">
        <v>616.865</v>
      </c>
      <c r="K236" s="5" t="n">
        <v>6.39822688307432</v>
      </c>
      <c r="L236" s="5" t="n">
        <v>96.94</v>
      </c>
      <c r="M236" s="5" t="n">
        <v>4.8884464737833</v>
      </c>
      <c r="N236" s="5" t="n">
        <v>439771</v>
      </c>
      <c r="O236" s="5" t="n">
        <v>3.09879428816584</v>
      </c>
      <c r="P236" s="5" t="n">
        <v>9.6102452835181</v>
      </c>
      <c r="Q236" s="5" t="n">
        <v>-5.7</v>
      </c>
      <c r="R236" s="5" t="n">
        <v>0.278333333333333</v>
      </c>
      <c r="S236" s="5" t="n">
        <v>154.92</v>
      </c>
      <c r="T236" s="5" t="n">
        <v>0.45669926363034</v>
      </c>
      <c r="U236" s="5" t="n">
        <v>80.11</v>
      </c>
    </row>
    <row r="237" customFormat="false" ht="15" hidden="false" customHeight="false" outlineLevel="0" collapsed="false">
      <c r="A237" s="4" t="n">
        <v>45169</v>
      </c>
      <c r="B237" s="5" t="n">
        <v>5935</v>
      </c>
      <c r="C237" s="5" t="n">
        <v>-21.7328234208097</v>
      </c>
      <c r="D237" s="5" t="n">
        <v>6899</v>
      </c>
      <c r="E237" s="5" t="n">
        <v>691.48</v>
      </c>
      <c r="F237" s="5" t="n">
        <v>0.216950598715798</v>
      </c>
      <c r="G237" s="5" t="n">
        <v>0.3</v>
      </c>
      <c r="H237" s="5" t="n">
        <v>0.4</v>
      </c>
      <c r="I237" s="5" t="n">
        <v>106.9</v>
      </c>
      <c r="J237" s="5" t="n">
        <v>622.06</v>
      </c>
      <c r="K237" s="5" t="n">
        <v>6.50034583592996</v>
      </c>
      <c r="L237" s="5" t="n">
        <v>107.904</v>
      </c>
      <c r="M237" s="5" t="n">
        <v>19.3601911462136</v>
      </c>
      <c r="N237" s="5" t="n">
        <v>422944</v>
      </c>
      <c r="O237" s="5" t="n">
        <v>1.0990902267501</v>
      </c>
      <c r="P237" s="5" t="n">
        <v>7.28604211663066</v>
      </c>
      <c r="Q237" s="5" t="n">
        <v>-5.7</v>
      </c>
      <c r="R237" s="5" t="n">
        <v>0.249999999999999</v>
      </c>
      <c r="S237" s="5" t="n">
        <v>197.5</v>
      </c>
      <c r="T237" s="5" t="n">
        <v>0.482315300368589</v>
      </c>
      <c r="U237" s="5" t="n">
        <v>86.15</v>
      </c>
    </row>
    <row r="238" customFormat="false" ht="15" hidden="false" customHeight="false" outlineLevel="0" collapsed="false">
      <c r="A238" s="4" t="n">
        <v>45199</v>
      </c>
      <c r="B238" s="5" t="n">
        <v>5788</v>
      </c>
      <c r="C238" s="5" t="n">
        <v>-22.7648785695223</v>
      </c>
      <c r="D238" s="5" t="n">
        <v>6520</v>
      </c>
      <c r="E238" s="5" t="n">
        <v>677.34</v>
      </c>
      <c r="F238" s="5" t="n">
        <v>0.218039684648773</v>
      </c>
      <c r="G238" s="5" t="n">
        <v>-0.5</v>
      </c>
      <c r="H238" s="5" t="n">
        <v>0.4</v>
      </c>
      <c r="I238" s="5" t="n">
        <v>116.8</v>
      </c>
      <c r="J238" s="5" t="n">
        <v>636.841</v>
      </c>
      <c r="K238" s="5" t="n">
        <v>7.0970790681405</v>
      </c>
      <c r="L238" s="5" t="n">
        <v>94.395</v>
      </c>
      <c r="M238" s="5" t="n">
        <v>7.52731042181642</v>
      </c>
      <c r="N238" s="5" t="n">
        <v>414063</v>
      </c>
      <c r="O238" s="5" t="n">
        <v>-3.52746835413546</v>
      </c>
      <c r="P238" s="5" t="n">
        <v>-30.0688360450563</v>
      </c>
      <c r="Q238" s="5" t="n">
        <v>-0.6</v>
      </c>
      <c r="R238" s="5" t="n">
        <v>0.298333333333332</v>
      </c>
      <c r="S238" s="5" t="n">
        <v>185.86</v>
      </c>
      <c r="T238" s="5" t="n">
        <v>0.466762068770636</v>
      </c>
      <c r="U238" s="5" t="n">
        <v>93.72</v>
      </c>
    </row>
    <row r="239" customFormat="false" ht="15" hidden="false" customHeight="false" outlineLevel="0" collapsed="false">
      <c r="A239" s="4" t="n">
        <v>45230</v>
      </c>
      <c r="B239" s="5" t="n">
        <v>5426</v>
      </c>
      <c r="C239" s="5" t="n">
        <v>-32.3525744919586</v>
      </c>
      <c r="D239" s="5" t="n">
        <v>5849</v>
      </c>
      <c r="E239" s="5" t="n">
        <v>677.34</v>
      </c>
      <c r="F239" s="5" t="n">
        <v>0.213854194348481</v>
      </c>
      <c r="G239" s="5" t="n">
        <v>0.7</v>
      </c>
      <c r="H239" s="5" t="n">
        <v>-0.9</v>
      </c>
      <c r="I239" s="5" t="n">
        <v>122.2</v>
      </c>
      <c r="J239" s="5" t="n">
        <v>653.532</v>
      </c>
      <c r="K239" s="5" t="n">
        <v>7.20018634039603</v>
      </c>
      <c r="L239" s="5" t="n">
        <v>86.205</v>
      </c>
      <c r="M239" s="5" t="n">
        <v>-2.81285231116122</v>
      </c>
      <c r="N239" s="5" t="n">
        <v>421893</v>
      </c>
      <c r="O239" s="5" t="n">
        <v>-3.41940800769178</v>
      </c>
      <c r="P239" s="5" t="n">
        <v>-38.557853549469</v>
      </c>
      <c r="Q239" s="5" t="n">
        <v>-0.6</v>
      </c>
      <c r="R239" s="5" t="n">
        <v>0.346666666666666</v>
      </c>
      <c r="S239" s="5" t="n">
        <v>195.59</v>
      </c>
      <c r="T239" s="5" t="n">
        <v>0.418119041213114</v>
      </c>
      <c r="U239" s="5" t="n">
        <v>90.6</v>
      </c>
    </row>
    <row r="240" customFormat="false" ht="15" hidden="false" customHeight="false" outlineLevel="0" collapsed="false">
      <c r="A240" s="4" t="n">
        <v>45260</v>
      </c>
      <c r="B240" s="5" t="n">
        <v>4944</v>
      </c>
      <c r="C240" s="5" t="n">
        <v>-30.7271963009668</v>
      </c>
      <c r="D240" s="5" t="n">
        <v>5517</v>
      </c>
      <c r="E240" s="5" t="n">
        <v>677.34</v>
      </c>
      <c r="F240" s="5" t="n">
        <v>0.210231198511826</v>
      </c>
      <c r="G240" s="5" t="n">
        <v>-1.1</v>
      </c>
      <c r="H240" s="5" t="n">
        <v>0.1</v>
      </c>
      <c r="I240" s="5" t="n">
        <v>131.2</v>
      </c>
      <c r="J240" s="5" t="n">
        <v>666.494</v>
      </c>
      <c r="K240" s="5" t="n">
        <v>9.45096667504184</v>
      </c>
      <c r="L240" s="5" t="n">
        <v>80.296</v>
      </c>
      <c r="M240" s="5" t="n">
        <v>-12.2304202874788</v>
      </c>
      <c r="N240" s="5" t="n">
        <v>449664</v>
      </c>
      <c r="O240" s="5" t="n">
        <v>7.29686649931756</v>
      </c>
      <c r="P240" s="5" t="n">
        <v>-29.3651273981723</v>
      </c>
      <c r="Q240" s="5" t="n">
        <v>-0.6</v>
      </c>
      <c r="R240" s="5" t="n">
        <v>0.394999999999999</v>
      </c>
      <c r="S240" s="5" t="n">
        <v>226.73</v>
      </c>
      <c r="T240" s="5" t="n">
        <v>0.492462046122008</v>
      </c>
      <c r="U240" s="5" t="n">
        <v>82.94</v>
      </c>
    </row>
    <row r="241" customFormat="false" ht="15" hidden="false" customHeight="false" outlineLevel="0" collapsed="false">
      <c r="A241" s="4" t="n">
        <v>45291</v>
      </c>
      <c r="B241" s="5" t="n">
        <v>5305</v>
      </c>
      <c r="C241" s="5" t="n">
        <v>-13.1751227495908</v>
      </c>
      <c r="D241" s="5" t="n">
        <v>4266</v>
      </c>
      <c r="E241" s="5" t="n">
        <v>715.48</v>
      </c>
      <c r="F241" s="5" t="n">
        <v>0.196749035612456</v>
      </c>
      <c r="G241" s="5" t="n">
        <v>-4.7</v>
      </c>
      <c r="H241" s="5" t="n">
        <v>-0.4</v>
      </c>
      <c r="I241" s="5" t="n">
        <v>187.7</v>
      </c>
      <c r="J241" s="5" t="n">
        <v>677.113</v>
      </c>
      <c r="K241" s="5" t="n">
        <v>10.729301409805</v>
      </c>
      <c r="L241" s="5" t="n">
        <v>147.802</v>
      </c>
      <c r="M241" s="5" t="n">
        <v>57.0991262940839</v>
      </c>
      <c r="N241" s="5" t="n">
        <v>431065</v>
      </c>
      <c r="O241" s="5" t="n">
        <v>2.47690457058905</v>
      </c>
      <c r="P241" s="5" t="n">
        <v>-33.5498383241951</v>
      </c>
      <c r="Q241" s="5" t="n">
        <v>-1.7</v>
      </c>
      <c r="R241" s="5" t="n">
        <v>0.471666666666665</v>
      </c>
      <c r="S241" s="5" t="n">
        <v>213</v>
      </c>
      <c r="T241" s="5" t="n">
        <v>0.471300335662509</v>
      </c>
      <c r="U241" s="5" t="n">
        <v>77.63</v>
      </c>
    </row>
    <row r="242" customFormat="false" ht="15" hidden="false" customHeight="false" outlineLevel="0" collapsed="false">
      <c r="A242" s="4" t="n">
        <v>45322</v>
      </c>
      <c r="B242" s="5" t="n">
        <v>5412</v>
      </c>
      <c r="C242" s="5" t="n">
        <v>10.3363914373089</v>
      </c>
      <c r="D242" s="5" t="n">
        <v>4604</v>
      </c>
      <c r="E242" s="5" t="n">
        <v>715.48</v>
      </c>
      <c r="F242" s="5" t="n">
        <v>0.196391233856991</v>
      </c>
      <c r="G242" s="5" t="n">
        <v>-4</v>
      </c>
      <c r="H242" s="5" t="n">
        <v>0.1</v>
      </c>
      <c r="I242" s="5" t="n">
        <v>243</v>
      </c>
      <c r="J242" s="5" t="n">
        <v>669.612</v>
      </c>
      <c r="K242" s="5" t="n">
        <v>8.70712915071643</v>
      </c>
      <c r="L242" s="5" t="n">
        <v>122.122</v>
      </c>
      <c r="M242" s="5" t="n">
        <v>26.926154965442</v>
      </c>
      <c r="N242" s="5" t="n">
        <v>421912</v>
      </c>
      <c r="O242" s="5" t="n">
        <v>-6.79850139610504</v>
      </c>
      <c r="P242" s="5" t="n">
        <v>-30.1707934951377</v>
      </c>
      <c r="Q242" s="5" t="n">
        <v>-1.7</v>
      </c>
      <c r="R242" s="5" t="n">
        <v>0.548333333333332</v>
      </c>
      <c r="S242" s="5" t="n">
        <v>183.2</v>
      </c>
      <c r="T242" s="5" t="n">
        <v>0.454584840809767</v>
      </c>
      <c r="U242" s="5" t="n">
        <v>80.12</v>
      </c>
    </row>
    <row r="243" customFormat="false" ht="15" hidden="false" customHeight="false" outlineLevel="0" collapsed="false">
      <c r="A243" s="4" t="n">
        <v>45351</v>
      </c>
      <c r="B243" s="5" t="n">
        <v>5550</v>
      </c>
      <c r="C243" s="5" t="n">
        <v>5.47320410490308</v>
      </c>
      <c r="D243" s="5" t="n">
        <v>4118</v>
      </c>
      <c r="E243" s="5" t="n">
        <v>715.48</v>
      </c>
      <c r="F243" s="5" t="n">
        <v>0.195517694414938</v>
      </c>
      <c r="G243" s="5" t="n">
        <v>-2.8</v>
      </c>
      <c r="H243" s="5" t="n">
        <v>-0.1</v>
      </c>
      <c r="I243" s="5" t="n">
        <v>297.8</v>
      </c>
      <c r="J243" s="5" t="n">
        <v>670.459</v>
      </c>
      <c r="K243" s="5" t="n">
        <v>6.89017458999013</v>
      </c>
      <c r="L243" s="5" t="n">
        <v>110.585</v>
      </c>
      <c r="M243" s="5" t="n">
        <v>17.61358802008</v>
      </c>
      <c r="N243" s="5" t="n">
        <v>447163</v>
      </c>
      <c r="O243" s="5" t="n">
        <v>-6.88119914953344</v>
      </c>
      <c r="P243" s="5" t="n">
        <v>-14.1914464783677</v>
      </c>
      <c r="Q243" s="5" t="n">
        <v>-1.7</v>
      </c>
      <c r="R243" s="5" t="n">
        <v>0.624999999999998</v>
      </c>
      <c r="S243" s="5" t="n">
        <v>146.9</v>
      </c>
      <c r="T243" s="5" t="n">
        <v>0.457093495731701</v>
      </c>
      <c r="U243" s="5" t="n">
        <v>83.48</v>
      </c>
    </row>
    <row r="244" customFormat="false" ht="15" hidden="false" customHeight="false" outlineLevel="0" collapsed="false">
      <c r="A244" s="4" t="n">
        <v>45382</v>
      </c>
      <c r="B244" s="5" t="n">
        <v>6492</v>
      </c>
      <c r="C244" s="5" t="n">
        <v>12.4935019927222</v>
      </c>
      <c r="D244" s="5" t="n">
        <v>4332</v>
      </c>
      <c r="E244" s="5" t="n">
        <v>518.12</v>
      </c>
      <c r="F244" s="5" t="n">
        <v>0.266536709642554</v>
      </c>
      <c r="G244" s="5" t="n">
        <v>-8.2</v>
      </c>
      <c r="H244" s="5" t="n">
        <v>-0.7</v>
      </c>
      <c r="I244" s="5" t="n">
        <v>326.7</v>
      </c>
      <c r="J244" s="5" t="n">
        <v>677.71</v>
      </c>
      <c r="K244" s="5" t="n">
        <v>7.38109347420326</v>
      </c>
      <c r="L244" s="5" t="n">
        <v>101.898</v>
      </c>
      <c r="M244" s="5" t="n">
        <v>8.15475242795733</v>
      </c>
      <c r="N244" s="5" t="n">
        <v>451417</v>
      </c>
      <c r="O244" s="5" t="n">
        <v>-3.9440198147896</v>
      </c>
      <c r="P244" s="5" t="n">
        <v>-17.1336176855956</v>
      </c>
      <c r="Q244" s="5" t="n">
        <v>-5.1</v>
      </c>
      <c r="R244" s="5" t="n">
        <v>0.638333333333333</v>
      </c>
      <c r="S244" s="5" t="n">
        <v>120</v>
      </c>
      <c r="T244" s="5" t="n">
        <v>0.432564784194742</v>
      </c>
      <c r="U244" s="5" t="n">
        <v>85.41</v>
      </c>
    </row>
    <row r="245" customFormat="false" ht="15" hidden="false" customHeight="false" outlineLevel="0" collapsed="false">
      <c r="A245" s="4" t="n">
        <v>45412</v>
      </c>
      <c r="B245" s="5" t="n">
        <v>6511</v>
      </c>
      <c r="C245" s="5" t="n">
        <v>11.8920776765767</v>
      </c>
      <c r="D245" s="5" t="n">
        <v>4705</v>
      </c>
      <c r="E245" s="5" t="n">
        <v>518.12</v>
      </c>
      <c r="F245" s="5" t="n">
        <v>0.265160580560488</v>
      </c>
      <c r="G245" s="5" t="n">
        <v>-1.9</v>
      </c>
      <c r="H245" s="5" t="n">
        <v>1.1</v>
      </c>
      <c r="I245" s="5" t="n">
        <v>325.9</v>
      </c>
      <c r="J245" s="5" t="n">
        <v>680.49</v>
      </c>
      <c r="K245" s="5" t="n">
        <v>8.38589449541285</v>
      </c>
      <c r="L245" s="5" t="n">
        <v>93.546</v>
      </c>
      <c r="M245" s="5" t="n">
        <v>-0.392908481073306</v>
      </c>
      <c r="N245" s="5" t="n">
        <v>460890</v>
      </c>
      <c r="O245" s="5" t="n">
        <v>0.273479058292159</v>
      </c>
      <c r="P245" s="5" t="n">
        <v>5.85047960752727</v>
      </c>
      <c r="Q245" s="5" t="n">
        <v>-5.1</v>
      </c>
      <c r="R245" s="5" t="n">
        <v>0.651666666666667</v>
      </c>
      <c r="S245" s="5" t="n">
        <v>88</v>
      </c>
      <c r="T245" s="5" t="n">
        <v>0.432218583549277</v>
      </c>
      <c r="U245" s="5" t="n">
        <v>89.94</v>
      </c>
    </row>
    <row r="246" customFormat="false" ht="15" hidden="false" customHeight="false" outlineLevel="0" collapsed="false">
      <c r="A246" s="4" t="n">
        <v>45443</v>
      </c>
      <c r="B246" s="5" t="n">
        <v>7667</v>
      </c>
      <c r="C246" s="5" t="n">
        <v>22.0859872611465</v>
      </c>
      <c r="D246" s="5" t="n">
        <v>5012</v>
      </c>
      <c r="E246" s="5" t="n">
        <v>518.12</v>
      </c>
      <c r="F246" s="5" t="n">
        <v>0.263217015363236</v>
      </c>
      <c r="G246" s="5" t="n">
        <v>1.9</v>
      </c>
      <c r="H246" s="5" t="n">
        <v>2.8</v>
      </c>
      <c r="I246" s="5" t="n">
        <v>309.5</v>
      </c>
      <c r="J246" s="5" t="n">
        <v>683.5</v>
      </c>
      <c r="K246" s="5" t="n">
        <v>8.83948604195295</v>
      </c>
      <c r="L246" s="5" t="n">
        <v>92.168</v>
      </c>
      <c r="M246" s="5" t="n">
        <v>0.478583654024356</v>
      </c>
      <c r="N246" s="5" t="n">
        <v>455922</v>
      </c>
      <c r="O246" s="5" t="n">
        <v>-0.812562410667084</v>
      </c>
      <c r="P246" s="5" t="n">
        <v>-24.6922088906989</v>
      </c>
      <c r="Q246" s="5" t="n">
        <v>-5.1</v>
      </c>
      <c r="R246" s="5" t="n">
        <v>0.665000000000001</v>
      </c>
      <c r="S246" s="5" t="n">
        <v>68.88</v>
      </c>
      <c r="T246" s="5" t="n">
        <v>0.432468398189029</v>
      </c>
      <c r="U246" s="5" t="n">
        <v>81.75</v>
      </c>
    </row>
    <row r="247" customFormat="false" ht="15" hidden="false" customHeight="false" outlineLevel="0" collapsed="false">
      <c r="A247" s="4" t="n">
        <v>45473</v>
      </c>
      <c r="B247" s="5" t="n">
        <v>6567</v>
      </c>
      <c r="C247" s="5" t="n">
        <v>20.8502024291498</v>
      </c>
      <c r="D247" s="5" t="n">
        <v>4687</v>
      </c>
      <c r="E247" s="5" t="n">
        <v>631.85</v>
      </c>
      <c r="F247" s="5" t="n">
        <v>0.213572841655456</v>
      </c>
      <c r="G247" s="5" t="n">
        <v>-3.4</v>
      </c>
      <c r="H247" s="5" t="n">
        <v>0.9</v>
      </c>
      <c r="I247" s="5" t="n">
        <v>299.7</v>
      </c>
      <c r="J247" s="5" t="n">
        <v>660.945</v>
      </c>
      <c r="K247" s="5" t="n">
        <v>6.55711275519006</v>
      </c>
      <c r="L247" s="5" t="n">
        <v>88.005</v>
      </c>
      <c r="M247" s="5" t="n">
        <v>-7.12363463669463</v>
      </c>
      <c r="N247" s="5" t="n">
        <v>448539</v>
      </c>
      <c r="O247" s="5" t="n">
        <v>-0.805649052815016</v>
      </c>
      <c r="P247" s="5" t="n">
        <v>-30.0238444080554</v>
      </c>
      <c r="Q247" s="5" t="n">
        <v>-1.1</v>
      </c>
      <c r="R247" s="5" t="n">
        <v>0.636666666666667</v>
      </c>
      <c r="S247" s="5" t="n">
        <v>63.25</v>
      </c>
      <c r="T247" s="5" t="n">
        <v>0.431274151450411</v>
      </c>
      <c r="U247" s="5" t="n">
        <v>82.25</v>
      </c>
    </row>
    <row r="248" customFormat="false" ht="15" hidden="false" customHeight="false" outlineLevel="0" collapsed="false">
      <c r="A248" s="4" t="n">
        <v>45504</v>
      </c>
      <c r="B248" s="5" t="n">
        <v>7186</v>
      </c>
      <c r="C248" s="5" t="n">
        <v>18.0742688136707</v>
      </c>
      <c r="D248" s="5" t="n">
        <v>5727</v>
      </c>
      <c r="E248" s="5" t="n">
        <v>631.85</v>
      </c>
      <c r="F248" s="5" t="n">
        <v>0.213688375405555</v>
      </c>
      <c r="G248" s="5" t="n">
        <v>-0.4</v>
      </c>
      <c r="H248" s="5" t="n">
        <v>1.3</v>
      </c>
      <c r="I248" s="5" t="n">
        <v>289.5</v>
      </c>
      <c r="J248" s="5" t="n">
        <v>676.199</v>
      </c>
      <c r="K248" s="5" t="n">
        <v>9.61863616836747</v>
      </c>
      <c r="L248" s="5" t="n">
        <v>87.05</v>
      </c>
      <c r="M248" s="5" t="n">
        <v>-10.2021869197442</v>
      </c>
      <c r="N248" s="5" t="n">
        <v>433049</v>
      </c>
      <c r="O248" s="5" t="n">
        <v>-1.52852279936604</v>
      </c>
      <c r="P248" s="5" t="n">
        <v>-40.5672902836451</v>
      </c>
      <c r="Q248" s="5" t="n">
        <v>-1.1</v>
      </c>
      <c r="R248" s="5" t="n">
        <v>0.608333333333334</v>
      </c>
      <c r="S248" s="5" t="n">
        <v>53.7</v>
      </c>
      <c r="T248" s="5" t="n">
        <v>0.436925360138784</v>
      </c>
      <c r="U248" s="5" t="n">
        <v>85.15</v>
      </c>
    </row>
    <row r="249" customFormat="false" ht="15" hidden="false" customHeight="false" outlineLevel="0" collapsed="false">
      <c r="A249" s="4" t="n">
        <v>45535</v>
      </c>
      <c r="B249" s="5" t="n">
        <v>6758</v>
      </c>
      <c r="C249" s="5" t="n">
        <v>13.8668913226622</v>
      </c>
      <c r="D249" s="5" t="n">
        <v>4883</v>
      </c>
      <c r="E249" s="5" t="n">
        <v>631.85</v>
      </c>
      <c r="F249" s="5" t="n">
        <v>0.211800269051199</v>
      </c>
      <c r="G249" s="5" t="n">
        <v>-3.1</v>
      </c>
      <c r="H249" s="5" t="n">
        <v>-1.8</v>
      </c>
      <c r="I249" s="5" t="n">
        <v>270.6</v>
      </c>
      <c r="J249" s="5" t="n">
        <v>711.346</v>
      </c>
      <c r="K249" s="5" t="n">
        <v>14.3532778188599</v>
      </c>
      <c r="L249" s="5" t="n">
        <v>86.409</v>
      </c>
      <c r="M249" s="5" t="n">
        <v>-19.9204848754448</v>
      </c>
      <c r="N249" s="5" t="n">
        <v>418310</v>
      </c>
      <c r="O249" s="5" t="n">
        <v>-1.09565332526292</v>
      </c>
      <c r="P249" s="5" t="n">
        <v>-46.3307225315341</v>
      </c>
      <c r="Q249" s="5" t="n">
        <v>-1.1</v>
      </c>
      <c r="R249" s="5" t="n">
        <v>0.580000000000001</v>
      </c>
      <c r="S249" s="5" t="n">
        <v>44.7</v>
      </c>
      <c r="T249" s="5" t="n">
        <v>0.449369106262736</v>
      </c>
      <c r="U249" s="5" t="n">
        <v>80.36</v>
      </c>
    </row>
    <row r="250" customFormat="false" ht="15" hidden="false" customHeight="false" outlineLevel="0" collapsed="false">
      <c r="A250" s="4" t="n">
        <v>45565</v>
      </c>
      <c r="B250" s="5" t="n">
        <v>6953</v>
      </c>
      <c r="C250" s="5" t="n">
        <v>20.1278507256393</v>
      </c>
      <c r="D250" s="5" t="n">
        <v>5971</v>
      </c>
      <c r="E250" s="5" t="n">
        <v>677.98</v>
      </c>
      <c r="F250" s="5" t="n">
        <v>0.19829788489336</v>
      </c>
      <c r="G250" s="5" t="n">
        <v>-2.4</v>
      </c>
      <c r="H250" s="5" t="n">
        <v>-0.2</v>
      </c>
      <c r="I250" s="5" t="n">
        <v>245.8</v>
      </c>
      <c r="J250" s="5" t="n">
        <v>733.205</v>
      </c>
      <c r="K250" s="5" t="n">
        <v>15.1315634514738</v>
      </c>
      <c r="L250" s="5" t="n">
        <v>85.893</v>
      </c>
      <c r="M250" s="5" t="n">
        <v>-9.00683298903543</v>
      </c>
      <c r="N250" s="5" t="n">
        <v>416931</v>
      </c>
      <c r="O250" s="5" t="n">
        <v>0.692648220198366</v>
      </c>
      <c r="P250" s="5" t="n">
        <v>-27.7718120805369</v>
      </c>
      <c r="Q250" s="5" t="n">
        <v>-2</v>
      </c>
      <c r="R250" s="5" t="n">
        <v>0.576666666666667</v>
      </c>
      <c r="S250" s="5" t="n">
        <v>40.9</v>
      </c>
      <c r="T250" s="5" t="n">
        <v>0.408716369746592</v>
      </c>
      <c r="U250" s="5" t="n">
        <v>74.02</v>
      </c>
    </row>
    <row r="251" customFormat="false" ht="15" hidden="false" customHeight="false" outlineLevel="0" collapsed="false">
      <c r="A251" s="4" t="n">
        <v>45596</v>
      </c>
      <c r="B251" s="5" t="n">
        <v>7032</v>
      </c>
      <c r="C251" s="5" t="n">
        <v>29.5982307408773</v>
      </c>
      <c r="D251" s="5" t="n">
        <v>6120</v>
      </c>
      <c r="E251" s="5" t="n">
        <v>677.98</v>
      </c>
      <c r="F251" s="5" t="n">
        <v>0.201066403138736</v>
      </c>
      <c r="G251" s="5" t="n">
        <v>0.4</v>
      </c>
      <c r="H251" s="5" t="n">
        <v>1.6</v>
      </c>
      <c r="I251" s="5" t="n">
        <v>226.8</v>
      </c>
      <c r="J251" s="5" t="n">
        <v>735.417</v>
      </c>
      <c r="K251" s="5" t="n">
        <v>12.5296083435853</v>
      </c>
      <c r="L251" s="5" t="n">
        <v>82.908</v>
      </c>
      <c r="M251" s="5" t="n">
        <v>-3.82460414129111</v>
      </c>
      <c r="N251" s="5" t="n">
        <v>425509</v>
      </c>
      <c r="O251" s="5" t="n">
        <v>0.857089356780039</v>
      </c>
      <c r="P251" s="5" t="n">
        <v>-21.9750727802038</v>
      </c>
      <c r="Q251" s="5" t="n">
        <v>-2</v>
      </c>
      <c r="R251" s="5" t="n">
        <v>0.573333333333334</v>
      </c>
      <c r="S251" s="5" t="n">
        <v>35</v>
      </c>
      <c r="T251" s="5" t="n">
        <v>0.418349252852276</v>
      </c>
      <c r="U251" s="5" t="n">
        <v>75.63</v>
      </c>
    </row>
    <row r="252" customFormat="false" ht="15" hidden="false" customHeight="false" outlineLevel="0" collapsed="false">
      <c r="A252" s="4" t="n">
        <v>45626</v>
      </c>
      <c r="B252" s="5" t="n">
        <v>6526</v>
      </c>
      <c r="C252" s="5" t="n">
        <v>31.9983818770227</v>
      </c>
      <c r="D252" s="5" t="n">
        <v>5249</v>
      </c>
      <c r="E252" s="5" t="n">
        <v>677.98</v>
      </c>
      <c r="F252" s="5" t="n">
        <v>0.203004513407475</v>
      </c>
      <c r="G252" s="5" t="n">
        <v>1.2</v>
      </c>
      <c r="H252" s="5" t="n">
        <v>1.2</v>
      </c>
      <c r="I252" s="5" t="n">
        <v>206.2</v>
      </c>
      <c r="J252" s="5" t="n">
        <v>751.327</v>
      </c>
      <c r="K252" s="5" t="n">
        <v>12.7282466158735</v>
      </c>
      <c r="L252" s="5" t="n">
        <v>80.669</v>
      </c>
      <c r="M252" s="5" t="n">
        <v>0.464531234432597</v>
      </c>
      <c r="N252" s="5" t="n">
        <v>423375</v>
      </c>
      <c r="O252" s="5" t="n">
        <v>-5.84636528608027</v>
      </c>
      <c r="P252" s="5" t="n">
        <v>-32.6750064261846</v>
      </c>
      <c r="Q252" s="5" t="n">
        <v>-2</v>
      </c>
      <c r="R252" s="5" t="n">
        <v>0.570000000000001</v>
      </c>
      <c r="S252" s="5" t="n">
        <v>29.4</v>
      </c>
      <c r="T252" s="5" t="n">
        <v>0.478632784919897</v>
      </c>
      <c r="U252" s="5" t="n">
        <v>74.35</v>
      </c>
    </row>
    <row r="253" customFormat="false" ht="15" hidden="false" customHeight="false" outlineLevel="0" collapsed="false">
      <c r="A253" s="4" t="n">
        <v>45657</v>
      </c>
      <c r="B253" s="5" t="n">
        <v>7049</v>
      </c>
      <c r="C253" s="5" t="n">
        <v>32.8746465598492</v>
      </c>
      <c r="D253" s="5" t="n">
        <v>5367</v>
      </c>
      <c r="E253" s="5" t="n">
        <v>709.2</v>
      </c>
      <c r="F253" s="5" t="n">
        <v>0.198079526226734</v>
      </c>
      <c r="G253" s="5" t="n">
        <v>6.7</v>
      </c>
      <c r="H253" s="5" t="n">
        <v>3.1</v>
      </c>
      <c r="I253" s="5" t="n">
        <v>137.8</v>
      </c>
      <c r="J253" s="5" t="n">
        <v>757.923</v>
      </c>
      <c r="K253" s="5" t="n">
        <v>11.9344924702376</v>
      </c>
      <c r="L253" s="5" t="n">
        <v>79.149</v>
      </c>
      <c r="M253" s="5" t="n">
        <v>-46.4493037983248</v>
      </c>
      <c r="N253" s="5" t="n">
        <v>415601</v>
      </c>
      <c r="O253" s="5" t="n">
        <v>-3.58739401250392</v>
      </c>
      <c r="P253" s="5" t="n">
        <v>-28.1682393263657</v>
      </c>
      <c r="Q253" s="5" t="n">
        <v>2.7</v>
      </c>
      <c r="R253" s="5" t="n">
        <v>0.633333333333334</v>
      </c>
      <c r="S253" s="5" t="n">
        <v>25.9</v>
      </c>
      <c r="T253" s="5" t="n">
        <v>0.462156891166076</v>
      </c>
      <c r="U253" s="5" t="n">
        <v>73.86</v>
      </c>
    </row>
    <row r="254" customFormat="false" ht="15" hidden="false" customHeight="false" outlineLevel="0" collapsed="false">
      <c r="A254" s="4" t="n">
        <v>45688</v>
      </c>
      <c r="B254" s="5" t="n">
        <v>5915</v>
      </c>
      <c r="C254" s="5" t="n">
        <v>9.29416112342942</v>
      </c>
      <c r="D254" s="5" t="n">
        <v>5753</v>
      </c>
      <c r="E254" s="5" t="n">
        <v>709.2</v>
      </c>
      <c r="F254" s="5" t="n">
        <v>0.200408911449521</v>
      </c>
      <c r="G254" s="5" t="n">
        <v>6.6</v>
      </c>
      <c r="H254" s="5" t="n">
        <v>2.8</v>
      </c>
      <c r="I254" s="5" t="n">
        <v>90.6</v>
      </c>
      <c r="J254" s="5" t="n">
        <v>747.612</v>
      </c>
      <c r="K254" s="5" t="n">
        <v>11.6485367645741</v>
      </c>
      <c r="L254" s="5" t="n">
        <v>80.89</v>
      </c>
      <c r="M254" s="5" t="n">
        <v>-33.7629583531223</v>
      </c>
      <c r="N254" s="5" t="n">
        <v>423790</v>
      </c>
      <c r="O254" s="5" t="n">
        <v>0.445116517188415</v>
      </c>
      <c r="P254" s="5" t="n">
        <v>-26.8968207528769</v>
      </c>
      <c r="Q254" s="5" t="n">
        <v>2.7</v>
      </c>
      <c r="R254" s="5" t="n">
        <v>0.696666666666668</v>
      </c>
      <c r="S254" s="5" t="n">
        <v>21.9</v>
      </c>
      <c r="T254" s="5" t="n">
        <v>0.441933106688159</v>
      </c>
      <c r="U254" s="5" t="n">
        <v>79.27</v>
      </c>
    </row>
    <row r="255" customFormat="false" ht="15" hidden="false" customHeight="false" outlineLevel="0" collapsed="false">
      <c r="A255" s="4" t="n">
        <v>45716</v>
      </c>
      <c r="B255" s="5" t="n">
        <v>6140</v>
      </c>
      <c r="C255" s="5" t="n">
        <v>10.6306306306306</v>
      </c>
      <c r="D255" s="5" t="n">
        <v>5864</v>
      </c>
      <c r="E255" s="5" t="n">
        <v>709.2</v>
      </c>
      <c r="F255" s="5" t="n">
        <v>0.203702763677383</v>
      </c>
      <c r="G255" s="5" t="n">
        <v>5.9</v>
      </c>
      <c r="H255" s="5" t="n">
        <v>2.9</v>
      </c>
      <c r="I255" s="5" t="n">
        <v>59.4</v>
      </c>
      <c r="J255" s="5" t="n">
        <v>745.849</v>
      </c>
      <c r="K255" s="5" t="n">
        <v>11.2445354600356</v>
      </c>
      <c r="L255" s="5" t="n">
        <v>80.389</v>
      </c>
      <c r="M255" s="5" t="n">
        <v>-27.3056924537686</v>
      </c>
      <c r="N255" s="5" t="n">
        <v>433775</v>
      </c>
      <c r="O255" s="5" t="n">
        <v>-2.99398653287504</v>
      </c>
      <c r="P255" s="5" t="n">
        <v>-19.4890440490363</v>
      </c>
      <c r="Q255" s="5" t="n">
        <v>2.7</v>
      </c>
      <c r="R255" s="5" t="n">
        <v>0.760000000000001</v>
      </c>
      <c r="S255" s="5" t="n">
        <v>22.2</v>
      </c>
      <c r="T255" s="5" t="n">
        <v>0.456338343610909</v>
      </c>
      <c r="U255" s="5" t="n">
        <v>75.44</v>
      </c>
    </row>
    <row r="256" customFormat="false" ht="15" hidden="false" customHeight="false" outlineLevel="0" collapsed="false">
      <c r="A256" s="4" t="n">
        <v>45747</v>
      </c>
      <c r="B256" s="5" t="n">
        <v>6642</v>
      </c>
      <c r="C256" s="5" t="n">
        <v>2.31053604436229</v>
      </c>
      <c r="D256" s="5" t="n">
        <v>6019</v>
      </c>
      <c r="E256" s="5" t="n">
        <v>691.69</v>
      </c>
      <c r="F256" s="5" t="n">
        <v>0.211515274183522</v>
      </c>
      <c r="G256" s="5" t="n">
        <v>5.8</v>
      </c>
      <c r="H256" s="5" t="n">
        <v>2</v>
      </c>
      <c r="I256" s="5" t="n">
        <v>43.5</v>
      </c>
      <c r="J256" s="5" t="n">
        <v>748.539</v>
      </c>
      <c r="K256" s="5" t="n">
        <v>10.4512254504139</v>
      </c>
      <c r="L256" s="5" t="n">
        <v>79.632</v>
      </c>
      <c r="M256" s="5" t="n">
        <v>-21.8512630277336</v>
      </c>
      <c r="N256" s="5" t="n">
        <v>439792</v>
      </c>
      <c r="O256" s="5" t="n">
        <v>-2.57522423834282</v>
      </c>
      <c r="P256" s="5" t="n">
        <v>-17.2178301093356</v>
      </c>
      <c r="Q256" s="5" t="n">
        <v>6.1</v>
      </c>
      <c r="R256" s="5" t="n">
        <v>0.945000000000001</v>
      </c>
      <c r="S256" s="5" t="n">
        <v>24.5</v>
      </c>
      <c r="T256" s="5" t="n">
        <v>0.474525845090771</v>
      </c>
      <c r="U256" s="5" t="n">
        <v>72.73</v>
      </c>
    </row>
    <row r="257" customFormat="false" ht="15" hidden="false" customHeight="false" outlineLevel="0" collapsed="false">
      <c r="A257" s="4" t="n">
        <v>45777</v>
      </c>
      <c r="B257" s="5" t="n">
        <v>6674</v>
      </c>
      <c r="C257" s="5" t="n">
        <v>2.50345569037014</v>
      </c>
      <c r="D257" s="5" t="n">
        <v>6460</v>
      </c>
      <c r="E257" s="5" t="n">
        <v>691.69</v>
      </c>
      <c r="F257" s="5" t="n">
        <v>0.214288192687476</v>
      </c>
      <c r="G257" s="5" t="n">
        <v>7.9</v>
      </c>
      <c r="H257" s="5" t="n">
        <v>2.4</v>
      </c>
      <c r="I257" s="5" t="n">
        <v>37.3</v>
      </c>
      <c r="J257" s="5" t="n">
        <v>742.116</v>
      </c>
      <c r="K257" s="5" t="n">
        <v>9.05612132433982</v>
      </c>
      <c r="L257" s="5" t="n">
        <v>85.844</v>
      </c>
      <c r="M257" s="5" t="n">
        <v>-8.23338250700192</v>
      </c>
      <c r="N257" s="5" t="n">
        <v>440408</v>
      </c>
      <c r="O257" s="5" t="n">
        <v>-4.44401050142116</v>
      </c>
      <c r="P257" s="5" t="n">
        <v>-8.56737686773658</v>
      </c>
      <c r="Q257" s="5" t="n">
        <v>6.1</v>
      </c>
      <c r="R257" s="5" t="n">
        <v>1.13</v>
      </c>
      <c r="S257" s="5" t="n">
        <v>26.3</v>
      </c>
      <c r="T257" s="5" t="n">
        <v>0.425965863746076</v>
      </c>
      <c r="U257" s="5" t="n">
        <v>68.13</v>
      </c>
    </row>
    <row r="258" customFormat="false" ht="15" hidden="false" customHeight="false" outlineLevel="0" collapsed="false">
      <c r="A258" s="4" t="n">
        <v>45808</v>
      </c>
      <c r="B258" s="5" t="n">
        <v>7095</v>
      </c>
      <c r="C258" s="5" t="n">
        <v>-7.46054519368723</v>
      </c>
      <c r="D258" s="5" t="n">
        <v>6488</v>
      </c>
      <c r="E258" s="5" t="n">
        <v>691.69</v>
      </c>
      <c r="F258" s="5" t="n">
        <v>0.21559513654961</v>
      </c>
      <c r="G258" s="5" t="n">
        <v>5.3</v>
      </c>
      <c r="H258" s="5" t="n">
        <v>0.9</v>
      </c>
      <c r="I258" s="5" t="n">
        <v>32.6</v>
      </c>
      <c r="J258" s="5" t="n">
        <v>747.828</v>
      </c>
      <c r="K258" s="5" t="n">
        <v>9.41155815654717</v>
      </c>
      <c r="L258" s="5" t="n">
        <v>86.112</v>
      </c>
      <c r="M258" s="5" t="n">
        <v>-6.57061019008768</v>
      </c>
      <c r="N258" s="5" t="n">
        <v>436059</v>
      </c>
      <c r="O258" s="5" t="n">
        <v>-4.3566662718623</v>
      </c>
      <c r="P258" s="5" t="n">
        <v>-1.78044011814136</v>
      </c>
      <c r="Q258" s="5" t="n">
        <v>6.1</v>
      </c>
      <c r="R258" s="5" t="n">
        <v>1.315</v>
      </c>
      <c r="S258" s="5" t="n">
        <v>20.9</v>
      </c>
      <c r="T258" s="5" t="n">
        <v>0.45211000711251</v>
      </c>
      <c r="U258" s="5" t="n">
        <v>64.45</v>
      </c>
    </row>
    <row r="259" customFormat="false" ht="15" hidden="false" customHeight="false" outlineLevel="0" collapsed="false">
      <c r="A259" s="4" t="n">
        <v>45838</v>
      </c>
      <c r="B259" s="5" t="n">
        <v>7275</v>
      </c>
      <c r="C259" s="5" t="n">
        <v>10.7811786203746</v>
      </c>
      <c r="D259" s="5" t="n">
        <v>6396</v>
      </c>
      <c r="E259" s="5" t="n">
        <v>727.86</v>
      </c>
      <c r="F259" s="5" t="n">
        <v>0.208202126782623</v>
      </c>
      <c r="G259" s="5" t="n">
        <v>6.4</v>
      </c>
      <c r="H259" s="5" t="n">
        <v>1.5</v>
      </c>
      <c r="I259" s="5" t="n">
        <v>29.6</v>
      </c>
      <c r="J259" s="5" t="n">
        <v>775.116</v>
      </c>
      <c r="K259" s="5" t="n">
        <v>17.2739032748565</v>
      </c>
      <c r="L259" s="5" t="n">
        <v>88.492</v>
      </c>
      <c r="M259" s="5" t="n">
        <v>0.553377648997233</v>
      </c>
      <c r="N259" s="5" t="n">
        <v>418951</v>
      </c>
      <c r="O259" s="5" t="n">
        <v>-6.59652783815901</v>
      </c>
      <c r="P259" s="5" t="n">
        <v>1.99934313162</v>
      </c>
      <c r="Q259" s="5" t="n">
        <v>6.5</v>
      </c>
      <c r="R259" s="5" t="n">
        <v>1.73833333333333</v>
      </c>
      <c r="S259" s="5" t="n">
        <v>20.75</v>
      </c>
      <c r="T259" s="5" t="n">
        <v>0.473535839219834</v>
      </c>
      <c r="U259" s="5" t="n">
        <v>71.44</v>
      </c>
    </row>
    <row r="260" customFormat="false" ht="15" hidden="false" customHeight="false" outlineLevel="0" collapsed="false">
      <c r="A260" s="4" t="n">
        <v>45869</v>
      </c>
      <c r="B260" s="5" t="n">
        <v>7761</v>
      </c>
      <c r="C260" s="5" t="n">
        <v>8.00166991372113</v>
      </c>
      <c r="D260" s="5" t="n">
        <v>6854</v>
      </c>
      <c r="E260" s="5" t="n">
        <v>727.86</v>
      </c>
      <c r="F260" s="5" t="n">
        <v>0.210540488555491</v>
      </c>
      <c r="G260" s="5" t="n">
        <v>2.8</v>
      </c>
      <c r="H260" s="5" t="n">
        <v>0.9</v>
      </c>
      <c r="I260" s="5" t="n">
        <v>29.8</v>
      </c>
      <c r="J260" s="5" t="n">
        <v>805.354</v>
      </c>
      <c r="K260" s="5" t="n">
        <v>19.1001465544906</v>
      </c>
      <c r="L260" s="5" t="n">
        <v>97.735</v>
      </c>
      <c r="M260" s="5" t="n">
        <v>12.2745548535325</v>
      </c>
      <c r="N260" s="5" t="n">
        <v>426691</v>
      </c>
      <c r="O260" s="5" t="n">
        <v>-1.46819413045637</v>
      </c>
      <c r="P260" s="5" t="n">
        <v>1.73436230706743</v>
      </c>
      <c r="Q260" s="5" t="n">
        <v>6.5</v>
      </c>
      <c r="R260" s="5" t="n">
        <v>2.16166666666667</v>
      </c>
      <c r="S260" s="5" t="n">
        <v>21.1</v>
      </c>
      <c r="T260" s="5" t="n">
        <v>0.480206398430406</v>
      </c>
      <c r="U260" s="5" t="n">
        <v>71.04</v>
      </c>
    </row>
    <row r="261" customFormat="false" ht="15" hidden="false" customHeight="false" outlineLevel="0" collapsed="false">
      <c r="A261" s="4" t="n">
        <v>45900</v>
      </c>
      <c r="B261" s="5" t="n">
        <v>7903</v>
      </c>
      <c r="C261" s="5" t="n">
        <v>16.9428825096182</v>
      </c>
      <c r="D261" s="5" t="n">
        <v>6463</v>
      </c>
      <c r="E261" s="5" t="n">
        <v>727.86</v>
      </c>
      <c r="F261" s="5" t="n">
        <v>0.214284340395131</v>
      </c>
      <c r="G261" s="5" t="n">
        <v>2.1</v>
      </c>
      <c r="H261" s="5" t="n">
        <v>2.8</v>
      </c>
      <c r="I261" s="5" t="n">
        <v>27.9</v>
      </c>
      <c r="J261" s="5" t="n">
        <v>817.274</v>
      </c>
      <c r="K261" s="5" t="n">
        <v>14.8912062484361</v>
      </c>
      <c r="L261" s="5" t="n">
        <v>95.717</v>
      </c>
      <c r="M261" s="5" t="n">
        <v>10.7720260621</v>
      </c>
      <c r="N261" s="5" t="n">
        <v>420707</v>
      </c>
      <c r="O261" s="5" t="n">
        <v>0.573020009084169</v>
      </c>
      <c r="P261" s="5" t="n">
        <v>34.1870824053452</v>
      </c>
      <c r="Q261" s="5" t="n">
        <v>6.5</v>
      </c>
      <c r="R261" s="5" t="n">
        <v>2.585</v>
      </c>
      <c r="S261" s="5" t="n">
        <v>20.94</v>
      </c>
      <c r="T261" s="5" t="n">
        <v>0.516615161083758</v>
      </c>
      <c r="U261" s="5" t="n">
        <v>67.87</v>
      </c>
    </row>
    <row r="262" customFormat="false" ht="15" hidden="false" customHeight="false" outlineLevel="0" collapsed="false">
      <c r="A262" s="4" t="n">
        <v>45930</v>
      </c>
      <c r="B262" s="5" t="n">
        <v>8128</v>
      </c>
      <c r="C262" s="5" t="n">
        <v>16.8991802099813</v>
      </c>
      <c r="D262" s="5" t="n">
        <v>7191</v>
      </c>
      <c r="E262" s="5" t="n">
        <v>668.49</v>
      </c>
      <c r="F262" s="5" t="n">
        <v>0.236898083740969</v>
      </c>
      <c r="G262" s="5" t="n">
        <v>4.8</v>
      </c>
      <c r="H262" s="5" t="n">
        <v>2.8</v>
      </c>
      <c r="I262" s="5" t="n">
        <v>27.4</v>
      </c>
      <c r="J262" s="5" t="n">
        <v>833.874</v>
      </c>
      <c r="K262" s="5" t="n">
        <v>13.729993657981</v>
      </c>
      <c r="L262" s="5" t="n">
        <v>96.719</v>
      </c>
      <c r="M262" s="5" t="n">
        <v>12.6040538809915</v>
      </c>
      <c r="N262" s="5" t="n">
        <v>416546</v>
      </c>
      <c r="O262" s="5" t="n">
        <v>-0.0923414186040361</v>
      </c>
      <c r="P262" s="5" t="n">
        <v>47.9340890788577</v>
      </c>
      <c r="Q262" s="5" t="n">
        <v>3.2</v>
      </c>
      <c r="R262" s="5" t="n">
        <v>2.80833333333334</v>
      </c>
      <c r="S262" s="5" t="n">
        <v>21.85</v>
      </c>
      <c r="T262" s="5" t="n">
        <v>0.531577671933553</v>
      </c>
      <c r="U262" s="5" t="n">
        <v>67.99</v>
      </c>
    </row>
    <row r="263" customFormat="false" ht="15" hidden="false" customHeight="false" outlineLevel="0" collapsed="false">
      <c r="A263" s="4" t="n">
        <v>45961</v>
      </c>
      <c r="B263" s="5" t="n">
        <v>7963</v>
      </c>
      <c r="C263" s="5" t="n">
        <v>13.2394766780432</v>
      </c>
      <c r="D263" s="5" t="n">
        <v>7150</v>
      </c>
      <c r="E263" s="5" t="n">
        <v>668.49</v>
      </c>
      <c r="F263" s="5" t="n">
        <v>0.239831560681536</v>
      </c>
      <c r="G263" s="5" t="n">
        <v>3.2</v>
      </c>
      <c r="H263" s="5" t="n">
        <v>2.6</v>
      </c>
      <c r="I263" s="5" t="n">
        <v>30.2</v>
      </c>
      <c r="J263" s="5" t="n">
        <v>850.854</v>
      </c>
      <c r="K263" s="5" t="n">
        <v>15.6968087493218</v>
      </c>
      <c r="L263" s="5" t="n">
        <v>97.991</v>
      </c>
      <c r="M263" s="5" t="n">
        <v>18.1924542866792</v>
      </c>
      <c r="N263" s="5" t="n">
        <v>421168</v>
      </c>
      <c r="O263" s="5" t="n">
        <v>-1.02018993722812</v>
      </c>
      <c r="P263" s="5" t="n">
        <v>50.8424182358771</v>
      </c>
      <c r="Q263" s="5" t="n">
        <v>3.2</v>
      </c>
      <c r="R263" s="5" t="n">
        <v>3.03166666666667</v>
      </c>
      <c r="S263" s="5" t="n">
        <v>20.79</v>
      </c>
      <c r="T263" s="5" t="n">
        <v>0.454151507949063</v>
      </c>
      <c r="U263" s="5" t="n">
        <v>64.54</v>
      </c>
    </row>
    <row r="264" customFormat="false" ht="15" hidden="false" customHeight="false" outlineLevel="0" collapsed="false">
      <c r="A264" s="4" t="n">
        <v>45991</v>
      </c>
      <c r="B264" s="5" t="n">
        <v>8133</v>
      </c>
      <c r="C264" s="5" t="n">
        <v>24.6245786086424</v>
      </c>
      <c r="D264" s="5" t="n">
        <v>5598</v>
      </c>
      <c r="E264" s="5" t="n">
        <v>668.49</v>
      </c>
      <c r="F264" s="5" t="n">
        <v>0.242757558078655</v>
      </c>
      <c r="G264" s="5" t="n">
        <v>-0.1</v>
      </c>
      <c r="H264" s="5" t="n">
        <v>1.9</v>
      </c>
      <c r="I264" s="5" t="n">
        <v>29.7</v>
      </c>
      <c r="J264" s="5" t="n">
        <v>848.354</v>
      </c>
      <c r="K264" s="5" t="n">
        <v>12.9140840140179</v>
      </c>
      <c r="L264" s="5" t="n">
        <v>96.659</v>
      </c>
      <c r="M264" s="5" t="n">
        <v>19.821740693451</v>
      </c>
      <c r="N264" s="5" t="n">
        <v>427503</v>
      </c>
      <c r="O264" s="5" t="n">
        <v>0.975022143489812</v>
      </c>
      <c r="P264" s="5" t="n">
        <v>57.6837416481069</v>
      </c>
      <c r="Q264" s="5" t="n">
        <v>3.2</v>
      </c>
      <c r="R264" s="5" t="n">
        <v>3.255</v>
      </c>
      <c r="S264" s="5" t="n">
        <v>21.04</v>
      </c>
      <c r="T264" s="5" t="n">
        <v>0.461641060783239</v>
      </c>
      <c r="U264" s="5" t="n">
        <v>63.8</v>
      </c>
    </row>
    <row r="265" customFormat="false" ht="15" hidden="false" customHeight="false" outlineLevel="0" collapsed="false">
      <c r="A265" s="4" t="n">
        <v>46022</v>
      </c>
      <c r="B265" s="5" t="n">
        <v>7482</v>
      </c>
      <c r="C265" s="5" t="n">
        <v>6.14271527876296</v>
      </c>
      <c r="D265" s="5" t="n">
        <v>5556</v>
      </c>
      <c r="E265" s="5" t="n">
        <v>659.68</v>
      </c>
      <c r="F265" s="5" t="n">
        <v>0.246942456948824</v>
      </c>
      <c r="G265" s="5" t="n">
        <v>3.5</v>
      </c>
      <c r="H265" s="5" t="n">
        <v>1.8</v>
      </c>
      <c r="I265" s="5" t="n">
        <v>32</v>
      </c>
      <c r="J265" s="5" t="n">
        <v>861.38</v>
      </c>
      <c r="K265" s="5" t="n">
        <v>13.6500673551271</v>
      </c>
      <c r="L265" s="5" t="n">
        <v>94.303</v>
      </c>
      <c r="M265" s="5" t="n">
        <v>19.1461673552414</v>
      </c>
      <c r="N265" s="5" t="n">
        <v>422888</v>
      </c>
      <c r="O265" s="5" t="n">
        <v>1.75336440480172</v>
      </c>
      <c r="P265" s="5" t="n">
        <v>19.6453817153629</v>
      </c>
      <c r="Q265" s="5" t="n">
        <v>2.2</v>
      </c>
      <c r="R265" s="5" t="n">
        <v>3.36333333333333</v>
      </c>
      <c r="S265" s="5" t="n">
        <v>20.15</v>
      </c>
      <c r="T265" s="5" t="n">
        <v>0.443242054346962</v>
      </c>
      <c r="U265" s="5" t="n">
        <v>62.54</v>
      </c>
    </row>
    <row r="266" customFormat="false" ht="15" hidden="false" customHeight="false" outlineLevel="0" collapsed="false">
      <c r="A266" s="4" t="n">
        <v>46053</v>
      </c>
      <c r="B266" s="5" t="n">
        <v>7245</v>
      </c>
      <c r="C266" s="5" t="n">
        <v>22.4852071005917</v>
      </c>
      <c r="D266" s="5" t="n">
        <v>5057</v>
      </c>
      <c r="E266" s="5" t="n">
        <v>659.68</v>
      </c>
      <c r="F266" s="5" t="n">
        <v>0.24790352898375</v>
      </c>
      <c r="G266" s="5" t="n">
        <v>2</v>
      </c>
      <c r="H266" s="5" t="n">
        <v>2.4</v>
      </c>
      <c r="I266" s="5" t="n">
        <v>32.8</v>
      </c>
      <c r="J266" s="5" t="n">
        <v>874.857</v>
      </c>
      <c r="K266" s="5" t="n">
        <v>17.0201922922586</v>
      </c>
      <c r="L266" s="5" t="n">
        <v>93.069</v>
      </c>
      <c r="M266" s="5" t="n">
        <v>15.0562492273458</v>
      </c>
      <c r="N266" s="5" t="n">
        <v>420299</v>
      </c>
      <c r="O266" s="5" t="n">
        <v>-0.823757049482055</v>
      </c>
      <c r="P266" s="5" t="n">
        <v>30.4215581643543</v>
      </c>
      <c r="Q266" s="5" t="n">
        <v>2.2</v>
      </c>
      <c r="R266" s="5" t="n">
        <v>3.47166666666667</v>
      </c>
      <c r="S266" s="5" t="n">
        <v>20.97</v>
      </c>
      <c r="T266" s="5" t="n">
        <v>0.45343729661257</v>
      </c>
      <c r="U266" s="5" t="n">
        <v>66.6</v>
      </c>
    </row>
    <row r="267" customFormat="false" ht="15" hidden="false" customHeight="false" outlineLevel="0" collapsed="false">
      <c r="A267" s="4" t="n">
        <v>46081</v>
      </c>
      <c r="B267" s="5" t="n">
        <v>5963</v>
      </c>
      <c r="C267" s="5" t="n">
        <v>-2.8827361563518</v>
      </c>
      <c r="D267" s="5" t="n">
        <v>5167</v>
      </c>
      <c r="E267" s="5" t="n">
        <v>659.68</v>
      </c>
      <c r="F267" s="5" t="n">
        <v>0.246578644191123</v>
      </c>
      <c r="G267" s="5" t="n">
        <v>-1.5</v>
      </c>
      <c r="H267" s="5" t="n">
        <v>-0.7</v>
      </c>
      <c r="I267" s="5" t="n">
        <v>33.1</v>
      </c>
      <c r="J267" s="5" t="n">
        <v>865.004</v>
      </c>
      <c r="K267" s="5" t="n">
        <v>15.9757538053949</v>
      </c>
      <c r="L267" s="5" t="n">
        <v>89.173</v>
      </c>
      <c r="M267" s="5" t="n">
        <v>10.9268681038451</v>
      </c>
      <c r="N267" s="5" t="n">
        <v>439279</v>
      </c>
      <c r="O267" s="5" t="n">
        <v>1.26886058440436</v>
      </c>
      <c r="P267" s="5" t="n">
        <v>33.3266725281752</v>
      </c>
      <c r="Q267" s="5" t="n">
        <v>2.2</v>
      </c>
      <c r="R267" s="5" t="n">
        <v>3.58</v>
      </c>
      <c r="S267" s="5" t="n">
        <v>22.3</v>
      </c>
      <c r="T267" s="5" t="n">
        <v>0.471072872231571</v>
      </c>
      <c r="U267" s="5" t="n">
        <v>70.89</v>
      </c>
    </row>
    <row r="268" customFormat="false" ht="15" hidden="false" customHeight="false" outlineLevel="0" collapsed="false">
      <c r="A268" s="4" t="n">
        <v>46112</v>
      </c>
      <c r="B268" s="5" t="n">
        <v>8697</v>
      </c>
      <c r="C268" s="5" t="n">
        <v>30.9394760614273</v>
      </c>
      <c r="D268" s="5" t="n">
        <v>6116</v>
      </c>
      <c r="E268" s="5" t="n">
        <v>689.47</v>
      </c>
      <c r="F268" s="5" t="n">
        <v>0.239045933833234</v>
      </c>
      <c r="G268" s="5" t="n">
        <v>6.2</v>
      </c>
      <c r="H268" s="5" t="n">
        <v>5</v>
      </c>
      <c r="I268" s="5" t="n">
        <v>36.2</v>
      </c>
      <c r="J268" s="5" t="n">
        <v>869.929</v>
      </c>
      <c r="K268" s="5" t="n">
        <v>16.2169239010927</v>
      </c>
      <c r="L268" s="5" t="n">
        <v>84.165</v>
      </c>
      <c r="M268" s="5" t="n">
        <v>5.69243520192888</v>
      </c>
      <c r="N268" s="5" t="n">
        <v>461636</v>
      </c>
      <c r="O268" s="5" t="n">
        <v>4.96689344053554</v>
      </c>
      <c r="P268" s="5" t="n">
        <v>86.0283659121389</v>
      </c>
      <c r="Q268" s="5" t="n">
        <v>2.4</v>
      </c>
      <c r="R268" s="5" t="n">
        <v>3.56666666666667</v>
      </c>
      <c r="S268" s="5" t="n">
        <v>23.8</v>
      </c>
      <c r="T268" s="5" t="n">
        <v>0.554171039863526</v>
      </c>
      <c r="U268" s="5" t="n">
        <v>103.13</v>
      </c>
    </row>
    <row r="269" customFormat="false" ht="15" hidden="false" customHeight="false" outlineLevel="0" collapsed="false">
      <c r="A269" s="4" t="n">
        <v>46142</v>
      </c>
      <c r="B269" s="5" t="n">
        <v>8916</v>
      </c>
      <c r="C269" s="5" t="n">
        <v>33.5930476475877</v>
      </c>
      <c r="D269" s="5" t="n">
        <v>6203</v>
      </c>
      <c r="E269" s="5" t="n">
        <v>689.47</v>
      </c>
      <c r="F269" s="5" t="n">
        <v>0.241924956850915</v>
      </c>
      <c r="G269" s="5" t="n">
        <v>1.7</v>
      </c>
      <c r="H269" s="5" t="n">
        <v>2</v>
      </c>
      <c r="I269" s="5" t="n">
        <v>39.9</v>
      </c>
      <c r="J269" s="5" t="n">
        <v>884.995</v>
      </c>
      <c r="K269" s="5" t="n">
        <v>19.2529200286748</v>
      </c>
      <c r="L269" s="5" t="n">
        <v>84.744</v>
      </c>
      <c r="M269" s="5" t="n">
        <v>-1.28139415684264</v>
      </c>
      <c r="N269" s="5" t="n">
        <v>459495</v>
      </c>
      <c r="O269" s="5" t="n">
        <v>4.33393580498083</v>
      </c>
      <c r="P269" s="5" t="n">
        <v>100.692264043881</v>
      </c>
      <c r="Q269" s="5" t="n">
        <v>2.4</v>
      </c>
      <c r="R269" s="5" t="n">
        <v>3.55333333333333</v>
      </c>
      <c r="S269" s="5" t="n">
        <v>24.15</v>
      </c>
      <c r="T269" s="5" t="n">
        <v>0.51998741105211</v>
      </c>
      <c r="U269" s="5" t="n">
        <v>117.29</v>
      </c>
    </row>
    <row r="270" customFormat="false" ht="15" hidden="false" customHeight="false" outlineLevel="0" collapsed="false">
      <c r="A270" s="4" t="n">
        <v>46173</v>
      </c>
      <c r="B270" s="5" t="n">
        <v>9578</v>
      </c>
      <c r="C270" s="5" t="n">
        <v>34.9964763918252</v>
      </c>
      <c r="D270" s="5" t="n">
        <v>6128</v>
      </c>
      <c r="E270" s="5" t="n">
        <v>689.47</v>
      </c>
      <c r="F270" s="5" t="n">
        <v>0.245004133609874</v>
      </c>
      <c r="G270" s="5" t="n">
        <v>0.4</v>
      </c>
      <c r="H270" s="5" t="n">
        <v>0.7</v>
      </c>
      <c r="I270" s="5" t="n">
        <v>42.1</v>
      </c>
      <c r="J270" s="5" t="n">
        <v>884.995</v>
      </c>
      <c r="K270" s="5" t="n">
        <v>19.2529200286748</v>
      </c>
      <c r="L270" s="5" t="n">
        <v>84.074</v>
      </c>
      <c r="M270" s="5" t="n">
        <v>-2.36668524712003</v>
      </c>
      <c r="N270" s="5" t="n">
        <v>433712</v>
      </c>
      <c r="O270" s="5" t="n">
        <v>-0.538229918428468</v>
      </c>
      <c r="P270" s="5" t="n">
        <v>97.6621066452077</v>
      </c>
      <c r="Q270" s="5" t="n">
        <v>2.4</v>
      </c>
      <c r="R270" s="5" t="n">
        <v>3.54</v>
      </c>
      <c r="S270" s="5" t="n">
        <v>23.32</v>
      </c>
      <c r="T270" s="5" t="n">
        <v>0.537034997282474</v>
      </c>
      <c r="U270" s="5" t="n">
        <v>107.14</v>
      </c>
    </row>
    <row r="271" customFormat="false" ht="15" hidden="false" customHeight="false" outlineLevel="0" collapsed="false">
      <c r="A271" s="4" t="n">
        <v>46203</v>
      </c>
      <c r="B271" s="5" t="n">
        <v>9112</v>
      </c>
      <c r="C271" s="5" t="n">
        <v>25.2508591065292</v>
      </c>
      <c r="D271" s="5" t="n">
        <v>6877</v>
      </c>
      <c r="E271" s="5" t="n">
        <v>799.77</v>
      </c>
      <c r="F271" s="5" t="n">
        <v>0.214112807432137</v>
      </c>
      <c r="G271" s="5" t="n">
        <v>2.7</v>
      </c>
      <c r="H271" s="5" t="n">
        <v>1.5</v>
      </c>
      <c r="I271" s="5" t="n">
        <v>42.1</v>
      </c>
      <c r="J271" s="5" t="n">
        <v>884.995</v>
      </c>
      <c r="K271" s="5" t="n">
        <v>19.2529200286748</v>
      </c>
      <c r="L271" s="5" t="n">
        <v>85.685</v>
      </c>
      <c r="M271" s="5" t="n">
        <v>-3.17203815034127</v>
      </c>
      <c r="N271" s="5" t="n">
        <v>408359</v>
      </c>
      <c r="O271" s="5" t="n">
        <v>-2.52821929056143</v>
      </c>
      <c r="P271" s="5" t="n">
        <v>126.705574562286</v>
      </c>
      <c r="Q271" s="5" t="n">
        <v>2</v>
      </c>
      <c r="R271" s="5" t="n">
        <v>3.26166666666667</v>
      </c>
      <c r="S271" s="5" t="n">
        <v>22.3</v>
      </c>
      <c r="T271" s="5" t="n">
        <v>0.503614152048732</v>
      </c>
      <c r="U271" s="5" t="n">
        <v>85.4</v>
      </c>
    </row>
    <row r="272" customFormat="false" ht="15" hidden="false" customHeight="false" outlineLevel="0" collapsed="false">
      <c r="A272" s="4" t="n">
        <v>46234</v>
      </c>
      <c r="B272" s="5" t="n">
        <v>8854</v>
      </c>
      <c r="C272" s="5" t="n">
        <v>14.083236696302</v>
      </c>
      <c r="D272" s="5" t="n">
        <v>6739</v>
      </c>
      <c r="E272" s="5" t="n">
        <v>799.77</v>
      </c>
      <c r="F272" s="5" t="n">
        <v>0.215335659001963</v>
      </c>
      <c r="G272" s="5" t="n">
        <v>2.7</v>
      </c>
      <c r="H272" s="5" t="n">
        <v>1.5</v>
      </c>
      <c r="I272" s="5" t="n">
        <v>40.9</v>
      </c>
      <c r="J272" s="5" t="n">
        <v>884.995</v>
      </c>
      <c r="K272" s="5" t="n">
        <v>19.2529200286748</v>
      </c>
      <c r="L272" s="5" t="n">
        <v>85.31</v>
      </c>
      <c r="M272" s="5" t="n">
        <v>-12.7129482785082</v>
      </c>
      <c r="N272" s="5" t="n">
        <v>406987</v>
      </c>
      <c r="O272" s="5" t="n">
        <v>-4.61786163757848</v>
      </c>
      <c r="P272" s="5" t="n">
        <v>142.204655248134</v>
      </c>
      <c r="Q272" s="5" t="n">
        <v>2</v>
      </c>
      <c r="R272" s="5" t="n">
        <v>2.98333333333334</v>
      </c>
      <c r="S272" s="5" t="n">
        <v>21.8</v>
      </c>
      <c r="T272" s="5" t="n">
        <v>0.552279397999985</v>
      </c>
      <c r="U272" s="5" t="n">
        <v>83.76</v>
      </c>
    </row>
    <row r="273" customFormat="false" ht="15" hidden="false" customHeight="false" outlineLevel="0" collapsed="false">
      <c r="A273" s="4" t="n">
        <v>46265</v>
      </c>
      <c r="B273" s="5" t="n">
        <v>8854</v>
      </c>
      <c r="C273" s="5" t="n">
        <v>12.0334050360623</v>
      </c>
      <c r="D273" s="5" t="n">
        <v>6739</v>
      </c>
      <c r="E273" s="5" t="n">
        <v>799.77</v>
      </c>
      <c r="F273" s="5" t="n">
        <v>0.216869850081899</v>
      </c>
      <c r="G273" s="5" t="n">
        <v>2.7</v>
      </c>
      <c r="H273" s="5" t="n">
        <v>1.5</v>
      </c>
      <c r="I273" s="5" t="n">
        <v>38.2</v>
      </c>
      <c r="J273" s="5" t="n">
        <v>884.995</v>
      </c>
      <c r="K273" s="5" t="n">
        <v>19.2529200286748</v>
      </c>
      <c r="L273" s="5" t="n">
        <v>85.874</v>
      </c>
      <c r="M273" s="5" t="n">
        <v>-10.2834397233511</v>
      </c>
      <c r="N273" s="5" t="n">
        <v>424460</v>
      </c>
      <c r="O273" s="5" t="n">
        <v>0.892069777778826</v>
      </c>
      <c r="P273" s="5" t="n">
        <v>170.661716531994</v>
      </c>
      <c r="Q273" s="5" t="n">
        <v>2</v>
      </c>
      <c r="R273" s="5" t="n">
        <v>2.705</v>
      </c>
      <c r="S273" s="5" t="n">
        <v>21</v>
      </c>
      <c r="T273" s="5" t="n">
        <v>0.582002470042574</v>
      </c>
      <c r="U273" s="5" t="n">
        <v>91.08</v>
      </c>
    </row>
    <row r="275" customFormat="false" ht="15" hidden="false" customHeight="false" outlineLevel="0" collapsed="false">
      <c r="A275" s="6" t="s">
        <v>55</v>
      </c>
    </row>
    <row r="276" customFormat="false" ht="15" hidden="false" customHeight="false" outlineLevel="0" collapsed="false">
      <c r="A276" s="6" t="s">
        <v>56</v>
      </c>
    </row>
    <row r="277" customFormat="false" ht="15" hidden="false" customHeight="false" outlineLevel="0" collapsed="false">
      <c r="A277" s="6" t="s">
        <v>57</v>
      </c>
    </row>
    <row r="278" customFormat="false" ht="15" hidden="false" customHeight="false" outlineLevel="0" collapsed="false">
      <c r="A278" s="7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9" min="2" style="0" width="15"/>
  </cols>
  <sheetData>
    <row r="1" customFormat="false" ht="30" hidden="false" customHeight="true" outlineLevel="0" collapsed="false">
      <c r="A1" s="3" t="s">
        <v>34</v>
      </c>
      <c r="B1" s="3" t="s">
        <v>59</v>
      </c>
      <c r="C1" s="3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</row>
    <row r="2" customFormat="false" ht="15" hidden="false" customHeight="false" outlineLevel="0" collapsed="false">
      <c r="A2" s="8" t="n">
        <f aca="false">Base!A2</f>
        <v>38017</v>
      </c>
    </row>
    <row r="3" customFormat="false" ht="15" hidden="false" customHeight="false" outlineLevel="0" collapsed="false">
      <c r="A3" s="8" t="n">
        <f aca="false">Base!A3</f>
        <v>38046</v>
      </c>
    </row>
    <row r="4" customFormat="false" ht="15" hidden="false" customHeight="false" outlineLevel="0" collapsed="false">
      <c r="A4" s="8" t="n">
        <f aca="false">Base!A4</f>
        <v>38077</v>
      </c>
    </row>
    <row r="5" customFormat="false" ht="15" hidden="false" customHeight="false" outlineLevel="0" collapsed="false">
      <c r="A5" s="8" t="n">
        <f aca="false">Base!A5</f>
        <v>38107</v>
      </c>
    </row>
    <row r="6" customFormat="false" ht="15" hidden="false" customHeight="false" outlineLevel="0" collapsed="false">
      <c r="A6" s="8" t="n">
        <f aca="false">Base!A6</f>
        <v>38138</v>
      </c>
    </row>
    <row r="7" customFormat="false" ht="15" hidden="false" customHeight="false" outlineLevel="0" collapsed="false">
      <c r="A7" s="8" t="n">
        <f aca="false">Base!A7</f>
        <v>38168</v>
      </c>
    </row>
    <row r="8" customFormat="false" ht="15" hidden="false" customHeight="false" outlineLevel="0" collapsed="false">
      <c r="A8" s="8" t="n">
        <f aca="false">Base!A8</f>
        <v>38199</v>
      </c>
    </row>
    <row r="9" customFormat="false" ht="15" hidden="false" customHeight="false" outlineLevel="0" collapsed="false">
      <c r="A9" s="8" t="n">
        <f aca="false">Base!A9</f>
        <v>38230</v>
      </c>
    </row>
    <row r="10" customFormat="false" ht="15" hidden="false" customHeight="false" outlineLevel="0" collapsed="false">
      <c r="A10" s="8" t="n">
        <f aca="false">Base!A10</f>
        <v>38260</v>
      </c>
    </row>
    <row r="11" customFormat="false" ht="15" hidden="false" customHeight="false" outlineLevel="0" collapsed="false">
      <c r="A11" s="8" t="n">
        <f aca="false">Base!A11</f>
        <v>38291</v>
      </c>
    </row>
    <row r="12" customFormat="false" ht="15" hidden="false" customHeight="false" outlineLevel="0" collapsed="false">
      <c r="A12" s="8" t="n">
        <f aca="false">Base!A12</f>
        <v>38321</v>
      </c>
    </row>
    <row r="13" customFormat="false" ht="15" hidden="false" customHeight="false" outlineLevel="0" collapsed="false">
      <c r="A13" s="8" t="n">
        <f aca="false">Base!A13</f>
        <v>38352</v>
      </c>
    </row>
    <row r="14" customFormat="false" ht="15" hidden="false" customHeight="false" outlineLevel="0" collapsed="false">
      <c r="A14" s="8" t="n">
        <f aca="false">Base!A14</f>
        <v>38383</v>
      </c>
    </row>
    <row r="15" customFormat="false" ht="15" hidden="false" customHeight="false" outlineLevel="0" collapsed="false">
      <c r="A15" s="8" t="n">
        <f aca="false">Base!A15</f>
        <v>38411</v>
      </c>
    </row>
    <row r="16" customFormat="false" ht="15" hidden="false" customHeight="false" outlineLevel="0" collapsed="false">
      <c r="A16" s="8" t="n">
        <f aca="false">Base!A16</f>
        <v>38442</v>
      </c>
    </row>
    <row r="17" customFormat="false" ht="15" hidden="false" customHeight="false" outlineLevel="0" collapsed="false">
      <c r="A17" s="8" t="n">
        <f aca="false">Base!A17</f>
        <v>38472</v>
      </c>
    </row>
    <row r="18" customFormat="false" ht="15" hidden="false" customHeight="false" outlineLevel="0" collapsed="false">
      <c r="A18" s="8" t="n">
        <f aca="false">Base!A18</f>
        <v>38503</v>
      </c>
    </row>
    <row r="19" customFormat="false" ht="15" hidden="false" customHeight="false" outlineLevel="0" collapsed="false">
      <c r="A19" s="8" t="n">
        <f aca="false">Base!A19</f>
        <v>38533</v>
      </c>
    </row>
    <row r="20" customFormat="false" ht="15" hidden="false" customHeight="false" outlineLevel="0" collapsed="false">
      <c r="A20" s="8" t="n">
        <f aca="false">Base!A20</f>
        <v>38564</v>
      </c>
    </row>
    <row r="21" customFormat="false" ht="15" hidden="false" customHeight="false" outlineLevel="0" collapsed="false">
      <c r="A21" s="8" t="n">
        <f aca="false">Base!A21</f>
        <v>38595</v>
      </c>
    </row>
    <row r="22" customFormat="false" ht="15" hidden="false" customHeight="false" outlineLevel="0" collapsed="false">
      <c r="A22" s="8" t="n">
        <f aca="false">Base!A22</f>
        <v>38625</v>
      </c>
    </row>
    <row r="23" customFormat="false" ht="15" hidden="false" customHeight="false" outlineLevel="0" collapsed="false">
      <c r="A23" s="8" t="n">
        <f aca="false">Base!A23</f>
        <v>38656</v>
      </c>
    </row>
    <row r="24" customFormat="false" ht="15" hidden="false" customHeight="false" outlineLevel="0" collapsed="false">
      <c r="A24" s="8" t="n">
        <f aca="false">Base!A24</f>
        <v>38686</v>
      </c>
    </row>
    <row r="25" customFormat="false" ht="15" hidden="false" customHeight="false" outlineLevel="0" collapsed="false">
      <c r="A25" s="8" t="n">
        <f aca="false">Base!A25</f>
        <v>38717</v>
      </c>
    </row>
    <row r="26" customFormat="false" ht="15" hidden="false" customHeight="false" outlineLevel="0" collapsed="false">
      <c r="A26" s="8" t="n">
        <f aca="false">Base!A26</f>
        <v>38748</v>
      </c>
    </row>
    <row r="27" customFormat="false" ht="15" hidden="false" customHeight="false" outlineLevel="0" collapsed="false">
      <c r="A27" s="8" t="n">
        <f aca="false">Base!A27</f>
        <v>38776</v>
      </c>
    </row>
    <row r="28" customFormat="false" ht="15" hidden="false" customHeight="false" outlineLevel="0" collapsed="false">
      <c r="A28" s="8" t="n">
        <f aca="false">Base!A28</f>
        <v>38807</v>
      </c>
    </row>
    <row r="29" customFormat="false" ht="15" hidden="false" customHeight="false" outlineLevel="0" collapsed="false">
      <c r="A29" s="8" t="n">
        <f aca="false">Base!A29</f>
        <v>38837</v>
      </c>
    </row>
    <row r="30" customFormat="false" ht="15" hidden="false" customHeight="false" outlineLevel="0" collapsed="false">
      <c r="A30" s="8" t="n">
        <f aca="false">Base!A30</f>
        <v>38868</v>
      </c>
    </row>
    <row r="31" customFormat="false" ht="15" hidden="false" customHeight="false" outlineLevel="0" collapsed="false">
      <c r="A31" s="8" t="n">
        <f aca="false">Base!A31</f>
        <v>38898</v>
      </c>
    </row>
    <row r="32" customFormat="false" ht="15" hidden="false" customHeight="false" outlineLevel="0" collapsed="false">
      <c r="A32" s="8" t="n">
        <f aca="false">Base!A32</f>
        <v>38929</v>
      </c>
    </row>
    <row r="33" customFormat="false" ht="15" hidden="false" customHeight="false" outlineLevel="0" collapsed="false">
      <c r="A33" s="8" t="n">
        <f aca="false">Base!A33</f>
        <v>38960</v>
      </c>
    </row>
    <row r="34" customFormat="false" ht="15" hidden="false" customHeight="false" outlineLevel="0" collapsed="false">
      <c r="A34" s="8" t="n">
        <f aca="false">Base!A34</f>
        <v>38990</v>
      </c>
    </row>
    <row r="35" customFormat="false" ht="15" hidden="false" customHeight="false" outlineLevel="0" collapsed="false">
      <c r="A35" s="8" t="n">
        <f aca="false">Base!A35</f>
        <v>39021</v>
      </c>
    </row>
    <row r="36" customFormat="false" ht="15" hidden="false" customHeight="false" outlineLevel="0" collapsed="false">
      <c r="A36" s="8" t="n">
        <f aca="false">Base!A36</f>
        <v>39051</v>
      </c>
    </row>
    <row r="37" customFormat="false" ht="15" hidden="false" customHeight="false" outlineLevel="0" collapsed="false">
      <c r="A37" s="8" t="n">
        <f aca="false">Base!A37</f>
        <v>39082</v>
      </c>
    </row>
    <row r="38" customFormat="false" ht="15" hidden="false" customHeight="false" outlineLevel="0" collapsed="false">
      <c r="A38" s="8" t="n">
        <f aca="false">Base!A38</f>
        <v>39113</v>
      </c>
    </row>
    <row r="39" customFormat="false" ht="15" hidden="false" customHeight="false" outlineLevel="0" collapsed="false">
      <c r="A39" s="8" t="n">
        <f aca="false">Base!A39</f>
        <v>39141</v>
      </c>
      <c r="B39" s="9" t="n">
        <f aca="false">IFERROR(AVERAGE(Base!C37:C39)-Base!R39,"")</f>
        <v>4.47385645142921</v>
      </c>
      <c r="C39" s="9" t="n">
        <f aca="false">IFERROR(AVERAGE(Base!G37:G39)-Base!R39,"")</f>
        <v>-0.383333333333331</v>
      </c>
      <c r="D39" s="9" t="n">
        <f aca="false">IFERROR(AVERAGE(Base!H37:H39)-Base!R39,"")</f>
        <v>4.35</v>
      </c>
      <c r="E39" s="5" t="n">
        <v>-7.64154951318583</v>
      </c>
      <c r="F39" s="9" t="n">
        <f aca="false">IFERROR(AVERAGE(Base!K37:K39),"")</f>
        <v>1.99096980866137</v>
      </c>
      <c r="G39" s="9" t="n">
        <f aca="false">IFERROR(AVERAGE(Base!M37:M39)*AVERAGE(Base!$F$13:F39),"")</f>
        <v>-0.635392724775817</v>
      </c>
      <c r="H39" s="9" t="n">
        <f aca="false">IFERROR(-AVERAGE(Base!O37:O39),"")</f>
        <v>-0.0072220758496037</v>
      </c>
      <c r="I39" s="9" t="n">
        <f aca="false">IFERROR(AVERAGE(Base!P37:P39),"")</f>
        <v>26.637341414275</v>
      </c>
    </row>
    <row r="40" customFormat="false" ht="15" hidden="false" customHeight="false" outlineLevel="0" collapsed="false">
      <c r="A40" s="8" t="n">
        <f aca="false">Base!A40</f>
        <v>39172</v>
      </c>
      <c r="B40" s="9" t="n">
        <f aca="false">IFERROR(AVERAGE(Base!C38:C40)-Base!R40,"")</f>
        <v>3.82261691397103</v>
      </c>
      <c r="C40" s="9" t="n">
        <f aca="false">IFERROR(AVERAGE(Base!G38:G40)-Base!R40,"")</f>
        <v>-0.114666666666665</v>
      </c>
      <c r="D40" s="9" t="n">
        <f aca="false">IFERROR(AVERAGE(Base!H38:H40)-Base!R40,"")</f>
        <v>4.61866666666667</v>
      </c>
      <c r="E40" s="5" t="n">
        <v>-7.46652405408715</v>
      </c>
      <c r="F40" s="9" t="n">
        <f aca="false">IFERROR(AVERAGE(Base!K38:K40),"")</f>
        <v>1.47727743963546</v>
      </c>
      <c r="G40" s="9" t="n">
        <f aca="false">IFERROR(AVERAGE(Base!M38:M40)*AVERAGE(Base!$F$13:F40),"")</f>
        <v>-0.809821441473071</v>
      </c>
      <c r="H40" s="9" t="n">
        <f aca="false">IFERROR(-AVERAGE(Base!O38:O40),"")</f>
        <v>0.869810161914527</v>
      </c>
      <c r="I40" s="9" t="n">
        <f aca="false">IFERROR(AVERAGE(Base!P38:P40),"")</f>
        <v>55.7825935354285</v>
      </c>
    </row>
    <row r="41" customFormat="false" ht="15" hidden="false" customHeight="false" outlineLevel="0" collapsed="false">
      <c r="A41" s="8" t="n">
        <f aca="false">Base!A41</f>
        <v>39202</v>
      </c>
      <c r="B41" s="9" t="n">
        <f aca="false">IFERROR(AVERAGE(Base!C39:C41)-Base!R41,"")</f>
        <v>4.88859688172124</v>
      </c>
      <c r="C41" s="9" t="n">
        <f aca="false">IFERROR(AVERAGE(Base!G39:G41)-Base!R41,"")</f>
        <v>0.420512820512823</v>
      </c>
      <c r="D41" s="9" t="n">
        <f aca="false">IFERROR(AVERAGE(Base!H39:H41)-Base!R41,"")</f>
        <v>4.68717948717949</v>
      </c>
      <c r="E41" s="5" t="n">
        <v>-6.8069322905958</v>
      </c>
      <c r="F41" s="9" t="n">
        <f aca="false">IFERROR(AVERAGE(Base!K39:K41),"")</f>
        <v>1.6352955455377</v>
      </c>
      <c r="G41" s="9" t="n">
        <f aca="false">IFERROR(AVERAGE(Base!M39:M41)*AVERAGE(Base!$F$13:F41),"")</f>
        <v>-0.899646975440527</v>
      </c>
      <c r="H41" s="9" t="n">
        <f aca="false">IFERROR(-AVERAGE(Base!O39:O41),"")</f>
        <v>2.36625843937354</v>
      </c>
      <c r="I41" s="9" t="n">
        <f aca="false">IFERROR(AVERAGE(Base!P39:P41),"")</f>
        <v>75.0934304451763</v>
      </c>
    </row>
    <row r="42" customFormat="false" ht="15" hidden="false" customHeight="false" outlineLevel="0" collapsed="false">
      <c r="A42" s="8" t="n">
        <f aca="false">Base!A42</f>
        <v>39233</v>
      </c>
      <c r="B42" s="9" t="n">
        <f aca="false">IFERROR(AVERAGE(Base!C40:C42)-Base!R42,"")</f>
        <v>4.91041316752928</v>
      </c>
      <c r="C42" s="9" t="n">
        <f aca="false">IFERROR(AVERAGE(Base!G40:G42)-Base!R42,"")</f>
        <v>1.22222222222222</v>
      </c>
      <c r="D42" s="9" t="n">
        <f aca="false">IFERROR(AVERAGE(Base!H40:H42)-Base!R42,"")</f>
        <v>5.28888888888889</v>
      </c>
      <c r="E42" s="5" t="n">
        <v>-5.93822059859254</v>
      </c>
      <c r="F42" s="9" t="n">
        <f aca="false">IFERROR(AVERAGE(Base!K40:K42),"")</f>
        <v>-0.0149964417043809</v>
      </c>
      <c r="G42" s="9" t="n">
        <f aca="false">IFERROR(AVERAGE(Base!M40:M42)*AVERAGE(Base!$F$13:F42),"")</f>
        <v>-0.640618756704114</v>
      </c>
      <c r="H42" s="9" t="n">
        <f aca="false">IFERROR(-AVERAGE(Base!O40:O42),"")</f>
        <v>2.74078986645687</v>
      </c>
      <c r="I42" s="9" t="n">
        <f aca="false">IFERROR(AVERAGE(Base!P40:P42),"")</f>
        <v>55.7372646483702</v>
      </c>
    </row>
    <row r="43" customFormat="false" ht="15" hidden="false" customHeight="false" outlineLevel="0" collapsed="false">
      <c r="A43" s="8" t="n">
        <f aca="false">Base!A43</f>
        <v>39263</v>
      </c>
      <c r="B43" s="9" t="n">
        <f aca="false">IFERROR(AVERAGE(Base!C41:C43)-Base!R43,"")</f>
        <v>5.89114824760646</v>
      </c>
      <c r="C43" s="9" t="n">
        <f aca="false">IFERROR(AVERAGE(Base!G41:G43)-Base!R43,"")</f>
        <v>1.33690476190476</v>
      </c>
      <c r="D43" s="9" t="n">
        <f aca="false">IFERROR(AVERAGE(Base!H41:H43)-Base!R43,"")</f>
        <v>5.5702380952381</v>
      </c>
      <c r="E43" s="5" t="n">
        <v>-4.19034988075496</v>
      </c>
      <c r="F43" s="9" t="n">
        <f aca="false">IFERROR(AVERAGE(Base!K41:K43),"")</f>
        <v>-0.945260179506224</v>
      </c>
      <c r="G43" s="9" t="n">
        <f aca="false">IFERROR(AVERAGE(Base!M41:M43)*AVERAGE(Base!$F$13:F43),"")</f>
        <v>-0.982851852802908</v>
      </c>
      <c r="H43" s="9" t="n">
        <f aca="false">IFERROR(-AVERAGE(Base!O41:O43),"")</f>
        <v>0.398438440407304</v>
      </c>
      <c r="I43" s="9" t="n">
        <f aca="false">IFERROR(AVERAGE(Base!P41:P43),"")</f>
        <v>48.1386689257145</v>
      </c>
    </row>
    <row r="44" customFormat="false" ht="15" hidden="false" customHeight="false" outlineLevel="0" collapsed="false">
      <c r="A44" s="8" t="n">
        <f aca="false">Base!A44</f>
        <v>39294</v>
      </c>
      <c r="B44" s="9" t="n">
        <f aca="false">IFERROR(AVERAGE(Base!C42:C44)-Base!R44,"")</f>
        <v>9.62661924779637</v>
      </c>
      <c r="C44" s="9" t="n">
        <f aca="false">IFERROR(AVERAGE(Base!G42:G44)-Base!R44,"")</f>
        <v>1.12183908045977</v>
      </c>
      <c r="D44" s="9" t="n">
        <f aca="false">IFERROR(AVERAGE(Base!H42:H44)-Base!R44,"")</f>
        <v>5.5551724137931</v>
      </c>
      <c r="E44" s="5" t="n">
        <v>-2.26976278475613</v>
      </c>
      <c r="F44" s="9" t="n">
        <f aca="false">IFERROR(AVERAGE(Base!K42:K44),"")</f>
        <v>-3.27364271398979</v>
      </c>
      <c r="G44" s="9" t="n">
        <f aca="false">IFERROR(AVERAGE(Base!M42:M44)*AVERAGE(Base!$F$13:F44),"")</f>
        <v>-1.01548854116293</v>
      </c>
      <c r="H44" s="9" t="n">
        <f aca="false">IFERROR(-AVERAGE(Base!O42:O44),"")</f>
        <v>-1.81492250905793</v>
      </c>
      <c r="I44" s="9" t="n">
        <f aca="false">IFERROR(AVERAGE(Base!P42:P44),"")</f>
        <v>15.6529329457628</v>
      </c>
    </row>
    <row r="45" customFormat="false" ht="15" hidden="false" customHeight="false" outlineLevel="0" collapsed="false">
      <c r="A45" s="8" t="n">
        <f aca="false">Base!A45</f>
        <v>39325</v>
      </c>
      <c r="B45" s="9" t="n">
        <f aca="false">IFERROR(AVERAGE(Base!C43:C45)-Base!R45,"")</f>
        <v>9.50691471765355</v>
      </c>
      <c r="C45" s="9" t="n">
        <f aca="false">IFERROR(AVERAGE(Base!G43:G45)-Base!R45,"")</f>
        <v>0.443333333333333</v>
      </c>
      <c r="D45" s="9" t="n">
        <f aca="false">IFERROR(AVERAGE(Base!H43:H45)-Base!R45,"")</f>
        <v>4.74333333333333</v>
      </c>
      <c r="E45" s="5" t="n">
        <v>0.215579148248931</v>
      </c>
      <c r="F45" s="9" t="n">
        <f aca="false">IFERROR(AVERAGE(Base!K43:K45),"")</f>
        <v>-3.44595606758979</v>
      </c>
      <c r="G45" s="9" t="n">
        <f aca="false">IFERROR(AVERAGE(Base!M43:M45)*AVERAGE(Base!$F$13:F45),"")</f>
        <v>-1.72800192675089</v>
      </c>
      <c r="H45" s="9" t="n">
        <f aca="false">IFERROR(-AVERAGE(Base!O43:O45),"")</f>
        <v>-1.81064686361475</v>
      </c>
      <c r="I45" s="9" t="n">
        <f aca="false">IFERROR(AVERAGE(Base!P43:P45),"")</f>
        <v>4.69770462186377</v>
      </c>
    </row>
    <row r="46" customFormat="false" ht="15" hidden="false" customHeight="false" outlineLevel="0" collapsed="false">
      <c r="A46" s="8" t="n">
        <f aca="false">Base!A46</f>
        <v>39355</v>
      </c>
      <c r="B46" s="9" t="n">
        <f aca="false">IFERROR(AVERAGE(Base!C44:C46)-Base!R46,"")</f>
        <v>10.1061003212291</v>
      </c>
      <c r="C46" s="9" t="n">
        <f aca="false">IFERROR(AVERAGE(Base!G44:G46)-Base!R46,"")</f>
        <v>-0.183870967741933</v>
      </c>
      <c r="D46" s="9" t="n">
        <f aca="false">IFERROR(AVERAGE(Base!H44:H46)-Base!R46,"")</f>
        <v>3.48279569892473</v>
      </c>
      <c r="E46" s="5" t="n">
        <v>2.59930515106996</v>
      </c>
      <c r="F46" s="9" t="n">
        <f aca="false">IFERROR(AVERAGE(Base!K44:K46),"")</f>
        <v>-3.26007694158883</v>
      </c>
      <c r="G46" s="9" t="n">
        <f aca="false">IFERROR(AVERAGE(Base!M44:M46)*AVERAGE(Base!$F$13:F46),"")</f>
        <v>-1.73812533764457</v>
      </c>
      <c r="H46" s="9" t="n">
        <f aca="false">IFERROR(-AVERAGE(Base!O44:O46),"")</f>
        <v>0.184595237825758</v>
      </c>
      <c r="I46" s="9" t="n">
        <f aca="false">IFERROR(AVERAGE(Base!P44:P46),"")</f>
        <v>6.15214353939844</v>
      </c>
    </row>
    <row r="47" customFormat="false" ht="15" hidden="false" customHeight="false" outlineLevel="0" collapsed="false">
      <c r="A47" s="8" t="n">
        <f aca="false">Base!A47</f>
        <v>39386</v>
      </c>
      <c r="B47" s="9" t="n">
        <f aca="false">IFERROR(AVERAGE(Base!C45:C47)-Base!R47,"")</f>
        <v>14.0699286356197</v>
      </c>
      <c r="C47" s="9" t="n">
        <f aca="false">IFERROR(AVERAGE(Base!G45:G47)-Base!R47,"")</f>
        <v>0.288541666666669</v>
      </c>
      <c r="D47" s="9" t="n">
        <f aca="false">IFERROR(AVERAGE(Base!H45:H47)-Base!R47,"")</f>
        <v>3.18854166666667</v>
      </c>
      <c r="E47" s="5" t="n">
        <v>4.39121614483378</v>
      </c>
      <c r="F47" s="9" t="n">
        <f aca="false">IFERROR(AVERAGE(Base!K45:K47),"")</f>
        <v>-2.23474834740322</v>
      </c>
      <c r="G47" s="9" t="n">
        <f aca="false">IFERROR(AVERAGE(Base!M45:M47)*AVERAGE(Base!$F$13:F47),"")</f>
        <v>-1.69395746029328</v>
      </c>
      <c r="H47" s="9" t="n">
        <f aca="false">IFERROR(-AVERAGE(Base!O45:O47),"")</f>
        <v>3.55192790516222</v>
      </c>
      <c r="I47" s="9" t="n">
        <f aca="false">IFERROR(AVERAGE(Base!P45:P47),"")</f>
        <v>30.4447259593509</v>
      </c>
    </row>
    <row r="48" customFormat="false" ht="15" hidden="false" customHeight="false" outlineLevel="0" collapsed="false">
      <c r="A48" s="8" t="n">
        <f aca="false">Base!A48</f>
        <v>39416</v>
      </c>
      <c r="B48" s="9" t="n">
        <f aca="false">IFERROR(AVERAGE(Base!C46:C48)-Base!R48,"")</f>
        <v>19.4253051034389</v>
      </c>
      <c r="C48" s="9" t="n">
        <f aca="false">IFERROR(AVERAGE(Base!G46:G48)-Base!R48,"")</f>
        <v>0.627272727272731</v>
      </c>
      <c r="D48" s="9" t="n">
        <f aca="false">IFERROR(AVERAGE(Base!H46:H48)-Base!R48,"")</f>
        <v>2.82727272727273</v>
      </c>
      <c r="E48" s="5" t="n">
        <v>4.49068062499146</v>
      </c>
      <c r="F48" s="9" t="n">
        <f aca="false">IFERROR(AVERAGE(Base!K46:K48),"")</f>
        <v>-1.97681746951056</v>
      </c>
      <c r="G48" s="9" t="n">
        <f aca="false">IFERROR(AVERAGE(Base!M46:M48)*AVERAGE(Base!$F$13:F48),"")</f>
        <v>-1.12037254529492</v>
      </c>
      <c r="H48" s="9" t="n">
        <f aca="false">IFERROR(-AVERAGE(Base!O46:O48),"")</f>
        <v>6.88501127142711</v>
      </c>
      <c r="I48" s="9" t="n">
        <f aca="false">IFERROR(AVERAGE(Base!P46:P48),"")</f>
        <v>20.5685476670957</v>
      </c>
    </row>
    <row r="49" customFormat="false" ht="15" hidden="false" customHeight="false" outlineLevel="0" collapsed="false">
      <c r="A49" s="8" t="n">
        <f aca="false">Base!A49</f>
        <v>39447</v>
      </c>
      <c r="B49" s="9" t="n">
        <f aca="false">IFERROR(AVERAGE(Base!C47:C49)-Base!R49,"")</f>
        <v>25.1322120239445</v>
      </c>
      <c r="C49" s="9" t="n">
        <f aca="false">IFERROR(AVERAGE(Base!G47:G49)-Base!R49,"")</f>
        <v>0.672549019607846</v>
      </c>
      <c r="D49" s="9" t="n">
        <f aca="false">IFERROR(AVERAGE(Base!H47:H49)-Base!R49,"")</f>
        <v>2.97254901960785</v>
      </c>
      <c r="E49" s="5" t="n">
        <v>3.61692831033497</v>
      </c>
      <c r="F49" s="9" t="n">
        <f aca="false">IFERROR(AVERAGE(Base!K47:K49),"")</f>
        <v>-1.55815772812451</v>
      </c>
      <c r="G49" s="9" t="n">
        <f aca="false">IFERROR(AVERAGE(Base!M47:M49)*AVERAGE(Base!$F$13:F49),"")</f>
        <v>-0.828160966862209</v>
      </c>
      <c r="H49" s="9" t="n">
        <f aca="false">IFERROR(-AVERAGE(Base!O47:O49),"")</f>
        <v>9.55007668931014</v>
      </c>
      <c r="I49" s="9" t="n">
        <f aca="false">IFERROR(AVERAGE(Base!P47:P49),"")</f>
        <v>27.2072061289927</v>
      </c>
    </row>
    <row r="50" customFormat="false" ht="15" hidden="false" customHeight="false" outlineLevel="0" collapsed="false">
      <c r="A50" s="8" t="n">
        <f aca="false">Base!A50</f>
        <v>39478</v>
      </c>
      <c r="B50" s="9" t="n">
        <f aca="false">IFERROR(AVERAGE(Base!C48:C50)-Base!R50,"")</f>
        <v>38.0680104146586</v>
      </c>
      <c r="C50" s="9" t="n">
        <f aca="false">IFERROR(AVERAGE(Base!G48:G50)-Base!R50,"")</f>
        <v>0.585714285714289</v>
      </c>
      <c r="D50" s="9" t="n">
        <f aca="false">IFERROR(AVERAGE(Base!H48:H50)-Base!R50,"")</f>
        <v>2.51904761904762</v>
      </c>
      <c r="E50" s="5" t="n">
        <v>2.80687535422804</v>
      </c>
      <c r="F50" s="9" t="n">
        <f aca="false">IFERROR(AVERAGE(Base!K48:K50),"")</f>
        <v>0.0198118208137826</v>
      </c>
      <c r="G50" s="9" t="n">
        <f aca="false">IFERROR(AVERAGE(Base!M48:M50)*AVERAGE(Base!$F$13:F50),"")</f>
        <v>-0.701516020450224</v>
      </c>
      <c r="H50" s="9" t="n">
        <f aca="false">IFERROR(-AVERAGE(Base!O48:O50),"")</f>
        <v>10.6954555156618</v>
      </c>
      <c r="I50" s="9" t="n">
        <f aca="false">IFERROR(AVERAGE(Base!P48:P50),"")</f>
        <v>17.3348254761998</v>
      </c>
    </row>
    <row r="51" customFormat="false" ht="15" hidden="false" customHeight="false" outlineLevel="0" collapsed="false">
      <c r="A51" s="8" t="n">
        <f aca="false">Base!A51</f>
        <v>39507</v>
      </c>
      <c r="B51" s="9" t="n">
        <f aca="false">IFERROR(AVERAGE(Base!C49:C51)-Base!R51,"")</f>
        <v>42.6229549828619</v>
      </c>
      <c r="C51" s="9" t="n">
        <f aca="false">IFERROR(AVERAGE(Base!G49:G51)-Base!R51,"")</f>
        <v>0.266666666666668</v>
      </c>
      <c r="D51" s="9" t="n">
        <f aca="false">IFERROR(AVERAGE(Base!H49:H51)-Base!R51,"")</f>
        <v>2.76666666666667</v>
      </c>
      <c r="E51" s="5" t="n">
        <v>3.30826316321701</v>
      </c>
      <c r="F51" s="9" t="n">
        <f aca="false">IFERROR(AVERAGE(Base!K49:K51),"")</f>
        <v>1.31593094406491</v>
      </c>
      <c r="G51" s="9" t="n">
        <f aca="false">IFERROR(AVERAGE(Base!M49:M51)*AVERAGE(Base!$F$13:F51),"")</f>
        <v>-0.545434737624798</v>
      </c>
      <c r="H51" s="9" t="n">
        <f aca="false">IFERROR(-AVERAGE(Base!O49:O51),"")</f>
        <v>9.49849619825115</v>
      </c>
      <c r="I51" s="9" t="n">
        <f aca="false">IFERROR(AVERAGE(Base!P49:P51),"")</f>
        <v>12.0155827987486</v>
      </c>
    </row>
    <row r="52" customFormat="false" ht="15" hidden="false" customHeight="false" outlineLevel="0" collapsed="false">
      <c r="A52" s="8" t="n">
        <f aca="false">Base!A52</f>
        <v>39538</v>
      </c>
      <c r="B52" s="9" t="n">
        <f aca="false">IFERROR(AVERAGE(Base!C50:C52)-Base!R52,"")</f>
        <v>37.052647849997</v>
      </c>
      <c r="C52" s="9" t="n">
        <f aca="false">IFERROR(AVERAGE(Base!G50:G52)-Base!R52,"")</f>
        <v>-1.48648648648648</v>
      </c>
      <c r="D52" s="9" t="n">
        <f aca="false">IFERROR(AVERAGE(Base!H50:H52)-Base!R52,"")</f>
        <v>0.946846846846849</v>
      </c>
      <c r="E52" s="5" t="n">
        <v>5.06382512607562</v>
      </c>
      <c r="F52" s="9" t="n">
        <f aca="false">IFERROR(AVERAGE(Base!K50:K52),"")</f>
        <v>2.5540867208627</v>
      </c>
      <c r="G52" s="9" t="n">
        <f aca="false">IFERROR(AVERAGE(Base!M50:M52)*AVERAGE(Base!$F$13:F52),"")</f>
        <v>-0.854360055169713</v>
      </c>
      <c r="H52" s="9" t="n">
        <f aca="false">IFERROR(-AVERAGE(Base!O50:O52),"")</f>
        <v>7.49585419910703</v>
      </c>
      <c r="I52" s="9" t="n">
        <f aca="false">IFERROR(AVERAGE(Base!P50:P52),"")</f>
        <v>-14.2638617242661</v>
      </c>
    </row>
    <row r="53" customFormat="false" ht="15" hidden="false" customHeight="false" outlineLevel="0" collapsed="false">
      <c r="A53" s="8" t="n">
        <f aca="false">Base!A53</f>
        <v>39568</v>
      </c>
      <c r="B53" s="9" t="n">
        <f aca="false">IFERROR(AVERAGE(Base!C51:C53)-Base!R53,"")</f>
        <v>25.2179270526183</v>
      </c>
      <c r="C53" s="9" t="n">
        <f aca="false">IFERROR(AVERAGE(Base!G51:G53)-Base!R53,"")</f>
        <v>-1.80877192982456</v>
      </c>
      <c r="D53" s="9" t="n">
        <f aca="false">IFERROR(AVERAGE(Base!H51:H53)-Base!R53,"")</f>
        <v>0.191228070175441</v>
      </c>
      <c r="E53" s="5" t="n">
        <v>6.7345125726725</v>
      </c>
      <c r="F53" s="9" t="n">
        <f aca="false">IFERROR(AVERAGE(Base!K51:K53),"")</f>
        <v>2.18053258076888</v>
      </c>
      <c r="G53" s="9" t="n">
        <f aca="false">IFERROR(AVERAGE(Base!M51:M53)*AVERAGE(Base!$F$13:F53),"")</f>
        <v>-1.29519242601552</v>
      </c>
      <c r="H53" s="9" t="n">
        <f aca="false">IFERROR(-AVERAGE(Base!O51:O53),"")</f>
        <v>5.6822742859408</v>
      </c>
      <c r="I53" s="9" t="n">
        <f aca="false">IFERROR(AVERAGE(Base!P51:P53),"")</f>
        <v>-33.6514088518185</v>
      </c>
    </row>
    <row r="54" customFormat="false" ht="15" hidden="false" customHeight="false" outlineLevel="0" collapsed="false">
      <c r="A54" s="8" t="n">
        <f aca="false">Base!A54</f>
        <v>39599</v>
      </c>
      <c r="B54" s="9" t="n">
        <f aca="false">IFERROR(AVERAGE(Base!C52:C54)-Base!R54,"")</f>
        <v>19.5293803963656</v>
      </c>
      <c r="C54" s="9" t="n">
        <f aca="false">IFERROR(AVERAGE(Base!G52:G54)-Base!R54,"")</f>
        <v>-3.26666666666666</v>
      </c>
      <c r="D54" s="9" t="n">
        <f aca="false">IFERROR(AVERAGE(Base!H52:H54)-Base!R54,"")</f>
        <v>-1.76666666666666</v>
      </c>
      <c r="E54" s="5" t="n">
        <v>6.78014868977564</v>
      </c>
      <c r="F54" s="9" t="n">
        <f aca="false">IFERROR(AVERAGE(Base!K52:K54),"")</f>
        <v>-4.68939803839508</v>
      </c>
      <c r="G54" s="9" t="n">
        <f aca="false">IFERROR(AVERAGE(Base!M52:M54)*AVERAGE(Base!$F$13:F54),"")</f>
        <v>-1.8476941356097</v>
      </c>
      <c r="H54" s="9" t="n">
        <f aca="false">IFERROR(-AVERAGE(Base!O52:O54),"")</f>
        <v>6.79024714479668</v>
      </c>
      <c r="I54" s="9" t="n">
        <f aca="false">IFERROR(AVERAGE(Base!P52:P54),"")</f>
        <v>-35.2148668441458</v>
      </c>
    </row>
    <row r="55" customFormat="false" ht="15" hidden="false" customHeight="false" outlineLevel="0" collapsed="false">
      <c r="A55" s="8" t="n">
        <f aca="false">Base!A55</f>
        <v>39629</v>
      </c>
      <c r="B55" s="9" t="n">
        <f aca="false">IFERROR(AVERAGE(Base!C53:C55)-Base!R55,"")</f>
        <v>19.6027902453792</v>
      </c>
      <c r="C55" s="9" t="n">
        <f aca="false">IFERROR(AVERAGE(Base!G53:G55)-Base!R55,"")</f>
        <v>-2.925</v>
      </c>
      <c r="D55" s="9" t="n">
        <f aca="false">IFERROR(AVERAGE(Base!H53:H55)-Base!R55,"")</f>
        <v>-2.55833333333333</v>
      </c>
      <c r="E55" s="5" t="n">
        <v>5.53168133680403</v>
      </c>
      <c r="F55" s="9" t="n">
        <f aca="false">IFERROR(AVERAGE(Base!K53:K55),"")</f>
        <v>-6.43631079756012</v>
      </c>
      <c r="G55" s="9" t="n">
        <f aca="false">IFERROR(AVERAGE(Base!M53:M55)*AVERAGE(Base!$F$13:F55),"")</f>
        <v>-2.17060921666053</v>
      </c>
      <c r="H55" s="9" t="n">
        <f aca="false">IFERROR(-AVERAGE(Base!O53:O55),"")</f>
        <v>10.7544368093763</v>
      </c>
      <c r="I55" s="9" t="n">
        <f aca="false">IFERROR(AVERAGE(Base!P53:P55),"")</f>
        <v>-38.1632212893181</v>
      </c>
    </row>
    <row r="56" customFormat="false" ht="15" hidden="false" customHeight="false" outlineLevel="0" collapsed="false">
      <c r="A56" s="8" t="n">
        <f aca="false">Base!A56</f>
        <v>39660</v>
      </c>
      <c r="B56" s="9" t="n">
        <f aca="false">IFERROR(AVERAGE(Base!C54:C56)-Base!R56,"")</f>
        <v>24.9959558283333</v>
      </c>
      <c r="C56" s="9" t="n">
        <f aca="false">IFERROR(AVERAGE(Base!G54:G56)-Base!R56,"")</f>
        <v>-3.3869918699187</v>
      </c>
      <c r="D56" s="9" t="n">
        <f aca="false">IFERROR(AVERAGE(Base!H54:H56)-Base!R56,"")</f>
        <v>-3.32032520325203</v>
      </c>
      <c r="E56" s="5" t="n">
        <v>3.59268830027268</v>
      </c>
      <c r="F56" s="9" t="n">
        <f aca="false">IFERROR(AVERAGE(Base!K54:K56),"")</f>
        <v>-4.68879139809015</v>
      </c>
      <c r="G56" s="9" t="n">
        <f aca="false">IFERROR(AVERAGE(Base!M54:M56)*AVERAGE(Base!$F$13:F56),"")</f>
        <v>-2.31940810632616</v>
      </c>
      <c r="H56" s="9" t="n">
        <f aca="false">IFERROR(-AVERAGE(Base!O54:O56),"")</f>
        <v>14.1091732548157</v>
      </c>
      <c r="I56" s="9" t="n">
        <f aca="false">IFERROR(AVERAGE(Base!P54:P56),"")</f>
        <v>-22.0795667197324</v>
      </c>
    </row>
    <row r="57" customFormat="false" ht="15" hidden="false" customHeight="false" outlineLevel="0" collapsed="false">
      <c r="A57" s="8" t="n">
        <f aca="false">Base!A57</f>
        <v>39691</v>
      </c>
      <c r="B57" s="9" t="n">
        <f aca="false">IFERROR(AVERAGE(Base!C55:C57)-Base!R57,"")</f>
        <v>32.1219351350263</v>
      </c>
      <c r="C57" s="9" t="n">
        <f aca="false">IFERROR(AVERAGE(Base!G55:G57)-Base!R57,"")</f>
        <v>-3.55238095238095</v>
      </c>
      <c r="D57" s="9" t="n">
        <f aca="false">IFERROR(AVERAGE(Base!H55:H57)-Base!R57,"")</f>
        <v>-3.55238095238095</v>
      </c>
      <c r="E57" s="5" t="n">
        <v>1.51271776349767</v>
      </c>
      <c r="F57" s="9" t="n">
        <f aca="false">IFERROR(AVERAGE(Base!K55:K57),"")</f>
        <v>2.5747184983054</v>
      </c>
      <c r="G57" s="9" t="n">
        <f aca="false">IFERROR(AVERAGE(Base!M55:M57)*AVERAGE(Base!$F$13:F57),"")</f>
        <v>-2.56804489789207</v>
      </c>
      <c r="H57" s="9" t="n">
        <f aca="false">IFERROR(-AVERAGE(Base!O55:O57),"")</f>
        <v>13.2387895820483</v>
      </c>
      <c r="I57" s="9" t="n">
        <f aca="false">IFERROR(AVERAGE(Base!P55:P57),"")</f>
        <v>-15.46714154888</v>
      </c>
    </row>
    <row r="58" customFormat="false" ht="15" hidden="false" customHeight="false" outlineLevel="0" collapsed="false">
      <c r="A58" s="8" t="n">
        <f aca="false">Base!A58</f>
        <v>39721</v>
      </c>
      <c r="B58" s="9" t="n">
        <f aca="false">IFERROR(AVERAGE(Base!C56:C58)-Base!R58,"")</f>
        <v>40.0792329341908</v>
      </c>
      <c r="C58" s="9" t="n">
        <f aca="false">IFERROR(AVERAGE(Base!G56:G58)-Base!R58,"")</f>
        <v>-2.23255813953488</v>
      </c>
      <c r="D58" s="9" t="n">
        <f aca="false">IFERROR(AVERAGE(Base!H56:H58)-Base!R58,"")</f>
        <v>-2.16589147286821</v>
      </c>
      <c r="E58" s="5" t="n">
        <v>-0.88020087128875</v>
      </c>
      <c r="F58" s="9" t="n">
        <f aca="false">IFERROR(AVERAGE(Base!K56:K58),"")</f>
        <v>4.53993410152071</v>
      </c>
      <c r="G58" s="9" t="n">
        <f aca="false">IFERROR(AVERAGE(Base!M56:M58)*AVERAGE(Base!$F$13:F58),"")</f>
        <v>-3.3242512812156</v>
      </c>
      <c r="H58" s="9" t="n">
        <f aca="false">IFERROR(-AVERAGE(Base!O56:O58),"")</f>
        <v>10.86878741049</v>
      </c>
      <c r="I58" s="9" t="n">
        <f aca="false">IFERROR(AVERAGE(Base!P56:P58),"")</f>
        <v>7.69027548071734</v>
      </c>
    </row>
    <row r="59" customFormat="false" ht="15" hidden="false" customHeight="false" outlineLevel="0" collapsed="false">
      <c r="A59" s="8" t="n">
        <f aca="false">Base!A59</f>
        <v>39752</v>
      </c>
      <c r="B59" s="9" t="n">
        <f aca="false">IFERROR(AVERAGE(Base!C57:C59)-Base!R59,"")</f>
        <v>25.6799809033296</v>
      </c>
      <c r="C59" s="9" t="n">
        <f aca="false">IFERROR(AVERAGE(Base!G57:G59)-Base!R59,"")</f>
        <v>-4.11515151515151</v>
      </c>
      <c r="D59" s="9" t="n">
        <f aca="false">IFERROR(AVERAGE(Base!H57:H59)-Base!R59,"")</f>
        <v>-3.24848484848485</v>
      </c>
      <c r="E59" s="5" t="n">
        <v>-3.17760074270955</v>
      </c>
      <c r="F59" s="9" t="n">
        <f aca="false">IFERROR(AVERAGE(Base!K57:K59),"")</f>
        <v>3.68102526147052</v>
      </c>
      <c r="G59" s="9" t="n">
        <f aca="false">IFERROR(AVERAGE(Base!M57:M59)*AVERAGE(Base!$F$13:F59),"")</f>
        <v>-4.34468626610066</v>
      </c>
      <c r="H59" s="9" t="n">
        <f aca="false">IFERROR(-AVERAGE(Base!O57:O59),"")</f>
        <v>5.95181943801742</v>
      </c>
      <c r="I59" s="9" t="n">
        <f aca="false">IFERROR(AVERAGE(Base!P57:P59),"")</f>
        <v>-8.00854547885543</v>
      </c>
    </row>
    <row r="60" customFormat="false" ht="15" hidden="false" customHeight="false" outlineLevel="0" collapsed="false">
      <c r="A60" s="8" t="n">
        <f aca="false">Base!A60</f>
        <v>39782</v>
      </c>
      <c r="B60" s="9" t="n">
        <f aca="false">IFERROR(AVERAGE(Base!C58:C60)-Base!R60,"")</f>
        <v>5.96833704586999</v>
      </c>
      <c r="C60" s="9" t="n">
        <f aca="false">IFERROR(AVERAGE(Base!G58:G60)-Base!R60,"")</f>
        <v>-6.36666666666666</v>
      </c>
      <c r="D60" s="9" t="n">
        <f aca="false">IFERROR(AVERAGE(Base!H58:H60)-Base!R60,"")</f>
        <v>-4.86666666666666</v>
      </c>
      <c r="E60" s="5" t="n">
        <v>-3.8258622721528</v>
      </c>
      <c r="F60" s="9" t="n">
        <f aca="false">IFERROR(AVERAGE(Base!K58:K60),"")</f>
        <v>5.41380840485742</v>
      </c>
      <c r="G60" s="9" t="n">
        <f aca="false">IFERROR(AVERAGE(Base!M58:M60)*AVERAGE(Base!$F$13:F60),"")</f>
        <v>-5.65117868159739</v>
      </c>
      <c r="H60" s="9" t="n">
        <f aca="false">IFERROR(-AVERAGE(Base!O58:O60),"")</f>
        <v>1.42716067977427</v>
      </c>
      <c r="I60" s="9" t="n">
        <f aca="false">IFERROR(AVERAGE(Base!P58:P60),"")</f>
        <v>-25.7417594047328</v>
      </c>
    </row>
    <row r="61" customFormat="false" ht="15" hidden="false" customHeight="false" outlineLevel="0" collapsed="false">
      <c r="A61" s="8" t="n">
        <f aca="false">Base!A61</f>
        <v>39813</v>
      </c>
      <c r="B61" s="9" t="n">
        <f aca="false">IFERROR(AVERAGE(Base!C59:C61)-Base!R61,"")</f>
        <v>-17.2106101781185</v>
      </c>
      <c r="C61" s="9" t="n">
        <f aca="false">IFERROR(AVERAGE(Base!G59:G61)-Base!R61,"")</f>
        <v>-9.87971014492753</v>
      </c>
      <c r="D61" s="9" t="n">
        <f aca="false">IFERROR(AVERAGE(Base!H59:H61)-Base!R61,"")</f>
        <v>-7.1463768115942</v>
      </c>
      <c r="E61" s="5" t="n">
        <v>-3.99076405102624</v>
      </c>
      <c r="F61" s="9" t="n">
        <f aca="false">IFERROR(AVERAGE(Base!K59:K61),"")</f>
        <v>4.61699157994394</v>
      </c>
      <c r="G61" s="9" t="n">
        <f aca="false">IFERROR(AVERAGE(Base!M59:M61)*AVERAGE(Base!$F$13:F61),"")</f>
        <v>-5.91378525954582</v>
      </c>
      <c r="H61" s="9" t="n">
        <f aca="false">IFERROR(-AVERAGE(Base!O59:O61),"")</f>
        <v>-5.20082777013352</v>
      </c>
      <c r="I61" s="9" t="n">
        <f aca="false">IFERROR(AVERAGE(Base!P59:P61),"")</f>
        <v>-53.0089358856466</v>
      </c>
    </row>
    <row r="62" customFormat="false" ht="15" hidden="false" customHeight="false" outlineLevel="0" collapsed="false">
      <c r="A62" s="8" t="n">
        <f aca="false">Base!A62</f>
        <v>39844</v>
      </c>
      <c r="B62" s="9" t="n">
        <f aca="false">IFERROR(AVERAGE(Base!C60:C62)-Base!R62,"")</f>
        <v>-31.9153781214768</v>
      </c>
      <c r="C62" s="9" t="n">
        <f aca="false">IFERROR(AVERAGE(Base!G60:G62)-Base!R62,"")</f>
        <v>-12.6687943262411</v>
      </c>
      <c r="D62" s="9" t="n">
        <f aca="false">IFERROR(AVERAGE(Base!H60:H62)-Base!R62,"")</f>
        <v>-9.16879432624113</v>
      </c>
      <c r="E62" s="5" t="n">
        <v>-4.32893290927628</v>
      </c>
      <c r="F62" s="9" t="n">
        <f aca="false">IFERROR(AVERAGE(Base!K60:K62),"")</f>
        <v>2.17950546023614</v>
      </c>
      <c r="G62" s="9" t="n">
        <f aca="false">IFERROR(AVERAGE(Base!M60:M62)*AVERAGE(Base!$F$13:F62),"")</f>
        <v>-6.11788637040489</v>
      </c>
      <c r="H62" s="9" t="n">
        <f aca="false">IFERROR(-AVERAGE(Base!O60:O62),"")</f>
        <v>-11.6575108062712</v>
      </c>
      <c r="I62" s="9" t="n">
        <f aca="false">IFERROR(AVERAGE(Base!P60:P62),"")</f>
        <v>-22.1441531485441</v>
      </c>
    </row>
    <row r="63" customFormat="false" ht="15" hidden="false" customHeight="false" outlineLevel="0" collapsed="false">
      <c r="A63" s="8" t="n">
        <f aca="false">Base!A63</f>
        <v>39872</v>
      </c>
      <c r="B63" s="9" t="n">
        <f aca="false">IFERROR(AVERAGE(Base!C61:C63)-Base!R63,"")</f>
        <v>-36.6821164225461</v>
      </c>
      <c r="C63" s="9" t="n">
        <f aca="false">IFERROR(AVERAGE(Base!G61:G63)-Base!R63,"")</f>
        <v>-13.5666666666667</v>
      </c>
      <c r="D63" s="9" t="n">
        <f aca="false">IFERROR(AVERAGE(Base!H61:H63)-Base!R63,"")</f>
        <v>-9.8</v>
      </c>
      <c r="E63" s="5" t="n">
        <v>-6.18167789384557</v>
      </c>
      <c r="F63" s="9" t="n">
        <f aca="false">IFERROR(AVERAGE(Base!K61:K63),"")</f>
        <v>-2.08189339731847</v>
      </c>
      <c r="G63" s="9" t="n">
        <f aca="false">IFERROR(AVERAGE(Base!M61:M63)*AVERAGE(Base!$F$13:F63),"")</f>
        <v>-5.93171808816126</v>
      </c>
      <c r="H63" s="9" t="n">
        <f aca="false">IFERROR(-AVERAGE(Base!O61:O63),"")</f>
        <v>-15.086888229655</v>
      </c>
      <c r="I63" s="9" t="n">
        <f aca="false">IFERROR(AVERAGE(Base!P61:P63),"")</f>
        <v>-4.45570721965788</v>
      </c>
    </row>
    <row r="64" customFormat="false" ht="15" hidden="false" customHeight="false" outlineLevel="0" collapsed="false">
      <c r="A64" s="8" t="n">
        <f aca="false">Base!A64</f>
        <v>39903</v>
      </c>
      <c r="B64" s="9" t="n">
        <f aca="false">IFERROR(AVERAGE(Base!C62:C64)-Base!R64,"")</f>
        <v>-32.2953136232437</v>
      </c>
      <c r="C64" s="9" t="n">
        <f aca="false">IFERROR(AVERAGE(Base!G62:G64)-Base!R64,"")</f>
        <v>-13.4537414965986</v>
      </c>
      <c r="D64" s="9" t="n">
        <f aca="false">IFERROR(AVERAGE(Base!H62:H64)-Base!R64,"")</f>
        <v>-9.15374149659864</v>
      </c>
      <c r="E64" s="5" t="n">
        <v>-8.42850485495959</v>
      </c>
      <c r="F64" s="9" t="n">
        <f aca="false">IFERROR(AVERAGE(Base!K62:K64),"")</f>
        <v>-3.60793753668327</v>
      </c>
      <c r="G64" s="9" t="n">
        <f aca="false">IFERROR(AVERAGE(Base!M62:M64)*AVERAGE(Base!$F$13:F64),"")</f>
        <v>-5.40908935450526</v>
      </c>
      <c r="H64" s="9" t="n">
        <f aca="false">IFERROR(-AVERAGE(Base!O62:O64),"")</f>
        <v>-15.8267067120487</v>
      </c>
      <c r="I64" s="9" t="n">
        <f aca="false">IFERROR(AVERAGE(Base!P62:P64),"")</f>
        <v>3.63549460561365</v>
      </c>
    </row>
    <row r="65" customFormat="false" ht="15" hidden="false" customHeight="false" outlineLevel="0" collapsed="false">
      <c r="A65" s="8" t="n">
        <f aca="false">Base!A65</f>
        <v>39933</v>
      </c>
      <c r="B65" s="9" t="n">
        <f aca="false">IFERROR(AVERAGE(Base!C63:C65)-Base!R65,"")</f>
        <v>-24.5054035567889</v>
      </c>
      <c r="C65" s="9" t="n">
        <f aca="false">IFERROR(AVERAGE(Base!G63:G65)-Base!R65,"")</f>
        <v>-14.652</v>
      </c>
      <c r="D65" s="9" t="n">
        <f aca="false">IFERROR(AVERAGE(Base!H63:H65)-Base!R65,"")</f>
        <v>-8.51866666666667</v>
      </c>
      <c r="E65" s="5" t="n">
        <v>-10.6880744676307</v>
      </c>
      <c r="F65" s="9" t="n">
        <f aca="false">IFERROR(AVERAGE(Base!K63:K65),"")</f>
        <v>-3.56263338240899</v>
      </c>
      <c r="G65" s="9" t="n">
        <f aca="false">IFERROR(AVERAGE(Base!M63:M65)*AVERAGE(Base!$F$13:F65),"")</f>
        <v>-4.46465034327851</v>
      </c>
      <c r="H65" s="9" t="n">
        <f aca="false">IFERROR(-AVERAGE(Base!O63:O65),"")</f>
        <v>-15.3810548583193</v>
      </c>
      <c r="I65" s="9" t="n">
        <f aca="false">IFERROR(AVERAGE(Base!P63:P65),"")</f>
        <v>-20.6613996512544</v>
      </c>
    </row>
    <row r="66" customFormat="false" ht="15" hidden="false" customHeight="false" outlineLevel="0" collapsed="false">
      <c r="A66" s="8" t="n">
        <f aca="false">Base!A66</f>
        <v>39964</v>
      </c>
      <c r="B66" s="9" t="n">
        <f aca="false">IFERROR(AVERAGE(Base!C64:C66)-Base!R66,"")</f>
        <v>-21.616366082021</v>
      </c>
      <c r="C66" s="9" t="n">
        <f aca="false">IFERROR(AVERAGE(Base!G64:G66)-Base!R66,"")</f>
        <v>-16.7941176470588</v>
      </c>
      <c r="D66" s="9" t="n">
        <f aca="false">IFERROR(AVERAGE(Base!H64:H66)-Base!R66,"")</f>
        <v>-8.66078431372549</v>
      </c>
      <c r="E66" s="5" t="n">
        <v>-11.7826249952949</v>
      </c>
      <c r="F66" s="9" t="n">
        <f aca="false">IFERROR(AVERAGE(Base!K64:K66),"")</f>
        <v>3.34914791685648</v>
      </c>
      <c r="G66" s="9" t="n">
        <f aca="false">IFERROR(AVERAGE(Base!M64:M66)*AVERAGE(Base!$F$13:F66),"")</f>
        <v>-2.82653880594798</v>
      </c>
      <c r="H66" s="9" t="n">
        <f aca="false">IFERROR(-AVERAGE(Base!O64:O66),"")</f>
        <v>-16.9453459579588</v>
      </c>
      <c r="I66" s="9" t="n">
        <f aca="false">IFERROR(AVERAGE(Base!P64:P66),"")</f>
        <v>-32.5562943675421</v>
      </c>
    </row>
    <row r="67" customFormat="false" ht="15" hidden="false" customHeight="false" outlineLevel="0" collapsed="false">
      <c r="A67" s="8" t="n">
        <f aca="false">Base!A67</f>
        <v>39994</v>
      </c>
      <c r="B67" s="9" t="n">
        <f aca="false">IFERROR(AVERAGE(Base!C65:C67)-Base!R67,"")</f>
        <v>-17.6232291750089</v>
      </c>
      <c r="C67" s="9" t="n">
        <f aca="false">IFERROR(AVERAGE(Base!G65:G67)-Base!R67,"")</f>
        <v>-17.5480769230769</v>
      </c>
      <c r="D67" s="9" t="n">
        <f aca="false">IFERROR(AVERAGE(Base!H65:H67)-Base!R67,"")</f>
        <v>-7.98141025641026</v>
      </c>
      <c r="E67" s="5" t="n">
        <v>-12.973390281908</v>
      </c>
      <c r="F67" s="9" t="n">
        <f aca="false">IFERROR(AVERAGE(Base!K65:K67),"")</f>
        <v>4.11572518030005</v>
      </c>
      <c r="G67" s="9" t="n">
        <f aca="false">IFERROR(AVERAGE(Base!M65:M67)*AVERAGE(Base!$F$13:F67),"")</f>
        <v>-1.35865893036111</v>
      </c>
      <c r="H67" s="9" t="n">
        <f aca="false">IFERROR(-AVERAGE(Base!O65:O67),"")</f>
        <v>-18.4646642998791</v>
      </c>
      <c r="I67" s="9" t="n">
        <f aca="false">IFERROR(AVERAGE(Base!P65:P67),"")</f>
        <v>-34.9954089788348</v>
      </c>
    </row>
    <row r="68" customFormat="false" ht="15" hidden="false" customHeight="false" outlineLevel="0" collapsed="false">
      <c r="A68" s="8" t="n">
        <f aca="false">Base!A68</f>
        <v>40025</v>
      </c>
      <c r="B68" s="9" t="n">
        <f aca="false">IFERROR(AVERAGE(Base!C66:C68)-Base!R68,"")</f>
        <v>-22.6806827695958</v>
      </c>
      <c r="C68" s="9" t="n">
        <f aca="false">IFERROR(AVERAGE(Base!G66:G68)-Base!R68,"")</f>
        <v>-15.5150943396226</v>
      </c>
      <c r="D68" s="9" t="n">
        <f aca="false">IFERROR(AVERAGE(Base!H66:H68)-Base!R68,"")</f>
        <v>-7.71509433962264</v>
      </c>
      <c r="E68" s="5" t="n">
        <v>-13.8046891077747</v>
      </c>
      <c r="F68" s="9" t="n">
        <f aca="false">IFERROR(AVERAGE(Base!K66:K68),"")</f>
        <v>3.26202875532726</v>
      </c>
      <c r="G68" s="9" t="n">
        <f aca="false">IFERROR(AVERAGE(Base!M66:M68)*AVERAGE(Base!$F$13:F68),"")</f>
        <v>0.0340441296189094</v>
      </c>
      <c r="H68" s="9" t="n">
        <f aca="false">IFERROR(-AVERAGE(Base!O66:O68),"")</f>
        <v>-18.9798752024663</v>
      </c>
      <c r="I68" s="9" t="n">
        <f aca="false">IFERROR(AVERAGE(Base!P66:P68),"")</f>
        <v>-18.2334692499886</v>
      </c>
    </row>
    <row r="69" customFormat="false" ht="15" hidden="false" customHeight="false" outlineLevel="0" collapsed="false">
      <c r="A69" s="8" t="n">
        <f aca="false">Base!A69</f>
        <v>40056</v>
      </c>
      <c r="B69" s="9" t="n">
        <f aca="false">IFERROR(AVERAGE(Base!C67:C69)-Base!R69,"")</f>
        <v>-30.4624196152426</v>
      </c>
      <c r="C69" s="9" t="n">
        <f aca="false">IFERROR(AVERAGE(Base!G67:G69)-Base!R69,"")</f>
        <v>-12.4944444444444</v>
      </c>
      <c r="D69" s="9" t="n">
        <f aca="false">IFERROR(AVERAGE(Base!H67:H69)-Base!R69,"")</f>
        <v>-6.72777777777778</v>
      </c>
      <c r="E69" s="5" t="n">
        <v>-14.572824587389</v>
      </c>
      <c r="F69" s="9" t="n">
        <f aca="false">IFERROR(AVERAGE(Base!K67:K69),"")</f>
        <v>-8.8516670623166</v>
      </c>
      <c r="G69" s="9" t="n">
        <f aca="false">IFERROR(AVERAGE(Base!M67:M69)*AVERAGE(Base!$F$13:F69),"")</f>
        <v>1.09825289783954</v>
      </c>
      <c r="H69" s="9" t="n">
        <f aca="false">IFERROR(-AVERAGE(Base!O67:O69),"")</f>
        <v>-16.7969215009383</v>
      </c>
      <c r="I69" s="9" t="n">
        <f aca="false">IFERROR(AVERAGE(Base!P67:P69),"")</f>
        <v>-15.4878504746667</v>
      </c>
    </row>
    <row r="70" customFormat="false" ht="15" hidden="false" customHeight="false" outlineLevel="0" collapsed="false">
      <c r="A70" s="8" t="n">
        <f aca="false">Base!A70</f>
        <v>40086</v>
      </c>
      <c r="B70" s="9" t="n">
        <f aca="false">IFERROR(AVERAGE(Base!C68:C70)-Base!R70,"")</f>
        <v>-40.551490363941</v>
      </c>
      <c r="C70" s="9" t="n">
        <f aca="false">IFERROR(AVERAGE(Base!G68:G70)-Base!R70,"")</f>
        <v>-11.1206060606061</v>
      </c>
      <c r="D70" s="9" t="n">
        <f aca="false">IFERROR(AVERAGE(Base!H68:H70)-Base!R70,"")</f>
        <v>-7.38727272727273</v>
      </c>
      <c r="E70" s="5" t="n">
        <v>-14.2589503958503</v>
      </c>
      <c r="F70" s="9" t="n">
        <f aca="false">IFERROR(AVERAGE(Base!K68:K70),"")</f>
        <v>-11.0553569427433</v>
      </c>
      <c r="G70" s="9" t="n">
        <f aca="false">IFERROR(AVERAGE(Base!M68:M70)*AVERAGE(Base!$F$13:F70),"")</f>
        <v>2.38449431843035</v>
      </c>
      <c r="H70" s="9" t="n">
        <f aca="false">IFERROR(-AVERAGE(Base!O68:O70),"")</f>
        <v>-16.1910766012976</v>
      </c>
      <c r="I70" s="9" t="n">
        <f aca="false">IFERROR(AVERAGE(Base!P68:P70),"")</f>
        <v>-21.8323206532956</v>
      </c>
    </row>
    <row r="71" customFormat="false" ht="15" hidden="false" customHeight="false" outlineLevel="0" collapsed="false">
      <c r="A71" s="8" t="n">
        <f aca="false">Base!A71</f>
        <v>40117</v>
      </c>
      <c r="B71" s="9" t="n">
        <f aca="false">IFERROR(AVERAGE(Base!C69:C71)-Base!R71,"")</f>
        <v>-37.3250214179929</v>
      </c>
      <c r="C71" s="9" t="n">
        <f aca="false">IFERROR(AVERAGE(Base!G69:G71)-Base!R71,"")</f>
        <v>-9.4875</v>
      </c>
      <c r="D71" s="9" t="n">
        <f aca="false">IFERROR(AVERAGE(Base!H69:H71)-Base!R71,"")</f>
        <v>-6.02083333333333</v>
      </c>
      <c r="E71" s="5" t="n">
        <v>-13.3991850756301</v>
      </c>
      <c r="F71" s="9" t="n">
        <f aca="false">IFERROR(AVERAGE(Base!K69:K71),"")</f>
        <v>-11.0355615277485</v>
      </c>
      <c r="G71" s="9" t="n">
        <f aca="false">IFERROR(AVERAGE(Base!M69:M71)*AVERAGE(Base!$F$13:F71),"")</f>
        <v>3.47263428706982</v>
      </c>
      <c r="H71" s="9" t="n">
        <f aca="false">IFERROR(-AVERAGE(Base!O69:O71),"")</f>
        <v>-12.4278260742466</v>
      </c>
      <c r="I71" s="9" t="n">
        <f aca="false">IFERROR(AVERAGE(Base!P69:P71),"")</f>
        <v>-1.49752226292554</v>
      </c>
    </row>
    <row r="72" customFormat="false" ht="15" hidden="false" customHeight="false" outlineLevel="0" collapsed="false">
      <c r="A72" s="8" t="n">
        <f aca="false">Base!A72</f>
        <v>40147</v>
      </c>
      <c r="B72" s="9" t="n">
        <f aca="false">IFERROR(AVERAGE(Base!C70:C72)-Base!R72,"")</f>
        <v>-23.7010969246154</v>
      </c>
      <c r="C72" s="9" t="n">
        <f aca="false">IFERROR(AVERAGE(Base!G70:G72)-Base!R72,"")</f>
        <v>-7.0280701754386</v>
      </c>
      <c r="D72" s="9" t="n">
        <f aca="false">IFERROR(AVERAGE(Base!H70:H72)-Base!R72,"")</f>
        <v>-3.96140350877193</v>
      </c>
      <c r="E72" s="5" t="n">
        <v>-12.6895166738937</v>
      </c>
      <c r="F72" s="9" t="n">
        <f aca="false">IFERROR(AVERAGE(Base!K70:K72),"")</f>
        <v>-7.96001662002788</v>
      </c>
      <c r="G72" s="9" t="n">
        <f aca="false">IFERROR(AVERAGE(Base!M70:M72)*AVERAGE(Base!$F$13:F72),"")</f>
        <v>4.73479500661438</v>
      </c>
      <c r="H72" s="9" t="n">
        <f aca="false">IFERROR(-AVERAGE(Base!O70:O72),"")</f>
        <v>-9.98252137349567</v>
      </c>
      <c r="I72" s="9" t="n">
        <f aca="false">IFERROR(AVERAGE(Base!P70:P72),"")</f>
        <v>47.5603380418498</v>
      </c>
    </row>
    <row r="73" customFormat="false" ht="15" hidden="false" customHeight="false" outlineLevel="0" collapsed="false">
      <c r="A73" s="8" t="n">
        <f aca="false">Base!A73</f>
        <v>40178</v>
      </c>
      <c r="B73" s="9" t="n">
        <f aca="false">IFERROR(AVERAGE(Base!C71:C73)-Base!R73,"")</f>
        <v>-7.67836072846319</v>
      </c>
      <c r="C73" s="9" t="n">
        <f aca="false">IFERROR(AVERAGE(Base!G71:G73)-Base!R73,"")</f>
        <v>-4.67873563218391</v>
      </c>
      <c r="D73" s="9" t="n">
        <f aca="false">IFERROR(AVERAGE(Base!H71:H73)-Base!R73,"")</f>
        <v>-2.07873563218391</v>
      </c>
      <c r="E73" s="5" t="n">
        <v>-11.1081613538494</v>
      </c>
      <c r="F73" s="9" t="n">
        <f aca="false">IFERROR(AVERAGE(Base!K71:K73),"")</f>
        <v>-7.45244443406104</v>
      </c>
      <c r="G73" s="9" t="n">
        <f aca="false">IFERROR(AVERAGE(Base!M71:M73)*AVERAGE(Base!$F$13:F73),"")</f>
        <v>4.22713356800865</v>
      </c>
      <c r="H73" s="9" t="n">
        <f aca="false">IFERROR(-AVERAGE(Base!O71:O73),"")</f>
        <v>-5.49525911209881</v>
      </c>
      <c r="I73" s="9" t="n">
        <f aca="false">IFERROR(AVERAGE(Base!P71:P73),"")</f>
        <v>80.3500071371403</v>
      </c>
    </row>
    <row r="74" customFormat="false" ht="15" hidden="false" customHeight="false" outlineLevel="0" collapsed="false">
      <c r="A74" s="8" t="n">
        <f aca="false">Base!A74</f>
        <v>40209</v>
      </c>
      <c r="B74" s="9" t="n">
        <f aca="false">IFERROR(AVERAGE(Base!C72:C74)-Base!R74,"")</f>
        <v>5.51059192210876</v>
      </c>
      <c r="C74" s="9" t="n">
        <f aca="false">IFERROR(AVERAGE(Base!G72:G74)-Base!R74,"")</f>
        <v>-2.39887005649717</v>
      </c>
      <c r="D74" s="9" t="n">
        <f aca="false">IFERROR(AVERAGE(Base!H72:H74)-Base!R74,"")</f>
        <v>-0.165536723163841</v>
      </c>
      <c r="E74" s="5" t="n">
        <v>-9.45480487736441</v>
      </c>
      <c r="F74" s="9" t="n">
        <f aca="false">IFERROR(AVERAGE(Base!K72:K74),"")</f>
        <v>-6.11905766173475</v>
      </c>
      <c r="G74" s="9" t="n">
        <f aca="false">IFERROR(AVERAGE(Base!M72:M74)*AVERAGE(Base!$F$13:F74),"")</f>
        <v>3.41234649690775</v>
      </c>
      <c r="H74" s="9" t="n">
        <f aca="false">IFERROR(-AVERAGE(Base!O72:O74),"")</f>
        <v>-0.857655443609855</v>
      </c>
      <c r="I74" s="9" t="n">
        <f aca="false">IFERROR(AVERAGE(Base!P72:P74),"")</f>
        <v>37.3928112191189</v>
      </c>
    </row>
    <row r="75" customFormat="false" ht="15" hidden="false" customHeight="false" outlineLevel="0" collapsed="false">
      <c r="A75" s="8" t="n">
        <f aca="false">Base!A75</f>
        <v>40237</v>
      </c>
      <c r="B75" s="9" t="n">
        <f aca="false">IFERROR(AVERAGE(Base!C73:C75)-Base!R75,"")</f>
        <v>5.91684382995256</v>
      </c>
      <c r="C75" s="9" t="n">
        <f aca="false">IFERROR(AVERAGE(Base!G73:G75)-Base!R75,"")</f>
        <v>-1.28833333333333</v>
      </c>
      <c r="D75" s="9" t="n">
        <f aca="false">IFERROR(AVERAGE(Base!H73:H75)-Base!R75,"")</f>
        <v>0.478333333333333</v>
      </c>
      <c r="E75" s="5" t="n">
        <v>-6.13261508120485</v>
      </c>
      <c r="F75" s="9" t="n">
        <f aca="false">IFERROR(AVERAGE(Base!K73:K75),"")</f>
        <v>-4.28354470155468</v>
      </c>
      <c r="G75" s="9" t="n">
        <f aca="false">IFERROR(AVERAGE(Base!M73:M75)*AVERAGE(Base!$F$13:F75),"")</f>
        <v>1.74872669079643</v>
      </c>
      <c r="H75" s="9" t="n">
        <f aca="false">IFERROR(-AVERAGE(Base!O73:O75),"")</f>
        <v>2.39693710075161</v>
      </c>
      <c r="I75" s="9" t="n">
        <f aca="false">IFERROR(AVERAGE(Base!P73:P75),"")</f>
        <v>-4.18979262543405</v>
      </c>
    </row>
    <row r="76" customFormat="false" ht="15" hidden="false" customHeight="false" outlineLevel="0" collapsed="false">
      <c r="A76" s="8" t="n">
        <f aca="false">Base!A76</f>
        <v>40268</v>
      </c>
      <c r="B76" s="9" t="n">
        <f aca="false">IFERROR(AVERAGE(Base!C74:C76)-Base!R76,"")</f>
        <v>4.8130824128</v>
      </c>
      <c r="C76" s="9" t="n">
        <f aca="false">IFERROR(AVERAGE(Base!G74:G76)-Base!R76,"")</f>
        <v>0.803333333333334</v>
      </c>
      <c r="D76" s="9" t="n">
        <f aca="false">IFERROR(AVERAGE(Base!H74:H76)-Base!R76,"")</f>
        <v>1.63666666666667</v>
      </c>
      <c r="E76" s="5" t="n">
        <v>-3.83295797850151</v>
      </c>
      <c r="F76" s="9" t="n">
        <f aca="false">IFERROR(AVERAGE(Base!K74:K76),"")</f>
        <v>-3.2742941270611</v>
      </c>
      <c r="G76" s="9" t="n">
        <f aca="false">IFERROR(AVERAGE(Base!M74:M76)*AVERAGE(Base!$F$13:F76),"")</f>
        <v>0.464676359519409</v>
      </c>
      <c r="H76" s="9" t="n">
        <f aca="false">IFERROR(-AVERAGE(Base!O74:O76),"")</f>
        <v>3.88848531462192</v>
      </c>
      <c r="I76" s="9" t="n">
        <f aca="false">IFERROR(AVERAGE(Base!P74:P76),"")</f>
        <v>-11.9097262395375</v>
      </c>
    </row>
    <row r="77" customFormat="false" ht="15" hidden="false" customHeight="false" outlineLevel="0" collapsed="false">
      <c r="A77" s="8" t="n">
        <f aca="false">Base!A77</f>
        <v>40298</v>
      </c>
      <c r="B77" s="9" t="n">
        <f aca="false">IFERROR(AVERAGE(Base!C75:C77)-Base!R77,"")</f>
        <v>6.2473897262067</v>
      </c>
      <c r="C77" s="9" t="n">
        <f aca="false">IFERROR(AVERAGE(Base!G75:G77)-Base!R77,"")</f>
        <v>4.095</v>
      </c>
      <c r="D77" s="9" t="n">
        <f aca="false">IFERROR(AVERAGE(Base!H75:H77)-Base!R77,"")</f>
        <v>2.76166666666667</v>
      </c>
      <c r="E77" s="5" t="n">
        <v>-2.18411465434038</v>
      </c>
      <c r="F77" s="9" t="n">
        <f aca="false">IFERROR(AVERAGE(Base!K75:K77),"")</f>
        <v>-3.59616289397981</v>
      </c>
      <c r="G77" s="9" t="n">
        <f aca="false">IFERROR(AVERAGE(Base!M75:M77)*AVERAGE(Base!$F$13:F77),"")</f>
        <v>-0.531858272994011</v>
      </c>
      <c r="H77" s="9" t="n">
        <f aca="false">IFERROR(-AVERAGE(Base!O75:O77),"")</f>
        <v>3.39275818031864</v>
      </c>
      <c r="I77" s="9" t="n">
        <f aca="false">IFERROR(AVERAGE(Base!P75:P77),"")</f>
        <v>22.1235499418902</v>
      </c>
    </row>
    <row r="78" customFormat="false" ht="15" hidden="false" customHeight="false" outlineLevel="0" collapsed="false">
      <c r="A78" s="8" t="n">
        <f aca="false">Base!A78</f>
        <v>40329</v>
      </c>
      <c r="B78" s="9" t="n">
        <f aca="false">IFERROR(AVERAGE(Base!C76:C78)-Base!R78,"")</f>
        <v>14.4826249411606</v>
      </c>
      <c r="C78" s="9" t="n">
        <f aca="false">IFERROR(AVERAGE(Base!G76:G78)-Base!R78,"")</f>
        <v>8.95333333333334</v>
      </c>
      <c r="D78" s="9" t="n">
        <f aca="false">IFERROR(AVERAGE(Base!H76:H78)-Base!R78,"")</f>
        <v>5.45333333333333</v>
      </c>
      <c r="E78" s="5" t="n">
        <v>-2.04315594336412</v>
      </c>
      <c r="F78" s="9" t="n">
        <f aca="false">IFERROR(AVERAGE(Base!K76:K78),"")</f>
        <v>-3.18480270795211</v>
      </c>
      <c r="G78" s="9" t="n">
        <f aca="false">IFERROR(AVERAGE(Base!M76:M78)*AVERAGE(Base!$F$13:F78),"")</f>
        <v>-2.22485813101943</v>
      </c>
      <c r="H78" s="9" t="n">
        <f aca="false">IFERROR(-AVERAGE(Base!O76:O78),"")</f>
        <v>2.71088804412231</v>
      </c>
      <c r="I78" s="9" t="n">
        <f aca="false">IFERROR(AVERAGE(Base!P76:P78),"")</f>
        <v>27.9075237060011</v>
      </c>
    </row>
    <row r="79" customFormat="false" ht="15" hidden="false" customHeight="false" outlineLevel="0" collapsed="false">
      <c r="A79" s="8" t="n">
        <f aca="false">Base!A79</f>
        <v>40359</v>
      </c>
      <c r="B79" s="9" t="n">
        <f aca="false">IFERROR(AVERAGE(Base!C77:C79)-Base!R79,"")</f>
        <v>18.531611460513</v>
      </c>
      <c r="C79" s="9" t="n">
        <f aca="false">IFERROR(AVERAGE(Base!G77:G79)-Base!R79,"")</f>
        <v>11.3683333333333</v>
      </c>
      <c r="D79" s="9" t="n">
        <f aca="false">IFERROR(AVERAGE(Base!H77:H79)-Base!R79,"")</f>
        <v>6.56833333333333</v>
      </c>
      <c r="E79" s="5" t="n">
        <v>-1.81885698147638</v>
      </c>
      <c r="F79" s="9" t="n">
        <f aca="false">IFERROR(AVERAGE(Base!K77:K79),"")</f>
        <v>-2.03700856503425</v>
      </c>
      <c r="G79" s="9" t="n">
        <f aca="false">IFERROR(AVERAGE(Base!M77:M79)*AVERAGE(Base!$F$13:F79),"")</f>
        <v>-3.45519865098505</v>
      </c>
      <c r="H79" s="9" t="n">
        <f aca="false">IFERROR(-AVERAGE(Base!O77:O79),"")</f>
        <v>0.887765213463166</v>
      </c>
      <c r="I79" s="9" t="n">
        <f aca="false">IFERROR(AVERAGE(Base!P77:P79),"")</f>
        <v>28.9526247491087</v>
      </c>
    </row>
    <row r="80" customFormat="false" ht="15" hidden="false" customHeight="false" outlineLevel="0" collapsed="false">
      <c r="A80" s="8" t="n">
        <f aca="false">Base!A80</f>
        <v>40390</v>
      </c>
      <c r="B80" s="9" t="n">
        <f aca="false">IFERROR(AVERAGE(Base!C78:C80)-Base!R80,"")</f>
        <v>18.0201151775244</v>
      </c>
      <c r="C80" s="9" t="n">
        <f aca="false">IFERROR(AVERAGE(Base!G78:G80)-Base!R80,"")</f>
        <v>9.85</v>
      </c>
      <c r="D80" s="9" t="n">
        <f aca="false">IFERROR(AVERAGE(Base!H78:H80)-Base!R80,"")</f>
        <v>6.78333333333333</v>
      </c>
      <c r="E80" s="5" t="n">
        <v>-1.18080220519659</v>
      </c>
      <c r="F80" s="9" t="n">
        <f aca="false">IFERROR(AVERAGE(Base!K78:K80),"")</f>
        <v>-1.17791983036451</v>
      </c>
      <c r="G80" s="9" t="n">
        <f aca="false">IFERROR(AVERAGE(Base!M78:M80)*AVERAGE(Base!$F$13:F80),"")</f>
        <v>-4.68593466327349</v>
      </c>
      <c r="H80" s="9" t="n">
        <f aca="false">IFERROR(-AVERAGE(Base!O78:O80),"")</f>
        <v>-1.22060082383848</v>
      </c>
      <c r="I80" s="9" t="n">
        <f aca="false">IFERROR(AVERAGE(Base!P78:P80),"")</f>
        <v>2.81499895677215</v>
      </c>
    </row>
    <row r="81" customFormat="false" ht="15" hidden="false" customHeight="false" outlineLevel="0" collapsed="false">
      <c r="A81" s="8" t="n">
        <f aca="false">Base!A81</f>
        <v>40421</v>
      </c>
      <c r="B81" s="9" t="n">
        <f aca="false">IFERROR(AVERAGE(Base!C79:C81)-Base!R81,"")</f>
        <v>25.1959862742333</v>
      </c>
      <c r="C81" s="9" t="n">
        <f aca="false">IFERROR(AVERAGE(Base!G79:G81)-Base!R81,"")</f>
        <v>7.09833333333333</v>
      </c>
      <c r="D81" s="9" t="n">
        <f aca="false">IFERROR(AVERAGE(Base!H79:H81)-Base!R81,"")</f>
        <v>5.83166666666667</v>
      </c>
      <c r="E81" s="5" t="n">
        <v>-1.21695539460175</v>
      </c>
      <c r="F81" s="9" t="n">
        <f aca="false">IFERROR(AVERAGE(Base!K79:K81),"")</f>
        <v>3.95757606178274</v>
      </c>
      <c r="G81" s="9" t="n">
        <f aca="false">IFERROR(AVERAGE(Base!M79:M81)*AVERAGE(Base!$F$13:F81),"")</f>
        <v>-4.8806903312366</v>
      </c>
      <c r="H81" s="9" t="n">
        <f aca="false">IFERROR(-AVERAGE(Base!O79:O81),"")</f>
        <v>-3.31425157844112</v>
      </c>
      <c r="I81" s="9" t="n">
        <f aca="false">IFERROR(AVERAGE(Base!P79:P81),"")</f>
        <v>11.5990993002134</v>
      </c>
    </row>
    <row r="82" customFormat="false" ht="15" hidden="false" customHeight="false" outlineLevel="0" collapsed="false">
      <c r="A82" s="8" t="n">
        <f aca="false">Base!A82</f>
        <v>40451</v>
      </c>
      <c r="B82" s="9" t="n">
        <f aca="false">IFERROR(AVERAGE(Base!C80:C82)-Base!R82,"")</f>
        <v>31.3127181296818</v>
      </c>
      <c r="C82" s="9" t="n">
        <f aca="false">IFERROR(AVERAGE(Base!G80:G82)-Base!R82,"")</f>
        <v>4.52333333333333</v>
      </c>
      <c r="D82" s="9" t="n">
        <f aca="false">IFERROR(AVERAGE(Base!H80:H82)-Base!R82,"")</f>
        <v>5.15666666666666</v>
      </c>
      <c r="E82" s="5" t="n">
        <v>-1.44774794457922</v>
      </c>
      <c r="F82" s="9" t="n">
        <f aca="false">IFERROR(AVERAGE(Base!K80:K82),"")</f>
        <v>3.26348987295309</v>
      </c>
      <c r="G82" s="9" t="n">
        <f aca="false">IFERROR(AVERAGE(Base!M80:M82)*AVERAGE(Base!$F$13:F82),"")</f>
        <v>-4.77911900354668</v>
      </c>
      <c r="H82" s="9" t="n">
        <f aca="false">IFERROR(-AVERAGE(Base!O80:O82),"")</f>
        <v>-3.98235296946271</v>
      </c>
      <c r="I82" s="9" t="n">
        <f aca="false">IFERROR(AVERAGE(Base!P80:P82),"")</f>
        <v>41.4964174697318</v>
      </c>
    </row>
    <row r="83" customFormat="false" ht="15" hidden="false" customHeight="false" outlineLevel="0" collapsed="false">
      <c r="A83" s="8" t="n">
        <f aca="false">Base!A83</f>
        <v>40482</v>
      </c>
      <c r="B83" s="9" t="n">
        <f aca="false">IFERROR(AVERAGE(Base!C81:C83)-Base!R83,"")</f>
        <v>31.6673213572411</v>
      </c>
      <c r="C83" s="9" t="n">
        <f aca="false">IFERROR(AVERAGE(Base!G81:G83)-Base!R83,"")</f>
        <v>3.415</v>
      </c>
      <c r="D83" s="9" t="n">
        <f aca="false">IFERROR(AVERAGE(Base!H81:H83)-Base!R83,"")</f>
        <v>4.215</v>
      </c>
      <c r="E83" s="5" t="n">
        <v>-1.2144051553678</v>
      </c>
      <c r="F83" s="9" t="n">
        <f aca="false">IFERROR(AVERAGE(Base!K81:K83),"")</f>
        <v>1.87706977865698</v>
      </c>
      <c r="G83" s="9" t="n">
        <f aca="false">IFERROR(AVERAGE(Base!M81:M83)*AVERAGE(Base!$F$13:F83),"")</f>
        <v>-4.7108362493754</v>
      </c>
      <c r="H83" s="9" t="n">
        <f aca="false">IFERROR(-AVERAGE(Base!O81:O83),"")</f>
        <v>-6.471047712004</v>
      </c>
      <c r="I83" s="9" t="n">
        <f aca="false">IFERROR(AVERAGE(Base!P81:P83),"")</f>
        <v>58.1570183265449</v>
      </c>
    </row>
    <row r="84" customFormat="false" ht="15" hidden="false" customHeight="false" outlineLevel="0" collapsed="false">
      <c r="A84" s="8" t="n">
        <f aca="false">Base!A84</f>
        <v>40512</v>
      </c>
      <c r="B84" s="9" t="n">
        <f aca="false">IFERROR(AVERAGE(Base!C82:C84)-Base!R84,"")</f>
        <v>23.2056038397743</v>
      </c>
      <c r="C84" s="9" t="n">
        <f aca="false">IFERROR(AVERAGE(Base!G82:G84)-Base!R84,"")</f>
        <v>3.07333333333333</v>
      </c>
      <c r="D84" s="9" t="n">
        <f aca="false">IFERROR(AVERAGE(Base!H82:H84)-Base!R84,"")</f>
        <v>3.24</v>
      </c>
      <c r="E84" s="5" t="n">
        <v>-0.286128429863322</v>
      </c>
      <c r="F84" s="9" t="n">
        <f aca="false">IFERROR(AVERAGE(Base!K82:K84),"")</f>
        <v>-2.78557142805101</v>
      </c>
      <c r="G84" s="9" t="n">
        <f aca="false">IFERROR(AVERAGE(Base!M82:M84)*AVERAGE(Base!$F$13:F84),"")</f>
        <v>-4.8849412644479</v>
      </c>
      <c r="H84" s="9" t="n">
        <f aca="false">IFERROR(-AVERAGE(Base!O82:O84),"")</f>
        <v>-6.59972721326996</v>
      </c>
      <c r="I84" s="9" t="n">
        <f aca="false">IFERROR(AVERAGE(Base!P82:P84),"")</f>
        <v>55.8665303026162</v>
      </c>
    </row>
    <row r="85" customFormat="false" ht="15" hidden="false" customHeight="false" outlineLevel="0" collapsed="false">
      <c r="A85" s="8" t="n">
        <f aca="false">Base!A85</f>
        <v>40543</v>
      </c>
      <c r="B85" s="9" t="n">
        <f aca="false">IFERROR(AVERAGE(Base!C83:C85)-Base!R85,"")</f>
        <v>14.424128323268</v>
      </c>
      <c r="C85" s="9" t="n">
        <f aca="false">IFERROR(AVERAGE(Base!G83:G85)-Base!R85,"")</f>
        <v>3.52666666666666</v>
      </c>
      <c r="D85" s="9" t="n">
        <f aca="false">IFERROR(AVERAGE(Base!H83:H85)-Base!R85,"")</f>
        <v>2.32666666666666</v>
      </c>
      <c r="E85" s="5" t="n">
        <v>-0.066118414710683</v>
      </c>
      <c r="F85" s="9" t="n">
        <f aca="false">IFERROR(AVERAGE(Base!K83:K85),"")</f>
        <v>-7.25431824947836</v>
      </c>
      <c r="G85" s="9" t="n">
        <f aca="false">IFERROR(AVERAGE(Base!M83:M85)*AVERAGE(Base!$F$13:F85),"")</f>
        <v>-4.72176295300191</v>
      </c>
      <c r="H85" s="9" t="n">
        <f aca="false">IFERROR(-AVERAGE(Base!O83:O85),"")</f>
        <v>-5.48826824427004</v>
      </c>
      <c r="I85" s="9" t="n">
        <f aca="false">IFERROR(AVERAGE(Base!P83:P85),"")</f>
        <v>37.0012646820145</v>
      </c>
    </row>
    <row r="86" customFormat="false" ht="15" hidden="false" customHeight="false" outlineLevel="0" collapsed="false">
      <c r="A86" s="8" t="n">
        <f aca="false">Base!A86</f>
        <v>40574</v>
      </c>
      <c r="B86" s="9" t="n">
        <f aca="false">IFERROR(AVERAGE(Base!C84:C86)-Base!R86,"")</f>
        <v>12.7226929861157</v>
      </c>
      <c r="C86" s="9" t="n">
        <f aca="false">IFERROR(AVERAGE(Base!G84:G86)-Base!R86,"")</f>
        <v>4.58</v>
      </c>
      <c r="D86" s="9" t="n">
        <f aca="false">IFERROR(AVERAGE(Base!H84:H86)-Base!R86,"")</f>
        <v>2.54666666666666</v>
      </c>
      <c r="E86" s="5" t="n">
        <v>-0.968394584225276</v>
      </c>
      <c r="F86" s="9" t="n">
        <f aca="false">IFERROR(AVERAGE(Base!K84:K86),"")</f>
        <v>-7.00580823589564</v>
      </c>
      <c r="G86" s="9" t="n">
        <f aca="false">IFERROR(AVERAGE(Base!M84:M86)*AVERAGE(Base!$F$13:F86),"")</f>
        <v>-4.02432073562279</v>
      </c>
      <c r="H86" s="9" t="n">
        <f aca="false">IFERROR(-AVERAGE(Base!O84:O86),"")</f>
        <v>-3.82361850965522</v>
      </c>
      <c r="I86" s="9" t="n">
        <f aca="false">IFERROR(AVERAGE(Base!P84:P86),"")</f>
        <v>66.7797924022586</v>
      </c>
    </row>
    <row r="87" customFormat="false" ht="15" hidden="false" customHeight="false" outlineLevel="0" collapsed="false">
      <c r="A87" s="8" t="n">
        <f aca="false">Base!A87</f>
        <v>40602</v>
      </c>
      <c r="B87" s="9" t="n">
        <f aca="false">IFERROR(AVERAGE(Base!C85:C87)-Base!R87,"")</f>
        <v>17.6891984990408</v>
      </c>
      <c r="C87" s="9" t="n">
        <f aca="false">IFERROR(AVERAGE(Base!G85:G87)-Base!R87,"")</f>
        <v>4</v>
      </c>
      <c r="D87" s="9" t="n">
        <f aca="false">IFERROR(AVERAGE(Base!H85:H87)-Base!R87,"")</f>
        <v>2.36666666666666</v>
      </c>
      <c r="E87" s="5" t="n">
        <v>-3.67387341748835</v>
      </c>
      <c r="F87" s="9" t="n">
        <f aca="false">IFERROR(AVERAGE(Base!K85:K87),"")</f>
        <v>-7.71579347143739</v>
      </c>
      <c r="G87" s="9" t="n">
        <f aca="false">IFERROR(AVERAGE(Base!M85:M87)*AVERAGE(Base!$F$13:F87),"")</f>
        <v>-2.84259373756125</v>
      </c>
      <c r="H87" s="9" t="n">
        <f aca="false">IFERROR(-AVERAGE(Base!O85:O87),"")</f>
        <v>-2.49577418508112</v>
      </c>
      <c r="I87" s="9" t="n">
        <f aca="false">IFERROR(AVERAGE(Base!P85:P87),"")</f>
        <v>108.133901014035</v>
      </c>
    </row>
    <row r="88" customFormat="false" ht="15" hidden="false" customHeight="false" outlineLevel="0" collapsed="false">
      <c r="A88" s="8" t="n">
        <f aca="false">Base!A88</f>
        <v>40633</v>
      </c>
      <c r="B88" s="9" t="n">
        <f aca="false">IFERROR(AVERAGE(Base!C86:C88)-Base!R88,"")</f>
        <v>22.9180495809395</v>
      </c>
      <c r="C88" s="9" t="n">
        <f aca="false">IFERROR(AVERAGE(Base!G86:G88)-Base!R88,"")</f>
        <v>3.225</v>
      </c>
      <c r="D88" s="9" t="n">
        <f aca="false">IFERROR(AVERAGE(Base!H86:H88)-Base!R88,"")</f>
        <v>2.625</v>
      </c>
      <c r="E88" s="5" t="n">
        <v>-5.67618589057395</v>
      </c>
      <c r="F88" s="9" t="n">
        <f aca="false">IFERROR(AVERAGE(Base!K86:K88),"")</f>
        <v>-4.00908465333266</v>
      </c>
      <c r="G88" s="9" t="n">
        <f aca="false">IFERROR(AVERAGE(Base!M86:M88)*AVERAGE(Base!$F$13:F88),"")</f>
        <v>-1.96496121730502</v>
      </c>
      <c r="H88" s="9" t="n">
        <f aca="false">IFERROR(-AVERAGE(Base!O86:O88),"")</f>
        <v>-1.90526977267089</v>
      </c>
      <c r="I88" s="9" t="n">
        <f aca="false">IFERROR(AVERAGE(Base!P86:P88),"")</f>
        <v>125.444059292257</v>
      </c>
    </row>
    <row r="89" customFormat="false" ht="15" hidden="false" customHeight="false" outlineLevel="0" collapsed="false">
      <c r="A89" s="8" t="n">
        <f aca="false">Base!A89</f>
        <v>40663</v>
      </c>
      <c r="B89" s="9" t="n">
        <f aca="false">IFERROR(AVERAGE(Base!C87:C89)-Base!R89,"")</f>
        <v>21.5174978661567</v>
      </c>
      <c r="C89" s="9" t="n">
        <f aca="false">IFERROR(AVERAGE(Base!G87:G89)-Base!R89,"")</f>
        <v>1.25</v>
      </c>
      <c r="D89" s="9" t="n">
        <f aca="false">IFERROR(AVERAGE(Base!H87:H89)-Base!R89,"")</f>
        <v>1.55</v>
      </c>
      <c r="E89" s="5" t="n">
        <v>-6.60486943498066</v>
      </c>
      <c r="F89" s="9" t="n">
        <f aca="false">IFERROR(AVERAGE(Base!K87:K89),"")</f>
        <v>-9.15668736705922</v>
      </c>
      <c r="G89" s="9" t="n">
        <f aca="false">IFERROR(AVERAGE(Base!M87:M89)*AVERAGE(Base!$F$13:F89),"")</f>
        <v>-1.3745346691161</v>
      </c>
      <c r="H89" s="9" t="n">
        <f aca="false">IFERROR(-AVERAGE(Base!O87:O89),"")</f>
        <v>-0.9071768371033</v>
      </c>
      <c r="I89" s="9" t="n">
        <f aca="false">IFERROR(AVERAGE(Base!P87:P89),"")</f>
        <v>120.34119704169</v>
      </c>
    </row>
    <row r="90" customFormat="false" ht="15" hidden="false" customHeight="false" outlineLevel="0" collapsed="false">
      <c r="A90" s="8" t="n">
        <f aca="false">Base!A90</f>
        <v>40694</v>
      </c>
      <c r="B90" s="9" t="n">
        <f aca="false">IFERROR(AVERAGE(Base!C88:C90)-Base!R90,"")</f>
        <v>16.7232606402526</v>
      </c>
      <c r="C90" s="9" t="n">
        <f aca="false">IFERROR(AVERAGE(Base!G88:G90)-Base!R90,"")</f>
        <v>0.241666666666664</v>
      </c>
      <c r="D90" s="9" t="n">
        <f aca="false">IFERROR(AVERAGE(Base!H88:H90)-Base!R90,"")</f>
        <v>0.474999999999998</v>
      </c>
      <c r="E90" s="5" t="n">
        <v>-6.02963033961289</v>
      </c>
      <c r="F90" s="9" t="n">
        <f aca="false">IFERROR(AVERAGE(Base!K88:K90),"")</f>
        <v>-13.1303311211462</v>
      </c>
      <c r="G90" s="9" t="n">
        <f aca="false">IFERROR(AVERAGE(Base!M88:M90)*AVERAGE(Base!$F$13:F90),"")</f>
        <v>-0.843540779473712</v>
      </c>
      <c r="H90" s="9" t="n">
        <f aca="false">IFERROR(-AVERAGE(Base!O88:O90),"")</f>
        <v>-1.36293564143166</v>
      </c>
      <c r="I90" s="9" t="n">
        <f aca="false">IFERROR(AVERAGE(Base!P88:P90),"")</f>
        <v>115.504720611511</v>
      </c>
    </row>
    <row r="91" customFormat="false" ht="15" hidden="false" customHeight="false" outlineLevel="0" collapsed="false">
      <c r="A91" s="8" t="n">
        <f aca="false">Base!A91</f>
        <v>40724</v>
      </c>
      <c r="B91" s="9" t="n">
        <f aca="false">IFERROR(AVERAGE(Base!C89:C91)-Base!R91,"")</f>
        <v>14.2867868964236</v>
      </c>
      <c r="C91" s="9" t="n">
        <f aca="false">IFERROR(AVERAGE(Base!G89:G91)-Base!R91,"")</f>
        <v>-0.67166666666667</v>
      </c>
      <c r="D91" s="9" t="n">
        <f aca="false">IFERROR(AVERAGE(Base!H89:H91)-Base!R91,"")</f>
        <v>-0.605000000000003</v>
      </c>
      <c r="E91" s="5" t="n">
        <v>-5.33912602653451</v>
      </c>
      <c r="F91" s="9" t="n">
        <f aca="false">IFERROR(AVERAGE(Base!K89:K91),"")</f>
        <v>-16.4965173849213</v>
      </c>
      <c r="G91" s="9" t="n">
        <f aca="false">IFERROR(AVERAGE(Base!M89:M91)*AVERAGE(Base!$F$13:F91),"")</f>
        <v>-0.417546214281349</v>
      </c>
      <c r="H91" s="9" t="n">
        <f aca="false">IFERROR(-AVERAGE(Base!O89:O91),"")</f>
        <v>-0.803520637351259</v>
      </c>
      <c r="I91" s="9" t="n">
        <f aca="false">IFERROR(AVERAGE(Base!P89:P91),"")</f>
        <v>137.167373237748</v>
      </c>
    </row>
    <row r="92" customFormat="false" ht="15" hidden="false" customHeight="false" outlineLevel="0" collapsed="false">
      <c r="A92" s="8" t="n">
        <f aca="false">Base!A92</f>
        <v>40755</v>
      </c>
      <c r="B92" s="9" t="n">
        <f aca="false">IFERROR(AVERAGE(Base!C90:C92)-Base!R92,"")</f>
        <v>16.7417738949719</v>
      </c>
      <c r="C92" s="9" t="n">
        <f aca="false">IFERROR(AVERAGE(Base!G90:G92)-Base!R92,"")</f>
        <v>-0.218333333333336</v>
      </c>
      <c r="D92" s="9" t="n">
        <f aca="false">IFERROR(AVERAGE(Base!H90:H92)-Base!R92,"")</f>
        <v>-0.95166666666667</v>
      </c>
      <c r="E92" s="5" t="n">
        <v>-4.98591556537911</v>
      </c>
      <c r="F92" s="9" t="n">
        <f aca="false">IFERROR(AVERAGE(Base!K90:K92),"")</f>
        <v>-13.3500691702189</v>
      </c>
      <c r="G92" s="9" t="n">
        <f aca="false">IFERROR(AVERAGE(Base!M90:M92)*AVERAGE(Base!$F$13:F92),"")</f>
        <v>-0.330763690438181</v>
      </c>
      <c r="H92" s="9" t="n">
        <f aca="false">IFERROR(-AVERAGE(Base!O90:O92),"")</f>
        <v>0.0761166155610988</v>
      </c>
      <c r="I92" s="9" t="n">
        <f aca="false">IFERROR(AVERAGE(Base!P90:P92),"")</f>
        <v>184.402699647335</v>
      </c>
    </row>
    <row r="93" customFormat="false" ht="15" hidden="false" customHeight="false" outlineLevel="0" collapsed="false">
      <c r="A93" s="8" t="n">
        <f aca="false">Base!A93</f>
        <v>40786</v>
      </c>
      <c r="B93" s="9" t="n">
        <f aca="false">IFERROR(AVERAGE(Base!C91:C93)-Base!R93,"")</f>
        <v>19.5890119805413</v>
      </c>
      <c r="C93" s="9" t="n">
        <f aca="false">IFERROR(AVERAGE(Base!G91:G93)-Base!R93,"")</f>
        <v>0.334999999999998</v>
      </c>
      <c r="D93" s="9" t="n">
        <f aca="false">IFERROR(AVERAGE(Base!H91:H93)-Base!R93,"")</f>
        <v>-0.565000000000001</v>
      </c>
      <c r="E93" s="5" t="n">
        <v>-4.33606690832795</v>
      </c>
      <c r="F93" s="9" t="n">
        <f aca="false">IFERROR(AVERAGE(Base!K91:K93),"")</f>
        <v>-9.95838443758714</v>
      </c>
      <c r="G93" s="9" t="n">
        <f aca="false">IFERROR(AVERAGE(Base!M91:M93)*AVERAGE(Base!$F$13:F93),"")</f>
        <v>-0.55532198129076</v>
      </c>
      <c r="H93" s="9" t="n">
        <f aca="false">IFERROR(-AVERAGE(Base!O91:O93),"")</f>
        <v>1.53289657182317</v>
      </c>
      <c r="I93" s="9" t="n">
        <f aca="false">IFERROR(AVERAGE(Base!P91:P93),"")</f>
        <v>251.991313122626</v>
      </c>
    </row>
    <row r="94" customFormat="false" ht="15" hidden="false" customHeight="false" outlineLevel="0" collapsed="false">
      <c r="A94" s="8" t="n">
        <f aca="false">Base!A94</f>
        <v>40816</v>
      </c>
      <c r="B94" s="9" t="n">
        <f aca="false">IFERROR(AVERAGE(Base!C92:C94)-Base!R94,"")</f>
        <v>19.0828597850109</v>
      </c>
      <c r="C94" s="9" t="n">
        <f aca="false">IFERROR(AVERAGE(Base!G92:G94)-Base!R94,"")</f>
        <v>1.41833333333333</v>
      </c>
      <c r="D94" s="9" t="n">
        <f aca="false">IFERROR(AVERAGE(Base!H92:H94)-Base!R94,"")</f>
        <v>0.151666666666666</v>
      </c>
      <c r="E94" s="5" t="n">
        <v>-3.75133117770038</v>
      </c>
      <c r="F94" s="9" t="n">
        <f aca="false">IFERROR(AVERAGE(Base!K92:K94),"")</f>
        <v>-6.13760143052076</v>
      </c>
      <c r="G94" s="9" t="n">
        <f aca="false">IFERROR(AVERAGE(Base!M92:M94)*AVERAGE(Base!$F$13:F94),"")</f>
        <v>-2.0668462450205</v>
      </c>
      <c r="H94" s="9" t="n">
        <f aca="false">IFERROR(-AVERAGE(Base!O92:O94),"")</f>
        <v>3.29963409030667</v>
      </c>
      <c r="I94" s="9" t="n">
        <f aca="false">IFERROR(AVERAGE(Base!P92:P94),"")</f>
        <v>276.922750938672</v>
      </c>
    </row>
    <row r="95" customFormat="false" ht="15" hidden="false" customHeight="false" outlineLevel="0" collapsed="false">
      <c r="A95" s="8" t="n">
        <f aca="false">Base!A95</f>
        <v>40847</v>
      </c>
      <c r="B95" s="9" t="n">
        <f aca="false">IFERROR(AVERAGE(Base!C93:C95)-Base!R95,"")</f>
        <v>20.8938477798944</v>
      </c>
      <c r="C95" s="9" t="n">
        <f aca="false">IFERROR(AVERAGE(Base!G93:G95)-Base!R95,"")</f>
        <v>2.26833333333334</v>
      </c>
      <c r="D95" s="9" t="n">
        <f aca="false">IFERROR(AVERAGE(Base!H93:H95)-Base!R95,"")</f>
        <v>0.401666666666669</v>
      </c>
      <c r="E95" s="5" t="n">
        <v>-4.25119263950306</v>
      </c>
      <c r="F95" s="9" t="n">
        <f aca="false">IFERROR(AVERAGE(Base!K93:K95),"")</f>
        <v>-3.26028646118926</v>
      </c>
      <c r="G95" s="9" t="n">
        <f aca="false">IFERROR(AVERAGE(Base!M93:M95)*AVERAGE(Base!$F$13:F95),"")</f>
        <v>-2.73613531837986</v>
      </c>
      <c r="H95" s="9" t="n">
        <f aca="false">IFERROR(-AVERAGE(Base!O93:O95),"")</f>
        <v>5.73622376574027</v>
      </c>
      <c r="I95" s="9" t="n">
        <f aca="false">IFERROR(AVERAGE(Base!P93:P95),"")</f>
        <v>262.147127657926</v>
      </c>
    </row>
    <row r="96" customFormat="false" ht="15" hidden="false" customHeight="false" outlineLevel="0" collapsed="false">
      <c r="A96" s="8" t="n">
        <f aca="false">Base!A96</f>
        <v>40877</v>
      </c>
      <c r="B96" s="9" t="n">
        <f aca="false">IFERROR(AVERAGE(Base!C94:C96)-Base!R96,"")</f>
        <v>14.0439149799146</v>
      </c>
      <c r="C96" s="9" t="n">
        <f aca="false">IFERROR(AVERAGE(Base!G94:G96)-Base!R96,"")</f>
        <v>1.685</v>
      </c>
      <c r="D96" s="9" t="n">
        <f aca="false">IFERROR(AVERAGE(Base!H94:H96)-Base!R96,"")</f>
        <v>-0.0816666666666643</v>
      </c>
      <c r="E96" s="5" t="n">
        <v>-5.56439630709824</v>
      </c>
      <c r="F96" s="9" t="n">
        <f aca="false">IFERROR(AVERAGE(Base!K94:K96),"")</f>
        <v>-2.07573475739676</v>
      </c>
      <c r="G96" s="9" t="n">
        <f aca="false">IFERROR(AVERAGE(Base!M94:M96)*AVERAGE(Base!$F$13:F96),"")</f>
        <v>-3.43955557955594</v>
      </c>
      <c r="H96" s="9" t="n">
        <f aca="false">IFERROR(-AVERAGE(Base!O94:O96),"")</f>
        <v>7.72712393813069</v>
      </c>
      <c r="I96" s="9" t="n">
        <f aca="false">IFERROR(AVERAGE(Base!P94:P96),"")</f>
        <v>163.296890684673</v>
      </c>
    </row>
    <row r="97" customFormat="false" ht="15" hidden="false" customHeight="false" outlineLevel="0" collapsed="false">
      <c r="A97" s="8" t="n">
        <f aca="false">Base!A97</f>
        <v>40908</v>
      </c>
      <c r="B97" s="9" t="n">
        <f aca="false">IFERROR(AVERAGE(Base!C95:C97)-Base!R97,"")</f>
        <v>12.09304578468</v>
      </c>
      <c r="C97" s="9" t="n">
        <f aca="false">IFERROR(AVERAGE(Base!G95:G97)-Base!R97,"")</f>
        <v>0.360000000000002</v>
      </c>
      <c r="D97" s="9" t="n">
        <f aca="false">IFERROR(AVERAGE(Base!H95:H97)-Base!R97,"")</f>
        <v>-0.506666666666665</v>
      </c>
      <c r="E97" s="5" t="n">
        <v>-7.00553361299471</v>
      </c>
      <c r="F97" s="9" t="n">
        <f aca="false">IFERROR(AVERAGE(Base!K95:K97),"")</f>
        <v>3.43207878126595</v>
      </c>
      <c r="G97" s="9" t="n">
        <f aca="false">IFERROR(AVERAGE(Base!M95:M97)*AVERAGE(Base!$F$13:F97),"")</f>
        <v>-3.2506252756106</v>
      </c>
      <c r="H97" s="9" t="n">
        <f aca="false">IFERROR(-AVERAGE(Base!O95:O97),"")</f>
        <v>6.16442102033447</v>
      </c>
      <c r="I97" s="9" t="n">
        <f aca="false">IFERROR(AVERAGE(Base!P95:P97),"")</f>
        <v>91.1016535516858</v>
      </c>
    </row>
    <row r="98" customFormat="false" ht="15" hidden="false" customHeight="false" outlineLevel="0" collapsed="false">
      <c r="A98" s="8" t="n">
        <f aca="false">Base!A98</f>
        <v>40939</v>
      </c>
      <c r="B98" s="9" t="n">
        <f aca="false">IFERROR(AVERAGE(Base!C96:C98)-Base!R98,"")</f>
        <v>4.86437201205762</v>
      </c>
      <c r="C98" s="9" t="n">
        <f aca="false">IFERROR(AVERAGE(Base!G96:G98)-Base!R98,"")</f>
        <v>-1.23166666666667</v>
      </c>
      <c r="D98" s="9" t="n">
        <f aca="false">IFERROR(AVERAGE(Base!H96:H98)-Base!R98,"")</f>
        <v>-1.29833333333333</v>
      </c>
      <c r="E98" s="5" t="n">
        <v>-7.38353908482968</v>
      </c>
      <c r="F98" s="9" t="n">
        <f aca="false">IFERROR(AVERAGE(Base!K96:K98),"")</f>
        <v>1.47996454127969</v>
      </c>
      <c r="G98" s="9" t="n">
        <f aca="false">IFERROR(AVERAGE(Base!M96:M98)*AVERAGE(Base!$F$13:F98),"")</f>
        <v>-3.4614171087731</v>
      </c>
      <c r="H98" s="9" t="n">
        <f aca="false">IFERROR(-AVERAGE(Base!O96:O98),"")</f>
        <v>4.13936139133041</v>
      </c>
      <c r="I98" s="9" t="n">
        <f aca="false">IFERROR(AVERAGE(Base!P96:P98),"")</f>
        <v>43.4095280759534</v>
      </c>
    </row>
    <row r="99" customFormat="false" ht="15" hidden="false" customHeight="false" outlineLevel="0" collapsed="false">
      <c r="A99" s="8" t="n">
        <f aca="false">Base!A99</f>
        <v>40968</v>
      </c>
      <c r="B99" s="9" t="n">
        <f aca="false">IFERROR(AVERAGE(Base!C97:C99)-Base!R99,"")</f>
        <v>5.43041828729747</v>
      </c>
      <c r="C99" s="9" t="n">
        <f aca="false">IFERROR(AVERAGE(Base!G97:G99)-Base!R99,"")</f>
        <v>-2.02333333333333</v>
      </c>
      <c r="D99" s="9" t="n">
        <f aca="false">IFERROR(AVERAGE(Base!H97:H99)-Base!R99,"")</f>
        <v>-1.55666666666667</v>
      </c>
      <c r="E99" s="5" t="n">
        <v>-7.40890950943341</v>
      </c>
      <c r="F99" s="9" t="n">
        <f aca="false">IFERROR(AVERAGE(Base!K97:K99),"")</f>
        <v>-0.564654551221186</v>
      </c>
      <c r="G99" s="9" t="n">
        <f aca="false">IFERROR(AVERAGE(Base!M97:M99)*AVERAGE(Base!$F$13:F99),"")</f>
        <v>-3.52745293294112</v>
      </c>
      <c r="H99" s="9" t="n">
        <f aca="false">IFERROR(-AVERAGE(Base!O97:O99),"")</f>
        <v>2.12260106132031</v>
      </c>
      <c r="I99" s="9" t="n">
        <f aca="false">IFERROR(AVERAGE(Base!P97:P99),"")</f>
        <v>34.821227080646</v>
      </c>
    </row>
    <row r="100" customFormat="false" ht="15" hidden="false" customHeight="false" outlineLevel="0" collapsed="false">
      <c r="A100" s="8" t="n">
        <f aca="false">Base!A100</f>
        <v>40999</v>
      </c>
      <c r="B100" s="9" t="n">
        <f aca="false">IFERROR(AVERAGE(Base!C98:C100)-Base!R100,"")</f>
        <v>1.1049584493336</v>
      </c>
      <c r="C100" s="9" t="n">
        <f aca="false">IFERROR(AVERAGE(Base!G98:G100)-Base!R100,"")</f>
        <v>-2.97666666666667</v>
      </c>
      <c r="D100" s="9" t="n">
        <f aca="false">IFERROR(AVERAGE(Base!H98:H100)-Base!R100,"")</f>
        <v>-2.71</v>
      </c>
      <c r="E100" s="5" t="n">
        <v>-7.25630337910679</v>
      </c>
      <c r="F100" s="9" t="n">
        <f aca="false">IFERROR(AVERAGE(Base!K98:K100),"")</f>
        <v>-7.27352625783712</v>
      </c>
      <c r="G100" s="9" t="n">
        <f aca="false">IFERROR(AVERAGE(Base!M98:M100)*AVERAGE(Base!$F$13:F100),"")</f>
        <v>-3.7064589677095</v>
      </c>
      <c r="H100" s="9" t="n">
        <f aca="false">IFERROR(-AVERAGE(Base!O98:O100),"")</f>
        <v>1.12395094274267</v>
      </c>
      <c r="I100" s="9" t="n">
        <f aca="false">IFERROR(AVERAGE(Base!P98:P100),"")</f>
        <v>37.7649478745543</v>
      </c>
    </row>
    <row r="101" customFormat="false" ht="15" hidden="false" customHeight="false" outlineLevel="0" collapsed="false">
      <c r="A101" s="8" t="n">
        <f aca="false">Base!A101</f>
        <v>41029</v>
      </c>
      <c r="B101" s="9" t="n">
        <f aca="false">IFERROR(AVERAGE(Base!C99:C101)-Base!R101,"")</f>
        <v>-1.70984041969764</v>
      </c>
      <c r="C101" s="9" t="n">
        <f aca="false">IFERROR(AVERAGE(Base!G99:G101)-Base!R101,"")</f>
        <v>-4.86333333333334</v>
      </c>
      <c r="D101" s="9" t="n">
        <f aca="false">IFERROR(AVERAGE(Base!H99:H101)-Base!R101,"")</f>
        <v>-3.59666666666667</v>
      </c>
      <c r="E101" s="5" t="n">
        <v>-7.39015212780004</v>
      </c>
      <c r="F101" s="9" t="n">
        <f aca="false">IFERROR(AVERAGE(Base!K99:K101),"")</f>
        <v>-1.6694202041105</v>
      </c>
      <c r="G101" s="9" t="n">
        <f aca="false">IFERROR(AVERAGE(Base!M99:M101)*AVERAGE(Base!$F$13:F101),"")</f>
        <v>-4.47441717078783</v>
      </c>
      <c r="H101" s="9" t="n">
        <f aca="false">IFERROR(-AVERAGE(Base!O99:O101),"")</f>
        <v>-0.273488843597166</v>
      </c>
      <c r="I101" s="9" t="n">
        <f aca="false">IFERROR(AVERAGE(Base!P99:P101),"")</f>
        <v>19.3558722953988</v>
      </c>
    </row>
    <row r="102" customFormat="false" ht="15" hidden="false" customHeight="false" outlineLevel="0" collapsed="false">
      <c r="A102" s="8" t="n">
        <f aca="false">Base!A102</f>
        <v>41060</v>
      </c>
      <c r="B102" s="9" t="n">
        <f aca="false">IFERROR(AVERAGE(Base!C100:C102)-Base!R102,"")</f>
        <v>-8.9247912787517</v>
      </c>
      <c r="C102" s="9" t="n">
        <f aca="false">IFERROR(AVERAGE(Base!G100:G102)-Base!R102,"")</f>
        <v>-7.25</v>
      </c>
      <c r="D102" s="9" t="n">
        <f aca="false">IFERROR(AVERAGE(Base!H100:H102)-Base!R102,"")</f>
        <v>-4.68333333333334</v>
      </c>
      <c r="E102" s="5" t="n">
        <v>-7.50987160919246</v>
      </c>
      <c r="F102" s="9" t="n">
        <f aca="false">IFERROR(AVERAGE(Base!K100:K102),"")</f>
        <v>2.80476074576915</v>
      </c>
      <c r="G102" s="9" t="n">
        <f aca="false">IFERROR(AVERAGE(Base!M100:M102)*AVERAGE(Base!$F$13:F102),"")</f>
        <v>-5.53430348326784</v>
      </c>
      <c r="H102" s="9" t="n">
        <f aca="false">IFERROR(-AVERAGE(Base!O100:O102),"")</f>
        <v>-1.6904964542902</v>
      </c>
      <c r="I102" s="9" t="n">
        <f aca="false">IFERROR(AVERAGE(Base!P100:P102),"")</f>
        <v>17.0156469931386</v>
      </c>
    </row>
    <row r="103" customFormat="false" ht="15" hidden="false" customHeight="false" outlineLevel="0" collapsed="false">
      <c r="A103" s="8" t="n">
        <f aca="false">Base!A103</f>
        <v>41090</v>
      </c>
      <c r="B103" s="9" t="n">
        <f aca="false">IFERROR(AVERAGE(Base!C101:C103)-Base!R103,"")</f>
        <v>-13.4835738967976</v>
      </c>
      <c r="C103" s="9" t="n">
        <f aca="false">IFERROR(AVERAGE(Base!G101:G103)-Base!R103,"")</f>
        <v>-8.74166666666667</v>
      </c>
      <c r="D103" s="9" t="n">
        <f aca="false">IFERROR(AVERAGE(Base!H101:H103)-Base!R103,"")</f>
        <v>-4.70833333333333</v>
      </c>
      <c r="E103" s="5" t="n">
        <v>-8.03712448424416</v>
      </c>
      <c r="F103" s="9" t="n">
        <f aca="false">IFERROR(AVERAGE(Base!K101:K103),"")</f>
        <v>4.76476897752193</v>
      </c>
      <c r="G103" s="9" t="n">
        <f aca="false">IFERROR(AVERAGE(Base!M101:M103)*AVERAGE(Base!$F$13:F103),"")</f>
        <v>-6.05352872578957</v>
      </c>
      <c r="H103" s="9" t="n">
        <f aca="false">IFERROR(-AVERAGE(Base!O101:O103),"")</f>
        <v>-3.34447586560608</v>
      </c>
      <c r="I103" s="9" t="n">
        <f aca="false">IFERROR(AVERAGE(Base!P101:P103),"")</f>
        <v>0.244994781383242</v>
      </c>
    </row>
    <row r="104" customFormat="false" ht="15" hidden="false" customHeight="false" outlineLevel="0" collapsed="false">
      <c r="A104" s="8" t="n">
        <f aca="false">Base!A104</f>
        <v>41121</v>
      </c>
      <c r="B104" s="9" t="n">
        <f aca="false">IFERROR(AVERAGE(Base!C102:C104)-Base!R104,"")</f>
        <v>-9.71057359873273</v>
      </c>
      <c r="C104" s="9" t="n">
        <f aca="false">IFERROR(AVERAGE(Base!G102:G104)-Base!R104,"")</f>
        <v>-7.16666666666667</v>
      </c>
      <c r="D104" s="9" t="n">
        <f aca="false">IFERROR(AVERAGE(Base!H102:H104)-Base!R104,"")</f>
        <v>-3.06666666666667</v>
      </c>
      <c r="E104" s="5" t="n">
        <v>-8.29957307303781</v>
      </c>
      <c r="F104" s="9" t="n">
        <f aca="false">IFERROR(AVERAGE(Base!K102:K104),"")</f>
        <v>0.883194065839769</v>
      </c>
      <c r="G104" s="9" t="n">
        <f aca="false">IFERROR(AVERAGE(Base!M102:M104)*AVERAGE(Base!$F$13:F104),"")</f>
        <v>-6.32563655185811</v>
      </c>
      <c r="H104" s="9" t="n">
        <f aca="false">IFERROR(-AVERAGE(Base!O102:O104),"")</f>
        <v>-4.26829567795569</v>
      </c>
      <c r="I104" s="9" t="n">
        <f aca="false">IFERROR(AVERAGE(Base!P102:P104),"")</f>
        <v>-3.7161700339167</v>
      </c>
    </row>
    <row r="105" customFormat="false" ht="15" hidden="false" customHeight="false" outlineLevel="0" collapsed="false">
      <c r="A105" s="8" t="n">
        <f aca="false">Base!A105</f>
        <v>41152</v>
      </c>
      <c r="B105" s="9" t="n">
        <f aca="false">IFERROR(AVERAGE(Base!C103:C105)-Base!R105,"")</f>
        <v>-9.39917113766337</v>
      </c>
      <c r="C105" s="9" t="n">
        <f aca="false">IFERROR(AVERAGE(Base!G103:G105)-Base!R105,"")</f>
        <v>-5.325</v>
      </c>
      <c r="D105" s="9" t="n">
        <f aca="false">IFERROR(AVERAGE(Base!H103:H105)-Base!R105,"")</f>
        <v>-2.39166666666667</v>
      </c>
      <c r="E105" s="5" t="n">
        <v>-8.94999875999735</v>
      </c>
      <c r="F105" s="9" t="n">
        <f aca="false">IFERROR(AVERAGE(Base!K103:K105),"")</f>
        <v>-2.86141715219439</v>
      </c>
      <c r="G105" s="9" t="n">
        <f aca="false">IFERROR(AVERAGE(Base!M103:M105)*AVERAGE(Base!$F$13:F105),"")</f>
        <v>-6.0989120635116</v>
      </c>
      <c r="H105" s="9" t="n">
        <f aca="false">IFERROR(-AVERAGE(Base!O103:O105),"")</f>
        <v>-3.00950155356234</v>
      </c>
      <c r="I105" s="9" t="n">
        <f aca="false">IFERROR(AVERAGE(Base!P103:P105),"")</f>
        <v>-9.9153651832725</v>
      </c>
    </row>
    <row r="106" customFormat="false" ht="15" hidden="false" customHeight="false" outlineLevel="0" collapsed="false">
      <c r="A106" s="8" t="n">
        <f aca="false">Base!A106</f>
        <v>41182</v>
      </c>
      <c r="B106" s="9" t="n">
        <f aca="false">IFERROR(AVERAGE(Base!C104:C106)-Base!R106,"")</f>
        <v>-8.94974936001889</v>
      </c>
      <c r="C106" s="9" t="n">
        <f aca="false">IFERROR(AVERAGE(Base!G104:G106)-Base!R106,"")</f>
        <v>-4.6</v>
      </c>
      <c r="D106" s="9" t="n">
        <f aca="false">IFERROR(AVERAGE(Base!H104:H106)-Base!R106,"")</f>
        <v>-2.9</v>
      </c>
      <c r="E106" s="5" t="n">
        <v>-9.5896986668512</v>
      </c>
      <c r="F106" s="9" t="n">
        <f aca="false">IFERROR(AVERAGE(Base!K104:K106),"")</f>
        <v>-4.75560134321677</v>
      </c>
      <c r="G106" s="9" t="n">
        <f aca="false">IFERROR(AVERAGE(Base!M104:M106)*AVERAGE(Base!$F$13:F106),"")</f>
        <v>-4.90958722145832</v>
      </c>
      <c r="H106" s="9" t="n">
        <f aca="false">IFERROR(-AVERAGE(Base!O104:O106),"")</f>
        <v>-3.58414592049423</v>
      </c>
      <c r="I106" s="9" t="n">
        <f aca="false">IFERROR(AVERAGE(Base!P104:P106),"")</f>
        <v>-3.9957801442087</v>
      </c>
    </row>
    <row r="107" customFormat="false" ht="15" hidden="false" customHeight="false" outlineLevel="0" collapsed="false">
      <c r="A107" s="8" t="n">
        <f aca="false">Base!A107</f>
        <v>41213</v>
      </c>
      <c r="B107" s="9" t="n">
        <f aca="false">IFERROR(AVERAGE(Base!C105:C107)-Base!R107,"")</f>
        <v>-13.2182625167291</v>
      </c>
      <c r="C107" s="9" t="n">
        <f aca="false">IFERROR(AVERAGE(Base!G105:G107)-Base!R107,"")</f>
        <v>-4.04166666666667</v>
      </c>
      <c r="D107" s="9" t="n">
        <f aca="false">IFERROR(AVERAGE(Base!H105:H107)-Base!R107,"")</f>
        <v>-3.60833333333333</v>
      </c>
      <c r="E107" s="5" t="n">
        <v>-10.0111246484192</v>
      </c>
      <c r="F107" s="9" t="n">
        <f aca="false">IFERROR(AVERAGE(Base!K105:K107),"")</f>
        <v>-6.72539667838788</v>
      </c>
      <c r="G107" s="9" t="n">
        <f aca="false">IFERROR(AVERAGE(Base!M105:M107)*AVERAGE(Base!$F$13:F107),"")</f>
        <v>-4.09695166880432</v>
      </c>
      <c r="H107" s="9" t="n">
        <f aca="false">IFERROR(-AVERAGE(Base!O105:O107),"")</f>
        <v>-5.14974488016463</v>
      </c>
      <c r="I107" s="9" t="n">
        <f aca="false">IFERROR(AVERAGE(Base!P105:P107),"")</f>
        <v>11.1841446679272</v>
      </c>
    </row>
    <row r="108" customFormat="false" ht="15" hidden="false" customHeight="false" outlineLevel="0" collapsed="false">
      <c r="A108" s="8" t="n">
        <f aca="false">Base!A108</f>
        <v>41243</v>
      </c>
      <c r="B108" s="9" t="n">
        <f aca="false">IFERROR(AVERAGE(Base!C106:C108)-Base!R108,"")</f>
        <v>-8.74882015832632</v>
      </c>
      <c r="C108" s="9" t="n">
        <f aca="false">IFERROR(AVERAGE(Base!G106:G108)-Base!R108,"")</f>
        <v>-3.71666666666667</v>
      </c>
      <c r="D108" s="9" t="n">
        <f aca="false">IFERROR(AVERAGE(Base!H106:H108)-Base!R108,"")</f>
        <v>-3.18333333333333</v>
      </c>
      <c r="E108" s="5" t="n">
        <v>-10.0182602275711</v>
      </c>
      <c r="F108" s="9" t="n">
        <f aca="false">IFERROR(AVERAGE(Base!K106:K108),"")</f>
        <v>-8.45428660695369</v>
      </c>
      <c r="G108" s="9" t="n">
        <f aca="false">IFERROR(AVERAGE(Base!M106:M108)*AVERAGE(Base!$F$13:F108),"")</f>
        <v>-3.29887765213933</v>
      </c>
      <c r="H108" s="9" t="n">
        <f aca="false">IFERROR(-AVERAGE(Base!O106:O108),"")</f>
        <v>-8.99665674676511</v>
      </c>
      <c r="I108" s="9" t="n">
        <f aca="false">IFERROR(AVERAGE(Base!P106:P108),"")</f>
        <v>55.632334972083</v>
      </c>
    </row>
    <row r="109" customFormat="false" ht="15" hidden="false" customHeight="false" outlineLevel="0" collapsed="false">
      <c r="A109" s="8" t="n">
        <f aca="false">Base!A109</f>
        <v>41274</v>
      </c>
      <c r="B109" s="9" t="n">
        <f aca="false">IFERROR(AVERAGE(Base!C107:C109)-Base!R109,"")</f>
        <v>-4.6150173763851</v>
      </c>
      <c r="C109" s="9" t="n">
        <f aca="false">IFERROR(AVERAGE(Base!G107:G109)-Base!R109,"")</f>
        <v>-2.43833333333333</v>
      </c>
      <c r="D109" s="9" t="n">
        <f aca="false">IFERROR(AVERAGE(Base!H107:H109)-Base!R109,"")</f>
        <v>-2.33833333333333</v>
      </c>
      <c r="E109" s="5" t="n">
        <v>-10.1560166539925</v>
      </c>
      <c r="F109" s="9" t="n">
        <f aca="false">IFERROR(AVERAGE(Base!K107:K109),"")</f>
        <v>-8.81919976894397</v>
      </c>
      <c r="G109" s="9" t="n">
        <f aca="false">IFERROR(AVERAGE(Base!M107:M109)*AVERAGE(Base!$F$13:F109),"")</f>
        <v>-3.07553089975951</v>
      </c>
      <c r="H109" s="9" t="n">
        <f aca="false">IFERROR(-AVERAGE(Base!O107:O109),"")</f>
        <v>-9.19270875742388</v>
      </c>
      <c r="I109" s="9" t="n">
        <f aca="false">IFERROR(AVERAGE(Base!P107:P109),"")</f>
        <v>75.9210520248214</v>
      </c>
    </row>
    <row r="110" customFormat="false" ht="15" hidden="false" customHeight="false" outlineLevel="0" collapsed="false">
      <c r="A110" s="8" t="n">
        <f aca="false">Base!A110</f>
        <v>41305</v>
      </c>
      <c r="B110" s="9" t="n">
        <f aca="false">IFERROR(AVERAGE(Base!C108:C110)-Base!R110,"")</f>
        <v>-2.12091946087865</v>
      </c>
      <c r="C110" s="9" t="n">
        <f aca="false">IFERROR(AVERAGE(Base!G108:G110)-Base!R110,"")</f>
        <v>-2.72666666666667</v>
      </c>
      <c r="D110" s="9" t="n">
        <f aca="false">IFERROR(AVERAGE(Base!H108:H110)-Base!R110,"")</f>
        <v>-2.52666666666667</v>
      </c>
      <c r="E110" s="5" t="n">
        <v>-10.2238763911034</v>
      </c>
      <c r="F110" s="9" t="n">
        <f aca="false">IFERROR(AVERAGE(Base!K108:K110),"")</f>
        <v>-7.54424338698469</v>
      </c>
      <c r="G110" s="9" t="n">
        <f aca="false">IFERROR(AVERAGE(Base!M108:M110)*AVERAGE(Base!$F$13:F110),"")</f>
        <v>-2.5952010520182</v>
      </c>
      <c r="H110" s="9" t="n">
        <f aca="false">IFERROR(-AVERAGE(Base!O108:O110),"")</f>
        <v>-9.092953623378</v>
      </c>
      <c r="I110" s="9" t="n">
        <f aca="false">IFERROR(AVERAGE(Base!P108:P110),"")</f>
        <v>72.3503571867619</v>
      </c>
    </row>
    <row r="111" customFormat="false" ht="15" hidden="false" customHeight="false" outlineLevel="0" collapsed="false">
      <c r="A111" s="8" t="n">
        <f aca="false">Base!A111</f>
        <v>41333</v>
      </c>
      <c r="B111" s="9" t="n">
        <f aca="false">IFERROR(AVERAGE(Base!C109:C111)-Base!R111,"")</f>
        <v>-8.87725375718246</v>
      </c>
      <c r="C111" s="9" t="n">
        <f aca="false">IFERROR(AVERAGE(Base!G109:G111)-Base!R111,"")</f>
        <v>-2.48166666666667</v>
      </c>
      <c r="D111" s="9" t="n">
        <f aca="false">IFERROR(AVERAGE(Base!H109:H111)-Base!R111,"")</f>
        <v>-3.28166666666667</v>
      </c>
      <c r="E111" s="5" t="n">
        <v>-10.0088093562909</v>
      </c>
      <c r="F111" s="9" t="n">
        <f aca="false">IFERROR(AVERAGE(Base!K109:K111),"")</f>
        <v>-5.28512510592349</v>
      </c>
      <c r="G111" s="9" t="n">
        <f aca="false">IFERROR(AVERAGE(Base!M109:M111)*AVERAGE(Base!$F$13:F111),"")</f>
        <v>-2.44144443350509</v>
      </c>
      <c r="H111" s="9" t="n">
        <f aca="false">IFERROR(-AVERAGE(Base!O109:O111),"")</f>
        <v>-8.76391459353332</v>
      </c>
      <c r="I111" s="9" t="n">
        <f aca="false">IFERROR(AVERAGE(Base!P109:P111),"")</f>
        <v>39.9765917891655</v>
      </c>
    </row>
    <row r="112" customFormat="false" ht="15" hidden="false" customHeight="false" outlineLevel="0" collapsed="false">
      <c r="A112" s="8" t="n">
        <f aca="false">Base!A112</f>
        <v>41364</v>
      </c>
      <c r="B112" s="9" t="n">
        <f aca="false">IFERROR(AVERAGE(Base!C110:C112)-Base!R112,"")</f>
        <v>-9.02597598452013</v>
      </c>
      <c r="C112" s="9" t="n">
        <f aca="false">IFERROR(AVERAGE(Base!G110:G112)-Base!R112,"")</f>
        <v>-2.01166666666667</v>
      </c>
      <c r="D112" s="9" t="n">
        <f aca="false">IFERROR(AVERAGE(Base!H110:H112)-Base!R112,"")</f>
        <v>-2.51166666666667</v>
      </c>
      <c r="E112" s="5" t="n">
        <v>-9.76713275953459</v>
      </c>
      <c r="F112" s="9" t="n">
        <f aca="false">IFERROR(AVERAGE(Base!K110:K112),"")</f>
        <v>-4.15266692204212</v>
      </c>
      <c r="G112" s="9" t="n">
        <f aca="false">IFERROR(AVERAGE(Base!M110:M112)*AVERAGE(Base!$F$13:F112),"")</f>
        <v>-2.40290732247119</v>
      </c>
      <c r="H112" s="9" t="n">
        <f aca="false">IFERROR(-AVERAGE(Base!O110:O112),"")</f>
        <v>-8.35708367005377</v>
      </c>
      <c r="I112" s="9" t="n">
        <f aca="false">IFERROR(AVERAGE(Base!P110:P112),"")</f>
        <v>14.9767985251579</v>
      </c>
    </row>
    <row r="113" customFormat="false" ht="15" hidden="false" customHeight="false" outlineLevel="0" collapsed="false">
      <c r="A113" s="8" t="n">
        <f aca="false">Base!A113</f>
        <v>41394</v>
      </c>
      <c r="B113" s="9" t="n">
        <f aca="false">IFERROR(AVERAGE(Base!C111:C113)-Base!R113,"")</f>
        <v>-7.93033696005723</v>
      </c>
      <c r="C113" s="9" t="n">
        <f aca="false">IFERROR(AVERAGE(Base!G111:G113)-Base!R113,"")</f>
        <v>0.425000000000002</v>
      </c>
      <c r="D113" s="9" t="n">
        <f aca="false">IFERROR(AVERAGE(Base!H111:H113)-Base!R113,"")</f>
        <v>-0.874999999999998</v>
      </c>
      <c r="E113" s="5" t="n">
        <v>-9.89246053763052</v>
      </c>
      <c r="F113" s="9" t="n">
        <f aca="false">IFERROR(AVERAGE(Base!K111:K113),"")</f>
        <v>-4.04296954638756</v>
      </c>
      <c r="G113" s="9" t="n">
        <f aca="false">IFERROR(AVERAGE(Base!M111:M113)*AVERAGE(Base!$F$13:F113),"")</f>
        <v>-1.92576508247494</v>
      </c>
      <c r="H113" s="9" t="n">
        <f aca="false">IFERROR(-AVERAGE(Base!O111:O113),"")</f>
        <v>-6.97983170654546</v>
      </c>
      <c r="I113" s="9" t="n">
        <f aca="false">IFERROR(AVERAGE(Base!P111:P113),"")</f>
        <v>4.19068017928721</v>
      </c>
    </row>
    <row r="114" customFormat="false" ht="15" hidden="false" customHeight="false" outlineLevel="0" collapsed="false">
      <c r="A114" s="8" t="n">
        <f aca="false">Base!A114</f>
        <v>41425</v>
      </c>
      <c r="B114" s="9" t="n">
        <f aca="false">IFERROR(AVERAGE(Base!C112:C114)-Base!R114,"")</f>
        <v>4.44962034654321</v>
      </c>
      <c r="C114" s="9" t="n">
        <f aca="false">IFERROR(AVERAGE(Base!G112:G114)-Base!R114,"")</f>
        <v>2.66166666666667</v>
      </c>
      <c r="D114" s="9" t="n">
        <f aca="false">IFERROR(AVERAGE(Base!H112:H114)-Base!R114,"")</f>
        <v>1.195</v>
      </c>
      <c r="E114" s="5" t="n">
        <v>-10.4199222545374</v>
      </c>
      <c r="F114" s="9" t="n">
        <f aca="false">IFERROR(AVERAGE(Base!K112:K114),"")</f>
        <v>-3.64907195734746</v>
      </c>
      <c r="G114" s="9" t="n">
        <f aca="false">IFERROR(AVERAGE(Base!M112:M114)*AVERAGE(Base!$F$13:F114),"")</f>
        <v>-1.07293780770558</v>
      </c>
      <c r="H114" s="9" t="n">
        <f aca="false">IFERROR(-AVERAGE(Base!O112:O114),"")</f>
        <v>-4.04762075208427</v>
      </c>
      <c r="I114" s="9" t="n">
        <f aca="false">IFERROR(AVERAGE(Base!P112:P114),"")</f>
        <v>-8.60079996270236</v>
      </c>
    </row>
    <row r="115" customFormat="false" ht="15" hidden="false" customHeight="false" outlineLevel="0" collapsed="false">
      <c r="A115" s="8" t="n">
        <f aca="false">Base!A115</f>
        <v>41455</v>
      </c>
      <c r="B115" s="9" t="n">
        <f aca="false">IFERROR(AVERAGE(Base!C113:C115)-Base!R115,"")</f>
        <v>7.88275434061048</v>
      </c>
      <c r="C115" s="9" t="n">
        <f aca="false">IFERROR(AVERAGE(Base!G113:G115)-Base!R115,"")</f>
        <v>3.85</v>
      </c>
      <c r="D115" s="9" t="n">
        <f aca="false">IFERROR(AVERAGE(Base!H113:H115)-Base!R115,"")</f>
        <v>1.68333333333334</v>
      </c>
      <c r="E115" s="5" t="n">
        <v>-10.1471064816944</v>
      </c>
      <c r="F115" s="9" t="n">
        <f aca="false">IFERROR(AVERAGE(Base!K113:K115),"")</f>
        <v>-1.82204890686194</v>
      </c>
      <c r="G115" s="9" t="n">
        <f aca="false">IFERROR(AVERAGE(Base!M113:M115)*AVERAGE(Base!$F$13:F115),"")</f>
        <v>-0.778337177557446</v>
      </c>
      <c r="H115" s="9" t="n">
        <f aca="false">IFERROR(-AVERAGE(Base!O113:O115),"")</f>
        <v>-1.56334653402167</v>
      </c>
      <c r="I115" s="9" t="n">
        <f aca="false">IFERROR(AVERAGE(Base!P113:P115),"")</f>
        <v>-16.1264457893351</v>
      </c>
    </row>
    <row r="116" customFormat="false" ht="15" hidden="false" customHeight="false" outlineLevel="0" collapsed="false">
      <c r="A116" s="8" t="n">
        <f aca="false">Base!A116</f>
        <v>41486</v>
      </c>
      <c r="B116" s="9" t="n">
        <f aca="false">IFERROR(AVERAGE(Base!C114:C116)-Base!R116,"")</f>
        <v>3.82494215060785</v>
      </c>
      <c r="C116" s="9" t="n">
        <f aca="false">IFERROR(AVERAGE(Base!G114:G116)-Base!R116,"")</f>
        <v>2.305</v>
      </c>
      <c r="D116" s="9" t="n">
        <f aca="false">IFERROR(AVERAGE(Base!H114:H116)-Base!R116,"")</f>
        <v>0.805000000000001</v>
      </c>
      <c r="E116" s="5" t="n">
        <v>-9.49478463305947</v>
      </c>
      <c r="F116" s="9" t="n">
        <f aca="false">IFERROR(AVERAGE(Base!K114:K116),"")</f>
        <v>-0.885929224790982</v>
      </c>
      <c r="G116" s="9" t="n">
        <f aca="false">IFERROR(AVERAGE(Base!M114:M116)*AVERAGE(Base!$F$13:F116),"")</f>
        <v>-0.71812266124812</v>
      </c>
      <c r="H116" s="9" t="n">
        <f aca="false">IFERROR(-AVERAGE(Base!O114:O116),"")</f>
        <v>1.09406657962897</v>
      </c>
      <c r="I116" s="9" t="n">
        <f aca="false">IFERROR(AVERAGE(Base!P114:P116),"")</f>
        <v>-22.0054692736713</v>
      </c>
    </row>
    <row r="117" customFormat="false" ht="15" hidden="false" customHeight="false" outlineLevel="0" collapsed="false">
      <c r="A117" s="8" t="n">
        <f aca="false">Base!A117</f>
        <v>41517</v>
      </c>
      <c r="B117" s="9" t="n">
        <f aca="false">IFERROR(AVERAGE(Base!C115:C117)-Base!R117,"")</f>
        <v>-3.48576844215829</v>
      </c>
      <c r="C117" s="9" t="n">
        <f aca="false">IFERROR(AVERAGE(Base!G115:G117)-Base!R117,"")</f>
        <v>0.693333333333333</v>
      </c>
      <c r="D117" s="9" t="n">
        <f aca="false">IFERROR(AVERAGE(Base!H115:H117)-Base!R117,"")</f>
        <v>0.393333333333334</v>
      </c>
      <c r="E117" s="5" t="n">
        <v>-8.77534291425766</v>
      </c>
      <c r="F117" s="9" t="n">
        <f aca="false">IFERROR(AVERAGE(Base!K115:K117),"")</f>
        <v>-0.879276454207212</v>
      </c>
      <c r="G117" s="9" t="n">
        <f aca="false">IFERROR(AVERAGE(Base!M115:M117)*AVERAGE(Base!$F$13:F117),"")</f>
        <v>-1.02536653425609</v>
      </c>
      <c r="H117" s="9" t="n">
        <f aca="false">IFERROR(-AVERAGE(Base!O115:O117),"")</f>
        <v>1.22289509814745</v>
      </c>
      <c r="I117" s="9" t="n">
        <f aca="false">IFERROR(AVERAGE(Base!P115:P117),"")</f>
        <v>-32.8663950373151</v>
      </c>
    </row>
    <row r="118" customFormat="false" ht="15" hidden="false" customHeight="false" outlineLevel="0" collapsed="false">
      <c r="A118" s="8" t="n">
        <f aca="false">Base!A118</f>
        <v>41547</v>
      </c>
      <c r="B118" s="9" t="n">
        <f aca="false">IFERROR(AVERAGE(Base!C116:C118)-Base!R118,"")</f>
        <v>-7.92299684270973</v>
      </c>
      <c r="C118" s="9" t="n">
        <f aca="false">IFERROR(AVERAGE(Base!G116:G118)-Base!R118,"")</f>
        <v>0.183333333333334</v>
      </c>
      <c r="D118" s="9" t="n">
        <f aca="false">IFERROR(AVERAGE(Base!H116:H118)-Base!R118,"")</f>
        <v>0.65</v>
      </c>
      <c r="E118" s="5" t="n">
        <v>-8.35281500112704</v>
      </c>
      <c r="F118" s="9" t="n">
        <f aca="false">IFERROR(AVERAGE(Base!K116:K118),"")</f>
        <v>-2.05362080173069</v>
      </c>
      <c r="G118" s="9" t="n">
        <f aca="false">IFERROR(AVERAGE(Base!M116:M118)*AVERAGE(Base!$F$13:F118),"")</f>
        <v>-0.868796147531027</v>
      </c>
      <c r="H118" s="9" t="n">
        <f aca="false">IFERROR(-AVERAGE(Base!O116:O118),"")</f>
        <v>1.3753544002018</v>
      </c>
      <c r="I118" s="9" t="n">
        <f aca="false">IFERROR(AVERAGE(Base!P116:P118),"")</f>
        <v>-44.5565809132836</v>
      </c>
    </row>
    <row r="119" customFormat="false" ht="15" hidden="false" customHeight="false" outlineLevel="0" collapsed="false">
      <c r="A119" s="8" t="n">
        <f aca="false">Base!A119</f>
        <v>41578</v>
      </c>
      <c r="B119" s="9" t="n">
        <f aca="false">IFERROR(AVERAGE(Base!C117:C119)-Base!R119,"")</f>
        <v>-8.8846070878027</v>
      </c>
      <c r="C119" s="9" t="n">
        <f aca="false">IFERROR(AVERAGE(Base!G117:G119)-Base!R119,"")</f>
        <v>-0.293333333333334</v>
      </c>
      <c r="D119" s="9" t="n">
        <f aca="false">IFERROR(AVERAGE(Base!H117:H119)-Base!R119,"")</f>
        <v>0.973333333333332</v>
      </c>
      <c r="E119" s="5" t="n">
        <v>-7.28888071542795</v>
      </c>
      <c r="F119" s="9" t="n">
        <f aca="false">IFERROR(AVERAGE(Base!K117:K119),"")</f>
        <v>-2.02969594511181</v>
      </c>
      <c r="G119" s="9" t="n">
        <f aca="false">IFERROR(AVERAGE(Base!M117:M119)*AVERAGE(Base!$F$13:F119),"")</f>
        <v>-0.815923307627926</v>
      </c>
      <c r="H119" s="9" t="n">
        <f aca="false">IFERROR(-AVERAGE(Base!O117:O119),"")</f>
        <v>-0.542930896021758</v>
      </c>
      <c r="I119" s="9" t="n">
        <f aca="false">IFERROR(AVERAGE(Base!P117:P119),"")</f>
        <v>-49.8446364513199</v>
      </c>
    </row>
    <row r="120" customFormat="false" ht="15" hidden="false" customHeight="false" outlineLevel="0" collapsed="false">
      <c r="A120" s="8" t="n">
        <f aca="false">Base!A120</f>
        <v>41608</v>
      </c>
      <c r="B120" s="9" t="n">
        <f aca="false">IFERROR(AVERAGE(Base!C118:C120)-Base!R120,"")</f>
        <v>-15.5207602751073</v>
      </c>
      <c r="C120" s="9" t="n">
        <f aca="false">IFERROR(AVERAGE(Base!G118:G120)-Base!R120,"")</f>
        <v>-1.03666666666667</v>
      </c>
      <c r="D120" s="9" t="n">
        <f aca="false">IFERROR(AVERAGE(Base!H118:H120)-Base!R120,"")</f>
        <v>0.763333333333333</v>
      </c>
      <c r="E120" s="5" t="n">
        <v>-5.90249674588358</v>
      </c>
      <c r="F120" s="9" t="n">
        <f aca="false">IFERROR(AVERAGE(Base!K118:K120),"")</f>
        <v>-0.385996806929682</v>
      </c>
      <c r="G120" s="9" t="n">
        <f aca="false">IFERROR(AVERAGE(Base!M118:M120)*AVERAGE(Base!$F$13:F120),"")</f>
        <v>-0.502812772712212</v>
      </c>
      <c r="H120" s="9" t="n">
        <f aca="false">IFERROR(-AVERAGE(Base!O118:O120),"")</f>
        <v>-1.61055219568359</v>
      </c>
      <c r="I120" s="9" t="n">
        <f aca="false">IFERROR(AVERAGE(Base!P118:P120),"")</f>
        <v>-41.5289338673613</v>
      </c>
    </row>
    <row r="121" customFormat="false" ht="15" hidden="false" customHeight="false" outlineLevel="0" collapsed="false">
      <c r="A121" s="8" t="n">
        <f aca="false">Base!A121</f>
        <v>41639</v>
      </c>
      <c r="B121" s="9" t="n">
        <f aca="false">IFERROR(AVERAGE(Base!C119:C121)-Base!R121,"")</f>
        <v>-21.4797883552482</v>
      </c>
      <c r="C121" s="9" t="n">
        <f aca="false">IFERROR(AVERAGE(Base!G119:G121)-Base!R121,"")</f>
        <v>-2.36833333333333</v>
      </c>
      <c r="D121" s="9" t="n">
        <f aca="false">IFERROR(AVERAGE(Base!H119:H121)-Base!R121,"")</f>
        <v>-0.201666666666667</v>
      </c>
      <c r="E121" s="5" t="n">
        <v>-3.89593434355179</v>
      </c>
      <c r="F121" s="9" t="n">
        <f aca="false">IFERROR(AVERAGE(Base!K119:K121),"")</f>
        <v>0.034313565343965</v>
      </c>
      <c r="G121" s="9" t="n">
        <f aca="false">IFERROR(AVERAGE(Base!M119:M121)*AVERAGE(Base!$F$13:F121),"")</f>
        <v>-0.296432851517271</v>
      </c>
      <c r="H121" s="9" t="n">
        <f aca="false">IFERROR(-AVERAGE(Base!O119:O121),"")</f>
        <v>-1.78594020761241</v>
      </c>
      <c r="I121" s="9" t="n">
        <f aca="false">IFERROR(AVERAGE(Base!P119:P121),"")</f>
        <v>-27.3832487024082</v>
      </c>
    </row>
    <row r="122" customFormat="false" ht="15" hidden="false" customHeight="false" outlineLevel="0" collapsed="false">
      <c r="A122" s="8" t="n">
        <f aca="false">Base!A122</f>
        <v>41670</v>
      </c>
      <c r="B122" s="9" t="n">
        <f aca="false">IFERROR(AVERAGE(Base!C120:C122)-Base!R122,"")</f>
        <v>-24.2016605034005</v>
      </c>
      <c r="C122" s="9" t="n">
        <f aca="false">IFERROR(AVERAGE(Base!G120:G122)-Base!R122,"")</f>
        <v>-2.36666666666667</v>
      </c>
      <c r="D122" s="9" t="n">
        <f aca="false">IFERROR(AVERAGE(Base!H120:H122)-Base!R122,"")</f>
        <v>-0.500000000000001</v>
      </c>
      <c r="E122" s="5" t="n">
        <v>-1.49429754449281</v>
      </c>
      <c r="F122" s="9" t="n">
        <f aca="false">IFERROR(AVERAGE(Base!K120:K122),"")</f>
        <v>0.693057041862625</v>
      </c>
      <c r="G122" s="9" t="n">
        <f aca="false">IFERROR(AVERAGE(Base!M120:M122)*AVERAGE(Base!$F$13:F122),"")</f>
        <v>1.46197803118584</v>
      </c>
      <c r="H122" s="9" t="n">
        <f aca="false">IFERROR(-AVERAGE(Base!O120:O122),"")</f>
        <v>0.402257013421707</v>
      </c>
      <c r="I122" s="9" t="n">
        <f aca="false">IFERROR(AVERAGE(Base!P120:P122),"")</f>
        <v>-27.0712996449261</v>
      </c>
    </row>
    <row r="123" customFormat="false" ht="15" hidden="false" customHeight="false" outlineLevel="0" collapsed="false">
      <c r="A123" s="8" t="n">
        <f aca="false">Base!A123</f>
        <v>41698</v>
      </c>
      <c r="B123" s="9" t="n">
        <f aca="false">IFERROR(AVERAGE(Base!C121:C123)-Base!R123,"")</f>
        <v>-18.170571098847</v>
      </c>
      <c r="C123" s="9" t="n">
        <f aca="false">IFERROR(AVERAGE(Base!G121:G123)-Base!R123,"")</f>
        <v>-2.29833333333333</v>
      </c>
      <c r="D123" s="9" t="n">
        <f aca="false">IFERROR(AVERAGE(Base!H121:H123)-Base!R123,"")</f>
        <v>-0.231666666666668</v>
      </c>
      <c r="E123" s="5" t="n">
        <v>2.6891689112981</v>
      </c>
      <c r="F123" s="9" t="n">
        <f aca="false">IFERROR(AVERAGE(Base!K121:K123),"")</f>
        <v>0.34078390344627</v>
      </c>
      <c r="G123" s="9" t="n">
        <f aca="false">IFERROR(AVERAGE(Base!M121:M123)*AVERAGE(Base!$F$13:F123),"")</f>
        <v>2.54479400649381</v>
      </c>
      <c r="H123" s="9" t="n">
        <f aca="false">IFERROR(-AVERAGE(Base!O121:O123),"")</f>
        <v>3.11480343985775</v>
      </c>
      <c r="I123" s="9" t="n">
        <f aca="false">IFERROR(AVERAGE(Base!P121:P123),"")</f>
        <v>-32.6971735636327</v>
      </c>
    </row>
    <row r="124" customFormat="false" ht="15" hidden="false" customHeight="false" outlineLevel="0" collapsed="false">
      <c r="A124" s="8" t="n">
        <f aca="false">Base!A124</f>
        <v>41729</v>
      </c>
      <c r="B124" s="9" t="n">
        <f aca="false">IFERROR(AVERAGE(Base!C122:C124)-Base!R124,"")</f>
        <v>-17.8152303466165</v>
      </c>
      <c r="C124" s="9" t="n">
        <f aca="false">IFERROR(AVERAGE(Base!G122:G124)-Base!R124,"")</f>
        <v>-3.25333333333333</v>
      </c>
      <c r="D124" s="9" t="n">
        <f aca="false">IFERROR(AVERAGE(Base!H122:H124)-Base!R124,"")</f>
        <v>-1.02</v>
      </c>
      <c r="E124" s="5" t="n">
        <v>6.69055910932191</v>
      </c>
      <c r="F124" s="9" t="n">
        <f aca="false">IFERROR(AVERAGE(Base!K122:K124),"")</f>
        <v>0.598483637380661</v>
      </c>
      <c r="G124" s="9" t="n">
        <f aca="false">IFERROR(AVERAGE(Base!M122:M124)*AVERAGE(Base!$F$13:F124),"")</f>
        <v>3.52721193903112</v>
      </c>
      <c r="H124" s="9" t="n">
        <f aca="false">IFERROR(-AVERAGE(Base!O122:O124),"")</f>
        <v>4.04223130737422</v>
      </c>
      <c r="I124" s="9" t="n">
        <f aca="false">IFERROR(AVERAGE(Base!P122:P124),"")</f>
        <v>-37.862204331257</v>
      </c>
    </row>
    <row r="125" customFormat="false" ht="15" hidden="false" customHeight="false" outlineLevel="0" collapsed="false">
      <c r="A125" s="8" t="n">
        <f aca="false">Base!A125</f>
        <v>41759</v>
      </c>
      <c r="B125" s="9" t="n">
        <f aca="false">IFERROR(AVERAGE(Base!C123:C125)-Base!R125,"")</f>
        <v>-13.0535768975965</v>
      </c>
      <c r="C125" s="9" t="n">
        <f aca="false">IFERROR(AVERAGE(Base!G123:G125)-Base!R125,"")</f>
        <v>-4.475</v>
      </c>
      <c r="D125" s="9" t="n">
        <f aca="false">IFERROR(AVERAGE(Base!H123:H125)-Base!R125,"")</f>
        <v>-1.54166666666667</v>
      </c>
      <c r="E125" s="5" t="n">
        <v>9.71656078393048</v>
      </c>
      <c r="F125" s="9" t="n">
        <f aca="false">IFERROR(AVERAGE(Base!K123:K125),"")</f>
        <v>-0.80937556684458</v>
      </c>
      <c r="G125" s="9" t="n">
        <f aca="false">IFERROR(AVERAGE(Base!M123:M125)*AVERAGE(Base!$F$13:F125),"")</f>
        <v>2.78559079799345</v>
      </c>
      <c r="H125" s="9" t="n">
        <f aca="false">IFERROR(-AVERAGE(Base!O123:O125),"")</f>
        <v>2.5662320531836</v>
      </c>
      <c r="I125" s="9" t="n">
        <f aca="false">IFERROR(AVERAGE(Base!P123:P125),"")</f>
        <v>-24.6708268258835</v>
      </c>
    </row>
    <row r="126" customFormat="false" ht="15" hidden="false" customHeight="false" outlineLevel="0" collapsed="false">
      <c r="A126" s="8" t="n">
        <f aca="false">Base!A126</f>
        <v>41790</v>
      </c>
      <c r="B126" s="9" t="n">
        <f aca="false">IFERROR(AVERAGE(Base!C124:C126)-Base!R126,"")</f>
        <v>-16.2104328822887</v>
      </c>
      <c r="C126" s="9" t="n">
        <f aca="false">IFERROR(AVERAGE(Base!G124:G126)-Base!R126,"")</f>
        <v>-5.23</v>
      </c>
      <c r="D126" s="9" t="n">
        <f aca="false">IFERROR(AVERAGE(Base!H124:H126)-Base!R126,"")</f>
        <v>-2.66333333333333</v>
      </c>
      <c r="E126" s="5" t="n">
        <v>10.8651884867654</v>
      </c>
      <c r="F126" s="9" t="n">
        <f aca="false">IFERROR(AVERAGE(Base!K124:K126),"")</f>
        <v>-1.92296501978434</v>
      </c>
      <c r="G126" s="9" t="n">
        <f aca="false">IFERROR(AVERAGE(Base!M124:M126)*AVERAGE(Base!$F$13:F126),"")</f>
        <v>2.77381673864031</v>
      </c>
      <c r="H126" s="9" t="n">
        <f aca="false">IFERROR(-AVERAGE(Base!O124:O126),"")</f>
        <v>1.39891788403603</v>
      </c>
      <c r="I126" s="9" t="n">
        <f aca="false">IFERROR(AVERAGE(Base!P124:P126),"")</f>
        <v>-16.7158236288722</v>
      </c>
    </row>
    <row r="127" customFormat="false" ht="15" hidden="false" customHeight="false" outlineLevel="0" collapsed="false">
      <c r="A127" s="8" t="n">
        <f aca="false">Base!A127</f>
        <v>41820</v>
      </c>
      <c r="B127" s="9" t="n">
        <f aca="false">IFERROR(AVERAGE(Base!C125:C127)-Base!R127,"")</f>
        <v>-10.8604144364377</v>
      </c>
      <c r="C127" s="9" t="n">
        <f aca="false">IFERROR(AVERAGE(Base!G125:G127)-Base!R127,"")</f>
        <v>-4.81833333333333</v>
      </c>
      <c r="D127" s="9" t="n">
        <f aca="false">IFERROR(AVERAGE(Base!H125:H127)-Base!R127,"")</f>
        <v>-2.085</v>
      </c>
      <c r="E127" s="5" t="n">
        <v>11.0667216074593</v>
      </c>
      <c r="F127" s="9" t="n">
        <f aca="false">IFERROR(AVERAGE(Base!K125:K127),"")</f>
        <v>-2.40797178156373</v>
      </c>
      <c r="G127" s="9" t="n">
        <f aca="false">IFERROR(AVERAGE(Base!M125:M127)*AVERAGE(Base!$F$13:F127),"")</f>
        <v>2.80228946639984</v>
      </c>
      <c r="H127" s="9" t="n">
        <f aca="false">IFERROR(-AVERAGE(Base!O125:O127),"")</f>
        <v>0.498094353289176</v>
      </c>
      <c r="I127" s="9" t="n">
        <f aca="false">IFERROR(AVERAGE(Base!P125:P127),"")</f>
        <v>-1.63215097732872</v>
      </c>
    </row>
    <row r="128" customFormat="false" ht="15" hidden="false" customHeight="false" outlineLevel="0" collapsed="false">
      <c r="A128" s="8" t="n">
        <f aca="false">Base!A128</f>
        <v>41851</v>
      </c>
      <c r="B128" s="9" t="n">
        <f aca="false">IFERROR(AVERAGE(Base!C126:C128)-Base!R128,"")</f>
        <v>-11.4762810323981</v>
      </c>
      <c r="C128" s="9" t="n">
        <f aca="false">IFERROR(AVERAGE(Base!G126:G128)-Base!R128,"")</f>
        <v>-5.37333333333333</v>
      </c>
      <c r="D128" s="9" t="n">
        <f aca="false">IFERROR(AVERAGE(Base!H126:H128)-Base!R128,"")</f>
        <v>-2.30666666666667</v>
      </c>
      <c r="E128" s="5" t="n">
        <v>10.8428815683034</v>
      </c>
      <c r="F128" s="9" t="n">
        <f aca="false">IFERROR(AVERAGE(Base!K126:K128),"")</f>
        <v>-2.55481925409456</v>
      </c>
      <c r="G128" s="9" t="n">
        <f aca="false">IFERROR(AVERAGE(Base!M126:M128)*AVERAGE(Base!$F$13:F128),"")</f>
        <v>2.91095797120079</v>
      </c>
      <c r="H128" s="9" t="n">
        <f aca="false">IFERROR(-AVERAGE(Base!O126:O128),"")</f>
        <v>0.653835953138238</v>
      </c>
      <c r="I128" s="9" t="n">
        <f aca="false">IFERROR(AVERAGE(Base!P126:P128),"")</f>
        <v>-2.53501096937341</v>
      </c>
    </row>
    <row r="129" customFormat="false" ht="15" hidden="false" customHeight="false" outlineLevel="0" collapsed="false">
      <c r="A129" s="8" t="n">
        <f aca="false">Base!A129</f>
        <v>41882</v>
      </c>
      <c r="B129" s="9" t="n">
        <f aca="false">IFERROR(AVERAGE(Base!C127:C129)-Base!R129,"")</f>
        <v>-10.4209139275356</v>
      </c>
      <c r="C129" s="9" t="n">
        <f aca="false">IFERROR(AVERAGE(Base!G127:G129)-Base!R129,"")</f>
        <v>-6.66166666666666</v>
      </c>
      <c r="D129" s="9" t="n">
        <f aca="false">IFERROR(AVERAGE(Base!H127:H129)-Base!R129,"")</f>
        <v>-2.995</v>
      </c>
      <c r="E129" s="5" t="n">
        <v>10.6793830615316</v>
      </c>
      <c r="F129" s="9" t="n">
        <f aca="false">IFERROR(AVERAGE(Base!K127:K129),"")</f>
        <v>-2.59248934669388</v>
      </c>
      <c r="G129" s="9" t="n">
        <f aca="false">IFERROR(AVERAGE(Base!M127:M129)*AVERAGE(Base!$F$13:F129),"")</f>
        <v>2.91885985265877</v>
      </c>
      <c r="H129" s="9" t="n">
        <f aca="false">IFERROR(-AVERAGE(Base!O127:O129),"")</f>
        <v>0.581812488706672</v>
      </c>
      <c r="I129" s="9" t="n">
        <f aca="false">IFERROR(AVERAGE(Base!P127:P129),"")</f>
        <v>2.5024526707018</v>
      </c>
    </row>
    <row r="130" customFormat="false" ht="15" hidden="false" customHeight="false" outlineLevel="0" collapsed="false">
      <c r="A130" s="8" t="n">
        <f aca="false">Base!A130</f>
        <v>41912</v>
      </c>
      <c r="B130" s="9" t="n">
        <f aca="false">IFERROR(AVERAGE(Base!C128:C130)-Base!R130,"")</f>
        <v>-13.5830306672496</v>
      </c>
      <c r="C130" s="9" t="n">
        <f aca="false">IFERROR(AVERAGE(Base!G128:G130)-Base!R130,"")</f>
        <v>-7.35333333333333</v>
      </c>
      <c r="D130" s="9" t="n">
        <f aca="false">IFERROR(AVERAGE(Base!H128:H130)-Base!R130,"")</f>
        <v>-3.42</v>
      </c>
      <c r="E130" s="5" t="n">
        <v>11.2517725211034</v>
      </c>
      <c r="F130" s="9" t="n">
        <f aca="false">IFERROR(AVERAGE(Base!K128:K130),"")</f>
        <v>-2.41274807772295</v>
      </c>
      <c r="G130" s="9" t="n">
        <f aca="false">IFERROR(AVERAGE(Base!M128:M130)*AVERAGE(Base!$F$13:F130),"")</f>
        <v>1.74377583569488</v>
      </c>
      <c r="H130" s="9" t="n">
        <f aca="false">IFERROR(-AVERAGE(Base!O128:O130),"")</f>
        <v>1.32293374997639</v>
      </c>
      <c r="I130" s="9" t="n">
        <f aca="false">IFERROR(AVERAGE(Base!P128:P130),"")</f>
        <v>2.53589147097054</v>
      </c>
    </row>
    <row r="131" customFormat="false" ht="15" hidden="false" customHeight="false" outlineLevel="0" collapsed="false">
      <c r="A131" s="8" t="n">
        <f aca="false">Base!A131</f>
        <v>41943</v>
      </c>
      <c r="B131" s="9" t="n">
        <f aca="false">IFERROR(AVERAGE(Base!C129:C131)-Base!R131,"")</f>
        <v>-12.4246904423262</v>
      </c>
      <c r="C131" s="9" t="n">
        <f aca="false">IFERROR(AVERAGE(Base!G129:G131)-Base!R131,"")</f>
        <v>-7.41166666666667</v>
      </c>
      <c r="D131" s="9" t="n">
        <f aca="false">IFERROR(AVERAGE(Base!H129:H131)-Base!R131,"")</f>
        <v>-3.145</v>
      </c>
      <c r="E131" s="5" t="n">
        <v>10.9808251794699</v>
      </c>
      <c r="F131" s="9" t="n">
        <f aca="false">IFERROR(AVERAGE(Base!K129:K131),"")</f>
        <v>-1.69882509370332</v>
      </c>
      <c r="G131" s="9" t="n">
        <f aca="false">IFERROR(AVERAGE(Base!M129:M131)*AVERAGE(Base!$F$13:F131),"")</f>
        <v>0.729904044707245</v>
      </c>
      <c r="H131" s="9" t="n">
        <f aca="false">IFERROR(-AVERAGE(Base!O129:O131),"")</f>
        <v>1.82501795408972</v>
      </c>
      <c r="I131" s="9" t="n">
        <f aca="false">IFERROR(AVERAGE(Base!P129:P131),"")</f>
        <v>-0.989841475347402</v>
      </c>
    </row>
    <row r="132" customFormat="false" ht="15" hidden="false" customHeight="false" outlineLevel="0" collapsed="false">
      <c r="A132" s="8" t="n">
        <f aca="false">Base!A132</f>
        <v>41973</v>
      </c>
      <c r="B132" s="9" t="n">
        <f aca="false">IFERROR(AVERAGE(Base!C130:C132)-Base!R132,"")</f>
        <v>-10.1548858145157</v>
      </c>
      <c r="C132" s="9" t="n">
        <f aca="false">IFERROR(AVERAGE(Base!G130:G132)-Base!R132,"")</f>
        <v>-6.67</v>
      </c>
      <c r="D132" s="9" t="n">
        <f aca="false">IFERROR(AVERAGE(Base!H130:H132)-Base!R132,"")</f>
        <v>-2.60333333333333</v>
      </c>
      <c r="E132" s="5" t="n">
        <v>9.69900558458793</v>
      </c>
      <c r="F132" s="9" t="n">
        <f aca="false">IFERROR(AVERAGE(Base!K130:K132),"")</f>
        <v>-1.46233910125227</v>
      </c>
      <c r="G132" s="9" t="n">
        <f aca="false">IFERROR(AVERAGE(Base!M130:M132)*AVERAGE(Base!$F$13:F132),"")</f>
        <v>-0.661673506528691</v>
      </c>
      <c r="H132" s="9" t="n">
        <f aca="false">IFERROR(-AVERAGE(Base!O130:O132),"")</f>
        <v>2.34995870732891</v>
      </c>
      <c r="I132" s="9" t="n">
        <f aca="false">IFERROR(AVERAGE(Base!P130:P132),"")</f>
        <v>-13.9926570426425</v>
      </c>
    </row>
    <row r="133" customFormat="false" ht="15" hidden="false" customHeight="false" outlineLevel="0" collapsed="false">
      <c r="A133" s="8" t="n">
        <f aca="false">Base!A133</f>
        <v>42004</v>
      </c>
      <c r="B133" s="9" t="n">
        <f aca="false">IFERROR(AVERAGE(Base!C131:C133)-Base!R133,"")</f>
        <v>-8.74624368106806</v>
      </c>
      <c r="C133" s="9" t="n">
        <f aca="false">IFERROR(AVERAGE(Base!G131:G133)-Base!R133,"")</f>
        <v>-5.91833333333333</v>
      </c>
      <c r="D133" s="9" t="n">
        <f aca="false">IFERROR(AVERAGE(Base!H131:H133)-Base!R133,"")</f>
        <v>-1.785</v>
      </c>
      <c r="E133" s="5" t="n">
        <v>7.02212794413974</v>
      </c>
      <c r="F133" s="9" t="n">
        <f aca="false">IFERROR(AVERAGE(Base!K131:K133),"")</f>
        <v>-1.46464785472199</v>
      </c>
      <c r="G133" s="9" t="n">
        <f aca="false">IFERROR(AVERAGE(Base!M131:M133)*AVERAGE(Base!$F$13:F133),"")</f>
        <v>-1.57203682432202</v>
      </c>
      <c r="H133" s="9" t="n">
        <f aca="false">IFERROR(-AVERAGE(Base!O131:O133),"")</f>
        <v>-0.818853958378777</v>
      </c>
      <c r="I133" s="9" t="n">
        <f aca="false">IFERROR(AVERAGE(Base!P131:P133),"")</f>
        <v>-30.595014485632</v>
      </c>
    </row>
    <row r="134" customFormat="false" ht="15" hidden="false" customHeight="false" outlineLevel="0" collapsed="false">
      <c r="A134" s="8" t="n">
        <f aca="false">Base!A134</f>
        <v>42035</v>
      </c>
      <c r="B134" s="9" t="n">
        <f aca="false">IFERROR(AVERAGE(Base!C132:C134)-Base!R134,"")</f>
        <v>-11.1408242624091</v>
      </c>
      <c r="C134" s="9" t="n">
        <f aca="false">IFERROR(AVERAGE(Base!G132:G134)-Base!R134,"")</f>
        <v>-5.63333333333333</v>
      </c>
      <c r="D134" s="9" t="n">
        <f aca="false">IFERROR(AVERAGE(Base!H132:H134)-Base!R134,"")</f>
        <v>-1.4</v>
      </c>
      <c r="E134" s="5" t="n">
        <v>4.16293268956341</v>
      </c>
      <c r="F134" s="9" t="n">
        <f aca="false">IFERROR(AVERAGE(Base!K132:K134),"")</f>
        <v>-1.32780883675389</v>
      </c>
      <c r="G134" s="9" t="n">
        <f aca="false">IFERROR(AVERAGE(Base!M132:M134)*AVERAGE(Base!$F$13:F134),"")</f>
        <v>-3.86318914587633</v>
      </c>
      <c r="H134" s="9" t="n">
        <f aca="false">IFERROR(-AVERAGE(Base!O132:O134),"")</f>
        <v>-6.72763502818548</v>
      </c>
      <c r="I134" s="9" t="n">
        <f aca="false">IFERROR(AVERAGE(Base!P132:P134),"")</f>
        <v>-27.6531638578808</v>
      </c>
    </row>
    <row r="135" customFormat="false" ht="15" hidden="false" customHeight="false" outlineLevel="0" collapsed="false">
      <c r="A135" s="8" t="n">
        <f aca="false">Base!A135</f>
        <v>42063</v>
      </c>
      <c r="B135" s="9" t="n">
        <f aca="false">IFERROR(AVERAGE(Base!C133:C135)-Base!R135,"")</f>
        <v>-15.3379687257523</v>
      </c>
      <c r="C135" s="9" t="n">
        <f aca="false">IFERROR(AVERAGE(Base!G133:G135)-Base!R135,"")</f>
        <v>-4.44833333333333</v>
      </c>
      <c r="D135" s="9" t="n">
        <f aca="false">IFERROR(AVERAGE(Base!H133:H135)-Base!R135,"")</f>
        <v>-0.681666666666665</v>
      </c>
      <c r="E135" s="5" t="n">
        <v>-0.309769325490244</v>
      </c>
      <c r="F135" s="9" t="n">
        <f aca="false">IFERROR(AVERAGE(Base!K133:K135),"")</f>
        <v>-1.35946885335494</v>
      </c>
      <c r="G135" s="9" t="n">
        <f aca="false">IFERROR(AVERAGE(Base!M133:M135)*AVERAGE(Base!$F$13:F135),"")</f>
        <v>-5.62631527157531</v>
      </c>
      <c r="H135" s="9" t="n">
        <f aca="false">IFERROR(-AVERAGE(Base!O133:O135),"")</f>
        <v>-15.4032900808739</v>
      </c>
      <c r="I135" s="9" t="n">
        <f aca="false">IFERROR(AVERAGE(Base!P133:P135),"")</f>
        <v>-0.457012922299853</v>
      </c>
    </row>
    <row r="136" customFormat="false" ht="15" hidden="false" customHeight="false" outlineLevel="0" collapsed="false">
      <c r="A136" s="8" t="n">
        <f aca="false">Base!A136</f>
        <v>42094</v>
      </c>
      <c r="B136" s="9" t="n">
        <f aca="false">IFERROR(AVERAGE(Base!C134:C136)-Base!R136,"")</f>
        <v>-15.8344818710837</v>
      </c>
      <c r="C136" s="9" t="n">
        <f aca="false">IFERROR(AVERAGE(Base!G134:G136)-Base!R136,"")</f>
        <v>-2.725</v>
      </c>
      <c r="D136" s="9" t="n">
        <f aca="false">IFERROR(AVERAGE(Base!H134:H136)-Base!R136,"")</f>
        <v>-0.391666666666665</v>
      </c>
      <c r="E136" s="5" t="n">
        <v>-4.75673237425388</v>
      </c>
      <c r="F136" s="9" t="n">
        <f aca="false">IFERROR(AVERAGE(Base!K134:K136),"")</f>
        <v>-1.18791961832841</v>
      </c>
      <c r="G136" s="9" t="n">
        <f aca="false">IFERROR(AVERAGE(Base!M134:M136)*AVERAGE(Base!$F$13:F136),"")</f>
        <v>-7.09570611201628</v>
      </c>
      <c r="H136" s="9" t="n">
        <f aca="false">IFERROR(-AVERAGE(Base!O134:O136),"")</f>
        <v>-21.7252409303724</v>
      </c>
      <c r="I136" s="9" t="n">
        <f aca="false">IFERROR(AVERAGE(Base!P134:P136),"")</f>
        <v>20.1634590051845</v>
      </c>
    </row>
    <row r="137" customFormat="false" ht="15" hidden="false" customHeight="false" outlineLevel="0" collapsed="false">
      <c r="A137" s="8" t="n">
        <f aca="false">Base!A137</f>
        <v>42124</v>
      </c>
      <c r="B137" s="9" t="n">
        <f aca="false">IFERROR(AVERAGE(Base!C135:C137)-Base!R137,"")</f>
        <v>-18.8213398681455</v>
      </c>
      <c r="C137" s="9" t="n">
        <f aca="false">IFERROR(AVERAGE(Base!G135:G137)-Base!R137,"")</f>
        <v>-0.534999999999999</v>
      </c>
      <c r="D137" s="9" t="n">
        <f aca="false">IFERROR(AVERAGE(Base!H135:H137)-Base!R137,"")</f>
        <v>-0.0349999999999988</v>
      </c>
      <c r="E137" s="5" t="n">
        <v>-8.03583469543293</v>
      </c>
      <c r="F137" s="9" t="n">
        <f aca="false">IFERROR(AVERAGE(Base!K135:K137),"")</f>
        <v>0.381571304160022</v>
      </c>
      <c r="G137" s="9" t="n">
        <f aca="false">IFERROR(AVERAGE(Base!M135:M137)*AVERAGE(Base!$F$13:F137),"")</f>
        <v>-6.8600271836147</v>
      </c>
      <c r="H137" s="9" t="n">
        <f aca="false">IFERROR(-AVERAGE(Base!O135:O137),"")</f>
        <v>-24.5844702941481</v>
      </c>
      <c r="I137" s="9" t="n">
        <f aca="false">IFERROR(AVERAGE(Base!P135:P137),"")</f>
        <v>23.8298880569206</v>
      </c>
    </row>
    <row r="138" customFormat="false" ht="15" hidden="false" customHeight="false" outlineLevel="0" collapsed="false">
      <c r="A138" s="8" t="n">
        <f aca="false">Base!A138</f>
        <v>42155</v>
      </c>
      <c r="B138" s="9" t="n">
        <f aca="false">IFERROR(AVERAGE(Base!C136:C138)-Base!R138,"")</f>
        <v>-22.3272010355381</v>
      </c>
      <c r="C138" s="9" t="n">
        <f aca="false">IFERROR(AVERAGE(Base!G136:G138)-Base!R138,"")</f>
        <v>0.488333333333335</v>
      </c>
      <c r="D138" s="9" t="n">
        <f aca="false">IFERROR(AVERAGE(Base!H136:H138)-Base!R138,"")</f>
        <v>-0.444999999999998</v>
      </c>
      <c r="E138" s="5" t="n">
        <v>-9.22008686130204</v>
      </c>
      <c r="F138" s="9" t="n">
        <f aca="false">IFERROR(AVERAGE(Base!K136:K138),"")</f>
        <v>1.50483448372282</v>
      </c>
      <c r="G138" s="9" t="n">
        <f aca="false">IFERROR(AVERAGE(Base!M136:M138)*AVERAGE(Base!$F$13:F138),"")</f>
        <v>-6.98586861565735</v>
      </c>
      <c r="H138" s="9" t="n">
        <f aca="false">IFERROR(-AVERAGE(Base!O136:O138),"")</f>
        <v>-24.8408875924141</v>
      </c>
      <c r="I138" s="9" t="n">
        <f aca="false">IFERROR(AVERAGE(Base!P136:P138),"")</f>
        <v>15.0512449743296</v>
      </c>
    </row>
    <row r="139" customFormat="false" ht="15" hidden="false" customHeight="false" outlineLevel="0" collapsed="false">
      <c r="A139" s="8" t="n">
        <f aca="false">Base!A139</f>
        <v>42185</v>
      </c>
      <c r="B139" s="9" t="n">
        <f aca="false">IFERROR(AVERAGE(Base!C137:C139)-Base!R139,"")</f>
        <v>-23.8725306017503</v>
      </c>
      <c r="C139" s="9" t="n">
        <f aca="false">IFERROR(AVERAGE(Base!G137:G139)-Base!R139,"")</f>
        <v>1.525</v>
      </c>
      <c r="D139" s="9" t="n">
        <f aca="false">IFERROR(AVERAGE(Base!H137:H139)-Base!R139,"")</f>
        <v>-0.308333333333332</v>
      </c>
      <c r="E139" s="5" t="n">
        <v>-9.85997754023136</v>
      </c>
      <c r="F139" s="9" t="n">
        <f aca="false">IFERROR(AVERAGE(Base!K137:K139),"")</f>
        <v>1.92395078533668</v>
      </c>
      <c r="G139" s="9" t="n">
        <f aca="false">IFERROR(AVERAGE(Base!M137:M139)*AVERAGE(Base!$F$13:F139),"")</f>
        <v>-6.66687303817262</v>
      </c>
      <c r="H139" s="9" t="n">
        <f aca="false">IFERROR(-AVERAGE(Base!O137:O139),"")</f>
        <v>-23.8215910557933</v>
      </c>
      <c r="I139" s="9" t="n">
        <f aca="false">IFERROR(AVERAGE(Base!P137:P139),"")</f>
        <v>12.3107067427497</v>
      </c>
    </row>
    <row r="140" customFormat="false" ht="15" hidden="false" customHeight="false" outlineLevel="0" collapsed="false">
      <c r="A140" s="8" t="n">
        <f aca="false">Base!A140</f>
        <v>42216</v>
      </c>
      <c r="B140" s="9" t="n">
        <f aca="false">IFERROR(AVERAGE(Base!C138:C140)-Base!R140,"")</f>
        <v>-21.2624124596243</v>
      </c>
      <c r="C140" s="9" t="n">
        <f aca="false">IFERROR(AVERAGE(Base!G138:G140)-Base!R140,"")</f>
        <v>2.06166666666667</v>
      </c>
      <c r="D140" s="9" t="n">
        <f aca="false">IFERROR(AVERAGE(Base!H138:H140)-Base!R140,"")</f>
        <v>0.361666666666668</v>
      </c>
      <c r="E140" s="5" t="n">
        <v>-10.199003868296</v>
      </c>
      <c r="F140" s="9" t="n">
        <f aca="false">IFERROR(AVERAGE(Base!K138:K140),"")</f>
        <v>1.1785055929787</v>
      </c>
      <c r="G140" s="9" t="n">
        <f aca="false">IFERROR(AVERAGE(Base!M138:M140)*AVERAGE(Base!$F$13:F140),"")</f>
        <v>-6.80618538518111</v>
      </c>
      <c r="H140" s="9" t="n">
        <f aca="false">IFERROR(-AVERAGE(Base!O138:O140),"")</f>
        <v>-24.3046837600351</v>
      </c>
      <c r="I140" s="9" t="n">
        <f aca="false">IFERROR(AVERAGE(Base!P138:P140),"")</f>
        <v>17.7222607960085</v>
      </c>
    </row>
    <row r="141" customFormat="false" ht="15" hidden="false" customHeight="false" outlineLevel="0" collapsed="false">
      <c r="A141" s="8" t="n">
        <f aca="false">Base!A141</f>
        <v>42247</v>
      </c>
      <c r="B141" s="9" t="n">
        <f aca="false">IFERROR(AVERAGE(Base!C139:C141)-Base!R141,"")</f>
        <v>-18.5647670122547</v>
      </c>
      <c r="C141" s="9" t="n">
        <f aca="false">IFERROR(AVERAGE(Base!G139:G141)-Base!R141,"")</f>
        <v>2.79833333333333</v>
      </c>
      <c r="D141" s="9" t="n">
        <f aca="false">IFERROR(AVERAGE(Base!H139:H141)-Base!R141,"")</f>
        <v>1.865</v>
      </c>
      <c r="E141" s="5" t="n">
        <v>-10.5092454258299</v>
      </c>
      <c r="F141" s="9" t="n">
        <f aca="false">IFERROR(AVERAGE(Base!K139:K141),"")</f>
        <v>0.701751501029787</v>
      </c>
      <c r="G141" s="9" t="n">
        <f aca="false">IFERROR(AVERAGE(Base!M139:M141)*AVERAGE(Base!$F$13:F141),"")</f>
        <v>-7.03372571299261</v>
      </c>
      <c r="H141" s="9" t="n">
        <f aca="false">IFERROR(-AVERAGE(Base!O139:O141),"")</f>
        <v>-25.953992020433</v>
      </c>
      <c r="I141" s="9" t="n">
        <f aca="false">IFERROR(AVERAGE(Base!P139:P141),"")</f>
        <v>9.88095227146142</v>
      </c>
    </row>
    <row r="142" customFormat="false" ht="15" hidden="false" customHeight="false" outlineLevel="0" collapsed="false">
      <c r="A142" s="8" t="n">
        <f aca="false">Base!A142</f>
        <v>42277</v>
      </c>
      <c r="B142" s="9" t="n">
        <f aca="false">IFERROR(AVERAGE(Base!C140:C142)-Base!R142,"")</f>
        <v>-16.1815153747967</v>
      </c>
      <c r="C142" s="9" t="n">
        <f aca="false">IFERROR(AVERAGE(Base!G140:G142)-Base!R142,"")</f>
        <v>1.89</v>
      </c>
      <c r="D142" s="9" t="n">
        <f aca="false">IFERROR(AVERAGE(Base!H140:H142)-Base!R142,"")</f>
        <v>2.72333333333333</v>
      </c>
      <c r="E142" s="5" t="n">
        <v>-10.8950953300223</v>
      </c>
      <c r="F142" s="9" t="n">
        <f aca="false">IFERROR(AVERAGE(Base!K140:K142),"")</f>
        <v>-0.155747835301738</v>
      </c>
      <c r="G142" s="9" t="n">
        <f aca="false">IFERROR(AVERAGE(Base!M140:M142)*AVERAGE(Base!$F$13:F142),"")</f>
        <v>-7.15750896778165</v>
      </c>
      <c r="H142" s="9" t="n">
        <f aca="false">IFERROR(-AVERAGE(Base!O140:O142),"")</f>
        <v>-28.7004802581725</v>
      </c>
      <c r="I142" s="9" t="n">
        <f aca="false">IFERROR(AVERAGE(Base!P140:P142),"")</f>
        <v>6.35420436243491</v>
      </c>
    </row>
    <row r="143" customFormat="false" ht="15" hidden="false" customHeight="false" outlineLevel="0" collapsed="false">
      <c r="A143" s="8" t="n">
        <f aca="false">Base!A143</f>
        <v>42308</v>
      </c>
      <c r="B143" s="9" t="n">
        <f aca="false">IFERROR(AVERAGE(Base!C141:C143)-Base!R143,"")</f>
        <v>-16.062975011706</v>
      </c>
      <c r="C143" s="9" t="n">
        <f aca="false">IFERROR(AVERAGE(Base!G141:G143)-Base!R143,"")</f>
        <v>1.38166666666667</v>
      </c>
      <c r="D143" s="9" t="n">
        <f aca="false">IFERROR(AVERAGE(Base!H141:H143)-Base!R143,"")</f>
        <v>2.48166666666667</v>
      </c>
      <c r="E143" s="5" t="n">
        <v>-11.2787446314117</v>
      </c>
      <c r="F143" s="9" t="n">
        <f aca="false">IFERROR(AVERAGE(Base!K141:K143),"")</f>
        <v>-0.864283766992768</v>
      </c>
      <c r="G143" s="9" t="n">
        <f aca="false">IFERROR(AVERAGE(Base!M141:M143)*AVERAGE(Base!$F$13:F143),"")</f>
        <v>-7.00744669091648</v>
      </c>
      <c r="H143" s="9" t="n">
        <f aca="false">IFERROR(-AVERAGE(Base!O141:O143),"")</f>
        <v>-29.7359015587461</v>
      </c>
      <c r="I143" s="9" t="n">
        <f aca="false">IFERROR(AVERAGE(Base!P141:P143),"")</f>
        <v>-4.41913030129081</v>
      </c>
    </row>
    <row r="144" customFormat="false" ht="15" hidden="false" customHeight="false" outlineLevel="0" collapsed="false">
      <c r="A144" s="8" t="n">
        <f aca="false">Base!A144</f>
        <v>42338</v>
      </c>
      <c r="B144" s="9" t="n">
        <f aca="false">IFERROR(AVERAGE(Base!C142:C144)-Base!R144,"")</f>
        <v>-15.3726855864657</v>
      </c>
      <c r="C144" s="9" t="n">
        <f aca="false">IFERROR(AVERAGE(Base!G142:G144)-Base!R144,"")</f>
        <v>1.24</v>
      </c>
      <c r="D144" s="9" t="n">
        <f aca="false">IFERROR(AVERAGE(Base!H142:H144)-Base!R144,"")</f>
        <v>1.84</v>
      </c>
      <c r="E144" s="5" t="n">
        <v>-10.6943788729913</v>
      </c>
      <c r="F144" s="9" t="n">
        <f aca="false">IFERROR(AVERAGE(Base!K142:K144),"")</f>
        <v>-0.979289237580912</v>
      </c>
      <c r="G144" s="9" t="n">
        <f aca="false">IFERROR(AVERAGE(Base!M142:M144)*AVERAGE(Base!$F$13:F144),"")</f>
        <v>-6.57815064488727</v>
      </c>
      <c r="H144" s="9" t="n">
        <f aca="false">IFERROR(-AVERAGE(Base!O142:O144),"")</f>
        <v>-30.6155057302363</v>
      </c>
      <c r="I144" s="9" t="n">
        <f aca="false">IFERROR(AVERAGE(Base!P142:P144),"")</f>
        <v>-5.6542327779261</v>
      </c>
    </row>
    <row r="145" customFormat="false" ht="15" hidden="false" customHeight="false" outlineLevel="0" collapsed="false">
      <c r="A145" s="8" t="n">
        <f aca="false">Base!A145</f>
        <v>42369</v>
      </c>
      <c r="B145" s="9" t="n">
        <f aca="false">IFERROR(AVERAGE(Base!C143:C145)-Base!R145,"")</f>
        <v>-20.149086727963</v>
      </c>
      <c r="C145" s="9" t="n">
        <f aca="false">IFERROR(AVERAGE(Base!G143:G145)-Base!R145,"")</f>
        <v>0.741666666666667</v>
      </c>
      <c r="D145" s="9" t="n">
        <f aca="false">IFERROR(AVERAGE(Base!H143:H145)-Base!R145,"")</f>
        <v>0.875</v>
      </c>
      <c r="E145" s="5" t="n">
        <v>-7.72933951304022</v>
      </c>
      <c r="F145" s="9" t="n">
        <f aca="false">IFERROR(AVERAGE(Base!K143:K145),"")</f>
        <v>-0.484970640017712</v>
      </c>
      <c r="G145" s="9" t="n">
        <f aca="false">IFERROR(AVERAGE(Base!M143:M145)*AVERAGE(Base!$F$13:F145),"")</f>
        <v>-3.97294398692227</v>
      </c>
      <c r="H145" s="9" t="n">
        <f aca="false">IFERROR(-AVERAGE(Base!O143:O145),"")</f>
        <v>-29.9644789076819</v>
      </c>
      <c r="I145" s="9" t="n">
        <f aca="false">IFERROR(AVERAGE(Base!P143:P145),"")</f>
        <v>-5.22699462813438</v>
      </c>
    </row>
    <row r="146" customFormat="false" ht="15" hidden="false" customHeight="false" outlineLevel="0" collapsed="false">
      <c r="A146" s="8" t="n">
        <f aca="false">Base!A146</f>
        <v>42400</v>
      </c>
      <c r="B146" s="9" t="n">
        <f aca="false">IFERROR(AVERAGE(Base!C144:C146)-Base!R146,"")</f>
        <v>-14.9229280629244</v>
      </c>
      <c r="C146" s="9" t="n">
        <f aca="false">IFERROR(AVERAGE(Base!G144:G146)-Base!R146,"")</f>
        <v>0.176666666666666</v>
      </c>
      <c r="D146" s="9" t="n">
        <f aca="false">IFERROR(AVERAGE(Base!H144:H146)-Base!R146,"")</f>
        <v>1.81</v>
      </c>
      <c r="E146" s="5" t="n">
        <v>-3.58491656785048</v>
      </c>
      <c r="F146" s="9" t="n">
        <f aca="false">IFERROR(AVERAGE(Base!K144:K146),"")</f>
        <v>-0.777145235171791</v>
      </c>
      <c r="G146" s="9" t="n">
        <f aca="false">IFERROR(AVERAGE(Base!M144:M146)*AVERAGE(Base!$F$13:F146),"")</f>
        <v>-1.02462146978253</v>
      </c>
      <c r="H146" s="9" t="n">
        <f aca="false">IFERROR(-AVERAGE(Base!O144:O146),"")</f>
        <v>-28.2995750321231</v>
      </c>
      <c r="I146" s="9" t="n">
        <f aca="false">IFERROR(AVERAGE(Base!P144:P146),"")</f>
        <v>-8.82585642611846</v>
      </c>
    </row>
    <row r="147" customFormat="false" ht="15" hidden="false" customHeight="false" outlineLevel="0" collapsed="false">
      <c r="A147" s="8" t="n">
        <f aca="false">Base!A147</f>
        <v>42429</v>
      </c>
      <c r="B147" s="9" t="n">
        <f aca="false">IFERROR(AVERAGE(Base!C145:C147)-Base!R147,"")</f>
        <v>-6.43744613830247</v>
      </c>
      <c r="C147" s="9" t="n">
        <f aca="false">IFERROR(AVERAGE(Base!G145:G147)-Base!R147,"")</f>
        <v>-0.588333333333333</v>
      </c>
      <c r="D147" s="9" t="n">
        <f aca="false">IFERROR(AVERAGE(Base!H145:H147)-Base!R147,"")</f>
        <v>3.07833333333333</v>
      </c>
      <c r="E147" s="5" t="n">
        <v>0.214588320812801</v>
      </c>
      <c r="F147" s="9" t="n">
        <f aca="false">IFERROR(AVERAGE(Base!K145:K147),"")</f>
        <v>-1.35006418977225</v>
      </c>
      <c r="G147" s="9" t="n">
        <f aca="false">IFERROR(AVERAGE(Base!M145:M147)*AVERAGE(Base!$F$13:F147),"")</f>
        <v>3.16707684307123</v>
      </c>
      <c r="H147" s="9" t="n">
        <f aca="false">IFERROR(-AVERAGE(Base!O145:O147),"")</f>
        <v>-23.9263096458812</v>
      </c>
      <c r="I147" s="9" t="n">
        <f aca="false">IFERROR(AVERAGE(Base!P145:P147),"")</f>
        <v>-20.5672897988714</v>
      </c>
    </row>
    <row r="148" customFormat="false" ht="15" hidden="false" customHeight="false" outlineLevel="0" collapsed="false">
      <c r="A148" s="8" t="n">
        <f aca="false">Base!A148</f>
        <v>42460</v>
      </c>
      <c r="B148" s="9" t="n">
        <f aca="false">IFERROR(AVERAGE(Base!C146:C148)-Base!R148,"")</f>
        <v>1.93818225352575</v>
      </c>
      <c r="C148" s="9" t="n">
        <f aca="false">IFERROR(AVERAGE(Base!G146:G148)-Base!R148,"")</f>
        <v>-0.661666666666666</v>
      </c>
      <c r="D148" s="9" t="n">
        <f aca="false">IFERROR(AVERAGE(Base!H146:H148)-Base!R148,"")</f>
        <v>4.53833333333333</v>
      </c>
      <c r="E148" s="5" t="n">
        <v>2.26264550759628</v>
      </c>
      <c r="F148" s="9" t="n">
        <f aca="false">IFERROR(AVERAGE(Base!K146:K148),"")</f>
        <v>-1.82364388437194</v>
      </c>
      <c r="G148" s="9" t="n">
        <f aca="false">IFERROR(AVERAGE(Base!M146:M148)*AVERAGE(Base!$F$13:F148),"")</f>
        <v>4.93528973207849</v>
      </c>
      <c r="H148" s="9" t="n">
        <f aca="false">IFERROR(-AVERAGE(Base!O146:O148),"")</f>
        <v>-19.2923316448983</v>
      </c>
      <c r="I148" s="9" t="n">
        <f aca="false">IFERROR(AVERAGE(Base!P146:P148),"")</f>
        <v>-31.349087498827</v>
      </c>
    </row>
    <row r="149" customFormat="false" ht="15" hidden="false" customHeight="false" outlineLevel="0" collapsed="false">
      <c r="A149" s="8" t="n">
        <f aca="false">Base!A149</f>
        <v>42490</v>
      </c>
      <c r="B149" s="9" t="n">
        <f aca="false">IFERROR(AVERAGE(Base!C147:C149)-Base!R149,"")</f>
        <v>-1.36502962195909</v>
      </c>
      <c r="C149" s="9" t="n">
        <f aca="false">IFERROR(AVERAGE(Base!G147:G149)-Base!R149,"")</f>
        <v>-1.635</v>
      </c>
      <c r="D149" s="9" t="n">
        <f aca="false">IFERROR(AVERAGE(Base!H147:H149)-Base!R149,"")</f>
        <v>3.23166666666667</v>
      </c>
      <c r="E149" s="5" t="n">
        <v>3.70234960454378</v>
      </c>
      <c r="F149" s="9" t="n">
        <f aca="false">IFERROR(AVERAGE(Base!K147:K149),"")</f>
        <v>-2.05387784084232</v>
      </c>
      <c r="G149" s="9" t="n">
        <f aca="false">IFERROR(AVERAGE(Base!M147:M149)*AVERAGE(Base!$F$13:F149),"")</f>
        <v>5.28523905962403</v>
      </c>
      <c r="H149" s="9" t="n">
        <f aca="false">IFERROR(-AVERAGE(Base!O147:O149),"")</f>
        <v>-15.1446019274741</v>
      </c>
      <c r="I149" s="9" t="n">
        <f aca="false">IFERROR(AVERAGE(Base!P147:P149),"")</f>
        <v>-33.0432229105351</v>
      </c>
    </row>
    <row r="150" customFormat="false" ht="15" hidden="false" customHeight="false" outlineLevel="0" collapsed="false">
      <c r="A150" s="8" t="n">
        <f aca="false">Base!A150</f>
        <v>42521</v>
      </c>
      <c r="B150" s="9" t="n">
        <f aca="false">IFERROR(AVERAGE(Base!C148:C150)-Base!R150,"")</f>
        <v>-2.42082658329529</v>
      </c>
      <c r="C150" s="9" t="n">
        <f aca="false">IFERROR(AVERAGE(Base!G148:G150)-Base!R150,"")</f>
        <v>-2.975</v>
      </c>
      <c r="D150" s="9" t="n">
        <f aca="false">IFERROR(AVERAGE(Base!H148:H150)-Base!R150,"")</f>
        <v>2.35833333333333</v>
      </c>
      <c r="E150" s="5" t="n">
        <v>5.94690643113827</v>
      </c>
      <c r="F150" s="9" t="n">
        <f aca="false">IFERROR(AVERAGE(Base!K148:K150),"")</f>
        <v>-3.70186624298116</v>
      </c>
      <c r="G150" s="9" t="n">
        <f aca="false">IFERROR(AVERAGE(Base!M148:M150)*AVERAGE(Base!$F$13:F150),"")</f>
        <v>3.74653601640099</v>
      </c>
      <c r="H150" s="9" t="n">
        <f aca="false">IFERROR(-AVERAGE(Base!O148:O150),"")</f>
        <v>-13.4130159122647</v>
      </c>
      <c r="I150" s="9" t="n">
        <f aca="false">IFERROR(AVERAGE(Base!P148:P150),"")</f>
        <v>-28.6871806686991</v>
      </c>
    </row>
    <row r="151" customFormat="false" ht="15" hidden="false" customHeight="false" outlineLevel="0" collapsed="false">
      <c r="A151" s="8" t="n">
        <f aca="false">Base!A151</f>
        <v>42551</v>
      </c>
      <c r="B151" s="9" t="n">
        <f aca="false">IFERROR(AVERAGE(Base!C149:C151)-Base!R151,"")</f>
        <v>-6.67218345105258</v>
      </c>
      <c r="C151" s="9" t="n">
        <f aca="false">IFERROR(AVERAGE(Base!G149:G151)-Base!R151,"")</f>
        <v>-4.90333333333333</v>
      </c>
      <c r="D151" s="9" t="n">
        <f aca="false">IFERROR(AVERAGE(Base!H149:H151)-Base!R151,"")</f>
        <v>0.896666666666666</v>
      </c>
      <c r="E151" s="9" t="n">
        <f aca="false">IFERROR(AVERAGE(Base!I149:I151)-AVERAGE(Base!S92:S151),"")</f>
        <v>20.6214856287761</v>
      </c>
      <c r="F151" s="9" t="n">
        <f aca="false">IFERROR(AVERAGE(Base!K149:K151),"")</f>
        <v>-5.15092710796771</v>
      </c>
      <c r="G151" s="9" t="n">
        <f aca="false">IFERROR(AVERAGE(Base!M149:M151)*AVERAGE(Base!$F$13:F151),"")</f>
        <v>2.94405512207107</v>
      </c>
      <c r="H151" s="9" t="n">
        <f aca="false">IFERROR(-AVERAGE(Base!O149:O151),"")</f>
        <v>-13.2283899157713</v>
      </c>
      <c r="I151" s="9" t="n">
        <f aca="false">IFERROR(AVERAGE(Base!P149:P151),"")</f>
        <v>-33.1061827723259</v>
      </c>
    </row>
    <row r="152" customFormat="false" ht="15" hidden="false" customHeight="false" outlineLevel="0" collapsed="false">
      <c r="A152" s="8" t="n">
        <f aca="false">Base!A152</f>
        <v>42582</v>
      </c>
      <c r="B152" s="9" t="n">
        <f aca="false">IFERROR(AVERAGE(Base!C150:C152)-Base!R152,"")</f>
        <v>-7.24415832994459</v>
      </c>
      <c r="C152" s="9" t="n">
        <f aca="false">IFERROR(AVERAGE(Base!G150:G152)-Base!R152,"")</f>
        <v>-5.63166666666667</v>
      </c>
      <c r="D152" s="9" t="n">
        <f aca="false">IFERROR(AVERAGE(Base!H150:H152)-Base!R152,"")</f>
        <v>0.868333333333333</v>
      </c>
      <c r="E152" s="9" t="n">
        <f aca="false">IFERROR(AVERAGE(Base!I150:I152)-AVERAGE(Base!S93:S152),"")</f>
        <v>22.4778036562915</v>
      </c>
      <c r="F152" s="9" t="n">
        <f aca="false">IFERROR(AVERAGE(Base!K150:K152),"")</f>
        <v>-5.6670138287212</v>
      </c>
      <c r="G152" s="9" t="n">
        <f aca="false">IFERROR(AVERAGE(Base!M150:M152)*AVERAGE(Base!$F$13:F152),"")</f>
        <v>3.36842048365823</v>
      </c>
      <c r="H152" s="9" t="n">
        <f aca="false">IFERROR(-AVERAGE(Base!O150:O152),"")</f>
        <v>-14.7159436715624</v>
      </c>
      <c r="I152" s="9" t="n">
        <f aca="false">IFERROR(AVERAGE(Base!P150:P152),"")</f>
        <v>-39.0329715043587</v>
      </c>
    </row>
    <row r="153" customFormat="false" ht="15" hidden="false" customHeight="false" outlineLevel="0" collapsed="false">
      <c r="A153" s="8" t="n">
        <f aca="false">Base!A153</f>
        <v>42613</v>
      </c>
      <c r="B153" s="9" t="n">
        <f aca="false">IFERROR(AVERAGE(Base!C151:C153)-Base!R153,"")</f>
        <v>-4.16332794173129</v>
      </c>
      <c r="C153" s="9" t="n">
        <f aca="false">IFERROR(AVERAGE(Base!G151:G153)-Base!R153,"")</f>
        <v>-5.06</v>
      </c>
      <c r="D153" s="9" t="n">
        <f aca="false">IFERROR(AVERAGE(Base!H151:H153)-Base!R153,"")</f>
        <v>0.94</v>
      </c>
      <c r="E153" s="9" t="n">
        <f aca="false">IFERROR(AVERAGE(Base!I151:I153)-AVERAGE(Base!S94:S153),"")</f>
        <v>22.3669073820103</v>
      </c>
      <c r="F153" s="9" t="n">
        <f aca="false">IFERROR(AVERAGE(Base!K151:K153),"")</f>
        <v>-4.59548270490369</v>
      </c>
      <c r="G153" s="9" t="n">
        <f aca="false">IFERROR(AVERAGE(Base!M151:M153)*AVERAGE(Base!$F$13:F153),"")</f>
        <v>4.56655776461764</v>
      </c>
      <c r="H153" s="9" t="n">
        <f aca="false">IFERROR(-AVERAGE(Base!O151:O153),"")</f>
        <v>-15.8675589850587</v>
      </c>
      <c r="I153" s="9" t="n">
        <f aca="false">IFERROR(AVERAGE(Base!P151:P153),"")</f>
        <v>-36.6714464557943</v>
      </c>
    </row>
    <row r="154" customFormat="false" ht="15" hidden="false" customHeight="false" outlineLevel="0" collapsed="false">
      <c r="A154" s="8" t="n">
        <f aca="false">Base!A154</f>
        <v>42643</v>
      </c>
      <c r="B154" s="9" t="n">
        <f aca="false">IFERROR(AVERAGE(Base!C152:C154)-Base!R154,"")</f>
        <v>-0.639549480642007</v>
      </c>
      <c r="C154" s="9" t="n">
        <f aca="false">IFERROR(AVERAGE(Base!G152:G154)-Base!R154,"")</f>
        <v>-3.89833333333333</v>
      </c>
      <c r="D154" s="9" t="n">
        <f aca="false">IFERROR(AVERAGE(Base!H152:H154)-Base!R154,"")</f>
        <v>1.26833333333333</v>
      </c>
      <c r="E154" s="9" t="n">
        <f aca="false">IFERROR(AVERAGE(Base!I152:I154)-AVERAGE(Base!S95:S154),"")</f>
        <v>20.8701960936355</v>
      </c>
      <c r="F154" s="9" t="n">
        <f aca="false">IFERROR(AVERAGE(Base!K152:K154),"")</f>
        <v>-3.56215883412008</v>
      </c>
      <c r="G154" s="9" t="n">
        <f aca="false">IFERROR(AVERAGE(Base!M152:M154)*AVERAGE(Base!$F$13:F154),"")</f>
        <v>5.68047002313199</v>
      </c>
      <c r="H154" s="9" t="n">
        <f aca="false">IFERROR(-AVERAGE(Base!O152:O154),"")</f>
        <v>-14.4159857064035</v>
      </c>
      <c r="I154" s="9" t="n">
        <f aca="false">IFERROR(AVERAGE(Base!P152:P154),"")</f>
        <v>-24.0889568789028</v>
      </c>
    </row>
    <row r="155" customFormat="false" ht="15" hidden="false" customHeight="false" outlineLevel="0" collapsed="false">
      <c r="A155" s="8" t="n">
        <f aca="false">Base!A155</f>
        <v>42674</v>
      </c>
      <c r="B155" s="9" t="n">
        <f aca="false">IFERROR(AVERAGE(Base!C153:C155)-Base!R155,"")</f>
        <v>0.955509493271364</v>
      </c>
      <c r="C155" s="9" t="n">
        <f aca="false">IFERROR(AVERAGE(Base!G153:G155)-Base!R155,"")</f>
        <v>-3.30333333333333</v>
      </c>
      <c r="D155" s="9" t="n">
        <f aca="false">IFERROR(AVERAGE(Base!H153:H155)-Base!R155,"")</f>
        <v>1.79666666666667</v>
      </c>
      <c r="E155" s="9" t="n">
        <f aca="false">IFERROR(AVERAGE(Base!I153:I155)-AVERAGE(Base!S96:S155),"")</f>
        <v>20.2633384045901</v>
      </c>
      <c r="F155" s="9" t="n">
        <f aca="false">IFERROR(AVERAGE(Base!K153:K155),"")</f>
        <v>-3.77214572657335</v>
      </c>
      <c r="G155" s="9" t="n">
        <f aca="false">IFERROR(AVERAGE(Base!M153:M155)*AVERAGE(Base!$F$13:F155),"")</f>
        <v>5.98694456642738</v>
      </c>
      <c r="H155" s="9" t="n">
        <f aca="false">IFERROR(-AVERAGE(Base!O153:O155),"")</f>
        <v>-11.352613666157</v>
      </c>
      <c r="I155" s="9" t="n">
        <f aca="false">IFERROR(AVERAGE(Base!P153:P155),"")</f>
        <v>-6.74451305181009</v>
      </c>
    </row>
    <row r="156" customFormat="false" ht="15" hidden="false" customHeight="false" outlineLevel="0" collapsed="false">
      <c r="A156" s="8" t="n">
        <f aca="false">Base!A156</f>
        <v>42704</v>
      </c>
      <c r="B156" s="9" t="n">
        <f aca="false">IFERROR(AVERAGE(Base!C154:C156)-Base!R156,"")</f>
        <v>4.02645098643281</v>
      </c>
      <c r="C156" s="9" t="n">
        <f aca="false">IFERROR(AVERAGE(Base!G154:G156)-Base!R156,"")</f>
        <v>-2.775</v>
      </c>
      <c r="D156" s="9" t="n">
        <f aca="false">IFERROR(AVERAGE(Base!H154:H156)-Base!R156,"")</f>
        <v>2.59166666666667</v>
      </c>
      <c r="E156" s="9" t="n">
        <f aca="false">IFERROR(AVERAGE(Base!I154:I156)-AVERAGE(Base!S97:S156),"")</f>
        <v>19.6730720501595</v>
      </c>
      <c r="F156" s="9" t="n">
        <f aca="false">IFERROR(AVERAGE(Base!K154:K156),"")</f>
        <v>-4.42103330647464</v>
      </c>
      <c r="G156" s="9" t="n">
        <f aca="false">IFERROR(AVERAGE(Base!M154:M156)*AVERAGE(Base!$F$13:F156),"")</f>
        <v>6.29839954713582</v>
      </c>
      <c r="H156" s="9" t="n">
        <f aca="false">IFERROR(-AVERAGE(Base!O154:O156),"")</f>
        <v>-7.97581064177614</v>
      </c>
      <c r="I156" s="9" t="n">
        <f aca="false">IFERROR(AVERAGE(Base!P154:P156),"")</f>
        <v>1.8513270556492</v>
      </c>
    </row>
    <row r="157" customFormat="false" ht="15" hidden="false" customHeight="false" outlineLevel="0" collapsed="false">
      <c r="A157" s="8" t="n">
        <f aca="false">Base!A157</f>
        <v>42735</v>
      </c>
      <c r="B157" s="9" t="n">
        <f aca="false">IFERROR(AVERAGE(Base!C155:C157)-Base!R157,"")</f>
        <v>16.720980199302</v>
      </c>
      <c r="C157" s="9" t="n">
        <f aca="false">IFERROR(AVERAGE(Base!G155:G157)-Base!R157,"")</f>
        <v>-1.59666666666667</v>
      </c>
      <c r="D157" s="9" t="n">
        <f aca="false">IFERROR(AVERAGE(Base!H155:H157)-Base!R157,"")</f>
        <v>3.90333333333333</v>
      </c>
      <c r="E157" s="9" t="n">
        <f aca="false">IFERROR(AVERAGE(Base!I155:I157)-AVERAGE(Base!S98:S157),"")</f>
        <v>17.235009828261</v>
      </c>
      <c r="F157" s="9" t="n">
        <f aca="false">IFERROR(AVERAGE(Base!K155:K157),"")</f>
        <v>-5.74146474691914</v>
      </c>
      <c r="G157" s="9" t="n">
        <f aca="false">IFERROR(AVERAGE(Base!M155:M157)*AVERAGE(Base!$F$13:F157),"")</f>
        <v>3.51310075057175</v>
      </c>
      <c r="H157" s="9" t="n">
        <f aca="false">IFERROR(-AVERAGE(Base!O155:O157),"")</f>
        <v>-6.35264108532999</v>
      </c>
      <c r="I157" s="9" t="n">
        <f aca="false">IFERROR(AVERAGE(Base!P155:P157),"")</f>
        <v>9.7921101621929</v>
      </c>
    </row>
    <row r="158" customFormat="false" ht="15" hidden="false" customHeight="false" outlineLevel="0" collapsed="false">
      <c r="A158" s="8" t="n">
        <f aca="false">Base!A158</f>
        <v>42766</v>
      </c>
      <c r="B158" s="9" t="n">
        <f aca="false">IFERROR(AVERAGE(Base!C156:C158)-Base!R158,"")</f>
        <v>22.3144707790144</v>
      </c>
      <c r="C158" s="9" t="n">
        <f aca="false">IFERROR(AVERAGE(Base!G156:G158)-Base!R158,"")</f>
        <v>0.348333333333333</v>
      </c>
      <c r="D158" s="9" t="n">
        <f aca="false">IFERROR(AVERAGE(Base!H156:H158)-Base!R158,"")</f>
        <v>4.48166666666667</v>
      </c>
      <c r="E158" s="9" t="n">
        <f aca="false">IFERROR(AVERAGE(Base!I156:I158)-AVERAGE(Base!S99:S158),"")</f>
        <v>13.0633925228102</v>
      </c>
      <c r="F158" s="9" t="n">
        <f aca="false">IFERROR(AVERAGE(Base!K156:K158),"")</f>
        <v>-5.97876328378036</v>
      </c>
      <c r="G158" s="9" t="n">
        <f aca="false">IFERROR(AVERAGE(Base!M156:M158)*AVERAGE(Base!$F$13:F158),"")</f>
        <v>1.10382804280183</v>
      </c>
      <c r="H158" s="9" t="n">
        <f aca="false">IFERROR(-AVERAGE(Base!O156:O158),"")</f>
        <v>-5.66225282968663</v>
      </c>
      <c r="I158" s="9" t="n">
        <f aca="false">IFERROR(AVERAGE(Base!P156:P158),"")</f>
        <v>8.11516742289127</v>
      </c>
    </row>
    <row r="159" customFormat="false" ht="15" hidden="false" customHeight="false" outlineLevel="0" collapsed="false">
      <c r="A159" s="8" t="n">
        <f aca="false">Base!A159</f>
        <v>42794</v>
      </c>
      <c r="B159" s="9" t="n">
        <f aca="false">IFERROR(AVERAGE(Base!C157:C159)-Base!R159,"")</f>
        <v>13.4930581644303</v>
      </c>
      <c r="C159" s="9" t="n">
        <f aca="false">IFERROR(AVERAGE(Base!G157:G159)-Base!R159,"")</f>
        <v>0.326666666666667</v>
      </c>
      <c r="D159" s="9" t="n">
        <f aca="false">IFERROR(AVERAGE(Base!H157:H159)-Base!R159,"")</f>
        <v>3.29333333333333</v>
      </c>
      <c r="E159" s="9" t="n">
        <f aca="false">IFERROR(AVERAGE(Base!I157:I159)-AVERAGE(Base!S100:S159),"")</f>
        <v>9.2103252884505</v>
      </c>
      <c r="F159" s="9" t="n">
        <f aca="false">IFERROR(AVERAGE(Base!K157:K159),"")</f>
        <v>-6.18251744845083</v>
      </c>
      <c r="G159" s="9" t="n">
        <f aca="false">IFERROR(AVERAGE(Base!M157:M159)*AVERAGE(Base!$F$13:F159),"")</f>
        <v>-2.678545080225</v>
      </c>
      <c r="H159" s="9" t="n">
        <f aca="false">IFERROR(-AVERAGE(Base!O157:O159),"")</f>
        <v>-5.70040346209025</v>
      </c>
      <c r="I159" s="9" t="n">
        <f aca="false">IFERROR(AVERAGE(Base!P157:P159),"")</f>
        <v>5.44765300162656</v>
      </c>
    </row>
    <row r="160" customFormat="false" ht="15" hidden="false" customHeight="false" outlineLevel="0" collapsed="false">
      <c r="A160" s="8" t="n">
        <f aca="false">Base!A160</f>
        <v>42825</v>
      </c>
      <c r="B160" s="9" t="n">
        <f aca="false">IFERROR(AVERAGE(Base!C158:C160)-Base!R160,"")</f>
        <v>2.73582338460629</v>
      </c>
      <c r="C160" s="9" t="n">
        <f aca="false">IFERROR(AVERAGE(Base!G158:G160)-Base!R160,"")</f>
        <v>0.61</v>
      </c>
      <c r="D160" s="9" t="n">
        <f aca="false">IFERROR(AVERAGE(Base!H158:H160)-Base!R160,"")</f>
        <v>2.54333333333333</v>
      </c>
      <c r="E160" s="9" t="n">
        <f aca="false">IFERROR(AVERAGE(Base!I158:I160)-AVERAGE(Base!S101:S160),"")</f>
        <v>7.6609038825145</v>
      </c>
      <c r="F160" s="9" t="n">
        <f aca="false">IFERROR(AVERAGE(Base!K158:K160),"")</f>
        <v>-6.14625345353568</v>
      </c>
      <c r="G160" s="9" t="n">
        <f aca="false">IFERROR(AVERAGE(Base!M158:M160)*AVERAGE(Base!$F$13:F160),"")</f>
        <v>-3.77348258838605</v>
      </c>
      <c r="H160" s="9" t="n">
        <f aca="false">IFERROR(-AVERAGE(Base!O158:O160),"")</f>
        <v>-6.04856896740786</v>
      </c>
      <c r="I160" s="9" t="n">
        <f aca="false">IFERROR(AVERAGE(Base!P158:P160),"")</f>
        <v>-0.855182906500551</v>
      </c>
    </row>
    <row r="161" customFormat="false" ht="15" hidden="false" customHeight="false" outlineLevel="0" collapsed="false">
      <c r="A161" s="8" t="n">
        <f aca="false">Base!A161</f>
        <v>42855</v>
      </c>
      <c r="B161" s="9" t="n">
        <f aca="false">IFERROR(AVERAGE(Base!C159:C161)-Base!R161,"")</f>
        <v>0.124169164526565</v>
      </c>
      <c r="C161" s="9" t="n">
        <f aca="false">IFERROR(AVERAGE(Base!G159:G161)-Base!R161,"")</f>
        <v>-0.106666666666667</v>
      </c>
      <c r="D161" s="9" t="n">
        <f aca="false">IFERROR(AVERAGE(Base!H159:H161)-Base!R161,"")</f>
        <v>2.19333333333333</v>
      </c>
      <c r="E161" s="9" t="n">
        <f aca="false">IFERROR(AVERAGE(Base!I159:I161)-AVERAGE(Base!S102:S161),"")</f>
        <v>7.02049763524243</v>
      </c>
      <c r="F161" s="9" t="n">
        <f aca="false">IFERROR(AVERAGE(Base!K159:K161),"")</f>
        <v>-8.70588692892086</v>
      </c>
      <c r="G161" s="9" t="n">
        <f aca="false">IFERROR(AVERAGE(Base!M159:M161)*AVERAGE(Base!$F$13:F161),"")</f>
        <v>-4.40458427375898</v>
      </c>
      <c r="H161" s="9" t="n">
        <f aca="false">IFERROR(-AVERAGE(Base!O159:O161),"")</f>
        <v>-5.41290236831542</v>
      </c>
      <c r="I161" s="9" t="n">
        <f aca="false">IFERROR(AVERAGE(Base!P159:P161),"")</f>
        <v>-7.41289855736376</v>
      </c>
    </row>
    <row r="162" customFormat="false" ht="15" hidden="false" customHeight="false" outlineLevel="0" collapsed="false">
      <c r="A162" s="8" t="n">
        <f aca="false">Base!A162</f>
        <v>42886</v>
      </c>
      <c r="B162" s="9" t="n">
        <f aca="false">IFERROR(AVERAGE(Base!C160:C162)-Base!R162,"")</f>
        <v>2.76999223718059</v>
      </c>
      <c r="C162" s="9" t="n">
        <f aca="false">IFERROR(AVERAGE(Base!G160:G162)-Base!R162,"")</f>
        <v>1.11</v>
      </c>
      <c r="D162" s="9" t="n">
        <f aca="false">IFERROR(AVERAGE(Base!H160:H162)-Base!R162,"")</f>
        <v>3.14333333333333</v>
      </c>
      <c r="E162" s="9" t="n">
        <f aca="false">IFERROR(AVERAGE(Base!I160:I162)-AVERAGE(Base!S103:S162),"")</f>
        <v>5.46420352651901</v>
      </c>
      <c r="F162" s="9" t="n">
        <f aca="false">IFERROR(AVERAGE(Base!K160:K162),"")</f>
        <v>-8.57151125041077</v>
      </c>
      <c r="G162" s="9" t="n">
        <f aca="false">IFERROR(AVERAGE(Base!M160:M162)*AVERAGE(Base!$F$13:F162),"")</f>
        <v>-2.88533452786484</v>
      </c>
      <c r="H162" s="9" t="n">
        <f aca="false">IFERROR(-AVERAGE(Base!O160:O162),"")</f>
        <v>-3.49685521068376</v>
      </c>
      <c r="I162" s="9" t="n">
        <f aca="false">IFERROR(AVERAGE(Base!P160:P162),"")</f>
        <v>-4.14111005072998</v>
      </c>
    </row>
    <row r="163" customFormat="false" ht="15" hidden="false" customHeight="false" outlineLevel="0" collapsed="false">
      <c r="A163" s="8" t="n">
        <f aca="false">Base!A163</f>
        <v>42916</v>
      </c>
      <c r="B163" s="9" t="n">
        <f aca="false">IFERROR(AVERAGE(Base!C161:C163)-Base!R163,"")</f>
        <v>0.645608098715403</v>
      </c>
      <c r="C163" s="9" t="n">
        <f aca="false">IFERROR(AVERAGE(Base!G161:G163)-Base!R163,"")</f>
        <v>2.295</v>
      </c>
      <c r="D163" s="9" t="n">
        <f aca="false">IFERROR(AVERAGE(Base!H161:H163)-Base!R163,"")</f>
        <v>3.16166666666667</v>
      </c>
      <c r="E163" s="9" t="n">
        <f aca="false">IFERROR(AVERAGE(Base!I161:I163)-AVERAGE(Base!S104:S163),"")</f>
        <v>3.32729263334391</v>
      </c>
      <c r="F163" s="9" t="n">
        <f aca="false">IFERROR(AVERAGE(Base!K161:K163),"")</f>
        <v>-8.85249763207761</v>
      </c>
      <c r="G163" s="9" t="n">
        <f aca="false">IFERROR(AVERAGE(Base!M161:M163)*AVERAGE(Base!$F$13:F163),"")</f>
        <v>-2.0912074089898</v>
      </c>
      <c r="H163" s="9" t="n">
        <f aca="false">IFERROR(-AVERAGE(Base!O161:O163),"")</f>
        <v>-1.86641364764084</v>
      </c>
      <c r="I163" s="9" t="n">
        <f aca="false">IFERROR(AVERAGE(Base!P161:P163),"")</f>
        <v>1.07742138386024</v>
      </c>
    </row>
    <row r="164" customFormat="false" ht="15" hidden="false" customHeight="false" outlineLevel="0" collapsed="false">
      <c r="A164" s="8" t="n">
        <f aca="false">Base!A164</f>
        <v>42947</v>
      </c>
      <c r="B164" s="9" t="n">
        <f aca="false">IFERROR(AVERAGE(Base!C162:C164)-Base!R164,"")</f>
        <v>1.65002812254834</v>
      </c>
      <c r="C164" s="9" t="n">
        <f aca="false">IFERROR(AVERAGE(Base!G162:G164)-Base!R164,"")</f>
        <v>3.81333333333333</v>
      </c>
      <c r="D164" s="9" t="n">
        <f aca="false">IFERROR(AVERAGE(Base!H162:H164)-Base!R164,"")</f>
        <v>3.41333333333333</v>
      </c>
      <c r="E164" s="9" t="n">
        <f aca="false">IFERROR(AVERAGE(Base!I162:I164)-AVERAGE(Base!S105:S164),"")</f>
        <v>1.346906289968</v>
      </c>
      <c r="F164" s="9" t="n">
        <f aca="false">IFERROR(AVERAGE(Base!K162:K164),"")</f>
        <v>-7.051313458997</v>
      </c>
      <c r="G164" s="9" t="n">
        <f aca="false">IFERROR(AVERAGE(Base!M162:M164)*AVERAGE(Base!$F$13:F164),"")</f>
        <v>-0.807272198246573</v>
      </c>
      <c r="H164" s="9" t="n">
        <f aca="false">IFERROR(-AVERAGE(Base!O162:O164),"")</f>
        <v>-0.166577920541722</v>
      </c>
      <c r="I164" s="9" t="n">
        <f aca="false">IFERROR(AVERAGE(Base!P162:P164),"")</f>
        <v>22.8355599435044</v>
      </c>
    </row>
    <row r="165" customFormat="false" ht="15" hidden="false" customHeight="false" outlineLevel="0" collapsed="false">
      <c r="A165" s="8" t="n">
        <f aca="false">Base!A165</f>
        <v>42978</v>
      </c>
      <c r="B165" s="9" t="n">
        <f aca="false">IFERROR(AVERAGE(Base!C163:C165)-Base!R165,"")</f>
        <v>-1.99137496211917</v>
      </c>
      <c r="C165" s="9" t="n">
        <f aca="false">IFERROR(AVERAGE(Base!G163:G165)-Base!R165,"")</f>
        <v>4.23166666666667</v>
      </c>
      <c r="D165" s="9" t="n">
        <f aca="false">IFERROR(AVERAGE(Base!H163:H165)-Base!R165,"")</f>
        <v>2.59833333333333</v>
      </c>
      <c r="E165" s="9" t="n">
        <f aca="false">IFERROR(AVERAGE(Base!I163:I165)-AVERAGE(Base!S106:S165),"")</f>
        <v>1.06699569071475</v>
      </c>
      <c r="F165" s="9" t="n">
        <f aca="false">IFERROR(AVERAGE(Base!K163:K165),"")</f>
        <v>-7.09005834068547</v>
      </c>
      <c r="G165" s="9" t="n">
        <f aca="false">IFERROR(AVERAGE(Base!M163:M165)*AVERAGE(Base!$F$13:F165),"")</f>
        <v>-0.693094745331977</v>
      </c>
      <c r="H165" s="9" t="n">
        <f aca="false">IFERROR(-AVERAGE(Base!O163:O165),"")</f>
        <v>2.73239888396644</v>
      </c>
      <c r="I165" s="9" t="n">
        <f aca="false">IFERROR(AVERAGE(Base!P163:P165),"")</f>
        <v>59.7202036797752</v>
      </c>
    </row>
    <row r="166" customFormat="false" ht="15" hidden="false" customHeight="false" outlineLevel="0" collapsed="false">
      <c r="A166" s="8" t="n">
        <f aca="false">Base!A166</f>
        <v>43008</v>
      </c>
      <c r="B166" s="9" t="n">
        <f aca="false">IFERROR(AVERAGE(Base!C164:C166)-Base!R166,"")</f>
        <v>0.287892526363896</v>
      </c>
      <c r="C166" s="9" t="n">
        <f aca="false">IFERROR(AVERAGE(Base!G164:G166)-Base!R166,"")</f>
        <v>3.515</v>
      </c>
      <c r="D166" s="9" t="n">
        <f aca="false">IFERROR(AVERAGE(Base!H164:H166)-Base!R166,"")</f>
        <v>1.88166666666667</v>
      </c>
      <c r="E166" s="9" t="n">
        <f aca="false">IFERROR(AVERAGE(Base!I164:I166)-AVERAGE(Base!S107:S166),"")</f>
        <v>1.9260689499499</v>
      </c>
      <c r="F166" s="9" t="n">
        <f aca="false">IFERROR(AVERAGE(Base!K164:K166),"")</f>
        <v>-6.33483451928733</v>
      </c>
      <c r="G166" s="9" t="n">
        <f aca="false">IFERROR(AVERAGE(Base!M164:M166)*AVERAGE(Base!$F$13:F166),"")</f>
        <v>-0.416880798299602</v>
      </c>
      <c r="H166" s="9" t="n">
        <f aca="false">IFERROR(-AVERAGE(Base!O164:O166),"")</f>
        <v>3.49560083728512</v>
      </c>
      <c r="I166" s="9" t="n">
        <f aca="false">IFERROR(AVERAGE(Base!P164:P166),"")</f>
        <v>62.8404720506513</v>
      </c>
    </row>
    <row r="167" customFormat="false" ht="15" hidden="false" customHeight="false" outlineLevel="0" collapsed="false">
      <c r="A167" s="8" t="n">
        <f aca="false">Base!A167</f>
        <v>43039</v>
      </c>
      <c r="B167" s="9" t="n">
        <f aca="false">IFERROR(AVERAGE(Base!C165:C167)-Base!R167,"")</f>
        <v>2.02005141848927</v>
      </c>
      <c r="C167" s="9" t="n">
        <f aca="false">IFERROR(AVERAGE(Base!G165:G167)-Base!R167,"")</f>
        <v>4.03166666666667</v>
      </c>
      <c r="D167" s="9" t="n">
        <f aca="false">IFERROR(AVERAGE(Base!H165:H167)-Base!R167,"")</f>
        <v>1.39833333333333</v>
      </c>
      <c r="E167" s="9" t="n">
        <f aca="false">IFERROR(AVERAGE(Base!I165:I167)-AVERAGE(Base!S108:S167),"")</f>
        <v>2.51293410328306</v>
      </c>
      <c r="F167" s="9" t="n">
        <f aca="false">IFERROR(AVERAGE(Base!K165:K167),"")</f>
        <v>-5.22816478024537</v>
      </c>
      <c r="G167" s="9" t="n">
        <f aca="false">IFERROR(AVERAGE(Base!M165:M167)*AVERAGE(Base!$F$13:F167),"")</f>
        <v>-0.712701273382985</v>
      </c>
      <c r="H167" s="9" t="n">
        <f aca="false">IFERROR(-AVERAGE(Base!O165:O167),"")</f>
        <v>4.72761464121706</v>
      </c>
      <c r="I167" s="9" t="n">
        <f aca="false">IFERROR(AVERAGE(Base!P165:P167),"")</f>
        <v>62.6183449790442</v>
      </c>
    </row>
    <row r="168" customFormat="false" ht="15" hidden="false" customHeight="false" outlineLevel="0" collapsed="false">
      <c r="A168" s="8" t="n">
        <f aca="false">Base!A168</f>
        <v>43069</v>
      </c>
      <c r="B168" s="9" t="n">
        <f aca="false">IFERROR(AVERAGE(Base!C166:C168)-Base!R168,"")</f>
        <v>3.61733071571389</v>
      </c>
      <c r="C168" s="9" t="n">
        <f aca="false">IFERROR(AVERAGE(Base!G166:G168)-Base!R168,"")</f>
        <v>4.315</v>
      </c>
      <c r="D168" s="9" t="n">
        <f aca="false">IFERROR(AVERAGE(Base!H166:H168)-Base!R168,"")</f>
        <v>1.24833333333333</v>
      </c>
      <c r="E168" s="9" t="n">
        <f aca="false">IFERROR(AVERAGE(Base!I166:I168)-AVERAGE(Base!S109:S168),"")</f>
        <v>2.45006736455052</v>
      </c>
      <c r="F168" s="9" t="n">
        <f aca="false">IFERROR(AVERAGE(Base!K166:K168),"")</f>
        <v>-4.10058493701637</v>
      </c>
      <c r="G168" s="9" t="n">
        <f aca="false">IFERROR(AVERAGE(Base!M166:M168)*AVERAGE(Base!$F$13:F168),"")</f>
        <v>-1.03376997269574</v>
      </c>
      <c r="H168" s="9" t="n">
        <f aca="false">IFERROR(-AVERAGE(Base!O166:O168),"")</f>
        <v>4.5571454133774</v>
      </c>
      <c r="I168" s="9" t="n">
        <f aca="false">IFERROR(AVERAGE(Base!P166:P168),"")</f>
        <v>32.7401068150068</v>
      </c>
    </row>
    <row r="169" customFormat="false" ht="15" hidden="false" customHeight="false" outlineLevel="0" collapsed="false">
      <c r="A169" s="8" t="n">
        <f aca="false">Base!A169</f>
        <v>43100</v>
      </c>
      <c r="B169" s="9" t="n">
        <f aca="false">IFERROR(AVERAGE(Base!C167:C169)-Base!R169,"")</f>
        <v>1.60431677041744</v>
      </c>
      <c r="C169" s="9" t="n">
        <f aca="false">IFERROR(AVERAGE(Base!G167:G169)-Base!R169,"")</f>
        <v>3.98333333333333</v>
      </c>
      <c r="D169" s="9" t="n">
        <f aca="false">IFERROR(AVERAGE(Base!H167:H169)-Base!R169,"")</f>
        <v>0.616666666666666</v>
      </c>
      <c r="E169" s="9" t="n">
        <f aca="false">IFERROR(AVERAGE(Base!I167:I169)-AVERAGE(Base!S110:S169),"")</f>
        <v>1.99924747419169</v>
      </c>
      <c r="F169" s="9" t="n">
        <f aca="false">IFERROR(AVERAGE(Base!K167:K169),"")</f>
        <v>-2.80050170252167</v>
      </c>
      <c r="G169" s="9" t="n">
        <f aca="false">IFERROR(AVERAGE(Base!M167:M169)*AVERAGE(Base!$F$13:F169),"")</f>
        <v>-0.566212344016166</v>
      </c>
      <c r="H169" s="9" t="n">
        <f aca="false">IFERROR(-AVERAGE(Base!O167:O169),"")</f>
        <v>8.05855310701569</v>
      </c>
      <c r="I169" s="9" t="n">
        <f aca="false">IFERROR(AVERAGE(Base!P167:P169),"")</f>
        <v>26.6379109284139</v>
      </c>
    </row>
    <row r="170" customFormat="false" ht="15" hidden="false" customHeight="false" outlineLevel="0" collapsed="false">
      <c r="A170" s="8" t="n">
        <f aca="false">Base!A170</f>
        <v>43131</v>
      </c>
      <c r="B170" s="9" t="n">
        <f aca="false">IFERROR(AVERAGE(Base!C168:C170)-Base!R170,"")</f>
        <v>1.74299046672023</v>
      </c>
      <c r="C170" s="9" t="n">
        <f aca="false">IFERROR(AVERAGE(Base!G168:G170)-Base!R170,"")</f>
        <v>3.41833333333333</v>
      </c>
      <c r="D170" s="9" t="n">
        <f aca="false">IFERROR(AVERAGE(Base!H168:H170)-Base!R170,"")</f>
        <v>0.118333333333333</v>
      </c>
      <c r="E170" s="9" t="n">
        <f aca="false">IFERROR(AVERAGE(Base!I168:I170)-AVERAGE(Base!S111:S170),"")</f>
        <v>1.87985933091402</v>
      </c>
      <c r="F170" s="9" t="n">
        <f aca="false">IFERROR(AVERAGE(Base!K168:K170),"")</f>
        <v>-2.51837908316533</v>
      </c>
      <c r="G170" s="9" t="n">
        <f aca="false">IFERROR(AVERAGE(Base!M168:M170)*AVERAGE(Base!$F$13:F170),"")</f>
        <v>0.208171240554665</v>
      </c>
      <c r="H170" s="9" t="n">
        <f aca="false">IFERROR(-AVERAGE(Base!O168:O170),"")</f>
        <v>11.2946103601897</v>
      </c>
      <c r="I170" s="9" t="n">
        <f aca="false">IFERROR(AVERAGE(Base!P168:P170),"")</f>
        <v>20.4913200767411</v>
      </c>
    </row>
    <row r="171" customFormat="false" ht="15" hidden="false" customHeight="false" outlineLevel="0" collapsed="false">
      <c r="A171" s="8" t="n">
        <f aca="false">Base!A171</f>
        <v>43159</v>
      </c>
      <c r="B171" s="9" t="n">
        <f aca="false">IFERROR(AVERAGE(Base!C169:C171)-Base!R171,"")</f>
        <v>6.30505045600342</v>
      </c>
      <c r="C171" s="9" t="n">
        <f aca="false">IFERROR(AVERAGE(Base!G169:G171)-Base!R171,"")</f>
        <v>3.32</v>
      </c>
      <c r="D171" s="9" t="n">
        <f aca="false">IFERROR(AVERAGE(Base!H169:H171)-Base!R171,"")</f>
        <v>-0.28</v>
      </c>
      <c r="E171" s="9" t="n">
        <f aca="false">IFERROR(AVERAGE(Base!I169:I171)-AVERAGE(Base!S112:S171),"")</f>
        <v>2.94380952380952</v>
      </c>
      <c r="F171" s="9" t="n">
        <f aca="false">IFERROR(AVERAGE(Base!K169:K171),"")</f>
        <v>-1.84536431548714</v>
      </c>
      <c r="G171" s="9" t="n">
        <f aca="false">IFERROR(AVERAGE(Base!M169:M171)*AVERAGE(Base!$F$13:F171),"")</f>
        <v>1.51289241317467</v>
      </c>
      <c r="H171" s="9" t="n">
        <f aca="false">IFERROR(-AVERAGE(Base!O169:O171),"")</f>
        <v>15.1390246243891</v>
      </c>
      <c r="I171" s="9" t="n">
        <f aca="false">IFERROR(AVERAGE(Base!P169:P171),"")</f>
        <v>15.2428581025002</v>
      </c>
    </row>
    <row r="172" customFormat="false" ht="15" hidden="false" customHeight="false" outlineLevel="0" collapsed="false">
      <c r="A172" s="8" t="n">
        <f aca="false">Base!A172</f>
        <v>43190</v>
      </c>
      <c r="B172" s="9" t="n">
        <f aca="false">IFERROR(AVERAGE(Base!C170:C172)-Base!R172,"")</f>
        <v>12.9837024711309</v>
      </c>
      <c r="C172" s="9" t="n">
        <f aca="false">IFERROR(AVERAGE(Base!G170:G172)-Base!R172,"")</f>
        <v>3.135</v>
      </c>
      <c r="D172" s="9" t="n">
        <f aca="false">IFERROR(AVERAGE(Base!H170:H172)-Base!R172,"")</f>
        <v>-0.365</v>
      </c>
      <c r="E172" s="9" t="n">
        <f aca="false">IFERROR(AVERAGE(Base!I170:I172)-AVERAGE(Base!S113:S172),"")</f>
        <v>4.32060606060606</v>
      </c>
      <c r="F172" s="9" t="n">
        <f aca="false">IFERROR(AVERAGE(Base!K170:K172),"")</f>
        <v>-1.16869984888763</v>
      </c>
      <c r="G172" s="9" t="n">
        <f aca="false">IFERROR(AVERAGE(Base!M170:M172)*AVERAGE(Base!$F$13:F172),"")</f>
        <v>2.36668299121953</v>
      </c>
      <c r="H172" s="9" t="n">
        <f aca="false">IFERROR(-AVERAGE(Base!O170:O172),"")</f>
        <v>18.2028529474255</v>
      </c>
      <c r="I172" s="9" t="n">
        <f aca="false">IFERROR(AVERAGE(Base!P170:P172),"")</f>
        <v>13.7607814693682</v>
      </c>
    </row>
    <row r="173" customFormat="false" ht="15" hidden="false" customHeight="false" outlineLevel="0" collapsed="false">
      <c r="A173" s="8" t="n">
        <f aca="false">Base!A173</f>
        <v>43220</v>
      </c>
      <c r="B173" s="9" t="n">
        <f aca="false">IFERROR(AVERAGE(Base!C171:C173)-Base!R173,"")</f>
        <v>11.2905888040377</v>
      </c>
      <c r="C173" s="9" t="n">
        <f aca="false">IFERROR(AVERAGE(Base!G171:G173)-Base!R173,"")</f>
        <v>1.48333333333333</v>
      </c>
      <c r="D173" s="9" t="n">
        <f aca="false">IFERROR(AVERAGE(Base!H171:H173)-Base!R173,"")</f>
        <v>-1.21666666666667</v>
      </c>
      <c r="E173" s="9" t="n">
        <f aca="false">IFERROR(AVERAGE(Base!I171:I173)-AVERAGE(Base!S114:S173),"")</f>
        <v>7.04289855072464</v>
      </c>
      <c r="F173" s="9" t="n">
        <f aca="false">IFERROR(AVERAGE(Base!K171:K173),"")</f>
        <v>2.33918940811428</v>
      </c>
      <c r="G173" s="9" t="n">
        <f aca="false">IFERROR(AVERAGE(Base!M171:M173)*AVERAGE(Base!$F$13:F173),"")</f>
        <v>2.66343537583836</v>
      </c>
      <c r="H173" s="9" t="n">
        <f aca="false">IFERROR(-AVERAGE(Base!O171:O173),"")</f>
        <v>18.8544267481815</v>
      </c>
      <c r="I173" s="9" t="n">
        <f aca="false">IFERROR(AVERAGE(Base!P171:P173),"")</f>
        <v>17.7000084184021</v>
      </c>
    </row>
    <row r="174" customFormat="false" ht="15" hidden="false" customHeight="false" outlineLevel="0" collapsed="false">
      <c r="A174" s="8" t="n">
        <f aca="false">Base!A174</f>
        <v>43251</v>
      </c>
      <c r="B174" s="9" t="n">
        <f aca="false">IFERROR(AVERAGE(Base!C172:C174)-Base!R174,"")</f>
        <v>5.77394717588333</v>
      </c>
      <c r="C174" s="9" t="n">
        <f aca="false">IFERROR(AVERAGE(Base!G172:G174)-Base!R174,"")</f>
        <v>-1.96833333333333</v>
      </c>
      <c r="D174" s="9" t="n">
        <f aca="false">IFERROR(AVERAGE(Base!H172:H174)-Base!R174,"")</f>
        <v>-3.135</v>
      </c>
      <c r="E174" s="9" t="n">
        <f aca="false">IFERROR(AVERAGE(Base!I172:I174)-AVERAGE(Base!S115:S174),"")</f>
        <v>8.96166666666667</v>
      </c>
      <c r="F174" s="9" t="n">
        <f aca="false">IFERROR(AVERAGE(Base!K172:K174),"")</f>
        <v>3.62895555994283</v>
      </c>
      <c r="G174" s="9" t="n">
        <f aca="false">IFERROR(AVERAGE(Base!M172:M174)*AVERAGE(Base!$F$13:F174),"")</f>
        <v>3.75215517527551</v>
      </c>
      <c r="H174" s="9" t="n">
        <f aca="false">IFERROR(-AVERAGE(Base!O172:O174),"")</f>
        <v>17.587753596102</v>
      </c>
      <c r="I174" s="9" t="n">
        <f aca="false">IFERROR(AVERAGE(Base!P172:P174),"")</f>
        <v>27.4092148422435</v>
      </c>
    </row>
    <row r="175" customFormat="false" ht="15" hidden="false" customHeight="false" outlineLevel="0" collapsed="false">
      <c r="A175" s="8" t="n">
        <f aca="false">Base!A175</f>
        <v>43281</v>
      </c>
      <c r="B175" s="9" t="n">
        <f aca="false">IFERROR(AVERAGE(Base!C173:C175)-Base!R175,"")</f>
        <v>-0.43886278368422</v>
      </c>
      <c r="C175" s="9" t="n">
        <f aca="false">IFERROR(AVERAGE(Base!G173:G175)-Base!R175,"")</f>
        <v>-4.565</v>
      </c>
      <c r="D175" s="9" t="n">
        <f aca="false">IFERROR(AVERAGE(Base!H173:H175)-Base!R175,"")</f>
        <v>-4.79833333333333</v>
      </c>
      <c r="E175" s="9" t="n">
        <f aca="false">IFERROR(AVERAGE(Base!I173:I175)-AVERAGE(Base!S116:S175),"")</f>
        <v>12.8158666666667</v>
      </c>
      <c r="F175" s="9" t="n">
        <f aca="false">IFERROR(AVERAGE(Base!K173:K175),"")</f>
        <v>5.17410758626765</v>
      </c>
      <c r="G175" s="9" t="n">
        <f aca="false">IFERROR(AVERAGE(Base!M173:M175)*AVERAGE(Base!$F$13:F175),"")</f>
        <v>5.71316689305028</v>
      </c>
      <c r="H175" s="9" t="n">
        <f aca="false">IFERROR(-AVERAGE(Base!O173:O175),"")</f>
        <v>16.3640069091605</v>
      </c>
      <c r="I175" s="9" t="n">
        <f aca="false">IFERROR(AVERAGE(Base!P173:P175),"")</f>
        <v>25.4564903690405</v>
      </c>
    </row>
    <row r="176" customFormat="false" ht="15" hidden="false" customHeight="false" outlineLevel="0" collapsed="false">
      <c r="A176" s="8" t="n">
        <f aca="false">Base!A176</f>
        <v>43312</v>
      </c>
      <c r="B176" s="9" t="n">
        <f aca="false">IFERROR(AVERAGE(Base!C174:C176)-Base!R176,"")</f>
        <v>-1.96152330002522</v>
      </c>
      <c r="C176" s="9" t="n">
        <f aca="false">IFERROR(AVERAGE(Base!G174:G176)-Base!R176,"")</f>
        <v>-5.26166666666667</v>
      </c>
      <c r="D176" s="9" t="n">
        <f aca="false">IFERROR(AVERAGE(Base!H174:H176)-Base!R176,"")</f>
        <v>-5.42833333333333</v>
      </c>
      <c r="E176" s="9" t="n">
        <f aca="false">IFERROR(AVERAGE(Base!I174:I176)-AVERAGE(Base!S117:S176),"")</f>
        <v>16.6703846153846</v>
      </c>
      <c r="F176" s="9" t="n">
        <f aca="false">IFERROR(AVERAGE(Base!K174:K176),"")</f>
        <v>3.48163762547743</v>
      </c>
      <c r="G176" s="9" t="n">
        <f aca="false">IFERROR(AVERAGE(Base!M174:M176)*AVERAGE(Base!$F$13:F176),"")</f>
        <v>6.13032501552266</v>
      </c>
      <c r="H176" s="9" t="n">
        <f aca="false">IFERROR(-AVERAGE(Base!O174:O176),"")</f>
        <v>15.624795266492</v>
      </c>
      <c r="I176" s="9" t="n">
        <f aca="false">IFERROR(AVERAGE(Base!P174:P176),"")</f>
        <v>10.9240865149581</v>
      </c>
    </row>
    <row r="177" customFormat="false" ht="15" hidden="false" customHeight="false" outlineLevel="0" collapsed="false">
      <c r="A177" s="8" t="n">
        <f aca="false">Base!A177</f>
        <v>43343</v>
      </c>
      <c r="B177" s="9" t="n">
        <f aca="false">IFERROR(AVERAGE(Base!C175:C177)-Base!R177,"")</f>
        <v>-0.231564384180614</v>
      </c>
      <c r="C177" s="9" t="n">
        <f aca="false">IFERROR(AVERAGE(Base!G175:G177)-Base!R177,"")</f>
        <v>-3.925</v>
      </c>
      <c r="D177" s="9" t="n">
        <f aca="false">IFERROR(AVERAGE(Base!H175:H177)-Base!R177,"")</f>
        <v>-4.65833333333333</v>
      </c>
      <c r="E177" s="9" t="n">
        <f aca="false">IFERROR(AVERAGE(Base!I175:I177)-AVERAGE(Base!S118:S177),"")</f>
        <v>21.2159259259259</v>
      </c>
      <c r="F177" s="9" t="n">
        <f aca="false">IFERROR(AVERAGE(Base!K175:K177),"")</f>
        <v>3.23484151829572</v>
      </c>
      <c r="G177" s="9" t="n">
        <f aca="false">IFERROR(AVERAGE(Base!M175:M177)*AVERAGE(Base!$F$13:F177),"")</f>
        <v>8.3795376411326</v>
      </c>
      <c r="H177" s="9" t="n">
        <f aca="false">IFERROR(-AVERAGE(Base!O175:O177),"")</f>
        <v>14.7941596777169</v>
      </c>
      <c r="I177" s="9" t="n">
        <f aca="false">IFERROR(AVERAGE(Base!P175:P177),"")</f>
        <v>-13.4887403517116</v>
      </c>
    </row>
    <row r="178" customFormat="false" ht="15" hidden="false" customHeight="false" outlineLevel="0" collapsed="false">
      <c r="A178" s="8" t="n">
        <f aca="false">Base!A178</f>
        <v>43373</v>
      </c>
      <c r="B178" s="9" t="n">
        <f aca="false">IFERROR(AVERAGE(Base!C176:C178)-Base!R178,"")</f>
        <v>-1.42999166597861</v>
      </c>
      <c r="C178" s="9" t="n">
        <f aca="false">IFERROR(AVERAGE(Base!G176:G178)-Base!R178,"")</f>
        <v>-3.72333333333333</v>
      </c>
      <c r="D178" s="9" t="n">
        <f aca="false">IFERROR(AVERAGE(Base!H176:H178)-Base!R178,"")</f>
        <v>-4.29</v>
      </c>
      <c r="E178" s="9" t="n">
        <f aca="false">IFERROR(AVERAGE(Base!I176:I178)-AVERAGE(Base!S119:S178),"")</f>
        <v>28.1129761904762</v>
      </c>
      <c r="F178" s="9" t="n">
        <f aca="false">IFERROR(AVERAGE(Base!K176:K178),"")</f>
        <v>2.52287478904348</v>
      </c>
      <c r="G178" s="9" t="n">
        <f aca="false">IFERROR(AVERAGE(Base!M176:M178)*AVERAGE(Base!$F$13:F178),"")</f>
        <v>10.9203701073964</v>
      </c>
      <c r="H178" s="9" t="n">
        <f aca="false">IFERROR(-AVERAGE(Base!O176:O178),"")</f>
        <v>13.5311758693327</v>
      </c>
      <c r="I178" s="9" t="n">
        <f aca="false">IFERROR(AVERAGE(Base!P176:P178),"")</f>
        <v>-13.2667242046536</v>
      </c>
    </row>
    <row r="179" customFormat="false" ht="15" hidden="false" customHeight="false" outlineLevel="0" collapsed="false">
      <c r="A179" s="8" t="n">
        <f aca="false">Base!A179</f>
        <v>43404</v>
      </c>
      <c r="B179" s="9" t="n">
        <f aca="false">IFERROR(AVERAGE(Base!C177:C179)-Base!R179,"")</f>
        <v>-1.28741522943484</v>
      </c>
      <c r="C179" s="9" t="n">
        <f aca="false">IFERROR(AVERAGE(Base!G177:G179)-Base!R179,"")</f>
        <v>-4.12166666666667</v>
      </c>
      <c r="D179" s="9" t="n">
        <f aca="false">IFERROR(AVERAGE(Base!H177:H179)-Base!R179,"")</f>
        <v>-4.22166666666667</v>
      </c>
      <c r="E179" s="9" t="n">
        <f aca="false">IFERROR(AVERAGE(Base!I177:I179)-AVERAGE(Base!S120:S179),"")</f>
        <v>37.018275862069</v>
      </c>
      <c r="F179" s="9" t="n">
        <f aca="false">IFERROR(AVERAGE(Base!K177:K179),"")</f>
        <v>2.42664868585198</v>
      </c>
      <c r="G179" s="9" t="n">
        <f aca="false">IFERROR(AVERAGE(Base!M177:M179)*AVERAGE(Base!$F$13:F179),"")</f>
        <v>12.7450005637689</v>
      </c>
      <c r="H179" s="9" t="n">
        <f aca="false">IFERROR(-AVERAGE(Base!O177:O179),"")</f>
        <v>10.5891557677221</v>
      </c>
      <c r="I179" s="9" t="n">
        <f aca="false">IFERROR(AVERAGE(Base!P177:P179),"")</f>
        <v>-20.5929932778346</v>
      </c>
    </row>
    <row r="180" customFormat="false" ht="15" hidden="false" customHeight="false" outlineLevel="0" collapsed="false">
      <c r="A180" s="8" t="n">
        <f aca="false">Base!A180</f>
        <v>43434</v>
      </c>
      <c r="B180" s="9" t="n">
        <f aca="false">IFERROR(AVERAGE(Base!C178:C180)-Base!R180,"")</f>
        <v>4.1268783519785</v>
      </c>
      <c r="C180" s="9" t="n">
        <f aca="false">IFERROR(AVERAGE(Base!G178:G180)-Base!R180,"")</f>
        <v>-5.95333333333333</v>
      </c>
      <c r="D180" s="9" t="n">
        <f aca="false">IFERROR(AVERAGE(Base!H178:H180)-Base!R180,"")</f>
        <v>-4.85333333333333</v>
      </c>
      <c r="E180" s="9" t="n">
        <f aca="false">IFERROR(AVERAGE(Base!I178:I180)-AVERAGE(Base!S121:S180),"")</f>
        <v>44.48</v>
      </c>
      <c r="F180" s="9" t="n">
        <f aca="false">IFERROR(AVERAGE(Base!K178:K180),"")</f>
        <v>2.07024199859061</v>
      </c>
      <c r="G180" s="9" t="n">
        <f aca="false">IFERROR(AVERAGE(Base!M178:M180)*AVERAGE(Base!$F$13:F180),"")</f>
        <v>12.0823154087955</v>
      </c>
      <c r="H180" s="9" t="n">
        <f aca="false">IFERROR(-AVERAGE(Base!O178:O180),"")</f>
        <v>7.26599592231186</v>
      </c>
      <c r="I180" s="9" t="n">
        <f aca="false">IFERROR(AVERAGE(Base!P178:P180),"")</f>
        <v>-15.5897688102652</v>
      </c>
    </row>
    <row r="181" customFormat="false" ht="15" hidden="false" customHeight="false" outlineLevel="0" collapsed="false">
      <c r="A181" s="8" t="n">
        <f aca="false">Base!A181</f>
        <v>43465</v>
      </c>
      <c r="B181" s="9" t="n">
        <f aca="false">IFERROR(AVERAGE(Base!C179:C181)-Base!R181,"")</f>
        <v>11.2110165183037</v>
      </c>
      <c r="C181" s="9" t="n">
        <f aca="false">IFERROR(AVERAGE(Base!G179:G181)-Base!R181,"")</f>
        <v>-6.28333333333333</v>
      </c>
      <c r="D181" s="9" t="n">
        <f aca="false">IFERROR(AVERAGE(Base!H179:H181)-Base!R181,"")</f>
        <v>-4.65</v>
      </c>
      <c r="E181" s="9" t="n">
        <f aca="false">IFERROR(AVERAGE(Base!I179:I181)-AVERAGE(Base!S122:S181),"")</f>
        <v>46.891935483871</v>
      </c>
      <c r="F181" s="9" t="n">
        <f aca="false">IFERROR(AVERAGE(Base!K179:K181),"")</f>
        <v>1.93569052067294</v>
      </c>
      <c r="G181" s="9" t="n">
        <f aca="false">IFERROR(AVERAGE(Base!M179:M181)*AVERAGE(Base!$F$13:F181),"")</f>
        <v>9.35038063792242</v>
      </c>
      <c r="H181" s="9" t="n">
        <f aca="false">IFERROR(-AVERAGE(Base!O179:O181),"")</f>
        <v>1.56147349459185</v>
      </c>
      <c r="I181" s="9" t="n">
        <f aca="false">IFERROR(AVERAGE(Base!P179:P181),"")</f>
        <v>-22.7100548510317</v>
      </c>
    </row>
    <row r="182" customFormat="false" ht="15" hidden="false" customHeight="false" outlineLevel="0" collapsed="false">
      <c r="A182" s="8" t="n">
        <f aca="false">Base!A182</f>
        <v>43496</v>
      </c>
      <c r="B182" s="9" t="n">
        <f aca="false">IFERROR(AVERAGE(Base!C180:C182)-Base!R182,"")</f>
        <v>9.01660179550984</v>
      </c>
      <c r="C182" s="9" t="n">
        <f aca="false">IFERROR(AVERAGE(Base!G180:G182)-Base!R182,"")</f>
        <v>-6.61333333333333</v>
      </c>
      <c r="D182" s="9" t="n">
        <f aca="false">IFERROR(AVERAGE(Base!H180:H182)-Base!R182,"")</f>
        <v>-5.11333333333333</v>
      </c>
      <c r="E182" s="9" t="n">
        <f aca="false">IFERROR(AVERAGE(Base!I180:I182)-AVERAGE(Base!S123:S182),"")</f>
        <v>46.1911458333333</v>
      </c>
      <c r="F182" s="9" t="n">
        <f aca="false">IFERROR(AVERAGE(Base!K180:K182),"")</f>
        <v>2.70707919704013</v>
      </c>
      <c r="G182" s="9" t="n">
        <f aca="false">IFERROR(AVERAGE(Base!M180:M182)*AVERAGE(Base!$F$13:F182),"")</f>
        <v>8.04778997761767</v>
      </c>
      <c r="H182" s="9" t="n">
        <f aca="false">IFERROR(-AVERAGE(Base!O180:O182),"")</f>
        <v>-2.75419978486225</v>
      </c>
      <c r="I182" s="9" t="n">
        <f aca="false">IFERROR(AVERAGE(Base!P180:P182),"")</f>
        <v>-25.8150515057249</v>
      </c>
    </row>
    <row r="183" customFormat="false" ht="15" hidden="false" customHeight="false" outlineLevel="0" collapsed="false">
      <c r="A183" s="8" t="n">
        <f aca="false">Base!A183</f>
        <v>43524</v>
      </c>
      <c r="B183" s="9" t="n">
        <f aca="false">IFERROR(AVERAGE(Base!C181:C183)-Base!R183,"")</f>
        <v>5.36513963228298</v>
      </c>
      <c r="C183" s="9" t="n">
        <f aca="false">IFERROR(AVERAGE(Base!G181:G183)-Base!R183,"")</f>
        <v>-5.57666666666667</v>
      </c>
      <c r="D183" s="9" t="n">
        <f aca="false">IFERROR(AVERAGE(Base!H181:H183)-Base!R183,"")</f>
        <v>-4.47666666666667</v>
      </c>
      <c r="E183" s="9" t="n">
        <f aca="false">IFERROR(AVERAGE(Base!I181:I183)-AVERAGE(Base!S124:S183),"")</f>
        <v>44.4227272727273</v>
      </c>
      <c r="F183" s="9" t="n">
        <f aca="false">IFERROR(AVERAGE(Base!K181:K183),"")</f>
        <v>2.32545053545915</v>
      </c>
      <c r="G183" s="9" t="n">
        <f aca="false">IFERROR(AVERAGE(Base!M181:M183)*AVERAGE(Base!$F$13:F183),"")</f>
        <v>6.42509703114359</v>
      </c>
      <c r="H183" s="9" t="n">
        <f aca="false">IFERROR(-AVERAGE(Base!O181:O183),"")</f>
        <v>-5.28985572308756</v>
      </c>
      <c r="I183" s="9" t="n">
        <f aca="false">IFERROR(AVERAGE(Base!P181:P183),"")</f>
        <v>-16.6950479227928</v>
      </c>
    </row>
    <row r="184" customFormat="false" ht="15" hidden="false" customHeight="false" outlineLevel="0" collapsed="false">
      <c r="A184" s="8" t="n">
        <f aca="false">Base!A184</f>
        <v>43555</v>
      </c>
      <c r="B184" s="9" t="n">
        <f aca="false">IFERROR(AVERAGE(Base!C182:C184)-Base!R184,"")</f>
        <v>-1.79364748432932</v>
      </c>
      <c r="C184" s="9" t="n">
        <f aca="false">IFERROR(AVERAGE(Base!G182:G184)-Base!R184,"")</f>
        <v>-5.42666666666667</v>
      </c>
      <c r="D184" s="9" t="n">
        <f aca="false">IFERROR(AVERAGE(Base!H182:H184)-Base!R184,"")</f>
        <v>-4.12666666666667</v>
      </c>
      <c r="E184" s="9" t="n">
        <f aca="false">IFERROR(AVERAGE(Base!I182:I184)-AVERAGE(Base!S125:S184),"")</f>
        <v>44.3848039215686</v>
      </c>
      <c r="F184" s="9" t="n">
        <f aca="false">IFERROR(AVERAGE(Base!K182:K184),"")</f>
        <v>2.53341451975002</v>
      </c>
      <c r="G184" s="9" t="n">
        <f aca="false">IFERROR(AVERAGE(Base!M182:M184)*AVERAGE(Base!$F$13:F184),"")</f>
        <v>6.55451631957021</v>
      </c>
      <c r="H184" s="9" t="n">
        <f aca="false">IFERROR(-AVERAGE(Base!O182:O184),"")</f>
        <v>-5.85406502721737</v>
      </c>
      <c r="I184" s="9" t="n">
        <f aca="false">IFERROR(AVERAGE(Base!P182:P184),"")</f>
        <v>-9.0176193836388</v>
      </c>
    </row>
    <row r="185" customFormat="false" ht="15" hidden="false" customHeight="false" outlineLevel="0" collapsed="false">
      <c r="A185" s="8" t="n">
        <f aca="false">Base!A185</f>
        <v>43585</v>
      </c>
      <c r="B185" s="9" t="n">
        <f aca="false">IFERROR(AVERAGE(Base!C183:C185)-Base!R185,"")</f>
        <v>0.622199166946778</v>
      </c>
      <c r="C185" s="9" t="n">
        <f aca="false">IFERROR(AVERAGE(Base!G183:G185)-Base!R185,"")</f>
        <v>-3.81</v>
      </c>
      <c r="D185" s="9" t="n">
        <f aca="false">IFERROR(AVERAGE(Base!H183:H185)-Base!R185,"")</f>
        <v>-2.47666666666667</v>
      </c>
      <c r="E185" s="9" t="n">
        <f aca="false">IFERROR(AVERAGE(Base!I183:I185)-AVERAGE(Base!S126:S185),"")</f>
        <v>44.342380952381</v>
      </c>
      <c r="F185" s="9" t="n">
        <f aca="false">IFERROR(AVERAGE(Base!K183:K185),"")</f>
        <v>2.59295932696471</v>
      </c>
      <c r="G185" s="9" t="n">
        <f aca="false">IFERROR(AVERAGE(Base!M183:M185)*AVERAGE(Base!$F$13:F185),"")</f>
        <v>7.6187569895807</v>
      </c>
      <c r="H185" s="9" t="n">
        <f aca="false">IFERROR(-AVERAGE(Base!O183:O185),"")</f>
        <v>-6.30264242153438</v>
      </c>
      <c r="I185" s="9" t="n">
        <f aca="false">IFERROR(AVERAGE(Base!P183:P185),"")</f>
        <v>5.54912663099381</v>
      </c>
    </row>
    <row r="186" customFormat="false" ht="15" hidden="false" customHeight="false" outlineLevel="0" collapsed="false">
      <c r="A186" s="8" t="n">
        <f aca="false">Base!A186</f>
        <v>43616</v>
      </c>
      <c r="B186" s="9" t="n">
        <f aca="false">IFERROR(AVERAGE(Base!C184:C186)-Base!R186,"")</f>
        <v>5.27819841188401</v>
      </c>
      <c r="C186" s="9" t="n">
        <f aca="false">IFERROR(AVERAGE(Base!G184:G186)-Base!R186,"")</f>
        <v>-1.19333333333333</v>
      </c>
      <c r="D186" s="9" t="n">
        <f aca="false">IFERROR(AVERAGE(Base!H184:H186)-Base!R186,"")</f>
        <v>-0.36</v>
      </c>
      <c r="E186" s="9" t="n">
        <f aca="false">IFERROR(AVERAGE(Base!I184:I186)-AVERAGE(Base!S127:S186),"")</f>
        <v>46.4263888888889</v>
      </c>
      <c r="F186" s="9" t="n">
        <f aca="false">IFERROR(AVERAGE(Base!K184:K186),"")</f>
        <v>3.92534958571538</v>
      </c>
      <c r="G186" s="9" t="n">
        <f aca="false">IFERROR(AVERAGE(Base!M184:M186)*AVERAGE(Base!$F$13:F186),"")</f>
        <v>6.76067231994144</v>
      </c>
      <c r="H186" s="9" t="n">
        <f aca="false">IFERROR(-AVERAGE(Base!O184:O186),"")</f>
        <v>-8.28212720821905</v>
      </c>
      <c r="I186" s="9" t="n">
        <f aca="false">IFERROR(AVERAGE(Base!P184:P186),"")</f>
        <v>-0.406317313255042</v>
      </c>
    </row>
    <row r="187" customFormat="false" ht="15" hidden="false" customHeight="false" outlineLevel="0" collapsed="false">
      <c r="A187" s="8" t="n">
        <f aca="false">Base!A187</f>
        <v>43646</v>
      </c>
      <c r="B187" s="9" t="n">
        <f aca="false">IFERROR(AVERAGE(Base!C185:C187)-Base!R187,"")</f>
        <v>7.64619235942786</v>
      </c>
      <c r="C187" s="9" t="n">
        <f aca="false">IFERROR(AVERAGE(Base!G185:G187)-Base!R187,"")</f>
        <v>1.03</v>
      </c>
      <c r="D187" s="9" t="n">
        <f aca="false">IFERROR(AVERAGE(Base!H185:H187)-Base!R187,"")</f>
        <v>1.63</v>
      </c>
      <c r="E187" s="9" t="n">
        <f aca="false">IFERROR(AVERAGE(Base!I185:I187)-AVERAGE(Base!S128:S187),"")</f>
        <v>44.917027027027</v>
      </c>
      <c r="F187" s="9" t="n">
        <f aca="false">IFERROR(AVERAGE(Base!K185:K187),"")</f>
        <v>3.80267030856323</v>
      </c>
      <c r="G187" s="9" t="n">
        <f aca="false">IFERROR(AVERAGE(Base!M185:M187)*AVERAGE(Base!$F$13:F187),"")</f>
        <v>3.61287284927003</v>
      </c>
      <c r="H187" s="9" t="n">
        <f aca="false">IFERROR(-AVERAGE(Base!O185:O187),"")</f>
        <v>-10.4234660771773</v>
      </c>
      <c r="I187" s="9" t="n">
        <f aca="false">IFERROR(AVERAGE(Base!P185:P187),"")</f>
        <v>9.39584169151423</v>
      </c>
    </row>
    <row r="188" customFormat="false" ht="15" hidden="false" customHeight="false" outlineLevel="0" collapsed="false">
      <c r="A188" s="8" t="n">
        <f aca="false">Base!A188</f>
        <v>43677</v>
      </c>
      <c r="B188" s="9" t="n">
        <f aca="false">IFERROR(AVERAGE(Base!C186:C188)-Base!R188,"")</f>
        <v>9.54427870784654</v>
      </c>
      <c r="C188" s="9" t="n">
        <f aca="false">IFERROR(AVERAGE(Base!G186:G188)-Base!R188,"")</f>
        <v>1.55333333333333</v>
      </c>
      <c r="D188" s="9" t="n">
        <f aca="false">IFERROR(AVERAGE(Base!H186:H188)-Base!R188,"")</f>
        <v>2.25333333333333</v>
      </c>
      <c r="E188" s="9" t="n">
        <f aca="false">IFERROR(AVERAGE(Base!I186:I188)-AVERAGE(Base!S129:S188),"")</f>
        <v>41.1472807017544</v>
      </c>
      <c r="F188" s="9" t="n">
        <f aca="false">IFERROR(AVERAGE(Base!K186:K188),"")</f>
        <v>3.85241139250992</v>
      </c>
      <c r="G188" s="9" t="n">
        <f aca="false">IFERROR(AVERAGE(Base!M186:M188)*AVERAGE(Base!$F$13:F188),"")</f>
        <v>1.112527936626</v>
      </c>
      <c r="H188" s="9" t="n">
        <f aca="false">IFERROR(-AVERAGE(Base!O186:O188),"")</f>
        <v>-10.0445532003056</v>
      </c>
      <c r="I188" s="9" t="n">
        <f aca="false">IFERROR(AVERAGE(Base!P186:P188),"")</f>
        <v>9.34358951296681</v>
      </c>
    </row>
    <row r="189" customFormat="false" ht="15" hidden="false" customHeight="false" outlineLevel="0" collapsed="false">
      <c r="A189" s="8" t="n">
        <f aca="false">Base!A189</f>
        <v>43708</v>
      </c>
      <c r="B189" s="9" t="n">
        <f aca="false">IFERROR(AVERAGE(Base!C187:C189)-Base!R189,"")</f>
        <v>6.15828965344226</v>
      </c>
      <c r="C189" s="9" t="n">
        <f aca="false">IFERROR(AVERAGE(Base!G187:G189)-Base!R189,"")</f>
        <v>-0.69</v>
      </c>
      <c r="D189" s="9" t="n">
        <f aca="false">IFERROR(AVERAGE(Base!H187:H189)-Base!R189,"")</f>
        <v>1.31</v>
      </c>
      <c r="E189" s="9" t="n">
        <f aca="false">IFERROR(AVERAGE(Base!I187:I189)-AVERAGE(Base!S130:S189),"")</f>
        <v>35.9905128205128</v>
      </c>
      <c r="F189" s="9" t="n">
        <f aca="false">IFERROR(AVERAGE(Base!K187:K189),"")</f>
        <v>4.33553312659345</v>
      </c>
      <c r="G189" s="9" t="n">
        <f aca="false">IFERROR(AVERAGE(Base!M187:M189)*AVERAGE(Base!$F$13:F189),"")</f>
        <v>0.413089271097226</v>
      </c>
      <c r="H189" s="9" t="n">
        <f aca="false">IFERROR(-AVERAGE(Base!O187:O189),"")</f>
        <v>-8.0887593386168</v>
      </c>
      <c r="I189" s="9" t="n">
        <f aca="false">IFERROR(AVERAGE(Base!P187:P189),"")</f>
        <v>5.06178468611813</v>
      </c>
    </row>
    <row r="190" customFormat="false" ht="15" hidden="false" customHeight="false" outlineLevel="0" collapsed="false">
      <c r="A190" s="8" t="n">
        <f aca="false">Base!A190</f>
        <v>43738</v>
      </c>
      <c r="B190" s="9" t="n">
        <f aca="false">IFERROR(AVERAGE(Base!C188:C190)-Base!R190,"")</f>
        <v>10.1218795309747</v>
      </c>
      <c r="C190" s="9" t="n">
        <f aca="false">IFERROR(AVERAGE(Base!G188:G190)-Base!R190,"")</f>
        <v>-1.36333333333333</v>
      </c>
      <c r="D190" s="9" t="n">
        <f aca="false">IFERROR(AVERAGE(Base!H188:H190)-Base!R190,"")</f>
        <v>0.87</v>
      </c>
      <c r="E190" s="9" t="n">
        <f aca="false">IFERROR(AVERAGE(Base!I188:I190)-AVERAGE(Base!S131:S190),"")</f>
        <v>30.5074166666667</v>
      </c>
      <c r="F190" s="9" t="n">
        <f aca="false">IFERROR(AVERAGE(Base!K188:K190),"")</f>
        <v>4.66069247438924</v>
      </c>
      <c r="G190" s="9" t="n">
        <f aca="false">IFERROR(AVERAGE(Base!M188:M190)*AVERAGE(Base!$F$13:F190),"")</f>
        <v>-0.167423623720182</v>
      </c>
      <c r="H190" s="9" t="n">
        <f aca="false">IFERROR(-AVERAGE(Base!O188:O190),"")</f>
        <v>-5.59295131778762</v>
      </c>
      <c r="I190" s="9" t="n">
        <f aca="false">IFERROR(AVERAGE(Base!P188:P190),"")</f>
        <v>-7.88911861549853</v>
      </c>
    </row>
    <row r="191" customFormat="false" ht="15" hidden="false" customHeight="false" outlineLevel="0" collapsed="false">
      <c r="A191" s="8" t="n">
        <f aca="false">Base!A191</f>
        <v>43769</v>
      </c>
      <c r="B191" s="9" t="n">
        <f aca="false">IFERROR(AVERAGE(Base!C189:C191)-Base!R191,"")</f>
        <v>10.3991852462681</v>
      </c>
      <c r="C191" s="9" t="n">
        <f aca="false">IFERROR(AVERAGE(Base!G189:G191)-Base!R191,"")</f>
        <v>-1.87</v>
      </c>
      <c r="D191" s="9" t="n">
        <f aca="false">IFERROR(AVERAGE(Base!H189:H191)-Base!R191,"")</f>
        <v>0.43</v>
      </c>
      <c r="E191" s="9" t="n">
        <f aca="false">IFERROR(AVERAGE(Base!I189:I191)-AVERAGE(Base!S132:S191),"")</f>
        <v>25.249512195122</v>
      </c>
      <c r="F191" s="9" t="n">
        <f aca="false">IFERROR(AVERAGE(Base!K189:K191),"")</f>
        <v>4.22181953537314</v>
      </c>
      <c r="G191" s="9" t="n">
        <f aca="false">IFERROR(AVERAGE(Base!M189:M191)*AVERAGE(Base!$F$13:F191),"")</f>
        <v>0.339779008507509</v>
      </c>
      <c r="H191" s="9" t="n">
        <f aca="false">IFERROR(-AVERAGE(Base!O189:O191),"")</f>
        <v>-4.33080330255535</v>
      </c>
      <c r="I191" s="9" t="n">
        <f aca="false">IFERROR(AVERAGE(Base!P189:P191),"")</f>
        <v>-7.63198658829475</v>
      </c>
    </row>
    <row r="192" customFormat="false" ht="15" hidden="false" customHeight="false" outlineLevel="0" collapsed="false">
      <c r="A192" s="8" t="n">
        <f aca="false">Base!A192</f>
        <v>43799</v>
      </c>
      <c r="B192" s="9" t="n">
        <f aca="false">IFERROR(AVERAGE(Base!C190:C192)-Base!R192,"")</f>
        <v>11.3971109901409</v>
      </c>
      <c r="C192" s="9" t="n">
        <f aca="false">IFERROR(AVERAGE(Base!G190:G192)-Base!R192,"")</f>
        <v>-1.34333333333333</v>
      </c>
      <c r="D192" s="9" t="n">
        <f aca="false">IFERROR(AVERAGE(Base!H190:H192)-Base!R192,"")</f>
        <v>0.59</v>
      </c>
      <c r="E192" s="9" t="n">
        <f aca="false">IFERROR(AVERAGE(Base!I190:I192)-AVERAGE(Base!S133:S192),"")</f>
        <v>21.0483333333333</v>
      </c>
      <c r="F192" s="9" t="n">
        <f aca="false">IFERROR(AVERAGE(Base!K190:K192),"")</f>
        <v>3.51792148652819</v>
      </c>
      <c r="G192" s="9" t="n">
        <f aca="false">IFERROR(AVERAGE(Base!M190:M192)*AVERAGE(Base!$F$13:F192),"")</f>
        <v>0.191480553695222</v>
      </c>
      <c r="H192" s="9" t="n">
        <f aca="false">IFERROR(-AVERAGE(Base!O190:O192),"")</f>
        <v>-2.84251989717858</v>
      </c>
      <c r="I192" s="9" t="n">
        <f aca="false">IFERROR(AVERAGE(Base!P190:P192),"")</f>
        <v>3.57926185248198</v>
      </c>
    </row>
    <row r="193" customFormat="false" ht="15" hidden="false" customHeight="false" outlineLevel="0" collapsed="false">
      <c r="A193" s="8" t="n">
        <f aca="false">Base!A193</f>
        <v>43830</v>
      </c>
      <c r="B193" s="9" t="n">
        <f aca="false">IFERROR(AVERAGE(Base!C191:C193)-Base!R193,"")</f>
        <v>6.91421270184215</v>
      </c>
      <c r="C193" s="9" t="n">
        <f aca="false">IFERROR(AVERAGE(Base!G191:G193)-Base!R193,"")</f>
        <v>-0.805</v>
      </c>
      <c r="D193" s="9" t="n">
        <f aca="false">IFERROR(AVERAGE(Base!H191:H193)-Base!R193,"")</f>
        <v>0.361666666666667</v>
      </c>
      <c r="E193" s="9" t="n">
        <f aca="false">IFERROR(AVERAGE(Base!I191:I193)-AVERAGE(Base!S134:S193),"")</f>
        <v>20.8828682170543</v>
      </c>
      <c r="F193" s="9" t="n">
        <f aca="false">IFERROR(AVERAGE(Base!K191:K193),"")</f>
        <v>3.50259824568574</v>
      </c>
      <c r="G193" s="9" t="n">
        <f aca="false">IFERROR(AVERAGE(Base!M191:M193)*AVERAGE(Base!$F$13:F193),"")</f>
        <v>1.54830771941842</v>
      </c>
      <c r="H193" s="9" t="n">
        <f aca="false">IFERROR(-AVERAGE(Base!O191:O193),"")</f>
        <v>-0.431218677082912</v>
      </c>
      <c r="I193" s="9" t="n">
        <f aca="false">IFERROR(AVERAGE(Base!P191:P193),"")</f>
        <v>6.76779497756332</v>
      </c>
    </row>
    <row r="194" customFormat="false" ht="15" hidden="false" customHeight="false" outlineLevel="0" collapsed="false">
      <c r="A194" s="8" t="n">
        <f aca="false">Base!A194</f>
        <v>43861</v>
      </c>
      <c r="B194" s="9" t="n">
        <f aca="false">IFERROR(AVERAGE(Base!C192:C194)-Base!R194,"")</f>
        <v>3.81027171113635</v>
      </c>
      <c r="C194" s="9" t="n">
        <f aca="false">IFERROR(AVERAGE(Base!G192:G194)-Base!R194,"")</f>
        <v>-0.733333333333333</v>
      </c>
      <c r="D194" s="9" t="n">
        <f aca="false">IFERROR(AVERAGE(Base!H192:H194)-Base!R194,"")</f>
        <v>-0.3</v>
      </c>
      <c r="E194" s="9" t="n">
        <f aca="false">IFERROR(AVERAGE(Base!I192:I194)-AVERAGE(Base!S135:S194),"")</f>
        <v>22.1846212121212</v>
      </c>
      <c r="F194" s="9" t="n">
        <f aca="false">IFERROR(AVERAGE(Base!K192:K194),"")</f>
        <v>3.27244727284867</v>
      </c>
      <c r="G194" s="9" t="n">
        <f aca="false">IFERROR(AVERAGE(Base!M192:M194)*AVERAGE(Base!$F$13:F194),"")</f>
        <v>0.881135079399307</v>
      </c>
      <c r="H194" s="9" t="n">
        <f aca="false">IFERROR(-AVERAGE(Base!O192:O194),"")</f>
        <v>1.39153814672871</v>
      </c>
      <c r="I194" s="9" t="n">
        <f aca="false">IFERROR(AVERAGE(Base!P192:P194),"")</f>
        <v>9.42964179029571</v>
      </c>
    </row>
    <row r="195" customFormat="false" ht="15" hidden="false" customHeight="false" outlineLevel="0" collapsed="false">
      <c r="A195" s="8" t="n">
        <f aca="false">Base!A195</f>
        <v>43890</v>
      </c>
      <c r="B195" s="9" t="n">
        <f aca="false">IFERROR(AVERAGE(Base!C193:C195)-Base!R195,"")</f>
        <v>-0.125819528021856</v>
      </c>
      <c r="C195" s="9" t="n">
        <f aca="false">IFERROR(AVERAGE(Base!G193:G195)-Base!R195,"")</f>
        <v>-0.928333333333333</v>
      </c>
      <c r="D195" s="9" t="n">
        <f aca="false">IFERROR(AVERAGE(Base!H193:H195)-Base!R195,"")</f>
        <v>-0.628333333333333</v>
      </c>
      <c r="E195" s="9" t="n">
        <f aca="false">IFERROR(AVERAGE(Base!I193:I195)-AVERAGE(Base!S136:S195),"")</f>
        <v>22.3375555555556</v>
      </c>
      <c r="F195" s="9" t="n">
        <f aca="false">IFERROR(AVERAGE(Base!K193:K195),"")</f>
        <v>4.25093006438219</v>
      </c>
      <c r="G195" s="9" t="n">
        <f aca="false">IFERROR(AVERAGE(Base!M193:M195)*AVERAGE(Base!$F$13:F195),"")</f>
        <v>0.737718655893403</v>
      </c>
      <c r="H195" s="9" t="n">
        <f aca="false">IFERROR(-AVERAGE(Base!O193:O195),"")</f>
        <v>1.81797476181889</v>
      </c>
      <c r="I195" s="9" t="n">
        <f aca="false">IFERROR(AVERAGE(Base!P193:P195),"")</f>
        <v>0.999772978675145</v>
      </c>
    </row>
    <row r="196" customFormat="false" ht="15" hidden="false" customHeight="false" outlineLevel="0" collapsed="false">
      <c r="A196" s="8" t="n">
        <f aca="false">Base!A196</f>
        <v>43921</v>
      </c>
      <c r="B196" s="9" t="n">
        <f aca="false">IFERROR(AVERAGE(Base!C194:C196)-Base!R196,"")</f>
        <v>-5.16747667929827</v>
      </c>
      <c r="C196" s="9" t="n">
        <f aca="false">IFERROR(AVERAGE(Base!G194:G196)-Base!R196,"")</f>
        <v>-4.57333333333333</v>
      </c>
      <c r="D196" s="9" t="n">
        <f aca="false">IFERROR(AVERAGE(Base!H194:H196)-Base!R196,"")</f>
        <v>-5.47333333333333</v>
      </c>
      <c r="E196" s="9" t="n">
        <f aca="false">IFERROR(AVERAGE(Base!I194:I196)-AVERAGE(Base!S137:S196),"")</f>
        <v>20.0794927536232</v>
      </c>
      <c r="F196" s="9" t="n">
        <f aca="false">IFERROR(AVERAGE(Base!K194:K196),"")</f>
        <v>4.08144802226077</v>
      </c>
      <c r="G196" s="9" t="n">
        <f aca="false">IFERROR(AVERAGE(Base!M194:M196)*AVERAGE(Base!$F$13:F196),"")</f>
        <v>-0.431436456284746</v>
      </c>
      <c r="H196" s="9" t="n">
        <f aca="false">IFERROR(-AVERAGE(Base!O194:O196),"")</f>
        <v>-0.510837943027239</v>
      </c>
      <c r="I196" s="9" t="n">
        <f aca="false">IFERROR(AVERAGE(Base!P194:P196),"")</f>
        <v>-16.5570669221795</v>
      </c>
    </row>
    <row r="197" customFormat="false" ht="15" hidden="false" customHeight="false" outlineLevel="0" collapsed="false">
      <c r="A197" s="8" t="n">
        <f aca="false">Base!A197</f>
        <v>43951</v>
      </c>
      <c r="B197" s="9" t="n">
        <f aca="false">IFERROR(AVERAGE(Base!C195:C197)-Base!R197,"")</f>
        <v>-11.2062804484763</v>
      </c>
      <c r="C197" s="9" t="n">
        <f aca="false">IFERROR(AVERAGE(Base!G195:G197)-Base!R197,"")</f>
        <v>-12.4516666666667</v>
      </c>
      <c r="D197" s="9" t="n">
        <f aca="false">IFERROR(AVERAGE(Base!H195:H197)-Base!R197,"")</f>
        <v>-13.3183333333333</v>
      </c>
      <c r="E197" s="9" t="n">
        <f aca="false">IFERROR(AVERAGE(Base!I195:I197)-AVERAGE(Base!S138:S197),"")</f>
        <v>16.7321276595745</v>
      </c>
      <c r="F197" s="9" t="n">
        <f aca="false">IFERROR(AVERAGE(Base!K195:K197),"")</f>
        <v>0.170965460806856</v>
      </c>
      <c r="G197" s="9" t="n">
        <f aca="false">IFERROR(AVERAGE(Base!M195:M197)*AVERAGE(Base!$F$13:F197),"")</f>
        <v>-1.19805323441204</v>
      </c>
      <c r="H197" s="9" t="n">
        <f aca="false">IFERROR(-AVERAGE(Base!O195:O197),"")</f>
        <v>-5.37042088440265</v>
      </c>
      <c r="I197" s="9" t="n">
        <f aca="false">IFERROR(AVERAGE(Base!P195:P197),"")</f>
        <v>-34.784241125941</v>
      </c>
    </row>
    <row r="198" customFormat="false" ht="15" hidden="false" customHeight="false" outlineLevel="0" collapsed="false">
      <c r="A198" s="8" t="n">
        <f aca="false">Base!A198</f>
        <v>43982</v>
      </c>
      <c r="B198" s="9" t="n">
        <f aca="false">IFERROR(AVERAGE(Base!C196:C198)-Base!R198,"")</f>
        <v>-15.9209643968834</v>
      </c>
      <c r="C198" s="9" t="n">
        <f aca="false">IFERROR(AVERAGE(Base!G196:G198)-Base!R198,"")</f>
        <v>-18.2633333333333</v>
      </c>
      <c r="D198" s="9" t="n">
        <f aca="false">IFERROR(AVERAGE(Base!H196:H198)-Base!R198,"")</f>
        <v>-19.8966666666667</v>
      </c>
      <c r="E198" s="9" t="n">
        <f aca="false">IFERROR(AVERAGE(Base!I196:I198)-AVERAGE(Base!S139:S198),"")</f>
        <v>12.5627083333333</v>
      </c>
      <c r="F198" s="9" t="n">
        <f aca="false">IFERROR(AVERAGE(Base!K196:K198),"")</f>
        <v>-5.8738669887954</v>
      </c>
      <c r="G198" s="9" t="n">
        <f aca="false">IFERROR(AVERAGE(Base!M196:M198)*AVERAGE(Base!$F$13:F198),"")</f>
        <v>-1.55687312232215</v>
      </c>
      <c r="H198" s="9" t="n">
        <f aca="false">IFERROR(-AVERAGE(Base!O196:O198),"")</f>
        <v>-8.88633584795076</v>
      </c>
      <c r="I198" s="9" t="n">
        <f aca="false">IFERROR(AVERAGE(Base!P196:P198),"")</f>
        <v>-48.8958362232165</v>
      </c>
    </row>
    <row r="199" customFormat="false" ht="15" hidden="false" customHeight="false" outlineLevel="0" collapsed="false">
      <c r="A199" s="8" t="n">
        <f aca="false">Base!A199</f>
        <v>44012</v>
      </c>
      <c r="B199" s="9" t="n">
        <f aca="false">IFERROR(AVERAGE(Base!C197:C199)-Base!R199,"")</f>
        <v>-13.5289179880503</v>
      </c>
      <c r="C199" s="9" t="n">
        <f aca="false">IFERROR(AVERAGE(Base!G197:G199)-Base!R199,"")</f>
        <v>-18.0816666666667</v>
      </c>
      <c r="D199" s="9" t="n">
        <f aca="false">IFERROR(AVERAGE(Base!H197:H199)-Base!R199,"")</f>
        <v>-21.115</v>
      </c>
      <c r="E199" s="9" t="n">
        <f aca="false">IFERROR(AVERAGE(Base!I197:I199)-AVERAGE(Base!S140:S199),"")</f>
        <v>9.68319727891157</v>
      </c>
      <c r="F199" s="9" t="n">
        <f aca="false">IFERROR(AVERAGE(Base!K197:K199),"")</f>
        <v>-8.99753337551511</v>
      </c>
      <c r="G199" s="9" t="n">
        <f aca="false">IFERROR(AVERAGE(Base!M197:M199)*AVERAGE(Base!$F$13:F199),"")</f>
        <v>-0.397928274467359</v>
      </c>
      <c r="H199" s="9" t="n">
        <f aca="false">IFERROR(-AVERAGE(Base!O197:O199),"")</f>
        <v>-12.0549368985334</v>
      </c>
      <c r="I199" s="9" t="n">
        <f aca="false">IFERROR(AVERAGE(Base!P197:P199),"")</f>
        <v>-48.1920252467671</v>
      </c>
    </row>
    <row r="200" customFormat="false" ht="15" hidden="false" customHeight="false" outlineLevel="0" collapsed="false">
      <c r="A200" s="8" t="n">
        <f aca="false">Base!A200</f>
        <v>44043</v>
      </c>
      <c r="B200" s="9" t="n">
        <f aca="false">IFERROR(AVERAGE(Base!C198:C200)-Base!R200,"")</f>
        <v>-12.2417487263439</v>
      </c>
      <c r="C200" s="9" t="n">
        <f aca="false">IFERROR(AVERAGE(Base!G198:G200)-Base!R200,"")</f>
        <v>-13.9666666666667</v>
      </c>
      <c r="D200" s="9" t="n">
        <f aca="false">IFERROR(AVERAGE(Base!H198:H200)-Base!R200,"")</f>
        <v>-19.8666666666667</v>
      </c>
      <c r="E200" s="9" t="n">
        <f aca="false">IFERROR(AVERAGE(Base!I198:I200)-AVERAGE(Base!S141:S200),"")</f>
        <v>8.5362</v>
      </c>
      <c r="F200" s="9" t="n">
        <f aca="false">IFERROR(AVERAGE(Base!K198:K200),"")</f>
        <v>-8.26964744656605</v>
      </c>
      <c r="G200" s="9" t="n">
        <f aca="false">IFERROR(AVERAGE(Base!M198:M200)*AVERAGE(Base!$F$13:F200),"")</f>
        <v>0.842205553259833</v>
      </c>
      <c r="H200" s="9" t="n">
        <f aca="false">IFERROR(-AVERAGE(Base!O198:O200),"")</f>
        <v>-14.2779019166852</v>
      </c>
      <c r="I200" s="9" t="n">
        <f aca="false">IFERROR(AVERAGE(Base!P198:P200),"")</f>
        <v>-53.7167398317578</v>
      </c>
    </row>
    <row r="201" customFormat="false" ht="15" hidden="false" customHeight="false" outlineLevel="0" collapsed="false">
      <c r="A201" s="8" t="n">
        <f aca="false">Base!A201</f>
        <v>44074</v>
      </c>
      <c r="B201" s="9" t="n">
        <f aca="false">IFERROR(AVERAGE(Base!C199:C201)-Base!R201,"")</f>
        <v>-10.202264135692</v>
      </c>
      <c r="C201" s="9" t="n">
        <f aca="false">IFERROR(AVERAGE(Base!G199:G201)-Base!R201,"")</f>
        <v>-10.6516666666667</v>
      </c>
      <c r="D201" s="9" t="n">
        <f aca="false">IFERROR(AVERAGE(Base!H199:H201)-Base!R201,"")</f>
        <v>-19.5516666666667</v>
      </c>
      <c r="E201" s="9" t="n">
        <f aca="false">IFERROR(AVERAGE(Base!I199:I201)-AVERAGE(Base!S142:S201),"")</f>
        <v>8.02274509803922</v>
      </c>
      <c r="F201" s="9" t="n">
        <f aca="false">IFERROR(AVERAGE(Base!K199:K201),"")</f>
        <v>-7.41346779379544</v>
      </c>
      <c r="G201" s="9" t="n">
        <f aca="false">IFERROR(AVERAGE(Base!M199:M201)*AVERAGE(Base!$F$13:F201),"")</f>
        <v>-0.22293133841047</v>
      </c>
      <c r="H201" s="9" t="n">
        <f aca="false">IFERROR(-AVERAGE(Base!O199:O201),"")</f>
        <v>-16.8361419736062</v>
      </c>
      <c r="I201" s="9" t="n">
        <f aca="false">IFERROR(AVERAGE(Base!P199:P201),"")</f>
        <v>-46.5000707414848</v>
      </c>
    </row>
    <row r="202" customFormat="false" ht="15" hidden="false" customHeight="false" outlineLevel="0" collapsed="false">
      <c r="A202" s="8" t="n">
        <f aca="false">Base!A202</f>
        <v>44104</v>
      </c>
      <c r="B202" s="9" t="n">
        <f aca="false">IFERROR(AVERAGE(Base!C200:C202)-Base!R202,"")</f>
        <v>-12.9947266622181</v>
      </c>
      <c r="C202" s="9" t="n">
        <f aca="false">IFERROR(AVERAGE(Base!G200:G202)-Base!R202,"")</f>
        <v>-8.24833333333333</v>
      </c>
      <c r="D202" s="9" t="n">
        <f aca="false">IFERROR(AVERAGE(Base!H200:H202)-Base!R202,"")</f>
        <v>-19.1483333333333</v>
      </c>
      <c r="E202" s="9" t="n">
        <f aca="false">IFERROR(AVERAGE(Base!I200:I202)-AVERAGE(Base!S143:S202),"")</f>
        <v>6.93878205128205</v>
      </c>
      <c r="F202" s="9" t="n">
        <f aca="false">IFERROR(AVERAGE(Base!K200:K202),"")</f>
        <v>-8.34197699400564</v>
      </c>
      <c r="G202" s="9" t="n">
        <f aca="false">IFERROR(AVERAGE(Base!M200:M202)*AVERAGE(Base!$F$13:F202),"")</f>
        <v>-1.29843734107925</v>
      </c>
      <c r="H202" s="9" t="n">
        <f aca="false">IFERROR(-AVERAGE(Base!O200:O202),"")</f>
        <v>-17.7125942230707</v>
      </c>
      <c r="I202" s="9" t="n">
        <f aca="false">IFERROR(AVERAGE(Base!P200:P202),"")</f>
        <v>-44.7602606577518</v>
      </c>
    </row>
    <row r="203" customFormat="false" ht="15" hidden="false" customHeight="false" outlineLevel="0" collapsed="false">
      <c r="A203" s="8" t="n">
        <f aca="false">Base!A203</f>
        <v>44135</v>
      </c>
      <c r="B203" s="9" t="n">
        <f aca="false">IFERROR(AVERAGE(Base!C201:C203)-Base!R203,"")</f>
        <v>-14.3700337179774</v>
      </c>
      <c r="C203" s="9" t="n">
        <f aca="false">IFERROR(AVERAGE(Base!G201:G203)-Base!R203,"")</f>
        <v>-6.045</v>
      </c>
      <c r="D203" s="9" t="n">
        <f aca="false">IFERROR(AVERAGE(Base!H201:H203)-Base!R203,"")</f>
        <v>-17.7116666666667</v>
      </c>
      <c r="E203" s="9" t="n">
        <f aca="false">IFERROR(AVERAGE(Base!I201:I203)-AVERAGE(Base!S144:S203),"")</f>
        <v>5.84056603773585</v>
      </c>
      <c r="F203" s="9" t="n">
        <f aca="false">IFERROR(AVERAGE(Base!K201:K203),"")</f>
        <v>-8.5667823987971</v>
      </c>
      <c r="G203" s="9" t="n">
        <f aca="false">IFERROR(AVERAGE(Base!M201:M203)*AVERAGE(Base!$F$13:F203),"")</f>
        <v>-2.91167462510048</v>
      </c>
      <c r="H203" s="9" t="n">
        <f aca="false">IFERROR(-AVERAGE(Base!O201:O203),"")</f>
        <v>-14.9091648958945</v>
      </c>
      <c r="I203" s="9" t="n">
        <f aca="false">IFERROR(AVERAGE(Base!P201:P203),"")</f>
        <v>-43.5473547272085</v>
      </c>
    </row>
    <row r="204" customFormat="false" ht="15" hidden="false" customHeight="false" outlineLevel="0" collapsed="false">
      <c r="A204" s="8" t="n">
        <f aca="false">Base!A204</f>
        <v>44165</v>
      </c>
      <c r="B204" s="9" t="n">
        <f aca="false">IFERROR(AVERAGE(Base!C202:C204)-Base!R204,"")</f>
        <v>-18.3429923015427</v>
      </c>
      <c r="C204" s="9" t="n">
        <f aca="false">IFERROR(AVERAGE(Base!G202:G204)-Base!R204,"")</f>
        <v>-3.375</v>
      </c>
      <c r="D204" s="9" t="n">
        <f aca="false">IFERROR(AVERAGE(Base!H202:H204)-Base!R204,"")</f>
        <v>-16.275</v>
      </c>
      <c r="E204" s="9" t="n">
        <f aca="false">IFERROR(AVERAGE(Base!I202:I204)-AVERAGE(Base!S145:S204),"")</f>
        <v>4.78518518518519</v>
      </c>
      <c r="F204" s="9" t="n">
        <f aca="false">IFERROR(AVERAGE(Base!K202:K204),"")</f>
        <v>-8.17637510553865</v>
      </c>
      <c r="G204" s="9" t="n">
        <f aca="false">IFERROR(AVERAGE(Base!M202:M204)*AVERAGE(Base!$F$13:F204),"")</f>
        <v>-1.77120536599351</v>
      </c>
      <c r="H204" s="9" t="n">
        <f aca="false">IFERROR(-AVERAGE(Base!O202:O204),"")</f>
        <v>-12.01828002887</v>
      </c>
      <c r="I204" s="9" t="n">
        <f aca="false">IFERROR(AVERAGE(Base!P202:P204),"")</f>
        <v>-46.1377123717017</v>
      </c>
    </row>
    <row r="205" customFormat="false" ht="15" hidden="false" customHeight="false" outlineLevel="0" collapsed="false">
      <c r="A205" s="8" t="n">
        <f aca="false">Base!A205</f>
        <v>44196</v>
      </c>
      <c r="B205" s="9" t="n">
        <f aca="false">IFERROR(AVERAGE(Base!C203:C205)-Base!R205,"")</f>
        <v>-23.6692493556886</v>
      </c>
      <c r="C205" s="9" t="n">
        <f aca="false">IFERROR(AVERAGE(Base!G203:G205)-Base!R205,"")</f>
        <v>-1.82833333333333</v>
      </c>
      <c r="D205" s="9" t="n">
        <f aca="false">IFERROR(AVERAGE(Base!H203:H205)-Base!R205,"")</f>
        <v>-16.0616666666667</v>
      </c>
      <c r="E205" s="9" t="n">
        <f aca="false">IFERROR(AVERAGE(Base!I203:I205)-AVERAGE(Base!S146:S205),"")</f>
        <v>4.25999999999999</v>
      </c>
      <c r="F205" s="9" t="n">
        <f aca="false">IFERROR(AVERAGE(Base!K203:K205),"")</f>
        <v>-7.5873688703231</v>
      </c>
      <c r="G205" s="9" t="n">
        <f aca="false">IFERROR(AVERAGE(Base!M203:M205)*AVERAGE(Base!$F$13:F205),"")</f>
        <v>-1.01998343984654</v>
      </c>
      <c r="H205" s="9" t="n">
        <f aca="false">IFERROR(-AVERAGE(Base!O203:O205),"")</f>
        <v>-11.4438205435039</v>
      </c>
      <c r="I205" s="9" t="n">
        <f aca="false">IFERROR(AVERAGE(Base!P203:P205),"")</f>
        <v>-37.6473793669161</v>
      </c>
    </row>
    <row r="206" customFormat="false" ht="15" hidden="false" customHeight="false" outlineLevel="0" collapsed="false">
      <c r="A206" s="8" t="n">
        <f aca="false">Base!A206</f>
        <v>44227</v>
      </c>
      <c r="B206" s="9" t="n">
        <f aca="false">IFERROR(AVERAGE(Base!C204:C206)-Base!R206,"")</f>
        <v>-14.2545772231215</v>
      </c>
      <c r="C206" s="9" t="n">
        <f aca="false">IFERROR(AVERAGE(Base!G204:G206)-Base!R206,"")</f>
        <v>0.118333333333334</v>
      </c>
      <c r="D206" s="9" t="n">
        <f aca="false">IFERROR(AVERAGE(Base!H204:H206)-Base!R206,"")</f>
        <v>-13.9483333333333</v>
      </c>
      <c r="E206" s="9" t="n">
        <f aca="false">IFERROR(AVERAGE(Base!I204:I206)-AVERAGE(Base!S147:S206),"")</f>
        <v>4.85565476190476</v>
      </c>
      <c r="F206" s="9" t="n">
        <f aca="false">IFERROR(AVERAGE(Base!K204:K206),"")</f>
        <v>-6.68880253809879</v>
      </c>
      <c r="G206" s="9" t="n">
        <f aca="false">IFERROR(AVERAGE(Base!M204:M206)*AVERAGE(Base!$F$13:F206),"")</f>
        <v>0.172780227799575</v>
      </c>
      <c r="H206" s="9" t="n">
        <f aca="false">IFERROR(-AVERAGE(Base!O204:O206),"")</f>
        <v>-11.096947197192</v>
      </c>
      <c r="I206" s="9" t="n">
        <f aca="false">IFERROR(AVERAGE(Base!P204:P206),"")</f>
        <v>-19.5672558034801</v>
      </c>
    </row>
    <row r="207" customFormat="false" ht="15" hidden="false" customHeight="false" outlineLevel="0" collapsed="false">
      <c r="A207" s="8" t="n">
        <f aca="false">Base!A207</f>
        <v>44255</v>
      </c>
      <c r="B207" s="9" t="n">
        <f aca="false">IFERROR(AVERAGE(Base!C205:C207)-Base!R207,"")</f>
        <v>-3.2391497424759</v>
      </c>
      <c r="C207" s="9" t="n">
        <f aca="false">IFERROR(AVERAGE(Base!G205:G207)-Base!R207,"")</f>
        <v>0.898333333333333</v>
      </c>
      <c r="D207" s="9" t="n">
        <f aca="false">IFERROR(AVERAGE(Base!H205:H207)-Base!R207,"")</f>
        <v>-12.5016666666667</v>
      </c>
      <c r="E207" s="9" t="n">
        <f aca="false">IFERROR(AVERAGE(Base!I205:I207)-AVERAGE(Base!S148:S207),"")</f>
        <v>7.40701754385965</v>
      </c>
      <c r="F207" s="9" t="n">
        <f aca="false">IFERROR(AVERAGE(Base!K205:K207),"")</f>
        <v>-5.61100247497559</v>
      </c>
      <c r="G207" s="9" t="n">
        <f aca="false">IFERROR(AVERAGE(Base!M205:M207)*AVERAGE(Base!$F$13:F207),"")</f>
        <v>0.591452564365177</v>
      </c>
      <c r="H207" s="9" t="n">
        <f aca="false">IFERROR(-AVERAGE(Base!O205:O207),"")</f>
        <v>-11.0828848981544</v>
      </c>
      <c r="I207" s="9" t="n">
        <f aca="false">IFERROR(AVERAGE(Base!P205:P207),"")</f>
        <v>-1.72199892262019</v>
      </c>
    </row>
    <row r="208" customFormat="false" ht="15" hidden="false" customHeight="false" outlineLevel="0" collapsed="false">
      <c r="A208" s="8" t="n">
        <f aca="false">Base!A208</f>
        <v>44286</v>
      </c>
      <c r="B208" s="9" t="n">
        <f aca="false">IFERROR(AVERAGE(Base!C206:C208)-Base!R208,"")</f>
        <v>18.238206222393</v>
      </c>
      <c r="C208" s="9" t="n">
        <f aca="false">IFERROR(AVERAGE(Base!G206:G208)-Base!R208,"")</f>
        <v>5.92333333333333</v>
      </c>
      <c r="D208" s="9" t="n">
        <f aca="false">IFERROR(AVERAGE(Base!H206:H208)-Base!R208,"")</f>
        <v>-5.64333333333333</v>
      </c>
      <c r="E208" s="9" t="n">
        <f aca="false">IFERROR(AVERAGE(Base!I206:I208)-AVERAGE(Base!S149:S208),"")</f>
        <v>11.232183908046</v>
      </c>
      <c r="F208" s="9" t="n">
        <f aca="false">IFERROR(AVERAGE(Base!K206:K208),"")</f>
        <v>-4.56060300411042</v>
      </c>
      <c r="G208" s="9" t="n">
        <f aca="false">IFERROR(AVERAGE(Base!M206:M208)*AVERAGE(Base!$F$13:F208),"")</f>
        <v>0.932056322114031</v>
      </c>
      <c r="H208" s="9" t="n">
        <f aca="false">IFERROR(-AVERAGE(Base!O206:O208),"")</f>
        <v>-8.47257041577629</v>
      </c>
      <c r="I208" s="9" t="n">
        <f aca="false">IFERROR(AVERAGE(Base!P206:P208),"")</f>
        <v>41.8587494745773</v>
      </c>
    </row>
    <row r="209" customFormat="false" ht="15" hidden="false" customHeight="false" outlineLevel="0" collapsed="false">
      <c r="A209" s="8" t="n">
        <f aca="false">Base!A209</f>
        <v>44316</v>
      </c>
      <c r="B209" s="9" t="n">
        <f aca="false">IFERROR(AVERAGE(Base!C207:C209)-Base!R209,"")</f>
        <v>29.522716910422</v>
      </c>
      <c r="C209" s="9" t="n">
        <f aca="false">IFERROR(AVERAGE(Base!G207:G209)-Base!R209,"")</f>
        <v>16.4816666666667</v>
      </c>
      <c r="D209" s="9" t="n">
        <f aca="false">IFERROR(AVERAGE(Base!H207:H209)-Base!R209,"")</f>
        <v>4.98166666666667</v>
      </c>
      <c r="E209" s="9" t="n">
        <f aca="false">IFERROR(AVERAGE(Base!I207:I209)-AVERAGE(Base!S150:S209),"")</f>
        <v>15.7610169491525</v>
      </c>
      <c r="F209" s="9" t="n">
        <f aca="false">IFERROR(AVERAGE(Base!K207:K209),"")</f>
        <v>0.180685381737185</v>
      </c>
      <c r="G209" s="9" t="n">
        <f aca="false">IFERROR(AVERAGE(Base!M207:M209)*AVERAGE(Base!$F$13:F209),"")</f>
        <v>1.00320399569634</v>
      </c>
      <c r="H209" s="9" t="n">
        <f aca="false">IFERROR(-AVERAGE(Base!O207:O209),"")</f>
        <v>-2.67185064924379</v>
      </c>
      <c r="I209" s="9" t="n">
        <f aca="false">IFERROR(AVERAGE(Base!P207:P209),"")</f>
        <v>56.2833307161475</v>
      </c>
    </row>
    <row r="210" customFormat="false" ht="15" hidden="false" customHeight="false" outlineLevel="0" collapsed="false">
      <c r="A210" s="8" t="n">
        <f aca="false">Base!A210</f>
        <v>44347</v>
      </c>
      <c r="B210" s="9" t="n">
        <f aca="false">IFERROR(AVERAGE(Base!C208:C210)-Base!R210,"")</f>
        <v>37.8473593334529</v>
      </c>
      <c r="C210" s="9" t="n">
        <f aca="false">IFERROR(AVERAGE(Base!G208:G210)-Base!R210,"")</f>
        <v>22.2733333333333</v>
      </c>
      <c r="D210" s="9" t="n">
        <f aca="false">IFERROR(AVERAGE(Base!H208:H210)-Base!R210,"")</f>
        <v>12.14</v>
      </c>
      <c r="E210" s="9" t="n">
        <f aca="false">IFERROR(AVERAGE(Base!I208:I210)-AVERAGE(Base!S151:S210),"")</f>
        <v>21.3306666666667</v>
      </c>
      <c r="F210" s="9" t="n">
        <f aca="false">IFERROR(AVERAGE(Base!K208:K210),"")</f>
        <v>5.92951337495383</v>
      </c>
      <c r="G210" s="9" t="n">
        <f aca="false">IFERROR(AVERAGE(Base!M208:M210)*AVERAGE(Base!$F$13:F210),"")</f>
        <v>1.00457473333837</v>
      </c>
      <c r="H210" s="9" t="n">
        <f aca="false">IFERROR(-AVERAGE(Base!O208:O210),"")</f>
        <v>3.69017049627261</v>
      </c>
      <c r="I210" s="9" t="n">
        <f aca="false">IFERROR(AVERAGE(Base!P208:P210),"")</f>
        <v>98.8095069083323</v>
      </c>
    </row>
    <row r="211" customFormat="false" ht="15" hidden="false" customHeight="false" outlineLevel="0" collapsed="false">
      <c r="A211" s="8" t="n">
        <f aca="false">Base!A211</f>
        <v>44377</v>
      </c>
      <c r="B211" s="9" t="n">
        <f aca="false">IFERROR(AVERAGE(Base!C209:C211)-Base!R211,"")</f>
        <v>42.7922415591195</v>
      </c>
      <c r="C211" s="9" t="n">
        <f aca="false">IFERROR(AVERAGE(Base!G209:G211)-Base!R211,"")</f>
        <v>21.43</v>
      </c>
      <c r="D211" s="9" t="n">
        <f aca="false">IFERROR(AVERAGE(Base!H209:H211)-Base!R211,"")</f>
        <v>14.1633333333333</v>
      </c>
      <c r="E211" s="9" t="n">
        <f aca="false">IFERROR(AVERAGE(Base!I209:I211)-AVERAGE(Base!S152:S211),"")</f>
        <v>26.274</v>
      </c>
      <c r="F211" s="9" t="n">
        <f aca="false">IFERROR(AVERAGE(Base!K209:K211),"")</f>
        <v>9.80714067945156</v>
      </c>
      <c r="G211" s="9" t="n">
        <f aca="false">IFERROR(AVERAGE(Base!M209:M211)*AVERAGE(Base!$F$13:F211),"")</f>
        <v>0.572042651855656</v>
      </c>
      <c r="H211" s="9" t="n">
        <f aca="false">IFERROR(-AVERAGE(Base!O209:O211),"")</f>
        <v>11.0814084091233</v>
      </c>
      <c r="I211" s="9" t="n">
        <f aca="false">IFERROR(AVERAGE(Base!P209:P211),"")</f>
        <v>86.3541318843462</v>
      </c>
    </row>
    <row r="212" customFormat="false" ht="15" hidden="false" customHeight="false" outlineLevel="0" collapsed="false">
      <c r="A212" s="8" t="n">
        <f aca="false">Base!A212</f>
        <v>44408</v>
      </c>
      <c r="B212" s="9" t="n">
        <f aca="false">IFERROR(AVERAGE(Base!C210:C212)-Base!R212,"")</f>
        <v>44.3551407790544</v>
      </c>
      <c r="C212" s="9" t="n">
        <f aca="false">IFERROR(AVERAGE(Base!G210:G212)-Base!R212,"")</f>
        <v>14.9533333333333</v>
      </c>
      <c r="D212" s="9" t="n">
        <f aca="false">IFERROR(AVERAGE(Base!H210:H212)-Base!R212,"")</f>
        <v>11.6866666666667</v>
      </c>
      <c r="E212" s="9" t="n">
        <f aca="false">IFERROR(AVERAGE(Base!I210:I212)-AVERAGE(Base!S153:S212),"")</f>
        <v>29.349</v>
      </c>
      <c r="F212" s="9" t="n">
        <f aca="false">IFERROR(AVERAGE(Base!K210:K212),"")</f>
        <v>9.75997361693456</v>
      </c>
      <c r="G212" s="9" t="n">
        <f aca="false">IFERROR(AVERAGE(Base!M210:M212)*AVERAGE(Base!$F$13:F212),"")</f>
        <v>-0.326573320833278</v>
      </c>
      <c r="H212" s="9" t="n">
        <f aca="false">IFERROR(-AVERAGE(Base!O210:O212),"")</f>
        <v>13.497225820514</v>
      </c>
      <c r="I212" s="9" t="n">
        <f aca="false">IFERROR(AVERAGE(Base!P210:P212),"")</f>
        <v>112.273234309009</v>
      </c>
    </row>
    <row r="213" customFormat="false" ht="15" hidden="false" customHeight="false" outlineLevel="0" collapsed="false">
      <c r="A213" s="8" t="n">
        <f aca="false">Base!A213</f>
        <v>44439</v>
      </c>
      <c r="B213" s="9" t="n">
        <f aca="false">IFERROR(AVERAGE(Base!C211:C213)-Base!R213,"")</f>
        <v>53.7398289977039</v>
      </c>
      <c r="C213" s="9" t="n">
        <f aca="false">IFERROR(AVERAGE(Base!G211:G213)-Base!R213,"")</f>
        <v>13.6433333333333</v>
      </c>
      <c r="D213" s="9" t="n">
        <f aca="false">IFERROR(AVERAGE(Base!H211:H213)-Base!R213,"")</f>
        <v>13.11</v>
      </c>
      <c r="E213" s="9" t="n">
        <f aca="false">IFERROR(AVERAGE(Base!I211:I213)-AVERAGE(Base!S154:S213),"")</f>
        <v>29.7528333333333</v>
      </c>
      <c r="F213" s="9" t="n">
        <f aca="false">IFERROR(AVERAGE(Base!K211:K213),"")</f>
        <v>8.07286699911979</v>
      </c>
      <c r="G213" s="9" t="n">
        <f aca="false">IFERROR(AVERAGE(Base!M211:M213)*AVERAGE(Base!$F$13:F213),"")</f>
        <v>-1.16344333879611</v>
      </c>
      <c r="H213" s="9" t="n">
        <f aca="false">IFERROR(-AVERAGE(Base!O211:O213),"")</f>
        <v>15.0565612268637</v>
      </c>
      <c r="I213" s="9" t="n">
        <f aca="false">IFERROR(AVERAGE(Base!P211:P213),"")</f>
        <v>115.476211943595</v>
      </c>
    </row>
    <row r="214" customFormat="false" ht="15" hidden="false" customHeight="false" outlineLevel="0" collapsed="false">
      <c r="A214" s="8" t="n">
        <f aca="false">Base!A214</f>
        <v>44469</v>
      </c>
      <c r="B214" s="9" t="n">
        <f aca="false">IFERROR(AVERAGE(Base!C212:C214)-Base!R214,"")</f>
        <v>58.0464913053188</v>
      </c>
      <c r="C214" s="9" t="n">
        <f aca="false">IFERROR(AVERAGE(Base!G212:G214)-Base!R214,"")</f>
        <v>12.9583333333333</v>
      </c>
      <c r="D214" s="9" t="n">
        <f aca="false">IFERROR(AVERAGE(Base!H212:H214)-Base!R214,"")</f>
        <v>13.7916666666667</v>
      </c>
      <c r="E214" s="9" t="n">
        <f aca="false">IFERROR(AVERAGE(Base!I212:I214)-AVERAGE(Base!S155:S214),"")</f>
        <v>29.0778333333333</v>
      </c>
      <c r="F214" s="9" t="n">
        <f aca="false">IFERROR(AVERAGE(Base!K212:K214),"")</f>
        <v>9.28653100497594</v>
      </c>
      <c r="G214" s="9" t="n">
        <f aca="false">IFERROR(AVERAGE(Base!M212:M214)*AVERAGE(Base!$F$13:F214),"")</f>
        <v>-2.01662019636799</v>
      </c>
      <c r="H214" s="9" t="n">
        <f aca="false">IFERROR(-AVERAGE(Base!O212:O214),"")</f>
        <v>14.9857011875155</v>
      </c>
      <c r="I214" s="9" t="n">
        <f aca="false">IFERROR(AVERAGE(Base!P212:P214),"")</f>
        <v>127.4042242629</v>
      </c>
    </row>
    <row r="215" customFormat="false" ht="15" hidden="false" customHeight="false" outlineLevel="0" collapsed="false">
      <c r="A215" s="8" t="n">
        <f aca="false">Base!A215</f>
        <v>44500</v>
      </c>
      <c r="B215" s="9" t="n">
        <f aca="false">IFERROR(AVERAGE(Base!C213:C215)-Base!R215,"")</f>
        <v>57.7161537572684</v>
      </c>
      <c r="C215" s="9" t="n">
        <f aca="false">IFERROR(AVERAGE(Base!G213:G215)-Base!R215,"")</f>
        <v>10.8733333333333</v>
      </c>
      <c r="D215" s="9" t="n">
        <f aca="false">IFERROR(AVERAGE(Base!H213:H215)-Base!R215,"")</f>
        <v>13.74</v>
      </c>
      <c r="E215" s="9" t="n">
        <f aca="false">IFERROR(AVERAGE(Base!I213:I215)-AVERAGE(Base!S156:S215),"")</f>
        <v>27.5576666666667</v>
      </c>
      <c r="F215" s="9" t="n">
        <f aca="false">IFERROR(AVERAGE(Base!K213:K215),"")</f>
        <v>10.3920731099643</v>
      </c>
      <c r="G215" s="9" t="n">
        <f aca="false">IFERROR(AVERAGE(Base!M213:M215)*AVERAGE(Base!$F$13:F215),"")</f>
        <v>-2.44609734992766</v>
      </c>
      <c r="H215" s="9" t="n">
        <f aca="false">IFERROR(-AVERAGE(Base!O213:O215),"")</f>
        <v>13.3470194673119</v>
      </c>
      <c r="I215" s="9" t="n">
        <f aca="false">IFERROR(AVERAGE(Base!P213:P215),"")</f>
        <v>122.440840567566</v>
      </c>
    </row>
    <row r="216" customFormat="false" ht="15" hidden="false" customHeight="false" outlineLevel="0" collapsed="false">
      <c r="A216" s="8" t="n">
        <f aca="false">Base!A216</f>
        <v>44530</v>
      </c>
      <c r="B216" s="9" t="n">
        <f aca="false">IFERROR(AVERAGE(Base!C214:C216)-Base!R216,"")</f>
        <v>48.8400598379202</v>
      </c>
      <c r="C216" s="9" t="n">
        <f aca="false">IFERROR(AVERAGE(Base!G214:G216)-Base!R216,"")</f>
        <v>9.355</v>
      </c>
      <c r="D216" s="9" t="n">
        <f aca="false">IFERROR(AVERAGE(Base!H214:H216)-Base!R216,"")</f>
        <v>13.655</v>
      </c>
      <c r="E216" s="9" t="n">
        <f aca="false">IFERROR(AVERAGE(Base!I214:I216)-AVERAGE(Base!S157:S216),"")</f>
        <v>25.4526666666667</v>
      </c>
      <c r="F216" s="9" t="n">
        <f aca="false">IFERROR(AVERAGE(Base!K214:K216),"")</f>
        <v>13.0122979590513</v>
      </c>
      <c r="G216" s="9" t="n">
        <f aca="false">IFERROR(AVERAGE(Base!M214:M216)*AVERAGE(Base!$F$13:F216),"")</f>
        <v>-3.21515569730964</v>
      </c>
      <c r="H216" s="9" t="n">
        <f aca="false">IFERROR(-AVERAGE(Base!O214:O216),"")</f>
        <v>12.2161325712508</v>
      </c>
      <c r="I216" s="9" t="n">
        <f aca="false">IFERROR(AVERAGE(Base!P214:P216),"")</f>
        <v>106.474227217448</v>
      </c>
    </row>
    <row r="217" customFormat="false" ht="15" hidden="false" customHeight="false" outlineLevel="0" collapsed="false">
      <c r="A217" s="8" t="n">
        <f aca="false">Base!A217</f>
        <v>44561</v>
      </c>
      <c r="B217" s="9" t="n">
        <f aca="false">IFERROR(AVERAGE(Base!C215:C217)-Base!R217,"")</f>
        <v>57.2482520706202</v>
      </c>
      <c r="C217" s="9" t="n">
        <f aca="false">IFERROR(AVERAGE(Base!G215:G217)-Base!R217,"")</f>
        <v>8.82333333333334</v>
      </c>
      <c r="D217" s="9" t="n">
        <f aca="false">IFERROR(AVERAGE(Base!H215:H217)-Base!R217,"")</f>
        <v>15.0566666666667</v>
      </c>
      <c r="E217" s="9" t="n">
        <f aca="false">IFERROR(AVERAGE(Base!I215:I217)-AVERAGE(Base!S158:S217),"")</f>
        <v>23.5998333333333</v>
      </c>
      <c r="F217" s="9" t="n">
        <f aca="false">IFERROR(AVERAGE(Base!K215:K217),"")</f>
        <v>14.1157593727454</v>
      </c>
      <c r="G217" s="9" t="n">
        <f aca="false">IFERROR(AVERAGE(Base!M215:M217)*AVERAGE(Base!$F$13:F217),"")</f>
        <v>-3.95217862778431</v>
      </c>
      <c r="H217" s="9" t="n">
        <f aca="false">IFERROR(-AVERAGE(Base!O215:O217),"")</f>
        <v>12.322691607144</v>
      </c>
      <c r="I217" s="9" t="n">
        <f aca="false">IFERROR(AVERAGE(Base!P215:P217),"")</f>
        <v>90.4034577906419</v>
      </c>
    </row>
    <row r="218" customFormat="false" ht="15" hidden="false" customHeight="false" outlineLevel="0" collapsed="false">
      <c r="A218" s="8" t="n">
        <f aca="false">Base!A218</f>
        <v>44592</v>
      </c>
      <c r="B218" s="9" t="n">
        <f aca="false">IFERROR(AVERAGE(Base!C216:C218)-Base!R218,"")</f>
        <v>46.0798329437665</v>
      </c>
      <c r="C218" s="9" t="n">
        <f aca="false">IFERROR(AVERAGE(Base!G216:G218)-Base!R218,"")</f>
        <v>8.65833333333334</v>
      </c>
      <c r="D218" s="9" t="n">
        <f aca="false">IFERROR(AVERAGE(Base!H216:H218)-Base!R218,"")</f>
        <v>13.425</v>
      </c>
      <c r="E218" s="9" t="n">
        <f aca="false">IFERROR(AVERAGE(Base!I216:I218)-AVERAGE(Base!S159:S218),"")</f>
        <v>21.3965</v>
      </c>
      <c r="F218" s="9" t="n">
        <f aca="false">IFERROR(AVERAGE(Base!K216:K218),"")</f>
        <v>14.9566103008358</v>
      </c>
      <c r="G218" s="9" t="n">
        <f aca="false">IFERROR(AVERAGE(Base!M216:M218)*AVERAGE(Base!$F$13:F218),"")</f>
        <v>-4.46379661020565</v>
      </c>
      <c r="H218" s="9" t="n">
        <f aca="false">IFERROR(-AVERAGE(Base!O216:O218),"")</f>
        <v>13.1005674486813</v>
      </c>
      <c r="I218" s="9" t="n">
        <f aca="false">IFERROR(AVERAGE(Base!P216:P218),"")</f>
        <v>72.4382666998691</v>
      </c>
    </row>
    <row r="219" customFormat="false" ht="15" hidden="false" customHeight="false" outlineLevel="0" collapsed="false">
      <c r="A219" s="8" t="n">
        <f aca="false">Base!A219</f>
        <v>44620</v>
      </c>
      <c r="B219" s="9" t="n">
        <f aca="false">IFERROR(AVERAGE(Base!C217:C219)-Base!R219,"")</f>
        <v>45.5564462848563</v>
      </c>
      <c r="C219" s="9" t="n">
        <f aca="false">IFERROR(AVERAGE(Base!G217:G219)-Base!R219,"")</f>
        <v>8.62666666666667</v>
      </c>
      <c r="D219" s="9" t="n">
        <f aca="false">IFERROR(AVERAGE(Base!H217:H219)-Base!R219,"")</f>
        <v>12.66</v>
      </c>
      <c r="E219" s="9" t="n">
        <f aca="false">IFERROR(AVERAGE(Base!I217:I219)-AVERAGE(Base!S160:S219),"")</f>
        <v>19.9723333333333</v>
      </c>
      <c r="F219" s="9" t="n">
        <f aca="false">IFERROR(AVERAGE(Base!K217:K219),"")</f>
        <v>14.3220941077501</v>
      </c>
      <c r="G219" s="9" t="n">
        <f aca="false">IFERROR(AVERAGE(Base!M217:M219)*AVERAGE(Base!$F$13:F219),"")</f>
        <v>-4.57038353372375</v>
      </c>
      <c r="H219" s="9" t="n">
        <f aca="false">IFERROR(-AVERAGE(Base!O217:O219),"")</f>
        <v>14.2448566147555</v>
      </c>
      <c r="I219" s="9" t="n">
        <f aca="false">IFERROR(AVERAGE(Base!P217:P219),"")</f>
        <v>55.0019452064923</v>
      </c>
    </row>
    <row r="220" customFormat="false" ht="15" hidden="false" customHeight="false" outlineLevel="0" collapsed="false">
      <c r="A220" s="8" t="n">
        <f aca="false">Base!A220</f>
        <v>44651</v>
      </c>
      <c r="B220" s="9" t="n">
        <f aca="false">IFERROR(AVERAGE(Base!C218:C220)-Base!R220,"")</f>
        <v>26.6671324046056</v>
      </c>
      <c r="C220" s="9" t="n">
        <f aca="false">IFERROR(AVERAGE(Base!G218:G220)-Base!R220,"")</f>
        <v>7.02166666666667</v>
      </c>
      <c r="D220" s="9" t="n">
        <f aca="false">IFERROR(AVERAGE(Base!H218:H220)-Base!R220,"")</f>
        <v>10.2883333333333</v>
      </c>
      <c r="E220" s="9" t="n">
        <f aca="false">IFERROR(AVERAGE(Base!I218:I220)-AVERAGE(Base!S161:S220),"")</f>
        <v>19.1228333333333</v>
      </c>
      <c r="F220" s="9" t="n">
        <f aca="false">IFERROR(AVERAGE(Base!K218:K220),"")</f>
        <v>13.8610004658386</v>
      </c>
      <c r="G220" s="9" t="n">
        <f aca="false">IFERROR(AVERAGE(Base!M218:M220)*AVERAGE(Base!$F$13:F220),"")</f>
        <v>-4.16641997312185</v>
      </c>
      <c r="H220" s="9" t="n">
        <f aca="false">IFERROR(-AVERAGE(Base!O218:O220),"")</f>
        <v>15.2402046426359</v>
      </c>
      <c r="I220" s="9" t="n">
        <f aca="false">IFERROR(AVERAGE(Base!P218:P220),"")</f>
        <v>57.2538708912109</v>
      </c>
    </row>
    <row r="221" customFormat="false" ht="15" hidden="false" customHeight="false" outlineLevel="0" collapsed="false">
      <c r="A221" s="8" t="n">
        <f aca="false">Base!A221</f>
        <v>44681</v>
      </c>
      <c r="B221" s="9" t="n">
        <f aca="false">IFERROR(AVERAGE(Base!C219:C221)-Base!R221,"")</f>
        <v>34.0168792780275</v>
      </c>
      <c r="C221" s="9" t="n">
        <f aca="false">IFERROR(AVERAGE(Base!G219:G221)-Base!R221,"")</f>
        <v>7.18333333333333</v>
      </c>
      <c r="D221" s="9" t="n">
        <f aca="false">IFERROR(AVERAGE(Base!H219:H221)-Base!R221,"")</f>
        <v>11.1166666666667</v>
      </c>
      <c r="E221" s="9" t="n">
        <f aca="false">IFERROR(AVERAGE(Base!I219:I221)-AVERAGE(Base!S162:S221),"")</f>
        <v>19.0128333333333</v>
      </c>
      <c r="F221" s="9" t="n">
        <f aca="false">IFERROR(AVERAGE(Base!K219:K221),"")</f>
        <v>13.2880086997318</v>
      </c>
      <c r="G221" s="9" t="n">
        <f aca="false">IFERROR(AVERAGE(Base!M219:M221)*AVERAGE(Base!$F$13:F221),"")</f>
        <v>-4.20613375539417</v>
      </c>
      <c r="H221" s="9" t="n">
        <f aca="false">IFERROR(-AVERAGE(Base!O219:O221),"")</f>
        <v>15.7672733915779</v>
      </c>
      <c r="I221" s="9" t="n">
        <f aca="false">IFERROR(AVERAGE(Base!P219:P221),"")</f>
        <v>79.9043913997118</v>
      </c>
    </row>
    <row r="222" customFormat="false" ht="15" hidden="false" customHeight="false" outlineLevel="0" collapsed="false">
      <c r="A222" s="8" t="n">
        <f aca="false">Base!A222</f>
        <v>44712</v>
      </c>
      <c r="B222" s="9" t="n">
        <f aca="false">IFERROR(AVERAGE(Base!C220:C222)-Base!R222,"")</f>
        <v>29.3180960656133</v>
      </c>
      <c r="C222" s="9" t="n">
        <f aca="false">IFERROR(AVERAGE(Base!G220:G222)-Base!R222,"")</f>
        <v>6.97833333333333</v>
      </c>
      <c r="D222" s="9" t="n">
        <f aca="false">IFERROR(AVERAGE(Base!H220:H222)-Base!R222,"")</f>
        <v>10.8116666666667</v>
      </c>
      <c r="E222" s="9" t="n">
        <f aca="false">IFERROR(AVERAGE(Base!I220:I222)-AVERAGE(Base!S163:S222),"")</f>
        <v>18.8611666666667</v>
      </c>
      <c r="F222" s="9" t="n">
        <f aca="false">IFERROR(AVERAGE(Base!K220:K222),"")</f>
        <v>13.5300218144651</v>
      </c>
      <c r="G222" s="9" t="n">
        <f aca="false">IFERROR(AVERAGE(Base!M220:M222)*AVERAGE(Base!$F$13:F222),"")</f>
        <v>-4.22507871777629</v>
      </c>
      <c r="H222" s="9" t="n">
        <f aca="false">IFERROR(-AVERAGE(Base!O220:O222),"")</f>
        <v>15.3597521060476</v>
      </c>
      <c r="I222" s="9" t="n">
        <f aca="false">IFERROR(AVERAGE(Base!P220:P222),"")</f>
        <v>109.313834386142</v>
      </c>
    </row>
    <row r="223" customFormat="false" ht="15" hidden="false" customHeight="false" outlineLevel="0" collapsed="false">
      <c r="A223" s="8" t="n">
        <f aca="false">Base!A223</f>
        <v>44742</v>
      </c>
      <c r="B223" s="9" t="n">
        <f aca="false">IFERROR(AVERAGE(Base!C221:C223)-Base!R223,"")</f>
        <v>26.2652462573142</v>
      </c>
      <c r="C223" s="9" t="n">
        <f aca="false">IFERROR(AVERAGE(Base!G221:G223)-Base!R223,"")</f>
        <v>7.84833333333333</v>
      </c>
      <c r="D223" s="9" t="n">
        <f aca="false">IFERROR(AVERAGE(Base!H221:H223)-Base!R223,"")</f>
        <v>10.5816666666667</v>
      </c>
      <c r="E223" s="9" t="n">
        <f aca="false">IFERROR(AVERAGE(Base!I221:I223)-AVERAGE(Base!S164:S223),"")</f>
        <v>18.6986666666667</v>
      </c>
      <c r="F223" s="9" t="n">
        <f aca="false">IFERROR(AVERAGE(Base!K221:K223),"")</f>
        <v>13.8740811227999</v>
      </c>
      <c r="G223" s="9" t="n">
        <f aca="false">IFERROR(AVERAGE(Base!M221:M223)*AVERAGE(Base!$F$13:F223),"")</f>
        <v>-4.68824965048639</v>
      </c>
      <c r="H223" s="9" t="n">
        <f aca="false">IFERROR(-AVERAGE(Base!O221:O223),"")</f>
        <v>11.9665283071024</v>
      </c>
      <c r="I223" s="9" t="n">
        <f aca="false">IFERROR(AVERAGE(Base!P221:P223),"")</f>
        <v>136.451395943246</v>
      </c>
    </row>
    <row r="224" customFormat="false" ht="15" hidden="false" customHeight="false" outlineLevel="0" collapsed="false">
      <c r="A224" s="8" t="n">
        <f aca="false">Base!A224</f>
        <v>44773</v>
      </c>
      <c r="B224" s="9" t="n">
        <f aca="false">IFERROR(AVERAGE(Base!C222:C224)-Base!R224,"")</f>
        <v>15.9630284162816</v>
      </c>
      <c r="C224" s="9" t="n">
        <f aca="false">IFERROR(AVERAGE(Base!G222:G224)-Base!R224,"")</f>
        <v>7.75166666666667</v>
      </c>
      <c r="D224" s="9" t="n">
        <f aca="false">IFERROR(AVERAGE(Base!H222:H224)-Base!R224,"")</f>
        <v>10.1183333333333</v>
      </c>
      <c r="E224" s="9" t="n">
        <f aca="false">IFERROR(AVERAGE(Base!I222:I224)-AVERAGE(Base!S165:S224),"")</f>
        <v>20.0553333333333</v>
      </c>
      <c r="F224" s="9" t="n">
        <f aca="false">IFERROR(AVERAGE(Base!K222:K224),"")</f>
        <v>13.9059971658895</v>
      </c>
      <c r="G224" s="9" t="n">
        <f aca="false">IFERROR(AVERAGE(Base!M222:M224)*AVERAGE(Base!$F$13:F224),"")</f>
        <v>-4.81741717731525</v>
      </c>
      <c r="H224" s="9" t="n">
        <f aca="false">IFERROR(-AVERAGE(Base!O222:O224),"")</f>
        <v>8.16030023453763</v>
      </c>
      <c r="I224" s="9" t="n">
        <f aca="false">IFERROR(AVERAGE(Base!P222:P224),"")</f>
        <v>118.912816516343</v>
      </c>
    </row>
    <row r="225" customFormat="false" ht="15" hidden="false" customHeight="false" outlineLevel="0" collapsed="false">
      <c r="A225" s="8" t="n">
        <f aca="false">Base!A225</f>
        <v>44804</v>
      </c>
      <c r="B225" s="9" t="n">
        <f aca="false">IFERROR(AVERAGE(Base!C223:C225)-Base!R225,"")</f>
        <v>6.16888671736192</v>
      </c>
      <c r="C225" s="9" t="n">
        <f aca="false">IFERROR(AVERAGE(Base!G223:G225)-Base!R225,"")</f>
        <v>7.155</v>
      </c>
      <c r="D225" s="9" t="n">
        <f aca="false">IFERROR(AVERAGE(Base!H223:H225)-Base!R225,"")</f>
        <v>8.52166666666667</v>
      </c>
      <c r="E225" s="9" t="n">
        <f aca="false">IFERROR(AVERAGE(Base!I223:I225)-AVERAGE(Base!S166:S225),"")</f>
        <v>23.5998333333333</v>
      </c>
      <c r="F225" s="9" t="n">
        <f aca="false">IFERROR(AVERAGE(Base!K223:K225),"")</f>
        <v>14.0764667088725</v>
      </c>
      <c r="G225" s="9" t="n">
        <f aca="false">IFERROR(AVERAGE(Base!M223:M225)*AVERAGE(Base!$F$13:F225),"")</f>
        <v>-5.10223769739551</v>
      </c>
      <c r="H225" s="9" t="n">
        <f aca="false">IFERROR(-AVERAGE(Base!O223:O225),"")</f>
        <v>4.22408715308999</v>
      </c>
      <c r="I225" s="9" t="n">
        <f aca="false">IFERROR(AVERAGE(Base!P223:P225),"")</f>
        <v>87.5330645699876</v>
      </c>
    </row>
    <row r="226" customFormat="false" ht="15" hidden="false" customHeight="false" outlineLevel="0" collapsed="false">
      <c r="A226" s="8" t="n">
        <f aca="false">Base!A226</f>
        <v>44834</v>
      </c>
      <c r="B226" s="9" t="n">
        <f aca="false">IFERROR(AVERAGE(Base!C224:C226)-Base!R226,"")</f>
        <v>-1.09308098179843</v>
      </c>
      <c r="C226" s="9" t="n">
        <f aca="false">IFERROR(AVERAGE(Base!G224:G226)-Base!R226,"")</f>
        <v>6.175</v>
      </c>
      <c r="D226" s="9" t="n">
        <f aca="false">IFERROR(AVERAGE(Base!H224:H226)-Base!R226,"")</f>
        <v>7.075</v>
      </c>
      <c r="E226" s="9" t="n">
        <f aca="false">IFERROR(AVERAGE(Base!I224:I226)-AVERAGE(Base!S167:S226),"")</f>
        <v>27.8473333333333</v>
      </c>
      <c r="F226" s="9" t="n">
        <f aca="false">IFERROR(AVERAGE(Base!K224:K226),"")</f>
        <v>13.8870659495842</v>
      </c>
      <c r="G226" s="9" t="n">
        <f aca="false">IFERROR(AVERAGE(Base!M224:M226)*AVERAGE(Base!$F$13:F226),"")</f>
        <v>-5.08210162429583</v>
      </c>
      <c r="H226" s="9" t="n">
        <f aca="false">IFERROR(-AVERAGE(Base!O224:O226),"")</f>
        <v>0.664984720487593</v>
      </c>
      <c r="I226" s="9" t="n">
        <f aca="false">IFERROR(AVERAGE(Base!P224:P226),"")</f>
        <v>60.0932813194263</v>
      </c>
    </row>
    <row r="227" customFormat="false" ht="15" hidden="false" customHeight="false" outlineLevel="0" collapsed="false">
      <c r="A227" s="8" t="n">
        <f aca="false">Base!A227</f>
        <v>44865</v>
      </c>
      <c r="B227" s="9" t="n">
        <f aca="false">IFERROR(AVERAGE(Base!C225:C227)-Base!R227,"")</f>
        <v>2.62765587539645</v>
      </c>
      <c r="C227" s="9" t="n">
        <f aca="false">IFERROR(AVERAGE(Base!G225:G227)-Base!R227,"")</f>
        <v>5.46166666666667</v>
      </c>
      <c r="D227" s="9" t="n">
        <f aca="false">IFERROR(AVERAGE(Base!H225:H227)-Base!R227,"")</f>
        <v>5.76166666666667</v>
      </c>
      <c r="E227" s="9" t="n">
        <f aca="false">IFERROR(AVERAGE(Base!I225:I227)-AVERAGE(Base!S168:S227),"")</f>
        <v>31.1548333333333</v>
      </c>
      <c r="F227" s="9" t="n">
        <f aca="false">IFERROR(AVERAGE(Base!K225:K227),"")</f>
        <v>14.2592976514895</v>
      </c>
      <c r="G227" s="9" t="n">
        <f aca="false">IFERROR(AVERAGE(Base!M225:M227)*AVERAGE(Base!$F$13:F227),"")</f>
        <v>-4.78709494405259</v>
      </c>
      <c r="H227" s="9" t="n">
        <f aca="false">IFERROR(-AVERAGE(Base!O225:O227),"")</f>
        <v>-0.506183750335576</v>
      </c>
      <c r="I227" s="9" t="n">
        <f aca="false">IFERROR(AVERAGE(Base!P225:P227),"")</f>
        <v>70.8773609969484</v>
      </c>
    </row>
    <row r="228" customFormat="false" ht="15" hidden="false" customHeight="false" outlineLevel="0" collapsed="false">
      <c r="A228" s="8" t="n">
        <f aca="false">Base!A228</f>
        <v>44895</v>
      </c>
      <c r="B228" s="9" t="n">
        <f aca="false">IFERROR(AVERAGE(Base!C226:C228)-Base!R228,"")</f>
        <v>9.79812335894367</v>
      </c>
      <c r="C228" s="9" t="n">
        <f aca="false">IFERROR(AVERAGE(Base!G226:G228)-Base!R228,"")</f>
        <v>3.94833333333333</v>
      </c>
      <c r="D228" s="9" t="n">
        <f aca="false">IFERROR(AVERAGE(Base!H226:H228)-Base!R228,"")</f>
        <v>4.315</v>
      </c>
      <c r="E228" s="9" t="n">
        <f aca="false">IFERROR(AVERAGE(Base!I226:I228)-AVERAGE(Base!S169:S228),"")</f>
        <v>34.3348333333333</v>
      </c>
      <c r="F228" s="9" t="n">
        <f aca="false">IFERROR(AVERAGE(Base!K226:K228),"")</f>
        <v>13.0750032159221</v>
      </c>
      <c r="G228" s="9" t="n">
        <f aca="false">IFERROR(AVERAGE(Base!M226:M228)*AVERAGE(Base!$F$13:F228),"")</f>
        <v>-4.03506743831872</v>
      </c>
      <c r="H228" s="9" t="n">
        <f aca="false">IFERROR(-AVERAGE(Base!O226:O228),"")</f>
        <v>0.0210207587734342</v>
      </c>
      <c r="I228" s="9" t="n">
        <f aca="false">IFERROR(AVERAGE(Base!P226:P228),"")</f>
        <v>87.7452393906195</v>
      </c>
    </row>
    <row r="229" customFormat="false" ht="15" hidden="false" customHeight="false" outlineLevel="0" collapsed="false">
      <c r="A229" s="8" t="n">
        <f aca="false">Base!A229</f>
        <v>44926</v>
      </c>
      <c r="B229" s="9" t="n">
        <f aca="false">IFERROR(AVERAGE(Base!C227:C229)-Base!R229,"")</f>
        <v>7.75393224307469</v>
      </c>
      <c r="C229" s="9" t="n">
        <f aca="false">IFERROR(AVERAGE(Base!G227:G229)-Base!R229,"")</f>
        <v>1.88333333333333</v>
      </c>
      <c r="D229" s="9" t="n">
        <f aca="false">IFERROR(AVERAGE(Base!H227:H229)-Base!R229,"")</f>
        <v>2.75</v>
      </c>
      <c r="E229" s="9" t="n">
        <f aca="false">IFERROR(AVERAGE(Base!I227:I229)-AVERAGE(Base!S170:S229),"")</f>
        <v>36.5176666666667</v>
      </c>
      <c r="F229" s="9" t="n">
        <f aca="false">IFERROR(AVERAGE(Base!K227:K229),"")</f>
        <v>12.3070404667699</v>
      </c>
      <c r="G229" s="9" t="n">
        <f aca="false">IFERROR(AVERAGE(Base!M227:M229)*AVERAGE(Base!$F$13:F229),"")</f>
        <v>-3.10697273795314</v>
      </c>
      <c r="H229" s="9" t="n">
        <f aca="false">IFERROR(-AVERAGE(Base!O227:O229),"")</f>
        <v>0.647113075261718</v>
      </c>
      <c r="I229" s="9" t="n">
        <f aca="false">IFERROR(AVERAGE(Base!P227:P229),"")</f>
        <v>93.4981958710496</v>
      </c>
    </row>
    <row r="230" customFormat="false" ht="15" hidden="false" customHeight="false" outlineLevel="0" collapsed="false">
      <c r="A230" s="8" t="n">
        <f aca="false">Base!A230</f>
        <v>44957</v>
      </c>
      <c r="B230" s="9" t="n">
        <f aca="false">IFERROR(AVERAGE(Base!C228:C230)-Base!R230,"")</f>
        <v>-1.92533667778896</v>
      </c>
      <c r="C230" s="9" t="n">
        <f aca="false">IFERROR(AVERAGE(Base!G228:G230)-Base!R230,"")</f>
        <v>1.05166666666667</v>
      </c>
      <c r="D230" s="9" t="n">
        <f aca="false">IFERROR(AVERAGE(Base!H228:H230)-Base!R230,"")</f>
        <v>1.95166666666667</v>
      </c>
      <c r="E230" s="9" t="n">
        <f aca="false">IFERROR(AVERAGE(Base!I228:I230)-AVERAGE(Base!S171:S230),"")</f>
        <v>39.886</v>
      </c>
      <c r="F230" s="9" t="n">
        <f aca="false">IFERROR(AVERAGE(Base!K228:K230),"")</f>
        <v>10.8557908322059</v>
      </c>
      <c r="G230" s="9" t="n">
        <f aca="false">IFERROR(AVERAGE(Base!M228:M230)*AVERAGE(Base!$F$13:F230),"")</f>
        <v>-2.26925764200704</v>
      </c>
      <c r="H230" s="9" t="n">
        <f aca="false">IFERROR(-AVERAGE(Base!O228:O230),"")</f>
        <v>-2.15803622315886</v>
      </c>
      <c r="I230" s="9" t="n">
        <f aca="false">IFERROR(AVERAGE(Base!P228:P230),"")</f>
        <v>82.3706088402955</v>
      </c>
    </row>
    <row r="231" customFormat="false" ht="15" hidden="false" customHeight="false" outlineLevel="0" collapsed="false">
      <c r="A231" s="8" t="n">
        <f aca="false">Base!A231</f>
        <v>44985</v>
      </c>
      <c r="B231" s="9" t="n">
        <f aca="false">IFERROR(AVERAGE(Base!C229:C231)-Base!R231,"")</f>
        <v>-13.4069900624818</v>
      </c>
      <c r="C231" s="9" t="n">
        <f aca="false">IFERROR(AVERAGE(Base!G229:G231)-Base!R231,"")</f>
        <v>-0.0466666666666655</v>
      </c>
      <c r="D231" s="9" t="n">
        <f aca="false">IFERROR(AVERAGE(Base!H229:H231)-Base!R231,"")</f>
        <v>1.02</v>
      </c>
      <c r="E231" s="9" t="n">
        <f aca="false">IFERROR(AVERAGE(Base!I229:I231)-AVERAGE(Base!S172:S231),"")</f>
        <v>40.8211666666667</v>
      </c>
      <c r="F231" s="9" t="n">
        <f aca="false">IFERROR(AVERAGE(Base!K229:K231),"")</f>
        <v>11.1390029979652</v>
      </c>
      <c r="G231" s="9" t="n">
        <f aca="false">IFERROR(AVERAGE(Base!M229:M231)*AVERAGE(Base!$F$13:F231),"")</f>
        <v>-1.95714845009885</v>
      </c>
      <c r="H231" s="9" t="n">
        <f aca="false">IFERROR(-AVERAGE(Base!O229:O231),"")</f>
        <v>-8.62204114635486</v>
      </c>
      <c r="I231" s="9" t="n">
        <f aca="false">IFERROR(AVERAGE(Base!P229:P231),"")</f>
        <v>62.3266451259686</v>
      </c>
    </row>
    <row r="232" customFormat="false" ht="15" hidden="false" customHeight="false" outlineLevel="0" collapsed="false">
      <c r="A232" s="8" t="n">
        <f aca="false">Base!A232</f>
        <v>45016</v>
      </c>
      <c r="B232" s="9" t="n">
        <f aca="false">IFERROR(AVERAGE(Base!C230:C232)-Base!R232,"")</f>
        <v>-18.310722003125</v>
      </c>
      <c r="C232" s="9" t="n">
        <f aca="false">IFERROR(AVERAGE(Base!G230:G232)-Base!R232,"")</f>
        <v>0.468333333333334</v>
      </c>
      <c r="D232" s="9" t="n">
        <f aca="false">IFERROR(AVERAGE(Base!H230:H232)-Base!R232,"")</f>
        <v>0.435000000000001</v>
      </c>
      <c r="E232" s="9" t="n">
        <f aca="false">IFERROR(AVERAGE(Base!I230:I232)-AVERAGE(Base!S173:S232),"")</f>
        <v>40.9968333333333</v>
      </c>
      <c r="F232" s="9" t="n">
        <f aca="false">IFERROR(AVERAGE(Base!K230:K232),"")</f>
        <v>11.4240824547171</v>
      </c>
      <c r="G232" s="9" t="n">
        <f aca="false">IFERROR(AVERAGE(Base!M230:M232)*AVERAGE(Base!$F$13:F232),"")</f>
        <v>-1.92845021122222</v>
      </c>
      <c r="H232" s="9" t="n">
        <f aca="false">IFERROR(-AVERAGE(Base!O230:O232),"")</f>
        <v>-13.2778812640966</v>
      </c>
      <c r="I232" s="9" t="n">
        <f aca="false">IFERROR(AVERAGE(Base!P230:P232),"")</f>
        <v>35.3534877353581</v>
      </c>
    </row>
    <row r="233" customFormat="false" ht="15" hidden="false" customHeight="false" outlineLevel="0" collapsed="false">
      <c r="A233" s="8" t="n">
        <f aca="false">Base!A233</f>
        <v>45046</v>
      </c>
      <c r="B233" s="9" t="n">
        <f aca="false">IFERROR(AVERAGE(Base!C231:C233)-Base!R233,"")</f>
        <v>-24.3207012541978</v>
      </c>
      <c r="C233" s="9" t="n">
        <f aca="false">IFERROR(AVERAGE(Base!G231:G233)-Base!R233,"")</f>
        <v>-1.88333333333333</v>
      </c>
      <c r="D233" s="9" t="n">
        <f aca="false">IFERROR(AVERAGE(Base!H231:H233)-Base!R233,"")</f>
        <v>-1.85</v>
      </c>
      <c r="E233" s="9" t="n">
        <f aca="false">IFERROR(AVERAGE(Base!I231:I233)-AVERAGE(Base!S174:S233),"")</f>
        <v>39.3585</v>
      </c>
      <c r="F233" s="9" t="n">
        <f aca="false">IFERROR(AVERAGE(Base!K231:K233),"")</f>
        <v>11.5181458352134</v>
      </c>
      <c r="G233" s="9" t="n">
        <f aca="false">IFERROR(AVERAGE(Base!M231:M233)*AVERAGE(Base!$F$13:F233),"")</f>
        <v>-1.70400359847561</v>
      </c>
      <c r="H233" s="9" t="n">
        <f aca="false">IFERROR(-AVERAGE(Base!O231:O233),"")</f>
        <v>-13.7836766369961</v>
      </c>
      <c r="I233" s="9" t="n">
        <f aca="false">IFERROR(AVERAGE(Base!P231:P233),"")</f>
        <v>-2.56343252028792</v>
      </c>
    </row>
    <row r="234" customFormat="false" ht="15" hidden="false" customHeight="false" outlineLevel="0" collapsed="false">
      <c r="A234" s="8" t="n">
        <f aca="false">Base!A234</f>
        <v>45077</v>
      </c>
      <c r="B234" s="9" t="n">
        <f aca="false">IFERROR(AVERAGE(Base!C232:C234)-Base!R234,"")</f>
        <v>-26.145585475588</v>
      </c>
      <c r="C234" s="9" t="n">
        <f aca="false">IFERROR(AVERAGE(Base!G232:G234)-Base!R234,"")</f>
        <v>-3.90166666666667</v>
      </c>
      <c r="D234" s="9" t="n">
        <f aca="false">IFERROR(AVERAGE(Base!H232:H234)-Base!R234,"")</f>
        <v>-2.935</v>
      </c>
      <c r="E234" s="9" t="n">
        <f aca="false">IFERROR(AVERAGE(Base!I232:I234)-AVERAGE(Base!S175:S234),"")</f>
        <v>38.6775</v>
      </c>
      <c r="F234" s="9" t="n">
        <f aca="false">IFERROR(AVERAGE(Base!K232:K234),"")</f>
        <v>10.4594373715132</v>
      </c>
      <c r="G234" s="9" t="n">
        <f aca="false">IFERROR(AVERAGE(Base!M232:M234)*AVERAGE(Base!$F$13:F234),"")</f>
        <v>-1.59376416960128</v>
      </c>
      <c r="H234" s="9" t="n">
        <f aca="false">IFERROR(-AVERAGE(Base!O232:O234),"")</f>
        <v>-12.0099020351536</v>
      </c>
      <c r="I234" s="9" t="n">
        <f aca="false">IFERROR(AVERAGE(Base!P232:P234),"")</f>
        <v>-25.5477023339399</v>
      </c>
    </row>
    <row r="235" customFormat="false" ht="15" hidden="false" customHeight="false" outlineLevel="0" collapsed="false">
      <c r="A235" s="8" t="n">
        <f aca="false">Base!A235</f>
        <v>45107</v>
      </c>
      <c r="B235" s="9" t="n">
        <f aca="false">IFERROR(AVERAGE(Base!C233:C235)-Base!R235,"")</f>
        <v>-30.6665201625016</v>
      </c>
      <c r="C235" s="9" t="n">
        <f aca="false">IFERROR(AVERAGE(Base!G233:G235)-Base!R235,"")</f>
        <v>-5.94</v>
      </c>
      <c r="D235" s="9" t="n">
        <f aca="false">IFERROR(AVERAGE(Base!H233:H235)-Base!R235,"")</f>
        <v>-3.64</v>
      </c>
      <c r="E235" s="9" t="n">
        <f aca="false">IFERROR(AVERAGE(Base!I233:I235)-AVERAGE(Base!S176:S235),"")</f>
        <v>39.3896666666667</v>
      </c>
      <c r="F235" s="9" t="n">
        <f aca="false">IFERROR(AVERAGE(Base!K233:K235),"")</f>
        <v>9.10814651222667</v>
      </c>
      <c r="G235" s="9" t="n">
        <f aca="false">IFERROR(AVERAGE(Base!M233:M235)*AVERAGE(Base!$F$13:F235),"")</f>
        <v>-0.87815713036569</v>
      </c>
      <c r="H235" s="9" t="n">
        <f aca="false">IFERROR(-AVERAGE(Base!O233:O235),"")</f>
        <v>-10.0681341575056</v>
      </c>
      <c r="I235" s="9" t="n">
        <f aca="false">IFERROR(AVERAGE(Base!P233:P235),"")</f>
        <v>-36.0205435135761</v>
      </c>
    </row>
    <row r="236" customFormat="false" ht="15" hidden="false" customHeight="false" outlineLevel="0" collapsed="false">
      <c r="A236" s="8" t="n">
        <f aca="false">Base!A236</f>
        <v>45138</v>
      </c>
      <c r="B236" s="9" t="n">
        <f aca="false">IFERROR(AVERAGE(Base!C234:C236)-Base!R236,"")</f>
        <v>-27.3255652004149</v>
      </c>
      <c r="C236" s="9" t="n">
        <f aca="false">IFERROR(AVERAGE(Base!G234:G236)-Base!R236,"")</f>
        <v>-4.81166666666667</v>
      </c>
      <c r="D236" s="9" t="n">
        <f aca="false">IFERROR(AVERAGE(Base!H234:H236)-Base!R236,"")</f>
        <v>-2.77833333333333</v>
      </c>
      <c r="E236" s="9" t="n">
        <f aca="false">IFERROR(AVERAGE(Base!I234:I236)-AVERAGE(Base!S177:S236),"")</f>
        <v>39.4026666666667</v>
      </c>
      <c r="F236" s="9" t="n">
        <f aca="false">IFERROR(AVERAGE(Base!K234:K236),"")</f>
        <v>7.80805656919753</v>
      </c>
      <c r="G236" s="9" t="n">
        <f aca="false">IFERROR(AVERAGE(Base!M234:M236)*AVERAGE(Base!$F$13:F236),"")</f>
        <v>-0.129531348204028</v>
      </c>
      <c r="H236" s="9" t="n">
        <f aca="false">IFERROR(-AVERAGE(Base!O234:O236),"")</f>
        <v>-7.58064633740281</v>
      </c>
      <c r="I236" s="9" t="n">
        <f aca="false">IFERROR(AVERAGE(Base!P234:P236),"")</f>
        <v>-18.4672747184939</v>
      </c>
    </row>
    <row r="237" customFormat="false" ht="15" hidden="false" customHeight="false" outlineLevel="0" collapsed="false">
      <c r="A237" s="8" t="n">
        <f aca="false">Base!A237</f>
        <v>45169</v>
      </c>
      <c r="B237" s="9" t="n">
        <f aca="false">IFERROR(AVERAGE(Base!C235:C237)-Base!R237,"")</f>
        <v>-26.2450505738307</v>
      </c>
      <c r="C237" s="9" t="n">
        <f aca="false">IFERROR(AVERAGE(Base!G235:G237)-Base!R237,"")</f>
        <v>-2.48333333333333</v>
      </c>
      <c r="D237" s="9" t="n">
        <f aca="false">IFERROR(AVERAGE(Base!H235:H237)-Base!R237,"")</f>
        <v>-1.48333333333333</v>
      </c>
      <c r="E237" s="9" t="n">
        <f aca="false">IFERROR(AVERAGE(Base!I235:I237)-AVERAGE(Base!S178:S237),"")</f>
        <v>39.8693333333333</v>
      </c>
      <c r="F237" s="9" t="n">
        <f aca="false">IFERROR(AVERAGE(Base!K235:K237),"")</f>
        <v>6.99874302597524</v>
      </c>
      <c r="G237" s="9" t="n">
        <f aca="false">IFERROR(AVERAGE(Base!M235:M237)*AVERAGE(Base!$F$13:F237),"")</f>
        <v>2.19201820102431</v>
      </c>
      <c r="H237" s="9" t="n">
        <f aca="false">IFERROR(-AVERAGE(Base!O235:O237),"")</f>
        <v>-4.33633331915633</v>
      </c>
      <c r="I237" s="9" t="n">
        <f aca="false">IFERROR(AVERAGE(Base!P235:P237),"")</f>
        <v>-3.48594410311428</v>
      </c>
    </row>
    <row r="238" customFormat="false" ht="15" hidden="false" customHeight="false" outlineLevel="0" collapsed="false">
      <c r="A238" s="8" t="n">
        <f aca="false">Base!A238</f>
        <v>45199</v>
      </c>
      <c r="B238" s="9" t="n">
        <f aca="false">IFERROR(AVERAGE(Base!C236:C238)-Base!R238,"")</f>
        <v>-21.9664980162827</v>
      </c>
      <c r="C238" s="9" t="n">
        <f aca="false">IFERROR(AVERAGE(Base!G236:G238)-Base!R238,"")</f>
        <v>-0.864999999999999</v>
      </c>
      <c r="D238" s="9" t="n">
        <f aca="false">IFERROR(AVERAGE(Base!H236:H238)-Base!R238,"")</f>
        <v>-0.298333333333332</v>
      </c>
      <c r="E238" s="9" t="n">
        <f aca="false">IFERROR(AVERAGE(Base!I236:I238)-AVERAGE(Base!S179:S238),"")</f>
        <v>42.7366666666667</v>
      </c>
      <c r="F238" s="9" t="n">
        <f aca="false">IFERROR(AVERAGE(Base!K236:K238),"")</f>
        <v>6.66521726238159</v>
      </c>
      <c r="G238" s="9" t="n">
        <f aca="false">IFERROR(AVERAGE(Base!M236:M238)*AVERAGE(Base!$F$13:F238),"")</f>
        <v>2.82995610620005</v>
      </c>
      <c r="H238" s="9" t="n">
        <f aca="false">IFERROR(-AVERAGE(Base!O236:O238),"")</f>
        <v>-0.223472053593495</v>
      </c>
      <c r="I238" s="9" t="n">
        <f aca="false">IFERROR(AVERAGE(Base!P236:P238),"")</f>
        <v>-4.39084954830252</v>
      </c>
    </row>
    <row r="239" customFormat="false" ht="15" hidden="false" customHeight="false" outlineLevel="0" collapsed="false">
      <c r="A239" s="8" t="n">
        <f aca="false">Base!A239</f>
        <v>45230</v>
      </c>
      <c r="B239" s="9" t="n">
        <f aca="false">IFERROR(AVERAGE(Base!C237:C239)-Base!R239,"")</f>
        <v>-25.9634254940969</v>
      </c>
      <c r="C239" s="9" t="n">
        <f aca="false">IFERROR(AVERAGE(Base!G237:G239)-Base!R239,"")</f>
        <v>-0.179999999999999</v>
      </c>
      <c r="D239" s="9" t="n">
        <f aca="false">IFERROR(AVERAGE(Base!H237:H239)-Base!R239,"")</f>
        <v>-0.379999999999999</v>
      </c>
      <c r="E239" s="9" t="n">
        <f aca="false">IFERROR(AVERAGE(Base!I237:I239)-AVERAGE(Base!S180:S239),"")</f>
        <v>47.3535</v>
      </c>
      <c r="F239" s="9" t="n">
        <f aca="false">IFERROR(AVERAGE(Base!K237:K239),"")</f>
        <v>6.93253708148883</v>
      </c>
      <c r="G239" s="9" t="n">
        <f aca="false">IFERROR(AVERAGE(Base!M237:M239)*AVERAGE(Base!$F$13:F239),"")</f>
        <v>2.14219568179329</v>
      </c>
      <c r="H239" s="9" t="n">
        <f aca="false">IFERROR(-AVERAGE(Base!O237:O239),"")</f>
        <v>1.94926204502571</v>
      </c>
      <c r="I239" s="9" t="n">
        <f aca="false">IFERROR(AVERAGE(Base!P237:P239),"")</f>
        <v>-20.4468824926315</v>
      </c>
    </row>
    <row r="240" customFormat="false" ht="15" hidden="false" customHeight="false" outlineLevel="0" collapsed="false">
      <c r="A240" s="8" t="n">
        <f aca="false">Base!A240</f>
        <v>45260</v>
      </c>
      <c r="B240" s="9" t="n">
        <f aca="false">IFERROR(AVERAGE(Base!C238:C240)-Base!R240,"")</f>
        <v>-29.0098831208159</v>
      </c>
      <c r="C240" s="9" t="n">
        <f aca="false">IFERROR(AVERAGE(Base!G238:G240)-Base!R240,"")</f>
        <v>-0.694999999999999</v>
      </c>
      <c r="D240" s="9" t="n">
        <f aca="false">IFERROR(AVERAGE(Base!H238:H240)-Base!R240,"")</f>
        <v>-0.528333333333332</v>
      </c>
      <c r="E240" s="9" t="n">
        <f aca="false">IFERROR(AVERAGE(Base!I238:I240)-AVERAGE(Base!S181:S240),"")</f>
        <v>52.1518333333333</v>
      </c>
      <c r="F240" s="9" t="n">
        <f aca="false">IFERROR(AVERAGE(Base!K238:K240),"")</f>
        <v>7.91607736119279</v>
      </c>
      <c r="G240" s="9" t="n">
        <f aca="false">IFERROR(AVERAGE(Base!M238:M240)*AVERAGE(Base!$F$13:F240),"")</f>
        <v>-0.668157562798346</v>
      </c>
      <c r="H240" s="9" t="n">
        <f aca="false">IFERROR(-AVERAGE(Base!O238:O240),"")</f>
        <v>-0.11666337916344</v>
      </c>
      <c r="I240" s="9" t="n">
        <f aca="false">IFERROR(AVERAGE(Base!P238:P240),"")</f>
        <v>-32.6639389975658</v>
      </c>
    </row>
    <row r="241" customFormat="false" ht="15" hidden="false" customHeight="false" outlineLevel="0" collapsed="false">
      <c r="A241" s="8" t="n">
        <f aca="false">Base!A241</f>
        <v>45291</v>
      </c>
      <c r="B241" s="9" t="n">
        <f aca="false">IFERROR(AVERAGE(Base!C239:C241)-Base!R241,"")</f>
        <v>-25.8899645141721</v>
      </c>
      <c r="C241" s="9" t="n">
        <f aca="false">IFERROR(AVERAGE(Base!G239:G241)-Base!R241,"")</f>
        <v>-2.17166666666667</v>
      </c>
      <c r="D241" s="9" t="n">
        <f aca="false">IFERROR(AVERAGE(Base!H239:H241)-Base!R241,"")</f>
        <v>-0.871666666666665</v>
      </c>
      <c r="E241" s="9" t="n">
        <f aca="false">IFERROR(AVERAGE(Base!I239:I241)-AVERAGE(Base!S182:S241),"")</f>
        <v>72.7126666666667</v>
      </c>
      <c r="F241" s="9" t="n">
        <f aca="false">IFERROR(AVERAGE(Base!K239:K241),"")</f>
        <v>9.12681814174763</v>
      </c>
      <c r="G241" s="9" t="n">
        <f aca="false">IFERROR(AVERAGE(Base!M239:M241)*AVERAGE(Base!$F$13:F241),"")</f>
        <v>3.73441930141817</v>
      </c>
      <c r="H241" s="9" t="n">
        <f aca="false">IFERROR(-AVERAGE(Base!O239:O241),"")</f>
        <v>-2.11812102073827</v>
      </c>
      <c r="I241" s="9" t="n">
        <f aca="false">IFERROR(AVERAGE(Base!P239:P241),"")</f>
        <v>-33.8242730906121</v>
      </c>
    </row>
    <row r="242" customFormat="false" ht="15" hidden="false" customHeight="false" outlineLevel="0" collapsed="false">
      <c r="A242" s="8" t="n">
        <f aca="false">Base!A242</f>
        <v>45322</v>
      </c>
      <c r="B242" s="9" t="n">
        <f aca="false">IFERROR(AVERAGE(Base!C240:C242)-Base!R242,"")</f>
        <v>-11.7369758710829</v>
      </c>
      <c r="C242" s="9" t="n">
        <f aca="false">IFERROR(AVERAGE(Base!G240:G242)-Base!R242,"")</f>
        <v>-3.815</v>
      </c>
      <c r="D242" s="9" t="n">
        <f aca="false">IFERROR(AVERAGE(Base!H240:H242)-Base!R242,"")</f>
        <v>-0.614999999999998</v>
      </c>
      <c r="E242" s="9" t="n">
        <f aca="false">IFERROR(AVERAGE(Base!I240:I242)-AVERAGE(Base!S183:S242),"")</f>
        <v>110.401</v>
      </c>
      <c r="F242" s="9" t="n">
        <f aca="false">IFERROR(AVERAGE(Base!K240:K242),"")</f>
        <v>9.62913241185443</v>
      </c>
      <c r="G242" s="9" t="n">
        <f aca="false">IFERROR(AVERAGE(Base!M240:M242)*AVERAGE(Base!$F$13:F242),"")</f>
        <v>6.36786038502191</v>
      </c>
      <c r="H242" s="9" t="n">
        <f aca="false">IFERROR(-AVERAGE(Base!O240:O242),"")</f>
        <v>-0.991756557933854</v>
      </c>
      <c r="I242" s="9" t="n">
        <f aca="false">IFERROR(AVERAGE(Base!P240:P242),"")</f>
        <v>-31.028586405835</v>
      </c>
    </row>
    <row r="243" customFormat="false" ht="15" hidden="false" customHeight="false" outlineLevel="0" collapsed="false">
      <c r="A243" s="8" t="n">
        <f aca="false">Base!A243</f>
        <v>45351</v>
      </c>
      <c r="B243" s="9" t="n">
        <f aca="false">IFERROR(AVERAGE(Base!C241:C243)-Base!R243,"")</f>
        <v>0.253157597540374</v>
      </c>
      <c r="C243" s="9" t="n">
        <f aca="false">IFERROR(AVERAGE(Base!G241:G243)-Base!R243,"")</f>
        <v>-4.45833333333333</v>
      </c>
      <c r="D243" s="9" t="n">
        <f aca="false">IFERROR(AVERAGE(Base!H241:H243)-Base!R243,"")</f>
        <v>-0.758333333333332</v>
      </c>
      <c r="E243" s="9" t="n">
        <f aca="false">IFERROR(AVERAGE(Base!I241:I243)-AVERAGE(Base!S184:S243),"")</f>
        <v>163.969333333333</v>
      </c>
      <c r="F243" s="9" t="n">
        <f aca="false">IFERROR(AVERAGE(Base!K241:K243),"")</f>
        <v>8.77553505017052</v>
      </c>
      <c r="G243" s="9" t="n">
        <f aca="false">IFERROR(AVERAGE(Base!M241:M243)*AVERAGE(Base!$F$13:F243),"")</f>
        <v>9.00453116712293</v>
      </c>
      <c r="H243" s="9" t="n">
        <f aca="false">IFERROR(-AVERAGE(Base!O241:O243),"")</f>
        <v>3.73426532501648</v>
      </c>
      <c r="I243" s="9" t="n">
        <f aca="false">IFERROR(AVERAGE(Base!P241:P243),"")</f>
        <v>-25.9706927659002</v>
      </c>
    </row>
    <row r="244" customFormat="false" ht="15" hidden="false" customHeight="false" outlineLevel="0" collapsed="false">
      <c r="A244" s="8" t="n">
        <f aca="false">Base!A244</f>
        <v>45382</v>
      </c>
      <c r="B244" s="9" t="n">
        <f aca="false">IFERROR(AVERAGE(Base!C242:C244)-Base!R244,"")</f>
        <v>8.79603251164473</v>
      </c>
      <c r="C244" s="9" t="n">
        <f aca="false">IFERROR(AVERAGE(Base!G242:G244)-Base!R244,"")</f>
        <v>-5.63833333333333</v>
      </c>
      <c r="D244" s="9" t="n">
        <f aca="false">IFERROR(AVERAGE(Base!H242:H244)-Base!R244,"")</f>
        <v>-0.871666666666666</v>
      </c>
      <c r="E244" s="9" t="n">
        <f aca="false">IFERROR(AVERAGE(Base!I242:I244)-AVERAGE(Base!S185:S244),"")</f>
        <v>208.814333333333</v>
      </c>
      <c r="F244" s="9" t="n">
        <f aca="false">IFERROR(AVERAGE(Base!K242:K244),"")</f>
        <v>7.65946573830327</v>
      </c>
      <c r="G244" s="9" t="n">
        <f aca="false">IFERROR(AVERAGE(Base!M242:M244)*AVERAGE(Base!$F$13:F244),"")</f>
        <v>4.66844083867369</v>
      </c>
      <c r="H244" s="9" t="n">
        <f aca="false">IFERROR(-AVERAGE(Base!O242:O244),"")</f>
        <v>5.87457345347602</v>
      </c>
      <c r="I244" s="9" t="n">
        <f aca="false">IFERROR(AVERAGE(Base!P242:P244),"")</f>
        <v>-20.4986192197003</v>
      </c>
    </row>
    <row r="245" customFormat="false" ht="15" hidden="false" customHeight="false" outlineLevel="0" collapsed="false">
      <c r="A245" s="8" t="n">
        <f aca="false">Base!A245</f>
        <v>45412</v>
      </c>
      <c r="B245" s="9" t="n">
        <f aca="false">IFERROR(AVERAGE(Base!C243:C245)-Base!R245,"")</f>
        <v>9.30126125806735</v>
      </c>
      <c r="C245" s="9" t="n">
        <f aca="false">IFERROR(AVERAGE(Base!G243:G245)-Base!R245,"")</f>
        <v>-4.95166666666667</v>
      </c>
      <c r="D245" s="9" t="n">
        <f aca="false">IFERROR(AVERAGE(Base!H243:H245)-Base!R245,"")</f>
        <v>-0.551666666666667</v>
      </c>
      <c r="E245" s="9" t="n">
        <f aca="false">IFERROR(AVERAGE(Base!I243:I245)-AVERAGE(Base!S186:S245),"")</f>
        <v>235.504333333333</v>
      </c>
      <c r="F245" s="9" t="n">
        <f aca="false">IFERROR(AVERAGE(Base!K243:K245),"")</f>
        <v>7.55238751986875</v>
      </c>
      <c r="G245" s="9" t="n">
        <f aca="false">IFERROR(AVERAGE(Base!M243:M245)*AVERAGE(Base!$F$13:F245),"")</f>
        <v>2.2481003097976</v>
      </c>
      <c r="H245" s="9" t="n">
        <f aca="false">IFERROR(-AVERAGE(Base!O243:O245),"")</f>
        <v>3.51724663534363</v>
      </c>
      <c r="I245" s="9" t="n">
        <f aca="false">IFERROR(AVERAGE(Base!P243:P245),"")</f>
        <v>-8.49152818547868</v>
      </c>
    </row>
    <row r="246" customFormat="false" ht="15" hidden="false" customHeight="false" outlineLevel="0" collapsed="false">
      <c r="A246" s="8" t="n">
        <f aca="false">Base!A246</f>
        <v>45443</v>
      </c>
      <c r="B246" s="9" t="n">
        <f aca="false">IFERROR(AVERAGE(Base!C244:C246)-Base!R246,"")</f>
        <v>14.8255223101485</v>
      </c>
      <c r="C246" s="9" t="n">
        <f aca="false">IFERROR(AVERAGE(Base!G244:G246)-Base!R246,"")</f>
        <v>-3.39833333333333</v>
      </c>
      <c r="D246" s="9" t="n">
        <f aca="false">IFERROR(AVERAGE(Base!H244:H246)-Base!R246,"")</f>
        <v>0.401666666666666</v>
      </c>
      <c r="E246" s="9" t="n">
        <f aca="false">IFERROR(AVERAGE(Base!I244:I246)-AVERAGE(Base!S187:S246),"")</f>
        <v>238.773</v>
      </c>
      <c r="F246" s="9" t="n">
        <f aca="false">IFERROR(AVERAGE(Base!K244:K246),"")</f>
        <v>8.20215800385635</v>
      </c>
      <c r="G246" s="9" t="n">
        <f aca="false">IFERROR(AVERAGE(Base!M244:M246)*AVERAGE(Base!$F$13:F246),"")</f>
        <v>0.730018870731728</v>
      </c>
      <c r="H246" s="9" t="n">
        <f aca="false">IFERROR(-AVERAGE(Base!O244:O246),"")</f>
        <v>1.49436772238818</v>
      </c>
      <c r="I246" s="9" t="n">
        <f aca="false">IFERROR(AVERAGE(Base!P244:P246),"")</f>
        <v>-11.9917823229224</v>
      </c>
    </row>
    <row r="247" customFormat="false" ht="15" hidden="false" customHeight="false" outlineLevel="0" collapsed="false">
      <c r="A247" s="8" t="n">
        <f aca="false">Base!A247</f>
        <v>45473</v>
      </c>
      <c r="B247" s="9" t="n">
        <f aca="false">IFERROR(AVERAGE(Base!C245:C247)-Base!R247,"")</f>
        <v>17.6394224556243</v>
      </c>
      <c r="C247" s="9" t="n">
        <f aca="false">IFERROR(AVERAGE(Base!G245:G247)-Base!R247,"")</f>
        <v>-1.77</v>
      </c>
      <c r="D247" s="9" t="n">
        <f aca="false">IFERROR(AVERAGE(Base!H245:H247)-Base!R247,"")</f>
        <v>0.963333333333333</v>
      </c>
      <c r="E247" s="9" t="n">
        <f aca="false">IFERROR(AVERAGE(Base!I245:I247)-AVERAGE(Base!S188:S247),"")</f>
        <v>229.219166666667</v>
      </c>
      <c r="F247" s="9" t="n">
        <f aca="false">IFERROR(AVERAGE(Base!K245:K247),"")</f>
        <v>7.92749776418529</v>
      </c>
      <c r="G247" s="9" t="n">
        <f aca="false">IFERROR(AVERAGE(Base!M245:M247)*AVERAGE(Base!$F$13:F247),"")</f>
        <v>-0.6229712296351</v>
      </c>
      <c r="H247" s="9" t="n">
        <f aca="false">IFERROR(-AVERAGE(Base!O245:O247),"")</f>
        <v>0.448244135063314</v>
      </c>
      <c r="I247" s="9" t="n">
        <f aca="false">IFERROR(AVERAGE(Base!P245:P247),"")</f>
        <v>-16.2885245637423</v>
      </c>
    </row>
    <row r="248" customFormat="false" ht="15" hidden="false" customHeight="false" outlineLevel="0" collapsed="false">
      <c r="A248" s="8" t="n">
        <f aca="false">Base!A248</f>
        <v>45504</v>
      </c>
      <c r="B248" s="9" t="n">
        <f aca="false">IFERROR(AVERAGE(Base!C246:C248)-Base!R248,"")</f>
        <v>19.728486167989</v>
      </c>
      <c r="C248" s="9" t="n">
        <f aca="false">IFERROR(AVERAGE(Base!G246:G248)-Base!R248,"")</f>
        <v>-1.24166666666667</v>
      </c>
      <c r="D248" s="9" t="n">
        <f aca="false">IFERROR(AVERAGE(Base!H246:H248)-Base!R248,"")</f>
        <v>1.05833333333333</v>
      </c>
      <c r="E248" s="9" t="n">
        <f aca="false">IFERROR(AVERAGE(Base!I246:I248)-AVERAGE(Base!S189:S248),"")</f>
        <v>216.694166666667</v>
      </c>
      <c r="F248" s="9" t="n">
        <f aca="false">IFERROR(AVERAGE(Base!K246:K248),"")</f>
        <v>8.33841165517016</v>
      </c>
      <c r="G248" s="9" t="n">
        <f aca="false">IFERROR(AVERAGE(Base!M246:M248)*AVERAGE(Base!$F$13:F248),"")</f>
        <v>-1.49001419904498</v>
      </c>
      <c r="H248" s="9" t="n">
        <f aca="false">IFERROR(-AVERAGE(Base!O246:O248),"")</f>
        <v>1.04891142094938</v>
      </c>
      <c r="I248" s="9" t="n">
        <f aca="false">IFERROR(AVERAGE(Base!P246:P248),"")</f>
        <v>-31.7611145274665</v>
      </c>
    </row>
    <row r="249" customFormat="false" ht="15" hidden="false" customHeight="false" outlineLevel="0" collapsed="false">
      <c r="A249" s="8" t="n">
        <f aca="false">Base!A249</f>
        <v>45535</v>
      </c>
      <c r="B249" s="9" t="n">
        <f aca="false">IFERROR(AVERAGE(Base!C247:C249)-Base!R249,"")</f>
        <v>17.0171208551609</v>
      </c>
      <c r="C249" s="9" t="n">
        <f aca="false">IFERROR(AVERAGE(Base!G247:G249)-Base!R249,"")</f>
        <v>-2.88</v>
      </c>
      <c r="D249" s="9" t="n">
        <f aca="false">IFERROR(AVERAGE(Base!H247:H249)-Base!R249,"")</f>
        <v>-0.446666666666667</v>
      </c>
      <c r="E249" s="9" t="n">
        <f aca="false">IFERROR(AVERAGE(Base!I247:I249)-AVERAGE(Base!S190:S249),"")</f>
        <v>203.7875</v>
      </c>
      <c r="F249" s="9" t="n">
        <f aca="false">IFERROR(AVERAGE(Base!K247:K249),"")</f>
        <v>10.1763422474725</v>
      </c>
      <c r="G249" s="9" t="n">
        <f aca="false">IFERROR(AVERAGE(Base!M247:M249)*AVERAGE(Base!$F$13:F249),"")</f>
        <v>-3.29135758701716</v>
      </c>
      <c r="H249" s="9" t="n">
        <f aca="false">IFERROR(-AVERAGE(Base!O247:O249),"")</f>
        <v>1.14327505914799</v>
      </c>
      <c r="I249" s="9" t="n">
        <f aca="false">IFERROR(AVERAGE(Base!P247:P249),"")</f>
        <v>-38.9739524077449</v>
      </c>
    </row>
    <row r="250" customFormat="false" ht="15" hidden="false" customHeight="false" outlineLevel="0" collapsed="false">
      <c r="A250" s="8" t="n">
        <f aca="false">Base!A250</f>
        <v>45565</v>
      </c>
      <c r="B250" s="9" t="n">
        <f aca="false">IFERROR(AVERAGE(Base!C248:C250)-Base!R250,"")</f>
        <v>16.779670287324</v>
      </c>
      <c r="C250" s="9" t="n">
        <f aca="false">IFERROR(AVERAGE(Base!G248:G250)-Base!R250,"")</f>
        <v>-2.54333333333333</v>
      </c>
      <c r="D250" s="9" t="n">
        <f aca="false">IFERROR(AVERAGE(Base!H248:H250)-Base!R250,"")</f>
        <v>-0.810000000000001</v>
      </c>
      <c r="E250" s="9" t="n">
        <f aca="false">IFERROR(AVERAGE(Base!I248:I250)-AVERAGE(Base!S191:S250),"")</f>
        <v>185.939166666667</v>
      </c>
      <c r="F250" s="9" t="n">
        <f aca="false">IFERROR(AVERAGE(Base!K248:K250),"")</f>
        <v>13.0344924795671</v>
      </c>
      <c r="G250" s="9" t="n">
        <f aca="false">IFERROR(AVERAGE(Base!M248:M250)*AVERAGE(Base!$F$13:F250),"")</f>
        <v>-3.45410975983063</v>
      </c>
      <c r="H250" s="9" t="n">
        <f aca="false">IFERROR(-AVERAGE(Base!O248:O250),"")</f>
        <v>0.643842634810199</v>
      </c>
      <c r="I250" s="9" t="n">
        <f aca="false">IFERROR(AVERAGE(Base!P248:P250),"")</f>
        <v>-38.2232749652387</v>
      </c>
    </row>
    <row r="251" customFormat="false" ht="15" hidden="false" customHeight="false" outlineLevel="0" collapsed="false">
      <c r="A251" s="8" t="n">
        <f aca="false">Base!A251</f>
        <v>45596</v>
      </c>
      <c r="B251" s="9" t="n">
        <f aca="false">IFERROR(AVERAGE(Base!C249:C251)-Base!R251,"")</f>
        <v>20.6243242630596</v>
      </c>
      <c r="C251" s="9" t="n">
        <f aca="false">IFERROR(AVERAGE(Base!G249:G251)-Base!R251,"")</f>
        <v>-2.27333333333333</v>
      </c>
      <c r="D251" s="9" t="n">
        <f aca="false">IFERROR(AVERAGE(Base!H249:H251)-Base!R251,"")</f>
        <v>-0.706666666666667</v>
      </c>
      <c r="E251" s="9" t="n">
        <f aca="false">IFERROR(AVERAGE(Base!I249:I251)-AVERAGE(Base!S192:S251),"")</f>
        <v>165.259166666667</v>
      </c>
      <c r="F251" s="9" t="n">
        <f aca="false">IFERROR(AVERAGE(Base!K249:K251),"")</f>
        <v>14.004816537973</v>
      </c>
      <c r="G251" s="9" t="n">
        <f aca="false">IFERROR(AVERAGE(Base!M249:M251)*AVERAGE(Base!$F$13:F251),"")</f>
        <v>-2.88822407484357</v>
      </c>
      <c r="H251" s="9" t="n">
        <f aca="false">IFERROR(-AVERAGE(Base!O249:O251),"")</f>
        <v>-0.151361417238494</v>
      </c>
      <c r="I251" s="9" t="n">
        <f aca="false">IFERROR(AVERAGE(Base!P249:P251),"")</f>
        <v>-32.0258691307583</v>
      </c>
    </row>
    <row r="252" customFormat="false" ht="15" hidden="false" customHeight="false" outlineLevel="0" collapsed="false">
      <c r="A252" s="8" t="n">
        <f aca="false">Base!A252</f>
        <v>45626</v>
      </c>
      <c r="B252" s="9" t="n">
        <f aca="false">IFERROR(AVERAGE(Base!C250:C252)-Base!R252,"")</f>
        <v>26.6714877811797</v>
      </c>
      <c r="C252" s="9" t="n">
        <f aca="false">IFERROR(AVERAGE(Base!G250:G252)-Base!R252,"")</f>
        <v>-0.836666666666667</v>
      </c>
      <c r="D252" s="9" t="n">
        <f aca="false">IFERROR(AVERAGE(Base!H250:H252)-Base!R252,"")</f>
        <v>0.296666666666666</v>
      </c>
      <c r="E252" s="9" t="n">
        <f aca="false">IFERROR(AVERAGE(Base!I250:I252)-AVERAGE(Base!S193:S252),"")</f>
        <v>144.0625</v>
      </c>
      <c r="F252" s="9" t="n">
        <f aca="false">IFERROR(AVERAGE(Base!K250:K252),"")</f>
        <v>13.4631394703109</v>
      </c>
      <c r="G252" s="9" t="n">
        <f aca="false">IFERROR(AVERAGE(Base!M250:M252)*AVERAGE(Base!$F$13:F252),"")</f>
        <v>-1.08951682241628</v>
      </c>
      <c r="H252" s="9" t="n">
        <f aca="false">IFERROR(-AVERAGE(Base!O250:O252),"")</f>
        <v>1.43220923636729</v>
      </c>
      <c r="I252" s="9" t="n">
        <f aca="false">IFERROR(AVERAGE(Base!P250:P252),"")</f>
        <v>-27.4739637623084</v>
      </c>
    </row>
    <row r="253" customFormat="false" ht="15" hidden="false" customHeight="false" outlineLevel="0" collapsed="false">
      <c r="A253" s="8" t="n">
        <f aca="false">Base!A253</f>
        <v>45657</v>
      </c>
      <c r="B253" s="9" t="n">
        <f aca="false">IFERROR(AVERAGE(Base!C251:C253)-Base!R253,"")</f>
        <v>30.857086392583</v>
      </c>
      <c r="C253" s="9" t="n">
        <f aca="false">IFERROR(AVERAGE(Base!G251:G253)-Base!R253,"")</f>
        <v>2.13333333333333</v>
      </c>
      <c r="D253" s="9" t="n">
        <f aca="false">IFERROR(AVERAGE(Base!H251:H253)-Base!R253,"")</f>
        <v>1.33333333333333</v>
      </c>
      <c r="E253" s="9" t="n">
        <f aca="false">IFERROR(AVERAGE(Base!I251:I253)-AVERAGE(Base!S194:S253),"")</f>
        <v>108.334166666667</v>
      </c>
      <c r="F253" s="9" t="n">
        <f aca="false">IFERROR(AVERAGE(Base!K251:K253),"")</f>
        <v>12.3974491432321</v>
      </c>
      <c r="G253" s="9" t="n">
        <f aca="false">IFERROR(AVERAGE(Base!M251:M253)*AVERAGE(Base!$F$13:F253),"")</f>
        <v>-4.38361355373527</v>
      </c>
      <c r="H253" s="9" t="n">
        <f aca="false">IFERROR(-AVERAGE(Base!O251:O253),"")</f>
        <v>2.85888998060138</v>
      </c>
      <c r="I253" s="9" t="n">
        <f aca="false">IFERROR(AVERAGE(Base!P251:P253),"")</f>
        <v>-27.6061061775847</v>
      </c>
    </row>
    <row r="254" customFormat="false" ht="15" hidden="false" customHeight="false" outlineLevel="0" collapsed="false">
      <c r="A254" s="8" t="n">
        <f aca="false">Base!A254</f>
        <v>45688</v>
      </c>
      <c r="B254" s="9" t="n">
        <f aca="false">IFERROR(AVERAGE(Base!C252:C254)-Base!R254,"")</f>
        <v>24.0257298534338</v>
      </c>
      <c r="C254" s="9" t="n">
        <f aca="false">IFERROR(AVERAGE(Base!G252:G254)-Base!R254,"")</f>
        <v>4.13666666666667</v>
      </c>
      <c r="D254" s="9" t="n">
        <f aca="false">IFERROR(AVERAGE(Base!H252:H254)-Base!R254,"")</f>
        <v>1.67</v>
      </c>
      <c r="E254" s="9" t="n">
        <f aca="false">IFERROR(AVERAGE(Base!I252:I254)-AVERAGE(Base!S195:S254),"")</f>
        <v>63.2365</v>
      </c>
      <c r="F254" s="9" t="n">
        <f aca="false">IFERROR(AVERAGE(Base!K252:K254),"")</f>
        <v>12.1037586168951</v>
      </c>
      <c r="G254" s="9" t="n">
        <f aca="false">IFERROR(AVERAGE(Base!M252:M254)*AVERAGE(Base!$F$13:F254),"")</f>
        <v>-7.01143442211484</v>
      </c>
      <c r="H254" s="9" t="n">
        <f aca="false">IFERROR(-AVERAGE(Base!O252:O254),"")</f>
        <v>2.99621426046526</v>
      </c>
      <c r="I254" s="9" t="n">
        <f aca="false">IFERROR(AVERAGE(Base!P252:P254),"")</f>
        <v>-29.2466888351424</v>
      </c>
    </row>
    <row r="255" customFormat="false" ht="15" hidden="false" customHeight="false" outlineLevel="0" collapsed="false">
      <c r="A255" s="8" t="n">
        <f aca="false">Base!A255</f>
        <v>45716</v>
      </c>
      <c r="B255" s="9" t="n">
        <f aca="false">IFERROR(AVERAGE(Base!C253:C255)-Base!R255,"")</f>
        <v>16.8398127713031</v>
      </c>
      <c r="C255" s="9" t="n">
        <f aca="false">IFERROR(AVERAGE(Base!G253:G255)-Base!R255,"")</f>
        <v>5.64</v>
      </c>
      <c r="D255" s="9" t="n">
        <f aca="false">IFERROR(AVERAGE(Base!H253:H255)-Base!R255,"")</f>
        <v>2.17333333333333</v>
      </c>
      <c r="E255" s="9" t="n">
        <f aca="false">IFERROR(AVERAGE(Base!I253:I255)-AVERAGE(Base!S196:S255),"")</f>
        <v>14.5981666666667</v>
      </c>
      <c r="F255" s="9" t="n">
        <f aca="false">IFERROR(AVERAGE(Base!K253:K255),"")</f>
        <v>11.6091882316158</v>
      </c>
      <c r="G255" s="9" t="n">
        <f aca="false">IFERROR(AVERAGE(Base!M253:M255)*AVERAGE(Base!$F$13:F255),"")</f>
        <v>-9.4441396028377</v>
      </c>
      <c r="H255" s="9" t="n">
        <f aca="false">IFERROR(-AVERAGE(Base!O253:O255),"")</f>
        <v>2.04542134273018</v>
      </c>
      <c r="I255" s="9" t="n">
        <f aca="false">IFERROR(AVERAGE(Base!P253:P255),"")</f>
        <v>-24.8513680427596</v>
      </c>
    </row>
    <row r="256" customFormat="false" ht="15" hidden="false" customHeight="false" outlineLevel="0" collapsed="false">
      <c r="A256" s="8" t="n">
        <f aca="false">Base!A256</f>
        <v>45747</v>
      </c>
      <c r="B256" s="9" t="n">
        <f aca="false">IFERROR(AVERAGE(Base!C254:C256)-Base!R256,"")</f>
        <v>6.46677593280745</v>
      </c>
      <c r="C256" s="9" t="n">
        <f aca="false">IFERROR(AVERAGE(Base!G254:G256)-Base!R256,"")</f>
        <v>5.155</v>
      </c>
      <c r="D256" s="9" t="n">
        <f aca="false">IFERROR(AVERAGE(Base!H254:H256)-Base!R256,"")</f>
        <v>1.62166666666667</v>
      </c>
      <c r="E256" s="9" t="n">
        <f aca="false">IFERROR(AVERAGE(Base!I254:I256)-AVERAGE(Base!S197:S256),"")</f>
        <v>-16.5851666666667</v>
      </c>
      <c r="F256" s="9" t="n">
        <f aca="false">IFERROR(AVERAGE(Base!K254:K256),"")</f>
        <v>11.1147658916745</v>
      </c>
      <c r="G256" s="9" t="n">
        <f aca="false">IFERROR(AVERAGE(Base!M254:M256)*AVERAGE(Base!$F$13:F256),"")</f>
        <v>-7.2776117735261</v>
      </c>
      <c r="H256" s="9" t="n">
        <f aca="false">IFERROR(-AVERAGE(Base!O254:O256),"")</f>
        <v>1.70803141800981</v>
      </c>
      <c r="I256" s="9" t="n">
        <f aca="false">IFERROR(AVERAGE(Base!P254:P256),"")</f>
        <v>-21.201231637083</v>
      </c>
    </row>
    <row r="257" customFormat="false" ht="15" hidden="false" customHeight="false" outlineLevel="0" collapsed="false">
      <c r="A257" s="8" t="n">
        <f aca="false">Base!A257</f>
        <v>45777</v>
      </c>
      <c r="B257" s="9" t="n">
        <f aca="false">IFERROR(AVERAGE(Base!C255:C257)-Base!R257,"")</f>
        <v>4.01820745512102</v>
      </c>
      <c r="C257" s="9" t="n">
        <f aca="false">IFERROR(AVERAGE(Base!G255:G257)-Base!R257,"")</f>
        <v>5.40333333333333</v>
      </c>
      <c r="D257" s="9" t="n">
        <f aca="false">IFERROR(AVERAGE(Base!H255:H257)-Base!R257,"")</f>
        <v>1.30333333333333</v>
      </c>
      <c r="E257" s="9" t="n">
        <f aca="false">IFERROR(AVERAGE(Base!I255:I257)-AVERAGE(Base!S198:S257),"")</f>
        <v>-33.9738333333333</v>
      </c>
      <c r="F257" s="9" t="n">
        <f aca="false">IFERROR(AVERAGE(Base!K255:K257),"")</f>
        <v>10.2506274115964</v>
      </c>
      <c r="G257" s="9" t="n">
        <f aca="false">IFERROR(AVERAGE(Base!M255:M257)*AVERAGE(Base!$F$13:F257),"")</f>
        <v>-5.03313677628543</v>
      </c>
      <c r="H257" s="9" t="n">
        <f aca="false">IFERROR(-AVERAGE(Base!O255:O257),"")</f>
        <v>3.33774042421301</v>
      </c>
      <c r="I257" s="9" t="n">
        <f aca="false">IFERROR(AVERAGE(Base!P255:P257),"")</f>
        <v>-15.0914170087028</v>
      </c>
    </row>
    <row r="258" customFormat="false" ht="15" hidden="false" customHeight="false" outlineLevel="0" collapsed="false">
      <c r="A258" s="8" t="n">
        <f aca="false">Base!A258</f>
        <v>45808</v>
      </c>
      <c r="B258" s="9" t="n">
        <f aca="false">IFERROR(AVERAGE(Base!C256:C258)-Base!R258,"")</f>
        <v>-2.19718448631827</v>
      </c>
      <c r="C258" s="9" t="n">
        <f aca="false">IFERROR(AVERAGE(Base!G256:G258)-Base!R258,"")</f>
        <v>5.01833333333333</v>
      </c>
      <c r="D258" s="9" t="n">
        <f aca="false">IFERROR(AVERAGE(Base!H256:H258)-Base!R258,"")</f>
        <v>0.451666666666666</v>
      </c>
      <c r="E258" s="9" t="n">
        <f aca="false">IFERROR(AVERAGE(Base!I256:I258)-AVERAGE(Base!S199:S258),"")</f>
        <v>-42.4055</v>
      </c>
      <c r="F258" s="9" t="n">
        <f aca="false">IFERROR(AVERAGE(Base!K256:K258),"")</f>
        <v>9.63963497710029</v>
      </c>
      <c r="G258" s="9" t="n">
        <f aca="false">IFERROR(AVERAGE(Base!M256:M258)*AVERAGE(Base!$F$13:F258),"")</f>
        <v>-3.21230906811539</v>
      </c>
      <c r="H258" s="9" t="n">
        <f aca="false">IFERROR(-AVERAGE(Base!O256:O258),"")</f>
        <v>3.79196700387543</v>
      </c>
      <c r="I258" s="9" t="n">
        <f aca="false">IFERROR(AVERAGE(Base!P256:P258),"")</f>
        <v>-9.18854903173784</v>
      </c>
    </row>
    <row r="259" customFormat="false" ht="15" hidden="false" customHeight="false" outlineLevel="0" collapsed="false">
      <c r="A259" s="8" t="n">
        <f aca="false">Base!A259</f>
        <v>45838</v>
      </c>
      <c r="B259" s="9" t="n">
        <f aca="false">IFERROR(AVERAGE(Base!C257:C259)-Base!R259,"")</f>
        <v>0.203029705685836</v>
      </c>
      <c r="C259" s="9" t="n">
        <f aca="false">IFERROR(AVERAGE(Base!G257:G259)-Base!R259,"")</f>
        <v>4.795</v>
      </c>
      <c r="D259" s="9" t="n">
        <f aca="false">IFERROR(AVERAGE(Base!H257:H259)-Base!R259,"")</f>
        <v>-0.138333333333334</v>
      </c>
      <c r="E259" s="9" t="n">
        <f aca="false">IFERROR(AVERAGE(Base!I257:I259)-AVERAGE(Base!S200:S259),"")</f>
        <v>-46.5096666666667</v>
      </c>
      <c r="F259" s="9" t="n">
        <f aca="false">IFERROR(AVERAGE(Base!K257:K259),"")</f>
        <v>11.9138609185811</v>
      </c>
      <c r="G259" s="9" t="n">
        <f aca="false">IFERROR(AVERAGE(Base!M257:M259)*AVERAGE(Base!$F$13:F259),"")</f>
        <v>-1.24781058969744</v>
      </c>
      <c r="H259" s="9" t="n">
        <f aca="false">IFERROR(-AVERAGE(Base!O257:O259),"")</f>
        <v>5.13240153714749</v>
      </c>
      <c r="I259" s="9" t="n">
        <f aca="false">IFERROR(AVERAGE(Base!P257:P259),"")</f>
        <v>-2.78282461808598</v>
      </c>
    </row>
    <row r="260" customFormat="false" ht="15" hidden="false" customHeight="false" outlineLevel="0" collapsed="false">
      <c r="A260" s="8" t="n">
        <f aca="false">Base!A260</f>
        <v>45869</v>
      </c>
      <c r="B260" s="9" t="n">
        <f aca="false">IFERROR(AVERAGE(Base!C258:C260)-Base!R260,"")</f>
        <v>1.61243444680283</v>
      </c>
      <c r="C260" s="9" t="n">
        <f aca="false">IFERROR(AVERAGE(Base!G258:G260)-Base!R260,"")</f>
        <v>2.67166666666667</v>
      </c>
      <c r="D260" s="9" t="n">
        <f aca="false">IFERROR(AVERAGE(Base!H258:H260)-Base!R260,"")</f>
        <v>-1.06166666666667</v>
      </c>
      <c r="E260" s="9" t="n">
        <f aca="false">IFERROR(AVERAGE(Base!I258:I260)-AVERAGE(Base!S201:S260),"")</f>
        <v>-48.4963333333333</v>
      </c>
      <c r="F260" s="9" t="n">
        <f aca="false">IFERROR(AVERAGE(Base!K258:K260),"")</f>
        <v>15.2618693286314</v>
      </c>
      <c r="G260" s="9" t="n">
        <f aca="false">IFERROR(AVERAGE(Base!M258:M260)*AVERAGE(Base!$F$13:F260),"")</f>
        <v>0.547464320849951</v>
      </c>
      <c r="H260" s="9" t="n">
        <f aca="false">IFERROR(-AVERAGE(Base!O258:O260),"")</f>
        <v>4.14046274682589</v>
      </c>
      <c r="I260" s="9" t="n">
        <f aca="false">IFERROR(AVERAGE(Base!P258:P260),"")</f>
        <v>0.651088440182024</v>
      </c>
    </row>
    <row r="261" customFormat="false" ht="15" hidden="false" customHeight="false" outlineLevel="0" collapsed="false">
      <c r="A261" s="8" t="n">
        <f aca="false">Base!A261</f>
        <v>45900</v>
      </c>
      <c r="B261" s="9" t="n">
        <f aca="false">IFERROR(AVERAGE(Base!C259:C261)-Base!R261,"")</f>
        <v>9.32357701457132</v>
      </c>
      <c r="C261" s="9" t="n">
        <f aca="false">IFERROR(AVERAGE(Base!G259:G261)-Base!R261,"")</f>
        <v>1.18166666666666</v>
      </c>
      <c r="D261" s="9" t="n">
        <f aca="false">IFERROR(AVERAGE(Base!H259:H261)-Base!R261,"")</f>
        <v>-0.85166666666667</v>
      </c>
      <c r="E261" s="9" t="n">
        <f aca="false">IFERROR(AVERAGE(Base!I259:I261)-AVERAGE(Base!S202:S261),"")</f>
        <v>-49.5595</v>
      </c>
      <c r="F261" s="9" t="n">
        <f aca="false">IFERROR(AVERAGE(Base!K259:K261),"")</f>
        <v>17.0884186925944</v>
      </c>
      <c r="G261" s="9" t="n">
        <f aca="false">IFERROR(AVERAGE(Base!M259:M261)*AVERAGE(Base!$F$13:F261),"")</f>
        <v>2.06328008702016</v>
      </c>
      <c r="H261" s="9" t="n">
        <f aca="false">IFERROR(-AVERAGE(Base!O259:O261),"")</f>
        <v>2.4972339865104</v>
      </c>
      <c r="I261" s="9" t="n">
        <f aca="false">IFERROR(AVERAGE(Base!P259:P261),"")</f>
        <v>12.6402626146775</v>
      </c>
    </row>
    <row r="262" customFormat="false" ht="15" hidden="false" customHeight="false" outlineLevel="0" collapsed="false">
      <c r="A262" s="8" t="n">
        <f aca="false">Base!A262</f>
        <v>45930</v>
      </c>
      <c r="B262" s="9" t="n">
        <f aca="false">IFERROR(AVERAGE(Base!C260:C262)-Base!R262,"")</f>
        <v>11.1395775444402</v>
      </c>
      <c r="C262" s="9" t="n">
        <f aca="false">IFERROR(AVERAGE(Base!G260:G262)-Base!R262,"")</f>
        <v>0.424999999999997</v>
      </c>
      <c r="D262" s="9" t="n">
        <f aca="false">IFERROR(AVERAGE(Base!H260:H262)-Base!R262,"")</f>
        <v>-0.641666666666669</v>
      </c>
      <c r="E262" s="9" t="n">
        <f aca="false">IFERROR(AVERAGE(Base!I260:I262)-AVERAGE(Base!S203:S262),"")</f>
        <v>-49.8151666666667</v>
      </c>
      <c r="F262" s="9" t="n">
        <f aca="false">IFERROR(AVERAGE(Base!K260:K262),"")</f>
        <v>15.9071154869693</v>
      </c>
      <c r="G262" s="9" t="n">
        <f aca="false">IFERROR(AVERAGE(Base!M260:M262)*AVERAGE(Base!$F$13:F262),"")</f>
        <v>3.1156312864621</v>
      </c>
      <c r="H262" s="9" t="n">
        <f aca="false">IFERROR(-AVERAGE(Base!O260:O262),"")</f>
        <v>0.329171846658745</v>
      </c>
      <c r="I262" s="9" t="n">
        <f aca="false">IFERROR(AVERAGE(Base!P260:P262),"")</f>
        <v>27.9518445970901</v>
      </c>
    </row>
    <row r="263" customFormat="false" ht="15" hidden="false" customHeight="false" outlineLevel="0" collapsed="false">
      <c r="A263" s="8" t="n">
        <f aca="false">Base!A263</f>
        <v>45961</v>
      </c>
      <c r="B263" s="9" t="n">
        <f aca="false">IFERROR(AVERAGE(Base!C261:C263)-Base!R263,"")</f>
        <v>12.6621797992143</v>
      </c>
      <c r="C263" s="9" t="n">
        <f aca="false">IFERROR(AVERAGE(Base!G261:G263)-Base!R263,"")</f>
        <v>0.334999999999999</v>
      </c>
      <c r="D263" s="9" t="n">
        <f aca="false">IFERROR(AVERAGE(Base!H261:H263)-Base!R263,"")</f>
        <v>-0.298333333333335</v>
      </c>
      <c r="E263" s="9" t="n">
        <f aca="false">IFERROR(AVERAGE(Base!I261:I263)-AVERAGE(Base!S204:S263),"")</f>
        <v>-49.16</v>
      </c>
      <c r="F263" s="9" t="n">
        <f aca="false">IFERROR(AVERAGE(Base!K261:K263),"")</f>
        <v>14.772669551913</v>
      </c>
      <c r="G263" s="9" t="n">
        <f aca="false">IFERROR(AVERAGE(Base!M261:M263)*AVERAGE(Base!$F$13:F263),"")</f>
        <v>3.63158308420041</v>
      </c>
      <c r="H263" s="9" t="n">
        <f aca="false">IFERROR(-AVERAGE(Base!O261:O263),"")</f>
        <v>0.179837115582663</v>
      </c>
      <c r="I263" s="9" t="n">
        <f aca="false">IFERROR(AVERAGE(Base!P261:P263),"")</f>
        <v>44.32119657336</v>
      </c>
    </row>
    <row r="264" customFormat="false" ht="15" hidden="false" customHeight="false" outlineLevel="0" collapsed="false">
      <c r="A264" s="8" t="n">
        <f aca="false">Base!A264</f>
        <v>45991</v>
      </c>
      <c r="B264" s="9" t="n">
        <f aca="false">IFERROR(AVERAGE(Base!C262:C264)-Base!R264,"")</f>
        <v>14.9994118322223</v>
      </c>
      <c r="C264" s="9" t="n">
        <f aca="false">IFERROR(AVERAGE(Base!G262:G264)-Base!R264,"")</f>
        <v>-0.621666666666668</v>
      </c>
      <c r="D264" s="9" t="n">
        <f aca="false">IFERROR(AVERAGE(Base!H262:H264)-Base!R264,"")</f>
        <v>-0.821666666666668</v>
      </c>
      <c r="E264" s="9" t="n">
        <f aca="false">IFERROR(AVERAGE(Base!I262:I264)-AVERAGE(Base!S205:S264),"")</f>
        <v>-48.0365</v>
      </c>
      <c r="F264" s="9" t="n">
        <f aca="false">IFERROR(AVERAGE(Base!K262:K264),"")</f>
        <v>14.1136288071069</v>
      </c>
      <c r="G264" s="9" t="n">
        <f aca="false">IFERROR(AVERAGE(Base!M262:M264)*AVERAGE(Base!$F$13:F264),"")</f>
        <v>4.42090560765155</v>
      </c>
      <c r="H264" s="9" t="n">
        <f aca="false">IFERROR(-AVERAGE(Base!O262:O264),"")</f>
        <v>0.0458364041141153</v>
      </c>
      <c r="I264" s="9" t="n">
        <f aca="false">IFERROR(AVERAGE(Base!P262:P264),"")</f>
        <v>52.1534163209473</v>
      </c>
    </row>
    <row r="265" customFormat="false" ht="15" hidden="false" customHeight="false" outlineLevel="0" collapsed="false">
      <c r="A265" s="8" t="n">
        <f aca="false">Base!A265</f>
        <v>46022</v>
      </c>
      <c r="B265" s="9" t="n">
        <f aca="false">IFERROR(AVERAGE(Base!C263:C265)-Base!R265,"")</f>
        <v>11.3055901884829</v>
      </c>
      <c r="C265" s="9" t="n">
        <f aca="false">IFERROR(AVERAGE(Base!G263:G265)-Base!R265,"")</f>
        <v>-1.16333333333333</v>
      </c>
      <c r="D265" s="9" t="n">
        <f aca="false">IFERROR(AVERAGE(Base!H263:H265)-Base!R265,"")</f>
        <v>-1.26333333333333</v>
      </c>
      <c r="E265" s="9" t="n">
        <f aca="false">IFERROR(AVERAGE(Base!I263:I265)-AVERAGE(Base!S206:S265),"")</f>
        <v>-46.009</v>
      </c>
      <c r="F265" s="9" t="n">
        <f aca="false">IFERROR(AVERAGE(Base!K263:K265),"")</f>
        <v>14.0869867061556</v>
      </c>
      <c r="G265" s="9" t="n">
        <f aca="false">IFERROR(AVERAGE(Base!M263:M265)*AVERAGE(Base!$F$13:F265),"")</f>
        <v>4.99114679652867</v>
      </c>
      <c r="H265" s="9" t="n">
        <f aca="false">IFERROR(-AVERAGE(Base!O263:O265),"")</f>
        <v>-0.569398870354469</v>
      </c>
      <c r="I265" s="9" t="n">
        <f aca="false">IFERROR(AVERAGE(Base!P263:P265),"")</f>
        <v>42.7238471997823</v>
      </c>
    </row>
    <row r="266" customFormat="false" ht="15" hidden="false" customHeight="false" outlineLevel="0" collapsed="false">
      <c r="A266" s="8" t="n">
        <f aca="false">Base!A266</f>
        <v>46053</v>
      </c>
      <c r="B266" s="9" t="n">
        <f aca="false">IFERROR(AVERAGE(Base!C264:C266)-Base!R266,"")</f>
        <v>14.279166995999</v>
      </c>
      <c r="C266" s="9" t="n">
        <f aca="false">IFERROR(AVERAGE(Base!G264:G266)-Base!R266,"")</f>
        <v>-1.67166666666667</v>
      </c>
      <c r="D266" s="9" t="n">
        <f aca="false">IFERROR(AVERAGE(Base!H264:H266)-Base!R266,"")</f>
        <v>-1.43833333333333</v>
      </c>
      <c r="E266" s="9" t="n">
        <f aca="false">IFERROR(AVERAGE(Base!I264:I266)-AVERAGE(Base!S207:S266),"")</f>
        <v>-44.6693333333333</v>
      </c>
      <c r="F266" s="9" t="n">
        <f aca="false">IFERROR(AVERAGE(Base!K264:K266),"")</f>
        <v>14.5281145538012</v>
      </c>
      <c r="G266" s="9" t="n">
        <f aca="false">IFERROR(AVERAGE(Base!M264:M266)*AVERAGE(Base!$F$13:F266),"")</f>
        <v>4.71630242417789</v>
      </c>
      <c r="H266" s="9" t="n">
        <f aca="false">IFERROR(-AVERAGE(Base!O264:O266),"")</f>
        <v>-0.634876499603158</v>
      </c>
      <c r="I266" s="9" t="n">
        <f aca="false">IFERROR(AVERAGE(Base!P264:P266),"")</f>
        <v>35.916893842608</v>
      </c>
    </row>
    <row r="267" customFormat="false" ht="15" hidden="false" customHeight="false" outlineLevel="0" collapsed="false">
      <c r="A267" s="8" t="n">
        <f aca="false">Base!A267</f>
        <v>46081</v>
      </c>
      <c r="B267" s="9" t="n">
        <f aca="false">IFERROR(AVERAGE(Base!C265:C267)-Base!R267,"")</f>
        <v>5.00172874100096</v>
      </c>
      <c r="C267" s="9" t="n">
        <f aca="false">IFERROR(AVERAGE(Base!G265:G267)-Base!R267,"")</f>
        <v>-2.24666666666667</v>
      </c>
      <c r="D267" s="9" t="n">
        <f aca="false">IFERROR(AVERAGE(Base!H265:H267)-Base!R267,"")</f>
        <v>-2.41333333333333</v>
      </c>
      <c r="E267" s="9" t="n">
        <f aca="false">IFERROR(AVERAGE(Base!I265:I267)-AVERAGE(Base!S208:S267),"")</f>
        <v>-43.1585</v>
      </c>
      <c r="F267" s="9" t="n">
        <f aca="false">IFERROR(AVERAGE(Base!K265:K267),"")</f>
        <v>15.5486711509269</v>
      </c>
      <c r="G267" s="9" t="n">
        <f aca="false">IFERROR(AVERAGE(Base!M265:M267)*AVERAGE(Base!$F$13:F267),"")</f>
        <v>3.938877294083</v>
      </c>
      <c r="H267" s="9" t="n">
        <f aca="false">IFERROR(-AVERAGE(Base!O265:O267),"")</f>
        <v>-0.732822646574675</v>
      </c>
      <c r="I267" s="9" t="n">
        <f aca="false">IFERROR(AVERAGE(Base!P265:P267),"")</f>
        <v>27.7978708026308</v>
      </c>
    </row>
    <row r="268" customFormat="false" ht="15" hidden="false" customHeight="false" outlineLevel="0" collapsed="false">
      <c r="A268" s="8" t="n">
        <f aca="false">Base!A268</f>
        <v>46112</v>
      </c>
      <c r="B268" s="9" t="n">
        <f aca="false">IFERROR(AVERAGE(Base!C266:C268)-Base!R268,"")</f>
        <v>13.2806490018891</v>
      </c>
      <c r="C268" s="9" t="n">
        <f aca="false">IFERROR(AVERAGE(Base!G266:G268)-Base!R268,"")</f>
        <v>-1.33333333333333</v>
      </c>
      <c r="D268" s="9" t="n">
        <f aca="false">IFERROR(AVERAGE(Base!H266:H268)-Base!R268,"")</f>
        <v>-1.33333333333333</v>
      </c>
      <c r="E268" s="9" t="n">
        <f aca="false">IFERROR(AVERAGE(Base!I266:I268)-AVERAGE(Base!S209:S268),"")</f>
        <v>-41.4368333333333</v>
      </c>
      <c r="F268" s="9" t="n">
        <f aca="false">IFERROR(AVERAGE(Base!K266:K268),"")</f>
        <v>16.404289999582</v>
      </c>
      <c r="G268" s="9" t="n">
        <f aca="false">IFERROR(AVERAGE(Base!M266:M268)*AVERAGE(Base!$F$13:F268),"")</f>
        <v>2.76369743623654</v>
      </c>
      <c r="H268" s="9" t="n">
        <f aca="false">IFERROR(-AVERAGE(Base!O266:O268),"")</f>
        <v>-1.80399899181928</v>
      </c>
      <c r="I268" s="9" t="n">
        <f aca="false">IFERROR(AVERAGE(Base!P266:P268),"")</f>
        <v>49.9255322015561</v>
      </c>
    </row>
    <row r="269" customFormat="false" ht="15" hidden="false" customHeight="false" outlineLevel="0" collapsed="false">
      <c r="A269" s="8" t="n">
        <f aca="false">Base!A269</f>
        <v>46142</v>
      </c>
      <c r="B269" s="9" t="n">
        <f aca="false">IFERROR(AVERAGE(Base!C267:C269)-Base!R269,"")</f>
        <v>16.9965958508877</v>
      </c>
      <c r="C269" s="9" t="n">
        <f aca="false">IFERROR(AVERAGE(Base!G267:G269)-Base!R269,"")</f>
        <v>-1.42</v>
      </c>
      <c r="D269" s="9" t="n">
        <f aca="false">IFERROR(AVERAGE(Base!H267:H269)-Base!R269,"")</f>
        <v>-1.45333333333333</v>
      </c>
      <c r="E269" s="9" t="n">
        <f aca="false">IFERROR(AVERAGE(Base!I267:I269)-AVERAGE(Base!S210:S269),"")</f>
        <v>-38.751</v>
      </c>
      <c r="F269" s="9" t="n">
        <f aca="false">IFERROR(AVERAGE(Base!K267:K269),"")</f>
        <v>17.1485325783875</v>
      </c>
      <c r="G269" s="9" t="n">
        <f aca="false">IFERROR(AVERAGE(Base!M267:M269)*AVERAGE(Base!$F$13:F269),"")</f>
        <v>1.33784082531454</v>
      </c>
      <c r="H269" s="9" t="n">
        <f aca="false">IFERROR(-AVERAGE(Base!O267:O269),"")</f>
        <v>-3.52322994330691</v>
      </c>
      <c r="I269" s="9" t="n">
        <f aca="false">IFERROR(AVERAGE(Base!P267:P269),"")</f>
        <v>73.3491008280651</v>
      </c>
    </row>
    <row r="270" customFormat="false" ht="15" hidden="false" customHeight="false" outlineLevel="0" collapsed="false">
      <c r="A270" s="8" t="n">
        <f aca="false">Base!A270</f>
        <v>46173</v>
      </c>
      <c r="B270" s="9" t="n">
        <f aca="false">IFERROR(AVERAGE(Base!C268:C270)-Base!R270,"")</f>
        <v>29.6363333669467</v>
      </c>
      <c r="C270" s="9" t="n">
        <f aca="false">IFERROR(AVERAGE(Base!G268:G270)-Base!R270,"")</f>
        <v>-0.773333333333333</v>
      </c>
      <c r="D270" s="9" t="n">
        <f aca="false">IFERROR(AVERAGE(Base!H268:H270)-Base!R270,"")</f>
        <v>-0.973333333333333</v>
      </c>
      <c r="E270" s="9" t="n">
        <f aca="false">IFERROR(AVERAGE(Base!I268:I270)-AVERAGE(Base!S211:S270),"")</f>
        <v>-35.4186666666667</v>
      </c>
      <c r="F270" s="9" t="n">
        <f aca="false">IFERROR(AVERAGE(Base!K268:K270),"")</f>
        <v>18.2409213194807</v>
      </c>
      <c r="G270" s="9" t="n">
        <f aca="false">IFERROR(AVERAGE(Base!M268:M270)*AVERAGE(Base!$F$13:F270),"")</f>
        <v>0.178273799914966</v>
      </c>
      <c r="H270" s="9" t="n">
        <f aca="false">IFERROR(-AVERAGE(Base!O268:O270),"")</f>
        <v>-2.92086644236263</v>
      </c>
      <c r="I270" s="9" t="n">
        <f aca="false">IFERROR(AVERAGE(Base!P268:P270),"")</f>
        <v>94.7942455337426</v>
      </c>
    </row>
    <row r="271" customFormat="false" ht="15" hidden="false" customHeight="false" outlineLevel="0" collapsed="false">
      <c r="A271" s="8" t="n">
        <f aca="false">Base!A271</f>
        <v>46203</v>
      </c>
      <c r="B271" s="9" t="n">
        <f aca="false">IFERROR(AVERAGE(Base!C269:C271)-Base!R271,"")</f>
        <v>28.0184610486474</v>
      </c>
      <c r="C271" s="9" t="n">
        <f aca="false">IFERROR(AVERAGE(Base!G269:G271)-Base!R271,"")</f>
        <v>-1.66166666666667</v>
      </c>
      <c r="D271" s="9" t="n">
        <f aca="false">IFERROR(AVERAGE(Base!H269:H271)-Base!R271,"")</f>
        <v>-1.86166666666667</v>
      </c>
      <c r="E271" s="9" t="n">
        <f aca="false">IFERROR(AVERAGE(Base!I269:I271)-AVERAGE(Base!S212:S271),"")</f>
        <v>-33.1086666666667</v>
      </c>
      <c r="F271" s="9" t="n">
        <f aca="false">IFERROR(AVERAGE(Base!K269:K271),"")</f>
        <v>19.2529200286748</v>
      </c>
      <c r="G271" s="9" t="n">
        <f aca="false">IFERROR(AVERAGE(Base!M269:M271)*AVERAGE(Base!$F$13:F271),"")</f>
        <v>-0.594317285747368</v>
      </c>
      <c r="H271" s="9" t="n">
        <f aca="false">IFERROR(-AVERAGE(Base!O269:O271),"")</f>
        <v>-0.422495531996977</v>
      </c>
      <c r="I271" s="9" t="n">
        <f aca="false">IFERROR(AVERAGE(Base!P269:P271),"")</f>
        <v>108.353315083792</v>
      </c>
    </row>
    <row r="272" customFormat="false" ht="15" hidden="false" customHeight="false" outlineLevel="0" collapsed="false">
      <c r="A272" s="8" t="n">
        <f aca="false">Base!A272</f>
        <v>46234</v>
      </c>
      <c r="B272" s="9" t="n">
        <f aca="false">IFERROR(AVERAGE(Base!C270:C272)-Base!R272,"")</f>
        <v>21.7935240648855</v>
      </c>
      <c r="C272" s="9" t="n">
        <f aca="false">IFERROR(AVERAGE(Base!G270:G272)-Base!R272,"")</f>
        <v>-1.05</v>
      </c>
      <c r="D272" s="9" t="n">
        <f aca="false">IFERROR(AVERAGE(Base!H270:H272)-Base!R272,"")</f>
        <v>-1.75</v>
      </c>
      <c r="E272" s="9" t="n">
        <f aca="false">IFERROR(AVERAGE(Base!I270:I272)-AVERAGE(Base!S213:S272),"")</f>
        <v>-32.4186666666667</v>
      </c>
      <c r="F272" s="9" t="n">
        <f aca="false">IFERROR(AVERAGE(Base!K270:K272),"")</f>
        <v>19.2529200286748</v>
      </c>
      <c r="G272" s="9" t="n">
        <f aca="false">IFERROR(AVERAGE(Base!M270:M272)*AVERAGE(Base!$F$13:F272),"")</f>
        <v>-1.58940495128496</v>
      </c>
      <c r="H272" s="9" t="n">
        <f aca="false">IFERROR(-AVERAGE(Base!O270:O272),"")</f>
        <v>2.56143694885613</v>
      </c>
      <c r="I272" s="9" t="n">
        <f aca="false">IFERROR(AVERAGE(Base!P270:P272),"")</f>
        <v>122.190778818542</v>
      </c>
    </row>
    <row r="273" customFormat="false" ht="15" hidden="false" customHeight="false" outlineLevel="0" collapsed="false">
      <c r="A273" s="8" t="n">
        <f aca="false">Base!A273</f>
        <v>46265</v>
      </c>
      <c r="B273" s="9" t="n">
        <f aca="false">IFERROR(AVERAGE(Base!C271:C273)-Base!R273,"")</f>
        <v>14.4175002796312</v>
      </c>
      <c r="C273" s="9" t="n">
        <f aca="false">IFERROR(AVERAGE(Base!G271:G273)-Base!R273,"")</f>
        <v>-0.00499999999999945</v>
      </c>
      <c r="D273" s="9" t="n">
        <f aca="false">IFERROR(AVERAGE(Base!H271:H273)-Base!R273,"")</f>
        <v>-1.205</v>
      </c>
      <c r="E273" s="9" t="n">
        <f aca="false">IFERROR(AVERAGE(Base!I271:I273)-AVERAGE(Base!S214:S273),"")</f>
        <v>-33.3408333333333</v>
      </c>
      <c r="F273" s="9" t="n">
        <f aca="false">IFERROR(AVERAGE(Base!K271:K273),"")</f>
        <v>19.2529200286748</v>
      </c>
      <c r="G273" s="9" t="n">
        <f aca="false">IFERROR(AVERAGE(Base!M271:M273)*AVERAGE(Base!$F$13:F273),"")</f>
        <v>-2.2773341968924</v>
      </c>
      <c r="H273" s="9" t="n">
        <f aca="false">IFERROR(-AVERAGE(Base!O271:O273),"")</f>
        <v>2.08467038345369</v>
      </c>
      <c r="I273" s="9" t="n">
        <f aca="false">IFERROR(AVERAGE(Base!P271:P273),"")</f>
        <v>146.523982114138</v>
      </c>
    </row>
    <row r="275" customFormat="false" ht="15" hidden="false" customHeight="false" outlineLevel="0" collapsed="false">
      <c r="A275" s="6" t="s">
        <v>67</v>
      </c>
    </row>
    <row r="276" customFormat="false" ht="15" hidden="false" customHeight="false" outlineLevel="0" collapsed="false">
      <c r="A276" s="6" t="s">
        <v>68</v>
      </c>
    </row>
    <row r="277" customFormat="false" ht="15" hidden="false" customHeight="false" outlineLevel="0" collapsed="false">
      <c r="A277" s="6" t="s">
        <v>69</v>
      </c>
    </row>
    <row r="278" customFormat="false" ht="15" hidden="false" customHeight="false" outlineLevel="0" collapsed="false">
      <c r="A278" s="6" t="s">
        <v>70</v>
      </c>
    </row>
    <row r="279" customFormat="false" ht="15" hidden="false" customHeight="false" outlineLevel="0" collapsed="false">
      <c r="A279" s="6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7" min="1" style="0" width="11"/>
    <col collapsed="false" customWidth="true" hidden="false" outlineLevel="0" max="18" min="18" style="0" width="13"/>
    <col collapsed="false" customWidth="true" hidden="false" outlineLevel="0" max="20" min="19" style="0" width="10"/>
    <col collapsed="false" customWidth="true" hidden="false" outlineLevel="0" max="21" min="21" style="0" width="11"/>
    <col collapsed="false" customWidth="true" hidden="false" outlineLevel="0" max="23" min="22" style="0" width="15"/>
  </cols>
  <sheetData>
    <row r="1" customFormat="false" ht="30" hidden="false" customHeight="true" outlineLevel="0" collapsed="false">
      <c r="A1" s="3" t="s">
        <v>34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79</v>
      </c>
      <c r="J1" s="3" t="s">
        <v>80</v>
      </c>
      <c r="K1" s="3" t="s">
        <v>81</v>
      </c>
      <c r="L1" s="3" t="s">
        <v>82</v>
      </c>
      <c r="M1" s="3" t="s">
        <v>83</v>
      </c>
      <c r="N1" s="3" t="s">
        <v>84</v>
      </c>
      <c r="O1" s="3" t="s">
        <v>85</v>
      </c>
      <c r="P1" s="3" t="s">
        <v>86</v>
      </c>
      <c r="Q1" s="3" t="s">
        <v>87</v>
      </c>
      <c r="R1" s="3" t="s">
        <v>88</v>
      </c>
      <c r="S1" s="3" t="s">
        <v>89</v>
      </c>
      <c r="T1" s="3" t="s">
        <v>90</v>
      </c>
      <c r="U1" s="3" t="s">
        <v>91</v>
      </c>
      <c r="V1" s="3" t="s">
        <v>92</v>
      </c>
      <c r="W1" s="3" t="s">
        <v>93</v>
      </c>
    </row>
    <row r="2" customFormat="false" ht="15" hidden="false" customHeight="false" outlineLevel="0" collapsed="false">
      <c r="A2" s="8" t="n">
        <f aca="false">Base!A2</f>
        <v>38017</v>
      </c>
    </row>
    <row r="3" customFormat="false" ht="15" hidden="false" customHeight="false" outlineLevel="0" collapsed="false">
      <c r="A3" s="8" t="n">
        <f aca="false">Base!A3</f>
        <v>38046</v>
      </c>
    </row>
    <row r="4" customFormat="false" ht="15" hidden="false" customHeight="false" outlineLevel="0" collapsed="false">
      <c r="A4" s="8" t="n">
        <f aca="false">Base!A4</f>
        <v>38077</v>
      </c>
    </row>
    <row r="5" customFormat="false" ht="15" hidden="false" customHeight="false" outlineLevel="0" collapsed="false">
      <c r="A5" s="8" t="n">
        <f aca="false">Base!A5</f>
        <v>38107</v>
      </c>
    </row>
    <row r="6" customFormat="false" ht="15" hidden="false" customHeight="false" outlineLevel="0" collapsed="false">
      <c r="A6" s="8" t="n">
        <f aca="false">Base!A6</f>
        <v>38138</v>
      </c>
    </row>
    <row r="7" customFormat="false" ht="15" hidden="false" customHeight="false" outlineLevel="0" collapsed="false">
      <c r="A7" s="8" t="n">
        <f aca="false">Base!A7</f>
        <v>38168</v>
      </c>
    </row>
    <row r="8" customFormat="false" ht="15" hidden="false" customHeight="false" outlineLevel="0" collapsed="false">
      <c r="A8" s="8" t="n">
        <f aca="false">Base!A8</f>
        <v>38199</v>
      </c>
    </row>
    <row r="9" customFormat="false" ht="15" hidden="false" customHeight="false" outlineLevel="0" collapsed="false">
      <c r="A9" s="8" t="n">
        <f aca="false">Base!A9</f>
        <v>38230</v>
      </c>
    </row>
    <row r="10" customFormat="false" ht="15" hidden="false" customHeight="false" outlineLevel="0" collapsed="false">
      <c r="A10" s="8" t="n">
        <f aca="false">Base!A10</f>
        <v>38260</v>
      </c>
    </row>
    <row r="11" customFormat="false" ht="15" hidden="false" customHeight="false" outlineLevel="0" collapsed="false">
      <c r="A11" s="8" t="n">
        <f aca="false">Base!A11</f>
        <v>38291</v>
      </c>
    </row>
    <row r="12" customFormat="false" ht="15" hidden="false" customHeight="false" outlineLevel="0" collapsed="false">
      <c r="A12" s="8" t="n">
        <f aca="false">Base!A12</f>
        <v>38321</v>
      </c>
    </row>
    <row r="13" customFormat="false" ht="15" hidden="false" customHeight="false" outlineLevel="0" collapsed="false">
      <c r="A13" s="8" t="n">
        <f aca="false">Base!A13</f>
        <v>38352</v>
      </c>
    </row>
    <row r="14" customFormat="false" ht="15" hidden="false" customHeight="false" outlineLevel="0" collapsed="false">
      <c r="A14" s="8" t="n">
        <f aca="false">Base!A14</f>
        <v>38383</v>
      </c>
    </row>
    <row r="15" customFormat="false" ht="15" hidden="false" customHeight="false" outlineLevel="0" collapsed="false">
      <c r="A15" s="8" t="n">
        <f aca="false">Base!A15</f>
        <v>38411</v>
      </c>
    </row>
    <row r="16" customFormat="false" ht="15" hidden="false" customHeight="false" outlineLevel="0" collapsed="false">
      <c r="A16" s="8" t="n">
        <f aca="false">Base!A16</f>
        <v>38442</v>
      </c>
    </row>
    <row r="17" customFormat="false" ht="15" hidden="false" customHeight="false" outlineLevel="0" collapsed="false">
      <c r="A17" s="8" t="n">
        <f aca="false">Base!A17</f>
        <v>38472</v>
      </c>
    </row>
    <row r="18" customFormat="false" ht="15" hidden="false" customHeight="false" outlineLevel="0" collapsed="false">
      <c r="A18" s="8" t="n">
        <f aca="false">Base!A18</f>
        <v>38503</v>
      </c>
    </row>
    <row r="19" customFormat="false" ht="15" hidden="false" customHeight="false" outlineLevel="0" collapsed="false">
      <c r="A19" s="8" t="n">
        <f aca="false">Base!A19</f>
        <v>38533</v>
      </c>
    </row>
    <row r="20" customFormat="false" ht="15" hidden="false" customHeight="false" outlineLevel="0" collapsed="false">
      <c r="A20" s="8" t="n">
        <f aca="false">Base!A20</f>
        <v>38564</v>
      </c>
    </row>
    <row r="21" customFormat="false" ht="15" hidden="false" customHeight="false" outlineLevel="0" collapsed="false">
      <c r="A21" s="8" t="n">
        <f aca="false">Base!A21</f>
        <v>38595</v>
      </c>
    </row>
    <row r="22" customFormat="false" ht="15" hidden="false" customHeight="false" outlineLevel="0" collapsed="false">
      <c r="A22" s="8" t="n">
        <f aca="false">Base!A22</f>
        <v>38625</v>
      </c>
    </row>
    <row r="23" customFormat="false" ht="15" hidden="false" customHeight="false" outlineLevel="0" collapsed="false">
      <c r="A23" s="8" t="n">
        <f aca="false">Base!A23</f>
        <v>38656</v>
      </c>
    </row>
    <row r="24" customFormat="false" ht="15" hidden="false" customHeight="false" outlineLevel="0" collapsed="false">
      <c r="A24" s="8" t="n">
        <f aca="false">Base!A24</f>
        <v>38686</v>
      </c>
    </row>
    <row r="25" customFormat="false" ht="15" hidden="false" customHeight="false" outlineLevel="0" collapsed="false">
      <c r="A25" s="8" t="n">
        <f aca="false">Base!A25</f>
        <v>38717</v>
      </c>
    </row>
    <row r="26" customFormat="false" ht="15" hidden="false" customHeight="false" outlineLevel="0" collapsed="false">
      <c r="A26" s="8" t="n">
        <f aca="false">Base!A26</f>
        <v>38748</v>
      </c>
    </row>
    <row r="27" customFormat="false" ht="15" hidden="false" customHeight="false" outlineLevel="0" collapsed="false">
      <c r="A27" s="8" t="n">
        <f aca="false">Base!A27</f>
        <v>38776</v>
      </c>
    </row>
    <row r="28" customFormat="false" ht="15" hidden="false" customHeight="false" outlineLevel="0" collapsed="false">
      <c r="A28" s="8" t="n">
        <f aca="false">Base!A28</f>
        <v>38807</v>
      </c>
    </row>
    <row r="29" customFormat="false" ht="15" hidden="false" customHeight="false" outlineLevel="0" collapsed="false">
      <c r="A29" s="8" t="n">
        <f aca="false">Base!A29</f>
        <v>38837</v>
      </c>
    </row>
    <row r="30" customFormat="false" ht="15" hidden="false" customHeight="false" outlineLevel="0" collapsed="false">
      <c r="A30" s="8" t="n">
        <f aca="false">Base!A30</f>
        <v>38868</v>
      </c>
    </row>
    <row r="31" customFormat="false" ht="15" hidden="false" customHeight="false" outlineLevel="0" collapsed="false">
      <c r="A31" s="8" t="n">
        <f aca="false">Base!A31</f>
        <v>38898</v>
      </c>
    </row>
    <row r="32" customFormat="false" ht="15" hidden="false" customHeight="false" outlineLevel="0" collapsed="false">
      <c r="A32" s="8" t="n">
        <f aca="false">Base!A32</f>
        <v>38929</v>
      </c>
    </row>
    <row r="33" customFormat="false" ht="15" hidden="false" customHeight="false" outlineLevel="0" collapsed="false">
      <c r="A33" s="8" t="n">
        <f aca="false">Base!A33</f>
        <v>38960</v>
      </c>
    </row>
    <row r="34" customFormat="false" ht="15" hidden="false" customHeight="false" outlineLevel="0" collapsed="false">
      <c r="A34" s="8" t="n">
        <f aca="false">Base!A34</f>
        <v>38990</v>
      </c>
    </row>
    <row r="35" customFormat="false" ht="15" hidden="false" customHeight="false" outlineLevel="0" collapsed="false">
      <c r="A35" s="8" t="n">
        <f aca="false">Base!A35</f>
        <v>39021</v>
      </c>
    </row>
    <row r="36" customFormat="false" ht="15" hidden="false" customHeight="false" outlineLevel="0" collapsed="false">
      <c r="A36" s="8" t="n">
        <f aca="false">Base!A36</f>
        <v>39051</v>
      </c>
    </row>
    <row r="37" customFormat="false" ht="15" hidden="false" customHeight="false" outlineLevel="0" collapsed="false">
      <c r="A37" s="8" t="n">
        <f aca="false">Base!A37</f>
        <v>39082</v>
      </c>
    </row>
    <row r="38" customFormat="false" ht="15" hidden="false" customHeight="false" outlineLevel="0" collapsed="false">
      <c r="A38" s="8" t="n">
        <f aca="false">Base!A38</f>
        <v>39113</v>
      </c>
    </row>
    <row r="39" customFormat="false" ht="15" hidden="false" customHeight="false" outlineLevel="0" collapsed="false">
      <c r="A39" s="8" t="n">
        <f aca="false">Base!A39</f>
        <v>39141</v>
      </c>
      <c r="B39" s="10" t="str">
        <f aca="false">IF(COUNT(Transf!B$39:B39)&lt;36,"",(Transf!B39-AVERAGE(Transf!B$39:B39))/STDEV(Transf!B$39:B39))</f>
        <v/>
      </c>
      <c r="C39" s="10" t="str">
        <f aca="false">IF(COUNT(Transf!C$39:C39)&lt;36,"",(Transf!C39-AVERAGE(Transf!C$39:C39))/STDEV(Transf!C$39:C39))</f>
        <v/>
      </c>
      <c r="D39" s="10" t="str">
        <f aca="false">IF(COUNT(Transf!D$39:D39)&lt;36,"",(Transf!D39-AVERAGE(Transf!D$39:D39))/STDEV(Transf!D$39:D39))</f>
        <v/>
      </c>
      <c r="E39" s="10" t="str">
        <f aca="false">IF(COUNT(Transf!E$39:E39)&lt;36,"",(Transf!E39-AVERAGE(Transf!E$39:E39))/STDEV(Transf!E$39:E39))</f>
        <v/>
      </c>
      <c r="F39" s="10" t="str">
        <f aca="false">IF(COUNT(Transf!F$39:F39)&lt;36,"",(Transf!F39-AVERAGE(Transf!F$39:F39))/STDEV(Transf!F$39:F39))</f>
        <v/>
      </c>
      <c r="G39" s="10" t="str">
        <f aca="false">IF(COUNT(Transf!G$39:G39)&lt;36,"",(Transf!G39-AVERAGE(Transf!G$39:G39))/STDEV(Transf!G$39:G39))</f>
        <v/>
      </c>
      <c r="H39" s="10" t="str">
        <f aca="false">IF(COUNT(Transf!H$39:H39)&lt;36,"",(Transf!H39-AVERAGE(Transf!H$39:H39))/STDEV(Transf!H$39:H39))</f>
        <v/>
      </c>
      <c r="I39" s="10" t="str">
        <f aca="false">IF(COUNT(Transf!I$39:I39)&lt;36,"",(Transf!I39-AVERAGE(Transf!I$39:I39))/STDEV(Transf!I$39:I39))</f>
        <v/>
      </c>
    </row>
    <row r="40" customFormat="false" ht="15" hidden="false" customHeight="false" outlineLevel="0" collapsed="false">
      <c r="A40" s="8" t="n">
        <f aca="false">Base!A40</f>
        <v>39172</v>
      </c>
      <c r="B40" s="10" t="str">
        <f aca="false">IF(COUNT(Transf!B$39:B40)&lt;36,"",(Transf!B40-AVERAGE(Transf!B$39:B40))/STDEV(Transf!B$39:B40))</f>
        <v/>
      </c>
      <c r="C40" s="10" t="str">
        <f aca="false">IF(COUNT(Transf!C$39:C40)&lt;36,"",(Transf!C40-AVERAGE(Transf!C$39:C40))/STDEV(Transf!C$39:C40))</f>
        <v/>
      </c>
      <c r="D40" s="10" t="str">
        <f aca="false">IF(COUNT(Transf!D$39:D40)&lt;36,"",(Transf!D40-AVERAGE(Transf!D$39:D40))/STDEV(Transf!D$39:D40))</f>
        <v/>
      </c>
      <c r="E40" s="10" t="str">
        <f aca="false">IF(COUNT(Transf!E$39:E40)&lt;36,"",(Transf!E40-AVERAGE(Transf!E$39:E40))/STDEV(Transf!E$39:E40))</f>
        <v/>
      </c>
      <c r="F40" s="10" t="str">
        <f aca="false">IF(COUNT(Transf!F$39:F40)&lt;36,"",(Transf!F40-AVERAGE(Transf!F$39:F40))/STDEV(Transf!F$39:F40))</f>
        <v/>
      </c>
      <c r="G40" s="10" t="str">
        <f aca="false">IF(COUNT(Transf!G$39:G40)&lt;36,"",(Transf!G40-AVERAGE(Transf!G$39:G40))/STDEV(Transf!G$39:G40))</f>
        <v/>
      </c>
      <c r="H40" s="10" t="str">
        <f aca="false">IF(COUNT(Transf!H$39:H40)&lt;36,"",(Transf!H40-AVERAGE(Transf!H$39:H40))/STDEV(Transf!H$39:H40))</f>
        <v/>
      </c>
      <c r="I40" s="10" t="str">
        <f aca="false">IF(COUNT(Transf!I$39:I40)&lt;36,"",(Transf!I40-AVERAGE(Transf!I$39:I40))/STDEV(Transf!I$39:I40))</f>
        <v/>
      </c>
    </row>
    <row r="41" customFormat="false" ht="15" hidden="false" customHeight="false" outlineLevel="0" collapsed="false">
      <c r="A41" s="8" t="n">
        <f aca="false">Base!A41</f>
        <v>39202</v>
      </c>
      <c r="B41" s="10" t="str">
        <f aca="false">IF(COUNT(Transf!B$39:B41)&lt;36,"",(Transf!B41-AVERAGE(Transf!B$39:B41))/STDEV(Transf!B$39:B41))</f>
        <v/>
      </c>
      <c r="C41" s="10" t="str">
        <f aca="false">IF(COUNT(Transf!C$39:C41)&lt;36,"",(Transf!C41-AVERAGE(Transf!C$39:C41))/STDEV(Transf!C$39:C41))</f>
        <v/>
      </c>
      <c r="D41" s="10" t="str">
        <f aca="false">IF(COUNT(Transf!D$39:D41)&lt;36,"",(Transf!D41-AVERAGE(Transf!D$39:D41))/STDEV(Transf!D$39:D41))</f>
        <v/>
      </c>
      <c r="E41" s="10" t="str">
        <f aca="false">IF(COUNT(Transf!E$39:E41)&lt;36,"",(Transf!E41-AVERAGE(Transf!E$39:E41))/STDEV(Transf!E$39:E41))</f>
        <v/>
      </c>
      <c r="F41" s="10" t="str">
        <f aca="false">IF(COUNT(Transf!F$39:F41)&lt;36,"",(Transf!F41-AVERAGE(Transf!F$39:F41))/STDEV(Transf!F$39:F41))</f>
        <v/>
      </c>
      <c r="G41" s="10" t="str">
        <f aca="false">IF(COUNT(Transf!G$39:G41)&lt;36,"",(Transf!G41-AVERAGE(Transf!G$39:G41))/STDEV(Transf!G$39:G41))</f>
        <v/>
      </c>
      <c r="H41" s="10" t="str">
        <f aca="false">IF(COUNT(Transf!H$39:H41)&lt;36,"",(Transf!H41-AVERAGE(Transf!H$39:H41))/STDEV(Transf!H$39:H41))</f>
        <v/>
      </c>
      <c r="I41" s="10" t="str">
        <f aca="false">IF(COUNT(Transf!I$39:I41)&lt;36,"",(Transf!I41-AVERAGE(Transf!I$39:I41))/STDEV(Transf!I$39:I41))</f>
        <v/>
      </c>
    </row>
    <row r="42" customFormat="false" ht="15" hidden="false" customHeight="false" outlineLevel="0" collapsed="false">
      <c r="A42" s="8" t="n">
        <f aca="false">Base!A42</f>
        <v>39233</v>
      </c>
      <c r="B42" s="10" t="str">
        <f aca="false">IF(COUNT(Transf!B$39:B42)&lt;36,"",(Transf!B42-AVERAGE(Transf!B$39:B42))/STDEV(Transf!B$39:B42))</f>
        <v/>
      </c>
      <c r="C42" s="10" t="str">
        <f aca="false">IF(COUNT(Transf!C$39:C42)&lt;36,"",(Transf!C42-AVERAGE(Transf!C$39:C42))/STDEV(Transf!C$39:C42))</f>
        <v/>
      </c>
      <c r="D42" s="10" t="str">
        <f aca="false">IF(COUNT(Transf!D$39:D42)&lt;36,"",(Transf!D42-AVERAGE(Transf!D$39:D42))/STDEV(Transf!D$39:D42))</f>
        <v/>
      </c>
      <c r="E42" s="10" t="str">
        <f aca="false">IF(COUNT(Transf!E$39:E42)&lt;36,"",(Transf!E42-AVERAGE(Transf!E$39:E42))/STDEV(Transf!E$39:E42))</f>
        <v/>
      </c>
      <c r="F42" s="10" t="str">
        <f aca="false">IF(COUNT(Transf!F$39:F42)&lt;36,"",(Transf!F42-AVERAGE(Transf!F$39:F42))/STDEV(Transf!F$39:F42))</f>
        <v/>
      </c>
      <c r="G42" s="10" t="str">
        <f aca="false">IF(COUNT(Transf!G$39:G42)&lt;36,"",(Transf!G42-AVERAGE(Transf!G$39:G42))/STDEV(Transf!G$39:G42))</f>
        <v/>
      </c>
      <c r="H42" s="10" t="str">
        <f aca="false">IF(COUNT(Transf!H$39:H42)&lt;36,"",(Transf!H42-AVERAGE(Transf!H$39:H42))/STDEV(Transf!H$39:H42))</f>
        <v/>
      </c>
      <c r="I42" s="10" t="str">
        <f aca="false">IF(COUNT(Transf!I$39:I42)&lt;36,"",(Transf!I42-AVERAGE(Transf!I$39:I42))/STDEV(Transf!I$39:I42))</f>
        <v/>
      </c>
    </row>
    <row r="43" customFormat="false" ht="15" hidden="false" customHeight="false" outlineLevel="0" collapsed="false">
      <c r="A43" s="8" t="n">
        <f aca="false">Base!A43</f>
        <v>39263</v>
      </c>
      <c r="B43" s="10" t="str">
        <f aca="false">IF(COUNT(Transf!B$39:B43)&lt;36,"",(Transf!B43-AVERAGE(Transf!B$39:B43))/STDEV(Transf!B$39:B43))</f>
        <v/>
      </c>
      <c r="C43" s="10" t="str">
        <f aca="false">IF(COUNT(Transf!C$39:C43)&lt;36,"",(Transf!C43-AVERAGE(Transf!C$39:C43))/STDEV(Transf!C$39:C43))</f>
        <v/>
      </c>
      <c r="D43" s="10" t="str">
        <f aca="false">IF(COUNT(Transf!D$39:D43)&lt;36,"",(Transf!D43-AVERAGE(Transf!D$39:D43))/STDEV(Transf!D$39:D43))</f>
        <v/>
      </c>
      <c r="E43" s="10" t="str">
        <f aca="false">IF(COUNT(Transf!E$39:E43)&lt;36,"",(Transf!E43-AVERAGE(Transf!E$39:E43))/STDEV(Transf!E$39:E43))</f>
        <v/>
      </c>
      <c r="F43" s="10" t="str">
        <f aca="false">IF(COUNT(Transf!F$39:F43)&lt;36,"",(Transf!F43-AVERAGE(Transf!F$39:F43))/STDEV(Transf!F$39:F43))</f>
        <v/>
      </c>
      <c r="G43" s="10" t="str">
        <f aca="false">IF(COUNT(Transf!G$39:G43)&lt;36,"",(Transf!G43-AVERAGE(Transf!G$39:G43))/STDEV(Transf!G$39:G43))</f>
        <v/>
      </c>
      <c r="H43" s="10" t="str">
        <f aca="false">IF(COUNT(Transf!H$39:H43)&lt;36,"",(Transf!H43-AVERAGE(Transf!H$39:H43))/STDEV(Transf!H$39:H43))</f>
        <v/>
      </c>
      <c r="I43" s="10" t="str">
        <f aca="false">IF(COUNT(Transf!I$39:I43)&lt;36,"",(Transf!I43-AVERAGE(Transf!I$39:I43))/STDEV(Transf!I$39:I43))</f>
        <v/>
      </c>
    </row>
    <row r="44" customFormat="false" ht="15" hidden="false" customHeight="false" outlineLevel="0" collapsed="false">
      <c r="A44" s="8" t="n">
        <f aca="false">Base!A44</f>
        <v>39294</v>
      </c>
      <c r="B44" s="10" t="str">
        <f aca="false">IF(COUNT(Transf!B$39:B44)&lt;36,"",(Transf!B44-AVERAGE(Transf!B$39:B44))/STDEV(Transf!B$39:B44))</f>
        <v/>
      </c>
      <c r="C44" s="10" t="str">
        <f aca="false">IF(COUNT(Transf!C$39:C44)&lt;36,"",(Transf!C44-AVERAGE(Transf!C$39:C44))/STDEV(Transf!C$39:C44))</f>
        <v/>
      </c>
      <c r="D44" s="10" t="str">
        <f aca="false">IF(COUNT(Transf!D$39:D44)&lt;36,"",(Transf!D44-AVERAGE(Transf!D$39:D44))/STDEV(Transf!D$39:D44))</f>
        <v/>
      </c>
      <c r="E44" s="10" t="str">
        <f aca="false">IF(COUNT(Transf!E$39:E44)&lt;36,"",(Transf!E44-AVERAGE(Transf!E$39:E44))/STDEV(Transf!E$39:E44))</f>
        <v/>
      </c>
      <c r="F44" s="10" t="str">
        <f aca="false">IF(COUNT(Transf!F$39:F44)&lt;36,"",(Transf!F44-AVERAGE(Transf!F$39:F44))/STDEV(Transf!F$39:F44))</f>
        <v/>
      </c>
      <c r="G44" s="10" t="str">
        <f aca="false">IF(COUNT(Transf!G$39:G44)&lt;36,"",(Transf!G44-AVERAGE(Transf!G$39:G44))/STDEV(Transf!G$39:G44))</f>
        <v/>
      </c>
      <c r="H44" s="10" t="str">
        <f aca="false">IF(COUNT(Transf!H$39:H44)&lt;36,"",(Transf!H44-AVERAGE(Transf!H$39:H44))/STDEV(Transf!H$39:H44))</f>
        <v/>
      </c>
      <c r="I44" s="10" t="str">
        <f aca="false">IF(COUNT(Transf!I$39:I44)&lt;36,"",(Transf!I44-AVERAGE(Transf!I$39:I44))/STDEV(Transf!I$39:I44))</f>
        <v/>
      </c>
    </row>
    <row r="45" customFormat="false" ht="15" hidden="false" customHeight="false" outlineLevel="0" collapsed="false">
      <c r="A45" s="8" t="n">
        <f aca="false">Base!A45</f>
        <v>39325</v>
      </c>
      <c r="B45" s="10" t="str">
        <f aca="false">IF(COUNT(Transf!B$39:B45)&lt;36,"",(Transf!B45-AVERAGE(Transf!B$39:B45))/STDEV(Transf!B$39:B45))</f>
        <v/>
      </c>
      <c r="C45" s="10" t="str">
        <f aca="false">IF(COUNT(Transf!C$39:C45)&lt;36,"",(Transf!C45-AVERAGE(Transf!C$39:C45))/STDEV(Transf!C$39:C45))</f>
        <v/>
      </c>
      <c r="D45" s="10" t="str">
        <f aca="false">IF(COUNT(Transf!D$39:D45)&lt;36,"",(Transf!D45-AVERAGE(Transf!D$39:D45))/STDEV(Transf!D$39:D45))</f>
        <v/>
      </c>
      <c r="E45" s="10" t="str">
        <f aca="false">IF(COUNT(Transf!E$39:E45)&lt;36,"",(Transf!E45-AVERAGE(Transf!E$39:E45))/STDEV(Transf!E$39:E45))</f>
        <v/>
      </c>
      <c r="F45" s="10" t="str">
        <f aca="false">IF(COUNT(Transf!F$39:F45)&lt;36,"",(Transf!F45-AVERAGE(Transf!F$39:F45))/STDEV(Transf!F$39:F45))</f>
        <v/>
      </c>
      <c r="G45" s="10" t="str">
        <f aca="false">IF(COUNT(Transf!G$39:G45)&lt;36,"",(Transf!G45-AVERAGE(Transf!G$39:G45))/STDEV(Transf!G$39:G45))</f>
        <v/>
      </c>
      <c r="H45" s="10" t="str">
        <f aca="false">IF(COUNT(Transf!H$39:H45)&lt;36,"",(Transf!H45-AVERAGE(Transf!H$39:H45))/STDEV(Transf!H$39:H45))</f>
        <v/>
      </c>
      <c r="I45" s="10" t="str">
        <f aca="false">IF(COUNT(Transf!I$39:I45)&lt;36,"",(Transf!I45-AVERAGE(Transf!I$39:I45))/STDEV(Transf!I$39:I45))</f>
        <v/>
      </c>
    </row>
    <row r="46" customFormat="false" ht="15" hidden="false" customHeight="false" outlineLevel="0" collapsed="false">
      <c r="A46" s="8" t="n">
        <f aca="false">Base!A46</f>
        <v>39355</v>
      </c>
      <c r="B46" s="10" t="str">
        <f aca="false">IF(COUNT(Transf!B$39:B46)&lt;36,"",(Transf!B46-AVERAGE(Transf!B$39:B46))/STDEV(Transf!B$39:B46))</f>
        <v/>
      </c>
      <c r="C46" s="10" t="str">
        <f aca="false">IF(COUNT(Transf!C$39:C46)&lt;36,"",(Transf!C46-AVERAGE(Transf!C$39:C46))/STDEV(Transf!C$39:C46))</f>
        <v/>
      </c>
      <c r="D46" s="10" t="str">
        <f aca="false">IF(COUNT(Transf!D$39:D46)&lt;36,"",(Transf!D46-AVERAGE(Transf!D$39:D46))/STDEV(Transf!D$39:D46))</f>
        <v/>
      </c>
      <c r="E46" s="10" t="str">
        <f aca="false">IF(COUNT(Transf!E$39:E46)&lt;36,"",(Transf!E46-AVERAGE(Transf!E$39:E46))/STDEV(Transf!E$39:E46))</f>
        <v/>
      </c>
      <c r="F46" s="10" t="str">
        <f aca="false">IF(COUNT(Transf!F$39:F46)&lt;36,"",(Transf!F46-AVERAGE(Transf!F$39:F46))/STDEV(Transf!F$39:F46))</f>
        <v/>
      </c>
      <c r="G46" s="10" t="str">
        <f aca="false">IF(COUNT(Transf!G$39:G46)&lt;36,"",(Transf!G46-AVERAGE(Transf!G$39:G46))/STDEV(Transf!G$39:G46))</f>
        <v/>
      </c>
      <c r="H46" s="10" t="str">
        <f aca="false">IF(COUNT(Transf!H$39:H46)&lt;36,"",(Transf!H46-AVERAGE(Transf!H$39:H46))/STDEV(Transf!H$39:H46))</f>
        <v/>
      </c>
      <c r="I46" s="10" t="str">
        <f aca="false">IF(COUNT(Transf!I$39:I46)&lt;36,"",(Transf!I46-AVERAGE(Transf!I$39:I46))/STDEV(Transf!I$39:I46))</f>
        <v/>
      </c>
    </row>
    <row r="47" customFormat="false" ht="15" hidden="false" customHeight="false" outlineLevel="0" collapsed="false">
      <c r="A47" s="8" t="n">
        <f aca="false">Base!A47</f>
        <v>39386</v>
      </c>
      <c r="B47" s="10" t="str">
        <f aca="false">IF(COUNT(Transf!B$39:B47)&lt;36,"",(Transf!B47-AVERAGE(Transf!B$39:B47))/STDEV(Transf!B$39:B47))</f>
        <v/>
      </c>
      <c r="C47" s="10" t="str">
        <f aca="false">IF(COUNT(Transf!C$39:C47)&lt;36,"",(Transf!C47-AVERAGE(Transf!C$39:C47))/STDEV(Transf!C$39:C47))</f>
        <v/>
      </c>
      <c r="D47" s="10" t="str">
        <f aca="false">IF(COUNT(Transf!D$39:D47)&lt;36,"",(Transf!D47-AVERAGE(Transf!D$39:D47))/STDEV(Transf!D$39:D47))</f>
        <v/>
      </c>
      <c r="E47" s="10" t="str">
        <f aca="false">IF(COUNT(Transf!E$39:E47)&lt;36,"",(Transf!E47-AVERAGE(Transf!E$39:E47))/STDEV(Transf!E$39:E47))</f>
        <v/>
      </c>
      <c r="F47" s="10" t="str">
        <f aca="false">IF(COUNT(Transf!F$39:F47)&lt;36,"",(Transf!F47-AVERAGE(Transf!F$39:F47))/STDEV(Transf!F$39:F47))</f>
        <v/>
      </c>
      <c r="G47" s="10" t="str">
        <f aca="false">IF(COUNT(Transf!G$39:G47)&lt;36,"",(Transf!G47-AVERAGE(Transf!G$39:G47))/STDEV(Transf!G$39:G47))</f>
        <v/>
      </c>
      <c r="H47" s="10" t="str">
        <f aca="false">IF(COUNT(Transf!H$39:H47)&lt;36,"",(Transf!H47-AVERAGE(Transf!H$39:H47))/STDEV(Transf!H$39:H47))</f>
        <v/>
      </c>
      <c r="I47" s="10" t="str">
        <f aca="false">IF(COUNT(Transf!I$39:I47)&lt;36,"",(Transf!I47-AVERAGE(Transf!I$39:I47))/STDEV(Transf!I$39:I47))</f>
        <v/>
      </c>
    </row>
    <row r="48" customFormat="false" ht="15" hidden="false" customHeight="false" outlineLevel="0" collapsed="false">
      <c r="A48" s="8" t="n">
        <f aca="false">Base!A48</f>
        <v>39416</v>
      </c>
      <c r="B48" s="10" t="str">
        <f aca="false">IF(COUNT(Transf!B$39:B48)&lt;36,"",(Transf!B48-AVERAGE(Transf!B$39:B48))/STDEV(Transf!B$39:B48))</f>
        <v/>
      </c>
      <c r="C48" s="10" t="str">
        <f aca="false">IF(COUNT(Transf!C$39:C48)&lt;36,"",(Transf!C48-AVERAGE(Transf!C$39:C48))/STDEV(Transf!C$39:C48))</f>
        <v/>
      </c>
      <c r="D48" s="10" t="str">
        <f aca="false">IF(COUNT(Transf!D$39:D48)&lt;36,"",(Transf!D48-AVERAGE(Transf!D$39:D48))/STDEV(Transf!D$39:D48))</f>
        <v/>
      </c>
      <c r="E48" s="10" t="str">
        <f aca="false">IF(COUNT(Transf!E$39:E48)&lt;36,"",(Transf!E48-AVERAGE(Transf!E$39:E48))/STDEV(Transf!E$39:E48))</f>
        <v/>
      </c>
      <c r="F48" s="10" t="str">
        <f aca="false">IF(COUNT(Transf!F$39:F48)&lt;36,"",(Transf!F48-AVERAGE(Transf!F$39:F48))/STDEV(Transf!F$39:F48))</f>
        <v/>
      </c>
      <c r="G48" s="10" t="str">
        <f aca="false">IF(COUNT(Transf!G$39:G48)&lt;36,"",(Transf!G48-AVERAGE(Transf!G$39:G48))/STDEV(Transf!G$39:G48))</f>
        <v/>
      </c>
      <c r="H48" s="10" t="str">
        <f aca="false">IF(COUNT(Transf!H$39:H48)&lt;36,"",(Transf!H48-AVERAGE(Transf!H$39:H48))/STDEV(Transf!H$39:H48))</f>
        <v/>
      </c>
      <c r="I48" s="10" t="str">
        <f aca="false">IF(COUNT(Transf!I$39:I48)&lt;36,"",(Transf!I48-AVERAGE(Transf!I$39:I48))/STDEV(Transf!I$39:I48))</f>
        <v/>
      </c>
    </row>
    <row r="49" customFormat="false" ht="15" hidden="false" customHeight="false" outlineLevel="0" collapsed="false">
      <c r="A49" s="8" t="n">
        <f aca="false">Base!A49</f>
        <v>39447</v>
      </c>
      <c r="B49" s="10" t="str">
        <f aca="false">IF(COUNT(Transf!B$39:B49)&lt;36,"",(Transf!B49-AVERAGE(Transf!B$39:B49))/STDEV(Transf!B$39:B49))</f>
        <v/>
      </c>
      <c r="C49" s="10" t="str">
        <f aca="false">IF(COUNT(Transf!C$39:C49)&lt;36,"",(Transf!C49-AVERAGE(Transf!C$39:C49))/STDEV(Transf!C$39:C49))</f>
        <v/>
      </c>
      <c r="D49" s="10" t="str">
        <f aca="false">IF(COUNT(Transf!D$39:D49)&lt;36,"",(Transf!D49-AVERAGE(Transf!D$39:D49))/STDEV(Transf!D$39:D49))</f>
        <v/>
      </c>
      <c r="E49" s="10" t="str">
        <f aca="false">IF(COUNT(Transf!E$39:E49)&lt;36,"",(Transf!E49-AVERAGE(Transf!E$39:E49))/STDEV(Transf!E$39:E49))</f>
        <v/>
      </c>
      <c r="F49" s="10" t="str">
        <f aca="false">IF(COUNT(Transf!F$39:F49)&lt;36,"",(Transf!F49-AVERAGE(Transf!F$39:F49))/STDEV(Transf!F$39:F49))</f>
        <v/>
      </c>
      <c r="G49" s="10" t="str">
        <f aca="false">IF(COUNT(Transf!G$39:G49)&lt;36,"",(Transf!G49-AVERAGE(Transf!G$39:G49))/STDEV(Transf!G$39:G49))</f>
        <v/>
      </c>
      <c r="H49" s="10" t="str">
        <f aca="false">IF(COUNT(Transf!H$39:H49)&lt;36,"",(Transf!H49-AVERAGE(Transf!H$39:H49))/STDEV(Transf!H$39:H49))</f>
        <v/>
      </c>
      <c r="I49" s="10" t="str">
        <f aca="false">IF(COUNT(Transf!I$39:I49)&lt;36,"",(Transf!I49-AVERAGE(Transf!I$39:I49))/STDEV(Transf!I$39:I49))</f>
        <v/>
      </c>
    </row>
    <row r="50" customFormat="false" ht="15" hidden="false" customHeight="false" outlineLevel="0" collapsed="false">
      <c r="A50" s="8" t="n">
        <f aca="false">Base!A50</f>
        <v>39478</v>
      </c>
      <c r="B50" s="10" t="str">
        <f aca="false">IF(COUNT(Transf!B$39:B50)&lt;36,"",(Transf!B50-AVERAGE(Transf!B$39:B50))/STDEV(Transf!B$39:B50))</f>
        <v/>
      </c>
      <c r="C50" s="10" t="str">
        <f aca="false">IF(COUNT(Transf!C$39:C50)&lt;36,"",(Transf!C50-AVERAGE(Transf!C$39:C50))/STDEV(Transf!C$39:C50))</f>
        <v/>
      </c>
      <c r="D50" s="10" t="str">
        <f aca="false">IF(COUNT(Transf!D$39:D50)&lt;36,"",(Transf!D50-AVERAGE(Transf!D$39:D50))/STDEV(Transf!D$39:D50))</f>
        <v/>
      </c>
      <c r="E50" s="10" t="str">
        <f aca="false">IF(COUNT(Transf!E$39:E50)&lt;36,"",(Transf!E50-AVERAGE(Transf!E$39:E50))/STDEV(Transf!E$39:E50))</f>
        <v/>
      </c>
      <c r="F50" s="10" t="str">
        <f aca="false">IF(COUNT(Transf!F$39:F50)&lt;36,"",(Transf!F50-AVERAGE(Transf!F$39:F50))/STDEV(Transf!F$39:F50))</f>
        <v/>
      </c>
      <c r="G50" s="10" t="str">
        <f aca="false">IF(COUNT(Transf!G$39:G50)&lt;36,"",(Transf!G50-AVERAGE(Transf!G$39:G50))/STDEV(Transf!G$39:G50))</f>
        <v/>
      </c>
      <c r="H50" s="10" t="str">
        <f aca="false">IF(COUNT(Transf!H$39:H50)&lt;36,"",(Transf!H50-AVERAGE(Transf!H$39:H50))/STDEV(Transf!H$39:H50))</f>
        <v/>
      </c>
      <c r="I50" s="10" t="str">
        <f aca="false">IF(COUNT(Transf!I$39:I50)&lt;36,"",(Transf!I50-AVERAGE(Transf!I$39:I50))/STDEV(Transf!I$39:I50))</f>
        <v/>
      </c>
    </row>
    <row r="51" customFormat="false" ht="15" hidden="false" customHeight="false" outlineLevel="0" collapsed="false">
      <c r="A51" s="8" t="n">
        <f aca="false">Base!A51</f>
        <v>39507</v>
      </c>
      <c r="B51" s="10" t="str">
        <f aca="false">IF(COUNT(Transf!B$39:B51)&lt;36,"",(Transf!B51-AVERAGE(Transf!B$39:B51))/STDEV(Transf!B$39:B51))</f>
        <v/>
      </c>
      <c r="C51" s="10" t="str">
        <f aca="false">IF(COUNT(Transf!C$39:C51)&lt;36,"",(Transf!C51-AVERAGE(Transf!C$39:C51))/STDEV(Transf!C$39:C51))</f>
        <v/>
      </c>
      <c r="D51" s="10" t="str">
        <f aca="false">IF(COUNT(Transf!D$39:D51)&lt;36,"",(Transf!D51-AVERAGE(Transf!D$39:D51))/STDEV(Transf!D$39:D51))</f>
        <v/>
      </c>
      <c r="E51" s="10" t="str">
        <f aca="false">IF(COUNT(Transf!E$39:E51)&lt;36,"",(Transf!E51-AVERAGE(Transf!E$39:E51))/STDEV(Transf!E$39:E51))</f>
        <v/>
      </c>
      <c r="F51" s="10" t="str">
        <f aca="false">IF(COUNT(Transf!F$39:F51)&lt;36,"",(Transf!F51-AVERAGE(Transf!F$39:F51))/STDEV(Transf!F$39:F51))</f>
        <v/>
      </c>
      <c r="G51" s="10" t="str">
        <f aca="false">IF(COUNT(Transf!G$39:G51)&lt;36,"",(Transf!G51-AVERAGE(Transf!G$39:G51))/STDEV(Transf!G$39:G51))</f>
        <v/>
      </c>
      <c r="H51" s="10" t="str">
        <f aca="false">IF(COUNT(Transf!H$39:H51)&lt;36,"",(Transf!H51-AVERAGE(Transf!H$39:H51))/STDEV(Transf!H$39:H51))</f>
        <v/>
      </c>
      <c r="I51" s="10" t="str">
        <f aca="false">IF(COUNT(Transf!I$39:I51)&lt;36,"",(Transf!I51-AVERAGE(Transf!I$39:I51))/STDEV(Transf!I$39:I51))</f>
        <v/>
      </c>
    </row>
    <row r="52" customFormat="false" ht="15" hidden="false" customHeight="false" outlineLevel="0" collapsed="false">
      <c r="A52" s="8" t="n">
        <f aca="false">Base!A52</f>
        <v>39538</v>
      </c>
      <c r="B52" s="10" t="str">
        <f aca="false">IF(COUNT(Transf!B$39:B52)&lt;36,"",(Transf!B52-AVERAGE(Transf!B$39:B52))/STDEV(Transf!B$39:B52))</f>
        <v/>
      </c>
      <c r="C52" s="10" t="str">
        <f aca="false">IF(COUNT(Transf!C$39:C52)&lt;36,"",(Transf!C52-AVERAGE(Transf!C$39:C52))/STDEV(Transf!C$39:C52))</f>
        <v/>
      </c>
      <c r="D52" s="10" t="str">
        <f aca="false">IF(COUNT(Transf!D$39:D52)&lt;36,"",(Transf!D52-AVERAGE(Transf!D$39:D52))/STDEV(Transf!D$39:D52))</f>
        <v/>
      </c>
      <c r="E52" s="10" t="str">
        <f aca="false">IF(COUNT(Transf!E$39:E52)&lt;36,"",(Transf!E52-AVERAGE(Transf!E$39:E52))/STDEV(Transf!E$39:E52))</f>
        <v/>
      </c>
      <c r="F52" s="10" t="str">
        <f aca="false">IF(COUNT(Transf!F$39:F52)&lt;36,"",(Transf!F52-AVERAGE(Transf!F$39:F52))/STDEV(Transf!F$39:F52))</f>
        <v/>
      </c>
      <c r="G52" s="10" t="str">
        <f aca="false">IF(COUNT(Transf!G$39:G52)&lt;36,"",(Transf!G52-AVERAGE(Transf!G$39:G52))/STDEV(Transf!G$39:G52))</f>
        <v/>
      </c>
      <c r="H52" s="10" t="str">
        <f aca="false">IF(COUNT(Transf!H$39:H52)&lt;36,"",(Transf!H52-AVERAGE(Transf!H$39:H52))/STDEV(Transf!H$39:H52))</f>
        <v/>
      </c>
      <c r="I52" s="10" t="str">
        <f aca="false">IF(COUNT(Transf!I$39:I52)&lt;36,"",(Transf!I52-AVERAGE(Transf!I$39:I52))/STDEV(Transf!I$39:I52))</f>
        <v/>
      </c>
    </row>
    <row r="53" customFormat="false" ht="15" hidden="false" customHeight="false" outlineLevel="0" collapsed="false">
      <c r="A53" s="8" t="n">
        <f aca="false">Base!A53</f>
        <v>39568</v>
      </c>
      <c r="B53" s="10" t="str">
        <f aca="false">IF(COUNT(Transf!B$39:B53)&lt;36,"",(Transf!B53-AVERAGE(Transf!B$39:B53))/STDEV(Transf!B$39:B53))</f>
        <v/>
      </c>
      <c r="C53" s="10" t="str">
        <f aca="false">IF(COUNT(Transf!C$39:C53)&lt;36,"",(Transf!C53-AVERAGE(Transf!C$39:C53))/STDEV(Transf!C$39:C53))</f>
        <v/>
      </c>
      <c r="D53" s="10" t="str">
        <f aca="false">IF(COUNT(Transf!D$39:D53)&lt;36,"",(Transf!D53-AVERAGE(Transf!D$39:D53))/STDEV(Transf!D$39:D53))</f>
        <v/>
      </c>
      <c r="E53" s="10" t="str">
        <f aca="false">IF(COUNT(Transf!E$39:E53)&lt;36,"",(Transf!E53-AVERAGE(Transf!E$39:E53))/STDEV(Transf!E$39:E53))</f>
        <v/>
      </c>
      <c r="F53" s="10" t="str">
        <f aca="false">IF(COUNT(Transf!F$39:F53)&lt;36,"",(Transf!F53-AVERAGE(Transf!F$39:F53))/STDEV(Transf!F$39:F53))</f>
        <v/>
      </c>
      <c r="G53" s="10" t="str">
        <f aca="false">IF(COUNT(Transf!G$39:G53)&lt;36,"",(Transf!G53-AVERAGE(Transf!G$39:G53))/STDEV(Transf!G$39:G53))</f>
        <v/>
      </c>
      <c r="H53" s="10" t="str">
        <f aca="false">IF(COUNT(Transf!H$39:H53)&lt;36,"",(Transf!H53-AVERAGE(Transf!H$39:H53))/STDEV(Transf!H$39:H53))</f>
        <v/>
      </c>
      <c r="I53" s="10" t="str">
        <f aca="false">IF(COUNT(Transf!I$39:I53)&lt;36,"",(Transf!I53-AVERAGE(Transf!I$39:I53))/STDEV(Transf!I$39:I53))</f>
        <v/>
      </c>
    </row>
    <row r="54" customFormat="false" ht="15" hidden="false" customHeight="false" outlineLevel="0" collapsed="false">
      <c r="A54" s="8" t="n">
        <f aca="false">Base!A54</f>
        <v>39599</v>
      </c>
      <c r="B54" s="10" t="str">
        <f aca="false">IF(COUNT(Transf!B$39:B54)&lt;36,"",(Transf!B54-AVERAGE(Transf!B$39:B54))/STDEV(Transf!B$39:B54))</f>
        <v/>
      </c>
      <c r="C54" s="10" t="str">
        <f aca="false">IF(COUNT(Transf!C$39:C54)&lt;36,"",(Transf!C54-AVERAGE(Transf!C$39:C54))/STDEV(Transf!C$39:C54))</f>
        <v/>
      </c>
      <c r="D54" s="10" t="str">
        <f aca="false">IF(COUNT(Transf!D$39:D54)&lt;36,"",(Transf!D54-AVERAGE(Transf!D$39:D54))/STDEV(Transf!D$39:D54))</f>
        <v/>
      </c>
      <c r="E54" s="10" t="str">
        <f aca="false">IF(COUNT(Transf!E$39:E54)&lt;36,"",(Transf!E54-AVERAGE(Transf!E$39:E54))/STDEV(Transf!E$39:E54))</f>
        <v/>
      </c>
      <c r="F54" s="10" t="str">
        <f aca="false">IF(COUNT(Transf!F$39:F54)&lt;36,"",(Transf!F54-AVERAGE(Transf!F$39:F54))/STDEV(Transf!F$39:F54))</f>
        <v/>
      </c>
      <c r="G54" s="10" t="str">
        <f aca="false">IF(COUNT(Transf!G$39:G54)&lt;36,"",(Transf!G54-AVERAGE(Transf!G$39:G54))/STDEV(Transf!G$39:G54))</f>
        <v/>
      </c>
      <c r="H54" s="10" t="str">
        <f aca="false">IF(COUNT(Transf!H$39:H54)&lt;36,"",(Transf!H54-AVERAGE(Transf!H$39:H54))/STDEV(Transf!H$39:H54))</f>
        <v/>
      </c>
      <c r="I54" s="10" t="str">
        <f aca="false">IF(COUNT(Transf!I$39:I54)&lt;36,"",(Transf!I54-AVERAGE(Transf!I$39:I54))/STDEV(Transf!I$39:I54))</f>
        <v/>
      </c>
    </row>
    <row r="55" customFormat="false" ht="15" hidden="false" customHeight="false" outlineLevel="0" collapsed="false">
      <c r="A55" s="8" t="n">
        <f aca="false">Base!A55</f>
        <v>39629</v>
      </c>
      <c r="B55" s="10" t="str">
        <f aca="false">IF(COUNT(Transf!B$39:B55)&lt;36,"",(Transf!B55-AVERAGE(Transf!B$39:B55))/STDEV(Transf!B$39:B55))</f>
        <v/>
      </c>
      <c r="C55" s="10" t="str">
        <f aca="false">IF(COUNT(Transf!C$39:C55)&lt;36,"",(Transf!C55-AVERAGE(Transf!C$39:C55))/STDEV(Transf!C$39:C55))</f>
        <v/>
      </c>
      <c r="D55" s="10" t="str">
        <f aca="false">IF(COUNT(Transf!D$39:D55)&lt;36,"",(Transf!D55-AVERAGE(Transf!D$39:D55))/STDEV(Transf!D$39:D55))</f>
        <v/>
      </c>
      <c r="E55" s="10" t="str">
        <f aca="false">IF(COUNT(Transf!E$39:E55)&lt;36,"",(Transf!E55-AVERAGE(Transf!E$39:E55))/STDEV(Transf!E$39:E55))</f>
        <v/>
      </c>
      <c r="F55" s="10" t="str">
        <f aca="false">IF(COUNT(Transf!F$39:F55)&lt;36,"",(Transf!F55-AVERAGE(Transf!F$39:F55))/STDEV(Transf!F$39:F55))</f>
        <v/>
      </c>
      <c r="G55" s="10" t="str">
        <f aca="false">IF(COUNT(Transf!G$39:G55)&lt;36,"",(Transf!G55-AVERAGE(Transf!G$39:G55))/STDEV(Transf!G$39:G55))</f>
        <v/>
      </c>
      <c r="H55" s="10" t="str">
        <f aca="false">IF(COUNT(Transf!H$39:H55)&lt;36,"",(Transf!H55-AVERAGE(Transf!H$39:H55))/STDEV(Transf!H$39:H55))</f>
        <v/>
      </c>
      <c r="I55" s="10" t="str">
        <f aca="false">IF(COUNT(Transf!I$39:I55)&lt;36,"",(Transf!I55-AVERAGE(Transf!I$39:I55))/STDEV(Transf!I$39:I55))</f>
        <v/>
      </c>
    </row>
    <row r="56" customFormat="false" ht="15" hidden="false" customHeight="false" outlineLevel="0" collapsed="false">
      <c r="A56" s="8" t="n">
        <f aca="false">Base!A56</f>
        <v>39660</v>
      </c>
      <c r="B56" s="10" t="str">
        <f aca="false">IF(COUNT(Transf!B$39:B56)&lt;36,"",(Transf!B56-AVERAGE(Transf!B$39:B56))/STDEV(Transf!B$39:B56))</f>
        <v/>
      </c>
      <c r="C56" s="10" t="str">
        <f aca="false">IF(COUNT(Transf!C$39:C56)&lt;36,"",(Transf!C56-AVERAGE(Transf!C$39:C56))/STDEV(Transf!C$39:C56))</f>
        <v/>
      </c>
      <c r="D56" s="10" t="str">
        <f aca="false">IF(COUNT(Transf!D$39:D56)&lt;36,"",(Transf!D56-AVERAGE(Transf!D$39:D56))/STDEV(Transf!D$39:D56))</f>
        <v/>
      </c>
      <c r="E56" s="10" t="str">
        <f aca="false">IF(COUNT(Transf!E$39:E56)&lt;36,"",(Transf!E56-AVERAGE(Transf!E$39:E56))/STDEV(Transf!E$39:E56))</f>
        <v/>
      </c>
      <c r="F56" s="10" t="str">
        <f aca="false">IF(COUNT(Transf!F$39:F56)&lt;36,"",(Transf!F56-AVERAGE(Transf!F$39:F56))/STDEV(Transf!F$39:F56))</f>
        <v/>
      </c>
      <c r="G56" s="10" t="str">
        <f aca="false">IF(COUNT(Transf!G$39:G56)&lt;36,"",(Transf!G56-AVERAGE(Transf!G$39:G56))/STDEV(Transf!G$39:G56))</f>
        <v/>
      </c>
      <c r="H56" s="10" t="str">
        <f aca="false">IF(COUNT(Transf!H$39:H56)&lt;36,"",(Transf!H56-AVERAGE(Transf!H$39:H56))/STDEV(Transf!H$39:H56))</f>
        <v/>
      </c>
      <c r="I56" s="10" t="str">
        <f aca="false">IF(COUNT(Transf!I$39:I56)&lt;36,"",(Transf!I56-AVERAGE(Transf!I$39:I56))/STDEV(Transf!I$39:I56))</f>
        <v/>
      </c>
    </row>
    <row r="57" customFormat="false" ht="15" hidden="false" customHeight="false" outlineLevel="0" collapsed="false">
      <c r="A57" s="8" t="n">
        <f aca="false">Base!A57</f>
        <v>39691</v>
      </c>
      <c r="B57" s="10" t="str">
        <f aca="false">IF(COUNT(Transf!B$39:B57)&lt;36,"",(Transf!B57-AVERAGE(Transf!B$39:B57))/STDEV(Transf!B$39:B57))</f>
        <v/>
      </c>
      <c r="C57" s="10" t="str">
        <f aca="false">IF(COUNT(Transf!C$39:C57)&lt;36,"",(Transf!C57-AVERAGE(Transf!C$39:C57))/STDEV(Transf!C$39:C57))</f>
        <v/>
      </c>
      <c r="D57" s="10" t="str">
        <f aca="false">IF(COUNT(Transf!D$39:D57)&lt;36,"",(Transf!D57-AVERAGE(Transf!D$39:D57))/STDEV(Transf!D$39:D57))</f>
        <v/>
      </c>
      <c r="E57" s="10" t="str">
        <f aca="false">IF(COUNT(Transf!E$39:E57)&lt;36,"",(Transf!E57-AVERAGE(Transf!E$39:E57))/STDEV(Transf!E$39:E57))</f>
        <v/>
      </c>
      <c r="F57" s="10" t="str">
        <f aca="false">IF(COUNT(Transf!F$39:F57)&lt;36,"",(Transf!F57-AVERAGE(Transf!F$39:F57))/STDEV(Transf!F$39:F57))</f>
        <v/>
      </c>
      <c r="G57" s="10" t="str">
        <f aca="false">IF(COUNT(Transf!G$39:G57)&lt;36,"",(Transf!G57-AVERAGE(Transf!G$39:G57))/STDEV(Transf!G$39:G57))</f>
        <v/>
      </c>
      <c r="H57" s="10" t="str">
        <f aca="false">IF(COUNT(Transf!H$39:H57)&lt;36,"",(Transf!H57-AVERAGE(Transf!H$39:H57))/STDEV(Transf!H$39:H57))</f>
        <v/>
      </c>
      <c r="I57" s="10" t="str">
        <f aca="false">IF(COUNT(Transf!I$39:I57)&lt;36,"",(Transf!I57-AVERAGE(Transf!I$39:I57))/STDEV(Transf!I$39:I57))</f>
        <v/>
      </c>
    </row>
    <row r="58" customFormat="false" ht="15" hidden="false" customHeight="false" outlineLevel="0" collapsed="false">
      <c r="A58" s="8" t="n">
        <f aca="false">Base!A58</f>
        <v>39721</v>
      </c>
      <c r="B58" s="10" t="str">
        <f aca="false">IF(COUNT(Transf!B$39:B58)&lt;36,"",(Transf!B58-AVERAGE(Transf!B$39:B58))/STDEV(Transf!B$39:B58))</f>
        <v/>
      </c>
      <c r="C58" s="10" t="str">
        <f aca="false">IF(COUNT(Transf!C$39:C58)&lt;36,"",(Transf!C58-AVERAGE(Transf!C$39:C58))/STDEV(Transf!C$39:C58))</f>
        <v/>
      </c>
      <c r="D58" s="10" t="str">
        <f aca="false">IF(COUNT(Transf!D$39:D58)&lt;36,"",(Transf!D58-AVERAGE(Transf!D$39:D58))/STDEV(Transf!D$39:D58))</f>
        <v/>
      </c>
      <c r="E58" s="10" t="str">
        <f aca="false">IF(COUNT(Transf!E$39:E58)&lt;36,"",(Transf!E58-AVERAGE(Transf!E$39:E58))/STDEV(Transf!E$39:E58))</f>
        <v/>
      </c>
      <c r="F58" s="10" t="str">
        <f aca="false">IF(COUNT(Transf!F$39:F58)&lt;36,"",(Transf!F58-AVERAGE(Transf!F$39:F58))/STDEV(Transf!F$39:F58))</f>
        <v/>
      </c>
      <c r="G58" s="10" t="str">
        <f aca="false">IF(COUNT(Transf!G$39:G58)&lt;36,"",(Transf!G58-AVERAGE(Transf!G$39:G58))/STDEV(Transf!G$39:G58))</f>
        <v/>
      </c>
      <c r="H58" s="10" t="str">
        <f aca="false">IF(COUNT(Transf!H$39:H58)&lt;36,"",(Transf!H58-AVERAGE(Transf!H$39:H58))/STDEV(Transf!H$39:H58))</f>
        <v/>
      </c>
      <c r="I58" s="10" t="str">
        <f aca="false">IF(COUNT(Transf!I$39:I58)&lt;36,"",(Transf!I58-AVERAGE(Transf!I$39:I58))/STDEV(Transf!I$39:I58))</f>
        <v/>
      </c>
    </row>
    <row r="59" customFormat="false" ht="15" hidden="false" customHeight="false" outlineLevel="0" collapsed="false">
      <c r="A59" s="8" t="n">
        <f aca="false">Base!A59</f>
        <v>39752</v>
      </c>
      <c r="B59" s="10" t="str">
        <f aca="false">IF(COUNT(Transf!B$39:B59)&lt;36,"",(Transf!B59-AVERAGE(Transf!B$39:B59))/STDEV(Transf!B$39:B59))</f>
        <v/>
      </c>
      <c r="C59" s="10" t="str">
        <f aca="false">IF(COUNT(Transf!C$39:C59)&lt;36,"",(Transf!C59-AVERAGE(Transf!C$39:C59))/STDEV(Transf!C$39:C59))</f>
        <v/>
      </c>
      <c r="D59" s="10" t="str">
        <f aca="false">IF(COUNT(Transf!D$39:D59)&lt;36,"",(Transf!D59-AVERAGE(Transf!D$39:D59))/STDEV(Transf!D$39:D59))</f>
        <v/>
      </c>
      <c r="E59" s="10" t="str">
        <f aca="false">IF(COUNT(Transf!E$39:E59)&lt;36,"",(Transf!E59-AVERAGE(Transf!E$39:E59))/STDEV(Transf!E$39:E59))</f>
        <v/>
      </c>
      <c r="F59" s="10" t="str">
        <f aca="false">IF(COUNT(Transf!F$39:F59)&lt;36,"",(Transf!F59-AVERAGE(Transf!F$39:F59))/STDEV(Transf!F$39:F59))</f>
        <v/>
      </c>
      <c r="G59" s="10" t="str">
        <f aca="false">IF(COUNT(Transf!G$39:G59)&lt;36,"",(Transf!G59-AVERAGE(Transf!G$39:G59))/STDEV(Transf!G$39:G59))</f>
        <v/>
      </c>
      <c r="H59" s="10" t="str">
        <f aca="false">IF(COUNT(Transf!H$39:H59)&lt;36,"",(Transf!H59-AVERAGE(Transf!H$39:H59))/STDEV(Transf!H$39:H59))</f>
        <v/>
      </c>
      <c r="I59" s="10" t="str">
        <f aca="false">IF(COUNT(Transf!I$39:I59)&lt;36,"",(Transf!I59-AVERAGE(Transf!I$39:I59))/STDEV(Transf!I$39:I59))</f>
        <v/>
      </c>
    </row>
    <row r="60" customFormat="false" ht="15" hidden="false" customHeight="false" outlineLevel="0" collapsed="false">
      <c r="A60" s="8" t="n">
        <f aca="false">Base!A60</f>
        <v>39782</v>
      </c>
      <c r="B60" s="10" t="str">
        <f aca="false">IF(COUNT(Transf!B$39:B60)&lt;36,"",(Transf!B60-AVERAGE(Transf!B$39:B60))/STDEV(Transf!B$39:B60))</f>
        <v/>
      </c>
      <c r="C60" s="10" t="str">
        <f aca="false">IF(COUNT(Transf!C$39:C60)&lt;36,"",(Transf!C60-AVERAGE(Transf!C$39:C60))/STDEV(Transf!C$39:C60))</f>
        <v/>
      </c>
      <c r="D60" s="10" t="str">
        <f aca="false">IF(COUNT(Transf!D$39:D60)&lt;36,"",(Transf!D60-AVERAGE(Transf!D$39:D60))/STDEV(Transf!D$39:D60))</f>
        <v/>
      </c>
      <c r="E60" s="10" t="str">
        <f aca="false">IF(COUNT(Transf!E$39:E60)&lt;36,"",(Transf!E60-AVERAGE(Transf!E$39:E60))/STDEV(Transf!E$39:E60))</f>
        <v/>
      </c>
      <c r="F60" s="10" t="str">
        <f aca="false">IF(COUNT(Transf!F$39:F60)&lt;36,"",(Transf!F60-AVERAGE(Transf!F$39:F60))/STDEV(Transf!F$39:F60))</f>
        <v/>
      </c>
      <c r="G60" s="10" t="str">
        <f aca="false">IF(COUNT(Transf!G$39:G60)&lt;36,"",(Transf!G60-AVERAGE(Transf!G$39:G60))/STDEV(Transf!G$39:G60))</f>
        <v/>
      </c>
      <c r="H60" s="10" t="str">
        <f aca="false">IF(COUNT(Transf!H$39:H60)&lt;36,"",(Transf!H60-AVERAGE(Transf!H$39:H60))/STDEV(Transf!H$39:H60))</f>
        <v/>
      </c>
      <c r="I60" s="10" t="str">
        <f aca="false">IF(COUNT(Transf!I$39:I60)&lt;36,"",(Transf!I60-AVERAGE(Transf!I$39:I60))/STDEV(Transf!I$39:I60))</f>
        <v/>
      </c>
    </row>
    <row r="61" customFormat="false" ht="15" hidden="false" customHeight="false" outlineLevel="0" collapsed="false">
      <c r="A61" s="8" t="n">
        <f aca="false">Base!A61</f>
        <v>39813</v>
      </c>
      <c r="B61" s="10" t="str">
        <f aca="false">IF(COUNT(Transf!B$39:B61)&lt;36,"",(Transf!B61-AVERAGE(Transf!B$39:B61))/STDEV(Transf!B$39:B61))</f>
        <v/>
      </c>
      <c r="C61" s="10" t="str">
        <f aca="false">IF(COUNT(Transf!C$39:C61)&lt;36,"",(Transf!C61-AVERAGE(Transf!C$39:C61))/STDEV(Transf!C$39:C61))</f>
        <v/>
      </c>
      <c r="D61" s="10" t="str">
        <f aca="false">IF(COUNT(Transf!D$39:D61)&lt;36,"",(Transf!D61-AVERAGE(Transf!D$39:D61))/STDEV(Transf!D$39:D61))</f>
        <v/>
      </c>
      <c r="E61" s="10" t="str">
        <f aca="false">IF(COUNT(Transf!E$39:E61)&lt;36,"",(Transf!E61-AVERAGE(Transf!E$39:E61))/STDEV(Transf!E$39:E61))</f>
        <v/>
      </c>
      <c r="F61" s="10" t="str">
        <f aca="false">IF(COUNT(Transf!F$39:F61)&lt;36,"",(Transf!F61-AVERAGE(Transf!F$39:F61))/STDEV(Transf!F$39:F61))</f>
        <v/>
      </c>
      <c r="G61" s="10" t="str">
        <f aca="false">IF(COUNT(Transf!G$39:G61)&lt;36,"",(Transf!G61-AVERAGE(Transf!G$39:G61))/STDEV(Transf!G$39:G61))</f>
        <v/>
      </c>
      <c r="H61" s="10" t="str">
        <f aca="false">IF(COUNT(Transf!H$39:H61)&lt;36,"",(Transf!H61-AVERAGE(Transf!H$39:H61))/STDEV(Transf!H$39:H61))</f>
        <v/>
      </c>
      <c r="I61" s="10" t="str">
        <f aca="false">IF(COUNT(Transf!I$39:I61)&lt;36,"",(Transf!I61-AVERAGE(Transf!I$39:I61))/STDEV(Transf!I$39:I61))</f>
        <v/>
      </c>
    </row>
    <row r="62" customFormat="false" ht="15" hidden="false" customHeight="false" outlineLevel="0" collapsed="false">
      <c r="A62" s="8" t="n">
        <f aca="false">Base!A62</f>
        <v>39844</v>
      </c>
      <c r="B62" s="10" t="str">
        <f aca="false">IF(COUNT(Transf!B$39:B62)&lt;36,"",(Transf!B62-AVERAGE(Transf!B$39:B62))/STDEV(Transf!B$39:B62))</f>
        <v/>
      </c>
      <c r="C62" s="10" t="str">
        <f aca="false">IF(COUNT(Transf!C$39:C62)&lt;36,"",(Transf!C62-AVERAGE(Transf!C$39:C62))/STDEV(Transf!C$39:C62))</f>
        <v/>
      </c>
      <c r="D62" s="10" t="str">
        <f aca="false">IF(COUNT(Transf!D$39:D62)&lt;36,"",(Transf!D62-AVERAGE(Transf!D$39:D62))/STDEV(Transf!D$39:D62))</f>
        <v/>
      </c>
      <c r="E62" s="10" t="str">
        <f aca="false">IF(COUNT(Transf!E$39:E62)&lt;36,"",(Transf!E62-AVERAGE(Transf!E$39:E62))/STDEV(Transf!E$39:E62))</f>
        <v/>
      </c>
      <c r="F62" s="10" t="str">
        <f aca="false">IF(COUNT(Transf!F$39:F62)&lt;36,"",(Transf!F62-AVERAGE(Transf!F$39:F62))/STDEV(Transf!F$39:F62))</f>
        <v/>
      </c>
      <c r="G62" s="10" t="str">
        <f aca="false">IF(COUNT(Transf!G$39:G62)&lt;36,"",(Transf!G62-AVERAGE(Transf!G$39:G62))/STDEV(Transf!G$39:G62))</f>
        <v/>
      </c>
      <c r="H62" s="10" t="str">
        <f aca="false">IF(COUNT(Transf!H$39:H62)&lt;36,"",(Transf!H62-AVERAGE(Transf!H$39:H62))/STDEV(Transf!H$39:H62))</f>
        <v/>
      </c>
      <c r="I62" s="10" t="str">
        <f aca="false">IF(COUNT(Transf!I$39:I62)&lt;36,"",(Transf!I62-AVERAGE(Transf!I$39:I62))/STDEV(Transf!I$39:I62))</f>
        <v/>
      </c>
    </row>
    <row r="63" customFormat="false" ht="15" hidden="false" customHeight="false" outlineLevel="0" collapsed="false">
      <c r="A63" s="8" t="n">
        <f aca="false">Base!A63</f>
        <v>39872</v>
      </c>
      <c r="B63" s="10" t="str">
        <f aca="false">IF(COUNT(Transf!B$39:B63)&lt;36,"",(Transf!B63-AVERAGE(Transf!B$39:B63))/STDEV(Transf!B$39:B63))</f>
        <v/>
      </c>
      <c r="C63" s="10" t="str">
        <f aca="false">IF(COUNT(Transf!C$39:C63)&lt;36,"",(Transf!C63-AVERAGE(Transf!C$39:C63))/STDEV(Transf!C$39:C63))</f>
        <v/>
      </c>
      <c r="D63" s="10" t="str">
        <f aca="false">IF(COUNT(Transf!D$39:D63)&lt;36,"",(Transf!D63-AVERAGE(Transf!D$39:D63))/STDEV(Transf!D$39:D63))</f>
        <v/>
      </c>
      <c r="E63" s="10" t="str">
        <f aca="false">IF(COUNT(Transf!E$39:E63)&lt;36,"",(Transf!E63-AVERAGE(Transf!E$39:E63))/STDEV(Transf!E$39:E63))</f>
        <v/>
      </c>
      <c r="F63" s="10" t="str">
        <f aca="false">IF(COUNT(Transf!F$39:F63)&lt;36,"",(Transf!F63-AVERAGE(Transf!F$39:F63))/STDEV(Transf!F$39:F63))</f>
        <v/>
      </c>
      <c r="G63" s="10" t="str">
        <f aca="false">IF(COUNT(Transf!G$39:G63)&lt;36,"",(Transf!G63-AVERAGE(Transf!G$39:G63))/STDEV(Transf!G$39:G63))</f>
        <v/>
      </c>
      <c r="H63" s="10" t="str">
        <f aca="false">IF(COUNT(Transf!H$39:H63)&lt;36,"",(Transf!H63-AVERAGE(Transf!H$39:H63))/STDEV(Transf!H$39:H63))</f>
        <v/>
      </c>
      <c r="I63" s="10" t="str">
        <f aca="false">IF(COUNT(Transf!I$39:I63)&lt;36,"",(Transf!I63-AVERAGE(Transf!I$39:I63))/STDEV(Transf!I$39:I63))</f>
        <v/>
      </c>
    </row>
    <row r="64" customFormat="false" ht="15" hidden="false" customHeight="false" outlineLevel="0" collapsed="false">
      <c r="A64" s="8" t="n">
        <f aca="false">Base!A64</f>
        <v>39903</v>
      </c>
      <c r="B64" s="10" t="str">
        <f aca="false">IF(COUNT(Transf!B$39:B64)&lt;36,"",(Transf!B64-AVERAGE(Transf!B$39:B64))/STDEV(Transf!B$39:B64))</f>
        <v/>
      </c>
      <c r="C64" s="10" t="str">
        <f aca="false">IF(COUNT(Transf!C$39:C64)&lt;36,"",(Transf!C64-AVERAGE(Transf!C$39:C64))/STDEV(Transf!C$39:C64))</f>
        <v/>
      </c>
      <c r="D64" s="10" t="str">
        <f aca="false">IF(COUNT(Transf!D$39:D64)&lt;36,"",(Transf!D64-AVERAGE(Transf!D$39:D64))/STDEV(Transf!D$39:D64))</f>
        <v/>
      </c>
      <c r="E64" s="10" t="str">
        <f aca="false">IF(COUNT(Transf!E$39:E64)&lt;36,"",(Transf!E64-AVERAGE(Transf!E$39:E64))/STDEV(Transf!E$39:E64))</f>
        <v/>
      </c>
      <c r="F64" s="10" t="str">
        <f aca="false">IF(COUNT(Transf!F$39:F64)&lt;36,"",(Transf!F64-AVERAGE(Transf!F$39:F64))/STDEV(Transf!F$39:F64))</f>
        <v/>
      </c>
      <c r="G64" s="10" t="str">
        <f aca="false">IF(COUNT(Transf!G$39:G64)&lt;36,"",(Transf!G64-AVERAGE(Transf!G$39:G64))/STDEV(Transf!G$39:G64))</f>
        <v/>
      </c>
      <c r="H64" s="10" t="str">
        <f aca="false">IF(COUNT(Transf!H$39:H64)&lt;36,"",(Transf!H64-AVERAGE(Transf!H$39:H64))/STDEV(Transf!H$39:H64))</f>
        <v/>
      </c>
      <c r="I64" s="10" t="str">
        <f aca="false">IF(COUNT(Transf!I$39:I64)&lt;36,"",(Transf!I64-AVERAGE(Transf!I$39:I64))/STDEV(Transf!I$39:I64))</f>
        <v/>
      </c>
    </row>
    <row r="65" customFormat="false" ht="15" hidden="false" customHeight="false" outlineLevel="0" collapsed="false">
      <c r="A65" s="8" t="n">
        <f aca="false">Base!A65</f>
        <v>39933</v>
      </c>
      <c r="B65" s="10" t="str">
        <f aca="false">IF(COUNT(Transf!B$39:B65)&lt;36,"",(Transf!B65-AVERAGE(Transf!B$39:B65))/STDEV(Transf!B$39:B65))</f>
        <v/>
      </c>
      <c r="C65" s="10" t="str">
        <f aca="false">IF(COUNT(Transf!C$39:C65)&lt;36,"",(Transf!C65-AVERAGE(Transf!C$39:C65))/STDEV(Transf!C$39:C65))</f>
        <v/>
      </c>
      <c r="D65" s="10" t="str">
        <f aca="false">IF(COUNT(Transf!D$39:D65)&lt;36,"",(Transf!D65-AVERAGE(Transf!D$39:D65))/STDEV(Transf!D$39:D65))</f>
        <v/>
      </c>
      <c r="E65" s="10" t="str">
        <f aca="false">IF(COUNT(Transf!E$39:E65)&lt;36,"",(Transf!E65-AVERAGE(Transf!E$39:E65))/STDEV(Transf!E$39:E65))</f>
        <v/>
      </c>
      <c r="F65" s="10" t="str">
        <f aca="false">IF(COUNT(Transf!F$39:F65)&lt;36,"",(Transf!F65-AVERAGE(Transf!F$39:F65))/STDEV(Transf!F$39:F65))</f>
        <v/>
      </c>
      <c r="G65" s="10" t="str">
        <f aca="false">IF(COUNT(Transf!G$39:G65)&lt;36,"",(Transf!G65-AVERAGE(Transf!G$39:G65))/STDEV(Transf!G$39:G65))</f>
        <v/>
      </c>
      <c r="H65" s="10" t="str">
        <f aca="false">IF(COUNT(Transf!H$39:H65)&lt;36,"",(Transf!H65-AVERAGE(Transf!H$39:H65))/STDEV(Transf!H$39:H65))</f>
        <v/>
      </c>
      <c r="I65" s="10" t="str">
        <f aca="false">IF(COUNT(Transf!I$39:I65)&lt;36,"",(Transf!I65-AVERAGE(Transf!I$39:I65))/STDEV(Transf!I$39:I65))</f>
        <v/>
      </c>
    </row>
    <row r="66" customFormat="false" ht="15" hidden="false" customHeight="false" outlineLevel="0" collapsed="false">
      <c r="A66" s="8" t="n">
        <f aca="false">Base!A66</f>
        <v>39964</v>
      </c>
      <c r="B66" s="10" t="str">
        <f aca="false">IF(COUNT(Transf!B$39:B66)&lt;36,"",(Transf!B66-AVERAGE(Transf!B$39:B66))/STDEV(Transf!B$39:B66))</f>
        <v/>
      </c>
      <c r="C66" s="10" t="str">
        <f aca="false">IF(COUNT(Transf!C$39:C66)&lt;36,"",(Transf!C66-AVERAGE(Transf!C$39:C66))/STDEV(Transf!C$39:C66))</f>
        <v/>
      </c>
      <c r="D66" s="10" t="str">
        <f aca="false">IF(COUNT(Transf!D$39:D66)&lt;36,"",(Transf!D66-AVERAGE(Transf!D$39:D66))/STDEV(Transf!D$39:D66))</f>
        <v/>
      </c>
      <c r="E66" s="10" t="str">
        <f aca="false">IF(COUNT(Transf!E$39:E66)&lt;36,"",(Transf!E66-AVERAGE(Transf!E$39:E66))/STDEV(Transf!E$39:E66))</f>
        <v/>
      </c>
      <c r="F66" s="10" t="str">
        <f aca="false">IF(COUNT(Transf!F$39:F66)&lt;36,"",(Transf!F66-AVERAGE(Transf!F$39:F66))/STDEV(Transf!F$39:F66))</f>
        <v/>
      </c>
      <c r="G66" s="10" t="str">
        <f aca="false">IF(COUNT(Transf!G$39:G66)&lt;36,"",(Transf!G66-AVERAGE(Transf!G$39:G66))/STDEV(Transf!G$39:G66))</f>
        <v/>
      </c>
      <c r="H66" s="10" t="str">
        <f aca="false">IF(COUNT(Transf!H$39:H66)&lt;36,"",(Transf!H66-AVERAGE(Transf!H$39:H66))/STDEV(Transf!H$39:H66))</f>
        <v/>
      </c>
      <c r="I66" s="10" t="str">
        <f aca="false">IF(COUNT(Transf!I$39:I66)&lt;36,"",(Transf!I66-AVERAGE(Transf!I$39:I66))/STDEV(Transf!I$39:I66))</f>
        <v/>
      </c>
    </row>
    <row r="67" customFormat="false" ht="15" hidden="false" customHeight="false" outlineLevel="0" collapsed="false">
      <c r="A67" s="8" t="n">
        <f aca="false">Base!A67</f>
        <v>39994</v>
      </c>
      <c r="B67" s="10" t="str">
        <f aca="false">IF(COUNT(Transf!B$39:B67)&lt;36,"",(Transf!B67-AVERAGE(Transf!B$39:B67))/STDEV(Transf!B$39:B67))</f>
        <v/>
      </c>
      <c r="C67" s="10" t="str">
        <f aca="false">IF(COUNT(Transf!C$39:C67)&lt;36,"",(Transf!C67-AVERAGE(Transf!C$39:C67))/STDEV(Transf!C$39:C67))</f>
        <v/>
      </c>
      <c r="D67" s="10" t="str">
        <f aca="false">IF(COUNT(Transf!D$39:D67)&lt;36,"",(Transf!D67-AVERAGE(Transf!D$39:D67))/STDEV(Transf!D$39:D67))</f>
        <v/>
      </c>
      <c r="E67" s="10" t="str">
        <f aca="false">IF(COUNT(Transf!E$39:E67)&lt;36,"",(Transf!E67-AVERAGE(Transf!E$39:E67))/STDEV(Transf!E$39:E67))</f>
        <v/>
      </c>
      <c r="F67" s="10" t="str">
        <f aca="false">IF(COUNT(Transf!F$39:F67)&lt;36,"",(Transf!F67-AVERAGE(Transf!F$39:F67))/STDEV(Transf!F$39:F67))</f>
        <v/>
      </c>
      <c r="G67" s="10" t="str">
        <f aca="false">IF(COUNT(Transf!G$39:G67)&lt;36,"",(Transf!G67-AVERAGE(Transf!G$39:G67))/STDEV(Transf!G$39:G67))</f>
        <v/>
      </c>
      <c r="H67" s="10" t="str">
        <f aca="false">IF(COUNT(Transf!H$39:H67)&lt;36,"",(Transf!H67-AVERAGE(Transf!H$39:H67))/STDEV(Transf!H$39:H67))</f>
        <v/>
      </c>
      <c r="I67" s="10" t="str">
        <f aca="false">IF(COUNT(Transf!I$39:I67)&lt;36,"",(Transf!I67-AVERAGE(Transf!I$39:I67))/STDEV(Transf!I$39:I67))</f>
        <v/>
      </c>
    </row>
    <row r="68" customFormat="false" ht="15" hidden="false" customHeight="false" outlineLevel="0" collapsed="false">
      <c r="A68" s="8" t="n">
        <f aca="false">Base!A68</f>
        <v>40025</v>
      </c>
      <c r="B68" s="10" t="str">
        <f aca="false">IF(COUNT(Transf!B$39:B68)&lt;36,"",(Transf!B68-AVERAGE(Transf!B$39:B68))/STDEV(Transf!B$39:B68))</f>
        <v/>
      </c>
      <c r="C68" s="10" t="str">
        <f aca="false">IF(COUNT(Transf!C$39:C68)&lt;36,"",(Transf!C68-AVERAGE(Transf!C$39:C68))/STDEV(Transf!C$39:C68))</f>
        <v/>
      </c>
      <c r="D68" s="10" t="str">
        <f aca="false">IF(COUNT(Transf!D$39:D68)&lt;36,"",(Transf!D68-AVERAGE(Transf!D$39:D68))/STDEV(Transf!D$39:D68))</f>
        <v/>
      </c>
      <c r="E68" s="10" t="str">
        <f aca="false">IF(COUNT(Transf!E$39:E68)&lt;36,"",(Transf!E68-AVERAGE(Transf!E$39:E68))/STDEV(Transf!E$39:E68))</f>
        <v/>
      </c>
      <c r="F68" s="10" t="str">
        <f aca="false">IF(COUNT(Transf!F$39:F68)&lt;36,"",(Transf!F68-AVERAGE(Transf!F$39:F68))/STDEV(Transf!F$39:F68))</f>
        <v/>
      </c>
      <c r="G68" s="10" t="str">
        <f aca="false">IF(COUNT(Transf!G$39:G68)&lt;36,"",(Transf!G68-AVERAGE(Transf!G$39:G68))/STDEV(Transf!G$39:G68))</f>
        <v/>
      </c>
      <c r="H68" s="10" t="str">
        <f aca="false">IF(COUNT(Transf!H$39:H68)&lt;36,"",(Transf!H68-AVERAGE(Transf!H$39:H68))/STDEV(Transf!H$39:H68))</f>
        <v/>
      </c>
      <c r="I68" s="10" t="str">
        <f aca="false">IF(COUNT(Transf!I$39:I68)&lt;36,"",(Transf!I68-AVERAGE(Transf!I$39:I68))/STDEV(Transf!I$39:I68))</f>
        <v/>
      </c>
    </row>
    <row r="69" customFormat="false" ht="15" hidden="false" customHeight="false" outlineLevel="0" collapsed="false">
      <c r="A69" s="8" t="n">
        <f aca="false">Base!A69</f>
        <v>40056</v>
      </c>
      <c r="B69" s="10" t="str">
        <f aca="false">IF(COUNT(Transf!B$39:B69)&lt;36,"",(Transf!B69-AVERAGE(Transf!B$39:B69))/STDEV(Transf!B$39:B69))</f>
        <v/>
      </c>
      <c r="C69" s="10" t="str">
        <f aca="false">IF(COUNT(Transf!C$39:C69)&lt;36,"",(Transf!C69-AVERAGE(Transf!C$39:C69))/STDEV(Transf!C$39:C69))</f>
        <v/>
      </c>
      <c r="D69" s="10" t="str">
        <f aca="false">IF(COUNT(Transf!D$39:D69)&lt;36,"",(Transf!D69-AVERAGE(Transf!D$39:D69))/STDEV(Transf!D$39:D69))</f>
        <v/>
      </c>
      <c r="E69" s="10" t="str">
        <f aca="false">IF(COUNT(Transf!E$39:E69)&lt;36,"",(Transf!E69-AVERAGE(Transf!E$39:E69))/STDEV(Transf!E$39:E69))</f>
        <v/>
      </c>
      <c r="F69" s="10" t="str">
        <f aca="false">IF(COUNT(Transf!F$39:F69)&lt;36,"",(Transf!F69-AVERAGE(Transf!F$39:F69))/STDEV(Transf!F$39:F69))</f>
        <v/>
      </c>
      <c r="G69" s="10" t="str">
        <f aca="false">IF(COUNT(Transf!G$39:G69)&lt;36,"",(Transf!G69-AVERAGE(Transf!G$39:G69))/STDEV(Transf!G$39:G69))</f>
        <v/>
      </c>
      <c r="H69" s="10" t="str">
        <f aca="false">IF(COUNT(Transf!H$39:H69)&lt;36,"",(Transf!H69-AVERAGE(Transf!H$39:H69))/STDEV(Transf!H$39:H69))</f>
        <v/>
      </c>
      <c r="I69" s="10" t="str">
        <f aca="false">IF(COUNT(Transf!I$39:I69)&lt;36,"",(Transf!I69-AVERAGE(Transf!I$39:I69))/STDEV(Transf!I$39:I69))</f>
        <v/>
      </c>
    </row>
    <row r="70" customFormat="false" ht="15" hidden="false" customHeight="false" outlineLevel="0" collapsed="false">
      <c r="A70" s="8" t="n">
        <f aca="false">Base!A70</f>
        <v>40086</v>
      </c>
      <c r="B70" s="10" t="str">
        <f aca="false">IF(COUNT(Transf!B$39:B70)&lt;36,"",(Transf!B70-AVERAGE(Transf!B$39:B70))/STDEV(Transf!B$39:B70))</f>
        <v/>
      </c>
      <c r="C70" s="10" t="str">
        <f aca="false">IF(COUNT(Transf!C$39:C70)&lt;36,"",(Transf!C70-AVERAGE(Transf!C$39:C70))/STDEV(Transf!C$39:C70))</f>
        <v/>
      </c>
      <c r="D70" s="10" t="str">
        <f aca="false">IF(COUNT(Transf!D$39:D70)&lt;36,"",(Transf!D70-AVERAGE(Transf!D$39:D70))/STDEV(Transf!D$39:D70))</f>
        <v/>
      </c>
      <c r="E70" s="10" t="str">
        <f aca="false">IF(COUNT(Transf!E$39:E70)&lt;36,"",(Transf!E70-AVERAGE(Transf!E$39:E70))/STDEV(Transf!E$39:E70))</f>
        <v/>
      </c>
      <c r="F70" s="10" t="str">
        <f aca="false">IF(COUNT(Transf!F$39:F70)&lt;36,"",(Transf!F70-AVERAGE(Transf!F$39:F70))/STDEV(Transf!F$39:F70))</f>
        <v/>
      </c>
      <c r="G70" s="10" t="str">
        <f aca="false">IF(COUNT(Transf!G$39:G70)&lt;36,"",(Transf!G70-AVERAGE(Transf!G$39:G70))/STDEV(Transf!G$39:G70))</f>
        <v/>
      </c>
      <c r="H70" s="10" t="str">
        <f aca="false">IF(COUNT(Transf!H$39:H70)&lt;36,"",(Transf!H70-AVERAGE(Transf!H$39:H70))/STDEV(Transf!H$39:H70))</f>
        <v/>
      </c>
      <c r="I70" s="10" t="str">
        <f aca="false">IF(COUNT(Transf!I$39:I70)&lt;36,"",(Transf!I70-AVERAGE(Transf!I$39:I70))/STDEV(Transf!I$39:I70))</f>
        <v/>
      </c>
    </row>
    <row r="71" customFormat="false" ht="15" hidden="false" customHeight="false" outlineLevel="0" collapsed="false">
      <c r="A71" s="8" t="n">
        <f aca="false">Base!A71</f>
        <v>40117</v>
      </c>
      <c r="B71" s="10" t="str">
        <f aca="false">IF(COUNT(Transf!B$39:B71)&lt;36,"",(Transf!B71-AVERAGE(Transf!B$39:B71))/STDEV(Transf!B$39:B71))</f>
        <v/>
      </c>
      <c r="C71" s="10" t="str">
        <f aca="false">IF(COUNT(Transf!C$39:C71)&lt;36,"",(Transf!C71-AVERAGE(Transf!C$39:C71))/STDEV(Transf!C$39:C71))</f>
        <v/>
      </c>
      <c r="D71" s="10" t="str">
        <f aca="false">IF(COUNT(Transf!D$39:D71)&lt;36,"",(Transf!D71-AVERAGE(Transf!D$39:D71))/STDEV(Transf!D$39:D71))</f>
        <v/>
      </c>
      <c r="E71" s="10" t="str">
        <f aca="false">IF(COUNT(Transf!E$39:E71)&lt;36,"",(Transf!E71-AVERAGE(Transf!E$39:E71))/STDEV(Transf!E$39:E71))</f>
        <v/>
      </c>
      <c r="F71" s="10" t="str">
        <f aca="false">IF(COUNT(Transf!F$39:F71)&lt;36,"",(Transf!F71-AVERAGE(Transf!F$39:F71))/STDEV(Transf!F$39:F71))</f>
        <v/>
      </c>
      <c r="G71" s="10" t="str">
        <f aca="false">IF(COUNT(Transf!G$39:G71)&lt;36,"",(Transf!G71-AVERAGE(Transf!G$39:G71))/STDEV(Transf!G$39:G71))</f>
        <v/>
      </c>
      <c r="H71" s="10" t="str">
        <f aca="false">IF(COUNT(Transf!H$39:H71)&lt;36,"",(Transf!H71-AVERAGE(Transf!H$39:H71))/STDEV(Transf!H$39:H71))</f>
        <v/>
      </c>
      <c r="I71" s="10" t="str">
        <f aca="false">IF(COUNT(Transf!I$39:I71)&lt;36,"",(Transf!I71-AVERAGE(Transf!I$39:I71))/STDEV(Transf!I$39:I71))</f>
        <v/>
      </c>
    </row>
    <row r="72" customFormat="false" ht="15" hidden="false" customHeight="false" outlineLevel="0" collapsed="false">
      <c r="A72" s="8" t="n">
        <f aca="false">Base!A72</f>
        <v>40147</v>
      </c>
      <c r="B72" s="10" t="str">
        <f aca="false">IF(COUNT(Transf!B$39:B72)&lt;36,"",(Transf!B72-AVERAGE(Transf!B$39:B72))/STDEV(Transf!B$39:B72))</f>
        <v/>
      </c>
      <c r="C72" s="10" t="str">
        <f aca="false">IF(COUNT(Transf!C$39:C72)&lt;36,"",(Transf!C72-AVERAGE(Transf!C$39:C72))/STDEV(Transf!C$39:C72))</f>
        <v/>
      </c>
      <c r="D72" s="10" t="str">
        <f aca="false">IF(COUNT(Transf!D$39:D72)&lt;36,"",(Transf!D72-AVERAGE(Transf!D$39:D72))/STDEV(Transf!D$39:D72))</f>
        <v/>
      </c>
      <c r="E72" s="10" t="str">
        <f aca="false">IF(COUNT(Transf!E$39:E72)&lt;36,"",(Transf!E72-AVERAGE(Transf!E$39:E72))/STDEV(Transf!E$39:E72))</f>
        <v/>
      </c>
      <c r="F72" s="10" t="str">
        <f aca="false">IF(COUNT(Transf!F$39:F72)&lt;36,"",(Transf!F72-AVERAGE(Transf!F$39:F72))/STDEV(Transf!F$39:F72))</f>
        <v/>
      </c>
      <c r="G72" s="10" t="str">
        <f aca="false">IF(COUNT(Transf!G$39:G72)&lt;36,"",(Transf!G72-AVERAGE(Transf!G$39:G72))/STDEV(Transf!G$39:G72))</f>
        <v/>
      </c>
      <c r="H72" s="10" t="str">
        <f aca="false">IF(COUNT(Transf!H$39:H72)&lt;36,"",(Transf!H72-AVERAGE(Transf!H$39:H72))/STDEV(Transf!H$39:H72))</f>
        <v/>
      </c>
      <c r="I72" s="10" t="str">
        <f aca="false">IF(COUNT(Transf!I$39:I72)&lt;36,"",(Transf!I72-AVERAGE(Transf!I$39:I72))/STDEV(Transf!I$39:I72))</f>
        <v/>
      </c>
    </row>
    <row r="73" customFormat="false" ht="15" hidden="false" customHeight="false" outlineLevel="0" collapsed="false">
      <c r="A73" s="8" t="n">
        <f aca="false">Base!A73</f>
        <v>40178</v>
      </c>
      <c r="B73" s="10" t="str">
        <f aca="false">IF(COUNT(Transf!B$39:B73)&lt;36,"",(Transf!B73-AVERAGE(Transf!B$39:B73))/STDEV(Transf!B$39:B73))</f>
        <v/>
      </c>
      <c r="C73" s="10" t="str">
        <f aca="false">IF(COUNT(Transf!C$39:C73)&lt;36,"",(Transf!C73-AVERAGE(Transf!C$39:C73))/STDEV(Transf!C$39:C73))</f>
        <v/>
      </c>
      <c r="D73" s="10" t="str">
        <f aca="false">IF(COUNT(Transf!D$39:D73)&lt;36,"",(Transf!D73-AVERAGE(Transf!D$39:D73))/STDEV(Transf!D$39:D73))</f>
        <v/>
      </c>
      <c r="E73" s="10" t="str">
        <f aca="false">IF(COUNT(Transf!E$39:E73)&lt;36,"",(Transf!E73-AVERAGE(Transf!E$39:E73))/STDEV(Transf!E$39:E73))</f>
        <v/>
      </c>
      <c r="F73" s="10" t="str">
        <f aca="false">IF(COUNT(Transf!F$39:F73)&lt;36,"",(Transf!F73-AVERAGE(Transf!F$39:F73))/STDEV(Transf!F$39:F73))</f>
        <v/>
      </c>
      <c r="G73" s="10" t="str">
        <f aca="false">IF(COUNT(Transf!G$39:G73)&lt;36,"",(Transf!G73-AVERAGE(Transf!G$39:G73))/STDEV(Transf!G$39:G73))</f>
        <v/>
      </c>
      <c r="H73" s="10" t="str">
        <f aca="false">IF(COUNT(Transf!H$39:H73)&lt;36,"",(Transf!H73-AVERAGE(Transf!H$39:H73))/STDEV(Transf!H$39:H73))</f>
        <v/>
      </c>
      <c r="I73" s="10" t="str">
        <f aca="false">IF(COUNT(Transf!I$39:I73)&lt;36,"",(Transf!I73-AVERAGE(Transf!I$39:I73))/STDEV(Transf!I$39:I73))</f>
        <v/>
      </c>
    </row>
    <row r="74" customFormat="false" ht="15" hidden="false" customHeight="false" outlineLevel="0" collapsed="false">
      <c r="A74" s="8" t="n">
        <f aca="false">Base!A74</f>
        <v>40209</v>
      </c>
      <c r="B74" s="10" t="n">
        <f aca="false">IF(COUNT(Transf!B$39:B74)&lt;36,"",(Transf!B74-AVERAGE(Transf!B$39:B74))/STDEV(Transf!B$39:B74))</f>
        <v>0.127762129888697</v>
      </c>
      <c r="C74" s="10" t="n">
        <f aca="false">IF(COUNT(Transf!C$39:C74)&lt;36,"",(Transf!C74-AVERAGE(Transf!C$39:C74))/STDEV(Transf!C$39:C74))</f>
        <v>0.447080676750039</v>
      </c>
      <c r="D74" s="10" t="n">
        <f aca="false">IF(COUNT(Transf!D$39:D74)&lt;36,"",(Transf!D74-AVERAGE(Transf!D$39:D74))/STDEV(Transf!D$39:D74))</f>
        <v>0.302543415722365</v>
      </c>
      <c r="E74" s="10" t="n">
        <f aca="false">IF(COUNT(Transf!E$39:E74)&lt;36,"",(Transf!E74-AVERAGE(Transf!E$39:E74))/STDEV(Transf!E$39:E74))</f>
        <v>-0.808587337371411</v>
      </c>
      <c r="F74" s="10" t="n">
        <f aca="false">IF(COUNT(Transf!F$39:F74)&lt;36,"",(Transf!F74-AVERAGE(Transf!F$39:F74))/STDEV(Transf!F$39:F74))</f>
        <v>-1.04061946288229</v>
      </c>
      <c r="G74" s="10" t="n">
        <f aca="false">IF(COUNT(Transf!G$39:G74)&lt;36,"",(Transf!G74-AVERAGE(Transf!G$39:G74))/STDEV(Transf!G$39:G74))</f>
        <v>1.74121841981113</v>
      </c>
      <c r="H74" s="10" t="n">
        <f aca="false">IF(COUNT(Transf!H$39:H74)&lt;36,"",(Transf!H74-AVERAGE(Transf!H$39:H74))/STDEV(Transf!H$39:H74))</f>
        <v>0.0777780526697481</v>
      </c>
      <c r="I74" s="10" t="n">
        <f aca="false">IF(COUNT(Transf!I$39:I74)&lt;36,"",(Transf!I74-AVERAGE(Transf!I$39:I74))/STDEV(Transf!I$39:I74))</f>
        <v>0.98128025145884</v>
      </c>
      <c r="J74" s="10" t="n">
        <f aca="false">IF(B74="","",IF(COUNT(B$74:B74)&lt;60,B74,MEDIAN(QUARTILE(B$74:B74,1)-1.5*(QUARTILE(B$74:B74,3)-QUARTILE(B$74:B74,1)),B74,QUARTILE(B$74:B74,3)+1.5*(QUARTILE(B$74:B74,3)-QUARTILE(B$74:B74,1)))))</f>
        <v>0.127762129888697</v>
      </c>
      <c r="K74" s="10" t="n">
        <f aca="false">IF(C74="","",IF(COUNT(C$74:C74)&lt;60,C74,MEDIAN(QUARTILE(C$74:C74,1)-1.5*(QUARTILE(C$74:C74,3)-QUARTILE(C$74:C74,1)),C74,QUARTILE(C$74:C74,3)+1.5*(QUARTILE(C$74:C74,3)-QUARTILE(C$74:C74,1)))))</f>
        <v>0.447080676750039</v>
      </c>
      <c r="L74" s="10" t="n">
        <f aca="false">IF(D74="","",IF(COUNT(D$74:D74)&lt;60,D74,MEDIAN(QUARTILE(D$74:D74,1)-1.5*(QUARTILE(D$74:D74,3)-QUARTILE(D$74:D74,1)),D74,QUARTILE(D$74:D74,3)+1.5*(QUARTILE(D$74:D74,3)-QUARTILE(D$74:D74,1)))))</f>
        <v>0.302543415722365</v>
      </c>
      <c r="M74" s="10" t="n">
        <f aca="false">IF(E74="","",IF(COUNT(E$74:E74)&lt;60,E74,MEDIAN(QUARTILE(E$74:E74,1)-1.5*(QUARTILE(E$74:E74,3)-QUARTILE(E$74:E74,1)),E74,QUARTILE(E$74:E74,3)+1.5*(QUARTILE(E$74:E74,3)-QUARTILE(E$74:E74,1)))))</f>
        <v>-0.808587337371411</v>
      </c>
      <c r="N74" s="10" t="n">
        <f aca="false">IF(F74="","",IF(COUNT(F$74:F74)&lt;60,F74,MEDIAN(QUARTILE(F$74:F74,1)-1.5*(QUARTILE(F$74:F74,3)-QUARTILE(F$74:F74,1)),F74,QUARTILE(F$74:F74,3)+1.5*(QUARTILE(F$74:F74,3)-QUARTILE(F$74:F74,1)))))</f>
        <v>-1.04061946288229</v>
      </c>
      <c r="O74" s="10" t="n">
        <f aca="false">IF(G74="","",IF(COUNT(G$74:G74)&lt;60,G74,MEDIAN(QUARTILE(G$74:G74,1)-1.5*(QUARTILE(G$74:G74,3)-QUARTILE(G$74:G74,1)),G74,QUARTILE(G$74:G74,3)+1.5*(QUARTILE(G$74:G74,3)-QUARTILE(G$74:G74,1)))))</f>
        <v>1.74121841981113</v>
      </c>
      <c r="P74" s="10" t="n">
        <f aca="false">IF(H74="","",IF(COUNT(H$74:H74)&lt;60,H74,MEDIAN(QUARTILE(H$74:H74,1)-1.5*(QUARTILE(H$74:H74,3)-QUARTILE(H$74:H74,1)),H74,QUARTILE(H$74:H74,3)+1.5*(QUARTILE(H$74:H74,3)-QUARTILE(H$74:H74,1)))))</f>
        <v>0.0777780526697481</v>
      </c>
      <c r="Q74" s="10" t="n">
        <f aca="false">IF(I74="","",IF(COUNT(I$74:I74)&lt;60,I74,MEDIAN(QUARTILE(I$74:I74,1)-1.5*(QUARTILE(I$74:I74,3)-QUARTILE(I$74:I74,1)),I74,QUARTILE(I$74:I74,3)+1.5*(QUARTILE(I$74:I74,3)-QUARTILE(I$74:I74,1)))))</f>
        <v>0.98128025145884</v>
      </c>
      <c r="R74" s="10" t="n">
        <f aca="false">IF(J74="","",MEDIAN(J74:Q74))</f>
        <v>0.215152772805531</v>
      </c>
      <c r="S74" s="10" t="n">
        <f aca="false">IF(R74="","",ABS(R74))</f>
        <v>0.215152772805531</v>
      </c>
      <c r="T74" s="10" t="str">
        <f aca="false">IF(COUNT(S$74:S73)&lt;60,"",MEDIAN(S$74:S73))</f>
        <v/>
      </c>
      <c r="U74" s="10" t="n">
        <f aca="false">IF(R74="","",IF(T74="",0,IF(S74&gt;=T74,R74,0)))</f>
        <v>0</v>
      </c>
      <c r="V74" s="10" t="n">
        <f aca="false">IF(U74="","",MEDIAN(-1,U74,1))</f>
        <v>0</v>
      </c>
      <c r="W74" s="10" t="n">
        <f aca="false">IF(J74="","",AVERAGE(J74:Q74))</f>
        <v>0.22855701825589</v>
      </c>
    </row>
    <row r="75" customFormat="false" ht="15" hidden="false" customHeight="false" outlineLevel="0" collapsed="false">
      <c r="A75" s="8" t="n">
        <f aca="false">Base!A75</f>
        <v>40237</v>
      </c>
      <c r="B75" s="10" t="n">
        <f aca="false">IF(COUNT(Transf!B$39:B75)&lt;36,"",(Transf!B75-AVERAGE(Transf!B$39:B75))/STDEV(Transf!B$39:B75))</f>
        <v>0.142159224890976</v>
      </c>
      <c r="C75" s="10" t="n">
        <f aca="false">IF(COUNT(Transf!C$39:C75)&lt;36,"",(Transf!C75-AVERAGE(Transf!C$39:C75))/STDEV(Transf!C$39:C75))</f>
        <v>0.618177632312437</v>
      </c>
      <c r="D75" s="10" t="n">
        <f aca="false">IF(COUNT(Transf!D$39:D75)&lt;36,"",(Transf!D75-AVERAGE(Transf!D$39:D75))/STDEV(Transf!D$39:D75))</f>
        <v>0.420396257354271</v>
      </c>
      <c r="E75" s="10" t="n">
        <f aca="false">IF(COUNT(Transf!E$39:E75)&lt;36,"",(Transf!E75-AVERAGE(Transf!E$39:E75))/STDEV(Transf!E$39:E75))</f>
        <v>-0.323023043648154</v>
      </c>
      <c r="F75" s="10" t="n">
        <f aca="false">IF(COUNT(Transf!F$39:F75)&lt;36,"",(Transf!F75-AVERAGE(Transf!F$39:F75))/STDEV(Transf!F$39:F75))</f>
        <v>-0.626382737763356</v>
      </c>
      <c r="G75" s="10" t="n">
        <f aca="false">IF(COUNT(Transf!G$39:G75)&lt;36,"",(Transf!G75-AVERAGE(Transf!G$39:G75))/STDEV(Transf!G$39:G75))</f>
        <v>1.1043792220825</v>
      </c>
      <c r="H75" s="10" t="n">
        <f aca="false">IF(COUNT(Transf!H$39:H75)&lt;36,"",(Transf!H75-AVERAGE(Transf!H$39:H75))/STDEV(Transf!H$39:H75))</f>
        <v>0.386093304603956</v>
      </c>
      <c r="I75" s="10" t="n">
        <f aca="false">IF(COUNT(Transf!I$39:I75)&lt;36,"",(Transf!I75-AVERAGE(Transf!I$39:I75))/STDEV(Transf!I$39:I75))</f>
        <v>-0.248019855015068</v>
      </c>
      <c r="J75" s="10" t="n">
        <f aca="false">IF(B75="","",IF(COUNT(B$74:B75)&lt;60,B75,MEDIAN(QUARTILE(B$74:B75,1)-1.5*(QUARTILE(B$74:B75,3)-QUARTILE(B$74:B75,1)),B75,QUARTILE(B$74:B75,3)+1.5*(QUARTILE(B$74:B75,3)-QUARTILE(B$74:B75,1)))))</f>
        <v>0.142159224890976</v>
      </c>
      <c r="K75" s="10" t="n">
        <f aca="false">IF(C75="","",IF(COUNT(C$74:C75)&lt;60,C75,MEDIAN(QUARTILE(C$74:C75,1)-1.5*(QUARTILE(C$74:C75,3)-QUARTILE(C$74:C75,1)),C75,QUARTILE(C$74:C75,3)+1.5*(QUARTILE(C$74:C75,3)-QUARTILE(C$74:C75,1)))))</f>
        <v>0.618177632312437</v>
      </c>
      <c r="L75" s="10" t="n">
        <f aca="false">IF(D75="","",IF(COUNT(D$74:D75)&lt;60,D75,MEDIAN(QUARTILE(D$74:D75,1)-1.5*(QUARTILE(D$74:D75,3)-QUARTILE(D$74:D75,1)),D75,QUARTILE(D$74:D75,3)+1.5*(QUARTILE(D$74:D75,3)-QUARTILE(D$74:D75,1)))))</f>
        <v>0.420396257354271</v>
      </c>
      <c r="M75" s="10" t="n">
        <f aca="false">IF(E75="","",IF(COUNT(E$74:E75)&lt;60,E75,MEDIAN(QUARTILE(E$74:E75,1)-1.5*(QUARTILE(E$74:E75,3)-QUARTILE(E$74:E75,1)),E75,QUARTILE(E$74:E75,3)+1.5*(QUARTILE(E$74:E75,3)-QUARTILE(E$74:E75,1)))))</f>
        <v>-0.323023043648154</v>
      </c>
      <c r="N75" s="10" t="n">
        <f aca="false">IF(F75="","",IF(COUNT(F$74:F75)&lt;60,F75,MEDIAN(QUARTILE(F$74:F75,1)-1.5*(QUARTILE(F$74:F75,3)-QUARTILE(F$74:F75,1)),F75,QUARTILE(F$74:F75,3)+1.5*(QUARTILE(F$74:F75,3)-QUARTILE(F$74:F75,1)))))</f>
        <v>-0.626382737763356</v>
      </c>
      <c r="O75" s="10" t="n">
        <f aca="false">IF(G75="","",IF(COUNT(G$74:G75)&lt;60,G75,MEDIAN(QUARTILE(G$74:G75,1)-1.5*(QUARTILE(G$74:G75,3)-QUARTILE(G$74:G75,1)),G75,QUARTILE(G$74:G75,3)+1.5*(QUARTILE(G$74:G75,3)-QUARTILE(G$74:G75,1)))))</f>
        <v>1.1043792220825</v>
      </c>
      <c r="P75" s="10" t="n">
        <f aca="false">IF(H75="","",IF(COUNT(H$74:H75)&lt;60,H75,MEDIAN(QUARTILE(H$74:H75,1)-1.5*(QUARTILE(H$74:H75,3)-QUARTILE(H$74:H75,1)),H75,QUARTILE(H$74:H75,3)+1.5*(QUARTILE(H$74:H75,3)-QUARTILE(H$74:H75,1)))))</f>
        <v>0.386093304603956</v>
      </c>
      <c r="Q75" s="10" t="n">
        <f aca="false">IF(I75="","",IF(COUNT(I$74:I75)&lt;60,I75,MEDIAN(QUARTILE(I$74:I75,1)-1.5*(QUARTILE(I$74:I75,3)-QUARTILE(I$74:I75,1)),I75,QUARTILE(I$74:I75,3)+1.5*(QUARTILE(I$74:I75,3)-QUARTILE(I$74:I75,1)))))</f>
        <v>-0.248019855015068</v>
      </c>
      <c r="R75" s="10" t="n">
        <f aca="false">IF(J75="","",MEDIAN(J75:Q75))</f>
        <v>0.264126264747466</v>
      </c>
      <c r="S75" s="10" t="n">
        <f aca="false">IF(R75="","",ABS(R75))</f>
        <v>0.264126264747466</v>
      </c>
      <c r="T75" s="10" t="str">
        <f aca="false">IF(COUNT(S$74:S74)&lt;60,"",MEDIAN(S$74:S74))</f>
        <v/>
      </c>
      <c r="U75" s="10" t="n">
        <f aca="false">IF(R75="","",IF(T75="",0,IF(S75&gt;=T75,R75,0)))</f>
        <v>0</v>
      </c>
      <c r="V75" s="10" t="n">
        <f aca="false">IF(U75="","",MEDIAN(-1,U75,1))</f>
        <v>0</v>
      </c>
      <c r="W75" s="10" t="n">
        <f aca="false">IF(J75="","",AVERAGE(J75:Q75))</f>
        <v>0.184222500602195</v>
      </c>
    </row>
    <row r="76" customFormat="false" ht="15" hidden="false" customHeight="false" outlineLevel="0" collapsed="false">
      <c r="A76" s="8" t="n">
        <f aca="false">Base!A76</f>
        <v>40268</v>
      </c>
      <c r="B76" s="10" t="n">
        <f aca="false">IF(COUNT(Transf!B$39:B76)&lt;36,"",(Transf!B76-AVERAGE(Transf!B$39:B76))/STDEV(Transf!B$39:B76))</f>
        <v>0.0958729192088075</v>
      </c>
      <c r="C76" s="10" t="n">
        <f aca="false">IF(COUNT(Transf!C$39:C76)&lt;36,"",(Transf!C76-AVERAGE(Transf!C$39:C76))/STDEV(Transf!C$39:C76))</f>
        <v>0.941270354413495</v>
      </c>
      <c r="D76" s="10" t="n">
        <f aca="false">IF(COUNT(Transf!D$39:D76)&lt;36,"",(Transf!D76-AVERAGE(Transf!D$39:D76))/STDEV(Transf!D$39:D76))</f>
        <v>0.635173011499636</v>
      </c>
      <c r="E76" s="10" t="n">
        <f aca="false">IF(COUNT(Transf!E$39:E76)&lt;36,"",(Transf!E76-AVERAGE(Transf!E$39:E76))/STDEV(Transf!E$39:E76))</f>
        <v>0.0137922843387283</v>
      </c>
      <c r="F76" s="10" t="n">
        <f aca="false">IF(COUNT(Transf!F$39:F76)&lt;36,"",(Transf!F76-AVERAGE(Transf!F$39:F76))/STDEV(Transf!F$39:F76))</f>
        <v>-0.397256132079008</v>
      </c>
      <c r="G76" s="10" t="n">
        <f aca="false">IF(COUNT(Transf!G$39:G76)&lt;36,"",(Transf!G76-AVERAGE(Transf!G$39:G76))/STDEV(Transf!G$39:G76))</f>
        <v>0.629637287942653</v>
      </c>
      <c r="H76" s="10" t="n">
        <f aca="false">IF(COUNT(Transf!H$39:H76)&lt;36,"",(Transf!H76-AVERAGE(Transf!H$39:H76))/STDEV(Transf!H$39:H76))</f>
        <v>0.523027271137354</v>
      </c>
      <c r="I76" s="10" t="n">
        <f aca="false">IF(COUNT(Transf!I$39:I76)&lt;36,"",(Transf!I76-AVERAGE(Transf!I$39:I76))/STDEV(Transf!I$39:I76))</f>
        <v>-0.472290983003907</v>
      </c>
      <c r="J76" s="10" t="n">
        <f aca="false">IF(B76="","",IF(COUNT(B$74:B76)&lt;60,B76,MEDIAN(QUARTILE(B$74:B76,1)-1.5*(QUARTILE(B$74:B76,3)-QUARTILE(B$74:B76,1)),B76,QUARTILE(B$74:B76,3)+1.5*(QUARTILE(B$74:B76,3)-QUARTILE(B$74:B76,1)))))</f>
        <v>0.0958729192088075</v>
      </c>
      <c r="K76" s="10" t="n">
        <f aca="false">IF(C76="","",IF(COUNT(C$74:C76)&lt;60,C76,MEDIAN(QUARTILE(C$74:C76,1)-1.5*(QUARTILE(C$74:C76,3)-QUARTILE(C$74:C76,1)),C76,QUARTILE(C$74:C76,3)+1.5*(QUARTILE(C$74:C76,3)-QUARTILE(C$74:C76,1)))))</f>
        <v>0.941270354413495</v>
      </c>
      <c r="L76" s="10" t="n">
        <f aca="false">IF(D76="","",IF(COUNT(D$74:D76)&lt;60,D76,MEDIAN(QUARTILE(D$74:D76,1)-1.5*(QUARTILE(D$74:D76,3)-QUARTILE(D$74:D76,1)),D76,QUARTILE(D$74:D76,3)+1.5*(QUARTILE(D$74:D76,3)-QUARTILE(D$74:D76,1)))))</f>
        <v>0.635173011499636</v>
      </c>
      <c r="M76" s="10" t="n">
        <f aca="false">IF(E76="","",IF(COUNT(E$74:E76)&lt;60,E76,MEDIAN(QUARTILE(E$74:E76,1)-1.5*(QUARTILE(E$74:E76,3)-QUARTILE(E$74:E76,1)),E76,QUARTILE(E$74:E76,3)+1.5*(QUARTILE(E$74:E76,3)-QUARTILE(E$74:E76,1)))))</f>
        <v>0.0137922843387283</v>
      </c>
      <c r="N76" s="10" t="n">
        <f aca="false">IF(F76="","",IF(COUNT(F$74:F76)&lt;60,F76,MEDIAN(QUARTILE(F$74:F76,1)-1.5*(QUARTILE(F$74:F76,3)-QUARTILE(F$74:F76,1)),F76,QUARTILE(F$74:F76,3)+1.5*(QUARTILE(F$74:F76,3)-QUARTILE(F$74:F76,1)))))</f>
        <v>-0.397256132079008</v>
      </c>
      <c r="O76" s="10" t="n">
        <f aca="false">IF(G76="","",IF(COUNT(G$74:G76)&lt;60,G76,MEDIAN(QUARTILE(G$74:G76,1)-1.5*(QUARTILE(G$74:G76,3)-QUARTILE(G$74:G76,1)),G76,QUARTILE(G$74:G76,3)+1.5*(QUARTILE(G$74:G76,3)-QUARTILE(G$74:G76,1)))))</f>
        <v>0.629637287942653</v>
      </c>
      <c r="P76" s="10" t="n">
        <f aca="false">IF(H76="","",IF(COUNT(H$74:H76)&lt;60,H76,MEDIAN(QUARTILE(H$74:H76,1)-1.5*(QUARTILE(H$74:H76,3)-QUARTILE(H$74:H76,1)),H76,QUARTILE(H$74:H76,3)+1.5*(QUARTILE(H$74:H76,3)-QUARTILE(H$74:H76,1)))))</f>
        <v>0.523027271137354</v>
      </c>
      <c r="Q76" s="10" t="n">
        <f aca="false">IF(I76="","",IF(COUNT(I$74:I76)&lt;60,I76,MEDIAN(QUARTILE(I$74:I76,1)-1.5*(QUARTILE(I$74:I76,3)-QUARTILE(I$74:I76,1)),I76,QUARTILE(I$74:I76,3)+1.5*(QUARTILE(I$74:I76,3)-QUARTILE(I$74:I76,1)))))</f>
        <v>-0.472290983003907</v>
      </c>
      <c r="R76" s="10" t="n">
        <f aca="false">IF(J76="","",MEDIAN(J76:Q76))</f>
        <v>0.309450095173081</v>
      </c>
      <c r="S76" s="10" t="n">
        <f aca="false">IF(R76="","",ABS(R76))</f>
        <v>0.309450095173081</v>
      </c>
      <c r="T76" s="10" t="str">
        <f aca="false">IF(COUNT(S$74:S75)&lt;60,"",MEDIAN(S$74:S75))</f>
        <v/>
      </c>
      <c r="U76" s="10" t="n">
        <f aca="false">IF(R76="","",IF(T76="",0,IF(S76&gt;=T76,R76,0)))</f>
        <v>0</v>
      </c>
      <c r="V76" s="10" t="n">
        <f aca="false">IF(U76="","",MEDIAN(-1,U76,1))</f>
        <v>0</v>
      </c>
      <c r="W76" s="10" t="n">
        <f aca="false">IF(J76="","",AVERAGE(J76:Q76))</f>
        <v>0.24615325168222</v>
      </c>
    </row>
    <row r="77" customFormat="false" ht="15" hidden="false" customHeight="false" outlineLevel="0" collapsed="false">
      <c r="A77" s="8" t="n">
        <f aca="false">Base!A77</f>
        <v>40298</v>
      </c>
      <c r="B77" s="10" t="n">
        <f aca="false">IF(COUNT(Transf!B$39:B77)&lt;36,"",(Transf!B77-AVERAGE(Transf!B$39:B77))/STDEV(Transf!B$39:B77))</f>
        <v>0.153179930690094</v>
      </c>
      <c r="C77" s="10" t="n">
        <f aca="false">IF(COUNT(Transf!C$39:C77)&lt;36,"",(Transf!C77-AVERAGE(Transf!C$39:C77))/STDEV(Transf!C$39:C77))</f>
        <v>1.42875010624315</v>
      </c>
      <c r="D77" s="10" t="n">
        <f aca="false">IF(COUNT(Transf!D$39:D77)&lt;36,"",(Transf!D77-AVERAGE(Transf!D$39:D77))/STDEV(Transf!D$39:D77))</f>
        <v>0.838296661540617</v>
      </c>
      <c r="E77" s="10" t="n">
        <f aca="false">IF(COUNT(Transf!E$39:E77)&lt;36,"",(Transf!E77-AVERAGE(Transf!E$39:E77))/STDEV(Transf!E$39:E77))</f>
        <v>0.255273373608594</v>
      </c>
      <c r="F77" s="10" t="n">
        <f aca="false">IF(COUNT(Transf!F$39:F77)&lt;36,"",(Transf!F77-AVERAGE(Transf!F$39:F77))/STDEV(Transf!F$39:F77))</f>
        <v>-0.461984692589376</v>
      </c>
      <c r="G77" s="10" t="n">
        <f aca="false">IF(COUNT(Transf!G$39:G77)&lt;36,"",(Transf!G77-AVERAGE(Transf!G$39:G77))/STDEV(Transf!G$39:G77))</f>
        <v>0.263767837665393</v>
      </c>
      <c r="H77" s="10" t="n">
        <f aca="false">IF(COUNT(Transf!H$39:H77)&lt;36,"",(Transf!H77-AVERAGE(Transf!H$39:H77))/STDEV(Transf!H$39:H77))</f>
        <v>0.466758480722145</v>
      </c>
      <c r="I77" s="10" t="n">
        <f aca="false">IF(COUNT(Transf!I$39:I77)&lt;36,"",(Transf!I77-AVERAGE(Transf!I$39:I77))/STDEV(Transf!I$39:I77))</f>
        <v>0.551705066530609</v>
      </c>
      <c r="J77" s="10" t="n">
        <f aca="false">IF(B77="","",IF(COUNT(B$74:B77)&lt;60,B77,MEDIAN(QUARTILE(B$74:B77,1)-1.5*(QUARTILE(B$74:B77,3)-QUARTILE(B$74:B77,1)),B77,QUARTILE(B$74:B77,3)+1.5*(QUARTILE(B$74:B77,3)-QUARTILE(B$74:B77,1)))))</f>
        <v>0.153179930690094</v>
      </c>
      <c r="K77" s="10" t="n">
        <f aca="false">IF(C77="","",IF(COUNT(C$74:C77)&lt;60,C77,MEDIAN(QUARTILE(C$74:C77,1)-1.5*(QUARTILE(C$74:C77,3)-QUARTILE(C$74:C77,1)),C77,QUARTILE(C$74:C77,3)+1.5*(QUARTILE(C$74:C77,3)-QUARTILE(C$74:C77,1)))))</f>
        <v>1.42875010624315</v>
      </c>
      <c r="L77" s="10" t="n">
        <f aca="false">IF(D77="","",IF(COUNT(D$74:D77)&lt;60,D77,MEDIAN(QUARTILE(D$74:D77,1)-1.5*(QUARTILE(D$74:D77,3)-QUARTILE(D$74:D77,1)),D77,QUARTILE(D$74:D77,3)+1.5*(QUARTILE(D$74:D77,3)-QUARTILE(D$74:D77,1)))))</f>
        <v>0.838296661540617</v>
      </c>
      <c r="M77" s="10" t="n">
        <f aca="false">IF(E77="","",IF(COUNT(E$74:E77)&lt;60,E77,MEDIAN(QUARTILE(E$74:E77,1)-1.5*(QUARTILE(E$74:E77,3)-QUARTILE(E$74:E77,1)),E77,QUARTILE(E$74:E77,3)+1.5*(QUARTILE(E$74:E77,3)-QUARTILE(E$74:E77,1)))))</f>
        <v>0.255273373608594</v>
      </c>
      <c r="N77" s="10" t="n">
        <f aca="false">IF(F77="","",IF(COUNT(F$74:F77)&lt;60,F77,MEDIAN(QUARTILE(F$74:F77,1)-1.5*(QUARTILE(F$74:F77,3)-QUARTILE(F$74:F77,1)),F77,QUARTILE(F$74:F77,3)+1.5*(QUARTILE(F$74:F77,3)-QUARTILE(F$74:F77,1)))))</f>
        <v>-0.461984692589376</v>
      </c>
      <c r="O77" s="10" t="n">
        <f aca="false">IF(G77="","",IF(COUNT(G$74:G77)&lt;60,G77,MEDIAN(QUARTILE(G$74:G77,1)-1.5*(QUARTILE(G$74:G77,3)-QUARTILE(G$74:G77,1)),G77,QUARTILE(G$74:G77,3)+1.5*(QUARTILE(G$74:G77,3)-QUARTILE(G$74:G77,1)))))</f>
        <v>0.263767837665393</v>
      </c>
      <c r="P77" s="10" t="n">
        <f aca="false">IF(H77="","",IF(COUNT(H$74:H77)&lt;60,H77,MEDIAN(QUARTILE(H$74:H77,1)-1.5*(QUARTILE(H$74:H77,3)-QUARTILE(H$74:H77,1)),H77,QUARTILE(H$74:H77,3)+1.5*(QUARTILE(H$74:H77,3)-QUARTILE(H$74:H77,1)))))</f>
        <v>0.466758480722145</v>
      </c>
      <c r="Q77" s="10" t="n">
        <f aca="false">IF(I77="","",IF(COUNT(I$74:I77)&lt;60,I77,MEDIAN(QUARTILE(I$74:I77,1)-1.5*(QUARTILE(I$74:I77,3)-QUARTILE(I$74:I77,1)),I77,QUARTILE(I$74:I77,3)+1.5*(QUARTILE(I$74:I77,3)-QUARTILE(I$74:I77,1)))))</f>
        <v>0.551705066530609</v>
      </c>
      <c r="R77" s="10" t="n">
        <f aca="false">IF(J77="","",MEDIAN(J77:Q77))</f>
        <v>0.365263159193769</v>
      </c>
      <c r="S77" s="10" t="n">
        <f aca="false">IF(R77="","",ABS(R77))</f>
        <v>0.365263159193769</v>
      </c>
      <c r="T77" s="10" t="str">
        <f aca="false">IF(COUNT(S$74:S76)&lt;60,"",MEDIAN(S$74:S76))</f>
        <v/>
      </c>
      <c r="U77" s="10" t="n">
        <f aca="false">IF(R77="","",IF(T77="",0,IF(S77&gt;=T77,R77,0)))</f>
        <v>0</v>
      </c>
      <c r="V77" s="10" t="n">
        <f aca="false">IF(U77="","",MEDIAN(-1,U77,1))</f>
        <v>0</v>
      </c>
      <c r="W77" s="10" t="n">
        <f aca="false">IF(J77="","",AVERAGE(J77:Q77))</f>
        <v>0.436968345551403</v>
      </c>
    </row>
    <row r="78" customFormat="false" ht="15" hidden="false" customHeight="false" outlineLevel="0" collapsed="false">
      <c r="A78" s="8" t="n">
        <f aca="false">Base!A78</f>
        <v>40329</v>
      </c>
      <c r="B78" s="10" t="n">
        <f aca="false">IF(COUNT(Transf!B$39:B78)&lt;36,"",(Transf!B78-AVERAGE(Transf!B$39:B78))/STDEV(Transf!B$39:B78))</f>
        <v>0.490483463630801</v>
      </c>
      <c r="C78" s="10" t="n">
        <f aca="false">IF(COUNT(Transf!C$39:C78)&lt;36,"",(Transf!C78-AVERAGE(Transf!C$39:C78))/STDEV(Transf!C$39:C78))</f>
        <v>2.06973094309764</v>
      </c>
      <c r="D78" s="10" t="n">
        <f aca="false">IF(COUNT(Transf!D$39:D78)&lt;36,"",(Transf!D78-AVERAGE(Transf!D$39:D78))/STDEV(Transf!D$39:D78))</f>
        <v>1.32300786757127</v>
      </c>
      <c r="E78" s="10" t="n">
        <f aca="false">IF(COUNT(Transf!E$39:E78)&lt;36,"",(Transf!E78-AVERAGE(Transf!E$39:E78))/STDEV(Transf!E$39:E78))</f>
        <v>0.272821521190873</v>
      </c>
      <c r="F78" s="10" t="n">
        <f aca="false">IF(COUNT(Transf!F$39:F78)&lt;36,"",(Transf!F78-AVERAGE(Transf!F$39:F78))/STDEV(Transf!F$39:F78))</f>
        <v>-0.363893790873085</v>
      </c>
      <c r="G78" s="10" t="n">
        <f aca="false">IF(COUNT(Transf!G$39:G78)&lt;36,"",(Transf!G78-AVERAGE(Transf!G$39:G78))/STDEV(Transf!G$39:G78))</f>
        <v>-0.354360304246447</v>
      </c>
      <c r="H78" s="10" t="n">
        <f aca="false">IF(COUNT(Transf!H$39:H78)&lt;36,"",(Transf!H78-AVERAGE(Transf!H$39:H78))/STDEV(Transf!H$39:H78))</f>
        <v>0.393060135443578</v>
      </c>
      <c r="I78" s="10" t="n">
        <f aca="false">IF(COUNT(Transf!I$39:I78)&lt;36,"",(Transf!I78-AVERAGE(Transf!I$39:I78))/STDEV(Transf!I$39:I78))</f>
        <v>0.715152324819363</v>
      </c>
      <c r="J78" s="10" t="n">
        <f aca="false">IF(B78="","",IF(COUNT(B$74:B78)&lt;60,B78,MEDIAN(QUARTILE(B$74:B78,1)-1.5*(QUARTILE(B$74:B78,3)-QUARTILE(B$74:B78,1)),B78,QUARTILE(B$74:B78,3)+1.5*(QUARTILE(B$74:B78,3)-QUARTILE(B$74:B78,1)))))</f>
        <v>0.490483463630801</v>
      </c>
      <c r="K78" s="10" t="n">
        <f aca="false">IF(C78="","",IF(COUNT(C$74:C78)&lt;60,C78,MEDIAN(QUARTILE(C$74:C78,1)-1.5*(QUARTILE(C$74:C78,3)-QUARTILE(C$74:C78,1)),C78,QUARTILE(C$74:C78,3)+1.5*(QUARTILE(C$74:C78,3)-QUARTILE(C$74:C78,1)))))</f>
        <v>2.06973094309764</v>
      </c>
      <c r="L78" s="10" t="n">
        <f aca="false">IF(D78="","",IF(COUNT(D$74:D78)&lt;60,D78,MEDIAN(QUARTILE(D$74:D78,1)-1.5*(QUARTILE(D$74:D78,3)-QUARTILE(D$74:D78,1)),D78,QUARTILE(D$74:D78,3)+1.5*(QUARTILE(D$74:D78,3)-QUARTILE(D$74:D78,1)))))</f>
        <v>1.32300786757127</v>
      </c>
      <c r="M78" s="10" t="n">
        <f aca="false">IF(E78="","",IF(COUNT(E$74:E78)&lt;60,E78,MEDIAN(QUARTILE(E$74:E78,1)-1.5*(QUARTILE(E$74:E78,3)-QUARTILE(E$74:E78,1)),E78,QUARTILE(E$74:E78,3)+1.5*(QUARTILE(E$74:E78,3)-QUARTILE(E$74:E78,1)))))</f>
        <v>0.272821521190873</v>
      </c>
      <c r="N78" s="10" t="n">
        <f aca="false">IF(F78="","",IF(COUNT(F$74:F78)&lt;60,F78,MEDIAN(QUARTILE(F$74:F78,1)-1.5*(QUARTILE(F$74:F78,3)-QUARTILE(F$74:F78,1)),F78,QUARTILE(F$74:F78,3)+1.5*(QUARTILE(F$74:F78,3)-QUARTILE(F$74:F78,1)))))</f>
        <v>-0.363893790873085</v>
      </c>
      <c r="O78" s="10" t="n">
        <f aca="false">IF(G78="","",IF(COUNT(G$74:G78)&lt;60,G78,MEDIAN(QUARTILE(G$74:G78,1)-1.5*(QUARTILE(G$74:G78,3)-QUARTILE(G$74:G78,1)),G78,QUARTILE(G$74:G78,3)+1.5*(QUARTILE(G$74:G78,3)-QUARTILE(G$74:G78,1)))))</f>
        <v>-0.354360304246447</v>
      </c>
      <c r="P78" s="10" t="n">
        <f aca="false">IF(H78="","",IF(COUNT(H$74:H78)&lt;60,H78,MEDIAN(QUARTILE(H$74:H78,1)-1.5*(QUARTILE(H$74:H78,3)-QUARTILE(H$74:H78,1)),H78,QUARTILE(H$74:H78,3)+1.5*(QUARTILE(H$74:H78,3)-QUARTILE(H$74:H78,1)))))</f>
        <v>0.393060135443578</v>
      </c>
      <c r="Q78" s="10" t="n">
        <f aca="false">IF(I78="","",IF(COUNT(I$74:I78)&lt;60,I78,MEDIAN(QUARTILE(I$74:I78,1)-1.5*(QUARTILE(I$74:I78,3)-QUARTILE(I$74:I78,1)),I78,QUARTILE(I$74:I78,3)+1.5*(QUARTILE(I$74:I78,3)-QUARTILE(I$74:I78,1)))))</f>
        <v>0.715152324819363</v>
      </c>
      <c r="R78" s="10" t="n">
        <f aca="false">IF(J78="","",MEDIAN(J78:Q78))</f>
        <v>0.441771799537189</v>
      </c>
      <c r="S78" s="10" t="n">
        <f aca="false">IF(R78="","",ABS(R78))</f>
        <v>0.441771799537189</v>
      </c>
      <c r="T78" s="10" t="str">
        <f aca="false">IF(COUNT(S$74:S77)&lt;60,"",MEDIAN(S$74:S77))</f>
        <v/>
      </c>
      <c r="U78" s="10" t="n">
        <f aca="false">IF(R78="","",IF(T78="",0,IF(S78&gt;=T78,R78,0)))</f>
        <v>0</v>
      </c>
      <c r="V78" s="10" t="n">
        <f aca="false">IF(U78="","",MEDIAN(-1,U78,1))</f>
        <v>0</v>
      </c>
      <c r="W78" s="10" t="n">
        <f aca="false">IF(J78="","",AVERAGE(J78:Q78))</f>
        <v>0.56825027007925</v>
      </c>
    </row>
    <row r="79" customFormat="false" ht="15" hidden="false" customHeight="false" outlineLevel="0" collapsed="false">
      <c r="A79" s="8" t="n">
        <f aca="false">Base!A79</f>
        <v>40359</v>
      </c>
      <c r="B79" s="10" t="n">
        <f aca="false">IF(COUNT(Transf!B$39:B79)&lt;36,"",(Transf!B79-AVERAGE(Transf!B$39:B79))/STDEV(Transf!B$39:B79))</f>
        <v>0.650296734895376</v>
      </c>
      <c r="C79" s="10" t="n">
        <f aca="false">IF(COUNT(Transf!C$39:C79)&lt;36,"",(Transf!C79-AVERAGE(Transf!C$39:C79))/STDEV(Transf!C$39:C79))</f>
        <v>2.25490173535287</v>
      </c>
      <c r="D79" s="10" t="n">
        <f aca="false">IF(COUNT(Transf!D$39:D79)&lt;36,"",(Transf!D79-AVERAGE(Transf!D$39:D79))/STDEV(Transf!D$39:D79))</f>
        <v>1.47971733949234</v>
      </c>
      <c r="E79" s="10" t="n">
        <f aca="false">IF(COUNT(Transf!E$39:E79)&lt;36,"",(Transf!E79-AVERAGE(Transf!E$39:E79))/STDEV(Transf!E$39:E79))</f>
        <v>0.30294043387435</v>
      </c>
      <c r="F79" s="10" t="n">
        <f aca="false">IF(COUNT(Transf!F$39:F79)&lt;36,"",(Transf!F79-AVERAGE(Transf!F$39:F79))/STDEV(Transf!F$39:F79))</f>
        <v>-0.100427017846231</v>
      </c>
      <c r="G79" s="10" t="n">
        <f aca="false">IF(COUNT(Transf!G$39:G79)&lt;36,"",(Transf!G79-AVERAGE(Transf!G$39:G79))/STDEV(Transf!G$39:G79))</f>
        <v>-0.796094457548444</v>
      </c>
      <c r="H79" s="10" t="n">
        <f aca="false">IF(COUNT(Transf!H$39:H79)&lt;36,"",(Transf!H79-AVERAGE(Transf!H$39:H79))/STDEV(Transf!H$39:H79))</f>
        <v>0.206600325004388</v>
      </c>
      <c r="I79" s="10" t="n">
        <f aca="false">IF(COUNT(Transf!I$39:I79)&lt;36,"",(Transf!I79-AVERAGE(Transf!I$39:I79))/STDEV(Transf!I$39:I79))</f>
        <v>0.733331629737602</v>
      </c>
      <c r="J79" s="10" t="n">
        <f aca="false">IF(B79="","",IF(COUNT(B$74:B79)&lt;60,B79,MEDIAN(QUARTILE(B$74:B79,1)-1.5*(QUARTILE(B$74:B79,3)-QUARTILE(B$74:B79,1)),B79,QUARTILE(B$74:B79,3)+1.5*(QUARTILE(B$74:B79,3)-QUARTILE(B$74:B79,1)))))</f>
        <v>0.650296734895376</v>
      </c>
      <c r="K79" s="10" t="n">
        <f aca="false">IF(C79="","",IF(COUNT(C$74:C79)&lt;60,C79,MEDIAN(QUARTILE(C$74:C79,1)-1.5*(QUARTILE(C$74:C79,3)-QUARTILE(C$74:C79,1)),C79,QUARTILE(C$74:C79,3)+1.5*(QUARTILE(C$74:C79,3)-QUARTILE(C$74:C79,1)))))</f>
        <v>2.25490173535287</v>
      </c>
      <c r="L79" s="10" t="n">
        <f aca="false">IF(D79="","",IF(COUNT(D$74:D79)&lt;60,D79,MEDIAN(QUARTILE(D$74:D79,1)-1.5*(QUARTILE(D$74:D79,3)-QUARTILE(D$74:D79,1)),D79,QUARTILE(D$74:D79,3)+1.5*(QUARTILE(D$74:D79,3)-QUARTILE(D$74:D79,1)))))</f>
        <v>1.47971733949234</v>
      </c>
      <c r="M79" s="10" t="n">
        <f aca="false">IF(E79="","",IF(COUNT(E$74:E79)&lt;60,E79,MEDIAN(QUARTILE(E$74:E79,1)-1.5*(QUARTILE(E$74:E79,3)-QUARTILE(E$74:E79,1)),E79,QUARTILE(E$74:E79,3)+1.5*(QUARTILE(E$74:E79,3)-QUARTILE(E$74:E79,1)))))</f>
        <v>0.30294043387435</v>
      </c>
      <c r="N79" s="10" t="n">
        <f aca="false">IF(F79="","",IF(COUNT(F$74:F79)&lt;60,F79,MEDIAN(QUARTILE(F$74:F79,1)-1.5*(QUARTILE(F$74:F79,3)-QUARTILE(F$74:F79,1)),F79,QUARTILE(F$74:F79,3)+1.5*(QUARTILE(F$74:F79,3)-QUARTILE(F$74:F79,1)))))</f>
        <v>-0.100427017846231</v>
      </c>
      <c r="O79" s="10" t="n">
        <f aca="false">IF(G79="","",IF(COUNT(G$74:G79)&lt;60,G79,MEDIAN(QUARTILE(G$74:G79,1)-1.5*(QUARTILE(G$74:G79,3)-QUARTILE(G$74:G79,1)),G79,QUARTILE(G$74:G79,3)+1.5*(QUARTILE(G$74:G79,3)-QUARTILE(G$74:G79,1)))))</f>
        <v>-0.796094457548444</v>
      </c>
      <c r="P79" s="10" t="n">
        <f aca="false">IF(H79="","",IF(COUNT(H$74:H79)&lt;60,H79,MEDIAN(QUARTILE(H$74:H79,1)-1.5*(QUARTILE(H$74:H79,3)-QUARTILE(H$74:H79,1)),H79,QUARTILE(H$74:H79,3)+1.5*(QUARTILE(H$74:H79,3)-QUARTILE(H$74:H79,1)))))</f>
        <v>0.206600325004388</v>
      </c>
      <c r="Q79" s="10" t="n">
        <f aca="false">IF(I79="","",IF(COUNT(I$74:I79)&lt;60,I79,MEDIAN(QUARTILE(I$74:I79,1)-1.5*(QUARTILE(I$74:I79,3)-QUARTILE(I$74:I79,1)),I79,QUARTILE(I$74:I79,3)+1.5*(QUARTILE(I$74:I79,3)-QUARTILE(I$74:I79,1)))))</f>
        <v>0.733331629737602</v>
      </c>
      <c r="R79" s="10" t="n">
        <f aca="false">IF(J79="","",MEDIAN(J79:Q79))</f>
        <v>0.476618584384863</v>
      </c>
      <c r="S79" s="10" t="n">
        <f aca="false">IF(R79="","",ABS(R79))</f>
        <v>0.476618584384863</v>
      </c>
      <c r="T79" s="10" t="str">
        <f aca="false">IF(COUNT(S$74:S78)&lt;60,"",MEDIAN(S$74:S78))</f>
        <v/>
      </c>
      <c r="U79" s="10" t="n">
        <f aca="false">IF(R79="","",IF(T79="",0,IF(S79&gt;=T79,R79,0)))</f>
        <v>0</v>
      </c>
      <c r="V79" s="10" t="n">
        <f aca="false">IF(U79="","",MEDIAN(-1,U79,1))</f>
        <v>0</v>
      </c>
      <c r="W79" s="10" t="n">
        <f aca="false">IF(J79="","",AVERAGE(J79:Q79))</f>
        <v>0.591408340370281</v>
      </c>
    </row>
    <row r="80" customFormat="false" ht="15" hidden="false" customHeight="false" outlineLevel="0" collapsed="false">
      <c r="A80" s="8" t="n">
        <f aca="false">Base!A80</f>
        <v>40390</v>
      </c>
      <c r="B80" s="10" t="n">
        <f aca="false">IF(COUNT(Transf!B$39:B80)&lt;36,"",(Transf!B80-AVERAGE(Transf!B$39:B80))/STDEV(Transf!B$39:B80))</f>
        <v>0.618187617546259</v>
      </c>
      <c r="C80" s="10" t="n">
        <f aca="false">IF(COUNT(Transf!C$39:C80)&lt;36,"",(Transf!C80-AVERAGE(Transf!C$39:C80))/STDEV(Transf!C$39:C80))</f>
        <v>1.91308246000249</v>
      </c>
      <c r="D80" s="10" t="n">
        <f aca="false">IF(COUNT(Transf!D$39:D80)&lt;36,"",(Transf!D80-AVERAGE(Transf!D$39:D80))/STDEV(Transf!D$39:D80))</f>
        <v>1.46266718729368</v>
      </c>
      <c r="E80" s="10" t="n">
        <f aca="false">IF(COUNT(Transf!E$39:E80)&lt;36,"",(Transf!E80-AVERAGE(Transf!E$39:E80))/STDEV(Transf!E$39:E80))</f>
        <v>0.395737009677644</v>
      </c>
      <c r="F80" s="10" t="n">
        <f aca="false">IF(COUNT(Transf!F$39:F80)&lt;36,"",(Transf!F80-AVERAGE(Transf!F$39:F80))/STDEV(Transf!F$39:F80))</f>
        <v>0.0971645761500321</v>
      </c>
      <c r="G80" s="10" t="n">
        <f aca="false">IF(COUNT(Transf!G$39:G80)&lt;36,"",(Transf!G80-AVERAGE(Transf!G$39:G80))/STDEV(Transf!G$39:G80))</f>
        <v>-1.21837155080155</v>
      </c>
      <c r="H80" s="10" t="n">
        <f aca="false">IF(COUNT(Transf!H$39:H80)&lt;36,"",(Transf!H80-AVERAGE(Transf!H$39:H80))/STDEV(Transf!H$39:H80))</f>
        <v>-0.00849809606961907</v>
      </c>
      <c r="I80" s="10" t="n">
        <f aca="false">IF(COUNT(Transf!I$39:I80)&lt;36,"",(Transf!I80-AVERAGE(Transf!I$39:I80))/STDEV(Transf!I$39:I80))</f>
        <v>-0.0763155859587233</v>
      </c>
      <c r="J80" s="10" t="n">
        <f aca="false">IF(B80="","",IF(COUNT(B$74:B80)&lt;60,B80,MEDIAN(QUARTILE(B$74:B80,1)-1.5*(QUARTILE(B$74:B80,3)-QUARTILE(B$74:B80,1)),B80,QUARTILE(B$74:B80,3)+1.5*(QUARTILE(B$74:B80,3)-QUARTILE(B$74:B80,1)))))</f>
        <v>0.618187617546259</v>
      </c>
      <c r="K80" s="10" t="n">
        <f aca="false">IF(C80="","",IF(COUNT(C$74:C80)&lt;60,C80,MEDIAN(QUARTILE(C$74:C80,1)-1.5*(QUARTILE(C$74:C80,3)-QUARTILE(C$74:C80,1)),C80,QUARTILE(C$74:C80,3)+1.5*(QUARTILE(C$74:C80,3)-QUARTILE(C$74:C80,1)))))</f>
        <v>1.91308246000249</v>
      </c>
      <c r="L80" s="10" t="n">
        <f aca="false">IF(D80="","",IF(COUNT(D$74:D80)&lt;60,D80,MEDIAN(QUARTILE(D$74:D80,1)-1.5*(QUARTILE(D$74:D80,3)-QUARTILE(D$74:D80,1)),D80,QUARTILE(D$74:D80,3)+1.5*(QUARTILE(D$74:D80,3)-QUARTILE(D$74:D80,1)))))</f>
        <v>1.46266718729368</v>
      </c>
      <c r="M80" s="10" t="n">
        <f aca="false">IF(E80="","",IF(COUNT(E$74:E80)&lt;60,E80,MEDIAN(QUARTILE(E$74:E80,1)-1.5*(QUARTILE(E$74:E80,3)-QUARTILE(E$74:E80,1)),E80,QUARTILE(E$74:E80,3)+1.5*(QUARTILE(E$74:E80,3)-QUARTILE(E$74:E80,1)))))</f>
        <v>0.395737009677644</v>
      </c>
      <c r="N80" s="10" t="n">
        <f aca="false">IF(F80="","",IF(COUNT(F$74:F80)&lt;60,F80,MEDIAN(QUARTILE(F$74:F80,1)-1.5*(QUARTILE(F$74:F80,3)-QUARTILE(F$74:F80,1)),F80,QUARTILE(F$74:F80,3)+1.5*(QUARTILE(F$74:F80,3)-QUARTILE(F$74:F80,1)))))</f>
        <v>0.0971645761500321</v>
      </c>
      <c r="O80" s="10" t="n">
        <f aca="false">IF(G80="","",IF(COUNT(G$74:G80)&lt;60,G80,MEDIAN(QUARTILE(G$74:G80,1)-1.5*(QUARTILE(G$74:G80,3)-QUARTILE(G$74:G80,1)),G80,QUARTILE(G$74:G80,3)+1.5*(QUARTILE(G$74:G80,3)-QUARTILE(G$74:G80,1)))))</f>
        <v>-1.21837155080155</v>
      </c>
      <c r="P80" s="10" t="n">
        <f aca="false">IF(H80="","",IF(COUNT(H$74:H80)&lt;60,H80,MEDIAN(QUARTILE(H$74:H80,1)-1.5*(QUARTILE(H$74:H80,3)-QUARTILE(H$74:H80,1)),H80,QUARTILE(H$74:H80,3)+1.5*(QUARTILE(H$74:H80,3)-QUARTILE(H$74:H80,1)))))</f>
        <v>-0.00849809606961907</v>
      </c>
      <c r="Q80" s="10" t="n">
        <f aca="false">IF(I80="","",IF(COUNT(I$74:I80)&lt;60,I80,MEDIAN(QUARTILE(I$74:I80,1)-1.5*(QUARTILE(I$74:I80,3)-QUARTILE(I$74:I80,1)),I80,QUARTILE(I$74:I80,3)+1.5*(QUARTILE(I$74:I80,3)-QUARTILE(I$74:I80,1)))))</f>
        <v>-0.0763155859587233</v>
      </c>
      <c r="R80" s="10" t="n">
        <f aca="false">IF(J80="","",MEDIAN(J80:Q80))</f>
        <v>0.246450792913838</v>
      </c>
      <c r="S80" s="10" t="n">
        <f aca="false">IF(R80="","",ABS(R80))</f>
        <v>0.246450792913838</v>
      </c>
      <c r="T80" s="10" t="str">
        <f aca="false">IF(COUNT(S$74:S79)&lt;60,"",MEDIAN(S$74:S79))</f>
        <v/>
      </c>
      <c r="U80" s="10" t="n">
        <f aca="false">IF(R80="","",IF(T80="",0,IF(S80&gt;=T80,R80,0)))</f>
        <v>0</v>
      </c>
      <c r="V80" s="10" t="n">
        <f aca="false">IF(U80="","",MEDIAN(-1,U80,1))</f>
        <v>0</v>
      </c>
      <c r="W80" s="10" t="n">
        <f aca="false">IF(J80="","",AVERAGE(J80:Q80))</f>
        <v>0.397956702230026</v>
      </c>
    </row>
    <row r="81" customFormat="false" ht="15" hidden="false" customHeight="false" outlineLevel="0" collapsed="false">
      <c r="A81" s="8" t="n">
        <f aca="false">Base!A81</f>
        <v>40421</v>
      </c>
      <c r="B81" s="10" t="n">
        <f aca="false">IF(COUNT(Transf!B$39:B81)&lt;36,"",(Transf!B81-AVERAGE(Transf!B$39:B81))/STDEV(Transf!B$39:B81))</f>
        <v>0.906466201153728</v>
      </c>
      <c r="C81" s="10" t="n">
        <f aca="false">IF(COUNT(Transf!C$39:C81)&lt;36,"",(Transf!C81-AVERAGE(Transf!C$39:C81))/STDEV(Transf!C$39:C81))</f>
        <v>1.4639292219474</v>
      </c>
      <c r="D81" s="10" t="n">
        <f aca="false">IF(COUNT(Transf!D$39:D81)&lt;36,"",(Transf!D81-AVERAGE(Transf!D$39:D81))/STDEV(Transf!D$39:D81))</f>
        <v>1.2431972373285</v>
      </c>
      <c r="E81" s="10" t="n">
        <f aca="false">IF(COUNT(Transf!E$39:E81)&lt;36,"",(Transf!E81-AVERAGE(Transf!E$39:E81))/STDEV(Transf!E$39:E81))</f>
        <v>0.384960561925637</v>
      </c>
      <c r="F81" s="10" t="n">
        <f aca="false">IF(COUNT(Transf!F$39:F81)&lt;36,"",(Transf!F81-AVERAGE(Transf!F$39:F81))/STDEV(Transf!F$39:F81))</f>
        <v>1.25994035671217</v>
      </c>
      <c r="G81" s="10" t="n">
        <f aca="false">IF(COUNT(Transf!G$39:G81)&lt;36,"",(Transf!G81-AVERAGE(Transf!G$39:G81))/STDEV(Transf!G$39:G81))</f>
        <v>-1.25139298692596</v>
      </c>
      <c r="H81" s="10" t="n">
        <f aca="false">IF(COUNT(Transf!H$39:H81)&lt;36,"",(Transf!H81-AVERAGE(Transf!H$39:H81))/STDEV(Transf!H$39:H81))</f>
        <v>-0.222148892808925</v>
      </c>
      <c r="I81" s="10" t="n">
        <f aca="false">IF(COUNT(Transf!I$39:I81)&lt;36,"",(Transf!I81-AVERAGE(Transf!I$39:I81))/STDEV(Transf!I$39:I81))</f>
        <v>0.19708212841434</v>
      </c>
      <c r="J81" s="10" t="n">
        <f aca="false">IF(B81="","",IF(COUNT(B$74:B81)&lt;60,B81,MEDIAN(QUARTILE(B$74:B81,1)-1.5*(QUARTILE(B$74:B81,3)-QUARTILE(B$74:B81,1)),B81,QUARTILE(B$74:B81,3)+1.5*(QUARTILE(B$74:B81,3)-QUARTILE(B$74:B81,1)))))</f>
        <v>0.906466201153728</v>
      </c>
      <c r="K81" s="10" t="n">
        <f aca="false">IF(C81="","",IF(COUNT(C$74:C81)&lt;60,C81,MEDIAN(QUARTILE(C$74:C81,1)-1.5*(QUARTILE(C$74:C81,3)-QUARTILE(C$74:C81,1)),C81,QUARTILE(C$74:C81,3)+1.5*(QUARTILE(C$74:C81,3)-QUARTILE(C$74:C81,1)))))</f>
        <v>1.4639292219474</v>
      </c>
      <c r="L81" s="10" t="n">
        <f aca="false">IF(D81="","",IF(COUNT(D$74:D81)&lt;60,D81,MEDIAN(QUARTILE(D$74:D81,1)-1.5*(QUARTILE(D$74:D81,3)-QUARTILE(D$74:D81,1)),D81,QUARTILE(D$74:D81,3)+1.5*(QUARTILE(D$74:D81,3)-QUARTILE(D$74:D81,1)))))</f>
        <v>1.2431972373285</v>
      </c>
      <c r="M81" s="10" t="n">
        <f aca="false">IF(E81="","",IF(COUNT(E$74:E81)&lt;60,E81,MEDIAN(QUARTILE(E$74:E81,1)-1.5*(QUARTILE(E$74:E81,3)-QUARTILE(E$74:E81,1)),E81,QUARTILE(E$74:E81,3)+1.5*(QUARTILE(E$74:E81,3)-QUARTILE(E$74:E81,1)))))</f>
        <v>0.384960561925637</v>
      </c>
      <c r="N81" s="10" t="n">
        <f aca="false">IF(F81="","",IF(COUNT(F$74:F81)&lt;60,F81,MEDIAN(QUARTILE(F$74:F81,1)-1.5*(QUARTILE(F$74:F81,3)-QUARTILE(F$74:F81,1)),F81,QUARTILE(F$74:F81,3)+1.5*(QUARTILE(F$74:F81,3)-QUARTILE(F$74:F81,1)))))</f>
        <v>1.25994035671217</v>
      </c>
      <c r="O81" s="10" t="n">
        <f aca="false">IF(G81="","",IF(COUNT(G$74:G81)&lt;60,G81,MEDIAN(QUARTILE(G$74:G81,1)-1.5*(QUARTILE(G$74:G81,3)-QUARTILE(G$74:G81,1)),G81,QUARTILE(G$74:G81,3)+1.5*(QUARTILE(G$74:G81,3)-QUARTILE(G$74:G81,1)))))</f>
        <v>-1.25139298692596</v>
      </c>
      <c r="P81" s="10" t="n">
        <f aca="false">IF(H81="","",IF(COUNT(H$74:H81)&lt;60,H81,MEDIAN(QUARTILE(H$74:H81,1)-1.5*(QUARTILE(H$74:H81,3)-QUARTILE(H$74:H81,1)),H81,QUARTILE(H$74:H81,3)+1.5*(QUARTILE(H$74:H81,3)-QUARTILE(H$74:H81,1)))))</f>
        <v>-0.222148892808925</v>
      </c>
      <c r="Q81" s="10" t="n">
        <f aca="false">IF(I81="","",IF(COUNT(I$74:I81)&lt;60,I81,MEDIAN(QUARTILE(I$74:I81,1)-1.5*(QUARTILE(I$74:I81,3)-QUARTILE(I$74:I81,1)),I81,QUARTILE(I$74:I81,3)+1.5*(QUARTILE(I$74:I81,3)-QUARTILE(I$74:I81,1)))))</f>
        <v>0.19708212841434</v>
      </c>
      <c r="R81" s="10" t="n">
        <f aca="false">IF(J81="","",MEDIAN(J81:Q81))</f>
        <v>0.645713381539682</v>
      </c>
      <c r="S81" s="10" t="n">
        <f aca="false">IF(R81="","",ABS(R81))</f>
        <v>0.645713381539682</v>
      </c>
      <c r="T81" s="10" t="str">
        <f aca="false">IF(COUNT(S$74:S80)&lt;60,"",MEDIAN(S$74:S80))</f>
        <v/>
      </c>
      <c r="U81" s="10" t="n">
        <f aca="false">IF(R81="","",IF(T81="",0,IF(S81&gt;=T81,R81,0)))</f>
        <v>0</v>
      </c>
      <c r="V81" s="10" t="n">
        <f aca="false">IF(U81="","",MEDIAN(-1,U81,1))</f>
        <v>0</v>
      </c>
      <c r="W81" s="10" t="n">
        <f aca="false">IF(J81="","",AVERAGE(J81:Q81))</f>
        <v>0.497754228468361</v>
      </c>
    </row>
    <row r="82" customFormat="false" ht="15" hidden="false" customHeight="false" outlineLevel="0" collapsed="false">
      <c r="A82" s="8" t="n">
        <f aca="false">Base!A82</f>
        <v>40451</v>
      </c>
      <c r="B82" s="10" t="n">
        <f aca="false">IF(COUNT(Transf!B$39:B82)&lt;36,"",(Transf!B82-AVERAGE(Transf!B$39:B82))/STDEV(Transf!B$39:B82))</f>
        <v>1.13854190619068</v>
      </c>
      <c r="C82" s="10" t="n">
        <f aca="false">IF(COUNT(Transf!C$39:C82)&lt;36,"",(Transf!C82-AVERAGE(Transf!C$39:C82))/STDEV(Transf!C$39:C82))</f>
        <v>1.07509116398951</v>
      </c>
      <c r="D82" s="10" t="n">
        <f aca="false">IF(COUNT(Transf!D$39:D82)&lt;36,"",(Transf!D82-AVERAGE(Transf!D$39:D82))/STDEV(Transf!D$39:D82))</f>
        <v>1.08781691470142</v>
      </c>
      <c r="E82" s="10" t="n">
        <f aca="false">IF(COUNT(Transf!E$39:E82)&lt;36,"",(Transf!E82-AVERAGE(Transf!E$39:E82))/STDEV(Transf!E$39:E82))</f>
        <v>0.34429953316013</v>
      </c>
      <c r="F82" s="10" t="n">
        <f aca="false">IF(COUNT(Transf!F$39:F82)&lt;36,"",(Transf!F82-AVERAGE(Transf!F$39:F82))/STDEV(Transf!F$39:F82))</f>
        <v>1.07142726002241</v>
      </c>
      <c r="G82" s="10" t="n">
        <f aca="false">IF(COUNT(Transf!G$39:G82)&lt;36,"",(Transf!G82-AVERAGE(Transf!G$39:G82))/STDEV(Transf!G$39:G82))</f>
        <v>-1.18032487577534</v>
      </c>
      <c r="H82" s="10" t="n">
        <f aca="false">IF(COUNT(Transf!H$39:H82)&lt;36,"",(Transf!H82-AVERAGE(Transf!H$39:H82))/STDEV(Transf!H$39:H82))</f>
        <v>-0.288438342769142</v>
      </c>
      <c r="I82" s="10" t="n">
        <f aca="false">IF(COUNT(Transf!I$39:I82)&lt;36,"",(Transf!I82-AVERAGE(Transf!I$39:I82))/STDEV(Transf!I$39:I82))</f>
        <v>1.11685396844418</v>
      </c>
      <c r="J82" s="10" t="n">
        <f aca="false">IF(B82="","",IF(COUNT(B$74:B82)&lt;60,B82,MEDIAN(QUARTILE(B$74:B82,1)-1.5*(QUARTILE(B$74:B82,3)-QUARTILE(B$74:B82,1)),B82,QUARTILE(B$74:B82,3)+1.5*(QUARTILE(B$74:B82,3)-QUARTILE(B$74:B82,1)))))</f>
        <v>1.13854190619068</v>
      </c>
      <c r="K82" s="10" t="n">
        <f aca="false">IF(C82="","",IF(COUNT(C$74:C82)&lt;60,C82,MEDIAN(QUARTILE(C$74:C82,1)-1.5*(QUARTILE(C$74:C82,3)-QUARTILE(C$74:C82,1)),C82,QUARTILE(C$74:C82,3)+1.5*(QUARTILE(C$74:C82,3)-QUARTILE(C$74:C82,1)))))</f>
        <v>1.07509116398951</v>
      </c>
      <c r="L82" s="10" t="n">
        <f aca="false">IF(D82="","",IF(COUNT(D$74:D82)&lt;60,D82,MEDIAN(QUARTILE(D$74:D82,1)-1.5*(QUARTILE(D$74:D82,3)-QUARTILE(D$74:D82,1)),D82,QUARTILE(D$74:D82,3)+1.5*(QUARTILE(D$74:D82,3)-QUARTILE(D$74:D82,1)))))</f>
        <v>1.08781691470142</v>
      </c>
      <c r="M82" s="10" t="n">
        <f aca="false">IF(E82="","",IF(COUNT(E$74:E82)&lt;60,E82,MEDIAN(QUARTILE(E$74:E82,1)-1.5*(QUARTILE(E$74:E82,3)-QUARTILE(E$74:E82,1)),E82,QUARTILE(E$74:E82,3)+1.5*(QUARTILE(E$74:E82,3)-QUARTILE(E$74:E82,1)))))</f>
        <v>0.34429953316013</v>
      </c>
      <c r="N82" s="10" t="n">
        <f aca="false">IF(F82="","",IF(COUNT(F$74:F82)&lt;60,F82,MEDIAN(QUARTILE(F$74:F82,1)-1.5*(QUARTILE(F$74:F82,3)-QUARTILE(F$74:F82,1)),F82,QUARTILE(F$74:F82,3)+1.5*(QUARTILE(F$74:F82,3)-QUARTILE(F$74:F82,1)))))</f>
        <v>1.07142726002241</v>
      </c>
      <c r="O82" s="10" t="n">
        <f aca="false">IF(G82="","",IF(COUNT(G$74:G82)&lt;60,G82,MEDIAN(QUARTILE(G$74:G82,1)-1.5*(QUARTILE(G$74:G82,3)-QUARTILE(G$74:G82,1)),G82,QUARTILE(G$74:G82,3)+1.5*(QUARTILE(G$74:G82,3)-QUARTILE(G$74:G82,1)))))</f>
        <v>-1.18032487577534</v>
      </c>
      <c r="P82" s="10" t="n">
        <f aca="false">IF(H82="","",IF(COUNT(H$74:H82)&lt;60,H82,MEDIAN(QUARTILE(H$74:H82,1)-1.5*(QUARTILE(H$74:H82,3)-QUARTILE(H$74:H82,1)),H82,QUARTILE(H$74:H82,3)+1.5*(QUARTILE(H$74:H82,3)-QUARTILE(H$74:H82,1)))))</f>
        <v>-0.288438342769142</v>
      </c>
      <c r="Q82" s="10" t="n">
        <f aca="false">IF(I82="","",IF(COUNT(I$74:I82)&lt;60,I82,MEDIAN(QUARTILE(I$74:I82,1)-1.5*(QUARTILE(I$74:I82,3)-QUARTILE(I$74:I82,1)),I82,QUARTILE(I$74:I82,3)+1.5*(QUARTILE(I$74:I82,3)-QUARTILE(I$74:I82,1)))))</f>
        <v>1.11685396844418</v>
      </c>
      <c r="R82" s="10" t="n">
        <f aca="false">IF(J82="","",MEDIAN(J82:Q82))</f>
        <v>1.07325921200596</v>
      </c>
      <c r="S82" s="10" t="n">
        <f aca="false">IF(R82="","",ABS(R82))</f>
        <v>1.07325921200596</v>
      </c>
      <c r="T82" s="10" t="str">
        <f aca="false">IF(COUNT(S$74:S81)&lt;60,"",MEDIAN(S$74:S81))</f>
        <v/>
      </c>
      <c r="U82" s="10" t="n">
        <f aca="false">IF(R82="","",IF(T82="",0,IF(S82&gt;=T82,R82,0)))</f>
        <v>0</v>
      </c>
      <c r="V82" s="10" t="n">
        <f aca="false">IF(U82="","",MEDIAN(-1,U82,1))</f>
        <v>0</v>
      </c>
      <c r="W82" s="10" t="n">
        <f aca="false">IF(J82="","",AVERAGE(J82:Q82))</f>
        <v>0.545658440995482</v>
      </c>
    </row>
    <row r="83" customFormat="false" ht="15" hidden="false" customHeight="false" outlineLevel="0" collapsed="false">
      <c r="A83" s="8" t="n">
        <f aca="false">Base!A83</f>
        <v>40482</v>
      </c>
      <c r="B83" s="10" t="n">
        <f aca="false">IF(COUNT(Transf!B$39:B83)&lt;36,"",(Transf!B83-AVERAGE(Transf!B$39:B83))/STDEV(Transf!B$39:B83))</f>
        <v>1.12425138885592</v>
      </c>
      <c r="C83" s="10" t="n">
        <f aca="false">IF(COUNT(Transf!C$39:C83)&lt;36,"",(Transf!C83-AVERAGE(Transf!C$39:C83))/STDEV(Transf!C$39:C83))</f>
        <v>0.901189179211943</v>
      </c>
      <c r="D83" s="10" t="n">
        <f aca="false">IF(COUNT(Transf!D$39:D83)&lt;36,"",(Transf!D83-AVERAGE(Transf!D$39:D83))/STDEV(Transf!D$39:D83))</f>
        <v>0.892384645036207</v>
      </c>
      <c r="E83" s="10" t="n">
        <f aca="false">IF(COUNT(Transf!E$39:E83)&lt;36,"",(Transf!E83-AVERAGE(Transf!E$39:E83))/STDEV(Transf!E$39:E83))</f>
        <v>0.376578861439779</v>
      </c>
      <c r="F83" s="10" t="n">
        <f aca="false">IF(COUNT(Transf!F$39:F83)&lt;36,"",(Transf!F83-AVERAGE(Transf!F$39:F83))/STDEV(Transf!F$39:F83))</f>
        <v>0.73700180265383</v>
      </c>
      <c r="G83" s="10" t="n">
        <f aca="false">IF(COUNT(Transf!G$39:G83)&lt;36,"",(Transf!G83-AVERAGE(Transf!G$39:G83))/STDEV(Transf!G$39:G83))</f>
        <v>-1.12570689392941</v>
      </c>
      <c r="H83" s="10" t="n">
        <f aca="false">IF(COUNT(Transf!H$39:H83)&lt;36,"",(Transf!H83-AVERAGE(Transf!H$39:H83))/STDEV(Transf!H$39:H83))</f>
        <v>-0.543495531101099</v>
      </c>
      <c r="I83" s="10" t="n">
        <f aca="false">IF(COUNT(Transf!I$39:I83)&lt;36,"",(Transf!I83-AVERAGE(Transf!I$39:I83))/STDEV(Transf!I$39:I83))</f>
        <v>1.57849469609353</v>
      </c>
      <c r="J83" s="10" t="n">
        <f aca="false">IF(B83="","",IF(COUNT(B$74:B83)&lt;60,B83,MEDIAN(QUARTILE(B$74:B83,1)-1.5*(QUARTILE(B$74:B83,3)-QUARTILE(B$74:B83,1)),B83,QUARTILE(B$74:B83,3)+1.5*(QUARTILE(B$74:B83,3)-QUARTILE(B$74:B83,1)))))</f>
        <v>1.12425138885592</v>
      </c>
      <c r="K83" s="10" t="n">
        <f aca="false">IF(C83="","",IF(COUNT(C$74:C83)&lt;60,C83,MEDIAN(QUARTILE(C$74:C83,1)-1.5*(QUARTILE(C$74:C83,3)-QUARTILE(C$74:C83,1)),C83,QUARTILE(C$74:C83,3)+1.5*(QUARTILE(C$74:C83,3)-QUARTILE(C$74:C83,1)))))</f>
        <v>0.901189179211943</v>
      </c>
      <c r="L83" s="10" t="n">
        <f aca="false">IF(D83="","",IF(COUNT(D$74:D83)&lt;60,D83,MEDIAN(QUARTILE(D$74:D83,1)-1.5*(QUARTILE(D$74:D83,3)-QUARTILE(D$74:D83,1)),D83,QUARTILE(D$74:D83,3)+1.5*(QUARTILE(D$74:D83,3)-QUARTILE(D$74:D83,1)))))</f>
        <v>0.892384645036207</v>
      </c>
      <c r="M83" s="10" t="n">
        <f aca="false">IF(E83="","",IF(COUNT(E$74:E83)&lt;60,E83,MEDIAN(QUARTILE(E$74:E83,1)-1.5*(QUARTILE(E$74:E83,3)-QUARTILE(E$74:E83,1)),E83,QUARTILE(E$74:E83,3)+1.5*(QUARTILE(E$74:E83,3)-QUARTILE(E$74:E83,1)))))</f>
        <v>0.376578861439779</v>
      </c>
      <c r="N83" s="10" t="n">
        <f aca="false">IF(F83="","",IF(COUNT(F$74:F83)&lt;60,F83,MEDIAN(QUARTILE(F$74:F83,1)-1.5*(QUARTILE(F$74:F83,3)-QUARTILE(F$74:F83,1)),F83,QUARTILE(F$74:F83,3)+1.5*(QUARTILE(F$74:F83,3)-QUARTILE(F$74:F83,1)))))</f>
        <v>0.73700180265383</v>
      </c>
      <c r="O83" s="10" t="n">
        <f aca="false">IF(G83="","",IF(COUNT(G$74:G83)&lt;60,G83,MEDIAN(QUARTILE(G$74:G83,1)-1.5*(QUARTILE(G$74:G83,3)-QUARTILE(G$74:G83,1)),G83,QUARTILE(G$74:G83,3)+1.5*(QUARTILE(G$74:G83,3)-QUARTILE(G$74:G83,1)))))</f>
        <v>-1.12570689392941</v>
      </c>
      <c r="P83" s="10" t="n">
        <f aca="false">IF(H83="","",IF(COUNT(H$74:H83)&lt;60,H83,MEDIAN(QUARTILE(H$74:H83,1)-1.5*(QUARTILE(H$74:H83,3)-QUARTILE(H$74:H83,1)),H83,QUARTILE(H$74:H83,3)+1.5*(QUARTILE(H$74:H83,3)-QUARTILE(H$74:H83,1)))))</f>
        <v>-0.543495531101099</v>
      </c>
      <c r="Q83" s="10" t="n">
        <f aca="false">IF(I83="","",IF(COUNT(I$74:I83)&lt;60,I83,MEDIAN(QUARTILE(I$74:I83,1)-1.5*(QUARTILE(I$74:I83,3)-QUARTILE(I$74:I83,1)),I83,QUARTILE(I$74:I83,3)+1.5*(QUARTILE(I$74:I83,3)-QUARTILE(I$74:I83,1)))))</f>
        <v>1.57849469609353</v>
      </c>
      <c r="R83" s="10" t="n">
        <f aca="false">IF(J83="","",MEDIAN(J83:Q83))</f>
        <v>0.814693223845019</v>
      </c>
      <c r="S83" s="10" t="n">
        <f aca="false">IF(R83="","",ABS(R83))</f>
        <v>0.814693223845019</v>
      </c>
      <c r="T83" s="10" t="str">
        <f aca="false">IF(COUNT(S$74:S82)&lt;60,"",MEDIAN(S$74:S82))</f>
        <v/>
      </c>
      <c r="U83" s="10" t="n">
        <f aca="false">IF(R83="","",IF(T83="",0,IF(S83&gt;=T83,R83,0)))</f>
        <v>0</v>
      </c>
      <c r="V83" s="10" t="n">
        <f aca="false">IF(U83="","",MEDIAN(-1,U83,1))</f>
        <v>0</v>
      </c>
      <c r="W83" s="10" t="n">
        <f aca="false">IF(J83="","",AVERAGE(J83:Q83))</f>
        <v>0.492587268532587</v>
      </c>
    </row>
    <row r="84" customFormat="false" ht="15" hidden="false" customHeight="false" outlineLevel="0" collapsed="false">
      <c r="A84" s="8" t="n">
        <f aca="false">Base!A84</f>
        <v>40512</v>
      </c>
      <c r="B84" s="10" t="n">
        <f aca="false">IF(COUNT(Transf!B$39:B84)&lt;36,"",(Transf!B84-AVERAGE(Transf!B$39:B84))/STDEV(Transf!B$39:B84))</f>
        <v>0.749940395839963</v>
      </c>
      <c r="C84" s="10" t="n">
        <f aca="false">IF(COUNT(Transf!C$39:C84)&lt;36,"",(Transf!C84-AVERAGE(Transf!C$39:C84))/STDEV(Transf!C$39:C84))</f>
        <v>0.837375327030165</v>
      </c>
      <c r="D84" s="10" t="n">
        <f aca="false">IF(COUNT(Transf!D$39:D84)&lt;36,"",(Transf!D84-AVERAGE(Transf!D$39:D84))/STDEV(Transf!D$39:D84))</f>
        <v>0.69715422127695</v>
      </c>
      <c r="E84" s="10" t="n">
        <f aca="false">IF(COUNT(Transf!E$39:E84)&lt;36,"",(Transf!E84-AVERAGE(Transf!E$39:E84))/STDEV(Transf!E$39:E84))</f>
        <v>0.518286009146128</v>
      </c>
      <c r="F84" s="10" t="n">
        <f aca="false">IF(COUNT(Transf!F$39:F84)&lt;36,"",(Transf!F84-AVERAGE(Transf!F$39:F84))/STDEV(Transf!F$39:F84))</f>
        <v>-0.34573191248326</v>
      </c>
      <c r="G84" s="10" t="n">
        <f aca="false">IF(COUNT(Transf!G$39:G84)&lt;36,"",(Transf!G84-AVERAGE(Transf!G$39:G84))/STDEV(Transf!G$39:G84))</f>
        <v>-1.15857307153076</v>
      </c>
      <c r="H84" s="10" t="n">
        <f aca="false">IF(COUNT(Transf!H$39:H84)&lt;36,"",(Transf!H84-AVERAGE(Transf!H$39:H84))/STDEV(Transf!H$39:H84))</f>
        <v>-0.549355077608435</v>
      </c>
      <c r="I84" s="10" t="n">
        <f aca="false">IF(COUNT(Transf!I$39:I84)&lt;36,"",(Transf!I84-AVERAGE(Transf!I$39:I84))/STDEV(Transf!I$39:I84))</f>
        <v>1.45490801433047</v>
      </c>
      <c r="J84" s="10" t="n">
        <f aca="false">IF(B84="","",IF(COUNT(B$74:B84)&lt;60,B84,MEDIAN(QUARTILE(B$74:B84,1)-1.5*(QUARTILE(B$74:B84,3)-QUARTILE(B$74:B84,1)),B84,QUARTILE(B$74:B84,3)+1.5*(QUARTILE(B$74:B84,3)-QUARTILE(B$74:B84,1)))))</f>
        <v>0.749940395839963</v>
      </c>
      <c r="K84" s="10" t="n">
        <f aca="false">IF(C84="","",IF(COUNT(C$74:C84)&lt;60,C84,MEDIAN(QUARTILE(C$74:C84,1)-1.5*(QUARTILE(C$74:C84,3)-QUARTILE(C$74:C84,1)),C84,QUARTILE(C$74:C84,3)+1.5*(QUARTILE(C$74:C84,3)-QUARTILE(C$74:C84,1)))))</f>
        <v>0.837375327030165</v>
      </c>
      <c r="L84" s="10" t="n">
        <f aca="false">IF(D84="","",IF(COUNT(D$74:D84)&lt;60,D84,MEDIAN(QUARTILE(D$74:D84,1)-1.5*(QUARTILE(D$74:D84,3)-QUARTILE(D$74:D84,1)),D84,QUARTILE(D$74:D84,3)+1.5*(QUARTILE(D$74:D84,3)-QUARTILE(D$74:D84,1)))))</f>
        <v>0.69715422127695</v>
      </c>
      <c r="M84" s="10" t="n">
        <f aca="false">IF(E84="","",IF(COUNT(E$74:E84)&lt;60,E84,MEDIAN(QUARTILE(E$74:E84,1)-1.5*(QUARTILE(E$74:E84,3)-QUARTILE(E$74:E84,1)),E84,QUARTILE(E$74:E84,3)+1.5*(QUARTILE(E$74:E84,3)-QUARTILE(E$74:E84,1)))))</f>
        <v>0.518286009146128</v>
      </c>
      <c r="N84" s="10" t="n">
        <f aca="false">IF(F84="","",IF(COUNT(F$74:F84)&lt;60,F84,MEDIAN(QUARTILE(F$74:F84,1)-1.5*(QUARTILE(F$74:F84,3)-QUARTILE(F$74:F84,1)),F84,QUARTILE(F$74:F84,3)+1.5*(QUARTILE(F$74:F84,3)-QUARTILE(F$74:F84,1)))))</f>
        <v>-0.34573191248326</v>
      </c>
      <c r="O84" s="10" t="n">
        <f aca="false">IF(G84="","",IF(COUNT(G$74:G84)&lt;60,G84,MEDIAN(QUARTILE(G$74:G84,1)-1.5*(QUARTILE(G$74:G84,3)-QUARTILE(G$74:G84,1)),G84,QUARTILE(G$74:G84,3)+1.5*(QUARTILE(G$74:G84,3)-QUARTILE(G$74:G84,1)))))</f>
        <v>-1.15857307153076</v>
      </c>
      <c r="P84" s="10" t="n">
        <f aca="false">IF(H84="","",IF(COUNT(H$74:H84)&lt;60,H84,MEDIAN(QUARTILE(H$74:H84,1)-1.5*(QUARTILE(H$74:H84,3)-QUARTILE(H$74:H84,1)),H84,QUARTILE(H$74:H84,3)+1.5*(QUARTILE(H$74:H84,3)-QUARTILE(H$74:H84,1)))))</f>
        <v>-0.549355077608435</v>
      </c>
      <c r="Q84" s="10" t="n">
        <f aca="false">IF(I84="","",IF(COUNT(I$74:I84)&lt;60,I84,MEDIAN(QUARTILE(I$74:I84,1)-1.5*(QUARTILE(I$74:I84,3)-QUARTILE(I$74:I84,1)),I84,QUARTILE(I$74:I84,3)+1.5*(QUARTILE(I$74:I84,3)-QUARTILE(I$74:I84,1)))))</f>
        <v>1.45490801433047</v>
      </c>
      <c r="R84" s="10" t="n">
        <f aca="false">IF(J84="","",MEDIAN(J84:Q84))</f>
        <v>0.607720115211539</v>
      </c>
      <c r="S84" s="10" t="n">
        <f aca="false">IF(R84="","",ABS(R84))</f>
        <v>0.607720115211539</v>
      </c>
      <c r="T84" s="10" t="str">
        <f aca="false">IF(COUNT(S$74:S83)&lt;60,"",MEDIAN(S$74:S83))</f>
        <v/>
      </c>
      <c r="U84" s="10" t="n">
        <f aca="false">IF(R84="","",IF(T84="",0,IF(S84&gt;=T84,R84,0)))</f>
        <v>0</v>
      </c>
      <c r="V84" s="10" t="n">
        <f aca="false">IF(U84="","",MEDIAN(-1,U84,1))</f>
        <v>0</v>
      </c>
      <c r="W84" s="10" t="n">
        <f aca="false">IF(J84="","",AVERAGE(J84:Q84))</f>
        <v>0.275500488250152</v>
      </c>
    </row>
    <row r="85" customFormat="false" ht="15" hidden="false" customHeight="false" outlineLevel="0" collapsed="false">
      <c r="A85" s="8" t="n">
        <f aca="false">Base!A85</f>
        <v>40543</v>
      </c>
      <c r="B85" s="10" t="n">
        <f aca="false">IF(COUNT(Transf!B$39:B85)&lt;36,"",(Transf!B85-AVERAGE(Transf!B$39:B85))/STDEV(Transf!B$39:B85))</f>
        <v>0.368695566225014</v>
      </c>
      <c r="C85" s="10" t="n">
        <f aca="false">IF(COUNT(Transf!C$39:C85)&lt;36,"",(Transf!C85-AVERAGE(Transf!C$39:C85))/STDEV(Transf!C$39:C85))</f>
        <v>0.883996228816062</v>
      </c>
      <c r="D85" s="10" t="n">
        <f aca="false">IF(COUNT(Transf!D$39:D85)&lt;36,"",(Transf!D85-AVERAGE(Transf!D$39:D85))/STDEV(Transf!D$39:D85))</f>
        <v>0.516994303782528</v>
      </c>
      <c r="E85" s="10" t="n">
        <f aca="false">IF(COUNT(Transf!E$39:E85)&lt;36,"",(Transf!E85-AVERAGE(Transf!E$39:E85))/STDEV(Transf!E$39:E85))</f>
        <v>0.546255226379949</v>
      </c>
      <c r="F85" s="10" t="n">
        <f aca="false">IF(COUNT(Transf!F$39:F85)&lt;36,"",(Transf!F85-AVERAGE(Transf!F$39:F85))/STDEV(Transf!F$39:F85))</f>
        <v>-1.35470643940951</v>
      </c>
      <c r="G85" s="10" t="n">
        <f aca="false">IF(COUNT(Transf!G$39:G85)&lt;36,"",(Transf!G85-AVERAGE(Transf!G$39:G85))/STDEV(Transf!G$39:G85))</f>
        <v>-1.07365450103689</v>
      </c>
      <c r="H85" s="10" t="n">
        <f aca="false">IF(COUNT(Transf!H$39:H85)&lt;36,"",(Transf!H85-AVERAGE(Transf!H$39:H85))/STDEV(Transf!H$39:H85))</f>
        <v>-0.424691508565331</v>
      </c>
      <c r="I85" s="10" t="n">
        <f aca="false">IF(COUNT(Transf!I$39:I85)&lt;36,"",(Transf!I85-AVERAGE(Transf!I$39:I85))/STDEV(Transf!I$39:I85))</f>
        <v>0.860064632883848</v>
      </c>
      <c r="J85" s="10" t="n">
        <f aca="false">IF(B85="","",IF(COUNT(B$74:B85)&lt;60,B85,MEDIAN(QUARTILE(B$74:B85,1)-1.5*(QUARTILE(B$74:B85,3)-QUARTILE(B$74:B85,1)),B85,QUARTILE(B$74:B85,3)+1.5*(QUARTILE(B$74:B85,3)-QUARTILE(B$74:B85,1)))))</f>
        <v>0.368695566225014</v>
      </c>
      <c r="K85" s="10" t="n">
        <f aca="false">IF(C85="","",IF(COUNT(C$74:C85)&lt;60,C85,MEDIAN(QUARTILE(C$74:C85,1)-1.5*(QUARTILE(C$74:C85,3)-QUARTILE(C$74:C85,1)),C85,QUARTILE(C$74:C85,3)+1.5*(QUARTILE(C$74:C85,3)-QUARTILE(C$74:C85,1)))))</f>
        <v>0.883996228816062</v>
      </c>
      <c r="L85" s="10" t="n">
        <f aca="false">IF(D85="","",IF(COUNT(D$74:D85)&lt;60,D85,MEDIAN(QUARTILE(D$74:D85,1)-1.5*(QUARTILE(D$74:D85,3)-QUARTILE(D$74:D85,1)),D85,QUARTILE(D$74:D85,3)+1.5*(QUARTILE(D$74:D85,3)-QUARTILE(D$74:D85,1)))))</f>
        <v>0.516994303782528</v>
      </c>
      <c r="M85" s="10" t="n">
        <f aca="false">IF(E85="","",IF(COUNT(E$74:E85)&lt;60,E85,MEDIAN(QUARTILE(E$74:E85,1)-1.5*(QUARTILE(E$74:E85,3)-QUARTILE(E$74:E85,1)),E85,QUARTILE(E$74:E85,3)+1.5*(QUARTILE(E$74:E85,3)-QUARTILE(E$74:E85,1)))))</f>
        <v>0.546255226379949</v>
      </c>
      <c r="N85" s="10" t="n">
        <f aca="false">IF(F85="","",IF(COUNT(F$74:F85)&lt;60,F85,MEDIAN(QUARTILE(F$74:F85,1)-1.5*(QUARTILE(F$74:F85,3)-QUARTILE(F$74:F85,1)),F85,QUARTILE(F$74:F85,3)+1.5*(QUARTILE(F$74:F85,3)-QUARTILE(F$74:F85,1)))))</f>
        <v>-1.35470643940951</v>
      </c>
      <c r="O85" s="10" t="n">
        <f aca="false">IF(G85="","",IF(COUNT(G$74:G85)&lt;60,G85,MEDIAN(QUARTILE(G$74:G85,1)-1.5*(QUARTILE(G$74:G85,3)-QUARTILE(G$74:G85,1)),G85,QUARTILE(G$74:G85,3)+1.5*(QUARTILE(G$74:G85,3)-QUARTILE(G$74:G85,1)))))</f>
        <v>-1.07365450103689</v>
      </c>
      <c r="P85" s="10" t="n">
        <f aca="false">IF(H85="","",IF(COUNT(H$74:H85)&lt;60,H85,MEDIAN(QUARTILE(H$74:H85,1)-1.5*(QUARTILE(H$74:H85,3)-QUARTILE(H$74:H85,1)),H85,QUARTILE(H$74:H85,3)+1.5*(QUARTILE(H$74:H85,3)-QUARTILE(H$74:H85,1)))))</f>
        <v>-0.424691508565331</v>
      </c>
      <c r="Q85" s="10" t="n">
        <f aca="false">IF(I85="","",IF(COUNT(I$74:I85)&lt;60,I85,MEDIAN(QUARTILE(I$74:I85,1)-1.5*(QUARTILE(I$74:I85,3)-QUARTILE(I$74:I85,1)),I85,QUARTILE(I$74:I85,3)+1.5*(QUARTILE(I$74:I85,3)-QUARTILE(I$74:I85,1)))))</f>
        <v>0.860064632883848</v>
      </c>
      <c r="R85" s="10" t="n">
        <f aca="false">IF(J85="","",MEDIAN(J85:Q85))</f>
        <v>0.442844935003771</v>
      </c>
      <c r="S85" s="10" t="n">
        <f aca="false">IF(R85="","",ABS(R85))</f>
        <v>0.442844935003771</v>
      </c>
      <c r="T85" s="10" t="str">
        <f aca="false">IF(COUNT(S$74:S84)&lt;60,"",MEDIAN(S$74:S84))</f>
        <v/>
      </c>
      <c r="U85" s="10" t="n">
        <f aca="false">IF(R85="","",IF(T85="",0,IF(S85&gt;=T85,R85,0)))</f>
        <v>0</v>
      </c>
      <c r="V85" s="10" t="n">
        <f aca="false">IF(U85="","",MEDIAN(-1,U85,1))</f>
        <v>0</v>
      </c>
      <c r="W85" s="10" t="n">
        <f aca="false">IF(J85="","",AVERAGE(J85:Q85))</f>
        <v>0.0403691886344577</v>
      </c>
    </row>
    <row r="86" customFormat="false" ht="15" hidden="false" customHeight="false" outlineLevel="0" collapsed="false">
      <c r="A86" s="8" t="n">
        <f aca="false">Base!A86</f>
        <v>40574</v>
      </c>
      <c r="B86" s="10" t="n">
        <f aca="false">IF(COUNT(Transf!B$39:B86)&lt;36,"",(Transf!B86-AVERAGE(Transf!B$39:B86))/STDEV(Transf!B$39:B86))</f>
        <v>0.291704595021692</v>
      </c>
      <c r="C86" s="10" t="n">
        <f aca="false">IF(COUNT(Transf!C$39:C86)&lt;36,"",(Transf!C86-AVERAGE(Transf!C$39:C86))/STDEV(Transf!C$39:C86))</f>
        <v>1.01063377649351</v>
      </c>
      <c r="D86" s="10" t="n">
        <f aca="false">IF(COUNT(Transf!D$39:D86)&lt;36,"",(Transf!D86-AVERAGE(Transf!D$39:D86))/STDEV(Transf!D$39:D86))</f>
        <v>0.551474226545256</v>
      </c>
      <c r="E86" s="10" t="n">
        <f aca="false">IF(COUNT(Transf!E$39:E86)&lt;36,"",(Transf!E86-AVERAGE(Transf!E$39:E86))/STDEV(Transf!E$39:E86))</f>
        <v>0.394445273199343</v>
      </c>
      <c r="F86" s="10" t="n">
        <f aca="false">IF(COUNT(Transf!F$39:F86)&lt;36,"",(Transf!F86-AVERAGE(Transf!F$39:F86))/STDEV(Transf!F$39:F86))</f>
        <v>-1.26111006438732</v>
      </c>
      <c r="G86" s="10" t="n">
        <f aca="false">IF(COUNT(Transf!G$39:G86)&lt;36,"",(Transf!G86-AVERAGE(Transf!G$39:G86))/STDEV(Transf!G$39:G86))</f>
        <v>-0.806096876775954</v>
      </c>
      <c r="H86" s="10" t="n">
        <f aca="false">IF(COUNT(Transf!H$39:H86)&lt;36,"",(Transf!H86-AVERAGE(Transf!H$39:H86))/STDEV(Transf!H$39:H86))</f>
        <v>-0.241726763309277</v>
      </c>
      <c r="I86" s="10" t="n">
        <f aca="false">IF(COUNT(Transf!I$39:I86)&lt;36,"",(Transf!I86-AVERAGE(Transf!I$39:I86))/STDEV(Transf!I$39:I86))</f>
        <v>1.70135886973407</v>
      </c>
      <c r="J86" s="10" t="n">
        <f aca="false">IF(B86="","",IF(COUNT(B$74:B86)&lt;60,B86,MEDIAN(QUARTILE(B$74:B86,1)-1.5*(QUARTILE(B$74:B86,3)-QUARTILE(B$74:B86,1)),B86,QUARTILE(B$74:B86,3)+1.5*(QUARTILE(B$74:B86,3)-QUARTILE(B$74:B86,1)))))</f>
        <v>0.291704595021692</v>
      </c>
      <c r="K86" s="10" t="n">
        <f aca="false">IF(C86="","",IF(COUNT(C$74:C86)&lt;60,C86,MEDIAN(QUARTILE(C$74:C86,1)-1.5*(QUARTILE(C$74:C86,3)-QUARTILE(C$74:C86,1)),C86,QUARTILE(C$74:C86,3)+1.5*(QUARTILE(C$74:C86,3)-QUARTILE(C$74:C86,1)))))</f>
        <v>1.01063377649351</v>
      </c>
      <c r="L86" s="10" t="n">
        <f aca="false">IF(D86="","",IF(COUNT(D$74:D86)&lt;60,D86,MEDIAN(QUARTILE(D$74:D86,1)-1.5*(QUARTILE(D$74:D86,3)-QUARTILE(D$74:D86,1)),D86,QUARTILE(D$74:D86,3)+1.5*(QUARTILE(D$74:D86,3)-QUARTILE(D$74:D86,1)))))</f>
        <v>0.551474226545256</v>
      </c>
      <c r="M86" s="10" t="n">
        <f aca="false">IF(E86="","",IF(COUNT(E$74:E86)&lt;60,E86,MEDIAN(QUARTILE(E$74:E86,1)-1.5*(QUARTILE(E$74:E86,3)-QUARTILE(E$74:E86,1)),E86,QUARTILE(E$74:E86,3)+1.5*(QUARTILE(E$74:E86,3)-QUARTILE(E$74:E86,1)))))</f>
        <v>0.394445273199343</v>
      </c>
      <c r="N86" s="10" t="n">
        <f aca="false">IF(F86="","",IF(COUNT(F$74:F86)&lt;60,F86,MEDIAN(QUARTILE(F$74:F86,1)-1.5*(QUARTILE(F$74:F86,3)-QUARTILE(F$74:F86,1)),F86,QUARTILE(F$74:F86,3)+1.5*(QUARTILE(F$74:F86,3)-QUARTILE(F$74:F86,1)))))</f>
        <v>-1.26111006438732</v>
      </c>
      <c r="O86" s="10" t="n">
        <f aca="false">IF(G86="","",IF(COUNT(G$74:G86)&lt;60,G86,MEDIAN(QUARTILE(G$74:G86,1)-1.5*(QUARTILE(G$74:G86,3)-QUARTILE(G$74:G86,1)),G86,QUARTILE(G$74:G86,3)+1.5*(QUARTILE(G$74:G86,3)-QUARTILE(G$74:G86,1)))))</f>
        <v>-0.806096876775954</v>
      </c>
      <c r="P86" s="10" t="n">
        <f aca="false">IF(H86="","",IF(COUNT(H$74:H86)&lt;60,H86,MEDIAN(QUARTILE(H$74:H86,1)-1.5*(QUARTILE(H$74:H86,3)-QUARTILE(H$74:H86,1)),H86,QUARTILE(H$74:H86,3)+1.5*(QUARTILE(H$74:H86,3)-QUARTILE(H$74:H86,1)))))</f>
        <v>-0.241726763309277</v>
      </c>
      <c r="Q86" s="10" t="n">
        <f aca="false">IF(I86="","",IF(COUNT(I$74:I86)&lt;60,I86,MEDIAN(QUARTILE(I$74:I86,1)-1.5*(QUARTILE(I$74:I86,3)-QUARTILE(I$74:I86,1)),I86,QUARTILE(I$74:I86,3)+1.5*(QUARTILE(I$74:I86,3)-QUARTILE(I$74:I86,1)))))</f>
        <v>1.70135886973407</v>
      </c>
      <c r="R86" s="10" t="n">
        <f aca="false">IF(J86="","",MEDIAN(J86:Q86))</f>
        <v>0.343074934110517</v>
      </c>
      <c r="S86" s="10" t="n">
        <f aca="false">IF(R86="","",ABS(R86))</f>
        <v>0.343074934110517</v>
      </c>
      <c r="T86" s="10" t="str">
        <f aca="false">IF(COUNT(S$74:S85)&lt;60,"",MEDIAN(S$74:S85))</f>
        <v/>
      </c>
      <c r="U86" s="10" t="n">
        <f aca="false">IF(R86="","",IF(T86="",0,IF(S86&gt;=T86,R86,0)))</f>
        <v>0</v>
      </c>
      <c r="V86" s="10" t="n">
        <f aca="false">IF(U86="","",MEDIAN(-1,U86,1))</f>
        <v>0</v>
      </c>
      <c r="W86" s="10" t="n">
        <f aca="false">IF(J86="","",AVERAGE(J86:Q86))</f>
        <v>0.205085379565164</v>
      </c>
    </row>
    <row r="87" customFormat="false" ht="15" hidden="false" customHeight="false" outlineLevel="0" collapsed="false">
      <c r="A87" s="8" t="n">
        <f aca="false">Base!A87</f>
        <v>40602</v>
      </c>
      <c r="B87" s="10" t="n">
        <f aca="false">IF(COUNT(Transf!B$39:B87)&lt;36,"",(Transf!B87-AVERAGE(Transf!B$39:B87))/STDEV(Transf!B$39:B87))</f>
        <v>0.502488764377451</v>
      </c>
      <c r="C87" s="10" t="n">
        <f aca="false">IF(COUNT(Transf!C$39:C87)&lt;36,"",(Transf!C87-AVERAGE(Transf!C$39:C87))/STDEV(Transf!C$39:C87))</f>
        <v>0.91135027128186</v>
      </c>
      <c r="D87" s="10" t="n">
        <f aca="false">IF(COUNT(Transf!D$39:D87)&lt;36,"",(Transf!D87-AVERAGE(Transf!D$39:D87))/STDEV(Transf!D$39:D87))</f>
        <v>0.510213136213963</v>
      </c>
      <c r="E87" s="10" t="n">
        <f aca="false">IF(COUNT(Transf!E$39:E87)&lt;36,"",(Transf!E87-AVERAGE(Transf!E$39:E87))/STDEV(Transf!E$39:E87))</f>
        <v>-0.0499912372269125</v>
      </c>
      <c r="F87" s="10" t="n">
        <f aca="false">IF(COUNT(Transf!F$39:F87)&lt;36,"",(Transf!F87-AVERAGE(Transf!F$39:F87))/STDEV(Transf!F$39:F87))</f>
        <v>-1.38222097656662</v>
      </c>
      <c r="G87" s="10" t="n">
        <f aca="false">IF(COUNT(Transf!G$39:G87)&lt;36,"",(Transf!G87-AVERAGE(Transf!G$39:G87))/STDEV(Transf!G$39:G87))</f>
        <v>-0.370864320027929</v>
      </c>
      <c r="H87" s="10" t="n">
        <f aca="false">IF(COUNT(Transf!H$39:H87)&lt;36,"",(Transf!H87-AVERAGE(Transf!H$39:H87))/STDEV(Transf!H$39:H87))</f>
        <v>-0.0954608114797086</v>
      </c>
      <c r="I87" s="10" t="n">
        <f aca="false">IF(COUNT(Transf!I$39:I87)&lt;36,"",(Transf!I87-AVERAGE(Transf!I$39:I87))/STDEV(Transf!I$39:I87))</f>
        <v>2.68347965813012</v>
      </c>
      <c r="J87" s="10" t="n">
        <f aca="false">IF(B87="","",IF(COUNT(B$74:B87)&lt;60,B87,MEDIAN(QUARTILE(B$74:B87,1)-1.5*(QUARTILE(B$74:B87,3)-QUARTILE(B$74:B87,1)),B87,QUARTILE(B$74:B87,3)+1.5*(QUARTILE(B$74:B87,3)-QUARTILE(B$74:B87,1)))))</f>
        <v>0.502488764377451</v>
      </c>
      <c r="K87" s="10" t="n">
        <f aca="false">IF(C87="","",IF(COUNT(C$74:C87)&lt;60,C87,MEDIAN(QUARTILE(C$74:C87,1)-1.5*(QUARTILE(C$74:C87,3)-QUARTILE(C$74:C87,1)),C87,QUARTILE(C$74:C87,3)+1.5*(QUARTILE(C$74:C87,3)-QUARTILE(C$74:C87,1)))))</f>
        <v>0.91135027128186</v>
      </c>
      <c r="L87" s="10" t="n">
        <f aca="false">IF(D87="","",IF(COUNT(D$74:D87)&lt;60,D87,MEDIAN(QUARTILE(D$74:D87,1)-1.5*(QUARTILE(D$74:D87,3)-QUARTILE(D$74:D87,1)),D87,QUARTILE(D$74:D87,3)+1.5*(QUARTILE(D$74:D87,3)-QUARTILE(D$74:D87,1)))))</f>
        <v>0.510213136213963</v>
      </c>
      <c r="M87" s="10" t="n">
        <f aca="false">IF(E87="","",IF(COUNT(E$74:E87)&lt;60,E87,MEDIAN(QUARTILE(E$74:E87,1)-1.5*(QUARTILE(E$74:E87,3)-QUARTILE(E$74:E87,1)),E87,QUARTILE(E$74:E87,3)+1.5*(QUARTILE(E$74:E87,3)-QUARTILE(E$74:E87,1)))))</f>
        <v>-0.0499912372269125</v>
      </c>
      <c r="N87" s="10" t="n">
        <f aca="false">IF(F87="","",IF(COUNT(F$74:F87)&lt;60,F87,MEDIAN(QUARTILE(F$74:F87,1)-1.5*(QUARTILE(F$74:F87,3)-QUARTILE(F$74:F87,1)),F87,QUARTILE(F$74:F87,3)+1.5*(QUARTILE(F$74:F87,3)-QUARTILE(F$74:F87,1)))))</f>
        <v>-1.38222097656662</v>
      </c>
      <c r="O87" s="10" t="n">
        <f aca="false">IF(G87="","",IF(COUNT(G$74:G87)&lt;60,G87,MEDIAN(QUARTILE(G$74:G87,1)-1.5*(QUARTILE(G$74:G87,3)-QUARTILE(G$74:G87,1)),G87,QUARTILE(G$74:G87,3)+1.5*(QUARTILE(G$74:G87,3)-QUARTILE(G$74:G87,1)))))</f>
        <v>-0.370864320027929</v>
      </c>
      <c r="P87" s="10" t="n">
        <f aca="false">IF(H87="","",IF(COUNT(H$74:H87)&lt;60,H87,MEDIAN(QUARTILE(H$74:H87,1)-1.5*(QUARTILE(H$74:H87,3)-QUARTILE(H$74:H87,1)),H87,QUARTILE(H$74:H87,3)+1.5*(QUARTILE(H$74:H87,3)-QUARTILE(H$74:H87,1)))))</f>
        <v>-0.0954608114797086</v>
      </c>
      <c r="Q87" s="10" t="n">
        <f aca="false">IF(I87="","",IF(COUNT(I$74:I87)&lt;60,I87,MEDIAN(QUARTILE(I$74:I87,1)-1.5*(QUARTILE(I$74:I87,3)-QUARTILE(I$74:I87,1)),I87,QUARTILE(I$74:I87,3)+1.5*(QUARTILE(I$74:I87,3)-QUARTILE(I$74:I87,1)))))</f>
        <v>2.68347965813012</v>
      </c>
      <c r="R87" s="10" t="n">
        <f aca="false">IF(J87="","",MEDIAN(J87:Q87))</f>
        <v>0.226248763575269</v>
      </c>
      <c r="S87" s="10" t="n">
        <f aca="false">IF(R87="","",ABS(R87))</f>
        <v>0.226248763575269</v>
      </c>
      <c r="T87" s="10" t="str">
        <f aca="false">IF(COUNT(S$74:S86)&lt;60,"",MEDIAN(S$74:S86))</f>
        <v/>
      </c>
      <c r="U87" s="10" t="n">
        <f aca="false">IF(R87="","",IF(T87="",0,IF(S87&gt;=T87,R87,0)))</f>
        <v>0</v>
      </c>
      <c r="V87" s="10" t="n">
        <f aca="false">IF(U87="","",MEDIAN(-1,U87,1))</f>
        <v>0</v>
      </c>
      <c r="W87" s="10" t="n">
        <f aca="false">IF(J87="","",AVERAGE(J87:Q87))</f>
        <v>0.338624310587777</v>
      </c>
    </row>
    <row r="88" customFormat="false" ht="15" hidden="false" customHeight="false" outlineLevel="0" collapsed="false">
      <c r="A88" s="8" t="n">
        <f aca="false">Base!A88</f>
        <v>40633</v>
      </c>
      <c r="B88" s="10" t="n">
        <f aca="false">IF(COUNT(Transf!B$39:B88)&lt;36,"",(Transf!B88-AVERAGE(Transf!B$39:B88))/STDEV(Transf!B$39:B88))</f>
        <v>0.72184859005359</v>
      </c>
      <c r="C88" s="10" t="n">
        <f aca="false">IF(COUNT(Transf!C$39:C88)&lt;36,"",(Transf!C88-AVERAGE(Transf!C$39:C88))/STDEV(Transf!C$39:C88))</f>
        <v>0.788818194882271</v>
      </c>
      <c r="D88" s="10" t="n">
        <f aca="false">IF(COUNT(Transf!D$39:D88)&lt;36,"",(Transf!D88-AVERAGE(Transf!D$39:D88))/STDEV(Transf!D$39:D88))</f>
        <v>0.553047779014826</v>
      </c>
      <c r="E88" s="10" t="n">
        <f aca="false">IF(COUNT(Transf!E$39:E88)&lt;36,"",(Transf!E88-AVERAGE(Transf!E$39:E88))/STDEV(Transf!E$39:E88))</f>
        <v>-0.378435210567051</v>
      </c>
      <c r="F88" s="10" t="n">
        <f aca="false">IF(COUNT(Transf!F$39:F88)&lt;36,"",(Transf!F88-AVERAGE(Transf!F$39:F88))/STDEV(Transf!F$39:F88))</f>
        <v>-0.525912449837196</v>
      </c>
      <c r="G88" s="10" t="n">
        <f aca="false">IF(COUNT(Transf!G$39:G88)&lt;36,"",(Transf!G88-AVERAGE(Transf!G$39:G88))/STDEV(Transf!G$39:G88))</f>
        <v>-0.0474459368257636</v>
      </c>
      <c r="H88" s="10" t="n">
        <f aca="false">IF(COUNT(Transf!H$39:H88)&lt;36,"",(Transf!H88-AVERAGE(Transf!H$39:H88))/STDEV(Transf!H$39:H88))</f>
        <v>-0.0298750856717533</v>
      </c>
      <c r="I88" s="10" t="n">
        <f aca="false">IF(COUNT(Transf!I$39:I88)&lt;36,"",(Transf!I88-AVERAGE(Transf!I$39:I88))/STDEV(Transf!I$39:I88))</f>
        <v>2.85755248050766</v>
      </c>
      <c r="J88" s="10" t="n">
        <f aca="false">IF(B88="","",IF(COUNT(B$74:B88)&lt;60,B88,MEDIAN(QUARTILE(B$74:B88,1)-1.5*(QUARTILE(B$74:B88,3)-QUARTILE(B$74:B88,1)),B88,QUARTILE(B$74:B88,3)+1.5*(QUARTILE(B$74:B88,3)-QUARTILE(B$74:B88,1)))))</f>
        <v>0.72184859005359</v>
      </c>
      <c r="K88" s="10" t="n">
        <f aca="false">IF(C88="","",IF(COUNT(C$74:C88)&lt;60,C88,MEDIAN(QUARTILE(C$74:C88,1)-1.5*(QUARTILE(C$74:C88,3)-QUARTILE(C$74:C88,1)),C88,QUARTILE(C$74:C88,3)+1.5*(QUARTILE(C$74:C88,3)-QUARTILE(C$74:C88,1)))))</f>
        <v>0.788818194882271</v>
      </c>
      <c r="L88" s="10" t="n">
        <f aca="false">IF(D88="","",IF(COUNT(D$74:D88)&lt;60,D88,MEDIAN(QUARTILE(D$74:D88,1)-1.5*(QUARTILE(D$74:D88,3)-QUARTILE(D$74:D88,1)),D88,QUARTILE(D$74:D88,3)+1.5*(QUARTILE(D$74:D88,3)-QUARTILE(D$74:D88,1)))))</f>
        <v>0.553047779014826</v>
      </c>
      <c r="M88" s="10" t="n">
        <f aca="false">IF(E88="","",IF(COUNT(E$74:E88)&lt;60,E88,MEDIAN(QUARTILE(E$74:E88,1)-1.5*(QUARTILE(E$74:E88,3)-QUARTILE(E$74:E88,1)),E88,QUARTILE(E$74:E88,3)+1.5*(QUARTILE(E$74:E88,3)-QUARTILE(E$74:E88,1)))))</f>
        <v>-0.378435210567051</v>
      </c>
      <c r="N88" s="10" t="n">
        <f aca="false">IF(F88="","",IF(COUNT(F$74:F88)&lt;60,F88,MEDIAN(QUARTILE(F$74:F88,1)-1.5*(QUARTILE(F$74:F88,3)-QUARTILE(F$74:F88,1)),F88,QUARTILE(F$74:F88,3)+1.5*(QUARTILE(F$74:F88,3)-QUARTILE(F$74:F88,1)))))</f>
        <v>-0.525912449837196</v>
      </c>
      <c r="O88" s="10" t="n">
        <f aca="false">IF(G88="","",IF(COUNT(G$74:G88)&lt;60,G88,MEDIAN(QUARTILE(G$74:G88,1)-1.5*(QUARTILE(G$74:G88,3)-QUARTILE(G$74:G88,1)),G88,QUARTILE(G$74:G88,3)+1.5*(QUARTILE(G$74:G88,3)-QUARTILE(G$74:G88,1)))))</f>
        <v>-0.0474459368257636</v>
      </c>
      <c r="P88" s="10" t="n">
        <f aca="false">IF(H88="","",IF(COUNT(H$74:H88)&lt;60,H88,MEDIAN(QUARTILE(H$74:H88,1)-1.5*(QUARTILE(H$74:H88,3)-QUARTILE(H$74:H88,1)),H88,QUARTILE(H$74:H88,3)+1.5*(QUARTILE(H$74:H88,3)-QUARTILE(H$74:H88,1)))))</f>
        <v>-0.0298750856717533</v>
      </c>
      <c r="Q88" s="10" t="n">
        <f aca="false">IF(I88="","",IF(COUNT(I$74:I88)&lt;60,I88,MEDIAN(QUARTILE(I$74:I88,1)-1.5*(QUARTILE(I$74:I88,3)-QUARTILE(I$74:I88,1)),I88,QUARTILE(I$74:I88,3)+1.5*(QUARTILE(I$74:I88,3)-QUARTILE(I$74:I88,1)))))</f>
        <v>2.85755248050766</v>
      </c>
      <c r="R88" s="10" t="n">
        <f aca="false">IF(J88="","",MEDIAN(J88:Q88))</f>
        <v>0.261586346671536</v>
      </c>
      <c r="S88" s="10" t="n">
        <f aca="false">IF(R88="","",ABS(R88))</f>
        <v>0.261586346671536</v>
      </c>
      <c r="T88" s="10" t="str">
        <f aca="false">IF(COUNT(S$74:S87)&lt;60,"",MEDIAN(S$74:S87))</f>
        <v/>
      </c>
      <c r="U88" s="10" t="n">
        <f aca="false">IF(R88="","",IF(T88="",0,IF(S88&gt;=T88,R88,0)))</f>
        <v>0</v>
      </c>
      <c r="V88" s="10" t="n">
        <f aca="false">IF(U88="","",MEDIAN(-1,U88,1))</f>
        <v>0</v>
      </c>
      <c r="W88" s="10" t="n">
        <f aca="false">IF(J88="","",AVERAGE(J88:Q88))</f>
        <v>0.492449795194573</v>
      </c>
    </row>
    <row r="89" customFormat="false" ht="15" hidden="false" customHeight="false" outlineLevel="0" collapsed="false">
      <c r="A89" s="8" t="n">
        <f aca="false">Base!A89</f>
        <v>40663</v>
      </c>
      <c r="B89" s="10" t="n">
        <f aca="false">IF(COUNT(Transf!B$39:B89)&lt;36,"",(Transf!B89-AVERAGE(Transf!B$39:B89))/STDEV(Transf!B$39:B89))</f>
        <v>0.650604692454124</v>
      </c>
      <c r="C89" s="10" t="n">
        <f aca="false">IF(COUNT(Transf!C$39:C89)&lt;36,"",(Transf!C89-AVERAGE(Transf!C$39:C89))/STDEV(Transf!C$39:C89))</f>
        <v>0.502557149891649</v>
      </c>
      <c r="D89" s="10" t="n">
        <f aca="false">IF(COUNT(Transf!D$39:D89)&lt;36,"",(Transf!D89-AVERAGE(Transf!D$39:D89))/STDEV(Transf!D$39:D89))</f>
        <v>0.339282209829906</v>
      </c>
      <c r="E89" s="10" t="n">
        <f aca="false">IF(COUNT(Transf!E$39:E89)&lt;36,"",(Transf!E89-AVERAGE(Transf!E$39:E89))/STDEV(Transf!E$39:E89))</f>
        <v>-0.527485779108939</v>
      </c>
      <c r="F89" s="10" t="n">
        <f aca="false">IF(COUNT(Transf!F$39:F89)&lt;36,"",(Transf!F89-AVERAGE(Transf!F$39:F89))/STDEV(Transf!F$39:F89))</f>
        <v>-1.6501014360221</v>
      </c>
      <c r="G89" s="10" t="n">
        <f aca="false">IF(COUNT(Transf!G$39:G89)&lt;36,"",(Transf!G89-AVERAGE(Transf!G$39:G89))/STDEV(Transf!G$39:G89))</f>
        <v>0.170350145018486</v>
      </c>
      <c r="H89" s="10" t="n">
        <f aca="false">IF(COUNT(Transf!H$39:H89)&lt;36,"",(Transf!H89-AVERAGE(Transf!H$39:H89))/STDEV(Transf!H$39:H89))</f>
        <v>0.0808270483324419</v>
      </c>
      <c r="I89" s="10" t="n">
        <f aca="false">IF(COUNT(Transf!I$39:I89)&lt;36,"",(Transf!I89-AVERAGE(Transf!I$39:I89))/STDEV(Transf!I$39:I89))</f>
        <v>2.51901150509447</v>
      </c>
      <c r="J89" s="10" t="n">
        <f aca="false">IF(B89="","",IF(COUNT(B$74:B89)&lt;60,B89,MEDIAN(QUARTILE(B$74:B89,1)-1.5*(QUARTILE(B$74:B89,3)-QUARTILE(B$74:B89,1)),B89,QUARTILE(B$74:B89,3)+1.5*(QUARTILE(B$74:B89,3)-QUARTILE(B$74:B89,1)))))</f>
        <v>0.650604692454124</v>
      </c>
      <c r="K89" s="10" t="n">
        <f aca="false">IF(C89="","",IF(COUNT(C$74:C89)&lt;60,C89,MEDIAN(QUARTILE(C$74:C89,1)-1.5*(QUARTILE(C$74:C89,3)-QUARTILE(C$74:C89,1)),C89,QUARTILE(C$74:C89,3)+1.5*(QUARTILE(C$74:C89,3)-QUARTILE(C$74:C89,1)))))</f>
        <v>0.502557149891649</v>
      </c>
      <c r="L89" s="10" t="n">
        <f aca="false">IF(D89="","",IF(COUNT(D$74:D89)&lt;60,D89,MEDIAN(QUARTILE(D$74:D89,1)-1.5*(QUARTILE(D$74:D89,3)-QUARTILE(D$74:D89,1)),D89,QUARTILE(D$74:D89,3)+1.5*(QUARTILE(D$74:D89,3)-QUARTILE(D$74:D89,1)))))</f>
        <v>0.339282209829906</v>
      </c>
      <c r="M89" s="10" t="n">
        <f aca="false">IF(E89="","",IF(COUNT(E$74:E89)&lt;60,E89,MEDIAN(QUARTILE(E$74:E89,1)-1.5*(QUARTILE(E$74:E89,3)-QUARTILE(E$74:E89,1)),E89,QUARTILE(E$74:E89,3)+1.5*(QUARTILE(E$74:E89,3)-QUARTILE(E$74:E89,1)))))</f>
        <v>-0.527485779108939</v>
      </c>
      <c r="N89" s="10" t="n">
        <f aca="false">IF(F89="","",IF(COUNT(F$74:F89)&lt;60,F89,MEDIAN(QUARTILE(F$74:F89,1)-1.5*(QUARTILE(F$74:F89,3)-QUARTILE(F$74:F89,1)),F89,QUARTILE(F$74:F89,3)+1.5*(QUARTILE(F$74:F89,3)-QUARTILE(F$74:F89,1)))))</f>
        <v>-1.6501014360221</v>
      </c>
      <c r="O89" s="10" t="n">
        <f aca="false">IF(G89="","",IF(COUNT(G$74:G89)&lt;60,G89,MEDIAN(QUARTILE(G$74:G89,1)-1.5*(QUARTILE(G$74:G89,3)-QUARTILE(G$74:G89,1)),G89,QUARTILE(G$74:G89,3)+1.5*(QUARTILE(G$74:G89,3)-QUARTILE(G$74:G89,1)))))</f>
        <v>0.170350145018486</v>
      </c>
      <c r="P89" s="10" t="n">
        <f aca="false">IF(H89="","",IF(COUNT(H$74:H89)&lt;60,H89,MEDIAN(QUARTILE(H$74:H89,1)-1.5*(QUARTILE(H$74:H89,3)-QUARTILE(H$74:H89,1)),H89,QUARTILE(H$74:H89,3)+1.5*(QUARTILE(H$74:H89,3)-QUARTILE(H$74:H89,1)))))</f>
        <v>0.0808270483324419</v>
      </c>
      <c r="Q89" s="10" t="n">
        <f aca="false">IF(I89="","",IF(COUNT(I$74:I89)&lt;60,I89,MEDIAN(QUARTILE(I$74:I89,1)-1.5*(QUARTILE(I$74:I89,3)-QUARTILE(I$74:I89,1)),I89,QUARTILE(I$74:I89,3)+1.5*(QUARTILE(I$74:I89,3)-QUARTILE(I$74:I89,1)))))</f>
        <v>2.51901150509447</v>
      </c>
      <c r="R89" s="10" t="n">
        <f aca="false">IF(J89="","",MEDIAN(J89:Q89))</f>
        <v>0.254816177424196</v>
      </c>
      <c r="S89" s="10" t="n">
        <f aca="false">IF(R89="","",ABS(R89))</f>
        <v>0.254816177424196</v>
      </c>
      <c r="T89" s="10" t="str">
        <f aca="false">IF(COUNT(S$74:S88)&lt;60,"",MEDIAN(S$74:S88))</f>
        <v/>
      </c>
      <c r="U89" s="10" t="n">
        <f aca="false">IF(R89="","",IF(T89="",0,IF(S89&gt;=T89,R89,0)))</f>
        <v>0</v>
      </c>
      <c r="V89" s="10" t="n">
        <f aca="false">IF(U89="","",MEDIAN(-1,U89,1))</f>
        <v>0</v>
      </c>
      <c r="W89" s="10" t="n">
        <f aca="false">IF(J89="","",AVERAGE(J89:Q89))</f>
        <v>0.260630691936255</v>
      </c>
    </row>
    <row r="90" customFormat="false" ht="15" hidden="false" customHeight="false" outlineLevel="0" collapsed="false">
      <c r="A90" s="8" t="n">
        <f aca="false">Base!A90</f>
        <v>40694</v>
      </c>
      <c r="B90" s="10" t="n">
        <f aca="false">IF(COUNT(Transf!B$39:B90)&lt;36,"",(Transf!B90-AVERAGE(Transf!B$39:B90))/STDEV(Transf!B$39:B90))</f>
        <v>0.432037255478838</v>
      </c>
      <c r="C90" s="10" t="n">
        <f aca="false">IF(COUNT(Transf!C$39:C90)&lt;36,"",(Transf!C90-AVERAGE(Transf!C$39:C90))/STDEV(Transf!C$39:C90))</f>
        <v>0.354656901083931</v>
      </c>
      <c r="D90" s="10" t="n">
        <f aca="false">IF(COUNT(Transf!D$39:D90)&lt;36,"",(Transf!D90-AVERAGE(Transf!D$39:D90))/STDEV(Transf!D$39:D90))</f>
        <v>0.126117569842642</v>
      </c>
      <c r="E90" s="10" t="n">
        <f aca="false">IF(COUNT(Transf!E$39:E90)&lt;36,"",(Transf!E90-AVERAGE(Transf!E$39:E90))/STDEV(Transf!E$39:E90))</f>
        <v>-0.425486016837695</v>
      </c>
      <c r="F90" s="10" t="n">
        <f aca="false">IF(COUNT(Transf!F$39:F90)&lt;36,"",(Transf!F90-AVERAGE(Transf!F$39:F90))/STDEV(Transf!F$39:F90))</f>
        <v>-2.37937243674156</v>
      </c>
      <c r="G90" s="10" t="n">
        <f aca="false">IF(COUNT(Transf!G$39:G90)&lt;36,"",(Transf!G90-AVERAGE(Transf!G$39:G90))/STDEV(Transf!G$39:G90))</f>
        <v>0.365715593077109</v>
      </c>
      <c r="H90" s="10" t="n">
        <f aca="false">IF(COUNT(Transf!H$39:H90)&lt;36,"",(Transf!H90-AVERAGE(Transf!H$39:H90))/STDEV(Transf!H$39:H90))</f>
        <v>0.0291227061347359</v>
      </c>
      <c r="I90" s="10" t="n">
        <f aca="false">IF(COUNT(Transf!I$39:I90)&lt;36,"",(Transf!I90-AVERAGE(Transf!I$39:I90))/STDEV(Transf!I$39:I90))</f>
        <v>2.25473017462271</v>
      </c>
      <c r="J90" s="10" t="n">
        <f aca="false">IF(B90="","",IF(COUNT(B$74:B90)&lt;60,B90,MEDIAN(QUARTILE(B$74:B90,1)-1.5*(QUARTILE(B$74:B90,3)-QUARTILE(B$74:B90,1)),B90,QUARTILE(B$74:B90,3)+1.5*(QUARTILE(B$74:B90,3)-QUARTILE(B$74:B90,1)))))</f>
        <v>0.432037255478838</v>
      </c>
      <c r="K90" s="10" t="n">
        <f aca="false">IF(C90="","",IF(COUNT(C$74:C90)&lt;60,C90,MEDIAN(QUARTILE(C$74:C90,1)-1.5*(QUARTILE(C$74:C90,3)-QUARTILE(C$74:C90,1)),C90,QUARTILE(C$74:C90,3)+1.5*(QUARTILE(C$74:C90,3)-QUARTILE(C$74:C90,1)))))</f>
        <v>0.354656901083931</v>
      </c>
      <c r="L90" s="10" t="n">
        <f aca="false">IF(D90="","",IF(COUNT(D$74:D90)&lt;60,D90,MEDIAN(QUARTILE(D$74:D90,1)-1.5*(QUARTILE(D$74:D90,3)-QUARTILE(D$74:D90,1)),D90,QUARTILE(D$74:D90,3)+1.5*(QUARTILE(D$74:D90,3)-QUARTILE(D$74:D90,1)))))</f>
        <v>0.126117569842642</v>
      </c>
      <c r="M90" s="10" t="n">
        <f aca="false">IF(E90="","",IF(COUNT(E$74:E90)&lt;60,E90,MEDIAN(QUARTILE(E$74:E90,1)-1.5*(QUARTILE(E$74:E90,3)-QUARTILE(E$74:E90,1)),E90,QUARTILE(E$74:E90,3)+1.5*(QUARTILE(E$74:E90,3)-QUARTILE(E$74:E90,1)))))</f>
        <v>-0.425486016837695</v>
      </c>
      <c r="N90" s="10" t="n">
        <f aca="false">IF(F90="","",IF(COUNT(F$74:F90)&lt;60,F90,MEDIAN(QUARTILE(F$74:F90,1)-1.5*(QUARTILE(F$74:F90,3)-QUARTILE(F$74:F90,1)),F90,QUARTILE(F$74:F90,3)+1.5*(QUARTILE(F$74:F90,3)-QUARTILE(F$74:F90,1)))))</f>
        <v>-2.37937243674156</v>
      </c>
      <c r="O90" s="10" t="n">
        <f aca="false">IF(G90="","",IF(COUNT(G$74:G90)&lt;60,G90,MEDIAN(QUARTILE(G$74:G90,1)-1.5*(QUARTILE(G$74:G90,3)-QUARTILE(G$74:G90,1)),G90,QUARTILE(G$74:G90,3)+1.5*(QUARTILE(G$74:G90,3)-QUARTILE(G$74:G90,1)))))</f>
        <v>0.365715593077109</v>
      </c>
      <c r="P90" s="10" t="n">
        <f aca="false">IF(H90="","",IF(COUNT(H$74:H90)&lt;60,H90,MEDIAN(QUARTILE(H$74:H90,1)-1.5*(QUARTILE(H$74:H90,3)-QUARTILE(H$74:H90,1)),H90,QUARTILE(H$74:H90,3)+1.5*(QUARTILE(H$74:H90,3)-QUARTILE(H$74:H90,1)))))</f>
        <v>0.0291227061347359</v>
      </c>
      <c r="Q90" s="10" t="n">
        <f aca="false">IF(I90="","",IF(COUNT(I$74:I90)&lt;60,I90,MEDIAN(QUARTILE(I$74:I90,1)-1.5*(QUARTILE(I$74:I90,3)-QUARTILE(I$74:I90,1)),I90,QUARTILE(I$74:I90,3)+1.5*(QUARTILE(I$74:I90,3)-QUARTILE(I$74:I90,1)))))</f>
        <v>2.25473017462271</v>
      </c>
      <c r="R90" s="10" t="n">
        <f aca="false">IF(J90="","",MEDIAN(J90:Q90))</f>
        <v>0.240387235463286</v>
      </c>
      <c r="S90" s="10" t="n">
        <f aca="false">IF(R90="","",ABS(R90))</f>
        <v>0.240387235463286</v>
      </c>
      <c r="T90" s="10" t="str">
        <f aca="false">IF(COUNT(S$74:S89)&lt;60,"",MEDIAN(S$74:S89))</f>
        <v/>
      </c>
      <c r="U90" s="10" t="n">
        <f aca="false">IF(R90="","",IF(T90="",0,IF(S90&gt;=T90,R90,0)))</f>
        <v>0</v>
      </c>
      <c r="V90" s="10" t="n">
        <f aca="false">IF(U90="","",MEDIAN(-1,U90,1))</f>
        <v>0</v>
      </c>
      <c r="W90" s="10" t="n">
        <f aca="false">IF(J90="","",AVERAGE(J90:Q90))</f>
        <v>0.0946902183325888</v>
      </c>
    </row>
    <row r="91" customFormat="false" ht="15" hidden="false" customHeight="false" outlineLevel="0" collapsed="false">
      <c r="A91" s="8" t="n">
        <f aca="false">Base!A91</f>
        <v>40724</v>
      </c>
      <c r="B91" s="10" t="n">
        <f aca="false">IF(COUNT(Transf!B$39:B91)&lt;36,"",(Transf!B91-AVERAGE(Transf!B$39:B91))/STDEV(Transf!B$39:B91))</f>
        <v>0.319279918452529</v>
      </c>
      <c r="C91" s="10" t="n">
        <f aca="false">IF(COUNT(Transf!C$39:C91)&lt;36,"",(Transf!C91-AVERAGE(Transf!C$39:C91))/STDEV(Transf!C$39:C91))</f>
        <v>0.220859837923102</v>
      </c>
      <c r="D91" s="10" t="n">
        <f aca="false">IF(COUNT(Transf!D$39:D91)&lt;36,"",(Transf!D91-AVERAGE(Transf!D$39:D91))/STDEV(Transf!D$39:D91))</f>
        <v>-0.0880581315268852</v>
      </c>
      <c r="E91" s="10" t="n">
        <f aca="false">IF(COUNT(Transf!E$39:E91)&lt;36,"",(Transf!E91-AVERAGE(Transf!E$39:E91))/STDEV(Transf!E$39:E91))</f>
        <v>-0.304780013786445</v>
      </c>
      <c r="F91" s="10" t="n">
        <f aca="false">IF(COUNT(Transf!F$39:F91)&lt;36,"",(Transf!F91-AVERAGE(Transf!F$39:F91))/STDEV(Transf!F$39:F91))</f>
        <v>-2.82531890544555</v>
      </c>
      <c r="G91" s="10" t="n">
        <f aca="false">IF(COUNT(Transf!G$39:G91)&lt;36,"",(Transf!G91-AVERAGE(Transf!G$39:G91))/STDEV(Transf!G$39:G91))</f>
        <v>0.520738454416831</v>
      </c>
      <c r="H91" s="10" t="n">
        <f aca="false">IF(COUNT(Transf!H$39:H91)&lt;36,"",(Transf!H91-AVERAGE(Transf!H$39:H91))/STDEV(Transf!H$39:H91))</f>
        <v>0.0920009966198696</v>
      </c>
      <c r="I91" s="10" t="n">
        <f aca="false">IF(COUNT(Transf!I$39:I91)&lt;36,"",(Transf!I91-AVERAGE(Transf!I$39:I91))/STDEV(Transf!I$39:I91))</f>
        <v>2.55210206416752</v>
      </c>
      <c r="J91" s="10" t="n">
        <f aca="false">IF(B91="","",IF(COUNT(B$74:B91)&lt;60,B91,MEDIAN(QUARTILE(B$74:B91,1)-1.5*(QUARTILE(B$74:B91,3)-QUARTILE(B$74:B91,1)),B91,QUARTILE(B$74:B91,3)+1.5*(QUARTILE(B$74:B91,3)-QUARTILE(B$74:B91,1)))))</f>
        <v>0.319279918452529</v>
      </c>
      <c r="K91" s="10" t="n">
        <f aca="false">IF(C91="","",IF(COUNT(C$74:C91)&lt;60,C91,MEDIAN(QUARTILE(C$74:C91,1)-1.5*(QUARTILE(C$74:C91,3)-QUARTILE(C$74:C91,1)),C91,QUARTILE(C$74:C91,3)+1.5*(QUARTILE(C$74:C91,3)-QUARTILE(C$74:C91,1)))))</f>
        <v>0.220859837923102</v>
      </c>
      <c r="L91" s="10" t="n">
        <f aca="false">IF(D91="","",IF(COUNT(D$74:D91)&lt;60,D91,MEDIAN(QUARTILE(D$74:D91,1)-1.5*(QUARTILE(D$74:D91,3)-QUARTILE(D$74:D91,1)),D91,QUARTILE(D$74:D91,3)+1.5*(QUARTILE(D$74:D91,3)-QUARTILE(D$74:D91,1)))))</f>
        <v>-0.0880581315268852</v>
      </c>
      <c r="M91" s="10" t="n">
        <f aca="false">IF(E91="","",IF(COUNT(E$74:E91)&lt;60,E91,MEDIAN(QUARTILE(E$74:E91,1)-1.5*(QUARTILE(E$74:E91,3)-QUARTILE(E$74:E91,1)),E91,QUARTILE(E$74:E91,3)+1.5*(QUARTILE(E$74:E91,3)-QUARTILE(E$74:E91,1)))))</f>
        <v>-0.304780013786445</v>
      </c>
      <c r="N91" s="10" t="n">
        <f aca="false">IF(F91="","",IF(COUNT(F$74:F91)&lt;60,F91,MEDIAN(QUARTILE(F$74:F91,1)-1.5*(QUARTILE(F$74:F91,3)-QUARTILE(F$74:F91,1)),F91,QUARTILE(F$74:F91,3)+1.5*(QUARTILE(F$74:F91,3)-QUARTILE(F$74:F91,1)))))</f>
        <v>-2.82531890544555</v>
      </c>
      <c r="O91" s="10" t="n">
        <f aca="false">IF(G91="","",IF(COUNT(G$74:G91)&lt;60,G91,MEDIAN(QUARTILE(G$74:G91,1)-1.5*(QUARTILE(G$74:G91,3)-QUARTILE(G$74:G91,1)),G91,QUARTILE(G$74:G91,3)+1.5*(QUARTILE(G$74:G91,3)-QUARTILE(G$74:G91,1)))))</f>
        <v>0.520738454416831</v>
      </c>
      <c r="P91" s="10" t="n">
        <f aca="false">IF(H91="","",IF(COUNT(H$74:H91)&lt;60,H91,MEDIAN(QUARTILE(H$74:H91,1)-1.5*(QUARTILE(H$74:H91,3)-QUARTILE(H$74:H91,1)),H91,QUARTILE(H$74:H91,3)+1.5*(QUARTILE(H$74:H91,3)-QUARTILE(H$74:H91,1)))))</f>
        <v>0.0920009966198696</v>
      </c>
      <c r="Q91" s="10" t="n">
        <f aca="false">IF(I91="","",IF(COUNT(I$74:I91)&lt;60,I91,MEDIAN(QUARTILE(I$74:I91,1)-1.5*(QUARTILE(I$74:I91,3)-QUARTILE(I$74:I91,1)),I91,QUARTILE(I$74:I91,3)+1.5*(QUARTILE(I$74:I91,3)-QUARTILE(I$74:I91,1)))))</f>
        <v>2.55210206416752</v>
      </c>
      <c r="R91" s="10" t="n">
        <f aca="false">IF(J91="","",MEDIAN(J91:Q91))</f>
        <v>0.156430417271486</v>
      </c>
      <c r="S91" s="10" t="n">
        <f aca="false">IF(R91="","",ABS(R91))</f>
        <v>0.156430417271486</v>
      </c>
      <c r="T91" s="10" t="str">
        <f aca="false">IF(COUNT(S$74:S90)&lt;60,"",MEDIAN(S$74:S90))</f>
        <v/>
      </c>
      <c r="U91" s="10" t="n">
        <f aca="false">IF(R91="","",IF(T91="",0,IF(S91&gt;=T91,R91,0)))</f>
        <v>0</v>
      </c>
      <c r="V91" s="10" t="n">
        <f aca="false">IF(U91="","",MEDIAN(-1,U91,1))</f>
        <v>0</v>
      </c>
      <c r="W91" s="10" t="n">
        <f aca="false">IF(J91="","",AVERAGE(J91:Q91))</f>
        <v>0.0608530276026223</v>
      </c>
    </row>
    <row r="92" customFormat="false" ht="15" hidden="false" customHeight="false" outlineLevel="0" collapsed="false">
      <c r="A92" s="8" t="n">
        <f aca="false">Base!A92</f>
        <v>40755</v>
      </c>
      <c r="B92" s="10" t="n">
        <f aca="false">IF(COUNT(Transf!B$39:B92)&lt;36,"",(Transf!B92-AVERAGE(Transf!B$39:B92))/STDEV(Transf!B$39:B92))</f>
        <v>0.425841988247244</v>
      </c>
      <c r="C92" s="10" t="n">
        <f aca="false">IF(COUNT(Transf!C$39:C92)&lt;36,"",(Transf!C92-AVERAGE(Transf!C$39:C92))/STDEV(Transf!C$39:C92))</f>
        <v>0.28395670521993</v>
      </c>
      <c r="D92" s="10" t="n">
        <f aca="false">IF(COUNT(Transf!D$39:D92)&lt;36,"",(Transf!D92-AVERAGE(Transf!D$39:D92))/STDEV(Transf!D$39:D92))</f>
        <v>-0.156265048134581</v>
      </c>
      <c r="E92" s="10" t="n">
        <f aca="false">IF(COUNT(Transf!E$39:E92)&lt;36,"",(Transf!E92-AVERAGE(Transf!E$39:E92))/STDEV(Transf!E$39:E92))</f>
        <v>-0.241746987631153</v>
      </c>
      <c r="F92" s="10" t="n">
        <f aca="false">IF(COUNT(Transf!F$39:F92)&lt;36,"",(Transf!F92-AVERAGE(Transf!F$39:F92))/STDEV(Transf!F$39:F92))</f>
        <v>-2.0834246574911</v>
      </c>
      <c r="G92" s="10" t="n">
        <f aca="false">IF(COUNT(Transf!G$39:G92)&lt;36,"",(Transf!G92-AVERAGE(Transf!G$39:G92))/STDEV(Transf!G$39:G92))</f>
        <v>0.547196655610434</v>
      </c>
      <c r="H92" s="10" t="n">
        <f aca="false">IF(COUNT(Transf!H$39:H92)&lt;36,"",(Transf!H92-AVERAGE(Transf!H$39:H92))/STDEV(Transf!H$39:H92))</f>
        <v>0.191380679989223</v>
      </c>
      <c r="I92" s="10" t="n">
        <f aca="false">IF(COUNT(Transf!I$39:I92)&lt;36,"",(Transf!I92-AVERAGE(Transf!I$39:I92))/STDEV(Transf!I$39:I92))</f>
        <v>3.18835348976634</v>
      </c>
      <c r="J92" s="10" t="n">
        <f aca="false">IF(B92="","",IF(COUNT(B$74:B92)&lt;60,B92,MEDIAN(QUARTILE(B$74:B92,1)-1.5*(QUARTILE(B$74:B92,3)-QUARTILE(B$74:B92,1)),B92,QUARTILE(B$74:B92,3)+1.5*(QUARTILE(B$74:B92,3)-QUARTILE(B$74:B92,1)))))</f>
        <v>0.425841988247244</v>
      </c>
      <c r="K92" s="10" t="n">
        <f aca="false">IF(C92="","",IF(COUNT(C$74:C92)&lt;60,C92,MEDIAN(QUARTILE(C$74:C92,1)-1.5*(QUARTILE(C$74:C92,3)-QUARTILE(C$74:C92,1)),C92,QUARTILE(C$74:C92,3)+1.5*(QUARTILE(C$74:C92,3)-QUARTILE(C$74:C92,1)))))</f>
        <v>0.28395670521993</v>
      </c>
      <c r="L92" s="10" t="n">
        <f aca="false">IF(D92="","",IF(COUNT(D$74:D92)&lt;60,D92,MEDIAN(QUARTILE(D$74:D92,1)-1.5*(QUARTILE(D$74:D92,3)-QUARTILE(D$74:D92,1)),D92,QUARTILE(D$74:D92,3)+1.5*(QUARTILE(D$74:D92,3)-QUARTILE(D$74:D92,1)))))</f>
        <v>-0.156265048134581</v>
      </c>
      <c r="M92" s="10" t="n">
        <f aca="false">IF(E92="","",IF(COUNT(E$74:E92)&lt;60,E92,MEDIAN(QUARTILE(E$74:E92,1)-1.5*(QUARTILE(E$74:E92,3)-QUARTILE(E$74:E92,1)),E92,QUARTILE(E$74:E92,3)+1.5*(QUARTILE(E$74:E92,3)-QUARTILE(E$74:E92,1)))))</f>
        <v>-0.241746987631153</v>
      </c>
      <c r="N92" s="10" t="n">
        <f aca="false">IF(F92="","",IF(COUNT(F$74:F92)&lt;60,F92,MEDIAN(QUARTILE(F$74:F92,1)-1.5*(QUARTILE(F$74:F92,3)-QUARTILE(F$74:F92,1)),F92,QUARTILE(F$74:F92,3)+1.5*(QUARTILE(F$74:F92,3)-QUARTILE(F$74:F92,1)))))</f>
        <v>-2.0834246574911</v>
      </c>
      <c r="O92" s="10" t="n">
        <f aca="false">IF(G92="","",IF(COUNT(G$74:G92)&lt;60,G92,MEDIAN(QUARTILE(G$74:G92,1)-1.5*(QUARTILE(G$74:G92,3)-QUARTILE(G$74:G92,1)),G92,QUARTILE(G$74:G92,3)+1.5*(QUARTILE(G$74:G92,3)-QUARTILE(G$74:G92,1)))))</f>
        <v>0.547196655610434</v>
      </c>
      <c r="P92" s="10" t="n">
        <f aca="false">IF(H92="","",IF(COUNT(H$74:H92)&lt;60,H92,MEDIAN(QUARTILE(H$74:H92,1)-1.5*(QUARTILE(H$74:H92,3)-QUARTILE(H$74:H92,1)),H92,QUARTILE(H$74:H92,3)+1.5*(QUARTILE(H$74:H92,3)-QUARTILE(H$74:H92,1)))))</f>
        <v>0.191380679989223</v>
      </c>
      <c r="Q92" s="10" t="n">
        <f aca="false">IF(I92="","",IF(COUNT(I$74:I92)&lt;60,I92,MEDIAN(QUARTILE(I$74:I92,1)-1.5*(QUARTILE(I$74:I92,3)-QUARTILE(I$74:I92,1)),I92,QUARTILE(I$74:I92,3)+1.5*(QUARTILE(I$74:I92,3)-QUARTILE(I$74:I92,1)))))</f>
        <v>3.18835348976634</v>
      </c>
      <c r="R92" s="10" t="n">
        <f aca="false">IF(J92="","",MEDIAN(J92:Q92))</f>
        <v>0.237668692604576</v>
      </c>
      <c r="S92" s="10" t="n">
        <f aca="false">IF(R92="","",ABS(R92))</f>
        <v>0.237668692604576</v>
      </c>
      <c r="T92" s="10" t="str">
        <f aca="false">IF(COUNT(S$74:S91)&lt;60,"",MEDIAN(S$74:S91))</f>
        <v/>
      </c>
      <c r="U92" s="10" t="n">
        <f aca="false">IF(R92="","",IF(T92="",0,IF(S92&gt;=T92,R92,0)))</f>
        <v>0</v>
      </c>
      <c r="V92" s="10" t="n">
        <f aca="false">IF(U92="","",MEDIAN(-1,U92,1))</f>
        <v>0</v>
      </c>
      <c r="W92" s="10" t="n">
        <f aca="false">IF(J92="","",AVERAGE(J92:Q92))</f>
        <v>0.269411603197041</v>
      </c>
    </row>
    <row r="93" customFormat="false" ht="15" hidden="false" customHeight="false" outlineLevel="0" collapsed="false">
      <c r="A93" s="8" t="n">
        <f aca="false">Base!A93</f>
        <v>40786</v>
      </c>
      <c r="B93" s="10" t="n">
        <f aca="false">IF(COUNT(Transf!B$39:B93)&lt;36,"",(Transf!B93-AVERAGE(Transf!B$39:B93))/STDEV(Transf!B$39:B93))</f>
        <v>0.549305633148084</v>
      </c>
      <c r="C93" s="10" t="n">
        <f aca="false">IF(COUNT(Transf!C$39:C93)&lt;36,"",(Transf!C93-AVERAGE(Transf!C$39:C93))/STDEV(Transf!C$39:C93))</f>
        <v>0.361424043898457</v>
      </c>
      <c r="D93" s="10" t="n">
        <f aca="false">IF(COUNT(Transf!D$39:D93)&lt;36,"",(Transf!D93-AVERAGE(Transf!D$39:D93))/STDEV(Transf!D$39:D93))</f>
        <v>-0.0771143774545277</v>
      </c>
      <c r="E93" s="10" t="n">
        <f aca="false">IF(COUNT(Transf!E$39:E93)&lt;36,"",(Transf!E93-AVERAGE(Transf!E$39:E93))/STDEV(Transf!E$39:E93))</f>
        <v>-0.127943618908123</v>
      </c>
      <c r="F93" s="10" t="n">
        <f aca="false">IF(COUNT(Transf!F$39:F93)&lt;36,"",(Transf!F93-AVERAGE(Transf!F$39:F93))/STDEV(Transf!F$39:F93))</f>
        <v>-1.38921674690026</v>
      </c>
      <c r="G93" s="10" t="n">
        <f aca="false">IF(COUNT(Transf!G$39:G93)&lt;36,"",(Transf!G93-AVERAGE(Transf!G$39:G93))/STDEV(Transf!G$39:G93))</f>
        <v>0.455963387363105</v>
      </c>
      <c r="H93" s="10" t="n">
        <f aca="false">IF(COUNT(Transf!H$39:H93)&lt;36,"",(Transf!H93-AVERAGE(Transf!H$39:H93))/STDEV(Transf!H$39:H93))</f>
        <v>0.356880222257251</v>
      </c>
      <c r="I93" s="10" t="n">
        <f aca="false">IF(COUNT(Transf!I$39:I93)&lt;36,"",(Transf!I93-AVERAGE(Transf!I$39:I93))/STDEV(Transf!I$39:I93))</f>
        <v>3.82123782707944</v>
      </c>
      <c r="J93" s="10" t="n">
        <f aca="false">IF(B93="","",IF(COUNT(B$74:B93)&lt;60,B93,MEDIAN(QUARTILE(B$74:B93,1)-1.5*(QUARTILE(B$74:B93,3)-QUARTILE(B$74:B93,1)),B93,QUARTILE(B$74:B93,3)+1.5*(QUARTILE(B$74:B93,3)-QUARTILE(B$74:B93,1)))))</f>
        <v>0.549305633148084</v>
      </c>
      <c r="K93" s="10" t="n">
        <f aca="false">IF(C93="","",IF(COUNT(C$74:C93)&lt;60,C93,MEDIAN(QUARTILE(C$74:C93,1)-1.5*(QUARTILE(C$74:C93,3)-QUARTILE(C$74:C93,1)),C93,QUARTILE(C$74:C93,3)+1.5*(QUARTILE(C$74:C93,3)-QUARTILE(C$74:C93,1)))))</f>
        <v>0.361424043898457</v>
      </c>
      <c r="L93" s="10" t="n">
        <f aca="false">IF(D93="","",IF(COUNT(D$74:D93)&lt;60,D93,MEDIAN(QUARTILE(D$74:D93,1)-1.5*(QUARTILE(D$74:D93,3)-QUARTILE(D$74:D93,1)),D93,QUARTILE(D$74:D93,3)+1.5*(QUARTILE(D$74:D93,3)-QUARTILE(D$74:D93,1)))))</f>
        <v>-0.0771143774545277</v>
      </c>
      <c r="M93" s="10" t="n">
        <f aca="false">IF(E93="","",IF(COUNT(E$74:E93)&lt;60,E93,MEDIAN(QUARTILE(E$74:E93,1)-1.5*(QUARTILE(E$74:E93,3)-QUARTILE(E$74:E93,1)),E93,QUARTILE(E$74:E93,3)+1.5*(QUARTILE(E$74:E93,3)-QUARTILE(E$74:E93,1)))))</f>
        <v>-0.127943618908123</v>
      </c>
      <c r="N93" s="10" t="n">
        <f aca="false">IF(F93="","",IF(COUNT(F$74:F93)&lt;60,F93,MEDIAN(QUARTILE(F$74:F93,1)-1.5*(QUARTILE(F$74:F93,3)-QUARTILE(F$74:F93,1)),F93,QUARTILE(F$74:F93,3)+1.5*(QUARTILE(F$74:F93,3)-QUARTILE(F$74:F93,1)))))</f>
        <v>-1.38921674690026</v>
      </c>
      <c r="O93" s="10" t="n">
        <f aca="false">IF(G93="","",IF(COUNT(G$74:G93)&lt;60,G93,MEDIAN(QUARTILE(G$74:G93,1)-1.5*(QUARTILE(G$74:G93,3)-QUARTILE(G$74:G93,1)),G93,QUARTILE(G$74:G93,3)+1.5*(QUARTILE(G$74:G93,3)-QUARTILE(G$74:G93,1)))))</f>
        <v>0.455963387363105</v>
      </c>
      <c r="P93" s="10" t="n">
        <f aca="false">IF(H93="","",IF(COUNT(H$74:H93)&lt;60,H93,MEDIAN(QUARTILE(H$74:H93,1)-1.5*(QUARTILE(H$74:H93,3)-QUARTILE(H$74:H93,1)),H93,QUARTILE(H$74:H93,3)+1.5*(QUARTILE(H$74:H93,3)-QUARTILE(H$74:H93,1)))))</f>
        <v>0.356880222257251</v>
      </c>
      <c r="Q93" s="10" t="n">
        <f aca="false">IF(I93="","",IF(COUNT(I$74:I93)&lt;60,I93,MEDIAN(QUARTILE(I$74:I93,1)-1.5*(QUARTILE(I$74:I93,3)-QUARTILE(I$74:I93,1)),I93,QUARTILE(I$74:I93,3)+1.5*(QUARTILE(I$74:I93,3)-QUARTILE(I$74:I93,1)))))</f>
        <v>3.82123782707944</v>
      </c>
      <c r="R93" s="10" t="n">
        <f aca="false">IF(J93="","",MEDIAN(J93:Q93))</f>
        <v>0.359152133077854</v>
      </c>
      <c r="S93" s="10" t="n">
        <f aca="false">IF(R93="","",ABS(R93))</f>
        <v>0.359152133077854</v>
      </c>
      <c r="T93" s="10" t="str">
        <f aca="false">IF(COUNT(S$74:S92)&lt;60,"",MEDIAN(S$74:S92))</f>
        <v/>
      </c>
      <c r="U93" s="10" t="n">
        <f aca="false">IF(R93="","",IF(T93="",0,IF(S93&gt;=T93,R93,0)))</f>
        <v>0</v>
      </c>
      <c r="V93" s="10" t="n">
        <f aca="false">IF(U93="","",MEDIAN(-1,U93,1))</f>
        <v>0</v>
      </c>
      <c r="W93" s="10" t="n">
        <f aca="false">IF(J93="","",AVERAGE(J93:Q93))</f>
        <v>0.493817046310428</v>
      </c>
    </row>
    <row r="94" customFormat="false" ht="15" hidden="false" customHeight="false" outlineLevel="0" collapsed="false">
      <c r="A94" s="8" t="n">
        <f aca="false">Base!A94</f>
        <v>40816</v>
      </c>
      <c r="B94" s="10" t="n">
        <f aca="false">IF(COUNT(Transf!B$39:B94)&lt;36,"",(Transf!B94-AVERAGE(Transf!B$39:B94))/STDEV(Transf!B$39:B94))</f>
        <v>0.520103352670917</v>
      </c>
      <c r="C94" s="10" t="n">
        <f aca="false">IF(COUNT(Transf!C$39:C94)&lt;36,"",(Transf!C94-AVERAGE(Transf!C$39:C94))/STDEV(Transf!C$39:C94))</f>
        <v>0.515799217237092</v>
      </c>
      <c r="D94" s="10" t="n">
        <f aca="false">IF(COUNT(Transf!D$39:D94)&lt;36,"",(Transf!D94-AVERAGE(Transf!D$39:D94))/STDEV(Transf!D$39:D94))</f>
        <v>0.0690274245269951</v>
      </c>
      <c r="E94" s="10" t="n">
        <f aca="false">IF(COUNT(Transf!E$39:E94)&lt;36,"",(Transf!E94-AVERAGE(Transf!E$39:E94))/STDEV(Transf!E$39:E94))</f>
        <v>-0.0254401662972014</v>
      </c>
      <c r="F94" s="10" t="n">
        <f aca="false">IF(COUNT(Transf!F$39:F94)&lt;36,"",(Transf!F94-AVERAGE(Transf!F$39:F94))/STDEV(Transf!F$39:F94))</f>
        <v>-0.649302610333238</v>
      </c>
      <c r="G94" s="10" t="n">
        <f aca="false">IF(COUNT(Transf!G$39:G94)&lt;36,"",(Transf!G94-AVERAGE(Transf!G$39:G94))/STDEV(Transf!G$39:G94))</f>
        <v>-0.127438163768771</v>
      </c>
      <c r="H94" s="10" t="n">
        <f aca="false">IF(COUNT(Transf!H$39:H94)&lt;36,"",(Transf!H94-AVERAGE(Transf!H$39:H94))/STDEV(Transf!H$39:H94))</f>
        <v>0.557139047291423</v>
      </c>
      <c r="I94" s="10" t="n">
        <f aca="false">IF(COUNT(Transf!I$39:I94)&lt;36,"",(Transf!I94-AVERAGE(Transf!I$39:I94))/STDEV(Transf!I$39:I94))</f>
        <v>3.65245113297044</v>
      </c>
      <c r="J94" s="10" t="n">
        <f aca="false">IF(B94="","",IF(COUNT(B$74:B94)&lt;60,B94,MEDIAN(QUARTILE(B$74:B94,1)-1.5*(QUARTILE(B$74:B94,3)-QUARTILE(B$74:B94,1)),B94,QUARTILE(B$74:B94,3)+1.5*(QUARTILE(B$74:B94,3)-QUARTILE(B$74:B94,1)))))</f>
        <v>0.520103352670917</v>
      </c>
      <c r="K94" s="10" t="n">
        <f aca="false">IF(C94="","",IF(COUNT(C$74:C94)&lt;60,C94,MEDIAN(QUARTILE(C$74:C94,1)-1.5*(QUARTILE(C$74:C94,3)-QUARTILE(C$74:C94,1)),C94,QUARTILE(C$74:C94,3)+1.5*(QUARTILE(C$74:C94,3)-QUARTILE(C$74:C94,1)))))</f>
        <v>0.515799217237092</v>
      </c>
      <c r="L94" s="10" t="n">
        <f aca="false">IF(D94="","",IF(COUNT(D$74:D94)&lt;60,D94,MEDIAN(QUARTILE(D$74:D94,1)-1.5*(QUARTILE(D$74:D94,3)-QUARTILE(D$74:D94,1)),D94,QUARTILE(D$74:D94,3)+1.5*(QUARTILE(D$74:D94,3)-QUARTILE(D$74:D94,1)))))</f>
        <v>0.0690274245269951</v>
      </c>
      <c r="M94" s="10" t="n">
        <f aca="false">IF(E94="","",IF(COUNT(E$74:E94)&lt;60,E94,MEDIAN(QUARTILE(E$74:E94,1)-1.5*(QUARTILE(E$74:E94,3)-QUARTILE(E$74:E94,1)),E94,QUARTILE(E$74:E94,3)+1.5*(QUARTILE(E$74:E94,3)-QUARTILE(E$74:E94,1)))))</f>
        <v>-0.0254401662972014</v>
      </c>
      <c r="N94" s="10" t="n">
        <f aca="false">IF(F94="","",IF(COUNT(F$74:F94)&lt;60,F94,MEDIAN(QUARTILE(F$74:F94,1)-1.5*(QUARTILE(F$74:F94,3)-QUARTILE(F$74:F94,1)),F94,QUARTILE(F$74:F94,3)+1.5*(QUARTILE(F$74:F94,3)-QUARTILE(F$74:F94,1)))))</f>
        <v>-0.649302610333238</v>
      </c>
      <c r="O94" s="10" t="n">
        <f aca="false">IF(G94="","",IF(COUNT(G$74:G94)&lt;60,G94,MEDIAN(QUARTILE(G$74:G94,1)-1.5*(QUARTILE(G$74:G94,3)-QUARTILE(G$74:G94,1)),G94,QUARTILE(G$74:G94,3)+1.5*(QUARTILE(G$74:G94,3)-QUARTILE(G$74:G94,1)))))</f>
        <v>-0.127438163768771</v>
      </c>
      <c r="P94" s="10" t="n">
        <f aca="false">IF(H94="","",IF(COUNT(H$74:H94)&lt;60,H94,MEDIAN(QUARTILE(H$74:H94,1)-1.5*(QUARTILE(H$74:H94,3)-QUARTILE(H$74:H94,1)),H94,QUARTILE(H$74:H94,3)+1.5*(QUARTILE(H$74:H94,3)-QUARTILE(H$74:H94,1)))))</f>
        <v>0.557139047291423</v>
      </c>
      <c r="Q94" s="10" t="n">
        <f aca="false">IF(I94="","",IF(COUNT(I$74:I94)&lt;60,I94,MEDIAN(QUARTILE(I$74:I94,1)-1.5*(QUARTILE(I$74:I94,3)-QUARTILE(I$74:I94,1)),I94,QUARTILE(I$74:I94,3)+1.5*(QUARTILE(I$74:I94,3)-QUARTILE(I$74:I94,1)))))</f>
        <v>3.65245113297044</v>
      </c>
      <c r="R94" s="10" t="n">
        <f aca="false">IF(J94="","",MEDIAN(J94:Q94))</f>
        <v>0.292413320882044</v>
      </c>
      <c r="S94" s="10" t="n">
        <f aca="false">IF(R94="","",ABS(R94))</f>
        <v>0.292413320882044</v>
      </c>
      <c r="T94" s="10" t="str">
        <f aca="false">IF(COUNT(S$74:S93)&lt;60,"",MEDIAN(S$74:S93))</f>
        <v/>
      </c>
      <c r="U94" s="10" t="n">
        <f aca="false">IF(R94="","",IF(T94="",0,IF(S94&gt;=T94,R94,0)))</f>
        <v>0</v>
      </c>
      <c r="V94" s="10" t="n">
        <f aca="false">IF(U94="","",MEDIAN(-1,U94,1))</f>
        <v>0</v>
      </c>
      <c r="W94" s="10" t="n">
        <f aca="false">IF(J94="","",AVERAGE(J94:Q94))</f>
        <v>0.564042404287207</v>
      </c>
    </row>
    <row r="95" customFormat="false" ht="15" hidden="false" customHeight="false" outlineLevel="0" collapsed="false">
      <c r="A95" s="8" t="n">
        <f aca="false">Base!A95</f>
        <v>40847</v>
      </c>
      <c r="B95" s="10" t="n">
        <f aca="false">IF(COUNT(Transf!B$39:B95)&lt;36,"",(Transf!B95-AVERAGE(Transf!B$39:B95))/STDEV(Transf!B$39:B95))</f>
        <v>0.596729151624476</v>
      </c>
      <c r="C95" s="10" t="n">
        <f aca="false">IF(COUNT(Transf!C$39:C95)&lt;36,"",(Transf!C95-AVERAGE(Transf!C$39:C95))/STDEV(Transf!C$39:C95))</f>
        <v>0.634482218535393</v>
      </c>
      <c r="D95" s="10" t="n">
        <f aca="false">IF(COUNT(Transf!D$39:D95)&lt;36,"",(Transf!D95-AVERAGE(Transf!D$39:D95))/STDEV(Transf!D$39:D95))</f>
        <v>0.119631797980825</v>
      </c>
      <c r="E95" s="10" t="n">
        <f aca="false">IF(COUNT(Transf!E$39:E95)&lt;36,"",(Transf!E95-AVERAGE(Transf!E$39:E95))/STDEV(Transf!E$39:E95))</f>
        <v>-0.112680640753453</v>
      </c>
      <c r="F95" s="10" t="n">
        <f aca="false">IF(COUNT(Transf!F$39:F95)&lt;36,"",(Transf!F95-AVERAGE(Transf!F$39:F95))/STDEV(Transf!F$39:F95))</f>
        <v>-0.0946383140500541</v>
      </c>
      <c r="G95" s="10" t="n">
        <f aca="false">IF(COUNT(Transf!G$39:G95)&lt;36,"",(Transf!G95-AVERAGE(Transf!G$39:G95))/STDEV(Transf!G$39:G95))</f>
        <v>-0.384737987026724</v>
      </c>
      <c r="H95" s="10" t="n">
        <f aca="false">IF(COUNT(Transf!H$39:H95)&lt;36,"",(Transf!H95-AVERAGE(Transf!H$39:H95))/STDEV(Transf!H$39:H95))</f>
        <v>0.831607639448549</v>
      </c>
      <c r="I95" s="10" t="n">
        <f aca="false">IF(COUNT(Transf!I$39:I95)&lt;36,"",(Transf!I95-AVERAGE(Transf!I$39:I95))/STDEV(Transf!I$39:I95))</f>
        <v>3.09234360512469</v>
      </c>
      <c r="J95" s="10" t="n">
        <f aca="false">IF(B95="","",IF(COUNT(B$74:B95)&lt;60,B95,MEDIAN(QUARTILE(B$74:B95,1)-1.5*(QUARTILE(B$74:B95,3)-QUARTILE(B$74:B95,1)),B95,QUARTILE(B$74:B95,3)+1.5*(QUARTILE(B$74:B95,3)-QUARTILE(B$74:B95,1)))))</f>
        <v>0.596729151624476</v>
      </c>
      <c r="K95" s="10" t="n">
        <f aca="false">IF(C95="","",IF(COUNT(C$74:C95)&lt;60,C95,MEDIAN(QUARTILE(C$74:C95,1)-1.5*(QUARTILE(C$74:C95,3)-QUARTILE(C$74:C95,1)),C95,QUARTILE(C$74:C95,3)+1.5*(QUARTILE(C$74:C95,3)-QUARTILE(C$74:C95,1)))))</f>
        <v>0.634482218535393</v>
      </c>
      <c r="L95" s="10" t="n">
        <f aca="false">IF(D95="","",IF(COUNT(D$74:D95)&lt;60,D95,MEDIAN(QUARTILE(D$74:D95,1)-1.5*(QUARTILE(D$74:D95,3)-QUARTILE(D$74:D95,1)),D95,QUARTILE(D$74:D95,3)+1.5*(QUARTILE(D$74:D95,3)-QUARTILE(D$74:D95,1)))))</f>
        <v>0.119631797980825</v>
      </c>
      <c r="M95" s="10" t="n">
        <f aca="false">IF(E95="","",IF(COUNT(E$74:E95)&lt;60,E95,MEDIAN(QUARTILE(E$74:E95,1)-1.5*(QUARTILE(E$74:E95,3)-QUARTILE(E$74:E95,1)),E95,QUARTILE(E$74:E95,3)+1.5*(QUARTILE(E$74:E95,3)-QUARTILE(E$74:E95,1)))))</f>
        <v>-0.112680640753453</v>
      </c>
      <c r="N95" s="10" t="n">
        <f aca="false">IF(F95="","",IF(COUNT(F$74:F95)&lt;60,F95,MEDIAN(QUARTILE(F$74:F95,1)-1.5*(QUARTILE(F$74:F95,3)-QUARTILE(F$74:F95,1)),F95,QUARTILE(F$74:F95,3)+1.5*(QUARTILE(F$74:F95,3)-QUARTILE(F$74:F95,1)))))</f>
        <v>-0.0946383140500541</v>
      </c>
      <c r="O95" s="10" t="n">
        <f aca="false">IF(G95="","",IF(COUNT(G$74:G95)&lt;60,G95,MEDIAN(QUARTILE(G$74:G95,1)-1.5*(QUARTILE(G$74:G95,3)-QUARTILE(G$74:G95,1)),G95,QUARTILE(G$74:G95,3)+1.5*(QUARTILE(G$74:G95,3)-QUARTILE(G$74:G95,1)))))</f>
        <v>-0.384737987026724</v>
      </c>
      <c r="P95" s="10" t="n">
        <f aca="false">IF(H95="","",IF(COUNT(H$74:H95)&lt;60,H95,MEDIAN(QUARTILE(H$74:H95,1)-1.5*(QUARTILE(H$74:H95,3)-QUARTILE(H$74:H95,1)),H95,QUARTILE(H$74:H95,3)+1.5*(QUARTILE(H$74:H95,3)-QUARTILE(H$74:H95,1)))))</f>
        <v>0.831607639448549</v>
      </c>
      <c r="Q95" s="10" t="n">
        <f aca="false">IF(I95="","",IF(COUNT(I$74:I95)&lt;60,I95,MEDIAN(QUARTILE(I$74:I95,1)-1.5*(QUARTILE(I$74:I95,3)-QUARTILE(I$74:I95,1)),I95,QUARTILE(I$74:I95,3)+1.5*(QUARTILE(I$74:I95,3)-QUARTILE(I$74:I95,1)))))</f>
        <v>3.09234360512469</v>
      </c>
      <c r="R95" s="10" t="n">
        <f aca="false">IF(J95="","",MEDIAN(J95:Q95))</f>
        <v>0.358180474802651</v>
      </c>
      <c r="S95" s="10" t="n">
        <f aca="false">IF(R95="","",ABS(R95))</f>
        <v>0.358180474802651</v>
      </c>
      <c r="T95" s="10" t="str">
        <f aca="false">IF(COUNT(S$74:S94)&lt;60,"",MEDIAN(S$74:S94))</f>
        <v/>
      </c>
      <c r="U95" s="10" t="n">
        <f aca="false">IF(R95="","",IF(T95="",0,IF(S95&gt;=T95,R95,0)))</f>
        <v>0</v>
      </c>
      <c r="V95" s="10" t="n">
        <f aca="false">IF(U95="","",MEDIAN(-1,U95,1))</f>
        <v>0</v>
      </c>
      <c r="W95" s="10" t="n">
        <f aca="false">IF(J95="","",AVERAGE(J95:Q95))</f>
        <v>0.585342183860463</v>
      </c>
    </row>
    <row r="96" customFormat="false" ht="15" hidden="false" customHeight="false" outlineLevel="0" collapsed="false">
      <c r="A96" s="8" t="n">
        <f aca="false">Base!A96</f>
        <v>40877</v>
      </c>
      <c r="B96" s="10" t="n">
        <f aca="false">IF(COUNT(Transf!B$39:B96)&lt;36,"",(Transf!B96-AVERAGE(Transf!B$39:B96))/STDEV(Transf!B$39:B96))</f>
        <v>0.275410836771141</v>
      </c>
      <c r="C96" s="10" t="n">
        <f aca="false">IF(COUNT(Transf!C$39:C96)&lt;36,"",(Transf!C96-AVERAGE(Transf!C$39:C96))/STDEV(Transf!C$39:C96))</f>
        <v>0.54107857405684</v>
      </c>
      <c r="D96" s="10" t="n">
        <f aca="false">IF(COUNT(Transf!D$39:D96)&lt;36,"",(Transf!D96-AVERAGE(Transf!D$39:D96))/STDEV(Transf!D$39:D96))</f>
        <v>0.0186963130513142</v>
      </c>
      <c r="E96" s="10" t="n">
        <f aca="false">IF(COUNT(Transf!E$39:E96)&lt;36,"",(Transf!E96-AVERAGE(Transf!E$39:E96))/STDEV(Transf!E$39:E96))</f>
        <v>-0.34325302957234</v>
      </c>
      <c r="F96" s="10" t="n">
        <f aca="false">IF(COUNT(Transf!F$39:F96)&lt;36,"",(Transf!F96-AVERAGE(Transf!F$39:F96))/STDEV(Transf!F$39:F96))</f>
        <v>0.13423758278665</v>
      </c>
      <c r="G96" s="10" t="n">
        <f aca="false">IF(COUNT(Transf!G$39:G96)&lt;36,"",(Transf!G96-AVERAGE(Transf!G$39:G96))/STDEV(Transf!G$39:G96))</f>
        <v>-0.653222252996277</v>
      </c>
      <c r="H96" s="10" t="n">
        <f aca="false">IF(COUNT(Transf!H$39:H96)&lt;36,"",(Transf!H96-AVERAGE(Transf!H$39:H96))/STDEV(Transf!H$39:H96))</f>
        <v>1.04730191022695</v>
      </c>
      <c r="I96" s="10" t="n">
        <f aca="false">IF(COUNT(Transf!I$39:I96)&lt;36,"",(Transf!I96-AVERAGE(Transf!I$39:I96))/STDEV(Transf!I$39:I96))</f>
        <v>1.67967407348677</v>
      </c>
      <c r="J96" s="10" t="n">
        <f aca="false">IF(B96="","",IF(COUNT(B$74:B96)&lt;60,B96,MEDIAN(QUARTILE(B$74:B96,1)-1.5*(QUARTILE(B$74:B96,3)-QUARTILE(B$74:B96,1)),B96,QUARTILE(B$74:B96,3)+1.5*(QUARTILE(B$74:B96,3)-QUARTILE(B$74:B96,1)))))</f>
        <v>0.275410836771141</v>
      </c>
      <c r="K96" s="10" t="n">
        <f aca="false">IF(C96="","",IF(COUNT(C$74:C96)&lt;60,C96,MEDIAN(QUARTILE(C$74:C96,1)-1.5*(QUARTILE(C$74:C96,3)-QUARTILE(C$74:C96,1)),C96,QUARTILE(C$74:C96,3)+1.5*(QUARTILE(C$74:C96,3)-QUARTILE(C$74:C96,1)))))</f>
        <v>0.54107857405684</v>
      </c>
      <c r="L96" s="10" t="n">
        <f aca="false">IF(D96="","",IF(COUNT(D$74:D96)&lt;60,D96,MEDIAN(QUARTILE(D$74:D96,1)-1.5*(QUARTILE(D$74:D96,3)-QUARTILE(D$74:D96,1)),D96,QUARTILE(D$74:D96,3)+1.5*(QUARTILE(D$74:D96,3)-QUARTILE(D$74:D96,1)))))</f>
        <v>0.0186963130513142</v>
      </c>
      <c r="M96" s="10" t="n">
        <f aca="false">IF(E96="","",IF(COUNT(E$74:E96)&lt;60,E96,MEDIAN(QUARTILE(E$74:E96,1)-1.5*(QUARTILE(E$74:E96,3)-QUARTILE(E$74:E96,1)),E96,QUARTILE(E$74:E96,3)+1.5*(QUARTILE(E$74:E96,3)-QUARTILE(E$74:E96,1)))))</f>
        <v>-0.34325302957234</v>
      </c>
      <c r="N96" s="10" t="n">
        <f aca="false">IF(F96="","",IF(COUNT(F$74:F96)&lt;60,F96,MEDIAN(QUARTILE(F$74:F96,1)-1.5*(QUARTILE(F$74:F96,3)-QUARTILE(F$74:F96,1)),F96,QUARTILE(F$74:F96,3)+1.5*(QUARTILE(F$74:F96,3)-QUARTILE(F$74:F96,1)))))</f>
        <v>0.13423758278665</v>
      </c>
      <c r="O96" s="10" t="n">
        <f aca="false">IF(G96="","",IF(COUNT(G$74:G96)&lt;60,G96,MEDIAN(QUARTILE(G$74:G96,1)-1.5*(QUARTILE(G$74:G96,3)-QUARTILE(G$74:G96,1)),G96,QUARTILE(G$74:G96,3)+1.5*(QUARTILE(G$74:G96,3)-QUARTILE(G$74:G96,1)))))</f>
        <v>-0.653222252996277</v>
      </c>
      <c r="P96" s="10" t="n">
        <f aca="false">IF(H96="","",IF(COUNT(H$74:H96)&lt;60,H96,MEDIAN(QUARTILE(H$74:H96,1)-1.5*(QUARTILE(H$74:H96,3)-QUARTILE(H$74:H96,1)),H96,QUARTILE(H$74:H96,3)+1.5*(QUARTILE(H$74:H96,3)-QUARTILE(H$74:H96,1)))))</f>
        <v>1.04730191022695</v>
      </c>
      <c r="Q96" s="10" t="n">
        <f aca="false">IF(I96="","",IF(COUNT(I$74:I96)&lt;60,I96,MEDIAN(QUARTILE(I$74:I96,1)-1.5*(QUARTILE(I$74:I96,3)-QUARTILE(I$74:I96,1)),I96,QUARTILE(I$74:I96,3)+1.5*(QUARTILE(I$74:I96,3)-QUARTILE(I$74:I96,1)))))</f>
        <v>1.67967407348677</v>
      </c>
      <c r="R96" s="10" t="n">
        <f aca="false">IF(J96="","",MEDIAN(J96:Q96))</f>
        <v>0.204824209778895</v>
      </c>
      <c r="S96" s="10" t="n">
        <f aca="false">IF(R96="","",ABS(R96))</f>
        <v>0.204824209778895</v>
      </c>
      <c r="T96" s="10" t="str">
        <f aca="false">IF(COUNT(S$74:S95)&lt;60,"",MEDIAN(S$74:S95))</f>
        <v/>
      </c>
      <c r="U96" s="10" t="n">
        <f aca="false">IF(R96="","",IF(T96="",0,IF(S96&gt;=T96,R96,0)))</f>
        <v>0</v>
      </c>
      <c r="V96" s="10" t="n">
        <f aca="false">IF(U96="","",MEDIAN(-1,U96,1))</f>
        <v>0</v>
      </c>
      <c r="W96" s="10" t="n">
        <f aca="false">IF(J96="","",AVERAGE(J96:Q96))</f>
        <v>0.337490500976381</v>
      </c>
    </row>
    <row r="97" customFormat="false" ht="15" hidden="false" customHeight="false" outlineLevel="0" collapsed="false">
      <c r="A97" s="8" t="n">
        <f aca="false">Base!A97</f>
        <v>40908</v>
      </c>
      <c r="B97" s="10" t="n">
        <f aca="false">IF(COUNT(Transf!B$39:B97)&lt;36,"",(Transf!B97-AVERAGE(Transf!B$39:B97))/STDEV(Transf!B$39:B97))</f>
        <v>0.182289510439116</v>
      </c>
      <c r="C97" s="10" t="n">
        <f aca="false">IF(COUNT(Transf!C$39:C97)&lt;36,"",(Transf!C97-AVERAGE(Transf!C$39:C97))/STDEV(Transf!C$39:C97))</f>
        <v>0.338278554493275</v>
      </c>
      <c r="D97" s="10" t="n">
        <f aca="false">IF(COUNT(Transf!D$39:D97)&lt;36,"",(Transf!D97-AVERAGE(Transf!D$39:D97))/STDEV(Transf!D$39:D97))</f>
        <v>-0.0701092804269268</v>
      </c>
      <c r="E97" s="10" t="n">
        <f aca="false">IF(COUNT(Transf!E$39:E97)&lt;36,"",(Transf!E97-AVERAGE(Transf!E$39:E97))/STDEV(Transf!E$39:E97))</f>
        <v>-0.59503834703824</v>
      </c>
      <c r="F97" s="10" t="n">
        <f aca="false">IF(COUNT(Transf!F$39:F97)&lt;36,"",(Transf!F97-AVERAGE(Transf!F$39:F97))/STDEV(Transf!F$39:F97))</f>
        <v>1.18810028378365</v>
      </c>
      <c r="G97" s="10" t="n">
        <f aca="false">IF(COUNT(Transf!G$39:G97)&lt;36,"",(Transf!G97-AVERAGE(Transf!G$39:G97))/STDEV(Transf!G$39:G97))</f>
        <v>-0.572065772193716</v>
      </c>
      <c r="H97" s="10" t="n">
        <f aca="false">IF(COUNT(Transf!H$39:H97)&lt;36,"",(Transf!H97-AVERAGE(Transf!H$39:H97))/STDEV(Transf!H$39:H97))</f>
        <v>0.850241094891027</v>
      </c>
      <c r="I97" s="10" t="n">
        <f aca="false">IF(COUNT(Transf!I$39:I97)&lt;36,"",(Transf!I97-AVERAGE(Transf!I$39:I97))/STDEV(Transf!I$39:I97))</f>
        <v>0.69857270701218</v>
      </c>
      <c r="J97" s="10" t="n">
        <f aca="false">IF(B97="","",IF(COUNT(B$74:B97)&lt;60,B97,MEDIAN(QUARTILE(B$74:B97,1)-1.5*(QUARTILE(B$74:B97,3)-QUARTILE(B$74:B97,1)),B97,QUARTILE(B$74:B97,3)+1.5*(QUARTILE(B$74:B97,3)-QUARTILE(B$74:B97,1)))))</f>
        <v>0.182289510439116</v>
      </c>
      <c r="K97" s="10" t="n">
        <f aca="false">IF(C97="","",IF(COUNT(C$74:C97)&lt;60,C97,MEDIAN(QUARTILE(C$74:C97,1)-1.5*(QUARTILE(C$74:C97,3)-QUARTILE(C$74:C97,1)),C97,QUARTILE(C$74:C97,3)+1.5*(QUARTILE(C$74:C97,3)-QUARTILE(C$74:C97,1)))))</f>
        <v>0.338278554493275</v>
      </c>
      <c r="L97" s="10" t="n">
        <f aca="false">IF(D97="","",IF(COUNT(D$74:D97)&lt;60,D97,MEDIAN(QUARTILE(D$74:D97,1)-1.5*(QUARTILE(D$74:D97,3)-QUARTILE(D$74:D97,1)),D97,QUARTILE(D$74:D97,3)+1.5*(QUARTILE(D$74:D97,3)-QUARTILE(D$74:D97,1)))))</f>
        <v>-0.0701092804269268</v>
      </c>
      <c r="M97" s="10" t="n">
        <f aca="false">IF(E97="","",IF(COUNT(E$74:E97)&lt;60,E97,MEDIAN(QUARTILE(E$74:E97,1)-1.5*(QUARTILE(E$74:E97,3)-QUARTILE(E$74:E97,1)),E97,QUARTILE(E$74:E97,3)+1.5*(QUARTILE(E$74:E97,3)-QUARTILE(E$74:E97,1)))))</f>
        <v>-0.59503834703824</v>
      </c>
      <c r="N97" s="10" t="n">
        <f aca="false">IF(F97="","",IF(COUNT(F$74:F97)&lt;60,F97,MEDIAN(QUARTILE(F$74:F97,1)-1.5*(QUARTILE(F$74:F97,3)-QUARTILE(F$74:F97,1)),F97,QUARTILE(F$74:F97,3)+1.5*(QUARTILE(F$74:F97,3)-QUARTILE(F$74:F97,1)))))</f>
        <v>1.18810028378365</v>
      </c>
      <c r="O97" s="10" t="n">
        <f aca="false">IF(G97="","",IF(COUNT(G$74:G97)&lt;60,G97,MEDIAN(QUARTILE(G$74:G97,1)-1.5*(QUARTILE(G$74:G97,3)-QUARTILE(G$74:G97,1)),G97,QUARTILE(G$74:G97,3)+1.5*(QUARTILE(G$74:G97,3)-QUARTILE(G$74:G97,1)))))</f>
        <v>-0.572065772193716</v>
      </c>
      <c r="P97" s="10" t="n">
        <f aca="false">IF(H97="","",IF(COUNT(H$74:H97)&lt;60,H97,MEDIAN(QUARTILE(H$74:H97,1)-1.5*(QUARTILE(H$74:H97,3)-QUARTILE(H$74:H97,1)),H97,QUARTILE(H$74:H97,3)+1.5*(QUARTILE(H$74:H97,3)-QUARTILE(H$74:H97,1)))))</f>
        <v>0.850241094891027</v>
      </c>
      <c r="Q97" s="10" t="n">
        <f aca="false">IF(I97="","",IF(COUNT(I$74:I97)&lt;60,I97,MEDIAN(QUARTILE(I$74:I97,1)-1.5*(QUARTILE(I$74:I97,3)-QUARTILE(I$74:I97,1)),I97,QUARTILE(I$74:I97,3)+1.5*(QUARTILE(I$74:I97,3)-QUARTILE(I$74:I97,1)))))</f>
        <v>0.69857270701218</v>
      </c>
      <c r="R97" s="10" t="n">
        <f aca="false">IF(J97="","",MEDIAN(J97:Q97))</f>
        <v>0.260284032466195</v>
      </c>
      <c r="S97" s="10" t="n">
        <f aca="false">IF(R97="","",ABS(R97))</f>
        <v>0.260284032466195</v>
      </c>
      <c r="T97" s="10" t="str">
        <f aca="false">IF(COUNT(S$74:S96)&lt;60,"",MEDIAN(S$74:S96))</f>
        <v/>
      </c>
      <c r="U97" s="10" t="n">
        <f aca="false">IF(R97="","",IF(T97="",0,IF(S97&gt;=T97,R97,0)))</f>
        <v>0</v>
      </c>
      <c r="V97" s="10" t="n">
        <f aca="false">IF(U97="","",MEDIAN(-1,U97,1))</f>
        <v>0</v>
      </c>
      <c r="W97" s="10" t="n">
        <f aca="false">IF(J97="","",AVERAGE(J97:Q97))</f>
        <v>0.252533593870045</v>
      </c>
    </row>
    <row r="98" customFormat="false" ht="15" hidden="false" customHeight="false" outlineLevel="0" collapsed="false">
      <c r="A98" s="8" t="n">
        <f aca="false">Base!A98</f>
        <v>40939</v>
      </c>
      <c r="B98" s="10" t="n">
        <f aca="false">IF(COUNT(Transf!B$39:B98)&lt;36,"",(Transf!B98-AVERAGE(Transf!B$39:B98))/STDEV(Transf!B$39:B98))</f>
        <v>-0.158377573318614</v>
      </c>
      <c r="C98" s="10" t="n">
        <f aca="false">IF(COUNT(Transf!C$39:C98)&lt;36,"",(Transf!C98-AVERAGE(Transf!C$39:C98))/STDEV(Transf!C$39:C98))</f>
        <v>0.0958485376063328</v>
      </c>
      <c r="D98" s="10" t="n">
        <f aca="false">IF(COUNT(Transf!D$39:D98)&lt;36,"",(Transf!D98-AVERAGE(Transf!D$39:D98))/STDEV(Transf!D$39:D98))</f>
        <v>-0.23601392020293</v>
      </c>
      <c r="E98" s="10" t="n">
        <f aca="false">IF(COUNT(Transf!E$39:E98)&lt;36,"",(Transf!E98-AVERAGE(Transf!E$39:E98))/STDEV(Transf!E$39:E98))</f>
        <v>-0.65537239267302</v>
      </c>
      <c r="F98" s="10" t="n">
        <f aca="false">IF(COUNT(Transf!F$39:F98)&lt;36,"",(Transf!F98-AVERAGE(Transf!F$39:F98))/STDEV(Transf!F$39:F98))</f>
        <v>0.796117064546704</v>
      </c>
      <c r="G98" s="10" t="n">
        <f aca="false">IF(COUNT(Transf!G$39:G98)&lt;36,"",(Transf!G98-AVERAGE(Transf!G$39:G98))/STDEV(Transf!G$39:G98))</f>
        <v>-0.648106926880995</v>
      </c>
      <c r="H98" s="10" t="n">
        <f aca="false">IF(COUNT(Transf!H$39:H98)&lt;36,"",(Transf!H98-AVERAGE(Transf!H$39:H98))/STDEV(Transf!H$39:H98))</f>
        <v>0.603795949748319</v>
      </c>
      <c r="I98" s="10" t="n">
        <f aca="false">IF(COUNT(Transf!I$39:I98)&lt;36,"",(Transf!I98-AVERAGE(Transf!I$39:I98))/STDEV(Transf!I$39:I98))</f>
        <v>0.0530820065600823</v>
      </c>
      <c r="J98" s="10" t="n">
        <f aca="false">IF(B98="","",IF(COUNT(B$74:B98)&lt;60,B98,MEDIAN(QUARTILE(B$74:B98,1)-1.5*(QUARTILE(B$74:B98,3)-QUARTILE(B$74:B98,1)),B98,QUARTILE(B$74:B98,3)+1.5*(QUARTILE(B$74:B98,3)-QUARTILE(B$74:B98,1)))))</f>
        <v>-0.158377573318614</v>
      </c>
      <c r="K98" s="10" t="n">
        <f aca="false">IF(C98="","",IF(COUNT(C$74:C98)&lt;60,C98,MEDIAN(QUARTILE(C$74:C98,1)-1.5*(QUARTILE(C$74:C98,3)-QUARTILE(C$74:C98,1)),C98,QUARTILE(C$74:C98,3)+1.5*(QUARTILE(C$74:C98,3)-QUARTILE(C$74:C98,1)))))</f>
        <v>0.0958485376063328</v>
      </c>
      <c r="L98" s="10" t="n">
        <f aca="false">IF(D98="","",IF(COUNT(D$74:D98)&lt;60,D98,MEDIAN(QUARTILE(D$74:D98,1)-1.5*(QUARTILE(D$74:D98,3)-QUARTILE(D$74:D98,1)),D98,QUARTILE(D$74:D98,3)+1.5*(QUARTILE(D$74:D98,3)-QUARTILE(D$74:D98,1)))))</f>
        <v>-0.23601392020293</v>
      </c>
      <c r="M98" s="10" t="n">
        <f aca="false">IF(E98="","",IF(COUNT(E$74:E98)&lt;60,E98,MEDIAN(QUARTILE(E$74:E98,1)-1.5*(QUARTILE(E$74:E98,3)-QUARTILE(E$74:E98,1)),E98,QUARTILE(E$74:E98,3)+1.5*(QUARTILE(E$74:E98,3)-QUARTILE(E$74:E98,1)))))</f>
        <v>-0.65537239267302</v>
      </c>
      <c r="N98" s="10" t="n">
        <f aca="false">IF(F98="","",IF(COUNT(F$74:F98)&lt;60,F98,MEDIAN(QUARTILE(F$74:F98,1)-1.5*(QUARTILE(F$74:F98,3)-QUARTILE(F$74:F98,1)),F98,QUARTILE(F$74:F98,3)+1.5*(QUARTILE(F$74:F98,3)-QUARTILE(F$74:F98,1)))))</f>
        <v>0.796117064546704</v>
      </c>
      <c r="O98" s="10" t="n">
        <f aca="false">IF(G98="","",IF(COUNT(G$74:G98)&lt;60,G98,MEDIAN(QUARTILE(G$74:G98,1)-1.5*(QUARTILE(G$74:G98,3)-QUARTILE(G$74:G98,1)),G98,QUARTILE(G$74:G98,3)+1.5*(QUARTILE(G$74:G98,3)-QUARTILE(G$74:G98,1)))))</f>
        <v>-0.648106926880995</v>
      </c>
      <c r="P98" s="10" t="n">
        <f aca="false">IF(H98="","",IF(COUNT(H$74:H98)&lt;60,H98,MEDIAN(QUARTILE(H$74:H98,1)-1.5*(QUARTILE(H$74:H98,3)-QUARTILE(H$74:H98,1)),H98,QUARTILE(H$74:H98,3)+1.5*(QUARTILE(H$74:H98,3)-QUARTILE(H$74:H98,1)))))</f>
        <v>0.603795949748319</v>
      </c>
      <c r="Q98" s="10" t="n">
        <f aca="false">IF(I98="","",IF(COUNT(I$74:I98)&lt;60,I98,MEDIAN(QUARTILE(I$74:I98,1)-1.5*(QUARTILE(I$74:I98,3)-QUARTILE(I$74:I98,1)),I98,QUARTILE(I$74:I98,3)+1.5*(QUARTILE(I$74:I98,3)-QUARTILE(I$74:I98,1)))))</f>
        <v>0.0530820065600823</v>
      </c>
      <c r="R98" s="10" t="n">
        <f aca="false">IF(J98="","",MEDIAN(J98:Q98))</f>
        <v>-0.0526477833792656</v>
      </c>
      <c r="S98" s="10" t="n">
        <f aca="false">IF(R98="","",ABS(R98))</f>
        <v>0.0526477833792656</v>
      </c>
      <c r="T98" s="10" t="str">
        <f aca="false">IF(COUNT(S$74:S97)&lt;60,"",MEDIAN(S$74:S97))</f>
        <v/>
      </c>
      <c r="U98" s="10" t="n">
        <f aca="false">IF(R98="","",IF(T98="",0,IF(S98&gt;=T98,R98,0)))</f>
        <v>0</v>
      </c>
      <c r="V98" s="10" t="n">
        <f aca="false">IF(U98="","",MEDIAN(-1,U98,1))</f>
        <v>0</v>
      </c>
      <c r="W98" s="10" t="n">
        <f aca="false">IF(J98="","",AVERAGE(J98:Q98))</f>
        <v>-0.0186284068267651</v>
      </c>
    </row>
    <row r="99" customFormat="false" ht="15" hidden="false" customHeight="false" outlineLevel="0" collapsed="false">
      <c r="A99" s="8" t="n">
        <f aca="false">Base!A99</f>
        <v>40968</v>
      </c>
      <c r="B99" s="10" t="n">
        <f aca="false">IF(COUNT(Transf!B$39:B99)&lt;36,"",(Transf!B99-AVERAGE(Transf!B$39:B99))/STDEV(Transf!B$39:B99))</f>
        <v>-0.130289875550911</v>
      </c>
      <c r="C99" s="10" t="n">
        <f aca="false">IF(COUNT(Transf!C$39:C99)&lt;36,"",(Transf!C99-AVERAGE(Transf!C$39:C99))/STDEV(Transf!C$39:C99))</f>
        <v>-0.0251493171698306</v>
      </c>
      <c r="D99" s="10" t="n">
        <f aca="false">IF(COUNT(Transf!D$39:D99)&lt;36,"",(Transf!D99-AVERAGE(Transf!D$39:D99))/STDEV(Transf!D$39:D99))</f>
        <v>-0.288709958775885</v>
      </c>
      <c r="E99" s="10" t="n">
        <f aca="false">IF(COUNT(Transf!E$39:E99)&lt;36,"",(Transf!E99-AVERAGE(Transf!E$39:E99))/STDEV(Transf!E$39:E99))</f>
        <v>-0.652268930370835</v>
      </c>
      <c r="F99" s="10" t="n">
        <f aca="false">IF(COUNT(Transf!F$39:F99)&lt;36,"",(Transf!F99-AVERAGE(Transf!F$39:F99))/STDEV(Transf!F$39:F99))</f>
        <v>0.3921686891643</v>
      </c>
      <c r="G99" s="10" t="n">
        <f aca="false">IF(COUNT(Transf!G$39:G99)&lt;36,"",(Transf!G99-AVERAGE(Transf!G$39:G99))/STDEV(Transf!G$39:G99))</f>
        <v>-0.666505951528809</v>
      </c>
      <c r="H99" s="10" t="n">
        <f aca="false">IF(COUNT(Transf!H$39:H99)&lt;36,"",(Transf!H99-AVERAGE(Transf!H$39:H99))/STDEV(Transf!H$39:H99))</f>
        <v>0.360628222695799</v>
      </c>
      <c r="I99" s="10" t="n">
        <f aca="false">IF(COUNT(Transf!I$39:I99)&lt;36,"",(Transf!I99-AVERAGE(Transf!I$39:I99))/STDEV(Transf!I$39:I99))</f>
        <v>-0.0635506846586194</v>
      </c>
      <c r="J99" s="10" t="n">
        <f aca="false">IF(B99="","",IF(COUNT(B$74:B99)&lt;60,B99,MEDIAN(QUARTILE(B$74:B99,1)-1.5*(QUARTILE(B$74:B99,3)-QUARTILE(B$74:B99,1)),B99,QUARTILE(B$74:B99,3)+1.5*(QUARTILE(B$74:B99,3)-QUARTILE(B$74:B99,1)))))</f>
        <v>-0.130289875550911</v>
      </c>
      <c r="K99" s="10" t="n">
        <f aca="false">IF(C99="","",IF(COUNT(C$74:C99)&lt;60,C99,MEDIAN(QUARTILE(C$74:C99,1)-1.5*(QUARTILE(C$74:C99,3)-QUARTILE(C$74:C99,1)),C99,QUARTILE(C$74:C99,3)+1.5*(QUARTILE(C$74:C99,3)-QUARTILE(C$74:C99,1)))))</f>
        <v>-0.0251493171698306</v>
      </c>
      <c r="L99" s="10" t="n">
        <f aca="false">IF(D99="","",IF(COUNT(D$74:D99)&lt;60,D99,MEDIAN(QUARTILE(D$74:D99,1)-1.5*(QUARTILE(D$74:D99,3)-QUARTILE(D$74:D99,1)),D99,QUARTILE(D$74:D99,3)+1.5*(QUARTILE(D$74:D99,3)-QUARTILE(D$74:D99,1)))))</f>
        <v>-0.288709958775885</v>
      </c>
      <c r="M99" s="10" t="n">
        <f aca="false">IF(E99="","",IF(COUNT(E$74:E99)&lt;60,E99,MEDIAN(QUARTILE(E$74:E99,1)-1.5*(QUARTILE(E$74:E99,3)-QUARTILE(E$74:E99,1)),E99,QUARTILE(E$74:E99,3)+1.5*(QUARTILE(E$74:E99,3)-QUARTILE(E$74:E99,1)))))</f>
        <v>-0.652268930370835</v>
      </c>
      <c r="N99" s="10" t="n">
        <f aca="false">IF(F99="","",IF(COUNT(F$74:F99)&lt;60,F99,MEDIAN(QUARTILE(F$74:F99,1)-1.5*(QUARTILE(F$74:F99,3)-QUARTILE(F$74:F99,1)),F99,QUARTILE(F$74:F99,3)+1.5*(QUARTILE(F$74:F99,3)-QUARTILE(F$74:F99,1)))))</f>
        <v>0.3921686891643</v>
      </c>
      <c r="O99" s="10" t="n">
        <f aca="false">IF(G99="","",IF(COUNT(G$74:G99)&lt;60,G99,MEDIAN(QUARTILE(G$74:G99,1)-1.5*(QUARTILE(G$74:G99,3)-QUARTILE(G$74:G99,1)),G99,QUARTILE(G$74:G99,3)+1.5*(QUARTILE(G$74:G99,3)-QUARTILE(G$74:G99,1)))))</f>
        <v>-0.666505951528809</v>
      </c>
      <c r="P99" s="10" t="n">
        <f aca="false">IF(H99="","",IF(COUNT(H$74:H99)&lt;60,H99,MEDIAN(QUARTILE(H$74:H99,1)-1.5*(QUARTILE(H$74:H99,3)-QUARTILE(H$74:H99,1)),H99,QUARTILE(H$74:H99,3)+1.5*(QUARTILE(H$74:H99,3)-QUARTILE(H$74:H99,1)))))</f>
        <v>0.360628222695799</v>
      </c>
      <c r="Q99" s="10" t="n">
        <f aca="false">IF(I99="","",IF(COUNT(I$74:I99)&lt;60,I99,MEDIAN(QUARTILE(I$74:I99,1)-1.5*(QUARTILE(I$74:I99,3)-QUARTILE(I$74:I99,1)),I99,QUARTILE(I$74:I99,3)+1.5*(QUARTILE(I$74:I99,3)-QUARTILE(I$74:I99,1)))))</f>
        <v>-0.0635506846586194</v>
      </c>
      <c r="R99" s="10" t="n">
        <f aca="false">IF(J99="","",MEDIAN(J99:Q99))</f>
        <v>-0.0969202801047651</v>
      </c>
      <c r="S99" s="10" t="n">
        <f aca="false">IF(R99="","",ABS(R99))</f>
        <v>0.0969202801047651</v>
      </c>
      <c r="T99" s="10" t="str">
        <f aca="false">IF(COUNT(S$74:S98)&lt;60,"",MEDIAN(S$74:S98))</f>
        <v/>
      </c>
      <c r="U99" s="10" t="n">
        <f aca="false">IF(R99="","",IF(T99="",0,IF(S99&gt;=T99,R99,0)))</f>
        <v>0</v>
      </c>
      <c r="V99" s="10" t="n">
        <f aca="false">IF(U99="","",MEDIAN(-1,U99,1))</f>
        <v>0</v>
      </c>
      <c r="W99" s="10" t="n">
        <f aca="false">IF(J99="","",AVERAGE(J99:Q99))</f>
        <v>-0.134209725774349</v>
      </c>
    </row>
    <row r="100" customFormat="false" ht="15" hidden="false" customHeight="false" outlineLevel="0" collapsed="false">
      <c r="A100" s="8" t="n">
        <f aca="false">Base!A100</f>
        <v>40999</v>
      </c>
      <c r="B100" s="10" t="n">
        <f aca="false">IF(COUNT(Transf!B$39:B100)&lt;36,"",(Transf!B100-AVERAGE(Transf!B$39:B100))/STDEV(Transf!B$39:B100))</f>
        <v>-0.335357594943749</v>
      </c>
      <c r="C100" s="10" t="n">
        <f aca="false">IF(COUNT(Transf!C$39:C100)&lt;36,"",(Transf!C100-AVERAGE(Transf!C$39:C100))/STDEV(Transf!C$39:C100))</f>
        <v>-0.170920293000144</v>
      </c>
      <c r="D100" s="10" t="n">
        <f aca="false">IF(COUNT(Transf!D$39:D100)&lt;36,"",(Transf!D100-AVERAGE(Transf!D$39:D100))/STDEV(Transf!D$39:D100))</f>
        <v>-0.531776957989731</v>
      </c>
      <c r="E100" s="10" t="n">
        <f aca="false">IF(COUNT(Transf!E$39:E100)&lt;36,"",(Transf!E100-AVERAGE(Transf!E$39:E100))/STDEV(Transf!E$39:E100))</f>
        <v>-0.617513207429121</v>
      </c>
      <c r="F100" s="10" t="n">
        <f aca="false">IF(COUNT(Transf!F$39:F100)&lt;36,"",(Transf!F100-AVERAGE(Transf!F$39:F100))/STDEV(Transf!F$39:F100))</f>
        <v>-0.916550595425407</v>
      </c>
      <c r="G100" s="10" t="n">
        <f aca="false">IF(COUNT(Transf!G$39:G100)&lt;36,"",(Transf!G100-AVERAGE(Transf!G$39:G100))/STDEV(Transf!G$39:G100))</f>
        <v>-0.729215222750857</v>
      </c>
      <c r="H100" s="10" t="n">
        <f aca="false">IF(COUNT(Transf!H$39:H100)&lt;36,"",(Transf!H100-AVERAGE(Transf!H$39:H100))/STDEV(Transf!H$39:H100))</f>
        <v>0.238969933701848</v>
      </c>
      <c r="I100" s="10" t="n">
        <f aca="false">IF(COUNT(Transf!I$39:I100)&lt;36,"",(Transf!I100-AVERAGE(Transf!I$39:I100))/STDEV(Transf!I$39:I100))</f>
        <v>-0.0228740462043581</v>
      </c>
      <c r="J100" s="10" t="n">
        <f aca="false">IF(B100="","",IF(COUNT(B$74:B100)&lt;60,B100,MEDIAN(QUARTILE(B$74:B100,1)-1.5*(QUARTILE(B$74:B100,3)-QUARTILE(B$74:B100,1)),B100,QUARTILE(B$74:B100,3)+1.5*(QUARTILE(B$74:B100,3)-QUARTILE(B$74:B100,1)))))</f>
        <v>-0.335357594943749</v>
      </c>
      <c r="K100" s="10" t="n">
        <f aca="false">IF(C100="","",IF(COUNT(C$74:C100)&lt;60,C100,MEDIAN(QUARTILE(C$74:C100,1)-1.5*(QUARTILE(C$74:C100,3)-QUARTILE(C$74:C100,1)),C100,QUARTILE(C$74:C100,3)+1.5*(QUARTILE(C$74:C100,3)-QUARTILE(C$74:C100,1)))))</f>
        <v>-0.170920293000144</v>
      </c>
      <c r="L100" s="10" t="n">
        <f aca="false">IF(D100="","",IF(COUNT(D$74:D100)&lt;60,D100,MEDIAN(QUARTILE(D$74:D100,1)-1.5*(QUARTILE(D$74:D100,3)-QUARTILE(D$74:D100,1)),D100,QUARTILE(D$74:D100,3)+1.5*(QUARTILE(D$74:D100,3)-QUARTILE(D$74:D100,1)))))</f>
        <v>-0.531776957989731</v>
      </c>
      <c r="M100" s="10" t="n">
        <f aca="false">IF(E100="","",IF(COUNT(E$74:E100)&lt;60,E100,MEDIAN(QUARTILE(E$74:E100,1)-1.5*(QUARTILE(E$74:E100,3)-QUARTILE(E$74:E100,1)),E100,QUARTILE(E$74:E100,3)+1.5*(QUARTILE(E$74:E100,3)-QUARTILE(E$74:E100,1)))))</f>
        <v>-0.617513207429121</v>
      </c>
      <c r="N100" s="10" t="n">
        <f aca="false">IF(F100="","",IF(COUNT(F$74:F100)&lt;60,F100,MEDIAN(QUARTILE(F$74:F100,1)-1.5*(QUARTILE(F$74:F100,3)-QUARTILE(F$74:F100,1)),F100,QUARTILE(F$74:F100,3)+1.5*(QUARTILE(F$74:F100,3)-QUARTILE(F$74:F100,1)))))</f>
        <v>-0.916550595425407</v>
      </c>
      <c r="O100" s="10" t="n">
        <f aca="false">IF(G100="","",IF(COUNT(G$74:G100)&lt;60,G100,MEDIAN(QUARTILE(G$74:G100,1)-1.5*(QUARTILE(G$74:G100,3)-QUARTILE(G$74:G100,1)),G100,QUARTILE(G$74:G100,3)+1.5*(QUARTILE(G$74:G100,3)-QUARTILE(G$74:G100,1)))))</f>
        <v>-0.729215222750857</v>
      </c>
      <c r="P100" s="10" t="n">
        <f aca="false">IF(H100="","",IF(COUNT(H$74:H100)&lt;60,H100,MEDIAN(QUARTILE(H$74:H100,1)-1.5*(QUARTILE(H$74:H100,3)-QUARTILE(H$74:H100,1)),H100,QUARTILE(H$74:H100,3)+1.5*(QUARTILE(H$74:H100,3)-QUARTILE(H$74:H100,1)))))</f>
        <v>0.238969933701848</v>
      </c>
      <c r="Q100" s="10" t="n">
        <f aca="false">IF(I100="","",IF(COUNT(I$74:I100)&lt;60,I100,MEDIAN(QUARTILE(I$74:I100,1)-1.5*(QUARTILE(I$74:I100,3)-QUARTILE(I$74:I100,1)),I100,QUARTILE(I$74:I100,3)+1.5*(QUARTILE(I$74:I100,3)-QUARTILE(I$74:I100,1)))))</f>
        <v>-0.0228740462043581</v>
      </c>
      <c r="R100" s="10" t="n">
        <f aca="false">IF(J100="","",MEDIAN(J100:Q100))</f>
        <v>-0.43356727646674</v>
      </c>
      <c r="S100" s="10" t="n">
        <f aca="false">IF(R100="","",ABS(R100))</f>
        <v>0.43356727646674</v>
      </c>
      <c r="T100" s="10" t="str">
        <f aca="false">IF(COUNT(S$74:S99)&lt;60,"",MEDIAN(S$74:S99))</f>
        <v/>
      </c>
      <c r="U100" s="10" t="n">
        <f aca="false">IF(R100="","",IF(T100="",0,IF(S100&gt;=T100,R100,0)))</f>
        <v>0</v>
      </c>
      <c r="V100" s="10" t="n">
        <f aca="false">IF(U100="","",MEDIAN(-1,U100,1))</f>
        <v>0</v>
      </c>
      <c r="W100" s="10" t="n">
        <f aca="false">IF(J100="","",AVERAGE(J100:Q100))</f>
        <v>-0.38565474800519</v>
      </c>
    </row>
    <row r="101" customFormat="false" ht="15" hidden="false" customHeight="false" outlineLevel="0" collapsed="false">
      <c r="A101" s="8" t="n">
        <f aca="false">Base!A101</f>
        <v>41029</v>
      </c>
      <c r="B101" s="10" t="n">
        <f aca="false">IF(COUNT(Transf!B$39:B101)&lt;36,"",(Transf!B101-AVERAGE(Transf!B$39:B101))/STDEV(Transf!B$39:B101))</f>
        <v>-0.467223546585199</v>
      </c>
      <c r="C101" s="10" t="n">
        <f aca="false">IF(COUNT(Transf!C$39:C101)&lt;36,"",(Transf!C101-AVERAGE(Transf!C$39:C101))/STDEV(Transf!C$39:C101))</f>
        <v>-0.460106493955698</v>
      </c>
      <c r="D101" s="10" t="n">
        <f aca="false">IF(COUNT(Transf!D$39:D101)&lt;36,"",(Transf!D101-AVERAGE(Transf!D$39:D101))/STDEV(Transf!D$39:D101))</f>
        <v>-0.71533699620775</v>
      </c>
      <c r="E101" s="10" t="n">
        <f aca="false">IF(COUNT(Transf!E$39:E101)&lt;36,"",(Transf!E101-AVERAGE(Transf!E$39:E101))/STDEV(Transf!E$39:E101))</f>
        <v>-0.634889831325677</v>
      </c>
      <c r="F101" s="10" t="n">
        <f aca="false">IF(COUNT(Transf!F$39:F101)&lt;36,"",(Transf!F101-AVERAGE(Transf!F$39:F101))/STDEV(Transf!F$39:F101))</f>
        <v>0.188067818953191</v>
      </c>
      <c r="G101" s="10" t="n">
        <f aca="false">IF(COUNT(Transf!G$39:G101)&lt;36,"",(Transf!G101-AVERAGE(Transf!G$39:G101))/STDEV(Transf!G$39:G101))</f>
        <v>-1.02160966514657</v>
      </c>
      <c r="H101" s="10" t="n">
        <f aca="false">IF(COUNT(Transf!H$39:H101)&lt;36,"",(Transf!H101-AVERAGE(Transf!H$39:H101))/STDEV(Transf!H$39:H101))</f>
        <v>0.0697125189712836</v>
      </c>
      <c r="I101" s="10" t="n">
        <f aca="false">IF(COUNT(Transf!I$39:I101)&lt;36,"",(Transf!I101-AVERAGE(Transf!I$39:I101))/STDEV(Transf!I$39:I101))</f>
        <v>-0.275850907664029</v>
      </c>
      <c r="J101" s="10" t="n">
        <f aca="false">IF(B101="","",IF(COUNT(B$74:B101)&lt;60,B101,MEDIAN(QUARTILE(B$74:B101,1)-1.5*(QUARTILE(B$74:B101,3)-QUARTILE(B$74:B101,1)),B101,QUARTILE(B$74:B101,3)+1.5*(QUARTILE(B$74:B101,3)-QUARTILE(B$74:B101,1)))))</f>
        <v>-0.467223546585199</v>
      </c>
      <c r="K101" s="10" t="n">
        <f aca="false">IF(C101="","",IF(COUNT(C$74:C101)&lt;60,C101,MEDIAN(QUARTILE(C$74:C101,1)-1.5*(QUARTILE(C$74:C101,3)-QUARTILE(C$74:C101,1)),C101,QUARTILE(C$74:C101,3)+1.5*(QUARTILE(C$74:C101,3)-QUARTILE(C$74:C101,1)))))</f>
        <v>-0.460106493955698</v>
      </c>
      <c r="L101" s="10" t="n">
        <f aca="false">IF(D101="","",IF(COUNT(D$74:D101)&lt;60,D101,MEDIAN(QUARTILE(D$74:D101,1)-1.5*(QUARTILE(D$74:D101,3)-QUARTILE(D$74:D101,1)),D101,QUARTILE(D$74:D101,3)+1.5*(QUARTILE(D$74:D101,3)-QUARTILE(D$74:D101,1)))))</f>
        <v>-0.71533699620775</v>
      </c>
      <c r="M101" s="10" t="n">
        <f aca="false">IF(E101="","",IF(COUNT(E$74:E101)&lt;60,E101,MEDIAN(QUARTILE(E$74:E101,1)-1.5*(QUARTILE(E$74:E101,3)-QUARTILE(E$74:E101,1)),E101,QUARTILE(E$74:E101,3)+1.5*(QUARTILE(E$74:E101,3)-QUARTILE(E$74:E101,1)))))</f>
        <v>-0.634889831325677</v>
      </c>
      <c r="N101" s="10" t="n">
        <f aca="false">IF(F101="","",IF(COUNT(F$74:F101)&lt;60,F101,MEDIAN(QUARTILE(F$74:F101,1)-1.5*(QUARTILE(F$74:F101,3)-QUARTILE(F$74:F101,1)),F101,QUARTILE(F$74:F101,3)+1.5*(QUARTILE(F$74:F101,3)-QUARTILE(F$74:F101,1)))))</f>
        <v>0.188067818953191</v>
      </c>
      <c r="O101" s="10" t="n">
        <f aca="false">IF(G101="","",IF(COUNT(G$74:G101)&lt;60,G101,MEDIAN(QUARTILE(G$74:G101,1)-1.5*(QUARTILE(G$74:G101,3)-QUARTILE(G$74:G101,1)),G101,QUARTILE(G$74:G101,3)+1.5*(QUARTILE(G$74:G101,3)-QUARTILE(G$74:G101,1)))))</f>
        <v>-1.02160966514657</v>
      </c>
      <c r="P101" s="10" t="n">
        <f aca="false">IF(H101="","",IF(COUNT(H$74:H101)&lt;60,H101,MEDIAN(QUARTILE(H$74:H101,1)-1.5*(QUARTILE(H$74:H101,3)-QUARTILE(H$74:H101,1)),H101,QUARTILE(H$74:H101,3)+1.5*(QUARTILE(H$74:H101,3)-QUARTILE(H$74:H101,1)))))</f>
        <v>0.0697125189712836</v>
      </c>
      <c r="Q101" s="10" t="n">
        <f aca="false">IF(I101="","",IF(COUNT(I$74:I101)&lt;60,I101,MEDIAN(QUARTILE(I$74:I101,1)-1.5*(QUARTILE(I$74:I101,3)-QUARTILE(I$74:I101,1)),I101,QUARTILE(I$74:I101,3)+1.5*(QUARTILE(I$74:I101,3)-QUARTILE(I$74:I101,1)))))</f>
        <v>-0.275850907664029</v>
      </c>
      <c r="R101" s="10" t="n">
        <f aca="false">IF(J101="","",MEDIAN(J101:Q101))</f>
        <v>-0.463665020270448</v>
      </c>
      <c r="S101" s="10" t="n">
        <f aca="false">IF(R101="","",ABS(R101))</f>
        <v>0.463665020270448</v>
      </c>
      <c r="T101" s="10" t="str">
        <f aca="false">IF(COUNT(S$74:S100)&lt;60,"",MEDIAN(S$74:S100))</f>
        <v/>
      </c>
      <c r="U101" s="10" t="n">
        <f aca="false">IF(R101="","",IF(T101="",0,IF(S101&gt;=T101,R101,0)))</f>
        <v>0</v>
      </c>
      <c r="V101" s="10" t="n">
        <f aca="false">IF(U101="","",MEDIAN(-1,U101,1))</f>
        <v>0</v>
      </c>
      <c r="W101" s="10" t="n">
        <f aca="false">IF(J101="","",AVERAGE(J101:Q101))</f>
        <v>-0.414654637870056</v>
      </c>
    </row>
    <row r="102" customFormat="false" ht="15" hidden="false" customHeight="false" outlineLevel="0" collapsed="false">
      <c r="A102" s="8" t="n">
        <f aca="false">Base!A102</f>
        <v>41060</v>
      </c>
      <c r="B102" s="10" t="n">
        <f aca="false">IF(COUNT(Transf!B$39:B102)&lt;36,"",(Transf!B102-AVERAGE(Transf!B$39:B102))/STDEV(Transf!B$39:B102))</f>
        <v>-0.808459452321693</v>
      </c>
      <c r="C102" s="10" t="n">
        <f aca="false">IF(COUNT(Transf!C$39:C102)&lt;36,"",(Transf!C102-AVERAGE(Transf!C$39:C102))/STDEV(Transf!C$39:C102))</f>
        <v>-0.822965891401673</v>
      </c>
      <c r="D102" s="10" t="n">
        <f aca="false">IF(COUNT(Transf!D$39:D102)&lt;36,"",(Transf!D102-AVERAGE(Transf!D$39:D102))/STDEV(Transf!D$39:D102))</f>
        <v>-0.937813978285544</v>
      </c>
      <c r="E102" s="10" t="n">
        <f aca="false">IF(COUNT(Transf!E$39:E102)&lt;36,"",(Transf!E102-AVERAGE(Transf!E$39:E102))/STDEV(Transf!E$39:E102))</f>
        <v>-0.649632755825416</v>
      </c>
      <c r="F102" s="10" t="n">
        <f aca="false">IF(COUNT(Transf!F$39:F102)&lt;36,"",(Transf!F102-AVERAGE(Transf!F$39:F102))/STDEV(Transf!F$39:F102))</f>
        <v>1.06009059858484</v>
      </c>
      <c r="G102" s="10" t="n">
        <f aca="false">IF(COUNT(Transf!G$39:G102)&lt;36,"",(Transf!G102-AVERAGE(Transf!G$39:G102))/STDEV(Transf!G$39:G102))</f>
        <v>-1.41386192365196</v>
      </c>
      <c r="H102" s="10" t="n">
        <f aca="false">IF(COUNT(Transf!H$39:H102)&lt;36,"",(Transf!H102-AVERAGE(Transf!H$39:H102))/STDEV(Transf!H$39:H102))</f>
        <v>-0.101941658800105</v>
      </c>
      <c r="I102" s="10" t="n">
        <f aca="false">IF(COUNT(Transf!I$39:I102)&lt;36,"",(Transf!I102-AVERAGE(Transf!I$39:I102))/STDEV(Transf!I$39:I102))</f>
        <v>-0.305941255110948</v>
      </c>
      <c r="J102" s="10" t="n">
        <f aca="false">IF(B102="","",IF(COUNT(B$74:B102)&lt;60,B102,MEDIAN(QUARTILE(B$74:B102,1)-1.5*(QUARTILE(B$74:B102,3)-QUARTILE(B$74:B102,1)),B102,QUARTILE(B$74:B102,3)+1.5*(QUARTILE(B$74:B102,3)-QUARTILE(B$74:B102,1)))))</f>
        <v>-0.808459452321693</v>
      </c>
      <c r="K102" s="10" t="n">
        <f aca="false">IF(C102="","",IF(COUNT(C$74:C102)&lt;60,C102,MEDIAN(QUARTILE(C$74:C102,1)-1.5*(QUARTILE(C$74:C102,3)-QUARTILE(C$74:C102,1)),C102,QUARTILE(C$74:C102,3)+1.5*(QUARTILE(C$74:C102,3)-QUARTILE(C$74:C102,1)))))</f>
        <v>-0.822965891401673</v>
      </c>
      <c r="L102" s="10" t="n">
        <f aca="false">IF(D102="","",IF(COUNT(D$74:D102)&lt;60,D102,MEDIAN(QUARTILE(D$74:D102,1)-1.5*(QUARTILE(D$74:D102,3)-QUARTILE(D$74:D102,1)),D102,QUARTILE(D$74:D102,3)+1.5*(QUARTILE(D$74:D102,3)-QUARTILE(D$74:D102,1)))))</f>
        <v>-0.937813978285544</v>
      </c>
      <c r="M102" s="10" t="n">
        <f aca="false">IF(E102="","",IF(COUNT(E$74:E102)&lt;60,E102,MEDIAN(QUARTILE(E$74:E102,1)-1.5*(QUARTILE(E$74:E102,3)-QUARTILE(E$74:E102,1)),E102,QUARTILE(E$74:E102,3)+1.5*(QUARTILE(E$74:E102,3)-QUARTILE(E$74:E102,1)))))</f>
        <v>-0.649632755825416</v>
      </c>
      <c r="N102" s="10" t="n">
        <f aca="false">IF(F102="","",IF(COUNT(F$74:F102)&lt;60,F102,MEDIAN(QUARTILE(F$74:F102,1)-1.5*(QUARTILE(F$74:F102,3)-QUARTILE(F$74:F102,1)),F102,QUARTILE(F$74:F102,3)+1.5*(QUARTILE(F$74:F102,3)-QUARTILE(F$74:F102,1)))))</f>
        <v>1.06009059858484</v>
      </c>
      <c r="O102" s="10" t="n">
        <f aca="false">IF(G102="","",IF(COUNT(G$74:G102)&lt;60,G102,MEDIAN(QUARTILE(G$74:G102,1)-1.5*(QUARTILE(G$74:G102,3)-QUARTILE(G$74:G102,1)),G102,QUARTILE(G$74:G102,3)+1.5*(QUARTILE(G$74:G102,3)-QUARTILE(G$74:G102,1)))))</f>
        <v>-1.41386192365196</v>
      </c>
      <c r="P102" s="10" t="n">
        <f aca="false">IF(H102="","",IF(COUNT(H$74:H102)&lt;60,H102,MEDIAN(QUARTILE(H$74:H102,1)-1.5*(QUARTILE(H$74:H102,3)-QUARTILE(H$74:H102,1)),H102,QUARTILE(H$74:H102,3)+1.5*(QUARTILE(H$74:H102,3)-QUARTILE(H$74:H102,1)))))</f>
        <v>-0.101941658800105</v>
      </c>
      <c r="Q102" s="10" t="n">
        <f aca="false">IF(I102="","",IF(COUNT(I$74:I102)&lt;60,I102,MEDIAN(QUARTILE(I$74:I102,1)-1.5*(QUARTILE(I$74:I102,3)-QUARTILE(I$74:I102,1)),I102,QUARTILE(I$74:I102,3)+1.5*(QUARTILE(I$74:I102,3)-QUARTILE(I$74:I102,1)))))</f>
        <v>-0.305941255110948</v>
      </c>
      <c r="R102" s="10" t="n">
        <f aca="false">IF(J102="","",MEDIAN(J102:Q102))</f>
        <v>-0.729046104073554</v>
      </c>
      <c r="S102" s="10" t="n">
        <f aca="false">IF(R102="","",ABS(R102))</f>
        <v>0.729046104073554</v>
      </c>
      <c r="T102" s="10" t="str">
        <f aca="false">IF(COUNT(S$74:S101)&lt;60,"",MEDIAN(S$74:S101))</f>
        <v/>
      </c>
      <c r="U102" s="10" t="n">
        <f aca="false">IF(R102="","",IF(T102="",0,IF(S102&gt;=T102,R102,0)))</f>
        <v>0</v>
      </c>
      <c r="V102" s="10" t="n">
        <f aca="false">IF(U102="","",MEDIAN(-1,U102,1))</f>
        <v>0</v>
      </c>
      <c r="W102" s="10" t="n">
        <f aca="false">IF(J102="","",AVERAGE(J102:Q102))</f>
        <v>-0.497565789601563</v>
      </c>
    </row>
    <row r="103" customFormat="false" ht="15" hidden="false" customHeight="false" outlineLevel="0" collapsed="false">
      <c r="A103" s="8" t="n">
        <f aca="false">Base!A103</f>
        <v>41090</v>
      </c>
      <c r="B103" s="10" t="n">
        <f aca="false">IF(COUNT(Transf!B$39:B103)&lt;36,"",(Transf!B103-AVERAGE(Transf!B$39:B103))/STDEV(Transf!B$39:B103))</f>
        <v>-1.01513651547198</v>
      </c>
      <c r="C103" s="10" t="n">
        <f aca="false">IF(COUNT(Transf!C$39:C103)&lt;36,"",(Transf!C103-AVERAGE(Transf!C$39:C103))/STDEV(Transf!C$39:C103))</f>
        <v>-1.0401141755763</v>
      </c>
      <c r="D103" s="10" t="n">
        <f aca="false">IF(COUNT(Transf!D$39:D103)&lt;36,"",(Transf!D103-AVERAGE(Transf!D$39:D103))/STDEV(Transf!D$39:D103))</f>
        <v>-0.9296495991898</v>
      </c>
      <c r="E103" s="10" t="n">
        <f aca="false">IF(COUNT(Transf!E$39:E103)&lt;36,"",(Transf!E103-AVERAGE(Transf!E$39:E103))/STDEV(Transf!E$39:E103))</f>
        <v>-0.738230443680547</v>
      </c>
      <c r="F103" s="10" t="n">
        <f aca="false">IF(COUNT(Transf!F$39:F103)&lt;36,"",(Transf!F103-AVERAGE(Transf!F$39:F103))/STDEV(Transf!F$39:F103))</f>
        <v>1.41549126690163</v>
      </c>
      <c r="G103" s="10" t="n">
        <f aca="false">IF(COUNT(Transf!G$39:G103)&lt;36,"",(Transf!G103-AVERAGE(Transf!G$39:G103))/STDEV(Transf!G$39:G103))</f>
        <v>-1.57681137420756</v>
      </c>
      <c r="H103" s="10" t="n">
        <f aca="false">IF(COUNT(Transf!H$39:H103)&lt;36,"",(Transf!H103-AVERAGE(Transf!H$39:H103))/STDEV(Transf!H$39:H103))</f>
        <v>-0.302301187187335</v>
      </c>
      <c r="I103" s="10" t="n">
        <f aca="false">IF(COUNT(Transf!I$39:I103)&lt;36,"",(Transf!I103-AVERAGE(Transf!I$39:I103))/STDEV(Transf!I$39:I103))</f>
        <v>-0.536652963872573</v>
      </c>
      <c r="J103" s="10" t="n">
        <f aca="false">IF(B103="","",IF(COUNT(B$74:B103)&lt;60,B103,MEDIAN(QUARTILE(B$74:B103,1)-1.5*(QUARTILE(B$74:B103,3)-QUARTILE(B$74:B103,1)),B103,QUARTILE(B$74:B103,3)+1.5*(QUARTILE(B$74:B103,3)-QUARTILE(B$74:B103,1)))))</f>
        <v>-1.01513651547198</v>
      </c>
      <c r="K103" s="10" t="n">
        <f aca="false">IF(C103="","",IF(COUNT(C$74:C103)&lt;60,C103,MEDIAN(QUARTILE(C$74:C103,1)-1.5*(QUARTILE(C$74:C103,3)-QUARTILE(C$74:C103,1)),C103,QUARTILE(C$74:C103,3)+1.5*(QUARTILE(C$74:C103,3)-QUARTILE(C$74:C103,1)))))</f>
        <v>-1.0401141755763</v>
      </c>
      <c r="L103" s="10" t="n">
        <f aca="false">IF(D103="","",IF(COUNT(D$74:D103)&lt;60,D103,MEDIAN(QUARTILE(D$74:D103,1)-1.5*(QUARTILE(D$74:D103,3)-QUARTILE(D$74:D103,1)),D103,QUARTILE(D$74:D103,3)+1.5*(QUARTILE(D$74:D103,3)-QUARTILE(D$74:D103,1)))))</f>
        <v>-0.9296495991898</v>
      </c>
      <c r="M103" s="10" t="n">
        <f aca="false">IF(E103="","",IF(COUNT(E$74:E103)&lt;60,E103,MEDIAN(QUARTILE(E$74:E103,1)-1.5*(QUARTILE(E$74:E103,3)-QUARTILE(E$74:E103,1)),E103,QUARTILE(E$74:E103,3)+1.5*(QUARTILE(E$74:E103,3)-QUARTILE(E$74:E103,1)))))</f>
        <v>-0.738230443680547</v>
      </c>
      <c r="N103" s="10" t="n">
        <f aca="false">IF(F103="","",IF(COUNT(F$74:F103)&lt;60,F103,MEDIAN(QUARTILE(F$74:F103,1)-1.5*(QUARTILE(F$74:F103,3)-QUARTILE(F$74:F103,1)),F103,QUARTILE(F$74:F103,3)+1.5*(QUARTILE(F$74:F103,3)-QUARTILE(F$74:F103,1)))))</f>
        <v>1.41549126690163</v>
      </c>
      <c r="O103" s="10" t="n">
        <f aca="false">IF(G103="","",IF(COUNT(G$74:G103)&lt;60,G103,MEDIAN(QUARTILE(G$74:G103,1)-1.5*(QUARTILE(G$74:G103,3)-QUARTILE(G$74:G103,1)),G103,QUARTILE(G$74:G103,3)+1.5*(QUARTILE(G$74:G103,3)-QUARTILE(G$74:G103,1)))))</f>
        <v>-1.57681137420756</v>
      </c>
      <c r="P103" s="10" t="n">
        <f aca="false">IF(H103="","",IF(COUNT(H$74:H103)&lt;60,H103,MEDIAN(QUARTILE(H$74:H103,1)-1.5*(QUARTILE(H$74:H103,3)-QUARTILE(H$74:H103,1)),H103,QUARTILE(H$74:H103,3)+1.5*(QUARTILE(H$74:H103,3)-QUARTILE(H$74:H103,1)))))</f>
        <v>-0.302301187187335</v>
      </c>
      <c r="Q103" s="10" t="n">
        <f aca="false">IF(I103="","",IF(COUNT(I$74:I103)&lt;60,I103,MEDIAN(QUARTILE(I$74:I103,1)-1.5*(QUARTILE(I$74:I103,3)-QUARTILE(I$74:I103,1)),I103,QUARTILE(I$74:I103,3)+1.5*(QUARTILE(I$74:I103,3)-QUARTILE(I$74:I103,1)))))</f>
        <v>-0.536652963872573</v>
      </c>
      <c r="R103" s="10" t="n">
        <f aca="false">IF(J103="","",MEDIAN(J103:Q103))</f>
        <v>-0.833940021435174</v>
      </c>
      <c r="S103" s="10" t="n">
        <f aca="false">IF(R103="","",ABS(R103))</f>
        <v>0.833940021435174</v>
      </c>
      <c r="T103" s="10" t="str">
        <f aca="false">IF(COUNT(S$74:S102)&lt;60,"",MEDIAN(S$74:S102))</f>
        <v/>
      </c>
      <c r="U103" s="10" t="n">
        <f aca="false">IF(R103="","",IF(T103="",0,IF(S103&gt;=T103,R103,0)))</f>
        <v>0</v>
      </c>
      <c r="V103" s="10" t="n">
        <f aca="false">IF(U103="","",MEDIAN(-1,U103,1))</f>
        <v>0</v>
      </c>
      <c r="W103" s="10" t="n">
        <f aca="false">IF(J103="","",AVERAGE(J103:Q103))</f>
        <v>-0.590425624035558</v>
      </c>
    </row>
    <row r="104" customFormat="false" ht="15" hidden="false" customHeight="false" outlineLevel="0" collapsed="false">
      <c r="A104" s="8" t="n">
        <f aca="false">Base!A104</f>
        <v>41121</v>
      </c>
      <c r="B104" s="10" t="n">
        <f aca="false">IF(COUNT(Transf!B$39:B104)&lt;36,"",(Transf!B104-AVERAGE(Transf!B$39:B104))/STDEV(Transf!B$39:B104))</f>
        <v>-0.820145866841238</v>
      </c>
      <c r="C104" s="10" t="n">
        <f aca="false">IF(COUNT(Transf!C$39:C104)&lt;36,"",(Transf!C104-AVERAGE(Transf!C$39:C104))/STDEV(Transf!C$39:C104))</f>
        <v>-0.783275811628096</v>
      </c>
      <c r="D104" s="10" t="n">
        <f aca="false">IF(COUNT(Transf!D$39:D104)&lt;36,"",(Transf!D104-AVERAGE(Transf!D$39:D104))/STDEV(Transf!D$39:D104))</f>
        <v>-0.565937086193214</v>
      </c>
      <c r="E104" s="10" t="n">
        <f aca="false">IF(COUNT(Transf!E$39:E104)&lt;36,"",(Transf!E104-AVERAGE(Transf!E$39:E104))/STDEV(Transf!E$39:E104))</f>
        <v>-0.777342269561422</v>
      </c>
      <c r="F104" s="10" t="n">
        <f aca="false">IF(COUNT(Transf!F$39:F104)&lt;36,"",(Transf!F104-AVERAGE(Transf!F$39:F104))/STDEV(Transf!F$39:F104))</f>
        <v>0.64358196233072</v>
      </c>
      <c r="G104" s="10" t="n">
        <f aca="false">IF(COUNT(Transf!G$39:G104)&lt;36,"",(Transf!G104-AVERAGE(Transf!G$39:G104))/STDEV(Transf!G$39:G104))</f>
        <v>-1.63620778463574</v>
      </c>
      <c r="H104" s="10" t="n">
        <f aca="false">IF(COUNT(Transf!H$39:H104)&lt;36,"",(Transf!H104-AVERAGE(Transf!H$39:H104))/STDEV(Transf!H$39:H104))</f>
        <v>-0.412772124666056</v>
      </c>
      <c r="I104" s="10" t="n">
        <f aca="false">IF(COUNT(Transf!I$39:I104)&lt;36,"",(Transf!I104-AVERAGE(Transf!I$39:I104))/STDEV(Transf!I$39:I104))</f>
        <v>-0.586700520121471</v>
      </c>
      <c r="J104" s="10" t="n">
        <f aca="false">IF(B104="","",IF(COUNT(B$74:B104)&lt;60,B104,MEDIAN(QUARTILE(B$74:B104,1)-1.5*(QUARTILE(B$74:B104,3)-QUARTILE(B$74:B104,1)),B104,QUARTILE(B$74:B104,3)+1.5*(QUARTILE(B$74:B104,3)-QUARTILE(B$74:B104,1)))))</f>
        <v>-0.820145866841238</v>
      </c>
      <c r="K104" s="10" t="n">
        <f aca="false">IF(C104="","",IF(COUNT(C$74:C104)&lt;60,C104,MEDIAN(QUARTILE(C$74:C104,1)-1.5*(QUARTILE(C$74:C104,3)-QUARTILE(C$74:C104,1)),C104,QUARTILE(C$74:C104,3)+1.5*(QUARTILE(C$74:C104,3)-QUARTILE(C$74:C104,1)))))</f>
        <v>-0.783275811628096</v>
      </c>
      <c r="L104" s="10" t="n">
        <f aca="false">IF(D104="","",IF(COUNT(D$74:D104)&lt;60,D104,MEDIAN(QUARTILE(D$74:D104,1)-1.5*(QUARTILE(D$74:D104,3)-QUARTILE(D$74:D104,1)),D104,QUARTILE(D$74:D104,3)+1.5*(QUARTILE(D$74:D104,3)-QUARTILE(D$74:D104,1)))))</f>
        <v>-0.565937086193214</v>
      </c>
      <c r="M104" s="10" t="n">
        <f aca="false">IF(E104="","",IF(COUNT(E$74:E104)&lt;60,E104,MEDIAN(QUARTILE(E$74:E104,1)-1.5*(QUARTILE(E$74:E104,3)-QUARTILE(E$74:E104,1)),E104,QUARTILE(E$74:E104,3)+1.5*(QUARTILE(E$74:E104,3)-QUARTILE(E$74:E104,1)))))</f>
        <v>-0.777342269561422</v>
      </c>
      <c r="N104" s="10" t="n">
        <f aca="false">IF(F104="","",IF(COUNT(F$74:F104)&lt;60,F104,MEDIAN(QUARTILE(F$74:F104,1)-1.5*(QUARTILE(F$74:F104,3)-QUARTILE(F$74:F104,1)),F104,QUARTILE(F$74:F104,3)+1.5*(QUARTILE(F$74:F104,3)-QUARTILE(F$74:F104,1)))))</f>
        <v>0.64358196233072</v>
      </c>
      <c r="O104" s="10" t="n">
        <f aca="false">IF(G104="","",IF(COUNT(G$74:G104)&lt;60,G104,MEDIAN(QUARTILE(G$74:G104,1)-1.5*(QUARTILE(G$74:G104,3)-QUARTILE(G$74:G104,1)),G104,QUARTILE(G$74:G104,3)+1.5*(QUARTILE(G$74:G104,3)-QUARTILE(G$74:G104,1)))))</f>
        <v>-1.63620778463574</v>
      </c>
      <c r="P104" s="10" t="n">
        <f aca="false">IF(H104="","",IF(COUNT(H$74:H104)&lt;60,H104,MEDIAN(QUARTILE(H$74:H104,1)-1.5*(QUARTILE(H$74:H104,3)-QUARTILE(H$74:H104,1)),H104,QUARTILE(H$74:H104,3)+1.5*(QUARTILE(H$74:H104,3)-QUARTILE(H$74:H104,1)))))</f>
        <v>-0.412772124666056</v>
      </c>
      <c r="Q104" s="10" t="n">
        <f aca="false">IF(I104="","",IF(COUNT(I$74:I104)&lt;60,I104,MEDIAN(QUARTILE(I$74:I104,1)-1.5*(QUARTILE(I$74:I104,3)-QUARTILE(I$74:I104,1)),I104,QUARTILE(I$74:I104,3)+1.5*(QUARTILE(I$74:I104,3)-QUARTILE(I$74:I104,1)))))</f>
        <v>-0.586700520121471</v>
      </c>
      <c r="R104" s="10" t="n">
        <f aca="false">IF(J104="","",MEDIAN(J104:Q104))</f>
        <v>-0.682021394841446</v>
      </c>
      <c r="S104" s="10" t="n">
        <f aca="false">IF(R104="","",ABS(R104))</f>
        <v>0.682021394841446</v>
      </c>
      <c r="T104" s="10" t="str">
        <f aca="false">IF(COUNT(S$74:S103)&lt;60,"",MEDIAN(S$74:S103))</f>
        <v/>
      </c>
      <c r="U104" s="10" t="n">
        <f aca="false">IF(R104="","",IF(T104="",0,IF(S104&gt;=T104,R104,0)))</f>
        <v>0</v>
      </c>
      <c r="V104" s="10" t="n">
        <f aca="false">IF(U104="","",MEDIAN(-1,U104,1))</f>
        <v>0</v>
      </c>
      <c r="W104" s="10" t="n">
        <f aca="false">IF(J104="","",AVERAGE(J104:Q104))</f>
        <v>-0.617349937664565</v>
      </c>
    </row>
    <row r="105" customFormat="false" ht="15" hidden="false" customHeight="false" outlineLevel="0" collapsed="false">
      <c r="A105" s="8" t="n">
        <f aca="false">Base!A105</f>
        <v>41152</v>
      </c>
      <c r="B105" s="10" t="n">
        <f aca="false">IF(COUNT(Transf!B$39:B105)&lt;36,"",(Transf!B105-AVERAGE(Transf!B$39:B105))/STDEV(Transf!B$39:B105))</f>
        <v>-0.795055664767467</v>
      </c>
      <c r="C105" s="10" t="n">
        <f aca="false">IF(COUNT(Transf!C$39:C105)&lt;36,"",(Transf!C105-AVERAGE(Transf!C$39:C105))/STDEV(Transf!C$39:C105))</f>
        <v>-0.488923487055045</v>
      </c>
      <c r="D105" s="10" t="n">
        <f aca="false">IF(COUNT(Transf!D$39:D105)&lt;36,"",(Transf!D105-AVERAGE(Transf!D$39:D105))/STDEV(Transf!D$39:D105))</f>
        <v>-0.414329125949917</v>
      </c>
      <c r="E105" s="10" t="n">
        <f aca="false">IF(COUNT(Transf!E$39:E105)&lt;36,"",(Transf!E105-AVERAGE(Transf!E$39:E105))/STDEV(Transf!E$39:E105))</f>
        <v>-0.886364245612485</v>
      </c>
      <c r="F105" s="10" t="n">
        <f aca="false">IF(COUNT(Transf!F$39:F105)&lt;36,"",(Transf!F105-AVERAGE(Transf!F$39:F105))/STDEV(Transf!F$39:F105))</f>
        <v>-0.0969780161381922</v>
      </c>
      <c r="G105" s="10" t="n">
        <f aca="false">IF(COUNT(Transf!G$39:G105)&lt;36,"",(Transf!G105-AVERAGE(Transf!G$39:G105))/STDEV(Transf!G$39:G105))</f>
        <v>-1.5094039797293</v>
      </c>
      <c r="H105" s="10" t="n">
        <f aca="false">IF(COUNT(Transf!H$39:H105)&lt;36,"",(Transf!H105-AVERAGE(Transf!H$39:H105))/STDEV(Transf!H$39:H105))</f>
        <v>-0.25422788168513</v>
      </c>
      <c r="I105" s="10" t="n">
        <f aca="false">IF(COUNT(Transf!I$39:I105)&lt;36,"",(Transf!I105-AVERAGE(Transf!I$39:I105))/STDEV(Transf!I$39:I105))</f>
        <v>-0.667614370852231</v>
      </c>
      <c r="J105" s="10" t="n">
        <f aca="false">IF(B105="","",IF(COUNT(B$74:B105)&lt;60,B105,MEDIAN(QUARTILE(B$74:B105,1)-1.5*(QUARTILE(B$74:B105,3)-QUARTILE(B$74:B105,1)),B105,QUARTILE(B$74:B105,3)+1.5*(QUARTILE(B$74:B105,3)-QUARTILE(B$74:B105,1)))))</f>
        <v>-0.795055664767467</v>
      </c>
      <c r="K105" s="10" t="n">
        <f aca="false">IF(C105="","",IF(COUNT(C$74:C105)&lt;60,C105,MEDIAN(QUARTILE(C$74:C105,1)-1.5*(QUARTILE(C$74:C105,3)-QUARTILE(C$74:C105,1)),C105,QUARTILE(C$74:C105,3)+1.5*(QUARTILE(C$74:C105,3)-QUARTILE(C$74:C105,1)))))</f>
        <v>-0.488923487055045</v>
      </c>
      <c r="L105" s="10" t="n">
        <f aca="false">IF(D105="","",IF(COUNT(D$74:D105)&lt;60,D105,MEDIAN(QUARTILE(D$74:D105,1)-1.5*(QUARTILE(D$74:D105,3)-QUARTILE(D$74:D105,1)),D105,QUARTILE(D$74:D105,3)+1.5*(QUARTILE(D$74:D105,3)-QUARTILE(D$74:D105,1)))))</f>
        <v>-0.414329125949917</v>
      </c>
      <c r="M105" s="10" t="n">
        <f aca="false">IF(E105="","",IF(COUNT(E$74:E105)&lt;60,E105,MEDIAN(QUARTILE(E$74:E105,1)-1.5*(QUARTILE(E$74:E105,3)-QUARTILE(E$74:E105,1)),E105,QUARTILE(E$74:E105,3)+1.5*(QUARTILE(E$74:E105,3)-QUARTILE(E$74:E105,1)))))</f>
        <v>-0.886364245612485</v>
      </c>
      <c r="N105" s="10" t="n">
        <f aca="false">IF(F105="","",IF(COUNT(F$74:F105)&lt;60,F105,MEDIAN(QUARTILE(F$74:F105,1)-1.5*(QUARTILE(F$74:F105,3)-QUARTILE(F$74:F105,1)),F105,QUARTILE(F$74:F105,3)+1.5*(QUARTILE(F$74:F105,3)-QUARTILE(F$74:F105,1)))))</f>
        <v>-0.0969780161381922</v>
      </c>
      <c r="O105" s="10" t="n">
        <f aca="false">IF(G105="","",IF(COUNT(G$74:G105)&lt;60,G105,MEDIAN(QUARTILE(G$74:G105,1)-1.5*(QUARTILE(G$74:G105,3)-QUARTILE(G$74:G105,1)),G105,QUARTILE(G$74:G105,3)+1.5*(QUARTILE(G$74:G105,3)-QUARTILE(G$74:G105,1)))))</f>
        <v>-1.5094039797293</v>
      </c>
      <c r="P105" s="10" t="n">
        <f aca="false">IF(H105="","",IF(COUNT(H$74:H105)&lt;60,H105,MEDIAN(QUARTILE(H$74:H105,1)-1.5*(QUARTILE(H$74:H105,3)-QUARTILE(H$74:H105,1)),H105,QUARTILE(H$74:H105,3)+1.5*(QUARTILE(H$74:H105,3)-QUARTILE(H$74:H105,1)))))</f>
        <v>-0.25422788168513</v>
      </c>
      <c r="Q105" s="10" t="n">
        <f aca="false">IF(I105="","",IF(COUNT(I$74:I105)&lt;60,I105,MEDIAN(QUARTILE(I$74:I105,1)-1.5*(QUARTILE(I$74:I105,3)-QUARTILE(I$74:I105,1)),I105,QUARTILE(I$74:I105,3)+1.5*(QUARTILE(I$74:I105,3)-QUARTILE(I$74:I105,1)))))</f>
        <v>-0.667614370852231</v>
      </c>
      <c r="R105" s="10" t="n">
        <f aca="false">IF(J105="","",MEDIAN(J105:Q105))</f>
        <v>-0.578268928953638</v>
      </c>
      <c r="S105" s="10" t="n">
        <f aca="false">IF(R105="","",ABS(R105))</f>
        <v>0.578268928953638</v>
      </c>
      <c r="T105" s="10" t="str">
        <f aca="false">IF(COUNT(S$74:S104)&lt;60,"",MEDIAN(S$74:S104))</f>
        <v/>
      </c>
      <c r="U105" s="10" t="n">
        <f aca="false">IF(R105="","",IF(T105="",0,IF(S105&gt;=T105,R105,0)))</f>
        <v>0</v>
      </c>
      <c r="V105" s="10" t="n">
        <f aca="false">IF(U105="","",MEDIAN(-1,U105,1))</f>
        <v>0</v>
      </c>
      <c r="W105" s="10" t="n">
        <f aca="false">IF(J105="","",AVERAGE(J105:Q105))</f>
        <v>-0.639112096473721</v>
      </c>
    </row>
    <row r="106" customFormat="false" ht="15" hidden="false" customHeight="false" outlineLevel="0" collapsed="false">
      <c r="A106" s="8" t="n">
        <f aca="false">Base!A106</f>
        <v>41182</v>
      </c>
      <c r="B106" s="10" t="n">
        <f aca="false">IF(COUNT(Transf!B$39:B106)&lt;36,"",(Transf!B106-AVERAGE(Transf!B$39:B106))/STDEV(Transf!B$39:B106))</f>
        <v>-0.763953791317854</v>
      </c>
      <c r="C106" s="10" t="n">
        <f aca="false">IF(COUNT(Transf!C$39:C106)&lt;36,"",(Transf!C106-AVERAGE(Transf!C$39:C106))/STDEV(Transf!C$39:C106))</f>
        <v>-0.371064696917801</v>
      </c>
      <c r="D106" s="10" t="n">
        <f aca="false">IF(COUNT(Transf!D$39:D106)&lt;36,"",(Transf!D106-AVERAGE(Transf!D$39:D106))/STDEV(Transf!D$39:D106))</f>
        <v>-0.521568712396421</v>
      </c>
      <c r="E106" s="10" t="n">
        <f aca="false">IF(COUNT(Transf!E$39:E106)&lt;36,"",(Transf!E106-AVERAGE(Transf!E$39:E106))/STDEV(Transf!E$39:E106))</f>
        <v>-0.990845476604259</v>
      </c>
      <c r="F106" s="10" t="n">
        <f aca="false">IF(COUNT(Transf!F$39:F106)&lt;36,"",(Transf!F106-AVERAGE(Transf!F$39:F106))/STDEV(Transf!F$39:F106))</f>
        <v>-0.470556338786202</v>
      </c>
      <c r="G106" s="10" t="n">
        <f aca="false">IF(COUNT(Transf!G$39:G106)&lt;36,"",(Transf!G106-AVERAGE(Transf!G$39:G106))/STDEV(Transf!G$39:G106))</f>
        <v>-1.03516974479834</v>
      </c>
      <c r="H106" s="10" t="n">
        <f aca="false">IF(COUNT(Transf!H$39:H106)&lt;36,"",(Transf!H106-AVERAGE(Transf!H$39:H106))/STDEV(Transf!H$39:H106))</f>
        <v>-0.323566867246759</v>
      </c>
      <c r="I106" s="10" t="n">
        <f aca="false">IF(COUNT(Transf!I$39:I106)&lt;36,"",(Transf!I106-AVERAGE(Transf!I$39:I106))/STDEV(Transf!I$39:I106))</f>
        <v>-0.577344002911643</v>
      </c>
      <c r="J106" s="10" t="n">
        <f aca="false">IF(B106="","",IF(COUNT(B$74:B106)&lt;60,B106,MEDIAN(QUARTILE(B$74:B106,1)-1.5*(QUARTILE(B$74:B106,3)-QUARTILE(B$74:B106,1)),B106,QUARTILE(B$74:B106,3)+1.5*(QUARTILE(B$74:B106,3)-QUARTILE(B$74:B106,1)))))</f>
        <v>-0.763953791317854</v>
      </c>
      <c r="K106" s="10" t="n">
        <f aca="false">IF(C106="","",IF(COUNT(C$74:C106)&lt;60,C106,MEDIAN(QUARTILE(C$74:C106,1)-1.5*(QUARTILE(C$74:C106,3)-QUARTILE(C$74:C106,1)),C106,QUARTILE(C$74:C106,3)+1.5*(QUARTILE(C$74:C106,3)-QUARTILE(C$74:C106,1)))))</f>
        <v>-0.371064696917801</v>
      </c>
      <c r="L106" s="10" t="n">
        <f aca="false">IF(D106="","",IF(COUNT(D$74:D106)&lt;60,D106,MEDIAN(QUARTILE(D$74:D106,1)-1.5*(QUARTILE(D$74:D106,3)-QUARTILE(D$74:D106,1)),D106,QUARTILE(D$74:D106,3)+1.5*(QUARTILE(D$74:D106,3)-QUARTILE(D$74:D106,1)))))</f>
        <v>-0.521568712396421</v>
      </c>
      <c r="M106" s="10" t="n">
        <f aca="false">IF(E106="","",IF(COUNT(E$74:E106)&lt;60,E106,MEDIAN(QUARTILE(E$74:E106,1)-1.5*(QUARTILE(E$74:E106,3)-QUARTILE(E$74:E106,1)),E106,QUARTILE(E$74:E106,3)+1.5*(QUARTILE(E$74:E106,3)-QUARTILE(E$74:E106,1)))))</f>
        <v>-0.990845476604259</v>
      </c>
      <c r="N106" s="10" t="n">
        <f aca="false">IF(F106="","",IF(COUNT(F$74:F106)&lt;60,F106,MEDIAN(QUARTILE(F$74:F106,1)-1.5*(QUARTILE(F$74:F106,3)-QUARTILE(F$74:F106,1)),F106,QUARTILE(F$74:F106,3)+1.5*(QUARTILE(F$74:F106,3)-QUARTILE(F$74:F106,1)))))</f>
        <v>-0.470556338786202</v>
      </c>
      <c r="O106" s="10" t="n">
        <f aca="false">IF(G106="","",IF(COUNT(G$74:G106)&lt;60,G106,MEDIAN(QUARTILE(G$74:G106,1)-1.5*(QUARTILE(G$74:G106,3)-QUARTILE(G$74:G106,1)),G106,QUARTILE(G$74:G106,3)+1.5*(QUARTILE(G$74:G106,3)-QUARTILE(G$74:G106,1)))))</f>
        <v>-1.03516974479834</v>
      </c>
      <c r="P106" s="10" t="n">
        <f aca="false">IF(H106="","",IF(COUNT(H$74:H106)&lt;60,H106,MEDIAN(QUARTILE(H$74:H106,1)-1.5*(QUARTILE(H$74:H106,3)-QUARTILE(H$74:H106,1)),H106,QUARTILE(H$74:H106,3)+1.5*(QUARTILE(H$74:H106,3)-QUARTILE(H$74:H106,1)))))</f>
        <v>-0.323566867246759</v>
      </c>
      <c r="Q106" s="10" t="n">
        <f aca="false">IF(I106="","",IF(COUNT(I$74:I106)&lt;60,I106,MEDIAN(QUARTILE(I$74:I106,1)-1.5*(QUARTILE(I$74:I106,3)-QUARTILE(I$74:I106,1)),I106,QUARTILE(I$74:I106,3)+1.5*(QUARTILE(I$74:I106,3)-QUARTILE(I$74:I106,1)))))</f>
        <v>-0.577344002911643</v>
      </c>
      <c r="R106" s="10" t="n">
        <f aca="false">IF(J106="","",MEDIAN(J106:Q106))</f>
        <v>-0.549456357654032</v>
      </c>
      <c r="S106" s="10" t="n">
        <f aca="false">IF(R106="","",ABS(R106))</f>
        <v>0.549456357654032</v>
      </c>
      <c r="T106" s="10" t="str">
        <f aca="false">IF(COUNT(S$74:S105)&lt;60,"",MEDIAN(S$74:S105))</f>
        <v/>
      </c>
      <c r="U106" s="10" t="n">
        <f aca="false">IF(R106="","",IF(T106="",0,IF(S106&gt;=T106,R106,0)))</f>
        <v>0</v>
      </c>
      <c r="V106" s="10" t="n">
        <f aca="false">IF(U106="","",MEDIAN(-1,U106,1))</f>
        <v>0</v>
      </c>
      <c r="W106" s="10" t="n">
        <f aca="false">IF(J106="","",AVERAGE(J106:Q106))</f>
        <v>-0.63175870387241</v>
      </c>
    </row>
    <row r="107" customFormat="false" ht="15" hidden="false" customHeight="false" outlineLevel="0" collapsed="false">
      <c r="A107" s="8" t="n">
        <f aca="false">Base!A107</f>
        <v>41213</v>
      </c>
      <c r="B107" s="10" t="n">
        <f aca="false">IF(COUNT(Transf!B$39:B107)&lt;36,"",(Transf!B107-AVERAGE(Transf!B$39:B107))/STDEV(Transf!B$39:B107))</f>
        <v>-0.960675630518414</v>
      </c>
      <c r="C107" s="10" t="n">
        <f aca="false">IF(COUNT(Transf!C$39:C107)&lt;36,"",(Transf!C107-AVERAGE(Transf!C$39:C107))/STDEV(Transf!C$39:C107))</f>
        <v>-0.279933748747362</v>
      </c>
      <c r="D107" s="10" t="n">
        <f aca="false">IF(COUNT(Transf!D$39:D107)&lt;36,"",(Transf!D107-AVERAGE(Transf!D$39:D107))/STDEV(Transf!D$39:D107))</f>
        <v>-0.671556438358397</v>
      </c>
      <c r="E107" s="10" t="n">
        <f aca="false">IF(COUNT(Transf!E$39:E107)&lt;36,"",(Transf!E107-AVERAGE(Transf!E$39:E107))/STDEV(Transf!E$39:E107))</f>
        <v>-1.05292142181259</v>
      </c>
      <c r="F107" s="10" t="n">
        <f aca="false">IF(COUNT(Transf!F$39:F107)&lt;36,"",(Transf!F107-AVERAGE(Transf!F$39:F107))/STDEV(Transf!F$39:F107))</f>
        <v>-0.854856910688674</v>
      </c>
      <c r="G107" s="10" t="n">
        <f aca="false">IF(COUNT(Transf!G$39:G107)&lt;36,"",(Transf!G107-AVERAGE(Transf!G$39:G107))/STDEV(Transf!G$39:G107))</f>
        <v>-0.714465792263231</v>
      </c>
      <c r="H107" s="10" t="n">
        <f aca="false">IF(COUNT(Transf!H$39:H107)&lt;36,"",(Transf!H107-AVERAGE(Transf!H$39:H107))/STDEV(Transf!H$39:H107))</f>
        <v>-0.516199819346154</v>
      </c>
      <c r="I107" s="10" t="n">
        <f aca="false">IF(COUNT(Transf!I$39:I107)&lt;36,"",(Transf!I107-AVERAGE(Transf!I$39:I107))/STDEV(Transf!I$39:I107))</f>
        <v>-0.35648152409844</v>
      </c>
      <c r="J107" s="10" t="n">
        <f aca="false">IF(B107="","",IF(COUNT(B$74:B107)&lt;60,B107,MEDIAN(QUARTILE(B$74:B107,1)-1.5*(QUARTILE(B$74:B107,3)-QUARTILE(B$74:B107,1)),B107,QUARTILE(B$74:B107,3)+1.5*(QUARTILE(B$74:B107,3)-QUARTILE(B$74:B107,1)))))</f>
        <v>-0.960675630518414</v>
      </c>
      <c r="K107" s="10" t="n">
        <f aca="false">IF(C107="","",IF(COUNT(C$74:C107)&lt;60,C107,MEDIAN(QUARTILE(C$74:C107,1)-1.5*(QUARTILE(C$74:C107,3)-QUARTILE(C$74:C107,1)),C107,QUARTILE(C$74:C107,3)+1.5*(QUARTILE(C$74:C107,3)-QUARTILE(C$74:C107,1)))))</f>
        <v>-0.279933748747362</v>
      </c>
      <c r="L107" s="10" t="n">
        <f aca="false">IF(D107="","",IF(COUNT(D$74:D107)&lt;60,D107,MEDIAN(QUARTILE(D$74:D107,1)-1.5*(QUARTILE(D$74:D107,3)-QUARTILE(D$74:D107,1)),D107,QUARTILE(D$74:D107,3)+1.5*(QUARTILE(D$74:D107,3)-QUARTILE(D$74:D107,1)))))</f>
        <v>-0.671556438358397</v>
      </c>
      <c r="M107" s="10" t="n">
        <f aca="false">IF(E107="","",IF(COUNT(E$74:E107)&lt;60,E107,MEDIAN(QUARTILE(E$74:E107,1)-1.5*(QUARTILE(E$74:E107,3)-QUARTILE(E$74:E107,1)),E107,QUARTILE(E$74:E107,3)+1.5*(QUARTILE(E$74:E107,3)-QUARTILE(E$74:E107,1)))))</f>
        <v>-1.05292142181259</v>
      </c>
      <c r="N107" s="10" t="n">
        <f aca="false">IF(F107="","",IF(COUNT(F$74:F107)&lt;60,F107,MEDIAN(QUARTILE(F$74:F107,1)-1.5*(QUARTILE(F$74:F107,3)-QUARTILE(F$74:F107,1)),F107,QUARTILE(F$74:F107,3)+1.5*(QUARTILE(F$74:F107,3)-QUARTILE(F$74:F107,1)))))</f>
        <v>-0.854856910688674</v>
      </c>
      <c r="O107" s="10" t="n">
        <f aca="false">IF(G107="","",IF(COUNT(G$74:G107)&lt;60,G107,MEDIAN(QUARTILE(G$74:G107,1)-1.5*(QUARTILE(G$74:G107,3)-QUARTILE(G$74:G107,1)),G107,QUARTILE(G$74:G107,3)+1.5*(QUARTILE(G$74:G107,3)-QUARTILE(G$74:G107,1)))))</f>
        <v>-0.714465792263231</v>
      </c>
      <c r="P107" s="10" t="n">
        <f aca="false">IF(H107="","",IF(COUNT(H$74:H107)&lt;60,H107,MEDIAN(QUARTILE(H$74:H107,1)-1.5*(QUARTILE(H$74:H107,3)-QUARTILE(H$74:H107,1)),H107,QUARTILE(H$74:H107,3)+1.5*(QUARTILE(H$74:H107,3)-QUARTILE(H$74:H107,1)))))</f>
        <v>-0.516199819346154</v>
      </c>
      <c r="Q107" s="10" t="n">
        <f aca="false">IF(I107="","",IF(COUNT(I$74:I107)&lt;60,I107,MEDIAN(QUARTILE(I$74:I107,1)-1.5*(QUARTILE(I$74:I107,3)-QUARTILE(I$74:I107,1)),I107,QUARTILE(I$74:I107,3)+1.5*(QUARTILE(I$74:I107,3)-QUARTILE(I$74:I107,1)))))</f>
        <v>-0.35648152409844</v>
      </c>
      <c r="R107" s="10" t="n">
        <f aca="false">IF(J107="","",MEDIAN(J107:Q107))</f>
        <v>-0.693011115310814</v>
      </c>
      <c r="S107" s="10" t="n">
        <f aca="false">IF(R107="","",ABS(R107))</f>
        <v>0.693011115310814</v>
      </c>
      <c r="T107" s="10" t="str">
        <f aca="false">IF(COUNT(S$74:S106)&lt;60,"",MEDIAN(S$74:S106))</f>
        <v/>
      </c>
      <c r="U107" s="10" t="n">
        <f aca="false">IF(R107="","",IF(T107="",0,IF(S107&gt;=T107,R107,0)))</f>
        <v>0</v>
      </c>
      <c r="V107" s="10" t="n">
        <f aca="false">IF(U107="","",MEDIAN(-1,U107,1))</f>
        <v>0</v>
      </c>
      <c r="W107" s="10" t="n">
        <f aca="false">IF(J107="","",AVERAGE(J107:Q107))</f>
        <v>-0.675886410729157</v>
      </c>
    </row>
    <row r="108" customFormat="false" ht="15" hidden="false" customHeight="false" outlineLevel="0" collapsed="false">
      <c r="A108" s="8" t="n">
        <f aca="false">Base!A108</f>
        <v>41243</v>
      </c>
      <c r="B108" s="10" t="n">
        <f aca="false">IF(COUNT(Transf!B$39:B108)&lt;36,"",(Transf!B108-AVERAGE(Transf!B$39:B108))/STDEV(Transf!B$39:B108))</f>
        <v>-0.7321483279181</v>
      </c>
      <c r="C108" s="10" t="n">
        <f aca="false">IF(COUNT(Transf!C$39:C108)&lt;36,"",(Transf!C108-AVERAGE(Transf!C$39:C108))/STDEV(Transf!C$39:C108))</f>
        <v>-0.226110685393435</v>
      </c>
      <c r="D108" s="10" t="n">
        <f aca="false">IF(COUNT(Transf!D$39:D108)&lt;36,"",(Transf!D108-AVERAGE(Transf!D$39:D108))/STDEV(Transf!D$39:D108))</f>
        <v>-0.571450217789771</v>
      </c>
      <c r="E108" s="10" t="n">
        <f aca="false">IF(COUNT(Transf!E$39:E108)&lt;36,"",(Transf!E108-AVERAGE(Transf!E$39:E108))/STDEV(Transf!E$39:E108))</f>
        <v>-1.03847070072627</v>
      </c>
      <c r="F108" s="10" t="n">
        <f aca="false">IF(COUNT(Transf!F$39:F108)&lt;36,"",(Transf!F108-AVERAGE(Transf!F$39:F108))/STDEV(Transf!F$39:F108))</f>
        <v>-1.18158439078551</v>
      </c>
      <c r="G108" s="10" t="n">
        <f aca="false">IF(COUNT(Transf!G$39:G108)&lt;36,"",(Transf!G108-AVERAGE(Transf!G$39:G108))/STDEV(Transf!G$39:G108))</f>
        <v>-0.402825860376047</v>
      </c>
      <c r="H108" s="10" t="n">
        <f aca="false">IF(COUNT(Transf!H$39:H108)&lt;36,"",(Transf!H108-AVERAGE(Transf!H$39:H108))/STDEV(Transf!H$39:H108))</f>
        <v>-0.989570121719782</v>
      </c>
      <c r="I108" s="10" t="n">
        <f aca="false">IF(COUNT(Transf!I$39:I108)&lt;36,"",(Transf!I108-AVERAGE(Transf!I$39:I108))/STDEV(Transf!I$39:I108))</f>
        <v>0.283640064181438</v>
      </c>
      <c r="J108" s="10" t="n">
        <f aca="false">IF(B108="","",IF(COUNT(B$74:B108)&lt;60,B108,MEDIAN(QUARTILE(B$74:B108,1)-1.5*(QUARTILE(B$74:B108,3)-QUARTILE(B$74:B108,1)),B108,QUARTILE(B$74:B108,3)+1.5*(QUARTILE(B$74:B108,3)-QUARTILE(B$74:B108,1)))))</f>
        <v>-0.7321483279181</v>
      </c>
      <c r="K108" s="10" t="n">
        <f aca="false">IF(C108="","",IF(COUNT(C$74:C108)&lt;60,C108,MEDIAN(QUARTILE(C$74:C108,1)-1.5*(QUARTILE(C$74:C108,3)-QUARTILE(C$74:C108,1)),C108,QUARTILE(C$74:C108,3)+1.5*(QUARTILE(C$74:C108,3)-QUARTILE(C$74:C108,1)))))</f>
        <v>-0.226110685393435</v>
      </c>
      <c r="L108" s="10" t="n">
        <f aca="false">IF(D108="","",IF(COUNT(D$74:D108)&lt;60,D108,MEDIAN(QUARTILE(D$74:D108,1)-1.5*(QUARTILE(D$74:D108,3)-QUARTILE(D$74:D108,1)),D108,QUARTILE(D$74:D108,3)+1.5*(QUARTILE(D$74:D108,3)-QUARTILE(D$74:D108,1)))))</f>
        <v>-0.571450217789771</v>
      </c>
      <c r="M108" s="10" t="n">
        <f aca="false">IF(E108="","",IF(COUNT(E$74:E108)&lt;60,E108,MEDIAN(QUARTILE(E$74:E108,1)-1.5*(QUARTILE(E$74:E108,3)-QUARTILE(E$74:E108,1)),E108,QUARTILE(E$74:E108,3)+1.5*(QUARTILE(E$74:E108,3)-QUARTILE(E$74:E108,1)))))</f>
        <v>-1.03847070072627</v>
      </c>
      <c r="N108" s="10" t="n">
        <f aca="false">IF(F108="","",IF(COUNT(F$74:F108)&lt;60,F108,MEDIAN(QUARTILE(F$74:F108,1)-1.5*(QUARTILE(F$74:F108,3)-QUARTILE(F$74:F108,1)),F108,QUARTILE(F$74:F108,3)+1.5*(QUARTILE(F$74:F108,3)-QUARTILE(F$74:F108,1)))))</f>
        <v>-1.18158439078551</v>
      </c>
      <c r="O108" s="10" t="n">
        <f aca="false">IF(G108="","",IF(COUNT(G$74:G108)&lt;60,G108,MEDIAN(QUARTILE(G$74:G108,1)-1.5*(QUARTILE(G$74:G108,3)-QUARTILE(G$74:G108,1)),G108,QUARTILE(G$74:G108,3)+1.5*(QUARTILE(G$74:G108,3)-QUARTILE(G$74:G108,1)))))</f>
        <v>-0.402825860376047</v>
      </c>
      <c r="P108" s="10" t="n">
        <f aca="false">IF(H108="","",IF(COUNT(H$74:H108)&lt;60,H108,MEDIAN(QUARTILE(H$74:H108,1)-1.5*(QUARTILE(H$74:H108,3)-QUARTILE(H$74:H108,1)),H108,QUARTILE(H$74:H108,3)+1.5*(QUARTILE(H$74:H108,3)-QUARTILE(H$74:H108,1)))))</f>
        <v>-0.989570121719782</v>
      </c>
      <c r="Q108" s="10" t="n">
        <f aca="false">IF(I108="","",IF(COUNT(I$74:I108)&lt;60,I108,MEDIAN(QUARTILE(I$74:I108,1)-1.5*(QUARTILE(I$74:I108,3)-QUARTILE(I$74:I108,1)),I108,QUARTILE(I$74:I108,3)+1.5*(QUARTILE(I$74:I108,3)-QUARTILE(I$74:I108,1)))))</f>
        <v>0.283640064181438</v>
      </c>
      <c r="R108" s="10" t="n">
        <f aca="false">IF(J108="","",MEDIAN(J108:Q108))</f>
        <v>-0.651799272853935</v>
      </c>
      <c r="S108" s="10" t="n">
        <f aca="false">IF(R108="","",ABS(R108))</f>
        <v>0.651799272853935</v>
      </c>
      <c r="T108" s="10" t="str">
        <f aca="false">IF(COUNT(S$74:S107)&lt;60,"",MEDIAN(S$74:S107))</f>
        <v/>
      </c>
      <c r="U108" s="10" t="n">
        <f aca="false">IF(R108="","",IF(T108="",0,IF(S108&gt;=T108,R108,0)))</f>
        <v>0</v>
      </c>
      <c r="V108" s="10" t="n">
        <f aca="false">IF(U108="","",MEDIAN(-1,U108,1))</f>
        <v>0</v>
      </c>
      <c r="W108" s="10" t="n">
        <f aca="false">IF(J108="","",AVERAGE(J108:Q108))</f>
        <v>-0.607315030065934</v>
      </c>
    </row>
    <row r="109" customFormat="false" ht="15" hidden="false" customHeight="false" outlineLevel="0" collapsed="false">
      <c r="A109" s="8" t="n">
        <f aca="false">Base!A109</f>
        <v>41274</v>
      </c>
      <c r="B109" s="10" t="n">
        <f aca="false">IF(COUNT(Transf!B$39:B109)&lt;36,"",(Transf!B109-AVERAGE(Transf!B$39:B109))/STDEV(Transf!B$39:B109))</f>
        <v>-0.522906872144461</v>
      </c>
      <c r="C109" s="10" t="n">
        <f aca="false">IF(COUNT(Transf!C$39:C109)&lt;36,"",(Transf!C109-AVERAGE(Transf!C$39:C109))/STDEV(Transf!C$39:C109))</f>
        <v>-0.0195095001739698</v>
      </c>
      <c r="D109" s="10" t="n">
        <f aca="false">IF(COUNT(Transf!D$39:D109)&lt;36,"",(Transf!D109-AVERAGE(Transf!D$39:D109))/STDEV(Transf!D$39:D109))</f>
        <v>-0.379273488098307</v>
      </c>
      <c r="E109" s="10" t="n">
        <f aca="false">IF(COUNT(Transf!E$39:E109)&lt;36,"",(Transf!E109-AVERAGE(Transf!E$39:E109))/STDEV(Transf!E$39:E109))</f>
        <v>-1.04824961695328</v>
      </c>
      <c r="F109" s="10" t="n">
        <f aca="false">IF(COUNT(Transf!F$39:F109)&lt;36,"",(Transf!F109-AVERAGE(Transf!F$39:F109))/STDEV(Transf!F$39:F109))</f>
        <v>-1.2321917368992</v>
      </c>
      <c r="G109" s="10" t="n">
        <f aca="false">IF(COUNT(Transf!G$39:G109)&lt;36,"",(Transf!G109-AVERAGE(Transf!G$39:G109))/STDEV(Transf!G$39:G109))</f>
        <v>-0.313595538874882</v>
      </c>
      <c r="H109" s="10" t="n">
        <f aca="false">IF(COUNT(Transf!H$39:H109)&lt;36,"",(Transf!H109-AVERAGE(Transf!H$39:H109))/STDEV(Transf!H$39:H109))</f>
        <v>-1.00003266162056</v>
      </c>
      <c r="I109" s="10" t="n">
        <f aca="false">IF(COUNT(Transf!I$39:I109)&lt;36,"",(Transf!I109-AVERAGE(Transf!I$39:I109))/STDEV(Transf!I$39:I109))</f>
        <v>0.57339736828096</v>
      </c>
      <c r="J109" s="10" t="n">
        <f aca="false">IF(B109="","",IF(COUNT(B$74:B109)&lt;60,B109,MEDIAN(QUARTILE(B$74:B109,1)-1.5*(QUARTILE(B$74:B109,3)-QUARTILE(B$74:B109,1)),B109,QUARTILE(B$74:B109,3)+1.5*(QUARTILE(B$74:B109,3)-QUARTILE(B$74:B109,1)))))</f>
        <v>-0.522906872144461</v>
      </c>
      <c r="K109" s="10" t="n">
        <f aca="false">IF(C109="","",IF(COUNT(C$74:C109)&lt;60,C109,MEDIAN(QUARTILE(C$74:C109,1)-1.5*(QUARTILE(C$74:C109,3)-QUARTILE(C$74:C109,1)),C109,QUARTILE(C$74:C109,3)+1.5*(QUARTILE(C$74:C109,3)-QUARTILE(C$74:C109,1)))))</f>
        <v>-0.0195095001739698</v>
      </c>
      <c r="L109" s="10" t="n">
        <f aca="false">IF(D109="","",IF(COUNT(D$74:D109)&lt;60,D109,MEDIAN(QUARTILE(D$74:D109,1)-1.5*(QUARTILE(D$74:D109,3)-QUARTILE(D$74:D109,1)),D109,QUARTILE(D$74:D109,3)+1.5*(QUARTILE(D$74:D109,3)-QUARTILE(D$74:D109,1)))))</f>
        <v>-0.379273488098307</v>
      </c>
      <c r="M109" s="10" t="n">
        <f aca="false">IF(E109="","",IF(COUNT(E$74:E109)&lt;60,E109,MEDIAN(QUARTILE(E$74:E109,1)-1.5*(QUARTILE(E$74:E109,3)-QUARTILE(E$74:E109,1)),E109,QUARTILE(E$74:E109,3)+1.5*(QUARTILE(E$74:E109,3)-QUARTILE(E$74:E109,1)))))</f>
        <v>-1.04824961695328</v>
      </c>
      <c r="N109" s="10" t="n">
        <f aca="false">IF(F109="","",IF(COUNT(F$74:F109)&lt;60,F109,MEDIAN(QUARTILE(F$74:F109,1)-1.5*(QUARTILE(F$74:F109,3)-QUARTILE(F$74:F109,1)),F109,QUARTILE(F$74:F109,3)+1.5*(QUARTILE(F$74:F109,3)-QUARTILE(F$74:F109,1)))))</f>
        <v>-1.2321917368992</v>
      </c>
      <c r="O109" s="10" t="n">
        <f aca="false">IF(G109="","",IF(COUNT(G$74:G109)&lt;60,G109,MEDIAN(QUARTILE(G$74:G109,1)-1.5*(QUARTILE(G$74:G109,3)-QUARTILE(G$74:G109,1)),G109,QUARTILE(G$74:G109,3)+1.5*(QUARTILE(G$74:G109,3)-QUARTILE(G$74:G109,1)))))</f>
        <v>-0.313595538874882</v>
      </c>
      <c r="P109" s="10" t="n">
        <f aca="false">IF(H109="","",IF(COUNT(H$74:H109)&lt;60,H109,MEDIAN(QUARTILE(H$74:H109,1)-1.5*(QUARTILE(H$74:H109,3)-QUARTILE(H$74:H109,1)),H109,QUARTILE(H$74:H109,3)+1.5*(QUARTILE(H$74:H109,3)-QUARTILE(H$74:H109,1)))))</f>
        <v>-1.00003266162056</v>
      </c>
      <c r="Q109" s="10" t="n">
        <f aca="false">IF(I109="","",IF(COUNT(I$74:I109)&lt;60,I109,MEDIAN(QUARTILE(I$74:I109,1)-1.5*(QUARTILE(I$74:I109,3)-QUARTILE(I$74:I109,1)),I109,QUARTILE(I$74:I109,3)+1.5*(QUARTILE(I$74:I109,3)-QUARTILE(I$74:I109,1)))))</f>
        <v>0.57339736828096</v>
      </c>
      <c r="R109" s="10" t="n">
        <f aca="false">IF(J109="","",MEDIAN(J109:Q109))</f>
        <v>-0.451090180121384</v>
      </c>
      <c r="S109" s="10" t="n">
        <f aca="false">IF(R109="","",ABS(R109))</f>
        <v>0.451090180121384</v>
      </c>
      <c r="T109" s="10" t="str">
        <f aca="false">IF(COUNT(S$74:S108)&lt;60,"",MEDIAN(S$74:S108))</f>
        <v/>
      </c>
      <c r="U109" s="10" t="n">
        <f aca="false">IF(R109="","",IF(T109="",0,IF(S109&gt;=T109,R109,0)))</f>
        <v>0</v>
      </c>
      <c r="V109" s="10" t="n">
        <f aca="false">IF(U109="","",MEDIAN(-1,U109,1))</f>
        <v>0</v>
      </c>
      <c r="W109" s="10" t="n">
        <f aca="false">IF(J109="","",AVERAGE(J109:Q109))</f>
        <v>-0.492795255810463</v>
      </c>
    </row>
    <row r="110" customFormat="false" ht="15" hidden="false" customHeight="false" outlineLevel="0" collapsed="false">
      <c r="A110" s="8" t="n">
        <f aca="false">Base!A110</f>
        <v>41305</v>
      </c>
      <c r="B110" s="10" t="n">
        <f aca="false">IF(COUNT(Transf!B$39:B110)&lt;36,"",(Transf!B110-AVERAGE(Transf!B$39:B110))/STDEV(Transf!B$39:B110))</f>
        <v>-0.395679064360565</v>
      </c>
      <c r="C110" s="10" t="n">
        <f aca="false">IF(COUNT(Transf!C$39:C110)&lt;36,"",(Transf!C110-AVERAGE(Transf!C$39:C110))/STDEV(Transf!C$39:C110))</f>
        <v>-0.0659561470836629</v>
      </c>
      <c r="D110" s="10" t="n">
        <f aca="false">IF(COUNT(Transf!D$39:D110)&lt;36,"",(Transf!D110-AVERAGE(Transf!D$39:D110))/STDEV(Transf!D$39:D110))</f>
        <v>-0.418263420067564</v>
      </c>
      <c r="E110" s="10" t="n">
        <f aca="false">IF(COUNT(Transf!E$39:E110)&lt;36,"",(Transf!E110-AVERAGE(Transf!E$39:E110))/STDEV(Transf!E$39:E110))</f>
        <v>-1.04532593899378</v>
      </c>
      <c r="F110" s="10" t="n">
        <f aca="false">IF(COUNT(Transf!F$39:F110)&lt;36,"",(Transf!F110-AVERAGE(Transf!F$39:F110))/STDEV(Transf!F$39:F110))</f>
        <v>-0.964500496907082</v>
      </c>
      <c r="G110" s="10" t="n">
        <f aca="false">IF(COUNT(Transf!G$39:G110)&lt;36,"",(Transf!G110-AVERAGE(Transf!G$39:G110))/STDEV(Transf!G$39:G110))</f>
        <v>-0.124820602389024</v>
      </c>
      <c r="H110" s="10" t="n">
        <f aca="false">IF(COUNT(Transf!H$39:H110)&lt;36,"",(Transf!H110-AVERAGE(Transf!H$39:H110))/STDEV(Transf!H$39:H110))</f>
        <v>-0.973938764876417</v>
      </c>
      <c r="I110" s="10" t="n">
        <f aca="false">IF(COUNT(Transf!I$39:I110)&lt;36,"",(Transf!I110-AVERAGE(Transf!I$39:I110))/STDEV(Transf!I$39:I110))</f>
        <v>0.516632326303876</v>
      </c>
      <c r="J110" s="10" t="n">
        <f aca="false">IF(B110="","",IF(COUNT(B$74:B110)&lt;60,B110,MEDIAN(QUARTILE(B$74:B110,1)-1.5*(QUARTILE(B$74:B110,3)-QUARTILE(B$74:B110,1)),B110,QUARTILE(B$74:B110,3)+1.5*(QUARTILE(B$74:B110,3)-QUARTILE(B$74:B110,1)))))</f>
        <v>-0.395679064360565</v>
      </c>
      <c r="K110" s="10" t="n">
        <f aca="false">IF(C110="","",IF(COUNT(C$74:C110)&lt;60,C110,MEDIAN(QUARTILE(C$74:C110,1)-1.5*(QUARTILE(C$74:C110,3)-QUARTILE(C$74:C110,1)),C110,QUARTILE(C$74:C110,3)+1.5*(QUARTILE(C$74:C110,3)-QUARTILE(C$74:C110,1)))))</f>
        <v>-0.0659561470836629</v>
      </c>
      <c r="L110" s="10" t="n">
        <f aca="false">IF(D110="","",IF(COUNT(D$74:D110)&lt;60,D110,MEDIAN(QUARTILE(D$74:D110,1)-1.5*(QUARTILE(D$74:D110,3)-QUARTILE(D$74:D110,1)),D110,QUARTILE(D$74:D110,3)+1.5*(QUARTILE(D$74:D110,3)-QUARTILE(D$74:D110,1)))))</f>
        <v>-0.418263420067564</v>
      </c>
      <c r="M110" s="10" t="n">
        <f aca="false">IF(E110="","",IF(COUNT(E$74:E110)&lt;60,E110,MEDIAN(QUARTILE(E$74:E110,1)-1.5*(QUARTILE(E$74:E110,3)-QUARTILE(E$74:E110,1)),E110,QUARTILE(E$74:E110,3)+1.5*(QUARTILE(E$74:E110,3)-QUARTILE(E$74:E110,1)))))</f>
        <v>-1.04532593899378</v>
      </c>
      <c r="N110" s="10" t="n">
        <f aca="false">IF(F110="","",IF(COUNT(F$74:F110)&lt;60,F110,MEDIAN(QUARTILE(F$74:F110,1)-1.5*(QUARTILE(F$74:F110,3)-QUARTILE(F$74:F110,1)),F110,QUARTILE(F$74:F110,3)+1.5*(QUARTILE(F$74:F110,3)-QUARTILE(F$74:F110,1)))))</f>
        <v>-0.964500496907082</v>
      </c>
      <c r="O110" s="10" t="n">
        <f aca="false">IF(G110="","",IF(COUNT(G$74:G110)&lt;60,G110,MEDIAN(QUARTILE(G$74:G110,1)-1.5*(QUARTILE(G$74:G110,3)-QUARTILE(G$74:G110,1)),G110,QUARTILE(G$74:G110,3)+1.5*(QUARTILE(G$74:G110,3)-QUARTILE(G$74:G110,1)))))</f>
        <v>-0.124820602389024</v>
      </c>
      <c r="P110" s="10" t="n">
        <f aca="false">IF(H110="","",IF(COUNT(H$74:H110)&lt;60,H110,MEDIAN(QUARTILE(H$74:H110,1)-1.5*(QUARTILE(H$74:H110,3)-QUARTILE(H$74:H110,1)),H110,QUARTILE(H$74:H110,3)+1.5*(QUARTILE(H$74:H110,3)-QUARTILE(H$74:H110,1)))))</f>
        <v>-0.973938764876417</v>
      </c>
      <c r="Q110" s="10" t="n">
        <f aca="false">IF(I110="","",IF(COUNT(I$74:I110)&lt;60,I110,MEDIAN(QUARTILE(I$74:I110,1)-1.5*(QUARTILE(I$74:I110,3)-QUARTILE(I$74:I110,1)),I110,QUARTILE(I$74:I110,3)+1.5*(QUARTILE(I$74:I110,3)-QUARTILE(I$74:I110,1)))))</f>
        <v>0.516632326303876</v>
      </c>
      <c r="R110" s="10" t="n">
        <f aca="false">IF(J110="","",MEDIAN(J110:Q110))</f>
        <v>-0.406971242214064</v>
      </c>
      <c r="S110" s="10" t="n">
        <f aca="false">IF(R110="","",ABS(R110))</f>
        <v>0.406971242214064</v>
      </c>
      <c r="T110" s="10" t="str">
        <f aca="false">IF(COUNT(S$74:S109)&lt;60,"",MEDIAN(S$74:S109))</f>
        <v/>
      </c>
      <c r="U110" s="10" t="n">
        <f aca="false">IF(R110="","",IF(T110="",0,IF(S110&gt;=T110,R110,0)))</f>
        <v>0</v>
      </c>
      <c r="V110" s="10" t="n">
        <f aca="false">IF(U110="","",MEDIAN(-1,U110,1))</f>
        <v>0</v>
      </c>
      <c r="W110" s="10" t="n">
        <f aca="false">IF(J110="","",AVERAGE(J110:Q110))</f>
        <v>-0.433981513546777</v>
      </c>
    </row>
    <row r="111" customFormat="false" ht="15" hidden="false" customHeight="false" outlineLevel="0" collapsed="false">
      <c r="A111" s="8" t="n">
        <f aca="false">Base!A111</f>
        <v>41333</v>
      </c>
      <c r="B111" s="10" t="n">
        <f aca="false">IF(COUNT(Transf!B$39:B111)&lt;36,"",(Transf!B111-AVERAGE(Transf!B$39:B111))/STDEV(Transf!B$39:B111))</f>
        <v>-0.726037343905482</v>
      </c>
      <c r="C111" s="10" t="n">
        <f aca="false">IF(COUNT(Transf!C$39:C111)&lt;36,"",(Transf!C111-AVERAGE(Transf!C$39:C111))/STDEV(Transf!C$39:C111))</f>
        <v>-0.0256429543895754</v>
      </c>
      <c r="D111" s="10" t="n">
        <f aca="false">IF(COUNT(Transf!D$39:D111)&lt;36,"",(Transf!D111-AVERAGE(Transf!D$39:D111))/STDEV(Transf!D$39:D111))</f>
        <v>-0.58387674325456</v>
      </c>
      <c r="E111" s="10" t="n">
        <f aca="false">IF(COUNT(Transf!E$39:E111)&lt;36,"",(Transf!E111-AVERAGE(Transf!E$39:E111))/STDEV(Transf!E$39:E111))</f>
        <v>-0.991613826326748</v>
      </c>
      <c r="F111" s="10" t="n">
        <f aca="false">IF(COUNT(Transf!F$39:F111)&lt;36,"",(Transf!F111-AVERAGE(Transf!F$39:F111))/STDEV(Transf!F$39:F111))</f>
        <v>-0.508951211628103</v>
      </c>
      <c r="G111" s="10" t="n">
        <f aca="false">IF(COUNT(Transf!G$39:G111)&lt;36,"",(Transf!G111-AVERAGE(Transf!G$39:G111))/STDEV(Transf!G$39:G111))</f>
        <v>-0.0638148007987786</v>
      </c>
      <c r="H111" s="10" t="n">
        <f aca="false">IF(COUNT(Transf!H$39:H111)&lt;36,"",(Transf!H111-AVERAGE(Transf!H$39:H111))/STDEV(Transf!H$39:H111))</f>
        <v>-0.920361787334418</v>
      </c>
      <c r="I111" s="10" t="n">
        <f aca="false">IF(COUNT(Transf!I$39:I111)&lt;36,"",(Transf!I111-AVERAGE(Transf!I$39:I111))/STDEV(Transf!I$39:I111))</f>
        <v>0.0406532542573674</v>
      </c>
      <c r="J111" s="10" t="n">
        <f aca="false">IF(B111="","",IF(COUNT(B$74:B111)&lt;60,B111,MEDIAN(QUARTILE(B$74:B111,1)-1.5*(QUARTILE(B$74:B111,3)-QUARTILE(B$74:B111,1)),B111,QUARTILE(B$74:B111,3)+1.5*(QUARTILE(B$74:B111,3)-QUARTILE(B$74:B111,1)))))</f>
        <v>-0.726037343905482</v>
      </c>
      <c r="K111" s="10" t="n">
        <f aca="false">IF(C111="","",IF(COUNT(C$74:C111)&lt;60,C111,MEDIAN(QUARTILE(C$74:C111,1)-1.5*(QUARTILE(C$74:C111,3)-QUARTILE(C$74:C111,1)),C111,QUARTILE(C$74:C111,3)+1.5*(QUARTILE(C$74:C111,3)-QUARTILE(C$74:C111,1)))))</f>
        <v>-0.0256429543895754</v>
      </c>
      <c r="L111" s="10" t="n">
        <f aca="false">IF(D111="","",IF(COUNT(D$74:D111)&lt;60,D111,MEDIAN(QUARTILE(D$74:D111,1)-1.5*(QUARTILE(D$74:D111,3)-QUARTILE(D$74:D111,1)),D111,QUARTILE(D$74:D111,3)+1.5*(QUARTILE(D$74:D111,3)-QUARTILE(D$74:D111,1)))))</f>
        <v>-0.58387674325456</v>
      </c>
      <c r="M111" s="10" t="n">
        <f aca="false">IF(E111="","",IF(COUNT(E$74:E111)&lt;60,E111,MEDIAN(QUARTILE(E$74:E111,1)-1.5*(QUARTILE(E$74:E111,3)-QUARTILE(E$74:E111,1)),E111,QUARTILE(E$74:E111,3)+1.5*(QUARTILE(E$74:E111,3)-QUARTILE(E$74:E111,1)))))</f>
        <v>-0.991613826326748</v>
      </c>
      <c r="N111" s="10" t="n">
        <f aca="false">IF(F111="","",IF(COUNT(F$74:F111)&lt;60,F111,MEDIAN(QUARTILE(F$74:F111,1)-1.5*(QUARTILE(F$74:F111,3)-QUARTILE(F$74:F111,1)),F111,QUARTILE(F$74:F111,3)+1.5*(QUARTILE(F$74:F111,3)-QUARTILE(F$74:F111,1)))))</f>
        <v>-0.508951211628103</v>
      </c>
      <c r="O111" s="10" t="n">
        <f aca="false">IF(G111="","",IF(COUNT(G$74:G111)&lt;60,G111,MEDIAN(QUARTILE(G$74:G111,1)-1.5*(QUARTILE(G$74:G111,3)-QUARTILE(G$74:G111,1)),G111,QUARTILE(G$74:G111,3)+1.5*(QUARTILE(G$74:G111,3)-QUARTILE(G$74:G111,1)))))</f>
        <v>-0.0638148007987786</v>
      </c>
      <c r="P111" s="10" t="n">
        <f aca="false">IF(H111="","",IF(COUNT(H$74:H111)&lt;60,H111,MEDIAN(QUARTILE(H$74:H111,1)-1.5*(QUARTILE(H$74:H111,3)-QUARTILE(H$74:H111,1)),H111,QUARTILE(H$74:H111,3)+1.5*(QUARTILE(H$74:H111,3)-QUARTILE(H$74:H111,1)))))</f>
        <v>-0.920361787334418</v>
      </c>
      <c r="Q111" s="10" t="n">
        <f aca="false">IF(I111="","",IF(COUNT(I$74:I111)&lt;60,I111,MEDIAN(QUARTILE(I$74:I111,1)-1.5*(QUARTILE(I$74:I111,3)-QUARTILE(I$74:I111,1)),I111,QUARTILE(I$74:I111,3)+1.5*(QUARTILE(I$74:I111,3)-QUARTILE(I$74:I111,1)))))</f>
        <v>0.0406532542573674</v>
      </c>
      <c r="R111" s="10" t="n">
        <f aca="false">IF(J111="","",MEDIAN(J111:Q111))</f>
        <v>-0.546413977441332</v>
      </c>
      <c r="S111" s="10" t="n">
        <f aca="false">IF(R111="","",ABS(R111))</f>
        <v>0.546413977441332</v>
      </c>
      <c r="T111" s="10" t="str">
        <f aca="false">IF(COUNT(S$74:S110)&lt;60,"",MEDIAN(S$74:S110))</f>
        <v/>
      </c>
      <c r="U111" s="10" t="n">
        <f aca="false">IF(R111="","",IF(T111="",0,IF(S111&gt;=T111,R111,0)))</f>
        <v>0</v>
      </c>
      <c r="V111" s="10" t="n">
        <f aca="false">IF(U111="","",MEDIAN(-1,U111,1))</f>
        <v>0</v>
      </c>
      <c r="W111" s="10" t="n">
        <f aca="false">IF(J111="","",AVERAGE(J111:Q111))</f>
        <v>-0.472455676672537</v>
      </c>
    </row>
    <row r="112" customFormat="false" ht="15" hidden="false" customHeight="false" outlineLevel="0" collapsed="false">
      <c r="A112" s="8" t="n">
        <f aca="false">Base!A112</f>
        <v>41364</v>
      </c>
      <c r="B112" s="10" t="n">
        <f aca="false">IF(COUNT(Transf!B$39:B112)&lt;36,"",(Transf!B112-AVERAGE(Transf!B$39:B112))/STDEV(Transf!B$39:B112))</f>
        <v>-0.725927432984007</v>
      </c>
      <c r="C112" s="10" t="n">
        <f aca="false">IF(COUNT(Transf!C$39:C112)&lt;36,"",(Transf!C112-AVERAGE(Transf!C$39:C112))/STDEV(Transf!C$39:C112))</f>
        <v>0.0515487050779942</v>
      </c>
      <c r="D112" s="10" t="n">
        <f aca="false">IF(COUNT(Transf!D$39:D112)&lt;36,"",(Transf!D112-AVERAGE(Transf!D$39:D112))/STDEV(Transf!D$39:D112))</f>
        <v>-0.405467596540969</v>
      </c>
      <c r="E112" s="10" t="n">
        <f aca="false">IF(COUNT(Transf!E$39:E112)&lt;36,"",(Transf!E112-AVERAGE(Transf!E$39:E112))/STDEV(Transf!E$39:E112))</f>
        <v>-0.934655964960789</v>
      </c>
      <c r="F112" s="10" t="n">
        <f aca="false">IF(COUNT(Transf!F$39:F112)&lt;36,"",(Transf!F112-AVERAGE(Transf!F$39:F112))/STDEV(Transf!F$39:F112))</f>
        <v>-0.27959626610778</v>
      </c>
      <c r="G112" s="10" t="n">
        <f aca="false">IF(COUNT(Transf!G$39:G112)&lt;36,"",(Transf!G112-AVERAGE(Transf!G$39:G112))/STDEV(Transf!G$39:G112))</f>
        <v>-0.0482027255025153</v>
      </c>
      <c r="H112" s="10" t="n">
        <f aca="false">IF(COUNT(Transf!H$39:H112)&lt;36,"",(Transf!H112-AVERAGE(Transf!H$39:H112))/STDEV(Transf!H$39:H112))</f>
        <v>-0.858490637583924</v>
      </c>
      <c r="I112" s="10" t="n">
        <f aca="false">IF(COUNT(Transf!I$39:I112)&lt;36,"",(Transf!I112-AVERAGE(Transf!I$39:I112))/STDEV(Transf!I$39:I112))</f>
        <v>-0.326823845997336</v>
      </c>
      <c r="J112" s="10" t="n">
        <f aca="false">IF(B112="","",IF(COUNT(B$74:B112)&lt;60,B112,MEDIAN(QUARTILE(B$74:B112,1)-1.5*(QUARTILE(B$74:B112,3)-QUARTILE(B$74:B112,1)),B112,QUARTILE(B$74:B112,3)+1.5*(QUARTILE(B$74:B112,3)-QUARTILE(B$74:B112,1)))))</f>
        <v>-0.725927432984007</v>
      </c>
      <c r="K112" s="10" t="n">
        <f aca="false">IF(C112="","",IF(COUNT(C$74:C112)&lt;60,C112,MEDIAN(QUARTILE(C$74:C112,1)-1.5*(QUARTILE(C$74:C112,3)-QUARTILE(C$74:C112,1)),C112,QUARTILE(C$74:C112,3)+1.5*(QUARTILE(C$74:C112,3)-QUARTILE(C$74:C112,1)))))</f>
        <v>0.0515487050779942</v>
      </c>
      <c r="L112" s="10" t="n">
        <f aca="false">IF(D112="","",IF(COUNT(D$74:D112)&lt;60,D112,MEDIAN(QUARTILE(D$74:D112,1)-1.5*(QUARTILE(D$74:D112,3)-QUARTILE(D$74:D112,1)),D112,QUARTILE(D$74:D112,3)+1.5*(QUARTILE(D$74:D112,3)-QUARTILE(D$74:D112,1)))))</f>
        <v>-0.405467596540969</v>
      </c>
      <c r="M112" s="10" t="n">
        <f aca="false">IF(E112="","",IF(COUNT(E$74:E112)&lt;60,E112,MEDIAN(QUARTILE(E$74:E112,1)-1.5*(QUARTILE(E$74:E112,3)-QUARTILE(E$74:E112,1)),E112,QUARTILE(E$74:E112,3)+1.5*(QUARTILE(E$74:E112,3)-QUARTILE(E$74:E112,1)))))</f>
        <v>-0.934655964960789</v>
      </c>
      <c r="N112" s="10" t="n">
        <f aca="false">IF(F112="","",IF(COUNT(F$74:F112)&lt;60,F112,MEDIAN(QUARTILE(F$74:F112,1)-1.5*(QUARTILE(F$74:F112,3)-QUARTILE(F$74:F112,1)),F112,QUARTILE(F$74:F112,3)+1.5*(QUARTILE(F$74:F112,3)-QUARTILE(F$74:F112,1)))))</f>
        <v>-0.27959626610778</v>
      </c>
      <c r="O112" s="10" t="n">
        <f aca="false">IF(G112="","",IF(COUNT(G$74:G112)&lt;60,G112,MEDIAN(QUARTILE(G$74:G112,1)-1.5*(QUARTILE(G$74:G112,3)-QUARTILE(G$74:G112,1)),G112,QUARTILE(G$74:G112,3)+1.5*(QUARTILE(G$74:G112,3)-QUARTILE(G$74:G112,1)))))</f>
        <v>-0.0482027255025153</v>
      </c>
      <c r="P112" s="10" t="n">
        <f aca="false">IF(H112="","",IF(COUNT(H$74:H112)&lt;60,H112,MEDIAN(QUARTILE(H$74:H112,1)-1.5*(QUARTILE(H$74:H112,3)-QUARTILE(H$74:H112,1)),H112,QUARTILE(H$74:H112,3)+1.5*(QUARTILE(H$74:H112,3)-QUARTILE(H$74:H112,1)))))</f>
        <v>-0.858490637583924</v>
      </c>
      <c r="Q112" s="10" t="n">
        <f aca="false">IF(I112="","",IF(COUNT(I$74:I112)&lt;60,I112,MEDIAN(QUARTILE(I$74:I112,1)-1.5*(QUARTILE(I$74:I112,3)-QUARTILE(I$74:I112,1)),I112,QUARTILE(I$74:I112,3)+1.5*(QUARTILE(I$74:I112,3)-QUARTILE(I$74:I112,1)))))</f>
        <v>-0.326823845997336</v>
      </c>
      <c r="R112" s="10" t="n">
        <f aca="false">IF(J112="","",MEDIAN(J112:Q112))</f>
        <v>-0.366145721269152</v>
      </c>
      <c r="S112" s="10" t="n">
        <f aca="false">IF(R112="","",ABS(R112))</f>
        <v>0.366145721269152</v>
      </c>
      <c r="T112" s="10" t="str">
        <f aca="false">IF(COUNT(S$74:S111)&lt;60,"",MEDIAN(S$74:S111))</f>
        <v/>
      </c>
      <c r="U112" s="10" t="n">
        <f aca="false">IF(R112="","",IF(T112="",0,IF(S112&gt;=T112,R112,0)))</f>
        <v>0</v>
      </c>
      <c r="V112" s="10" t="n">
        <f aca="false">IF(U112="","",MEDIAN(-1,U112,1))</f>
        <v>0</v>
      </c>
      <c r="W112" s="10" t="n">
        <f aca="false">IF(J112="","",AVERAGE(J112:Q112))</f>
        <v>-0.440951970574916</v>
      </c>
    </row>
    <row r="113" customFormat="false" ht="15" hidden="false" customHeight="false" outlineLevel="0" collapsed="false">
      <c r="A113" s="8" t="n">
        <f aca="false">Base!A113</f>
        <v>41394</v>
      </c>
      <c r="B113" s="10" t="n">
        <f aca="false">IF(COUNT(Transf!B$39:B113)&lt;36,"",(Transf!B113-AVERAGE(Transf!B$39:B113))/STDEV(Transf!B$39:B113))</f>
        <v>-0.664309534978664</v>
      </c>
      <c r="C113" s="10" t="n">
        <f aca="false">IF(COUNT(Transf!C$39:C113)&lt;36,"",(Transf!C113-AVERAGE(Transf!C$39:C113))/STDEV(Transf!C$39:C113))</f>
        <v>0.452671936117268</v>
      </c>
      <c r="D113" s="10" t="n">
        <f aca="false">IF(COUNT(Transf!D$39:D113)&lt;36,"",(Transf!D113-AVERAGE(Transf!D$39:D113))/STDEV(Transf!D$39:D113))</f>
        <v>-0.0306921032604915</v>
      </c>
      <c r="E113" s="10" t="n">
        <f aca="false">IF(COUNT(Transf!E$39:E113)&lt;36,"",(Transf!E113-AVERAGE(Transf!E$39:E113))/STDEV(Transf!E$39:E113))</f>
        <v>-0.945793473488997</v>
      </c>
      <c r="F113" s="10" t="n">
        <f aca="false">IF(COUNT(Transf!F$39:F113)&lt;36,"",(Transf!F113-AVERAGE(Transf!F$39:F113))/STDEV(Transf!F$39:F113))</f>
        <v>-0.255623097303873</v>
      </c>
      <c r="G113" s="10" t="n">
        <f aca="false">IF(COUNT(Transf!G$39:G113)&lt;36,"",(Transf!G113-AVERAGE(Transf!G$39:G113))/STDEV(Transf!G$39:G113))</f>
        <v>0.141416938916821</v>
      </c>
      <c r="H113" s="10" t="n">
        <f aca="false">IF(COUNT(Transf!H$39:H113)&lt;36,"",(Transf!H113-AVERAGE(Transf!H$39:H113))/STDEV(Transf!H$39:H113))</f>
        <v>-0.676740181850264</v>
      </c>
      <c r="I113" s="10" t="n">
        <f aca="false">IF(COUNT(Transf!I$39:I113)&lt;36,"",(Transf!I113-AVERAGE(Transf!I$39:I113))/STDEV(Transf!I$39:I113))</f>
        <v>-0.483419505318318</v>
      </c>
      <c r="J113" s="10" t="n">
        <f aca="false">IF(B113="","",IF(COUNT(B$74:B113)&lt;60,B113,MEDIAN(QUARTILE(B$74:B113,1)-1.5*(QUARTILE(B$74:B113,3)-QUARTILE(B$74:B113,1)),B113,QUARTILE(B$74:B113,3)+1.5*(QUARTILE(B$74:B113,3)-QUARTILE(B$74:B113,1)))))</f>
        <v>-0.664309534978664</v>
      </c>
      <c r="K113" s="10" t="n">
        <f aca="false">IF(C113="","",IF(COUNT(C$74:C113)&lt;60,C113,MEDIAN(QUARTILE(C$74:C113,1)-1.5*(QUARTILE(C$74:C113,3)-QUARTILE(C$74:C113,1)),C113,QUARTILE(C$74:C113,3)+1.5*(QUARTILE(C$74:C113,3)-QUARTILE(C$74:C113,1)))))</f>
        <v>0.452671936117268</v>
      </c>
      <c r="L113" s="10" t="n">
        <f aca="false">IF(D113="","",IF(COUNT(D$74:D113)&lt;60,D113,MEDIAN(QUARTILE(D$74:D113,1)-1.5*(QUARTILE(D$74:D113,3)-QUARTILE(D$74:D113,1)),D113,QUARTILE(D$74:D113,3)+1.5*(QUARTILE(D$74:D113,3)-QUARTILE(D$74:D113,1)))))</f>
        <v>-0.0306921032604915</v>
      </c>
      <c r="M113" s="10" t="n">
        <f aca="false">IF(E113="","",IF(COUNT(E$74:E113)&lt;60,E113,MEDIAN(QUARTILE(E$74:E113,1)-1.5*(QUARTILE(E$74:E113,3)-QUARTILE(E$74:E113,1)),E113,QUARTILE(E$74:E113,3)+1.5*(QUARTILE(E$74:E113,3)-QUARTILE(E$74:E113,1)))))</f>
        <v>-0.945793473488997</v>
      </c>
      <c r="N113" s="10" t="n">
        <f aca="false">IF(F113="","",IF(COUNT(F$74:F113)&lt;60,F113,MEDIAN(QUARTILE(F$74:F113,1)-1.5*(QUARTILE(F$74:F113,3)-QUARTILE(F$74:F113,1)),F113,QUARTILE(F$74:F113,3)+1.5*(QUARTILE(F$74:F113,3)-QUARTILE(F$74:F113,1)))))</f>
        <v>-0.255623097303873</v>
      </c>
      <c r="O113" s="10" t="n">
        <f aca="false">IF(G113="","",IF(COUNT(G$74:G113)&lt;60,G113,MEDIAN(QUARTILE(G$74:G113,1)-1.5*(QUARTILE(G$74:G113,3)-QUARTILE(G$74:G113,1)),G113,QUARTILE(G$74:G113,3)+1.5*(QUARTILE(G$74:G113,3)-QUARTILE(G$74:G113,1)))))</f>
        <v>0.141416938916821</v>
      </c>
      <c r="P113" s="10" t="n">
        <f aca="false">IF(H113="","",IF(COUNT(H$74:H113)&lt;60,H113,MEDIAN(QUARTILE(H$74:H113,1)-1.5*(QUARTILE(H$74:H113,3)-QUARTILE(H$74:H113,1)),H113,QUARTILE(H$74:H113,3)+1.5*(QUARTILE(H$74:H113,3)-QUARTILE(H$74:H113,1)))))</f>
        <v>-0.676740181850264</v>
      </c>
      <c r="Q113" s="10" t="n">
        <f aca="false">IF(I113="","",IF(COUNT(I$74:I113)&lt;60,I113,MEDIAN(QUARTILE(I$74:I113,1)-1.5*(QUARTILE(I$74:I113,3)-QUARTILE(I$74:I113,1)),I113,QUARTILE(I$74:I113,3)+1.5*(QUARTILE(I$74:I113,3)-QUARTILE(I$74:I113,1)))))</f>
        <v>-0.483419505318318</v>
      </c>
      <c r="R113" s="10" t="n">
        <f aca="false">IF(J113="","",MEDIAN(J113:Q113))</f>
        <v>-0.369521301311095</v>
      </c>
      <c r="S113" s="10" t="n">
        <f aca="false">IF(R113="","",ABS(R113))</f>
        <v>0.369521301311095</v>
      </c>
      <c r="T113" s="10" t="str">
        <f aca="false">IF(COUNT(S$74:S112)&lt;60,"",MEDIAN(S$74:S112))</f>
        <v/>
      </c>
      <c r="U113" s="10" t="n">
        <f aca="false">IF(R113="","",IF(T113="",0,IF(S113&gt;=T113,R113,0)))</f>
        <v>0</v>
      </c>
      <c r="V113" s="10" t="n">
        <f aca="false">IF(U113="","",MEDIAN(-1,U113,1))</f>
        <v>0</v>
      </c>
      <c r="W113" s="10" t="n">
        <f aca="false">IF(J113="","",AVERAGE(J113:Q113))</f>
        <v>-0.307811127645815</v>
      </c>
    </row>
    <row r="114" customFormat="false" ht="15" hidden="false" customHeight="false" outlineLevel="0" collapsed="false">
      <c r="A114" s="8" t="n">
        <f aca="false">Base!A114</f>
        <v>41425</v>
      </c>
      <c r="B114" s="10" t="n">
        <f aca="false">IF(COUNT(Transf!B$39:B114)&lt;36,"",(Transf!B114-AVERAGE(Transf!B$39:B114))/STDEV(Transf!B$39:B114))</f>
        <v>-0.038260156083781</v>
      </c>
      <c r="C114" s="10" t="n">
        <f aca="false">IF(COUNT(Transf!C$39:C114)&lt;36,"",(Transf!C114-AVERAGE(Transf!C$39:C114))/STDEV(Transf!C$39:C114))</f>
        <v>0.817138414023057</v>
      </c>
      <c r="D114" s="10" t="n">
        <f aca="false">IF(COUNT(Transf!D$39:D114)&lt;36,"",(Transf!D114-AVERAGE(Transf!D$39:D114))/STDEV(Transf!D$39:D114))</f>
        <v>0.442789708918354</v>
      </c>
      <c r="E114" s="10" t="n">
        <f aca="false">IF(COUNT(Transf!E$39:E114)&lt;36,"",(Transf!E114-AVERAGE(Transf!E$39:E114))/STDEV(Transf!E$39:E114))</f>
        <v>-1.02968888737484</v>
      </c>
      <c r="F114" s="10" t="n">
        <f aca="false">IF(COUNT(Transf!F$39:F114)&lt;36,"",(Transf!F114-AVERAGE(Transf!F$39:F114))/STDEV(Transf!F$39:F114))</f>
        <v>-0.174365175511839</v>
      </c>
      <c r="G114" s="10" t="n">
        <f aca="false">IF(COUNT(Transf!G$39:G114)&lt;36,"",(Transf!G114-AVERAGE(Transf!G$39:G114))/STDEV(Transf!G$39:G114))</f>
        <v>0.480423415582998</v>
      </c>
      <c r="H114" s="10" t="n">
        <f aca="false">IF(COUNT(Transf!H$39:H114)&lt;36,"",(Transf!H114-AVERAGE(Transf!H$39:H114))/STDEV(Transf!H$39:H114))</f>
        <v>-0.300408767456002</v>
      </c>
      <c r="I114" s="10" t="n">
        <f aca="false">IF(COUNT(Transf!I$39:I114)&lt;36,"",(Transf!I114-AVERAGE(Transf!I$39:I114))/STDEV(Transf!I$39:I114))</f>
        <v>-0.668434382640998</v>
      </c>
      <c r="J114" s="10" t="n">
        <f aca="false">IF(B114="","",IF(COUNT(B$74:B114)&lt;60,B114,MEDIAN(QUARTILE(B$74:B114,1)-1.5*(QUARTILE(B$74:B114,3)-QUARTILE(B$74:B114,1)),B114,QUARTILE(B$74:B114,3)+1.5*(QUARTILE(B$74:B114,3)-QUARTILE(B$74:B114,1)))))</f>
        <v>-0.038260156083781</v>
      </c>
      <c r="K114" s="10" t="n">
        <f aca="false">IF(C114="","",IF(COUNT(C$74:C114)&lt;60,C114,MEDIAN(QUARTILE(C$74:C114,1)-1.5*(QUARTILE(C$74:C114,3)-QUARTILE(C$74:C114,1)),C114,QUARTILE(C$74:C114,3)+1.5*(QUARTILE(C$74:C114,3)-QUARTILE(C$74:C114,1)))))</f>
        <v>0.817138414023057</v>
      </c>
      <c r="L114" s="10" t="n">
        <f aca="false">IF(D114="","",IF(COUNT(D$74:D114)&lt;60,D114,MEDIAN(QUARTILE(D$74:D114,1)-1.5*(QUARTILE(D$74:D114,3)-QUARTILE(D$74:D114,1)),D114,QUARTILE(D$74:D114,3)+1.5*(QUARTILE(D$74:D114,3)-QUARTILE(D$74:D114,1)))))</f>
        <v>0.442789708918354</v>
      </c>
      <c r="M114" s="10" t="n">
        <f aca="false">IF(E114="","",IF(COUNT(E$74:E114)&lt;60,E114,MEDIAN(QUARTILE(E$74:E114,1)-1.5*(QUARTILE(E$74:E114,3)-QUARTILE(E$74:E114,1)),E114,QUARTILE(E$74:E114,3)+1.5*(QUARTILE(E$74:E114,3)-QUARTILE(E$74:E114,1)))))</f>
        <v>-1.02968888737484</v>
      </c>
      <c r="N114" s="10" t="n">
        <f aca="false">IF(F114="","",IF(COUNT(F$74:F114)&lt;60,F114,MEDIAN(QUARTILE(F$74:F114,1)-1.5*(QUARTILE(F$74:F114,3)-QUARTILE(F$74:F114,1)),F114,QUARTILE(F$74:F114,3)+1.5*(QUARTILE(F$74:F114,3)-QUARTILE(F$74:F114,1)))))</f>
        <v>-0.174365175511839</v>
      </c>
      <c r="O114" s="10" t="n">
        <f aca="false">IF(G114="","",IF(COUNT(G$74:G114)&lt;60,G114,MEDIAN(QUARTILE(G$74:G114,1)-1.5*(QUARTILE(G$74:G114,3)-QUARTILE(G$74:G114,1)),G114,QUARTILE(G$74:G114,3)+1.5*(QUARTILE(G$74:G114,3)-QUARTILE(G$74:G114,1)))))</f>
        <v>0.480423415582998</v>
      </c>
      <c r="P114" s="10" t="n">
        <f aca="false">IF(H114="","",IF(COUNT(H$74:H114)&lt;60,H114,MEDIAN(QUARTILE(H$74:H114,1)-1.5*(QUARTILE(H$74:H114,3)-QUARTILE(H$74:H114,1)),H114,QUARTILE(H$74:H114,3)+1.5*(QUARTILE(H$74:H114,3)-QUARTILE(H$74:H114,1)))))</f>
        <v>-0.300408767456002</v>
      </c>
      <c r="Q114" s="10" t="n">
        <f aca="false">IF(I114="","",IF(COUNT(I$74:I114)&lt;60,I114,MEDIAN(QUARTILE(I$74:I114,1)-1.5*(QUARTILE(I$74:I114,3)-QUARTILE(I$74:I114,1)),I114,QUARTILE(I$74:I114,3)+1.5*(QUARTILE(I$74:I114,3)-QUARTILE(I$74:I114,1)))))</f>
        <v>-0.668434382640998</v>
      </c>
      <c r="R114" s="10" t="n">
        <f aca="false">IF(J114="","",MEDIAN(J114:Q114))</f>
        <v>-0.10631266579781</v>
      </c>
      <c r="S114" s="10" t="n">
        <f aca="false">IF(R114="","",ABS(R114))</f>
        <v>0.10631266579781</v>
      </c>
      <c r="T114" s="10" t="str">
        <f aca="false">IF(COUNT(S$74:S113)&lt;60,"",MEDIAN(S$74:S113))</f>
        <v/>
      </c>
      <c r="U114" s="10" t="n">
        <f aca="false">IF(R114="","",IF(T114="",0,IF(S114&gt;=T114,R114,0)))</f>
        <v>0</v>
      </c>
      <c r="V114" s="10" t="n">
        <f aca="false">IF(U114="","",MEDIAN(-1,U114,1))</f>
        <v>0</v>
      </c>
      <c r="W114" s="10" t="n">
        <f aca="false">IF(J114="","",AVERAGE(J114:Q114))</f>
        <v>-0.0588507288178815</v>
      </c>
    </row>
    <row r="115" customFormat="false" ht="15" hidden="false" customHeight="false" outlineLevel="0" collapsed="false">
      <c r="A115" s="8" t="n">
        <f aca="false">Base!A115</f>
        <v>41455</v>
      </c>
      <c r="B115" s="10" t="n">
        <f aca="false">IF(COUNT(Transf!B$39:B115)&lt;36,"",(Transf!B115-AVERAGE(Transf!B$39:B115))/STDEV(Transf!B$39:B115))</f>
        <v>0.135555492832538</v>
      </c>
      <c r="C115" s="10" t="n">
        <f aca="false">IF(COUNT(Transf!C$39:C115)&lt;36,"",(Transf!C115-AVERAGE(Transf!C$39:C115))/STDEV(Transf!C$39:C115))</f>
        <v>1.00272160044533</v>
      </c>
      <c r="D115" s="10" t="n">
        <f aca="false">IF(COUNT(Transf!D$39:D115)&lt;36,"",(Transf!D115-AVERAGE(Transf!D$39:D115))/STDEV(Transf!D$39:D115))</f>
        <v>0.55122692493323</v>
      </c>
      <c r="E115" s="10" t="n">
        <f aca="false">IF(COUNT(Transf!E$39:E115)&lt;36,"",(Transf!E115-AVERAGE(Transf!E$39:E115))/STDEV(Transf!E$39:E115))</f>
        <v>-0.966579644375008</v>
      </c>
      <c r="F115" s="10" t="n">
        <f aca="false">IF(COUNT(Transf!F$39:F115)&lt;36,"",(Transf!F115-AVERAGE(Transf!F$39:F115))/STDEV(Transf!F$39:F115))</f>
        <v>0.198156381794785</v>
      </c>
      <c r="G115" s="10" t="n">
        <f aca="false">IF(COUNT(Transf!G$39:G115)&lt;36,"",(Transf!G115-AVERAGE(Transf!G$39:G115))/STDEV(Transf!G$39:G115))</f>
        <v>0.594232803344109</v>
      </c>
      <c r="H115" s="10" t="n">
        <f aca="false">IF(COUNT(Transf!H$39:H115)&lt;36,"",(Transf!H115-AVERAGE(Transf!H$39:H115))/STDEV(Transf!H$39:H115))</f>
        <v>0.0184288818603154</v>
      </c>
      <c r="I115" s="10" t="n">
        <f aca="false">IF(COUNT(Transf!I$39:I115)&lt;36,"",(Transf!I115-AVERAGE(Transf!I$39:I115))/STDEV(Transf!I$39:I115))</f>
        <v>-0.773353067816884</v>
      </c>
      <c r="J115" s="10" t="n">
        <f aca="false">IF(B115="","",IF(COUNT(B$74:B115)&lt;60,B115,MEDIAN(QUARTILE(B$74:B115,1)-1.5*(QUARTILE(B$74:B115,3)-QUARTILE(B$74:B115,1)),B115,QUARTILE(B$74:B115,3)+1.5*(QUARTILE(B$74:B115,3)-QUARTILE(B$74:B115,1)))))</f>
        <v>0.135555492832538</v>
      </c>
      <c r="K115" s="10" t="n">
        <f aca="false">IF(C115="","",IF(COUNT(C$74:C115)&lt;60,C115,MEDIAN(QUARTILE(C$74:C115,1)-1.5*(QUARTILE(C$74:C115,3)-QUARTILE(C$74:C115,1)),C115,QUARTILE(C$74:C115,3)+1.5*(QUARTILE(C$74:C115,3)-QUARTILE(C$74:C115,1)))))</f>
        <v>1.00272160044533</v>
      </c>
      <c r="L115" s="10" t="n">
        <f aca="false">IF(D115="","",IF(COUNT(D$74:D115)&lt;60,D115,MEDIAN(QUARTILE(D$74:D115,1)-1.5*(QUARTILE(D$74:D115,3)-QUARTILE(D$74:D115,1)),D115,QUARTILE(D$74:D115,3)+1.5*(QUARTILE(D$74:D115,3)-QUARTILE(D$74:D115,1)))))</f>
        <v>0.55122692493323</v>
      </c>
      <c r="M115" s="10" t="n">
        <f aca="false">IF(E115="","",IF(COUNT(E$74:E115)&lt;60,E115,MEDIAN(QUARTILE(E$74:E115,1)-1.5*(QUARTILE(E$74:E115,3)-QUARTILE(E$74:E115,1)),E115,QUARTILE(E$74:E115,3)+1.5*(QUARTILE(E$74:E115,3)-QUARTILE(E$74:E115,1)))))</f>
        <v>-0.966579644375008</v>
      </c>
      <c r="N115" s="10" t="n">
        <f aca="false">IF(F115="","",IF(COUNT(F$74:F115)&lt;60,F115,MEDIAN(QUARTILE(F$74:F115,1)-1.5*(QUARTILE(F$74:F115,3)-QUARTILE(F$74:F115,1)),F115,QUARTILE(F$74:F115,3)+1.5*(QUARTILE(F$74:F115,3)-QUARTILE(F$74:F115,1)))))</f>
        <v>0.198156381794785</v>
      </c>
      <c r="O115" s="10" t="n">
        <f aca="false">IF(G115="","",IF(COUNT(G$74:G115)&lt;60,G115,MEDIAN(QUARTILE(G$74:G115,1)-1.5*(QUARTILE(G$74:G115,3)-QUARTILE(G$74:G115,1)),G115,QUARTILE(G$74:G115,3)+1.5*(QUARTILE(G$74:G115,3)-QUARTILE(G$74:G115,1)))))</f>
        <v>0.594232803344109</v>
      </c>
      <c r="P115" s="10" t="n">
        <f aca="false">IF(H115="","",IF(COUNT(H$74:H115)&lt;60,H115,MEDIAN(QUARTILE(H$74:H115,1)-1.5*(QUARTILE(H$74:H115,3)-QUARTILE(H$74:H115,1)),H115,QUARTILE(H$74:H115,3)+1.5*(QUARTILE(H$74:H115,3)-QUARTILE(H$74:H115,1)))))</f>
        <v>0.0184288818603154</v>
      </c>
      <c r="Q115" s="10" t="n">
        <f aca="false">IF(I115="","",IF(COUNT(I$74:I115)&lt;60,I115,MEDIAN(QUARTILE(I$74:I115,1)-1.5*(QUARTILE(I$74:I115,3)-QUARTILE(I$74:I115,1)),I115,QUARTILE(I$74:I115,3)+1.5*(QUARTILE(I$74:I115,3)-QUARTILE(I$74:I115,1)))))</f>
        <v>-0.773353067816884</v>
      </c>
      <c r="R115" s="10" t="n">
        <f aca="false">IF(J115="","",MEDIAN(J115:Q115))</f>
        <v>0.166855937313661</v>
      </c>
      <c r="S115" s="10" t="n">
        <f aca="false">IF(R115="","",ABS(R115))</f>
        <v>0.166855937313661</v>
      </c>
      <c r="T115" s="10" t="str">
        <f aca="false">IF(COUNT(S$74:S114)&lt;60,"",MEDIAN(S$74:S114))</f>
        <v/>
      </c>
      <c r="U115" s="10" t="n">
        <f aca="false">IF(R115="","",IF(T115="",0,IF(S115&gt;=T115,R115,0)))</f>
        <v>0</v>
      </c>
      <c r="V115" s="10" t="n">
        <f aca="false">IF(U115="","",MEDIAN(-1,U115,1))</f>
        <v>0</v>
      </c>
      <c r="W115" s="10" t="n">
        <f aca="false">IF(J115="","",AVERAGE(J115:Q115))</f>
        <v>0.0950486716273015</v>
      </c>
    </row>
    <row r="116" customFormat="false" ht="15" hidden="false" customHeight="false" outlineLevel="0" collapsed="false">
      <c r="A116" s="8" t="n">
        <f aca="false">Base!A116</f>
        <v>41486</v>
      </c>
      <c r="B116" s="10" t="n">
        <f aca="false">IF(COUNT(Transf!B$39:B116)&lt;36,"",(Transf!B116-AVERAGE(Transf!B$39:B116))/STDEV(Transf!B$39:B116))</f>
        <v>-0.0718286969704131</v>
      </c>
      <c r="C116" s="10" t="n">
        <f aca="false">IF(COUNT(Transf!C$39:C116)&lt;36,"",(Transf!C116-AVERAGE(Transf!C$39:C116))/STDEV(Transf!C$39:C116))</f>
        <v>0.736783155976113</v>
      </c>
      <c r="D116" s="10" t="n">
        <f aca="false">IF(COUNT(Transf!D$39:D116)&lt;36,"",(Transf!D116-AVERAGE(Transf!D$39:D116))/STDEV(Transf!D$39:D116))</f>
        <v>0.344338880227005</v>
      </c>
      <c r="E116" s="10" t="n">
        <f aca="false">IF(COUNT(Transf!E$39:E116)&lt;36,"",(Transf!E116-AVERAGE(Transf!E$39:E116))/STDEV(Transf!E$39:E116))</f>
        <v>-0.835979743783363</v>
      </c>
      <c r="F116" s="10" t="n">
        <f aca="false">IF(COUNT(Transf!F$39:F116)&lt;36,"",(Transf!F116-AVERAGE(Transf!F$39:F116))/STDEV(Transf!F$39:F116))</f>
        <v>0.388066579099311</v>
      </c>
      <c r="G116" s="10" t="n">
        <f aca="false">IF(COUNT(Transf!G$39:G116)&lt;36,"",(Transf!G116-AVERAGE(Transf!G$39:G116))/STDEV(Transf!G$39:G116))</f>
        <v>0.61322401489068</v>
      </c>
      <c r="H116" s="10" t="n">
        <f aca="false">IF(COUNT(Transf!H$39:H116)&lt;36,"",(Transf!H116-AVERAGE(Transf!H$39:H116))/STDEV(Transf!H$39:H116))</f>
        <v>0.359279094664638</v>
      </c>
      <c r="I116" s="10" t="n">
        <f aca="false">IF(COUNT(Transf!I$39:I116)&lt;36,"",(Transf!I116-AVERAGE(Transf!I$39:I116))/STDEV(Transf!I$39:I116))</f>
        <v>-0.852321844275988</v>
      </c>
      <c r="J116" s="10" t="n">
        <f aca="false">IF(B116="","",IF(COUNT(B$74:B116)&lt;60,B116,MEDIAN(QUARTILE(B$74:B116,1)-1.5*(QUARTILE(B$74:B116,3)-QUARTILE(B$74:B116,1)),B116,QUARTILE(B$74:B116,3)+1.5*(QUARTILE(B$74:B116,3)-QUARTILE(B$74:B116,1)))))</f>
        <v>-0.0718286969704131</v>
      </c>
      <c r="K116" s="10" t="n">
        <f aca="false">IF(C116="","",IF(COUNT(C$74:C116)&lt;60,C116,MEDIAN(QUARTILE(C$74:C116,1)-1.5*(QUARTILE(C$74:C116,3)-QUARTILE(C$74:C116,1)),C116,QUARTILE(C$74:C116,3)+1.5*(QUARTILE(C$74:C116,3)-QUARTILE(C$74:C116,1)))))</f>
        <v>0.736783155976113</v>
      </c>
      <c r="L116" s="10" t="n">
        <f aca="false">IF(D116="","",IF(COUNT(D$74:D116)&lt;60,D116,MEDIAN(QUARTILE(D$74:D116,1)-1.5*(QUARTILE(D$74:D116,3)-QUARTILE(D$74:D116,1)),D116,QUARTILE(D$74:D116,3)+1.5*(QUARTILE(D$74:D116,3)-QUARTILE(D$74:D116,1)))))</f>
        <v>0.344338880227005</v>
      </c>
      <c r="M116" s="10" t="n">
        <f aca="false">IF(E116="","",IF(COUNT(E$74:E116)&lt;60,E116,MEDIAN(QUARTILE(E$74:E116,1)-1.5*(QUARTILE(E$74:E116,3)-QUARTILE(E$74:E116,1)),E116,QUARTILE(E$74:E116,3)+1.5*(QUARTILE(E$74:E116,3)-QUARTILE(E$74:E116,1)))))</f>
        <v>-0.835979743783363</v>
      </c>
      <c r="N116" s="10" t="n">
        <f aca="false">IF(F116="","",IF(COUNT(F$74:F116)&lt;60,F116,MEDIAN(QUARTILE(F$74:F116,1)-1.5*(QUARTILE(F$74:F116,3)-QUARTILE(F$74:F116,1)),F116,QUARTILE(F$74:F116,3)+1.5*(QUARTILE(F$74:F116,3)-QUARTILE(F$74:F116,1)))))</f>
        <v>0.388066579099311</v>
      </c>
      <c r="O116" s="10" t="n">
        <f aca="false">IF(G116="","",IF(COUNT(G$74:G116)&lt;60,G116,MEDIAN(QUARTILE(G$74:G116,1)-1.5*(QUARTILE(G$74:G116,3)-QUARTILE(G$74:G116,1)),G116,QUARTILE(G$74:G116,3)+1.5*(QUARTILE(G$74:G116,3)-QUARTILE(G$74:G116,1)))))</f>
        <v>0.61322401489068</v>
      </c>
      <c r="P116" s="10" t="n">
        <f aca="false">IF(H116="","",IF(COUNT(H$74:H116)&lt;60,H116,MEDIAN(QUARTILE(H$74:H116,1)-1.5*(QUARTILE(H$74:H116,3)-QUARTILE(H$74:H116,1)),H116,QUARTILE(H$74:H116,3)+1.5*(QUARTILE(H$74:H116,3)-QUARTILE(H$74:H116,1)))))</f>
        <v>0.359279094664638</v>
      </c>
      <c r="Q116" s="10" t="n">
        <f aca="false">IF(I116="","",IF(COUNT(I$74:I116)&lt;60,I116,MEDIAN(QUARTILE(I$74:I116,1)-1.5*(QUARTILE(I$74:I116,3)-QUARTILE(I$74:I116,1)),I116,QUARTILE(I$74:I116,3)+1.5*(QUARTILE(I$74:I116,3)-QUARTILE(I$74:I116,1)))))</f>
        <v>-0.852321844275988</v>
      </c>
      <c r="R116" s="10" t="n">
        <f aca="false">IF(J116="","",MEDIAN(J116:Q116))</f>
        <v>0.351808987445821</v>
      </c>
      <c r="S116" s="10" t="n">
        <f aca="false">IF(R116="","",ABS(R116))</f>
        <v>0.351808987445821</v>
      </c>
      <c r="T116" s="10" t="str">
        <f aca="false">IF(COUNT(S$74:S115)&lt;60,"",MEDIAN(S$74:S115))</f>
        <v/>
      </c>
      <c r="U116" s="10" t="n">
        <f aca="false">IF(R116="","",IF(T116="",0,IF(S116&gt;=T116,R116,0)))</f>
        <v>0</v>
      </c>
      <c r="V116" s="10" t="n">
        <f aca="false">IF(U116="","",MEDIAN(-1,U116,1))</f>
        <v>0</v>
      </c>
      <c r="W116" s="10" t="n">
        <f aca="false">IF(J116="","",AVERAGE(J116:Q116))</f>
        <v>0.0851951799784978</v>
      </c>
    </row>
    <row r="117" customFormat="false" ht="15" hidden="false" customHeight="false" outlineLevel="0" collapsed="false">
      <c r="A117" s="8" t="n">
        <f aca="false">Base!A117</f>
        <v>41517</v>
      </c>
      <c r="B117" s="10" t="n">
        <f aca="false">IF(COUNT(Transf!B$39:B117)&lt;36,"",(Transf!B117-AVERAGE(Transf!B$39:B117))/STDEV(Transf!B$39:B117))</f>
        <v>-0.445346751427158</v>
      </c>
      <c r="C117" s="10" t="n">
        <f aca="false">IF(COUNT(Transf!C$39:C117)&lt;36,"",(Transf!C117-AVERAGE(Transf!C$39:C117))/STDEV(Transf!C$39:C117))</f>
        <v>0.462691412863097</v>
      </c>
      <c r="D117" s="10" t="n">
        <f aca="false">IF(COUNT(Transf!D$39:D117)&lt;36,"",(Transf!D117-AVERAGE(Transf!D$39:D117))/STDEV(Transf!D$39:D117))</f>
        <v>0.246325765742318</v>
      </c>
      <c r="E117" s="10" t="n">
        <f aca="false">IF(COUNT(Transf!E$39:E117)&lt;36,"",(Transf!E117-AVERAGE(Transf!E$39:E117))/STDEV(Transf!E$39:E117))</f>
        <v>-0.695278023451965</v>
      </c>
      <c r="F117" s="10" t="n">
        <f aca="false">IF(COUNT(Transf!F$39:F117)&lt;36,"",(Transf!F117-AVERAGE(Transf!F$39:F117))/STDEV(Transf!F$39:F117))</f>
        <v>0.38662756317896</v>
      </c>
      <c r="G117" s="10" t="n">
        <f aca="false">IF(COUNT(Transf!G$39:G117)&lt;36,"",(Transf!G117-AVERAGE(Transf!G$39:G117))/STDEV(Transf!G$39:G117))</f>
        <v>0.484212298239227</v>
      </c>
      <c r="H117" s="10" t="n">
        <f aca="false">IF(COUNT(Transf!H$39:H117)&lt;36,"",(Transf!H117-AVERAGE(Transf!H$39:H117))/STDEV(Transf!H$39:H117))</f>
        <v>0.373329203741002</v>
      </c>
      <c r="I117" s="10" t="n">
        <f aca="false">IF(COUNT(Transf!I$39:I117)&lt;36,"",(Transf!I117-AVERAGE(Transf!I$39:I117))/STDEV(Transf!I$39:I117))</f>
        <v>-1.00318909252223</v>
      </c>
      <c r="J117" s="10" t="n">
        <f aca="false">IF(B117="","",IF(COUNT(B$74:B117)&lt;60,B117,MEDIAN(QUARTILE(B$74:B117,1)-1.5*(QUARTILE(B$74:B117,3)-QUARTILE(B$74:B117,1)),B117,QUARTILE(B$74:B117,3)+1.5*(QUARTILE(B$74:B117,3)-QUARTILE(B$74:B117,1)))))</f>
        <v>-0.445346751427158</v>
      </c>
      <c r="K117" s="10" t="n">
        <f aca="false">IF(C117="","",IF(COUNT(C$74:C117)&lt;60,C117,MEDIAN(QUARTILE(C$74:C117,1)-1.5*(QUARTILE(C$74:C117,3)-QUARTILE(C$74:C117,1)),C117,QUARTILE(C$74:C117,3)+1.5*(QUARTILE(C$74:C117,3)-QUARTILE(C$74:C117,1)))))</f>
        <v>0.462691412863097</v>
      </c>
      <c r="L117" s="10" t="n">
        <f aca="false">IF(D117="","",IF(COUNT(D$74:D117)&lt;60,D117,MEDIAN(QUARTILE(D$74:D117,1)-1.5*(QUARTILE(D$74:D117,3)-QUARTILE(D$74:D117,1)),D117,QUARTILE(D$74:D117,3)+1.5*(QUARTILE(D$74:D117,3)-QUARTILE(D$74:D117,1)))))</f>
        <v>0.246325765742318</v>
      </c>
      <c r="M117" s="10" t="n">
        <f aca="false">IF(E117="","",IF(COUNT(E$74:E117)&lt;60,E117,MEDIAN(QUARTILE(E$74:E117,1)-1.5*(QUARTILE(E$74:E117,3)-QUARTILE(E$74:E117,1)),E117,QUARTILE(E$74:E117,3)+1.5*(QUARTILE(E$74:E117,3)-QUARTILE(E$74:E117,1)))))</f>
        <v>-0.695278023451965</v>
      </c>
      <c r="N117" s="10" t="n">
        <f aca="false">IF(F117="","",IF(COUNT(F$74:F117)&lt;60,F117,MEDIAN(QUARTILE(F$74:F117,1)-1.5*(QUARTILE(F$74:F117,3)-QUARTILE(F$74:F117,1)),F117,QUARTILE(F$74:F117,3)+1.5*(QUARTILE(F$74:F117,3)-QUARTILE(F$74:F117,1)))))</f>
        <v>0.38662756317896</v>
      </c>
      <c r="O117" s="10" t="n">
        <f aca="false">IF(G117="","",IF(COUNT(G$74:G117)&lt;60,G117,MEDIAN(QUARTILE(G$74:G117,1)-1.5*(QUARTILE(G$74:G117,3)-QUARTILE(G$74:G117,1)),G117,QUARTILE(G$74:G117,3)+1.5*(QUARTILE(G$74:G117,3)-QUARTILE(G$74:G117,1)))))</f>
        <v>0.484212298239227</v>
      </c>
      <c r="P117" s="10" t="n">
        <f aca="false">IF(H117="","",IF(COUNT(H$74:H117)&lt;60,H117,MEDIAN(QUARTILE(H$74:H117,1)-1.5*(QUARTILE(H$74:H117,3)-QUARTILE(H$74:H117,1)),H117,QUARTILE(H$74:H117,3)+1.5*(QUARTILE(H$74:H117,3)-QUARTILE(H$74:H117,1)))))</f>
        <v>0.373329203741002</v>
      </c>
      <c r="Q117" s="10" t="n">
        <f aca="false">IF(I117="","",IF(COUNT(I$74:I117)&lt;60,I117,MEDIAN(QUARTILE(I$74:I117,1)-1.5*(QUARTILE(I$74:I117,3)-QUARTILE(I$74:I117,1)),I117,QUARTILE(I$74:I117,3)+1.5*(QUARTILE(I$74:I117,3)-QUARTILE(I$74:I117,1)))))</f>
        <v>-1.00318909252223</v>
      </c>
      <c r="R117" s="10" t="n">
        <f aca="false">IF(J117="","",MEDIAN(J117:Q117))</f>
        <v>0.30982748474166</v>
      </c>
      <c r="S117" s="10" t="n">
        <f aca="false">IF(R117="","",ABS(R117))</f>
        <v>0.30982748474166</v>
      </c>
      <c r="T117" s="10" t="str">
        <f aca="false">IF(COUNT(S$74:S116)&lt;60,"",MEDIAN(S$74:S116))</f>
        <v/>
      </c>
      <c r="U117" s="10" t="n">
        <f aca="false">IF(R117="","",IF(T117="",0,IF(S117&gt;=T117,R117,0)))</f>
        <v>0</v>
      </c>
      <c r="V117" s="10" t="n">
        <f aca="false">IF(U117="","",MEDIAN(-1,U117,1))</f>
        <v>0</v>
      </c>
      <c r="W117" s="10" t="n">
        <f aca="false">IF(J117="","",AVERAGE(J117:Q117))</f>
        <v>-0.0238284529545931</v>
      </c>
    </row>
    <row r="118" customFormat="false" ht="15" hidden="false" customHeight="false" outlineLevel="0" collapsed="false">
      <c r="A118" s="8" t="n">
        <f aca="false">Base!A118</f>
        <v>41547</v>
      </c>
      <c r="B118" s="10" t="n">
        <f aca="false">IF(COUNT(Transf!B$39:B118)&lt;36,"",(Transf!B118-AVERAGE(Transf!B$39:B118))/STDEV(Transf!B$39:B118))</f>
        <v>-0.669183917608272</v>
      </c>
      <c r="C118" s="10" t="n">
        <f aca="false">IF(COUNT(Transf!C$39:C118)&lt;36,"",(Transf!C118-AVERAGE(Transf!C$39:C118))/STDEV(Transf!C$39:C118))</f>
        <v>0.373984351933346</v>
      </c>
      <c r="D118" s="10" t="n">
        <f aca="false">IF(COUNT(Transf!D$39:D118)&lt;36,"",(Transf!D118-AVERAGE(Transf!D$39:D118))/STDEV(Transf!D$39:D118))</f>
        <v>0.304690261413496</v>
      </c>
      <c r="E118" s="10" t="n">
        <f aca="false">IF(COUNT(Transf!E$39:E118)&lt;36,"",(Transf!E118-AVERAGE(Transf!E$39:E118))/STDEV(Transf!E$39:E118))</f>
        <v>-0.61097288094716</v>
      </c>
      <c r="F118" s="10" t="n">
        <f aca="false">IF(COUNT(Transf!F$39:F118)&lt;36,"",(Transf!F118-AVERAGE(Transf!F$39:F118))/STDEV(Transf!F$39:F118))</f>
        <v>0.141214480017769</v>
      </c>
      <c r="G118" s="10" t="n">
        <f aca="false">IF(COUNT(Transf!G$39:G118)&lt;36,"",(Transf!G118-AVERAGE(Transf!G$39:G118))/STDEV(Transf!G$39:G118))</f>
        <v>0.543907778635796</v>
      </c>
      <c r="H118" s="10" t="n">
        <f aca="false">IF(COUNT(Transf!H$39:H118)&lt;36,"",(Transf!H118-AVERAGE(Transf!H$39:H118))/STDEV(Transf!H$39:H118))</f>
        <v>0.390439798439854</v>
      </c>
      <c r="I118" s="10" t="n">
        <f aca="false">IF(COUNT(Transf!I$39:I118)&lt;36,"",(Transf!I118-AVERAGE(Transf!I$39:I118))/STDEV(Transf!I$39:I118))</f>
        <v>-1.16204286239228</v>
      </c>
      <c r="J118" s="10" t="n">
        <f aca="false">IF(B118="","",IF(COUNT(B$74:B118)&lt;60,B118,MEDIAN(QUARTILE(B$74:B118,1)-1.5*(QUARTILE(B$74:B118,3)-QUARTILE(B$74:B118,1)),B118,QUARTILE(B$74:B118,3)+1.5*(QUARTILE(B$74:B118,3)-QUARTILE(B$74:B118,1)))))</f>
        <v>-0.669183917608272</v>
      </c>
      <c r="K118" s="10" t="n">
        <f aca="false">IF(C118="","",IF(COUNT(C$74:C118)&lt;60,C118,MEDIAN(QUARTILE(C$74:C118,1)-1.5*(QUARTILE(C$74:C118,3)-QUARTILE(C$74:C118,1)),C118,QUARTILE(C$74:C118,3)+1.5*(QUARTILE(C$74:C118,3)-QUARTILE(C$74:C118,1)))))</f>
        <v>0.373984351933346</v>
      </c>
      <c r="L118" s="10" t="n">
        <f aca="false">IF(D118="","",IF(COUNT(D$74:D118)&lt;60,D118,MEDIAN(QUARTILE(D$74:D118,1)-1.5*(QUARTILE(D$74:D118,3)-QUARTILE(D$74:D118,1)),D118,QUARTILE(D$74:D118,3)+1.5*(QUARTILE(D$74:D118,3)-QUARTILE(D$74:D118,1)))))</f>
        <v>0.304690261413496</v>
      </c>
      <c r="M118" s="10" t="n">
        <f aca="false">IF(E118="","",IF(COUNT(E$74:E118)&lt;60,E118,MEDIAN(QUARTILE(E$74:E118,1)-1.5*(QUARTILE(E$74:E118,3)-QUARTILE(E$74:E118,1)),E118,QUARTILE(E$74:E118,3)+1.5*(QUARTILE(E$74:E118,3)-QUARTILE(E$74:E118,1)))))</f>
        <v>-0.61097288094716</v>
      </c>
      <c r="N118" s="10" t="n">
        <f aca="false">IF(F118="","",IF(COUNT(F$74:F118)&lt;60,F118,MEDIAN(QUARTILE(F$74:F118,1)-1.5*(QUARTILE(F$74:F118,3)-QUARTILE(F$74:F118,1)),F118,QUARTILE(F$74:F118,3)+1.5*(QUARTILE(F$74:F118,3)-QUARTILE(F$74:F118,1)))))</f>
        <v>0.141214480017769</v>
      </c>
      <c r="O118" s="10" t="n">
        <f aca="false">IF(G118="","",IF(COUNT(G$74:G118)&lt;60,G118,MEDIAN(QUARTILE(G$74:G118,1)-1.5*(QUARTILE(G$74:G118,3)-QUARTILE(G$74:G118,1)),G118,QUARTILE(G$74:G118,3)+1.5*(QUARTILE(G$74:G118,3)-QUARTILE(G$74:G118,1)))))</f>
        <v>0.543907778635796</v>
      </c>
      <c r="P118" s="10" t="n">
        <f aca="false">IF(H118="","",IF(COUNT(H$74:H118)&lt;60,H118,MEDIAN(QUARTILE(H$74:H118,1)-1.5*(QUARTILE(H$74:H118,3)-QUARTILE(H$74:H118,1)),H118,QUARTILE(H$74:H118,3)+1.5*(QUARTILE(H$74:H118,3)-QUARTILE(H$74:H118,1)))))</f>
        <v>0.390439798439854</v>
      </c>
      <c r="Q118" s="10" t="n">
        <f aca="false">IF(I118="","",IF(COUNT(I$74:I118)&lt;60,I118,MEDIAN(QUARTILE(I$74:I118,1)-1.5*(QUARTILE(I$74:I118,3)-QUARTILE(I$74:I118,1)),I118,QUARTILE(I$74:I118,3)+1.5*(QUARTILE(I$74:I118,3)-QUARTILE(I$74:I118,1)))))</f>
        <v>-1.16204286239228</v>
      </c>
      <c r="R118" s="10" t="n">
        <f aca="false">IF(J118="","",MEDIAN(J118:Q118))</f>
        <v>0.222952370715632</v>
      </c>
      <c r="S118" s="10" t="n">
        <f aca="false">IF(R118="","",ABS(R118))</f>
        <v>0.222952370715632</v>
      </c>
      <c r="T118" s="10" t="str">
        <f aca="false">IF(COUNT(S$74:S117)&lt;60,"",MEDIAN(S$74:S117))</f>
        <v/>
      </c>
      <c r="U118" s="10" t="n">
        <f aca="false">IF(R118="","",IF(T118="",0,IF(S118&gt;=T118,R118,0)))</f>
        <v>0</v>
      </c>
      <c r="V118" s="10" t="n">
        <f aca="false">IF(U118="","",MEDIAN(-1,U118,1))</f>
        <v>0</v>
      </c>
      <c r="W118" s="10" t="n">
        <f aca="false">IF(J118="","",AVERAGE(J118:Q118))</f>
        <v>-0.0859953738134313</v>
      </c>
    </row>
    <row r="119" customFormat="false" ht="15" hidden="false" customHeight="false" outlineLevel="0" collapsed="false">
      <c r="A119" s="8" t="n">
        <f aca="false">Base!A119</f>
        <v>41578</v>
      </c>
      <c r="B119" s="10" t="n">
        <f aca="false">IF(COUNT(Transf!B$39:B119)&lt;36,"",(Transf!B119-AVERAGE(Transf!B$39:B119))/STDEV(Transf!B$39:B119))</f>
        <v>-0.712493457683316</v>
      </c>
      <c r="C119" s="10" t="n">
        <f aca="false">IF(COUNT(Transf!C$39:C119)&lt;36,"",(Transf!C119-AVERAGE(Transf!C$39:C119))/STDEV(Transf!C$39:C119))</f>
        <v>0.291178095790643</v>
      </c>
      <c r="D119" s="10" t="n">
        <f aca="false">IF(COUNT(Transf!D$39:D119)&lt;36,"",(Transf!D119-AVERAGE(Transf!D$39:D119))/STDEV(Transf!D$39:D119))</f>
        <v>0.378600899825621</v>
      </c>
      <c r="E119" s="10" t="n">
        <f aca="false">IF(COUNT(Transf!E$39:E119)&lt;36,"",(Transf!E119-AVERAGE(Transf!E$39:E119))/STDEV(Transf!E$39:E119))</f>
        <v>-0.408252762219194</v>
      </c>
      <c r="F119" s="10" t="n">
        <f aca="false">IF(COUNT(Transf!F$39:F119)&lt;36,"",(Transf!F119-AVERAGE(Transf!F$39:F119))/STDEV(Transf!F$39:F119))</f>
        <v>0.145313661880766</v>
      </c>
      <c r="G119" s="10" t="n">
        <f aca="false">IF(COUNT(Transf!G$39:G119)&lt;36,"",(Transf!G119-AVERAGE(Transf!G$39:G119))/STDEV(Transf!G$39:G119))</f>
        <v>0.561079285197432</v>
      </c>
      <c r="H119" s="10" t="n">
        <f aca="false">IF(COUNT(Transf!H$39:H119)&lt;36,"",(Transf!H119-AVERAGE(Transf!H$39:H119))/STDEV(Transf!H$39:H119))</f>
        <v>0.137496148816991</v>
      </c>
      <c r="I119" s="10" t="n">
        <f aca="false">IF(COUNT(Transf!I$39:I119)&lt;36,"",(Transf!I119-AVERAGE(Transf!I$39:I119))/STDEV(Transf!I$39:I119))</f>
        <v>-1.22230971853817</v>
      </c>
      <c r="J119" s="10" t="n">
        <f aca="false">IF(B119="","",IF(COUNT(B$74:B119)&lt;60,B119,MEDIAN(QUARTILE(B$74:B119,1)-1.5*(QUARTILE(B$74:B119,3)-QUARTILE(B$74:B119,1)),B119,QUARTILE(B$74:B119,3)+1.5*(QUARTILE(B$74:B119,3)-QUARTILE(B$74:B119,1)))))</f>
        <v>-0.712493457683316</v>
      </c>
      <c r="K119" s="10" t="n">
        <f aca="false">IF(C119="","",IF(COUNT(C$74:C119)&lt;60,C119,MEDIAN(QUARTILE(C$74:C119,1)-1.5*(QUARTILE(C$74:C119,3)-QUARTILE(C$74:C119,1)),C119,QUARTILE(C$74:C119,3)+1.5*(QUARTILE(C$74:C119,3)-QUARTILE(C$74:C119,1)))))</f>
        <v>0.291178095790643</v>
      </c>
      <c r="L119" s="10" t="n">
        <f aca="false">IF(D119="","",IF(COUNT(D$74:D119)&lt;60,D119,MEDIAN(QUARTILE(D$74:D119,1)-1.5*(QUARTILE(D$74:D119,3)-QUARTILE(D$74:D119,1)),D119,QUARTILE(D$74:D119,3)+1.5*(QUARTILE(D$74:D119,3)-QUARTILE(D$74:D119,1)))))</f>
        <v>0.378600899825621</v>
      </c>
      <c r="M119" s="10" t="n">
        <f aca="false">IF(E119="","",IF(COUNT(E$74:E119)&lt;60,E119,MEDIAN(QUARTILE(E$74:E119,1)-1.5*(QUARTILE(E$74:E119,3)-QUARTILE(E$74:E119,1)),E119,QUARTILE(E$74:E119,3)+1.5*(QUARTILE(E$74:E119,3)-QUARTILE(E$74:E119,1)))))</f>
        <v>-0.408252762219194</v>
      </c>
      <c r="N119" s="10" t="n">
        <f aca="false">IF(F119="","",IF(COUNT(F$74:F119)&lt;60,F119,MEDIAN(QUARTILE(F$74:F119,1)-1.5*(QUARTILE(F$74:F119,3)-QUARTILE(F$74:F119,1)),F119,QUARTILE(F$74:F119,3)+1.5*(QUARTILE(F$74:F119,3)-QUARTILE(F$74:F119,1)))))</f>
        <v>0.145313661880766</v>
      </c>
      <c r="O119" s="10" t="n">
        <f aca="false">IF(G119="","",IF(COUNT(G$74:G119)&lt;60,G119,MEDIAN(QUARTILE(G$74:G119,1)-1.5*(QUARTILE(G$74:G119,3)-QUARTILE(G$74:G119,1)),G119,QUARTILE(G$74:G119,3)+1.5*(QUARTILE(G$74:G119,3)-QUARTILE(G$74:G119,1)))))</f>
        <v>0.561079285197432</v>
      </c>
      <c r="P119" s="10" t="n">
        <f aca="false">IF(H119="","",IF(COUNT(H$74:H119)&lt;60,H119,MEDIAN(QUARTILE(H$74:H119,1)-1.5*(QUARTILE(H$74:H119,3)-QUARTILE(H$74:H119,1)),H119,QUARTILE(H$74:H119,3)+1.5*(QUARTILE(H$74:H119,3)-QUARTILE(H$74:H119,1)))))</f>
        <v>0.137496148816991</v>
      </c>
      <c r="Q119" s="10" t="n">
        <f aca="false">IF(I119="","",IF(COUNT(I$74:I119)&lt;60,I119,MEDIAN(QUARTILE(I$74:I119,1)-1.5*(QUARTILE(I$74:I119,3)-QUARTILE(I$74:I119,1)),I119,QUARTILE(I$74:I119,3)+1.5*(QUARTILE(I$74:I119,3)-QUARTILE(I$74:I119,1)))))</f>
        <v>-1.22230971853817</v>
      </c>
      <c r="R119" s="10" t="n">
        <f aca="false">IF(J119="","",MEDIAN(J119:Q119))</f>
        <v>0.141404905348879</v>
      </c>
      <c r="S119" s="10" t="n">
        <f aca="false">IF(R119="","",ABS(R119))</f>
        <v>0.141404905348879</v>
      </c>
      <c r="T119" s="10" t="str">
        <f aca="false">IF(COUNT(S$74:S118)&lt;60,"",MEDIAN(S$74:S118))</f>
        <v/>
      </c>
      <c r="U119" s="10" t="n">
        <f aca="false">IF(R119="","",IF(T119="",0,IF(S119&gt;=T119,R119,0)))</f>
        <v>0</v>
      </c>
      <c r="V119" s="10" t="n">
        <f aca="false">IF(U119="","",MEDIAN(-1,U119,1))</f>
        <v>0</v>
      </c>
      <c r="W119" s="10" t="n">
        <f aca="false">IF(J119="","",AVERAGE(J119:Q119))</f>
        <v>-0.103673480866154</v>
      </c>
    </row>
    <row r="120" customFormat="false" ht="15" hidden="false" customHeight="false" outlineLevel="0" collapsed="false">
      <c r="A120" s="8" t="n">
        <f aca="false">Base!A120</f>
        <v>41608</v>
      </c>
      <c r="B120" s="10" t="n">
        <f aca="false">IF(COUNT(Transf!B$39:B120)&lt;36,"",(Transf!B120-AVERAGE(Transf!B$39:B120))/STDEV(Transf!B$39:B120))</f>
        <v>-1.04505400602169</v>
      </c>
      <c r="C120" s="10" t="n">
        <f aca="false">IF(COUNT(Transf!C$39:C120)&lt;36,"",(Transf!C120-AVERAGE(Transf!C$39:C120))/STDEV(Transf!C$39:C120))</f>
        <v>0.16333794597737</v>
      </c>
      <c r="D120" s="10" t="n">
        <f aca="false">IF(COUNT(Transf!D$39:D120)&lt;36,"",(Transf!D120-AVERAGE(Transf!D$39:D120))/STDEV(Transf!D$39:D120))</f>
        <v>0.326388857784233</v>
      </c>
      <c r="E120" s="10" t="n">
        <f aca="false">IF(COUNT(Transf!E$39:E120)&lt;36,"",(Transf!E120-AVERAGE(Transf!E$39:E120))/STDEV(Transf!E$39:E120))</f>
        <v>-0.145661216164505</v>
      </c>
      <c r="F120" s="10" t="n">
        <f aca="false">IF(COUNT(Transf!F$39:F120)&lt;36,"",(Transf!F120-AVERAGE(Transf!F$39:F120))/STDEV(Transf!F$39:F120))</f>
        <v>0.488125458234632</v>
      </c>
      <c r="G120" s="10" t="n">
        <f aca="false">IF(COUNT(Transf!G$39:G120)&lt;36,"",(Transf!G120-AVERAGE(Transf!G$39:G120))/STDEV(Transf!G$39:G120))</f>
        <v>0.684261902850418</v>
      </c>
      <c r="H120" s="10" t="n">
        <f aca="false">IF(COUNT(Transf!H$39:H120)&lt;36,"",(Transf!H120-AVERAGE(Transf!H$39:H120))/STDEV(Transf!H$39:H120))</f>
        <v>-0.00364571408922616</v>
      </c>
      <c r="I120" s="10" t="n">
        <f aca="false">IF(COUNT(Transf!I$39:I120)&lt;36,"",(Transf!I120-AVERAGE(Transf!I$39:I120))/STDEV(Transf!I$39:I120))</f>
        <v>-1.08291700812656</v>
      </c>
      <c r="J120" s="10" t="n">
        <f aca="false">IF(B120="","",IF(COUNT(B$74:B120)&lt;60,B120,MEDIAN(QUARTILE(B$74:B120,1)-1.5*(QUARTILE(B$74:B120,3)-QUARTILE(B$74:B120,1)),B120,QUARTILE(B$74:B120,3)+1.5*(QUARTILE(B$74:B120,3)-QUARTILE(B$74:B120,1)))))</f>
        <v>-1.04505400602169</v>
      </c>
      <c r="K120" s="10" t="n">
        <f aca="false">IF(C120="","",IF(COUNT(C$74:C120)&lt;60,C120,MEDIAN(QUARTILE(C$74:C120,1)-1.5*(QUARTILE(C$74:C120,3)-QUARTILE(C$74:C120,1)),C120,QUARTILE(C$74:C120,3)+1.5*(QUARTILE(C$74:C120,3)-QUARTILE(C$74:C120,1)))))</f>
        <v>0.16333794597737</v>
      </c>
      <c r="L120" s="10" t="n">
        <f aca="false">IF(D120="","",IF(COUNT(D$74:D120)&lt;60,D120,MEDIAN(QUARTILE(D$74:D120,1)-1.5*(QUARTILE(D$74:D120,3)-QUARTILE(D$74:D120,1)),D120,QUARTILE(D$74:D120,3)+1.5*(QUARTILE(D$74:D120,3)-QUARTILE(D$74:D120,1)))))</f>
        <v>0.326388857784233</v>
      </c>
      <c r="M120" s="10" t="n">
        <f aca="false">IF(E120="","",IF(COUNT(E$74:E120)&lt;60,E120,MEDIAN(QUARTILE(E$74:E120,1)-1.5*(QUARTILE(E$74:E120,3)-QUARTILE(E$74:E120,1)),E120,QUARTILE(E$74:E120,3)+1.5*(QUARTILE(E$74:E120,3)-QUARTILE(E$74:E120,1)))))</f>
        <v>-0.145661216164505</v>
      </c>
      <c r="N120" s="10" t="n">
        <f aca="false">IF(F120="","",IF(COUNT(F$74:F120)&lt;60,F120,MEDIAN(QUARTILE(F$74:F120,1)-1.5*(QUARTILE(F$74:F120,3)-QUARTILE(F$74:F120,1)),F120,QUARTILE(F$74:F120,3)+1.5*(QUARTILE(F$74:F120,3)-QUARTILE(F$74:F120,1)))))</f>
        <v>0.488125458234632</v>
      </c>
      <c r="O120" s="10" t="n">
        <f aca="false">IF(G120="","",IF(COUNT(G$74:G120)&lt;60,G120,MEDIAN(QUARTILE(G$74:G120,1)-1.5*(QUARTILE(G$74:G120,3)-QUARTILE(G$74:G120,1)),G120,QUARTILE(G$74:G120,3)+1.5*(QUARTILE(G$74:G120,3)-QUARTILE(G$74:G120,1)))))</f>
        <v>0.684261902850418</v>
      </c>
      <c r="P120" s="10" t="n">
        <f aca="false">IF(H120="","",IF(COUNT(H$74:H120)&lt;60,H120,MEDIAN(QUARTILE(H$74:H120,1)-1.5*(QUARTILE(H$74:H120,3)-QUARTILE(H$74:H120,1)),H120,QUARTILE(H$74:H120,3)+1.5*(QUARTILE(H$74:H120,3)-QUARTILE(H$74:H120,1)))))</f>
        <v>-0.00364571408922616</v>
      </c>
      <c r="Q120" s="10" t="n">
        <f aca="false">IF(I120="","",IF(COUNT(I$74:I120)&lt;60,I120,MEDIAN(QUARTILE(I$74:I120,1)-1.5*(QUARTILE(I$74:I120,3)-QUARTILE(I$74:I120,1)),I120,QUARTILE(I$74:I120,3)+1.5*(QUARTILE(I$74:I120,3)-QUARTILE(I$74:I120,1)))))</f>
        <v>-1.08291700812656</v>
      </c>
      <c r="R120" s="10" t="n">
        <f aca="false">IF(J120="","",MEDIAN(J120:Q120))</f>
        <v>0.0798461159440721</v>
      </c>
      <c r="S120" s="10" t="n">
        <f aca="false">IF(R120="","",ABS(R120))</f>
        <v>0.0798461159440721</v>
      </c>
      <c r="T120" s="10" t="str">
        <f aca="false">IF(COUNT(S$74:S119)&lt;60,"",MEDIAN(S$74:S119))</f>
        <v/>
      </c>
      <c r="U120" s="10" t="n">
        <f aca="false">IF(R120="","",IF(T120="",0,IF(S120&gt;=T120,R120,0)))</f>
        <v>0</v>
      </c>
      <c r="V120" s="10" t="n">
        <f aca="false">IF(U120="","",MEDIAN(-1,U120,1))</f>
        <v>0</v>
      </c>
      <c r="W120" s="10" t="n">
        <f aca="false">IF(J120="","",AVERAGE(J120:Q120))</f>
        <v>-0.0768954724444154</v>
      </c>
    </row>
    <row r="121" customFormat="false" ht="15" hidden="false" customHeight="false" outlineLevel="0" collapsed="false">
      <c r="A121" s="8" t="n">
        <f aca="false">Base!A121</f>
        <v>41639</v>
      </c>
      <c r="B121" s="10" t="n">
        <f aca="false">IF(COUNT(Transf!B$39:B121)&lt;36,"",(Transf!B121-AVERAGE(Transf!B$39:B121))/STDEV(Transf!B$39:B121))</f>
        <v>-1.33274302727413</v>
      </c>
      <c r="C121" s="10" t="n">
        <f aca="false">IF(COUNT(Transf!C$39:C121)&lt;36,"",(Transf!C121-AVERAGE(Transf!C$39:C121))/STDEV(Transf!C$39:C121))</f>
        <v>-0.064844123118048</v>
      </c>
      <c r="D121" s="10" t="n">
        <f aca="false">IF(COUNT(Transf!D$39:D121)&lt;36,"",(Transf!D121-AVERAGE(Transf!D$39:D121))/STDEV(Transf!D$39:D121))</f>
        <v>0.0947305424970021</v>
      </c>
      <c r="E121" s="10" t="n">
        <f aca="false">IF(COUNT(Transf!E$39:E121)&lt;36,"",(Transf!E121-AVERAGE(Transf!E$39:E121))/STDEV(Transf!E$39:E121))</f>
        <v>0.233912768333158</v>
      </c>
      <c r="F121" s="10" t="n">
        <f aca="false">IF(COUNT(Transf!F$39:F121)&lt;36,"",(Transf!F121-AVERAGE(Transf!F$39:F121))/STDEV(Transf!F$39:F121))</f>
        <v>0.572544455674037</v>
      </c>
      <c r="G121" s="10" t="n">
        <f aca="false">IF(COUNT(Transf!G$39:G121)&lt;36,"",(Transf!G121-AVERAGE(Transf!G$39:G121))/STDEV(Transf!G$39:G121))</f>
        <v>0.762464171313428</v>
      </c>
      <c r="H121" s="10" t="n">
        <f aca="false">IF(COUNT(Transf!H$39:H121)&lt;36,"",(Transf!H121-AVERAGE(Transf!H$39:H121))/STDEV(Transf!H$39:H121))</f>
        <v>-0.0268193683171278</v>
      </c>
      <c r="I121" s="10" t="n">
        <f aca="false">IF(COUNT(Transf!I$39:I121)&lt;36,"",(Transf!I121-AVERAGE(Transf!I$39:I121))/STDEV(Transf!I$39:I121))</f>
        <v>-0.86179891169589</v>
      </c>
      <c r="J121" s="10" t="n">
        <f aca="false">IF(B121="","",IF(COUNT(B$74:B121)&lt;60,B121,MEDIAN(QUARTILE(B$74:B121,1)-1.5*(QUARTILE(B$74:B121,3)-QUARTILE(B$74:B121,1)),B121,QUARTILE(B$74:B121,3)+1.5*(QUARTILE(B$74:B121,3)-QUARTILE(B$74:B121,1)))))</f>
        <v>-1.33274302727413</v>
      </c>
      <c r="K121" s="10" t="n">
        <f aca="false">IF(C121="","",IF(COUNT(C$74:C121)&lt;60,C121,MEDIAN(QUARTILE(C$74:C121,1)-1.5*(QUARTILE(C$74:C121,3)-QUARTILE(C$74:C121,1)),C121,QUARTILE(C$74:C121,3)+1.5*(QUARTILE(C$74:C121,3)-QUARTILE(C$74:C121,1)))))</f>
        <v>-0.064844123118048</v>
      </c>
      <c r="L121" s="10" t="n">
        <f aca="false">IF(D121="","",IF(COUNT(D$74:D121)&lt;60,D121,MEDIAN(QUARTILE(D$74:D121,1)-1.5*(QUARTILE(D$74:D121,3)-QUARTILE(D$74:D121,1)),D121,QUARTILE(D$74:D121,3)+1.5*(QUARTILE(D$74:D121,3)-QUARTILE(D$74:D121,1)))))</f>
        <v>0.0947305424970021</v>
      </c>
      <c r="M121" s="10" t="n">
        <f aca="false">IF(E121="","",IF(COUNT(E$74:E121)&lt;60,E121,MEDIAN(QUARTILE(E$74:E121,1)-1.5*(QUARTILE(E$74:E121,3)-QUARTILE(E$74:E121,1)),E121,QUARTILE(E$74:E121,3)+1.5*(QUARTILE(E$74:E121,3)-QUARTILE(E$74:E121,1)))))</f>
        <v>0.233912768333158</v>
      </c>
      <c r="N121" s="10" t="n">
        <f aca="false">IF(F121="","",IF(COUNT(F$74:F121)&lt;60,F121,MEDIAN(QUARTILE(F$74:F121,1)-1.5*(QUARTILE(F$74:F121,3)-QUARTILE(F$74:F121,1)),F121,QUARTILE(F$74:F121,3)+1.5*(QUARTILE(F$74:F121,3)-QUARTILE(F$74:F121,1)))))</f>
        <v>0.572544455674037</v>
      </c>
      <c r="O121" s="10" t="n">
        <f aca="false">IF(G121="","",IF(COUNT(G$74:G121)&lt;60,G121,MEDIAN(QUARTILE(G$74:G121,1)-1.5*(QUARTILE(G$74:G121,3)-QUARTILE(G$74:G121,1)),G121,QUARTILE(G$74:G121,3)+1.5*(QUARTILE(G$74:G121,3)-QUARTILE(G$74:G121,1)))))</f>
        <v>0.762464171313428</v>
      </c>
      <c r="P121" s="10" t="n">
        <f aca="false">IF(H121="","",IF(COUNT(H$74:H121)&lt;60,H121,MEDIAN(QUARTILE(H$74:H121,1)-1.5*(QUARTILE(H$74:H121,3)-QUARTILE(H$74:H121,1)),H121,QUARTILE(H$74:H121,3)+1.5*(QUARTILE(H$74:H121,3)-QUARTILE(H$74:H121,1)))))</f>
        <v>-0.0268193683171278</v>
      </c>
      <c r="Q121" s="10" t="n">
        <f aca="false">IF(I121="","",IF(COUNT(I$74:I121)&lt;60,I121,MEDIAN(QUARTILE(I$74:I121,1)-1.5*(QUARTILE(I$74:I121,3)-QUARTILE(I$74:I121,1)),I121,QUARTILE(I$74:I121,3)+1.5*(QUARTILE(I$74:I121,3)-QUARTILE(I$74:I121,1)))))</f>
        <v>-0.86179891169589</v>
      </c>
      <c r="R121" s="10" t="n">
        <f aca="false">IF(J121="","",MEDIAN(J121:Q121))</f>
        <v>0.0339555870899372</v>
      </c>
      <c r="S121" s="10" t="n">
        <f aca="false">IF(R121="","",ABS(R121))</f>
        <v>0.0339555870899372</v>
      </c>
      <c r="T121" s="10" t="str">
        <f aca="false">IF(COUNT(S$74:S120)&lt;60,"",MEDIAN(S$74:S120))</f>
        <v/>
      </c>
      <c r="U121" s="10" t="n">
        <f aca="false">IF(R121="","",IF(T121="",0,IF(S121&gt;=T121,R121,0)))</f>
        <v>0</v>
      </c>
      <c r="V121" s="10" t="n">
        <f aca="false">IF(U121="","",MEDIAN(-1,U121,1))</f>
        <v>0</v>
      </c>
      <c r="W121" s="10" t="n">
        <f aca="false">IF(J121="","",AVERAGE(J121:Q121))</f>
        <v>-0.0778191865734469</v>
      </c>
    </row>
    <row r="122" customFormat="false" ht="15" hidden="false" customHeight="false" outlineLevel="0" collapsed="false">
      <c r="A122" s="8" t="n">
        <f aca="false">Base!A122</f>
        <v>41670</v>
      </c>
      <c r="B122" s="10" t="n">
        <f aca="false">IF(COUNT(Transf!B$39:B122)&lt;36,"",(Transf!B122-AVERAGE(Transf!B$39:B122))/STDEV(Transf!B$39:B122))</f>
        <v>-1.44642633407173</v>
      </c>
      <c r="C122" s="10" t="n">
        <f aca="false">IF(COUNT(Transf!C$39:C122)&lt;36,"",(Transf!C122-AVERAGE(Transf!C$39:C122))/STDEV(Transf!C$39:C122))</f>
        <v>-0.0641739286391205</v>
      </c>
      <c r="D122" s="10" t="n">
        <f aca="false">IF(COUNT(Transf!D$39:D122)&lt;36,"",(Transf!D122-AVERAGE(Transf!D$39:D122))/STDEV(Transf!D$39:D122))</f>
        <v>0.0227194643132423</v>
      </c>
      <c r="E122" s="10" t="n">
        <f aca="false">IF(COUNT(Transf!E$39:E122)&lt;36,"",(Transf!E122-AVERAGE(Transf!E$39:E122))/STDEV(Transf!E$39:E122))</f>
        <v>0.686582361994858</v>
      </c>
      <c r="F122" s="10" t="n">
        <f aca="false">IF(COUNT(Transf!F$39:F122)&lt;36,"",(Transf!F122-AVERAGE(Transf!F$39:F122))/STDEV(Transf!F$39:F122))</f>
        <v>0.706285602978443</v>
      </c>
      <c r="G122" s="10" t="n">
        <f aca="false">IF(COUNT(Transf!G$39:G122)&lt;36,"",(Transf!G122-AVERAGE(Transf!G$39:G122))/STDEV(Transf!G$39:G122))</f>
        <v>1.4648451564866</v>
      </c>
      <c r="H122" s="10" t="n">
        <f aca="false">IF(COUNT(Transf!H$39:H122)&lt;36,"",(Transf!H122-AVERAGE(Transf!H$39:H122))/STDEV(Transf!H$39:H122))</f>
        <v>0.264421179609742</v>
      </c>
      <c r="I122" s="10" t="n">
        <f aca="false">IF(COUNT(Transf!I$39:I122)&lt;36,"",(Transf!I122-AVERAGE(Transf!I$39:I122))/STDEV(Transf!I$39:I122))</f>
        <v>-0.848315974892105</v>
      </c>
      <c r="J122" s="10" t="n">
        <f aca="false">IF(B122="","",IF(COUNT(B$74:B122)&lt;60,B122,MEDIAN(QUARTILE(B$74:B122,1)-1.5*(QUARTILE(B$74:B122,3)-QUARTILE(B$74:B122,1)),B122,QUARTILE(B$74:B122,3)+1.5*(QUARTILE(B$74:B122,3)-QUARTILE(B$74:B122,1)))))</f>
        <v>-1.44642633407173</v>
      </c>
      <c r="K122" s="10" t="n">
        <f aca="false">IF(C122="","",IF(COUNT(C$74:C122)&lt;60,C122,MEDIAN(QUARTILE(C$74:C122,1)-1.5*(QUARTILE(C$74:C122,3)-QUARTILE(C$74:C122,1)),C122,QUARTILE(C$74:C122,3)+1.5*(QUARTILE(C$74:C122,3)-QUARTILE(C$74:C122,1)))))</f>
        <v>-0.0641739286391205</v>
      </c>
      <c r="L122" s="10" t="n">
        <f aca="false">IF(D122="","",IF(COUNT(D$74:D122)&lt;60,D122,MEDIAN(QUARTILE(D$74:D122,1)-1.5*(QUARTILE(D$74:D122,3)-QUARTILE(D$74:D122,1)),D122,QUARTILE(D$74:D122,3)+1.5*(QUARTILE(D$74:D122,3)-QUARTILE(D$74:D122,1)))))</f>
        <v>0.0227194643132423</v>
      </c>
      <c r="M122" s="10" t="n">
        <f aca="false">IF(E122="","",IF(COUNT(E$74:E122)&lt;60,E122,MEDIAN(QUARTILE(E$74:E122,1)-1.5*(QUARTILE(E$74:E122,3)-QUARTILE(E$74:E122,1)),E122,QUARTILE(E$74:E122,3)+1.5*(QUARTILE(E$74:E122,3)-QUARTILE(E$74:E122,1)))))</f>
        <v>0.686582361994858</v>
      </c>
      <c r="N122" s="10" t="n">
        <f aca="false">IF(F122="","",IF(COUNT(F$74:F122)&lt;60,F122,MEDIAN(QUARTILE(F$74:F122,1)-1.5*(QUARTILE(F$74:F122,3)-QUARTILE(F$74:F122,1)),F122,QUARTILE(F$74:F122,3)+1.5*(QUARTILE(F$74:F122,3)-QUARTILE(F$74:F122,1)))))</f>
        <v>0.706285602978443</v>
      </c>
      <c r="O122" s="10" t="n">
        <f aca="false">IF(G122="","",IF(COUNT(G$74:G122)&lt;60,G122,MEDIAN(QUARTILE(G$74:G122,1)-1.5*(QUARTILE(G$74:G122,3)-QUARTILE(G$74:G122,1)),G122,QUARTILE(G$74:G122,3)+1.5*(QUARTILE(G$74:G122,3)-QUARTILE(G$74:G122,1)))))</f>
        <v>1.4648451564866</v>
      </c>
      <c r="P122" s="10" t="n">
        <f aca="false">IF(H122="","",IF(COUNT(H$74:H122)&lt;60,H122,MEDIAN(QUARTILE(H$74:H122,1)-1.5*(QUARTILE(H$74:H122,3)-QUARTILE(H$74:H122,1)),H122,QUARTILE(H$74:H122,3)+1.5*(QUARTILE(H$74:H122,3)-QUARTILE(H$74:H122,1)))))</f>
        <v>0.264421179609742</v>
      </c>
      <c r="Q122" s="10" t="n">
        <f aca="false">IF(I122="","",IF(COUNT(I$74:I122)&lt;60,I122,MEDIAN(QUARTILE(I$74:I122,1)-1.5*(QUARTILE(I$74:I122,3)-QUARTILE(I$74:I122,1)),I122,QUARTILE(I$74:I122,3)+1.5*(QUARTILE(I$74:I122,3)-QUARTILE(I$74:I122,1)))))</f>
        <v>-0.848315974892105</v>
      </c>
      <c r="R122" s="10" t="n">
        <f aca="false">IF(J122="","",MEDIAN(J122:Q122))</f>
        <v>0.143570321961492</v>
      </c>
      <c r="S122" s="10" t="n">
        <f aca="false">IF(R122="","",ABS(R122))</f>
        <v>0.143570321961492</v>
      </c>
      <c r="T122" s="10" t="str">
        <f aca="false">IF(COUNT(S$74:S121)&lt;60,"",MEDIAN(S$74:S121))</f>
        <v/>
      </c>
      <c r="U122" s="10" t="n">
        <f aca="false">IF(R122="","",IF(T122="",0,IF(S122&gt;=T122,R122,0)))</f>
        <v>0</v>
      </c>
      <c r="V122" s="10" t="n">
        <f aca="false">IF(U122="","",MEDIAN(-1,U122,1))</f>
        <v>0</v>
      </c>
      <c r="W122" s="10" t="n">
        <f aca="false">IF(J122="","",AVERAGE(J122:Q122))</f>
        <v>0.0982421909724914</v>
      </c>
    </row>
    <row r="123" customFormat="false" ht="15" hidden="false" customHeight="false" outlineLevel="0" collapsed="false">
      <c r="A123" s="8" t="n">
        <f aca="false">Base!A123</f>
        <v>41698</v>
      </c>
      <c r="B123" s="10" t="n">
        <f aca="false">IF(COUNT(Transf!B$39:B123)&lt;36,"",(Transf!B123-AVERAGE(Transf!B$39:B123))/STDEV(Transf!B$39:B123))</f>
        <v>-1.12053328357607</v>
      </c>
      <c r="C123" s="10" t="n">
        <f aca="false">IF(COUNT(Transf!C$39:C123)&lt;36,"",(Transf!C123-AVERAGE(Transf!C$39:C123))/STDEV(Transf!C$39:C123))</f>
        <v>-0.0519958534888851</v>
      </c>
      <c r="D123" s="10" t="n">
        <f aca="false">IF(COUNT(Transf!D$39:D123)&lt;36,"",(Transf!D123-AVERAGE(Transf!D$39:D123))/STDEV(Transf!D$39:D123))</f>
        <v>0.0872451140750129</v>
      </c>
      <c r="E123" s="10" t="n">
        <f aca="false">IF(COUNT(Transf!E$39:E123)&lt;36,"",(Transf!E123-AVERAGE(Transf!E$39:E123))/STDEV(Transf!E$39:E123))</f>
        <v>1.46040472965466</v>
      </c>
      <c r="F123" s="10" t="n">
        <f aca="false">IF(COUNT(Transf!F$39:F123)&lt;36,"",(Transf!F123-AVERAGE(Transf!F$39:F123))/STDEV(Transf!F$39:F123))</f>
        <v>0.625976169713773</v>
      </c>
      <c r="G123" s="10" t="n">
        <f aca="false">IF(COUNT(Transf!G$39:G123)&lt;36,"",(Transf!G123-AVERAGE(Transf!G$39:G123))/STDEV(Transf!G$39:G123))</f>
        <v>1.86041572323062</v>
      </c>
      <c r="H123" s="10" t="n">
        <f aca="false">IF(COUNT(Transf!H$39:H123)&lt;36,"",(Transf!H123-AVERAGE(Transf!H$39:H123))/STDEV(Transf!H$39:H123))</f>
        <v>0.624445755993731</v>
      </c>
      <c r="I123" s="10" t="n">
        <f aca="false">IF(COUNT(Transf!I$39:I123)&lt;36,"",(Transf!I123-AVERAGE(Transf!I$39:I123))/STDEV(Transf!I$39:I123))</f>
        <v>-0.922670226425612</v>
      </c>
      <c r="J123" s="10" t="n">
        <f aca="false">IF(B123="","",IF(COUNT(B$74:B123)&lt;60,B123,MEDIAN(QUARTILE(B$74:B123,1)-1.5*(QUARTILE(B$74:B123,3)-QUARTILE(B$74:B123,1)),B123,QUARTILE(B$74:B123,3)+1.5*(QUARTILE(B$74:B123,3)-QUARTILE(B$74:B123,1)))))</f>
        <v>-1.12053328357607</v>
      </c>
      <c r="K123" s="10" t="n">
        <f aca="false">IF(C123="","",IF(COUNT(C$74:C123)&lt;60,C123,MEDIAN(QUARTILE(C$74:C123,1)-1.5*(QUARTILE(C$74:C123,3)-QUARTILE(C$74:C123,1)),C123,QUARTILE(C$74:C123,3)+1.5*(QUARTILE(C$74:C123,3)-QUARTILE(C$74:C123,1)))))</f>
        <v>-0.0519958534888851</v>
      </c>
      <c r="L123" s="10" t="n">
        <f aca="false">IF(D123="","",IF(COUNT(D$74:D123)&lt;60,D123,MEDIAN(QUARTILE(D$74:D123,1)-1.5*(QUARTILE(D$74:D123,3)-QUARTILE(D$74:D123,1)),D123,QUARTILE(D$74:D123,3)+1.5*(QUARTILE(D$74:D123,3)-QUARTILE(D$74:D123,1)))))</f>
        <v>0.0872451140750129</v>
      </c>
      <c r="M123" s="10" t="n">
        <f aca="false">IF(E123="","",IF(COUNT(E$74:E123)&lt;60,E123,MEDIAN(QUARTILE(E$74:E123,1)-1.5*(QUARTILE(E$74:E123,3)-QUARTILE(E$74:E123,1)),E123,QUARTILE(E$74:E123,3)+1.5*(QUARTILE(E$74:E123,3)-QUARTILE(E$74:E123,1)))))</f>
        <v>1.46040472965466</v>
      </c>
      <c r="N123" s="10" t="n">
        <f aca="false">IF(F123="","",IF(COUNT(F$74:F123)&lt;60,F123,MEDIAN(QUARTILE(F$74:F123,1)-1.5*(QUARTILE(F$74:F123,3)-QUARTILE(F$74:F123,1)),F123,QUARTILE(F$74:F123,3)+1.5*(QUARTILE(F$74:F123,3)-QUARTILE(F$74:F123,1)))))</f>
        <v>0.625976169713773</v>
      </c>
      <c r="O123" s="10" t="n">
        <f aca="false">IF(G123="","",IF(COUNT(G$74:G123)&lt;60,G123,MEDIAN(QUARTILE(G$74:G123,1)-1.5*(QUARTILE(G$74:G123,3)-QUARTILE(G$74:G123,1)),G123,QUARTILE(G$74:G123,3)+1.5*(QUARTILE(G$74:G123,3)-QUARTILE(G$74:G123,1)))))</f>
        <v>1.86041572323062</v>
      </c>
      <c r="P123" s="10" t="n">
        <f aca="false">IF(H123="","",IF(COUNT(H$74:H123)&lt;60,H123,MEDIAN(QUARTILE(H$74:H123,1)-1.5*(QUARTILE(H$74:H123,3)-QUARTILE(H$74:H123,1)),H123,QUARTILE(H$74:H123,3)+1.5*(QUARTILE(H$74:H123,3)-QUARTILE(H$74:H123,1)))))</f>
        <v>0.624445755993731</v>
      </c>
      <c r="Q123" s="10" t="n">
        <f aca="false">IF(I123="","",IF(COUNT(I$74:I123)&lt;60,I123,MEDIAN(QUARTILE(I$74:I123,1)-1.5*(QUARTILE(I$74:I123,3)-QUARTILE(I$74:I123,1)),I123,QUARTILE(I$74:I123,3)+1.5*(QUARTILE(I$74:I123,3)-QUARTILE(I$74:I123,1)))))</f>
        <v>-0.922670226425612</v>
      </c>
      <c r="R123" s="10" t="n">
        <f aca="false">IF(J123="","",MEDIAN(J123:Q123))</f>
        <v>0.355845435034372</v>
      </c>
      <c r="S123" s="10" t="n">
        <f aca="false">IF(R123="","",ABS(R123))</f>
        <v>0.355845435034372</v>
      </c>
      <c r="T123" s="10" t="str">
        <f aca="false">IF(COUNT(S$74:S122)&lt;60,"",MEDIAN(S$74:S122))</f>
        <v/>
      </c>
      <c r="U123" s="10" t="n">
        <f aca="false">IF(R123="","",IF(T123="",0,IF(S123&gt;=T123,R123,0)))</f>
        <v>0</v>
      </c>
      <c r="V123" s="10" t="n">
        <f aca="false">IF(U123="","",MEDIAN(-1,U123,1))</f>
        <v>0</v>
      </c>
      <c r="W123" s="10" t="n">
        <f aca="false">IF(J123="","",AVERAGE(J123:Q123))</f>
        <v>0.320411016147154</v>
      </c>
    </row>
    <row r="124" customFormat="false" ht="15" hidden="false" customHeight="false" outlineLevel="0" collapsed="false">
      <c r="A124" s="8" t="n">
        <f aca="false">Base!A124</f>
        <v>41729</v>
      </c>
      <c r="B124" s="10" t="n">
        <f aca="false">IF(COUNT(Transf!B$39:B124)&lt;36,"",(Transf!B124-AVERAGE(Transf!B$39:B124))/STDEV(Transf!B$39:B124))</f>
        <v>-1.08815544771008</v>
      </c>
      <c r="C124" s="10" t="n">
        <f aca="false">IF(COUNT(Transf!C$39:C124)&lt;36,"",(Transf!C124-AVERAGE(Transf!C$39:C124))/STDEV(Transf!C$39:C124))</f>
        <v>-0.217590215581584</v>
      </c>
      <c r="D124" s="10" t="n">
        <f aca="false">IF(COUNT(Transf!D$39:D124)&lt;36,"",(Transf!D124-AVERAGE(Transf!D$39:D124))/STDEV(Transf!D$39:D124))</f>
        <v>-0.104365944602797</v>
      </c>
      <c r="E124" s="10" t="n">
        <f aca="false">IF(COUNT(Transf!E$39:E124)&lt;36,"",(Transf!E124-AVERAGE(Transf!E$39:E124))/STDEV(Transf!E$39:E124))</f>
        <v>2.14748794221575</v>
      </c>
      <c r="F124" s="10" t="n">
        <f aca="false">IF(COUNT(Transf!F$39:F124)&lt;36,"",(Transf!F124-AVERAGE(Transf!F$39:F124))/STDEV(Transf!F$39:F124))</f>
        <v>0.675382847637304</v>
      </c>
      <c r="G124" s="10" t="n">
        <f aca="false">IF(COUNT(Transf!G$39:G124)&lt;36,"",(Transf!G124-AVERAGE(Transf!G$39:G124))/STDEV(Transf!G$39:G124))</f>
        <v>2.18198444356141</v>
      </c>
      <c r="H124" s="10" t="n">
        <f aca="false">IF(COUNT(Transf!H$39:H124)&lt;36,"",(Transf!H124-AVERAGE(Transf!H$39:H124))/STDEV(Transf!H$39:H124))</f>
        <v>0.742978564873604</v>
      </c>
      <c r="I124" s="10" t="n">
        <f aca="false">IF(COUNT(Transf!I$39:I124)&lt;36,"",(Transf!I124-AVERAGE(Transf!I$39:I124))/STDEV(Transf!I$39:I124))</f>
        <v>-0.988799619806845</v>
      </c>
      <c r="J124" s="10" t="n">
        <f aca="false">IF(B124="","",IF(COUNT(B$74:B124)&lt;60,B124,MEDIAN(QUARTILE(B$74:B124,1)-1.5*(QUARTILE(B$74:B124,3)-QUARTILE(B$74:B124,1)),B124,QUARTILE(B$74:B124,3)+1.5*(QUARTILE(B$74:B124,3)-QUARTILE(B$74:B124,1)))))</f>
        <v>-1.08815544771008</v>
      </c>
      <c r="K124" s="10" t="n">
        <f aca="false">IF(C124="","",IF(COUNT(C$74:C124)&lt;60,C124,MEDIAN(QUARTILE(C$74:C124,1)-1.5*(QUARTILE(C$74:C124,3)-QUARTILE(C$74:C124,1)),C124,QUARTILE(C$74:C124,3)+1.5*(QUARTILE(C$74:C124,3)-QUARTILE(C$74:C124,1)))))</f>
        <v>-0.217590215581584</v>
      </c>
      <c r="L124" s="10" t="n">
        <f aca="false">IF(D124="","",IF(COUNT(D$74:D124)&lt;60,D124,MEDIAN(QUARTILE(D$74:D124,1)-1.5*(QUARTILE(D$74:D124,3)-QUARTILE(D$74:D124,1)),D124,QUARTILE(D$74:D124,3)+1.5*(QUARTILE(D$74:D124,3)-QUARTILE(D$74:D124,1)))))</f>
        <v>-0.104365944602797</v>
      </c>
      <c r="M124" s="10" t="n">
        <f aca="false">IF(E124="","",IF(COUNT(E$74:E124)&lt;60,E124,MEDIAN(QUARTILE(E$74:E124,1)-1.5*(QUARTILE(E$74:E124,3)-QUARTILE(E$74:E124,1)),E124,QUARTILE(E$74:E124,3)+1.5*(QUARTILE(E$74:E124,3)-QUARTILE(E$74:E124,1)))))</f>
        <v>2.14748794221575</v>
      </c>
      <c r="N124" s="10" t="n">
        <f aca="false">IF(F124="","",IF(COUNT(F$74:F124)&lt;60,F124,MEDIAN(QUARTILE(F$74:F124,1)-1.5*(QUARTILE(F$74:F124,3)-QUARTILE(F$74:F124,1)),F124,QUARTILE(F$74:F124,3)+1.5*(QUARTILE(F$74:F124,3)-QUARTILE(F$74:F124,1)))))</f>
        <v>0.675382847637304</v>
      </c>
      <c r="O124" s="10" t="n">
        <f aca="false">IF(G124="","",IF(COUNT(G$74:G124)&lt;60,G124,MEDIAN(QUARTILE(G$74:G124,1)-1.5*(QUARTILE(G$74:G124,3)-QUARTILE(G$74:G124,1)),G124,QUARTILE(G$74:G124,3)+1.5*(QUARTILE(G$74:G124,3)-QUARTILE(G$74:G124,1)))))</f>
        <v>2.18198444356141</v>
      </c>
      <c r="P124" s="10" t="n">
        <f aca="false">IF(H124="","",IF(COUNT(H$74:H124)&lt;60,H124,MEDIAN(QUARTILE(H$74:H124,1)-1.5*(QUARTILE(H$74:H124,3)-QUARTILE(H$74:H124,1)),H124,QUARTILE(H$74:H124,3)+1.5*(QUARTILE(H$74:H124,3)-QUARTILE(H$74:H124,1)))))</f>
        <v>0.742978564873604</v>
      </c>
      <c r="Q124" s="10" t="n">
        <f aca="false">IF(I124="","",IF(COUNT(I$74:I124)&lt;60,I124,MEDIAN(QUARTILE(I$74:I124,1)-1.5*(QUARTILE(I$74:I124,3)-QUARTILE(I$74:I124,1)),I124,QUARTILE(I$74:I124,3)+1.5*(QUARTILE(I$74:I124,3)-QUARTILE(I$74:I124,1)))))</f>
        <v>-0.988799619806845</v>
      </c>
      <c r="R124" s="10" t="n">
        <f aca="false">IF(J124="","",MEDIAN(J124:Q124))</f>
        <v>0.285508451517253</v>
      </c>
      <c r="S124" s="10" t="n">
        <f aca="false">IF(R124="","",ABS(R124))</f>
        <v>0.285508451517253</v>
      </c>
      <c r="T124" s="10" t="str">
        <f aca="false">IF(COUNT(S$74:S123)&lt;60,"",MEDIAN(S$74:S123))</f>
        <v/>
      </c>
      <c r="U124" s="10" t="n">
        <f aca="false">IF(R124="","",IF(T124="",0,IF(S124&gt;=T124,R124,0)))</f>
        <v>0</v>
      </c>
      <c r="V124" s="10" t="n">
        <f aca="false">IF(U124="","",MEDIAN(-1,U124,1))</f>
        <v>0</v>
      </c>
      <c r="W124" s="10" t="n">
        <f aca="false">IF(J124="","",AVERAGE(J124:Q124))</f>
        <v>0.418615321323345</v>
      </c>
    </row>
    <row r="125" customFormat="false" ht="15" hidden="false" customHeight="false" outlineLevel="0" collapsed="false">
      <c r="A125" s="8" t="n">
        <f aca="false">Base!A125</f>
        <v>41759</v>
      </c>
      <c r="B125" s="10" t="n">
        <f aca="false">IF(COUNT(Transf!B$39:B125)&lt;36,"",(Transf!B125-AVERAGE(Transf!B$39:B125))/STDEV(Transf!B$39:B125))</f>
        <v>-0.83528630917657</v>
      </c>
      <c r="C125" s="10" t="n">
        <f aca="false">IF(COUNT(Transf!C$39:C125)&lt;36,"",(Transf!C125-AVERAGE(Transf!C$39:C125))/STDEV(Transf!C$39:C125))</f>
        <v>-0.429393494103927</v>
      </c>
      <c r="D125" s="10" t="n">
        <f aca="false">IF(COUNT(Transf!D$39:D125)&lt;36,"",(Transf!D125-AVERAGE(Transf!D$39:D125))/STDEV(Transf!D$39:D125))</f>
        <v>-0.23091696222699</v>
      </c>
      <c r="E125" s="10" t="n">
        <f aca="false">IF(COUNT(Transf!E$39:E125)&lt;36,"",(Transf!E125-AVERAGE(Transf!E$39:E125))/STDEV(Transf!E$39:E125))</f>
        <v>2.58686928662229</v>
      </c>
      <c r="F125" s="10" t="n">
        <f aca="false">IF(COUNT(Transf!F$39:F125)&lt;36,"",(Transf!F125-AVERAGE(Transf!F$39:F125))/STDEV(Transf!F$39:F125))</f>
        <v>0.370576350836386</v>
      </c>
      <c r="G125" s="10" t="n">
        <f aca="false">IF(COUNT(Transf!G$39:G125)&lt;36,"",(Transf!G125-AVERAGE(Transf!G$39:G125))/STDEV(Transf!G$39:G125))</f>
        <v>1.83910783831588</v>
      </c>
      <c r="H125" s="10" t="n">
        <f aca="false">IF(COUNT(Transf!H$39:H125)&lt;36,"",(Transf!H125-AVERAGE(Transf!H$39:H125))/STDEV(Transf!H$39:H125))</f>
        <v>0.539014100810715</v>
      </c>
      <c r="I125" s="10" t="n">
        <f aca="false">IF(COUNT(Transf!I$39:I125)&lt;36,"",(Transf!I125-AVERAGE(Transf!I$39:I125))/STDEV(Transf!I$39:I125))</f>
        <v>-0.783006307801435</v>
      </c>
      <c r="J125" s="10" t="n">
        <f aca="false">IF(B125="","",IF(COUNT(B$74:B125)&lt;60,B125,MEDIAN(QUARTILE(B$74:B125,1)-1.5*(QUARTILE(B$74:B125,3)-QUARTILE(B$74:B125,1)),B125,QUARTILE(B$74:B125,3)+1.5*(QUARTILE(B$74:B125,3)-QUARTILE(B$74:B125,1)))))</f>
        <v>-0.83528630917657</v>
      </c>
      <c r="K125" s="10" t="n">
        <f aca="false">IF(C125="","",IF(COUNT(C$74:C125)&lt;60,C125,MEDIAN(QUARTILE(C$74:C125,1)-1.5*(QUARTILE(C$74:C125,3)-QUARTILE(C$74:C125,1)),C125,QUARTILE(C$74:C125,3)+1.5*(QUARTILE(C$74:C125,3)-QUARTILE(C$74:C125,1)))))</f>
        <v>-0.429393494103927</v>
      </c>
      <c r="L125" s="10" t="n">
        <f aca="false">IF(D125="","",IF(COUNT(D$74:D125)&lt;60,D125,MEDIAN(QUARTILE(D$74:D125,1)-1.5*(QUARTILE(D$74:D125,3)-QUARTILE(D$74:D125,1)),D125,QUARTILE(D$74:D125,3)+1.5*(QUARTILE(D$74:D125,3)-QUARTILE(D$74:D125,1)))))</f>
        <v>-0.23091696222699</v>
      </c>
      <c r="M125" s="10" t="n">
        <f aca="false">IF(E125="","",IF(COUNT(E$74:E125)&lt;60,E125,MEDIAN(QUARTILE(E$74:E125,1)-1.5*(QUARTILE(E$74:E125,3)-QUARTILE(E$74:E125,1)),E125,QUARTILE(E$74:E125,3)+1.5*(QUARTILE(E$74:E125,3)-QUARTILE(E$74:E125,1)))))</f>
        <v>2.58686928662229</v>
      </c>
      <c r="N125" s="10" t="n">
        <f aca="false">IF(F125="","",IF(COUNT(F$74:F125)&lt;60,F125,MEDIAN(QUARTILE(F$74:F125,1)-1.5*(QUARTILE(F$74:F125,3)-QUARTILE(F$74:F125,1)),F125,QUARTILE(F$74:F125,3)+1.5*(QUARTILE(F$74:F125,3)-QUARTILE(F$74:F125,1)))))</f>
        <v>0.370576350836386</v>
      </c>
      <c r="O125" s="10" t="n">
        <f aca="false">IF(G125="","",IF(COUNT(G$74:G125)&lt;60,G125,MEDIAN(QUARTILE(G$74:G125,1)-1.5*(QUARTILE(G$74:G125,3)-QUARTILE(G$74:G125,1)),G125,QUARTILE(G$74:G125,3)+1.5*(QUARTILE(G$74:G125,3)-QUARTILE(G$74:G125,1)))))</f>
        <v>1.83910783831588</v>
      </c>
      <c r="P125" s="10" t="n">
        <f aca="false">IF(H125="","",IF(COUNT(H$74:H125)&lt;60,H125,MEDIAN(QUARTILE(H$74:H125,1)-1.5*(QUARTILE(H$74:H125,3)-QUARTILE(H$74:H125,1)),H125,QUARTILE(H$74:H125,3)+1.5*(QUARTILE(H$74:H125,3)-QUARTILE(H$74:H125,1)))))</f>
        <v>0.539014100810715</v>
      </c>
      <c r="Q125" s="10" t="n">
        <f aca="false">IF(I125="","",IF(COUNT(I$74:I125)&lt;60,I125,MEDIAN(QUARTILE(I$74:I125,1)-1.5*(QUARTILE(I$74:I125,3)-QUARTILE(I$74:I125,1)),I125,QUARTILE(I$74:I125,3)+1.5*(QUARTILE(I$74:I125,3)-QUARTILE(I$74:I125,1)))))</f>
        <v>-0.783006307801435</v>
      </c>
      <c r="R125" s="10" t="n">
        <f aca="false">IF(J125="","",MEDIAN(J125:Q125))</f>
        <v>0.0698296943046982</v>
      </c>
      <c r="S125" s="10" t="n">
        <f aca="false">IF(R125="","",ABS(R125))</f>
        <v>0.0698296943046982</v>
      </c>
      <c r="T125" s="10" t="str">
        <f aca="false">IF(COUNT(S$74:S124)&lt;60,"",MEDIAN(S$74:S124))</f>
        <v/>
      </c>
      <c r="U125" s="10" t="n">
        <f aca="false">IF(R125="","",IF(T125="",0,IF(S125&gt;=T125,R125,0)))</f>
        <v>0</v>
      </c>
      <c r="V125" s="10" t="n">
        <f aca="false">IF(U125="","",MEDIAN(-1,U125,1))</f>
        <v>0</v>
      </c>
      <c r="W125" s="10" t="n">
        <f aca="false">IF(J125="","",AVERAGE(J125:Q125))</f>
        <v>0.382120562909543</v>
      </c>
    </row>
    <row r="126" customFormat="false" ht="15" hidden="false" customHeight="false" outlineLevel="0" collapsed="false">
      <c r="A126" s="8" t="n">
        <f aca="false">Base!A126</f>
        <v>41790</v>
      </c>
      <c r="B126" s="10" t="n">
        <f aca="false">IF(COUNT(Transf!B$39:B126)&lt;36,"",(Transf!B126-AVERAGE(Transf!B$39:B126))/STDEV(Transf!B$39:B126))</f>
        <v>-0.986492042310185</v>
      </c>
      <c r="C126" s="10" t="n">
        <f aca="false">IF(COUNT(Transf!C$39:C126)&lt;36,"",(Transf!C126-AVERAGE(Transf!C$39:C126))/STDEV(Transf!C$39:C126))</f>
        <v>-0.558548144567658</v>
      </c>
      <c r="D126" s="10" t="n">
        <f aca="false">IF(COUNT(Transf!D$39:D126)&lt;36,"",(Transf!D126-AVERAGE(Transf!D$39:D126))/STDEV(Transf!D$39:D126))</f>
        <v>-0.503945516712072</v>
      </c>
      <c r="E126" s="10" t="n">
        <f aca="false">IF(COUNT(Transf!E$39:E126)&lt;36,"",(Transf!E126-AVERAGE(Transf!E$39:E126))/STDEV(Transf!E$39:E126))</f>
        <v>2.66072984371115</v>
      </c>
      <c r="F126" s="10" t="n">
        <f aca="false">IF(COUNT(Transf!F$39:F126)&lt;36,"",(Transf!F126-AVERAGE(Transf!F$39:F126))/STDEV(Transf!F$39:F126))</f>
        <v>0.129443705794305</v>
      </c>
      <c r="G126" s="10" t="n">
        <f aca="false">IF(COUNT(Transf!G$39:G126)&lt;36,"",(Transf!G126-AVERAGE(Transf!G$39:G126))/STDEV(Transf!G$39:G126))</f>
        <v>1.78987367575992</v>
      </c>
      <c r="H126" s="10" t="n">
        <f aca="false">IF(COUNT(Transf!H$39:H126)&lt;36,"",(Transf!H126-AVERAGE(Transf!H$39:H126))/STDEV(Transf!H$39:H126))</f>
        <v>0.377771973740648</v>
      </c>
      <c r="I126" s="10" t="n">
        <f aca="false">IF(COUNT(Transf!I$39:I126)&lt;36,"",(Transf!I126-AVERAGE(Transf!I$39:I126))/STDEV(Transf!I$39:I126))</f>
        <v>-0.657669003156911</v>
      </c>
      <c r="J126" s="10" t="n">
        <f aca="false">IF(B126="","",IF(COUNT(B$74:B126)&lt;60,B126,MEDIAN(QUARTILE(B$74:B126,1)-1.5*(QUARTILE(B$74:B126,3)-QUARTILE(B$74:B126,1)),B126,QUARTILE(B$74:B126,3)+1.5*(QUARTILE(B$74:B126,3)-QUARTILE(B$74:B126,1)))))</f>
        <v>-0.986492042310185</v>
      </c>
      <c r="K126" s="10" t="n">
        <f aca="false">IF(C126="","",IF(COUNT(C$74:C126)&lt;60,C126,MEDIAN(QUARTILE(C$74:C126,1)-1.5*(QUARTILE(C$74:C126,3)-QUARTILE(C$74:C126,1)),C126,QUARTILE(C$74:C126,3)+1.5*(QUARTILE(C$74:C126,3)-QUARTILE(C$74:C126,1)))))</f>
        <v>-0.558548144567658</v>
      </c>
      <c r="L126" s="10" t="n">
        <f aca="false">IF(D126="","",IF(COUNT(D$74:D126)&lt;60,D126,MEDIAN(QUARTILE(D$74:D126,1)-1.5*(QUARTILE(D$74:D126,3)-QUARTILE(D$74:D126,1)),D126,QUARTILE(D$74:D126,3)+1.5*(QUARTILE(D$74:D126,3)-QUARTILE(D$74:D126,1)))))</f>
        <v>-0.503945516712072</v>
      </c>
      <c r="M126" s="10" t="n">
        <f aca="false">IF(E126="","",IF(COUNT(E$74:E126)&lt;60,E126,MEDIAN(QUARTILE(E$74:E126,1)-1.5*(QUARTILE(E$74:E126,3)-QUARTILE(E$74:E126,1)),E126,QUARTILE(E$74:E126,3)+1.5*(QUARTILE(E$74:E126,3)-QUARTILE(E$74:E126,1)))))</f>
        <v>2.66072984371115</v>
      </c>
      <c r="N126" s="10" t="n">
        <f aca="false">IF(F126="","",IF(COUNT(F$74:F126)&lt;60,F126,MEDIAN(QUARTILE(F$74:F126,1)-1.5*(QUARTILE(F$74:F126,3)-QUARTILE(F$74:F126,1)),F126,QUARTILE(F$74:F126,3)+1.5*(QUARTILE(F$74:F126,3)-QUARTILE(F$74:F126,1)))))</f>
        <v>0.129443705794305</v>
      </c>
      <c r="O126" s="10" t="n">
        <f aca="false">IF(G126="","",IF(COUNT(G$74:G126)&lt;60,G126,MEDIAN(QUARTILE(G$74:G126,1)-1.5*(QUARTILE(G$74:G126,3)-QUARTILE(G$74:G126,1)),G126,QUARTILE(G$74:G126,3)+1.5*(QUARTILE(G$74:G126,3)-QUARTILE(G$74:G126,1)))))</f>
        <v>1.78987367575992</v>
      </c>
      <c r="P126" s="10" t="n">
        <f aca="false">IF(H126="","",IF(COUNT(H$74:H126)&lt;60,H126,MEDIAN(QUARTILE(H$74:H126,1)-1.5*(QUARTILE(H$74:H126,3)-QUARTILE(H$74:H126,1)),H126,QUARTILE(H$74:H126,3)+1.5*(QUARTILE(H$74:H126,3)-QUARTILE(H$74:H126,1)))))</f>
        <v>0.377771973740648</v>
      </c>
      <c r="Q126" s="10" t="n">
        <f aca="false">IF(I126="","",IF(COUNT(I$74:I126)&lt;60,I126,MEDIAN(QUARTILE(I$74:I126,1)-1.5*(QUARTILE(I$74:I126,3)-QUARTILE(I$74:I126,1)),I126,QUARTILE(I$74:I126,3)+1.5*(QUARTILE(I$74:I126,3)-QUARTILE(I$74:I126,1)))))</f>
        <v>-0.657669003156911</v>
      </c>
      <c r="R126" s="10" t="n">
        <f aca="false">IF(J126="","",MEDIAN(J126:Q126))</f>
        <v>-0.187250905458883</v>
      </c>
      <c r="S126" s="10" t="n">
        <f aca="false">IF(R126="","",ABS(R126))</f>
        <v>0.187250905458883</v>
      </c>
      <c r="T126" s="10" t="str">
        <f aca="false">IF(COUNT(S$74:S125)&lt;60,"",MEDIAN(S$74:S125))</f>
        <v/>
      </c>
      <c r="U126" s="10" t="n">
        <f aca="false">IF(R126="","",IF(T126="",0,IF(S126&gt;=T126,R126,0)))</f>
        <v>0</v>
      </c>
      <c r="V126" s="10" t="n">
        <f aca="false">IF(U126="","",MEDIAN(-1,U126,1))</f>
        <v>0</v>
      </c>
      <c r="W126" s="10" t="n">
        <f aca="false">IF(J126="","",AVERAGE(J126:Q126))</f>
        <v>0.2813955615324</v>
      </c>
    </row>
    <row r="127" customFormat="false" ht="15" hidden="false" customHeight="false" outlineLevel="0" collapsed="false">
      <c r="A127" s="8" t="n">
        <f aca="false">Base!A127</f>
        <v>41820</v>
      </c>
      <c r="B127" s="10" t="n">
        <f aca="false">IF(COUNT(Transf!B$39:B127)&lt;36,"",(Transf!B127-AVERAGE(Transf!B$39:B127))/STDEV(Transf!B$39:B127))</f>
        <v>-0.705166893734551</v>
      </c>
      <c r="C127" s="10" t="n">
        <f aca="false">IF(COUNT(Transf!C$39:C127)&lt;36,"",(Transf!C127-AVERAGE(Transf!C$39:C127))/STDEV(Transf!C$39:C127))</f>
        <v>-0.482205344633414</v>
      </c>
      <c r="D127" s="10" t="n">
        <f aca="false">IF(COUNT(Transf!D$39:D127)&lt;36,"",(Transf!D127-AVERAGE(Transf!D$39:D127))/STDEV(Transf!D$39:D127))</f>
        <v>-0.358424338356325</v>
      </c>
      <c r="E127" s="10" t="n">
        <f aca="false">IF(COUNT(Transf!E$39:E127)&lt;36,"",(Transf!E127-AVERAGE(Transf!E$39:E127))/STDEV(Transf!E$39:E127))</f>
        <v>2.57633092486775</v>
      </c>
      <c r="F127" s="10" t="n">
        <f aca="false">IF(COUNT(Transf!F$39:F127)&lt;36,"",(Transf!F127-AVERAGE(Transf!F$39:F127))/STDEV(Transf!F$39:F127))</f>
        <v>0.0240156759726186</v>
      </c>
      <c r="G127" s="10" t="n">
        <f aca="false">IF(COUNT(Transf!G$39:G127)&lt;36,"",(Transf!G127-AVERAGE(Transf!G$39:G127))/STDEV(Transf!G$39:G127))</f>
        <v>1.75871975341715</v>
      </c>
      <c r="H127" s="10" t="n">
        <f aca="false">IF(COUNT(Transf!H$39:H127)&lt;36,"",(Transf!H127-AVERAGE(Transf!H$39:H127))/STDEV(Transf!H$39:H127))</f>
        <v>0.253115763743163</v>
      </c>
      <c r="I127" s="10" t="n">
        <f aca="false">IF(COUNT(Transf!I$39:I127)&lt;36,"",(Transf!I127-AVERAGE(Transf!I$39:I127))/STDEV(Transf!I$39:I127))</f>
        <v>-0.426660839610518</v>
      </c>
      <c r="J127" s="10" t="n">
        <f aca="false">IF(B127="","",IF(COUNT(B$74:B127)&lt;60,B127,MEDIAN(QUARTILE(B$74:B127,1)-1.5*(QUARTILE(B$74:B127,3)-QUARTILE(B$74:B127,1)),B127,QUARTILE(B$74:B127,3)+1.5*(QUARTILE(B$74:B127,3)-QUARTILE(B$74:B127,1)))))</f>
        <v>-0.705166893734551</v>
      </c>
      <c r="K127" s="10" t="n">
        <f aca="false">IF(C127="","",IF(COUNT(C$74:C127)&lt;60,C127,MEDIAN(QUARTILE(C$74:C127,1)-1.5*(QUARTILE(C$74:C127,3)-QUARTILE(C$74:C127,1)),C127,QUARTILE(C$74:C127,3)+1.5*(QUARTILE(C$74:C127,3)-QUARTILE(C$74:C127,1)))))</f>
        <v>-0.482205344633414</v>
      </c>
      <c r="L127" s="10" t="n">
        <f aca="false">IF(D127="","",IF(COUNT(D$74:D127)&lt;60,D127,MEDIAN(QUARTILE(D$74:D127,1)-1.5*(QUARTILE(D$74:D127,3)-QUARTILE(D$74:D127,1)),D127,QUARTILE(D$74:D127,3)+1.5*(QUARTILE(D$74:D127,3)-QUARTILE(D$74:D127,1)))))</f>
        <v>-0.358424338356325</v>
      </c>
      <c r="M127" s="10" t="n">
        <f aca="false">IF(E127="","",IF(COUNT(E$74:E127)&lt;60,E127,MEDIAN(QUARTILE(E$74:E127,1)-1.5*(QUARTILE(E$74:E127,3)-QUARTILE(E$74:E127,1)),E127,QUARTILE(E$74:E127,3)+1.5*(QUARTILE(E$74:E127,3)-QUARTILE(E$74:E127,1)))))</f>
        <v>2.57633092486775</v>
      </c>
      <c r="N127" s="10" t="n">
        <f aca="false">IF(F127="","",IF(COUNT(F$74:F127)&lt;60,F127,MEDIAN(QUARTILE(F$74:F127,1)-1.5*(QUARTILE(F$74:F127,3)-QUARTILE(F$74:F127,1)),F127,QUARTILE(F$74:F127,3)+1.5*(QUARTILE(F$74:F127,3)-QUARTILE(F$74:F127,1)))))</f>
        <v>0.0240156759726186</v>
      </c>
      <c r="O127" s="10" t="n">
        <f aca="false">IF(G127="","",IF(COUNT(G$74:G127)&lt;60,G127,MEDIAN(QUARTILE(G$74:G127,1)-1.5*(QUARTILE(G$74:G127,3)-QUARTILE(G$74:G127,1)),G127,QUARTILE(G$74:G127,3)+1.5*(QUARTILE(G$74:G127,3)-QUARTILE(G$74:G127,1)))))</f>
        <v>1.75871975341715</v>
      </c>
      <c r="P127" s="10" t="n">
        <f aca="false">IF(H127="","",IF(COUNT(H$74:H127)&lt;60,H127,MEDIAN(QUARTILE(H$74:H127,1)-1.5*(QUARTILE(H$74:H127,3)-QUARTILE(H$74:H127,1)),H127,QUARTILE(H$74:H127,3)+1.5*(QUARTILE(H$74:H127,3)-QUARTILE(H$74:H127,1)))))</f>
        <v>0.253115763743163</v>
      </c>
      <c r="Q127" s="10" t="n">
        <f aca="false">IF(I127="","",IF(COUNT(I$74:I127)&lt;60,I127,MEDIAN(QUARTILE(I$74:I127,1)-1.5*(QUARTILE(I$74:I127,3)-QUARTILE(I$74:I127,1)),I127,QUARTILE(I$74:I127,3)+1.5*(QUARTILE(I$74:I127,3)-QUARTILE(I$74:I127,1)))))</f>
        <v>-0.426660839610518</v>
      </c>
      <c r="R127" s="10" t="n">
        <f aca="false">IF(J127="","",MEDIAN(J127:Q127))</f>
        <v>-0.167204331191853</v>
      </c>
      <c r="S127" s="10" t="n">
        <f aca="false">IF(R127="","",ABS(R127))</f>
        <v>0.167204331191853</v>
      </c>
      <c r="T127" s="10" t="str">
        <f aca="false">IF(COUNT(S$74:S126)&lt;60,"",MEDIAN(S$74:S126))</f>
        <v/>
      </c>
      <c r="U127" s="10" t="n">
        <f aca="false">IF(R127="","",IF(T127="",0,IF(S127&gt;=T127,R127,0)))</f>
        <v>0</v>
      </c>
      <c r="V127" s="10" t="n">
        <f aca="false">IF(U127="","",MEDIAN(-1,U127,1))</f>
        <v>0</v>
      </c>
      <c r="W127" s="10" t="n">
        <f aca="false">IF(J127="","",AVERAGE(J127:Q127))</f>
        <v>0.329965587708235</v>
      </c>
    </row>
    <row r="128" customFormat="false" ht="15" hidden="false" customHeight="false" outlineLevel="0" collapsed="false">
      <c r="A128" s="8" t="n">
        <f aca="false">Base!A128</f>
        <v>41851</v>
      </c>
      <c r="B128" s="10" t="n">
        <f aca="false">IF(COUNT(Transf!B$39:B128)&lt;36,"",(Transf!B128-AVERAGE(Transf!B$39:B128))/STDEV(Transf!B$39:B128))</f>
        <v>-0.730667509101496</v>
      </c>
      <c r="C128" s="10" t="n">
        <f aca="false">IF(COUNT(Transf!C$39:C128)&lt;36,"",(Transf!C128-AVERAGE(Transf!C$39:C128))/STDEV(Transf!C$39:C128))</f>
        <v>-0.576750711915198</v>
      </c>
      <c r="D128" s="10" t="n">
        <f aca="false">IF(COUNT(Transf!D$39:D128)&lt;36,"",(Transf!D128-AVERAGE(Transf!D$39:D128))/STDEV(Transf!D$39:D128))</f>
        <v>-0.410929764588475</v>
      </c>
      <c r="E128" s="10" t="n">
        <f aca="false">IF(COUNT(Transf!E$39:E128)&lt;36,"",(Transf!E128-AVERAGE(Transf!E$39:E128))/STDEV(Transf!E$39:E128))</f>
        <v>2.43813415390732</v>
      </c>
      <c r="F128" s="10" t="n">
        <f aca="false">IF(COUNT(Transf!F$39:F128)&lt;36,"",(Transf!F128-AVERAGE(Transf!F$39:F128))/STDEV(Transf!F$39:F128))</f>
        <v>-0.008002709251757</v>
      </c>
      <c r="G128" s="10" t="n">
        <f aca="false">IF(COUNT(Transf!G$39:G128)&lt;36,"",(Transf!G128-AVERAGE(Transf!G$39:G128))/STDEV(Transf!G$39:G128))</f>
        <v>1.75851761189293</v>
      </c>
      <c r="H128" s="10" t="n">
        <f aca="false">IF(COUNT(Transf!H$39:H128)&lt;36,"",(Transf!H128-AVERAGE(Transf!H$39:H128))/STDEV(Transf!H$39:H128))</f>
        <v>0.272892481730074</v>
      </c>
      <c r="I128" s="10" t="n">
        <f aca="false">IF(COUNT(Transf!I$39:I128)&lt;36,"",(Transf!I128-AVERAGE(Transf!I$39:I128))/STDEV(Transf!I$39:I128))</f>
        <v>-0.437479985702567</v>
      </c>
      <c r="J128" s="10" t="n">
        <f aca="false">IF(B128="","",IF(COUNT(B$74:B128)&lt;60,B128,MEDIAN(QUARTILE(B$74:B128,1)-1.5*(QUARTILE(B$74:B128,3)-QUARTILE(B$74:B128,1)),B128,QUARTILE(B$74:B128,3)+1.5*(QUARTILE(B$74:B128,3)-QUARTILE(B$74:B128,1)))))</f>
        <v>-0.730667509101496</v>
      </c>
      <c r="K128" s="10" t="n">
        <f aca="false">IF(C128="","",IF(COUNT(C$74:C128)&lt;60,C128,MEDIAN(QUARTILE(C$74:C128,1)-1.5*(QUARTILE(C$74:C128,3)-QUARTILE(C$74:C128,1)),C128,QUARTILE(C$74:C128,3)+1.5*(QUARTILE(C$74:C128,3)-QUARTILE(C$74:C128,1)))))</f>
        <v>-0.576750711915198</v>
      </c>
      <c r="L128" s="10" t="n">
        <f aca="false">IF(D128="","",IF(COUNT(D$74:D128)&lt;60,D128,MEDIAN(QUARTILE(D$74:D128,1)-1.5*(QUARTILE(D$74:D128,3)-QUARTILE(D$74:D128,1)),D128,QUARTILE(D$74:D128,3)+1.5*(QUARTILE(D$74:D128,3)-QUARTILE(D$74:D128,1)))))</f>
        <v>-0.410929764588475</v>
      </c>
      <c r="M128" s="10" t="n">
        <f aca="false">IF(E128="","",IF(COUNT(E$74:E128)&lt;60,E128,MEDIAN(QUARTILE(E$74:E128,1)-1.5*(QUARTILE(E$74:E128,3)-QUARTILE(E$74:E128,1)),E128,QUARTILE(E$74:E128,3)+1.5*(QUARTILE(E$74:E128,3)-QUARTILE(E$74:E128,1)))))</f>
        <v>2.43813415390732</v>
      </c>
      <c r="N128" s="10" t="n">
        <f aca="false">IF(F128="","",IF(COUNT(F$74:F128)&lt;60,F128,MEDIAN(QUARTILE(F$74:F128,1)-1.5*(QUARTILE(F$74:F128,3)-QUARTILE(F$74:F128,1)),F128,QUARTILE(F$74:F128,3)+1.5*(QUARTILE(F$74:F128,3)-QUARTILE(F$74:F128,1)))))</f>
        <v>-0.008002709251757</v>
      </c>
      <c r="O128" s="10" t="n">
        <f aca="false">IF(G128="","",IF(COUNT(G$74:G128)&lt;60,G128,MEDIAN(QUARTILE(G$74:G128,1)-1.5*(QUARTILE(G$74:G128,3)-QUARTILE(G$74:G128,1)),G128,QUARTILE(G$74:G128,3)+1.5*(QUARTILE(G$74:G128,3)-QUARTILE(G$74:G128,1)))))</f>
        <v>1.75851761189293</v>
      </c>
      <c r="P128" s="10" t="n">
        <f aca="false">IF(H128="","",IF(COUNT(H$74:H128)&lt;60,H128,MEDIAN(QUARTILE(H$74:H128,1)-1.5*(QUARTILE(H$74:H128,3)-QUARTILE(H$74:H128,1)),H128,QUARTILE(H$74:H128,3)+1.5*(QUARTILE(H$74:H128,3)-QUARTILE(H$74:H128,1)))))</f>
        <v>0.272892481730074</v>
      </c>
      <c r="Q128" s="10" t="n">
        <f aca="false">IF(I128="","",IF(COUNT(I$74:I128)&lt;60,I128,MEDIAN(QUARTILE(I$74:I128,1)-1.5*(QUARTILE(I$74:I128,3)-QUARTILE(I$74:I128,1)),I128,QUARTILE(I$74:I128,3)+1.5*(QUARTILE(I$74:I128,3)-QUARTILE(I$74:I128,1)))))</f>
        <v>-0.437479985702567</v>
      </c>
      <c r="R128" s="10" t="n">
        <f aca="false">IF(J128="","",MEDIAN(J128:Q128))</f>
        <v>-0.209466236920116</v>
      </c>
      <c r="S128" s="10" t="n">
        <f aca="false">IF(R128="","",ABS(R128))</f>
        <v>0.209466236920116</v>
      </c>
      <c r="T128" s="10" t="str">
        <f aca="false">IF(COUNT(S$74:S127)&lt;60,"",MEDIAN(S$74:S127))</f>
        <v/>
      </c>
      <c r="U128" s="10" t="n">
        <f aca="false">IF(R128="","",IF(T128="",0,IF(S128&gt;=T128,R128,0)))</f>
        <v>0</v>
      </c>
      <c r="V128" s="10" t="n">
        <f aca="false">IF(U128="","",MEDIAN(-1,U128,1))</f>
        <v>0</v>
      </c>
      <c r="W128" s="10" t="n">
        <f aca="false">IF(J128="","",AVERAGE(J128:Q128))</f>
        <v>0.288214195871354</v>
      </c>
    </row>
    <row r="129" customFormat="false" ht="15" hidden="false" customHeight="false" outlineLevel="0" collapsed="false">
      <c r="A129" s="8" t="n">
        <f aca="false">Base!A129</f>
        <v>41882</v>
      </c>
      <c r="B129" s="10" t="n">
        <f aca="false">IF(COUNT(Transf!B$39:B129)&lt;36,"",(Transf!B129-AVERAGE(Transf!B$39:B129))/STDEV(Transf!B$39:B129))</f>
        <v>-0.670671144857655</v>
      </c>
      <c r="C129" s="10" t="n">
        <f aca="false">IF(COUNT(Transf!C$39:C129)&lt;36,"",(Transf!C129-AVERAGE(Transf!C$39:C129))/STDEV(Transf!C$39:C129))</f>
        <v>-0.799765028972095</v>
      </c>
      <c r="D129" s="10" t="n">
        <f aca="false">IF(COUNT(Transf!D$39:D129)&lt;36,"",(Transf!D129-AVERAGE(Transf!D$39:D129))/STDEV(Transf!D$39:D129))</f>
        <v>-0.5788096731124</v>
      </c>
      <c r="E129" s="10" t="n">
        <f aca="false">IF(COUNT(Transf!E$39:E129)&lt;36,"",(Transf!E129-AVERAGE(Transf!E$39:E129))/STDEV(Transf!E$39:E129))</f>
        <v>2.3244933940284</v>
      </c>
      <c r="F129" s="10" t="n">
        <f aca="false">IF(COUNT(Transf!F$39:F129)&lt;36,"",(Transf!F129-AVERAGE(Transf!F$39:F129))/STDEV(Transf!F$39:F129))</f>
        <v>-0.0161855135712414</v>
      </c>
      <c r="G129" s="10" t="n">
        <f aca="false">IF(COUNT(Transf!G$39:G129)&lt;36,"",(Transf!G129-AVERAGE(Transf!G$39:G129))/STDEV(Transf!G$39:G129))</f>
        <v>1.72245372752068</v>
      </c>
      <c r="H129" s="10" t="n">
        <f aca="false">IF(COUNT(Transf!H$39:H129)&lt;36,"",(Transf!H129-AVERAGE(Transf!H$39:H129))/STDEV(Transf!H$39:H129))</f>
        <v>0.261409063963798</v>
      </c>
      <c r="I129" s="10" t="n">
        <f aca="false">IF(COUNT(Transf!I$39:I129)&lt;36,"",(Transf!I129-AVERAGE(Transf!I$39:I129))/STDEV(Transf!I$39:I129))</f>
        <v>-0.358349102136183</v>
      </c>
      <c r="J129" s="10" t="n">
        <f aca="false">IF(B129="","",IF(COUNT(B$74:B129)&lt;60,B129,MEDIAN(QUARTILE(B$74:B129,1)-1.5*(QUARTILE(B$74:B129,3)-QUARTILE(B$74:B129,1)),B129,QUARTILE(B$74:B129,3)+1.5*(QUARTILE(B$74:B129,3)-QUARTILE(B$74:B129,1)))))</f>
        <v>-0.670671144857655</v>
      </c>
      <c r="K129" s="10" t="n">
        <f aca="false">IF(C129="","",IF(COUNT(C$74:C129)&lt;60,C129,MEDIAN(QUARTILE(C$74:C129,1)-1.5*(QUARTILE(C$74:C129,3)-QUARTILE(C$74:C129,1)),C129,QUARTILE(C$74:C129,3)+1.5*(QUARTILE(C$74:C129,3)-QUARTILE(C$74:C129,1)))))</f>
        <v>-0.799765028972095</v>
      </c>
      <c r="L129" s="10" t="n">
        <f aca="false">IF(D129="","",IF(COUNT(D$74:D129)&lt;60,D129,MEDIAN(QUARTILE(D$74:D129,1)-1.5*(QUARTILE(D$74:D129,3)-QUARTILE(D$74:D129,1)),D129,QUARTILE(D$74:D129,3)+1.5*(QUARTILE(D$74:D129,3)-QUARTILE(D$74:D129,1)))))</f>
        <v>-0.5788096731124</v>
      </c>
      <c r="M129" s="10" t="n">
        <f aca="false">IF(E129="","",IF(COUNT(E$74:E129)&lt;60,E129,MEDIAN(QUARTILE(E$74:E129,1)-1.5*(QUARTILE(E$74:E129,3)-QUARTILE(E$74:E129,1)),E129,QUARTILE(E$74:E129,3)+1.5*(QUARTILE(E$74:E129,3)-QUARTILE(E$74:E129,1)))))</f>
        <v>2.3244933940284</v>
      </c>
      <c r="N129" s="10" t="n">
        <f aca="false">IF(F129="","",IF(COUNT(F$74:F129)&lt;60,F129,MEDIAN(QUARTILE(F$74:F129,1)-1.5*(QUARTILE(F$74:F129,3)-QUARTILE(F$74:F129,1)),F129,QUARTILE(F$74:F129,3)+1.5*(QUARTILE(F$74:F129,3)-QUARTILE(F$74:F129,1)))))</f>
        <v>-0.0161855135712414</v>
      </c>
      <c r="O129" s="10" t="n">
        <f aca="false">IF(G129="","",IF(COUNT(G$74:G129)&lt;60,G129,MEDIAN(QUARTILE(G$74:G129,1)-1.5*(QUARTILE(G$74:G129,3)-QUARTILE(G$74:G129,1)),G129,QUARTILE(G$74:G129,3)+1.5*(QUARTILE(G$74:G129,3)-QUARTILE(G$74:G129,1)))))</f>
        <v>1.72245372752068</v>
      </c>
      <c r="P129" s="10" t="n">
        <f aca="false">IF(H129="","",IF(COUNT(H$74:H129)&lt;60,H129,MEDIAN(QUARTILE(H$74:H129,1)-1.5*(QUARTILE(H$74:H129,3)-QUARTILE(H$74:H129,1)),H129,QUARTILE(H$74:H129,3)+1.5*(QUARTILE(H$74:H129,3)-QUARTILE(H$74:H129,1)))))</f>
        <v>0.261409063963798</v>
      </c>
      <c r="Q129" s="10" t="n">
        <f aca="false">IF(I129="","",IF(COUNT(I$74:I129)&lt;60,I129,MEDIAN(QUARTILE(I$74:I129,1)-1.5*(QUARTILE(I$74:I129,3)-QUARTILE(I$74:I129,1)),I129,QUARTILE(I$74:I129,3)+1.5*(QUARTILE(I$74:I129,3)-QUARTILE(I$74:I129,1)))))</f>
        <v>-0.358349102136183</v>
      </c>
      <c r="R129" s="10" t="n">
        <f aca="false">IF(J129="","",MEDIAN(J129:Q129))</f>
        <v>-0.187267307853712</v>
      </c>
      <c r="S129" s="10" t="n">
        <f aca="false">IF(R129="","",ABS(R129))</f>
        <v>0.187267307853712</v>
      </c>
      <c r="T129" s="10" t="str">
        <f aca="false">IF(COUNT(S$74:S128)&lt;60,"",MEDIAN(S$74:S128))</f>
        <v/>
      </c>
      <c r="U129" s="10" t="n">
        <f aca="false">IF(R129="","",IF(T129="",0,IF(S129&gt;=T129,R129,0)))</f>
        <v>0</v>
      </c>
      <c r="V129" s="10" t="n">
        <f aca="false">IF(U129="","",MEDIAN(-1,U129,1))</f>
        <v>0</v>
      </c>
      <c r="W129" s="10" t="n">
        <f aca="false">IF(J129="","",AVERAGE(J129:Q129))</f>
        <v>0.235571965357913</v>
      </c>
    </row>
    <row r="130" customFormat="false" ht="15" hidden="false" customHeight="false" outlineLevel="0" collapsed="false">
      <c r="A130" s="8" t="n">
        <f aca="false">Base!A130</f>
        <v>41912</v>
      </c>
      <c r="B130" s="10" t="n">
        <f aca="false">IF(COUNT(Transf!B$39:B130)&lt;36,"",(Transf!B130-AVERAGE(Transf!B$39:B130))/STDEV(Transf!B$39:B130))</f>
        <v>-0.827140665124576</v>
      </c>
      <c r="C130" s="10" t="n">
        <f aca="false">IF(COUNT(Transf!C$39:C130)&lt;36,"",(Transf!C130-AVERAGE(Transf!C$39:C130))/STDEV(Transf!C$39:C130))</f>
        <v>-0.914396553631906</v>
      </c>
      <c r="D130" s="10" t="n">
        <f aca="false">IF(COUNT(Transf!D$39:D130)&lt;36,"",(Transf!D130-AVERAGE(Transf!D$39:D130))/STDEV(Transf!D$39:D130))</f>
        <v>-0.680046100258684</v>
      </c>
      <c r="E130" s="10" t="n">
        <f aca="false">IF(COUNT(Transf!E$39:E130)&lt;36,"",(Transf!E130-AVERAGE(Transf!E$39:E130))/STDEV(Transf!E$39:E130))</f>
        <v>2.32863894409641</v>
      </c>
      <c r="F130" s="10" t="n">
        <f aca="false">IF(COUNT(Transf!F$39:F130)&lt;36,"",(Transf!F130-AVERAGE(Transf!F$39:F130))/STDEV(Transf!F$39:F130))</f>
        <v>0.0233758843427284</v>
      </c>
      <c r="G130" s="10" t="n">
        <f aca="false">IF(COUNT(Transf!G$39:G130)&lt;36,"",(Transf!G130-AVERAGE(Transf!G$39:G130))/STDEV(Transf!G$39:G130))</f>
        <v>1.26636876621097</v>
      </c>
      <c r="H130" s="10" t="n">
        <f aca="false">IF(COUNT(Transf!H$39:H130)&lt;36,"",(Transf!H130-AVERAGE(Transf!H$39:H130))/STDEV(Transf!H$39:H130))</f>
        <v>0.362105439998113</v>
      </c>
      <c r="I130" s="10" t="n">
        <f aca="false">IF(COUNT(Transf!I$39:I130)&lt;36,"",(Transf!I130-AVERAGE(Transf!I$39:I130))/STDEV(Transf!I$39:I130))</f>
        <v>-0.355657347015574</v>
      </c>
      <c r="J130" s="10" t="n">
        <f aca="false">IF(B130="","",IF(COUNT(B$74:B130)&lt;60,B130,MEDIAN(QUARTILE(B$74:B130,1)-1.5*(QUARTILE(B$74:B130,3)-QUARTILE(B$74:B130,1)),B130,QUARTILE(B$74:B130,3)+1.5*(QUARTILE(B$74:B130,3)-QUARTILE(B$74:B130,1)))))</f>
        <v>-0.827140665124576</v>
      </c>
      <c r="K130" s="10" t="n">
        <f aca="false">IF(C130="","",IF(COUNT(C$74:C130)&lt;60,C130,MEDIAN(QUARTILE(C$74:C130,1)-1.5*(QUARTILE(C$74:C130,3)-QUARTILE(C$74:C130,1)),C130,QUARTILE(C$74:C130,3)+1.5*(QUARTILE(C$74:C130,3)-QUARTILE(C$74:C130,1)))))</f>
        <v>-0.914396553631906</v>
      </c>
      <c r="L130" s="10" t="n">
        <f aca="false">IF(D130="","",IF(COUNT(D$74:D130)&lt;60,D130,MEDIAN(QUARTILE(D$74:D130,1)-1.5*(QUARTILE(D$74:D130,3)-QUARTILE(D$74:D130,1)),D130,QUARTILE(D$74:D130,3)+1.5*(QUARTILE(D$74:D130,3)-QUARTILE(D$74:D130,1)))))</f>
        <v>-0.680046100258684</v>
      </c>
      <c r="M130" s="10" t="n">
        <f aca="false">IF(E130="","",IF(COUNT(E$74:E130)&lt;60,E130,MEDIAN(QUARTILE(E$74:E130,1)-1.5*(QUARTILE(E$74:E130,3)-QUARTILE(E$74:E130,1)),E130,QUARTILE(E$74:E130,3)+1.5*(QUARTILE(E$74:E130,3)-QUARTILE(E$74:E130,1)))))</f>
        <v>2.32863894409641</v>
      </c>
      <c r="N130" s="10" t="n">
        <f aca="false">IF(F130="","",IF(COUNT(F$74:F130)&lt;60,F130,MEDIAN(QUARTILE(F$74:F130,1)-1.5*(QUARTILE(F$74:F130,3)-QUARTILE(F$74:F130,1)),F130,QUARTILE(F$74:F130,3)+1.5*(QUARTILE(F$74:F130,3)-QUARTILE(F$74:F130,1)))))</f>
        <v>0.0233758843427284</v>
      </c>
      <c r="O130" s="10" t="n">
        <f aca="false">IF(G130="","",IF(COUNT(G$74:G130)&lt;60,G130,MEDIAN(QUARTILE(G$74:G130,1)-1.5*(QUARTILE(G$74:G130,3)-QUARTILE(G$74:G130,1)),G130,QUARTILE(G$74:G130,3)+1.5*(QUARTILE(G$74:G130,3)-QUARTILE(G$74:G130,1)))))</f>
        <v>1.26636876621097</v>
      </c>
      <c r="P130" s="10" t="n">
        <f aca="false">IF(H130="","",IF(COUNT(H$74:H130)&lt;60,H130,MEDIAN(QUARTILE(H$74:H130,1)-1.5*(QUARTILE(H$74:H130,3)-QUARTILE(H$74:H130,1)),H130,QUARTILE(H$74:H130,3)+1.5*(QUARTILE(H$74:H130,3)-QUARTILE(H$74:H130,1)))))</f>
        <v>0.362105439998113</v>
      </c>
      <c r="Q130" s="10" t="n">
        <f aca="false">IF(I130="","",IF(COUNT(I$74:I130)&lt;60,I130,MEDIAN(QUARTILE(I$74:I130,1)-1.5*(QUARTILE(I$74:I130,3)-QUARTILE(I$74:I130,1)),I130,QUARTILE(I$74:I130,3)+1.5*(QUARTILE(I$74:I130,3)-QUARTILE(I$74:I130,1)))))</f>
        <v>-0.355657347015574</v>
      </c>
      <c r="R130" s="10" t="n">
        <f aca="false">IF(J130="","",MEDIAN(J130:Q130))</f>
        <v>-0.166140731336423</v>
      </c>
      <c r="S130" s="10" t="n">
        <f aca="false">IF(R130="","",ABS(R130))</f>
        <v>0.166140731336423</v>
      </c>
      <c r="T130" s="10" t="str">
        <f aca="false">IF(COUNT(S$74:S129)&lt;60,"",MEDIAN(S$74:S129))</f>
        <v/>
      </c>
      <c r="U130" s="10" t="n">
        <f aca="false">IF(R130="","",IF(T130="",0,IF(S130&gt;=T130,R130,0)))</f>
        <v>0</v>
      </c>
      <c r="V130" s="10" t="n">
        <f aca="false">IF(U130="","",MEDIAN(-1,U130,1))</f>
        <v>0</v>
      </c>
      <c r="W130" s="10" t="n">
        <f aca="false">IF(J130="","",AVERAGE(J130:Q130))</f>
        <v>0.150406046077185</v>
      </c>
    </row>
    <row r="131" customFormat="false" ht="15" hidden="false" customHeight="false" outlineLevel="0" collapsed="false">
      <c r="A131" s="8" t="n">
        <f aca="false">Base!A131</f>
        <v>41943</v>
      </c>
      <c r="B131" s="10" t="n">
        <f aca="false">IF(COUNT(Transf!B$39:B131)&lt;36,"",(Transf!B131-AVERAGE(Transf!B$39:B131))/STDEV(Transf!B$39:B131))</f>
        <v>-0.760397593945281</v>
      </c>
      <c r="C131" s="10" t="n">
        <f aca="false">IF(COUNT(Transf!C$39:C131)&lt;36,"",(Transf!C131-AVERAGE(Transf!C$39:C131))/STDEV(Transf!C$39:C131))</f>
        <v>-0.915675033632889</v>
      </c>
      <c r="D131" s="10" t="n">
        <f aca="false">IF(COUNT(Transf!D$39:D131)&lt;36,"",(Transf!D131-AVERAGE(Transf!D$39:D131))/STDEV(Transf!D$39:D131))</f>
        <v>-0.606325685037844</v>
      </c>
      <c r="E131" s="10" t="n">
        <f aca="false">IF(COUNT(Transf!E$39:E131)&lt;36,"",(Transf!E131-AVERAGE(Transf!E$39:E131))/STDEV(Transf!E$39:E131))</f>
        <v>2.21259798955938</v>
      </c>
      <c r="F131" s="10" t="n">
        <f aca="false">IF(COUNT(Transf!F$39:F131)&lt;36,"",(Transf!F131-AVERAGE(Transf!F$39:F131))/STDEV(Transf!F$39:F131))</f>
        <v>0.180885608503769</v>
      </c>
      <c r="G131" s="10" t="n">
        <f aca="false">IF(COUNT(Transf!G$39:G131)&lt;36,"",(Transf!G131-AVERAGE(Transf!G$39:G131))/STDEV(Transf!G$39:G131))</f>
        <v>0.881468150959268</v>
      </c>
      <c r="H131" s="10" t="n">
        <f aca="false">IF(COUNT(Transf!H$39:H131)&lt;36,"",(Transf!H131-AVERAGE(Transf!H$39:H131))/STDEV(Transf!H$39:H131))</f>
        <v>0.42942804757692</v>
      </c>
      <c r="I131" s="10" t="n">
        <f aca="false">IF(COUNT(Transf!I$39:I131)&lt;36,"",(Transf!I131-AVERAGE(Transf!I$39:I131))/STDEV(Transf!I$39:I131))</f>
        <v>-0.407450760989049</v>
      </c>
      <c r="J131" s="10" t="n">
        <f aca="false">IF(B131="","",IF(COUNT(B$74:B131)&lt;60,B131,MEDIAN(QUARTILE(B$74:B131,1)-1.5*(QUARTILE(B$74:B131,3)-QUARTILE(B$74:B131,1)),B131,QUARTILE(B$74:B131,3)+1.5*(QUARTILE(B$74:B131,3)-QUARTILE(B$74:B131,1)))))</f>
        <v>-0.760397593945281</v>
      </c>
      <c r="K131" s="10" t="n">
        <f aca="false">IF(C131="","",IF(COUNT(C$74:C131)&lt;60,C131,MEDIAN(QUARTILE(C$74:C131,1)-1.5*(QUARTILE(C$74:C131,3)-QUARTILE(C$74:C131,1)),C131,QUARTILE(C$74:C131,3)+1.5*(QUARTILE(C$74:C131,3)-QUARTILE(C$74:C131,1)))))</f>
        <v>-0.915675033632889</v>
      </c>
      <c r="L131" s="10" t="n">
        <f aca="false">IF(D131="","",IF(COUNT(D$74:D131)&lt;60,D131,MEDIAN(QUARTILE(D$74:D131,1)-1.5*(QUARTILE(D$74:D131,3)-QUARTILE(D$74:D131,1)),D131,QUARTILE(D$74:D131,3)+1.5*(QUARTILE(D$74:D131,3)-QUARTILE(D$74:D131,1)))))</f>
        <v>-0.606325685037844</v>
      </c>
      <c r="M131" s="10" t="n">
        <f aca="false">IF(E131="","",IF(COUNT(E$74:E131)&lt;60,E131,MEDIAN(QUARTILE(E$74:E131,1)-1.5*(QUARTILE(E$74:E131,3)-QUARTILE(E$74:E131,1)),E131,QUARTILE(E$74:E131,3)+1.5*(QUARTILE(E$74:E131,3)-QUARTILE(E$74:E131,1)))))</f>
        <v>2.21259798955938</v>
      </c>
      <c r="N131" s="10" t="n">
        <f aca="false">IF(F131="","",IF(COUNT(F$74:F131)&lt;60,F131,MEDIAN(QUARTILE(F$74:F131,1)-1.5*(QUARTILE(F$74:F131,3)-QUARTILE(F$74:F131,1)),F131,QUARTILE(F$74:F131,3)+1.5*(QUARTILE(F$74:F131,3)-QUARTILE(F$74:F131,1)))))</f>
        <v>0.180885608503769</v>
      </c>
      <c r="O131" s="10" t="n">
        <f aca="false">IF(G131="","",IF(COUNT(G$74:G131)&lt;60,G131,MEDIAN(QUARTILE(G$74:G131,1)-1.5*(QUARTILE(G$74:G131,3)-QUARTILE(G$74:G131,1)),G131,QUARTILE(G$74:G131,3)+1.5*(QUARTILE(G$74:G131,3)-QUARTILE(G$74:G131,1)))))</f>
        <v>0.881468150959268</v>
      </c>
      <c r="P131" s="10" t="n">
        <f aca="false">IF(H131="","",IF(COUNT(H$74:H131)&lt;60,H131,MEDIAN(QUARTILE(H$74:H131,1)-1.5*(QUARTILE(H$74:H131,3)-QUARTILE(H$74:H131,1)),H131,QUARTILE(H$74:H131,3)+1.5*(QUARTILE(H$74:H131,3)-QUARTILE(H$74:H131,1)))))</f>
        <v>0.42942804757692</v>
      </c>
      <c r="Q131" s="10" t="n">
        <f aca="false">IF(I131="","",IF(COUNT(I$74:I131)&lt;60,I131,MEDIAN(QUARTILE(I$74:I131,1)-1.5*(QUARTILE(I$74:I131,3)-QUARTILE(I$74:I131,1)),I131,QUARTILE(I$74:I131,3)+1.5*(QUARTILE(I$74:I131,3)-QUARTILE(I$74:I131,1)))))</f>
        <v>-0.407450760989049</v>
      </c>
      <c r="R131" s="10" t="n">
        <f aca="false">IF(J131="","",MEDIAN(J131:Q131))</f>
        <v>-0.11328257624264</v>
      </c>
      <c r="S131" s="10" t="n">
        <f aca="false">IF(R131="","",ABS(R131))</f>
        <v>0.11328257624264</v>
      </c>
      <c r="T131" s="10" t="str">
        <f aca="false">IF(COUNT(S$74:S130)&lt;60,"",MEDIAN(S$74:S130))</f>
        <v/>
      </c>
      <c r="U131" s="10" t="n">
        <f aca="false">IF(R131="","",IF(T131="",0,IF(S131&gt;=T131,R131,0)))</f>
        <v>0</v>
      </c>
      <c r="V131" s="10" t="n">
        <f aca="false">IF(U131="","",MEDIAN(-1,U131,1))</f>
        <v>0</v>
      </c>
      <c r="W131" s="10" t="n">
        <f aca="false">IF(J131="","",AVERAGE(J131:Q131))</f>
        <v>0.126816340374285</v>
      </c>
    </row>
    <row r="132" customFormat="false" ht="15" hidden="false" customHeight="false" outlineLevel="0" collapsed="false">
      <c r="A132" s="8" t="n">
        <f aca="false">Base!A132</f>
        <v>41973</v>
      </c>
      <c r="B132" s="10" t="n">
        <f aca="false">IF(COUNT(Transf!B$39:B132)&lt;36,"",(Transf!B132-AVERAGE(Transf!B$39:B132))/STDEV(Transf!B$39:B132))</f>
        <v>-0.637313153372098</v>
      </c>
      <c r="C132" s="10" t="n">
        <f aca="false">IF(COUNT(Transf!C$39:C132)&lt;36,"",(Transf!C132-AVERAGE(Transf!C$39:C132))/STDEV(Transf!C$39:C132))</f>
        <v>-0.775927506994917</v>
      </c>
      <c r="D132" s="10" t="n">
        <f aca="false">IF(COUNT(Transf!D$39:D132)&lt;36,"",(Transf!D132-AVERAGE(Transf!D$39:D132))/STDEV(Transf!D$39:D132))</f>
        <v>-0.466453912388391</v>
      </c>
      <c r="E132" s="10" t="n">
        <f aca="false">IF(COUNT(Transf!E$39:E132)&lt;36,"",(Transf!E132-AVERAGE(Transf!E$39:E132))/STDEV(Transf!E$39:E132))</f>
        <v>1.96579227433225</v>
      </c>
      <c r="F132" s="10" t="n">
        <f aca="false">IF(COUNT(Transf!F$39:F132)&lt;36,"",(Transf!F132-AVERAGE(Transf!F$39:F132))/STDEV(Transf!F$39:F132))</f>
        <v>0.232369712007632</v>
      </c>
      <c r="G132" s="10" t="n">
        <f aca="false">IF(COUNT(Transf!G$39:G132)&lt;36,"",(Transf!G132-AVERAGE(Transf!G$39:G132))/STDEV(Transf!G$39:G132))</f>
        <v>0.362099826917014</v>
      </c>
      <c r="H132" s="10" t="n">
        <f aca="false">IF(COUNT(Transf!H$39:H132)&lt;36,"",(Transf!H132-AVERAGE(Transf!H$39:H132))/STDEV(Transf!H$39:H132))</f>
        <v>0.499673841989121</v>
      </c>
      <c r="I132" s="10" t="n">
        <f aca="false">IF(COUNT(Transf!I$39:I132)&lt;36,"",(Transf!I132-AVERAGE(Transf!I$39:I132))/STDEV(Transf!I$39:I132))</f>
        <v>-0.604397776842763</v>
      </c>
      <c r="J132" s="10" t="n">
        <f aca="false">IF(B132="","",IF(COUNT(B$74:B132)&lt;60,B132,MEDIAN(QUARTILE(B$74:B132,1)-1.5*(QUARTILE(B$74:B132,3)-QUARTILE(B$74:B132,1)),B132,QUARTILE(B$74:B132,3)+1.5*(QUARTILE(B$74:B132,3)-QUARTILE(B$74:B132,1)))))</f>
        <v>-0.637313153372098</v>
      </c>
      <c r="K132" s="10" t="n">
        <f aca="false">IF(C132="","",IF(COUNT(C$74:C132)&lt;60,C132,MEDIAN(QUARTILE(C$74:C132,1)-1.5*(QUARTILE(C$74:C132,3)-QUARTILE(C$74:C132,1)),C132,QUARTILE(C$74:C132,3)+1.5*(QUARTILE(C$74:C132,3)-QUARTILE(C$74:C132,1)))))</f>
        <v>-0.775927506994917</v>
      </c>
      <c r="L132" s="10" t="n">
        <f aca="false">IF(D132="","",IF(COUNT(D$74:D132)&lt;60,D132,MEDIAN(QUARTILE(D$74:D132,1)-1.5*(QUARTILE(D$74:D132,3)-QUARTILE(D$74:D132,1)),D132,QUARTILE(D$74:D132,3)+1.5*(QUARTILE(D$74:D132,3)-QUARTILE(D$74:D132,1)))))</f>
        <v>-0.466453912388391</v>
      </c>
      <c r="M132" s="10" t="n">
        <f aca="false">IF(E132="","",IF(COUNT(E$74:E132)&lt;60,E132,MEDIAN(QUARTILE(E$74:E132,1)-1.5*(QUARTILE(E$74:E132,3)-QUARTILE(E$74:E132,1)),E132,QUARTILE(E$74:E132,3)+1.5*(QUARTILE(E$74:E132,3)-QUARTILE(E$74:E132,1)))))</f>
        <v>1.96579227433225</v>
      </c>
      <c r="N132" s="10" t="n">
        <f aca="false">IF(F132="","",IF(COUNT(F$74:F132)&lt;60,F132,MEDIAN(QUARTILE(F$74:F132,1)-1.5*(QUARTILE(F$74:F132,3)-QUARTILE(F$74:F132,1)),F132,QUARTILE(F$74:F132,3)+1.5*(QUARTILE(F$74:F132,3)-QUARTILE(F$74:F132,1)))))</f>
        <v>0.232369712007632</v>
      </c>
      <c r="O132" s="10" t="n">
        <f aca="false">IF(G132="","",IF(COUNT(G$74:G132)&lt;60,G132,MEDIAN(QUARTILE(G$74:G132,1)-1.5*(QUARTILE(G$74:G132,3)-QUARTILE(G$74:G132,1)),G132,QUARTILE(G$74:G132,3)+1.5*(QUARTILE(G$74:G132,3)-QUARTILE(G$74:G132,1)))))</f>
        <v>0.362099826917014</v>
      </c>
      <c r="P132" s="10" t="n">
        <f aca="false">IF(H132="","",IF(COUNT(H$74:H132)&lt;60,H132,MEDIAN(QUARTILE(H$74:H132,1)-1.5*(QUARTILE(H$74:H132,3)-QUARTILE(H$74:H132,1)),H132,QUARTILE(H$74:H132,3)+1.5*(QUARTILE(H$74:H132,3)-QUARTILE(H$74:H132,1)))))</f>
        <v>0.499673841989121</v>
      </c>
      <c r="Q132" s="10" t="n">
        <f aca="false">IF(I132="","",IF(COUNT(I$74:I132)&lt;60,I132,MEDIAN(QUARTILE(I$74:I132,1)-1.5*(QUARTILE(I$74:I132,3)-QUARTILE(I$74:I132,1)),I132,QUARTILE(I$74:I132,3)+1.5*(QUARTILE(I$74:I132,3)-QUARTILE(I$74:I132,1)))))</f>
        <v>-0.604397776842763</v>
      </c>
      <c r="R132" s="10" t="n">
        <f aca="false">IF(J132="","",MEDIAN(J132:Q132))</f>
        <v>-0.117042100190379</v>
      </c>
      <c r="S132" s="10" t="n">
        <f aca="false">IF(R132="","",ABS(R132))</f>
        <v>0.117042100190379</v>
      </c>
      <c r="T132" s="10" t="str">
        <f aca="false">IF(COUNT(S$74:S131)&lt;60,"",MEDIAN(S$74:S131))</f>
        <v/>
      </c>
      <c r="U132" s="10" t="n">
        <f aca="false">IF(R132="","",IF(T132="",0,IF(S132&gt;=T132,R132,0)))</f>
        <v>0</v>
      </c>
      <c r="V132" s="10" t="n">
        <f aca="false">IF(U132="","",MEDIAN(-1,U132,1))</f>
        <v>0</v>
      </c>
      <c r="W132" s="10" t="n">
        <f aca="false">IF(J132="","",AVERAGE(J132:Q132))</f>
        <v>0.071980413205981</v>
      </c>
    </row>
    <row r="133" customFormat="false" ht="15" hidden="false" customHeight="false" outlineLevel="0" collapsed="false">
      <c r="A133" s="8" t="n">
        <f aca="false">Base!A133</f>
        <v>42004</v>
      </c>
      <c r="B133" s="10" t="n">
        <f aca="false">IF(COUNT(Transf!B$39:B133)&lt;36,"",(Transf!B133-AVERAGE(Transf!B$39:B133))/STDEV(Transf!B$39:B133))</f>
        <v>-0.559782206671569</v>
      </c>
      <c r="C133" s="10" t="n">
        <f aca="false">IF(COUNT(Transf!C$39:C133)&lt;36,"",(Transf!C133-AVERAGE(Transf!C$39:C133))/STDEV(Transf!C$39:C133))</f>
        <v>-0.636046099998001</v>
      </c>
      <c r="D133" s="10" t="n">
        <f aca="false">IF(COUNT(Transf!D$39:D133)&lt;36,"",(Transf!D133-AVERAGE(Transf!D$39:D133))/STDEV(Transf!D$39:D133))</f>
        <v>-0.257398994066279</v>
      </c>
      <c r="E133" s="10" t="n">
        <f aca="false">IF(COUNT(Transf!E$39:E133)&lt;36,"",(Transf!E133-AVERAGE(Transf!E$39:E133))/STDEV(Transf!E$39:E133))</f>
        <v>1.5398799772959</v>
      </c>
      <c r="F133" s="10" t="n">
        <f aca="false">IF(COUNT(Transf!F$39:F133)&lt;36,"",(Transf!F133-AVERAGE(Transf!F$39:F133))/STDEV(Transf!F$39:F133))</f>
        <v>0.23057536700791</v>
      </c>
      <c r="G133" s="10" t="n">
        <f aca="false">IF(COUNT(Transf!G$39:G133)&lt;36,"",(Transf!G133-AVERAGE(Transf!G$39:G133))/STDEV(Transf!G$39:G133))</f>
        <v>0.0220506646517863</v>
      </c>
      <c r="H133" s="10" t="n">
        <f aca="false">IF(COUNT(Transf!H$39:H133)&lt;36,"",(Transf!H133-AVERAGE(Transf!H$39:H133))/STDEV(Transf!H$39:H133))</f>
        <v>0.0534312966004484</v>
      </c>
      <c r="I133" s="10" t="n">
        <f aca="false">IF(COUNT(Transf!I$39:I133)&lt;36,"",(Transf!I133-AVERAGE(Transf!I$39:I133))/STDEV(Transf!I$39:I133))</f>
        <v>-0.854506419398078</v>
      </c>
      <c r="J133" s="10" t="n">
        <f aca="false">IF(B133="","",IF(COUNT(B$74:B133)&lt;60,B133,MEDIAN(QUARTILE(B$74:B133,1)-1.5*(QUARTILE(B$74:B133,3)-QUARTILE(B$74:B133,1)),B133,QUARTILE(B$74:B133,3)+1.5*(QUARTILE(B$74:B133,3)-QUARTILE(B$74:B133,1)))))</f>
        <v>-0.559782206671569</v>
      </c>
      <c r="K133" s="10" t="n">
        <f aca="false">IF(C133="","",IF(COUNT(C$74:C133)&lt;60,C133,MEDIAN(QUARTILE(C$74:C133,1)-1.5*(QUARTILE(C$74:C133,3)-QUARTILE(C$74:C133,1)),C133,QUARTILE(C$74:C133,3)+1.5*(QUARTILE(C$74:C133,3)-QUARTILE(C$74:C133,1)))))</f>
        <v>-0.636046099998001</v>
      </c>
      <c r="L133" s="10" t="n">
        <f aca="false">IF(D133="","",IF(COUNT(D$74:D133)&lt;60,D133,MEDIAN(QUARTILE(D$74:D133,1)-1.5*(QUARTILE(D$74:D133,3)-QUARTILE(D$74:D133,1)),D133,QUARTILE(D$74:D133,3)+1.5*(QUARTILE(D$74:D133,3)-QUARTILE(D$74:D133,1)))))</f>
        <v>-0.257398994066279</v>
      </c>
      <c r="M133" s="10" t="n">
        <f aca="false">IF(E133="","",IF(COUNT(E$74:E133)&lt;60,E133,MEDIAN(QUARTILE(E$74:E133,1)-1.5*(QUARTILE(E$74:E133,3)-QUARTILE(E$74:E133,1)),E133,QUARTILE(E$74:E133,3)+1.5*(QUARTILE(E$74:E133,3)-QUARTILE(E$74:E133,1)))))</f>
        <v>1.5398799772959</v>
      </c>
      <c r="N133" s="10" t="n">
        <f aca="false">IF(F133="","",IF(COUNT(F$74:F133)&lt;60,F133,MEDIAN(QUARTILE(F$74:F133,1)-1.5*(QUARTILE(F$74:F133,3)-QUARTILE(F$74:F133,1)),F133,QUARTILE(F$74:F133,3)+1.5*(QUARTILE(F$74:F133,3)-QUARTILE(F$74:F133,1)))))</f>
        <v>0.23057536700791</v>
      </c>
      <c r="O133" s="10" t="n">
        <f aca="false">IF(G133="","",IF(COUNT(G$74:G133)&lt;60,G133,MEDIAN(QUARTILE(G$74:G133,1)-1.5*(QUARTILE(G$74:G133,3)-QUARTILE(G$74:G133,1)),G133,QUARTILE(G$74:G133,3)+1.5*(QUARTILE(G$74:G133,3)-QUARTILE(G$74:G133,1)))))</f>
        <v>0.0220506646517863</v>
      </c>
      <c r="P133" s="10" t="n">
        <f aca="false">IF(H133="","",IF(COUNT(H$74:H133)&lt;60,H133,MEDIAN(QUARTILE(H$74:H133,1)-1.5*(QUARTILE(H$74:H133,3)-QUARTILE(H$74:H133,1)),H133,QUARTILE(H$74:H133,3)+1.5*(QUARTILE(H$74:H133,3)-QUARTILE(H$74:H133,1)))))</f>
        <v>0.0534312966004484</v>
      </c>
      <c r="Q133" s="10" t="n">
        <f aca="false">IF(I133="","",IF(COUNT(I$74:I133)&lt;60,I133,MEDIAN(QUARTILE(I$74:I133,1)-1.5*(QUARTILE(I$74:I133,3)-QUARTILE(I$74:I133,1)),I133,QUARTILE(I$74:I133,3)+1.5*(QUARTILE(I$74:I133,3)-QUARTILE(I$74:I133,1)))))</f>
        <v>-0.854506419398078</v>
      </c>
      <c r="R133" s="10" t="n">
        <f aca="false">IF(J133="","",MEDIAN(J133:Q133))</f>
        <v>-0.117674164707246</v>
      </c>
      <c r="S133" s="10" t="n">
        <f aca="false">IF(R133="","",ABS(R133))</f>
        <v>0.117674164707246</v>
      </c>
      <c r="T133" s="10" t="str">
        <f aca="false">IF(COUNT(S$74:S132)&lt;60,"",MEDIAN(S$74:S132))</f>
        <v/>
      </c>
      <c r="U133" s="10" t="n">
        <f aca="false">IF(R133="","",IF(T133="",0,IF(S133&gt;=T133,R133,0)))</f>
        <v>0</v>
      </c>
      <c r="V133" s="10" t="n">
        <f aca="false">IF(U133="","",MEDIAN(-1,U133,1))</f>
        <v>0</v>
      </c>
      <c r="W133" s="10" t="n">
        <f aca="false">IF(J133="","",AVERAGE(J133:Q133))</f>
        <v>-0.0577245518222355</v>
      </c>
    </row>
    <row r="134" customFormat="false" ht="15" hidden="false" customHeight="false" outlineLevel="0" collapsed="false">
      <c r="A134" s="8" t="n">
        <f aca="false">Base!A134</f>
        <v>42035</v>
      </c>
      <c r="B134" s="10" t="n">
        <f aca="false">IF(COUNT(Transf!B$39:B134)&lt;36,"",(Transf!B134-AVERAGE(Transf!B$39:B134))/STDEV(Transf!B$39:B134))</f>
        <v>-0.68020664238333</v>
      </c>
      <c r="C134" s="10" t="n">
        <f aca="false">IF(COUNT(Transf!C$39:C134)&lt;36,"",(Transf!C134-AVERAGE(Transf!C$39:C134))/STDEV(Transf!C$39:C134))</f>
        <v>-0.580576665673978</v>
      </c>
      <c r="D134" s="10" t="n">
        <f aca="false">IF(COUNT(Transf!D$39:D134)&lt;36,"",(Transf!D134-AVERAGE(Transf!D$39:D134))/STDEV(Transf!D$39:D134))</f>
        <v>-0.158391548107737</v>
      </c>
      <c r="E134" s="10" t="n">
        <f aca="false">IF(COUNT(Transf!E$39:E134)&lt;36,"",(Transf!E134-AVERAGE(Transf!E$39:E134))/STDEV(Transf!E$39:E134))</f>
        <v>1.10525099944533</v>
      </c>
      <c r="F134" s="10" t="n">
        <f aca="false">IF(COUNT(Transf!F$39:F134)&lt;36,"",(Transf!F134-AVERAGE(Transf!F$39:F134))/STDEV(Transf!F$39:F134))</f>
        <v>0.259986713897631</v>
      </c>
      <c r="G134" s="10" t="n">
        <f aca="false">IF(COUNT(Transf!G$39:G134)&lt;36,"",(Transf!G134-AVERAGE(Transf!G$39:G134))/STDEV(Transf!G$39:G134))</f>
        <v>-0.83066460704791</v>
      </c>
      <c r="H134" s="10" t="n">
        <f aca="false">IF(COUNT(Transf!H$39:H134)&lt;36,"",(Transf!H134-AVERAGE(Transf!H$39:H134))/STDEV(Transf!H$39:H134))</f>
        <v>-0.77604292400076</v>
      </c>
      <c r="I134" s="10" t="n">
        <f aca="false">IF(COUNT(Transf!I$39:I134)&lt;36,"",(Transf!I134-AVERAGE(Transf!I$39:I134))/STDEV(Transf!I$39:I134))</f>
        <v>-0.801794284912245</v>
      </c>
      <c r="J134" s="10" t="n">
        <f aca="false">IF(B134="","",IF(COUNT(B$74:B134)&lt;60,B134,MEDIAN(QUARTILE(B$74:B134,1)-1.5*(QUARTILE(B$74:B134,3)-QUARTILE(B$74:B134,1)),B134,QUARTILE(B$74:B134,3)+1.5*(QUARTILE(B$74:B134,3)-QUARTILE(B$74:B134,1)))))</f>
        <v>-0.68020664238333</v>
      </c>
      <c r="K134" s="10" t="n">
        <f aca="false">IF(C134="","",IF(COUNT(C$74:C134)&lt;60,C134,MEDIAN(QUARTILE(C$74:C134,1)-1.5*(QUARTILE(C$74:C134,3)-QUARTILE(C$74:C134,1)),C134,QUARTILE(C$74:C134,3)+1.5*(QUARTILE(C$74:C134,3)-QUARTILE(C$74:C134,1)))))</f>
        <v>-0.580576665673978</v>
      </c>
      <c r="L134" s="10" t="n">
        <f aca="false">IF(D134="","",IF(COUNT(D$74:D134)&lt;60,D134,MEDIAN(QUARTILE(D$74:D134,1)-1.5*(QUARTILE(D$74:D134,3)-QUARTILE(D$74:D134,1)),D134,QUARTILE(D$74:D134,3)+1.5*(QUARTILE(D$74:D134,3)-QUARTILE(D$74:D134,1)))))</f>
        <v>-0.158391548107737</v>
      </c>
      <c r="M134" s="10" t="n">
        <f aca="false">IF(E134="","",IF(COUNT(E$74:E134)&lt;60,E134,MEDIAN(QUARTILE(E$74:E134,1)-1.5*(QUARTILE(E$74:E134,3)-QUARTILE(E$74:E134,1)),E134,QUARTILE(E$74:E134,3)+1.5*(QUARTILE(E$74:E134,3)-QUARTILE(E$74:E134,1)))))</f>
        <v>1.10525099944533</v>
      </c>
      <c r="N134" s="10" t="n">
        <f aca="false">IF(F134="","",IF(COUNT(F$74:F134)&lt;60,F134,MEDIAN(QUARTILE(F$74:F134,1)-1.5*(QUARTILE(F$74:F134,3)-QUARTILE(F$74:F134,1)),F134,QUARTILE(F$74:F134,3)+1.5*(QUARTILE(F$74:F134,3)-QUARTILE(F$74:F134,1)))))</f>
        <v>0.259986713897631</v>
      </c>
      <c r="O134" s="10" t="n">
        <f aca="false">IF(G134="","",IF(COUNT(G$74:G134)&lt;60,G134,MEDIAN(QUARTILE(G$74:G134,1)-1.5*(QUARTILE(G$74:G134,3)-QUARTILE(G$74:G134,1)),G134,QUARTILE(G$74:G134,3)+1.5*(QUARTILE(G$74:G134,3)-QUARTILE(G$74:G134,1)))))</f>
        <v>-0.83066460704791</v>
      </c>
      <c r="P134" s="10" t="n">
        <f aca="false">IF(H134="","",IF(COUNT(H$74:H134)&lt;60,H134,MEDIAN(QUARTILE(H$74:H134,1)-1.5*(QUARTILE(H$74:H134,3)-QUARTILE(H$74:H134,1)),H134,QUARTILE(H$74:H134,3)+1.5*(QUARTILE(H$74:H134,3)-QUARTILE(H$74:H134,1)))))</f>
        <v>-0.77604292400076</v>
      </c>
      <c r="Q134" s="10" t="n">
        <f aca="false">IF(I134="","",IF(COUNT(I$74:I134)&lt;60,I134,MEDIAN(QUARTILE(I$74:I134,1)-1.5*(QUARTILE(I$74:I134,3)-QUARTILE(I$74:I134,1)),I134,QUARTILE(I$74:I134,3)+1.5*(QUARTILE(I$74:I134,3)-QUARTILE(I$74:I134,1)))))</f>
        <v>-0.801794284912245</v>
      </c>
      <c r="R134" s="10" t="n">
        <f aca="false">IF(J134="","",MEDIAN(J134:Q134))</f>
        <v>-0.630391654028654</v>
      </c>
      <c r="S134" s="10" t="n">
        <f aca="false">IF(R134="","",ABS(R134))</f>
        <v>0.630391654028654</v>
      </c>
      <c r="T134" s="10" t="n">
        <f aca="false">IF(COUNT(S$74:S133)&lt;60,"",MEDIAN(S$74:S133))</f>
        <v>0.288960886199649</v>
      </c>
      <c r="U134" s="10" t="n">
        <f aca="false">IF(R134="","",IF(T134="",0,IF(S134&gt;=T134,R134,0)))</f>
        <v>-0.630391654028654</v>
      </c>
      <c r="V134" s="10" t="n">
        <f aca="false">IF(U134="","",MEDIAN(-1,U134,1))</f>
        <v>-0.630391654028654</v>
      </c>
      <c r="W134" s="10" t="n">
        <f aca="false">IF(J134="","",AVERAGE(J134:Q134))</f>
        <v>-0.307804869847874</v>
      </c>
    </row>
    <row r="135" customFormat="false" ht="15" hidden="false" customHeight="false" outlineLevel="0" collapsed="false">
      <c r="A135" s="8" t="n">
        <f aca="false">Base!A135</f>
        <v>42063</v>
      </c>
      <c r="B135" s="10" t="n">
        <f aca="false">IF(COUNT(Transf!B$39:B135)&lt;36,"",(Transf!B135-AVERAGE(Transf!B$39:B135))/STDEV(Transf!B$39:B135))</f>
        <v>-0.892682433733487</v>
      </c>
      <c r="C135" s="10" t="n">
        <f aca="false">IF(COUNT(Transf!C$39:C135)&lt;36,"",(Transf!C135-AVERAGE(Transf!C$39:C135))/STDEV(Transf!C$39:C135))</f>
        <v>-0.363965295030472</v>
      </c>
      <c r="D135" s="10" t="n">
        <f aca="false">IF(COUNT(Transf!D$39:D135)&lt;36,"",(Transf!D135-AVERAGE(Transf!D$39:D135))/STDEV(Transf!D$39:D135))</f>
        <v>0.0255776193858149</v>
      </c>
      <c r="E135" s="10" t="n">
        <f aca="false">IF(COUNT(Transf!E$39:E135)&lt;36,"",(Transf!E135-AVERAGE(Transf!E$39:E135))/STDEV(Transf!E$39:E135))</f>
        <v>0.443812308294872</v>
      </c>
      <c r="F135" s="10" t="n">
        <f aca="false">IF(COUNT(Transf!F$39:F135)&lt;36,"",(Transf!F135-AVERAGE(Transf!F$39:F135))/STDEV(Transf!F$39:F135))</f>
        <v>0.251435867655744</v>
      </c>
      <c r="G135" s="10" t="n">
        <f aca="false">IF(COUNT(Transf!G$39:G135)&lt;36,"",(Transf!G135-AVERAGE(Transf!G$39:G135))/STDEV(Transf!G$39:G135))</f>
        <v>-1.46900555413312</v>
      </c>
      <c r="H135" s="10" t="n">
        <f aca="false">IF(COUNT(Transf!H$39:H135)&lt;36,"",(Transf!H135-AVERAGE(Transf!H$39:H135))/STDEV(Transf!H$39:H135))</f>
        <v>-1.95526214921348</v>
      </c>
      <c r="I135" s="10" t="n">
        <f aca="false">IF(COUNT(Transf!I$39:I135)&lt;36,"",(Transf!I135-AVERAGE(Transf!I$39:I135))/STDEV(Transf!I$39:I135))</f>
        <v>-0.375597512309076</v>
      </c>
      <c r="J135" s="10" t="n">
        <f aca="false">IF(B135="","",IF(COUNT(B$74:B135)&lt;60,B135,MEDIAN(QUARTILE(B$74:B135,1)-1.5*(QUARTILE(B$74:B135,3)-QUARTILE(B$74:B135,1)),B135,QUARTILE(B$74:B135,3)+1.5*(QUARTILE(B$74:B135,3)-QUARTILE(B$74:B135,1)))))</f>
        <v>-0.892682433733487</v>
      </c>
      <c r="K135" s="10" t="n">
        <f aca="false">IF(C135="","",IF(COUNT(C$74:C135)&lt;60,C135,MEDIAN(QUARTILE(C$74:C135,1)-1.5*(QUARTILE(C$74:C135,3)-QUARTILE(C$74:C135,1)),C135,QUARTILE(C$74:C135,3)+1.5*(QUARTILE(C$74:C135,3)-QUARTILE(C$74:C135,1)))))</f>
        <v>-0.363965295030472</v>
      </c>
      <c r="L135" s="10" t="n">
        <f aca="false">IF(D135="","",IF(COUNT(D$74:D135)&lt;60,D135,MEDIAN(QUARTILE(D$74:D135,1)-1.5*(QUARTILE(D$74:D135,3)-QUARTILE(D$74:D135,1)),D135,QUARTILE(D$74:D135,3)+1.5*(QUARTILE(D$74:D135,3)-QUARTILE(D$74:D135,1)))))</f>
        <v>0.0255776193858149</v>
      </c>
      <c r="M135" s="10" t="n">
        <f aca="false">IF(E135="","",IF(COUNT(E$74:E135)&lt;60,E135,MEDIAN(QUARTILE(E$74:E135,1)-1.5*(QUARTILE(E$74:E135,3)-QUARTILE(E$74:E135,1)),E135,QUARTILE(E$74:E135,3)+1.5*(QUARTILE(E$74:E135,3)-QUARTILE(E$74:E135,1)))))</f>
        <v>0.443812308294872</v>
      </c>
      <c r="N135" s="10" t="n">
        <f aca="false">IF(F135="","",IF(COUNT(F$74:F135)&lt;60,F135,MEDIAN(QUARTILE(F$74:F135,1)-1.5*(QUARTILE(F$74:F135,3)-QUARTILE(F$74:F135,1)),F135,QUARTILE(F$74:F135,3)+1.5*(QUARTILE(F$74:F135,3)-QUARTILE(F$74:F135,1)))))</f>
        <v>0.251435867655744</v>
      </c>
      <c r="O135" s="10" t="n">
        <f aca="false">IF(G135="","",IF(COUNT(G$74:G135)&lt;60,G135,MEDIAN(QUARTILE(G$74:G135,1)-1.5*(QUARTILE(G$74:G135,3)-QUARTILE(G$74:G135,1)),G135,QUARTILE(G$74:G135,3)+1.5*(QUARTILE(G$74:G135,3)-QUARTILE(G$74:G135,1)))))</f>
        <v>-1.46900555413312</v>
      </c>
      <c r="P135" s="10" t="n">
        <f aca="false">IF(H135="","",IF(COUNT(H$74:H135)&lt;60,H135,MEDIAN(QUARTILE(H$74:H135,1)-1.5*(QUARTILE(H$74:H135,3)-QUARTILE(H$74:H135,1)),H135,QUARTILE(H$74:H135,3)+1.5*(QUARTILE(H$74:H135,3)-QUARTILE(H$74:H135,1)))))</f>
        <v>-1.30853232507182</v>
      </c>
      <c r="Q135" s="10" t="n">
        <f aca="false">IF(I135="","",IF(COUNT(I$74:I135)&lt;60,I135,MEDIAN(QUARTILE(I$74:I135,1)-1.5*(QUARTILE(I$74:I135,3)-QUARTILE(I$74:I135,1)),I135,QUARTILE(I$74:I135,3)+1.5*(QUARTILE(I$74:I135,3)-QUARTILE(I$74:I135,1)))))</f>
        <v>-0.375597512309076</v>
      </c>
      <c r="R135" s="10" t="n">
        <f aca="false">IF(J135="","",MEDIAN(J135:Q135))</f>
        <v>-0.369781403669774</v>
      </c>
      <c r="S135" s="10" t="n">
        <f aca="false">IF(R135="","",ABS(R135))</f>
        <v>0.369781403669774</v>
      </c>
      <c r="T135" s="10" t="n">
        <f aca="false">IF(COUNT(S$74:S134)&lt;60,"",MEDIAN(S$74:S134))</f>
        <v>0.292413320882044</v>
      </c>
      <c r="U135" s="10" t="n">
        <f aca="false">IF(R135="","",IF(T135="",0,IF(S135&gt;=T135,R135,0)))</f>
        <v>-0.369781403669774</v>
      </c>
      <c r="V135" s="10" t="n">
        <f aca="false">IF(U135="","",MEDIAN(-1,U135,1))</f>
        <v>-0.369781403669774</v>
      </c>
      <c r="W135" s="10" t="n">
        <f aca="false">IF(J135="","",AVERAGE(J135:Q135))</f>
        <v>-0.461119665617694</v>
      </c>
    </row>
    <row r="136" customFormat="false" ht="15" hidden="false" customHeight="false" outlineLevel="0" collapsed="false">
      <c r="A136" s="8" t="n">
        <f aca="false">Base!A136</f>
        <v>42094</v>
      </c>
      <c r="B136" s="10" t="n">
        <f aca="false">IF(COUNT(Transf!B$39:B136)&lt;36,"",(Transf!B136-AVERAGE(Transf!B$39:B136))/STDEV(Transf!B$39:B136))</f>
        <v>-0.91023102308188</v>
      </c>
      <c r="C136" s="10" t="n">
        <f aca="false">IF(COUNT(Transf!C$39:C136)&lt;36,"",(Transf!C136-AVERAGE(Transf!C$39:C136))/STDEV(Transf!C$39:C136))</f>
        <v>-0.0503660448809647</v>
      </c>
      <c r="D136" s="10" t="n">
        <f aca="false">IF(COUNT(Transf!D$39:D136)&lt;36,"",(Transf!D136-AVERAGE(Transf!D$39:D136))/STDEV(Transf!D$39:D136))</f>
        <v>0.0997783723399438</v>
      </c>
      <c r="E136" s="10" t="n">
        <f aca="false">IF(COUNT(Transf!E$39:E136)&lt;36,"",(Transf!E136-AVERAGE(Transf!E$39:E136))/STDEV(Transf!E$39:E136))</f>
        <v>-0.212713735066935</v>
      </c>
      <c r="F136" s="10" t="n">
        <f aca="false">IF(COUNT(Transf!F$39:F136)&lt;36,"",(Transf!F136-AVERAGE(Transf!F$39:F136))/STDEV(Transf!F$39:F136))</f>
        <v>0.288904305466851</v>
      </c>
      <c r="G136" s="10" t="n">
        <f aca="false">IF(COUNT(Transf!G$39:G136)&lt;36,"",(Transf!G136-AVERAGE(Transf!G$39:G136))/STDEV(Transf!G$39:G136))</f>
        <v>-1.96697877957651</v>
      </c>
      <c r="H136" s="10" t="n">
        <f aca="false">IF(COUNT(Transf!H$39:H136)&lt;36,"",(Transf!H136-AVERAGE(Transf!H$39:H136))/STDEV(Transf!H$39:H136))</f>
        <v>-2.71321222481629</v>
      </c>
      <c r="I136" s="10" t="n">
        <f aca="false">IF(COUNT(Transf!I$39:I136)&lt;36,"",(Transf!I136-AVERAGE(Transf!I$39:I136))/STDEV(Transf!I$39:I136))</f>
        <v>-0.0524113084993288</v>
      </c>
      <c r="J136" s="10" t="n">
        <f aca="false">IF(B136="","",IF(COUNT(B$74:B136)&lt;60,B136,MEDIAN(QUARTILE(B$74:B136,1)-1.5*(QUARTILE(B$74:B136,3)-QUARTILE(B$74:B136,1)),B136,QUARTILE(B$74:B136,3)+1.5*(QUARTILE(B$74:B136,3)-QUARTILE(B$74:B136,1)))))</f>
        <v>-0.91023102308188</v>
      </c>
      <c r="K136" s="10" t="n">
        <f aca="false">IF(C136="","",IF(COUNT(C$74:C136)&lt;60,C136,MEDIAN(QUARTILE(C$74:C136,1)-1.5*(QUARTILE(C$74:C136,3)-QUARTILE(C$74:C136,1)),C136,QUARTILE(C$74:C136,3)+1.5*(QUARTILE(C$74:C136,3)-QUARTILE(C$74:C136,1)))))</f>
        <v>-0.0503660448809647</v>
      </c>
      <c r="L136" s="10" t="n">
        <f aca="false">IF(D136="","",IF(COUNT(D$74:D136)&lt;60,D136,MEDIAN(QUARTILE(D$74:D136,1)-1.5*(QUARTILE(D$74:D136,3)-QUARTILE(D$74:D136,1)),D136,QUARTILE(D$74:D136,3)+1.5*(QUARTILE(D$74:D136,3)-QUARTILE(D$74:D136,1)))))</f>
        <v>0.0997783723399438</v>
      </c>
      <c r="M136" s="10" t="n">
        <f aca="false">IF(E136="","",IF(COUNT(E$74:E136)&lt;60,E136,MEDIAN(QUARTILE(E$74:E136,1)-1.5*(QUARTILE(E$74:E136,3)-QUARTILE(E$74:E136,1)),E136,QUARTILE(E$74:E136,3)+1.5*(QUARTILE(E$74:E136,3)-QUARTILE(E$74:E136,1)))))</f>
        <v>-0.212713735066935</v>
      </c>
      <c r="N136" s="10" t="n">
        <f aca="false">IF(F136="","",IF(COUNT(F$74:F136)&lt;60,F136,MEDIAN(QUARTILE(F$74:F136,1)-1.5*(QUARTILE(F$74:F136,3)-QUARTILE(F$74:F136,1)),F136,QUARTILE(F$74:F136,3)+1.5*(QUARTILE(F$74:F136,3)-QUARTILE(F$74:F136,1)))))</f>
        <v>0.288904305466851</v>
      </c>
      <c r="O136" s="10" t="n">
        <f aca="false">IF(G136="","",IF(COUNT(G$74:G136)&lt;60,G136,MEDIAN(QUARTILE(G$74:G136,1)-1.5*(QUARTILE(G$74:G136,3)-QUARTILE(G$74:G136,1)),G136,QUARTILE(G$74:G136,3)+1.5*(QUARTILE(G$74:G136,3)-QUARTILE(G$74:G136,1)))))</f>
        <v>-1.96697877957651</v>
      </c>
      <c r="P136" s="10" t="n">
        <f aca="false">IF(H136="","",IF(COUNT(H$74:H136)&lt;60,H136,MEDIAN(QUARTILE(H$74:H136,1)-1.5*(QUARTILE(H$74:H136,3)-QUARTILE(H$74:H136,1)),H136,QUARTILE(H$74:H136,3)+1.5*(QUARTILE(H$74:H136,3)-QUARTILE(H$74:H136,1)))))</f>
        <v>-1.31671332641541</v>
      </c>
      <c r="Q136" s="10" t="n">
        <f aca="false">IF(I136="","",IF(COUNT(I$74:I136)&lt;60,I136,MEDIAN(QUARTILE(I$74:I136,1)-1.5*(QUARTILE(I$74:I136,3)-QUARTILE(I$74:I136,1)),I136,QUARTILE(I$74:I136,3)+1.5*(QUARTILE(I$74:I136,3)-QUARTILE(I$74:I136,1)))))</f>
        <v>-0.0524113084993288</v>
      </c>
      <c r="R136" s="10" t="n">
        <f aca="false">IF(J136="","",MEDIAN(J136:Q136))</f>
        <v>-0.132562521783132</v>
      </c>
      <c r="S136" s="10" t="n">
        <f aca="false">IF(R136="","",ABS(R136))</f>
        <v>0.132562521783132</v>
      </c>
      <c r="T136" s="10" t="n">
        <f aca="false">IF(COUNT(S$74:S135)&lt;60,"",MEDIAN(S$74:S135))</f>
        <v>0.300931708027562</v>
      </c>
      <c r="U136" s="10" t="n">
        <f aca="false">IF(R136="","",IF(T136="",0,IF(S136&gt;=T136,R136,0)))</f>
        <v>0</v>
      </c>
      <c r="V136" s="10" t="n">
        <f aca="false">IF(U136="","",MEDIAN(-1,U136,1))</f>
        <v>0</v>
      </c>
      <c r="W136" s="10" t="n">
        <f aca="false">IF(J136="","",AVERAGE(J136:Q136))</f>
        <v>-0.515091442464279</v>
      </c>
    </row>
    <row r="137" customFormat="false" ht="15" hidden="false" customHeight="false" outlineLevel="0" collapsed="false">
      <c r="A137" s="8" t="n">
        <f aca="false">Base!A137</f>
        <v>42124</v>
      </c>
      <c r="B137" s="10" t="n">
        <f aca="false">IF(COUNT(Transf!B$39:B137)&lt;36,"",(Transf!B137-AVERAGE(Transf!B$39:B137))/STDEV(Transf!B$39:B137))</f>
        <v>-1.05621541298151</v>
      </c>
      <c r="C137" s="10" t="n">
        <f aca="false">IF(COUNT(Transf!C$39:C137)&lt;36,"",(Transf!C137-AVERAGE(Transf!C$39:C137))/STDEV(Transf!C$39:C137))</f>
        <v>0.347919702048386</v>
      </c>
      <c r="D137" s="10" t="n">
        <f aca="false">IF(COUNT(Transf!D$39:D137)&lt;36,"",(Transf!D137-AVERAGE(Transf!D$39:D137))/STDEV(Transf!D$39:D137))</f>
        <v>0.191141187698838</v>
      </c>
      <c r="E137" s="10" t="n">
        <f aca="false">IF(COUNT(Transf!E$39:E137)&lt;36,"",(Transf!E137-AVERAGE(Transf!E$39:E137))/STDEV(Transf!E$39:E137))</f>
        <v>-0.694818814020979</v>
      </c>
      <c r="F137" s="10" t="n">
        <f aca="false">IF(COUNT(Transf!F$39:F137)&lt;36,"",(Transf!F137-AVERAGE(Transf!F$39:F137))/STDEV(Transf!F$39:F137))</f>
        <v>0.64338004507129</v>
      </c>
      <c r="G137" s="10" t="n">
        <f aca="false">IF(COUNT(Transf!G$39:G137)&lt;36,"",(Transf!G137-AVERAGE(Transf!G$39:G137))/STDEV(Transf!G$39:G137))</f>
        <v>-1.8379728467668</v>
      </c>
      <c r="H137" s="10" t="n">
        <f aca="false">IF(COUNT(Transf!H$39:H137)&lt;36,"",(Transf!H137-AVERAGE(Transf!H$39:H137))/STDEV(Transf!H$39:H137))</f>
        <v>-2.94248632178445</v>
      </c>
      <c r="I137" s="10" t="n">
        <f aca="false">IF(COUNT(Transf!I$39:I137)&lt;36,"",(Transf!I137-AVERAGE(Transf!I$39:I137))/STDEV(Transf!I$39:I137))</f>
        <v>0.00527622886533912</v>
      </c>
      <c r="J137" s="10" t="n">
        <f aca="false">IF(B137="","",IF(COUNT(B$74:B137)&lt;60,B137,MEDIAN(QUARTILE(B$74:B137,1)-1.5*(QUARTILE(B$74:B137,3)-QUARTILE(B$74:B137,1)),B137,QUARTILE(B$74:B137,3)+1.5*(QUARTILE(B$74:B137,3)-QUARTILE(B$74:B137,1)))))</f>
        <v>-1.05621541298151</v>
      </c>
      <c r="K137" s="10" t="n">
        <f aca="false">IF(C137="","",IF(COUNT(C$74:C137)&lt;60,C137,MEDIAN(QUARTILE(C$74:C137,1)-1.5*(QUARTILE(C$74:C137,3)-QUARTILE(C$74:C137,1)),C137,QUARTILE(C$74:C137,3)+1.5*(QUARTILE(C$74:C137,3)-QUARTILE(C$74:C137,1)))))</f>
        <v>0.347919702048386</v>
      </c>
      <c r="L137" s="10" t="n">
        <f aca="false">IF(D137="","",IF(COUNT(D$74:D137)&lt;60,D137,MEDIAN(QUARTILE(D$74:D137,1)-1.5*(QUARTILE(D$74:D137,3)-QUARTILE(D$74:D137,1)),D137,QUARTILE(D$74:D137,3)+1.5*(QUARTILE(D$74:D137,3)-QUARTILE(D$74:D137,1)))))</f>
        <v>0.191141187698838</v>
      </c>
      <c r="M137" s="10" t="n">
        <f aca="false">IF(E137="","",IF(COUNT(E$74:E137)&lt;60,E137,MEDIAN(QUARTILE(E$74:E137,1)-1.5*(QUARTILE(E$74:E137,3)-QUARTILE(E$74:E137,1)),E137,QUARTILE(E$74:E137,3)+1.5*(QUARTILE(E$74:E137,3)-QUARTILE(E$74:E137,1)))))</f>
        <v>-0.694818814020979</v>
      </c>
      <c r="N137" s="10" t="n">
        <f aca="false">IF(F137="","",IF(COUNT(F$74:F137)&lt;60,F137,MEDIAN(QUARTILE(F$74:F137,1)-1.5*(QUARTILE(F$74:F137,3)-QUARTILE(F$74:F137,1)),F137,QUARTILE(F$74:F137,3)+1.5*(QUARTILE(F$74:F137,3)-QUARTILE(F$74:F137,1)))))</f>
        <v>0.64338004507129</v>
      </c>
      <c r="O137" s="10" t="n">
        <f aca="false">IF(G137="","",IF(COUNT(G$74:G137)&lt;60,G137,MEDIAN(QUARTILE(G$74:G137,1)-1.5*(QUARTILE(G$74:G137,3)-QUARTILE(G$74:G137,1)),G137,QUARTILE(G$74:G137,3)+1.5*(QUARTILE(G$74:G137,3)-QUARTILE(G$74:G137,1)))))</f>
        <v>-1.8379728467668</v>
      </c>
      <c r="P137" s="10" t="n">
        <f aca="false">IF(H137="","",IF(COUNT(H$74:H137)&lt;60,H137,MEDIAN(QUARTILE(H$74:H137,1)-1.5*(QUARTILE(H$74:H137,3)-QUARTILE(H$74:H137,1)),H137,QUARTILE(H$74:H137,3)+1.5*(QUARTILE(H$74:H137,3)-QUARTILE(H$74:H137,1)))))</f>
        <v>-1.33070386236685</v>
      </c>
      <c r="Q137" s="10" t="n">
        <f aca="false">IF(I137="","",IF(COUNT(I$74:I137)&lt;60,I137,MEDIAN(QUARTILE(I$74:I137,1)-1.5*(QUARTILE(I$74:I137,3)-QUARTILE(I$74:I137,1)),I137,QUARTILE(I$74:I137,3)+1.5*(QUARTILE(I$74:I137,3)-QUARTILE(I$74:I137,1)))))</f>
        <v>0.00527622886533912</v>
      </c>
      <c r="R137" s="10" t="n">
        <f aca="false">IF(J137="","",MEDIAN(J137:Q137))</f>
        <v>-0.34477129257782</v>
      </c>
      <c r="S137" s="10" t="n">
        <f aca="false">IF(R137="","",ABS(R137))</f>
        <v>0.34477129257782</v>
      </c>
      <c r="T137" s="10" t="n">
        <f aca="false">IF(COUNT(S$74:S136)&lt;60,"",MEDIAN(S$74:S136))</f>
        <v>0.292413320882044</v>
      </c>
      <c r="U137" s="10" t="n">
        <f aca="false">IF(R137="","",IF(T137="",0,IF(S137&gt;=T137,R137,0)))</f>
        <v>-0.34477129257782</v>
      </c>
      <c r="V137" s="10" t="n">
        <f aca="false">IF(U137="","",MEDIAN(-1,U137,1))</f>
        <v>-0.34477129257782</v>
      </c>
      <c r="W137" s="10" t="n">
        <f aca="false">IF(J137="","",AVERAGE(J137:Q137))</f>
        <v>-0.466499221556536</v>
      </c>
    </row>
    <row r="138" customFormat="false" ht="15" hidden="false" customHeight="false" outlineLevel="0" collapsed="false">
      <c r="A138" s="8" t="n">
        <f aca="false">Base!A138</f>
        <v>42155</v>
      </c>
      <c r="B138" s="10" t="n">
        <f aca="false">IF(COUNT(Transf!B$39:B138)&lt;36,"",(Transf!B138-AVERAGE(Transf!B$39:B138))/STDEV(Transf!B$39:B138))</f>
        <v>-1.22526591193546</v>
      </c>
      <c r="C138" s="10" t="n">
        <f aca="false">IF(COUNT(Transf!C$39:C138)&lt;36,"",(Transf!C138-AVERAGE(Transf!C$39:C138))/STDEV(Transf!C$39:C138))</f>
        <v>0.532364148569612</v>
      </c>
      <c r="D138" s="10" t="n">
        <f aca="false">IF(COUNT(Transf!D$39:D138)&lt;36,"",(Transf!D138-AVERAGE(Transf!D$39:D138))/STDEV(Transf!D$39:D138))</f>
        <v>0.0840205598656087</v>
      </c>
      <c r="E138" s="10" t="n">
        <f aca="false">IF(COUNT(Transf!E$39:E138)&lt;36,"",(Transf!E138-AVERAGE(Transf!E$39:E138))/STDEV(Transf!E$39:E138))</f>
        <v>-0.863661151009676</v>
      </c>
      <c r="F138" s="10" t="n">
        <f aca="false">IF(COUNT(Transf!F$39:F138)&lt;36,"",(Transf!F138-AVERAGE(Transf!F$39:F138))/STDEV(Transf!F$39:F138))</f>
        <v>0.89302595613457</v>
      </c>
      <c r="G138" s="10" t="n">
        <f aca="false">IF(COUNT(Transf!G$39:G138)&lt;36,"",(Transf!G138-AVERAGE(Transf!G$39:G138))/STDEV(Transf!G$39:G138))</f>
        <v>-1.84163524273579</v>
      </c>
      <c r="H138" s="10" t="n">
        <f aca="false">IF(COUNT(Transf!H$39:H138)&lt;36,"",(Transf!H138-AVERAGE(Transf!H$39:H138))/STDEV(Transf!H$39:H138))</f>
        <v>-2.8367392447663</v>
      </c>
      <c r="I138" s="10" t="n">
        <f aca="false">IF(COUNT(Transf!I$39:I138)&lt;36,"",(Transf!I138-AVERAGE(Transf!I$39:I138))/STDEV(Transf!I$39:I138))</f>
        <v>-0.132945902504322</v>
      </c>
      <c r="J138" s="10" t="n">
        <f aca="false">IF(B138="","",IF(COUNT(B$74:B138)&lt;60,B138,MEDIAN(QUARTILE(B$74:B138,1)-1.5*(QUARTILE(B$74:B138,3)-QUARTILE(B$74:B138,1)),B138,QUARTILE(B$74:B138,3)+1.5*(QUARTILE(B$74:B138,3)-QUARTILE(B$74:B138,1)))))</f>
        <v>-1.22526591193546</v>
      </c>
      <c r="K138" s="10" t="n">
        <f aca="false">IF(C138="","",IF(COUNT(C$74:C138)&lt;60,C138,MEDIAN(QUARTILE(C$74:C138,1)-1.5*(QUARTILE(C$74:C138,3)-QUARTILE(C$74:C138,1)),C138,QUARTILE(C$74:C138,3)+1.5*(QUARTILE(C$74:C138,3)-QUARTILE(C$74:C138,1)))))</f>
        <v>0.532364148569612</v>
      </c>
      <c r="L138" s="10" t="n">
        <f aca="false">IF(D138="","",IF(COUNT(D$74:D138)&lt;60,D138,MEDIAN(QUARTILE(D$74:D138,1)-1.5*(QUARTILE(D$74:D138,3)-QUARTILE(D$74:D138,1)),D138,QUARTILE(D$74:D138,3)+1.5*(QUARTILE(D$74:D138,3)-QUARTILE(D$74:D138,1)))))</f>
        <v>0.0840205598656087</v>
      </c>
      <c r="M138" s="10" t="n">
        <f aca="false">IF(E138="","",IF(COUNT(E$74:E138)&lt;60,E138,MEDIAN(QUARTILE(E$74:E138,1)-1.5*(QUARTILE(E$74:E138,3)-QUARTILE(E$74:E138,1)),E138,QUARTILE(E$74:E138,3)+1.5*(QUARTILE(E$74:E138,3)-QUARTILE(E$74:E138,1)))))</f>
        <v>-0.863661151009676</v>
      </c>
      <c r="N138" s="10" t="n">
        <f aca="false">IF(F138="","",IF(COUNT(F$74:F138)&lt;60,F138,MEDIAN(QUARTILE(F$74:F138,1)-1.5*(QUARTILE(F$74:F138,3)-QUARTILE(F$74:F138,1)),F138,QUARTILE(F$74:F138,3)+1.5*(QUARTILE(F$74:F138,3)-QUARTILE(F$74:F138,1)))))</f>
        <v>0.89302595613457</v>
      </c>
      <c r="O138" s="10" t="n">
        <f aca="false">IF(G138="","",IF(COUNT(G$74:G138)&lt;60,G138,MEDIAN(QUARTILE(G$74:G138,1)-1.5*(QUARTILE(G$74:G138,3)-QUARTILE(G$74:G138,1)),G138,QUARTILE(G$74:G138,3)+1.5*(QUARTILE(G$74:G138,3)-QUARTILE(G$74:G138,1)))))</f>
        <v>-1.84163524273579</v>
      </c>
      <c r="P138" s="10" t="n">
        <f aca="false">IF(H138="","",IF(COUNT(H$74:H138)&lt;60,H138,MEDIAN(QUARTILE(H$74:H138,1)-1.5*(QUARTILE(H$74:H138,3)-QUARTILE(H$74:H138,1)),H138,QUARTILE(H$74:H138,3)+1.5*(QUARTILE(H$74:H138,3)-QUARTILE(H$74:H138,1)))))</f>
        <v>-1.3689109737284</v>
      </c>
      <c r="Q138" s="10" t="n">
        <f aca="false">IF(I138="","",IF(COUNT(I$74:I138)&lt;60,I138,MEDIAN(QUARTILE(I$74:I138,1)-1.5*(QUARTILE(I$74:I138,3)-QUARTILE(I$74:I138,1)),I138,QUARTILE(I$74:I138,3)+1.5*(QUARTILE(I$74:I138,3)-QUARTILE(I$74:I138,1)))))</f>
        <v>-0.132945902504322</v>
      </c>
      <c r="R138" s="10" t="n">
        <f aca="false">IF(J138="","",MEDIAN(J138:Q138))</f>
        <v>-0.498303526756999</v>
      </c>
      <c r="S138" s="10" t="n">
        <f aca="false">IF(R138="","",ABS(R138))</f>
        <v>0.498303526756999</v>
      </c>
      <c r="T138" s="10" t="n">
        <f aca="false">IF(COUNT(S$74:S137)&lt;60,"",MEDIAN(S$74:S137))</f>
        <v>0.300931708027562</v>
      </c>
      <c r="U138" s="10" t="n">
        <f aca="false">IF(R138="","",IF(T138="",0,IF(S138&gt;=T138,R138,0)))</f>
        <v>-0.498303526756999</v>
      </c>
      <c r="V138" s="10" t="n">
        <f aca="false">IF(U138="","",MEDIAN(-1,U138,1))</f>
        <v>-0.498303526756999</v>
      </c>
      <c r="W138" s="10" t="n">
        <f aca="false">IF(J138="","",AVERAGE(J138:Q138))</f>
        <v>-0.490376064667983</v>
      </c>
    </row>
    <row r="139" customFormat="false" ht="15" hidden="false" customHeight="false" outlineLevel="0" collapsed="false">
      <c r="A139" s="8" t="n">
        <f aca="false">Base!A139</f>
        <v>42185</v>
      </c>
      <c r="B139" s="10" t="n">
        <f aca="false">IF(COUNT(Transf!B$39:B139)&lt;36,"",(Transf!B139-AVERAGE(Transf!B$39:B139))/STDEV(Transf!B$39:B139))</f>
        <v>-1.28908975436535</v>
      </c>
      <c r="C139" s="10" t="n">
        <f aca="false">IF(COUNT(Transf!C$39:C139)&lt;36,"",(Transf!C139-AVERAGE(Transf!C$39:C139))/STDEV(Transf!C$39:C139))</f>
        <v>0.717947988945243</v>
      </c>
      <c r="D139" s="10" t="n">
        <f aca="false">IF(COUNT(Transf!D$39:D139)&lt;36,"",(Transf!D139-AVERAGE(Transf!D$39:D139))/STDEV(Transf!D$39:D139))</f>
        <v>0.11916951040748</v>
      </c>
      <c r="E139" s="10" t="n">
        <f aca="false">IF(COUNT(Transf!E$39:E139)&lt;36,"",(Transf!E139-AVERAGE(Transf!E$39:E139))/STDEV(Transf!E$39:E139))</f>
        <v>-0.950061373693815</v>
      </c>
      <c r="F139" s="10" t="n">
        <f aca="false">IF(COUNT(Transf!F$39:F139)&lt;36,"",(Transf!F139-AVERAGE(Transf!F$39:F139))/STDEV(Transf!F$39:F139))</f>
        <v>0.97965915317189</v>
      </c>
      <c r="G139" s="10" t="n">
        <f aca="false">IF(COUNT(Transf!G$39:G139)&lt;36,"",(Transf!G139-AVERAGE(Transf!G$39:G139))/STDEV(Transf!G$39:G139))</f>
        <v>-1.69360613622719</v>
      </c>
      <c r="H139" s="10" t="n">
        <f aca="false">IF(COUNT(Transf!H$39:H139)&lt;36,"",(Transf!H139-AVERAGE(Transf!H$39:H139))/STDEV(Transf!H$39:H139))</f>
        <v>-2.60257961533595</v>
      </c>
      <c r="I139" s="10" t="n">
        <f aca="false">IF(COUNT(Transf!I$39:I139)&lt;36,"",(Transf!I139-AVERAGE(Transf!I$39:I139))/STDEV(Transf!I$39:I139))</f>
        <v>-0.175629248529469</v>
      </c>
      <c r="J139" s="10" t="n">
        <f aca="false">IF(B139="","",IF(COUNT(B$74:B139)&lt;60,B139,MEDIAN(QUARTILE(B$74:B139,1)-1.5*(QUARTILE(B$74:B139,3)-QUARTILE(B$74:B139,1)),B139,QUARTILE(B$74:B139,3)+1.5*(QUARTILE(B$74:B139,3)-QUARTILE(B$74:B139,1)))))</f>
        <v>-1.28908975436535</v>
      </c>
      <c r="K139" s="10" t="n">
        <f aca="false">IF(C139="","",IF(COUNT(C$74:C139)&lt;60,C139,MEDIAN(QUARTILE(C$74:C139,1)-1.5*(QUARTILE(C$74:C139,3)-QUARTILE(C$74:C139,1)),C139,QUARTILE(C$74:C139,3)+1.5*(QUARTILE(C$74:C139,3)-QUARTILE(C$74:C139,1)))))</f>
        <v>0.717947988945243</v>
      </c>
      <c r="L139" s="10" t="n">
        <f aca="false">IF(D139="","",IF(COUNT(D$74:D139)&lt;60,D139,MEDIAN(QUARTILE(D$74:D139,1)-1.5*(QUARTILE(D$74:D139,3)-QUARTILE(D$74:D139,1)),D139,QUARTILE(D$74:D139,3)+1.5*(QUARTILE(D$74:D139,3)-QUARTILE(D$74:D139,1)))))</f>
        <v>0.11916951040748</v>
      </c>
      <c r="M139" s="10" t="n">
        <f aca="false">IF(E139="","",IF(COUNT(E$74:E139)&lt;60,E139,MEDIAN(QUARTILE(E$74:E139,1)-1.5*(QUARTILE(E$74:E139,3)-QUARTILE(E$74:E139,1)),E139,QUARTILE(E$74:E139,3)+1.5*(QUARTILE(E$74:E139,3)-QUARTILE(E$74:E139,1)))))</f>
        <v>-0.950061373693815</v>
      </c>
      <c r="N139" s="10" t="n">
        <f aca="false">IF(F139="","",IF(COUNT(F$74:F139)&lt;60,F139,MEDIAN(QUARTILE(F$74:F139,1)-1.5*(QUARTILE(F$74:F139,3)-QUARTILE(F$74:F139,1)),F139,QUARTILE(F$74:F139,3)+1.5*(QUARTILE(F$74:F139,3)-QUARTILE(F$74:F139,1)))))</f>
        <v>0.97965915317189</v>
      </c>
      <c r="O139" s="10" t="n">
        <f aca="false">IF(G139="","",IF(COUNT(G$74:G139)&lt;60,G139,MEDIAN(QUARTILE(G$74:G139,1)-1.5*(QUARTILE(G$74:G139,3)-QUARTILE(G$74:G139,1)),G139,QUARTILE(G$74:G139,3)+1.5*(QUARTILE(G$74:G139,3)-QUARTILE(G$74:G139,1)))))</f>
        <v>-1.69360613622719</v>
      </c>
      <c r="P139" s="10" t="n">
        <f aca="false">IF(H139="","",IF(COUNT(H$74:H139)&lt;60,H139,MEDIAN(QUARTILE(H$74:H139,1)-1.5*(QUARTILE(H$74:H139,3)-QUARTILE(H$74:H139,1)),H139,QUARTILE(H$74:H139,3)+1.5*(QUARTILE(H$74:H139,3)-QUARTILE(H$74:H139,1)))))</f>
        <v>-1.531961919986</v>
      </c>
      <c r="Q139" s="10" t="n">
        <f aca="false">IF(I139="","",IF(COUNT(I$74:I139)&lt;60,I139,MEDIAN(QUARTILE(I$74:I139,1)-1.5*(QUARTILE(I$74:I139,3)-QUARTILE(I$74:I139,1)),I139,QUARTILE(I$74:I139,3)+1.5*(QUARTILE(I$74:I139,3)-QUARTILE(I$74:I139,1)))))</f>
        <v>-0.175629248529469</v>
      </c>
      <c r="R139" s="10" t="n">
        <f aca="false">IF(J139="","",MEDIAN(J139:Q139))</f>
        <v>-0.562845311111642</v>
      </c>
      <c r="S139" s="10" t="n">
        <f aca="false">IF(R139="","",ABS(R139))</f>
        <v>0.562845311111642</v>
      </c>
      <c r="T139" s="10" t="n">
        <f aca="false">IF(COUNT(S$74:S138)&lt;60,"",MEDIAN(S$74:S138))</f>
        <v>0.309450095173081</v>
      </c>
      <c r="U139" s="10" t="n">
        <f aca="false">IF(R139="","",IF(T139="",0,IF(S139&gt;=T139,R139,0)))</f>
        <v>-0.562845311111642</v>
      </c>
      <c r="V139" s="10" t="n">
        <f aca="false">IF(U139="","",MEDIAN(-1,U139,1))</f>
        <v>-0.562845311111642</v>
      </c>
      <c r="W139" s="10" t="n">
        <f aca="false">IF(J139="","",AVERAGE(J139:Q139))</f>
        <v>-0.477946472534651</v>
      </c>
    </row>
    <row r="140" customFormat="false" ht="15" hidden="false" customHeight="false" outlineLevel="0" collapsed="false">
      <c r="A140" s="8" t="n">
        <f aca="false">Base!A140</f>
        <v>42216</v>
      </c>
      <c r="B140" s="10" t="n">
        <f aca="false">IF(COUNT(Transf!B$39:B140)&lt;36,"",(Transf!B140-AVERAGE(Transf!B$39:B140))/STDEV(Transf!B$39:B140))</f>
        <v>-1.13933948417939</v>
      </c>
      <c r="C140" s="10" t="n">
        <f aca="false">IF(COUNT(Transf!C$39:C140)&lt;36,"",(Transf!C140-AVERAGE(Transf!C$39:C140))/STDEV(Transf!C$39:C140))</f>
        <v>0.810422628379101</v>
      </c>
      <c r="D140" s="10" t="n">
        <f aca="false">IF(COUNT(Transf!D$39:D140)&lt;36,"",(Transf!D140-AVERAGE(Transf!D$39:D140))/STDEV(Transf!D$39:D140))</f>
        <v>0.293718507362909</v>
      </c>
      <c r="E140" s="10" t="n">
        <f aca="false">IF(COUNT(Transf!E$39:E140)&lt;36,"",(Transf!E140-AVERAGE(Transf!E$39:E140))/STDEV(Transf!E$39:E140))</f>
        <v>-0.990898465918733</v>
      </c>
      <c r="F140" s="10" t="n">
        <f aca="false">IF(COUNT(Transf!F$39:F140)&lt;36,"",(Transf!F140-AVERAGE(Transf!F$39:F140))/STDEV(Transf!F$39:F140))</f>
        <v>0.801870724354826</v>
      </c>
      <c r="G140" s="10" t="n">
        <f aca="false">IF(COUNT(Transf!G$39:G140)&lt;36,"",(Transf!G140-AVERAGE(Transf!G$39:G140))/STDEV(Transf!G$39:G140))</f>
        <v>-1.70911358175004</v>
      </c>
      <c r="H140" s="10" t="n">
        <f aca="false">IF(COUNT(Transf!H$39:H140)&lt;36,"",(Transf!H140-AVERAGE(Transf!H$39:H140))/STDEV(Transf!H$39:H140))</f>
        <v>-2.55979497900786</v>
      </c>
      <c r="I140" s="10" t="n">
        <f aca="false">IF(COUNT(Transf!I$39:I140)&lt;36,"",(Transf!I140-AVERAGE(Transf!I$39:I140))/STDEV(Transf!I$39:I140))</f>
        <v>-0.0887214727389263</v>
      </c>
      <c r="J140" s="10" t="n">
        <f aca="false">IF(B140="","",IF(COUNT(B$74:B140)&lt;60,B140,MEDIAN(QUARTILE(B$74:B140,1)-1.5*(QUARTILE(B$74:B140,3)-QUARTILE(B$74:B140,1)),B140,QUARTILE(B$74:B140,3)+1.5*(QUARTILE(B$74:B140,3)-QUARTILE(B$74:B140,1)))))</f>
        <v>-1.13933948417939</v>
      </c>
      <c r="K140" s="10" t="n">
        <f aca="false">IF(C140="","",IF(COUNT(C$74:C140)&lt;60,C140,MEDIAN(QUARTILE(C$74:C140,1)-1.5*(QUARTILE(C$74:C140,3)-QUARTILE(C$74:C140,1)),C140,QUARTILE(C$74:C140,3)+1.5*(QUARTILE(C$74:C140,3)-QUARTILE(C$74:C140,1)))))</f>
        <v>0.810422628379101</v>
      </c>
      <c r="L140" s="10" t="n">
        <f aca="false">IF(D140="","",IF(COUNT(D$74:D140)&lt;60,D140,MEDIAN(QUARTILE(D$74:D140,1)-1.5*(QUARTILE(D$74:D140,3)-QUARTILE(D$74:D140,1)),D140,QUARTILE(D$74:D140,3)+1.5*(QUARTILE(D$74:D140,3)-QUARTILE(D$74:D140,1)))))</f>
        <v>0.293718507362909</v>
      </c>
      <c r="M140" s="10" t="n">
        <f aca="false">IF(E140="","",IF(COUNT(E$74:E140)&lt;60,E140,MEDIAN(QUARTILE(E$74:E140,1)-1.5*(QUARTILE(E$74:E140,3)-QUARTILE(E$74:E140,1)),E140,QUARTILE(E$74:E140,3)+1.5*(QUARTILE(E$74:E140,3)-QUARTILE(E$74:E140,1)))))</f>
        <v>-0.990898465918733</v>
      </c>
      <c r="N140" s="10" t="n">
        <f aca="false">IF(F140="","",IF(COUNT(F$74:F140)&lt;60,F140,MEDIAN(QUARTILE(F$74:F140,1)-1.5*(QUARTILE(F$74:F140,3)-QUARTILE(F$74:F140,1)),F140,QUARTILE(F$74:F140,3)+1.5*(QUARTILE(F$74:F140,3)-QUARTILE(F$74:F140,1)))))</f>
        <v>0.801870724354826</v>
      </c>
      <c r="O140" s="10" t="n">
        <f aca="false">IF(G140="","",IF(COUNT(G$74:G140)&lt;60,G140,MEDIAN(QUARTILE(G$74:G140,1)-1.5*(QUARTILE(G$74:G140,3)-QUARTILE(G$74:G140,1)),G140,QUARTILE(G$74:G140,3)+1.5*(QUARTILE(G$74:G140,3)-QUARTILE(G$74:G140,1)))))</f>
        <v>-1.70911358175004</v>
      </c>
      <c r="P140" s="10" t="n">
        <f aca="false">IF(H140="","",IF(COUNT(H$74:H140)&lt;60,H140,MEDIAN(QUARTILE(H$74:H140,1)-1.5*(QUARTILE(H$74:H140,3)-QUARTILE(H$74:H140,1)),H140,QUARTILE(H$74:H140,3)+1.5*(QUARTILE(H$74:H140,3)-QUARTILE(H$74:H140,1)))))</f>
        <v>-1.59840552434357</v>
      </c>
      <c r="Q140" s="10" t="n">
        <f aca="false">IF(I140="","",IF(COUNT(I$74:I140)&lt;60,I140,MEDIAN(QUARTILE(I$74:I140,1)-1.5*(QUARTILE(I$74:I140,3)-QUARTILE(I$74:I140,1)),I140,QUARTILE(I$74:I140,3)+1.5*(QUARTILE(I$74:I140,3)-QUARTILE(I$74:I140,1)))))</f>
        <v>-0.0887214727389263</v>
      </c>
      <c r="R140" s="10" t="n">
        <f aca="false">IF(J140="","",MEDIAN(J140:Q140))</f>
        <v>-0.53980996932883</v>
      </c>
      <c r="S140" s="10" t="n">
        <f aca="false">IF(R140="","",ABS(R140))</f>
        <v>0.53980996932883</v>
      </c>
      <c r="T140" s="10" t="n">
        <f aca="false">IF(COUNT(S$74:S139)&lt;60,"",MEDIAN(S$74:S139))</f>
        <v>0.30963878995737</v>
      </c>
      <c r="U140" s="10" t="n">
        <f aca="false">IF(R140="","",IF(T140="",0,IF(S140&gt;=T140,R140,0)))</f>
        <v>-0.53980996932883</v>
      </c>
      <c r="V140" s="10" t="n">
        <f aca="false">IF(U140="","",MEDIAN(-1,U140,1))</f>
        <v>-0.53980996932883</v>
      </c>
      <c r="W140" s="10" t="n">
        <f aca="false">IF(J140="","",AVERAGE(J140:Q140))</f>
        <v>-0.452558333604228</v>
      </c>
    </row>
    <row r="141" customFormat="false" ht="15" hidden="false" customHeight="false" outlineLevel="0" collapsed="false">
      <c r="A141" s="8" t="n">
        <f aca="false">Base!A141</f>
        <v>42247</v>
      </c>
      <c r="B141" s="10" t="n">
        <f aca="false">IF(COUNT(Transf!B$39:B141)&lt;36,"",(Transf!B141-AVERAGE(Transf!B$39:B141))/STDEV(Transf!B$39:B141))</f>
        <v>-0.988670532253777</v>
      </c>
      <c r="C141" s="10" t="n">
        <f aca="false">IF(COUNT(Transf!C$39:C141)&lt;36,"",(Transf!C141-AVERAGE(Transf!C$39:C141))/STDEV(Transf!C$39:C141))</f>
        <v>0.938042092814388</v>
      </c>
      <c r="D141" s="10" t="n">
        <f aca="false">IF(COUNT(Transf!D$39:D141)&lt;36,"",(Transf!D141-AVERAGE(Transf!D$39:D141))/STDEV(Transf!D$39:D141))</f>
        <v>0.685745930523737</v>
      </c>
      <c r="E141" s="10" t="n">
        <f aca="false">IF(COUNT(Transf!E$39:E141)&lt;36,"",(Transf!E141-AVERAGE(Transf!E$39:E141))/STDEV(Transf!E$39:E141))</f>
        <v>-1.02681077629661</v>
      </c>
      <c r="F141" s="10" t="n">
        <f aca="false">IF(COUNT(Transf!F$39:F141)&lt;36,"",(Transf!F141-AVERAGE(Transf!F$39:F141))/STDEV(Transf!F$39:F141))</f>
        <v>0.687198108379323</v>
      </c>
      <c r="G141" s="10" t="n">
        <f aca="false">IF(COUNT(Transf!G$39:G141)&lt;36,"",(Transf!G141-AVERAGE(Transf!G$39:G141))/STDEV(Transf!G$39:G141))</f>
        <v>-1.75326046470332</v>
      </c>
      <c r="H141" s="10" t="n">
        <f aca="false">IF(COUNT(Transf!H$39:H141)&lt;36,"",(Transf!H141-AVERAGE(Transf!H$39:H141))/STDEV(Transf!H$39:H141))</f>
        <v>-2.64366159170362</v>
      </c>
      <c r="I141" s="10" t="n">
        <f aca="false">IF(COUNT(Transf!I$39:I141)&lt;36,"",(Transf!I141-AVERAGE(Transf!I$39:I141))/STDEV(Transf!I$39:I141))</f>
        <v>-0.213554236068384</v>
      </c>
      <c r="J141" s="10" t="n">
        <f aca="false">IF(B141="","",IF(COUNT(B$74:B141)&lt;60,B141,MEDIAN(QUARTILE(B$74:B141,1)-1.5*(QUARTILE(B$74:B141,3)-QUARTILE(B$74:B141,1)),B141,QUARTILE(B$74:B141,3)+1.5*(QUARTILE(B$74:B141,3)-QUARTILE(B$74:B141,1)))))</f>
        <v>-0.988670532253777</v>
      </c>
      <c r="K141" s="10" t="n">
        <f aca="false">IF(C141="","",IF(COUNT(C$74:C141)&lt;60,C141,MEDIAN(QUARTILE(C$74:C141,1)-1.5*(QUARTILE(C$74:C141,3)-QUARTILE(C$74:C141,1)),C141,QUARTILE(C$74:C141,3)+1.5*(QUARTILE(C$74:C141,3)-QUARTILE(C$74:C141,1)))))</f>
        <v>0.938042092814388</v>
      </c>
      <c r="L141" s="10" t="n">
        <f aca="false">IF(D141="","",IF(COUNT(D$74:D141)&lt;60,D141,MEDIAN(QUARTILE(D$74:D141,1)-1.5*(QUARTILE(D$74:D141,3)-QUARTILE(D$74:D141,1)),D141,QUARTILE(D$74:D141,3)+1.5*(QUARTILE(D$74:D141,3)-QUARTILE(D$74:D141,1)))))</f>
        <v>0.685745930523737</v>
      </c>
      <c r="M141" s="10" t="n">
        <f aca="false">IF(E141="","",IF(COUNT(E$74:E141)&lt;60,E141,MEDIAN(QUARTILE(E$74:E141,1)-1.5*(QUARTILE(E$74:E141,3)-QUARTILE(E$74:E141,1)),E141,QUARTILE(E$74:E141,3)+1.5*(QUARTILE(E$74:E141,3)-QUARTILE(E$74:E141,1)))))</f>
        <v>-1.02681077629661</v>
      </c>
      <c r="N141" s="10" t="n">
        <f aca="false">IF(F141="","",IF(COUNT(F$74:F141)&lt;60,F141,MEDIAN(QUARTILE(F$74:F141,1)-1.5*(QUARTILE(F$74:F141,3)-QUARTILE(F$74:F141,1)),F141,QUARTILE(F$74:F141,3)+1.5*(QUARTILE(F$74:F141,3)-QUARTILE(F$74:F141,1)))))</f>
        <v>0.687198108379323</v>
      </c>
      <c r="O141" s="10" t="n">
        <f aca="false">IF(G141="","",IF(COUNT(G$74:G141)&lt;60,G141,MEDIAN(QUARTILE(G$74:G141,1)-1.5*(QUARTILE(G$74:G141,3)-QUARTILE(G$74:G141,1)),G141,QUARTILE(G$74:G141,3)+1.5*(QUARTILE(G$74:G141,3)-QUARTILE(G$74:G141,1)))))</f>
        <v>-1.75326046470332</v>
      </c>
      <c r="P141" s="10" t="n">
        <f aca="false">IF(H141="","",IF(COUNT(H$74:H141)&lt;60,H141,MEDIAN(QUARTILE(H$74:H141,1)-1.5*(QUARTILE(H$74:H141,3)-QUARTILE(H$74:H141,1)),H141,QUARTILE(H$74:H141,3)+1.5*(QUARTILE(H$74:H141,3)-QUARTILE(H$74:H141,1)))))</f>
        <v>-1.6662885370521</v>
      </c>
      <c r="Q141" s="10" t="n">
        <f aca="false">IF(I141="","",IF(COUNT(I$74:I141)&lt;60,I141,MEDIAN(QUARTILE(I$74:I141,1)-1.5*(QUARTILE(I$74:I141,3)-QUARTILE(I$74:I141,1)),I141,QUARTILE(I$74:I141,3)+1.5*(QUARTILE(I$74:I141,3)-QUARTILE(I$74:I141,1)))))</f>
        <v>-0.213554236068384</v>
      </c>
      <c r="R141" s="10" t="n">
        <f aca="false">IF(J141="","",MEDIAN(J141:Q141))</f>
        <v>-0.601112384161081</v>
      </c>
      <c r="S141" s="10" t="n">
        <f aca="false">IF(R141="","",ABS(R141))</f>
        <v>0.601112384161081</v>
      </c>
      <c r="T141" s="10" t="n">
        <f aca="false">IF(COUNT(S$74:S140)&lt;60,"",MEDIAN(S$74:S140))</f>
        <v>0.30982748474166</v>
      </c>
      <c r="U141" s="10" t="n">
        <f aca="false">IF(R141="","",IF(T141="",0,IF(S141&gt;=T141,R141,0)))</f>
        <v>-0.601112384161081</v>
      </c>
      <c r="V141" s="10" t="n">
        <f aca="false">IF(U141="","",MEDIAN(-1,U141,1))</f>
        <v>-0.601112384161081</v>
      </c>
      <c r="W141" s="10" t="n">
        <f aca="false">IF(J141="","",AVERAGE(J141:Q141))</f>
        <v>-0.417199801832092</v>
      </c>
    </row>
    <row r="142" customFormat="false" ht="15" hidden="false" customHeight="false" outlineLevel="0" collapsed="false">
      <c r="A142" s="8" t="n">
        <f aca="false">Base!A142</f>
        <v>42277</v>
      </c>
      <c r="B142" s="10" t="n">
        <f aca="false">IF(COUNT(Transf!B$39:B142)&lt;36,"",(Transf!B142-AVERAGE(Transf!B$39:B142))/STDEV(Transf!B$39:B142))</f>
        <v>-0.856836075386203</v>
      </c>
      <c r="C142" s="10" t="n">
        <f aca="false">IF(COUNT(Transf!C$39:C142)&lt;36,"",(Transf!C142-AVERAGE(Transf!C$39:C142))/STDEV(Transf!C$39:C142))</f>
        <v>0.764025188067897</v>
      </c>
      <c r="D142" s="10" t="n">
        <f aca="false">IF(COUNT(Transf!D$39:D142)&lt;36,"",(Transf!D142-AVERAGE(Transf!D$39:D142))/STDEV(Transf!D$39:D142))</f>
        <v>0.904966655075417</v>
      </c>
      <c r="E142" s="10" t="n">
        <f aca="false">IF(COUNT(Transf!E$39:E142)&lt;36,"",(Transf!E142-AVERAGE(Transf!E$39:E142))/STDEV(Transf!E$39:E142))</f>
        <v>-1.07310608142934</v>
      </c>
      <c r="F142" s="10" t="n">
        <f aca="false">IF(COUNT(Transf!F$39:F142)&lt;36,"",(Transf!F142-AVERAGE(Transf!F$39:F142))/STDEV(Transf!F$39:F142))</f>
        <v>0.486432704418406</v>
      </c>
      <c r="G142" s="10" t="n">
        <f aca="false">IF(COUNT(Transf!G$39:G142)&lt;36,"",(Transf!G142-AVERAGE(Transf!G$39:G142))/STDEV(Transf!G$39:G142))</f>
        <v>-1.7604237085796</v>
      </c>
      <c r="H142" s="10" t="n">
        <f aca="false">IF(COUNT(Transf!H$39:H142)&lt;36,"",(Transf!H142-AVERAGE(Transf!H$39:H142))/STDEV(Transf!H$39:H142))</f>
        <v>-2.82476116452837</v>
      </c>
      <c r="I142" s="10" t="n">
        <f aca="false">IF(COUNT(Transf!I$39:I142)&lt;36,"",(Transf!I142-AVERAGE(Transf!I$39:I142))/STDEV(Transf!I$39:I142))</f>
        <v>-0.269067086554765</v>
      </c>
      <c r="J142" s="10" t="n">
        <f aca="false">IF(B142="","",IF(COUNT(B$74:B142)&lt;60,B142,MEDIAN(QUARTILE(B$74:B142,1)-1.5*(QUARTILE(B$74:B142,3)-QUARTILE(B$74:B142,1)),B142,QUARTILE(B$74:B142,3)+1.5*(QUARTILE(B$74:B142,3)-QUARTILE(B$74:B142,1)))))</f>
        <v>-0.856836075386203</v>
      </c>
      <c r="K142" s="10" t="n">
        <f aca="false">IF(C142="","",IF(COUNT(C$74:C142)&lt;60,C142,MEDIAN(QUARTILE(C$74:C142,1)-1.5*(QUARTILE(C$74:C142,3)-QUARTILE(C$74:C142,1)),C142,QUARTILE(C$74:C142,3)+1.5*(QUARTILE(C$74:C142,3)-QUARTILE(C$74:C142,1)))))</f>
        <v>0.764025188067897</v>
      </c>
      <c r="L142" s="10" t="n">
        <f aca="false">IF(D142="","",IF(COUNT(D$74:D142)&lt;60,D142,MEDIAN(QUARTILE(D$74:D142,1)-1.5*(QUARTILE(D$74:D142,3)-QUARTILE(D$74:D142,1)),D142,QUARTILE(D$74:D142,3)+1.5*(QUARTILE(D$74:D142,3)-QUARTILE(D$74:D142,1)))))</f>
        <v>0.904966655075417</v>
      </c>
      <c r="M142" s="10" t="n">
        <f aca="false">IF(E142="","",IF(COUNT(E$74:E142)&lt;60,E142,MEDIAN(QUARTILE(E$74:E142,1)-1.5*(QUARTILE(E$74:E142,3)-QUARTILE(E$74:E142,1)),E142,QUARTILE(E$74:E142,3)+1.5*(QUARTILE(E$74:E142,3)-QUARTILE(E$74:E142,1)))))</f>
        <v>-1.07310608142934</v>
      </c>
      <c r="N142" s="10" t="n">
        <f aca="false">IF(F142="","",IF(COUNT(F$74:F142)&lt;60,F142,MEDIAN(QUARTILE(F$74:F142,1)-1.5*(QUARTILE(F$74:F142,3)-QUARTILE(F$74:F142,1)),F142,QUARTILE(F$74:F142,3)+1.5*(QUARTILE(F$74:F142,3)-QUARTILE(F$74:F142,1)))))</f>
        <v>0.486432704418406</v>
      </c>
      <c r="O142" s="10" t="n">
        <f aca="false">IF(G142="","",IF(COUNT(G$74:G142)&lt;60,G142,MEDIAN(QUARTILE(G$74:G142,1)-1.5*(QUARTILE(G$74:G142,3)-QUARTILE(G$74:G142,1)),G142,QUARTILE(G$74:G142,3)+1.5*(QUARTILE(G$74:G142,3)-QUARTILE(G$74:G142,1)))))</f>
        <v>-1.7604237085796</v>
      </c>
      <c r="P142" s="10" t="n">
        <f aca="false">IF(H142="","",IF(COUNT(H$74:H142)&lt;60,H142,MEDIAN(QUARTILE(H$74:H142,1)-1.5*(QUARTILE(H$74:H142,3)-QUARTILE(H$74:H142,1)),H142,QUARTILE(H$74:H142,3)+1.5*(QUARTILE(H$74:H142,3)-QUARTILE(H$74:H142,1)))))</f>
        <v>-1.83365770836255</v>
      </c>
      <c r="Q142" s="10" t="n">
        <f aca="false">IF(I142="","",IF(COUNT(I$74:I142)&lt;60,I142,MEDIAN(QUARTILE(I$74:I142,1)-1.5*(QUARTILE(I$74:I142,3)-QUARTILE(I$74:I142,1)),I142,QUARTILE(I$74:I142,3)+1.5*(QUARTILE(I$74:I142,3)-QUARTILE(I$74:I142,1)))))</f>
        <v>-0.269067086554765</v>
      </c>
      <c r="R142" s="10" t="n">
        <f aca="false">IF(J142="","",MEDIAN(J142:Q142))</f>
        <v>-0.562951580970484</v>
      </c>
      <c r="S142" s="10" t="n">
        <f aca="false">IF(R142="","",ABS(R142))</f>
        <v>0.562951580970484</v>
      </c>
      <c r="T142" s="10" t="n">
        <f aca="false">IF(COUNT(S$74:S141)&lt;60,"",MEDIAN(S$74:S141))</f>
        <v>0.326451209426089</v>
      </c>
      <c r="U142" s="10" t="n">
        <f aca="false">IF(R142="","",IF(T142="",0,IF(S142&gt;=T142,R142,0)))</f>
        <v>-0.562951580970484</v>
      </c>
      <c r="V142" s="10" t="n">
        <f aca="false">IF(U142="","",MEDIAN(-1,U142,1))</f>
        <v>-0.562951580970484</v>
      </c>
      <c r="W142" s="10" t="n">
        <f aca="false">IF(J142="","",AVERAGE(J142:Q142))</f>
        <v>-0.454708264093843</v>
      </c>
    </row>
    <row r="143" customFormat="false" ht="15" hidden="false" customHeight="false" outlineLevel="0" collapsed="false">
      <c r="A143" s="8" t="n">
        <f aca="false">Base!A143</f>
        <v>42308</v>
      </c>
      <c r="B143" s="10" t="n">
        <f aca="false">IF(COUNT(Transf!B$39:B143)&lt;36,"",(Transf!B143-AVERAGE(Transf!B$39:B143))/STDEV(Transf!B$39:B143))</f>
        <v>-0.843678946343728</v>
      </c>
      <c r="C143" s="10" t="n">
        <f aca="false">IF(COUNT(Transf!C$39:C143)&lt;36,"",(Transf!C143-AVERAGE(Transf!C$39:C143))/STDEV(Transf!C$39:C143))</f>
        <v>0.665136274165987</v>
      </c>
      <c r="D143" s="10" t="n">
        <f aca="false">IF(COUNT(Transf!D$39:D143)&lt;36,"",(Transf!D143-AVERAGE(Transf!D$39:D143))/STDEV(Transf!D$39:D143))</f>
        <v>0.834127598177431</v>
      </c>
      <c r="E143" s="10" t="n">
        <f aca="false">IF(COUNT(Transf!E$39:E143)&lt;36,"",(Transf!E143-AVERAGE(Transf!E$39:E143))/STDEV(Transf!E$39:E143))</f>
        <v>-1.11812037896991</v>
      </c>
      <c r="F143" s="10" t="n">
        <f aca="false">IF(COUNT(Transf!F$39:F143)&lt;36,"",(Transf!F143-AVERAGE(Transf!F$39:F143))/STDEV(Transf!F$39:F143))</f>
        <v>0.320647794486957</v>
      </c>
      <c r="G143" s="10" t="n">
        <f aca="false">IF(COUNT(Transf!G$39:G143)&lt;36,"",(Transf!G143-AVERAGE(Transf!G$39:G143))/STDEV(Transf!G$39:G143))</f>
        <v>-1.67725815996573</v>
      </c>
      <c r="H143" s="10" t="n">
        <f aca="false">IF(COUNT(Transf!H$39:H143)&lt;36,"",(Transf!H143-AVERAGE(Transf!H$39:H143))/STDEV(Transf!H$39:H143))</f>
        <v>-2.81023328698906</v>
      </c>
      <c r="I143" s="10" t="n">
        <f aca="false">IF(COUNT(Transf!I$39:I143)&lt;36,"",(Transf!I143-AVERAGE(Transf!I$39:I143))/STDEV(Transf!I$39:I143))</f>
        <v>-0.441152895554377</v>
      </c>
      <c r="J143" s="10" t="n">
        <f aca="false">IF(B143="","",IF(COUNT(B$74:B143)&lt;60,B143,MEDIAN(QUARTILE(B$74:B143,1)-1.5*(QUARTILE(B$74:B143,3)-QUARTILE(B$74:B143,1)),B143,QUARTILE(B$74:B143,3)+1.5*(QUARTILE(B$74:B143,3)-QUARTILE(B$74:B143,1)))))</f>
        <v>-0.843678946343728</v>
      </c>
      <c r="K143" s="10" t="n">
        <f aca="false">IF(C143="","",IF(COUNT(C$74:C143)&lt;60,C143,MEDIAN(QUARTILE(C$74:C143,1)-1.5*(QUARTILE(C$74:C143,3)-QUARTILE(C$74:C143,1)),C143,QUARTILE(C$74:C143,3)+1.5*(QUARTILE(C$74:C143,3)-QUARTILE(C$74:C143,1)))))</f>
        <v>0.665136274165987</v>
      </c>
      <c r="L143" s="10" t="n">
        <f aca="false">IF(D143="","",IF(COUNT(D$74:D143)&lt;60,D143,MEDIAN(QUARTILE(D$74:D143,1)-1.5*(QUARTILE(D$74:D143,3)-QUARTILE(D$74:D143,1)),D143,QUARTILE(D$74:D143,3)+1.5*(QUARTILE(D$74:D143,3)-QUARTILE(D$74:D143,1)))))</f>
        <v>0.834127598177431</v>
      </c>
      <c r="M143" s="10" t="n">
        <f aca="false">IF(E143="","",IF(COUNT(E$74:E143)&lt;60,E143,MEDIAN(QUARTILE(E$74:E143,1)-1.5*(QUARTILE(E$74:E143,3)-QUARTILE(E$74:E143,1)),E143,QUARTILE(E$74:E143,3)+1.5*(QUARTILE(E$74:E143,3)-QUARTILE(E$74:E143,1)))))</f>
        <v>-1.11812037896991</v>
      </c>
      <c r="N143" s="10" t="n">
        <f aca="false">IF(F143="","",IF(COUNT(F$74:F143)&lt;60,F143,MEDIAN(QUARTILE(F$74:F143,1)-1.5*(QUARTILE(F$74:F143,3)-QUARTILE(F$74:F143,1)),F143,QUARTILE(F$74:F143,3)+1.5*(QUARTILE(F$74:F143,3)-QUARTILE(F$74:F143,1)))))</f>
        <v>0.320647794486957</v>
      </c>
      <c r="O143" s="10" t="n">
        <f aca="false">IF(G143="","",IF(COUNT(G$74:G143)&lt;60,G143,MEDIAN(QUARTILE(G$74:G143,1)-1.5*(QUARTILE(G$74:G143,3)-QUARTILE(G$74:G143,1)),G143,QUARTILE(G$74:G143,3)+1.5*(QUARTILE(G$74:G143,3)-QUARTILE(G$74:G143,1)))))</f>
        <v>-1.67725815996573</v>
      </c>
      <c r="P143" s="10" t="n">
        <f aca="false">IF(H143="","",IF(COUNT(H$74:H143)&lt;60,H143,MEDIAN(QUARTILE(H$74:H143,1)-1.5*(QUARTILE(H$74:H143,3)-QUARTILE(H$74:H143,1)),H143,QUARTILE(H$74:H143,3)+1.5*(QUARTILE(H$74:H143,3)-QUARTILE(H$74:H143,1)))))</f>
        <v>-1.88428321141471</v>
      </c>
      <c r="Q143" s="10" t="n">
        <f aca="false">IF(I143="","",IF(COUNT(I$74:I143)&lt;60,I143,MEDIAN(QUARTILE(I$74:I143,1)-1.5*(QUARTILE(I$74:I143,3)-QUARTILE(I$74:I143,1)),I143,QUARTILE(I$74:I143,3)+1.5*(QUARTILE(I$74:I143,3)-QUARTILE(I$74:I143,1)))))</f>
        <v>-0.441152895554377</v>
      </c>
      <c r="R143" s="10" t="n">
        <f aca="false">IF(J143="","",MEDIAN(J143:Q143))</f>
        <v>-0.642415920949052</v>
      </c>
      <c r="S143" s="10" t="n">
        <f aca="false">IF(R143="","",ABS(R143))</f>
        <v>0.642415920949052</v>
      </c>
      <c r="T143" s="10" t="n">
        <f aca="false">IF(COUNT(S$74:S142)&lt;60,"",MEDIAN(S$74:S142))</f>
        <v>0.343074934110517</v>
      </c>
      <c r="U143" s="10" t="n">
        <f aca="false">IF(R143="","",IF(T143="",0,IF(S143&gt;=T143,R143,0)))</f>
        <v>-0.642415920949052</v>
      </c>
      <c r="V143" s="10" t="n">
        <f aca="false">IF(U143="","",MEDIAN(-1,U143,1))</f>
        <v>-0.642415920949052</v>
      </c>
      <c r="W143" s="10" t="n">
        <f aca="false">IF(J143="","",AVERAGE(J143:Q143))</f>
        <v>-0.518072740677259</v>
      </c>
    </row>
    <row r="144" customFormat="false" ht="15" hidden="false" customHeight="false" outlineLevel="0" collapsed="false">
      <c r="A144" s="8" t="n">
        <f aca="false">Base!A144</f>
        <v>42338</v>
      </c>
      <c r="B144" s="10" t="n">
        <f aca="false">IF(COUNT(Transf!B$39:B144)&lt;36,"",(Transf!B144-AVERAGE(Transf!B$39:B144))/STDEV(Transf!B$39:B144))</f>
        <v>-0.801225747475722</v>
      </c>
      <c r="C144" s="10" t="n">
        <f aca="false">IF(COUNT(Transf!C$39:C144)&lt;36,"",(Transf!C144-AVERAGE(Transf!C$39:C144))/STDEV(Transf!C$39:C144))</f>
        <v>0.634564862644397</v>
      </c>
      <c r="D144" s="10" t="n">
        <f aca="false">IF(COUNT(Transf!D$39:D144)&lt;36,"",(Transf!D144-AVERAGE(Transf!D$39:D144))/STDEV(Transf!D$39:D144))</f>
        <v>0.659373918935274</v>
      </c>
      <c r="E144" s="10" t="n">
        <f aca="false">IF(COUNT(Transf!E$39:E144)&lt;36,"",(Transf!E144-AVERAGE(Transf!E$39:E144))/STDEV(Transf!E$39:E144))</f>
        <v>-1.02111216974821</v>
      </c>
      <c r="F144" s="10" t="n">
        <f aca="false">IF(COUNT(Transf!F$39:F144)&lt;36,"",(Transf!F144-AVERAGE(Transf!F$39:F144))/STDEV(Transf!F$39:F144))</f>
        <v>0.292399660855976</v>
      </c>
      <c r="G144" s="10" t="n">
        <f aca="false">IF(COUNT(Transf!G$39:G144)&lt;36,"",(Transf!G144-AVERAGE(Transf!G$39:G144))/STDEV(Transf!G$39:G144))</f>
        <v>-1.50678094738116</v>
      </c>
      <c r="H144" s="10" t="n">
        <f aca="false">IF(COUNT(Transf!H$39:H144)&lt;36,"",(Transf!H144-AVERAGE(Transf!H$39:H144))/STDEV(Transf!H$39:H144))</f>
        <v>-2.78043118617756</v>
      </c>
      <c r="I144" s="10" t="n">
        <f aca="false">IF(COUNT(Transf!I$39:I144)&lt;36,"",(Transf!I144-AVERAGE(Transf!I$39:I144))/STDEV(Transf!I$39:I144))</f>
        <v>-0.458623320905516</v>
      </c>
      <c r="J144" s="10" t="n">
        <f aca="false">IF(B144="","",IF(COUNT(B$74:B144)&lt;60,B144,MEDIAN(QUARTILE(B$74:B144,1)-1.5*(QUARTILE(B$74:B144,3)-QUARTILE(B$74:B144,1)),B144,QUARTILE(B$74:B144,3)+1.5*(QUARTILE(B$74:B144,3)-QUARTILE(B$74:B144,1)))))</f>
        <v>-0.801225747475722</v>
      </c>
      <c r="K144" s="10" t="n">
        <f aca="false">IF(C144="","",IF(COUNT(C$74:C144)&lt;60,C144,MEDIAN(QUARTILE(C$74:C144,1)-1.5*(QUARTILE(C$74:C144,3)-QUARTILE(C$74:C144,1)),C144,QUARTILE(C$74:C144,3)+1.5*(QUARTILE(C$74:C144,3)-QUARTILE(C$74:C144,1)))))</f>
        <v>0.634564862644397</v>
      </c>
      <c r="L144" s="10" t="n">
        <f aca="false">IF(D144="","",IF(COUNT(D$74:D144)&lt;60,D144,MEDIAN(QUARTILE(D$74:D144,1)-1.5*(QUARTILE(D$74:D144,3)-QUARTILE(D$74:D144,1)),D144,QUARTILE(D$74:D144,3)+1.5*(QUARTILE(D$74:D144,3)-QUARTILE(D$74:D144,1)))))</f>
        <v>0.659373918935274</v>
      </c>
      <c r="M144" s="10" t="n">
        <f aca="false">IF(E144="","",IF(COUNT(E$74:E144)&lt;60,E144,MEDIAN(QUARTILE(E$74:E144,1)-1.5*(QUARTILE(E$74:E144,3)-QUARTILE(E$74:E144,1)),E144,QUARTILE(E$74:E144,3)+1.5*(QUARTILE(E$74:E144,3)-QUARTILE(E$74:E144,1)))))</f>
        <v>-1.02111216974821</v>
      </c>
      <c r="N144" s="10" t="n">
        <f aca="false">IF(F144="","",IF(COUNT(F$74:F144)&lt;60,F144,MEDIAN(QUARTILE(F$74:F144,1)-1.5*(QUARTILE(F$74:F144,3)-QUARTILE(F$74:F144,1)),F144,QUARTILE(F$74:F144,3)+1.5*(QUARTILE(F$74:F144,3)-QUARTILE(F$74:F144,1)))))</f>
        <v>0.292399660855976</v>
      </c>
      <c r="O144" s="10" t="n">
        <f aca="false">IF(G144="","",IF(COUNT(G$74:G144)&lt;60,G144,MEDIAN(QUARTILE(G$74:G144,1)-1.5*(QUARTILE(G$74:G144,3)-QUARTILE(G$74:G144,1)),G144,QUARTILE(G$74:G144,3)+1.5*(QUARTILE(G$74:G144,3)-QUARTILE(G$74:G144,1)))))</f>
        <v>-1.50678094738116</v>
      </c>
      <c r="P144" s="10" t="n">
        <f aca="false">IF(H144="","",IF(COUNT(H$74:H144)&lt;60,H144,MEDIAN(QUARTILE(H$74:H144,1)-1.5*(QUARTILE(H$74:H144,3)-QUARTILE(H$74:H144,1)),H144,QUARTILE(H$74:H144,3)+1.5*(QUARTILE(H$74:H144,3)-QUARTILE(H$74:H144,1)))))</f>
        <v>-1.90811350790735</v>
      </c>
      <c r="Q144" s="10" t="n">
        <f aca="false">IF(I144="","",IF(COUNT(I$74:I144)&lt;60,I144,MEDIAN(QUARTILE(I$74:I144,1)-1.5*(QUARTILE(I$74:I144,3)-QUARTILE(I$74:I144,1)),I144,QUARTILE(I$74:I144,3)+1.5*(QUARTILE(I$74:I144,3)-QUARTILE(I$74:I144,1)))))</f>
        <v>-0.458623320905516</v>
      </c>
      <c r="R144" s="10" t="n">
        <f aca="false">IF(J144="","",MEDIAN(J144:Q144))</f>
        <v>-0.629924534190619</v>
      </c>
      <c r="S144" s="10" t="n">
        <f aca="false">IF(R144="","",ABS(R144))</f>
        <v>0.629924534190619</v>
      </c>
      <c r="T144" s="10" t="n">
        <f aca="false">IF(COUNT(S$74:S143)&lt;60,"",MEDIAN(S$74:S143))</f>
        <v>0.343923113344169</v>
      </c>
      <c r="U144" s="10" t="n">
        <f aca="false">IF(R144="","",IF(T144="",0,IF(S144&gt;=T144,R144,0)))</f>
        <v>-0.629924534190619</v>
      </c>
      <c r="V144" s="10" t="n">
        <f aca="false">IF(U144="","",MEDIAN(-1,U144,1))</f>
        <v>-0.629924534190619</v>
      </c>
      <c r="W144" s="10" t="n">
        <f aca="false">IF(J144="","",AVERAGE(J144:Q144))</f>
        <v>-0.513689656372789</v>
      </c>
    </row>
    <row r="145" customFormat="false" ht="15" hidden="false" customHeight="false" outlineLevel="0" collapsed="false">
      <c r="A145" s="8" t="n">
        <f aca="false">Base!A145</f>
        <v>42369</v>
      </c>
      <c r="B145" s="10" t="n">
        <f aca="false">IF(COUNT(Transf!B$39:B145)&lt;36,"",(Transf!B145-AVERAGE(Transf!B$39:B145))/STDEV(Transf!B$39:B145))</f>
        <v>-1.04173976379959</v>
      </c>
      <c r="C145" s="10" t="n">
        <f aca="false">IF(COUNT(Transf!C$39:C145)&lt;36,"",(Transf!C145-AVERAGE(Transf!C$39:C145))/STDEV(Transf!C$39:C145))</f>
        <v>0.538360390600037</v>
      </c>
      <c r="D145" s="10" t="n">
        <f aca="false">IF(COUNT(Transf!D$39:D145)&lt;36,"",(Transf!D145-AVERAGE(Transf!D$39:D145))/STDEV(Transf!D$39:D145))</f>
        <v>0.400453159219453</v>
      </c>
      <c r="E145" s="10" t="n">
        <f aca="false">IF(COUNT(Transf!E$39:E145)&lt;36,"",(Transf!E145-AVERAGE(Transf!E$39:E145))/STDEV(Transf!E$39:E145))</f>
        <v>-0.57607437511688</v>
      </c>
      <c r="F145" s="10" t="n">
        <f aca="false">IF(COUNT(Transf!F$39:F145)&lt;36,"",(Transf!F145-AVERAGE(Transf!F$39:F145))/STDEV(Transf!F$39:F145))</f>
        <v>0.405676993290414</v>
      </c>
      <c r="G145" s="10" t="n">
        <f aca="false">IF(COUNT(Transf!G$39:G145)&lt;36,"",(Transf!G145-AVERAGE(Transf!G$39:G145))/STDEV(Transf!G$39:G145))</f>
        <v>-0.618718567080915</v>
      </c>
      <c r="H145" s="10" t="n">
        <f aca="false">IF(COUNT(Transf!H$39:H145)&lt;36,"",(Transf!H145-AVERAGE(Transf!H$39:H145))/STDEV(Transf!H$39:H145))</f>
        <v>-2.61189306281416</v>
      </c>
      <c r="I145" s="10" t="n">
        <f aca="false">IF(COUNT(Transf!I$39:I145)&lt;36,"",(Transf!I145-AVERAGE(Transf!I$39:I145))/STDEV(Transf!I$39:I145))</f>
        <v>-0.449118549337118</v>
      </c>
      <c r="J145" s="10" t="n">
        <f aca="false">IF(B145="","",IF(COUNT(B$74:B145)&lt;60,B145,MEDIAN(QUARTILE(B$74:B145,1)-1.5*(QUARTILE(B$74:B145,3)-QUARTILE(B$74:B145,1)),B145,QUARTILE(B$74:B145,3)+1.5*(QUARTILE(B$74:B145,3)-QUARTILE(B$74:B145,1)))))</f>
        <v>-1.04173976379959</v>
      </c>
      <c r="K145" s="10" t="n">
        <f aca="false">IF(C145="","",IF(COUNT(C$74:C145)&lt;60,C145,MEDIAN(QUARTILE(C$74:C145,1)-1.5*(QUARTILE(C$74:C145,3)-QUARTILE(C$74:C145,1)),C145,QUARTILE(C$74:C145,3)+1.5*(QUARTILE(C$74:C145,3)-QUARTILE(C$74:C145,1)))))</f>
        <v>0.538360390600037</v>
      </c>
      <c r="L145" s="10" t="n">
        <f aca="false">IF(D145="","",IF(COUNT(D$74:D145)&lt;60,D145,MEDIAN(QUARTILE(D$74:D145,1)-1.5*(QUARTILE(D$74:D145,3)-QUARTILE(D$74:D145,1)),D145,QUARTILE(D$74:D145,3)+1.5*(QUARTILE(D$74:D145,3)-QUARTILE(D$74:D145,1)))))</f>
        <v>0.400453159219453</v>
      </c>
      <c r="M145" s="10" t="n">
        <f aca="false">IF(E145="","",IF(COUNT(E$74:E145)&lt;60,E145,MEDIAN(QUARTILE(E$74:E145,1)-1.5*(QUARTILE(E$74:E145,3)-QUARTILE(E$74:E145,1)),E145,QUARTILE(E$74:E145,3)+1.5*(QUARTILE(E$74:E145,3)-QUARTILE(E$74:E145,1)))))</f>
        <v>-0.57607437511688</v>
      </c>
      <c r="N145" s="10" t="n">
        <f aca="false">IF(F145="","",IF(COUNT(F$74:F145)&lt;60,F145,MEDIAN(QUARTILE(F$74:F145,1)-1.5*(QUARTILE(F$74:F145,3)-QUARTILE(F$74:F145,1)),F145,QUARTILE(F$74:F145,3)+1.5*(QUARTILE(F$74:F145,3)-QUARTILE(F$74:F145,1)))))</f>
        <v>0.405676993290414</v>
      </c>
      <c r="O145" s="10" t="n">
        <f aca="false">IF(G145="","",IF(COUNT(G$74:G145)&lt;60,G145,MEDIAN(QUARTILE(G$74:G145,1)-1.5*(QUARTILE(G$74:G145,3)-QUARTILE(G$74:G145,1)),G145,QUARTILE(G$74:G145,3)+1.5*(QUARTILE(G$74:G145,3)-QUARTILE(G$74:G145,1)))))</f>
        <v>-0.618718567080915</v>
      </c>
      <c r="P145" s="10" t="n">
        <f aca="false">IF(H145="","",IF(COUNT(H$74:H145)&lt;60,H145,MEDIAN(QUARTILE(H$74:H145,1)-1.5*(QUARTILE(H$74:H145,3)-QUARTILE(H$74:H145,1)),H145,QUARTILE(H$74:H145,3)+1.5*(QUARTILE(H$74:H145,3)-QUARTILE(H$74:H145,1)))))</f>
        <v>-1.9944996747043</v>
      </c>
      <c r="Q145" s="10" t="n">
        <f aca="false">IF(I145="","",IF(COUNT(I$74:I145)&lt;60,I145,MEDIAN(QUARTILE(I$74:I145,1)-1.5*(QUARTILE(I$74:I145,3)-QUARTILE(I$74:I145,1)),I145,QUARTILE(I$74:I145,3)+1.5*(QUARTILE(I$74:I145,3)-QUARTILE(I$74:I145,1)))))</f>
        <v>-0.449118549337118</v>
      </c>
      <c r="R145" s="10" t="n">
        <f aca="false">IF(J145="","",MEDIAN(J145:Q145))</f>
        <v>-0.512596462226999</v>
      </c>
      <c r="S145" s="10" t="n">
        <f aca="false">IF(R145="","",ABS(R145))</f>
        <v>0.512596462226999</v>
      </c>
      <c r="T145" s="10" t="n">
        <f aca="false">IF(COUNT(S$74:S144)&lt;60,"",MEDIAN(S$74:S144))</f>
        <v>0.34477129257782</v>
      </c>
      <c r="U145" s="10" t="n">
        <f aca="false">IF(R145="","",IF(T145="",0,IF(S145&gt;=T145,R145,0)))</f>
        <v>-0.512596462226999</v>
      </c>
      <c r="V145" s="10" t="n">
        <f aca="false">IF(U145="","",MEDIAN(-1,U145,1))</f>
        <v>-0.512596462226999</v>
      </c>
      <c r="W145" s="10" t="n">
        <f aca="false">IF(J145="","",AVERAGE(J145:Q145))</f>
        <v>-0.416957548366112</v>
      </c>
    </row>
    <row r="146" customFormat="false" ht="15" hidden="false" customHeight="false" outlineLevel="0" collapsed="false">
      <c r="A146" s="8" t="n">
        <f aca="false">Base!A146</f>
        <v>42400</v>
      </c>
      <c r="B146" s="10" t="n">
        <f aca="false">IF(COUNT(Transf!B$39:B146)&lt;36,"",(Transf!B146-AVERAGE(Transf!B$39:B146))/STDEV(Transf!B$39:B146))</f>
        <v>-0.761804977654645</v>
      </c>
      <c r="C146" s="10" t="n">
        <f aca="false">IF(COUNT(Transf!C$39:C146)&lt;36,"",(Transf!C146-AVERAGE(Transf!C$39:C146))/STDEV(Transf!C$39:C146))</f>
        <v>0.430259572092572</v>
      </c>
      <c r="D146" s="10" t="n">
        <f aca="false">IF(COUNT(Transf!D$39:D146)&lt;36,"",(Transf!D146-AVERAGE(Transf!D$39:D146))/STDEV(Transf!D$39:D146))</f>
        <v>0.645944959854312</v>
      </c>
      <c r="E146" s="10" t="n">
        <f aca="false">IF(COUNT(Transf!E$39:E146)&lt;36,"",(Transf!E146-AVERAGE(Transf!E$39:E146))/STDEV(Transf!E$39:E146))</f>
        <v>0.0427017529408975</v>
      </c>
      <c r="F146" s="10" t="n">
        <f aca="false">IF(COUNT(Transf!F$39:F146)&lt;36,"",(Transf!F146-AVERAGE(Transf!F$39:F146))/STDEV(Transf!F$39:F146))</f>
        <v>0.33541754735489</v>
      </c>
      <c r="G146" s="10" t="n">
        <f aca="false">IF(COUNT(Transf!G$39:G146)&lt;36,"",(Transf!G146-AVERAGE(Transf!G$39:G146))/STDEV(Transf!G$39:G146))</f>
        <v>0.382641597334418</v>
      </c>
      <c r="H146" s="10" t="n">
        <f aca="false">IF(COUNT(Transf!H$39:H146)&lt;36,"",(Transf!H146-AVERAGE(Transf!H$39:H146))/STDEV(Transf!H$39:H146))</f>
        <v>-2.36948247327195</v>
      </c>
      <c r="I146" s="10" t="n">
        <f aca="false">IF(COUNT(Transf!I$39:I146)&lt;36,"",(Transf!I146-AVERAGE(Transf!I$39:I146))/STDEV(Transf!I$39:I146))</f>
        <v>-0.505170240042468</v>
      </c>
      <c r="J146" s="10" t="n">
        <f aca="false">IF(B146="","",IF(COUNT(B$74:B146)&lt;60,B146,MEDIAN(QUARTILE(B$74:B146,1)-1.5*(QUARTILE(B$74:B146,3)-QUARTILE(B$74:B146,1)),B146,QUARTILE(B$74:B146,3)+1.5*(QUARTILE(B$74:B146,3)-QUARTILE(B$74:B146,1)))))</f>
        <v>-0.761804977654645</v>
      </c>
      <c r="K146" s="10" t="n">
        <f aca="false">IF(C146="","",IF(COUNT(C$74:C146)&lt;60,C146,MEDIAN(QUARTILE(C$74:C146,1)-1.5*(QUARTILE(C$74:C146,3)-QUARTILE(C$74:C146,1)),C146,QUARTILE(C$74:C146,3)+1.5*(QUARTILE(C$74:C146,3)-QUARTILE(C$74:C146,1)))))</f>
        <v>0.430259572092572</v>
      </c>
      <c r="L146" s="10" t="n">
        <f aca="false">IF(D146="","",IF(COUNT(D$74:D146)&lt;60,D146,MEDIAN(QUARTILE(D$74:D146,1)-1.5*(QUARTILE(D$74:D146,3)-QUARTILE(D$74:D146,1)),D146,QUARTILE(D$74:D146,3)+1.5*(QUARTILE(D$74:D146,3)-QUARTILE(D$74:D146,1)))))</f>
        <v>0.645944959854312</v>
      </c>
      <c r="M146" s="10" t="n">
        <f aca="false">IF(E146="","",IF(COUNT(E$74:E146)&lt;60,E146,MEDIAN(QUARTILE(E$74:E146,1)-1.5*(QUARTILE(E$74:E146,3)-QUARTILE(E$74:E146,1)),E146,QUARTILE(E$74:E146,3)+1.5*(QUARTILE(E$74:E146,3)-QUARTILE(E$74:E146,1)))))</f>
        <v>0.0427017529408975</v>
      </c>
      <c r="N146" s="10" t="n">
        <f aca="false">IF(F146="","",IF(COUNT(F$74:F146)&lt;60,F146,MEDIAN(QUARTILE(F$74:F146,1)-1.5*(QUARTILE(F$74:F146,3)-QUARTILE(F$74:F146,1)),F146,QUARTILE(F$74:F146,3)+1.5*(QUARTILE(F$74:F146,3)-QUARTILE(F$74:F146,1)))))</f>
        <v>0.33541754735489</v>
      </c>
      <c r="O146" s="10" t="n">
        <f aca="false">IF(G146="","",IF(COUNT(G$74:G146)&lt;60,G146,MEDIAN(QUARTILE(G$74:G146,1)-1.5*(QUARTILE(G$74:G146,3)-QUARTILE(G$74:G146,1)),G146,QUARTILE(G$74:G146,3)+1.5*(QUARTILE(G$74:G146,3)-QUARTILE(G$74:G146,1)))))</f>
        <v>0.382641597334418</v>
      </c>
      <c r="P146" s="10" t="n">
        <f aca="false">IF(H146="","",IF(COUNT(H$74:H146)&lt;60,H146,MEDIAN(QUARTILE(H$74:H146,1)-1.5*(QUARTILE(H$74:H146,3)-QUARTILE(H$74:H146,1)),H146,QUARTILE(H$74:H146,3)+1.5*(QUARTILE(H$74:H146,3)-QUARTILE(H$74:H146,1)))))</f>
        <v>-2.23279278866936</v>
      </c>
      <c r="Q146" s="10" t="n">
        <f aca="false">IF(I146="","",IF(COUNT(I$74:I146)&lt;60,I146,MEDIAN(QUARTILE(I$74:I146,1)-1.5*(QUARTILE(I$74:I146,3)-QUARTILE(I$74:I146,1)),I146,QUARTILE(I$74:I146,3)+1.5*(QUARTILE(I$74:I146,3)-QUARTILE(I$74:I146,1)))))</f>
        <v>-0.505170240042468</v>
      </c>
      <c r="R146" s="10" t="n">
        <f aca="false">IF(J146="","",MEDIAN(J146:Q146))</f>
        <v>0.189059650147894</v>
      </c>
      <c r="S146" s="10" t="n">
        <f aca="false">IF(R146="","",ABS(R146))</f>
        <v>0.189059650147894</v>
      </c>
      <c r="T146" s="10" t="n">
        <f aca="false">IF(COUNT(S$74:S145)&lt;60,"",MEDIAN(S$74:S145))</f>
        <v>0.348290140011821</v>
      </c>
      <c r="U146" s="10" t="n">
        <f aca="false">IF(R146="","",IF(T146="",0,IF(S146&gt;=T146,R146,0)))</f>
        <v>0</v>
      </c>
      <c r="V146" s="10" t="n">
        <f aca="false">IF(U146="","",MEDIAN(-1,U146,1))</f>
        <v>0</v>
      </c>
      <c r="W146" s="10" t="n">
        <f aca="false">IF(J146="","",AVERAGE(J146:Q146))</f>
        <v>-0.207850322098673</v>
      </c>
    </row>
    <row r="147" customFormat="false" ht="15" hidden="false" customHeight="false" outlineLevel="0" collapsed="false">
      <c r="A147" s="8" t="n">
        <f aca="false">Base!A147</f>
        <v>42429</v>
      </c>
      <c r="B147" s="10" t="n">
        <f aca="false">IF(COUNT(Transf!B$39:B147)&lt;36,"",(Transf!B147-AVERAGE(Transf!B$39:B147))/STDEV(Transf!B$39:B147))</f>
        <v>-0.31396347447306</v>
      </c>
      <c r="C147" s="10" t="n">
        <f aca="false">IF(COUNT(Transf!C$39:C147)&lt;36,"",(Transf!C147-AVERAGE(Transf!C$39:C147))/STDEV(Transf!C$39:C147))</f>
        <v>0.285133342654152</v>
      </c>
      <c r="D147" s="10" t="n">
        <f aca="false">IF(COUNT(Transf!D$39:D147)&lt;36,"",(Transf!D147-AVERAGE(Transf!D$39:D147))/STDEV(Transf!D$39:D147))</f>
        <v>0.976790224253744</v>
      </c>
      <c r="E147" s="10" t="n">
        <f aca="false">IF(COUNT(Transf!E$39:E147)&lt;36,"",(Transf!E147-AVERAGE(Transf!E$39:E147))/STDEV(Transf!E$39:E147))</f>
        <v>0.608977653048716</v>
      </c>
      <c r="F147" s="10" t="n">
        <f aca="false">IF(COUNT(Transf!F$39:F147)&lt;36,"",(Transf!F147-AVERAGE(Transf!F$39:F147))/STDEV(Transf!F$39:F147))</f>
        <v>0.199524586793966</v>
      </c>
      <c r="G147" s="10" t="n">
        <f aca="false">IF(COUNT(Transf!G$39:G147)&lt;36,"",(Transf!G147-AVERAGE(Transf!G$39:G147))/STDEV(Transf!G$39:G147))</f>
        <v>1.77970650607595</v>
      </c>
      <c r="H147" s="10" t="n">
        <f aca="false">IF(COUNT(Transf!H$39:H147)&lt;36,"",(Transf!H147-AVERAGE(Transf!H$39:H147))/STDEV(Transf!H$39:H147))</f>
        <v>-1.90180130728893</v>
      </c>
      <c r="I147" s="10" t="n">
        <f aca="false">IF(COUNT(Transf!I$39:I147)&lt;36,"",(Transf!I147-AVERAGE(Transf!I$39:I147))/STDEV(Transf!I$39:I147))</f>
        <v>-0.693576836909979</v>
      </c>
      <c r="J147" s="10" t="n">
        <f aca="false">IF(B147="","",IF(COUNT(B$74:B147)&lt;60,B147,MEDIAN(QUARTILE(B$74:B147,1)-1.5*(QUARTILE(B$74:B147,3)-QUARTILE(B$74:B147,1)),B147,QUARTILE(B$74:B147,3)+1.5*(QUARTILE(B$74:B147,3)-QUARTILE(B$74:B147,1)))))</f>
        <v>-0.31396347447306</v>
      </c>
      <c r="K147" s="10" t="n">
        <f aca="false">IF(C147="","",IF(COUNT(C$74:C147)&lt;60,C147,MEDIAN(QUARTILE(C$74:C147,1)-1.5*(QUARTILE(C$74:C147,3)-QUARTILE(C$74:C147,1)),C147,QUARTILE(C$74:C147,3)+1.5*(QUARTILE(C$74:C147,3)-QUARTILE(C$74:C147,1)))))</f>
        <v>0.285133342654152</v>
      </c>
      <c r="L147" s="10" t="n">
        <f aca="false">IF(D147="","",IF(COUNT(D$74:D147)&lt;60,D147,MEDIAN(QUARTILE(D$74:D147,1)-1.5*(QUARTILE(D$74:D147,3)-QUARTILE(D$74:D147,1)),D147,QUARTILE(D$74:D147,3)+1.5*(QUARTILE(D$74:D147,3)-QUARTILE(D$74:D147,1)))))</f>
        <v>0.976790224253744</v>
      </c>
      <c r="M147" s="10" t="n">
        <f aca="false">IF(E147="","",IF(COUNT(E$74:E147)&lt;60,E147,MEDIAN(QUARTILE(E$74:E147,1)-1.5*(QUARTILE(E$74:E147,3)-QUARTILE(E$74:E147,1)),E147,QUARTILE(E$74:E147,3)+1.5*(QUARTILE(E$74:E147,3)-QUARTILE(E$74:E147,1)))))</f>
        <v>0.608977653048716</v>
      </c>
      <c r="N147" s="10" t="n">
        <f aca="false">IF(F147="","",IF(COUNT(F$74:F147)&lt;60,F147,MEDIAN(QUARTILE(F$74:F147,1)-1.5*(QUARTILE(F$74:F147,3)-QUARTILE(F$74:F147,1)),F147,QUARTILE(F$74:F147,3)+1.5*(QUARTILE(F$74:F147,3)-QUARTILE(F$74:F147,1)))))</f>
        <v>0.199524586793966</v>
      </c>
      <c r="O147" s="10" t="n">
        <f aca="false">IF(G147="","",IF(COUNT(G$74:G147)&lt;60,G147,MEDIAN(QUARTILE(G$74:G147,1)-1.5*(QUARTILE(G$74:G147,3)-QUARTILE(G$74:G147,1)),G147,QUARTILE(G$74:G147,3)+1.5*(QUARTILE(G$74:G147,3)-QUARTILE(G$74:G147,1)))))</f>
        <v>1.77970650607595</v>
      </c>
      <c r="P147" s="10" t="n">
        <f aca="false">IF(H147="","",IF(COUNT(H$74:H147)&lt;60,H147,MEDIAN(QUARTILE(H$74:H147,1)-1.5*(QUARTILE(H$74:H147,3)-QUARTILE(H$74:H147,1)),H147,QUARTILE(H$74:H147,3)+1.5*(QUARTILE(H$74:H147,3)-QUARTILE(H$74:H147,1)))))</f>
        <v>-1.90180130728893</v>
      </c>
      <c r="Q147" s="10" t="n">
        <f aca="false">IF(I147="","",IF(COUNT(I$74:I147)&lt;60,I147,MEDIAN(QUARTILE(I$74:I147,1)-1.5*(QUARTILE(I$74:I147,3)-QUARTILE(I$74:I147,1)),I147,QUARTILE(I$74:I147,3)+1.5*(QUARTILE(I$74:I147,3)-QUARTILE(I$74:I147,1)))))</f>
        <v>-0.693576836909979</v>
      </c>
      <c r="R147" s="10" t="n">
        <f aca="false">IF(J147="","",MEDIAN(J147:Q147))</f>
        <v>0.242328964724059</v>
      </c>
      <c r="S147" s="10" t="n">
        <f aca="false">IF(R147="","",ABS(R147))</f>
        <v>0.242328964724059</v>
      </c>
      <c r="T147" s="10" t="n">
        <f aca="false">IF(COUNT(S$74:S146)&lt;60,"",MEDIAN(S$74:S146))</f>
        <v>0.34477129257782</v>
      </c>
      <c r="U147" s="10" t="n">
        <f aca="false">IF(R147="","",IF(T147="",0,IF(S147&gt;=T147,R147,0)))</f>
        <v>0</v>
      </c>
      <c r="V147" s="10" t="n">
        <f aca="false">IF(U147="","",MEDIAN(-1,U147,1))</f>
        <v>0</v>
      </c>
      <c r="W147" s="10" t="n">
        <f aca="false">IF(J147="","",AVERAGE(J147:Q147))</f>
        <v>0.11759883676932</v>
      </c>
    </row>
    <row r="148" customFormat="false" ht="15" hidden="false" customHeight="false" outlineLevel="0" collapsed="false">
      <c r="A148" s="8" t="n">
        <f aca="false">Base!A148</f>
        <v>42460</v>
      </c>
      <c r="B148" s="10" t="n">
        <f aca="false">IF(COUNT(Transf!B$39:B148)&lt;36,"",(Transf!B148-AVERAGE(Transf!B$39:B148))/STDEV(Transf!B$39:B148))</f>
        <v>0.12777925971823</v>
      </c>
      <c r="C148" s="10" t="n">
        <f aca="false">IF(COUNT(Transf!C$39:C148)&lt;36,"",(Transf!C148-AVERAGE(Transf!C$39:C148))/STDEV(Transf!C$39:C148))</f>
        <v>0.269982235166374</v>
      </c>
      <c r="D148" s="10" t="n">
        <f aca="false">IF(COUNT(Transf!D$39:D148)&lt;36,"",(Transf!D148-AVERAGE(Transf!D$39:D148))/STDEV(Transf!D$39:D148))</f>
        <v>1.35019854123624</v>
      </c>
      <c r="E148" s="10" t="n">
        <f aca="false">IF(COUNT(Transf!E$39:E148)&lt;36,"",(Transf!E148-AVERAGE(Transf!E$39:E148))/STDEV(Transf!E$39:E148))</f>
        <v>0.909547541148404</v>
      </c>
      <c r="F148" s="10" t="n">
        <f aca="false">IF(COUNT(Transf!F$39:F148)&lt;36,"",(Transf!F148-AVERAGE(Transf!F$39:F148))/STDEV(Transf!F$39:F148))</f>
        <v>0.0870827139695568</v>
      </c>
      <c r="G148" s="10" t="n">
        <f aca="false">IF(COUNT(Transf!G$39:G148)&lt;36,"",(Transf!G148-AVERAGE(Transf!G$39:G148))/STDEV(Transf!G$39:G148))</f>
        <v>2.30782839392925</v>
      </c>
      <c r="H148" s="10" t="n">
        <f aca="false">IF(COUNT(Transf!H$39:H148)&lt;36,"",(Transf!H148-AVERAGE(Transf!H$39:H148))/STDEV(Transf!H$39:H148))</f>
        <v>-1.43571596486317</v>
      </c>
      <c r="I148" s="10" t="n">
        <f aca="false">IF(COUNT(Transf!I$39:I148)&lt;36,"",(Transf!I148-AVERAGE(Transf!I$39:I148))/STDEV(Transf!I$39:I148))</f>
        <v>-0.864428949158421</v>
      </c>
      <c r="J148" s="10" t="n">
        <f aca="false">IF(B148="","",IF(COUNT(B$74:B148)&lt;60,B148,MEDIAN(QUARTILE(B$74:B148,1)-1.5*(QUARTILE(B$74:B148,3)-QUARTILE(B$74:B148,1)),B148,QUARTILE(B$74:B148,3)+1.5*(QUARTILE(B$74:B148,3)-QUARTILE(B$74:B148,1)))))</f>
        <v>0.12777925971823</v>
      </c>
      <c r="K148" s="10" t="n">
        <f aca="false">IF(C148="","",IF(COUNT(C$74:C148)&lt;60,C148,MEDIAN(QUARTILE(C$74:C148,1)-1.5*(QUARTILE(C$74:C148,3)-QUARTILE(C$74:C148,1)),C148,QUARTILE(C$74:C148,3)+1.5*(QUARTILE(C$74:C148,3)-QUARTILE(C$74:C148,1)))))</f>
        <v>0.269982235166374</v>
      </c>
      <c r="L148" s="10" t="n">
        <f aca="false">IF(D148="","",IF(COUNT(D$74:D148)&lt;60,D148,MEDIAN(QUARTILE(D$74:D148,1)-1.5*(QUARTILE(D$74:D148,3)-QUARTILE(D$74:D148,1)),D148,QUARTILE(D$74:D148,3)+1.5*(QUARTILE(D$74:D148,3)-QUARTILE(D$74:D148,1)))))</f>
        <v>1.35019854123624</v>
      </c>
      <c r="M148" s="10" t="n">
        <f aca="false">IF(E148="","",IF(COUNT(E$74:E148)&lt;60,E148,MEDIAN(QUARTILE(E$74:E148,1)-1.5*(QUARTILE(E$74:E148,3)-QUARTILE(E$74:E148,1)),E148,QUARTILE(E$74:E148,3)+1.5*(QUARTILE(E$74:E148,3)-QUARTILE(E$74:E148,1)))))</f>
        <v>0.909547541148404</v>
      </c>
      <c r="N148" s="10" t="n">
        <f aca="false">IF(F148="","",IF(COUNT(F$74:F148)&lt;60,F148,MEDIAN(QUARTILE(F$74:F148,1)-1.5*(QUARTILE(F$74:F148,3)-QUARTILE(F$74:F148,1)),F148,QUARTILE(F$74:F148,3)+1.5*(QUARTILE(F$74:F148,3)-QUARTILE(F$74:F148,1)))))</f>
        <v>0.0870827139695568</v>
      </c>
      <c r="O148" s="10" t="n">
        <f aca="false">IF(G148="","",IF(COUNT(G$74:G148)&lt;60,G148,MEDIAN(QUARTILE(G$74:G148,1)-1.5*(QUARTILE(G$74:G148,3)-QUARTILE(G$74:G148,1)),G148,QUARTILE(G$74:G148,3)+1.5*(QUARTILE(G$74:G148,3)-QUARTILE(G$74:G148,1)))))</f>
        <v>2.30782839392925</v>
      </c>
      <c r="P148" s="10" t="n">
        <f aca="false">IF(H148="","",IF(COUNT(H$74:H148)&lt;60,H148,MEDIAN(QUARTILE(H$74:H148,1)-1.5*(QUARTILE(H$74:H148,3)-QUARTILE(H$74:H148,1)),H148,QUARTILE(H$74:H148,3)+1.5*(QUARTILE(H$74:H148,3)-QUARTILE(H$74:H148,1)))))</f>
        <v>-1.43571596486317</v>
      </c>
      <c r="Q148" s="10" t="n">
        <f aca="false">IF(I148="","",IF(COUNT(I$74:I148)&lt;60,I148,MEDIAN(QUARTILE(I$74:I148,1)-1.5*(QUARTILE(I$74:I148,3)-QUARTILE(I$74:I148,1)),I148,QUARTILE(I$74:I148,3)+1.5*(QUARTILE(I$74:I148,3)-QUARTILE(I$74:I148,1)))))</f>
        <v>-0.864428949158421</v>
      </c>
      <c r="R148" s="10" t="n">
        <f aca="false">IF(J148="","",MEDIAN(J148:Q148))</f>
        <v>0.198880747442302</v>
      </c>
      <c r="S148" s="10" t="n">
        <f aca="false">IF(R148="","",ABS(R148))</f>
        <v>0.198880747442302</v>
      </c>
      <c r="T148" s="10" t="n">
        <f aca="false">IF(COUNT(S$74:S147)&lt;60,"",MEDIAN(S$74:S147))</f>
        <v>0.343923113344169</v>
      </c>
      <c r="U148" s="10" t="n">
        <f aca="false">IF(R148="","",IF(T148="",0,IF(S148&gt;=T148,R148,0)))</f>
        <v>0</v>
      </c>
      <c r="V148" s="10" t="n">
        <f aca="false">IF(U148="","",MEDIAN(-1,U148,1))</f>
        <v>0</v>
      </c>
      <c r="W148" s="10" t="n">
        <f aca="false">IF(J148="","",AVERAGE(J148:Q148))</f>
        <v>0.344034221393308</v>
      </c>
    </row>
    <row r="149" customFormat="false" ht="15" hidden="false" customHeight="false" outlineLevel="0" collapsed="false">
      <c r="A149" s="8" t="n">
        <f aca="false">Base!A149</f>
        <v>42490</v>
      </c>
      <c r="B149" s="10" t="n">
        <f aca="false">IF(COUNT(Transf!B$39:B149)&lt;36,"",(Transf!B149-AVERAGE(Transf!B$39:B149))/STDEV(Transf!B$39:B149))</f>
        <v>-0.0472489549614209</v>
      </c>
      <c r="C149" s="10" t="n">
        <f aca="false">IF(COUNT(Transf!C$39:C149)&lt;36,"",(Transf!C149-AVERAGE(Transf!C$39:C149))/STDEV(Transf!C$39:C149))</f>
        <v>0.0851780017769045</v>
      </c>
      <c r="D149" s="10" t="n">
        <f aca="false">IF(COUNT(Transf!D$39:D149)&lt;36,"",(Transf!D149-AVERAGE(Transf!D$39:D149))/STDEV(Transf!D$39:D149))</f>
        <v>0.992519489564084</v>
      </c>
      <c r="E149" s="10" t="n">
        <f aca="false">IF(COUNT(Transf!E$39:E149)&lt;36,"",(Transf!E149-AVERAGE(Transf!E$39:E149))/STDEV(Transf!E$39:E149))</f>
        <v>1.1149244325412</v>
      </c>
      <c r="F149" s="10" t="n">
        <f aca="false">IF(COUNT(Transf!F$39:F149)&lt;36,"",(Transf!F149-AVERAGE(Transf!F$39:F149))/STDEV(Transf!F$39:F149))</f>
        <v>0.0322171963169188</v>
      </c>
      <c r="G149" s="10" t="n">
        <f aca="false">IF(COUNT(Transf!G$39:G149)&lt;36,"",(Transf!G149-AVERAGE(Transf!G$39:G149))/STDEV(Transf!G$39:G149))</f>
        <v>2.35094044652855</v>
      </c>
      <c r="H149" s="10" t="n">
        <f aca="false">IF(COUNT(Transf!H$39:H149)&lt;36,"",(Transf!H149-AVERAGE(Transf!H$39:H149))/STDEV(Transf!H$39:H149))</f>
        <v>-1.02917692794368</v>
      </c>
      <c r="I149" s="10" t="n">
        <f aca="false">IF(COUNT(Transf!I$39:I149)&lt;36,"",(Transf!I149-AVERAGE(Transf!I$39:I149))/STDEV(Transf!I$39:I149))</f>
        <v>-0.885205919113226</v>
      </c>
      <c r="J149" s="10" t="n">
        <f aca="false">IF(B149="","",IF(COUNT(B$74:B149)&lt;60,B149,MEDIAN(QUARTILE(B$74:B149,1)-1.5*(QUARTILE(B$74:B149,3)-QUARTILE(B$74:B149,1)),B149,QUARTILE(B$74:B149,3)+1.5*(QUARTILE(B$74:B149,3)-QUARTILE(B$74:B149,1)))))</f>
        <v>-0.0472489549614209</v>
      </c>
      <c r="K149" s="10" t="n">
        <f aca="false">IF(C149="","",IF(COUNT(C$74:C149)&lt;60,C149,MEDIAN(QUARTILE(C$74:C149,1)-1.5*(QUARTILE(C$74:C149,3)-QUARTILE(C$74:C149,1)),C149,QUARTILE(C$74:C149,3)+1.5*(QUARTILE(C$74:C149,3)-QUARTILE(C$74:C149,1)))))</f>
        <v>0.0851780017769045</v>
      </c>
      <c r="L149" s="10" t="n">
        <f aca="false">IF(D149="","",IF(COUNT(D$74:D149)&lt;60,D149,MEDIAN(QUARTILE(D$74:D149,1)-1.5*(QUARTILE(D$74:D149,3)-QUARTILE(D$74:D149,1)),D149,QUARTILE(D$74:D149,3)+1.5*(QUARTILE(D$74:D149,3)-QUARTILE(D$74:D149,1)))))</f>
        <v>0.992519489564084</v>
      </c>
      <c r="M149" s="10" t="n">
        <f aca="false">IF(E149="","",IF(COUNT(E$74:E149)&lt;60,E149,MEDIAN(QUARTILE(E$74:E149,1)-1.5*(QUARTILE(E$74:E149,3)-QUARTILE(E$74:E149,1)),E149,QUARTILE(E$74:E149,3)+1.5*(QUARTILE(E$74:E149,3)-QUARTILE(E$74:E149,1)))))</f>
        <v>1.1149244325412</v>
      </c>
      <c r="N149" s="10" t="n">
        <f aca="false">IF(F149="","",IF(COUNT(F$74:F149)&lt;60,F149,MEDIAN(QUARTILE(F$74:F149,1)-1.5*(QUARTILE(F$74:F149,3)-QUARTILE(F$74:F149,1)),F149,QUARTILE(F$74:F149,3)+1.5*(QUARTILE(F$74:F149,3)-QUARTILE(F$74:F149,1)))))</f>
        <v>0.0322171963169188</v>
      </c>
      <c r="O149" s="10" t="n">
        <f aca="false">IF(G149="","",IF(COUNT(G$74:G149)&lt;60,G149,MEDIAN(QUARTILE(G$74:G149,1)-1.5*(QUARTILE(G$74:G149,3)-QUARTILE(G$74:G149,1)),G149,QUARTILE(G$74:G149,3)+1.5*(QUARTILE(G$74:G149,3)-QUARTILE(G$74:G149,1)))))</f>
        <v>2.35094044652855</v>
      </c>
      <c r="P149" s="10" t="n">
        <f aca="false">IF(H149="","",IF(COUNT(H$74:H149)&lt;60,H149,MEDIAN(QUARTILE(H$74:H149,1)-1.5*(QUARTILE(H$74:H149,3)-QUARTILE(H$74:H149,1)),H149,QUARTILE(H$74:H149,3)+1.5*(QUARTILE(H$74:H149,3)-QUARTILE(H$74:H149,1)))))</f>
        <v>-1.02917692794368</v>
      </c>
      <c r="Q149" s="10" t="n">
        <f aca="false">IF(I149="","",IF(COUNT(I$74:I149)&lt;60,I149,MEDIAN(QUARTILE(I$74:I149,1)-1.5*(QUARTILE(I$74:I149,3)-QUARTILE(I$74:I149,1)),I149,QUARTILE(I$74:I149,3)+1.5*(QUARTILE(I$74:I149,3)-QUARTILE(I$74:I149,1)))))</f>
        <v>-0.885205919113226</v>
      </c>
      <c r="R149" s="10" t="n">
        <f aca="false">IF(J149="","",MEDIAN(J149:Q149))</f>
        <v>0.0586975990469117</v>
      </c>
      <c r="S149" s="10" t="n">
        <f aca="false">IF(R149="","",ABS(R149))</f>
        <v>0.0586975990469117</v>
      </c>
      <c r="T149" s="10" t="n">
        <f aca="false">IF(COUNT(S$74:S148)&lt;60,"",MEDIAN(S$74:S148))</f>
        <v>0.343074934110517</v>
      </c>
      <c r="U149" s="10" t="n">
        <f aca="false">IF(R149="","",IF(T149="",0,IF(S149&gt;=T149,R149,0)))</f>
        <v>0</v>
      </c>
      <c r="V149" s="10" t="n">
        <f aca="false">IF(U149="","",MEDIAN(-1,U149,1))</f>
        <v>0</v>
      </c>
      <c r="W149" s="10" t="n">
        <f aca="false">IF(J149="","",AVERAGE(J149:Q149))</f>
        <v>0.326768470588667</v>
      </c>
    </row>
    <row r="150" customFormat="false" ht="15" hidden="false" customHeight="false" outlineLevel="0" collapsed="false">
      <c r="A150" s="8" t="n">
        <f aca="false">Base!A150</f>
        <v>42521</v>
      </c>
      <c r="B150" s="10" t="n">
        <f aca="false">IF(COUNT(Transf!B$39:B150)&lt;36,"",(Transf!B150-AVERAGE(Transf!B$39:B150))/STDEV(Transf!B$39:B150))</f>
        <v>-0.103052600041461</v>
      </c>
      <c r="C150" s="10" t="n">
        <f aca="false">IF(COUNT(Transf!C$39:C150)&lt;36,"",(Transf!C150-AVERAGE(Transf!C$39:C150))/STDEV(Transf!C$39:C150))</f>
        <v>-0.169091735386555</v>
      </c>
      <c r="D150" s="10" t="n">
        <f aca="false">IF(COUNT(Transf!D$39:D150)&lt;36,"",(Transf!D150-AVERAGE(Transf!D$39:D150))/STDEV(Transf!D$39:D150))</f>
        <v>0.754140113415462</v>
      </c>
      <c r="E150" s="10" t="n">
        <f aca="false">IF(COUNT(Transf!E$39:E150)&lt;36,"",(Transf!E150-AVERAGE(Transf!E$39:E150))/STDEV(Transf!E$39:E150))</f>
        <v>1.43257940957431</v>
      </c>
      <c r="F150" s="10" t="n">
        <f aca="false">IF(COUNT(Transf!F$39:F150)&lt;36,"",(Transf!F150-AVERAGE(Transf!F$39:F150))/STDEV(Transf!F$39:F150))</f>
        <v>-0.359444250927497</v>
      </c>
      <c r="G150" s="10" t="n">
        <f aca="false">IF(COUNT(Transf!G$39:G150)&lt;36,"",(Transf!G150-AVERAGE(Transf!G$39:G150))/STDEV(Transf!G$39:G150))</f>
        <v>1.81600702407525</v>
      </c>
      <c r="H150" s="10" t="n">
        <f aca="false">IF(COUNT(Transf!H$39:H150)&lt;36,"",(Transf!H150-AVERAGE(Transf!H$39:H150))/STDEV(Transf!H$39:H150))</f>
        <v>-0.856848538865781</v>
      </c>
      <c r="I150" s="10" t="n">
        <f aca="false">IF(COUNT(Transf!I$39:I150)&lt;36,"",(Transf!I150-AVERAGE(Transf!I$39:I150))/STDEV(Transf!I$39:I150))</f>
        <v>-0.807217249249814</v>
      </c>
      <c r="J150" s="10" t="n">
        <f aca="false">IF(B150="","",IF(COUNT(B$74:B150)&lt;60,B150,MEDIAN(QUARTILE(B$74:B150,1)-1.5*(QUARTILE(B$74:B150,3)-QUARTILE(B$74:B150,1)),B150,QUARTILE(B$74:B150,3)+1.5*(QUARTILE(B$74:B150,3)-QUARTILE(B$74:B150,1)))))</f>
        <v>-0.103052600041461</v>
      </c>
      <c r="K150" s="10" t="n">
        <f aca="false">IF(C150="","",IF(COUNT(C$74:C150)&lt;60,C150,MEDIAN(QUARTILE(C$74:C150,1)-1.5*(QUARTILE(C$74:C150,3)-QUARTILE(C$74:C150,1)),C150,QUARTILE(C$74:C150,3)+1.5*(QUARTILE(C$74:C150,3)-QUARTILE(C$74:C150,1)))))</f>
        <v>-0.169091735386555</v>
      </c>
      <c r="L150" s="10" t="n">
        <f aca="false">IF(D150="","",IF(COUNT(D$74:D150)&lt;60,D150,MEDIAN(QUARTILE(D$74:D150,1)-1.5*(QUARTILE(D$74:D150,3)-QUARTILE(D$74:D150,1)),D150,QUARTILE(D$74:D150,3)+1.5*(QUARTILE(D$74:D150,3)-QUARTILE(D$74:D150,1)))))</f>
        <v>0.754140113415462</v>
      </c>
      <c r="M150" s="10" t="n">
        <f aca="false">IF(E150="","",IF(COUNT(E$74:E150)&lt;60,E150,MEDIAN(QUARTILE(E$74:E150,1)-1.5*(QUARTILE(E$74:E150,3)-QUARTILE(E$74:E150,1)),E150,QUARTILE(E$74:E150,3)+1.5*(QUARTILE(E$74:E150,3)-QUARTILE(E$74:E150,1)))))</f>
        <v>1.43257940957431</v>
      </c>
      <c r="N150" s="10" t="n">
        <f aca="false">IF(F150="","",IF(COUNT(F$74:F150)&lt;60,F150,MEDIAN(QUARTILE(F$74:F150,1)-1.5*(QUARTILE(F$74:F150,3)-QUARTILE(F$74:F150,1)),F150,QUARTILE(F$74:F150,3)+1.5*(QUARTILE(F$74:F150,3)-QUARTILE(F$74:F150,1)))))</f>
        <v>-0.359444250927497</v>
      </c>
      <c r="O150" s="10" t="n">
        <f aca="false">IF(G150="","",IF(COUNT(G$74:G150)&lt;60,G150,MEDIAN(QUARTILE(G$74:G150,1)-1.5*(QUARTILE(G$74:G150,3)-QUARTILE(G$74:G150,1)),G150,QUARTILE(G$74:G150,3)+1.5*(QUARTILE(G$74:G150,3)-QUARTILE(G$74:G150,1)))))</f>
        <v>1.81600702407525</v>
      </c>
      <c r="P150" s="10" t="n">
        <f aca="false">IF(H150="","",IF(COUNT(H$74:H150)&lt;60,H150,MEDIAN(QUARTILE(H$74:H150,1)-1.5*(QUARTILE(H$74:H150,3)-QUARTILE(H$74:H150,1)),H150,QUARTILE(H$74:H150,3)+1.5*(QUARTILE(H$74:H150,3)-QUARTILE(H$74:H150,1)))))</f>
        <v>-0.856848538865781</v>
      </c>
      <c r="Q150" s="10" t="n">
        <f aca="false">IF(I150="","",IF(COUNT(I$74:I150)&lt;60,I150,MEDIAN(QUARTILE(I$74:I150,1)-1.5*(QUARTILE(I$74:I150,3)-QUARTILE(I$74:I150,1)),I150,QUARTILE(I$74:I150,3)+1.5*(QUARTILE(I$74:I150,3)-QUARTILE(I$74:I150,1)))))</f>
        <v>-0.807217249249814</v>
      </c>
      <c r="R150" s="10" t="n">
        <f aca="false">IF(J150="","",MEDIAN(J150:Q150))</f>
        <v>-0.136072167714008</v>
      </c>
      <c r="S150" s="10" t="n">
        <f aca="false">IF(R150="","",ABS(R150))</f>
        <v>0.136072167714008</v>
      </c>
      <c r="T150" s="10" t="n">
        <f aca="false">IF(COUNT(S$74:S149)&lt;60,"",MEDIAN(S$74:S149))</f>
        <v>0.326451209426089</v>
      </c>
      <c r="U150" s="10" t="n">
        <f aca="false">IF(R150="","",IF(T150="",0,IF(S150&gt;=T150,R150,0)))</f>
        <v>0</v>
      </c>
      <c r="V150" s="10" t="n">
        <f aca="false">IF(U150="","",MEDIAN(-1,U150,1))</f>
        <v>0</v>
      </c>
      <c r="W150" s="10" t="n">
        <f aca="false">IF(J150="","",AVERAGE(J150:Q150))</f>
        <v>0.213384021574239</v>
      </c>
    </row>
    <row r="151" customFormat="false" ht="15" hidden="false" customHeight="false" outlineLevel="0" collapsed="false">
      <c r="A151" s="8" t="n">
        <f aca="false">Base!A151</f>
        <v>42551</v>
      </c>
      <c r="B151" s="10" t="n">
        <f aca="false">IF(COUNT(Transf!B$39:B151)&lt;36,"",(Transf!B151-AVERAGE(Transf!B$39:B151))/STDEV(Transf!B$39:B151))</f>
        <v>-0.329027100204611</v>
      </c>
      <c r="C151" s="10" t="n">
        <f aca="false">IF(COUNT(Transf!C$39:C151)&lt;36,"",(Transf!C151-AVERAGE(Transf!C$39:C151))/STDEV(Transf!C$39:C151))</f>
        <v>-0.534678780216848</v>
      </c>
      <c r="D151" s="10" t="n">
        <f aca="false">IF(COUNT(Transf!D$39:D151)&lt;36,"",(Transf!D151-AVERAGE(Transf!D$39:D151))/STDEV(Transf!D$39:D151))</f>
        <v>0.361519663870761</v>
      </c>
      <c r="E151" s="10" t="n">
        <f aca="false">IF(COUNT(Transf!E$39:E151)&lt;36,"",(Transf!E151-AVERAGE(Transf!E$39:E151))/STDEV(Transf!E$39:E151))</f>
        <v>3.41793832892752</v>
      </c>
      <c r="F151" s="10" t="n">
        <f aca="false">IF(COUNT(Transf!F$39:F151)&lt;36,"",(Transf!F151-AVERAGE(Transf!F$39:F151))/STDEV(Transf!F$39:F151))</f>
        <v>-0.702117152462145</v>
      </c>
      <c r="G151" s="10" t="n">
        <f aca="false">IF(COUNT(Transf!G$39:G151)&lt;36,"",(Transf!G151-AVERAGE(Transf!G$39:G151))/STDEV(Transf!G$39:G151))</f>
        <v>1.53518597477072</v>
      </c>
      <c r="H151" s="10" t="n">
        <f aca="false">IF(COUNT(Transf!H$39:H151)&lt;36,"",(Transf!H151-AVERAGE(Transf!H$39:H151))/STDEV(Transf!H$39:H151))</f>
        <v>-0.83286578467048</v>
      </c>
      <c r="I151" s="10" t="n">
        <f aca="false">IF(COUNT(Transf!I$39:I151)&lt;36,"",(Transf!I151-AVERAGE(Transf!I$39:I151))/STDEV(Transf!I$39:I151))</f>
        <v>-0.873466610709729</v>
      </c>
      <c r="J151" s="10" t="n">
        <f aca="false">IF(B151="","",IF(COUNT(B$74:B151)&lt;60,B151,MEDIAN(QUARTILE(B$74:B151,1)-1.5*(QUARTILE(B$74:B151,3)-QUARTILE(B$74:B151,1)),B151,QUARTILE(B$74:B151,3)+1.5*(QUARTILE(B$74:B151,3)-QUARTILE(B$74:B151,1)))))</f>
        <v>-0.329027100204611</v>
      </c>
      <c r="K151" s="10" t="n">
        <f aca="false">IF(C151="","",IF(COUNT(C$74:C151)&lt;60,C151,MEDIAN(QUARTILE(C$74:C151,1)-1.5*(QUARTILE(C$74:C151,3)-QUARTILE(C$74:C151,1)),C151,QUARTILE(C$74:C151,3)+1.5*(QUARTILE(C$74:C151,3)-QUARTILE(C$74:C151,1)))))</f>
        <v>-0.534678780216848</v>
      </c>
      <c r="L151" s="10" t="n">
        <f aca="false">IF(D151="","",IF(COUNT(D$74:D151)&lt;60,D151,MEDIAN(QUARTILE(D$74:D151,1)-1.5*(QUARTILE(D$74:D151,3)-QUARTILE(D$74:D151,1)),D151,QUARTILE(D$74:D151,3)+1.5*(QUARTILE(D$74:D151,3)-QUARTILE(D$74:D151,1)))))</f>
        <v>0.361519663870761</v>
      </c>
      <c r="M151" s="10" t="n">
        <f aca="false">IF(E151="","",IF(COUNT(E$74:E151)&lt;60,E151,MEDIAN(QUARTILE(E$74:E151,1)-1.5*(QUARTILE(E$74:E151,3)-QUARTILE(E$74:E151,1)),E151,QUARTILE(E$74:E151,3)+1.5*(QUARTILE(E$74:E151,3)-QUARTILE(E$74:E151,1)))))</f>
        <v>2.45033306546166</v>
      </c>
      <c r="N151" s="10" t="n">
        <f aca="false">IF(F151="","",IF(COUNT(F$74:F151)&lt;60,F151,MEDIAN(QUARTILE(F$74:F151,1)-1.5*(QUARTILE(F$74:F151,3)-QUARTILE(F$74:F151,1)),F151,QUARTILE(F$74:F151,3)+1.5*(QUARTILE(F$74:F151,3)-QUARTILE(F$74:F151,1)))))</f>
        <v>-0.702117152462145</v>
      </c>
      <c r="O151" s="10" t="n">
        <f aca="false">IF(G151="","",IF(COUNT(G$74:G151)&lt;60,G151,MEDIAN(QUARTILE(G$74:G151,1)-1.5*(QUARTILE(G$74:G151,3)-QUARTILE(G$74:G151,1)),G151,QUARTILE(G$74:G151,3)+1.5*(QUARTILE(G$74:G151,3)-QUARTILE(G$74:G151,1)))))</f>
        <v>1.53518597477072</v>
      </c>
      <c r="P151" s="10" t="n">
        <f aca="false">IF(H151="","",IF(COUNT(H$74:H151)&lt;60,H151,MEDIAN(QUARTILE(H$74:H151,1)-1.5*(QUARTILE(H$74:H151,3)-QUARTILE(H$74:H151,1)),H151,QUARTILE(H$74:H151,3)+1.5*(QUARTILE(H$74:H151,3)-QUARTILE(H$74:H151,1)))))</f>
        <v>-0.83286578467048</v>
      </c>
      <c r="Q151" s="10" t="n">
        <f aca="false">IF(I151="","",IF(COUNT(I$74:I151)&lt;60,I151,MEDIAN(QUARTILE(I$74:I151,1)-1.5*(QUARTILE(I$74:I151,3)-QUARTILE(I$74:I151,1)),I151,QUARTILE(I$74:I151,3)+1.5*(QUARTILE(I$74:I151,3)-QUARTILE(I$74:I151,1)))))</f>
        <v>-0.873466610709729</v>
      </c>
      <c r="R151" s="10" t="n">
        <f aca="false">IF(J151="","",MEDIAN(J151:Q151))</f>
        <v>-0.431852940210729</v>
      </c>
      <c r="S151" s="10" t="n">
        <f aca="false">IF(R151="","",ABS(R151))</f>
        <v>0.431852940210729</v>
      </c>
      <c r="T151" s="10" t="n">
        <f aca="false">IF(COUNT(S$74:S150)&lt;60,"",MEDIAN(S$74:S150))</f>
        <v>0.30982748474166</v>
      </c>
      <c r="U151" s="10" t="n">
        <f aca="false">IF(R151="","",IF(T151="",0,IF(S151&gt;=T151,R151,0)))</f>
        <v>-0.431852940210729</v>
      </c>
      <c r="V151" s="10" t="n">
        <f aca="false">IF(U151="","",MEDIAN(-1,U151,1))</f>
        <v>-0.431852940210729</v>
      </c>
      <c r="W151" s="10" t="n">
        <f aca="false">IF(J151="","",AVERAGE(J151:Q151))</f>
        <v>0.134360409479915</v>
      </c>
    </row>
    <row r="152" customFormat="false" ht="15" hidden="false" customHeight="false" outlineLevel="0" collapsed="false">
      <c r="A152" s="8" t="n">
        <f aca="false">Base!A152</f>
        <v>42582</v>
      </c>
      <c r="B152" s="10" t="n">
        <f aca="false">IF(COUNT(Transf!B$39:B152)&lt;36,"",(Transf!B152-AVERAGE(Transf!B$39:B152))/STDEV(Transf!B$39:B152))</f>
        <v>-0.357996915885972</v>
      </c>
      <c r="C152" s="10" t="n">
        <f aca="false">IF(COUNT(Transf!C$39:C152)&lt;36,"",(Transf!C152-AVERAGE(Transf!C$39:C152))/STDEV(Transf!C$39:C152))</f>
        <v>-0.670075055579523</v>
      </c>
      <c r="D152" s="10" t="n">
        <f aca="false">IF(COUNT(Transf!D$39:D152)&lt;36,"",(Transf!D152-AVERAGE(Transf!D$39:D152))/STDEV(Transf!D$39:D152))</f>
        <v>0.352177495014004</v>
      </c>
      <c r="E152" s="10" t="n">
        <f aca="false">IF(COUNT(Transf!E$39:E152)&lt;36,"",(Transf!E152-AVERAGE(Transf!E$39:E152))/STDEV(Transf!E$39:E152))</f>
        <v>3.46400900169777</v>
      </c>
      <c r="F152" s="10" t="n">
        <f aca="false">IF(COUNT(Transf!F$39:F152)&lt;36,"",(Transf!F152-AVERAGE(Transf!F$39:F152))/STDEV(Transf!F$39:F152))</f>
        <v>-0.8200324102673</v>
      </c>
      <c r="G152" s="10" t="n">
        <f aca="false">IF(COUNT(Transf!G$39:G152)&lt;36,"",(Transf!G152-AVERAGE(Transf!G$39:G152))/STDEV(Transf!G$39:G152))</f>
        <v>1.64301949179731</v>
      </c>
      <c r="H152" s="10" t="n">
        <f aca="false">IF(COUNT(Transf!H$39:H152)&lt;36,"",(Transf!H152-AVERAGE(Transf!H$39:H152))/STDEV(Transf!H$39:H152))</f>
        <v>-0.96719568758882</v>
      </c>
      <c r="I152" s="10" t="n">
        <f aca="false">IF(COUNT(Transf!I$39:I152)&lt;36,"",(Transf!I152-AVERAGE(Transf!I$39:I152))/STDEV(Transf!I$39:I152))</f>
        <v>-0.963408374323302</v>
      </c>
      <c r="J152" s="10" t="n">
        <f aca="false">IF(B152="","",IF(COUNT(B$74:B152)&lt;60,B152,MEDIAN(QUARTILE(B$74:B152,1)-1.5*(QUARTILE(B$74:B152,3)-QUARTILE(B$74:B152,1)),B152,QUARTILE(B$74:B152,3)+1.5*(QUARTILE(B$74:B152,3)-QUARTILE(B$74:B152,1)))))</f>
        <v>-0.357996915885972</v>
      </c>
      <c r="K152" s="10" t="n">
        <f aca="false">IF(C152="","",IF(COUNT(C$74:C152)&lt;60,C152,MEDIAN(QUARTILE(C$74:C152,1)-1.5*(QUARTILE(C$74:C152,3)-QUARTILE(C$74:C152,1)),C152,QUARTILE(C$74:C152,3)+1.5*(QUARTILE(C$74:C152,3)-QUARTILE(C$74:C152,1)))))</f>
        <v>-0.670075055579523</v>
      </c>
      <c r="L152" s="10" t="n">
        <f aca="false">IF(D152="","",IF(COUNT(D$74:D152)&lt;60,D152,MEDIAN(QUARTILE(D$74:D152,1)-1.5*(QUARTILE(D$74:D152,3)-QUARTILE(D$74:D152,1)),D152,QUARTILE(D$74:D152,3)+1.5*(QUARTILE(D$74:D152,3)-QUARTILE(D$74:D152,1)))))</f>
        <v>0.352177495014004</v>
      </c>
      <c r="M152" s="10" t="n">
        <f aca="false">IF(E152="","",IF(COUNT(E$74:E152)&lt;60,E152,MEDIAN(QUARTILE(E$74:E152,1)-1.5*(QUARTILE(E$74:E152,3)-QUARTILE(E$74:E152,1)),E152,QUARTILE(E$74:E152,3)+1.5*(QUARTILE(E$74:E152,3)-QUARTILE(E$74:E152,1)))))</f>
        <v>2.52012374960722</v>
      </c>
      <c r="N152" s="10" t="n">
        <f aca="false">IF(F152="","",IF(COUNT(F$74:F152)&lt;60,F152,MEDIAN(QUARTILE(F$74:F152,1)-1.5*(QUARTILE(F$74:F152,3)-QUARTILE(F$74:F152,1)),F152,QUARTILE(F$74:F152,3)+1.5*(QUARTILE(F$74:F152,3)-QUARTILE(F$74:F152,1)))))</f>
        <v>-0.8200324102673</v>
      </c>
      <c r="O152" s="10" t="n">
        <f aca="false">IF(G152="","",IF(COUNT(G$74:G152)&lt;60,G152,MEDIAN(QUARTILE(G$74:G152,1)-1.5*(QUARTILE(G$74:G152,3)-QUARTILE(G$74:G152,1)),G152,QUARTILE(G$74:G152,3)+1.5*(QUARTILE(G$74:G152,3)-QUARTILE(G$74:G152,1)))))</f>
        <v>1.64301949179731</v>
      </c>
      <c r="P152" s="10" t="n">
        <f aca="false">IF(H152="","",IF(COUNT(H$74:H152)&lt;60,H152,MEDIAN(QUARTILE(H$74:H152,1)-1.5*(QUARTILE(H$74:H152,3)-QUARTILE(H$74:H152,1)),H152,QUARTILE(H$74:H152,3)+1.5*(QUARTILE(H$74:H152,3)-QUARTILE(H$74:H152,1)))))</f>
        <v>-0.96719568758882</v>
      </c>
      <c r="Q152" s="10" t="n">
        <f aca="false">IF(I152="","",IF(COUNT(I$74:I152)&lt;60,I152,MEDIAN(QUARTILE(I$74:I152,1)-1.5*(QUARTILE(I$74:I152,3)-QUARTILE(I$74:I152,1)),I152,QUARTILE(I$74:I152,3)+1.5*(QUARTILE(I$74:I152,3)-QUARTILE(I$74:I152,1)))))</f>
        <v>-0.963408374323302</v>
      </c>
      <c r="R152" s="10" t="n">
        <f aca="false">IF(J152="","",MEDIAN(J152:Q152))</f>
        <v>-0.514035985732748</v>
      </c>
      <c r="S152" s="10" t="n">
        <f aca="false">IF(R152="","",ABS(R152))</f>
        <v>0.514035985732748</v>
      </c>
      <c r="T152" s="10" t="n">
        <f aca="false">IF(COUNT(S$74:S151)&lt;60,"",MEDIAN(S$74:S151))</f>
        <v>0.326451209426089</v>
      </c>
      <c r="U152" s="10" t="n">
        <f aca="false">IF(R152="","",IF(T152="",0,IF(S152&gt;=T152,R152,0)))</f>
        <v>-0.514035985732748</v>
      </c>
      <c r="V152" s="10" t="n">
        <f aca="false">IF(U152="","",MEDIAN(-1,U152,1))</f>
        <v>-0.514035985732748</v>
      </c>
      <c r="W152" s="10" t="n">
        <f aca="false">IF(J152="","",AVERAGE(J152:Q152))</f>
        <v>0.0920765365967017</v>
      </c>
    </row>
    <row r="153" customFormat="false" ht="15" hidden="false" customHeight="false" outlineLevel="0" collapsed="false">
      <c r="A153" s="8" t="n">
        <f aca="false">Base!A153</f>
        <v>42613</v>
      </c>
      <c r="B153" s="10" t="n">
        <f aca="false">IF(COUNT(Transf!B$39:B153)&lt;36,"",(Transf!B153-AVERAGE(Transf!B$39:B153))/STDEV(Transf!B$39:B153))</f>
        <v>-0.190908712850883</v>
      </c>
      <c r="C153" s="10" t="n">
        <f aca="false">IF(COUNT(Transf!C$39:C153)&lt;36,"",(Transf!C153-AVERAGE(Transf!C$39:C153))/STDEV(Transf!C$39:C153))</f>
        <v>-0.556986705905099</v>
      </c>
      <c r="D153" s="10" t="n">
        <f aca="false">IF(COUNT(Transf!D$39:D153)&lt;36,"",(Transf!D153-AVERAGE(Transf!D$39:D153))/STDEV(Transf!D$39:D153))</f>
        <v>0.369660856798627</v>
      </c>
      <c r="E153" s="10" t="n">
        <f aca="false">IF(COUNT(Transf!E$39:E153)&lt;36,"",(Transf!E153-AVERAGE(Transf!E$39:E153))/STDEV(Transf!E$39:E153))</f>
        <v>3.26785895498491</v>
      </c>
      <c r="F153" s="10" t="n">
        <f aca="false">IF(COUNT(Transf!F$39:F153)&lt;36,"",(Transf!F153-AVERAGE(Transf!F$39:F153))/STDEV(Transf!F$39:F153))</f>
        <v>-0.559030748194966</v>
      </c>
      <c r="G153" s="10" t="n">
        <f aca="false">IF(COUNT(Transf!G$39:G153)&lt;36,"",(Transf!G153-AVERAGE(Transf!G$39:G153))/STDEV(Transf!G$39:G153))</f>
        <v>1.97810668350672</v>
      </c>
      <c r="H153" s="10" t="n">
        <f aca="false">IF(COUNT(Transf!H$39:H153)&lt;36,"",(Transf!H153-AVERAGE(Transf!H$39:H153))/STDEV(Transf!H$39:H153))</f>
        <v>-1.06757505618578</v>
      </c>
      <c r="I153" s="10" t="n">
        <f aca="false">IF(COUNT(Transf!I$39:I153)&lt;36,"",(Transf!I153-AVERAGE(Transf!I$39:I153))/STDEV(Transf!I$39:I153))</f>
        <v>-0.916851815832237</v>
      </c>
      <c r="J153" s="10" t="n">
        <f aca="false">IF(B153="","",IF(COUNT(B$74:B153)&lt;60,B153,MEDIAN(QUARTILE(B$74:B153,1)-1.5*(QUARTILE(B$74:B153,3)-QUARTILE(B$74:B153,1)),B153,QUARTILE(B$74:B153,3)+1.5*(QUARTILE(B$74:B153,3)-QUARTILE(B$74:B153,1)))))</f>
        <v>-0.190908712850883</v>
      </c>
      <c r="K153" s="10" t="n">
        <f aca="false">IF(C153="","",IF(COUNT(C$74:C153)&lt;60,C153,MEDIAN(QUARTILE(C$74:C153,1)-1.5*(QUARTILE(C$74:C153,3)-QUARTILE(C$74:C153,1)),C153,QUARTILE(C$74:C153,3)+1.5*(QUARTILE(C$74:C153,3)-QUARTILE(C$74:C153,1)))))</f>
        <v>-0.556986705905099</v>
      </c>
      <c r="L153" s="10" t="n">
        <f aca="false">IF(D153="","",IF(COUNT(D$74:D153)&lt;60,D153,MEDIAN(QUARTILE(D$74:D153,1)-1.5*(QUARTILE(D$74:D153,3)-QUARTILE(D$74:D153,1)),D153,QUARTILE(D$74:D153,3)+1.5*(QUARTILE(D$74:D153,3)-QUARTILE(D$74:D153,1)))))</f>
        <v>0.369660856798627</v>
      </c>
      <c r="M153" s="10" t="n">
        <f aca="false">IF(E153="","",IF(COUNT(E$74:E153)&lt;60,E153,MEDIAN(QUARTILE(E$74:E153,1)-1.5*(QUARTILE(E$74:E153,3)-QUARTILE(E$74:E153,1)),E153,QUARTILE(E$74:E153,3)+1.5*(QUARTILE(E$74:E153,3)-QUARTILE(E$74:E153,1)))))</f>
        <v>2.58256988738873</v>
      </c>
      <c r="N153" s="10" t="n">
        <f aca="false">IF(F153="","",IF(COUNT(F$74:F153)&lt;60,F153,MEDIAN(QUARTILE(F$74:F153,1)-1.5*(QUARTILE(F$74:F153,3)-QUARTILE(F$74:F153,1)),F153,QUARTILE(F$74:F153,3)+1.5*(QUARTILE(F$74:F153,3)-QUARTILE(F$74:F153,1)))))</f>
        <v>-0.559030748194966</v>
      </c>
      <c r="O153" s="10" t="n">
        <f aca="false">IF(G153="","",IF(COUNT(G$74:G153)&lt;60,G153,MEDIAN(QUARTILE(G$74:G153,1)-1.5*(QUARTILE(G$74:G153,3)-QUARTILE(G$74:G153,1)),G153,QUARTILE(G$74:G153,3)+1.5*(QUARTILE(G$74:G153,3)-QUARTILE(G$74:G153,1)))))</f>
        <v>1.97810668350672</v>
      </c>
      <c r="P153" s="10" t="n">
        <f aca="false">IF(H153="","",IF(COUNT(H$74:H153)&lt;60,H153,MEDIAN(QUARTILE(H$74:H153,1)-1.5*(QUARTILE(H$74:H153,3)-QUARTILE(H$74:H153,1)),H153,QUARTILE(H$74:H153,3)+1.5*(QUARTILE(H$74:H153,3)-QUARTILE(H$74:H153,1)))))</f>
        <v>-1.06757505618578</v>
      </c>
      <c r="Q153" s="10" t="n">
        <f aca="false">IF(I153="","",IF(COUNT(I$74:I153)&lt;60,I153,MEDIAN(QUARTILE(I$74:I153,1)-1.5*(QUARTILE(I$74:I153,3)-QUARTILE(I$74:I153,1)),I153,QUARTILE(I$74:I153,3)+1.5*(QUARTILE(I$74:I153,3)-QUARTILE(I$74:I153,1)))))</f>
        <v>-0.916851815832237</v>
      </c>
      <c r="R153" s="10" t="n">
        <f aca="false">IF(J153="","",MEDIAN(J153:Q153))</f>
        <v>-0.373947709377991</v>
      </c>
      <c r="S153" s="10" t="n">
        <f aca="false">IF(R153="","",ABS(R153))</f>
        <v>0.373947709377991</v>
      </c>
      <c r="T153" s="10" t="n">
        <f aca="false">IF(COUNT(S$74:S152)&lt;60,"",MEDIAN(S$74:S152))</f>
        <v>0.343074934110517</v>
      </c>
      <c r="U153" s="10" t="n">
        <f aca="false">IF(R153="","",IF(T153="",0,IF(S153&gt;=T153,R153,0)))</f>
        <v>-0.373947709377991</v>
      </c>
      <c r="V153" s="10" t="n">
        <f aca="false">IF(U153="","",MEDIAN(-1,U153,1))</f>
        <v>-0.373947709377991</v>
      </c>
      <c r="W153" s="10" t="n">
        <f aca="false">IF(J153="","",AVERAGE(J153:Q153))</f>
        <v>0.204873048590639</v>
      </c>
    </row>
    <row r="154" customFormat="false" ht="15" hidden="false" customHeight="false" outlineLevel="0" collapsed="false">
      <c r="A154" s="8" t="n">
        <f aca="false">Base!A154</f>
        <v>42643</v>
      </c>
      <c r="B154" s="10" t="n">
        <f aca="false">IF(COUNT(Transf!B$39:B154)&lt;36,"",(Transf!B154-AVERAGE(Transf!B$39:B154))/STDEV(Transf!B$39:B154))</f>
        <v>2.86448541240136E-005</v>
      </c>
      <c r="C154" s="10" t="n">
        <f aca="false">IF(COUNT(Transf!C$39:C154)&lt;36,"",(Transf!C154-AVERAGE(Transf!C$39:C154))/STDEV(Transf!C$39:C154))</f>
        <v>-0.331392964659814</v>
      </c>
      <c r="D154" s="10" t="n">
        <f aca="false">IF(COUNT(Transf!D$39:D154)&lt;36,"",(Transf!D154-AVERAGE(Transf!D$39:D154))/STDEV(Transf!D$39:D154))</f>
        <v>0.456091610770911</v>
      </c>
      <c r="E154" s="10" t="n">
        <f aca="false">IF(COUNT(Transf!E$39:E154)&lt;36,"",(Transf!E154-AVERAGE(Transf!E$39:E154))/STDEV(Transf!E$39:E154))</f>
        <v>2.94298140906321</v>
      </c>
      <c r="F154" s="10" t="n">
        <f aca="false">IF(COUNT(Transf!F$39:F154)&lt;36,"",(Transf!F154-AVERAGE(Transf!F$39:F154))/STDEV(Transf!F$39:F154))</f>
        <v>-0.308217595804672</v>
      </c>
      <c r="G154" s="10" t="n">
        <f aca="false">IF(COUNT(Transf!G$39:G154)&lt;36,"",(Transf!G154-AVERAGE(Transf!G$39:G154))/STDEV(Transf!G$39:G154))</f>
        <v>2.263240732509</v>
      </c>
      <c r="H154" s="10" t="n">
        <f aca="false">IF(COUNT(Transf!H$39:H154)&lt;36,"",(Transf!H154-AVERAGE(Transf!H$39:H154))/STDEV(Transf!H$39:H154))</f>
        <v>-0.921017176844824</v>
      </c>
      <c r="I154" s="10" t="n">
        <f aca="false">IF(COUNT(Transf!I$39:I154)&lt;36,"",(Transf!I154-AVERAGE(Transf!I$39:I154))/STDEV(Transf!I$39:I154))</f>
        <v>-0.703627887487783</v>
      </c>
      <c r="J154" s="10" t="n">
        <f aca="false">IF(B154="","",IF(COUNT(B$74:B154)&lt;60,B154,MEDIAN(QUARTILE(B$74:B154,1)-1.5*(QUARTILE(B$74:B154,3)-QUARTILE(B$74:B154,1)),B154,QUARTILE(B$74:B154,3)+1.5*(QUARTILE(B$74:B154,3)-QUARTILE(B$74:B154,1)))))</f>
        <v>2.86448541240136E-005</v>
      </c>
      <c r="K154" s="10" t="n">
        <f aca="false">IF(C154="","",IF(COUNT(C$74:C154)&lt;60,C154,MEDIAN(QUARTILE(C$74:C154,1)-1.5*(QUARTILE(C$74:C154,3)-QUARTILE(C$74:C154,1)),C154,QUARTILE(C$74:C154,3)+1.5*(QUARTILE(C$74:C154,3)-QUARTILE(C$74:C154,1)))))</f>
        <v>-0.331392964659814</v>
      </c>
      <c r="L154" s="10" t="n">
        <f aca="false">IF(D154="","",IF(COUNT(D$74:D154)&lt;60,D154,MEDIAN(QUARTILE(D$74:D154,1)-1.5*(QUARTILE(D$74:D154,3)-QUARTILE(D$74:D154,1)),D154,QUARTILE(D$74:D154,3)+1.5*(QUARTILE(D$74:D154,3)-QUARTILE(D$74:D154,1)))))</f>
        <v>0.456091610770911</v>
      </c>
      <c r="M154" s="10" t="n">
        <f aca="false">IF(E154="","",IF(COUNT(E$74:E154)&lt;60,E154,MEDIAN(QUARTILE(E$74:E154,1)-1.5*(QUARTILE(E$74:E154,3)-QUARTILE(E$74:E154,1)),E154,QUARTILE(E$74:E154,3)+1.5*(QUARTILE(E$74:E154,3)-QUARTILE(E$74:E154,1)))))</f>
        <v>2.68845753696392</v>
      </c>
      <c r="N154" s="10" t="n">
        <f aca="false">IF(F154="","",IF(COUNT(F$74:F154)&lt;60,F154,MEDIAN(QUARTILE(F$74:F154,1)-1.5*(QUARTILE(F$74:F154,3)-QUARTILE(F$74:F154,1)),F154,QUARTILE(F$74:F154,3)+1.5*(QUARTILE(F$74:F154,3)-QUARTILE(F$74:F154,1)))))</f>
        <v>-0.308217595804672</v>
      </c>
      <c r="O154" s="10" t="n">
        <f aca="false">IF(G154="","",IF(COUNT(G$74:G154)&lt;60,G154,MEDIAN(QUARTILE(G$74:G154,1)-1.5*(QUARTILE(G$74:G154,3)-QUARTILE(G$74:G154,1)),G154,QUARTILE(G$74:G154,3)+1.5*(QUARTILE(G$74:G154,3)-QUARTILE(G$74:G154,1)))))</f>
        <v>2.263240732509</v>
      </c>
      <c r="P154" s="10" t="n">
        <f aca="false">IF(H154="","",IF(COUNT(H$74:H154)&lt;60,H154,MEDIAN(QUARTILE(H$74:H154,1)-1.5*(QUARTILE(H$74:H154,3)-QUARTILE(H$74:H154,1)),H154,QUARTILE(H$74:H154,3)+1.5*(QUARTILE(H$74:H154,3)-QUARTILE(H$74:H154,1)))))</f>
        <v>-0.921017176844824</v>
      </c>
      <c r="Q154" s="10" t="n">
        <f aca="false">IF(I154="","",IF(COUNT(I$74:I154)&lt;60,I154,MEDIAN(QUARTILE(I$74:I154,1)-1.5*(QUARTILE(I$74:I154,3)-QUARTILE(I$74:I154,1)),I154,QUARTILE(I$74:I154,3)+1.5*(QUARTILE(I$74:I154,3)-QUARTILE(I$74:I154,1)))))</f>
        <v>-0.703627887487783</v>
      </c>
      <c r="R154" s="10" t="n">
        <f aca="false">IF(J154="","",MEDIAN(J154:Q154))</f>
        <v>-0.154094475475274</v>
      </c>
      <c r="S154" s="10" t="n">
        <f aca="false">IF(R154="","",ABS(R154))</f>
        <v>0.154094475475274</v>
      </c>
      <c r="T154" s="10" t="n">
        <f aca="false">IF(COUNT(S$74:S153)&lt;60,"",MEDIAN(S$74:S153))</f>
        <v>0.343923113344169</v>
      </c>
      <c r="U154" s="10" t="n">
        <f aca="false">IF(R154="","",IF(T154="",0,IF(S154&gt;=T154,R154,0)))</f>
        <v>0</v>
      </c>
      <c r="V154" s="10" t="n">
        <f aca="false">IF(U154="","",MEDIAN(-1,U154,1))</f>
        <v>0</v>
      </c>
      <c r="W154" s="10" t="n">
        <f aca="false">IF(J154="","",AVERAGE(J154:Q154))</f>
        <v>0.392945362537608</v>
      </c>
    </row>
    <row r="155" customFormat="false" ht="15" hidden="false" customHeight="false" outlineLevel="0" collapsed="false">
      <c r="A155" s="8" t="n">
        <f aca="false">Base!A155</f>
        <v>42674</v>
      </c>
      <c r="B155" s="10" t="n">
        <f aca="false">IF(COUNT(Transf!B$39:B155)&lt;36,"",(Transf!B155-AVERAGE(Transf!B$39:B155))/STDEV(Transf!B$39:B155))</f>
        <v>0.0864643742737866</v>
      </c>
      <c r="C155" s="10" t="n">
        <f aca="false">IF(COUNT(Transf!C$39:C155)&lt;36,"",(Transf!C155-AVERAGE(Transf!C$39:C155))/STDEV(Transf!C$39:C155))</f>
        <v>-0.215249119294352</v>
      </c>
      <c r="D155" s="10" t="n">
        <f aca="false">IF(COUNT(Transf!D$39:D155)&lt;36,"",(Transf!D155-AVERAGE(Transf!D$39:D155))/STDEV(Transf!D$39:D155))</f>
        <v>0.596026537766504</v>
      </c>
      <c r="E155" s="10" t="n">
        <f aca="false">IF(COUNT(Transf!E$39:E155)&lt;36,"",(Transf!E155-AVERAGE(Transf!E$39:E155))/STDEV(Transf!E$39:E155))</f>
        <v>2.75909451366759</v>
      </c>
      <c r="F155" s="10" t="n">
        <f aca="false">IF(COUNT(Transf!F$39:F155)&lt;36,"",(Transf!F155-AVERAGE(Transf!F$39:F155))/STDEV(Transf!F$39:F155))</f>
        <v>-0.357368392036536</v>
      </c>
      <c r="G155" s="10" t="n">
        <f aca="false">IF(COUNT(Transf!G$39:G155)&lt;36,"",(Transf!G155-AVERAGE(Transf!G$39:G155))/STDEV(Transf!G$39:G155))</f>
        <v>2.29286343620632</v>
      </c>
      <c r="H155" s="10" t="n">
        <f aca="false">IF(COUNT(Transf!H$39:H155)&lt;36,"",(Transf!H155-AVERAGE(Transf!H$39:H155))/STDEV(Transf!H$39:H155))</f>
        <v>-0.623480782077944</v>
      </c>
      <c r="I155" s="10" t="n">
        <f aca="false">IF(COUNT(Transf!I$39:I155)&lt;36,"",(Transf!I155-AVERAGE(Transf!I$39:I155))/STDEV(Transf!I$39:I155))</f>
        <v>-0.413298909085896</v>
      </c>
      <c r="J155" s="10" t="n">
        <f aca="false">IF(B155="","",IF(COUNT(B$74:B155)&lt;60,B155,MEDIAN(QUARTILE(B$74:B155,1)-1.5*(QUARTILE(B$74:B155,3)-QUARTILE(B$74:B155,1)),B155,QUARTILE(B$74:B155,3)+1.5*(QUARTILE(B$74:B155,3)-QUARTILE(B$74:B155,1)))))</f>
        <v>0.0864643742737866</v>
      </c>
      <c r="K155" s="10" t="n">
        <f aca="false">IF(C155="","",IF(COUNT(C$74:C155)&lt;60,C155,MEDIAN(QUARTILE(C$74:C155,1)-1.5*(QUARTILE(C$74:C155,3)-QUARTILE(C$74:C155,1)),C155,QUARTILE(C$74:C155,3)+1.5*(QUARTILE(C$74:C155,3)-QUARTILE(C$74:C155,1)))))</f>
        <v>-0.215249119294352</v>
      </c>
      <c r="L155" s="10" t="n">
        <f aca="false">IF(D155="","",IF(COUNT(D$74:D155)&lt;60,D155,MEDIAN(QUARTILE(D$74:D155,1)-1.5*(QUARTILE(D$74:D155,3)-QUARTILE(D$74:D155,1)),D155,QUARTILE(D$74:D155,3)+1.5*(QUARTILE(D$74:D155,3)-QUARTILE(D$74:D155,1)))))</f>
        <v>0.596026537766504</v>
      </c>
      <c r="M155" s="10" t="n">
        <f aca="false">IF(E155="","",IF(COUNT(E$74:E155)&lt;60,E155,MEDIAN(QUARTILE(E$74:E155,1)-1.5*(QUARTILE(E$74:E155,3)-QUARTILE(E$74:E155,1)),E155,QUARTILE(E$74:E155,3)+1.5*(QUARTILE(E$74:E155,3)-QUARTILE(E$74:E155,1)))))</f>
        <v>2.75909451366759</v>
      </c>
      <c r="N155" s="10" t="n">
        <f aca="false">IF(F155="","",IF(COUNT(F$74:F155)&lt;60,F155,MEDIAN(QUARTILE(F$74:F155,1)-1.5*(QUARTILE(F$74:F155,3)-QUARTILE(F$74:F155,1)),F155,QUARTILE(F$74:F155,3)+1.5*(QUARTILE(F$74:F155,3)-QUARTILE(F$74:F155,1)))))</f>
        <v>-0.357368392036536</v>
      </c>
      <c r="O155" s="10" t="n">
        <f aca="false">IF(G155="","",IF(COUNT(G$74:G155)&lt;60,G155,MEDIAN(QUARTILE(G$74:G155,1)-1.5*(QUARTILE(G$74:G155,3)-QUARTILE(G$74:G155,1)),G155,QUARTILE(G$74:G155,3)+1.5*(QUARTILE(G$74:G155,3)-QUARTILE(G$74:G155,1)))))</f>
        <v>2.29286343620632</v>
      </c>
      <c r="P155" s="10" t="n">
        <f aca="false">IF(H155="","",IF(COUNT(H$74:H155)&lt;60,H155,MEDIAN(QUARTILE(H$74:H155,1)-1.5*(QUARTILE(H$74:H155,3)-QUARTILE(H$74:H155,1)),H155,QUARTILE(H$74:H155,3)+1.5*(QUARTILE(H$74:H155,3)-QUARTILE(H$74:H155,1)))))</f>
        <v>-0.623480782077944</v>
      </c>
      <c r="Q155" s="10" t="n">
        <f aca="false">IF(I155="","",IF(COUNT(I$74:I155)&lt;60,I155,MEDIAN(QUARTILE(I$74:I155,1)-1.5*(QUARTILE(I$74:I155,3)-QUARTILE(I$74:I155,1)),I155,QUARTILE(I$74:I155,3)+1.5*(QUARTILE(I$74:I155,3)-QUARTILE(I$74:I155,1)))))</f>
        <v>-0.413298909085896</v>
      </c>
      <c r="R155" s="10" t="n">
        <f aca="false">IF(J155="","",MEDIAN(J155:Q155))</f>
        <v>-0.0643923725102825</v>
      </c>
      <c r="S155" s="10" t="n">
        <f aca="false">IF(R155="","",ABS(R155))</f>
        <v>0.0643923725102825</v>
      </c>
      <c r="T155" s="10" t="n">
        <f aca="false">IF(COUNT(S$74:S154)&lt;60,"",MEDIAN(S$74:S154))</f>
        <v>0.343074934110517</v>
      </c>
      <c r="U155" s="10" t="n">
        <f aca="false">IF(R155="","",IF(T155="",0,IF(S155&gt;=T155,R155,0)))</f>
        <v>0</v>
      </c>
      <c r="V155" s="10" t="n">
        <f aca="false">IF(U155="","",MEDIAN(-1,U155,1))</f>
        <v>0</v>
      </c>
      <c r="W155" s="10" t="n">
        <f aca="false">IF(J155="","",AVERAGE(J155:Q155))</f>
        <v>0.515631457427433</v>
      </c>
    </row>
    <row r="156" customFormat="false" ht="15" hidden="false" customHeight="false" outlineLevel="0" collapsed="false">
      <c r="A156" s="8" t="n">
        <f aca="false">Base!A156</f>
        <v>42704</v>
      </c>
      <c r="B156" s="10" t="n">
        <f aca="false">IF(COUNT(Transf!B$39:B156)&lt;36,"",(Transf!B156-AVERAGE(Transf!B$39:B156))/STDEV(Transf!B$39:B156))</f>
        <v>0.253171927754336</v>
      </c>
      <c r="C156" s="10" t="n">
        <f aca="false">IF(COUNT(Transf!C$39:C156)&lt;36,"",(Transf!C156-AVERAGE(Transf!C$39:C156))/STDEV(Transf!C$39:C156))</f>
        <v>-0.112069289574381</v>
      </c>
      <c r="D156" s="10" t="n">
        <f aca="false">IF(COUNT(Transf!D$39:D156)&lt;36,"",(Transf!D156-AVERAGE(Transf!D$39:D156))/STDEV(Transf!D$39:D156))</f>
        <v>0.806718008298235</v>
      </c>
      <c r="E156" s="10" t="n">
        <f aca="false">IF(COUNT(Transf!E$39:E156)&lt;36,"",(Transf!E156-AVERAGE(Transf!E$39:E156))/STDEV(Transf!E$39:E156))</f>
        <v>2.59742285324862</v>
      </c>
      <c r="F156" s="10" t="n">
        <f aca="false">IF(COUNT(Transf!F$39:F156)&lt;36,"",(Transf!F156-AVERAGE(Transf!F$39:F156))/STDEV(Transf!F$39:F156))</f>
        <v>-0.512420374878514</v>
      </c>
      <c r="G156" s="10" t="n">
        <f aca="false">IF(COUNT(Transf!G$39:G156)&lt;36,"",(Transf!G156-AVERAGE(Transf!G$39:G156))/STDEV(Transf!G$39:G156))</f>
        <v>2.32062898419278</v>
      </c>
      <c r="H156" s="10" t="n">
        <f aca="false">IF(COUNT(Transf!H$39:H156)&lt;36,"",(Transf!H156-AVERAGE(Transf!H$39:H156))/STDEV(Transf!H$39:H156))</f>
        <v>-0.297375494761272</v>
      </c>
      <c r="I156" s="10" t="n">
        <f aca="false">IF(COUNT(Transf!I$39:I156)&lt;36,"",(Transf!I156-AVERAGE(Transf!I$39:I156))/STDEV(Transf!I$39:I156))</f>
        <v>-0.268706029556982</v>
      </c>
      <c r="J156" s="10" t="n">
        <f aca="false">IF(B156="","",IF(COUNT(B$74:B156)&lt;60,B156,MEDIAN(QUARTILE(B$74:B156,1)-1.5*(QUARTILE(B$74:B156,3)-QUARTILE(B$74:B156,1)),B156,QUARTILE(B$74:B156,3)+1.5*(QUARTILE(B$74:B156,3)-QUARTILE(B$74:B156,1)))))</f>
        <v>0.253171927754336</v>
      </c>
      <c r="K156" s="10" t="n">
        <f aca="false">IF(C156="","",IF(COUNT(C$74:C156)&lt;60,C156,MEDIAN(QUARTILE(C$74:C156,1)-1.5*(QUARTILE(C$74:C156,3)-QUARTILE(C$74:C156,1)),C156,QUARTILE(C$74:C156,3)+1.5*(QUARTILE(C$74:C156,3)-QUARTILE(C$74:C156,1)))))</f>
        <v>-0.112069289574381</v>
      </c>
      <c r="L156" s="10" t="n">
        <f aca="false">IF(D156="","",IF(COUNT(D$74:D156)&lt;60,D156,MEDIAN(QUARTILE(D$74:D156,1)-1.5*(QUARTILE(D$74:D156,3)-QUARTILE(D$74:D156,1)),D156,QUARTILE(D$74:D156,3)+1.5*(QUARTILE(D$74:D156,3)-QUARTILE(D$74:D156,1)))))</f>
        <v>0.806718008298235</v>
      </c>
      <c r="M156" s="10" t="n">
        <f aca="false">IF(E156="","",IF(COUNT(E$74:E156)&lt;60,E156,MEDIAN(QUARTILE(E$74:E156,1)-1.5*(QUARTILE(E$74:E156,3)-QUARTILE(E$74:E156,1)),E156,QUARTILE(E$74:E156,3)+1.5*(QUARTILE(E$74:E156,3)-QUARTILE(E$74:E156,1)))))</f>
        <v>2.59742285324862</v>
      </c>
      <c r="N156" s="10" t="n">
        <f aca="false">IF(F156="","",IF(COUNT(F$74:F156)&lt;60,F156,MEDIAN(QUARTILE(F$74:F156,1)-1.5*(QUARTILE(F$74:F156,3)-QUARTILE(F$74:F156,1)),F156,QUARTILE(F$74:F156,3)+1.5*(QUARTILE(F$74:F156,3)-QUARTILE(F$74:F156,1)))))</f>
        <v>-0.512420374878514</v>
      </c>
      <c r="O156" s="10" t="n">
        <f aca="false">IF(G156="","",IF(COUNT(G$74:G156)&lt;60,G156,MEDIAN(QUARTILE(G$74:G156,1)-1.5*(QUARTILE(G$74:G156,3)-QUARTILE(G$74:G156,1)),G156,QUARTILE(G$74:G156,3)+1.5*(QUARTILE(G$74:G156,3)-QUARTILE(G$74:G156,1)))))</f>
        <v>2.32062898419278</v>
      </c>
      <c r="P156" s="10" t="n">
        <f aca="false">IF(H156="","",IF(COUNT(H$74:H156)&lt;60,H156,MEDIAN(QUARTILE(H$74:H156,1)-1.5*(QUARTILE(H$74:H156,3)-QUARTILE(H$74:H156,1)),H156,QUARTILE(H$74:H156,3)+1.5*(QUARTILE(H$74:H156,3)-QUARTILE(H$74:H156,1)))))</f>
        <v>-0.297375494761272</v>
      </c>
      <c r="Q156" s="10" t="n">
        <f aca="false">IF(I156="","",IF(COUNT(I$74:I156)&lt;60,I156,MEDIAN(QUARTILE(I$74:I156,1)-1.5*(QUARTILE(I$74:I156,3)-QUARTILE(I$74:I156,1)),I156,QUARTILE(I$74:I156,3)+1.5*(QUARTILE(I$74:I156,3)-QUARTILE(I$74:I156,1)))))</f>
        <v>-0.268706029556982</v>
      </c>
      <c r="R156" s="10" t="n">
        <f aca="false">IF(J156="","",MEDIAN(J156:Q156))</f>
        <v>0.0705513190899778</v>
      </c>
      <c r="S156" s="10" t="n">
        <f aca="false">IF(R156="","",ABS(R156))</f>
        <v>0.0705513190899778</v>
      </c>
      <c r="T156" s="10" t="n">
        <f aca="false">IF(COUNT(S$74:S155)&lt;60,"",MEDIAN(S$74:S155))</f>
        <v>0.326451209426089</v>
      </c>
      <c r="U156" s="10" t="n">
        <f aca="false">IF(R156="","",IF(T156="",0,IF(S156&gt;=T156,R156,0)))</f>
        <v>0</v>
      </c>
      <c r="V156" s="10" t="n">
        <f aca="false">IF(U156="","",MEDIAN(-1,U156,1))</f>
        <v>0</v>
      </c>
      <c r="W156" s="10" t="n">
        <f aca="false">IF(J156="","",AVERAGE(J156:Q156))</f>
        <v>0.598421323090353</v>
      </c>
    </row>
    <row r="157" customFormat="false" ht="15" hidden="false" customHeight="false" outlineLevel="0" collapsed="false">
      <c r="A157" s="8" t="n">
        <f aca="false">Base!A157</f>
        <v>42735</v>
      </c>
      <c r="B157" s="10" t="n">
        <f aca="false">IF(COUNT(Transf!B$39:B157)&lt;36,"",(Transf!B157-AVERAGE(Transf!B$39:B157))/STDEV(Transf!B$39:B157))</f>
        <v>0.942246901543998</v>
      </c>
      <c r="C157" s="10" t="n">
        <f aca="false">IF(COUNT(Transf!C$39:C157)&lt;36,"",(Transf!C157-AVERAGE(Transf!C$39:C157))/STDEV(Transf!C$39:C157))</f>
        <v>0.117454089217001</v>
      </c>
      <c r="D157" s="10" t="n">
        <f aca="false">IF(COUNT(Transf!D$39:D157)&lt;36,"",(Transf!D157-AVERAGE(Transf!D$39:D157))/STDEV(Transf!D$39:D157))</f>
        <v>1.15279408300389</v>
      </c>
      <c r="E157" s="10" t="n">
        <f aca="false">IF(COUNT(Transf!E$39:E157)&lt;36,"",(Transf!E157-AVERAGE(Transf!E$39:E157))/STDEV(Transf!E$39:E157))</f>
        <v>2.25015160060791</v>
      </c>
      <c r="F157" s="10" t="n">
        <f aca="false">IF(COUNT(Transf!F$39:F157)&lt;36,"",(Transf!F157-AVERAGE(Transf!F$39:F157))/STDEV(Transf!F$39:F157))</f>
        <v>-0.828623452062057</v>
      </c>
      <c r="G157" s="10" t="n">
        <f aca="false">IF(COUNT(Transf!G$39:G157)&lt;36,"",(Transf!G157-AVERAGE(Transf!G$39:G157))/STDEV(Transf!G$39:G157))</f>
        <v>1.4791941105869</v>
      </c>
      <c r="H157" s="10" t="n">
        <f aca="false">IF(COUNT(Transf!H$39:H157)&lt;36,"",(Transf!H157-AVERAGE(Transf!H$39:H157))/STDEV(Transf!H$39:H157))</f>
        <v>-0.140070888281571</v>
      </c>
      <c r="I157" s="10" t="n">
        <f aca="false">IF(COUNT(Transf!I$39:I157)&lt;36,"",(Transf!I157-AVERAGE(Transf!I$39:I157))/STDEV(Transf!I$39:I157))</f>
        <v>-0.135153627287614</v>
      </c>
      <c r="J157" s="10" t="n">
        <f aca="false">IF(B157="","",IF(COUNT(B$74:B157)&lt;60,B157,MEDIAN(QUARTILE(B$74:B157,1)-1.5*(QUARTILE(B$74:B157,3)-QUARTILE(B$74:B157,1)),B157,QUARTILE(B$74:B157,3)+1.5*(QUARTILE(B$74:B157,3)-QUARTILE(B$74:B157,1)))))</f>
        <v>0.942246901543998</v>
      </c>
      <c r="K157" s="10" t="n">
        <f aca="false">IF(C157="","",IF(COUNT(C$74:C157)&lt;60,C157,MEDIAN(QUARTILE(C$74:C157,1)-1.5*(QUARTILE(C$74:C157,3)-QUARTILE(C$74:C157,1)),C157,QUARTILE(C$74:C157,3)+1.5*(QUARTILE(C$74:C157,3)-QUARTILE(C$74:C157,1)))))</f>
        <v>0.117454089217001</v>
      </c>
      <c r="L157" s="10" t="n">
        <f aca="false">IF(D157="","",IF(COUNT(D$74:D157)&lt;60,D157,MEDIAN(QUARTILE(D$74:D157,1)-1.5*(QUARTILE(D$74:D157,3)-QUARTILE(D$74:D157,1)),D157,QUARTILE(D$74:D157,3)+1.5*(QUARTILE(D$74:D157,3)-QUARTILE(D$74:D157,1)))))</f>
        <v>1.15279408300389</v>
      </c>
      <c r="M157" s="10" t="n">
        <f aca="false">IF(E157="","",IF(COUNT(E$74:E157)&lt;60,E157,MEDIAN(QUARTILE(E$74:E157,1)-1.5*(QUARTILE(E$74:E157,3)-QUARTILE(E$74:E157,1)),E157,QUARTILE(E$74:E157,3)+1.5*(QUARTILE(E$74:E157,3)-QUARTILE(E$74:E157,1)))))</f>
        <v>2.25015160060791</v>
      </c>
      <c r="N157" s="10" t="n">
        <f aca="false">IF(F157="","",IF(COUNT(F$74:F157)&lt;60,F157,MEDIAN(QUARTILE(F$74:F157,1)-1.5*(QUARTILE(F$74:F157,3)-QUARTILE(F$74:F157,1)),F157,QUARTILE(F$74:F157,3)+1.5*(QUARTILE(F$74:F157,3)-QUARTILE(F$74:F157,1)))))</f>
        <v>-0.828623452062057</v>
      </c>
      <c r="O157" s="10" t="n">
        <f aca="false">IF(G157="","",IF(COUNT(G$74:G157)&lt;60,G157,MEDIAN(QUARTILE(G$74:G157,1)-1.5*(QUARTILE(G$74:G157,3)-QUARTILE(G$74:G157,1)),G157,QUARTILE(G$74:G157,3)+1.5*(QUARTILE(G$74:G157,3)-QUARTILE(G$74:G157,1)))))</f>
        <v>1.4791941105869</v>
      </c>
      <c r="P157" s="10" t="n">
        <f aca="false">IF(H157="","",IF(COUNT(H$74:H157)&lt;60,H157,MEDIAN(QUARTILE(H$74:H157,1)-1.5*(QUARTILE(H$74:H157,3)-QUARTILE(H$74:H157,1)),H157,QUARTILE(H$74:H157,3)+1.5*(QUARTILE(H$74:H157,3)-QUARTILE(H$74:H157,1)))))</f>
        <v>-0.140070888281571</v>
      </c>
      <c r="Q157" s="10" t="n">
        <f aca="false">IF(I157="","",IF(COUNT(I$74:I157)&lt;60,I157,MEDIAN(QUARTILE(I$74:I157,1)-1.5*(QUARTILE(I$74:I157,3)-QUARTILE(I$74:I157,1)),I157,QUARTILE(I$74:I157,3)+1.5*(QUARTILE(I$74:I157,3)-QUARTILE(I$74:I157,1)))))</f>
        <v>-0.135153627287614</v>
      </c>
      <c r="R157" s="10" t="n">
        <f aca="false">IF(J157="","",MEDIAN(J157:Q157))</f>
        <v>0.5298504953805</v>
      </c>
      <c r="S157" s="10" t="n">
        <f aca="false">IF(R157="","",ABS(R157))</f>
        <v>0.5298504953805</v>
      </c>
      <c r="T157" s="10" t="n">
        <f aca="false">IF(COUNT(S$74:S156)&lt;60,"",MEDIAN(S$74:S156))</f>
        <v>0.30982748474166</v>
      </c>
      <c r="U157" s="10" t="n">
        <f aca="false">IF(R157="","",IF(T157="",0,IF(S157&gt;=T157,R157,0)))</f>
        <v>0.5298504953805</v>
      </c>
      <c r="V157" s="10" t="n">
        <f aca="false">IF(U157="","",MEDIAN(-1,U157,1))</f>
        <v>0.5298504953805</v>
      </c>
      <c r="W157" s="10" t="n">
        <f aca="false">IF(J157="","",AVERAGE(J157:Q157))</f>
        <v>0.604749102166058</v>
      </c>
    </row>
    <row r="158" customFormat="false" ht="15" hidden="false" customHeight="false" outlineLevel="0" collapsed="false">
      <c r="A158" s="8" t="n">
        <f aca="false">Base!A158</f>
        <v>42766</v>
      </c>
      <c r="B158" s="10" t="n">
        <f aca="false">IF(COUNT(Transf!B$39:B158)&lt;36,"",(Transf!B158-AVERAGE(Transf!B$39:B158))/STDEV(Transf!B$39:B158))</f>
        <v>1.23608400822623</v>
      </c>
      <c r="C158" s="10" t="n">
        <f aca="false">IF(COUNT(Transf!C$39:C158)&lt;36,"",(Transf!C158-AVERAGE(Transf!C$39:C158))/STDEV(Transf!C$39:C158))</f>
        <v>0.496151486654575</v>
      </c>
      <c r="D158" s="10" t="n">
        <f aca="false">IF(COUNT(Transf!D$39:D158)&lt;36,"",(Transf!D158-AVERAGE(Transf!D$39:D158))/STDEV(Transf!D$39:D158))</f>
        <v>1.29547340382536</v>
      </c>
      <c r="E158" s="10" t="n">
        <f aca="false">IF(COUNT(Transf!E$39:E158)&lt;36,"",(Transf!E158-AVERAGE(Transf!E$39:E158))/STDEV(Transf!E$39:E158))</f>
        <v>1.73729830763569</v>
      </c>
      <c r="F158" s="10" t="n">
        <f aca="false">IF(COUNT(Transf!F$39:F158)&lt;36,"",(Transf!F158-AVERAGE(Transf!F$39:F158))/STDEV(Transf!F$39:F158))</f>
        <v>-0.880017710133077</v>
      </c>
      <c r="G158" s="10" t="n">
        <f aca="false">IF(COUNT(Transf!G$39:G158)&lt;36,"",(Transf!G158-AVERAGE(Transf!G$39:G158))/STDEV(Transf!G$39:G158))</f>
        <v>0.767455444336462</v>
      </c>
      <c r="H158" s="10" t="n">
        <f aca="false">IF(COUNT(Transf!H$39:H158)&lt;36,"",(Transf!H158-AVERAGE(Transf!H$39:H158))/STDEV(Transf!H$39:H158))</f>
        <v>-0.0728356884352685</v>
      </c>
      <c r="I158" s="10" t="n">
        <f aca="false">IF(COUNT(Transf!I$39:I158)&lt;36,"",(Transf!I158-AVERAGE(Transf!I$39:I158))/STDEV(Transf!I$39:I158))</f>
        <v>-0.162658463901536</v>
      </c>
      <c r="J158" s="10" t="n">
        <f aca="false">IF(B158="","",IF(COUNT(B$74:B158)&lt;60,B158,MEDIAN(QUARTILE(B$74:B158,1)-1.5*(QUARTILE(B$74:B158,3)-QUARTILE(B$74:B158,1)),B158,QUARTILE(B$74:B158,3)+1.5*(QUARTILE(B$74:B158,3)-QUARTILE(B$74:B158,1)))))</f>
        <v>1.23608400822623</v>
      </c>
      <c r="K158" s="10" t="n">
        <f aca="false">IF(C158="","",IF(COUNT(C$74:C158)&lt;60,C158,MEDIAN(QUARTILE(C$74:C158,1)-1.5*(QUARTILE(C$74:C158,3)-QUARTILE(C$74:C158,1)),C158,QUARTILE(C$74:C158,3)+1.5*(QUARTILE(C$74:C158,3)-QUARTILE(C$74:C158,1)))))</f>
        <v>0.496151486654575</v>
      </c>
      <c r="L158" s="10" t="n">
        <f aca="false">IF(D158="","",IF(COUNT(D$74:D158)&lt;60,D158,MEDIAN(QUARTILE(D$74:D158,1)-1.5*(QUARTILE(D$74:D158,3)-QUARTILE(D$74:D158,1)),D158,QUARTILE(D$74:D158,3)+1.5*(QUARTILE(D$74:D158,3)-QUARTILE(D$74:D158,1)))))</f>
        <v>1.29547340382536</v>
      </c>
      <c r="M158" s="10" t="n">
        <f aca="false">IF(E158="","",IF(COUNT(E$74:E158)&lt;60,E158,MEDIAN(QUARTILE(E$74:E158,1)-1.5*(QUARTILE(E$74:E158,3)-QUARTILE(E$74:E158,1)),E158,QUARTILE(E$74:E158,3)+1.5*(QUARTILE(E$74:E158,3)-QUARTILE(E$74:E158,1)))))</f>
        <v>1.73729830763569</v>
      </c>
      <c r="N158" s="10" t="n">
        <f aca="false">IF(F158="","",IF(COUNT(F$74:F158)&lt;60,F158,MEDIAN(QUARTILE(F$74:F158,1)-1.5*(QUARTILE(F$74:F158,3)-QUARTILE(F$74:F158,1)),F158,QUARTILE(F$74:F158,3)+1.5*(QUARTILE(F$74:F158,3)-QUARTILE(F$74:F158,1)))))</f>
        <v>-0.880017710133077</v>
      </c>
      <c r="O158" s="10" t="n">
        <f aca="false">IF(G158="","",IF(COUNT(G$74:G158)&lt;60,G158,MEDIAN(QUARTILE(G$74:G158,1)-1.5*(QUARTILE(G$74:G158,3)-QUARTILE(G$74:G158,1)),G158,QUARTILE(G$74:G158,3)+1.5*(QUARTILE(G$74:G158,3)-QUARTILE(G$74:G158,1)))))</f>
        <v>0.767455444336462</v>
      </c>
      <c r="P158" s="10" t="n">
        <f aca="false">IF(H158="","",IF(COUNT(H$74:H158)&lt;60,H158,MEDIAN(QUARTILE(H$74:H158,1)-1.5*(QUARTILE(H$74:H158,3)-QUARTILE(H$74:H158,1)),H158,QUARTILE(H$74:H158,3)+1.5*(QUARTILE(H$74:H158,3)-QUARTILE(H$74:H158,1)))))</f>
        <v>-0.0728356884352685</v>
      </c>
      <c r="Q158" s="10" t="n">
        <f aca="false">IF(I158="","",IF(COUNT(I$74:I158)&lt;60,I158,MEDIAN(QUARTILE(I$74:I158,1)-1.5*(QUARTILE(I$74:I158,3)-QUARTILE(I$74:I158,1)),I158,QUARTILE(I$74:I158,3)+1.5*(QUARTILE(I$74:I158,3)-QUARTILE(I$74:I158,1)))))</f>
        <v>-0.162658463901536</v>
      </c>
      <c r="R158" s="10" t="n">
        <f aca="false">IF(J158="","",MEDIAN(J158:Q158))</f>
        <v>0.631803465495519</v>
      </c>
      <c r="S158" s="10" t="n">
        <f aca="false">IF(R158="","",ABS(R158))</f>
        <v>0.631803465495519</v>
      </c>
      <c r="T158" s="10" t="n">
        <f aca="false">IF(COUNT(S$74:S157)&lt;60,"",MEDIAN(S$74:S157))</f>
        <v>0.326451209426089</v>
      </c>
      <c r="U158" s="10" t="n">
        <f aca="false">IF(R158="","",IF(T158="",0,IF(S158&gt;=T158,R158,0)))</f>
        <v>0.631803465495519</v>
      </c>
      <c r="V158" s="10" t="n">
        <f aca="false">IF(U158="","",MEDIAN(-1,U158,1))</f>
        <v>0.631803465495519</v>
      </c>
      <c r="W158" s="10" t="n">
        <f aca="false">IF(J158="","",AVERAGE(J158:Q158))</f>
        <v>0.552118848526055</v>
      </c>
    </row>
    <row r="159" customFormat="false" ht="15" hidden="false" customHeight="false" outlineLevel="0" collapsed="false">
      <c r="A159" s="8" t="n">
        <f aca="false">Base!A159</f>
        <v>42794</v>
      </c>
      <c r="B159" s="10" t="n">
        <f aca="false">IF(COUNT(Transf!B$39:B159)&lt;36,"",(Transf!B159-AVERAGE(Transf!B$39:B159))/STDEV(Transf!B$39:B159))</f>
        <v>0.748031128235349</v>
      </c>
      <c r="C159" s="10" t="n">
        <f aca="false">IF(COUNT(Transf!C$39:C159)&lt;36,"",(Transf!C159-AVERAGE(Transf!C$39:C159))/STDEV(Transf!C$39:C159))</f>
        <v>0.48937767110662</v>
      </c>
      <c r="D159" s="10" t="n">
        <f aca="false">IF(COUNT(Transf!D$39:D159)&lt;36,"",(Transf!D159-AVERAGE(Transf!D$39:D159))/STDEV(Transf!D$39:D159))</f>
        <v>0.965179109113165</v>
      </c>
      <c r="E159" s="10" t="n">
        <f aca="false">IF(COUNT(Transf!E$39:E159)&lt;36,"",(Transf!E159-AVERAGE(Transf!E$39:E159))/STDEV(Transf!E$39:E159))</f>
        <v>1.28092601491389</v>
      </c>
      <c r="F159" s="10" t="n">
        <f aca="false">IF(COUNT(Transf!F$39:F159)&lt;36,"",(Transf!F159-AVERAGE(Transf!F$39:F159))/STDEV(Transf!F$39:F159))</f>
        <v>-0.922700137960665</v>
      </c>
      <c r="G159" s="10" t="n">
        <f aca="false">IF(COUNT(Transf!G$39:G159)&lt;36,"",(Transf!G159-AVERAGE(Transf!G$39:G159))/STDEV(Transf!G$39:G159))</f>
        <v>-0.342206877885692</v>
      </c>
      <c r="H159" s="10" t="n">
        <f aca="false">IF(COUNT(Transf!H$39:H159)&lt;36,"",(Transf!H159-AVERAGE(Transf!H$39:H159))/STDEV(Transf!H$39:H159))</f>
        <v>-0.0762336231092967</v>
      </c>
      <c r="I159" s="10" t="n">
        <f aca="false">IF(COUNT(Transf!I$39:I159)&lt;36,"",(Transf!I159-AVERAGE(Transf!I$39:I159))/STDEV(Transf!I$39:I159))</f>
        <v>-0.206809848120588</v>
      </c>
      <c r="J159" s="10" t="n">
        <f aca="false">IF(B159="","",IF(COUNT(B$74:B159)&lt;60,B159,MEDIAN(QUARTILE(B$74:B159,1)-1.5*(QUARTILE(B$74:B159,3)-QUARTILE(B$74:B159,1)),B159,QUARTILE(B$74:B159,3)+1.5*(QUARTILE(B$74:B159,3)-QUARTILE(B$74:B159,1)))))</f>
        <v>0.748031128235349</v>
      </c>
      <c r="K159" s="10" t="n">
        <f aca="false">IF(C159="","",IF(COUNT(C$74:C159)&lt;60,C159,MEDIAN(QUARTILE(C$74:C159,1)-1.5*(QUARTILE(C$74:C159,3)-QUARTILE(C$74:C159,1)),C159,QUARTILE(C$74:C159,3)+1.5*(QUARTILE(C$74:C159,3)-QUARTILE(C$74:C159,1)))))</f>
        <v>0.48937767110662</v>
      </c>
      <c r="L159" s="10" t="n">
        <f aca="false">IF(D159="","",IF(COUNT(D$74:D159)&lt;60,D159,MEDIAN(QUARTILE(D$74:D159,1)-1.5*(QUARTILE(D$74:D159,3)-QUARTILE(D$74:D159,1)),D159,QUARTILE(D$74:D159,3)+1.5*(QUARTILE(D$74:D159,3)-QUARTILE(D$74:D159,1)))))</f>
        <v>0.965179109113165</v>
      </c>
      <c r="M159" s="10" t="n">
        <f aca="false">IF(E159="","",IF(COUNT(E$74:E159)&lt;60,E159,MEDIAN(QUARTILE(E$74:E159,1)-1.5*(QUARTILE(E$74:E159,3)-QUARTILE(E$74:E159,1)),E159,QUARTILE(E$74:E159,3)+1.5*(QUARTILE(E$74:E159,3)-QUARTILE(E$74:E159,1)))))</f>
        <v>1.28092601491389</v>
      </c>
      <c r="N159" s="10" t="n">
        <f aca="false">IF(F159="","",IF(COUNT(F$74:F159)&lt;60,F159,MEDIAN(QUARTILE(F$74:F159,1)-1.5*(QUARTILE(F$74:F159,3)-QUARTILE(F$74:F159,1)),F159,QUARTILE(F$74:F159,3)+1.5*(QUARTILE(F$74:F159,3)-QUARTILE(F$74:F159,1)))))</f>
        <v>-0.922700137960665</v>
      </c>
      <c r="O159" s="10" t="n">
        <f aca="false">IF(G159="","",IF(COUNT(G$74:G159)&lt;60,G159,MEDIAN(QUARTILE(G$74:G159,1)-1.5*(QUARTILE(G$74:G159,3)-QUARTILE(G$74:G159,1)),G159,QUARTILE(G$74:G159,3)+1.5*(QUARTILE(G$74:G159,3)-QUARTILE(G$74:G159,1)))))</f>
        <v>-0.342206877885692</v>
      </c>
      <c r="P159" s="10" t="n">
        <f aca="false">IF(H159="","",IF(COUNT(H$74:H159)&lt;60,H159,MEDIAN(QUARTILE(H$74:H159,1)-1.5*(QUARTILE(H$74:H159,3)-QUARTILE(H$74:H159,1)),H159,QUARTILE(H$74:H159,3)+1.5*(QUARTILE(H$74:H159,3)-QUARTILE(H$74:H159,1)))))</f>
        <v>-0.0762336231092967</v>
      </c>
      <c r="Q159" s="10" t="n">
        <f aca="false">IF(I159="","",IF(COUNT(I$74:I159)&lt;60,I159,MEDIAN(QUARTILE(I$74:I159,1)-1.5*(QUARTILE(I$74:I159,3)-QUARTILE(I$74:I159,1)),I159,QUARTILE(I$74:I159,3)+1.5*(QUARTILE(I$74:I159,3)-QUARTILE(I$74:I159,1)))))</f>
        <v>-0.206809848120588</v>
      </c>
      <c r="R159" s="10" t="n">
        <f aca="false">IF(J159="","",MEDIAN(J159:Q159))</f>
        <v>0.206572023998662</v>
      </c>
      <c r="S159" s="10" t="n">
        <f aca="false">IF(R159="","",ABS(R159))</f>
        <v>0.206572023998662</v>
      </c>
      <c r="T159" s="10" t="n">
        <f aca="false">IF(COUNT(S$74:S158)&lt;60,"",MEDIAN(S$74:S158))</f>
        <v>0.343074934110517</v>
      </c>
      <c r="U159" s="10" t="n">
        <f aca="false">IF(R159="","",IF(T159="",0,IF(S159&gt;=T159,R159,0)))</f>
        <v>0</v>
      </c>
      <c r="V159" s="10" t="n">
        <f aca="false">IF(U159="","",MEDIAN(-1,U159,1))</f>
        <v>0</v>
      </c>
      <c r="W159" s="10" t="n">
        <f aca="false">IF(J159="","",AVERAGE(J159:Q159))</f>
        <v>0.241945429536598</v>
      </c>
    </row>
    <row r="160" customFormat="false" ht="15" hidden="false" customHeight="false" outlineLevel="0" collapsed="false">
      <c r="A160" s="8" t="n">
        <f aca="false">Base!A160</f>
        <v>42825</v>
      </c>
      <c r="B160" s="10" t="n">
        <f aca="false">IF(COUNT(Transf!B$39:B160)&lt;36,"",(Transf!B160-AVERAGE(Transf!B$39:B160))/STDEV(Transf!B$39:B160))</f>
        <v>0.157062634580699</v>
      </c>
      <c r="C160" s="10" t="n">
        <f aca="false">IF(COUNT(Transf!C$39:C160)&lt;36,"",(Transf!C160-AVERAGE(Transf!C$39:C160))/STDEV(Transf!C$39:C160))</f>
        <v>0.54238696950928</v>
      </c>
      <c r="D160" s="10" t="n">
        <f aca="false">IF(COUNT(Transf!D$39:D160)&lt;36,"",(Transf!D160-AVERAGE(Transf!D$39:D160))/STDEV(Transf!D$39:D160))</f>
        <v>0.756673129345429</v>
      </c>
      <c r="E160" s="10" t="n">
        <f aca="false">IF(COUNT(Transf!E$39:E160)&lt;36,"",(Transf!E160-AVERAGE(Transf!E$39:E160))/STDEV(Transf!E$39:E160))</f>
        <v>1.09363697092795</v>
      </c>
      <c r="F160" s="10" t="n">
        <f aca="false">IF(COUNT(Transf!F$39:F160)&lt;36,"",(Transf!F160-AVERAGE(Transf!F$39:F160))/STDEV(Transf!F$39:F160))</f>
        <v>-0.90698173237781</v>
      </c>
      <c r="G160" s="10" t="n">
        <f aca="false">IF(COUNT(Transf!G$39:G160)&lt;36,"",(Transf!G160-AVERAGE(Transf!G$39:G160))/STDEV(Transf!G$39:G160))</f>
        <v>-0.661167688392415</v>
      </c>
      <c r="H160" s="10" t="n">
        <f aca="false">IF(COUNT(Transf!H$39:H160)&lt;36,"",(Transf!H160-AVERAGE(Transf!H$39:H160))/STDEV(Transf!H$39:H160))</f>
        <v>-0.109815684089433</v>
      </c>
      <c r="I160" s="10" t="n">
        <f aca="false">IF(COUNT(Transf!I$39:I160)&lt;36,"",(Transf!I160-AVERAGE(Transf!I$39:I160))/STDEV(Transf!I$39:I160))</f>
        <v>-0.31225688531516</v>
      </c>
      <c r="J160" s="10" t="n">
        <f aca="false">IF(B160="","",IF(COUNT(B$74:B160)&lt;60,B160,MEDIAN(QUARTILE(B$74:B160,1)-1.5*(QUARTILE(B$74:B160,3)-QUARTILE(B$74:B160,1)),B160,QUARTILE(B$74:B160,3)+1.5*(QUARTILE(B$74:B160,3)-QUARTILE(B$74:B160,1)))))</f>
        <v>0.157062634580699</v>
      </c>
      <c r="K160" s="10" t="n">
        <f aca="false">IF(C160="","",IF(COUNT(C$74:C160)&lt;60,C160,MEDIAN(QUARTILE(C$74:C160,1)-1.5*(QUARTILE(C$74:C160,3)-QUARTILE(C$74:C160,1)),C160,QUARTILE(C$74:C160,3)+1.5*(QUARTILE(C$74:C160,3)-QUARTILE(C$74:C160,1)))))</f>
        <v>0.54238696950928</v>
      </c>
      <c r="L160" s="10" t="n">
        <f aca="false">IF(D160="","",IF(COUNT(D$74:D160)&lt;60,D160,MEDIAN(QUARTILE(D$74:D160,1)-1.5*(QUARTILE(D$74:D160,3)-QUARTILE(D$74:D160,1)),D160,QUARTILE(D$74:D160,3)+1.5*(QUARTILE(D$74:D160,3)-QUARTILE(D$74:D160,1)))))</f>
        <v>0.756673129345429</v>
      </c>
      <c r="M160" s="10" t="n">
        <f aca="false">IF(E160="","",IF(COUNT(E$74:E160)&lt;60,E160,MEDIAN(QUARTILE(E$74:E160,1)-1.5*(QUARTILE(E$74:E160,3)-QUARTILE(E$74:E160,1)),E160,QUARTILE(E$74:E160,3)+1.5*(QUARTILE(E$74:E160,3)-QUARTILE(E$74:E160,1)))))</f>
        <v>1.09363697092795</v>
      </c>
      <c r="N160" s="10" t="n">
        <f aca="false">IF(F160="","",IF(COUNT(F$74:F160)&lt;60,F160,MEDIAN(QUARTILE(F$74:F160,1)-1.5*(QUARTILE(F$74:F160,3)-QUARTILE(F$74:F160,1)),F160,QUARTILE(F$74:F160,3)+1.5*(QUARTILE(F$74:F160,3)-QUARTILE(F$74:F160,1)))))</f>
        <v>-0.90698173237781</v>
      </c>
      <c r="O160" s="10" t="n">
        <f aca="false">IF(G160="","",IF(COUNT(G$74:G160)&lt;60,G160,MEDIAN(QUARTILE(G$74:G160,1)-1.5*(QUARTILE(G$74:G160,3)-QUARTILE(G$74:G160,1)),G160,QUARTILE(G$74:G160,3)+1.5*(QUARTILE(G$74:G160,3)-QUARTILE(G$74:G160,1)))))</f>
        <v>-0.661167688392415</v>
      </c>
      <c r="P160" s="10" t="n">
        <f aca="false">IF(H160="","",IF(COUNT(H$74:H160)&lt;60,H160,MEDIAN(QUARTILE(H$74:H160,1)-1.5*(QUARTILE(H$74:H160,3)-QUARTILE(H$74:H160,1)),H160,QUARTILE(H$74:H160,3)+1.5*(QUARTILE(H$74:H160,3)-QUARTILE(H$74:H160,1)))))</f>
        <v>-0.109815684089433</v>
      </c>
      <c r="Q160" s="10" t="n">
        <f aca="false">IF(I160="","",IF(COUNT(I$74:I160)&lt;60,I160,MEDIAN(QUARTILE(I$74:I160,1)-1.5*(QUARTILE(I$74:I160,3)-QUARTILE(I$74:I160,1)),I160,QUARTILE(I$74:I160,3)+1.5*(QUARTILE(I$74:I160,3)-QUARTILE(I$74:I160,1)))))</f>
        <v>-0.31225688531516</v>
      </c>
      <c r="R160" s="10" t="n">
        <f aca="false">IF(J160="","",MEDIAN(J160:Q160))</f>
        <v>0.0236234752456333</v>
      </c>
      <c r="S160" s="10" t="n">
        <f aca="false">IF(R160="","",ABS(R160))</f>
        <v>0.0236234752456333</v>
      </c>
      <c r="T160" s="10" t="n">
        <f aca="false">IF(COUNT(S$74:S159)&lt;60,"",MEDIAN(S$74:S159))</f>
        <v>0.326451209426089</v>
      </c>
      <c r="U160" s="10" t="n">
        <f aca="false">IF(R160="","",IF(T160="",0,IF(S160&gt;=T160,R160,0)))</f>
        <v>0</v>
      </c>
      <c r="V160" s="10" t="n">
        <f aca="false">IF(U160="","",MEDIAN(-1,U160,1))</f>
        <v>0</v>
      </c>
      <c r="W160" s="10" t="n">
        <f aca="false">IF(J160="","",AVERAGE(J160:Q160))</f>
        <v>0.0699422142735681</v>
      </c>
    </row>
    <row r="161" customFormat="false" ht="15" hidden="false" customHeight="false" outlineLevel="0" collapsed="false">
      <c r="A161" s="8" t="n">
        <f aca="false">Base!A161</f>
        <v>42855</v>
      </c>
      <c r="B161" s="10" t="n">
        <f aca="false">IF(COUNT(Transf!B$39:B161)&lt;36,"",(Transf!B161-AVERAGE(Transf!B$39:B161))/STDEV(Transf!B$39:B161))</f>
        <v>0.013112160679867</v>
      </c>
      <c r="C161" s="10" t="n">
        <f aca="false">IF(COUNT(Transf!C$39:C161)&lt;36,"",(Transf!C161-AVERAGE(Transf!C$39:C161))/STDEV(Transf!C$39:C161))</f>
        <v>0.398708482254398</v>
      </c>
      <c r="D161" s="10" t="n">
        <f aca="false">IF(COUNT(Transf!D$39:D161)&lt;36,"",(Transf!D161-AVERAGE(Transf!D$39:D161))/STDEV(Transf!D$39:D161))</f>
        <v>0.657645237782327</v>
      </c>
      <c r="E161" s="10" t="n">
        <f aca="false">IF(COUNT(Transf!E$39:E161)&lt;36,"",(Transf!E161-AVERAGE(Transf!E$39:E161))/STDEV(Transf!E$39:E161))</f>
        <v>1.01198487497903</v>
      </c>
      <c r="F161" s="10" t="n">
        <f aca="false">IF(COUNT(Transf!F$39:F161)&lt;36,"",(Transf!F161-AVERAGE(Transf!F$39:F161))/STDEV(Transf!F$39:F161))</f>
        <v>-1.51292970914977</v>
      </c>
      <c r="G161" s="10" t="n">
        <f aca="false">IF(COUNT(Transf!G$39:G161)&lt;36,"",(Transf!G161-AVERAGE(Transf!G$39:G161))/STDEV(Transf!G$39:G161))</f>
        <v>-0.841800874108029</v>
      </c>
      <c r="H161" s="10" t="n">
        <f aca="false">IF(COUNT(Transf!H$39:H161)&lt;36,"",(Transf!H161-AVERAGE(Transf!H$39:H161))/STDEV(Transf!H$39:H161))</f>
        <v>-0.0472256173253018</v>
      </c>
      <c r="I161" s="10" t="n">
        <f aca="false">IF(COUNT(Transf!I$39:I161)&lt;36,"",(Transf!I161-AVERAGE(Transf!I$39:I161))/STDEV(Transf!I$39:I161))</f>
        <v>-0.421823414921864</v>
      </c>
      <c r="J161" s="10" t="n">
        <f aca="false">IF(B161="","",IF(COUNT(B$74:B161)&lt;60,B161,MEDIAN(QUARTILE(B$74:B161,1)-1.5*(QUARTILE(B$74:B161,3)-QUARTILE(B$74:B161,1)),B161,QUARTILE(B$74:B161,3)+1.5*(QUARTILE(B$74:B161,3)-QUARTILE(B$74:B161,1)))))</f>
        <v>0.013112160679867</v>
      </c>
      <c r="K161" s="10" t="n">
        <f aca="false">IF(C161="","",IF(COUNT(C$74:C161)&lt;60,C161,MEDIAN(QUARTILE(C$74:C161,1)-1.5*(QUARTILE(C$74:C161,3)-QUARTILE(C$74:C161,1)),C161,QUARTILE(C$74:C161,3)+1.5*(QUARTILE(C$74:C161,3)-QUARTILE(C$74:C161,1)))))</f>
        <v>0.398708482254398</v>
      </c>
      <c r="L161" s="10" t="n">
        <f aca="false">IF(D161="","",IF(COUNT(D$74:D161)&lt;60,D161,MEDIAN(QUARTILE(D$74:D161,1)-1.5*(QUARTILE(D$74:D161,3)-QUARTILE(D$74:D161,1)),D161,QUARTILE(D$74:D161,3)+1.5*(QUARTILE(D$74:D161,3)-QUARTILE(D$74:D161,1)))))</f>
        <v>0.657645237782327</v>
      </c>
      <c r="M161" s="10" t="n">
        <f aca="false">IF(E161="","",IF(COUNT(E$74:E161)&lt;60,E161,MEDIAN(QUARTILE(E$74:E161,1)-1.5*(QUARTILE(E$74:E161,3)-QUARTILE(E$74:E161,1)),E161,QUARTILE(E$74:E161,3)+1.5*(QUARTILE(E$74:E161,3)-QUARTILE(E$74:E161,1)))))</f>
        <v>1.01198487497903</v>
      </c>
      <c r="N161" s="10" t="n">
        <f aca="false">IF(F161="","",IF(COUNT(F$74:F161)&lt;60,F161,MEDIAN(QUARTILE(F$74:F161,1)-1.5*(QUARTILE(F$74:F161,3)-QUARTILE(F$74:F161,1)),F161,QUARTILE(F$74:F161,3)+1.5*(QUARTILE(F$74:F161,3)-QUARTILE(F$74:F161,1)))))</f>
        <v>-1.51292970914977</v>
      </c>
      <c r="O161" s="10" t="n">
        <f aca="false">IF(G161="","",IF(COUNT(G$74:G161)&lt;60,G161,MEDIAN(QUARTILE(G$74:G161,1)-1.5*(QUARTILE(G$74:G161,3)-QUARTILE(G$74:G161,1)),G161,QUARTILE(G$74:G161,3)+1.5*(QUARTILE(G$74:G161,3)-QUARTILE(G$74:G161,1)))))</f>
        <v>-0.841800874108029</v>
      </c>
      <c r="P161" s="10" t="n">
        <f aca="false">IF(H161="","",IF(COUNT(H$74:H161)&lt;60,H161,MEDIAN(QUARTILE(H$74:H161,1)-1.5*(QUARTILE(H$74:H161,3)-QUARTILE(H$74:H161,1)),H161,QUARTILE(H$74:H161,3)+1.5*(QUARTILE(H$74:H161,3)-QUARTILE(H$74:H161,1)))))</f>
        <v>-0.0472256173253018</v>
      </c>
      <c r="Q161" s="10" t="n">
        <f aca="false">IF(I161="","",IF(COUNT(I$74:I161)&lt;60,I161,MEDIAN(QUARTILE(I$74:I161,1)-1.5*(QUARTILE(I$74:I161,3)-QUARTILE(I$74:I161,1)),I161,QUARTILE(I$74:I161,3)+1.5*(QUARTILE(I$74:I161,3)-QUARTILE(I$74:I161,1)))))</f>
        <v>-0.421823414921864</v>
      </c>
      <c r="R161" s="10" t="n">
        <f aca="false">IF(J161="","",MEDIAN(J161:Q161))</f>
        <v>-0.0170567283227174</v>
      </c>
      <c r="S161" s="10" t="n">
        <f aca="false">IF(R161="","",ABS(R161))</f>
        <v>0.0170567283227174</v>
      </c>
      <c r="T161" s="10" t="n">
        <f aca="false">IF(COUNT(S$74:S160)&lt;60,"",MEDIAN(S$74:S160))</f>
        <v>0.30982748474166</v>
      </c>
      <c r="U161" s="10" t="n">
        <f aca="false">IF(R161="","",IF(T161="",0,IF(S161&gt;=T161,R161,0)))</f>
        <v>0</v>
      </c>
      <c r="V161" s="10" t="n">
        <f aca="false">IF(U161="","",MEDIAN(-1,U161,1))</f>
        <v>0</v>
      </c>
      <c r="W161" s="10" t="n">
        <f aca="false">IF(J161="","",AVERAGE(J161:Q161))</f>
        <v>-0.0927911074761682</v>
      </c>
    </row>
    <row r="162" customFormat="false" ht="15" hidden="false" customHeight="false" outlineLevel="0" collapsed="false">
      <c r="A162" s="8" t="n">
        <f aca="false">Base!A162</f>
        <v>42886</v>
      </c>
      <c r="B162" s="10" t="n">
        <f aca="false">IF(COUNT(Transf!B$39:B162)&lt;36,"",(Transf!B162-AVERAGE(Transf!B$39:B162))/STDEV(Transf!B$39:B162))</f>
        <v>0.158837537385665</v>
      </c>
      <c r="C162" s="10" t="n">
        <f aca="false">IF(COUNT(Transf!C$39:C162)&lt;36,"",(Transf!C162-AVERAGE(Transf!C$39:C162))/STDEV(Transf!C$39:C162))</f>
        <v>0.636643199521211</v>
      </c>
      <c r="D162" s="10" t="n">
        <f aca="false">IF(COUNT(Transf!D$39:D162)&lt;36,"",(Transf!D162-AVERAGE(Transf!D$39:D162))/STDEV(Transf!D$39:D162))</f>
        <v>0.909809191973296</v>
      </c>
      <c r="E162" s="10" t="n">
        <f aca="false">IF(COUNT(Transf!E$39:E162)&lt;36,"",(Transf!E162-AVERAGE(Transf!E$39:E162))/STDEV(Transf!E$39:E162))</f>
        <v>0.828389773765448</v>
      </c>
      <c r="F162" s="10" t="n">
        <f aca="false">IF(COUNT(Transf!F$39:F162)&lt;36,"",(Transf!F162-AVERAGE(Transf!F$39:F162))/STDEV(Transf!F$39:F162))</f>
        <v>-1.46131890068214</v>
      </c>
      <c r="G162" s="10" t="n">
        <f aca="false">IF(COUNT(Transf!G$39:G162)&lt;36,"",(Transf!G162-AVERAGE(Transf!G$39:G162))/STDEV(Transf!G$39:G162))</f>
        <v>-0.390413690606615</v>
      </c>
      <c r="H162" s="10" t="n">
        <f aca="false">IF(COUNT(Transf!H$39:H162)&lt;36,"",(Transf!H162-AVERAGE(Transf!H$39:H162))/STDEV(Transf!H$39:H162))</f>
        <v>0.14105147006348</v>
      </c>
      <c r="I162" s="10" t="n">
        <f aca="false">IF(COUNT(Transf!I$39:I162)&lt;36,"",(Transf!I162-AVERAGE(Transf!I$39:I162))/STDEV(Transf!I$39:I162))</f>
        <v>-0.364295717723716</v>
      </c>
      <c r="J162" s="10" t="n">
        <f aca="false">IF(B162="","",IF(COUNT(B$74:B162)&lt;60,B162,MEDIAN(QUARTILE(B$74:B162,1)-1.5*(QUARTILE(B$74:B162,3)-QUARTILE(B$74:B162,1)),B162,QUARTILE(B$74:B162,3)+1.5*(QUARTILE(B$74:B162,3)-QUARTILE(B$74:B162,1)))))</f>
        <v>0.158837537385665</v>
      </c>
      <c r="K162" s="10" t="n">
        <f aca="false">IF(C162="","",IF(COUNT(C$74:C162)&lt;60,C162,MEDIAN(QUARTILE(C$74:C162,1)-1.5*(QUARTILE(C$74:C162,3)-QUARTILE(C$74:C162,1)),C162,QUARTILE(C$74:C162,3)+1.5*(QUARTILE(C$74:C162,3)-QUARTILE(C$74:C162,1)))))</f>
        <v>0.636643199521211</v>
      </c>
      <c r="L162" s="10" t="n">
        <f aca="false">IF(D162="","",IF(COUNT(D$74:D162)&lt;60,D162,MEDIAN(QUARTILE(D$74:D162,1)-1.5*(QUARTILE(D$74:D162,3)-QUARTILE(D$74:D162,1)),D162,QUARTILE(D$74:D162,3)+1.5*(QUARTILE(D$74:D162,3)-QUARTILE(D$74:D162,1)))))</f>
        <v>0.909809191973296</v>
      </c>
      <c r="M162" s="10" t="n">
        <f aca="false">IF(E162="","",IF(COUNT(E$74:E162)&lt;60,E162,MEDIAN(QUARTILE(E$74:E162,1)-1.5*(QUARTILE(E$74:E162,3)-QUARTILE(E$74:E162,1)),E162,QUARTILE(E$74:E162,3)+1.5*(QUARTILE(E$74:E162,3)-QUARTILE(E$74:E162,1)))))</f>
        <v>0.828389773765448</v>
      </c>
      <c r="N162" s="10" t="n">
        <f aca="false">IF(F162="","",IF(COUNT(F$74:F162)&lt;60,F162,MEDIAN(QUARTILE(F$74:F162,1)-1.5*(QUARTILE(F$74:F162,3)-QUARTILE(F$74:F162,1)),F162,QUARTILE(F$74:F162,3)+1.5*(QUARTILE(F$74:F162,3)-QUARTILE(F$74:F162,1)))))</f>
        <v>-1.46131890068214</v>
      </c>
      <c r="O162" s="10" t="n">
        <f aca="false">IF(G162="","",IF(COUNT(G$74:G162)&lt;60,G162,MEDIAN(QUARTILE(G$74:G162,1)-1.5*(QUARTILE(G$74:G162,3)-QUARTILE(G$74:G162,1)),G162,QUARTILE(G$74:G162,3)+1.5*(QUARTILE(G$74:G162,3)-QUARTILE(G$74:G162,1)))))</f>
        <v>-0.390413690606615</v>
      </c>
      <c r="P162" s="10" t="n">
        <f aca="false">IF(H162="","",IF(COUNT(H$74:H162)&lt;60,H162,MEDIAN(QUARTILE(H$74:H162,1)-1.5*(QUARTILE(H$74:H162,3)-QUARTILE(H$74:H162,1)),H162,QUARTILE(H$74:H162,3)+1.5*(QUARTILE(H$74:H162,3)-QUARTILE(H$74:H162,1)))))</f>
        <v>0.14105147006348</v>
      </c>
      <c r="Q162" s="10" t="n">
        <f aca="false">IF(I162="","",IF(COUNT(I$74:I162)&lt;60,I162,MEDIAN(QUARTILE(I$74:I162,1)-1.5*(QUARTILE(I$74:I162,3)-QUARTILE(I$74:I162,1)),I162,QUARTILE(I$74:I162,3)+1.5*(QUARTILE(I$74:I162,3)-QUARTILE(I$74:I162,1)))))</f>
        <v>-0.364295717723716</v>
      </c>
      <c r="R162" s="10" t="n">
        <f aca="false">IF(J162="","",MEDIAN(J162:Q162))</f>
        <v>0.149944503724572</v>
      </c>
      <c r="S162" s="10" t="n">
        <f aca="false">IF(R162="","",ABS(R162))</f>
        <v>0.149944503724572</v>
      </c>
      <c r="T162" s="10" t="n">
        <f aca="false">IF(COUNT(S$74:S161)&lt;60,"",MEDIAN(S$74:S161))</f>
        <v>0.30963878995737</v>
      </c>
      <c r="U162" s="10" t="n">
        <f aca="false">IF(R162="","",IF(T162="",0,IF(S162&gt;=T162,R162,0)))</f>
        <v>0</v>
      </c>
      <c r="V162" s="10" t="n">
        <f aca="false">IF(U162="","",MEDIAN(-1,U162,1))</f>
        <v>0</v>
      </c>
      <c r="W162" s="10" t="n">
        <f aca="false">IF(J162="","",AVERAGE(J162:Q162))</f>
        <v>0.0573378579620793</v>
      </c>
    </row>
    <row r="163" customFormat="false" ht="15" hidden="false" customHeight="false" outlineLevel="0" collapsed="false">
      <c r="A163" s="8" t="n">
        <f aca="false">Base!A163</f>
        <v>42916</v>
      </c>
      <c r="B163" s="10" t="n">
        <f aca="false">IF(COUNT(Transf!B$39:B163)&lt;36,"",(Transf!B163-AVERAGE(Transf!B$39:B163))/STDEV(Transf!B$39:B163))</f>
        <v>0.0406742046560015</v>
      </c>
      <c r="C163" s="10" t="n">
        <f aca="false">IF(COUNT(Transf!C$39:C163)&lt;36,"",(Transf!C163-AVERAGE(Transf!C$39:C163))/STDEV(Transf!C$39:C163))</f>
        <v>0.866362184459285</v>
      </c>
      <c r="D163" s="10" t="n">
        <f aca="false">IF(COUNT(Transf!D$39:D163)&lt;36,"",(Transf!D163-AVERAGE(Transf!D$39:D163))/STDEV(Transf!D$39:D163))</f>
        <v>0.908113220787065</v>
      </c>
      <c r="E163" s="10" t="n">
        <f aca="false">IF(COUNT(Transf!E$39:E163)&lt;36,"",(Transf!E163-AVERAGE(Transf!E$39:E163))/STDEV(Transf!E$39:E163))</f>
        <v>0.580674718959142</v>
      </c>
      <c r="F163" s="10" t="n">
        <f aca="false">IF(COUNT(Transf!F$39:F163)&lt;36,"",(Transf!F163-AVERAGE(Transf!F$39:F163))/STDEV(Transf!F$39:F163))</f>
        <v>-1.50916516843496</v>
      </c>
      <c r="G163" s="10" t="n">
        <f aca="false">IF(COUNT(Transf!G$39:G163)&lt;36,"",(Transf!G163-AVERAGE(Transf!G$39:G163))/STDEV(Transf!G$39:G163))</f>
        <v>-0.153975102061721</v>
      </c>
      <c r="H163" s="10" t="n">
        <f aca="false">IF(COUNT(Transf!H$39:H163)&lt;36,"",(Transf!H163-AVERAGE(Transf!H$39:H163))/STDEV(Transf!H$39:H163))</f>
        <v>0.301087662661897</v>
      </c>
      <c r="I163" s="10" t="n">
        <f aca="false">IF(COUNT(Transf!I$39:I163)&lt;36,"",(Transf!I163-AVERAGE(Transf!I$39:I163))/STDEV(Transf!I$39:I163))</f>
        <v>-0.273702074206103</v>
      </c>
      <c r="J163" s="10" t="n">
        <f aca="false">IF(B163="","",IF(COUNT(B$74:B163)&lt;60,B163,MEDIAN(QUARTILE(B$74:B163,1)-1.5*(QUARTILE(B$74:B163,3)-QUARTILE(B$74:B163,1)),B163,QUARTILE(B$74:B163,3)+1.5*(QUARTILE(B$74:B163,3)-QUARTILE(B$74:B163,1)))))</f>
        <v>0.0406742046560015</v>
      </c>
      <c r="K163" s="10" t="n">
        <f aca="false">IF(C163="","",IF(COUNT(C$74:C163)&lt;60,C163,MEDIAN(QUARTILE(C$74:C163,1)-1.5*(QUARTILE(C$74:C163,3)-QUARTILE(C$74:C163,1)),C163,QUARTILE(C$74:C163,3)+1.5*(QUARTILE(C$74:C163,3)-QUARTILE(C$74:C163,1)))))</f>
        <v>0.866362184459285</v>
      </c>
      <c r="L163" s="10" t="n">
        <f aca="false">IF(D163="","",IF(COUNT(D$74:D163)&lt;60,D163,MEDIAN(QUARTILE(D$74:D163,1)-1.5*(QUARTILE(D$74:D163,3)-QUARTILE(D$74:D163,1)),D163,QUARTILE(D$74:D163,3)+1.5*(QUARTILE(D$74:D163,3)-QUARTILE(D$74:D163,1)))))</f>
        <v>0.908113220787065</v>
      </c>
      <c r="M163" s="10" t="n">
        <f aca="false">IF(E163="","",IF(COUNT(E$74:E163)&lt;60,E163,MEDIAN(QUARTILE(E$74:E163,1)-1.5*(QUARTILE(E$74:E163,3)-QUARTILE(E$74:E163,1)),E163,QUARTILE(E$74:E163,3)+1.5*(QUARTILE(E$74:E163,3)-QUARTILE(E$74:E163,1)))))</f>
        <v>0.580674718959142</v>
      </c>
      <c r="N163" s="10" t="n">
        <f aca="false">IF(F163="","",IF(COUNT(F$74:F163)&lt;60,F163,MEDIAN(QUARTILE(F$74:F163,1)-1.5*(QUARTILE(F$74:F163,3)-QUARTILE(F$74:F163,1)),F163,QUARTILE(F$74:F163,3)+1.5*(QUARTILE(F$74:F163,3)-QUARTILE(F$74:F163,1)))))</f>
        <v>-1.50916516843496</v>
      </c>
      <c r="O163" s="10" t="n">
        <f aca="false">IF(G163="","",IF(COUNT(G$74:G163)&lt;60,G163,MEDIAN(QUARTILE(G$74:G163,1)-1.5*(QUARTILE(G$74:G163,3)-QUARTILE(G$74:G163,1)),G163,QUARTILE(G$74:G163,3)+1.5*(QUARTILE(G$74:G163,3)-QUARTILE(G$74:G163,1)))))</f>
        <v>-0.153975102061721</v>
      </c>
      <c r="P163" s="10" t="n">
        <f aca="false">IF(H163="","",IF(COUNT(H$74:H163)&lt;60,H163,MEDIAN(QUARTILE(H$74:H163,1)-1.5*(QUARTILE(H$74:H163,3)-QUARTILE(H$74:H163,1)),H163,QUARTILE(H$74:H163,3)+1.5*(QUARTILE(H$74:H163,3)-QUARTILE(H$74:H163,1)))))</f>
        <v>0.301087662661897</v>
      </c>
      <c r="Q163" s="10" t="n">
        <f aca="false">IF(I163="","",IF(COUNT(I$74:I163)&lt;60,I163,MEDIAN(QUARTILE(I$74:I163,1)-1.5*(QUARTILE(I$74:I163,3)-QUARTILE(I$74:I163,1)),I163,QUARTILE(I$74:I163,3)+1.5*(QUARTILE(I$74:I163,3)-QUARTILE(I$74:I163,1)))))</f>
        <v>-0.273702074206103</v>
      </c>
      <c r="R163" s="10" t="n">
        <f aca="false">IF(J163="","",MEDIAN(J163:Q163))</f>
        <v>0.170880933658949</v>
      </c>
      <c r="S163" s="10" t="n">
        <f aca="false">IF(R163="","",ABS(R163))</f>
        <v>0.170880933658949</v>
      </c>
      <c r="T163" s="10" t="n">
        <f aca="false">IF(COUNT(S$74:S162)&lt;60,"",MEDIAN(S$74:S162))</f>
        <v>0.309450095173081</v>
      </c>
      <c r="U163" s="10" t="n">
        <f aca="false">IF(R163="","",IF(T163="",0,IF(S163&gt;=T163,R163,0)))</f>
        <v>0</v>
      </c>
      <c r="V163" s="10" t="n">
        <f aca="false">IF(U163="","",MEDIAN(-1,U163,1))</f>
        <v>0</v>
      </c>
      <c r="W163" s="10" t="n">
        <f aca="false">IF(J163="","",AVERAGE(J163:Q163))</f>
        <v>0.0950087058525763</v>
      </c>
    </row>
    <row r="164" customFormat="false" ht="15" hidden="false" customHeight="false" outlineLevel="0" collapsed="false">
      <c r="A164" s="8" t="n">
        <f aca="false">Base!A164</f>
        <v>42947</v>
      </c>
      <c r="B164" s="10" t="n">
        <f aca="false">IF(COUNT(Transf!B$39:B164)&lt;36,"",(Transf!B164-AVERAGE(Transf!B$39:B164))/STDEV(Transf!B$39:B164))</f>
        <v>0.0963065387228718</v>
      </c>
      <c r="C164" s="10" t="n">
        <f aca="false">IF(COUNT(Transf!C$39:C164)&lt;36,"",(Transf!C164-AVERAGE(Transf!C$39:C164))/STDEV(Transf!C$39:C164))</f>
        <v>1.15792399427501</v>
      </c>
      <c r="D164" s="10" t="n">
        <f aca="false">IF(COUNT(Transf!D$39:D164)&lt;36,"",(Transf!D164-AVERAGE(Transf!D$39:D164))/STDEV(Transf!D$39:D164))</f>
        <v>0.969257730352921</v>
      </c>
      <c r="E164" s="10" t="n">
        <f aca="false">IF(COUNT(Transf!E$39:E164)&lt;36,"",(Transf!E164-AVERAGE(Transf!E$39:E164))/STDEV(Transf!E$39:E164))</f>
        <v>0.351817326531322</v>
      </c>
      <c r="F164" s="10" t="n">
        <f aca="false">IF(COUNT(Transf!F$39:F164)&lt;36,"",(Transf!F164-AVERAGE(Transf!F$39:F164))/STDEV(Transf!F$39:F164))</f>
        <v>-1.06580930801908</v>
      </c>
      <c r="G164" s="10" t="n">
        <f aca="false">IF(COUNT(Transf!G$39:G164)&lt;36,"",(Transf!G164-AVERAGE(Transf!G$39:G164))/STDEV(Transf!G$39:G164))</f>
        <v>0.227837892186961</v>
      </c>
      <c r="H164" s="10" t="n">
        <f aca="false">IF(COUNT(Transf!H$39:H164)&lt;36,"",(Transf!H164-AVERAGE(Transf!H$39:H164))/STDEV(Transf!H$39:H164))</f>
        <v>0.467658112649577</v>
      </c>
      <c r="I164" s="10" t="n">
        <f aca="false">IF(COUNT(Transf!I$39:I164)&lt;36,"",(Transf!I164-AVERAGE(Transf!I$39:I164))/STDEV(Transf!I$39:I164))</f>
        <v>0.100112855294493</v>
      </c>
      <c r="J164" s="10" t="n">
        <f aca="false">IF(B164="","",IF(COUNT(B$74:B164)&lt;60,B164,MEDIAN(QUARTILE(B$74:B164,1)-1.5*(QUARTILE(B$74:B164,3)-QUARTILE(B$74:B164,1)),B164,QUARTILE(B$74:B164,3)+1.5*(QUARTILE(B$74:B164,3)-QUARTILE(B$74:B164,1)))))</f>
        <v>0.0963065387228718</v>
      </c>
      <c r="K164" s="10" t="n">
        <f aca="false">IF(C164="","",IF(COUNT(C$74:C164)&lt;60,C164,MEDIAN(QUARTILE(C$74:C164,1)-1.5*(QUARTILE(C$74:C164,3)-QUARTILE(C$74:C164,1)),C164,QUARTILE(C$74:C164,3)+1.5*(QUARTILE(C$74:C164,3)-QUARTILE(C$74:C164,1)))))</f>
        <v>1.15792399427501</v>
      </c>
      <c r="L164" s="10" t="n">
        <f aca="false">IF(D164="","",IF(COUNT(D$74:D164)&lt;60,D164,MEDIAN(QUARTILE(D$74:D164,1)-1.5*(QUARTILE(D$74:D164,3)-QUARTILE(D$74:D164,1)),D164,QUARTILE(D$74:D164,3)+1.5*(QUARTILE(D$74:D164,3)-QUARTILE(D$74:D164,1)))))</f>
        <v>0.969257730352921</v>
      </c>
      <c r="M164" s="10" t="n">
        <f aca="false">IF(E164="","",IF(COUNT(E$74:E164)&lt;60,E164,MEDIAN(QUARTILE(E$74:E164,1)-1.5*(QUARTILE(E$74:E164,3)-QUARTILE(E$74:E164,1)),E164,QUARTILE(E$74:E164,3)+1.5*(QUARTILE(E$74:E164,3)-QUARTILE(E$74:E164,1)))))</f>
        <v>0.351817326531322</v>
      </c>
      <c r="N164" s="10" t="n">
        <f aca="false">IF(F164="","",IF(COUNT(F$74:F164)&lt;60,F164,MEDIAN(QUARTILE(F$74:F164,1)-1.5*(QUARTILE(F$74:F164,3)-QUARTILE(F$74:F164,1)),F164,QUARTILE(F$74:F164,3)+1.5*(QUARTILE(F$74:F164,3)-QUARTILE(F$74:F164,1)))))</f>
        <v>-1.06580930801908</v>
      </c>
      <c r="O164" s="10" t="n">
        <f aca="false">IF(G164="","",IF(COUNT(G$74:G164)&lt;60,G164,MEDIAN(QUARTILE(G$74:G164,1)-1.5*(QUARTILE(G$74:G164,3)-QUARTILE(G$74:G164,1)),G164,QUARTILE(G$74:G164,3)+1.5*(QUARTILE(G$74:G164,3)-QUARTILE(G$74:G164,1)))))</f>
        <v>0.227837892186961</v>
      </c>
      <c r="P164" s="10" t="n">
        <f aca="false">IF(H164="","",IF(COUNT(H$74:H164)&lt;60,H164,MEDIAN(QUARTILE(H$74:H164,1)-1.5*(QUARTILE(H$74:H164,3)-QUARTILE(H$74:H164,1)),H164,QUARTILE(H$74:H164,3)+1.5*(QUARTILE(H$74:H164,3)-QUARTILE(H$74:H164,1)))))</f>
        <v>0.467658112649577</v>
      </c>
      <c r="Q164" s="10" t="n">
        <f aca="false">IF(I164="","",IF(COUNT(I$74:I164)&lt;60,I164,MEDIAN(QUARTILE(I$74:I164,1)-1.5*(QUARTILE(I$74:I164,3)-QUARTILE(I$74:I164,1)),I164,QUARTILE(I$74:I164,3)+1.5*(QUARTILE(I$74:I164,3)-QUARTILE(I$74:I164,1)))))</f>
        <v>0.100112855294493</v>
      </c>
      <c r="R164" s="10" t="n">
        <f aca="false">IF(J164="","",MEDIAN(J164:Q164))</f>
        <v>0.289827609359141</v>
      </c>
      <c r="S164" s="10" t="n">
        <f aca="false">IF(R164="","",ABS(R164))</f>
        <v>0.289827609359141</v>
      </c>
      <c r="T164" s="10" t="n">
        <f aca="false">IF(COUNT(S$74:S163)&lt;60,"",MEDIAN(S$74:S163))</f>
        <v>0.300931708027562</v>
      </c>
      <c r="U164" s="10" t="n">
        <f aca="false">IF(R164="","",IF(T164="",0,IF(S164&gt;=T164,R164,0)))</f>
        <v>0</v>
      </c>
      <c r="V164" s="10" t="n">
        <f aca="false">IF(U164="","",MEDIAN(-1,U164,1))</f>
        <v>0</v>
      </c>
      <c r="W164" s="10" t="n">
        <f aca="false">IF(J164="","",AVERAGE(J164:Q164))</f>
        <v>0.28813814274926</v>
      </c>
    </row>
    <row r="165" customFormat="false" ht="15" hidden="false" customHeight="false" outlineLevel="0" collapsed="false">
      <c r="A165" s="8" t="n">
        <f aca="false">Base!A165</f>
        <v>42978</v>
      </c>
      <c r="B165" s="10" t="n">
        <f aca="false">IF(COUNT(Transf!B$39:B165)&lt;36,"",(Transf!B165-AVERAGE(Transf!B$39:B165))/STDEV(Transf!B$39:B165))</f>
        <v>-0.107161109559062</v>
      </c>
      <c r="C165" s="10" t="n">
        <f aca="false">IF(COUNT(Transf!C$39:C165)&lt;36,"",(Transf!C165-AVERAGE(Transf!C$39:C165))/STDEV(Transf!C$39:C165))</f>
        <v>1.22880007625026</v>
      </c>
      <c r="D165" s="10" t="n">
        <f aca="false">IF(COUNT(Transf!D$39:D165)&lt;36,"",(Transf!D165-AVERAGE(Transf!D$39:D165))/STDEV(Transf!D$39:D165))</f>
        <v>0.742201439960658</v>
      </c>
      <c r="E165" s="10" t="n">
        <f aca="false">IF(COUNT(Transf!E$39:E165)&lt;36,"",(Transf!E165-AVERAGE(Transf!E$39:E165))/STDEV(Transf!E$39:E165))</f>
        <v>0.318199381163234</v>
      </c>
      <c r="F165" s="10" t="n">
        <f aca="false">IF(COUNT(Transf!F$39:F165)&lt;36,"",(Transf!F165-AVERAGE(Transf!F$39:F165))/STDEV(Transf!F$39:F165))</f>
        <v>-1.06605716112561</v>
      </c>
      <c r="G165" s="10" t="n">
        <f aca="false">IF(COUNT(Transf!G$39:G165)&lt;36,"",(Transf!G165-AVERAGE(Transf!G$39:G165))/STDEV(Transf!G$39:G165))</f>
        <v>0.260909562717523</v>
      </c>
      <c r="H165" s="10" t="n">
        <f aca="false">IF(COUNT(Transf!H$39:H165)&lt;36,"",(Transf!H165-AVERAGE(Transf!H$39:H165))/STDEV(Transf!H$39:H165))</f>
        <v>0.751837755638773</v>
      </c>
      <c r="I165" s="10" t="n">
        <f aca="false">IF(COUNT(Transf!I$39:I165)&lt;36,"",(Transf!I165-AVERAGE(Transf!I$39:I165))/STDEV(Transf!I$39:I165))</f>
        <v>0.732552513760938</v>
      </c>
      <c r="J165" s="10" t="n">
        <f aca="false">IF(B165="","",IF(COUNT(B$74:B165)&lt;60,B165,MEDIAN(QUARTILE(B$74:B165,1)-1.5*(QUARTILE(B$74:B165,3)-QUARTILE(B$74:B165,1)),B165,QUARTILE(B$74:B165,3)+1.5*(QUARTILE(B$74:B165,3)-QUARTILE(B$74:B165,1)))))</f>
        <v>-0.107161109559062</v>
      </c>
      <c r="K165" s="10" t="n">
        <f aca="false">IF(C165="","",IF(COUNT(C$74:C165)&lt;60,C165,MEDIAN(QUARTILE(C$74:C165,1)-1.5*(QUARTILE(C$74:C165,3)-QUARTILE(C$74:C165,1)),C165,QUARTILE(C$74:C165,3)+1.5*(QUARTILE(C$74:C165,3)-QUARTILE(C$74:C165,1)))))</f>
        <v>1.22880007625026</v>
      </c>
      <c r="L165" s="10" t="n">
        <f aca="false">IF(D165="","",IF(COUNT(D$74:D165)&lt;60,D165,MEDIAN(QUARTILE(D$74:D165,1)-1.5*(QUARTILE(D$74:D165,3)-QUARTILE(D$74:D165,1)),D165,QUARTILE(D$74:D165,3)+1.5*(QUARTILE(D$74:D165,3)-QUARTILE(D$74:D165,1)))))</f>
        <v>0.742201439960658</v>
      </c>
      <c r="M165" s="10" t="n">
        <f aca="false">IF(E165="","",IF(COUNT(E$74:E165)&lt;60,E165,MEDIAN(QUARTILE(E$74:E165,1)-1.5*(QUARTILE(E$74:E165,3)-QUARTILE(E$74:E165,1)),E165,QUARTILE(E$74:E165,3)+1.5*(QUARTILE(E$74:E165,3)-QUARTILE(E$74:E165,1)))))</f>
        <v>0.318199381163234</v>
      </c>
      <c r="N165" s="10" t="n">
        <f aca="false">IF(F165="","",IF(COUNT(F$74:F165)&lt;60,F165,MEDIAN(QUARTILE(F$74:F165,1)-1.5*(QUARTILE(F$74:F165,3)-QUARTILE(F$74:F165,1)),F165,QUARTILE(F$74:F165,3)+1.5*(QUARTILE(F$74:F165,3)-QUARTILE(F$74:F165,1)))))</f>
        <v>-1.06605716112561</v>
      </c>
      <c r="O165" s="10" t="n">
        <f aca="false">IF(G165="","",IF(COUNT(G$74:G165)&lt;60,G165,MEDIAN(QUARTILE(G$74:G165,1)-1.5*(QUARTILE(G$74:G165,3)-QUARTILE(G$74:G165,1)),G165,QUARTILE(G$74:G165,3)+1.5*(QUARTILE(G$74:G165,3)-QUARTILE(G$74:G165,1)))))</f>
        <v>0.260909562717523</v>
      </c>
      <c r="P165" s="10" t="n">
        <f aca="false">IF(H165="","",IF(COUNT(H$74:H165)&lt;60,H165,MEDIAN(QUARTILE(H$74:H165,1)-1.5*(QUARTILE(H$74:H165,3)-QUARTILE(H$74:H165,1)),H165,QUARTILE(H$74:H165,3)+1.5*(QUARTILE(H$74:H165,3)-QUARTILE(H$74:H165,1)))))</f>
        <v>0.751837755638773</v>
      </c>
      <c r="Q165" s="10" t="n">
        <f aca="false">IF(I165="","",IF(COUNT(I$74:I165)&lt;60,I165,MEDIAN(QUARTILE(I$74:I165,1)-1.5*(QUARTILE(I$74:I165,3)-QUARTILE(I$74:I165,1)),I165,QUARTILE(I$74:I165,3)+1.5*(QUARTILE(I$74:I165,3)-QUARTILE(I$74:I165,1)))))</f>
        <v>0.732552513760938</v>
      </c>
      <c r="R165" s="10" t="n">
        <f aca="false">IF(J165="","",MEDIAN(J165:Q165))</f>
        <v>0.525375947462086</v>
      </c>
      <c r="S165" s="10" t="n">
        <f aca="false">IF(R165="","",ABS(R165))</f>
        <v>0.525375947462086</v>
      </c>
      <c r="T165" s="10" t="n">
        <f aca="false">IF(COUNT(S$74:S164)&lt;60,"",MEDIAN(S$74:S164))</f>
        <v>0.292413320882044</v>
      </c>
      <c r="U165" s="10" t="n">
        <f aca="false">IF(R165="","",IF(T165="",0,IF(S165&gt;=T165,R165,0)))</f>
        <v>0.525375947462086</v>
      </c>
      <c r="V165" s="10" t="n">
        <f aca="false">IF(U165="","",MEDIAN(-1,U165,1))</f>
        <v>0.525375947462086</v>
      </c>
      <c r="W165" s="10" t="n">
        <f aca="false">IF(J165="","",AVERAGE(J165:Q165))</f>
        <v>0.35766030735084</v>
      </c>
    </row>
    <row r="166" customFormat="false" ht="15" hidden="false" customHeight="false" outlineLevel="0" collapsed="false">
      <c r="A166" s="8" t="n">
        <f aca="false">Base!A166</f>
        <v>43008</v>
      </c>
      <c r="B166" s="10" t="n">
        <f aca="false">IF(COUNT(Transf!B$39:B166)&lt;36,"",(Transf!B166-AVERAGE(Transf!B$39:B166))/STDEV(Transf!B$39:B166))</f>
        <v>0.0208843848893389</v>
      </c>
      <c r="C166" s="10" t="n">
        <f aca="false">IF(COUNT(Transf!C$39:C166)&lt;36,"",(Transf!C166-AVERAGE(Transf!C$39:C166))/STDEV(Transf!C$39:C166))</f>
        <v>1.07731102223091</v>
      </c>
      <c r="D166" s="10" t="n">
        <f aca="false">IF(COUNT(Transf!D$39:D166)&lt;36,"",(Transf!D166-AVERAGE(Transf!D$39:D166))/STDEV(Transf!D$39:D166))</f>
        <v>0.543446383848138</v>
      </c>
      <c r="E166" s="10" t="n">
        <f aca="false">IF(COUNT(Transf!E$39:E166)&lt;36,"",(Transf!E166-AVERAGE(Transf!E$39:E166))/STDEV(Transf!E$39:E166))</f>
        <v>0.415590562355004</v>
      </c>
      <c r="F166" s="10" t="n">
        <f aca="false">IF(COUNT(Transf!F$39:F166)&lt;36,"",(Transf!F166-AVERAGE(Transf!F$39:F166))/STDEV(Transf!F$39:F166))</f>
        <v>-0.878080126273099</v>
      </c>
      <c r="G166" s="10" t="n">
        <f aca="false">IF(COUNT(Transf!G$39:G166)&lt;36,"",(Transf!G166-AVERAGE(Transf!G$39:G166))/STDEV(Transf!G$39:G166))</f>
        <v>0.342380465927403</v>
      </c>
      <c r="H166" s="10" t="n">
        <f aca="false">IF(COUNT(Transf!H$39:H166)&lt;36,"",(Transf!H166-AVERAGE(Transf!H$39:H166))/STDEV(Transf!H$39:H166))</f>
        <v>0.822579108811329</v>
      </c>
      <c r="I166" s="10" t="n">
        <f aca="false">IF(COUNT(Transf!I$39:I166)&lt;36,"",(Transf!I166-AVERAGE(Transf!I$39:I166))/STDEV(Transf!I$39:I166))</f>
        <v>0.781574752267845</v>
      </c>
      <c r="J166" s="10" t="n">
        <f aca="false">IF(B166="","",IF(COUNT(B$74:B166)&lt;60,B166,MEDIAN(QUARTILE(B$74:B166,1)-1.5*(QUARTILE(B$74:B166,3)-QUARTILE(B$74:B166,1)),B166,QUARTILE(B$74:B166,3)+1.5*(QUARTILE(B$74:B166,3)-QUARTILE(B$74:B166,1)))))</f>
        <v>0.0208843848893389</v>
      </c>
      <c r="K166" s="10" t="n">
        <f aca="false">IF(C166="","",IF(COUNT(C$74:C166)&lt;60,C166,MEDIAN(QUARTILE(C$74:C166,1)-1.5*(QUARTILE(C$74:C166,3)-QUARTILE(C$74:C166,1)),C166,QUARTILE(C$74:C166,3)+1.5*(QUARTILE(C$74:C166,3)-QUARTILE(C$74:C166,1)))))</f>
        <v>1.07731102223091</v>
      </c>
      <c r="L166" s="10" t="n">
        <f aca="false">IF(D166="","",IF(COUNT(D$74:D166)&lt;60,D166,MEDIAN(QUARTILE(D$74:D166,1)-1.5*(QUARTILE(D$74:D166,3)-QUARTILE(D$74:D166,1)),D166,QUARTILE(D$74:D166,3)+1.5*(QUARTILE(D$74:D166,3)-QUARTILE(D$74:D166,1)))))</f>
        <v>0.543446383848138</v>
      </c>
      <c r="M166" s="10" t="n">
        <f aca="false">IF(E166="","",IF(COUNT(E$74:E166)&lt;60,E166,MEDIAN(QUARTILE(E$74:E166,1)-1.5*(QUARTILE(E$74:E166,3)-QUARTILE(E$74:E166,1)),E166,QUARTILE(E$74:E166,3)+1.5*(QUARTILE(E$74:E166,3)-QUARTILE(E$74:E166,1)))))</f>
        <v>0.415590562355004</v>
      </c>
      <c r="N166" s="10" t="n">
        <f aca="false">IF(F166="","",IF(COUNT(F$74:F166)&lt;60,F166,MEDIAN(QUARTILE(F$74:F166,1)-1.5*(QUARTILE(F$74:F166,3)-QUARTILE(F$74:F166,1)),F166,QUARTILE(F$74:F166,3)+1.5*(QUARTILE(F$74:F166,3)-QUARTILE(F$74:F166,1)))))</f>
        <v>-0.878080126273099</v>
      </c>
      <c r="O166" s="10" t="n">
        <f aca="false">IF(G166="","",IF(COUNT(G$74:G166)&lt;60,G166,MEDIAN(QUARTILE(G$74:G166,1)-1.5*(QUARTILE(G$74:G166,3)-QUARTILE(G$74:G166,1)),G166,QUARTILE(G$74:G166,3)+1.5*(QUARTILE(G$74:G166,3)-QUARTILE(G$74:G166,1)))))</f>
        <v>0.342380465927403</v>
      </c>
      <c r="P166" s="10" t="n">
        <f aca="false">IF(H166="","",IF(COUNT(H$74:H166)&lt;60,H166,MEDIAN(QUARTILE(H$74:H166,1)-1.5*(QUARTILE(H$74:H166,3)-QUARTILE(H$74:H166,1)),H166,QUARTILE(H$74:H166,3)+1.5*(QUARTILE(H$74:H166,3)-QUARTILE(H$74:H166,1)))))</f>
        <v>0.822579108811329</v>
      </c>
      <c r="Q166" s="10" t="n">
        <f aca="false">IF(I166="","",IF(COUNT(I$74:I166)&lt;60,I166,MEDIAN(QUARTILE(I$74:I166,1)-1.5*(QUARTILE(I$74:I166,3)-QUARTILE(I$74:I166,1)),I166,QUARTILE(I$74:I166,3)+1.5*(QUARTILE(I$74:I166,3)-QUARTILE(I$74:I166,1)))))</f>
        <v>0.781574752267845</v>
      </c>
      <c r="R166" s="10" t="n">
        <f aca="false">IF(J166="","",MEDIAN(J166:Q166))</f>
        <v>0.479518473101571</v>
      </c>
      <c r="S166" s="10" t="n">
        <f aca="false">IF(R166="","",ABS(R166))</f>
        <v>0.479518473101571</v>
      </c>
      <c r="T166" s="10" t="n">
        <f aca="false">IF(COUNT(S$74:S165)&lt;60,"",MEDIAN(S$74:S165))</f>
        <v>0.300931708027562</v>
      </c>
      <c r="U166" s="10" t="n">
        <f aca="false">IF(R166="","",IF(T166="",0,IF(S166&gt;=T166,R166,0)))</f>
        <v>0.479518473101571</v>
      </c>
      <c r="V166" s="10" t="n">
        <f aca="false">IF(U166="","",MEDIAN(-1,U166,1))</f>
        <v>0.479518473101571</v>
      </c>
      <c r="W166" s="10" t="n">
        <f aca="false">IF(J166="","",AVERAGE(J166:Q166))</f>
        <v>0.390710819257108</v>
      </c>
    </row>
    <row r="167" customFormat="false" ht="15" hidden="false" customHeight="false" outlineLevel="0" collapsed="false">
      <c r="A167" s="8" t="n">
        <f aca="false">Base!A167</f>
        <v>43039</v>
      </c>
      <c r="B167" s="10" t="n">
        <f aca="false">IF(COUNT(Transf!B$39:B167)&lt;36,"",(Transf!B167-AVERAGE(Transf!B$39:B167))/STDEV(Transf!B$39:B167))</f>
        <v>0.118177941917666</v>
      </c>
      <c r="C167" s="10" t="n">
        <f aca="false">IF(COUNT(Transf!C$39:C167)&lt;36,"",(Transf!C167-AVERAGE(Transf!C$39:C167))/STDEV(Transf!C$39:C167))</f>
        <v>1.16892670509153</v>
      </c>
      <c r="D167" s="10" t="n">
        <f aca="false">IF(COUNT(Transf!D$39:D167)&lt;36,"",(Transf!D167-AVERAGE(Transf!D$39:D167))/STDEV(Transf!D$39:D167))</f>
        <v>0.409042126269836</v>
      </c>
      <c r="E167" s="10" t="n">
        <f aca="false">IF(COUNT(Transf!E$39:E167)&lt;36,"",(Transf!E167-AVERAGE(Transf!E$39:E167))/STDEV(Transf!E$39:E167))</f>
        <v>0.481343147632894</v>
      </c>
      <c r="F167" s="10" t="n">
        <f aca="false">IF(COUNT(Transf!F$39:F167)&lt;36,"",(Transf!F167-AVERAGE(Transf!F$39:F167))/STDEV(Transf!F$39:F167))</f>
        <v>-0.608134613363042</v>
      </c>
      <c r="G167" s="10" t="n">
        <f aca="false">IF(COUNT(Transf!G$39:G167)&lt;36,"",(Transf!G167-AVERAGE(Transf!G$39:G167))/STDEV(Transf!G$39:G167))</f>
        <v>0.252176543314335</v>
      </c>
      <c r="H167" s="10" t="n">
        <f aca="false">IF(COUNT(Transf!H$39:H167)&lt;36,"",(Transf!H167-AVERAGE(Transf!H$39:H167))/STDEV(Transf!H$39:H167))</f>
        <v>0.938781566901339</v>
      </c>
      <c r="I167" s="10" t="n">
        <f aca="false">IF(COUNT(Transf!I$39:I167)&lt;36,"",(Transf!I167-AVERAGE(Transf!I$39:I167))/STDEV(Transf!I$39:I167))</f>
        <v>0.772905516991683</v>
      </c>
      <c r="J167" s="10" t="n">
        <f aca="false">IF(B167="","",IF(COUNT(B$74:B167)&lt;60,B167,MEDIAN(QUARTILE(B$74:B167,1)-1.5*(QUARTILE(B$74:B167,3)-QUARTILE(B$74:B167,1)),B167,QUARTILE(B$74:B167,3)+1.5*(QUARTILE(B$74:B167,3)-QUARTILE(B$74:B167,1)))))</f>
        <v>0.118177941917666</v>
      </c>
      <c r="K167" s="10" t="n">
        <f aca="false">IF(C167="","",IF(COUNT(C$74:C167)&lt;60,C167,MEDIAN(QUARTILE(C$74:C167,1)-1.5*(QUARTILE(C$74:C167,3)-QUARTILE(C$74:C167,1)),C167,QUARTILE(C$74:C167,3)+1.5*(QUARTILE(C$74:C167,3)-QUARTILE(C$74:C167,1)))))</f>
        <v>1.16892670509153</v>
      </c>
      <c r="L167" s="10" t="n">
        <f aca="false">IF(D167="","",IF(COUNT(D$74:D167)&lt;60,D167,MEDIAN(QUARTILE(D$74:D167,1)-1.5*(QUARTILE(D$74:D167,3)-QUARTILE(D$74:D167,1)),D167,QUARTILE(D$74:D167,3)+1.5*(QUARTILE(D$74:D167,3)-QUARTILE(D$74:D167,1)))))</f>
        <v>0.409042126269836</v>
      </c>
      <c r="M167" s="10" t="n">
        <f aca="false">IF(E167="","",IF(COUNT(E$74:E167)&lt;60,E167,MEDIAN(QUARTILE(E$74:E167,1)-1.5*(QUARTILE(E$74:E167,3)-QUARTILE(E$74:E167,1)),E167,QUARTILE(E$74:E167,3)+1.5*(QUARTILE(E$74:E167,3)-QUARTILE(E$74:E167,1)))))</f>
        <v>0.481343147632894</v>
      </c>
      <c r="N167" s="10" t="n">
        <f aca="false">IF(F167="","",IF(COUNT(F$74:F167)&lt;60,F167,MEDIAN(QUARTILE(F$74:F167,1)-1.5*(QUARTILE(F$74:F167,3)-QUARTILE(F$74:F167,1)),F167,QUARTILE(F$74:F167,3)+1.5*(QUARTILE(F$74:F167,3)-QUARTILE(F$74:F167,1)))))</f>
        <v>-0.608134613363042</v>
      </c>
      <c r="O167" s="10" t="n">
        <f aca="false">IF(G167="","",IF(COUNT(G$74:G167)&lt;60,G167,MEDIAN(QUARTILE(G$74:G167,1)-1.5*(QUARTILE(G$74:G167,3)-QUARTILE(G$74:G167,1)),G167,QUARTILE(G$74:G167,3)+1.5*(QUARTILE(G$74:G167,3)-QUARTILE(G$74:G167,1)))))</f>
        <v>0.252176543314335</v>
      </c>
      <c r="P167" s="10" t="n">
        <f aca="false">IF(H167="","",IF(COUNT(H$74:H167)&lt;60,H167,MEDIAN(QUARTILE(H$74:H167,1)-1.5*(QUARTILE(H$74:H167,3)-QUARTILE(H$74:H167,1)),H167,QUARTILE(H$74:H167,3)+1.5*(QUARTILE(H$74:H167,3)-QUARTILE(H$74:H167,1)))))</f>
        <v>0.938781566901339</v>
      </c>
      <c r="Q167" s="10" t="n">
        <f aca="false">IF(I167="","",IF(COUNT(I$74:I167)&lt;60,I167,MEDIAN(QUARTILE(I$74:I167,1)-1.5*(QUARTILE(I$74:I167,3)-QUARTILE(I$74:I167,1)),I167,QUARTILE(I$74:I167,3)+1.5*(QUARTILE(I$74:I167,3)-QUARTILE(I$74:I167,1)))))</f>
        <v>0.772905516991683</v>
      </c>
      <c r="R167" s="10" t="n">
        <f aca="false">IF(J167="","",MEDIAN(J167:Q167))</f>
        <v>0.445192636951365</v>
      </c>
      <c r="S167" s="10" t="n">
        <f aca="false">IF(R167="","",ABS(R167))</f>
        <v>0.445192636951365</v>
      </c>
      <c r="T167" s="10" t="n">
        <f aca="false">IF(COUNT(S$74:S166)&lt;60,"",MEDIAN(S$74:S166))</f>
        <v>0.309450095173081</v>
      </c>
      <c r="U167" s="10" t="n">
        <f aca="false">IF(R167="","",IF(T167="",0,IF(S167&gt;=T167,R167,0)))</f>
        <v>0.445192636951365</v>
      </c>
      <c r="V167" s="10" t="n">
        <f aca="false">IF(U167="","",MEDIAN(-1,U167,1))</f>
        <v>0.445192636951365</v>
      </c>
      <c r="W167" s="10" t="n">
        <f aca="false">IF(J167="","",AVERAGE(J167:Q167))</f>
        <v>0.44165236684453</v>
      </c>
    </row>
    <row r="168" customFormat="false" ht="15" hidden="false" customHeight="false" outlineLevel="0" collapsed="false">
      <c r="A168" s="8" t="n">
        <f aca="false">Base!A168</f>
        <v>43069</v>
      </c>
      <c r="B168" s="10" t="n">
        <f aca="false">IF(COUNT(Transf!B$39:B168)&lt;36,"",(Transf!B168-AVERAGE(Transf!B$39:B168))/STDEV(Transf!B$39:B168))</f>
        <v>0.207839251235537</v>
      </c>
      <c r="C168" s="10" t="n">
        <f aca="false">IF(COUNT(Transf!C$39:C168)&lt;36,"",(Transf!C168-AVERAGE(Transf!C$39:C168))/STDEV(Transf!C$39:C168))</f>
        <v>1.21333125116556</v>
      </c>
      <c r="D168" s="10" t="n">
        <f aca="false">IF(COUNT(Transf!D$39:D168)&lt;36,"",(Transf!D168-AVERAGE(Transf!D$39:D168))/STDEV(Transf!D$39:D168))</f>
        <v>0.366172924757879</v>
      </c>
      <c r="E168" s="10" t="n">
        <f aca="false">IF(COUNT(Transf!E$39:E168)&lt;36,"",(Transf!E168-AVERAGE(Transf!E$39:E168))/STDEV(Transf!E$39:E168))</f>
        <v>0.471807550854337</v>
      </c>
      <c r="F168" s="10" t="n">
        <f aca="false">IF(COUNT(Transf!F$39:F168)&lt;36,"",(Transf!F168-AVERAGE(Transf!F$39:F168))/STDEV(Transf!F$39:F168))</f>
        <v>-0.334292928417574</v>
      </c>
      <c r="G168" s="10" t="n">
        <f aca="false">IF(COUNT(Transf!G$39:G168)&lt;36,"",(Transf!G168-AVERAGE(Transf!G$39:G168))/STDEV(Transf!G$39:G168))</f>
        <v>0.15443805788853</v>
      </c>
      <c r="H168" s="10" t="n">
        <f aca="false">IF(COUNT(Transf!H$39:H168)&lt;36,"",(Transf!H168-AVERAGE(Transf!H$39:H168))/STDEV(Transf!H$39:H168))</f>
        <v>0.915204903759335</v>
      </c>
      <c r="I168" s="10" t="n">
        <f aca="false">IF(COUNT(Transf!I$39:I168)&lt;36,"",(Transf!I168-AVERAGE(Transf!I$39:I168))/STDEV(Transf!I$39:I168))</f>
        <v>0.253405351262037</v>
      </c>
      <c r="J168" s="10" t="n">
        <f aca="false">IF(B168="","",IF(COUNT(B$74:B168)&lt;60,B168,MEDIAN(QUARTILE(B$74:B168,1)-1.5*(QUARTILE(B$74:B168,3)-QUARTILE(B$74:B168,1)),B168,QUARTILE(B$74:B168,3)+1.5*(QUARTILE(B$74:B168,3)-QUARTILE(B$74:B168,1)))))</f>
        <v>0.207839251235537</v>
      </c>
      <c r="K168" s="10" t="n">
        <f aca="false">IF(C168="","",IF(COUNT(C$74:C168)&lt;60,C168,MEDIAN(QUARTILE(C$74:C168,1)-1.5*(QUARTILE(C$74:C168,3)-QUARTILE(C$74:C168,1)),C168,QUARTILE(C$74:C168,3)+1.5*(QUARTILE(C$74:C168,3)-QUARTILE(C$74:C168,1)))))</f>
        <v>1.21333125116556</v>
      </c>
      <c r="L168" s="10" t="n">
        <f aca="false">IF(D168="","",IF(COUNT(D$74:D168)&lt;60,D168,MEDIAN(QUARTILE(D$74:D168,1)-1.5*(QUARTILE(D$74:D168,3)-QUARTILE(D$74:D168,1)),D168,QUARTILE(D$74:D168,3)+1.5*(QUARTILE(D$74:D168,3)-QUARTILE(D$74:D168,1)))))</f>
        <v>0.366172924757879</v>
      </c>
      <c r="M168" s="10" t="n">
        <f aca="false">IF(E168="","",IF(COUNT(E$74:E168)&lt;60,E168,MEDIAN(QUARTILE(E$74:E168,1)-1.5*(QUARTILE(E$74:E168,3)-QUARTILE(E$74:E168,1)),E168,QUARTILE(E$74:E168,3)+1.5*(QUARTILE(E$74:E168,3)-QUARTILE(E$74:E168,1)))))</f>
        <v>0.471807550854337</v>
      </c>
      <c r="N168" s="10" t="n">
        <f aca="false">IF(F168="","",IF(COUNT(F$74:F168)&lt;60,F168,MEDIAN(QUARTILE(F$74:F168,1)-1.5*(QUARTILE(F$74:F168,3)-QUARTILE(F$74:F168,1)),F168,QUARTILE(F$74:F168,3)+1.5*(QUARTILE(F$74:F168,3)-QUARTILE(F$74:F168,1)))))</f>
        <v>-0.334292928417574</v>
      </c>
      <c r="O168" s="10" t="n">
        <f aca="false">IF(G168="","",IF(COUNT(G$74:G168)&lt;60,G168,MEDIAN(QUARTILE(G$74:G168,1)-1.5*(QUARTILE(G$74:G168,3)-QUARTILE(G$74:G168,1)),G168,QUARTILE(G$74:G168,3)+1.5*(QUARTILE(G$74:G168,3)-QUARTILE(G$74:G168,1)))))</f>
        <v>0.15443805788853</v>
      </c>
      <c r="P168" s="10" t="n">
        <f aca="false">IF(H168="","",IF(COUNT(H$74:H168)&lt;60,H168,MEDIAN(QUARTILE(H$74:H168,1)-1.5*(QUARTILE(H$74:H168,3)-QUARTILE(H$74:H168,1)),H168,QUARTILE(H$74:H168,3)+1.5*(QUARTILE(H$74:H168,3)-QUARTILE(H$74:H168,1)))))</f>
        <v>0.915204903759335</v>
      </c>
      <c r="Q168" s="10" t="n">
        <f aca="false">IF(I168="","",IF(COUNT(I$74:I168)&lt;60,I168,MEDIAN(QUARTILE(I$74:I168,1)-1.5*(QUARTILE(I$74:I168,3)-QUARTILE(I$74:I168,1)),I168,QUARTILE(I$74:I168,3)+1.5*(QUARTILE(I$74:I168,3)-QUARTILE(I$74:I168,1)))))</f>
        <v>0.253405351262037</v>
      </c>
      <c r="R168" s="10" t="n">
        <f aca="false">IF(J168="","",MEDIAN(J168:Q168))</f>
        <v>0.309789138009958</v>
      </c>
      <c r="S168" s="10" t="n">
        <f aca="false">IF(R168="","",ABS(R168))</f>
        <v>0.309789138009958</v>
      </c>
      <c r="T168" s="10" t="n">
        <f aca="false">IF(COUNT(S$74:S167)&lt;60,"",MEDIAN(S$74:S167))</f>
        <v>0.30963878995737</v>
      </c>
      <c r="U168" s="10" t="n">
        <f aca="false">IF(R168="","",IF(T168="",0,IF(S168&gt;=T168,R168,0)))</f>
        <v>0.309789138009958</v>
      </c>
      <c r="V168" s="10" t="n">
        <f aca="false">IF(U168="","",MEDIAN(-1,U168,1))</f>
        <v>0.309789138009958</v>
      </c>
      <c r="W168" s="10" t="n">
        <f aca="false">IF(J168="","",AVERAGE(J168:Q168))</f>
        <v>0.405988295313205</v>
      </c>
    </row>
    <row r="169" customFormat="false" ht="15" hidden="false" customHeight="false" outlineLevel="0" collapsed="false">
      <c r="A169" s="8" t="n">
        <f aca="false">Base!A169</f>
        <v>43100</v>
      </c>
      <c r="B169" s="10" t="n">
        <f aca="false">IF(COUNT(Transf!B$39:B169)&lt;36,"",(Transf!B169-AVERAGE(Transf!B$39:B169))/STDEV(Transf!B$39:B169))</f>
        <v>0.0930086993413149</v>
      </c>
      <c r="C169" s="10" t="n">
        <f aca="false">IF(COUNT(Transf!C$39:C169)&lt;36,"",(Transf!C169-AVERAGE(Transf!C$39:C169))/STDEV(Transf!C$39:C169))</f>
        <v>1.13764918213332</v>
      </c>
      <c r="D169" s="10" t="n">
        <f aca="false">IF(COUNT(Transf!D$39:D169)&lt;36,"",(Transf!D169-AVERAGE(Transf!D$39:D169))/STDEV(Transf!D$39:D169))</f>
        <v>0.191034983051893</v>
      </c>
      <c r="E169" s="10" t="n">
        <f aca="false">IF(COUNT(Transf!E$39:E169)&lt;36,"",(Transf!E169-AVERAGE(Transf!E$39:E169))/STDEV(Transf!E$39:E169))</f>
        <v>0.417339326711321</v>
      </c>
      <c r="F169" s="10" t="n">
        <f aca="false">IF(COUNT(Transf!F$39:F169)&lt;36,"",(Transf!F169-AVERAGE(Transf!F$39:F169))/STDEV(Transf!F$39:F169))</f>
        <v>-0.0190464272938238</v>
      </c>
      <c r="G169" s="10" t="n">
        <f aca="false">IF(COUNT(Transf!G$39:G169)&lt;36,"",(Transf!G169-AVERAGE(Transf!G$39:G169))/STDEV(Transf!G$39:G169))</f>
        <v>0.295199508559476</v>
      </c>
      <c r="H169" s="10" t="n">
        <f aca="false">IF(COUNT(Transf!H$39:H169)&lt;36,"",(Transf!H169-AVERAGE(Transf!H$39:H169))/STDEV(Transf!H$39:H169))</f>
        <v>1.25298641949037</v>
      </c>
      <c r="I169" s="10" t="n">
        <f aca="false">IF(COUNT(Transf!I$39:I169)&lt;36,"",(Transf!I169-AVERAGE(Transf!I$39:I169))/STDEV(Transf!I$39:I169))</f>
        <v>0.146560013146577</v>
      </c>
      <c r="J169" s="10" t="n">
        <f aca="false">IF(B169="","",IF(COUNT(B$74:B169)&lt;60,B169,MEDIAN(QUARTILE(B$74:B169,1)-1.5*(QUARTILE(B$74:B169,3)-QUARTILE(B$74:B169,1)),B169,QUARTILE(B$74:B169,3)+1.5*(QUARTILE(B$74:B169,3)-QUARTILE(B$74:B169,1)))))</f>
        <v>0.0930086993413149</v>
      </c>
      <c r="K169" s="10" t="n">
        <f aca="false">IF(C169="","",IF(COUNT(C$74:C169)&lt;60,C169,MEDIAN(QUARTILE(C$74:C169,1)-1.5*(QUARTILE(C$74:C169,3)-QUARTILE(C$74:C169,1)),C169,QUARTILE(C$74:C169,3)+1.5*(QUARTILE(C$74:C169,3)-QUARTILE(C$74:C169,1)))))</f>
        <v>1.13764918213332</v>
      </c>
      <c r="L169" s="10" t="n">
        <f aca="false">IF(D169="","",IF(COUNT(D$74:D169)&lt;60,D169,MEDIAN(QUARTILE(D$74:D169,1)-1.5*(QUARTILE(D$74:D169,3)-QUARTILE(D$74:D169,1)),D169,QUARTILE(D$74:D169,3)+1.5*(QUARTILE(D$74:D169,3)-QUARTILE(D$74:D169,1)))))</f>
        <v>0.191034983051893</v>
      </c>
      <c r="M169" s="10" t="n">
        <f aca="false">IF(E169="","",IF(COUNT(E$74:E169)&lt;60,E169,MEDIAN(QUARTILE(E$74:E169,1)-1.5*(QUARTILE(E$74:E169,3)-QUARTILE(E$74:E169,1)),E169,QUARTILE(E$74:E169,3)+1.5*(QUARTILE(E$74:E169,3)-QUARTILE(E$74:E169,1)))))</f>
        <v>0.417339326711321</v>
      </c>
      <c r="N169" s="10" t="n">
        <f aca="false">IF(F169="","",IF(COUNT(F$74:F169)&lt;60,F169,MEDIAN(QUARTILE(F$74:F169,1)-1.5*(QUARTILE(F$74:F169,3)-QUARTILE(F$74:F169,1)),F169,QUARTILE(F$74:F169,3)+1.5*(QUARTILE(F$74:F169,3)-QUARTILE(F$74:F169,1)))))</f>
        <v>-0.0190464272938238</v>
      </c>
      <c r="O169" s="10" t="n">
        <f aca="false">IF(G169="","",IF(COUNT(G$74:G169)&lt;60,G169,MEDIAN(QUARTILE(G$74:G169,1)-1.5*(QUARTILE(G$74:G169,3)-QUARTILE(G$74:G169,1)),G169,QUARTILE(G$74:G169,3)+1.5*(QUARTILE(G$74:G169,3)-QUARTILE(G$74:G169,1)))))</f>
        <v>0.295199508559476</v>
      </c>
      <c r="P169" s="10" t="n">
        <f aca="false">IF(H169="","",IF(COUNT(H$74:H169)&lt;60,H169,MEDIAN(QUARTILE(H$74:H169,1)-1.5*(QUARTILE(H$74:H169,3)-QUARTILE(H$74:H169,1)),H169,QUARTILE(H$74:H169,3)+1.5*(QUARTILE(H$74:H169,3)-QUARTILE(H$74:H169,1)))))</f>
        <v>1.25298641949037</v>
      </c>
      <c r="Q169" s="10" t="n">
        <f aca="false">IF(I169="","",IF(COUNT(I$74:I169)&lt;60,I169,MEDIAN(QUARTILE(I$74:I169,1)-1.5*(QUARTILE(I$74:I169,3)-QUARTILE(I$74:I169,1)),I169,QUARTILE(I$74:I169,3)+1.5*(QUARTILE(I$74:I169,3)-QUARTILE(I$74:I169,1)))))</f>
        <v>0.146560013146577</v>
      </c>
      <c r="R169" s="10" t="n">
        <f aca="false">IF(J169="","",MEDIAN(J169:Q169))</f>
        <v>0.243117245805685</v>
      </c>
      <c r="S169" s="10" t="n">
        <f aca="false">IF(R169="","",ABS(R169))</f>
        <v>0.243117245805685</v>
      </c>
      <c r="T169" s="10" t="n">
        <f aca="false">IF(COUNT(S$74:S168)&lt;60,"",MEDIAN(S$74:S168))</f>
        <v>0.309789138009958</v>
      </c>
      <c r="U169" s="10" t="n">
        <f aca="false">IF(R169="","",IF(T169="",0,IF(S169&gt;=T169,R169,0)))</f>
        <v>0</v>
      </c>
      <c r="V169" s="10" t="n">
        <f aca="false">IF(U169="","",MEDIAN(-1,U169,1))</f>
        <v>0</v>
      </c>
      <c r="W169" s="10" t="n">
        <f aca="false">IF(J169="","",AVERAGE(J169:Q169))</f>
        <v>0.439341463142557</v>
      </c>
    </row>
    <row r="170" customFormat="false" ht="15" hidden="false" customHeight="false" outlineLevel="0" collapsed="false">
      <c r="A170" s="8" t="n">
        <f aca="false">Base!A170</f>
        <v>43131</v>
      </c>
      <c r="B170" s="10" t="n">
        <f aca="false">IF(COUNT(Transf!B$39:B170)&lt;36,"",(Transf!B170-AVERAGE(Transf!B$39:B170))/STDEV(Transf!B$39:B170))</f>
        <v>0.100540836828676</v>
      </c>
      <c r="C170" s="10" t="n">
        <f aca="false">IF(COUNT(Transf!C$39:C170)&lt;36,"",(Transf!C170-AVERAGE(Transf!C$39:C170))/STDEV(Transf!C$39:C170))</f>
        <v>1.01812218696926</v>
      </c>
      <c r="D170" s="10" t="n">
        <f aca="false">IF(COUNT(Transf!D$39:D170)&lt;36,"",(Transf!D170-AVERAGE(Transf!D$39:D170))/STDEV(Transf!D$39:D170))</f>
        <v>0.0527483077567013</v>
      </c>
      <c r="E170" s="10" t="n">
        <f aca="false">IF(COUNT(Transf!E$39:E170)&lt;36,"",(Transf!E170-AVERAGE(Transf!E$39:E170))/STDEV(Transf!E$39:E170))</f>
        <v>0.401597888626362</v>
      </c>
      <c r="F170" s="10" t="n">
        <f aca="false">IF(COUNT(Transf!F$39:F170)&lt;36,"",(Transf!F170-AVERAGE(Transf!F$39:F170))/STDEV(Transf!F$39:F170))</f>
        <v>0.0494245979345111</v>
      </c>
      <c r="G170" s="10" t="n">
        <f aca="false">IF(COUNT(Transf!G$39:G170)&lt;36,"",(Transf!G170-AVERAGE(Transf!G$39:G170))/STDEV(Transf!G$39:G170))</f>
        <v>0.528621653644826</v>
      </c>
      <c r="H170" s="10" t="n">
        <f aca="false">IF(COUNT(Transf!H$39:H170)&lt;36,"",(Transf!H170-AVERAGE(Transf!H$39:H170))/STDEV(Transf!H$39:H170))</f>
        <v>1.55537614471252</v>
      </c>
      <c r="I170" s="10" t="n">
        <f aca="false">IF(COUNT(Transf!I$39:I170)&lt;36,"",(Transf!I170-AVERAGE(Transf!I$39:I170))/STDEV(Transf!I$39:I170))</f>
        <v>0.0389593355271117</v>
      </c>
      <c r="J170" s="10" t="n">
        <f aca="false">IF(B170="","",IF(COUNT(B$74:B170)&lt;60,B170,MEDIAN(QUARTILE(B$74:B170,1)-1.5*(QUARTILE(B$74:B170,3)-QUARTILE(B$74:B170,1)),B170,QUARTILE(B$74:B170,3)+1.5*(QUARTILE(B$74:B170,3)-QUARTILE(B$74:B170,1)))))</f>
        <v>0.100540836828676</v>
      </c>
      <c r="K170" s="10" t="n">
        <f aca="false">IF(C170="","",IF(COUNT(C$74:C170)&lt;60,C170,MEDIAN(QUARTILE(C$74:C170,1)-1.5*(QUARTILE(C$74:C170,3)-QUARTILE(C$74:C170,1)),C170,QUARTILE(C$74:C170,3)+1.5*(QUARTILE(C$74:C170,3)-QUARTILE(C$74:C170,1)))))</f>
        <v>1.01812218696926</v>
      </c>
      <c r="L170" s="10" t="n">
        <f aca="false">IF(D170="","",IF(COUNT(D$74:D170)&lt;60,D170,MEDIAN(QUARTILE(D$74:D170,1)-1.5*(QUARTILE(D$74:D170,3)-QUARTILE(D$74:D170,1)),D170,QUARTILE(D$74:D170,3)+1.5*(QUARTILE(D$74:D170,3)-QUARTILE(D$74:D170,1)))))</f>
        <v>0.0527483077567013</v>
      </c>
      <c r="M170" s="10" t="n">
        <f aca="false">IF(E170="","",IF(COUNT(E$74:E170)&lt;60,E170,MEDIAN(QUARTILE(E$74:E170,1)-1.5*(QUARTILE(E$74:E170,3)-QUARTILE(E$74:E170,1)),E170,QUARTILE(E$74:E170,3)+1.5*(QUARTILE(E$74:E170,3)-QUARTILE(E$74:E170,1)))))</f>
        <v>0.401597888626362</v>
      </c>
      <c r="N170" s="10" t="n">
        <f aca="false">IF(F170="","",IF(COUNT(F$74:F170)&lt;60,F170,MEDIAN(QUARTILE(F$74:F170,1)-1.5*(QUARTILE(F$74:F170,3)-QUARTILE(F$74:F170,1)),F170,QUARTILE(F$74:F170,3)+1.5*(QUARTILE(F$74:F170,3)-QUARTILE(F$74:F170,1)))))</f>
        <v>0.0494245979345111</v>
      </c>
      <c r="O170" s="10" t="n">
        <f aca="false">IF(G170="","",IF(COUNT(G$74:G170)&lt;60,G170,MEDIAN(QUARTILE(G$74:G170,1)-1.5*(QUARTILE(G$74:G170,3)-QUARTILE(G$74:G170,1)),G170,QUARTILE(G$74:G170,3)+1.5*(QUARTILE(G$74:G170,3)-QUARTILE(G$74:G170,1)))))</f>
        <v>0.528621653644826</v>
      </c>
      <c r="P170" s="10" t="n">
        <f aca="false">IF(H170="","",IF(COUNT(H$74:H170)&lt;60,H170,MEDIAN(QUARTILE(H$74:H170,1)-1.5*(QUARTILE(H$74:H170,3)-QUARTILE(H$74:H170,1)),H170,QUARTILE(H$74:H170,3)+1.5*(QUARTILE(H$74:H170,3)-QUARTILE(H$74:H170,1)))))</f>
        <v>1.55537614471252</v>
      </c>
      <c r="Q170" s="10" t="n">
        <f aca="false">IF(I170="","",IF(COUNT(I$74:I170)&lt;60,I170,MEDIAN(QUARTILE(I$74:I170,1)-1.5*(QUARTILE(I$74:I170,3)-QUARTILE(I$74:I170,1)),I170,QUARTILE(I$74:I170,3)+1.5*(QUARTILE(I$74:I170,3)-QUARTILE(I$74:I170,1)))))</f>
        <v>0.0389593355271117</v>
      </c>
      <c r="R170" s="10" t="n">
        <f aca="false">IF(J170="","",MEDIAN(J170:Q170))</f>
        <v>0.251069362727519</v>
      </c>
      <c r="S170" s="10" t="n">
        <f aca="false">IF(R170="","",ABS(R170))</f>
        <v>0.251069362727519</v>
      </c>
      <c r="T170" s="10" t="n">
        <f aca="false">IF(COUNT(S$74:S169)&lt;60,"",MEDIAN(S$74:S169))</f>
        <v>0.30961961659152</v>
      </c>
      <c r="U170" s="10" t="n">
        <f aca="false">IF(R170="","",IF(T170="",0,IF(S170&gt;=T170,R170,0)))</f>
        <v>0</v>
      </c>
      <c r="V170" s="10" t="n">
        <f aca="false">IF(U170="","",MEDIAN(-1,U170,1))</f>
        <v>0</v>
      </c>
      <c r="W170" s="10" t="n">
        <f aca="false">IF(J170="","",AVERAGE(J170:Q170))</f>
        <v>0.468173868999996</v>
      </c>
    </row>
    <row r="171" customFormat="false" ht="15" hidden="false" customHeight="false" outlineLevel="0" collapsed="false">
      <c r="A171" s="8" t="n">
        <f aca="false">Base!A171</f>
        <v>43159</v>
      </c>
      <c r="B171" s="10" t="n">
        <f aca="false">IF(COUNT(Transf!B$39:B171)&lt;36,"",(Transf!B171-AVERAGE(Transf!B$39:B171))/STDEV(Transf!B$39:B171))</f>
        <v>0.36042205207092</v>
      </c>
      <c r="C171" s="10" t="n">
        <f aca="false">IF(COUNT(Transf!C$39:C171)&lt;36,"",(Transf!C171-AVERAGE(Transf!C$39:C171))/STDEV(Transf!C$39:C171))</f>
        <v>0.991234870008686</v>
      </c>
      <c r="D171" s="10" t="n">
        <f aca="false">IF(COUNT(Transf!D$39:D171)&lt;36,"",(Transf!D171-AVERAGE(Transf!D$39:D171))/STDEV(Transf!D$39:D171))</f>
        <v>-0.0578334902796393</v>
      </c>
      <c r="E171" s="10" t="n">
        <f aca="false">IF(COUNT(Transf!E$39:E171)&lt;36,"",(Transf!E171-AVERAGE(Transf!E$39:E171))/STDEV(Transf!E$39:E171))</f>
        <v>0.524003369885459</v>
      </c>
      <c r="F171" s="10" t="n">
        <f aca="false">IF(COUNT(Transf!F$39:F171)&lt;36,"",(Transf!F171-AVERAGE(Transf!F$39:F171))/STDEV(Transf!F$39:F171))</f>
        <v>0.213002782892601</v>
      </c>
      <c r="G171" s="10" t="n">
        <f aca="false">IF(COUNT(Transf!G$39:G171)&lt;36,"",(Transf!G171-AVERAGE(Transf!G$39:G171))/STDEV(Transf!G$39:G171))</f>
        <v>0.920868518422021</v>
      </c>
      <c r="H171" s="10" t="n">
        <f aca="false">IF(COUNT(Transf!H$39:H171)&lt;36,"",(Transf!H171-AVERAGE(Transf!H$39:H171))/STDEV(Transf!H$39:H171))</f>
        <v>1.90287681022713</v>
      </c>
      <c r="I171" s="10" t="n">
        <f aca="false">IF(COUNT(Transf!I$39:I171)&lt;36,"",(Transf!I171-AVERAGE(Transf!I$39:I171))/STDEV(Transf!I$39:I171))</f>
        <v>-0.0529454344678782</v>
      </c>
      <c r="J171" s="10" t="n">
        <f aca="false">IF(B171="","",IF(COUNT(B$74:B171)&lt;60,B171,MEDIAN(QUARTILE(B$74:B171,1)-1.5*(QUARTILE(B$74:B171,3)-QUARTILE(B$74:B171,1)),B171,QUARTILE(B$74:B171,3)+1.5*(QUARTILE(B$74:B171,3)-QUARTILE(B$74:B171,1)))))</f>
        <v>0.36042205207092</v>
      </c>
      <c r="K171" s="10" t="n">
        <f aca="false">IF(C171="","",IF(COUNT(C$74:C171)&lt;60,C171,MEDIAN(QUARTILE(C$74:C171,1)-1.5*(QUARTILE(C$74:C171,3)-QUARTILE(C$74:C171,1)),C171,QUARTILE(C$74:C171,3)+1.5*(QUARTILE(C$74:C171,3)-QUARTILE(C$74:C171,1)))))</f>
        <v>0.991234870008686</v>
      </c>
      <c r="L171" s="10" t="n">
        <f aca="false">IF(D171="","",IF(COUNT(D$74:D171)&lt;60,D171,MEDIAN(QUARTILE(D$74:D171,1)-1.5*(QUARTILE(D$74:D171,3)-QUARTILE(D$74:D171,1)),D171,QUARTILE(D$74:D171,3)+1.5*(QUARTILE(D$74:D171,3)-QUARTILE(D$74:D171,1)))))</f>
        <v>-0.0578334902796393</v>
      </c>
      <c r="M171" s="10" t="n">
        <f aca="false">IF(E171="","",IF(COUNT(E$74:E171)&lt;60,E171,MEDIAN(QUARTILE(E$74:E171,1)-1.5*(QUARTILE(E$74:E171,3)-QUARTILE(E$74:E171,1)),E171,QUARTILE(E$74:E171,3)+1.5*(QUARTILE(E$74:E171,3)-QUARTILE(E$74:E171,1)))))</f>
        <v>0.524003369885459</v>
      </c>
      <c r="N171" s="10" t="n">
        <f aca="false">IF(F171="","",IF(COUNT(F$74:F171)&lt;60,F171,MEDIAN(QUARTILE(F$74:F171,1)-1.5*(QUARTILE(F$74:F171,3)-QUARTILE(F$74:F171,1)),F171,QUARTILE(F$74:F171,3)+1.5*(QUARTILE(F$74:F171,3)-QUARTILE(F$74:F171,1)))))</f>
        <v>0.213002782892601</v>
      </c>
      <c r="O171" s="10" t="n">
        <f aca="false">IF(G171="","",IF(COUNT(G$74:G171)&lt;60,G171,MEDIAN(QUARTILE(G$74:G171,1)-1.5*(QUARTILE(G$74:G171,3)-QUARTILE(G$74:G171,1)),G171,QUARTILE(G$74:G171,3)+1.5*(QUARTILE(G$74:G171,3)-QUARTILE(G$74:G171,1)))))</f>
        <v>0.920868518422021</v>
      </c>
      <c r="P171" s="10" t="n">
        <f aca="false">IF(H171="","",IF(COUNT(H$74:H171)&lt;60,H171,MEDIAN(QUARTILE(H$74:H171,1)-1.5*(QUARTILE(H$74:H171,3)-QUARTILE(H$74:H171,1)),H171,QUARTILE(H$74:H171,3)+1.5*(QUARTILE(H$74:H171,3)-QUARTILE(H$74:H171,1)))))</f>
        <v>1.90287681022713</v>
      </c>
      <c r="Q171" s="10" t="n">
        <f aca="false">IF(I171="","",IF(COUNT(I$74:I171)&lt;60,I171,MEDIAN(QUARTILE(I$74:I171,1)-1.5*(QUARTILE(I$74:I171,3)-QUARTILE(I$74:I171,1)),I171,QUARTILE(I$74:I171,3)+1.5*(QUARTILE(I$74:I171,3)-QUARTILE(I$74:I171,1)))))</f>
        <v>-0.0529454344678782</v>
      </c>
      <c r="R171" s="10" t="n">
        <f aca="false">IF(J171="","",MEDIAN(J171:Q171))</f>
        <v>0.44221271097819</v>
      </c>
      <c r="S171" s="10" t="n">
        <f aca="false">IF(R171="","",ABS(R171))</f>
        <v>0.44221271097819</v>
      </c>
      <c r="T171" s="10" t="n">
        <f aca="false">IF(COUNT(S$74:S170)&lt;60,"",MEDIAN(S$74:S170))</f>
        <v>0.309450095173081</v>
      </c>
      <c r="U171" s="10" t="n">
        <f aca="false">IF(R171="","",IF(T171="",0,IF(S171&gt;=T171,R171,0)))</f>
        <v>0.44221271097819</v>
      </c>
      <c r="V171" s="10" t="n">
        <f aca="false">IF(U171="","",MEDIAN(-1,U171,1))</f>
        <v>0.44221271097819</v>
      </c>
      <c r="W171" s="10" t="n">
        <f aca="false">IF(J171="","",AVERAGE(J171:Q171))</f>
        <v>0.600203684844913</v>
      </c>
    </row>
    <row r="172" customFormat="false" ht="15" hidden="false" customHeight="false" outlineLevel="0" collapsed="false">
      <c r="A172" s="8" t="n">
        <f aca="false">Base!A172</f>
        <v>43190</v>
      </c>
      <c r="B172" s="10" t="n">
        <f aca="false">IF(COUNT(Transf!B$39:B172)&lt;36,"",(Transf!B172-AVERAGE(Transf!B$39:B172))/STDEV(Transf!B$39:B172))</f>
        <v>0.740084409852915</v>
      </c>
      <c r="C172" s="10" t="n">
        <f aca="false">IF(COUNT(Transf!C$39:C172)&lt;36,"",(Transf!C172-AVERAGE(Transf!C$39:C172))/STDEV(Transf!C$39:C172))</f>
        <v>0.947920001230873</v>
      </c>
      <c r="D172" s="10" t="n">
        <f aca="false">IF(COUNT(Transf!D$39:D172)&lt;36,"",(Transf!D172-AVERAGE(Transf!D$39:D172))/STDEV(Transf!D$39:D172))</f>
        <v>-0.0812620125639575</v>
      </c>
      <c r="E172" s="10" t="n">
        <f aca="false">IF(COUNT(Transf!E$39:E172)&lt;36,"",(Transf!E172-AVERAGE(Transf!E$39:E172))/STDEV(Transf!E$39:E172))</f>
        <v>0.682353304983022</v>
      </c>
      <c r="F172" s="10" t="n">
        <f aca="false">IF(COUNT(Transf!F$39:F172)&lt;36,"",(Transf!F172-AVERAGE(Transf!F$39:F172))/STDEV(Transf!F$39:F172))</f>
        <v>0.377300355641767</v>
      </c>
      <c r="G172" s="10" t="n">
        <f aca="false">IF(COUNT(Transf!G$39:G172)&lt;36,"",(Transf!G172-AVERAGE(Transf!G$39:G172))/STDEV(Transf!G$39:G172))</f>
        <v>1.1714009865556</v>
      </c>
      <c r="H172" s="10" t="n">
        <f aca="false">IF(COUNT(Transf!H$39:H172)&lt;36,"",(Transf!H172-AVERAGE(Transf!H$39:H172))/STDEV(Transf!H$39:H172))</f>
        <v>2.15669471444203</v>
      </c>
      <c r="I172" s="10" t="n">
        <f aca="false">IF(COUNT(Transf!I$39:I172)&lt;36,"",(Transf!I172-AVERAGE(Transf!I$39:I172))/STDEV(Transf!I$39:I172))</f>
        <v>-0.0787576893953788</v>
      </c>
      <c r="J172" s="10" t="n">
        <f aca="false">IF(B172="","",IF(COUNT(B$74:B172)&lt;60,B172,MEDIAN(QUARTILE(B$74:B172,1)-1.5*(QUARTILE(B$74:B172,3)-QUARTILE(B$74:B172,1)),B172,QUARTILE(B$74:B172,3)+1.5*(QUARTILE(B$74:B172,3)-QUARTILE(B$74:B172,1)))))</f>
        <v>0.740084409852915</v>
      </c>
      <c r="K172" s="10" t="n">
        <f aca="false">IF(C172="","",IF(COUNT(C$74:C172)&lt;60,C172,MEDIAN(QUARTILE(C$74:C172,1)-1.5*(QUARTILE(C$74:C172,3)-QUARTILE(C$74:C172,1)),C172,QUARTILE(C$74:C172,3)+1.5*(QUARTILE(C$74:C172,3)-QUARTILE(C$74:C172,1)))))</f>
        <v>0.947920001230873</v>
      </c>
      <c r="L172" s="10" t="n">
        <f aca="false">IF(D172="","",IF(COUNT(D$74:D172)&lt;60,D172,MEDIAN(QUARTILE(D$74:D172,1)-1.5*(QUARTILE(D$74:D172,3)-QUARTILE(D$74:D172,1)),D172,QUARTILE(D$74:D172,3)+1.5*(QUARTILE(D$74:D172,3)-QUARTILE(D$74:D172,1)))))</f>
        <v>-0.0812620125639575</v>
      </c>
      <c r="M172" s="10" t="n">
        <f aca="false">IF(E172="","",IF(COUNT(E$74:E172)&lt;60,E172,MEDIAN(QUARTILE(E$74:E172,1)-1.5*(QUARTILE(E$74:E172,3)-QUARTILE(E$74:E172,1)),E172,QUARTILE(E$74:E172,3)+1.5*(QUARTILE(E$74:E172,3)-QUARTILE(E$74:E172,1)))))</f>
        <v>0.682353304983022</v>
      </c>
      <c r="N172" s="10" t="n">
        <f aca="false">IF(F172="","",IF(COUNT(F$74:F172)&lt;60,F172,MEDIAN(QUARTILE(F$74:F172,1)-1.5*(QUARTILE(F$74:F172,3)-QUARTILE(F$74:F172,1)),F172,QUARTILE(F$74:F172,3)+1.5*(QUARTILE(F$74:F172,3)-QUARTILE(F$74:F172,1)))))</f>
        <v>0.377300355641767</v>
      </c>
      <c r="O172" s="10" t="n">
        <f aca="false">IF(G172="","",IF(COUNT(G$74:G172)&lt;60,G172,MEDIAN(QUARTILE(G$74:G172,1)-1.5*(QUARTILE(G$74:G172,3)-QUARTILE(G$74:G172,1)),G172,QUARTILE(G$74:G172,3)+1.5*(QUARTILE(G$74:G172,3)-QUARTILE(G$74:G172,1)))))</f>
        <v>1.1714009865556</v>
      </c>
      <c r="P172" s="10" t="n">
        <f aca="false">IF(H172="","",IF(COUNT(H$74:H172)&lt;60,H172,MEDIAN(QUARTILE(H$74:H172,1)-1.5*(QUARTILE(H$74:H172,3)-QUARTILE(H$74:H172,1)),H172,QUARTILE(H$74:H172,3)+1.5*(QUARTILE(H$74:H172,3)-QUARTILE(H$74:H172,1)))))</f>
        <v>2.14555800335549</v>
      </c>
      <c r="Q172" s="10" t="n">
        <f aca="false">IF(I172="","",IF(COUNT(I$74:I172)&lt;60,I172,MEDIAN(QUARTILE(I$74:I172,1)-1.5*(QUARTILE(I$74:I172,3)-QUARTILE(I$74:I172,1)),I172,QUARTILE(I$74:I172,3)+1.5*(QUARTILE(I$74:I172,3)-QUARTILE(I$74:I172,1)))))</f>
        <v>-0.0787576893953788</v>
      </c>
      <c r="R172" s="10" t="n">
        <f aca="false">IF(J172="","",MEDIAN(J172:Q172))</f>
        <v>0.711218857417968</v>
      </c>
      <c r="S172" s="10" t="n">
        <f aca="false">IF(R172="","",ABS(R172))</f>
        <v>0.711218857417968</v>
      </c>
      <c r="T172" s="10" t="n">
        <f aca="false">IF(COUNT(S$74:S171)&lt;60,"",MEDIAN(S$74:S171))</f>
        <v>0.30961961659152</v>
      </c>
      <c r="U172" s="10" t="n">
        <f aca="false">IF(R172="","",IF(T172="",0,IF(S172&gt;=T172,R172,0)))</f>
        <v>0.711218857417968</v>
      </c>
      <c r="V172" s="10" t="n">
        <f aca="false">IF(U172="","",MEDIAN(-1,U172,1))</f>
        <v>0.711218857417968</v>
      </c>
      <c r="W172" s="10" t="n">
        <f aca="false">IF(J172="","",AVERAGE(J172:Q172))</f>
        <v>0.738074669957542</v>
      </c>
    </row>
    <row r="173" customFormat="false" ht="15" hidden="false" customHeight="false" outlineLevel="0" collapsed="false">
      <c r="A173" s="8" t="n">
        <f aca="false">Base!A173</f>
        <v>43220</v>
      </c>
      <c r="B173" s="10" t="n">
        <f aca="false">IF(COUNT(Transf!B$39:B173)&lt;36,"",(Transf!B173-AVERAGE(Transf!B$39:B173))/STDEV(Transf!B$39:B173))</f>
        <v>0.639229335350861</v>
      </c>
      <c r="C173" s="10" t="n">
        <f aca="false">IF(COUNT(Transf!C$39:C173)&lt;36,"",(Transf!C173-AVERAGE(Transf!C$39:C173))/STDEV(Transf!C$39:C173))</f>
        <v>0.618484839555631</v>
      </c>
      <c r="D173" s="10" t="n">
        <f aca="false">IF(COUNT(Transf!D$39:D173)&lt;36,"",(Transf!D173-AVERAGE(Transf!D$39:D173))/STDEV(Transf!D$39:D173))</f>
        <v>-0.318652221089685</v>
      </c>
      <c r="E173" s="10" t="n">
        <f aca="false">IF(COUNT(Transf!E$39:E173)&lt;36,"",(Transf!E173-AVERAGE(Transf!E$39:E173))/STDEV(Transf!E$39:E173))</f>
        <v>0.996084144309294</v>
      </c>
      <c r="F173" s="10" t="n">
        <f aca="false">IF(COUNT(Transf!F$39:F173)&lt;36,"",(Transf!F173-AVERAGE(Transf!F$39:F173))/STDEV(Transf!F$39:F173))</f>
        <v>1.22856506326963</v>
      </c>
      <c r="G173" s="10" t="n">
        <f aca="false">IF(COUNT(Transf!G$39:G173)&lt;36,"",(Transf!G173-AVERAGE(Transf!G$39:G173))/STDEV(Transf!G$39:G173))</f>
        <v>1.24994961608993</v>
      </c>
      <c r="H173" s="10" t="n">
        <f aca="false">IF(COUNT(Transf!H$39:H173)&lt;36,"",(Transf!H173-AVERAGE(Transf!H$39:H173))/STDEV(Transf!H$39:H173))</f>
        <v>2.17205917410906</v>
      </c>
      <c r="I173" s="10" t="n">
        <f aca="false">IF(COUNT(Transf!I$39:I173)&lt;36,"",(Transf!I173-AVERAGE(Transf!I$39:I173))/STDEV(Transf!I$39:I173))</f>
        <v>-0.00907229489921516</v>
      </c>
      <c r="J173" s="10" t="n">
        <f aca="false">IF(B173="","",IF(COUNT(B$74:B173)&lt;60,B173,MEDIAN(QUARTILE(B$74:B173,1)-1.5*(QUARTILE(B$74:B173,3)-QUARTILE(B$74:B173,1)),B173,QUARTILE(B$74:B173,3)+1.5*(QUARTILE(B$74:B173,3)-QUARTILE(B$74:B173,1)))))</f>
        <v>0.639229335350861</v>
      </c>
      <c r="K173" s="10" t="n">
        <f aca="false">IF(C173="","",IF(COUNT(C$74:C173)&lt;60,C173,MEDIAN(QUARTILE(C$74:C173,1)-1.5*(QUARTILE(C$74:C173,3)-QUARTILE(C$74:C173,1)),C173,QUARTILE(C$74:C173,3)+1.5*(QUARTILE(C$74:C173,3)-QUARTILE(C$74:C173,1)))))</f>
        <v>0.618484839555631</v>
      </c>
      <c r="L173" s="10" t="n">
        <f aca="false">IF(D173="","",IF(COUNT(D$74:D173)&lt;60,D173,MEDIAN(QUARTILE(D$74:D173,1)-1.5*(QUARTILE(D$74:D173,3)-QUARTILE(D$74:D173,1)),D173,QUARTILE(D$74:D173,3)+1.5*(QUARTILE(D$74:D173,3)-QUARTILE(D$74:D173,1)))))</f>
        <v>-0.318652221089685</v>
      </c>
      <c r="M173" s="10" t="n">
        <f aca="false">IF(E173="","",IF(COUNT(E$74:E173)&lt;60,E173,MEDIAN(QUARTILE(E$74:E173,1)-1.5*(QUARTILE(E$74:E173,3)-QUARTILE(E$74:E173,1)),E173,QUARTILE(E$74:E173,3)+1.5*(QUARTILE(E$74:E173,3)-QUARTILE(E$74:E173,1)))))</f>
        <v>0.996084144309294</v>
      </c>
      <c r="N173" s="10" t="n">
        <f aca="false">IF(F173="","",IF(COUNT(F$74:F173)&lt;60,F173,MEDIAN(QUARTILE(F$74:F173,1)-1.5*(QUARTILE(F$74:F173,3)-QUARTILE(F$74:F173,1)),F173,QUARTILE(F$74:F173,3)+1.5*(QUARTILE(F$74:F173,3)-QUARTILE(F$74:F173,1)))))</f>
        <v>1.22856506326963</v>
      </c>
      <c r="O173" s="10" t="n">
        <f aca="false">IF(G173="","",IF(COUNT(G$74:G173)&lt;60,G173,MEDIAN(QUARTILE(G$74:G173,1)-1.5*(QUARTILE(G$74:G173,3)-QUARTILE(G$74:G173,1)),G173,QUARTILE(G$74:G173,3)+1.5*(QUARTILE(G$74:G173,3)-QUARTILE(G$74:G173,1)))))</f>
        <v>1.24994961608993</v>
      </c>
      <c r="P173" s="10" t="n">
        <f aca="false">IF(H173="","",IF(COUNT(H$74:H173)&lt;60,H173,MEDIAN(QUARTILE(H$74:H173,1)-1.5*(QUARTILE(H$74:H173,3)-QUARTILE(H$74:H173,1)),H173,QUARTILE(H$74:H173,3)+1.5*(QUARTILE(H$74:H173,3)-QUARTILE(H$74:H173,1)))))</f>
        <v>2.13500372489347</v>
      </c>
      <c r="Q173" s="10" t="n">
        <f aca="false">IF(I173="","",IF(COUNT(I$74:I173)&lt;60,I173,MEDIAN(QUARTILE(I$74:I173,1)-1.5*(QUARTILE(I$74:I173,3)-QUARTILE(I$74:I173,1)),I173,QUARTILE(I$74:I173,3)+1.5*(QUARTILE(I$74:I173,3)-QUARTILE(I$74:I173,1)))))</f>
        <v>-0.00907229489921516</v>
      </c>
      <c r="R173" s="10" t="n">
        <f aca="false">IF(J173="","",MEDIAN(J173:Q173))</f>
        <v>0.817656739830077</v>
      </c>
      <c r="S173" s="10" t="n">
        <f aca="false">IF(R173="","",ABS(R173))</f>
        <v>0.817656739830077</v>
      </c>
      <c r="T173" s="10" t="n">
        <f aca="false">IF(COUNT(S$74:S172)&lt;60,"",MEDIAN(S$74:S172))</f>
        <v>0.309789138009958</v>
      </c>
      <c r="U173" s="10" t="n">
        <f aca="false">IF(R173="","",IF(T173="",0,IF(S173&gt;=T173,R173,0)))</f>
        <v>0.817656739830077</v>
      </c>
      <c r="V173" s="10" t="n">
        <f aca="false">IF(U173="","",MEDIAN(-1,U173,1))</f>
        <v>0.817656739830077</v>
      </c>
      <c r="W173" s="10" t="n">
        <f aca="false">IF(J173="","",AVERAGE(J173:Q173))</f>
        <v>0.817449025934989</v>
      </c>
    </row>
    <row r="174" customFormat="false" ht="15" hidden="false" customHeight="false" outlineLevel="0" collapsed="false">
      <c r="A174" s="8" t="n">
        <f aca="false">Base!A174</f>
        <v>43251</v>
      </c>
      <c r="B174" s="10" t="n">
        <f aca="false">IF(COUNT(Transf!B$39:B174)&lt;36,"",(Transf!B174-AVERAGE(Transf!B$39:B174))/STDEV(Transf!B$39:B174))</f>
        <v>0.319535907619421</v>
      </c>
      <c r="C174" s="10" t="n">
        <f aca="false">IF(COUNT(Transf!C$39:C174)&lt;36,"",(Transf!C174-AVERAGE(Transf!C$39:C174))/STDEV(Transf!C$39:C174))</f>
        <v>-0.0646595575629915</v>
      </c>
      <c r="D174" s="10" t="n">
        <f aca="false">IF(COUNT(Transf!D$39:D174)&lt;36,"",(Transf!D174-AVERAGE(Transf!D$39:D174))/STDEV(Transf!D$39:D174))</f>
        <v>-0.852641117782334</v>
      </c>
      <c r="E174" s="10" t="n">
        <f aca="false">IF(COUNT(Transf!E$39:E174)&lt;36,"",(Transf!E174-AVERAGE(Transf!E$39:E174))/STDEV(Transf!E$39:E174))</f>
        <v>1.21129602925733</v>
      </c>
      <c r="F174" s="10" t="n">
        <f aca="false">IF(COUNT(Transf!F$39:F174)&lt;36,"",(Transf!F174-AVERAGE(Transf!F$39:F174))/STDEV(Transf!F$39:F174))</f>
        <v>1.52611108006281</v>
      </c>
      <c r="G174" s="10" t="n">
        <f aca="false">IF(COUNT(Transf!G$39:G174)&lt;36,"",(Transf!G174-AVERAGE(Transf!G$39:G174))/STDEV(Transf!G$39:G174))</f>
        <v>1.56145047460073</v>
      </c>
      <c r="H174" s="10" t="n">
        <f aca="false">IF(COUNT(Transf!H$39:H174)&lt;36,"",(Transf!H174-AVERAGE(Transf!H$39:H174))/STDEV(Transf!H$39:H174))</f>
        <v>2.01248316800706</v>
      </c>
      <c r="I174" s="10" t="n">
        <f aca="false">IF(COUNT(Transf!I$39:I174)&lt;36,"",(Transf!I174-AVERAGE(Transf!I$39:I174))/STDEV(Transf!I$39:I174))</f>
        <v>0.162633324792634</v>
      </c>
      <c r="J174" s="10" t="n">
        <f aca="false">IF(B174="","",IF(COUNT(B$74:B174)&lt;60,B174,MEDIAN(QUARTILE(B$74:B174,1)-1.5*(QUARTILE(B$74:B174,3)-QUARTILE(B$74:B174,1)),B174,QUARTILE(B$74:B174,3)+1.5*(QUARTILE(B$74:B174,3)-QUARTILE(B$74:B174,1)))))</f>
        <v>0.319535907619421</v>
      </c>
      <c r="K174" s="10" t="n">
        <f aca="false">IF(C174="","",IF(COUNT(C$74:C174)&lt;60,C174,MEDIAN(QUARTILE(C$74:C174,1)-1.5*(QUARTILE(C$74:C174,3)-QUARTILE(C$74:C174,1)),C174,QUARTILE(C$74:C174,3)+1.5*(QUARTILE(C$74:C174,3)-QUARTILE(C$74:C174,1)))))</f>
        <v>-0.0646595575629915</v>
      </c>
      <c r="L174" s="10" t="n">
        <f aca="false">IF(D174="","",IF(COUNT(D$74:D174)&lt;60,D174,MEDIAN(QUARTILE(D$74:D174,1)-1.5*(QUARTILE(D$74:D174,3)-QUARTILE(D$74:D174,1)),D174,QUARTILE(D$74:D174,3)+1.5*(QUARTILE(D$74:D174,3)-QUARTILE(D$74:D174,1)))))</f>
        <v>-0.852641117782334</v>
      </c>
      <c r="M174" s="10" t="n">
        <f aca="false">IF(E174="","",IF(COUNT(E$74:E174)&lt;60,E174,MEDIAN(QUARTILE(E$74:E174,1)-1.5*(QUARTILE(E$74:E174,3)-QUARTILE(E$74:E174,1)),E174,QUARTILE(E$74:E174,3)+1.5*(QUARTILE(E$74:E174,3)-QUARTILE(E$74:E174,1)))))</f>
        <v>1.21129602925733</v>
      </c>
      <c r="N174" s="10" t="n">
        <f aca="false">IF(F174="","",IF(COUNT(F$74:F174)&lt;60,F174,MEDIAN(QUARTILE(F$74:F174,1)-1.5*(QUARTILE(F$74:F174,3)-QUARTILE(F$74:F174,1)),F174,QUARTILE(F$74:F174,3)+1.5*(QUARTILE(F$74:F174,3)-QUARTILE(F$74:F174,1)))))</f>
        <v>1.52611108006281</v>
      </c>
      <c r="O174" s="10" t="n">
        <f aca="false">IF(G174="","",IF(COUNT(G$74:G174)&lt;60,G174,MEDIAN(QUARTILE(G$74:G174,1)-1.5*(QUARTILE(G$74:G174,3)-QUARTILE(G$74:G174,1)),G174,QUARTILE(G$74:G174,3)+1.5*(QUARTILE(G$74:G174,3)-QUARTILE(G$74:G174,1)))))</f>
        <v>1.56145047460073</v>
      </c>
      <c r="P174" s="10" t="n">
        <f aca="false">IF(H174="","",IF(COUNT(H$74:H174)&lt;60,H174,MEDIAN(QUARTILE(H$74:H174,1)-1.5*(QUARTILE(H$74:H174,3)-QUARTILE(H$74:H174,1)),H174,QUARTILE(H$74:H174,3)+1.5*(QUARTILE(H$74:H174,3)-QUARTILE(H$74:H174,1)))))</f>
        <v>2.01248316800706</v>
      </c>
      <c r="Q174" s="10" t="n">
        <f aca="false">IF(I174="","",IF(COUNT(I$74:I174)&lt;60,I174,MEDIAN(QUARTILE(I$74:I174,1)-1.5*(QUARTILE(I$74:I174,3)-QUARTILE(I$74:I174,1)),I174,QUARTILE(I$74:I174,3)+1.5*(QUARTILE(I$74:I174,3)-QUARTILE(I$74:I174,1)))))</f>
        <v>0.162633324792634</v>
      </c>
      <c r="R174" s="10" t="n">
        <f aca="false">IF(J174="","",MEDIAN(J174:Q174))</f>
        <v>0.765415968438376</v>
      </c>
      <c r="S174" s="10" t="n">
        <f aca="false">IF(R174="","",ABS(R174))</f>
        <v>0.765415968438376</v>
      </c>
      <c r="T174" s="10" t="n">
        <f aca="false">IF(COUNT(S$74:S173)&lt;60,"",MEDIAN(S$74:S173))</f>
        <v>0.309808311375809</v>
      </c>
      <c r="U174" s="10" t="n">
        <f aca="false">IF(R174="","",IF(T174="",0,IF(S174&gt;=T174,R174,0)))</f>
        <v>0.765415968438376</v>
      </c>
      <c r="V174" s="10" t="n">
        <f aca="false">IF(U174="","",MEDIAN(-1,U174,1))</f>
        <v>0.765415968438376</v>
      </c>
      <c r="W174" s="10" t="n">
        <f aca="false">IF(J174="","",AVERAGE(J174:Q174))</f>
        <v>0.734526163624332</v>
      </c>
    </row>
    <row r="175" customFormat="false" ht="15" hidden="false" customHeight="false" outlineLevel="0" collapsed="false">
      <c r="A175" s="8" t="n">
        <f aca="false">Base!A175</f>
        <v>43281</v>
      </c>
      <c r="B175" s="10" t="n">
        <f aca="false">IF(COUNT(Transf!B$39:B175)&lt;36,"",(Transf!B175-AVERAGE(Transf!B$39:B175))/STDEV(Transf!B$39:B175))</f>
        <v>-0.0400949311430007</v>
      </c>
      <c r="C175" s="10" t="n">
        <f aca="false">IF(COUNT(Transf!C$39:C175)&lt;36,"",(Transf!C175-AVERAGE(Transf!C$39:C175))/STDEV(Transf!C$39:C175))</f>
        <v>-0.577847247132965</v>
      </c>
      <c r="D175" s="10" t="n">
        <f aca="false">IF(COUNT(Transf!D$39:D175)&lt;36,"",(Transf!D175-AVERAGE(Transf!D$39:D175))/STDEV(Transf!D$39:D175))</f>
        <v>-1.30769324965788</v>
      </c>
      <c r="E175" s="10" t="n">
        <f aca="false">IF(COUNT(Transf!E$39:E175)&lt;36,"",(Transf!E175-AVERAGE(Transf!E$39:E175))/STDEV(Transf!E$39:E175))</f>
        <v>1.64248060887372</v>
      </c>
      <c r="F175" s="10" t="n">
        <f aca="false">IF(COUNT(Transf!F$39:F175)&lt;36,"",(Transf!F175-AVERAGE(Transf!F$39:F175))/STDEV(Transf!F$39:F175))</f>
        <v>1.87184748773727</v>
      </c>
      <c r="G175" s="10" t="n">
        <f aca="false">IF(COUNT(Transf!G$39:G175)&lt;36,"",(Transf!G175-AVERAGE(Transf!G$39:G175))/STDEV(Transf!G$39:G175))</f>
        <v>2.11202505043602</v>
      </c>
      <c r="H175" s="10" t="n">
        <f aca="false">IF(COUNT(Transf!H$39:H175)&lt;36,"",(Transf!H175-AVERAGE(Transf!H$39:H175))/STDEV(Transf!H$39:H175))</f>
        <v>1.86556838805891</v>
      </c>
      <c r="I175" s="10" t="n">
        <f aca="false">IF(COUNT(Transf!I$39:I175)&lt;36,"",(Transf!I175-AVERAGE(Transf!I$39:I175))/STDEV(Transf!I$39:I175))</f>
        <v>0.127379155220039</v>
      </c>
      <c r="J175" s="10" t="n">
        <f aca="false">IF(B175="","",IF(COUNT(B$74:B175)&lt;60,B175,MEDIAN(QUARTILE(B$74:B175,1)-1.5*(QUARTILE(B$74:B175,3)-QUARTILE(B$74:B175,1)),B175,QUARTILE(B$74:B175,3)+1.5*(QUARTILE(B$74:B175,3)-QUARTILE(B$74:B175,1)))))</f>
        <v>-0.0400949311430007</v>
      </c>
      <c r="K175" s="10" t="n">
        <f aca="false">IF(C175="","",IF(COUNT(C$74:C175)&lt;60,C175,MEDIAN(QUARTILE(C$74:C175,1)-1.5*(QUARTILE(C$74:C175,3)-QUARTILE(C$74:C175,1)),C175,QUARTILE(C$74:C175,3)+1.5*(QUARTILE(C$74:C175,3)-QUARTILE(C$74:C175,1)))))</f>
        <v>-0.577847247132965</v>
      </c>
      <c r="L175" s="10" t="n">
        <f aca="false">IF(D175="","",IF(COUNT(D$74:D175)&lt;60,D175,MEDIAN(QUARTILE(D$74:D175,1)-1.5*(QUARTILE(D$74:D175,3)-QUARTILE(D$74:D175,1)),D175,QUARTILE(D$74:D175,3)+1.5*(QUARTILE(D$74:D175,3)-QUARTILE(D$74:D175,1)))))</f>
        <v>-1.30769324965788</v>
      </c>
      <c r="M175" s="10" t="n">
        <f aca="false">IF(E175="","",IF(COUNT(E$74:E175)&lt;60,E175,MEDIAN(QUARTILE(E$74:E175,1)-1.5*(QUARTILE(E$74:E175,3)-QUARTILE(E$74:E175,1)),E175,QUARTILE(E$74:E175,3)+1.5*(QUARTILE(E$74:E175,3)-QUARTILE(E$74:E175,1)))))</f>
        <v>1.64248060887372</v>
      </c>
      <c r="N175" s="10" t="n">
        <f aca="false">IF(F175="","",IF(COUNT(F$74:F175)&lt;60,F175,MEDIAN(QUARTILE(F$74:F175,1)-1.5*(QUARTILE(F$74:F175,3)-QUARTILE(F$74:F175,1)),F175,QUARTILE(F$74:F175,3)+1.5*(QUARTILE(F$74:F175,3)-QUARTILE(F$74:F175,1)))))</f>
        <v>1.87184748773727</v>
      </c>
      <c r="O175" s="10" t="n">
        <f aca="false">IF(G175="","",IF(COUNT(G$74:G175)&lt;60,G175,MEDIAN(QUARTILE(G$74:G175,1)-1.5*(QUARTILE(G$74:G175,3)-QUARTILE(G$74:G175,1)),G175,QUARTILE(G$74:G175,3)+1.5*(QUARTILE(G$74:G175,3)-QUARTILE(G$74:G175,1)))))</f>
        <v>2.11202505043602</v>
      </c>
      <c r="P175" s="10" t="n">
        <f aca="false">IF(H175="","",IF(COUNT(H$74:H175)&lt;60,H175,MEDIAN(QUARTILE(H$74:H175,1)-1.5*(QUARTILE(H$74:H175,3)-QUARTILE(H$74:H175,1)),H175,QUARTILE(H$74:H175,3)+1.5*(QUARTILE(H$74:H175,3)-QUARTILE(H$74:H175,1)))))</f>
        <v>1.86556838805891</v>
      </c>
      <c r="Q175" s="10" t="n">
        <f aca="false">IF(I175="","",IF(COUNT(I$74:I175)&lt;60,I175,MEDIAN(QUARTILE(I$74:I175,1)-1.5*(QUARTILE(I$74:I175,3)-QUARTILE(I$74:I175,1)),I175,QUARTILE(I$74:I175,3)+1.5*(QUARTILE(I$74:I175,3)-QUARTILE(I$74:I175,1)))))</f>
        <v>0.127379155220039</v>
      </c>
      <c r="R175" s="10" t="n">
        <f aca="false">IF(J175="","",MEDIAN(J175:Q175))</f>
        <v>0.88492988204688</v>
      </c>
      <c r="S175" s="10" t="n">
        <f aca="false">IF(R175="","",ABS(R175))</f>
        <v>0.88492988204688</v>
      </c>
      <c r="T175" s="10" t="n">
        <f aca="false">IF(COUNT(S$74:S174)&lt;60,"",MEDIAN(S$74:S174))</f>
        <v>0.30982748474166</v>
      </c>
      <c r="U175" s="10" t="n">
        <f aca="false">IF(R175="","",IF(T175="",0,IF(S175&gt;=T175,R175,0)))</f>
        <v>0.88492988204688</v>
      </c>
      <c r="V175" s="10" t="n">
        <f aca="false">IF(U175="","",MEDIAN(-1,U175,1))</f>
        <v>0.88492988204688</v>
      </c>
      <c r="W175" s="10" t="n">
        <f aca="false">IF(J175="","",AVERAGE(J175:Q175))</f>
        <v>0.711708157799013</v>
      </c>
    </row>
    <row r="176" customFormat="false" ht="15" hidden="false" customHeight="false" outlineLevel="0" collapsed="false">
      <c r="A176" s="8" t="n">
        <f aca="false">Base!A176</f>
        <v>43312</v>
      </c>
      <c r="B176" s="10" t="n">
        <f aca="false">IF(COUNT(Transf!B$39:B176)&lt;36,"",(Transf!B176-AVERAGE(Transf!B$39:B176))/STDEV(Transf!B$39:B176))</f>
        <v>-0.128124913151291</v>
      </c>
      <c r="C176" s="10" t="n">
        <f aca="false">IF(COUNT(Transf!C$39:C176)&lt;36,"",(Transf!C176-AVERAGE(Transf!C$39:C176))/STDEV(Transf!C$39:C176))</f>
        <v>-0.712712268256542</v>
      </c>
      <c r="D176" s="10" t="n">
        <f aca="false">IF(COUNT(Transf!D$39:D176)&lt;36,"",(Transf!D176-AVERAGE(Transf!D$39:D176))/STDEV(Transf!D$39:D176))</f>
        <v>-1.46744899028775</v>
      </c>
      <c r="E176" s="10" t="n">
        <f aca="false">IF(COUNT(Transf!E$39:E176)&lt;36,"",(Transf!E176-AVERAGE(Transf!E$39:E176))/STDEV(Transf!E$39:E176))</f>
        <v>2.05337817935462</v>
      </c>
      <c r="F176" s="10" t="n">
        <f aca="false">IF(COUNT(Transf!F$39:F176)&lt;36,"",(Transf!F176-AVERAGE(Transf!F$39:F176))/STDEV(Transf!F$39:F176))</f>
        <v>1.44582698077484</v>
      </c>
      <c r="G176" s="10" t="n">
        <f aca="false">IF(COUNT(Transf!G$39:G176)&lt;36,"",(Transf!G176-AVERAGE(Transf!G$39:G176))/STDEV(Transf!G$39:G176))</f>
        <v>2.18910033547749</v>
      </c>
      <c r="H176" s="10" t="n">
        <f aca="false">IF(COUNT(Transf!H$39:H176)&lt;36,"",(Transf!H176-AVERAGE(Transf!H$39:H176))/STDEV(Transf!H$39:H176))</f>
        <v>1.7692539621158</v>
      </c>
      <c r="I176" s="10" t="n">
        <f aca="false">IF(COUNT(Transf!I$39:I176)&lt;36,"",(Transf!I176-AVERAGE(Transf!I$39:I176))/STDEV(Transf!I$39:I176))</f>
        <v>-0.13193200533505</v>
      </c>
      <c r="J176" s="10" t="n">
        <f aca="false">IF(B176="","",IF(COUNT(B$74:B176)&lt;60,B176,MEDIAN(QUARTILE(B$74:B176,1)-1.5*(QUARTILE(B$74:B176,3)-QUARTILE(B$74:B176,1)),B176,QUARTILE(B$74:B176,3)+1.5*(QUARTILE(B$74:B176,3)-QUARTILE(B$74:B176,1)))))</f>
        <v>-0.128124913151291</v>
      </c>
      <c r="K176" s="10" t="n">
        <f aca="false">IF(C176="","",IF(COUNT(C$74:C176)&lt;60,C176,MEDIAN(QUARTILE(C$74:C176,1)-1.5*(QUARTILE(C$74:C176,3)-QUARTILE(C$74:C176,1)),C176,QUARTILE(C$74:C176,3)+1.5*(QUARTILE(C$74:C176,3)-QUARTILE(C$74:C176,1)))))</f>
        <v>-0.712712268256542</v>
      </c>
      <c r="L176" s="10" t="n">
        <f aca="false">IF(D176="","",IF(COUNT(D$74:D176)&lt;60,D176,MEDIAN(QUARTILE(D$74:D176,1)-1.5*(QUARTILE(D$74:D176,3)-QUARTILE(D$74:D176,1)),D176,QUARTILE(D$74:D176,3)+1.5*(QUARTILE(D$74:D176,3)-QUARTILE(D$74:D176,1)))))</f>
        <v>-1.46744899028775</v>
      </c>
      <c r="M176" s="10" t="n">
        <f aca="false">IF(E176="","",IF(COUNT(E$74:E176)&lt;60,E176,MEDIAN(QUARTILE(E$74:E176,1)-1.5*(QUARTILE(E$74:E176,3)-QUARTILE(E$74:E176,1)),E176,QUARTILE(E$74:E176,3)+1.5*(QUARTILE(E$74:E176,3)-QUARTILE(E$74:E176,1)))))</f>
        <v>2.05337817935462</v>
      </c>
      <c r="N176" s="10" t="n">
        <f aca="false">IF(F176="","",IF(COUNT(F$74:F176)&lt;60,F176,MEDIAN(QUARTILE(F$74:F176,1)-1.5*(QUARTILE(F$74:F176,3)-QUARTILE(F$74:F176,1)),F176,QUARTILE(F$74:F176,3)+1.5*(QUARTILE(F$74:F176,3)-QUARTILE(F$74:F176,1)))))</f>
        <v>1.44582698077484</v>
      </c>
      <c r="O176" s="10" t="n">
        <f aca="false">IF(G176="","",IF(COUNT(G$74:G176)&lt;60,G176,MEDIAN(QUARTILE(G$74:G176,1)-1.5*(QUARTILE(G$74:G176,3)-QUARTILE(G$74:G176,1)),G176,QUARTILE(G$74:G176,3)+1.5*(QUARTILE(G$74:G176,3)-QUARTILE(G$74:G176,1)))))</f>
        <v>2.18910033547749</v>
      </c>
      <c r="P176" s="10" t="n">
        <f aca="false">IF(H176="","",IF(COUNT(H$74:H176)&lt;60,H176,MEDIAN(QUARTILE(H$74:H176,1)-1.5*(QUARTILE(H$74:H176,3)-QUARTILE(H$74:H176,1)),H176,QUARTILE(H$74:H176,3)+1.5*(QUARTILE(H$74:H176,3)-QUARTILE(H$74:H176,1)))))</f>
        <v>1.7692539621158</v>
      </c>
      <c r="Q176" s="10" t="n">
        <f aca="false">IF(I176="","",IF(COUNT(I$74:I176)&lt;60,I176,MEDIAN(QUARTILE(I$74:I176,1)-1.5*(QUARTILE(I$74:I176,3)-QUARTILE(I$74:I176,1)),I176,QUARTILE(I$74:I176,3)+1.5*(QUARTILE(I$74:I176,3)-QUARTILE(I$74:I176,1)))))</f>
        <v>-0.13193200533505</v>
      </c>
      <c r="R176" s="10" t="n">
        <f aca="false">IF(J176="","",MEDIAN(J176:Q176))</f>
        <v>0.658851033811776</v>
      </c>
      <c r="S176" s="10" t="n">
        <f aca="false">IF(R176="","",ABS(R176))</f>
        <v>0.658851033811776</v>
      </c>
      <c r="T176" s="10" t="n">
        <f aca="false">IF(COUNT(S$74:S175)&lt;60,"",MEDIAN(S$74:S175))</f>
        <v>0.326451209426089</v>
      </c>
      <c r="U176" s="10" t="n">
        <f aca="false">IF(R176="","",IF(T176="",0,IF(S176&gt;=T176,R176,0)))</f>
        <v>0.658851033811776</v>
      </c>
      <c r="V176" s="10" t="n">
        <f aca="false">IF(U176="","",MEDIAN(-1,U176,1))</f>
        <v>0.658851033811776</v>
      </c>
      <c r="W176" s="10" t="n">
        <f aca="false">IF(J176="","",AVERAGE(J176:Q176))</f>
        <v>0.627167660086515</v>
      </c>
    </row>
    <row r="177" customFormat="false" ht="15" hidden="false" customHeight="false" outlineLevel="0" collapsed="false">
      <c r="A177" s="8" t="n">
        <f aca="false">Base!A177</f>
        <v>43343</v>
      </c>
      <c r="B177" s="10" t="n">
        <f aca="false">IF(COUNT(Transf!B$39:B177)&lt;36,"",(Transf!B177-AVERAGE(Transf!B$39:B177))/STDEV(Transf!B$39:B177))</f>
        <v>-0.0271147790221178</v>
      </c>
      <c r="C177" s="10" t="n">
        <f aca="false">IF(COUNT(Transf!C$39:C177)&lt;36,"",(Transf!C177-AVERAGE(Transf!C$39:C177))/STDEV(Transf!C$39:C177))</f>
        <v>-0.444044132347054</v>
      </c>
      <c r="D177" s="10" t="n">
        <f aca="false">IF(COUNT(Transf!D$39:D177)&lt;36,"",(Transf!D177-AVERAGE(Transf!D$39:D177))/STDEV(Transf!D$39:D177))</f>
        <v>-1.24070663460333</v>
      </c>
      <c r="E177" s="10" t="n">
        <f aca="false">IF(COUNT(Transf!E$39:E177)&lt;36,"",(Transf!E177-AVERAGE(Transf!E$39:E177))/STDEV(Transf!E$39:E177))</f>
        <v>2.50988151556397</v>
      </c>
      <c r="F177" s="10" t="n">
        <f aca="false">IF(COUNT(Transf!F$39:F177)&lt;36,"",(Transf!F177-AVERAGE(Transf!F$39:F177))/STDEV(Transf!F$39:F177))</f>
        <v>1.37187494518526</v>
      </c>
      <c r="G177" s="10" t="n">
        <f aca="false">IF(COUNT(Transf!G$39:G177)&lt;36,"",(Transf!G177-AVERAGE(Transf!G$39:G177))/STDEV(Transf!G$39:G177))</f>
        <v>2.76175082671853</v>
      </c>
      <c r="H177" s="10" t="n">
        <f aca="false">IF(COUNT(Transf!H$39:H177)&lt;36,"",(Transf!H177-AVERAGE(Transf!H$39:H177))/STDEV(Transf!H$39:H177))</f>
        <v>1.6689182016919</v>
      </c>
      <c r="I177" s="10" t="n">
        <f aca="false">IF(COUNT(Transf!I$39:I177)&lt;36,"",(Transf!I177-AVERAGE(Transf!I$39:I177))/STDEV(Transf!I$39:I177))</f>
        <v>-0.567229125681975</v>
      </c>
      <c r="J177" s="10" t="n">
        <f aca="false">IF(B177="","",IF(COUNT(B$74:B177)&lt;60,B177,MEDIAN(QUARTILE(B$74:B177,1)-1.5*(QUARTILE(B$74:B177,3)-QUARTILE(B$74:B177,1)),B177,QUARTILE(B$74:B177,3)+1.5*(QUARTILE(B$74:B177,3)-QUARTILE(B$74:B177,1)))))</f>
        <v>-0.0271147790221178</v>
      </c>
      <c r="K177" s="10" t="n">
        <f aca="false">IF(C177="","",IF(COUNT(C$74:C177)&lt;60,C177,MEDIAN(QUARTILE(C$74:C177,1)-1.5*(QUARTILE(C$74:C177,3)-QUARTILE(C$74:C177,1)),C177,QUARTILE(C$74:C177,3)+1.5*(QUARTILE(C$74:C177,3)-QUARTILE(C$74:C177,1)))))</f>
        <v>-0.444044132347054</v>
      </c>
      <c r="L177" s="10" t="n">
        <f aca="false">IF(D177="","",IF(COUNT(D$74:D177)&lt;60,D177,MEDIAN(QUARTILE(D$74:D177,1)-1.5*(QUARTILE(D$74:D177,3)-QUARTILE(D$74:D177,1)),D177,QUARTILE(D$74:D177,3)+1.5*(QUARTILE(D$74:D177,3)-QUARTILE(D$74:D177,1)))))</f>
        <v>-1.24070663460333</v>
      </c>
      <c r="M177" s="10" t="n">
        <f aca="false">IF(E177="","",IF(COUNT(E$74:E177)&lt;60,E177,MEDIAN(QUARTILE(E$74:E177,1)-1.5*(QUARTILE(E$74:E177,3)-QUARTILE(E$74:E177,1)),E177,QUARTILE(E$74:E177,3)+1.5*(QUARTILE(E$74:E177,3)-QUARTILE(E$74:E177,1)))))</f>
        <v>2.50988151556397</v>
      </c>
      <c r="N177" s="10" t="n">
        <f aca="false">IF(F177="","",IF(COUNT(F$74:F177)&lt;60,F177,MEDIAN(QUARTILE(F$74:F177,1)-1.5*(QUARTILE(F$74:F177,3)-QUARTILE(F$74:F177,1)),F177,QUARTILE(F$74:F177,3)+1.5*(QUARTILE(F$74:F177,3)-QUARTILE(F$74:F177,1)))))</f>
        <v>1.37187494518526</v>
      </c>
      <c r="O177" s="10" t="n">
        <f aca="false">IF(G177="","",IF(COUNT(G$74:G177)&lt;60,G177,MEDIAN(QUARTILE(G$74:G177,1)-1.5*(QUARTILE(G$74:G177,3)-QUARTILE(G$74:G177,1)),G177,QUARTILE(G$74:G177,3)+1.5*(QUARTILE(G$74:G177,3)-QUARTILE(G$74:G177,1)))))</f>
        <v>2.76175082671853</v>
      </c>
      <c r="P177" s="10" t="n">
        <f aca="false">IF(H177="","",IF(COUNT(H$74:H177)&lt;60,H177,MEDIAN(QUARTILE(H$74:H177,1)-1.5*(QUARTILE(H$74:H177,3)-QUARTILE(H$74:H177,1)),H177,QUARTILE(H$74:H177,3)+1.5*(QUARTILE(H$74:H177,3)-QUARTILE(H$74:H177,1)))))</f>
        <v>1.6689182016919</v>
      </c>
      <c r="Q177" s="10" t="n">
        <f aca="false">IF(I177="","",IF(COUNT(I$74:I177)&lt;60,I177,MEDIAN(QUARTILE(I$74:I177,1)-1.5*(QUARTILE(I$74:I177,3)-QUARTILE(I$74:I177,1)),I177,QUARTILE(I$74:I177,3)+1.5*(QUARTILE(I$74:I177,3)-QUARTILE(I$74:I177,1)))))</f>
        <v>-0.567229125681975</v>
      </c>
      <c r="R177" s="10" t="n">
        <f aca="false">IF(J177="","",MEDIAN(J177:Q177))</f>
        <v>0.672380083081569</v>
      </c>
      <c r="S177" s="10" t="n">
        <f aca="false">IF(R177="","",ABS(R177))</f>
        <v>0.672380083081569</v>
      </c>
      <c r="T177" s="10" t="n">
        <f aca="false">IF(COUNT(S$74:S176)&lt;60,"",MEDIAN(S$74:S176))</f>
        <v>0.343074934110517</v>
      </c>
      <c r="U177" s="10" t="n">
        <f aca="false">IF(R177="","",IF(T177="",0,IF(S177&gt;=T177,R177,0)))</f>
        <v>0.672380083081569</v>
      </c>
      <c r="V177" s="10" t="n">
        <f aca="false">IF(U177="","",MEDIAN(-1,U177,1))</f>
        <v>0.672380083081569</v>
      </c>
      <c r="W177" s="10" t="n">
        <f aca="false">IF(J177="","",AVERAGE(J177:Q177))</f>
        <v>0.754166352188148</v>
      </c>
    </row>
    <row r="178" customFormat="false" ht="15" hidden="false" customHeight="false" outlineLevel="0" collapsed="false">
      <c r="A178" s="8" t="n">
        <f aca="false">Base!A178</f>
        <v>43373</v>
      </c>
      <c r="B178" s="10" t="n">
        <f aca="false">IF(COUNT(Transf!B$39:B178)&lt;36,"",(Transf!B178-AVERAGE(Transf!B$39:B178))/STDEV(Transf!B$39:B178))</f>
        <v>-0.0969276112122169</v>
      </c>
      <c r="C178" s="10" t="n">
        <f aca="false">IF(COUNT(Transf!C$39:C178)&lt;36,"",(Transf!C178-AVERAGE(Transf!C$39:C178))/STDEV(Transf!C$39:C178))</f>
        <v>-0.402011350724885</v>
      </c>
      <c r="D178" s="10" t="n">
        <f aca="false">IF(COUNT(Transf!D$39:D178)&lt;36,"",(Transf!D178-AVERAGE(Transf!D$39:D178))/STDEV(Transf!D$39:D178))</f>
        <v>-1.12866821395948</v>
      </c>
      <c r="E178" s="10" t="n">
        <f aca="false">IF(COUNT(Transf!E$39:E178)&lt;36,"",(Transf!E178-AVERAGE(Transf!E$39:E178))/STDEV(Transf!E$39:E178))</f>
        <v>3.15902402646769</v>
      </c>
      <c r="F178" s="10" t="n">
        <f aca="false">IF(COUNT(Transf!F$39:F178)&lt;36,"",(Transf!F178-AVERAGE(Transf!F$39:F178))/STDEV(Transf!F$39:F178))</f>
        <v>1.19044549778369</v>
      </c>
      <c r="G178" s="10" t="n">
        <f aca="false">IF(COUNT(Transf!G$39:G178)&lt;36,"",(Transf!G178-AVERAGE(Transf!G$39:G178))/STDEV(Transf!G$39:G178))</f>
        <v>3.33660411168363</v>
      </c>
      <c r="H178" s="10" t="n">
        <f aca="false">IF(COUNT(Transf!H$39:H178)&lt;36,"",(Transf!H178-AVERAGE(Transf!H$39:H178))/STDEV(Transf!H$39:H178))</f>
        <v>1.53377430883495</v>
      </c>
      <c r="I178" s="10" t="n">
        <f aca="false">IF(COUNT(Transf!I$39:I178)&lt;36,"",(Transf!I178-AVERAGE(Transf!I$39:I178))/STDEV(Transf!I$39:I178))</f>
        <v>-0.560595983398783</v>
      </c>
      <c r="J178" s="10" t="n">
        <f aca="false">IF(B178="","",IF(COUNT(B$74:B178)&lt;60,B178,MEDIAN(QUARTILE(B$74:B178,1)-1.5*(QUARTILE(B$74:B178,3)-QUARTILE(B$74:B178,1)),B178,QUARTILE(B$74:B178,3)+1.5*(QUARTILE(B$74:B178,3)-QUARTILE(B$74:B178,1)))))</f>
        <v>-0.0969276112122169</v>
      </c>
      <c r="K178" s="10" t="n">
        <f aca="false">IF(C178="","",IF(COUNT(C$74:C178)&lt;60,C178,MEDIAN(QUARTILE(C$74:C178,1)-1.5*(QUARTILE(C$74:C178,3)-QUARTILE(C$74:C178,1)),C178,QUARTILE(C$74:C178,3)+1.5*(QUARTILE(C$74:C178,3)-QUARTILE(C$74:C178,1)))))</f>
        <v>-0.402011350724885</v>
      </c>
      <c r="L178" s="10" t="n">
        <f aca="false">IF(D178="","",IF(COUNT(D$74:D178)&lt;60,D178,MEDIAN(QUARTILE(D$74:D178,1)-1.5*(QUARTILE(D$74:D178,3)-QUARTILE(D$74:D178,1)),D178,QUARTILE(D$74:D178,3)+1.5*(QUARTILE(D$74:D178,3)-QUARTILE(D$74:D178,1)))))</f>
        <v>-1.12866821395948</v>
      </c>
      <c r="M178" s="10" t="n">
        <f aca="false">IF(E178="","",IF(COUNT(E$74:E178)&lt;60,E178,MEDIAN(QUARTILE(E$74:E178,1)-1.5*(QUARTILE(E$74:E178,3)-QUARTILE(E$74:E178,1)),E178,QUARTILE(E$74:E178,3)+1.5*(QUARTILE(E$74:E178,3)-QUARTILE(E$74:E178,1)))))</f>
        <v>3.15902402646769</v>
      </c>
      <c r="N178" s="10" t="n">
        <f aca="false">IF(F178="","",IF(COUNT(F$74:F178)&lt;60,F178,MEDIAN(QUARTILE(F$74:F178,1)-1.5*(QUARTILE(F$74:F178,3)-QUARTILE(F$74:F178,1)),F178,QUARTILE(F$74:F178,3)+1.5*(QUARTILE(F$74:F178,3)-QUARTILE(F$74:F178,1)))))</f>
        <v>1.19044549778369</v>
      </c>
      <c r="O178" s="10" t="n">
        <f aca="false">IF(G178="","",IF(COUNT(G$74:G178)&lt;60,G178,MEDIAN(QUARTILE(G$74:G178,1)-1.5*(QUARTILE(G$74:G178,3)-QUARTILE(G$74:G178,1)),G178,QUARTILE(G$74:G178,3)+1.5*(QUARTILE(G$74:G178,3)-QUARTILE(G$74:G178,1)))))</f>
        <v>3.33660411168363</v>
      </c>
      <c r="P178" s="10" t="n">
        <f aca="false">IF(H178="","",IF(COUNT(H$74:H178)&lt;60,H178,MEDIAN(QUARTILE(H$74:H178,1)-1.5*(QUARTILE(H$74:H178,3)-QUARTILE(H$74:H178,1)),H178,QUARTILE(H$74:H178,3)+1.5*(QUARTILE(H$74:H178,3)-QUARTILE(H$74:H178,1)))))</f>
        <v>1.53377430883495</v>
      </c>
      <c r="Q178" s="10" t="n">
        <f aca="false">IF(I178="","",IF(COUNT(I$74:I178)&lt;60,I178,MEDIAN(QUARTILE(I$74:I178,1)-1.5*(QUARTILE(I$74:I178,3)-QUARTILE(I$74:I178,1)),I178,QUARTILE(I$74:I178,3)+1.5*(QUARTILE(I$74:I178,3)-QUARTILE(I$74:I178,1)))))</f>
        <v>-0.560595983398783</v>
      </c>
      <c r="R178" s="10" t="n">
        <f aca="false">IF(J178="","",MEDIAN(J178:Q178))</f>
        <v>0.546758943285735</v>
      </c>
      <c r="S178" s="10" t="n">
        <f aca="false">IF(R178="","",ABS(R178))</f>
        <v>0.546758943285735</v>
      </c>
      <c r="T178" s="10" t="n">
        <f aca="false">IF(COUNT(S$74:S177)&lt;60,"",MEDIAN(S$74:S177))</f>
        <v>0.343923113344169</v>
      </c>
      <c r="U178" s="10" t="n">
        <f aca="false">IF(R178="","",IF(T178="",0,IF(S178&gt;=T178,R178,0)))</f>
        <v>0.546758943285735</v>
      </c>
      <c r="V178" s="10" t="n">
        <f aca="false">IF(U178="","",MEDIAN(-1,U178,1))</f>
        <v>0.546758943285735</v>
      </c>
      <c r="W178" s="10" t="n">
        <f aca="false">IF(J178="","",AVERAGE(J178:Q178))</f>
        <v>0.878955598184325</v>
      </c>
    </row>
    <row r="179" customFormat="false" ht="15" hidden="false" customHeight="false" outlineLevel="0" collapsed="false">
      <c r="A179" s="8" t="n">
        <f aca="false">Base!A179</f>
        <v>43404</v>
      </c>
      <c r="B179" s="10" t="n">
        <f aca="false">IF(COUNT(Transf!B$39:B179)&lt;36,"",(Transf!B179-AVERAGE(Transf!B$39:B179))/STDEV(Transf!B$39:B179))</f>
        <v>-0.0882358136696358</v>
      </c>
      <c r="C179" s="10" t="n">
        <f aca="false">IF(COUNT(Transf!C$39:C179)&lt;36,"",(Transf!C179-AVERAGE(Transf!C$39:C179))/STDEV(Transf!C$39:C179))</f>
        <v>-0.479880751928082</v>
      </c>
      <c r="D179" s="10" t="n">
        <f aca="false">IF(COUNT(Transf!D$39:D179)&lt;36,"",(Transf!D179-AVERAGE(Transf!D$39:D179))/STDEV(Transf!D$39:D179))</f>
        <v>-1.1008811121704</v>
      </c>
      <c r="E179" s="10" t="n">
        <f aca="false">IF(COUNT(Transf!E$39:E179)&lt;36,"",(Transf!E179-AVERAGE(Transf!E$39:E179))/STDEV(Transf!E$39:E179))</f>
        <v>3.88938665881388</v>
      </c>
      <c r="F179" s="10" t="n">
        <f aca="false">IF(COUNT(Transf!F$39:F179)&lt;36,"",(Transf!F179-AVERAGE(Transf!F$39:F179))/STDEV(Transf!F$39:F179))</f>
        <v>1.15763108557234</v>
      </c>
      <c r="G179" s="10" t="n">
        <f aca="false">IF(COUNT(Transf!G$39:G179)&lt;36,"",(Transf!G179-AVERAGE(Transf!G$39:G179))/STDEV(Transf!G$39:G179))</f>
        <v>3.6408231908303</v>
      </c>
      <c r="H179" s="10" t="n">
        <f aca="false">IF(COUNT(Transf!H$39:H179)&lt;36,"",(Transf!H179-AVERAGE(Transf!H$39:H179))/STDEV(Transf!H$39:H179))</f>
        <v>1.25242297403161</v>
      </c>
      <c r="I179" s="10" t="n">
        <f aca="false">IF(COUNT(Transf!I$39:I179)&lt;36,"",(Transf!I179-AVERAGE(Transf!I$39:I179))/STDEV(Transf!I$39:I179))</f>
        <v>-0.689067178904882</v>
      </c>
      <c r="J179" s="10" t="n">
        <f aca="false">IF(B179="","",IF(COUNT(B$74:B179)&lt;60,B179,MEDIAN(QUARTILE(B$74:B179,1)-1.5*(QUARTILE(B$74:B179,3)-QUARTILE(B$74:B179,1)),B179,QUARTILE(B$74:B179,3)+1.5*(QUARTILE(B$74:B179,3)-QUARTILE(B$74:B179,1)))))</f>
        <v>-0.0882358136696358</v>
      </c>
      <c r="K179" s="10" t="n">
        <f aca="false">IF(C179="","",IF(COUNT(C$74:C179)&lt;60,C179,MEDIAN(QUARTILE(C$74:C179,1)-1.5*(QUARTILE(C$74:C179,3)-QUARTILE(C$74:C179,1)),C179,QUARTILE(C$74:C179,3)+1.5*(QUARTILE(C$74:C179,3)-QUARTILE(C$74:C179,1)))))</f>
        <v>-0.479880751928082</v>
      </c>
      <c r="L179" s="10" t="n">
        <f aca="false">IF(D179="","",IF(COUNT(D$74:D179)&lt;60,D179,MEDIAN(QUARTILE(D$74:D179,1)-1.5*(QUARTILE(D$74:D179,3)-QUARTILE(D$74:D179,1)),D179,QUARTILE(D$74:D179,3)+1.5*(QUARTILE(D$74:D179,3)-QUARTILE(D$74:D179,1)))))</f>
        <v>-1.1008811121704</v>
      </c>
      <c r="M179" s="10" t="n">
        <f aca="false">IF(E179="","",IF(COUNT(E$74:E179)&lt;60,E179,MEDIAN(QUARTILE(E$74:E179,1)-1.5*(QUARTILE(E$74:E179,3)-QUARTILE(E$74:E179,1)),E179,QUARTILE(E$74:E179,3)+1.5*(QUARTILE(E$74:E179,3)-QUARTILE(E$74:E179,1)))))</f>
        <v>3.88938665881388</v>
      </c>
      <c r="N179" s="10" t="n">
        <f aca="false">IF(F179="","",IF(COUNT(F$74:F179)&lt;60,F179,MEDIAN(QUARTILE(F$74:F179,1)-1.5*(QUARTILE(F$74:F179,3)-QUARTILE(F$74:F179,1)),F179,QUARTILE(F$74:F179,3)+1.5*(QUARTILE(F$74:F179,3)-QUARTILE(F$74:F179,1)))))</f>
        <v>1.15763108557234</v>
      </c>
      <c r="O179" s="10" t="n">
        <f aca="false">IF(G179="","",IF(COUNT(G$74:G179)&lt;60,G179,MEDIAN(QUARTILE(G$74:G179,1)-1.5*(QUARTILE(G$74:G179,3)-QUARTILE(G$74:G179,1)),G179,QUARTILE(G$74:G179,3)+1.5*(QUARTILE(G$74:G179,3)-QUARTILE(G$74:G179,1)))))</f>
        <v>3.6408231908303</v>
      </c>
      <c r="P179" s="10" t="n">
        <f aca="false">IF(H179="","",IF(COUNT(H$74:H179)&lt;60,H179,MEDIAN(QUARTILE(H$74:H179,1)-1.5*(QUARTILE(H$74:H179,3)-QUARTILE(H$74:H179,1)),H179,QUARTILE(H$74:H179,3)+1.5*(QUARTILE(H$74:H179,3)-QUARTILE(H$74:H179,1)))))</f>
        <v>1.25242297403161</v>
      </c>
      <c r="Q179" s="10" t="n">
        <f aca="false">IF(I179="","",IF(COUNT(I$74:I179)&lt;60,I179,MEDIAN(QUARTILE(I$74:I179,1)-1.5*(QUARTILE(I$74:I179,3)-QUARTILE(I$74:I179,1)),I179,QUARTILE(I$74:I179,3)+1.5*(QUARTILE(I$74:I179,3)-QUARTILE(I$74:I179,1)))))</f>
        <v>-0.689067178904882</v>
      </c>
      <c r="R179" s="10" t="n">
        <f aca="false">IF(J179="","",MEDIAN(J179:Q179))</f>
        <v>0.534697635951352</v>
      </c>
      <c r="S179" s="10" t="n">
        <f aca="false">IF(R179="","",ABS(R179))</f>
        <v>0.534697635951352</v>
      </c>
      <c r="T179" s="10" t="n">
        <f aca="false">IF(COUNT(S$74:S178)&lt;60,"",MEDIAN(S$74:S178))</f>
        <v>0.34477129257782</v>
      </c>
      <c r="U179" s="10" t="n">
        <f aca="false">IF(R179="","",IF(T179="",0,IF(S179&gt;=T179,R179,0)))</f>
        <v>0.534697635951352</v>
      </c>
      <c r="V179" s="10" t="n">
        <f aca="false">IF(U179="","",MEDIAN(-1,U179,1))</f>
        <v>0.534697635951352</v>
      </c>
      <c r="W179" s="10" t="n">
        <f aca="false">IF(J179="","",AVERAGE(J179:Q179))</f>
        <v>0.947774881571891</v>
      </c>
    </row>
    <row r="180" customFormat="false" ht="15" hidden="false" customHeight="false" outlineLevel="0" collapsed="false">
      <c r="A180" s="8" t="n">
        <f aca="false">Base!A180</f>
        <v>43434</v>
      </c>
      <c r="B180" s="10" t="n">
        <f aca="false">IF(COUNT(Transf!B$39:B180)&lt;36,"",(Transf!B180-AVERAGE(Transf!B$39:B180))/STDEV(Transf!B$39:B180))</f>
        <v>0.230159066080894</v>
      </c>
      <c r="C180" s="10" t="n">
        <f aca="false">IF(COUNT(Transf!C$39:C180)&lt;36,"",(Transf!C180-AVERAGE(Transf!C$39:C180))/STDEV(Transf!C$39:C180))</f>
        <v>-0.843487701588919</v>
      </c>
      <c r="D180" s="10" t="n">
        <f aca="false">IF(COUNT(Transf!D$39:D180)&lt;36,"",(Transf!D180-AVERAGE(Transf!D$39:D180))/STDEV(Transf!D$39:D180))</f>
        <v>-1.26500776597353</v>
      </c>
      <c r="E180" s="10" t="n">
        <f aca="false">IF(COUNT(Transf!E$39:E180)&lt;36,"",(Transf!E180-AVERAGE(Transf!E$39:E180))/STDEV(Transf!E$39:E180))</f>
        <v>4.32578725487528</v>
      </c>
      <c r="F180" s="10" t="n">
        <f aca="false">IF(COUNT(Transf!F$39:F180)&lt;36,"",(Transf!F180-AVERAGE(Transf!F$39:F180))/STDEV(Transf!F$39:F180))</f>
        <v>1.06418189181699</v>
      </c>
      <c r="G180" s="10" t="n">
        <f aca="false">IF(COUNT(Transf!G$39:G180)&lt;36,"",(Transf!G180-AVERAGE(Transf!G$39:G180))/STDEV(Transf!G$39:G180))</f>
        <v>3.31532622030067</v>
      </c>
      <c r="H180" s="10" t="n">
        <f aca="false">IF(COUNT(Transf!H$39:H180)&lt;36,"",(Transf!H180-AVERAGE(Transf!H$39:H180))/STDEV(Transf!H$39:H180))</f>
        <v>0.942023081801017</v>
      </c>
      <c r="I180" s="10" t="n">
        <f aca="false">IF(COUNT(Transf!I$39:I180)&lt;36,"",(Transf!I180-AVERAGE(Transf!I$39:I180))/STDEV(Transf!I$39:I180))</f>
        <v>-0.595835173819383</v>
      </c>
      <c r="J180" s="10" t="n">
        <f aca="false">IF(B180="","",IF(COUNT(B$74:B180)&lt;60,B180,MEDIAN(QUARTILE(B$74:B180,1)-1.5*(QUARTILE(B$74:B180,3)-QUARTILE(B$74:B180,1)),B180,QUARTILE(B$74:B180,3)+1.5*(QUARTILE(B$74:B180,3)-QUARTILE(B$74:B180,1)))))</f>
        <v>0.230159066080894</v>
      </c>
      <c r="K180" s="10" t="n">
        <f aca="false">IF(C180="","",IF(COUNT(C$74:C180)&lt;60,C180,MEDIAN(QUARTILE(C$74:C180,1)-1.5*(QUARTILE(C$74:C180,3)-QUARTILE(C$74:C180,1)),C180,QUARTILE(C$74:C180,3)+1.5*(QUARTILE(C$74:C180,3)-QUARTILE(C$74:C180,1)))))</f>
        <v>-0.843487701588919</v>
      </c>
      <c r="L180" s="10" t="n">
        <f aca="false">IF(D180="","",IF(COUNT(D$74:D180)&lt;60,D180,MEDIAN(QUARTILE(D$74:D180,1)-1.5*(QUARTILE(D$74:D180,3)-QUARTILE(D$74:D180,1)),D180,QUARTILE(D$74:D180,3)+1.5*(QUARTILE(D$74:D180,3)-QUARTILE(D$74:D180,1)))))</f>
        <v>-1.26500776597353</v>
      </c>
      <c r="M180" s="10" t="n">
        <f aca="false">IF(E180="","",IF(COUNT(E$74:E180)&lt;60,E180,MEDIAN(QUARTILE(E$74:E180,1)-1.5*(QUARTILE(E$74:E180,3)-QUARTILE(E$74:E180,1)),E180,QUARTILE(E$74:E180,3)+1.5*(QUARTILE(E$74:E180,3)-QUARTILE(E$74:E180,1)))))</f>
        <v>4.07866949557734</v>
      </c>
      <c r="N180" s="10" t="n">
        <f aca="false">IF(F180="","",IF(COUNT(F$74:F180)&lt;60,F180,MEDIAN(QUARTILE(F$74:F180,1)-1.5*(QUARTILE(F$74:F180,3)-QUARTILE(F$74:F180,1)),F180,QUARTILE(F$74:F180,3)+1.5*(QUARTILE(F$74:F180,3)-QUARTILE(F$74:F180,1)))))</f>
        <v>1.06418189181699</v>
      </c>
      <c r="O180" s="10" t="n">
        <f aca="false">IF(G180="","",IF(COUNT(G$74:G180)&lt;60,G180,MEDIAN(QUARTILE(G$74:G180,1)-1.5*(QUARTILE(G$74:G180,3)-QUARTILE(G$74:G180,1)),G180,QUARTILE(G$74:G180,3)+1.5*(QUARTILE(G$74:G180,3)-QUARTILE(G$74:G180,1)))))</f>
        <v>3.31532622030067</v>
      </c>
      <c r="P180" s="10" t="n">
        <f aca="false">IF(H180="","",IF(COUNT(H$74:H180)&lt;60,H180,MEDIAN(QUARTILE(H$74:H180,1)-1.5*(QUARTILE(H$74:H180,3)-QUARTILE(H$74:H180,1)),H180,QUARTILE(H$74:H180,3)+1.5*(QUARTILE(H$74:H180,3)-QUARTILE(H$74:H180,1)))))</f>
        <v>0.942023081801017</v>
      </c>
      <c r="Q180" s="10" t="n">
        <f aca="false">IF(I180="","",IF(COUNT(I$74:I180)&lt;60,I180,MEDIAN(QUARTILE(I$74:I180,1)-1.5*(QUARTILE(I$74:I180,3)-QUARTILE(I$74:I180,1)),I180,QUARTILE(I$74:I180,3)+1.5*(QUARTILE(I$74:I180,3)-QUARTILE(I$74:I180,1)))))</f>
        <v>-0.595835173819383</v>
      </c>
      <c r="R180" s="10" t="n">
        <f aca="false">IF(J180="","",MEDIAN(J180:Q180))</f>
        <v>0.586091073940956</v>
      </c>
      <c r="S180" s="10" t="n">
        <f aca="false">IF(R180="","",ABS(R180))</f>
        <v>0.586091073940956</v>
      </c>
      <c r="T180" s="10" t="n">
        <f aca="false">IF(COUNT(S$74:S179)&lt;60,"",MEDIAN(S$74:S179))</f>
        <v>0.348290140011821</v>
      </c>
      <c r="U180" s="10" t="n">
        <f aca="false">IF(R180="","",IF(T180="",0,IF(S180&gt;=T180,R180,0)))</f>
        <v>0.586091073940956</v>
      </c>
      <c r="V180" s="10" t="n">
        <f aca="false">IF(U180="","",MEDIAN(-1,U180,1))</f>
        <v>0.586091073940956</v>
      </c>
      <c r="W180" s="10" t="n">
        <f aca="false">IF(J180="","",AVERAGE(J180:Q180))</f>
        <v>0.865753639274385</v>
      </c>
    </row>
    <row r="181" customFormat="false" ht="15" hidden="false" customHeight="false" outlineLevel="0" collapsed="false">
      <c r="A181" s="8" t="n">
        <f aca="false">Base!A181</f>
        <v>43465</v>
      </c>
      <c r="B181" s="10" t="n">
        <f aca="false">IF(COUNT(Transf!B$39:B181)&lt;36,"",(Transf!B181-AVERAGE(Transf!B$39:B181))/STDEV(Transf!B$39:B181))</f>
        <v>0.646060388775785</v>
      </c>
      <c r="C181" s="10" t="n">
        <f aca="false">IF(COUNT(Transf!C$39:C181)&lt;36,"",(Transf!C181-AVERAGE(Transf!C$39:C181))/STDEV(Transf!C$39:C181))</f>
        <v>-0.904189225613419</v>
      </c>
      <c r="D181" s="10" t="n">
        <f aca="false">IF(COUNT(Transf!D$39:D181)&lt;36,"",(Transf!D181-AVERAGE(Transf!D$39:D181))/STDEV(Transf!D$39:D181))</f>
        <v>-1.1981632120694</v>
      </c>
      <c r="E181" s="10" t="n">
        <f aca="false">IF(COUNT(Transf!E$39:E181)&lt;36,"",(Transf!E181-AVERAGE(Transf!E$39:E181))/STDEV(Transf!E$39:E181))</f>
        <v>4.24369843912512</v>
      </c>
      <c r="F181" s="10" t="n">
        <f aca="false">IF(COUNT(Transf!F$39:F181)&lt;36,"",(Transf!F181-AVERAGE(Transf!F$39:F181))/STDEV(Transf!F$39:F181))</f>
        <v>1.02454735722345</v>
      </c>
      <c r="G181" s="10" t="n">
        <f aca="false">IF(COUNT(Transf!G$39:G181)&lt;36,"",(Transf!G181-AVERAGE(Transf!G$39:G181))/STDEV(Transf!G$39:G181))</f>
        <v>2.55018933857036</v>
      </c>
      <c r="H181" s="10" t="n">
        <f aca="false">IF(COUNT(Transf!H$39:H181)&lt;36,"",(Transf!H181-AVERAGE(Transf!H$39:H181))/STDEV(Transf!H$39:H181))</f>
        <v>0.41812484554348</v>
      </c>
      <c r="I181" s="10" t="n">
        <f aca="false">IF(COUNT(Transf!I$39:I181)&lt;36,"",(Transf!I181-AVERAGE(Transf!I$39:I181))/STDEV(Transf!I$39:I181))</f>
        <v>-0.720898167258955</v>
      </c>
      <c r="J181" s="10" t="n">
        <f aca="false">IF(B181="","",IF(COUNT(B$74:B181)&lt;60,B181,MEDIAN(QUARTILE(B$74:B181,1)-1.5*(QUARTILE(B$74:B181,3)-QUARTILE(B$74:B181,1)),B181,QUARTILE(B$74:B181,3)+1.5*(QUARTILE(B$74:B181,3)-QUARTILE(B$74:B181,1)))))</f>
        <v>0.646060388775785</v>
      </c>
      <c r="K181" s="10" t="n">
        <f aca="false">IF(C181="","",IF(COUNT(C$74:C181)&lt;60,C181,MEDIAN(QUARTILE(C$74:C181,1)-1.5*(QUARTILE(C$74:C181,3)-QUARTILE(C$74:C181,1)),C181,QUARTILE(C$74:C181,3)+1.5*(QUARTILE(C$74:C181,3)-QUARTILE(C$74:C181,1)))))</f>
        <v>-0.904189225613419</v>
      </c>
      <c r="L181" s="10" t="n">
        <f aca="false">IF(D181="","",IF(COUNT(D$74:D181)&lt;60,D181,MEDIAN(QUARTILE(D$74:D181,1)-1.5*(QUARTILE(D$74:D181,3)-QUARTILE(D$74:D181,1)),D181,QUARTILE(D$74:D181,3)+1.5*(QUARTILE(D$74:D181,3)-QUARTILE(D$74:D181,1)))))</f>
        <v>-1.1981632120694</v>
      </c>
      <c r="M181" s="10" t="n">
        <f aca="false">IF(E181="","",IF(COUNT(E$74:E181)&lt;60,E181,MEDIAN(QUARTILE(E$74:E181,1)-1.5*(QUARTILE(E$74:E181,3)-QUARTILE(E$74:E181,1)),E181,QUARTILE(E$74:E181,3)+1.5*(QUARTILE(E$74:E181,3)-QUARTILE(E$74:E181,1)))))</f>
        <v>4.24369843912512</v>
      </c>
      <c r="N181" s="10" t="n">
        <f aca="false">IF(F181="","",IF(COUNT(F$74:F181)&lt;60,F181,MEDIAN(QUARTILE(F$74:F181,1)-1.5*(QUARTILE(F$74:F181,3)-QUARTILE(F$74:F181,1)),F181,QUARTILE(F$74:F181,3)+1.5*(QUARTILE(F$74:F181,3)-QUARTILE(F$74:F181,1)))))</f>
        <v>1.02454735722345</v>
      </c>
      <c r="O181" s="10" t="n">
        <f aca="false">IF(G181="","",IF(COUNT(G$74:G181)&lt;60,G181,MEDIAN(QUARTILE(G$74:G181,1)-1.5*(QUARTILE(G$74:G181,3)-QUARTILE(G$74:G181,1)),G181,QUARTILE(G$74:G181,3)+1.5*(QUARTILE(G$74:G181,3)-QUARTILE(G$74:G181,1)))))</f>
        <v>2.55018933857036</v>
      </c>
      <c r="P181" s="10" t="n">
        <f aca="false">IF(H181="","",IF(COUNT(H$74:H181)&lt;60,H181,MEDIAN(QUARTILE(H$74:H181,1)-1.5*(QUARTILE(H$74:H181,3)-QUARTILE(H$74:H181,1)),H181,QUARTILE(H$74:H181,3)+1.5*(QUARTILE(H$74:H181,3)-QUARTILE(H$74:H181,1)))))</f>
        <v>0.41812484554348</v>
      </c>
      <c r="Q181" s="10" t="n">
        <f aca="false">IF(I181="","",IF(COUNT(I$74:I181)&lt;60,I181,MEDIAN(QUARTILE(I$74:I181,1)-1.5*(QUARTILE(I$74:I181,3)-QUARTILE(I$74:I181,1)),I181,QUARTILE(I$74:I181,3)+1.5*(QUARTILE(I$74:I181,3)-QUARTILE(I$74:I181,1)))))</f>
        <v>-0.720898167258955</v>
      </c>
      <c r="R181" s="10" t="n">
        <f aca="false">IF(J181="","",MEDIAN(J181:Q181))</f>
        <v>0.532092617159633</v>
      </c>
      <c r="S181" s="10" t="n">
        <f aca="false">IF(R181="","",ABS(R181))</f>
        <v>0.532092617159633</v>
      </c>
      <c r="T181" s="10" t="n">
        <f aca="false">IF(COUNT(S$74:S180)&lt;60,"",MEDIAN(S$74:S180))</f>
        <v>0.351808987445821</v>
      </c>
      <c r="U181" s="10" t="n">
        <f aca="false">IF(R181="","",IF(T181="",0,IF(S181&gt;=T181,R181,0)))</f>
        <v>0.532092617159633</v>
      </c>
      <c r="V181" s="10" t="n">
        <f aca="false">IF(U181="","",MEDIAN(-1,U181,1))</f>
        <v>0.532092617159633</v>
      </c>
      <c r="W181" s="10" t="n">
        <f aca="false">IF(J181="","",AVERAGE(J181:Q181))</f>
        <v>0.757421220537051</v>
      </c>
    </row>
    <row r="182" customFormat="false" ht="15" hidden="false" customHeight="false" outlineLevel="0" collapsed="false">
      <c r="A182" s="8" t="n">
        <f aca="false">Base!A182</f>
        <v>43496</v>
      </c>
      <c r="B182" s="10" t="n">
        <f aca="false">IF(COUNT(Transf!B$39:B182)&lt;36,"",(Transf!B182-AVERAGE(Transf!B$39:B182))/STDEV(Transf!B$39:B182))</f>
        <v>0.513705892615927</v>
      </c>
      <c r="C182" s="10" t="n">
        <f aca="false">IF(COUNT(Transf!C$39:C182)&lt;36,"",(Transf!C182-AVERAGE(Transf!C$39:C182))/STDEV(Transf!C$39:C182))</f>
        <v>-0.96420534192754</v>
      </c>
      <c r="D182" s="10" t="n">
        <f aca="false">IF(COUNT(Transf!D$39:D182)&lt;36,"",(Transf!D182-AVERAGE(Transf!D$39:D182))/STDEV(Transf!D$39:D182))</f>
        <v>-1.31404961249694</v>
      </c>
      <c r="E182" s="10" t="n">
        <f aca="false">IF(COUNT(Transf!E$39:E182)&lt;36,"",(Transf!E182-AVERAGE(Transf!E$39:E182))/STDEV(Transf!E$39:E182))</f>
        <v>3.93225959655407</v>
      </c>
      <c r="F182" s="10" t="n">
        <f aca="false">IF(COUNT(Transf!F$39:F182)&lt;36,"",(Transf!F182-AVERAGE(Transf!F$39:F182))/STDEV(Transf!F$39:F182))</f>
        <v>1.19888375757798</v>
      </c>
      <c r="G182" s="10" t="n">
        <f aca="false">IF(COUNT(Transf!G$39:G182)&lt;36,"",(Transf!G182-AVERAGE(Transf!G$39:G182))/STDEV(Transf!G$39:G182))</f>
        <v>2.18023427806877</v>
      </c>
      <c r="H182" s="10" t="n">
        <f aca="false">IF(COUNT(Transf!H$39:H182)&lt;36,"",(Transf!H182-AVERAGE(Transf!H$39:H182))/STDEV(Transf!H$39:H182))</f>
        <v>0.0218499171288664</v>
      </c>
      <c r="I182" s="10" t="n">
        <f aca="false">IF(COUNT(Transf!I$39:I182)&lt;36,"",(Transf!I182-AVERAGE(Transf!I$39:I182))/STDEV(Transf!I$39:I182))</f>
        <v>-0.772895189599947</v>
      </c>
      <c r="J182" s="10" t="n">
        <f aca="false">IF(B182="","",IF(COUNT(B$74:B182)&lt;60,B182,MEDIAN(QUARTILE(B$74:B182,1)-1.5*(QUARTILE(B$74:B182,3)-QUARTILE(B$74:B182,1)),B182,QUARTILE(B$74:B182,3)+1.5*(QUARTILE(B$74:B182,3)-QUARTILE(B$74:B182,1)))))</f>
        <v>0.513705892615927</v>
      </c>
      <c r="K182" s="10" t="n">
        <f aca="false">IF(C182="","",IF(COUNT(C$74:C182)&lt;60,C182,MEDIAN(QUARTILE(C$74:C182,1)-1.5*(QUARTILE(C$74:C182,3)-QUARTILE(C$74:C182,1)),C182,QUARTILE(C$74:C182,3)+1.5*(QUARTILE(C$74:C182,3)-QUARTILE(C$74:C182,1)))))</f>
        <v>-0.96420534192754</v>
      </c>
      <c r="L182" s="10" t="n">
        <f aca="false">IF(D182="","",IF(COUNT(D$74:D182)&lt;60,D182,MEDIAN(QUARTILE(D$74:D182,1)-1.5*(QUARTILE(D$74:D182,3)-QUARTILE(D$74:D182,1)),D182,QUARTILE(D$74:D182,3)+1.5*(QUARTILE(D$74:D182,3)-QUARTILE(D$74:D182,1)))))</f>
        <v>-1.31404961249694</v>
      </c>
      <c r="M182" s="10" t="n">
        <f aca="false">IF(E182="","",IF(COUNT(E$74:E182)&lt;60,E182,MEDIAN(QUARTILE(E$74:E182,1)-1.5*(QUARTILE(E$74:E182,3)-QUARTILE(E$74:E182,1)),E182,QUARTILE(E$74:E182,3)+1.5*(QUARTILE(E$74:E182,3)-QUARTILE(E$74:E182,1)))))</f>
        <v>3.93225959655407</v>
      </c>
      <c r="N182" s="10" t="n">
        <f aca="false">IF(F182="","",IF(COUNT(F$74:F182)&lt;60,F182,MEDIAN(QUARTILE(F$74:F182,1)-1.5*(QUARTILE(F$74:F182,3)-QUARTILE(F$74:F182,1)),F182,QUARTILE(F$74:F182,3)+1.5*(QUARTILE(F$74:F182,3)-QUARTILE(F$74:F182,1)))))</f>
        <v>1.19888375757798</v>
      </c>
      <c r="O182" s="10" t="n">
        <f aca="false">IF(G182="","",IF(COUNT(G$74:G182)&lt;60,G182,MEDIAN(QUARTILE(G$74:G182,1)-1.5*(QUARTILE(G$74:G182,3)-QUARTILE(G$74:G182,1)),G182,QUARTILE(G$74:G182,3)+1.5*(QUARTILE(G$74:G182,3)-QUARTILE(G$74:G182,1)))))</f>
        <v>2.18023427806877</v>
      </c>
      <c r="P182" s="10" t="n">
        <f aca="false">IF(H182="","",IF(COUNT(H$74:H182)&lt;60,H182,MEDIAN(QUARTILE(H$74:H182,1)-1.5*(QUARTILE(H$74:H182,3)-QUARTILE(H$74:H182,1)),H182,QUARTILE(H$74:H182,3)+1.5*(QUARTILE(H$74:H182,3)-QUARTILE(H$74:H182,1)))))</f>
        <v>0.0218499171288664</v>
      </c>
      <c r="Q182" s="10" t="n">
        <f aca="false">IF(I182="","",IF(COUNT(I$74:I182)&lt;60,I182,MEDIAN(QUARTILE(I$74:I182,1)-1.5*(QUARTILE(I$74:I182,3)-QUARTILE(I$74:I182,1)),I182,QUARTILE(I$74:I182,3)+1.5*(QUARTILE(I$74:I182,3)-QUARTILE(I$74:I182,1)))))</f>
        <v>-0.772895189599947</v>
      </c>
      <c r="R182" s="10" t="n">
        <f aca="false">IF(J182="","",MEDIAN(J182:Q182))</f>
        <v>0.267777904872397</v>
      </c>
      <c r="S182" s="10" t="n">
        <f aca="false">IF(R182="","",ABS(R182))</f>
        <v>0.267777904872397</v>
      </c>
      <c r="T182" s="10" t="n">
        <f aca="false">IF(COUNT(S$74:S181)&lt;60,"",MEDIAN(S$74:S181))</f>
        <v>0.353827211240097</v>
      </c>
      <c r="U182" s="10" t="n">
        <f aca="false">IF(R182="","",IF(T182="",0,IF(S182&gt;=T182,R182,0)))</f>
        <v>0</v>
      </c>
      <c r="V182" s="10" t="n">
        <f aca="false">IF(U182="","",MEDIAN(-1,U182,1))</f>
        <v>0</v>
      </c>
      <c r="W182" s="10" t="n">
        <f aca="false">IF(J182="","",AVERAGE(J182:Q182))</f>
        <v>0.599472912240149</v>
      </c>
    </row>
    <row r="183" customFormat="false" ht="15" hidden="false" customHeight="false" outlineLevel="0" collapsed="false">
      <c r="A183" s="8" t="n">
        <f aca="false">Base!A183</f>
        <v>43524</v>
      </c>
      <c r="B183" s="10" t="n">
        <f aca="false">IF(COUNT(Transf!B$39:B183)&lt;36,"",(Transf!B183-AVERAGE(Transf!B$39:B183))/STDEV(Transf!B$39:B183))</f>
        <v>0.295564461303366</v>
      </c>
      <c r="C183" s="10" t="n">
        <f aca="false">IF(COUNT(Transf!C$39:C183)&lt;36,"",(Transf!C183-AVERAGE(Transf!C$39:C183))/STDEV(Transf!C$39:C183))</f>
        <v>-0.751050499200198</v>
      </c>
      <c r="D183" s="10" t="n">
        <f aca="false">IF(COUNT(Transf!D$39:D183)&lt;36,"",(Transf!D183-AVERAGE(Transf!D$39:D183))/STDEV(Transf!D$39:D183))</f>
        <v>-1.12892706382598</v>
      </c>
      <c r="E183" s="10" t="n">
        <f aca="false">IF(COUNT(Transf!E$39:E183)&lt;36,"",(Transf!E183-AVERAGE(Transf!E$39:E183))/STDEV(Transf!E$39:E183))</f>
        <v>3.59301487835822</v>
      </c>
      <c r="F183" s="10" t="n">
        <f aca="false">IF(COUNT(Transf!F$39:F183)&lt;36,"",(Transf!F183-AVERAGE(Transf!F$39:F183))/STDEV(Transf!F$39:F183))</f>
        <v>1.09921471340927</v>
      </c>
      <c r="G183" s="10" t="n">
        <f aca="false">IF(COUNT(Transf!G$39:G183)&lt;36,"",(Transf!G183-AVERAGE(Transf!G$39:G183))/STDEV(Transf!G$39:G183))</f>
        <v>1.75566177049327</v>
      </c>
      <c r="H183" s="10" t="n">
        <f aca="false">IF(COUNT(Transf!H$39:H183)&lt;36,"",(Transf!H183-AVERAGE(Transf!H$39:H183))/STDEV(Transf!H$39:H183))</f>
        <v>-0.210993886110182</v>
      </c>
      <c r="I183" s="10" t="n">
        <f aca="false">IF(COUNT(Transf!I$39:I183)&lt;36,"",(Transf!I183-AVERAGE(Transf!I$39:I183))/STDEV(Transf!I$39:I183))</f>
        <v>-0.604406438965736</v>
      </c>
      <c r="J183" s="10" t="n">
        <f aca="false">IF(B183="","",IF(COUNT(B$74:B183)&lt;60,B183,MEDIAN(QUARTILE(B$74:B183,1)-1.5*(QUARTILE(B$74:B183,3)-QUARTILE(B$74:B183,1)),B183,QUARTILE(B$74:B183,3)+1.5*(QUARTILE(B$74:B183,3)-QUARTILE(B$74:B183,1)))))</f>
        <v>0.295564461303366</v>
      </c>
      <c r="K183" s="10" t="n">
        <f aca="false">IF(C183="","",IF(COUNT(C$74:C183)&lt;60,C183,MEDIAN(QUARTILE(C$74:C183,1)-1.5*(QUARTILE(C$74:C183,3)-QUARTILE(C$74:C183,1)),C183,QUARTILE(C$74:C183,3)+1.5*(QUARTILE(C$74:C183,3)-QUARTILE(C$74:C183,1)))))</f>
        <v>-0.751050499200198</v>
      </c>
      <c r="L183" s="10" t="n">
        <f aca="false">IF(D183="","",IF(COUNT(D$74:D183)&lt;60,D183,MEDIAN(QUARTILE(D$74:D183,1)-1.5*(QUARTILE(D$74:D183,3)-QUARTILE(D$74:D183,1)),D183,QUARTILE(D$74:D183,3)+1.5*(QUARTILE(D$74:D183,3)-QUARTILE(D$74:D183,1)))))</f>
        <v>-1.12892706382598</v>
      </c>
      <c r="M183" s="10" t="n">
        <f aca="false">IF(E183="","",IF(COUNT(E$74:E183)&lt;60,E183,MEDIAN(QUARTILE(E$74:E183,1)-1.5*(QUARTILE(E$74:E183,3)-QUARTILE(E$74:E183,1)),E183,QUARTILE(E$74:E183,3)+1.5*(QUARTILE(E$74:E183,3)-QUARTILE(E$74:E183,1)))))</f>
        <v>3.59301487835822</v>
      </c>
      <c r="N183" s="10" t="n">
        <f aca="false">IF(F183="","",IF(COUNT(F$74:F183)&lt;60,F183,MEDIAN(QUARTILE(F$74:F183,1)-1.5*(QUARTILE(F$74:F183,3)-QUARTILE(F$74:F183,1)),F183,QUARTILE(F$74:F183,3)+1.5*(QUARTILE(F$74:F183,3)-QUARTILE(F$74:F183,1)))))</f>
        <v>1.09921471340927</v>
      </c>
      <c r="O183" s="10" t="n">
        <f aca="false">IF(G183="","",IF(COUNT(G$74:G183)&lt;60,G183,MEDIAN(QUARTILE(G$74:G183,1)-1.5*(QUARTILE(G$74:G183,3)-QUARTILE(G$74:G183,1)),G183,QUARTILE(G$74:G183,3)+1.5*(QUARTILE(G$74:G183,3)-QUARTILE(G$74:G183,1)))))</f>
        <v>1.75566177049327</v>
      </c>
      <c r="P183" s="10" t="n">
        <f aca="false">IF(H183="","",IF(COUNT(H$74:H183)&lt;60,H183,MEDIAN(QUARTILE(H$74:H183,1)-1.5*(QUARTILE(H$74:H183,3)-QUARTILE(H$74:H183,1)),H183,QUARTILE(H$74:H183,3)+1.5*(QUARTILE(H$74:H183,3)-QUARTILE(H$74:H183,1)))))</f>
        <v>-0.210993886110182</v>
      </c>
      <c r="Q183" s="10" t="n">
        <f aca="false">IF(I183="","",IF(COUNT(I$74:I183)&lt;60,I183,MEDIAN(QUARTILE(I$74:I183,1)-1.5*(QUARTILE(I$74:I183,3)-QUARTILE(I$74:I183,1)),I183,QUARTILE(I$74:I183,3)+1.5*(QUARTILE(I$74:I183,3)-QUARTILE(I$74:I183,1)))))</f>
        <v>-0.604406438965736</v>
      </c>
      <c r="R183" s="10" t="n">
        <f aca="false">IF(J183="","",MEDIAN(J183:Q183))</f>
        <v>0.0422852875965917</v>
      </c>
      <c r="S183" s="10" t="n">
        <f aca="false">IF(R183="","",ABS(R183))</f>
        <v>0.0422852875965917</v>
      </c>
      <c r="T183" s="10" t="n">
        <f aca="false">IF(COUNT(S$74:S182)&lt;60,"",MEDIAN(S$74:S182))</f>
        <v>0.351808987445821</v>
      </c>
      <c r="U183" s="10" t="n">
        <f aca="false">IF(R183="","",IF(T183="",0,IF(S183&gt;=T183,R183,0)))</f>
        <v>0</v>
      </c>
      <c r="V183" s="10" t="n">
        <f aca="false">IF(U183="","",MEDIAN(-1,U183,1))</f>
        <v>0</v>
      </c>
      <c r="W183" s="10" t="n">
        <f aca="false">IF(J183="","",AVERAGE(J183:Q183))</f>
        <v>0.506009741932753</v>
      </c>
    </row>
    <row r="184" customFormat="false" ht="15" hidden="false" customHeight="false" outlineLevel="0" collapsed="false">
      <c r="A184" s="8" t="n">
        <f aca="false">Base!A184</f>
        <v>43555</v>
      </c>
      <c r="B184" s="10" t="n">
        <f aca="false">IF(COUNT(Transf!B$39:B184)&lt;36,"",(Transf!B184-AVERAGE(Transf!B$39:B184))/STDEV(Transf!B$39:B184))</f>
        <v>-0.130834999163563</v>
      </c>
      <c r="C184" s="10" t="n">
        <f aca="false">IF(COUNT(Transf!C$39:C184)&lt;36,"",(Transf!C184-AVERAGE(Transf!C$39:C184))/STDEV(Transf!C$39:C184))</f>
        <v>-0.71701344699955</v>
      </c>
      <c r="D184" s="10" t="n">
        <f aca="false">IF(COUNT(Transf!D$39:D184)&lt;36,"",(Transf!D184-AVERAGE(Transf!D$39:D184))/STDEV(Transf!D$39:D184))</f>
        <v>-1.02490884145369</v>
      </c>
      <c r="E184" s="10" t="n">
        <f aca="false">IF(COUNT(Transf!E$39:E184)&lt;36,"",(Transf!E184-AVERAGE(Transf!E$39:E184))/STDEV(Transf!E$39:E184))</f>
        <v>3.4285353849926</v>
      </c>
      <c r="F184" s="10" t="n">
        <f aca="false">IF(COUNT(Transf!F$39:F184)&lt;36,"",(Transf!F184-AVERAGE(Transf!F$39:F184))/STDEV(Transf!F$39:F184))</f>
        <v>1.13978315459043</v>
      </c>
      <c r="G184" s="10" t="n">
        <f aca="false">IF(COUNT(Transf!G$39:G184)&lt;36,"",(Transf!G184-AVERAGE(Transf!G$39:G184))/STDEV(Transf!G$39:G184))</f>
        <v>1.76187666483131</v>
      </c>
      <c r="H184" s="10" t="n">
        <f aca="false">IF(COUNT(Transf!H$39:H184)&lt;36,"",(Transf!H184-AVERAGE(Transf!H$39:H184))/STDEV(Transf!H$39:H184))</f>
        <v>-0.262187149098338</v>
      </c>
      <c r="I184" s="10" t="n">
        <f aca="false">IF(COUNT(Transf!I$39:I184)&lt;36,"",(Transf!I184-AVERAGE(Transf!I$39:I184))/STDEV(Transf!I$39:I184))</f>
        <v>-0.462738091589207</v>
      </c>
      <c r="J184" s="10" t="n">
        <f aca="false">IF(B184="","",IF(COUNT(B$74:B184)&lt;60,B184,MEDIAN(QUARTILE(B$74:B184,1)-1.5*(QUARTILE(B$74:B184,3)-QUARTILE(B$74:B184,1)),B184,QUARTILE(B$74:B184,3)+1.5*(QUARTILE(B$74:B184,3)-QUARTILE(B$74:B184,1)))))</f>
        <v>-0.130834999163563</v>
      </c>
      <c r="K184" s="10" t="n">
        <f aca="false">IF(C184="","",IF(COUNT(C$74:C184)&lt;60,C184,MEDIAN(QUARTILE(C$74:C184,1)-1.5*(QUARTILE(C$74:C184,3)-QUARTILE(C$74:C184,1)),C184,QUARTILE(C$74:C184,3)+1.5*(QUARTILE(C$74:C184,3)-QUARTILE(C$74:C184,1)))))</f>
        <v>-0.71701344699955</v>
      </c>
      <c r="L184" s="10" t="n">
        <f aca="false">IF(D184="","",IF(COUNT(D$74:D184)&lt;60,D184,MEDIAN(QUARTILE(D$74:D184,1)-1.5*(QUARTILE(D$74:D184,3)-QUARTILE(D$74:D184,1)),D184,QUARTILE(D$74:D184,3)+1.5*(QUARTILE(D$74:D184,3)-QUARTILE(D$74:D184,1)))))</f>
        <v>-1.02490884145369</v>
      </c>
      <c r="M184" s="10" t="n">
        <f aca="false">IF(E184="","",IF(COUNT(E$74:E184)&lt;60,E184,MEDIAN(QUARTILE(E$74:E184,1)-1.5*(QUARTILE(E$74:E184,3)-QUARTILE(E$74:E184,1)),E184,QUARTILE(E$74:E184,3)+1.5*(QUARTILE(E$74:E184,3)-QUARTILE(E$74:E184,1)))))</f>
        <v>3.4285353849926</v>
      </c>
      <c r="N184" s="10" t="n">
        <f aca="false">IF(F184="","",IF(COUNT(F$74:F184)&lt;60,F184,MEDIAN(QUARTILE(F$74:F184,1)-1.5*(QUARTILE(F$74:F184,3)-QUARTILE(F$74:F184,1)),F184,QUARTILE(F$74:F184,3)+1.5*(QUARTILE(F$74:F184,3)-QUARTILE(F$74:F184,1)))))</f>
        <v>1.13978315459043</v>
      </c>
      <c r="O184" s="10" t="n">
        <f aca="false">IF(G184="","",IF(COUNT(G$74:G184)&lt;60,G184,MEDIAN(QUARTILE(G$74:G184,1)-1.5*(QUARTILE(G$74:G184,3)-QUARTILE(G$74:G184,1)),G184,QUARTILE(G$74:G184,3)+1.5*(QUARTILE(G$74:G184,3)-QUARTILE(G$74:G184,1)))))</f>
        <v>1.76187666483131</v>
      </c>
      <c r="P184" s="10" t="n">
        <f aca="false">IF(H184="","",IF(COUNT(H$74:H184)&lt;60,H184,MEDIAN(QUARTILE(H$74:H184,1)-1.5*(QUARTILE(H$74:H184,3)-QUARTILE(H$74:H184,1)),H184,QUARTILE(H$74:H184,3)+1.5*(QUARTILE(H$74:H184,3)-QUARTILE(H$74:H184,1)))))</f>
        <v>-0.262187149098338</v>
      </c>
      <c r="Q184" s="10" t="n">
        <f aca="false">IF(I184="","",IF(COUNT(I$74:I184)&lt;60,I184,MEDIAN(QUARTILE(I$74:I184,1)-1.5*(QUARTILE(I$74:I184,3)-QUARTILE(I$74:I184,1)),I184,QUARTILE(I$74:I184,3)+1.5*(QUARTILE(I$74:I184,3)-QUARTILE(I$74:I184,1)))))</f>
        <v>-0.462738091589207</v>
      </c>
      <c r="R184" s="10" t="n">
        <f aca="false">IF(J184="","",MEDIAN(J184:Q184))</f>
        <v>-0.196511074130951</v>
      </c>
      <c r="S184" s="10" t="n">
        <f aca="false">IF(R184="","",ABS(R184))</f>
        <v>0.196511074130951</v>
      </c>
      <c r="T184" s="10" t="n">
        <f aca="false">IF(COUNT(S$74:S183)&lt;60,"",MEDIAN(S$74:S183))</f>
        <v>0.348290140011821</v>
      </c>
      <c r="U184" s="10" t="n">
        <f aca="false">IF(R184="","",IF(T184="",0,IF(S184&gt;=T184,R184,0)))</f>
        <v>0</v>
      </c>
      <c r="V184" s="10" t="n">
        <f aca="false">IF(U184="","",MEDIAN(-1,U184,1))</f>
        <v>0</v>
      </c>
      <c r="W184" s="10" t="n">
        <f aca="false">IF(J184="","",AVERAGE(J184:Q184))</f>
        <v>0.466564084513749</v>
      </c>
    </row>
    <row r="185" customFormat="false" ht="15" hidden="false" customHeight="false" outlineLevel="0" collapsed="false">
      <c r="A185" s="8" t="n">
        <f aca="false">Base!A185</f>
        <v>43585</v>
      </c>
      <c r="B185" s="10" t="n">
        <f aca="false">IF(COUNT(Transf!B$39:B185)&lt;36,"",(Transf!B185-AVERAGE(Transf!B$39:B185))/STDEV(Transf!B$39:B185))</f>
        <v>0.0136581837701293</v>
      </c>
      <c r="C185" s="10" t="n">
        <f aca="false">IF(COUNT(Transf!C$39:C185)&lt;36,"",(Transf!C185-AVERAGE(Transf!C$39:C185))/STDEV(Transf!C$39:C185))</f>
        <v>-0.388397624903046</v>
      </c>
      <c r="D185" s="10" t="n">
        <f aca="false">IF(COUNT(Transf!D$39:D185)&lt;36,"",(Transf!D185-AVERAGE(Transf!D$39:D185))/STDEV(Transf!D$39:D185))</f>
        <v>-0.566372812483056</v>
      </c>
      <c r="E185" s="10" t="n">
        <f aca="false">IF(COUNT(Transf!E$39:E185)&lt;36,"",(Transf!E185-AVERAGE(Transf!E$39:E185))/STDEV(Transf!E$39:E185))</f>
        <v>3.28417763241731</v>
      </c>
      <c r="F185" s="10" t="n">
        <f aca="false">IF(COUNT(Transf!F$39:F185)&lt;36,"",(Transf!F185-AVERAGE(Transf!F$39:F185))/STDEV(Transf!F$39:F185))</f>
        <v>1.14487182142967</v>
      </c>
      <c r="G185" s="10" t="n">
        <f aca="false">IF(COUNT(Transf!G$39:G185)&lt;36,"",(Transf!G185-AVERAGE(Transf!G$39:G185))/STDEV(Transf!G$39:G185))</f>
        <v>1.98546758334472</v>
      </c>
      <c r="H185" s="10" t="n">
        <f aca="false">IF(COUNT(Transf!H$39:H185)&lt;36,"",(Transf!H185-AVERAGE(Transf!H$39:H185))/STDEV(Transf!H$39:H185))</f>
        <v>-0.302661344558272</v>
      </c>
      <c r="I185" s="10" t="n">
        <f aca="false">IF(COUNT(Transf!I$39:I185)&lt;36,"",(Transf!I185-AVERAGE(Transf!I$39:I185))/STDEV(Transf!I$39:I185))</f>
        <v>-0.196187735894467</v>
      </c>
      <c r="J185" s="10" t="n">
        <f aca="false">IF(B185="","",IF(COUNT(B$74:B185)&lt;60,B185,MEDIAN(QUARTILE(B$74:B185,1)-1.5*(QUARTILE(B$74:B185,3)-QUARTILE(B$74:B185,1)),B185,QUARTILE(B$74:B185,3)+1.5*(QUARTILE(B$74:B185,3)-QUARTILE(B$74:B185,1)))))</f>
        <v>0.0136581837701293</v>
      </c>
      <c r="K185" s="10" t="n">
        <f aca="false">IF(C185="","",IF(COUNT(C$74:C185)&lt;60,C185,MEDIAN(QUARTILE(C$74:C185,1)-1.5*(QUARTILE(C$74:C185,3)-QUARTILE(C$74:C185,1)),C185,QUARTILE(C$74:C185,3)+1.5*(QUARTILE(C$74:C185,3)-QUARTILE(C$74:C185,1)))))</f>
        <v>-0.388397624903046</v>
      </c>
      <c r="L185" s="10" t="n">
        <f aca="false">IF(D185="","",IF(COUNT(D$74:D185)&lt;60,D185,MEDIAN(QUARTILE(D$74:D185,1)-1.5*(QUARTILE(D$74:D185,3)-QUARTILE(D$74:D185,1)),D185,QUARTILE(D$74:D185,3)+1.5*(QUARTILE(D$74:D185,3)-QUARTILE(D$74:D185,1)))))</f>
        <v>-0.566372812483056</v>
      </c>
      <c r="M185" s="10" t="n">
        <f aca="false">IF(E185="","",IF(COUNT(E$74:E185)&lt;60,E185,MEDIAN(QUARTILE(E$74:E185,1)-1.5*(QUARTILE(E$74:E185,3)-QUARTILE(E$74:E185,1)),E185,QUARTILE(E$74:E185,3)+1.5*(QUARTILE(E$74:E185,3)-QUARTILE(E$74:E185,1)))))</f>
        <v>3.28417763241731</v>
      </c>
      <c r="N185" s="10" t="n">
        <f aca="false">IF(F185="","",IF(COUNT(F$74:F185)&lt;60,F185,MEDIAN(QUARTILE(F$74:F185,1)-1.5*(QUARTILE(F$74:F185,3)-QUARTILE(F$74:F185,1)),F185,QUARTILE(F$74:F185,3)+1.5*(QUARTILE(F$74:F185,3)-QUARTILE(F$74:F185,1)))))</f>
        <v>1.14487182142967</v>
      </c>
      <c r="O185" s="10" t="n">
        <f aca="false">IF(G185="","",IF(COUNT(G$74:G185)&lt;60,G185,MEDIAN(QUARTILE(G$74:G185,1)-1.5*(QUARTILE(G$74:G185,3)-QUARTILE(G$74:G185,1)),G185,QUARTILE(G$74:G185,3)+1.5*(QUARTILE(G$74:G185,3)-QUARTILE(G$74:G185,1)))))</f>
        <v>1.98546758334472</v>
      </c>
      <c r="P185" s="10" t="n">
        <f aca="false">IF(H185="","",IF(COUNT(H$74:H185)&lt;60,H185,MEDIAN(QUARTILE(H$74:H185,1)-1.5*(QUARTILE(H$74:H185,3)-QUARTILE(H$74:H185,1)),H185,QUARTILE(H$74:H185,3)+1.5*(QUARTILE(H$74:H185,3)-QUARTILE(H$74:H185,1)))))</f>
        <v>-0.302661344558272</v>
      </c>
      <c r="Q185" s="10" t="n">
        <f aca="false">IF(I185="","",IF(COUNT(I$74:I185)&lt;60,I185,MEDIAN(QUARTILE(I$74:I185,1)-1.5*(QUARTILE(I$74:I185,3)-QUARTILE(I$74:I185,1)),I185,QUARTILE(I$74:I185,3)+1.5*(QUARTILE(I$74:I185,3)-QUARTILE(I$74:I185,1)))))</f>
        <v>-0.196187735894467</v>
      </c>
      <c r="R185" s="10" t="n">
        <f aca="false">IF(J185="","",MEDIAN(J185:Q185))</f>
        <v>-0.091264776062169</v>
      </c>
      <c r="S185" s="10" t="n">
        <f aca="false">IF(R185="","",ABS(R185))</f>
        <v>0.091264776062169</v>
      </c>
      <c r="T185" s="10" t="n">
        <f aca="false">IF(COUNT(S$74:S184)&lt;60,"",MEDIAN(S$74:S184))</f>
        <v>0.34477129257782</v>
      </c>
      <c r="U185" s="10" t="n">
        <f aca="false">IF(R185="","",IF(T185="",0,IF(S185&gt;=T185,R185,0)))</f>
        <v>0</v>
      </c>
      <c r="V185" s="10" t="n">
        <f aca="false">IF(U185="","",MEDIAN(-1,U185,1))</f>
        <v>0</v>
      </c>
      <c r="W185" s="10" t="n">
        <f aca="false">IF(J185="","",AVERAGE(J185:Q185))</f>
        <v>0.621819462890374</v>
      </c>
    </row>
    <row r="186" customFormat="false" ht="15" hidden="false" customHeight="false" outlineLevel="0" collapsed="false">
      <c r="A186" s="8" t="n">
        <f aca="false">Base!A186</f>
        <v>43616</v>
      </c>
      <c r="B186" s="10" t="n">
        <f aca="false">IF(COUNT(Transf!B$39:B186)&lt;36,"",(Transf!B186-AVERAGE(Transf!B$39:B186))/STDEV(Transf!B$39:B186))</f>
        <v>0.29211352241258</v>
      </c>
      <c r="C186" s="10" t="n">
        <f aca="false">IF(COUNT(Transf!C$39:C186)&lt;36,"",(Transf!C186-AVERAGE(Transf!C$39:C186))/STDEV(Transf!C$39:C186))</f>
        <v>0.142079983314498</v>
      </c>
      <c r="D186" s="10" t="n">
        <f aca="false">IF(COUNT(Transf!D$39:D186)&lt;36,"",(Transf!D186-AVERAGE(Transf!D$39:D186))/STDEV(Transf!D$39:D186))</f>
        <v>0.019872571001795</v>
      </c>
      <c r="E186" s="10" t="n">
        <f aca="false">IF(COUNT(Transf!E$39:E186)&lt;36,"",(Transf!E186-AVERAGE(Transf!E$39:E186))/STDEV(Transf!E$39:E186))</f>
        <v>3.30141946491254</v>
      </c>
      <c r="F186" s="10" t="n">
        <f aca="false">IF(COUNT(Transf!F$39:F186)&lt;36,"",(Transf!F186-AVERAGE(Transf!F$39:F186))/STDEV(Transf!F$39:F186))</f>
        <v>1.4469331761787</v>
      </c>
      <c r="G186" s="10" t="n">
        <f aca="false">IF(COUNT(Transf!G$39:G186)&lt;36,"",(Transf!G186-AVERAGE(Transf!G$39:G186))/STDEV(Transf!G$39:G186))</f>
        <v>1.7548201169963</v>
      </c>
      <c r="H186" s="10" t="n">
        <f aca="false">IF(COUNT(Transf!H$39:H186)&lt;36,"",(Transf!H186-AVERAGE(Transf!H$39:H186))/STDEV(Transf!H$39:H186))</f>
        <v>-0.484771220499369</v>
      </c>
      <c r="I186" s="10" t="n">
        <f aca="false">IF(COUNT(Transf!I$39:I186)&lt;36,"",(Transf!I186-AVERAGE(Transf!I$39:I186))/STDEV(Transf!I$39:I186))</f>
        <v>-0.304118109506564</v>
      </c>
      <c r="J186" s="10" t="n">
        <f aca="false">IF(B186="","",IF(COUNT(B$74:B186)&lt;60,B186,MEDIAN(QUARTILE(B$74:B186,1)-1.5*(QUARTILE(B$74:B186,3)-QUARTILE(B$74:B186,1)),B186,QUARTILE(B$74:B186,3)+1.5*(QUARTILE(B$74:B186,3)-QUARTILE(B$74:B186,1)))))</f>
        <v>0.29211352241258</v>
      </c>
      <c r="K186" s="10" t="n">
        <f aca="false">IF(C186="","",IF(COUNT(C$74:C186)&lt;60,C186,MEDIAN(QUARTILE(C$74:C186,1)-1.5*(QUARTILE(C$74:C186,3)-QUARTILE(C$74:C186,1)),C186,QUARTILE(C$74:C186,3)+1.5*(QUARTILE(C$74:C186,3)-QUARTILE(C$74:C186,1)))))</f>
        <v>0.142079983314498</v>
      </c>
      <c r="L186" s="10" t="n">
        <f aca="false">IF(D186="","",IF(COUNT(D$74:D186)&lt;60,D186,MEDIAN(QUARTILE(D$74:D186,1)-1.5*(QUARTILE(D$74:D186,3)-QUARTILE(D$74:D186,1)),D186,QUARTILE(D$74:D186,3)+1.5*(QUARTILE(D$74:D186,3)-QUARTILE(D$74:D186,1)))))</f>
        <v>0.019872571001795</v>
      </c>
      <c r="M186" s="10" t="n">
        <f aca="false">IF(E186="","",IF(COUNT(E$74:E186)&lt;60,E186,MEDIAN(QUARTILE(E$74:E186,1)-1.5*(QUARTILE(E$74:E186,3)-QUARTILE(E$74:E186,1)),E186,QUARTILE(E$74:E186,3)+1.5*(QUARTILE(E$74:E186,3)-QUARTILE(E$74:E186,1)))))</f>
        <v>3.30141946491254</v>
      </c>
      <c r="N186" s="10" t="n">
        <f aca="false">IF(F186="","",IF(COUNT(F$74:F186)&lt;60,F186,MEDIAN(QUARTILE(F$74:F186,1)-1.5*(QUARTILE(F$74:F186,3)-QUARTILE(F$74:F186,1)),F186,QUARTILE(F$74:F186,3)+1.5*(QUARTILE(F$74:F186,3)-QUARTILE(F$74:F186,1)))))</f>
        <v>1.4469331761787</v>
      </c>
      <c r="O186" s="10" t="n">
        <f aca="false">IF(G186="","",IF(COUNT(G$74:G186)&lt;60,G186,MEDIAN(QUARTILE(G$74:G186,1)-1.5*(QUARTILE(G$74:G186,3)-QUARTILE(G$74:G186,1)),G186,QUARTILE(G$74:G186,3)+1.5*(QUARTILE(G$74:G186,3)-QUARTILE(G$74:G186,1)))))</f>
        <v>1.7548201169963</v>
      </c>
      <c r="P186" s="10" t="n">
        <f aca="false">IF(H186="","",IF(COUNT(H$74:H186)&lt;60,H186,MEDIAN(QUARTILE(H$74:H186,1)-1.5*(QUARTILE(H$74:H186,3)-QUARTILE(H$74:H186,1)),H186,QUARTILE(H$74:H186,3)+1.5*(QUARTILE(H$74:H186,3)-QUARTILE(H$74:H186,1)))))</f>
        <v>-0.484771220499369</v>
      </c>
      <c r="Q186" s="10" t="n">
        <f aca="false">IF(I186="","",IF(COUNT(I$74:I186)&lt;60,I186,MEDIAN(QUARTILE(I$74:I186,1)-1.5*(QUARTILE(I$74:I186,3)-QUARTILE(I$74:I186,1)),I186,QUARTILE(I$74:I186,3)+1.5*(QUARTILE(I$74:I186,3)-QUARTILE(I$74:I186,1)))))</f>
        <v>-0.304118109506564</v>
      </c>
      <c r="R186" s="10" t="n">
        <f aca="false">IF(J186="","",MEDIAN(J186:Q186))</f>
        <v>0.217096752863539</v>
      </c>
      <c r="S186" s="10" t="n">
        <f aca="false">IF(R186="","",ABS(R186))</f>
        <v>0.217096752863539</v>
      </c>
      <c r="T186" s="10" t="n">
        <f aca="false">IF(COUNT(S$74:S185)&lt;60,"",MEDIAN(S$74:S185))</f>
        <v>0.343923113344169</v>
      </c>
      <c r="U186" s="10" t="n">
        <f aca="false">IF(R186="","",IF(T186="",0,IF(S186&gt;=T186,R186,0)))</f>
        <v>0</v>
      </c>
      <c r="V186" s="10" t="n">
        <f aca="false">IF(U186="","",MEDIAN(-1,U186,1))</f>
        <v>0</v>
      </c>
      <c r="W186" s="10" t="n">
        <f aca="false">IF(J186="","",AVERAGE(J186:Q186))</f>
        <v>0.77104368810131</v>
      </c>
    </row>
    <row r="187" customFormat="false" ht="15" hidden="false" customHeight="false" outlineLevel="0" collapsed="false">
      <c r="A187" s="8" t="n">
        <f aca="false">Base!A187</f>
        <v>43646</v>
      </c>
      <c r="B187" s="10" t="n">
        <f aca="false">IF(COUNT(Transf!B$39:B187)&lt;36,"",(Transf!B187-AVERAGE(Transf!B$39:B187))/STDEV(Transf!B$39:B187))</f>
        <v>0.432994285277203</v>
      </c>
      <c r="C187" s="10" t="n">
        <f aca="false">IF(COUNT(Transf!C$39:C187)&lt;36,"",(Transf!C187-AVERAGE(Transf!C$39:C187))/STDEV(Transf!C$39:C187))</f>
        <v>0.592050892601708</v>
      </c>
      <c r="D187" s="10" t="n">
        <f aca="false">IF(COUNT(Transf!D$39:D187)&lt;36,"",(Transf!D187-AVERAGE(Transf!D$39:D187))/STDEV(Transf!D$39:D187))</f>
        <v>0.570437036970207</v>
      </c>
      <c r="E187" s="10" t="n">
        <f aca="false">IF(COUNT(Transf!E$39:E187)&lt;36,"",(Transf!E187-AVERAGE(Transf!E$39:E187))/STDEV(Transf!E$39:E187))</f>
        <v>3.07536260818202</v>
      </c>
      <c r="F187" s="10" t="n">
        <f aca="false">IF(COUNT(Transf!F$39:F187)&lt;36,"",(Transf!F187-AVERAGE(Transf!F$39:F187))/STDEV(Transf!F$39:F187))</f>
        <v>1.40358019908483</v>
      </c>
      <c r="G187" s="10" t="n">
        <f aca="false">IF(COUNT(Transf!G$39:G187)&lt;36,"",(Transf!G187-AVERAGE(Transf!G$39:G187))/STDEV(Transf!G$39:G187))</f>
        <v>0.998326799422651</v>
      </c>
      <c r="H187" s="10" t="n">
        <f aca="false">IF(COUNT(Transf!H$39:H187)&lt;36,"",(Transf!H187-AVERAGE(Transf!H$39:H187))/STDEV(Transf!H$39:H187))</f>
        <v>-0.681121484176827</v>
      </c>
      <c r="I187" s="10" t="n">
        <f aca="false">IF(COUNT(Transf!I$39:I187)&lt;36,"",(Transf!I187-AVERAGE(Transf!I$39:I187))/STDEV(Transf!I$39:I187))</f>
        <v>-0.12364936026987</v>
      </c>
      <c r="J187" s="10" t="n">
        <f aca="false">IF(B187="","",IF(COUNT(B$74:B187)&lt;60,B187,MEDIAN(QUARTILE(B$74:B187,1)-1.5*(QUARTILE(B$74:B187,3)-QUARTILE(B$74:B187,1)),B187,QUARTILE(B$74:B187,3)+1.5*(QUARTILE(B$74:B187,3)-QUARTILE(B$74:B187,1)))))</f>
        <v>0.432994285277203</v>
      </c>
      <c r="K187" s="10" t="n">
        <f aca="false">IF(C187="","",IF(COUNT(C$74:C187)&lt;60,C187,MEDIAN(QUARTILE(C$74:C187,1)-1.5*(QUARTILE(C$74:C187,3)-QUARTILE(C$74:C187,1)),C187,QUARTILE(C$74:C187,3)+1.5*(QUARTILE(C$74:C187,3)-QUARTILE(C$74:C187,1)))))</f>
        <v>0.592050892601708</v>
      </c>
      <c r="L187" s="10" t="n">
        <f aca="false">IF(D187="","",IF(COUNT(D$74:D187)&lt;60,D187,MEDIAN(QUARTILE(D$74:D187,1)-1.5*(QUARTILE(D$74:D187,3)-QUARTILE(D$74:D187,1)),D187,QUARTILE(D$74:D187,3)+1.5*(QUARTILE(D$74:D187,3)-QUARTILE(D$74:D187,1)))))</f>
        <v>0.570437036970207</v>
      </c>
      <c r="M187" s="10" t="n">
        <f aca="false">IF(E187="","",IF(COUNT(E$74:E187)&lt;60,E187,MEDIAN(QUARTILE(E$74:E187,1)-1.5*(QUARTILE(E$74:E187,3)-QUARTILE(E$74:E187,1)),E187,QUARTILE(E$74:E187,3)+1.5*(QUARTILE(E$74:E187,3)-QUARTILE(E$74:E187,1)))))</f>
        <v>3.07536260818202</v>
      </c>
      <c r="N187" s="10" t="n">
        <f aca="false">IF(F187="","",IF(COUNT(F$74:F187)&lt;60,F187,MEDIAN(QUARTILE(F$74:F187,1)-1.5*(QUARTILE(F$74:F187,3)-QUARTILE(F$74:F187,1)),F187,QUARTILE(F$74:F187,3)+1.5*(QUARTILE(F$74:F187,3)-QUARTILE(F$74:F187,1)))))</f>
        <v>1.40358019908483</v>
      </c>
      <c r="O187" s="10" t="n">
        <f aca="false">IF(G187="","",IF(COUNT(G$74:G187)&lt;60,G187,MEDIAN(QUARTILE(G$74:G187,1)-1.5*(QUARTILE(G$74:G187,3)-QUARTILE(G$74:G187,1)),G187,QUARTILE(G$74:G187,3)+1.5*(QUARTILE(G$74:G187,3)-QUARTILE(G$74:G187,1)))))</f>
        <v>0.998326799422651</v>
      </c>
      <c r="P187" s="10" t="n">
        <f aca="false">IF(H187="","",IF(COUNT(H$74:H187)&lt;60,H187,MEDIAN(QUARTILE(H$74:H187,1)-1.5*(QUARTILE(H$74:H187,3)-QUARTILE(H$74:H187,1)),H187,QUARTILE(H$74:H187,3)+1.5*(QUARTILE(H$74:H187,3)-QUARTILE(H$74:H187,1)))))</f>
        <v>-0.681121484176827</v>
      </c>
      <c r="Q187" s="10" t="n">
        <f aca="false">IF(I187="","",IF(COUNT(I$74:I187)&lt;60,I187,MEDIAN(QUARTILE(I$74:I187,1)-1.5*(QUARTILE(I$74:I187,3)-QUARTILE(I$74:I187,1)),I187,QUARTILE(I$74:I187,3)+1.5*(QUARTILE(I$74:I187,3)-QUARTILE(I$74:I187,1)))))</f>
        <v>-0.12364936026987</v>
      </c>
      <c r="R187" s="10" t="n">
        <f aca="false">IF(J187="","",MEDIAN(J187:Q187))</f>
        <v>0.581243964785957</v>
      </c>
      <c r="S187" s="10" t="n">
        <f aca="false">IF(R187="","",ABS(R187))</f>
        <v>0.581243964785957</v>
      </c>
      <c r="T187" s="10" t="n">
        <f aca="false">IF(COUNT(S$74:S186)&lt;60,"",MEDIAN(S$74:S186))</f>
        <v>0.343074934110517</v>
      </c>
      <c r="U187" s="10" t="n">
        <f aca="false">IF(R187="","",IF(T187="",0,IF(S187&gt;=T187,R187,0)))</f>
        <v>0.581243964785957</v>
      </c>
      <c r="V187" s="10" t="n">
        <f aca="false">IF(U187="","",MEDIAN(-1,U187,1))</f>
        <v>0.581243964785957</v>
      </c>
      <c r="W187" s="10" t="n">
        <f aca="false">IF(J187="","",AVERAGE(J187:Q187))</f>
        <v>0.783497622136491</v>
      </c>
    </row>
    <row r="188" customFormat="false" ht="15" hidden="false" customHeight="false" outlineLevel="0" collapsed="false">
      <c r="A188" s="8" t="n">
        <f aca="false">Base!A188</f>
        <v>43677</v>
      </c>
      <c r="B188" s="10" t="n">
        <f aca="false">IF(COUNT(Transf!B$39:B188)&lt;36,"",(Transf!B188-AVERAGE(Transf!B$39:B188))/STDEV(Transf!B$39:B188))</f>
        <v>0.545253757944192</v>
      </c>
      <c r="C188" s="10" t="n">
        <f aca="false">IF(COUNT(Transf!C$39:C188)&lt;36,"",(Transf!C188-AVERAGE(Transf!C$39:C188))/STDEV(Transf!C$39:C188))</f>
        <v>0.695377789550252</v>
      </c>
      <c r="D188" s="10" t="n">
        <f aca="false">IF(COUNT(Transf!D$39:D188)&lt;36,"",(Transf!D188-AVERAGE(Transf!D$39:D188))/STDEV(Transf!D$39:D188))</f>
        <v>0.740243144374539</v>
      </c>
      <c r="E188" s="10" t="n">
        <f aca="false">IF(COUNT(Transf!E$39:E188)&lt;36,"",(Transf!E188-AVERAGE(Transf!E$39:E188))/STDEV(Transf!E$39:E188))</f>
        <v>2.7248988052409</v>
      </c>
      <c r="F188" s="10" t="n">
        <f aca="false">IF(COUNT(Transf!F$39:F188)&lt;36,"",(Transf!F188-AVERAGE(Transf!F$39:F188))/STDEV(Transf!F$39:F188))</f>
        <v>1.40126473565224</v>
      </c>
      <c r="G188" s="10" t="n">
        <f aca="false">IF(COUNT(Transf!G$39:G188)&lt;36,"",(Transf!G188-AVERAGE(Transf!G$39:G188))/STDEV(Transf!G$39:G188))</f>
        <v>0.401252446260689</v>
      </c>
      <c r="H188" s="10" t="n">
        <f aca="false">IF(COUNT(Transf!H$39:H188)&lt;36,"",(Transf!H188-AVERAGE(Transf!H$39:H188))/STDEV(Transf!H$39:H188))</f>
        <v>-0.642677904143232</v>
      </c>
      <c r="I188" s="10" t="n">
        <f aca="false">IF(COUNT(Transf!I$39:I188)&lt;36,"",(Transf!I188-AVERAGE(Transf!I$39:I188))/STDEV(Transf!I$39:I188))</f>
        <v>-0.124192604615739</v>
      </c>
      <c r="J188" s="10" t="n">
        <f aca="false">IF(B188="","",IF(COUNT(B$74:B188)&lt;60,B188,MEDIAN(QUARTILE(B$74:B188,1)-1.5*(QUARTILE(B$74:B188,3)-QUARTILE(B$74:B188,1)),B188,QUARTILE(B$74:B188,3)+1.5*(QUARTILE(B$74:B188,3)-QUARTILE(B$74:B188,1)))))</f>
        <v>0.545253757944192</v>
      </c>
      <c r="K188" s="10" t="n">
        <f aca="false">IF(C188="","",IF(COUNT(C$74:C188)&lt;60,C188,MEDIAN(QUARTILE(C$74:C188,1)-1.5*(QUARTILE(C$74:C188,3)-QUARTILE(C$74:C188,1)),C188,QUARTILE(C$74:C188,3)+1.5*(QUARTILE(C$74:C188,3)-QUARTILE(C$74:C188,1)))))</f>
        <v>0.695377789550252</v>
      </c>
      <c r="L188" s="10" t="n">
        <f aca="false">IF(D188="","",IF(COUNT(D$74:D188)&lt;60,D188,MEDIAN(QUARTILE(D$74:D188,1)-1.5*(QUARTILE(D$74:D188,3)-QUARTILE(D$74:D188,1)),D188,QUARTILE(D$74:D188,3)+1.5*(QUARTILE(D$74:D188,3)-QUARTILE(D$74:D188,1)))))</f>
        <v>0.740243144374539</v>
      </c>
      <c r="M188" s="10" t="n">
        <f aca="false">IF(E188="","",IF(COUNT(E$74:E188)&lt;60,E188,MEDIAN(QUARTILE(E$74:E188,1)-1.5*(QUARTILE(E$74:E188,3)-QUARTILE(E$74:E188,1)),E188,QUARTILE(E$74:E188,3)+1.5*(QUARTILE(E$74:E188,3)-QUARTILE(E$74:E188,1)))))</f>
        <v>2.7248988052409</v>
      </c>
      <c r="N188" s="10" t="n">
        <f aca="false">IF(F188="","",IF(COUNT(F$74:F188)&lt;60,F188,MEDIAN(QUARTILE(F$74:F188,1)-1.5*(QUARTILE(F$74:F188,3)-QUARTILE(F$74:F188,1)),F188,QUARTILE(F$74:F188,3)+1.5*(QUARTILE(F$74:F188,3)-QUARTILE(F$74:F188,1)))))</f>
        <v>1.40126473565224</v>
      </c>
      <c r="O188" s="10" t="n">
        <f aca="false">IF(G188="","",IF(COUNT(G$74:G188)&lt;60,G188,MEDIAN(QUARTILE(G$74:G188,1)-1.5*(QUARTILE(G$74:G188,3)-QUARTILE(G$74:G188,1)),G188,QUARTILE(G$74:G188,3)+1.5*(QUARTILE(G$74:G188,3)-QUARTILE(G$74:G188,1)))))</f>
        <v>0.401252446260689</v>
      </c>
      <c r="P188" s="10" t="n">
        <f aca="false">IF(H188="","",IF(COUNT(H$74:H188)&lt;60,H188,MEDIAN(QUARTILE(H$74:H188,1)-1.5*(QUARTILE(H$74:H188,3)-QUARTILE(H$74:H188,1)),H188,QUARTILE(H$74:H188,3)+1.5*(QUARTILE(H$74:H188,3)-QUARTILE(H$74:H188,1)))))</f>
        <v>-0.642677904143232</v>
      </c>
      <c r="Q188" s="10" t="n">
        <f aca="false">IF(I188="","",IF(COUNT(I$74:I188)&lt;60,I188,MEDIAN(QUARTILE(I$74:I188,1)-1.5*(QUARTILE(I$74:I188,3)-QUARTILE(I$74:I188,1)),I188,QUARTILE(I$74:I188,3)+1.5*(QUARTILE(I$74:I188,3)-QUARTILE(I$74:I188,1)))))</f>
        <v>-0.124192604615739</v>
      </c>
      <c r="R188" s="10" t="n">
        <f aca="false">IF(J188="","",MEDIAN(J188:Q188))</f>
        <v>0.620315773747222</v>
      </c>
      <c r="S188" s="10" t="n">
        <f aca="false">IF(R188="","",ABS(R188))</f>
        <v>0.620315773747222</v>
      </c>
      <c r="T188" s="10" t="n">
        <f aca="false">IF(COUNT(S$74:S187)&lt;60,"",MEDIAN(S$74:S187))</f>
        <v>0.343923113344169</v>
      </c>
      <c r="U188" s="10" t="n">
        <f aca="false">IF(R188="","",IF(T188="",0,IF(S188&gt;=T188,R188,0)))</f>
        <v>0.620315773747222</v>
      </c>
      <c r="V188" s="10" t="n">
        <f aca="false">IF(U188="","",MEDIAN(-1,U188,1))</f>
        <v>0.620315773747222</v>
      </c>
      <c r="W188" s="10" t="n">
        <f aca="false">IF(J188="","",AVERAGE(J188:Q188))</f>
        <v>0.71767752128298</v>
      </c>
    </row>
    <row r="189" customFormat="false" ht="15" hidden="false" customHeight="false" outlineLevel="0" collapsed="false">
      <c r="A189" s="8" t="n">
        <f aca="false">Base!A189</f>
        <v>43708</v>
      </c>
      <c r="B189" s="10" t="n">
        <f aca="false">IF(COUNT(Transf!B$39:B189)&lt;36,"",(Transf!B189-AVERAGE(Transf!B$39:B189))/STDEV(Transf!B$39:B189))</f>
        <v>0.33904083739442</v>
      </c>
      <c r="C189" s="10" t="n">
        <f aca="false">IF(COUNT(Transf!C$39:C189)&lt;36,"",(Transf!C189-AVERAGE(Transf!C$39:C189))/STDEV(Transf!C$39:C189))</f>
        <v>0.236020643963703</v>
      </c>
      <c r="D189" s="10" t="n">
        <f aca="false">IF(COUNT(Transf!D$39:D189)&lt;36,"",(Transf!D189-AVERAGE(Transf!D$39:D189))/STDEV(Transf!D$39:D189))</f>
        <v>0.47511997162507</v>
      </c>
      <c r="E189" s="10" t="n">
        <f aca="false">IF(COUNT(Transf!E$39:E189)&lt;36,"",(Transf!E189-AVERAGE(Transf!E$39:E189))/STDEV(Transf!E$39:E189))</f>
        <v>2.31308946412962</v>
      </c>
      <c r="F189" s="10" t="n">
        <f aca="false">IF(COUNT(Transf!F$39:F189)&lt;36,"",(Transf!F189-AVERAGE(Transf!F$39:F189))/STDEV(Transf!F$39:F189))</f>
        <v>1.49875848189788</v>
      </c>
      <c r="G189" s="10" t="n">
        <f aca="false">IF(COUNT(Transf!G$39:G189)&lt;36,"",(Transf!G189-AVERAGE(Transf!G$39:G189))/STDEV(Transf!G$39:G189))</f>
        <v>0.233378381891851</v>
      </c>
      <c r="H189" s="10" t="n">
        <f aca="false">IF(COUNT(Transf!H$39:H189)&lt;36,"",(Transf!H189-AVERAGE(Transf!H$39:H189))/STDEV(Transf!H$39:H189))</f>
        <v>-0.457743084117495</v>
      </c>
      <c r="I189" s="10" t="n">
        <f aca="false">IF(COUNT(Transf!I$39:I189)&lt;36,"",(Transf!I189-AVERAGE(Transf!I$39:I189))/STDEV(Transf!I$39:I189))</f>
        <v>-0.202668711371264</v>
      </c>
      <c r="J189" s="10" t="n">
        <f aca="false">IF(B189="","",IF(COUNT(B$74:B189)&lt;60,B189,MEDIAN(QUARTILE(B$74:B189,1)-1.5*(QUARTILE(B$74:B189,3)-QUARTILE(B$74:B189,1)),B189,QUARTILE(B$74:B189,3)+1.5*(QUARTILE(B$74:B189,3)-QUARTILE(B$74:B189,1)))))</f>
        <v>0.33904083739442</v>
      </c>
      <c r="K189" s="10" t="n">
        <f aca="false">IF(C189="","",IF(COUNT(C$74:C189)&lt;60,C189,MEDIAN(QUARTILE(C$74:C189,1)-1.5*(QUARTILE(C$74:C189,3)-QUARTILE(C$74:C189,1)),C189,QUARTILE(C$74:C189,3)+1.5*(QUARTILE(C$74:C189,3)-QUARTILE(C$74:C189,1)))))</f>
        <v>0.236020643963703</v>
      </c>
      <c r="L189" s="10" t="n">
        <f aca="false">IF(D189="","",IF(COUNT(D$74:D189)&lt;60,D189,MEDIAN(QUARTILE(D$74:D189,1)-1.5*(QUARTILE(D$74:D189,3)-QUARTILE(D$74:D189,1)),D189,QUARTILE(D$74:D189,3)+1.5*(QUARTILE(D$74:D189,3)-QUARTILE(D$74:D189,1)))))</f>
        <v>0.47511997162507</v>
      </c>
      <c r="M189" s="10" t="n">
        <f aca="false">IF(E189="","",IF(COUNT(E$74:E189)&lt;60,E189,MEDIAN(QUARTILE(E$74:E189,1)-1.5*(QUARTILE(E$74:E189,3)-QUARTILE(E$74:E189,1)),E189,QUARTILE(E$74:E189,3)+1.5*(QUARTILE(E$74:E189,3)-QUARTILE(E$74:E189,1)))))</f>
        <v>2.31308946412962</v>
      </c>
      <c r="N189" s="10" t="n">
        <f aca="false">IF(F189="","",IF(COUNT(F$74:F189)&lt;60,F189,MEDIAN(QUARTILE(F$74:F189,1)-1.5*(QUARTILE(F$74:F189,3)-QUARTILE(F$74:F189,1)),F189,QUARTILE(F$74:F189,3)+1.5*(QUARTILE(F$74:F189,3)-QUARTILE(F$74:F189,1)))))</f>
        <v>1.49875848189788</v>
      </c>
      <c r="O189" s="10" t="n">
        <f aca="false">IF(G189="","",IF(COUNT(G$74:G189)&lt;60,G189,MEDIAN(QUARTILE(G$74:G189,1)-1.5*(QUARTILE(G$74:G189,3)-QUARTILE(G$74:G189,1)),G189,QUARTILE(G$74:G189,3)+1.5*(QUARTILE(G$74:G189,3)-QUARTILE(G$74:G189,1)))))</f>
        <v>0.233378381891851</v>
      </c>
      <c r="P189" s="10" t="n">
        <f aca="false">IF(H189="","",IF(COUNT(H$74:H189)&lt;60,H189,MEDIAN(QUARTILE(H$74:H189,1)-1.5*(QUARTILE(H$74:H189,3)-QUARTILE(H$74:H189,1)),H189,QUARTILE(H$74:H189,3)+1.5*(QUARTILE(H$74:H189,3)-QUARTILE(H$74:H189,1)))))</f>
        <v>-0.457743084117495</v>
      </c>
      <c r="Q189" s="10" t="n">
        <f aca="false">IF(I189="","",IF(COUNT(I$74:I189)&lt;60,I189,MEDIAN(QUARTILE(I$74:I189,1)-1.5*(QUARTILE(I$74:I189,3)-QUARTILE(I$74:I189,1)),I189,QUARTILE(I$74:I189,3)+1.5*(QUARTILE(I$74:I189,3)-QUARTILE(I$74:I189,1)))))</f>
        <v>-0.202668711371264</v>
      </c>
      <c r="R189" s="10" t="n">
        <f aca="false">IF(J189="","",MEDIAN(J189:Q189))</f>
        <v>0.287530740679062</v>
      </c>
      <c r="S189" s="10" t="n">
        <f aca="false">IF(R189="","",ABS(R189))</f>
        <v>0.287530740679062</v>
      </c>
      <c r="T189" s="10" t="n">
        <f aca="false">IF(COUNT(S$74:S188)&lt;60,"",MEDIAN(S$74:S188))</f>
        <v>0.34477129257782</v>
      </c>
      <c r="U189" s="10" t="n">
        <f aca="false">IF(R189="","",IF(T189="",0,IF(S189&gt;=T189,R189,0)))</f>
        <v>0</v>
      </c>
      <c r="V189" s="10" t="n">
        <f aca="false">IF(U189="","",MEDIAN(-1,U189,1))</f>
        <v>0</v>
      </c>
      <c r="W189" s="10" t="n">
        <f aca="false">IF(J189="","",AVERAGE(J189:Q189))</f>
        <v>0.554374498176723</v>
      </c>
    </row>
    <row r="190" customFormat="false" ht="15" hidden="false" customHeight="false" outlineLevel="0" collapsed="false">
      <c r="A190" s="8" t="n">
        <f aca="false">Base!A190</f>
        <v>43738</v>
      </c>
      <c r="B190" s="10" t="n">
        <f aca="false">IF(COUNT(Transf!B$39:B190)&lt;36,"",(Transf!B190-AVERAGE(Transf!B$39:B190))/STDEV(Transf!B$39:B190))</f>
        <v>0.577136914353341</v>
      </c>
      <c r="C190" s="10" t="n">
        <f aca="false">IF(COUNT(Transf!C$39:C190)&lt;36,"",(Transf!C190-AVERAGE(Transf!C$39:C190))/STDEV(Transf!C$39:C190))</f>
        <v>0.0976337270605562</v>
      </c>
      <c r="D190" s="10" t="n">
        <f aca="false">IF(COUNT(Transf!D$39:D190)&lt;36,"",(Transf!D190-AVERAGE(Transf!D$39:D190))/STDEV(Transf!D$39:D190))</f>
        <v>0.350745340931792</v>
      </c>
      <c r="E190" s="10" t="n">
        <f aca="false">IF(COUNT(Transf!E$39:E190)&lt;36,"",(Transf!E190-AVERAGE(Transf!E$39:E190))/STDEV(Transf!E$39:E190))</f>
        <v>1.90478504435693</v>
      </c>
      <c r="F190" s="10" t="n">
        <f aca="false">IF(COUNT(Transf!F$39:F190)&lt;36,"",(Transf!F190-AVERAGE(Transf!F$39:F190))/STDEV(Transf!F$39:F190))</f>
        <v>1.55720406917214</v>
      </c>
      <c r="G190" s="10" t="n">
        <f aca="false">IF(COUNT(Transf!G$39:G190)&lt;36,"",(Transf!G190-AVERAGE(Transf!G$39:G190))/STDEV(Transf!G$39:G190))</f>
        <v>0.093973346553602</v>
      </c>
      <c r="H190" s="10" t="n">
        <f aca="false">IF(COUNT(Transf!H$39:H190)&lt;36,"",(Transf!H190-AVERAGE(Transf!H$39:H190))/STDEV(Transf!H$39:H190))</f>
        <v>-0.222703116082932</v>
      </c>
      <c r="I190" s="10" t="n">
        <f aca="false">IF(COUNT(Transf!I$39:I190)&lt;36,"",(Transf!I190-AVERAGE(Transf!I$39:I190))/STDEV(Transf!I$39:I190))</f>
        <v>-0.441174442997227</v>
      </c>
      <c r="J190" s="10" t="n">
        <f aca="false">IF(B190="","",IF(COUNT(B$74:B190)&lt;60,B190,MEDIAN(QUARTILE(B$74:B190,1)-1.5*(QUARTILE(B$74:B190,3)-QUARTILE(B$74:B190,1)),B190,QUARTILE(B$74:B190,3)+1.5*(QUARTILE(B$74:B190,3)-QUARTILE(B$74:B190,1)))))</f>
        <v>0.577136914353341</v>
      </c>
      <c r="K190" s="10" t="n">
        <f aca="false">IF(C190="","",IF(COUNT(C$74:C190)&lt;60,C190,MEDIAN(QUARTILE(C$74:C190,1)-1.5*(QUARTILE(C$74:C190,3)-QUARTILE(C$74:C190,1)),C190,QUARTILE(C$74:C190,3)+1.5*(QUARTILE(C$74:C190,3)-QUARTILE(C$74:C190,1)))))</f>
        <v>0.0976337270605562</v>
      </c>
      <c r="L190" s="10" t="n">
        <f aca="false">IF(D190="","",IF(COUNT(D$74:D190)&lt;60,D190,MEDIAN(QUARTILE(D$74:D190,1)-1.5*(QUARTILE(D$74:D190,3)-QUARTILE(D$74:D190,1)),D190,QUARTILE(D$74:D190,3)+1.5*(QUARTILE(D$74:D190,3)-QUARTILE(D$74:D190,1)))))</f>
        <v>0.350745340931792</v>
      </c>
      <c r="M190" s="10" t="n">
        <f aca="false">IF(E190="","",IF(COUNT(E$74:E190)&lt;60,E190,MEDIAN(QUARTILE(E$74:E190,1)-1.5*(QUARTILE(E$74:E190,3)-QUARTILE(E$74:E190,1)),E190,QUARTILE(E$74:E190,3)+1.5*(QUARTILE(E$74:E190,3)-QUARTILE(E$74:E190,1)))))</f>
        <v>1.90478504435693</v>
      </c>
      <c r="N190" s="10" t="n">
        <f aca="false">IF(F190="","",IF(COUNT(F$74:F190)&lt;60,F190,MEDIAN(QUARTILE(F$74:F190,1)-1.5*(QUARTILE(F$74:F190,3)-QUARTILE(F$74:F190,1)),F190,QUARTILE(F$74:F190,3)+1.5*(QUARTILE(F$74:F190,3)-QUARTILE(F$74:F190,1)))))</f>
        <v>1.55720406917214</v>
      </c>
      <c r="O190" s="10" t="n">
        <f aca="false">IF(G190="","",IF(COUNT(G$74:G190)&lt;60,G190,MEDIAN(QUARTILE(G$74:G190,1)-1.5*(QUARTILE(G$74:G190,3)-QUARTILE(G$74:G190,1)),G190,QUARTILE(G$74:G190,3)+1.5*(QUARTILE(G$74:G190,3)-QUARTILE(G$74:G190,1)))))</f>
        <v>0.093973346553602</v>
      </c>
      <c r="P190" s="10" t="n">
        <f aca="false">IF(H190="","",IF(COUNT(H$74:H190)&lt;60,H190,MEDIAN(QUARTILE(H$74:H190,1)-1.5*(QUARTILE(H$74:H190,3)-QUARTILE(H$74:H190,1)),H190,QUARTILE(H$74:H190,3)+1.5*(QUARTILE(H$74:H190,3)-QUARTILE(H$74:H190,1)))))</f>
        <v>-0.222703116082932</v>
      </c>
      <c r="Q190" s="10" t="n">
        <f aca="false">IF(I190="","",IF(COUNT(I$74:I190)&lt;60,I190,MEDIAN(QUARTILE(I$74:I190,1)-1.5*(QUARTILE(I$74:I190,3)-QUARTILE(I$74:I190,1)),I190,QUARTILE(I$74:I190,3)+1.5*(QUARTILE(I$74:I190,3)-QUARTILE(I$74:I190,1)))))</f>
        <v>-0.441174442997227</v>
      </c>
      <c r="R190" s="10" t="n">
        <f aca="false">IF(J190="","",MEDIAN(J190:Q190))</f>
        <v>0.224189533996174</v>
      </c>
      <c r="S190" s="10" t="n">
        <f aca="false">IF(R190="","",ABS(R190))</f>
        <v>0.224189533996174</v>
      </c>
      <c r="T190" s="10" t="n">
        <f aca="false">IF(COUNT(S$74:S189)&lt;60,"",MEDIAN(S$74:S189))</f>
        <v>0.343923113344169</v>
      </c>
      <c r="U190" s="10" t="n">
        <f aca="false">IF(R190="","",IF(T190="",0,IF(S190&gt;=T190,R190,0)))</f>
        <v>0</v>
      </c>
      <c r="V190" s="10" t="n">
        <f aca="false">IF(U190="","",MEDIAN(-1,U190,1))</f>
        <v>0</v>
      </c>
      <c r="W190" s="10" t="n">
        <f aca="false">IF(J190="","",AVERAGE(J190:Q190))</f>
        <v>0.489700110418525</v>
      </c>
    </row>
    <row r="191" customFormat="false" ht="15" hidden="false" customHeight="false" outlineLevel="0" collapsed="false">
      <c r="A191" s="8" t="n">
        <f aca="false">Base!A191</f>
        <v>43769</v>
      </c>
      <c r="B191" s="10" t="n">
        <f aca="false">IF(COUNT(Transf!B$39:B191)&lt;36,"",(Transf!B191-AVERAGE(Transf!B$39:B191))/STDEV(Transf!B$39:B191))</f>
        <v>0.591392174412356</v>
      </c>
      <c r="C191" s="10" t="n">
        <f aca="false">IF(COUNT(Transf!C$39:C191)&lt;36,"",(Transf!C191-AVERAGE(Transf!C$39:C191))/STDEV(Transf!C$39:C191))</f>
        <v>-0.00657636466825954</v>
      </c>
      <c r="D191" s="10" t="n">
        <f aca="false">IF(COUNT(Transf!D$39:D191)&lt;36,"",(Transf!D191-AVERAGE(Transf!D$39:D191))/STDEV(Transf!D$39:D191))</f>
        <v>0.226530287855831</v>
      </c>
      <c r="E191" s="10" t="n">
        <f aca="false">IF(COUNT(Transf!E$39:E191)&lt;36,"",(Transf!E191-AVERAGE(Transf!E$39:E191))/STDEV(Transf!E$39:E191))</f>
        <v>1.52806624108354</v>
      </c>
      <c r="F191" s="10" t="n">
        <f aca="false">IF(COUNT(Transf!F$39:F191)&lt;36,"",(Transf!F191-AVERAGE(Transf!F$39:F191))/STDEV(Transf!F$39:F191))</f>
        <v>1.4399413547439</v>
      </c>
      <c r="G191" s="10" t="n">
        <f aca="false">IF(COUNT(Transf!G$39:G191)&lt;36,"",(Transf!G191-AVERAGE(Transf!G$39:G191))/STDEV(Transf!G$39:G191))</f>
        <v>0.215167305004246</v>
      </c>
      <c r="H191" s="10" t="n">
        <f aca="false">IF(COUNT(Transf!H$39:H191)&lt;36,"",(Transf!H191-AVERAGE(Transf!H$39:H191))/STDEV(Transf!H$39:H191))</f>
        <v>-0.10351424385879</v>
      </c>
      <c r="I191" s="10" t="n">
        <f aca="false">IF(COUNT(Transf!I$39:I191)&lt;36,"",(Transf!I191-AVERAGE(Transf!I$39:I191))/STDEV(Transf!I$39:I191))</f>
        <v>-0.434700542318782</v>
      </c>
      <c r="J191" s="10" t="n">
        <f aca="false">IF(B191="","",IF(COUNT(B$74:B191)&lt;60,B191,MEDIAN(QUARTILE(B$74:B191,1)-1.5*(QUARTILE(B$74:B191,3)-QUARTILE(B$74:B191,1)),B191,QUARTILE(B$74:B191,3)+1.5*(QUARTILE(B$74:B191,3)-QUARTILE(B$74:B191,1)))))</f>
        <v>0.591392174412356</v>
      </c>
      <c r="K191" s="10" t="n">
        <f aca="false">IF(C191="","",IF(COUNT(C$74:C191)&lt;60,C191,MEDIAN(QUARTILE(C$74:C191,1)-1.5*(QUARTILE(C$74:C191,3)-QUARTILE(C$74:C191,1)),C191,QUARTILE(C$74:C191,3)+1.5*(QUARTILE(C$74:C191,3)-QUARTILE(C$74:C191,1)))))</f>
        <v>-0.00657636466825954</v>
      </c>
      <c r="L191" s="10" t="n">
        <f aca="false">IF(D191="","",IF(COUNT(D$74:D191)&lt;60,D191,MEDIAN(QUARTILE(D$74:D191,1)-1.5*(QUARTILE(D$74:D191,3)-QUARTILE(D$74:D191,1)),D191,QUARTILE(D$74:D191,3)+1.5*(QUARTILE(D$74:D191,3)-QUARTILE(D$74:D191,1)))))</f>
        <v>0.226530287855831</v>
      </c>
      <c r="M191" s="10" t="n">
        <f aca="false">IF(E191="","",IF(COUNT(E$74:E191)&lt;60,E191,MEDIAN(QUARTILE(E$74:E191,1)-1.5*(QUARTILE(E$74:E191,3)-QUARTILE(E$74:E191,1)),E191,QUARTILE(E$74:E191,3)+1.5*(QUARTILE(E$74:E191,3)-QUARTILE(E$74:E191,1)))))</f>
        <v>1.52806624108354</v>
      </c>
      <c r="N191" s="10" t="n">
        <f aca="false">IF(F191="","",IF(COUNT(F$74:F191)&lt;60,F191,MEDIAN(QUARTILE(F$74:F191,1)-1.5*(QUARTILE(F$74:F191,3)-QUARTILE(F$74:F191,1)),F191,QUARTILE(F$74:F191,3)+1.5*(QUARTILE(F$74:F191,3)-QUARTILE(F$74:F191,1)))))</f>
        <v>1.4399413547439</v>
      </c>
      <c r="O191" s="10" t="n">
        <f aca="false">IF(G191="","",IF(COUNT(G$74:G191)&lt;60,G191,MEDIAN(QUARTILE(G$74:G191,1)-1.5*(QUARTILE(G$74:G191,3)-QUARTILE(G$74:G191,1)),G191,QUARTILE(G$74:G191,3)+1.5*(QUARTILE(G$74:G191,3)-QUARTILE(G$74:G191,1)))))</f>
        <v>0.215167305004246</v>
      </c>
      <c r="P191" s="10" t="n">
        <f aca="false">IF(H191="","",IF(COUNT(H$74:H191)&lt;60,H191,MEDIAN(QUARTILE(H$74:H191,1)-1.5*(QUARTILE(H$74:H191,3)-QUARTILE(H$74:H191,1)),H191,QUARTILE(H$74:H191,3)+1.5*(QUARTILE(H$74:H191,3)-QUARTILE(H$74:H191,1)))))</f>
        <v>-0.10351424385879</v>
      </c>
      <c r="Q191" s="10" t="n">
        <f aca="false">IF(I191="","",IF(COUNT(I$74:I191)&lt;60,I191,MEDIAN(QUARTILE(I$74:I191,1)-1.5*(QUARTILE(I$74:I191,3)-QUARTILE(I$74:I191,1)),I191,QUARTILE(I$74:I191,3)+1.5*(QUARTILE(I$74:I191,3)-QUARTILE(I$74:I191,1)))))</f>
        <v>-0.434700542318782</v>
      </c>
      <c r="R191" s="10" t="n">
        <f aca="false">IF(J191="","",MEDIAN(J191:Q191))</f>
        <v>0.220848796430039</v>
      </c>
      <c r="S191" s="10" t="n">
        <f aca="false">IF(R191="","",ABS(R191))</f>
        <v>0.220848796430039</v>
      </c>
      <c r="T191" s="10" t="n">
        <f aca="false">IF(COUNT(S$74:S190)&lt;60,"",MEDIAN(S$74:S190))</f>
        <v>0.343074934110517</v>
      </c>
      <c r="U191" s="10" t="n">
        <f aca="false">IF(R191="","",IF(T191="",0,IF(S191&gt;=T191,R191,0)))</f>
        <v>0</v>
      </c>
      <c r="V191" s="10" t="n">
        <f aca="false">IF(U191="","",MEDIAN(-1,U191,1))</f>
        <v>0</v>
      </c>
      <c r="W191" s="10" t="n">
        <f aca="false">IF(J191="","",AVERAGE(J191:Q191))</f>
        <v>0.432038276531756</v>
      </c>
    </row>
    <row r="192" customFormat="false" ht="15" hidden="false" customHeight="false" outlineLevel="0" collapsed="false">
      <c r="A192" s="8" t="n">
        <f aca="false">Base!A192</f>
        <v>43799</v>
      </c>
      <c r="B192" s="10" t="n">
        <f aca="false">IF(COUNT(Transf!B$39:B192)&lt;36,"",(Transf!B192-AVERAGE(Transf!B$39:B192))/STDEV(Transf!B$39:B192))</f>
        <v>0.649232656718914</v>
      </c>
      <c r="C192" s="10" t="n">
        <f aca="false">IF(COUNT(Transf!C$39:C192)&lt;36,"",(Transf!C192-AVERAGE(Transf!C$39:C192))/STDEV(Transf!C$39:C192))</f>
        <v>0.101794320524068</v>
      </c>
      <c r="D192" s="10" t="n">
        <f aca="false">IF(COUNT(Transf!D$39:D192)&lt;36,"",(Transf!D192-AVERAGE(Transf!D$39:D192))/STDEV(Transf!D$39:D192))</f>
        <v>0.270614803293089</v>
      </c>
      <c r="E192" s="10" t="n">
        <f aca="false">IF(COUNT(Transf!E$39:E192)&lt;36,"",(Transf!E192-AVERAGE(Transf!E$39:E192))/STDEV(Transf!E$39:E192))</f>
        <v>1.23170769684488</v>
      </c>
      <c r="F192" s="10" t="n">
        <f aca="false">IF(COUNT(Transf!F$39:F192)&lt;36,"",(Transf!F192-AVERAGE(Transf!F$39:F192))/STDEV(Transf!F$39:F192))</f>
        <v>1.26522893614755</v>
      </c>
      <c r="G192" s="10" t="n">
        <f aca="false">IF(COUNT(Transf!G$39:G192)&lt;36,"",(Transf!G192-AVERAGE(Transf!G$39:G192))/STDEV(Transf!G$39:G192))</f>
        <v>0.178806299516799</v>
      </c>
      <c r="H192" s="10" t="n">
        <f aca="false">IF(COUNT(Transf!H$39:H192)&lt;36,"",(Transf!H192-AVERAGE(Transf!H$39:H192))/STDEV(Transf!H$39:H192))</f>
        <v>0.0369651104511928</v>
      </c>
      <c r="I192" s="10" t="n">
        <f aca="false">IF(COUNT(Transf!I$39:I192)&lt;36,"",(Transf!I192-AVERAGE(Transf!I$39:I192))/STDEV(Transf!I$39:I192))</f>
        <v>-0.22484822327145</v>
      </c>
      <c r="J192" s="10" t="n">
        <f aca="false">IF(B192="","",IF(COUNT(B$74:B192)&lt;60,B192,MEDIAN(QUARTILE(B$74:B192,1)-1.5*(QUARTILE(B$74:B192,3)-QUARTILE(B$74:B192,1)),B192,QUARTILE(B$74:B192,3)+1.5*(QUARTILE(B$74:B192,3)-QUARTILE(B$74:B192,1)))))</f>
        <v>0.649232656718914</v>
      </c>
      <c r="K192" s="10" t="n">
        <f aca="false">IF(C192="","",IF(COUNT(C$74:C192)&lt;60,C192,MEDIAN(QUARTILE(C$74:C192,1)-1.5*(QUARTILE(C$74:C192,3)-QUARTILE(C$74:C192,1)),C192,QUARTILE(C$74:C192,3)+1.5*(QUARTILE(C$74:C192,3)-QUARTILE(C$74:C192,1)))))</f>
        <v>0.101794320524068</v>
      </c>
      <c r="L192" s="10" t="n">
        <f aca="false">IF(D192="","",IF(COUNT(D$74:D192)&lt;60,D192,MEDIAN(QUARTILE(D$74:D192,1)-1.5*(QUARTILE(D$74:D192,3)-QUARTILE(D$74:D192,1)),D192,QUARTILE(D$74:D192,3)+1.5*(QUARTILE(D$74:D192,3)-QUARTILE(D$74:D192,1)))))</f>
        <v>0.270614803293089</v>
      </c>
      <c r="M192" s="10" t="n">
        <f aca="false">IF(E192="","",IF(COUNT(E$74:E192)&lt;60,E192,MEDIAN(QUARTILE(E$74:E192,1)-1.5*(QUARTILE(E$74:E192,3)-QUARTILE(E$74:E192,1)),E192,QUARTILE(E$74:E192,3)+1.5*(QUARTILE(E$74:E192,3)-QUARTILE(E$74:E192,1)))))</f>
        <v>1.23170769684488</v>
      </c>
      <c r="N192" s="10" t="n">
        <f aca="false">IF(F192="","",IF(COUNT(F$74:F192)&lt;60,F192,MEDIAN(QUARTILE(F$74:F192,1)-1.5*(QUARTILE(F$74:F192,3)-QUARTILE(F$74:F192,1)),F192,QUARTILE(F$74:F192,3)+1.5*(QUARTILE(F$74:F192,3)-QUARTILE(F$74:F192,1)))))</f>
        <v>1.26522893614755</v>
      </c>
      <c r="O192" s="10" t="n">
        <f aca="false">IF(G192="","",IF(COUNT(G$74:G192)&lt;60,G192,MEDIAN(QUARTILE(G$74:G192,1)-1.5*(QUARTILE(G$74:G192,3)-QUARTILE(G$74:G192,1)),G192,QUARTILE(G$74:G192,3)+1.5*(QUARTILE(G$74:G192,3)-QUARTILE(G$74:G192,1)))))</f>
        <v>0.178806299516799</v>
      </c>
      <c r="P192" s="10" t="n">
        <f aca="false">IF(H192="","",IF(COUNT(H$74:H192)&lt;60,H192,MEDIAN(QUARTILE(H$74:H192,1)-1.5*(QUARTILE(H$74:H192,3)-QUARTILE(H$74:H192,1)),H192,QUARTILE(H$74:H192,3)+1.5*(QUARTILE(H$74:H192,3)-QUARTILE(H$74:H192,1)))))</f>
        <v>0.0369651104511928</v>
      </c>
      <c r="Q192" s="10" t="n">
        <f aca="false">IF(I192="","",IF(COUNT(I$74:I192)&lt;60,I192,MEDIAN(QUARTILE(I$74:I192,1)-1.5*(QUARTILE(I$74:I192,3)-QUARTILE(I$74:I192,1)),I192,QUARTILE(I$74:I192,3)+1.5*(QUARTILE(I$74:I192,3)-QUARTILE(I$74:I192,1)))))</f>
        <v>-0.22484822327145</v>
      </c>
      <c r="R192" s="10" t="n">
        <f aca="false">IF(J192="","",MEDIAN(J192:Q192))</f>
        <v>0.224710551404944</v>
      </c>
      <c r="S192" s="10" t="n">
        <f aca="false">IF(R192="","",ABS(R192))</f>
        <v>0.224710551404944</v>
      </c>
      <c r="T192" s="10" t="n">
        <f aca="false">IF(COUNT(S$74:S191)&lt;60,"",MEDIAN(S$74:S191))</f>
        <v>0.326451209426089</v>
      </c>
      <c r="U192" s="10" t="n">
        <f aca="false">IF(R192="","",IF(T192="",0,IF(S192&gt;=T192,R192,0)))</f>
        <v>0</v>
      </c>
      <c r="V192" s="10" t="n">
        <f aca="false">IF(U192="","",MEDIAN(-1,U192,1))</f>
        <v>0</v>
      </c>
      <c r="W192" s="10" t="n">
        <f aca="false">IF(J192="","",AVERAGE(J192:Q192))</f>
        <v>0.438687700028131</v>
      </c>
    </row>
    <row r="193" customFormat="false" ht="15" hidden="false" customHeight="false" outlineLevel="0" collapsed="false">
      <c r="A193" s="8" t="n">
        <f aca="false">Base!A193</f>
        <v>43830</v>
      </c>
      <c r="B193" s="10" t="n">
        <f aca="false">IF(COUNT(Transf!B$39:B193)&lt;36,"",(Transf!B193-AVERAGE(Transf!B$39:B193))/STDEV(Transf!B$39:B193))</f>
        <v>0.373989333383633</v>
      </c>
      <c r="C193" s="10" t="n">
        <f aca="false">IF(COUNT(Transf!C$39:C193)&lt;36,"",(Transf!C193-AVERAGE(Transf!C$39:C193))/STDEV(Transf!C$39:C193))</f>
        <v>0.212551550489679</v>
      </c>
      <c r="D193" s="10" t="n">
        <f aca="false">IF(COUNT(Transf!D$39:D193)&lt;36,"",(Transf!D193-AVERAGE(Transf!D$39:D193))/STDEV(Transf!D$39:D193))</f>
        <v>0.205471805393499</v>
      </c>
      <c r="E193" s="10" t="n">
        <f aca="false">IF(COUNT(Transf!E$39:E193)&lt;36,"",(Transf!E193-AVERAGE(Transf!E$39:E193))/STDEV(Transf!E$39:E193))</f>
        <v>1.21069811023318</v>
      </c>
      <c r="F193" s="10" t="n">
        <f aca="false">IF(COUNT(Transf!F$39:F193)&lt;36,"",(Transf!F193-AVERAGE(Transf!F$39:F193))/STDEV(Transf!F$39:F193))</f>
        <v>1.25116879474784</v>
      </c>
      <c r="G193" s="10" t="n">
        <f aca="false">IF(COUNT(Transf!G$39:G193)&lt;36,"",(Transf!G193-AVERAGE(Transf!G$39:G193))/STDEV(Transf!G$39:G193))</f>
        <v>0.504999976529355</v>
      </c>
      <c r="H193" s="10" t="n">
        <f aca="false">IF(COUNT(Transf!H$39:H193)&lt;36,"",(Transf!H193-AVERAGE(Transf!H$39:H193))/STDEV(Transf!H$39:H193))</f>
        <v>0.264596913009938</v>
      </c>
      <c r="I193" s="10" t="n">
        <f aca="false">IF(COUNT(Transf!I$39:I193)&lt;36,"",(Transf!I193-AVERAGE(Transf!I$39:I193))/STDEV(Transf!I$39:I193))</f>
        <v>-0.164652911020042</v>
      </c>
      <c r="J193" s="10" t="n">
        <f aca="false">IF(B193="","",IF(COUNT(B$74:B193)&lt;60,B193,MEDIAN(QUARTILE(B$74:B193,1)-1.5*(QUARTILE(B$74:B193,3)-QUARTILE(B$74:B193,1)),B193,QUARTILE(B$74:B193,3)+1.5*(QUARTILE(B$74:B193,3)-QUARTILE(B$74:B193,1)))))</f>
        <v>0.373989333383633</v>
      </c>
      <c r="K193" s="10" t="n">
        <f aca="false">IF(C193="","",IF(COUNT(C$74:C193)&lt;60,C193,MEDIAN(QUARTILE(C$74:C193,1)-1.5*(QUARTILE(C$74:C193,3)-QUARTILE(C$74:C193,1)),C193,QUARTILE(C$74:C193,3)+1.5*(QUARTILE(C$74:C193,3)-QUARTILE(C$74:C193,1)))))</f>
        <v>0.212551550489679</v>
      </c>
      <c r="L193" s="10" t="n">
        <f aca="false">IF(D193="","",IF(COUNT(D$74:D193)&lt;60,D193,MEDIAN(QUARTILE(D$74:D193,1)-1.5*(QUARTILE(D$74:D193,3)-QUARTILE(D$74:D193,1)),D193,QUARTILE(D$74:D193,3)+1.5*(QUARTILE(D$74:D193,3)-QUARTILE(D$74:D193,1)))))</f>
        <v>0.205471805393499</v>
      </c>
      <c r="M193" s="10" t="n">
        <f aca="false">IF(E193="","",IF(COUNT(E$74:E193)&lt;60,E193,MEDIAN(QUARTILE(E$74:E193,1)-1.5*(QUARTILE(E$74:E193,3)-QUARTILE(E$74:E193,1)),E193,QUARTILE(E$74:E193,3)+1.5*(QUARTILE(E$74:E193,3)-QUARTILE(E$74:E193,1)))))</f>
        <v>1.21069811023318</v>
      </c>
      <c r="N193" s="10" t="n">
        <f aca="false">IF(F193="","",IF(COUNT(F$74:F193)&lt;60,F193,MEDIAN(QUARTILE(F$74:F193,1)-1.5*(QUARTILE(F$74:F193,3)-QUARTILE(F$74:F193,1)),F193,QUARTILE(F$74:F193,3)+1.5*(QUARTILE(F$74:F193,3)-QUARTILE(F$74:F193,1)))))</f>
        <v>1.25116879474784</v>
      </c>
      <c r="O193" s="10" t="n">
        <f aca="false">IF(G193="","",IF(COUNT(G$74:G193)&lt;60,G193,MEDIAN(QUARTILE(G$74:G193,1)-1.5*(QUARTILE(G$74:G193,3)-QUARTILE(G$74:G193,1)),G193,QUARTILE(G$74:G193,3)+1.5*(QUARTILE(G$74:G193,3)-QUARTILE(G$74:G193,1)))))</f>
        <v>0.504999976529355</v>
      </c>
      <c r="P193" s="10" t="n">
        <f aca="false">IF(H193="","",IF(COUNT(H$74:H193)&lt;60,H193,MEDIAN(QUARTILE(H$74:H193,1)-1.5*(QUARTILE(H$74:H193,3)-QUARTILE(H$74:H193,1)),H193,QUARTILE(H$74:H193,3)+1.5*(QUARTILE(H$74:H193,3)-QUARTILE(H$74:H193,1)))))</f>
        <v>0.264596913009938</v>
      </c>
      <c r="Q193" s="10" t="n">
        <f aca="false">IF(I193="","",IF(COUNT(I$74:I193)&lt;60,I193,MEDIAN(QUARTILE(I$74:I193,1)-1.5*(QUARTILE(I$74:I193,3)-QUARTILE(I$74:I193,1)),I193,QUARTILE(I$74:I193,3)+1.5*(QUARTILE(I$74:I193,3)-QUARTILE(I$74:I193,1)))))</f>
        <v>-0.164652911020042</v>
      </c>
      <c r="R193" s="10" t="n">
        <f aca="false">IF(J193="","",MEDIAN(J193:Q193))</f>
        <v>0.319293123196785</v>
      </c>
      <c r="S193" s="10" t="n">
        <f aca="false">IF(R193="","",ABS(R193))</f>
        <v>0.319293123196785</v>
      </c>
      <c r="T193" s="10" t="n">
        <f aca="false">IF(COUNT(S$74:S192)&lt;60,"",MEDIAN(S$74:S192))</f>
        <v>0.30982748474166</v>
      </c>
      <c r="U193" s="10" t="n">
        <f aca="false">IF(R193="","",IF(T193="",0,IF(S193&gt;=T193,R193,0)))</f>
        <v>0.319293123196785</v>
      </c>
      <c r="V193" s="10" t="n">
        <f aca="false">IF(U193="","",MEDIAN(-1,U193,1))</f>
        <v>0.319293123196785</v>
      </c>
      <c r="W193" s="10" t="n">
        <f aca="false">IF(J193="","",AVERAGE(J193:Q193))</f>
        <v>0.482352946595885</v>
      </c>
    </row>
    <row r="194" customFormat="false" ht="15" hidden="false" customHeight="false" outlineLevel="0" collapsed="false">
      <c r="A194" s="8" t="n">
        <f aca="false">Base!A194</f>
        <v>43861</v>
      </c>
      <c r="B194" s="10" t="n">
        <f aca="false">IF(COUNT(Transf!B$39:B194)&lt;36,"",(Transf!B194-AVERAGE(Transf!B$39:B194))/STDEV(Transf!B$39:B194))</f>
        <v>0.18322665100779</v>
      </c>
      <c r="C194" s="10" t="n">
        <f aca="false">IF(COUNT(Transf!C$39:C194)&lt;36,"",(Transf!C194-AVERAGE(Transf!C$39:C194))/STDEV(Transf!C$39:C194))</f>
        <v>0.226674613300724</v>
      </c>
      <c r="D194" s="10" t="n">
        <f aca="false">IF(COUNT(Transf!D$39:D194)&lt;36,"",(Transf!D194-AVERAGE(Transf!D$39:D194))/STDEV(Transf!D$39:D194))</f>
        <v>0.0180583223496925</v>
      </c>
      <c r="E194" s="10" t="n">
        <f aca="false">IF(COUNT(Transf!E$39:E194)&lt;36,"",(Transf!E194-AVERAGE(Transf!E$39:E194))/STDEV(Transf!E$39:E194))</f>
        <v>1.28793641582765</v>
      </c>
      <c r="F194" s="10" t="n">
        <f aca="false">IF(COUNT(Transf!F$39:F194)&lt;36,"",(Transf!F194-AVERAGE(Transf!F$39:F194))/STDEV(Transf!F$39:F194))</f>
        <v>1.18848744470012</v>
      </c>
      <c r="G194" s="10" t="n">
        <f aca="false">IF(COUNT(Transf!G$39:G194)&lt;36,"",(Transf!G194-AVERAGE(Transf!G$39:G194))/STDEV(Transf!G$39:G194))</f>
        <v>0.341981844254355</v>
      </c>
      <c r="H194" s="10" t="n">
        <f aca="false">IF(COUNT(Transf!H$39:H194)&lt;36,"",(Transf!H194-AVERAGE(Transf!H$39:H194))/STDEV(Transf!H$39:H194))</f>
        <v>0.436216576072274</v>
      </c>
      <c r="I194" s="10" t="n">
        <f aca="false">IF(COUNT(Transf!I$39:I194)&lt;36,"",(Transf!I194-AVERAGE(Transf!I$39:I194))/STDEV(Transf!I$39:I194))</f>
        <v>-0.1143268873615</v>
      </c>
      <c r="J194" s="10" t="n">
        <f aca="false">IF(B194="","",IF(COUNT(B$74:B194)&lt;60,B194,MEDIAN(QUARTILE(B$74:B194,1)-1.5*(QUARTILE(B$74:B194,3)-QUARTILE(B$74:B194,1)),B194,QUARTILE(B$74:B194,3)+1.5*(QUARTILE(B$74:B194,3)-QUARTILE(B$74:B194,1)))))</f>
        <v>0.18322665100779</v>
      </c>
      <c r="K194" s="10" t="n">
        <f aca="false">IF(C194="","",IF(COUNT(C$74:C194)&lt;60,C194,MEDIAN(QUARTILE(C$74:C194,1)-1.5*(QUARTILE(C$74:C194,3)-QUARTILE(C$74:C194,1)),C194,QUARTILE(C$74:C194,3)+1.5*(QUARTILE(C$74:C194,3)-QUARTILE(C$74:C194,1)))))</f>
        <v>0.226674613300724</v>
      </c>
      <c r="L194" s="10" t="n">
        <f aca="false">IF(D194="","",IF(COUNT(D$74:D194)&lt;60,D194,MEDIAN(QUARTILE(D$74:D194,1)-1.5*(QUARTILE(D$74:D194,3)-QUARTILE(D$74:D194,1)),D194,QUARTILE(D$74:D194,3)+1.5*(QUARTILE(D$74:D194,3)-QUARTILE(D$74:D194,1)))))</f>
        <v>0.0180583223496925</v>
      </c>
      <c r="M194" s="10" t="n">
        <f aca="false">IF(E194="","",IF(COUNT(E$74:E194)&lt;60,E194,MEDIAN(QUARTILE(E$74:E194,1)-1.5*(QUARTILE(E$74:E194,3)-QUARTILE(E$74:E194,1)),E194,QUARTILE(E$74:E194,3)+1.5*(QUARTILE(E$74:E194,3)-QUARTILE(E$74:E194,1)))))</f>
        <v>1.28793641582765</v>
      </c>
      <c r="N194" s="10" t="n">
        <f aca="false">IF(F194="","",IF(COUNT(F$74:F194)&lt;60,F194,MEDIAN(QUARTILE(F$74:F194,1)-1.5*(QUARTILE(F$74:F194,3)-QUARTILE(F$74:F194,1)),F194,QUARTILE(F$74:F194,3)+1.5*(QUARTILE(F$74:F194,3)-QUARTILE(F$74:F194,1)))))</f>
        <v>1.18848744470012</v>
      </c>
      <c r="O194" s="10" t="n">
        <f aca="false">IF(G194="","",IF(COUNT(G$74:G194)&lt;60,G194,MEDIAN(QUARTILE(G$74:G194,1)-1.5*(QUARTILE(G$74:G194,3)-QUARTILE(G$74:G194,1)),G194,QUARTILE(G$74:G194,3)+1.5*(QUARTILE(G$74:G194,3)-QUARTILE(G$74:G194,1)))))</f>
        <v>0.341981844254355</v>
      </c>
      <c r="P194" s="10" t="n">
        <f aca="false">IF(H194="","",IF(COUNT(H$74:H194)&lt;60,H194,MEDIAN(QUARTILE(H$74:H194,1)-1.5*(QUARTILE(H$74:H194,3)-QUARTILE(H$74:H194,1)),H194,QUARTILE(H$74:H194,3)+1.5*(QUARTILE(H$74:H194,3)-QUARTILE(H$74:H194,1)))))</f>
        <v>0.436216576072274</v>
      </c>
      <c r="Q194" s="10" t="n">
        <f aca="false">IF(I194="","",IF(COUNT(I$74:I194)&lt;60,I194,MEDIAN(QUARTILE(I$74:I194,1)-1.5*(QUARTILE(I$74:I194,3)-QUARTILE(I$74:I194,1)),I194,QUARTILE(I$74:I194,3)+1.5*(QUARTILE(I$74:I194,3)-QUARTILE(I$74:I194,1)))))</f>
        <v>-0.1143268873615</v>
      </c>
      <c r="R194" s="10" t="n">
        <f aca="false">IF(J194="","",MEDIAN(J194:Q194))</f>
        <v>0.28432822877754</v>
      </c>
      <c r="S194" s="10" t="n">
        <f aca="false">IF(R194="","",ABS(R194))</f>
        <v>0.28432822877754</v>
      </c>
      <c r="T194" s="10" t="n">
        <f aca="false">IF(COUNT(S$74:S193)&lt;60,"",MEDIAN(S$74:S193))</f>
        <v>0.314560303969223</v>
      </c>
      <c r="U194" s="10" t="n">
        <f aca="false">IF(R194="","",IF(T194="",0,IF(S194&gt;=T194,R194,0)))</f>
        <v>0</v>
      </c>
      <c r="V194" s="10" t="n">
        <f aca="false">IF(U194="","",MEDIAN(-1,U194,1))</f>
        <v>0</v>
      </c>
      <c r="W194" s="10" t="n">
        <f aca="false">IF(J194="","",AVERAGE(J194:Q194))</f>
        <v>0.446031872518888</v>
      </c>
    </row>
    <row r="195" customFormat="false" ht="15" hidden="false" customHeight="false" outlineLevel="0" collapsed="false">
      <c r="A195" s="8" t="n">
        <f aca="false">Base!A195</f>
        <v>43890</v>
      </c>
      <c r="B195" s="10" t="n">
        <f aca="false">IF(COUNT(Transf!B$39:B195)&lt;36,"",(Transf!B195-AVERAGE(Transf!B$39:B195))/STDEV(Transf!B$39:B195))</f>
        <v>-0.0584783375918878</v>
      </c>
      <c r="C195" s="10" t="n">
        <f aca="false">IF(COUNT(Transf!C$39:C195)&lt;36,"",(Transf!C195-AVERAGE(Transf!C$39:C195))/STDEV(Transf!C$39:C195))</f>
        <v>0.185435286610433</v>
      </c>
      <c r="D195" s="10" t="n">
        <f aca="false">IF(COUNT(Transf!D$39:D195)&lt;36,"",(Transf!D195-AVERAGE(Transf!D$39:D195))/STDEV(Transf!D$39:D195))</f>
        <v>-0.0749731557749069</v>
      </c>
      <c r="E195" s="10" t="n">
        <f aca="false">IF(COUNT(Transf!E$39:E195)&lt;36,"",(Transf!E195-AVERAGE(Transf!E$39:E195))/STDEV(Transf!E$39:E195))</f>
        <v>1.28724570890442</v>
      </c>
      <c r="F195" s="10" t="n">
        <f aca="false">IF(COUNT(Transf!F$39:F195)&lt;36,"",(Transf!F195-AVERAGE(Transf!F$39:F195))/STDEV(Transf!F$39:F195))</f>
        <v>1.40163809712162</v>
      </c>
      <c r="G195" s="10" t="n">
        <f aca="false">IF(COUNT(Transf!G$39:G195)&lt;36,"",(Transf!G195-AVERAGE(Transf!G$39:G195))/STDEV(Transf!G$39:G195))</f>
        <v>0.306037170620189</v>
      </c>
      <c r="H195" s="10" t="n">
        <f aca="false">IF(COUNT(Transf!H$39:H195)&lt;36,"",(Transf!H195-AVERAGE(Transf!H$39:H195))/STDEV(Transf!H$39:H195))</f>
        <v>0.475005951296763</v>
      </c>
      <c r="I195" s="10" t="n">
        <f aca="false">IF(COUNT(Transf!I$39:I195)&lt;36,"",(Transf!I195-AVERAGE(Transf!I$39:I195))/STDEV(Transf!I$39:I195))</f>
        <v>-0.272107423185471</v>
      </c>
      <c r="J195" s="10" t="n">
        <f aca="false">IF(B195="","",IF(COUNT(B$74:B195)&lt;60,B195,MEDIAN(QUARTILE(B$74:B195,1)-1.5*(QUARTILE(B$74:B195,3)-QUARTILE(B$74:B195,1)),B195,QUARTILE(B$74:B195,3)+1.5*(QUARTILE(B$74:B195,3)-QUARTILE(B$74:B195,1)))))</f>
        <v>-0.0584783375918878</v>
      </c>
      <c r="K195" s="10" t="n">
        <f aca="false">IF(C195="","",IF(COUNT(C$74:C195)&lt;60,C195,MEDIAN(QUARTILE(C$74:C195,1)-1.5*(QUARTILE(C$74:C195,3)-QUARTILE(C$74:C195,1)),C195,QUARTILE(C$74:C195,3)+1.5*(QUARTILE(C$74:C195,3)-QUARTILE(C$74:C195,1)))))</f>
        <v>0.185435286610433</v>
      </c>
      <c r="L195" s="10" t="n">
        <f aca="false">IF(D195="","",IF(COUNT(D$74:D195)&lt;60,D195,MEDIAN(QUARTILE(D$74:D195,1)-1.5*(QUARTILE(D$74:D195,3)-QUARTILE(D$74:D195,1)),D195,QUARTILE(D$74:D195,3)+1.5*(QUARTILE(D$74:D195,3)-QUARTILE(D$74:D195,1)))))</f>
        <v>-0.0749731557749069</v>
      </c>
      <c r="M195" s="10" t="n">
        <f aca="false">IF(E195="","",IF(COUNT(E$74:E195)&lt;60,E195,MEDIAN(QUARTILE(E$74:E195,1)-1.5*(QUARTILE(E$74:E195,3)-QUARTILE(E$74:E195,1)),E195,QUARTILE(E$74:E195,3)+1.5*(QUARTILE(E$74:E195,3)-QUARTILE(E$74:E195,1)))))</f>
        <v>1.28724570890442</v>
      </c>
      <c r="N195" s="10" t="n">
        <f aca="false">IF(F195="","",IF(COUNT(F$74:F195)&lt;60,F195,MEDIAN(QUARTILE(F$74:F195,1)-1.5*(QUARTILE(F$74:F195,3)-QUARTILE(F$74:F195,1)),F195,QUARTILE(F$74:F195,3)+1.5*(QUARTILE(F$74:F195,3)-QUARTILE(F$74:F195,1)))))</f>
        <v>1.40163809712162</v>
      </c>
      <c r="O195" s="10" t="n">
        <f aca="false">IF(G195="","",IF(COUNT(G$74:G195)&lt;60,G195,MEDIAN(QUARTILE(G$74:G195,1)-1.5*(QUARTILE(G$74:G195,3)-QUARTILE(G$74:G195,1)),G195,QUARTILE(G$74:G195,3)+1.5*(QUARTILE(G$74:G195,3)-QUARTILE(G$74:G195,1)))))</f>
        <v>0.306037170620189</v>
      </c>
      <c r="P195" s="10" t="n">
        <f aca="false">IF(H195="","",IF(COUNT(H$74:H195)&lt;60,H195,MEDIAN(QUARTILE(H$74:H195,1)-1.5*(QUARTILE(H$74:H195,3)-QUARTILE(H$74:H195,1)),H195,QUARTILE(H$74:H195,3)+1.5*(QUARTILE(H$74:H195,3)-QUARTILE(H$74:H195,1)))))</f>
        <v>0.475005951296763</v>
      </c>
      <c r="Q195" s="10" t="n">
        <f aca="false">IF(I195="","",IF(COUNT(I$74:I195)&lt;60,I195,MEDIAN(QUARTILE(I$74:I195,1)-1.5*(QUARTILE(I$74:I195,3)-QUARTILE(I$74:I195,1)),I195,QUARTILE(I$74:I195,3)+1.5*(QUARTILE(I$74:I195,3)-QUARTILE(I$74:I195,1)))))</f>
        <v>-0.272107423185471</v>
      </c>
      <c r="R195" s="10" t="n">
        <f aca="false">IF(J195="","",MEDIAN(J195:Q195))</f>
        <v>0.245736228615311</v>
      </c>
      <c r="S195" s="10" t="n">
        <f aca="false">IF(R195="","",ABS(R195))</f>
        <v>0.245736228615311</v>
      </c>
      <c r="T195" s="10" t="n">
        <f aca="false">IF(COUNT(S$74:S194)&lt;60,"",MEDIAN(S$74:S194))</f>
        <v>0.30982748474166</v>
      </c>
      <c r="U195" s="10" t="n">
        <f aca="false">IF(R195="","",IF(T195="",0,IF(S195&gt;=T195,R195,0)))</f>
        <v>0</v>
      </c>
      <c r="V195" s="10" t="n">
        <f aca="false">IF(U195="","",MEDIAN(-1,U195,1))</f>
        <v>0</v>
      </c>
      <c r="W195" s="10" t="n">
        <f aca="false">IF(J195="","",AVERAGE(J195:Q195))</f>
        <v>0.406225412250144</v>
      </c>
    </row>
    <row r="196" customFormat="false" ht="15" hidden="false" customHeight="false" outlineLevel="0" collapsed="false">
      <c r="A196" s="8" t="n">
        <f aca="false">Base!A196</f>
        <v>43921</v>
      </c>
      <c r="B196" s="10" t="n">
        <f aca="false">IF(COUNT(Transf!B$39:B196)&lt;36,"",(Transf!B196-AVERAGE(Transf!B$39:B196))/STDEV(Transf!B$39:B196))</f>
        <v>-0.367983734355942</v>
      </c>
      <c r="C196" s="10" t="n">
        <f aca="false">IF(COUNT(Transf!C$39:C196)&lt;36,"",(Transf!C196-AVERAGE(Transf!C$39:C196))/STDEV(Transf!C$39:C196))</f>
        <v>-0.573955898080016</v>
      </c>
      <c r="D196" s="10" t="n">
        <f aca="false">IF(COUNT(Transf!D$39:D196)&lt;36,"",(Transf!D196-AVERAGE(Transf!D$39:D196))/STDEV(Transf!D$39:D196))</f>
        <v>-1.44144256826149</v>
      </c>
      <c r="E196" s="10" t="n">
        <f aca="false">IF(COUNT(Transf!E$39:E196)&lt;36,"",(Transf!E196-AVERAGE(Transf!E$39:E196))/STDEV(Transf!E$39:E196))</f>
        <v>1.12642981010383</v>
      </c>
      <c r="F196" s="10" t="n">
        <f aca="false">IF(COUNT(Transf!F$39:F196)&lt;36,"",(Transf!F196-AVERAGE(Transf!F$39:F196))/STDEV(Transf!F$39:F196))</f>
        <v>1.35026133977526</v>
      </c>
      <c r="G196" s="10" t="n">
        <f aca="false">IF(COUNT(Transf!G$39:G196)&lt;36,"",(Transf!G196-AVERAGE(Transf!G$39:G196))/STDEV(Transf!G$39:G196))</f>
        <v>0.0208034030931316</v>
      </c>
      <c r="H196" s="10" t="n">
        <f aca="false">IF(COUNT(Transf!H$39:H196)&lt;36,"",(Transf!H196-AVERAGE(Transf!H$39:H196))/STDEV(Transf!H$39:H196))</f>
        <v>0.251630752733612</v>
      </c>
      <c r="I196" s="10" t="n">
        <f aca="false">IF(COUNT(Transf!I$39:I196)&lt;36,"",(Transf!I196-AVERAGE(Transf!I$39:I196))/STDEV(Transf!I$39:I196))</f>
        <v>-0.601040875635706</v>
      </c>
      <c r="J196" s="10" t="n">
        <f aca="false">IF(B196="","",IF(COUNT(B$74:B196)&lt;60,B196,MEDIAN(QUARTILE(B$74:B196,1)-1.5*(QUARTILE(B$74:B196,3)-QUARTILE(B$74:B196,1)),B196,QUARTILE(B$74:B196,3)+1.5*(QUARTILE(B$74:B196,3)-QUARTILE(B$74:B196,1)))))</f>
        <v>-0.367983734355942</v>
      </c>
      <c r="K196" s="10" t="n">
        <f aca="false">IF(C196="","",IF(COUNT(C$74:C196)&lt;60,C196,MEDIAN(QUARTILE(C$74:C196,1)-1.5*(QUARTILE(C$74:C196,3)-QUARTILE(C$74:C196,1)),C196,QUARTILE(C$74:C196,3)+1.5*(QUARTILE(C$74:C196,3)-QUARTILE(C$74:C196,1)))))</f>
        <v>-0.573955898080016</v>
      </c>
      <c r="L196" s="10" t="n">
        <f aca="false">IF(D196="","",IF(COUNT(D$74:D196)&lt;60,D196,MEDIAN(QUARTILE(D$74:D196,1)-1.5*(QUARTILE(D$74:D196,3)-QUARTILE(D$74:D196,1)),D196,QUARTILE(D$74:D196,3)+1.5*(QUARTILE(D$74:D196,3)-QUARTILE(D$74:D196,1)))))</f>
        <v>-1.44144256826149</v>
      </c>
      <c r="M196" s="10" t="n">
        <f aca="false">IF(E196="","",IF(COUNT(E$74:E196)&lt;60,E196,MEDIAN(QUARTILE(E$74:E196,1)-1.5*(QUARTILE(E$74:E196,3)-QUARTILE(E$74:E196,1)),E196,QUARTILE(E$74:E196,3)+1.5*(QUARTILE(E$74:E196,3)-QUARTILE(E$74:E196,1)))))</f>
        <v>1.12642981010383</v>
      </c>
      <c r="N196" s="10" t="n">
        <f aca="false">IF(F196="","",IF(COUNT(F$74:F196)&lt;60,F196,MEDIAN(QUARTILE(F$74:F196,1)-1.5*(QUARTILE(F$74:F196,3)-QUARTILE(F$74:F196,1)),F196,QUARTILE(F$74:F196,3)+1.5*(QUARTILE(F$74:F196,3)-QUARTILE(F$74:F196,1)))))</f>
        <v>1.35026133977526</v>
      </c>
      <c r="O196" s="10" t="n">
        <f aca="false">IF(G196="","",IF(COUNT(G$74:G196)&lt;60,G196,MEDIAN(QUARTILE(G$74:G196,1)-1.5*(QUARTILE(G$74:G196,3)-QUARTILE(G$74:G196,1)),G196,QUARTILE(G$74:G196,3)+1.5*(QUARTILE(G$74:G196,3)-QUARTILE(G$74:G196,1)))))</f>
        <v>0.0208034030931316</v>
      </c>
      <c r="P196" s="10" t="n">
        <f aca="false">IF(H196="","",IF(COUNT(H$74:H196)&lt;60,H196,MEDIAN(QUARTILE(H$74:H196,1)-1.5*(QUARTILE(H$74:H196,3)-QUARTILE(H$74:H196,1)),H196,QUARTILE(H$74:H196,3)+1.5*(QUARTILE(H$74:H196,3)-QUARTILE(H$74:H196,1)))))</f>
        <v>0.251630752733612</v>
      </c>
      <c r="Q196" s="10" t="n">
        <f aca="false">IF(I196="","",IF(COUNT(I$74:I196)&lt;60,I196,MEDIAN(QUARTILE(I$74:I196,1)-1.5*(QUARTILE(I$74:I196,3)-QUARTILE(I$74:I196,1)),I196,QUARTILE(I$74:I196,3)+1.5*(QUARTILE(I$74:I196,3)-QUARTILE(I$74:I196,1)))))</f>
        <v>-0.601040875635706</v>
      </c>
      <c r="R196" s="10" t="n">
        <f aca="false">IF(J196="","",MEDIAN(J196:Q196))</f>
        <v>-0.173590165631405</v>
      </c>
      <c r="S196" s="10" t="n">
        <f aca="false">IF(R196="","",ABS(R196))</f>
        <v>0.173590165631405</v>
      </c>
      <c r="T196" s="10" t="n">
        <f aca="false">IF(COUNT(S$74:S195)&lt;60,"",MEDIAN(S$74:S195))</f>
        <v>0.309808311375809</v>
      </c>
      <c r="U196" s="10" t="n">
        <f aca="false">IF(R196="","",IF(T196="",0,IF(S196&gt;=T196,R196,0)))</f>
        <v>0</v>
      </c>
      <c r="V196" s="10" t="n">
        <f aca="false">IF(U196="","",MEDIAN(-1,U196,1))</f>
        <v>0</v>
      </c>
      <c r="W196" s="10" t="n">
        <f aca="false">IF(J196="","",AVERAGE(J196:Q196))</f>
        <v>-0.0294122213284145</v>
      </c>
    </row>
    <row r="197" customFormat="false" ht="15" hidden="false" customHeight="false" outlineLevel="0" collapsed="false">
      <c r="A197" s="8" t="n">
        <f aca="false">Base!A197</f>
        <v>43951</v>
      </c>
      <c r="B197" s="10" t="n">
        <f aca="false">IF(COUNT(Transf!B$39:B197)&lt;36,"",(Transf!B197-AVERAGE(Transf!B$39:B197))/STDEV(Transf!B$39:B197))</f>
        <v>-0.737715403472982</v>
      </c>
      <c r="C197" s="10" t="n">
        <f aca="false">IF(COUNT(Transf!C$39:C197)&lt;36,"",(Transf!C197-AVERAGE(Transf!C$39:C197))/STDEV(Transf!C$39:C197))</f>
        <v>-2.183196687679</v>
      </c>
      <c r="D197" s="10" t="n">
        <f aca="false">IF(COUNT(Transf!D$39:D197)&lt;36,"",(Transf!D197-AVERAGE(Transf!D$39:D197))/STDEV(Transf!D$39:D197))</f>
        <v>-3.51127753191871</v>
      </c>
      <c r="E197" s="10" t="n">
        <f aca="false">IF(COUNT(Transf!E$39:E197)&lt;36,"",(Transf!E197-AVERAGE(Transf!E$39:E197))/STDEV(Transf!E$39:E197))</f>
        <v>0.89525405780159</v>
      </c>
      <c r="F197" s="10" t="n">
        <f aca="false">IF(COUNT(Transf!F$39:F197)&lt;36,"",(Transf!F197-AVERAGE(Transf!F$39:F197))/STDEV(Transf!F$39:F197))</f>
        <v>0.448229887902631</v>
      </c>
      <c r="G197" s="10" t="n">
        <f aca="false">IF(COUNT(Transf!G$39:G197)&lt;36,"",(Transf!G197-AVERAGE(Transf!G$39:G197))/STDEV(Transf!G$39:G197))</f>
        <v>-0.166243194175577</v>
      </c>
      <c r="H197" s="10" t="n">
        <f aca="false">IF(COUNT(Transf!H$39:H197)&lt;36,"",(Transf!H197-AVERAGE(Transf!H$39:H197))/STDEV(Transf!H$39:H197))</f>
        <v>-0.213415519311015</v>
      </c>
      <c r="I197" s="10" t="n">
        <f aca="false">IF(COUNT(Transf!I$39:I197)&lt;36,"",(Transf!I197-AVERAGE(Transf!I$39:I197))/STDEV(Transf!I$39:I197))</f>
        <v>-0.94031267059179</v>
      </c>
      <c r="J197" s="10" t="n">
        <f aca="false">IF(B197="","",IF(COUNT(B$74:B197)&lt;60,B197,MEDIAN(QUARTILE(B$74:B197,1)-1.5*(QUARTILE(B$74:B197,3)-QUARTILE(B$74:B197,1)),B197,QUARTILE(B$74:B197,3)+1.5*(QUARTILE(B$74:B197,3)-QUARTILE(B$74:B197,1)))))</f>
        <v>-0.737715403472982</v>
      </c>
      <c r="K197" s="10" t="n">
        <f aca="false">IF(C197="","",IF(COUNT(C$74:C197)&lt;60,C197,MEDIAN(QUARTILE(C$74:C197,1)-1.5*(QUARTILE(C$74:C197,3)-QUARTILE(C$74:C197,1)),C197,QUARTILE(C$74:C197,3)+1.5*(QUARTILE(C$74:C197,3)-QUARTILE(C$74:C197,1)))))</f>
        <v>-1.94753980180336</v>
      </c>
      <c r="L197" s="10" t="n">
        <f aca="false">IF(D197="","",IF(COUNT(D$74:D197)&lt;60,D197,MEDIAN(QUARTILE(D$74:D197,1)-1.5*(QUARTILE(D$74:D197,3)-QUARTILE(D$74:D197,1)),D197,QUARTILE(D$74:D197,3)+1.5*(QUARTILE(D$74:D197,3)-QUARTILE(D$74:D197,1)))))</f>
        <v>-1.85317548663762</v>
      </c>
      <c r="M197" s="10" t="n">
        <f aca="false">IF(E197="","",IF(COUNT(E$74:E197)&lt;60,E197,MEDIAN(QUARTILE(E$74:E197,1)-1.5*(QUARTILE(E$74:E197,3)-QUARTILE(E$74:E197,1)),E197,QUARTILE(E$74:E197,3)+1.5*(QUARTILE(E$74:E197,3)-QUARTILE(E$74:E197,1)))))</f>
        <v>0.89525405780159</v>
      </c>
      <c r="N197" s="10" t="n">
        <f aca="false">IF(F197="","",IF(COUNT(F$74:F197)&lt;60,F197,MEDIAN(QUARTILE(F$74:F197,1)-1.5*(QUARTILE(F$74:F197,3)-QUARTILE(F$74:F197,1)),F197,QUARTILE(F$74:F197,3)+1.5*(QUARTILE(F$74:F197,3)-QUARTILE(F$74:F197,1)))))</f>
        <v>0.448229887902631</v>
      </c>
      <c r="O197" s="10" t="n">
        <f aca="false">IF(G197="","",IF(COUNT(G$74:G197)&lt;60,G197,MEDIAN(QUARTILE(G$74:G197,1)-1.5*(QUARTILE(G$74:G197,3)-QUARTILE(G$74:G197,1)),G197,QUARTILE(G$74:G197,3)+1.5*(QUARTILE(G$74:G197,3)-QUARTILE(G$74:G197,1)))))</f>
        <v>-0.166243194175577</v>
      </c>
      <c r="P197" s="10" t="n">
        <f aca="false">IF(H197="","",IF(COUNT(H$74:H197)&lt;60,H197,MEDIAN(QUARTILE(H$74:H197,1)-1.5*(QUARTILE(H$74:H197,3)-QUARTILE(H$74:H197,1)),H197,QUARTILE(H$74:H197,3)+1.5*(QUARTILE(H$74:H197,3)-QUARTILE(H$74:H197,1)))))</f>
        <v>-0.213415519311015</v>
      </c>
      <c r="Q197" s="10" t="n">
        <f aca="false">IF(I197="","",IF(COUNT(I$74:I197)&lt;60,I197,MEDIAN(QUARTILE(I$74:I197,1)-1.5*(QUARTILE(I$74:I197,3)-QUARTILE(I$74:I197,1)),I197,QUARTILE(I$74:I197,3)+1.5*(QUARTILE(I$74:I197,3)-QUARTILE(I$74:I197,1)))))</f>
        <v>-0.94031267059179</v>
      </c>
      <c r="R197" s="10" t="n">
        <f aca="false">IF(J197="","",MEDIAN(J197:Q197))</f>
        <v>-0.475565461391998</v>
      </c>
      <c r="S197" s="10" t="n">
        <f aca="false">IF(R197="","",ABS(R197))</f>
        <v>0.475565461391998</v>
      </c>
      <c r="T197" s="10" t="n">
        <f aca="false">IF(COUNT(S$74:S196)&lt;60,"",MEDIAN(S$74:S196))</f>
        <v>0.309789138009958</v>
      </c>
      <c r="U197" s="10" t="n">
        <f aca="false">IF(R197="","",IF(T197="",0,IF(S197&gt;=T197,R197,0)))</f>
        <v>-0.475565461391998</v>
      </c>
      <c r="V197" s="10" t="n">
        <f aca="false">IF(U197="","",MEDIAN(-1,U197,1))</f>
        <v>-0.475565461391998</v>
      </c>
      <c r="W197" s="10" t="n">
        <f aca="false">IF(J197="","",AVERAGE(J197:Q197))</f>
        <v>-0.564364766286016</v>
      </c>
    </row>
    <row r="198" customFormat="false" ht="15" hidden="false" customHeight="false" outlineLevel="0" collapsed="false">
      <c r="A198" s="8" t="n">
        <f aca="false">Base!A198</f>
        <v>43982</v>
      </c>
      <c r="B198" s="10" t="n">
        <f aca="false">IF(COUNT(Transf!B$39:B198)&lt;36,"",(Transf!B198-AVERAGE(Transf!B$39:B198))/STDEV(Transf!B$39:B198))</f>
        <v>-1.02300123437071</v>
      </c>
      <c r="C198" s="10" t="n">
        <f aca="false">IF(COUNT(Transf!C$39:C198)&lt;36,"",(Transf!C198-AVERAGE(Transf!C$39:C198))/STDEV(Transf!C$39:C198))</f>
        <v>-3.25965373250992</v>
      </c>
      <c r="D198" s="10" t="n">
        <f aca="false">IF(COUNT(Transf!D$39:D198)&lt;36,"",(Transf!D198-AVERAGE(Transf!D$39:D198))/STDEV(Transf!D$39:D198))</f>
        <v>-4.87877145686424</v>
      </c>
      <c r="E198" s="10" t="n">
        <f aca="false">IF(COUNT(Transf!E$39:E198)&lt;36,"",(Transf!E198-AVERAGE(Transf!E$39:E198))/STDEV(Transf!E$39:E198))</f>
        <v>0.610868429279857</v>
      </c>
      <c r="F198" s="10" t="n">
        <f aca="false">IF(COUNT(Transf!F$39:F198)&lt;36,"",(Transf!F198-AVERAGE(Transf!F$39:F198))/STDEV(Transf!F$39:F198))</f>
        <v>-0.941446471378271</v>
      </c>
      <c r="G198" s="10" t="n">
        <f aca="false">IF(COUNT(Transf!G$39:G198)&lt;36,"",(Transf!G198-AVERAGE(Transf!G$39:G198))/STDEV(Transf!G$39:G198))</f>
        <v>-0.253471616096966</v>
      </c>
      <c r="H198" s="10" t="n">
        <f aca="false">IF(COUNT(Transf!H$39:H198)&lt;36,"",(Transf!H198-AVERAGE(Transf!H$39:H198))/STDEV(Transf!H$39:H198))</f>
        <v>-0.549166955342069</v>
      </c>
      <c r="I198" s="10" t="n">
        <f aca="false">IF(COUNT(Transf!I$39:I198)&lt;36,"",(Transf!I198-AVERAGE(Transf!I$39:I198))/STDEV(Transf!I$39:I198))</f>
        <v>-1.19818725604437</v>
      </c>
      <c r="J198" s="10" t="n">
        <f aca="false">IF(B198="","",IF(COUNT(B$74:B198)&lt;60,B198,MEDIAN(QUARTILE(B$74:B198,1)-1.5*(QUARTILE(B$74:B198,3)-QUARTILE(B$74:B198,1)),B198,QUARTILE(B$74:B198,3)+1.5*(QUARTILE(B$74:B198,3)-QUARTILE(B$74:B198,1)))))</f>
        <v>-1.02300123437071</v>
      </c>
      <c r="K198" s="10" t="n">
        <f aca="false">IF(C198="","",IF(COUNT(C$74:C198)&lt;60,C198,MEDIAN(QUARTILE(C$74:C198,1)-1.5*(QUARTILE(C$74:C198,3)-QUARTILE(C$74:C198,1)),C198,QUARTILE(C$74:C198,3)+1.5*(QUARTILE(C$74:C198,3)-QUARTILE(C$74:C198,1)))))</f>
        <v>-1.9686984735066</v>
      </c>
      <c r="L198" s="10" t="n">
        <f aca="false">IF(D198="","",IF(COUNT(D$74:D198)&lt;60,D198,MEDIAN(QUARTILE(D$74:D198,1)-1.5*(QUARTILE(D$74:D198,3)-QUARTILE(D$74:D198,1)),D198,QUARTILE(D$74:D198,3)+1.5*(QUARTILE(D$74:D198,3)-QUARTILE(D$74:D198,1)))))</f>
        <v>-1.85689607999343</v>
      </c>
      <c r="M198" s="10" t="n">
        <f aca="false">IF(E198="","",IF(COUNT(E$74:E198)&lt;60,E198,MEDIAN(QUARTILE(E$74:E198,1)-1.5*(QUARTILE(E$74:E198,3)-QUARTILE(E$74:E198,1)),E198,QUARTILE(E$74:E198,3)+1.5*(QUARTILE(E$74:E198,3)-QUARTILE(E$74:E198,1)))))</f>
        <v>0.610868429279857</v>
      </c>
      <c r="N198" s="10" t="n">
        <f aca="false">IF(F198="","",IF(COUNT(F$74:F198)&lt;60,F198,MEDIAN(QUARTILE(F$74:F198,1)-1.5*(QUARTILE(F$74:F198,3)-QUARTILE(F$74:F198,1)),F198,QUARTILE(F$74:F198,3)+1.5*(QUARTILE(F$74:F198,3)-QUARTILE(F$74:F198,1)))))</f>
        <v>-0.941446471378271</v>
      </c>
      <c r="O198" s="10" t="n">
        <f aca="false">IF(G198="","",IF(COUNT(G$74:G198)&lt;60,G198,MEDIAN(QUARTILE(G$74:G198,1)-1.5*(QUARTILE(G$74:G198,3)-QUARTILE(G$74:G198,1)),G198,QUARTILE(G$74:G198,3)+1.5*(QUARTILE(G$74:G198,3)-QUARTILE(G$74:G198,1)))))</f>
        <v>-0.253471616096966</v>
      </c>
      <c r="P198" s="10" t="n">
        <f aca="false">IF(H198="","",IF(COUNT(H$74:H198)&lt;60,H198,MEDIAN(QUARTILE(H$74:H198,1)-1.5*(QUARTILE(H$74:H198,3)-QUARTILE(H$74:H198,1)),H198,QUARTILE(H$74:H198,3)+1.5*(QUARTILE(H$74:H198,3)-QUARTILE(H$74:H198,1)))))</f>
        <v>-0.549166955342069</v>
      </c>
      <c r="Q198" s="10" t="n">
        <f aca="false">IF(I198="","",IF(COUNT(I$74:I198)&lt;60,I198,MEDIAN(QUARTILE(I$74:I198,1)-1.5*(QUARTILE(I$74:I198,3)-QUARTILE(I$74:I198,1)),I198,QUARTILE(I$74:I198,3)+1.5*(QUARTILE(I$74:I198,3)-QUARTILE(I$74:I198,1)))))</f>
        <v>-1.19818725604437</v>
      </c>
      <c r="R198" s="10" t="n">
        <f aca="false">IF(J198="","",MEDIAN(J198:Q198))</f>
        <v>-0.982223852874491</v>
      </c>
      <c r="S198" s="10" t="n">
        <f aca="false">IF(R198="","",ABS(R198))</f>
        <v>0.982223852874491</v>
      </c>
      <c r="T198" s="10" t="n">
        <f aca="false">IF(COUNT(S$74:S197)&lt;60,"",MEDIAN(S$74:S197))</f>
        <v>0.309808311375809</v>
      </c>
      <c r="U198" s="10" t="n">
        <f aca="false">IF(R198="","",IF(T198="",0,IF(S198&gt;=T198,R198,0)))</f>
        <v>-0.982223852874491</v>
      </c>
      <c r="V198" s="10" t="n">
        <f aca="false">IF(U198="","",MEDIAN(-1,U198,1))</f>
        <v>-0.982223852874491</v>
      </c>
      <c r="W198" s="10" t="n">
        <f aca="false">IF(J198="","",AVERAGE(J198:Q198))</f>
        <v>-0.897499957181569</v>
      </c>
    </row>
    <row r="199" customFormat="false" ht="15" hidden="false" customHeight="false" outlineLevel="0" collapsed="false">
      <c r="A199" s="8" t="n">
        <f aca="false">Base!A199</f>
        <v>44012</v>
      </c>
      <c r="B199" s="10" t="n">
        <f aca="false">IF(COUNT(Transf!B$39:B199)&lt;36,"",(Transf!B199-AVERAGE(Transf!B$39:B199))/STDEV(Transf!B$39:B199))</f>
        <v>-0.870147551281072</v>
      </c>
      <c r="C199" s="10" t="n">
        <f aca="false">IF(COUNT(Transf!C$39:C199)&lt;36,"",(Transf!C199-AVERAGE(Transf!C$39:C199))/STDEV(Transf!C$39:C199))</f>
        <v>-3.11376786363421</v>
      </c>
      <c r="D199" s="10" t="n">
        <f aca="false">IF(COUNT(Transf!D$39:D199)&lt;36,"",(Transf!D199-AVERAGE(Transf!D$39:D199))/STDEV(Transf!D$39:D199))</f>
        <v>-4.7841656000009</v>
      </c>
      <c r="E199" s="10" t="n">
        <f aca="false">IF(COUNT(Transf!E$39:E199)&lt;36,"",(Transf!E199-AVERAGE(Transf!E$39:E199))/STDEV(Transf!E$39:E199))</f>
        <v>0.414387416216648</v>
      </c>
      <c r="F199" s="10" t="n">
        <f aca="false">IF(COUNT(Transf!F$39:F199)&lt;36,"",(Transf!F199-AVERAGE(Transf!F$39:F199))/STDEV(Transf!F$39:F199))</f>
        <v>-1.64342338569168</v>
      </c>
      <c r="G199" s="10" t="n">
        <f aca="false">IF(COUNT(Transf!G$39:G199)&lt;36,"",(Transf!G199-AVERAGE(Transf!G$39:G199))/STDEV(Transf!G$39:G199))</f>
        <v>0.0317291152235534</v>
      </c>
      <c r="H199" s="10" t="n">
        <f aca="false">IF(COUNT(Transf!H$39:H199)&lt;36,"",(Transf!H199-AVERAGE(Transf!H$39:H199))/STDEV(Transf!H$39:H199))</f>
        <v>-0.849863115403476</v>
      </c>
      <c r="I199" s="10" t="n">
        <f aca="false">IF(COUNT(Transf!I$39:I199)&lt;36,"",(Transf!I199-AVERAGE(Transf!I$39:I199))/STDEV(Transf!I$39:I199))</f>
        <v>-1.17607277211883</v>
      </c>
      <c r="J199" s="10" t="n">
        <f aca="false">IF(B199="","",IF(COUNT(B$74:B199)&lt;60,B199,MEDIAN(QUARTILE(B$74:B199,1)-1.5*(QUARTILE(B$74:B199,3)-QUARTILE(B$74:B199,1)),B199,QUARTILE(B$74:B199,3)+1.5*(QUARTILE(B$74:B199,3)-QUARTILE(B$74:B199,1)))))</f>
        <v>-0.870147551281072</v>
      </c>
      <c r="K199" s="10" t="n">
        <f aca="false">IF(C199="","",IF(COUNT(C$74:C199)&lt;60,C199,MEDIAN(QUARTILE(C$74:C199,1)-1.5*(QUARTILE(C$74:C199,3)-QUARTILE(C$74:C199,1)),C199,QUARTILE(C$74:C199,3)+1.5*(QUARTILE(C$74:C199,3)-QUARTILE(C$74:C199,1)))))</f>
        <v>-1.98353930643075</v>
      </c>
      <c r="L199" s="10" t="n">
        <f aca="false">IF(D199="","",IF(COUNT(D$74:D199)&lt;60,D199,MEDIAN(QUARTILE(D$74:D199,1)-1.5*(QUARTILE(D$74:D199,3)-QUARTILE(D$74:D199,1)),D199,QUARTILE(D$74:D199,3)+1.5*(QUARTILE(D$74:D199,3)-QUARTILE(D$74:D199,1)))))</f>
        <v>-1.86267980037004</v>
      </c>
      <c r="M199" s="10" t="n">
        <f aca="false">IF(E199="","",IF(COUNT(E$74:E199)&lt;60,E199,MEDIAN(QUARTILE(E$74:E199,1)-1.5*(QUARTILE(E$74:E199,3)-QUARTILE(E$74:E199,1)),E199,QUARTILE(E$74:E199,3)+1.5*(QUARTILE(E$74:E199,3)-QUARTILE(E$74:E199,1)))))</f>
        <v>0.414387416216648</v>
      </c>
      <c r="N199" s="10" t="n">
        <f aca="false">IF(F199="","",IF(COUNT(F$74:F199)&lt;60,F199,MEDIAN(QUARTILE(F$74:F199,1)-1.5*(QUARTILE(F$74:F199,3)-QUARTILE(F$74:F199,1)),F199,QUARTILE(F$74:F199,3)+1.5*(QUARTILE(F$74:F199,3)-QUARTILE(F$74:F199,1)))))</f>
        <v>-1.64342338569168</v>
      </c>
      <c r="O199" s="10" t="n">
        <f aca="false">IF(G199="","",IF(COUNT(G$74:G199)&lt;60,G199,MEDIAN(QUARTILE(G$74:G199,1)-1.5*(QUARTILE(G$74:G199,3)-QUARTILE(G$74:G199,1)),G199,QUARTILE(G$74:G199,3)+1.5*(QUARTILE(G$74:G199,3)-QUARTILE(G$74:G199,1)))))</f>
        <v>0.0317291152235534</v>
      </c>
      <c r="P199" s="10" t="n">
        <f aca="false">IF(H199="","",IF(COUNT(H$74:H199)&lt;60,H199,MEDIAN(QUARTILE(H$74:H199,1)-1.5*(QUARTILE(H$74:H199,3)-QUARTILE(H$74:H199,1)),H199,QUARTILE(H$74:H199,3)+1.5*(QUARTILE(H$74:H199,3)-QUARTILE(H$74:H199,1)))))</f>
        <v>-0.849863115403476</v>
      </c>
      <c r="Q199" s="10" t="n">
        <f aca="false">IF(I199="","",IF(COUNT(I$74:I199)&lt;60,I199,MEDIAN(QUARTILE(I$74:I199,1)-1.5*(QUARTILE(I$74:I199,3)-QUARTILE(I$74:I199,1)),I199,QUARTILE(I$74:I199,3)+1.5*(QUARTILE(I$74:I199,3)-QUARTILE(I$74:I199,1)))))</f>
        <v>-1.17607277211883</v>
      </c>
      <c r="R199" s="10" t="n">
        <f aca="false">IF(J199="","",MEDIAN(J199:Q199))</f>
        <v>-1.02311016169995</v>
      </c>
      <c r="S199" s="10" t="n">
        <f aca="false">IF(R199="","",ABS(R199))</f>
        <v>1.02311016169995</v>
      </c>
      <c r="T199" s="10" t="n">
        <f aca="false">IF(COUNT(S$74:S198)&lt;60,"",MEDIAN(S$74:S198))</f>
        <v>0.30982748474166</v>
      </c>
      <c r="U199" s="10" t="n">
        <f aca="false">IF(R199="","",IF(T199="",0,IF(S199&gt;=T199,R199,0)))</f>
        <v>-1.02311016169995</v>
      </c>
      <c r="V199" s="10" t="n">
        <f aca="false">IF(U199="","",MEDIAN(-1,U199,1))</f>
        <v>-1</v>
      </c>
      <c r="W199" s="10" t="n">
        <f aca="false">IF(J199="","",AVERAGE(J199:Q199))</f>
        <v>-0.992451174981956</v>
      </c>
    </row>
    <row r="200" customFormat="false" ht="15" hidden="false" customHeight="false" outlineLevel="0" collapsed="false">
      <c r="A200" s="8" t="n">
        <f aca="false">Base!A200</f>
        <v>44043</v>
      </c>
      <c r="B200" s="10" t="n">
        <f aca="false">IF(COUNT(Transf!B$39:B200)&lt;36,"",(Transf!B200-AVERAGE(Transf!B$39:B200))/STDEV(Transf!B$39:B200))</f>
        <v>-0.786458210740625</v>
      </c>
      <c r="C200" s="10" t="n">
        <f aca="false">IF(COUNT(Transf!C$39:C200)&lt;36,"",(Transf!C200-AVERAGE(Transf!C$39:C200))/STDEV(Transf!C$39:C200))</f>
        <v>-2.26749346698259</v>
      </c>
      <c r="D200" s="10" t="n">
        <f aca="false">IF(COUNT(Transf!D$39:D200)&lt;36,"",(Transf!D200-AVERAGE(Transf!D$39:D200))/STDEV(Transf!D$39:D200))</f>
        <v>-4.22081575719414</v>
      </c>
      <c r="E200" s="10" t="n">
        <f aca="false">IF(COUNT(Transf!E$39:E200)&lt;36,"",(Transf!E200-AVERAGE(Transf!E$39:E200))/STDEV(Transf!E$39:E200))</f>
        <v>0.33537080314591</v>
      </c>
      <c r="F200" s="10" t="n">
        <f aca="false">IF(COUNT(Transf!F$39:F200)&lt;36,"",(Transf!F200-AVERAGE(Transf!F$39:F200))/STDEV(Transf!F$39:F200))</f>
        <v>-1.46186860001575</v>
      </c>
      <c r="G200" s="10" t="n">
        <f aca="false">IF(COUNT(Transf!G$39:G200)&lt;36,"",(Transf!G200-AVERAGE(Transf!G$39:G200))/STDEV(Transf!G$39:G200))</f>
        <v>0.336814578641172</v>
      </c>
      <c r="H200" s="10" t="n">
        <f aca="false">IF(COUNT(Transf!H$39:H200)&lt;36,"",(Transf!H200-AVERAGE(Transf!H$39:H200))/STDEV(Transf!H$39:H200))</f>
        <v>-1.05723378203339</v>
      </c>
      <c r="I200" s="10" t="n">
        <f aca="false">IF(COUNT(Transf!I$39:I200)&lt;36,"",(Transf!I200-AVERAGE(Transf!I$39:I200))/STDEV(Transf!I$39:I200))</f>
        <v>-1.26998824031159</v>
      </c>
      <c r="J200" s="10" t="n">
        <f aca="false">IF(B200="","",IF(COUNT(B$74:B200)&lt;60,B200,MEDIAN(QUARTILE(B$74:B200,1)-1.5*(QUARTILE(B$74:B200,3)-QUARTILE(B$74:B200,1)),B200,QUARTILE(B$74:B200,3)+1.5*(QUARTILE(B$74:B200,3)-QUARTILE(B$74:B200,1)))))</f>
        <v>-0.786458210740625</v>
      </c>
      <c r="K200" s="10" t="n">
        <f aca="false">IF(C200="","",IF(COUNT(C$74:C200)&lt;60,C200,MEDIAN(QUARTILE(C$74:C200,1)-1.5*(QUARTILE(C$74:C200,3)-QUARTILE(C$74:C200,1)),C200,QUARTILE(C$74:C200,3)+1.5*(QUARTILE(C$74:C200,3)-QUARTILE(C$74:C200,1)))))</f>
        <v>-2.01559066130141</v>
      </c>
      <c r="L200" s="10" t="n">
        <f aca="false">IF(D200="","",IF(COUNT(D$74:D200)&lt;60,D200,MEDIAN(QUARTILE(D$74:D200,1)-1.5*(QUARTILE(D$74:D200,3)-QUARTILE(D$74:D200,1)),D200,QUARTILE(D$74:D200,3)+1.5*(QUARTILE(D$74:D200,3)-QUARTILE(D$74:D200,1)))))</f>
        <v>-1.86913218669191</v>
      </c>
      <c r="M200" s="10" t="n">
        <f aca="false">IF(E200="","",IF(COUNT(E$74:E200)&lt;60,E200,MEDIAN(QUARTILE(E$74:E200,1)-1.5*(QUARTILE(E$74:E200,3)-QUARTILE(E$74:E200,1)),E200,QUARTILE(E$74:E200,3)+1.5*(QUARTILE(E$74:E200,3)-QUARTILE(E$74:E200,1)))))</f>
        <v>0.33537080314591</v>
      </c>
      <c r="N200" s="10" t="n">
        <f aca="false">IF(F200="","",IF(COUNT(F$74:F200)&lt;60,F200,MEDIAN(QUARTILE(F$74:F200,1)-1.5*(QUARTILE(F$74:F200,3)-QUARTILE(F$74:F200,1)),F200,QUARTILE(F$74:F200,3)+1.5*(QUARTILE(F$74:F200,3)-QUARTILE(F$74:F200,1)))))</f>
        <v>-1.46186860001575</v>
      </c>
      <c r="O200" s="10" t="n">
        <f aca="false">IF(G200="","",IF(COUNT(G$74:G200)&lt;60,G200,MEDIAN(QUARTILE(G$74:G200,1)-1.5*(QUARTILE(G$74:G200,3)-QUARTILE(G$74:G200,1)),G200,QUARTILE(G$74:G200,3)+1.5*(QUARTILE(G$74:G200,3)-QUARTILE(G$74:G200,1)))))</f>
        <v>0.336814578641172</v>
      </c>
      <c r="P200" s="10" t="n">
        <f aca="false">IF(H200="","",IF(COUNT(H$74:H200)&lt;60,H200,MEDIAN(QUARTILE(H$74:H200,1)-1.5*(QUARTILE(H$74:H200,3)-QUARTILE(H$74:H200,1)),H200,QUARTILE(H$74:H200,3)+1.5*(QUARTILE(H$74:H200,3)-QUARTILE(H$74:H200,1)))))</f>
        <v>-1.05723378203339</v>
      </c>
      <c r="Q200" s="10" t="n">
        <f aca="false">IF(I200="","",IF(COUNT(I$74:I200)&lt;60,I200,MEDIAN(QUARTILE(I$74:I200,1)-1.5*(QUARTILE(I$74:I200,3)-QUARTILE(I$74:I200,1)),I200,QUARTILE(I$74:I200,3)+1.5*(QUARTILE(I$74:I200,3)-QUARTILE(I$74:I200,1)))))</f>
        <v>-1.26998824031159</v>
      </c>
      <c r="R200" s="10" t="n">
        <f aca="false">IF(J200="","",MEDIAN(J200:Q200))</f>
        <v>-1.16361101117249</v>
      </c>
      <c r="S200" s="10" t="n">
        <f aca="false">IF(R200="","",ABS(R200))</f>
        <v>1.16361101117249</v>
      </c>
      <c r="T200" s="10" t="n">
        <f aca="false">IF(COUNT(S$74:S199)&lt;60,"",MEDIAN(S$74:S199))</f>
        <v>0.314560303969223</v>
      </c>
      <c r="U200" s="10" t="n">
        <f aca="false">IF(R200="","",IF(T200="",0,IF(S200&gt;=T200,R200,0)))</f>
        <v>-1.16361101117249</v>
      </c>
      <c r="V200" s="10" t="n">
        <f aca="false">IF(U200="","",MEDIAN(-1,U200,1))</f>
        <v>-1</v>
      </c>
      <c r="W200" s="10" t="n">
        <f aca="false">IF(J200="","",AVERAGE(J200:Q200))</f>
        <v>-0.97351078741345</v>
      </c>
    </row>
    <row r="201" customFormat="false" ht="15" hidden="false" customHeight="false" outlineLevel="0" collapsed="false">
      <c r="A201" s="8" t="n">
        <f aca="false">Base!A201</f>
        <v>44074</v>
      </c>
      <c r="B201" s="10" t="n">
        <f aca="false">IF(COUNT(Transf!B$39:B201)&lt;36,"",(Transf!B201-AVERAGE(Transf!B$39:B201))/STDEV(Transf!B$39:B201))</f>
        <v>-0.657070728318835</v>
      </c>
      <c r="C201" s="10" t="n">
        <f aca="false">IF(COUNT(Transf!C$39:C201)&lt;36,"",(Transf!C201-AVERAGE(Transf!C$39:C201))/STDEV(Transf!C$39:C201))</f>
        <v>-1.61187897227902</v>
      </c>
      <c r="D201" s="10" t="n">
        <f aca="false">IF(COUNT(Transf!D$39:D201)&lt;36,"",(Transf!D201-AVERAGE(Transf!D$39:D201))/STDEV(Transf!D$39:D201))</f>
        <v>-3.93429710127102</v>
      </c>
      <c r="E201" s="10" t="n">
        <f aca="false">IF(COUNT(Transf!E$39:E201)&lt;36,"",(Transf!E201-AVERAGE(Transf!E$39:E201))/STDEV(Transf!E$39:E201))</f>
        <v>0.299417377741759</v>
      </c>
      <c r="F201" s="10" t="n">
        <f aca="false">IF(COUNT(Transf!F$39:F201)&lt;36,"",(Transf!F201-AVERAGE(Transf!F$39:F201))/STDEV(Transf!F$39:F201))</f>
        <v>-1.25589335195327</v>
      </c>
      <c r="G201" s="10" t="n">
        <f aca="false">IF(COUNT(Transf!G$39:G201)&lt;36,"",(Transf!G201-AVERAGE(Transf!G$39:G201))/STDEV(Transf!G$39:G201))</f>
        <v>0.0728343956689708</v>
      </c>
      <c r="H201" s="10" t="n">
        <f aca="false">IF(COUNT(Transf!H$39:H201)&lt;36,"",(Transf!H201-AVERAGE(Transf!H$39:H201))/STDEV(Transf!H$39:H201))</f>
        <v>-1.29307123144052</v>
      </c>
      <c r="I201" s="10" t="n">
        <f aca="false">IF(COUNT(Transf!I$39:I201)&lt;36,"",(Transf!I201-AVERAGE(Transf!I$39:I201))/STDEV(Transf!I$39:I201))</f>
        <v>-1.12609056016006</v>
      </c>
      <c r="J201" s="10" t="n">
        <f aca="false">IF(B201="","",IF(COUNT(B$74:B201)&lt;60,B201,MEDIAN(QUARTILE(B$74:B201,1)-1.5*(QUARTILE(B$74:B201,3)-QUARTILE(B$74:B201,1)),B201,QUARTILE(B$74:B201,3)+1.5*(QUARTILE(B$74:B201,3)-QUARTILE(B$74:B201,1)))))</f>
        <v>-0.657070728318835</v>
      </c>
      <c r="K201" s="10" t="n">
        <f aca="false">IF(C201="","",IF(COUNT(C$74:C201)&lt;60,C201,MEDIAN(QUARTILE(C$74:C201,1)-1.5*(QUARTILE(C$74:C201,3)-QUARTILE(C$74:C201,1)),C201,QUARTILE(C$74:C201,3)+1.5*(QUARTILE(C$74:C201,3)-QUARTILE(C$74:C201,1)))))</f>
        <v>-1.61187897227902</v>
      </c>
      <c r="L201" s="10" t="n">
        <f aca="false">IF(D201="","",IF(COUNT(D$74:D201)&lt;60,D201,MEDIAN(QUARTILE(D$74:D201,1)-1.5*(QUARTILE(D$74:D201,3)-QUARTILE(D$74:D201,1)),D201,QUARTILE(D$74:D201,3)+1.5*(QUARTILE(D$74:D201,3)-QUARTILE(D$74:D201,1)))))</f>
        <v>-1.9035790298634</v>
      </c>
      <c r="M201" s="10" t="n">
        <f aca="false">IF(E201="","",IF(COUNT(E$74:E201)&lt;60,E201,MEDIAN(QUARTILE(E$74:E201,1)-1.5*(QUARTILE(E$74:E201,3)-QUARTILE(E$74:E201,1)),E201,QUARTILE(E$74:E201,3)+1.5*(QUARTILE(E$74:E201,3)-QUARTILE(E$74:E201,1)))))</f>
        <v>0.299417377741759</v>
      </c>
      <c r="N201" s="10" t="n">
        <f aca="false">IF(F201="","",IF(COUNT(F$74:F201)&lt;60,F201,MEDIAN(QUARTILE(F$74:F201,1)-1.5*(QUARTILE(F$74:F201,3)-QUARTILE(F$74:F201,1)),F201,QUARTILE(F$74:F201,3)+1.5*(QUARTILE(F$74:F201,3)-QUARTILE(F$74:F201,1)))))</f>
        <v>-1.25589335195327</v>
      </c>
      <c r="O201" s="10" t="n">
        <f aca="false">IF(G201="","",IF(COUNT(G$74:G201)&lt;60,G201,MEDIAN(QUARTILE(G$74:G201,1)-1.5*(QUARTILE(G$74:G201,3)-QUARTILE(G$74:G201,1)),G201,QUARTILE(G$74:G201,3)+1.5*(QUARTILE(G$74:G201,3)-QUARTILE(G$74:G201,1)))))</f>
        <v>0.0728343956689708</v>
      </c>
      <c r="P201" s="10" t="n">
        <f aca="false">IF(H201="","",IF(COUNT(H$74:H201)&lt;60,H201,MEDIAN(QUARTILE(H$74:H201,1)-1.5*(QUARTILE(H$74:H201,3)-QUARTILE(H$74:H201,1)),H201,QUARTILE(H$74:H201,3)+1.5*(QUARTILE(H$74:H201,3)-QUARTILE(H$74:H201,1)))))</f>
        <v>-1.29307123144052</v>
      </c>
      <c r="Q201" s="10" t="n">
        <f aca="false">IF(I201="","",IF(COUNT(I$74:I201)&lt;60,I201,MEDIAN(QUARTILE(I$74:I201,1)-1.5*(QUARTILE(I$74:I201,3)-QUARTILE(I$74:I201,1)),I201,QUARTILE(I$74:I201,3)+1.5*(QUARTILE(I$74:I201,3)-QUARTILE(I$74:I201,1)))))</f>
        <v>-1.12609056016006</v>
      </c>
      <c r="R201" s="10" t="n">
        <f aca="false">IF(J201="","",MEDIAN(J201:Q201))</f>
        <v>-1.19099195605667</v>
      </c>
      <c r="S201" s="10" t="n">
        <f aca="false">IF(R201="","",ABS(R201))</f>
        <v>1.19099195605667</v>
      </c>
      <c r="T201" s="10" t="n">
        <f aca="false">IF(COUNT(S$74:S200)&lt;60,"",MEDIAN(S$74:S200))</f>
        <v>0.319293123196785</v>
      </c>
      <c r="U201" s="10" t="n">
        <f aca="false">IF(R201="","",IF(T201="",0,IF(S201&gt;=T201,R201,0)))</f>
        <v>-1.19099195605667</v>
      </c>
      <c r="V201" s="10" t="n">
        <f aca="false">IF(U201="","",MEDIAN(-1,U201,1))</f>
        <v>-1</v>
      </c>
      <c r="W201" s="10" t="n">
        <f aca="false">IF(J201="","",AVERAGE(J201:Q201))</f>
        <v>-0.934416512575547</v>
      </c>
    </row>
    <row r="202" customFormat="false" ht="15" hidden="false" customHeight="false" outlineLevel="0" collapsed="false">
      <c r="A202" s="8" t="n">
        <f aca="false">Base!A202</f>
        <v>44104</v>
      </c>
      <c r="B202" s="10" t="n">
        <f aca="false">IF(COUNT(Transf!B$39:B202)&lt;36,"",(Transf!B202-AVERAGE(Transf!B$39:B202))/STDEV(Transf!B$39:B202))</f>
        <v>-0.826297176773106</v>
      </c>
      <c r="C202" s="10" t="n">
        <f aca="false">IF(COUNT(Transf!C$39:C202)&lt;36,"",(Transf!C202-AVERAGE(Transf!C$39:C202))/STDEV(Transf!C$39:C202))</f>
        <v>-1.14389810402079</v>
      </c>
      <c r="D202" s="10" t="n">
        <f aca="false">IF(COUNT(Transf!D$39:D202)&lt;36,"",(Transf!D202-AVERAGE(Transf!D$39:D202))/STDEV(Transf!D$39:D202))</f>
        <v>-3.67393284725668</v>
      </c>
      <c r="E202" s="10" t="n">
        <f aca="false">IF(COUNT(Transf!E$39:E202)&lt;36,"",(Transf!E202-AVERAGE(Transf!E$39:E202))/STDEV(Transf!E$39:E202))</f>
        <v>0.224700673561937</v>
      </c>
      <c r="F202" s="10" t="n">
        <f aca="false">IF(COUNT(Transf!F$39:F202)&lt;36,"",(Transf!F202-AVERAGE(Transf!F$39:F202))/STDEV(Transf!F$39:F202))</f>
        <v>-1.4539347080475</v>
      </c>
      <c r="G202" s="10" t="n">
        <f aca="false">IF(COUNT(Transf!G$39:G202)&lt;36,"",(Transf!G202-AVERAGE(Transf!G$39:G202))/STDEV(Transf!G$39:G202))</f>
        <v>-0.193698495338267</v>
      </c>
      <c r="H202" s="10" t="n">
        <f aca="false">IF(COUNT(Transf!H$39:H202)&lt;36,"",(Transf!H202-AVERAGE(Transf!H$39:H202))/STDEV(Transf!H$39:H202))</f>
        <v>-1.3652696772445</v>
      </c>
      <c r="I202" s="10" t="n">
        <f aca="false">IF(COUNT(Transf!I$39:I202)&lt;36,"",(Transf!I202-AVERAGE(Transf!I$39:I202))/STDEV(Transf!I$39:I202))</f>
        <v>-1.08604451252584</v>
      </c>
      <c r="J202" s="10" t="n">
        <f aca="false">IF(B202="","",IF(COUNT(B$74:B202)&lt;60,B202,MEDIAN(QUARTILE(B$74:B202,1)-1.5*(QUARTILE(B$74:B202,3)-QUARTILE(B$74:B202,1)),B202,QUARTILE(B$74:B202,3)+1.5*(QUARTILE(B$74:B202,3)-QUARTILE(B$74:B202,1)))))</f>
        <v>-0.826297176773106</v>
      </c>
      <c r="K202" s="10" t="n">
        <f aca="false">IF(C202="","",IF(COUNT(C$74:C202)&lt;60,C202,MEDIAN(QUARTILE(C$74:C202,1)-1.5*(QUARTILE(C$74:C202,3)-QUARTILE(C$74:C202,1)),C202,QUARTILE(C$74:C202,3)+1.5*(QUARTILE(C$74:C202,3)-QUARTILE(C$74:C202,1)))))</f>
        <v>-1.14389810402079</v>
      </c>
      <c r="L202" s="10" t="n">
        <f aca="false">IF(D202="","",IF(COUNT(D$74:D202)&lt;60,D202,MEDIAN(QUARTILE(D$74:D202,1)-1.5*(QUARTILE(D$74:D202,3)-QUARTILE(D$74:D202,1)),D202,QUARTILE(D$74:D202,3)+1.5*(QUARTILE(D$74:D202,3)-QUARTILE(D$74:D202,1)))))</f>
        <v>-1.99334612078886</v>
      </c>
      <c r="M202" s="10" t="n">
        <f aca="false">IF(E202="","",IF(COUNT(E$74:E202)&lt;60,E202,MEDIAN(QUARTILE(E$74:E202,1)-1.5*(QUARTILE(E$74:E202,3)-QUARTILE(E$74:E202,1)),E202,QUARTILE(E$74:E202,3)+1.5*(QUARTILE(E$74:E202,3)-QUARTILE(E$74:E202,1)))))</f>
        <v>0.224700673561937</v>
      </c>
      <c r="N202" s="10" t="n">
        <f aca="false">IF(F202="","",IF(COUNT(F$74:F202)&lt;60,F202,MEDIAN(QUARTILE(F$74:F202,1)-1.5*(QUARTILE(F$74:F202,3)-QUARTILE(F$74:F202,1)),F202,QUARTILE(F$74:F202,3)+1.5*(QUARTILE(F$74:F202,3)-QUARTILE(F$74:F202,1)))))</f>
        <v>-1.4539347080475</v>
      </c>
      <c r="O202" s="10" t="n">
        <f aca="false">IF(G202="","",IF(COUNT(G$74:G202)&lt;60,G202,MEDIAN(QUARTILE(G$74:G202,1)-1.5*(QUARTILE(G$74:G202,3)-QUARTILE(G$74:G202,1)),G202,QUARTILE(G$74:G202,3)+1.5*(QUARTILE(G$74:G202,3)-QUARTILE(G$74:G202,1)))))</f>
        <v>-0.193698495338267</v>
      </c>
      <c r="P202" s="10" t="n">
        <f aca="false">IF(H202="","",IF(COUNT(H$74:H202)&lt;60,H202,MEDIAN(QUARTILE(H$74:H202,1)-1.5*(QUARTILE(H$74:H202,3)-QUARTILE(H$74:H202,1)),H202,QUARTILE(H$74:H202,3)+1.5*(QUARTILE(H$74:H202,3)-QUARTILE(H$74:H202,1)))))</f>
        <v>-1.3652696772445</v>
      </c>
      <c r="Q202" s="10" t="n">
        <f aca="false">IF(I202="","",IF(COUNT(I$74:I202)&lt;60,I202,MEDIAN(QUARTILE(I$74:I202,1)-1.5*(QUARTILE(I$74:I202,3)-QUARTILE(I$74:I202,1)),I202,QUARTILE(I$74:I202,3)+1.5*(QUARTILE(I$74:I202,3)-QUARTILE(I$74:I202,1)))))</f>
        <v>-1.08604451252584</v>
      </c>
      <c r="R202" s="10" t="n">
        <f aca="false">IF(J202="","",MEDIAN(J202:Q202))</f>
        <v>-1.11497130827332</v>
      </c>
      <c r="S202" s="10" t="n">
        <f aca="false">IF(R202="","",ABS(R202))</f>
        <v>1.11497130827332</v>
      </c>
      <c r="T202" s="10" t="n">
        <f aca="false">IF(COUNT(S$74:S201)&lt;60,"",MEDIAN(S$74:S201))</f>
        <v>0.331184028653651</v>
      </c>
      <c r="U202" s="10" t="n">
        <f aca="false">IF(R202="","",IF(T202="",0,IF(S202&gt;=T202,R202,0)))</f>
        <v>-1.11497130827332</v>
      </c>
      <c r="V202" s="10" t="n">
        <f aca="false">IF(U202="","",MEDIAN(-1,U202,1))</f>
        <v>-1</v>
      </c>
      <c r="W202" s="10" t="n">
        <f aca="false">IF(J202="","",AVERAGE(J202:Q202))</f>
        <v>-0.979723515147117</v>
      </c>
    </row>
    <row r="203" customFormat="false" ht="15" hidden="false" customHeight="false" outlineLevel="0" collapsed="false">
      <c r="A203" s="8" t="n">
        <f aca="false">Base!A203</f>
        <v>44135</v>
      </c>
      <c r="B203" s="10" t="n">
        <f aca="false">IF(COUNT(Transf!B$39:B203)&lt;36,"",(Transf!B203-AVERAGE(Transf!B$39:B203))/STDEV(Transf!B$39:B203))</f>
        <v>-0.906780387909827</v>
      </c>
      <c r="C203" s="10" t="n">
        <f aca="false">IF(COUNT(Transf!C$39:C203)&lt;36,"",(Transf!C203-AVERAGE(Transf!C$39:C203))/STDEV(Transf!C$39:C203))</f>
        <v>-0.719414827051779</v>
      </c>
      <c r="D203" s="10" t="n">
        <f aca="false">IF(COUNT(Transf!D$39:D203)&lt;36,"",(Transf!D203-AVERAGE(Transf!D$39:D203))/STDEV(Transf!D$39:D203))</f>
        <v>-3.25997902280146</v>
      </c>
      <c r="E203" s="10" t="n">
        <f aca="false">IF(COUNT(Transf!E$39:E203)&lt;36,"",(Transf!E203-AVERAGE(Transf!E$39:E203))/STDEV(Transf!E$39:E203))</f>
        <v>0.14904962559586</v>
      </c>
      <c r="F203" s="10" t="n">
        <f aca="false">IF(COUNT(Transf!F$39:F203)&lt;36,"",(Transf!F203-AVERAGE(Transf!F$39:F203))/STDEV(Transf!F$39:F203))</f>
        <v>-1.49030458125083</v>
      </c>
      <c r="G203" s="10" t="n">
        <f aca="false">IF(COUNT(Transf!G$39:G203)&lt;36,"",(Transf!G203-AVERAGE(Transf!G$39:G203))/STDEV(Transf!G$39:G203))</f>
        <v>-0.593161168068277</v>
      </c>
      <c r="H203" s="10" t="n">
        <f aca="false">IF(COUNT(Transf!H$39:H203)&lt;36,"",(Transf!H203-AVERAGE(Transf!H$39:H203))/STDEV(Transf!H$39:H203))</f>
        <v>-1.0890628706445</v>
      </c>
      <c r="I203" s="10" t="n">
        <f aca="false">IF(COUNT(Transf!I$39:I203)&lt;36,"",(Transf!I203-AVERAGE(Transf!I$39:I203))/STDEV(Transf!I$39:I203))</f>
        <v>-1.05638227782988</v>
      </c>
      <c r="J203" s="10" t="n">
        <f aca="false">IF(B203="","",IF(COUNT(B$74:B203)&lt;60,B203,MEDIAN(QUARTILE(B$74:B203,1)-1.5*(QUARTILE(B$74:B203,3)-QUARTILE(B$74:B203,1)),B203,QUARTILE(B$74:B203,3)+1.5*(QUARTILE(B$74:B203,3)-QUARTILE(B$74:B203,1)))))</f>
        <v>-0.906780387909827</v>
      </c>
      <c r="K203" s="10" t="n">
        <f aca="false">IF(C203="","",IF(COUNT(C$74:C203)&lt;60,C203,MEDIAN(QUARTILE(C$74:C203,1)-1.5*(QUARTILE(C$74:C203,3)-QUARTILE(C$74:C203,1)),C203,QUARTILE(C$74:C203,3)+1.5*(QUARTILE(C$74:C203,3)-QUARTILE(C$74:C203,1)))))</f>
        <v>-0.719414827051779</v>
      </c>
      <c r="L203" s="10" t="n">
        <f aca="false">IF(D203="","",IF(COUNT(D$74:D203)&lt;60,D203,MEDIAN(QUARTILE(D$74:D203,1)-1.5*(QUARTILE(D$74:D203,3)-QUARTILE(D$74:D203,1)),D203,QUARTILE(D$74:D203,3)+1.5*(QUARTILE(D$74:D203,3)-QUARTILE(D$74:D203,1)))))</f>
        <v>-2.06355014079125</v>
      </c>
      <c r="M203" s="10" t="n">
        <f aca="false">IF(E203="","",IF(COUNT(E$74:E203)&lt;60,E203,MEDIAN(QUARTILE(E$74:E203,1)-1.5*(QUARTILE(E$74:E203,3)-QUARTILE(E$74:E203,1)),E203,QUARTILE(E$74:E203,3)+1.5*(QUARTILE(E$74:E203,3)-QUARTILE(E$74:E203,1)))))</f>
        <v>0.14904962559586</v>
      </c>
      <c r="N203" s="10" t="n">
        <f aca="false">IF(F203="","",IF(COUNT(F$74:F203)&lt;60,F203,MEDIAN(QUARTILE(F$74:F203,1)-1.5*(QUARTILE(F$74:F203,3)-QUARTILE(F$74:F203,1)),F203,QUARTILE(F$74:F203,3)+1.5*(QUARTILE(F$74:F203,3)-QUARTILE(F$74:F203,1)))))</f>
        <v>-1.49030458125083</v>
      </c>
      <c r="O203" s="10" t="n">
        <f aca="false">IF(G203="","",IF(COUNT(G$74:G203)&lt;60,G203,MEDIAN(QUARTILE(G$74:G203,1)-1.5*(QUARTILE(G$74:G203,3)-QUARTILE(G$74:G203,1)),G203,QUARTILE(G$74:G203,3)+1.5*(QUARTILE(G$74:G203,3)-QUARTILE(G$74:G203,1)))))</f>
        <v>-0.593161168068277</v>
      </c>
      <c r="P203" s="10" t="n">
        <f aca="false">IF(H203="","",IF(COUNT(H$74:H203)&lt;60,H203,MEDIAN(QUARTILE(H$74:H203,1)-1.5*(QUARTILE(H$74:H203,3)-QUARTILE(H$74:H203,1)),H203,QUARTILE(H$74:H203,3)+1.5*(QUARTILE(H$74:H203,3)-QUARTILE(H$74:H203,1)))))</f>
        <v>-1.0890628706445</v>
      </c>
      <c r="Q203" s="10" t="n">
        <f aca="false">IF(I203="","",IF(COUNT(I$74:I203)&lt;60,I203,MEDIAN(QUARTILE(I$74:I203,1)-1.5*(QUARTILE(I$74:I203,3)-QUARTILE(I$74:I203,1)),I203,QUARTILE(I$74:I203,3)+1.5*(QUARTILE(I$74:I203,3)-QUARTILE(I$74:I203,1)))))</f>
        <v>-1.05638227782988</v>
      </c>
      <c r="R203" s="10" t="n">
        <f aca="false">IF(J203="","",MEDIAN(J203:Q203))</f>
        <v>-0.981581332869851</v>
      </c>
      <c r="S203" s="10" t="n">
        <f aca="false">IF(R203="","",ABS(R203))</f>
        <v>0.981581332869851</v>
      </c>
      <c r="T203" s="10" t="n">
        <f aca="false">IF(COUNT(S$74:S202)&lt;60,"",MEDIAN(S$74:S202))</f>
        <v>0.343074934110517</v>
      </c>
      <c r="U203" s="10" t="n">
        <f aca="false">IF(R203="","",IF(T203="",0,IF(S203&gt;=T203,R203,0)))</f>
        <v>-0.981581332869851</v>
      </c>
      <c r="V203" s="10" t="n">
        <f aca="false">IF(U203="","",MEDIAN(-1,U203,1))</f>
        <v>-0.981581332869851</v>
      </c>
      <c r="W203" s="10" t="n">
        <f aca="false">IF(J203="","",AVERAGE(J203:Q203))</f>
        <v>-0.971200828493811</v>
      </c>
    </row>
    <row r="204" customFormat="false" ht="15" hidden="false" customHeight="false" outlineLevel="0" collapsed="false">
      <c r="A204" s="8" t="n">
        <f aca="false">Base!A204</f>
        <v>44165</v>
      </c>
      <c r="B204" s="10" t="n">
        <f aca="false">IF(COUNT(Transf!B$39:B204)&lt;36,"",(Transf!B204-AVERAGE(Transf!B$39:B204))/STDEV(Transf!B$39:B204))</f>
        <v>-1.1459115865641</v>
      </c>
      <c r="C204" s="10" t="n">
        <f aca="false">IF(COUNT(Transf!C$39:C204)&lt;36,"",(Transf!C204-AVERAGE(Transf!C$39:C204))/STDEV(Transf!C$39:C204))</f>
        <v>-0.20765331114597</v>
      </c>
      <c r="D204" s="10" t="n">
        <f aca="false">IF(COUNT(Transf!D$39:D204)&lt;36,"",(Transf!D204-AVERAGE(Transf!D$39:D204))/STDEV(Transf!D$39:D204))</f>
        <v>-2.89125556578116</v>
      </c>
      <c r="E204" s="10" t="n">
        <f aca="false">IF(COUNT(Transf!E$39:E204)&lt;36,"",(Transf!E204-AVERAGE(Transf!E$39:E204))/STDEV(Transf!E$39:E204))</f>
        <v>0.0763451232088957</v>
      </c>
      <c r="F204" s="10" t="n">
        <f aca="false">IF(COUNT(Transf!F$39:F204)&lt;36,"",(Transf!F204-AVERAGE(Transf!F$39:F204))/STDEV(Transf!F$39:F204))</f>
        <v>-1.38933002160228</v>
      </c>
      <c r="G204" s="10" t="n">
        <f aca="false">IF(COUNT(Transf!G$39:G204)&lt;36,"",(Transf!G204-AVERAGE(Transf!G$39:G204))/STDEV(Transf!G$39:G204))</f>
        <v>-0.307463848957123</v>
      </c>
      <c r="H204" s="10" t="n">
        <f aca="false">IF(COUNT(Transf!H$39:H204)&lt;36,"",(Transf!H204-AVERAGE(Transf!H$39:H204))/STDEV(Transf!H$39:H204))</f>
        <v>-0.807875652420475</v>
      </c>
      <c r="I204" s="10" t="n">
        <f aca="false">IF(COUNT(Transf!I$39:I204)&lt;36,"",(Transf!I204-AVERAGE(Transf!I$39:I204))/STDEV(Transf!I$39:I204))</f>
        <v>-1.09773224331467</v>
      </c>
      <c r="J204" s="10" t="n">
        <f aca="false">IF(B204="","",IF(COUNT(B$74:B204)&lt;60,B204,MEDIAN(QUARTILE(B$74:B204,1)-1.5*(QUARTILE(B$74:B204,3)-QUARTILE(B$74:B204,1)),B204,QUARTILE(B$74:B204,3)+1.5*(QUARTILE(B$74:B204,3)-QUARTILE(B$74:B204,1)))))</f>
        <v>-1.1459115865641</v>
      </c>
      <c r="K204" s="10" t="n">
        <f aca="false">IF(C204="","",IF(COUNT(C$74:C204)&lt;60,C204,MEDIAN(QUARTILE(C$74:C204,1)-1.5*(QUARTILE(C$74:C204,3)-QUARTILE(C$74:C204,1)),C204,QUARTILE(C$74:C204,3)+1.5*(QUARTILE(C$74:C204,3)-QUARTILE(C$74:C204,1)))))</f>
        <v>-0.20765331114597</v>
      </c>
      <c r="L204" s="10" t="n">
        <f aca="false">IF(D204="","",IF(COUNT(D$74:D204)&lt;60,D204,MEDIAN(QUARTILE(D$74:D204,1)-1.5*(QUARTILE(D$74:D204,3)-QUARTILE(D$74:D204,1)),D204,QUARTILE(D$74:D204,3)+1.5*(QUARTILE(D$74:D204,3)-QUARTILE(D$74:D204,1)))))</f>
        <v>-2.10891864999448</v>
      </c>
      <c r="M204" s="10" t="n">
        <f aca="false">IF(E204="","",IF(COUNT(E$74:E204)&lt;60,E204,MEDIAN(QUARTILE(E$74:E204,1)-1.5*(QUARTILE(E$74:E204,3)-QUARTILE(E$74:E204,1)),E204,QUARTILE(E$74:E204,3)+1.5*(QUARTILE(E$74:E204,3)-QUARTILE(E$74:E204,1)))))</f>
        <v>0.0763451232088957</v>
      </c>
      <c r="N204" s="10" t="n">
        <f aca="false">IF(F204="","",IF(COUNT(F$74:F204)&lt;60,F204,MEDIAN(QUARTILE(F$74:F204,1)-1.5*(QUARTILE(F$74:F204,3)-QUARTILE(F$74:F204,1)),F204,QUARTILE(F$74:F204,3)+1.5*(QUARTILE(F$74:F204,3)-QUARTILE(F$74:F204,1)))))</f>
        <v>-1.38933002160228</v>
      </c>
      <c r="O204" s="10" t="n">
        <f aca="false">IF(G204="","",IF(COUNT(G$74:G204)&lt;60,G204,MEDIAN(QUARTILE(G$74:G204,1)-1.5*(QUARTILE(G$74:G204,3)-QUARTILE(G$74:G204,1)),G204,QUARTILE(G$74:G204,3)+1.5*(QUARTILE(G$74:G204,3)-QUARTILE(G$74:G204,1)))))</f>
        <v>-0.307463848957123</v>
      </c>
      <c r="P204" s="10" t="n">
        <f aca="false">IF(H204="","",IF(COUNT(H$74:H204)&lt;60,H204,MEDIAN(QUARTILE(H$74:H204,1)-1.5*(QUARTILE(H$74:H204,3)-QUARTILE(H$74:H204,1)),H204,QUARTILE(H$74:H204,3)+1.5*(QUARTILE(H$74:H204,3)-QUARTILE(H$74:H204,1)))))</f>
        <v>-0.807875652420475</v>
      </c>
      <c r="Q204" s="10" t="n">
        <f aca="false">IF(I204="","",IF(COUNT(I$74:I204)&lt;60,I204,MEDIAN(QUARTILE(I$74:I204,1)-1.5*(QUARTILE(I$74:I204,3)-QUARTILE(I$74:I204,1)),I204,QUARTILE(I$74:I204,3)+1.5*(QUARTILE(I$74:I204,3)-QUARTILE(I$74:I204,1)))))</f>
        <v>-1.09773224331467</v>
      </c>
      <c r="R204" s="10" t="n">
        <f aca="false">IF(J204="","",MEDIAN(J204:Q204))</f>
        <v>-0.952803947867573</v>
      </c>
      <c r="S204" s="10" t="n">
        <f aca="false">IF(R204="","",ABS(R204))</f>
        <v>0.952803947867573</v>
      </c>
      <c r="T204" s="10" t="n">
        <f aca="false">IF(COUNT(S$74:S203)&lt;60,"",MEDIAN(S$74:S203))</f>
        <v>0.343923113344169</v>
      </c>
      <c r="U204" s="10" t="n">
        <f aca="false">IF(R204="","",IF(T204="",0,IF(S204&gt;=T204,R204,0)))</f>
        <v>-0.952803947867573</v>
      </c>
      <c r="V204" s="10" t="n">
        <f aca="false">IF(U204="","",MEDIAN(-1,U204,1))</f>
        <v>-0.952803947867573</v>
      </c>
      <c r="W204" s="10" t="n">
        <f aca="false">IF(J204="","",AVERAGE(J204:Q204))</f>
        <v>-0.873567523848776</v>
      </c>
    </row>
    <row r="205" customFormat="false" ht="15" hidden="false" customHeight="false" outlineLevel="0" collapsed="false">
      <c r="A205" s="8" t="n">
        <f aca="false">Base!A205</f>
        <v>44196</v>
      </c>
      <c r="B205" s="10" t="n">
        <f aca="false">IF(COUNT(Transf!B$39:B205)&lt;36,"",(Transf!B205-AVERAGE(Transf!B$39:B205))/STDEV(Transf!B$39:B205))</f>
        <v>-1.46301422868302</v>
      </c>
      <c r="C205" s="10" t="n">
        <f aca="false">IF(COUNT(Transf!C$39:C205)&lt;36,"",(Transf!C205-AVERAGE(Transf!C$39:C205))/STDEV(Transf!C$39:C205))</f>
        <v>0.0890142090424178</v>
      </c>
      <c r="D205" s="10" t="n">
        <f aca="false">IF(COUNT(Transf!D$39:D205)&lt;36,"",(Transf!D205-AVERAGE(Transf!D$39:D205))/STDEV(Transf!D$39:D205))</f>
        <v>-2.77459200600122</v>
      </c>
      <c r="E205" s="10" t="n">
        <f aca="false">IF(COUNT(Transf!E$39:E205)&lt;36,"",(Transf!E205-AVERAGE(Transf!E$39:E205))/STDEV(Transf!E$39:E205))</f>
        <v>0.0400513198109691</v>
      </c>
      <c r="F205" s="10" t="n">
        <f aca="false">IF(COUNT(Transf!F$39:F205)&lt;36,"",(Transf!F205-AVERAGE(Transf!F$39:F205))/STDEV(Transf!F$39:F205))</f>
        <v>-1.24650523568743</v>
      </c>
      <c r="G205" s="10" t="n">
        <f aca="false">IF(COUNT(Transf!G$39:G205)&lt;36,"",(Transf!G205-AVERAGE(Transf!G$39:G205))/STDEV(Transf!G$39:G205))</f>
        <v>-0.119066264333687</v>
      </c>
      <c r="H205" s="10" t="n">
        <f aca="false">IF(COUNT(Transf!H$39:H205)&lt;36,"",(Transf!H205-AVERAGE(Transf!H$39:H205))/STDEV(Transf!H$39:H205))</f>
        <v>-0.749225138961531</v>
      </c>
      <c r="I205" s="10" t="n">
        <f aca="false">IF(COUNT(Transf!I$39:I205)&lt;36,"",(Transf!I205-AVERAGE(Transf!I$39:I205))/STDEV(Transf!I$39:I205))</f>
        <v>-0.932886683004608</v>
      </c>
      <c r="J205" s="10" t="n">
        <f aca="false">IF(B205="","",IF(COUNT(B$74:B205)&lt;60,B205,MEDIAN(QUARTILE(B$74:B205,1)-1.5*(QUARTILE(B$74:B205,3)-QUARTILE(B$74:B205,1)),B205,QUARTILE(B$74:B205,3)+1.5*(QUARTILE(B$74:B205,3)-QUARTILE(B$74:B205,1)))))</f>
        <v>-1.46301422868302</v>
      </c>
      <c r="K205" s="10" t="n">
        <f aca="false">IF(C205="","",IF(COUNT(C$74:C205)&lt;60,C205,MEDIAN(QUARTILE(C$74:C205,1)-1.5*(QUARTILE(C$74:C205,3)-QUARTILE(C$74:C205,1)),C205,QUARTILE(C$74:C205,3)+1.5*(QUARTILE(C$74:C205,3)-QUARTILE(C$74:C205,1)))))</f>
        <v>0.0890142090424178</v>
      </c>
      <c r="L205" s="10" t="n">
        <f aca="false">IF(D205="","",IF(COUNT(D$74:D205)&lt;60,D205,MEDIAN(QUARTILE(D$74:D205,1)-1.5*(QUARTILE(D$74:D205,3)-QUARTILE(D$74:D205,1)),D205,QUARTILE(D$74:D205,3)+1.5*(QUARTILE(D$74:D205,3)-QUARTILE(D$74:D205,1)))))</f>
        <v>-2.13723505999123</v>
      </c>
      <c r="M205" s="10" t="n">
        <f aca="false">IF(E205="","",IF(COUNT(E$74:E205)&lt;60,E205,MEDIAN(QUARTILE(E$74:E205,1)-1.5*(QUARTILE(E$74:E205,3)-QUARTILE(E$74:E205,1)),E205,QUARTILE(E$74:E205,3)+1.5*(QUARTILE(E$74:E205,3)-QUARTILE(E$74:E205,1)))))</f>
        <v>0.0400513198109691</v>
      </c>
      <c r="N205" s="10" t="n">
        <f aca="false">IF(F205="","",IF(COUNT(F$74:F205)&lt;60,F205,MEDIAN(QUARTILE(F$74:F205,1)-1.5*(QUARTILE(F$74:F205,3)-QUARTILE(F$74:F205,1)),F205,QUARTILE(F$74:F205,3)+1.5*(QUARTILE(F$74:F205,3)-QUARTILE(F$74:F205,1)))))</f>
        <v>-1.24650523568743</v>
      </c>
      <c r="O205" s="10" t="n">
        <f aca="false">IF(G205="","",IF(COUNT(G$74:G205)&lt;60,G205,MEDIAN(QUARTILE(G$74:G205,1)-1.5*(QUARTILE(G$74:G205,3)-QUARTILE(G$74:G205,1)),G205,QUARTILE(G$74:G205,3)+1.5*(QUARTILE(G$74:G205,3)-QUARTILE(G$74:G205,1)))))</f>
        <v>-0.119066264333687</v>
      </c>
      <c r="P205" s="10" t="n">
        <f aca="false">IF(H205="","",IF(COUNT(H$74:H205)&lt;60,H205,MEDIAN(QUARTILE(H$74:H205,1)-1.5*(QUARTILE(H$74:H205,3)-QUARTILE(H$74:H205,1)),H205,QUARTILE(H$74:H205,3)+1.5*(QUARTILE(H$74:H205,3)-QUARTILE(H$74:H205,1)))))</f>
        <v>-0.749225138961531</v>
      </c>
      <c r="Q205" s="10" t="n">
        <f aca="false">IF(I205="","",IF(COUNT(I$74:I205)&lt;60,I205,MEDIAN(QUARTILE(I$74:I205,1)-1.5*(QUARTILE(I$74:I205,3)-QUARTILE(I$74:I205,1)),I205,QUARTILE(I$74:I205,3)+1.5*(QUARTILE(I$74:I205,3)-QUARTILE(I$74:I205,1)))))</f>
        <v>-0.932886683004608</v>
      </c>
      <c r="R205" s="10" t="n">
        <f aca="false">IF(J205="","",MEDIAN(J205:Q205))</f>
        <v>-0.84105591098307</v>
      </c>
      <c r="S205" s="10" t="n">
        <f aca="false">IF(R205="","",ABS(R205))</f>
        <v>0.84105591098307</v>
      </c>
      <c r="T205" s="10" t="n">
        <f aca="false">IF(COUNT(S$74:S204)&lt;60,"",MEDIAN(S$74:S204))</f>
        <v>0.34477129257782</v>
      </c>
      <c r="U205" s="10" t="n">
        <f aca="false">IF(R205="","",IF(T205="",0,IF(S205&gt;=T205,R205,0)))</f>
        <v>-0.84105591098307</v>
      </c>
      <c r="V205" s="10" t="n">
        <f aca="false">IF(U205="","",MEDIAN(-1,U205,1))</f>
        <v>-0.84105591098307</v>
      </c>
      <c r="W205" s="10" t="n">
        <f aca="false">IF(J205="","",AVERAGE(J205:Q205))</f>
        <v>-0.814858385226015</v>
      </c>
    </row>
    <row r="206" customFormat="false" ht="15" hidden="false" customHeight="false" outlineLevel="0" collapsed="false">
      <c r="A206" s="8" t="n">
        <f aca="false">Base!A206</f>
        <v>44227</v>
      </c>
      <c r="B206" s="10" t="n">
        <f aca="false">IF(COUNT(Transf!B$39:B206)&lt;36,"",(Transf!B206-AVERAGE(Transf!B$39:B206))/STDEV(Transf!B$39:B206))</f>
        <v>-0.875202149802464</v>
      </c>
      <c r="C206" s="10" t="n">
        <f aca="false">IF(COUNT(Transf!C$39:C206)&lt;36,"",(Transf!C206-AVERAGE(Transf!C$39:C206))/STDEV(Transf!C$39:C206))</f>
        <v>0.462193505508591</v>
      </c>
      <c r="D206" s="10" t="n">
        <f aca="false">IF(COUNT(Transf!D$39:D206)&lt;36,"",(Transf!D206-AVERAGE(Transf!D$39:D206))/STDEV(Transf!D$39:D206))</f>
        <v>-2.32987765896051</v>
      </c>
      <c r="E206" s="10" t="n">
        <f aca="false">IF(COUNT(Transf!E$39:E206)&lt;36,"",(Transf!E206-AVERAGE(Transf!E$39:E206))/STDEV(Transf!E$39:E206))</f>
        <v>0.0809607841627061</v>
      </c>
      <c r="F206" s="10" t="n">
        <f aca="false">IF(COUNT(Transf!F$39:F206)&lt;36,"",(Transf!F206-AVERAGE(Transf!F$39:F206))/STDEV(Transf!F$39:F206))</f>
        <v>-1.03722292182602</v>
      </c>
      <c r="G206" s="10" t="n">
        <f aca="false">IF(COUNT(Transf!G$39:G206)&lt;36,"",(Transf!G206-AVERAGE(Transf!G$39:G206))/STDEV(Transf!G$39:G206))</f>
        <v>0.179830039865041</v>
      </c>
      <c r="H206" s="10" t="n">
        <f aca="false">IF(COUNT(Transf!H$39:H206)&lt;36,"",(Transf!H206-AVERAGE(Transf!H$39:H206))/STDEV(Transf!H$39:H206))</f>
        <v>-0.712678966006916</v>
      </c>
      <c r="I206" s="10" t="n">
        <f aca="false">IF(COUNT(Transf!I$39:I206)&lt;36,"",(Transf!I206-AVERAGE(Transf!I$39:I206))/STDEV(Transf!I$39:I206))</f>
        <v>-0.590556534671883</v>
      </c>
      <c r="J206" s="10" t="n">
        <f aca="false">IF(B206="","",IF(COUNT(B$74:B206)&lt;60,B206,MEDIAN(QUARTILE(B$74:B206,1)-1.5*(QUARTILE(B$74:B206,3)-QUARTILE(B$74:B206,1)),B206,QUARTILE(B$74:B206,3)+1.5*(QUARTILE(B$74:B206,3)-QUARTILE(B$74:B206,1)))))</f>
        <v>-0.875202149802464</v>
      </c>
      <c r="K206" s="10" t="n">
        <f aca="false">IF(C206="","",IF(COUNT(C$74:C206)&lt;60,C206,MEDIAN(QUARTILE(C$74:C206,1)-1.5*(QUARTILE(C$74:C206,3)-QUARTILE(C$74:C206,1)),C206,QUARTILE(C$74:C206,3)+1.5*(QUARTILE(C$74:C206,3)-QUARTILE(C$74:C206,1)))))</f>
        <v>0.462193505508591</v>
      </c>
      <c r="L206" s="10" t="n">
        <f aca="false">IF(D206="","",IF(COUNT(D$74:D206)&lt;60,D206,MEDIAN(QUARTILE(D$74:D206,1)-1.5*(QUARTILE(D$74:D206,3)-QUARTILE(D$74:D206,1)),D206,QUARTILE(D$74:D206,3)+1.5*(QUARTILE(D$74:D206,3)-QUARTILE(D$74:D206,1)))))</f>
        <v>-2.15628278237417</v>
      </c>
      <c r="M206" s="10" t="n">
        <f aca="false">IF(E206="","",IF(COUNT(E$74:E206)&lt;60,E206,MEDIAN(QUARTILE(E$74:E206,1)-1.5*(QUARTILE(E$74:E206,3)-QUARTILE(E$74:E206,1)),E206,QUARTILE(E$74:E206,3)+1.5*(QUARTILE(E$74:E206,3)-QUARTILE(E$74:E206,1)))))</f>
        <v>0.0809607841627061</v>
      </c>
      <c r="N206" s="10" t="n">
        <f aca="false">IF(F206="","",IF(COUNT(F$74:F206)&lt;60,F206,MEDIAN(QUARTILE(F$74:F206,1)-1.5*(QUARTILE(F$74:F206,3)-QUARTILE(F$74:F206,1)),F206,QUARTILE(F$74:F206,3)+1.5*(QUARTILE(F$74:F206,3)-QUARTILE(F$74:F206,1)))))</f>
        <v>-1.03722292182602</v>
      </c>
      <c r="O206" s="10" t="n">
        <f aca="false">IF(G206="","",IF(COUNT(G$74:G206)&lt;60,G206,MEDIAN(QUARTILE(G$74:G206,1)-1.5*(QUARTILE(G$74:G206,3)-QUARTILE(G$74:G206,1)),G206,QUARTILE(G$74:G206,3)+1.5*(QUARTILE(G$74:G206,3)-QUARTILE(G$74:G206,1)))))</f>
        <v>0.179830039865041</v>
      </c>
      <c r="P206" s="10" t="n">
        <f aca="false">IF(H206="","",IF(COUNT(H$74:H206)&lt;60,H206,MEDIAN(QUARTILE(H$74:H206,1)-1.5*(QUARTILE(H$74:H206,3)-QUARTILE(H$74:H206,1)),H206,QUARTILE(H$74:H206,3)+1.5*(QUARTILE(H$74:H206,3)-QUARTILE(H$74:H206,1)))))</f>
        <v>-0.712678966006916</v>
      </c>
      <c r="Q206" s="10" t="n">
        <f aca="false">IF(I206="","",IF(COUNT(I$74:I206)&lt;60,I206,MEDIAN(QUARTILE(I$74:I206,1)-1.5*(QUARTILE(I$74:I206,3)-QUARTILE(I$74:I206,1)),I206,QUARTILE(I$74:I206,3)+1.5*(QUARTILE(I$74:I206,3)-QUARTILE(I$74:I206,1)))))</f>
        <v>-0.590556534671883</v>
      </c>
      <c r="R206" s="10" t="n">
        <f aca="false">IF(J206="","",MEDIAN(J206:Q206))</f>
        <v>-0.651617750339399</v>
      </c>
      <c r="S206" s="10" t="n">
        <f aca="false">IF(R206="","",ABS(R206))</f>
        <v>0.651617750339399</v>
      </c>
      <c r="T206" s="10" t="n">
        <f aca="false">IF(COUNT(S$74:S205)&lt;60,"",MEDIAN(S$74:S205))</f>
        <v>0.348290140011821</v>
      </c>
      <c r="U206" s="10" t="n">
        <f aca="false">IF(R206="","",IF(T206="",0,IF(S206&gt;=T206,R206,0)))</f>
        <v>-0.651617750339399</v>
      </c>
      <c r="V206" s="10" t="n">
        <f aca="false">IF(U206="","",MEDIAN(-1,U206,1))</f>
        <v>-0.651617750339399</v>
      </c>
      <c r="W206" s="10" t="n">
        <f aca="false">IF(J206="","",AVERAGE(J206:Q206))</f>
        <v>-0.58111987814314</v>
      </c>
    </row>
    <row r="207" customFormat="false" ht="15" hidden="false" customHeight="false" outlineLevel="0" collapsed="false">
      <c r="A207" s="8" t="n">
        <f aca="false">Base!A207</f>
        <v>44255</v>
      </c>
      <c r="B207" s="10" t="n">
        <f aca="false">IF(COUNT(Transf!B$39:B207)&lt;36,"",(Transf!B207-AVERAGE(Transf!B$39:B207))/STDEV(Transf!B$39:B207))</f>
        <v>-0.191807186532618</v>
      </c>
      <c r="C207" s="10" t="n">
        <f aca="false">IF(COUNT(Transf!C$39:C207)&lt;36,"",(Transf!C207-AVERAGE(Transf!C$39:C207))/STDEV(Transf!C$39:C207))</f>
        <v>0.610259239201313</v>
      </c>
      <c r="D207" s="10" t="n">
        <f aca="false">IF(COUNT(Transf!D$39:D207)&lt;36,"",(Transf!D207-AVERAGE(Transf!D$39:D207))/STDEV(Transf!D$39:D207))</f>
        <v>-2.02914055034885</v>
      </c>
      <c r="E207" s="10" t="n">
        <f aca="false">IF(COUNT(Transf!E$39:E207)&lt;36,"",(Transf!E207-AVERAGE(Transf!E$39:E207))/STDEV(Transf!E$39:E207))</f>
        <v>0.256941942618753</v>
      </c>
      <c r="F207" s="10" t="n">
        <f aca="false">IF(COUNT(Transf!F$39:F207)&lt;36,"",(Transf!F207-AVERAGE(Transf!F$39:F207))/STDEV(Transf!F$39:F207))</f>
        <v>-0.790196187731077</v>
      </c>
      <c r="G207" s="10" t="n">
        <f aca="false">IF(COUNT(Transf!G$39:G207)&lt;36,"",(Transf!G207-AVERAGE(Transf!G$39:G207))/STDEV(Transf!G$39:G207))</f>
        <v>0.284336328177183</v>
      </c>
      <c r="H207" s="10" t="n">
        <f aca="false">IF(COUNT(Transf!H$39:H207)&lt;36,"",(Transf!H207-AVERAGE(Transf!H$39:H207))/STDEV(Transf!H$39:H207))</f>
        <v>-0.70816493937756</v>
      </c>
      <c r="I207" s="10" t="n">
        <f aca="false">IF(COUNT(Transf!I$39:I207)&lt;36,"",(Transf!I207-AVERAGE(Transf!I$39:I207))/STDEV(Transf!I$39:I207))</f>
        <v>-0.253567080122102</v>
      </c>
      <c r="J207" s="10" t="n">
        <f aca="false">IF(B207="","",IF(COUNT(B$74:B207)&lt;60,B207,MEDIAN(QUARTILE(B$74:B207,1)-1.5*(QUARTILE(B$74:B207,3)-QUARTILE(B$74:B207,1)),B207,QUARTILE(B$74:B207,3)+1.5*(QUARTILE(B$74:B207,3)-QUARTILE(B$74:B207,1)))))</f>
        <v>-0.191807186532618</v>
      </c>
      <c r="K207" s="10" t="n">
        <f aca="false">IF(C207="","",IF(COUNT(C$74:C207)&lt;60,C207,MEDIAN(QUARTILE(C$74:C207,1)-1.5*(QUARTILE(C$74:C207,3)-QUARTILE(C$74:C207,1)),C207,QUARTILE(C$74:C207,3)+1.5*(QUARTILE(C$74:C207,3)-QUARTILE(C$74:C207,1)))))</f>
        <v>0.610259239201313</v>
      </c>
      <c r="L207" s="10" t="n">
        <f aca="false">IF(D207="","",IF(COUNT(D$74:D207)&lt;60,D207,MEDIAN(QUARTILE(D$74:D207,1)-1.5*(QUARTILE(D$74:D207,3)-QUARTILE(D$74:D207,1)),D207,QUARTILE(D$74:D207,3)+1.5*(QUARTILE(D$74:D207,3)-QUARTILE(D$74:D207,1)))))</f>
        <v>-2.02914055034885</v>
      </c>
      <c r="M207" s="10" t="n">
        <f aca="false">IF(E207="","",IF(COUNT(E$74:E207)&lt;60,E207,MEDIAN(QUARTILE(E$74:E207,1)-1.5*(QUARTILE(E$74:E207,3)-QUARTILE(E$74:E207,1)),E207,QUARTILE(E$74:E207,3)+1.5*(QUARTILE(E$74:E207,3)-QUARTILE(E$74:E207,1)))))</f>
        <v>0.256941942618753</v>
      </c>
      <c r="N207" s="10" t="n">
        <f aca="false">IF(F207="","",IF(COUNT(F$74:F207)&lt;60,F207,MEDIAN(QUARTILE(F$74:F207,1)-1.5*(QUARTILE(F$74:F207,3)-QUARTILE(F$74:F207,1)),F207,QUARTILE(F$74:F207,3)+1.5*(QUARTILE(F$74:F207,3)-QUARTILE(F$74:F207,1)))))</f>
        <v>-0.790196187731077</v>
      </c>
      <c r="O207" s="10" t="n">
        <f aca="false">IF(G207="","",IF(COUNT(G$74:G207)&lt;60,G207,MEDIAN(QUARTILE(G$74:G207,1)-1.5*(QUARTILE(G$74:G207,3)-QUARTILE(G$74:G207,1)),G207,QUARTILE(G$74:G207,3)+1.5*(QUARTILE(G$74:G207,3)-QUARTILE(G$74:G207,1)))))</f>
        <v>0.284336328177183</v>
      </c>
      <c r="P207" s="10" t="n">
        <f aca="false">IF(H207="","",IF(COUNT(H$74:H207)&lt;60,H207,MEDIAN(QUARTILE(H$74:H207,1)-1.5*(QUARTILE(H$74:H207,3)-QUARTILE(H$74:H207,1)),H207,QUARTILE(H$74:H207,3)+1.5*(QUARTILE(H$74:H207,3)-QUARTILE(H$74:H207,1)))))</f>
        <v>-0.70816493937756</v>
      </c>
      <c r="Q207" s="10" t="n">
        <f aca="false">IF(I207="","",IF(COUNT(I$74:I207)&lt;60,I207,MEDIAN(QUARTILE(I$74:I207,1)-1.5*(QUARTILE(I$74:I207,3)-QUARTILE(I$74:I207,1)),I207,QUARTILE(I$74:I207,3)+1.5*(QUARTILE(I$74:I207,3)-QUARTILE(I$74:I207,1)))))</f>
        <v>-0.253567080122102</v>
      </c>
      <c r="R207" s="10" t="n">
        <f aca="false">IF(J207="","",MEDIAN(J207:Q207))</f>
        <v>-0.22268713332736</v>
      </c>
      <c r="S207" s="10" t="n">
        <f aca="false">IF(R207="","",ABS(R207))</f>
        <v>0.22268713332736</v>
      </c>
      <c r="T207" s="10" t="n">
        <f aca="false">IF(COUNT(S$74:S206)&lt;60,"",MEDIAN(S$74:S206))</f>
        <v>0.351808987445821</v>
      </c>
      <c r="U207" s="10" t="n">
        <f aca="false">IF(R207="","",IF(T207="",0,IF(S207&gt;=T207,R207,0)))</f>
        <v>0</v>
      </c>
      <c r="V207" s="10" t="n">
        <f aca="false">IF(U207="","",MEDIAN(-1,U207,1))</f>
        <v>0</v>
      </c>
      <c r="W207" s="10" t="n">
        <f aca="false">IF(J207="","",AVERAGE(J207:Q207))</f>
        <v>-0.35266730426437</v>
      </c>
    </row>
    <row r="208" customFormat="false" ht="15" hidden="false" customHeight="false" outlineLevel="0" collapsed="false">
      <c r="A208" s="8" t="n">
        <f aca="false">Base!A208</f>
        <v>44286</v>
      </c>
      <c r="B208" s="10" t="n">
        <f aca="false">IF(COUNT(Transf!B$39:B208)&lt;36,"",(Transf!B208-AVERAGE(Transf!B$39:B208))/STDEV(Transf!B$39:B208))</f>
        <v>1.13559930133791</v>
      </c>
      <c r="C208" s="10" t="n">
        <f aca="false">IF(COUNT(Transf!C$39:C208)&lt;36,"",(Transf!C208-AVERAGE(Transf!C$39:C208))/STDEV(Transf!C$39:C208))</f>
        <v>1.56579251469605</v>
      </c>
      <c r="D208" s="10" t="n">
        <f aca="false">IF(COUNT(Transf!D$39:D208)&lt;36,"",(Transf!D208-AVERAGE(Transf!D$39:D208))/STDEV(Transf!D$39:D208))</f>
        <v>-0.761510716728474</v>
      </c>
      <c r="E208" s="10" t="n">
        <f aca="false">IF(COUNT(Transf!E$39:E208)&lt;36,"",(Transf!E208-AVERAGE(Transf!E$39:E208))/STDEV(Transf!E$39:E208))</f>
        <v>0.520786864351822</v>
      </c>
      <c r="F208" s="10" t="n">
        <f aca="false">IF(COUNT(Transf!F$39:F208)&lt;36,"",(Transf!F208-AVERAGE(Transf!F$39:F208))/STDEV(Transf!F$39:F208))</f>
        <v>-0.55079174966811</v>
      </c>
      <c r="G208" s="10" t="n">
        <f aca="false">IF(COUNT(Transf!G$39:G208)&lt;36,"",(Transf!G208-AVERAGE(Transf!G$39:G208))/STDEV(Transf!G$39:G208))</f>
        <v>0.369096598854759</v>
      </c>
      <c r="H208" s="10" t="n">
        <f aca="false">IF(COUNT(Transf!H$39:H208)&lt;36,"",(Transf!H208-AVERAGE(Transf!H$39:H208))/STDEV(Transf!H$39:H208))</f>
        <v>-0.454970704998664</v>
      </c>
      <c r="I208" s="10" t="n">
        <f aca="false">IF(COUNT(Transf!I$39:I208)&lt;36,"",(Transf!I208-AVERAGE(Transf!I$39:I208))/STDEV(Transf!I$39:I208))</f>
        <v>0.567544841058942</v>
      </c>
      <c r="J208" s="10" t="n">
        <f aca="false">IF(B208="","",IF(COUNT(B$74:B208)&lt;60,B208,MEDIAN(QUARTILE(B$74:B208,1)-1.5*(QUARTILE(B$74:B208,3)-QUARTILE(B$74:B208,1)),B208,QUARTILE(B$74:B208,3)+1.5*(QUARTILE(B$74:B208,3)-QUARTILE(B$74:B208,1)))))</f>
        <v>1.13559930133791</v>
      </c>
      <c r="K208" s="10" t="n">
        <f aca="false">IF(C208="","",IF(COUNT(C$74:C208)&lt;60,C208,MEDIAN(QUARTILE(C$74:C208,1)-1.5*(QUARTILE(C$74:C208,3)-QUARTILE(C$74:C208,1)),C208,QUARTILE(C$74:C208,3)+1.5*(QUARTILE(C$74:C208,3)-QUARTILE(C$74:C208,1)))))</f>
        <v>1.56579251469605</v>
      </c>
      <c r="L208" s="10" t="n">
        <f aca="false">IF(D208="","",IF(COUNT(D$74:D208)&lt;60,D208,MEDIAN(QUARTILE(D$74:D208,1)-1.5*(QUARTILE(D$74:D208,3)-QUARTILE(D$74:D208,1)),D208,QUARTILE(D$74:D208,3)+1.5*(QUARTILE(D$74:D208,3)-QUARTILE(D$74:D208,1)))))</f>
        <v>-0.761510716728474</v>
      </c>
      <c r="M208" s="10" t="n">
        <f aca="false">IF(E208="","",IF(COUNT(E$74:E208)&lt;60,E208,MEDIAN(QUARTILE(E$74:E208,1)-1.5*(QUARTILE(E$74:E208,3)-QUARTILE(E$74:E208,1)),E208,QUARTILE(E$74:E208,3)+1.5*(QUARTILE(E$74:E208,3)-QUARTILE(E$74:E208,1)))))</f>
        <v>0.520786864351822</v>
      </c>
      <c r="N208" s="10" t="n">
        <f aca="false">IF(F208="","",IF(COUNT(F$74:F208)&lt;60,F208,MEDIAN(QUARTILE(F$74:F208,1)-1.5*(QUARTILE(F$74:F208,3)-QUARTILE(F$74:F208,1)),F208,QUARTILE(F$74:F208,3)+1.5*(QUARTILE(F$74:F208,3)-QUARTILE(F$74:F208,1)))))</f>
        <v>-0.55079174966811</v>
      </c>
      <c r="O208" s="10" t="n">
        <f aca="false">IF(G208="","",IF(COUNT(G$74:G208)&lt;60,G208,MEDIAN(QUARTILE(G$74:G208,1)-1.5*(QUARTILE(G$74:G208,3)-QUARTILE(G$74:G208,1)),G208,QUARTILE(G$74:G208,3)+1.5*(QUARTILE(G$74:G208,3)-QUARTILE(G$74:G208,1)))))</f>
        <v>0.369096598854759</v>
      </c>
      <c r="P208" s="10" t="n">
        <f aca="false">IF(H208="","",IF(COUNT(H$74:H208)&lt;60,H208,MEDIAN(QUARTILE(H$74:H208,1)-1.5*(QUARTILE(H$74:H208,3)-QUARTILE(H$74:H208,1)),H208,QUARTILE(H$74:H208,3)+1.5*(QUARTILE(H$74:H208,3)-QUARTILE(H$74:H208,1)))))</f>
        <v>-0.454970704998664</v>
      </c>
      <c r="Q208" s="10" t="n">
        <f aca="false">IF(I208="","",IF(COUNT(I$74:I208)&lt;60,I208,MEDIAN(QUARTILE(I$74:I208,1)-1.5*(QUARTILE(I$74:I208,3)-QUARTILE(I$74:I208,1)),I208,QUARTILE(I$74:I208,3)+1.5*(QUARTILE(I$74:I208,3)-QUARTILE(I$74:I208,1)))))</f>
        <v>0.567544841058942</v>
      </c>
      <c r="R208" s="10" t="n">
        <f aca="false">IF(J208="","",MEDIAN(J208:Q208))</f>
        <v>0.44494173160329</v>
      </c>
      <c r="S208" s="10" t="n">
        <f aca="false">IF(R208="","",ABS(R208))</f>
        <v>0.44494173160329</v>
      </c>
      <c r="T208" s="10" t="n">
        <f aca="false">IF(COUNT(S$74:S207)&lt;60,"",MEDIAN(S$74:S207))</f>
        <v>0.348290140011821</v>
      </c>
      <c r="U208" s="10" t="n">
        <f aca="false">IF(R208="","",IF(T208="",0,IF(S208&gt;=T208,R208,0)))</f>
        <v>0.44494173160329</v>
      </c>
      <c r="V208" s="10" t="n">
        <f aca="false">IF(U208="","",MEDIAN(-1,U208,1))</f>
        <v>0.44494173160329</v>
      </c>
      <c r="W208" s="10" t="n">
        <f aca="false">IF(J208="","",AVERAGE(J208:Q208))</f>
        <v>0.298943368613029</v>
      </c>
    </row>
    <row r="209" customFormat="false" ht="15" hidden="false" customHeight="false" outlineLevel="0" collapsed="false">
      <c r="A209" s="8" t="n">
        <f aca="false">Base!A209</f>
        <v>44316</v>
      </c>
      <c r="B209" s="10" t="n">
        <f aca="false">IF(COUNT(Transf!B$39:B209)&lt;36,"",(Transf!B209-AVERAGE(Transf!B$39:B209))/STDEV(Transf!B$39:B209))</f>
        <v>1.81323423820393</v>
      </c>
      <c r="C209" s="10" t="n">
        <f aca="false">IF(COUNT(Transf!C$39:C209)&lt;36,"",(Transf!C209-AVERAGE(Transf!C$39:C209))/STDEV(Transf!C$39:C209))</f>
        <v>3.4587958886528</v>
      </c>
      <c r="D209" s="10" t="n">
        <f aca="false">IF(COUNT(Transf!D$39:D209)&lt;36,"",(Transf!D209-AVERAGE(Transf!D$39:D209))/STDEV(Transf!D$39:D209))</f>
        <v>1.19071245358102</v>
      </c>
      <c r="E209" s="10" t="n">
        <f aca="false">IF(COUNT(Transf!E$39:E209)&lt;36,"",(Transf!E209-AVERAGE(Transf!E$39:E209))/STDEV(Transf!E$39:E209))</f>
        <v>0.832015447014784</v>
      </c>
      <c r="F209" s="10" t="n">
        <f aca="false">IF(COUNT(Transf!F$39:F209)&lt;36,"",(Transf!F209-AVERAGE(Transf!F$39:F209))/STDEV(Transf!F$39:F209))</f>
        <v>0.520549472132922</v>
      </c>
      <c r="G209" s="10" t="n">
        <f aca="false">IF(COUNT(Transf!G$39:G209)&lt;36,"",(Transf!G209-AVERAGE(Transf!G$39:G209))/STDEV(Transf!G$39:G209))</f>
        <v>0.385808893587528</v>
      </c>
      <c r="H209" s="10" t="n">
        <f aca="false">IF(COUNT(Transf!H$39:H209)&lt;36,"",(Transf!H209-AVERAGE(Transf!H$39:H209))/STDEV(Transf!H$39:H209))</f>
        <v>0.105096405392259</v>
      </c>
      <c r="I209" s="10" t="n">
        <f aca="false">IF(COUNT(Transf!I$39:I209)&lt;36,"",(Transf!I209-AVERAGE(Transf!I$39:I209))/STDEV(Transf!I$39:I209))</f>
        <v>0.836417364663484</v>
      </c>
      <c r="J209" s="10" t="n">
        <f aca="false">IF(B209="","",IF(COUNT(B$74:B209)&lt;60,B209,MEDIAN(QUARTILE(B$74:B209,1)-1.5*(QUARTILE(B$74:B209,3)-QUARTILE(B$74:B209,1)),B209,QUARTILE(B$74:B209,3)+1.5*(QUARTILE(B$74:B209,3)-QUARTILE(B$74:B209,1)))))</f>
        <v>1.81323423820393</v>
      </c>
      <c r="K209" s="10" t="n">
        <f aca="false">IF(C209="","",IF(COUNT(C$74:C209)&lt;60,C209,MEDIAN(QUARTILE(C$74:C209,1)-1.5*(QUARTILE(C$74:C209,3)-QUARTILE(C$74:C209,1)),C209,QUARTILE(C$74:C209,3)+1.5*(QUARTILE(C$74:C209,3)-QUARTILE(C$74:C209,1)))))</f>
        <v>2.25900040095308</v>
      </c>
      <c r="L209" s="10" t="n">
        <f aca="false">IF(D209="","",IF(COUNT(D$74:D209)&lt;60,D209,MEDIAN(QUARTILE(D$74:D209,1)-1.5*(QUARTILE(D$74:D209,3)-QUARTILE(D$74:D209,1)),D209,QUARTILE(D$74:D209,3)+1.5*(QUARTILE(D$74:D209,3)-QUARTILE(D$74:D209,1)))))</f>
        <v>1.19071245358102</v>
      </c>
      <c r="M209" s="10" t="n">
        <f aca="false">IF(E209="","",IF(COUNT(E$74:E209)&lt;60,E209,MEDIAN(QUARTILE(E$74:E209,1)-1.5*(QUARTILE(E$74:E209,3)-QUARTILE(E$74:E209,1)),E209,QUARTILE(E$74:E209,3)+1.5*(QUARTILE(E$74:E209,3)-QUARTILE(E$74:E209,1)))))</f>
        <v>0.832015447014784</v>
      </c>
      <c r="N209" s="10" t="n">
        <f aca="false">IF(F209="","",IF(COUNT(F$74:F209)&lt;60,F209,MEDIAN(QUARTILE(F$74:F209,1)-1.5*(QUARTILE(F$74:F209,3)-QUARTILE(F$74:F209,1)),F209,QUARTILE(F$74:F209,3)+1.5*(QUARTILE(F$74:F209,3)-QUARTILE(F$74:F209,1)))))</f>
        <v>0.520549472132922</v>
      </c>
      <c r="O209" s="10" t="n">
        <f aca="false">IF(G209="","",IF(COUNT(G$74:G209)&lt;60,G209,MEDIAN(QUARTILE(G$74:G209,1)-1.5*(QUARTILE(G$74:G209,3)-QUARTILE(G$74:G209,1)),G209,QUARTILE(G$74:G209,3)+1.5*(QUARTILE(G$74:G209,3)-QUARTILE(G$74:G209,1)))))</f>
        <v>0.385808893587528</v>
      </c>
      <c r="P209" s="10" t="n">
        <f aca="false">IF(H209="","",IF(COUNT(H$74:H209)&lt;60,H209,MEDIAN(QUARTILE(H$74:H209,1)-1.5*(QUARTILE(H$74:H209,3)-QUARTILE(H$74:H209,1)),H209,QUARTILE(H$74:H209,3)+1.5*(QUARTILE(H$74:H209,3)-QUARTILE(H$74:H209,1)))))</f>
        <v>0.105096405392259</v>
      </c>
      <c r="Q209" s="10" t="n">
        <f aca="false">IF(I209="","",IF(COUNT(I$74:I209)&lt;60,I209,MEDIAN(QUARTILE(I$74:I209,1)-1.5*(QUARTILE(I$74:I209,3)-QUARTILE(I$74:I209,1)),I209,QUARTILE(I$74:I209,3)+1.5*(QUARTILE(I$74:I209,3)-QUARTILE(I$74:I209,1)))))</f>
        <v>0.836417364663484</v>
      </c>
      <c r="R209" s="10" t="n">
        <f aca="false">IF(J209="","",MEDIAN(J209:Q209))</f>
        <v>0.834216405839134</v>
      </c>
      <c r="S209" s="10" t="n">
        <f aca="false">IF(R209="","",ABS(R209))</f>
        <v>0.834216405839134</v>
      </c>
      <c r="T209" s="10" t="n">
        <f aca="false">IF(COUNT(S$74:S208)&lt;60,"",MEDIAN(S$74:S208))</f>
        <v>0.351808987445821</v>
      </c>
      <c r="U209" s="10" t="n">
        <f aca="false">IF(R209="","",IF(T209="",0,IF(S209&gt;=T209,R209,0)))</f>
        <v>0.834216405839134</v>
      </c>
      <c r="V209" s="10" t="n">
        <f aca="false">IF(U209="","",MEDIAN(-1,U209,1))</f>
        <v>0.834216405839134</v>
      </c>
      <c r="W209" s="10" t="n">
        <f aca="false">IF(J209="","",AVERAGE(J209:Q209))</f>
        <v>0.992854334441125</v>
      </c>
    </row>
    <row r="210" customFormat="false" ht="15" hidden="false" customHeight="false" outlineLevel="0" collapsed="false">
      <c r="A210" s="8" t="n">
        <f aca="false">Base!A210</f>
        <v>44347</v>
      </c>
      <c r="B210" s="10" t="n">
        <f aca="false">IF(COUNT(Transf!B$39:B210)&lt;36,"",(Transf!B210-AVERAGE(Transf!B$39:B210))/STDEV(Transf!B$39:B210))</f>
        <v>2.28412540085639</v>
      </c>
      <c r="C210" s="10" t="n">
        <f aca="false">IF(COUNT(Transf!C$39:C210)&lt;36,"",(Transf!C210-AVERAGE(Transf!C$39:C210))/STDEV(Transf!C$39:C210))</f>
        <v>4.27380685334512</v>
      </c>
      <c r="D210" s="10" t="n">
        <f aca="false">IF(COUNT(Transf!D$39:D210)&lt;36,"",(Transf!D210-AVERAGE(Transf!D$39:D210))/STDEV(Transf!D$39:D210))</f>
        <v>2.4579104823585</v>
      </c>
      <c r="E210" s="10" t="n">
        <f aca="false">IF(COUNT(Transf!E$39:E210)&lt;36,"",(Transf!E210-AVERAGE(Transf!E$39:E210))/STDEV(Transf!E$39:E210))</f>
        <v>1.21142015637167</v>
      </c>
      <c r="F210" s="10" t="n">
        <f aca="false">IF(COUNT(Transf!F$39:F210)&lt;36,"",(Transf!F210-AVERAGE(Transf!F$39:F210))/STDEV(Transf!F$39:F210))</f>
        <v>1.80196277374629</v>
      </c>
      <c r="G210" s="10" t="n">
        <f aca="false">IF(COUNT(Transf!G$39:G210)&lt;36,"",(Transf!G210-AVERAGE(Transf!G$39:G210))/STDEV(Transf!G$39:G210))</f>
        <v>0.384871351934879</v>
      </c>
      <c r="H210" s="10" t="n">
        <f aca="false">IF(COUNT(Transf!H$39:H210)&lt;36,"",(Transf!H210-AVERAGE(Transf!H$39:H210))/STDEV(Transf!H$39:H210))</f>
        <v>0.718313060785989</v>
      </c>
      <c r="I210" s="10" t="n">
        <f aca="false">IF(COUNT(Transf!I$39:I210)&lt;36,"",(Transf!I210-AVERAGE(Transf!I$39:I210))/STDEV(Transf!I$39:I210))</f>
        <v>1.62462667417336</v>
      </c>
      <c r="J210" s="10" t="n">
        <f aca="false">IF(B210="","",IF(COUNT(B$74:B210)&lt;60,B210,MEDIAN(QUARTILE(B$74:B210,1)-1.5*(QUARTILE(B$74:B210,3)-QUARTILE(B$74:B210,1)),B210,QUARTILE(B$74:B210,3)+1.5*(QUARTILE(B$74:B210,3)-QUARTILE(B$74:B210,1)))))</f>
        <v>1.93943615996648</v>
      </c>
      <c r="K210" s="10" t="n">
        <f aca="false">IF(C210="","",IF(COUNT(C$74:C210)&lt;60,C210,MEDIAN(QUARTILE(C$74:C210,1)-1.5*(QUARTILE(C$74:C210,3)-QUARTILE(C$74:C210,1)),C210,QUARTILE(C$74:C210,3)+1.5*(QUARTILE(C$74:C210,3)-QUARTILE(C$74:C210,1)))))</f>
        <v>2.30693092657086</v>
      </c>
      <c r="L210" s="10" t="n">
        <f aca="false">IF(D210="","",IF(COUNT(D$74:D210)&lt;60,D210,MEDIAN(QUARTILE(D$74:D210,1)-1.5*(QUARTILE(D$74:D210,3)-QUARTILE(D$74:D210,1)),D210,QUARTILE(D$74:D210,3)+1.5*(QUARTILE(D$74:D210,3)-QUARTILE(D$74:D210,1)))))</f>
        <v>2.22759119565296</v>
      </c>
      <c r="M210" s="10" t="n">
        <f aca="false">IF(E210="","",IF(COUNT(E$74:E210)&lt;60,E210,MEDIAN(QUARTILE(E$74:E210,1)-1.5*(QUARTILE(E$74:E210,3)-QUARTILE(E$74:E210,1)),E210,QUARTILE(E$74:E210,3)+1.5*(QUARTILE(E$74:E210,3)-QUARTILE(E$74:E210,1)))))</f>
        <v>1.21142015637167</v>
      </c>
      <c r="N210" s="10" t="n">
        <f aca="false">IF(F210="","",IF(COUNT(F$74:F210)&lt;60,F210,MEDIAN(QUARTILE(F$74:F210,1)-1.5*(QUARTILE(F$74:F210,3)-QUARTILE(F$74:F210,1)),F210,QUARTILE(F$74:F210,3)+1.5*(QUARTILE(F$74:F210,3)-QUARTILE(F$74:F210,1)))))</f>
        <v>1.80196277374629</v>
      </c>
      <c r="O210" s="10" t="n">
        <f aca="false">IF(G210="","",IF(COUNT(G$74:G210)&lt;60,G210,MEDIAN(QUARTILE(G$74:G210,1)-1.5*(QUARTILE(G$74:G210,3)-QUARTILE(G$74:G210,1)),G210,QUARTILE(G$74:G210,3)+1.5*(QUARTILE(G$74:G210,3)-QUARTILE(G$74:G210,1)))))</f>
        <v>0.384871351934879</v>
      </c>
      <c r="P210" s="10" t="n">
        <f aca="false">IF(H210="","",IF(COUNT(H$74:H210)&lt;60,H210,MEDIAN(QUARTILE(H$74:H210,1)-1.5*(QUARTILE(H$74:H210,3)-QUARTILE(H$74:H210,1)),H210,QUARTILE(H$74:H210,3)+1.5*(QUARTILE(H$74:H210,3)-QUARTILE(H$74:H210,1)))))</f>
        <v>0.718313060785989</v>
      </c>
      <c r="Q210" s="10" t="n">
        <f aca="false">IF(I210="","",IF(COUNT(I$74:I210)&lt;60,I210,MEDIAN(QUARTILE(I$74:I210,1)-1.5*(QUARTILE(I$74:I210,3)-QUARTILE(I$74:I210,1)),I210,QUARTILE(I$74:I210,3)+1.5*(QUARTILE(I$74:I210,3)-QUARTILE(I$74:I210,1)))))</f>
        <v>1.25170369451458</v>
      </c>
      <c r="R210" s="10" t="n">
        <f aca="false">IF(J210="","",MEDIAN(J210:Q210))</f>
        <v>1.52683323413044</v>
      </c>
      <c r="S210" s="10" t="n">
        <f aca="false">IF(R210="","",ABS(R210))</f>
        <v>1.52683323413044</v>
      </c>
      <c r="T210" s="10" t="n">
        <f aca="false">IF(COUNT(S$74:S209)&lt;60,"",MEDIAN(S$74:S209))</f>
        <v>0.353827211240097</v>
      </c>
      <c r="U210" s="10" t="n">
        <f aca="false">IF(R210="","",IF(T210="",0,IF(S210&gt;=T210,R210,0)))</f>
        <v>1.52683323413044</v>
      </c>
      <c r="V210" s="10" t="n">
        <f aca="false">IF(U210="","",MEDIAN(-1,U210,1))</f>
        <v>1</v>
      </c>
      <c r="W210" s="10" t="n">
        <f aca="false">IF(J210="","",AVERAGE(J210:Q210))</f>
        <v>1.48027866494296</v>
      </c>
    </row>
    <row r="211" customFormat="false" ht="15" hidden="false" customHeight="false" outlineLevel="0" collapsed="false">
      <c r="A211" s="8" t="n">
        <f aca="false">Base!A211</f>
        <v>44377</v>
      </c>
      <c r="B211" s="10" t="n">
        <f aca="false">IF(COUNT(Transf!B$39:B211)&lt;36,"",(Transf!B211-AVERAGE(Transf!B$39:B211))/STDEV(Transf!B$39:B211))</f>
        <v>2.52919871379822</v>
      </c>
      <c r="C211" s="10" t="n">
        <f aca="false">IF(COUNT(Transf!C$39:C211)&lt;36,"",(Transf!C211-AVERAGE(Transf!C$39:C211))/STDEV(Transf!C$39:C211))</f>
        <v>3.92367912153018</v>
      </c>
      <c r="D211" s="10" t="n">
        <f aca="false">IF(COUNT(Transf!D$39:D211)&lt;36,"",(Transf!D211-AVERAGE(Transf!D$39:D211))/STDEV(Transf!D$39:D211))</f>
        <v>2.75390942969422</v>
      </c>
      <c r="E211" s="10" t="n">
        <f aca="false">IF(COUNT(Transf!E$39:E211)&lt;36,"",(Transf!E211-AVERAGE(Transf!E$39:E211))/STDEV(Transf!E$39:E211))</f>
        <v>1.54021114750502</v>
      </c>
      <c r="F211" s="10" t="n">
        <f aca="false">IF(COUNT(Transf!F$39:F211)&lt;36,"",(Transf!F211-AVERAGE(Transf!F$39:F211))/STDEV(Transf!F$39:F211))</f>
        <v>2.61418637981727</v>
      </c>
      <c r="G211" s="10" t="n">
        <f aca="false">IF(COUNT(Transf!G$39:G211)&lt;36,"",(Transf!G211-AVERAGE(Transf!G$39:G211))/STDEV(Transf!G$39:G211))</f>
        <v>0.273986701837039</v>
      </c>
      <c r="H211" s="10" t="n">
        <f aca="false">IF(COUNT(Transf!H$39:H211)&lt;36,"",(Transf!H211-AVERAGE(Transf!H$39:H211))/STDEV(Transf!H$39:H211))</f>
        <v>1.42281276132167</v>
      </c>
      <c r="I211" s="10" t="n">
        <f aca="false">IF(COUNT(Transf!I$39:I211)&lt;36,"",(Transf!I211-AVERAGE(Transf!I$39:I211))/STDEV(Transf!I$39:I211))</f>
        <v>1.37807675483226</v>
      </c>
      <c r="J211" s="10" t="n">
        <f aca="false">IF(B211="","",IF(COUNT(B$74:B211)&lt;60,B211,MEDIAN(QUARTILE(B$74:B211,1)-1.5*(QUARTILE(B$74:B211,3)-QUARTILE(B$74:B211,1)),B211,QUARTILE(B$74:B211,3)+1.5*(QUARTILE(B$74:B211,3)-QUARTILE(B$74:B211,1)))))</f>
        <v>1.96750208186749</v>
      </c>
      <c r="K211" s="10" t="n">
        <f aca="false">IF(C211="","",IF(COUNT(C$74:C211)&lt;60,C211,MEDIAN(QUARTILE(C$74:C211,1)-1.5*(QUARTILE(C$74:C211,3)-QUARTILE(C$74:C211,1)),C211,QUARTILE(C$74:C211,3)+1.5*(QUARTILE(C$74:C211,3)-QUARTILE(C$74:C211,1)))))</f>
        <v>2.35336546414922</v>
      </c>
      <c r="L211" s="10" t="n">
        <f aca="false">IF(D211="","",IF(COUNT(D$74:D211)&lt;60,D211,MEDIAN(QUARTILE(D$74:D211,1)-1.5*(QUARTILE(D$74:D211,3)-QUARTILE(D$74:D211,1)),D211,QUARTILE(D$74:D211,3)+1.5*(QUARTILE(D$74:D211,3)-QUARTILE(D$74:D211,1)))))</f>
        <v>2.2177315584571</v>
      </c>
      <c r="M211" s="10" t="n">
        <f aca="false">IF(E211="","",IF(COUNT(E$74:E211)&lt;60,E211,MEDIAN(QUARTILE(E$74:E211,1)-1.5*(QUARTILE(E$74:E211,3)-QUARTILE(E$74:E211,1)),E211,QUARTILE(E$74:E211,3)+1.5*(QUARTILE(E$74:E211,3)-QUARTILE(E$74:E211,1)))))</f>
        <v>1.54021114750502</v>
      </c>
      <c r="N211" s="10" t="n">
        <f aca="false">IF(F211="","",IF(COUNT(F$74:F211)&lt;60,F211,MEDIAN(QUARTILE(F$74:F211,1)-1.5*(QUARTILE(F$74:F211,3)-QUARTILE(F$74:F211,1)),F211,QUARTILE(F$74:F211,3)+1.5*(QUARTILE(F$74:F211,3)-QUARTILE(F$74:F211,1)))))</f>
        <v>2.61418637981727</v>
      </c>
      <c r="O211" s="10" t="n">
        <f aca="false">IF(G211="","",IF(COUNT(G$74:G211)&lt;60,G211,MEDIAN(QUARTILE(G$74:G211,1)-1.5*(QUARTILE(G$74:G211,3)-QUARTILE(G$74:G211,1)),G211,QUARTILE(G$74:G211,3)+1.5*(QUARTILE(G$74:G211,3)-QUARTILE(G$74:G211,1)))))</f>
        <v>0.273986701837039</v>
      </c>
      <c r="P211" s="10" t="n">
        <f aca="false">IF(H211="","",IF(COUNT(H$74:H211)&lt;60,H211,MEDIAN(QUARTILE(H$74:H211,1)-1.5*(QUARTILE(H$74:H211,3)-QUARTILE(H$74:H211,1)),H211,QUARTILE(H$74:H211,3)+1.5*(QUARTILE(H$74:H211,3)-QUARTILE(H$74:H211,1)))))</f>
        <v>1.42281276132167</v>
      </c>
      <c r="Q211" s="10" t="n">
        <f aca="false">IF(I211="","",IF(COUNT(I$74:I211)&lt;60,I211,MEDIAN(QUARTILE(I$74:I211,1)-1.5*(QUARTILE(I$74:I211,3)-QUARTILE(I$74:I211,1)),I211,QUARTILE(I$74:I211,3)+1.5*(QUARTILE(I$74:I211,3)-QUARTILE(I$74:I211,1)))))</f>
        <v>1.29909849398923</v>
      </c>
      <c r="R211" s="10" t="n">
        <f aca="false">IF(J211="","",MEDIAN(J211:Q211))</f>
        <v>1.75385661468625</v>
      </c>
      <c r="S211" s="10" t="n">
        <f aca="false">IF(R211="","",ABS(R211))</f>
        <v>1.75385661468625</v>
      </c>
      <c r="T211" s="10" t="n">
        <f aca="false">IF(COUNT(S$74:S210)&lt;60,"",MEDIAN(S$74:S210))</f>
        <v>0.355845435034372</v>
      </c>
      <c r="U211" s="10" t="n">
        <f aca="false">IF(R211="","",IF(T211="",0,IF(S211&gt;=T211,R211,0)))</f>
        <v>1.75385661468625</v>
      </c>
      <c r="V211" s="10" t="n">
        <f aca="false">IF(U211="","",MEDIAN(-1,U211,1))</f>
        <v>1</v>
      </c>
      <c r="W211" s="10" t="n">
        <f aca="false">IF(J211="","",AVERAGE(J211:Q211))</f>
        <v>1.711111823618</v>
      </c>
    </row>
    <row r="212" customFormat="false" ht="15" hidden="false" customHeight="false" outlineLevel="0" collapsed="false">
      <c r="A212" s="8" t="n">
        <f aca="false">Base!A212</f>
        <v>44408</v>
      </c>
      <c r="B212" s="10" t="n">
        <f aca="false">IF(COUNT(Transf!B$39:B212)&lt;36,"",(Transf!B212-AVERAGE(Transf!B$39:B212))/STDEV(Transf!B$39:B212))</f>
        <v>2.56486325070506</v>
      </c>
      <c r="C212" s="10" t="n">
        <f aca="false">IF(COUNT(Transf!C$39:C212)&lt;36,"",(Transf!C212-AVERAGE(Transf!C$39:C212))/STDEV(Transf!C$39:C212))</f>
        <v>2.75953234889165</v>
      </c>
      <c r="D212" s="10" t="n">
        <f aca="false">IF(COUNT(Transf!D$39:D212)&lt;36,"",(Transf!D212-AVERAGE(Transf!D$39:D212))/STDEV(Transf!D$39:D212))</f>
        <v>2.27162866090815</v>
      </c>
      <c r="E212" s="10" t="n">
        <f aca="false">IF(COUNT(Transf!E$39:E212)&lt;36,"",(Transf!E212-AVERAGE(Transf!E$39:E212))/STDEV(Transf!E$39:E212))</f>
        <v>1.73301860859834</v>
      </c>
      <c r="F212" s="10" t="n">
        <f aca="false">IF(COUNT(Transf!F$39:F212)&lt;36,"",(Transf!F212-AVERAGE(Transf!F$39:F212))/STDEV(Transf!F$39:F212))</f>
        <v>2.54686750621692</v>
      </c>
      <c r="G212" s="10" t="n">
        <f aca="false">IF(COUNT(Transf!G$39:G212)&lt;36,"",(Transf!G212-AVERAGE(Transf!G$39:G212))/STDEV(Transf!G$39:G212))</f>
        <v>0.0446385632558637</v>
      </c>
      <c r="H212" s="10" t="n">
        <f aca="false">IF(COUNT(Transf!H$39:H212)&lt;36,"",(Transf!H212-AVERAGE(Transf!H$39:H212))/STDEV(Transf!H$39:H212))</f>
        <v>1.63880854241434</v>
      </c>
      <c r="I212" s="10" t="n">
        <f aca="false">IF(COUNT(Transf!I$39:I212)&lt;36,"",(Transf!I212-AVERAGE(Transf!I$39:I212))/STDEV(Transf!I$39:I212))</f>
        <v>1.84168636500636</v>
      </c>
      <c r="J212" s="10" t="n">
        <f aca="false">IF(B212="","",IF(COUNT(B$74:B212)&lt;60,B212,MEDIAN(QUARTILE(B$74:B212,1)-1.5*(QUARTILE(B$74:B212,3)-QUARTILE(B$74:B212,1)),B212,QUARTILE(B$74:B212,3)+1.5*(QUARTILE(B$74:B212,3)-QUARTILE(B$74:B212,1)))))</f>
        <v>1.99791335989537</v>
      </c>
      <c r="K212" s="10" t="n">
        <f aca="false">IF(C212="","",IF(COUNT(C$74:C212)&lt;60,C212,MEDIAN(QUARTILE(C$74:C212,1)-1.5*(QUARTILE(C$74:C212,3)-QUARTILE(C$74:C212,1)),C212,QUARTILE(C$74:C212,3)+1.5*(QUARTILE(C$74:C212,3)-QUARTILE(C$74:C212,1)))))</f>
        <v>2.39021085674098</v>
      </c>
      <c r="L212" s="10" t="n">
        <f aca="false">IF(D212="","",IF(COUNT(D$74:D212)&lt;60,D212,MEDIAN(QUARTILE(D$74:D212,1)-1.5*(QUARTILE(D$74:D212,3)-QUARTILE(D$74:D212,1)),D212,QUARTILE(D$74:D212,3)+1.5*(QUARTILE(D$74:D212,3)-QUARTILE(D$74:D212,1)))))</f>
        <v>2.2276415531185</v>
      </c>
      <c r="M212" s="10" t="n">
        <f aca="false">IF(E212="","",IF(COUNT(E$74:E212)&lt;60,E212,MEDIAN(QUARTILE(E$74:E212,1)-1.5*(QUARTILE(E$74:E212,3)-QUARTILE(E$74:E212,1)),E212,QUARTILE(E$74:E212,3)+1.5*(QUARTILE(E$74:E212,3)-QUARTILE(E$74:E212,1)))))</f>
        <v>1.73301860859834</v>
      </c>
      <c r="N212" s="10" t="n">
        <f aca="false">IF(F212="","",IF(COUNT(F$74:F212)&lt;60,F212,MEDIAN(QUARTILE(F$74:F212,1)-1.5*(QUARTILE(F$74:F212,3)-QUARTILE(F$74:F212,1)),F212,QUARTILE(F$74:F212,3)+1.5*(QUARTILE(F$74:F212,3)-QUARTILE(F$74:F212,1)))))</f>
        <v>2.54686750621692</v>
      </c>
      <c r="O212" s="10" t="n">
        <f aca="false">IF(G212="","",IF(COUNT(G$74:G212)&lt;60,G212,MEDIAN(QUARTILE(G$74:G212,1)-1.5*(QUARTILE(G$74:G212,3)-QUARTILE(G$74:G212,1)),G212,QUARTILE(G$74:G212,3)+1.5*(QUARTILE(G$74:G212,3)-QUARTILE(G$74:G212,1)))))</f>
        <v>0.0446385632558637</v>
      </c>
      <c r="P212" s="10" t="n">
        <f aca="false">IF(H212="","",IF(COUNT(H$74:H212)&lt;60,H212,MEDIAN(QUARTILE(H$74:H212,1)-1.5*(QUARTILE(H$74:H212,3)-QUARTILE(H$74:H212,1)),H212,QUARTILE(H$74:H212,3)+1.5*(QUARTILE(H$74:H212,3)-QUARTILE(H$74:H212,1)))))</f>
        <v>1.63880854241434</v>
      </c>
      <c r="Q212" s="10" t="n">
        <f aca="false">IF(I212="","",IF(COUNT(I$74:I212)&lt;60,I212,MEDIAN(QUARTILE(I$74:I212,1)-1.5*(QUARTILE(I$74:I212,3)-QUARTILE(I$74:I212,1)),I212,QUARTILE(I$74:I212,3)+1.5*(QUARTILE(I$74:I212,3)-QUARTILE(I$74:I212,1)))))</f>
        <v>1.33638649096513</v>
      </c>
      <c r="R212" s="10" t="n">
        <f aca="false">IF(J212="","",MEDIAN(J212:Q212))</f>
        <v>1.86546598424686</v>
      </c>
      <c r="S212" s="10" t="n">
        <f aca="false">IF(R212="","",ABS(R212))</f>
        <v>1.86546598424686</v>
      </c>
      <c r="T212" s="10" t="n">
        <f aca="false">IF(COUNT(S$74:S211)&lt;60,"",MEDIAN(S$74:S211))</f>
        <v>0.357012954918511</v>
      </c>
      <c r="U212" s="10" t="n">
        <f aca="false">IF(R212="","",IF(T212="",0,IF(S212&gt;=T212,R212,0)))</f>
        <v>1.86546598424686</v>
      </c>
      <c r="V212" s="10" t="n">
        <f aca="false">IF(U212="","",MEDIAN(-1,U212,1))</f>
        <v>1</v>
      </c>
      <c r="W212" s="10" t="n">
        <f aca="false">IF(J212="","",AVERAGE(J212:Q212))</f>
        <v>1.73943568515068</v>
      </c>
    </row>
    <row r="213" customFormat="false" ht="15" hidden="false" customHeight="false" outlineLevel="0" collapsed="false">
      <c r="A213" s="8" t="n">
        <f aca="false">Base!A213</f>
        <v>44439</v>
      </c>
      <c r="B213" s="10" t="n">
        <f aca="false">IF(COUNT(Transf!B$39:B213)&lt;36,"",(Transf!B213-AVERAGE(Transf!B$39:B213))/STDEV(Transf!B$39:B213))</f>
        <v>3.02580197352288</v>
      </c>
      <c r="C213" s="10" t="n">
        <f aca="false">IF(COUNT(Transf!C$39:C213)&lt;36,"",(Transf!C213-AVERAGE(Transf!C$39:C213))/STDEV(Transf!C$39:C213))</f>
        <v>2.48973463553026</v>
      </c>
      <c r="D213" s="10" t="n">
        <f aca="false">IF(COUNT(Transf!D$39:D213)&lt;36,"",(Transf!D213-AVERAGE(Transf!D$39:D213))/STDEV(Transf!D$39:D213))</f>
        <v>2.46994227721788</v>
      </c>
      <c r="E213" s="10" t="n">
        <f aca="false">IF(COUNT(Transf!E$39:E213)&lt;36,"",(Transf!E213-AVERAGE(Transf!E$39:E213))/STDEV(Transf!E$39:E213))</f>
        <v>1.74039917143589</v>
      </c>
      <c r="F213" s="10" t="n">
        <f aca="false">IF(COUNT(Transf!F$39:F213)&lt;36,"",(Transf!F213-AVERAGE(Transf!F$39:F213))/STDEV(Transf!F$39:F213))</f>
        <v>2.14406607636277</v>
      </c>
      <c r="G213" s="10" t="n">
        <f aca="false">IF(COUNT(Transf!G$39:G213)&lt;36,"",(Transf!G213-AVERAGE(Transf!G$39:G213))/STDEV(Transf!G$39:G213))</f>
        <v>-0.168953448221967</v>
      </c>
      <c r="H213" s="10" t="n">
        <f aca="false">IF(COUNT(Transf!H$39:H213)&lt;36,"",(Transf!H213-AVERAGE(Transf!H$39:H213))/STDEV(Transf!H$39:H213))</f>
        <v>1.76762442668975</v>
      </c>
      <c r="I213" s="10" t="n">
        <f aca="false">IF(COUNT(Transf!I$39:I213)&lt;36,"",(Transf!I213-AVERAGE(Transf!I$39:I213))/STDEV(Transf!I$39:I213))</f>
        <v>1.8766827486497</v>
      </c>
      <c r="J213" s="10" t="n">
        <f aca="false">IF(B213="","",IF(COUNT(B$74:B213)&lt;60,B213,MEDIAN(QUARTILE(B$74:B213,1)-1.5*(QUARTILE(B$74:B213,3)-QUARTILE(B$74:B213,1)),B213,QUARTILE(B$74:B213,3)+1.5*(QUARTILE(B$74:B213,3)-QUARTILE(B$74:B213,1)))))</f>
        <v>2.02130500316019</v>
      </c>
      <c r="K213" s="10" t="n">
        <f aca="false">IF(C213="","",IF(COUNT(C$74:C213)&lt;60,C213,MEDIAN(QUARTILE(C$74:C213,1)-1.5*(QUARTILE(C$74:C213,3)-QUARTILE(C$74:C213,1)),C213,QUARTILE(C$74:C213,3)+1.5*(QUARTILE(C$74:C213,3)-QUARTILE(C$74:C213,1)))))</f>
        <v>2.41992728161187</v>
      </c>
      <c r="L213" s="10" t="n">
        <f aca="false">IF(D213="","",IF(COUNT(D$74:D213)&lt;60,D213,MEDIAN(QUARTILE(D$74:D213,1)-1.5*(QUARTILE(D$74:D213,3)-QUARTILE(D$74:D213,1)),D213,QUARTILE(D$74:D213,3)+1.5*(QUARTILE(D$74:D213,3)-QUARTILE(D$74:D213,1)))))</f>
        <v>2.25256151548411</v>
      </c>
      <c r="M213" s="10" t="n">
        <f aca="false">IF(E213="","",IF(COUNT(E$74:E213)&lt;60,E213,MEDIAN(QUARTILE(E$74:E213,1)-1.5*(QUARTILE(E$74:E213,3)-QUARTILE(E$74:E213,1)),E213,QUARTILE(E$74:E213,3)+1.5*(QUARTILE(E$74:E213,3)-QUARTILE(E$74:E213,1)))))</f>
        <v>1.74039917143589</v>
      </c>
      <c r="N213" s="10" t="n">
        <f aca="false">IF(F213="","",IF(COUNT(F$74:F213)&lt;60,F213,MEDIAN(QUARTILE(F$74:F213,1)-1.5*(QUARTILE(F$74:F213,3)-QUARTILE(F$74:F213,1)),F213,QUARTILE(F$74:F213,3)+1.5*(QUARTILE(F$74:F213,3)-QUARTILE(F$74:F213,1)))))</f>
        <v>2.14406607636277</v>
      </c>
      <c r="O213" s="10" t="n">
        <f aca="false">IF(G213="","",IF(COUNT(G$74:G213)&lt;60,G213,MEDIAN(QUARTILE(G$74:G213,1)-1.5*(QUARTILE(G$74:G213,3)-QUARTILE(G$74:G213,1)),G213,QUARTILE(G$74:G213,3)+1.5*(QUARTILE(G$74:G213,3)-QUARTILE(G$74:G213,1)))))</f>
        <v>-0.168953448221967</v>
      </c>
      <c r="P213" s="10" t="n">
        <f aca="false">IF(H213="","",IF(COUNT(H$74:H213)&lt;60,H213,MEDIAN(QUARTILE(H$74:H213,1)-1.5*(QUARTILE(H$74:H213,3)-QUARTILE(H$74:H213,1)),H213,QUARTILE(H$74:H213,3)+1.5*(QUARTILE(H$74:H213,3)-QUARTILE(H$74:H213,1)))))</f>
        <v>1.76762442668975</v>
      </c>
      <c r="Q213" s="10" t="n">
        <f aca="false">IF(I213="","",IF(COUNT(I$74:I213)&lt;60,I213,MEDIAN(QUARTILE(I$74:I213,1)-1.5*(QUARTILE(I$74:I213,3)-QUARTILE(I$74:I213,1)),I213,QUARTILE(I$74:I213,3)+1.5*(QUARTILE(I$74:I213,3)-QUARTILE(I$74:I213,1)))))</f>
        <v>1.36667887026634</v>
      </c>
      <c r="R213" s="10" t="n">
        <f aca="false">IF(J213="","",MEDIAN(J213:Q213))</f>
        <v>1.89446471492497</v>
      </c>
      <c r="S213" s="10" t="n">
        <f aca="false">IF(R213="","",ABS(R213))</f>
        <v>1.89446471492497</v>
      </c>
      <c r="T213" s="10" t="n">
        <f aca="false">IF(COUNT(S$74:S212)&lt;60,"",MEDIAN(S$74:S212))</f>
        <v>0.358180474802651</v>
      </c>
      <c r="U213" s="10" t="n">
        <f aca="false">IF(R213="","",IF(T213="",0,IF(S213&gt;=T213,R213,0)))</f>
        <v>1.89446471492497</v>
      </c>
      <c r="V213" s="10" t="n">
        <f aca="false">IF(U213="","",MEDIAN(-1,U213,1))</f>
        <v>1</v>
      </c>
      <c r="W213" s="10" t="n">
        <f aca="false">IF(J213="","",AVERAGE(J213:Q213))</f>
        <v>1.69295111209862</v>
      </c>
    </row>
    <row r="214" customFormat="false" ht="15" hidden="false" customHeight="false" outlineLevel="0" collapsed="false">
      <c r="A214" s="8" t="n">
        <f aca="false">Base!A214</f>
        <v>44469</v>
      </c>
      <c r="B214" s="10" t="n">
        <f aca="false">IF(COUNT(Transf!B$39:B214)&lt;36,"",(Transf!B214-AVERAGE(Transf!B$39:B214))/STDEV(Transf!B$39:B214))</f>
        <v>3.16872870333701</v>
      </c>
      <c r="C214" s="10" t="n">
        <f aca="false">IF(COUNT(Transf!C$39:C214)&lt;36,"",(Transf!C214-AVERAGE(Transf!C$39:C214))/STDEV(Transf!C$39:C214))</f>
        <v>2.33399403007687</v>
      </c>
      <c r="D214" s="10" t="n">
        <f aca="false">IF(COUNT(Transf!D$39:D214)&lt;36,"",(Transf!D214-AVERAGE(Transf!D$39:D214))/STDEV(Transf!D$39:D214))</f>
        <v>2.53265485095812</v>
      </c>
      <c r="E214" s="10" t="n">
        <f aca="false">IF(COUNT(Transf!E$39:E214)&lt;36,"",(Transf!E214-AVERAGE(Transf!E$39:E214))/STDEV(Transf!E$39:E214))</f>
        <v>1.67568241142948</v>
      </c>
      <c r="F214" s="10" t="n">
        <f aca="false">IF(COUNT(Transf!F$39:F214)&lt;36,"",(Transf!F214-AVERAGE(Transf!F$39:F214))/STDEV(Transf!F$39:F214))</f>
        <v>2.36016459436156</v>
      </c>
      <c r="G214" s="10" t="n">
        <f aca="false">IF(COUNT(Transf!G$39:G214)&lt;36,"",(Transf!G214-AVERAGE(Transf!G$39:G214))/STDEV(Transf!G$39:G214))</f>
        <v>-0.386561777863162</v>
      </c>
      <c r="H214" s="10" t="n">
        <f aca="false">IF(COUNT(Transf!H$39:H214)&lt;36,"",(Transf!H214-AVERAGE(Transf!H$39:H214))/STDEV(Transf!H$39:H214))</f>
        <v>1.74051397625322</v>
      </c>
      <c r="I214" s="10" t="n">
        <f aca="false">IF(COUNT(Transf!I$39:I214)&lt;36,"",(Transf!I214-AVERAGE(Transf!I$39:I214))/STDEV(Transf!I$39:I214))</f>
        <v>2.06600521583091</v>
      </c>
      <c r="J214" s="10" t="n">
        <f aca="false">IF(B214="","",IF(COUNT(B$74:B214)&lt;60,B214,MEDIAN(QUARTILE(B$74:B214,1)-1.5*(QUARTILE(B$74:B214,3)-QUARTILE(B$74:B214,1)),B214,QUARTILE(B$74:B214,3)+1.5*(QUARTILE(B$74:B214,3)-QUARTILE(B$74:B214,1)))))</f>
        <v>2.02831202077201</v>
      </c>
      <c r="K214" s="10" t="n">
        <f aca="false">IF(C214="","",IF(COUNT(C$74:C214)&lt;60,C214,MEDIAN(QUARTILE(C$74:C214,1)-1.5*(QUARTILE(C$74:C214,3)-QUARTILE(C$74:C214,1)),C214,QUARTILE(C$74:C214,3)+1.5*(QUARTILE(C$74:C214,3)-QUARTILE(C$74:C214,1)))))</f>
        <v>2.33399403007687</v>
      </c>
      <c r="L214" s="10" t="n">
        <f aca="false">IF(D214="","",IF(COUNT(D$74:D214)&lt;60,D214,MEDIAN(QUARTILE(D$74:D214,1)-1.5*(QUARTILE(D$74:D214,3)-QUARTILE(D$74:D214,1)),D214,QUARTILE(D$74:D214,3)+1.5*(QUARTILE(D$74:D214,3)-QUARTILE(D$74:D214,1)))))</f>
        <v>2.28773178140086</v>
      </c>
      <c r="M214" s="10" t="n">
        <f aca="false">IF(E214="","",IF(COUNT(E$74:E214)&lt;60,E214,MEDIAN(QUARTILE(E$74:E214,1)-1.5*(QUARTILE(E$74:E214,3)-QUARTILE(E$74:E214,1)),E214,QUARTILE(E$74:E214,3)+1.5*(QUARTILE(E$74:E214,3)-QUARTILE(E$74:E214,1)))))</f>
        <v>1.67568241142948</v>
      </c>
      <c r="N214" s="10" t="n">
        <f aca="false">IF(F214="","",IF(COUNT(F$74:F214)&lt;60,F214,MEDIAN(QUARTILE(F$74:F214,1)-1.5*(QUARTILE(F$74:F214,3)-QUARTILE(F$74:F214,1)),F214,QUARTILE(F$74:F214,3)+1.5*(QUARTILE(F$74:F214,3)-QUARTILE(F$74:F214,1)))))</f>
        <v>2.36016459436156</v>
      </c>
      <c r="O214" s="10" t="n">
        <f aca="false">IF(G214="","",IF(COUNT(G$74:G214)&lt;60,G214,MEDIAN(QUARTILE(G$74:G214,1)-1.5*(QUARTILE(G$74:G214,3)-QUARTILE(G$74:G214,1)),G214,QUARTILE(G$74:G214,3)+1.5*(QUARTILE(G$74:G214,3)-QUARTILE(G$74:G214,1)))))</f>
        <v>-0.386561777863162</v>
      </c>
      <c r="P214" s="10" t="n">
        <f aca="false">IF(H214="","",IF(COUNT(H$74:H214)&lt;60,H214,MEDIAN(QUARTILE(H$74:H214,1)-1.5*(QUARTILE(H$74:H214,3)-QUARTILE(H$74:H214,1)),H214,QUARTILE(H$74:H214,3)+1.5*(QUARTILE(H$74:H214,3)-QUARTILE(H$74:H214,1)))))</f>
        <v>1.74051397625322</v>
      </c>
      <c r="Q214" s="10" t="n">
        <f aca="false">IF(I214="","",IF(COUNT(I$74:I214)&lt;60,I214,MEDIAN(QUARTILE(I$74:I214,1)-1.5*(QUARTILE(I$74:I214,3)-QUARTILE(I$74:I214,1)),I214,QUARTILE(I$74:I214,3)+1.5*(QUARTILE(I$74:I214,3)-QUARTILE(I$74:I214,1)))))</f>
        <v>1.39308681671695</v>
      </c>
      <c r="R214" s="10" t="n">
        <f aca="false">IF(J214="","",MEDIAN(J214:Q214))</f>
        <v>1.88441299851261</v>
      </c>
      <c r="S214" s="10" t="n">
        <f aca="false">IF(R214="","",ABS(R214))</f>
        <v>1.88441299851261</v>
      </c>
      <c r="T214" s="10" t="n">
        <f aca="false">IF(COUNT(S$74:S213)&lt;60,"",MEDIAN(S$74:S213))</f>
        <v>0.358666303940252</v>
      </c>
      <c r="U214" s="10" t="n">
        <f aca="false">IF(R214="","",IF(T214="",0,IF(S214&gt;=T214,R214,0)))</f>
        <v>1.88441299851261</v>
      </c>
      <c r="V214" s="10" t="n">
        <f aca="false">IF(U214="","",MEDIAN(-1,U214,1))</f>
        <v>1</v>
      </c>
      <c r="W214" s="10" t="n">
        <f aca="false">IF(J214="","",AVERAGE(J214:Q214))</f>
        <v>1.67911548164347</v>
      </c>
    </row>
    <row r="215" customFormat="false" ht="15" hidden="false" customHeight="false" outlineLevel="0" collapsed="false">
      <c r="A215" s="8" t="n">
        <f aca="false">Base!A215</f>
        <v>44500</v>
      </c>
      <c r="B215" s="10" t="n">
        <f aca="false">IF(COUNT(Transf!B$39:B215)&lt;36,"",(Transf!B215-AVERAGE(Transf!B$39:B215))/STDEV(Transf!B$39:B215))</f>
        <v>3.05637710467068</v>
      </c>
      <c r="C215" s="10" t="n">
        <f aca="false">IF(COUNT(Transf!C$39:C215)&lt;36,"",(Transf!C215-AVERAGE(Transf!C$39:C215))/STDEV(Transf!C$39:C215))</f>
        <v>1.97084814331001</v>
      </c>
      <c r="D215" s="10" t="n">
        <f aca="false">IF(COUNT(Transf!D$39:D215)&lt;36,"",(Transf!D215-AVERAGE(Transf!D$39:D215))/STDEV(Transf!D$39:D215))</f>
        <v>2.47240537354918</v>
      </c>
      <c r="E215" s="10" t="n">
        <f aca="false">IF(COUNT(Transf!E$39:E215)&lt;36,"",(Transf!E215-AVERAGE(Transf!E$39:E215))/STDEV(Transf!E$39:E215))</f>
        <v>1.55678119293837</v>
      </c>
      <c r="F215" s="10" t="n">
        <f aca="false">IF(COUNT(Transf!F$39:F215)&lt;36,"",(Transf!F215-AVERAGE(Transf!F$39:F215))/STDEV(Transf!F$39:F215))</f>
        <v>2.53985274765517</v>
      </c>
      <c r="G215" s="10" t="n">
        <f aca="false">IF(COUNT(Transf!G$39:G215)&lt;36,"",(Transf!G215-AVERAGE(Transf!G$39:G215))/STDEV(Transf!G$39:G215))</f>
        <v>-0.49526185666342</v>
      </c>
      <c r="H215" s="10" t="n">
        <f aca="false">IF(COUNT(Transf!H$39:H215)&lt;36,"",(Transf!H215-AVERAGE(Transf!H$39:H215))/STDEV(Transf!H$39:H215))</f>
        <v>1.56908273020547</v>
      </c>
      <c r="I215" s="10" t="n">
        <f aca="false">IF(COUNT(Transf!I$39:I215)&lt;36,"",(Transf!I215-AVERAGE(Transf!I$39:I215))/STDEV(Transf!I$39:I215))</f>
        <v>1.94786933696332</v>
      </c>
      <c r="J215" s="10" t="n">
        <f aca="false">IF(B215="","",IF(COUNT(B$74:B215)&lt;60,B215,MEDIAN(QUARTILE(B$74:B215,1)-1.5*(QUARTILE(B$74:B215,3)-QUARTILE(B$74:B215,1)),B215,QUARTILE(B$74:B215,3)+1.5*(QUARTILE(B$74:B215,3)-QUARTILE(B$74:B215,1)))))</f>
        <v>2.03615018086134</v>
      </c>
      <c r="K215" s="10" t="n">
        <f aca="false">IF(C215="","",IF(COUNT(C$74:C215)&lt;60,C215,MEDIAN(QUARTILE(C$74:C215,1)-1.5*(QUARTILE(C$74:C215,3)-QUARTILE(C$74:C215,1)),C215,QUARTILE(C$74:C215,3)+1.5*(QUARTILE(C$74:C215,3)-QUARTILE(C$74:C215,1)))))</f>
        <v>1.97084814331001</v>
      </c>
      <c r="L215" s="10" t="n">
        <f aca="false">IF(D215="","",IF(COUNT(D$74:D215)&lt;60,D215,MEDIAN(QUARTILE(D$74:D215,1)-1.5*(QUARTILE(D$74:D215,3)-QUARTILE(D$74:D215,1)),D215,QUARTILE(D$74:D215,3)+1.5*(QUARTILE(D$74:D215,3)-QUARTILE(D$74:D215,1)))))</f>
        <v>2.35730332755299</v>
      </c>
      <c r="M215" s="10" t="n">
        <f aca="false">IF(E215="","",IF(COUNT(E$74:E215)&lt;60,E215,MEDIAN(QUARTILE(E$74:E215,1)-1.5*(QUARTILE(E$74:E215,3)-QUARTILE(E$74:E215,1)),E215,QUARTILE(E$74:E215,3)+1.5*(QUARTILE(E$74:E215,3)-QUARTILE(E$74:E215,1)))))</f>
        <v>1.55678119293837</v>
      </c>
      <c r="N215" s="10" t="n">
        <f aca="false">IF(F215="","",IF(COUNT(F$74:F215)&lt;60,F215,MEDIAN(QUARTILE(F$74:F215,1)-1.5*(QUARTILE(F$74:F215,3)-QUARTILE(F$74:F215,1)),F215,QUARTILE(F$74:F215,3)+1.5*(QUARTILE(F$74:F215,3)-QUARTILE(F$74:F215,1)))))</f>
        <v>2.53985274765517</v>
      </c>
      <c r="O215" s="10" t="n">
        <f aca="false">IF(G215="","",IF(COUNT(G$74:G215)&lt;60,G215,MEDIAN(QUARTILE(G$74:G215,1)-1.5*(QUARTILE(G$74:G215,3)-QUARTILE(G$74:G215,1)),G215,QUARTILE(G$74:G215,3)+1.5*(QUARTILE(G$74:G215,3)-QUARTILE(G$74:G215,1)))))</f>
        <v>-0.49526185666342</v>
      </c>
      <c r="P215" s="10" t="n">
        <f aca="false">IF(H215="","",IF(COUNT(H$74:H215)&lt;60,H215,MEDIAN(QUARTILE(H$74:H215,1)-1.5*(QUARTILE(H$74:H215,3)-QUARTILE(H$74:H215,1)),H215,QUARTILE(H$74:H215,3)+1.5*(QUARTILE(H$74:H215,3)-QUARTILE(H$74:H215,1)))))</f>
        <v>1.56908273020547</v>
      </c>
      <c r="Q215" s="10" t="n">
        <f aca="false">IF(I215="","",IF(COUNT(I$74:I215)&lt;60,I215,MEDIAN(QUARTILE(I$74:I215,1)-1.5*(QUARTILE(I$74:I215,3)-QUARTILE(I$74:I215,1)),I215,QUARTILE(I$74:I215,3)+1.5*(QUARTILE(I$74:I215,3)-QUARTILE(I$74:I215,1)))))</f>
        <v>1.43770486193596</v>
      </c>
      <c r="R215" s="10" t="n">
        <f aca="false">IF(J215="","",MEDIAN(J215:Q215))</f>
        <v>1.76996543675774</v>
      </c>
      <c r="S215" s="10" t="n">
        <f aca="false">IF(R215="","",ABS(R215))</f>
        <v>1.76996543675774</v>
      </c>
      <c r="T215" s="10" t="n">
        <f aca="false">IF(COUNT(S$74:S214)&lt;60,"",MEDIAN(S$74:S214))</f>
        <v>0.359152133077854</v>
      </c>
      <c r="U215" s="10" t="n">
        <f aca="false">IF(R215="","",IF(T215="",0,IF(S215&gt;=T215,R215,0)))</f>
        <v>1.76996543675774</v>
      </c>
      <c r="V215" s="10" t="n">
        <f aca="false">IF(U215="","",MEDIAN(-1,U215,1))</f>
        <v>1</v>
      </c>
      <c r="W215" s="10" t="n">
        <f aca="false">IF(J215="","",AVERAGE(J215:Q215))</f>
        <v>1.62155766597449</v>
      </c>
    </row>
    <row r="216" customFormat="false" ht="15" hidden="false" customHeight="false" outlineLevel="0" collapsed="false">
      <c r="A216" s="8" t="n">
        <f aca="false">Base!A216</f>
        <v>44530</v>
      </c>
      <c r="B216" s="10" t="n">
        <f aca="false">IF(COUNT(Transf!B$39:B216)&lt;36,"",(Transf!B216-AVERAGE(Transf!B$39:B216))/STDEV(Transf!B$39:B216))</f>
        <v>2.51754040720733</v>
      </c>
      <c r="C216" s="10" t="n">
        <f aca="false">IF(COUNT(Transf!C$39:C216)&lt;36,"",(Transf!C216-AVERAGE(Transf!C$39:C216))/STDEV(Transf!C$39:C216))</f>
        <v>1.70951892552917</v>
      </c>
      <c r="D216" s="10" t="n">
        <f aca="false">IF(COUNT(Transf!D$39:D216)&lt;36,"",(Transf!D216-AVERAGE(Transf!D$39:D216))/STDEV(Transf!D$39:D216))</f>
        <v>2.41045734308871</v>
      </c>
      <c r="E216" s="10" t="n">
        <f aca="false">IF(COUNT(Transf!E$39:E216)&lt;36,"",(Transf!E216-AVERAGE(Transf!E$39:E216))/STDEV(Transf!E$39:E216))</f>
        <v>1.40208249902567</v>
      </c>
      <c r="F216" s="10" t="n">
        <f aca="false">IF(COUNT(Transf!F$39:F216)&lt;36,"",(Transf!F216-AVERAGE(Transf!F$39:F216))/STDEV(Transf!F$39:F216))</f>
        <v>2.99992507089943</v>
      </c>
      <c r="G216" s="10" t="n">
        <f aca="false">IF(COUNT(Transf!G$39:G216)&lt;36,"",(Transf!G216-AVERAGE(Transf!G$39:G216))/STDEV(Transf!G$39:G216))</f>
        <v>-0.690583021439469</v>
      </c>
      <c r="H216" s="10" t="n">
        <f aca="false">IF(COUNT(Transf!H$39:H216)&lt;36,"",(Transf!H216-AVERAGE(Transf!H$39:H216))/STDEV(Transf!H$39:H216))</f>
        <v>1.44918993158868</v>
      </c>
      <c r="I216" s="10" t="n">
        <f aca="false">IF(COUNT(Transf!I$39:I216)&lt;36,"",(Transf!I216-AVERAGE(Transf!I$39:I216))/STDEV(Transf!I$39:I216))</f>
        <v>1.63982062467588</v>
      </c>
      <c r="J216" s="10" t="n">
        <f aca="false">IF(B216="","",IF(COUNT(B$74:B216)&lt;60,B216,MEDIAN(QUARTILE(B$74:B216,1)-1.5*(QUARTILE(B$74:B216,3)-QUARTILE(B$74:B216,1)),B216,QUARTILE(B$74:B216,3)+1.5*(QUARTILE(B$74:B216,3)-QUARTILE(B$74:B216,1)))))</f>
        <v>2.10218695058191</v>
      </c>
      <c r="K216" s="10" t="n">
        <f aca="false">IF(C216="","",IF(COUNT(C$74:C216)&lt;60,C216,MEDIAN(QUARTILE(C$74:C216,1)-1.5*(QUARTILE(C$74:C216,3)-QUARTILE(C$74:C216,1)),C216,QUARTILE(C$74:C216,3)+1.5*(QUARTILE(C$74:C216,3)-QUARTILE(C$74:C216,1)))))</f>
        <v>1.70951892552917</v>
      </c>
      <c r="L216" s="10" t="n">
        <f aca="false">IF(D216="","",IF(COUNT(D$74:D216)&lt;60,D216,MEDIAN(QUARTILE(D$74:D216,1)-1.5*(QUARTILE(D$74:D216,3)-QUARTILE(D$74:D216,1)),D216,QUARTILE(D$74:D216,3)+1.5*(QUARTILE(D$74:D216,3)-QUARTILE(D$74:D216,1)))))</f>
        <v>2.39140671698205</v>
      </c>
      <c r="M216" s="10" t="n">
        <f aca="false">IF(E216="","",IF(COUNT(E$74:E216)&lt;60,E216,MEDIAN(QUARTILE(E$74:E216,1)-1.5*(QUARTILE(E$74:E216,3)-QUARTILE(E$74:E216,1)),E216,QUARTILE(E$74:E216,3)+1.5*(QUARTILE(E$74:E216,3)-QUARTILE(E$74:E216,1)))))</f>
        <v>1.40208249902567</v>
      </c>
      <c r="N216" s="10" t="n">
        <f aca="false">IF(F216="","",IF(COUNT(F$74:F216)&lt;60,F216,MEDIAN(QUARTILE(F$74:F216,1)-1.5*(QUARTILE(F$74:F216,3)-QUARTILE(F$74:F216,1)),F216,QUARTILE(F$74:F216,3)+1.5*(QUARTILE(F$74:F216,3)-QUARTILE(F$74:F216,1)))))</f>
        <v>2.99992507089943</v>
      </c>
      <c r="O216" s="10" t="n">
        <f aca="false">IF(G216="","",IF(COUNT(G$74:G216)&lt;60,G216,MEDIAN(QUARTILE(G$74:G216,1)-1.5*(QUARTILE(G$74:G216,3)-QUARTILE(G$74:G216,1)),G216,QUARTILE(G$74:G216,3)+1.5*(QUARTILE(G$74:G216,3)-QUARTILE(G$74:G216,1)))))</f>
        <v>-0.690583021439469</v>
      </c>
      <c r="P216" s="10" t="n">
        <f aca="false">IF(H216="","",IF(COUNT(H$74:H216)&lt;60,H216,MEDIAN(QUARTILE(H$74:H216,1)-1.5*(QUARTILE(H$74:H216,3)-QUARTILE(H$74:H216,1)),H216,QUARTILE(H$74:H216,3)+1.5*(QUARTILE(H$74:H216,3)-QUARTILE(H$74:H216,1)))))</f>
        <v>1.44918993158868</v>
      </c>
      <c r="Q216" s="10" t="n">
        <f aca="false">IF(I216="","",IF(COUNT(I$74:I216)&lt;60,I216,MEDIAN(QUARTILE(I$74:I216,1)-1.5*(QUARTILE(I$74:I216,3)-QUARTILE(I$74:I216,1)),I216,QUARTILE(I$74:I216,3)+1.5*(QUARTILE(I$74:I216,3)-QUARTILE(I$74:I216,1)))))</f>
        <v>1.50966593118746</v>
      </c>
      <c r="R216" s="10" t="n">
        <f aca="false">IF(J216="","",MEDIAN(J216:Q216))</f>
        <v>1.60959242835831</v>
      </c>
      <c r="S216" s="10" t="n">
        <f aca="false">IF(R216="","",ABS(R216))</f>
        <v>1.60959242835831</v>
      </c>
      <c r="T216" s="10" t="n">
        <f aca="false">IF(COUNT(S$74:S215)&lt;60,"",MEDIAN(S$74:S215))</f>
        <v>0.362207646135812</v>
      </c>
      <c r="U216" s="10" t="n">
        <f aca="false">IF(R216="","",IF(T216="",0,IF(S216&gt;=T216,R216,0)))</f>
        <v>1.60959242835831</v>
      </c>
      <c r="V216" s="10" t="n">
        <f aca="false">IF(U216="","",MEDIAN(-1,U216,1))</f>
        <v>1</v>
      </c>
      <c r="W216" s="10" t="n">
        <f aca="false">IF(J216="","",AVERAGE(J216:Q216))</f>
        <v>1.60917412554436</v>
      </c>
    </row>
    <row r="217" customFormat="false" ht="15" hidden="false" customHeight="false" outlineLevel="0" collapsed="false">
      <c r="A217" s="8" t="n">
        <f aca="false">Base!A217</f>
        <v>44561</v>
      </c>
      <c r="B217" s="10" t="n">
        <f aca="false">IF(COUNT(Transf!B$39:B217)&lt;36,"",(Transf!B217-AVERAGE(Transf!B$39:B217))/STDEV(Transf!B$39:B217))</f>
        <v>2.89092982274614</v>
      </c>
      <c r="C217" s="10" t="n">
        <f aca="false">IF(COUNT(Transf!C$39:C217)&lt;36,"",(Transf!C217-AVERAGE(Transf!C$39:C217))/STDEV(Transf!C$39:C217))</f>
        <v>1.60879160054497</v>
      </c>
      <c r="D217" s="10" t="n">
        <f aca="false">IF(COUNT(Transf!D$39:D217)&lt;36,"",(Transf!D217-AVERAGE(Transf!D$39:D217))/STDEV(Transf!D$39:D217))</f>
        <v>2.58498344634943</v>
      </c>
      <c r="E217" s="10" t="n">
        <f aca="false">IF(COUNT(Transf!E$39:E217)&lt;36,"",(Transf!E217-AVERAGE(Transf!E$39:E217))/STDEV(Transf!E$39:E217))</f>
        <v>1.26735595888888</v>
      </c>
      <c r="F217" s="10" t="n">
        <f aca="false">IF(COUNT(Transf!F$39:F217)&lt;36,"",(Transf!F217-AVERAGE(Transf!F$39:F217))/STDEV(Transf!F$39:F217))</f>
        <v>3.12651219080053</v>
      </c>
      <c r="G217" s="10" t="n">
        <f aca="false">IF(COUNT(Transf!G$39:G217)&lt;36,"",(Transf!G217-AVERAGE(Transf!G$39:G217))/STDEV(Transf!G$39:G217))</f>
        <v>-0.876447969053927</v>
      </c>
      <c r="H217" s="10" t="n">
        <f aca="false">IF(COUNT(Transf!H$39:H217)&lt;36,"",(Transf!H217-AVERAGE(Transf!H$39:H217))/STDEV(Transf!H$39:H217))</f>
        <v>1.44656169822008</v>
      </c>
      <c r="I217" s="10" t="n">
        <f aca="false">IF(COUNT(Transf!I$39:I217)&lt;36,"",(Transf!I217-AVERAGE(Transf!I$39:I217))/STDEV(Transf!I$39:I217))</f>
        <v>1.33803288337473</v>
      </c>
      <c r="J217" s="10" t="n">
        <f aca="false">IF(B217="","",IF(COUNT(B$74:B217)&lt;60,B217,MEDIAN(QUARTILE(B$74:B217,1)-1.5*(QUARTILE(B$74:B217,3)-QUARTILE(B$74:B217,1)),B217,QUARTILE(B$74:B217,3)+1.5*(QUARTILE(B$74:B217,3)-QUARTILE(B$74:B217,1)))))</f>
        <v>2.16878715784809</v>
      </c>
      <c r="K217" s="10" t="n">
        <f aca="false">IF(C217="","",IF(COUNT(C$74:C217)&lt;60,C217,MEDIAN(QUARTILE(C$74:C217,1)-1.5*(QUARTILE(C$74:C217,3)-QUARTILE(C$74:C217,1)),C217,QUARTILE(C$74:C217,3)+1.5*(QUARTILE(C$74:C217,3)-QUARTILE(C$74:C217,1)))))</f>
        <v>1.60879160054497</v>
      </c>
      <c r="L217" s="10" t="n">
        <f aca="false">IF(D217="","",IF(COUNT(D$74:D217)&lt;60,D217,MEDIAN(QUARTILE(D$74:D217,1)-1.5*(QUARTILE(D$74:D217,3)-QUARTILE(D$74:D217,1)),D217,QUARTILE(D$74:D217,3)+1.5*(QUARTILE(D$74:D217,3)-QUARTILE(D$74:D217,1)))))</f>
        <v>2.40835623403291</v>
      </c>
      <c r="M217" s="10" t="n">
        <f aca="false">IF(E217="","",IF(COUNT(E$74:E217)&lt;60,E217,MEDIAN(QUARTILE(E$74:E217,1)-1.5*(QUARTILE(E$74:E217,3)-QUARTILE(E$74:E217,1)),E217,QUARTILE(E$74:E217,3)+1.5*(QUARTILE(E$74:E217,3)-QUARTILE(E$74:E217,1)))))</f>
        <v>1.26735595888888</v>
      </c>
      <c r="N217" s="10" t="n">
        <f aca="false">IF(F217="","",IF(COUNT(F$74:F217)&lt;60,F217,MEDIAN(QUARTILE(F$74:F217,1)-1.5*(QUARTILE(F$74:F217,3)-QUARTILE(F$74:F217,1)),F217,QUARTILE(F$74:F217,3)+1.5*(QUARTILE(F$74:F217,3)-QUARTILE(F$74:F217,1)))))</f>
        <v>3.12651219080053</v>
      </c>
      <c r="O217" s="10" t="n">
        <f aca="false">IF(G217="","",IF(COUNT(G$74:G217)&lt;60,G217,MEDIAN(QUARTILE(G$74:G217,1)-1.5*(QUARTILE(G$74:G217,3)-QUARTILE(G$74:G217,1)),G217,QUARTILE(G$74:G217,3)+1.5*(QUARTILE(G$74:G217,3)-QUARTILE(G$74:G217,1)))))</f>
        <v>-0.876447969053927</v>
      </c>
      <c r="P217" s="10" t="n">
        <f aca="false">IF(H217="","",IF(COUNT(H$74:H217)&lt;60,H217,MEDIAN(QUARTILE(H$74:H217,1)-1.5*(QUARTILE(H$74:H217,3)-QUARTILE(H$74:H217,1)),H217,QUARTILE(H$74:H217,3)+1.5*(QUARTILE(H$74:H217,3)-QUARTILE(H$74:H217,1)))))</f>
        <v>1.44656169822008</v>
      </c>
      <c r="Q217" s="10" t="n">
        <f aca="false">IF(I217="","",IF(COUNT(I$74:I217)&lt;60,I217,MEDIAN(QUARTILE(I$74:I217,1)-1.5*(QUARTILE(I$74:I217,3)-QUARTILE(I$74:I217,1)),I217,QUARTILE(I$74:I217,3)+1.5*(QUARTILE(I$74:I217,3)-QUARTILE(I$74:I217,1)))))</f>
        <v>1.33803288337473</v>
      </c>
      <c r="R217" s="10" t="n">
        <f aca="false">IF(J217="","",MEDIAN(J217:Q217))</f>
        <v>1.52767664938252</v>
      </c>
      <c r="S217" s="10" t="n">
        <f aca="false">IF(R217="","",ABS(R217))</f>
        <v>1.52767664938252</v>
      </c>
      <c r="T217" s="10" t="n">
        <f aca="false">IF(COUNT(S$74:S216)&lt;60,"",MEDIAN(S$74:S216))</f>
        <v>0.365263159193769</v>
      </c>
      <c r="U217" s="10" t="n">
        <f aca="false">IF(R217="","",IF(T217="",0,IF(S217&gt;=T217,R217,0)))</f>
        <v>1.52767664938252</v>
      </c>
      <c r="V217" s="10" t="n">
        <f aca="false">IF(U217="","",MEDIAN(-1,U217,1))</f>
        <v>1</v>
      </c>
      <c r="W217" s="10" t="n">
        <f aca="false">IF(J217="","",AVERAGE(J217:Q217))</f>
        <v>1.56099371933203</v>
      </c>
    </row>
    <row r="218" customFormat="false" ht="15" hidden="false" customHeight="false" outlineLevel="0" collapsed="false">
      <c r="A218" s="8" t="n">
        <f aca="false">Base!A218</f>
        <v>44592</v>
      </c>
      <c r="B218" s="10" t="n">
        <f aca="false">IF(COUNT(Transf!B$39:B218)&lt;36,"",(Transf!B218-AVERAGE(Transf!B$39:B218))/STDEV(Transf!B$39:B218))</f>
        <v>2.26305566527559</v>
      </c>
      <c r="C218" s="10" t="n">
        <f aca="false">IF(COUNT(Transf!C$39:C218)&lt;36,"",(Transf!C218-AVERAGE(Transf!C$39:C218))/STDEV(Transf!C$39:C218))</f>
        <v>1.56743560028877</v>
      </c>
      <c r="D218" s="10" t="n">
        <f aca="false">IF(COUNT(Transf!D$39:D218)&lt;36,"",(Transf!D218-AVERAGE(Transf!D$39:D218))/STDEV(Transf!D$39:D218))</f>
        <v>2.2788041738482</v>
      </c>
      <c r="E218" s="10" t="n">
        <f aca="false">IF(COUNT(Transf!E$39:E218)&lt;36,"",(Transf!E218-AVERAGE(Transf!E$39:E218))/STDEV(Transf!E$39:E218))</f>
        <v>1.11153860519347</v>
      </c>
      <c r="F218" s="10" t="n">
        <f aca="false">IF(COUNT(Transf!F$39:F218)&lt;36,"",(Transf!F218-AVERAGE(Transf!F$39:F218))/STDEV(Transf!F$39:F218))</f>
        <v>3.18973282503082</v>
      </c>
      <c r="G218" s="10" t="n">
        <f aca="false">IF(COUNT(Transf!G$39:G218)&lt;36,"",(Transf!G218-AVERAGE(Transf!G$39:G218))/STDEV(Transf!G$39:G218))</f>
        <v>-1.0029438481122</v>
      </c>
      <c r="H218" s="10" t="n">
        <f aca="false">IF(COUNT(Transf!H$39:H218)&lt;36,"",(Transf!H218-AVERAGE(Transf!H$39:H218))/STDEV(Transf!H$39:H218))</f>
        <v>1.50586522568038</v>
      </c>
      <c r="I218" s="10" t="n">
        <f aca="false">IF(COUNT(Transf!I$39:I218)&lt;36,"",(Transf!I218-AVERAGE(Transf!I$39:I218))/STDEV(Transf!I$39:I218))</f>
        <v>1.00753504496547</v>
      </c>
      <c r="J218" s="10" t="n">
        <f aca="false">IF(B218="","",IF(COUNT(B$74:B218)&lt;60,B218,MEDIAN(QUARTILE(B$74:B218,1)-1.5*(QUARTILE(B$74:B218,3)-QUARTILE(B$74:B218,1)),B218,QUARTILE(B$74:B218,3)+1.5*(QUARTILE(B$74:B218,3)-QUARTILE(B$74:B218,1)))))</f>
        <v>2.17831563057425</v>
      </c>
      <c r="K218" s="10" t="n">
        <f aca="false">IF(C218="","",IF(COUNT(C$74:C218)&lt;60,C218,MEDIAN(QUARTILE(C$74:C218,1)-1.5*(QUARTILE(C$74:C218,3)-QUARTILE(C$74:C218,1)),C218,QUARTILE(C$74:C218,3)+1.5*(QUARTILE(C$74:C218,3)-QUARTILE(C$74:C218,1)))))</f>
        <v>1.56743560028877</v>
      </c>
      <c r="L218" s="10" t="n">
        <f aca="false">IF(D218="","",IF(COUNT(D$74:D218)&lt;60,D218,MEDIAN(QUARTILE(D$74:D218,1)-1.5*(QUARTILE(D$74:D218,3)-QUARTILE(D$74:D218,1)),D218,QUARTILE(D$74:D218,3)+1.5*(QUARTILE(D$74:D218,3)-QUARTILE(D$74:D218,1)))))</f>
        <v>2.2788041738482</v>
      </c>
      <c r="M218" s="10" t="n">
        <f aca="false">IF(E218="","",IF(COUNT(E$74:E218)&lt;60,E218,MEDIAN(QUARTILE(E$74:E218,1)-1.5*(QUARTILE(E$74:E218,3)-QUARTILE(E$74:E218,1)),E218,QUARTILE(E$74:E218,3)+1.5*(QUARTILE(E$74:E218,3)-QUARTILE(E$74:E218,1)))))</f>
        <v>1.11153860519347</v>
      </c>
      <c r="N218" s="10" t="n">
        <f aca="false">IF(F218="","",IF(COUNT(F$74:F218)&lt;60,F218,MEDIAN(QUARTILE(F$74:F218,1)-1.5*(QUARTILE(F$74:F218,3)-QUARTILE(F$74:F218,1)),F218,QUARTILE(F$74:F218,3)+1.5*(QUARTILE(F$74:F218,3)-QUARTILE(F$74:F218,1)))))</f>
        <v>3.18973282503082</v>
      </c>
      <c r="O218" s="10" t="n">
        <f aca="false">IF(G218="","",IF(COUNT(G$74:G218)&lt;60,G218,MEDIAN(QUARTILE(G$74:G218,1)-1.5*(QUARTILE(G$74:G218,3)-QUARTILE(G$74:G218,1)),G218,QUARTILE(G$74:G218,3)+1.5*(QUARTILE(G$74:G218,3)-QUARTILE(G$74:G218,1)))))</f>
        <v>-1.0029438481122</v>
      </c>
      <c r="P218" s="10" t="n">
        <f aca="false">IF(H218="","",IF(COUNT(H$74:H218)&lt;60,H218,MEDIAN(QUARTILE(H$74:H218,1)-1.5*(QUARTILE(H$74:H218,3)-QUARTILE(H$74:H218,1)),H218,QUARTILE(H$74:H218,3)+1.5*(QUARTILE(H$74:H218,3)-QUARTILE(H$74:H218,1)))))</f>
        <v>1.50586522568038</v>
      </c>
      <c r="Q218" s="10" t="n">
        <f aca="false">IF(I218="","",IF(COUNT(I$74:I218)&lt;60,I218,MEDIAN(QUARTILE(I$74:I218,1)-1.5*(QUARTILE(I$74:I218,3)-QUARTILE(I$74:I218,1)),I218,QUARTILE(I$74:I218,3)+1.5*(QUARTILE(I$74:I218,3)-QUARTILE(I$74:I218,1)))))</f>
        <v>1.00753504496547</v>
      </c>
      <c r="R218" s="10" t="n">
        <f aca="false">IF(J218="","",MEDIAN(J218:Q218))</f>
        <v>1.53665041298457</v>
      </c>
      <c r="S218" s="10" t="n">
        <f aca="false">IF(R218="","",ABS(R218))</f>
        <v>1.53665041298457</v>
      </c>
      <c r="T218" s="10" t="n">
        <f aca="false">IF(COUNT(S$74:S217)&lt;60,"",MEDIAN(S$74:S217))</f>
        <v>0.365704440231461</v>
      </c>
      <c r="U218" s="10" t="n">
        <f aca="false">IF(R218="","",IF(T218="",0,IF(S218&gt;=T218,R218,0)))</f>
        <v>1.53665041298457</v>
      </c>
      <c r="V218" s="10" t="n">
        <f aca="false">IF(U218="","",MEDIAN(-1,U218,1))</f>
        <v>1</v>
      </c>
      <c r="W218" s="10" t="n">
        <f aca="false">IF(J218="","",AVERAGE(J218:Q218))</f>
        <v>1.47953540718364</v>
      </c>
    </row>
    <row r="219" customFormat="false" ht="15" hidden="false" customHeight="false" outlineLevel="0" collapsed="false">
      <c r="A219" s="8" t="n">
        <f aca="false">Base!A219</f>
        <v>44620</v>
      </c>
      <c r="B219" s="10" t="n">
        <f aca="false">IF(COUNT(Transf!B$39:B219)&lt;36,"",(Transf!B219-AVERAGE(Transf!B$39:B219))/STDEV(Transf!B$39:B219))</f>
        <v>2.19933114527139</v>
      </c>
      <c r="C219" s="10" t="n">
        <f aca="false">IF(COUNT(Transf!C$39:C219)&lt;36,"",(Transf!C219-AVERAGE(Transf!C$39:C219))/STDEV(Transf!C$39:C219))</f>
        <v>1.5476987138124</v>
      </c>
      <c r="D219" s="10" t="n">
        <f aca="false">IF(COUNT(Transf!D$39:D219)&lt;36,"",(Transf!D219-AVERAGE(Transf!D$39:D219))/STDEV(Transf!D$39:D219))</f>
        <v>2.12252716509364</v>
      </c>
      <c r="E219" s="10" t="n">
        <f aca="false">IF(COUNT(Transf!E$39:E219)&lt;36,"",(Transf!E219-AVERAGE(Transf!E$39:E219))/STDEV(Transf!E$39:E219))</f>
        <v>1.00971389934016</v>
      </c>
      <c r="F219" s="10" t="n">
        <f aca="false">IF(COUNT(Transf!F$39:F219)&lt;36,"",(Transf!F219-AVERAGE(Transf!F$39:F219))/STDEV(Transf!F$39:F219))</f>
        <v>2.98126304851221</v>
      </c>
      <c r="G219" s="10" t="n">
        <f aca="false">IF(COUNT(Transf!G$39:G219)&lt;36,"",(Transf!G219-AVERAGE(Transf!G$39:G219))/STDEV(Transf!G$39:G219))</f>
        <v>-1.02461773655731</v>
      </c>
      <c r="H219" s="10" t="n">
        <f aca="false">IF(COUNT(Transf!H$39:H219)&lt;36,"",(Transf!H219-AVERAGE(Transf!H$39:H219))/STDEV(Transf!H$39:H219))</f>
        <v>1.59720357947867</v>
      </c>
      <c r="I219" s="10" t="n">
        <f aca="false">IF(COUNT(Transf!I$39:I219)&lt;36,"",(Transf!I219-AVERAGE(Transf!I$39:I219))/STDEV(Transf!I$39:I219))</f>
        <v>0.689483644799904</v>
      </c>
      <c r="J219" s="10" t="n">
        <f aca="false">IF(B219="","",IF(COUNT(B$74:B219)&lt;60,B219,MEDIAN(QUARTILE(B$74:B219,1)-1.5*(QUARTILE(B$74:B219,3)-QUARTILE(B$74:B219,1)),B219,QUARTILE(B$74:B219,3)+1.5*(QUARTILE(B$74:B219,3)-QUARTILE(B$74:B219,1)))))</f>
        <v>2.17955475438995</v>
      </c>
      <c r="K219" s="10" t="n">
        <f aca="false">IF(C219="","",IF(COUNT(C$74:C219)&lt;60,C219,MEDIAN(QUARTILE(C$74:C219,1)-1.5*(QUARTILE(C$74:C219,3)-QUARTILE(C$74:C219,1)),C219,QUARTILE(C$74:C219,3)+1.5*(QUARTILE(C$74:C219,3)-QUARTILE(C$74:C219,1)))))</f>
        <v>1.5476987138124</v>
      </c>
      <c r="L219" s="10" t="n">
        <f aca="false">IF(D219="","",IF(COUNT(D$74:D219)&lt;60,D219,MEDIAN(QUARTILE(D$74:D219,1)-1.5*(QUARTILE(D$74:D219,3)-QUARTILE(D$74:D219,1)),D219,QUARTILE(D$74:D219,3)+1.5*(QUARTILE(D$74:D219,3)-QUARTILE(D$74:D219,1)))))</f>
        <v>2.12252716509364</v>
      </c>
      <c r="M219" s="10" t="n">
        <f aca="false">IF(E219="","",IF(COUNT(E$74:E219)&lt;60,E219,MEDIAN(QUARTILE(E$74:E219,1)-1.5*(QUARTILE(E$74:E219,3)-QUARTILE(E$74:E219,1)),E219,QUARTILE(E$74:E219,3)+1.5*(QUARTILE(E$74:E219,3)-QUARTILE(E$74:E219,1)))))</f>
        <v>1.00971389934016</v>
      </c>
      <c r="N219" s="10" t="n">
        <f aca="false">IF(F219="","",IF(COUNT(F$74:F219)&lt;60,F219,MEDIAN(QUARTILE(F$74:F219,1)-1.5*(QUARTILE(F$74:F219,3)-QUARTILE(F$74:F219,1)),F219,QUARTILE(F$74:F219,3)+1.5*(QUARTILE(F$74:F219,3)-QUARTILE(F$74:F219,1)))))</f>
        <v>2.98126304851221</v>
      </c>
      <c r="O219" s="10" t="n">
        <f aca="false">IF(G219="","",IF(COUNT(G$74:G219)&lt;60,G219,MEDIAN(QUARTILE(G$74:G219,1)-1.5*(QUARTILE(G$74:G219,3)-QUARTILE(G$74:G219,1)),G219,QUARTILE(G$74:G219,3)+1.5*(QUARTILE(G$74:G219,3)-QUARTILE(G$74:G219,1)))))</f>
        <v>-1.02461773655731</v>
      </c>
      <c r="P219" s="10" t="n">
        <f aca="false">IF(H219="","",IF(COUNT(H$74:H219)&lt;60,H219,MEDIAN(QUARTILE(H$74:H219,1)-1.5*(QUARTILE(H$74:H219,3)-QUARTILE(H$74:H219,1)),H219,QUARTILE(H$74:H219,3)+1.5*(QUARTILE(H$74:H219,3)-QUARTILE(H$74:H219,1)))))</f>
        <v>1.59720357947867</v>
      </c>
      <c r="Q219" s="10" t="n">
        <f aca="false">IF(I219="","",IF(COUNT(I$74:I219)&lt;60,I219,MEDIAN(QUARTILE(I$74:I219,1)-1.5*(QUARTILE(I$74:I219,3)-QUARTILE(I$74:I219,1)),I219,QUARTILE(I$74:I219,3)+1.5*(QUARTILE(I$74:I219,3)-QUARTILE(I$74:I219,1)))))</f>
        <v>0.689483644799904</v>
      </c>
      <c r="R219" s="10" t="n">
        <f aca="false">IF(J219="","",MEDIAN(J219:Q219))</f>
        <v>1.57245114664554</v>
      </c>
      <c r="S219" s="10" t="n">
        <f aca="false">IF(R219="","",ABS(R219))</f>
        <v>1.57245114664554</v>
      </c>
      <c r="T219" s="10" t="n">
        <f aca="false">IF(COUNT(S$74:S218)&lt;60,"",MEDIAN(S$74:S218))</f>
        <v>0.366145721269152</v>
      </c>
      <c r="U219" s="10" t="n">
        <f aca="false">IF(R219="","",IF(T219="",0,IF(S219&gt;=T219,R219,0)))</f>
        <v>1.57245114664554</v>
      </c>
      <c r="V219" s="10" t="n">
        <f aca="false">IF(U219="","",MEDIAN(-1,U219,1))</f>
        <v>1</v>
      </c>
      <c r="W219" s="10" t="n">
        <f aca="false">IF(J219="","",AVERAGE(J219:Q219))</f>
        <v>1.3878533836087</v>
      </c>
    </row>
    <row r="220" customFormat="false" ht="15" hidden="false" customHeight="false" outlineLevel="0" collapsed="false">
      <c r="A220" s="8" t="n">
        <f aca="false">Base!A220</f>
        <v>44651</v>
      </c>
      <c r="B220" s="10" t="n">
        <f aca="false">IF(COUNT(Transf!B$39:B220)&lt;36,"",(Transf!B220-AVERAGE(Transf!B$39:B220))/STDEV(Transf!B$39:B220))</f>
        <v>1.21837434470427</v>
      </c>
      <c r="C220" s="10" t="n">
        <f aca="false">IF(COUNT(Transf!C$39:C220)&lt;36,"",(Transf!C220-AVERAGE(Transf!C$39:C220))/STDEV(Transf!C$39:C220))</f>
        <v>1.28686155413955</v>
      </c>
      <c r="D220" s="10" t="n">
        <f aca="false">IF(COUNT(Transf!D$39:D220)&lt;36,"",(Transf!D220-AVERAGE(Transf!D$39:D220))/STDEV(Transf!D$39:D220))</f>
        <v>1.72538302625491</v>
      </c>
      <c r="E220" s="10" t="n">
        <f aca="false">IF(COUNT(Transf!E$39:E220)&lt;36,"",(Transf!E220-AVERAGE(Transf!E$39:E220))/STDEV(Transf!E$39:E220))</f>
        <v>0.947392881782804</v>
      </c>
      <c r="F220" s="10" t="n">
        <f aca="false">IF(COUNT(Transf!F$39:F220)&lt;36,"",(Transf!F220-AVERAGE(Transf!F$39:F220))/STDEV(Transf!F$39:F220))</f>
        <v>2.82133555613106</v>
      </c>
      <c r="G220" s="10" t="n">
        <f aca="false">IF(COUNT(Transf!G$39:G220)&lt;36,"",(Transf!G220-AVERAGE(Transf!G$39:G220))/STDEV(Transf!G$39:G220))</f>
        <v>-0.915651149884847</v>
      </c>
      <c r="H220" s="10" t="n">
        <f aca="false">IF(COUNT(Transf!H$39:H220)&lt;36,"",(Transf!H220-AVERAGE(Transf!H$39:H220))/STDEV(Transf!H$39:H220))</f>
        <v>1.67234245755968</v>
      </c>
      <c r="I220" s="10" t="n">
        <f aca="false">IF(COUNT(Transf!I$39:I220)&lt;36,"",(Transf!I220-AVERAGE(Transf!I$39:I220))/STDEV(Transf!I$39:I220))</f>
        <v>0.727186981324926</v>
      </c>
      <c r="J220" s="10" t="n">
        <f aca="false">IF(B220="","",IF(COUNT(B$74:B220)&lt;60,B220,MEDIAN(QUARTILE(B$74:B220,1)-1.5*(QUARTILE(B$74:B220,3)-QUARTILE(B$74:B220,1)),B220,QUARTILE(B$74:B220,3)+1.5*(QUARTILE(B$74:B220,3)-QUARTILE(B$74:B220,1)))))</f>
        <v>1.21837434470427</v>
      </c>
      <c r="K220" s="10" t="n">
        <f aca="false">IF(C220="","",IF(COUNT(C$74:C220)&lt;60,C220,MEDIAN(QUARTILE(C$74:C220,1)-1.5*(QUARTILE(C$74:C220,3)-QUARTILE(C$74:C220,1)),C220,QUARTILE(C$74:C220,3)+1.5*(QUARTILE(C$74:C220,3)-QUARTILE(C$74:C220,1)))))</f>
        <v>1.28686155413955</v>
      </c>
      <c r="L220" s="10" t="n">
        <f aca="false">IF(D220="","",IF(COUNT(D$74:D220)&lt;60,D220,MEDIAN(QUARTILE(D$74:D220,1)-1.5*(QUARTILE(D$74:D220,3)-QUARTILE(D$74:D220,1)),D220,QUARTILE(D$74:D220,3)+1.5*(QUARTILE(D$74:D220,3)-QUARTILE(D$74:D220,1)))))</f>
        <v>1.72538302625491</v>
      </c>
      <c r="M220" s="10" t="n">
        <f aca="false">IF(E220="","",IF(COUNT(E$74:E220)&lt;60,E220,MEDIAN(QUARTILE(E$74:E220,1)-1.5*(QUARTILE(E$74:E220,3)-QUARTILE(E$74:E220,1)),E220,QUARTILE(E$74:E220,3)+1.5*(QUARTILE(E$74:E220,3)-QUARTILE(E$74:E220,1)))))</f>
        <v>0.947392881782804</v>
      </c>
      <c r="N220" s="10" t="n">
        <f aca="false">IF(F220="","",IF(COUNT(F$74:F220)&lt;60,F220,MEDIAN(QUARTILE(F$74:F220,1)-1.5*(QUARTILE(F$74:F220,3)-QUARTILE(F$74:F220,1)),F220,QUARTILE(F$74:F220,3)+1.5*(QUARTILE(F$74:F220,3)-QUARTILE(F$74:F220,1)))))</f>
        <v>2.82133555613106</v>
      </c>
      <c r="O220" s="10" t="n">
        <f aca="false">IF(G220="","",IF(COUNT(G$74:G220)&lt;60,G220,MEDIAN(QUARTILE(G$74:G220,1)-1.5*(QUARTILE(G$74:G220,3)-QUARTILE(G$74:G220,1)),G220,QUARTILE(G$74:G220,3)+1.5*(QUARTILE(G$74:G220,3)-QUARTILE(G$74:G220,1)))))</f>
        <v>-0.915651149884847</v>
      </c>
      <c r="P220" s="10" t="n">
        <f aca="false">IF(H220="","",IF(COUNT(H$74:H220)&lt;60,H220,MEDIAN(QUARTILE(H$74:H220,1)-1.5*(QUARTILE(H$74:H220,3)-QUARTILE(H$74:H220,1)),H220,QUARTILE(H$74:H220,3)+1.5*(QUARTILE(H$74:H220,3)-QUARTILE(H$74:H220,1)))))</f>
        <v>1.67234245755968</v>
      </c>
      <c r="Q220" s="10" t="n">
        <f aca="false">IF(I220="","",IF(COUNT(I$74:I220)&lt;60,I220,MEDIAN(QUARTILE(I$74:I220,1)-1.5*(QUARTILE(I$74:I220,3)-QUARTILE(I$74:I220,1)),I220,QUARTILE(I$74:I220,3)+1.5*(QUARTILE(I$74:I220,3)-QUARTILE(I$74:I220,1)))))</f>
        <v>0.727186981324926</v>
      </c>
      <c r="R220" s="10" t="n">
        <f aca="false">IF(J220="","",MEDIAN(J220:Q220))</f>
        <v>1.25261794942191</v>
      </c>
      <c r="S220" s="10" t="n">
        <f aca="false">IF(R220="","",ABS(R220))</f>
        <v>1.25261794942191</v>
      </c>
      <c r="T220" s="10" t="n">
        <f aca="false">IF(COUNT(S$74:S219)&lt;60,"",MEDIAN(S$74:S219))</f>
        <v>0.367833511290124</v>
      </c>
      <c r="U220" s="10" t="n">
        <f aca="false">IF(R220="","",IF(T220="",0,IF(S220&gt;=T220,R220,0)))</f>
        <v>1.25261794942191</v>
      </c>
      <c r="V220" s="10" t="n">
        <f aca="false">IF(U220="","",MEDIAN(-1,U220,1))</f>
        <v>1</v>
      </c>
      <c r="W220" s="10" t="n">
        <f aca="false">IF(J220="","",AVERAGE(J220:Q220))</f>
        <v>1.18540320650154</v>
      </c>
    </row>
    <row r="221" customFormat="false" ht="15" hidden="false" customHeight="false" outlineLevel="0" collapsed="false">
      <c r="A221" s="8" t="n">
        <f aca="false">Base!A221</f>
        <v>44681</v>
      </c>
      <c r="B221" s="10" t="n">
        <f aca="false">IF(COUNT(Transf!B$39:B221)&lt;36,"",(Transf!B221-AVERAGE(Transf!B$39:B221))/STDEV(Transf!B$39:B221))</f>
        <v>1.58089742144582</v>
      </c>
      <c r="C221" s="10" t="n">
        <f aca="false">IF(COUNT(Transf!C$39:C221)&lt;36,"",(Transf!C221-AVERAGE(Transf!C$39:C221))/STDEV(Transf!C$39:C221))</f>
        <v>1.3024142233753</v>
      </c>
      <c r="D221" s="10" t="n">
        <f aca="false">IF(COUNT(Transf!D$39:D221)&lt;36,"",(Transf!D221-AVERAGE(Transf!D$39:D221))/STDEV(Transf!D$39:D221))</f>
        <v>1.8343028931626</v>
      </c>
      <c r="E221" s="10" t="n">
        <f aca="false">IF(COUNT(Transf!E$39:E221)&lt;36,"",(Transf!E221-AVERAGE(Transf!E$39:E221))/STDEV(Transf!E$39:E221))</f>
        <v>0.935140667421224</v>
      </c>
      <c r="F221" s="10" t="n">
        <f aca="false">IF(COUNT(Transf!F$39:F221)&lt;36,"",(Transf!F221-AVERAGE(Transf!F$39:F221))/STDEV(Transf!F$39:F221))</f>
        <v>2.65416549496379</v>
      </c>
      <c r="G221" s="10" t="n">
        <f aca="false">IF(COUNT(Transf!G$39:G221)&lt;36,"",(Transf!G221-AVERAGE(Transf!G$39:G221))/STDEV(Transf!G$39:G221))</f>
        <v>-0.921223696485824</v>
      </c>
      <c r="H221" s="10" t="n">
        <f aca="false">IF(COUNT(Transf!H$39:H221)&lt;36,"",(Transf!H221-AVERAGE(Transf!H$39:H221))/STDEV(Transf!H$39:H221))</f>
        <v>1.70280348106859</v>
      </c>
      <c r="I221" s="10" t="n">
        <f aca="false">IF(COUNT(Transf!I$39:I221)&lt;36,"",(Transf!I221-AVERAGE(Transf!I$39:I221))/STDEV(Transf!I$39:I221))</f>
        <v>1.13070288136502</v>
      </c>
      <c r="J221" s="10" t="n">
        <f aca="false">IF(B221="","",IF(COUNT(B$74:B221)&lt;60,B221,MEDIAN(QUARTILE(B$74:B221,1)-1.5*(QUARTILE(B$74:B221,3)-QUARTILE(B$74:B221,1)),B221,QUARTILE(B$74:B221,3)+1.5*(QUARTILE(B$74:B221,3)-QUARTILE(B$74:B221,1)))))</f>
        <v>1.58089742144582</v>
      </c>
      <c r="K221" s="10" t="n">
        <f aca="false">IF(C221="","",IF(COUNT(C$74:C221)&lt;60,C221,MEDIAN(QUARTILE(C$74:C221,1)-1.5*(QUARTILE(C$74:C221,3)-QUARTILE(C$74:C221,1)),C221,QUARTILE(C$74:C221,3)+1.5*(QUARTILE(C$74:C221,3)-QUARTILE(C$74:C221,1)))))</f>
        <v>1.3024142233753</v>
      </c>
      <c r="L221" s="10" t="n">
        <f aca="false">IF(D221="","",IF(COUNT(D$74:D221)&lt;60,D221,MEDIAN(QUARTILE(D$74:D221,1)-1.5*(QUARTILE(D$74:D221,3)-QUARTILE(D$74:D221,1)),D221,QUARTILE(D$74:D221,3)+1.5*(QUARTILE(D$74:D221,3)-QUARTILE(D$74:D221,1)))))</f>
        <v>1.8343028931626</v>
      </c>
      <c r="M221" s="10" t="n">
        <f aca="false">IF(E221="","",IF(COUNT(E$74:E221)&lt;60,E221,MEDIAN(QUARTILE(E$74:E221,1)-1.5*(QUARTILE(E$74:E221,3)-QUARTILE(E$74:E221,1)),E221,QUARTILE(E$74:E221,3)+1.5*(QUARTILE(E$74:E221,3)-QUARTILE(E$74:E221,1)))))</f>
        <v>0.935140667421224</v>
      </c>
      <c r="N221" s="10" t="n">
        <f aca="false">IF(F221="","",IF(COUNT(F$74:F221)&lt;60,F221,MEDIAN(QUARTILE(F$74:F221,1)-1.5*(QUARTILE(F$74:F221,3)-QUARTILE(F$74:F221,1)),F221,QUARTILE(F$74:F221,3)+1.5*(QUARTILE(F$74:F221,3)-QUARTILE(F$74:F221,1)))))</f>
        <v>2.65416549496379</v>
      </c>
      <c r="O221" s="10" t="n">
        <f aca="false">IF(G221="","",IF(COUNT(G$74:G221)&lt;60,G221,MEDIAN(QUARTILE(G$74:G221,1)-1.5*(QUARTILE(G$74:G221,3)-QUARTILE(G$74:G221,1)),G221,QUARTILE(G$74:G221,3)+1.5*(QUARTILE(G$74:G221,3)-QUARTILE(G$74:G221,1)))))</f>
        <v>-0.921223696485824</v>
      </c>
      <c r="P221" s="10" t="n">
        <f aca="false">IF(H221="","",IF(COUNT(H$74:H221)&lt;60,H221,MEDIAN(QUARTILE(H$74:H221,1)-1.5*(QUARTILE(H$74:H221,3)-QUARTILE(H$74:H221,1)),H221,QUARTILE(H$74:H221,3)+1.5*(QUARTILE(H$74:H221,3)-QUARTILE(H$74:H221,1)))))</f>
        <v>1.70280348106859</v>
      </c>
      <c r="Q221" s="10" t="n">
        <f aca="false">IF(I221="","",IF(COUNT(I$74:I221)&lt;60,I221,MEDIAN(QUARTILE(I$74:I221,1)-1.5*(QUARTILE(I$74:I221,3)-QUARTILE(I$74:I221,1)),I221,QUARTILE(I$74:I221,3)+1.5*(QUARTILE(I$74:I221,3)-QUARTILE(I$74:I221,1)))))</f>
        <v>1.13070288136502</v>
      </c>
      <c r="R221" s="10" t="n">
        <f aca="false">IF(J221="","",MEDIAN(J221:Q221))</f>
        <v>1.44165582241056</v>
      </c>
      <c r="S221" s="10" t="n">
        <f aca="false">IF(R221="","",ABS(R221))</f>
        <v>1.44165582241056</v>
      </c>
      <c r="T221" s="10" t="n">
        <f aca="false">IF(COUNT(S$74:S220)&lt;60,"",MEDIAN(S$74:S220))</f>
        <v>0.369521301311095</v>
      </c>
      <c r="U221" s="10" t="n">
        <f aca="false">IF(R221="","",IF(T221="",0,IF(S221&gt;=T221,R221,0)))</f>
        <v>1.44165582241056</v>
      </c>
      <c r="V221" s="10" t="n">
        <f aca="false">IF(U221="","",MEDIAN(-1,U221,1))</f>
        <v>1</v>
      </c>
      <c r="W221" s="10" t="n">
        <f aca="false">IF(J221="","",AVERAGE(J221:Q221))</f>
        <v>1.27740042078956</v>
      </c>
    </row>
    <row r="222" customFormat="false" ht="15" hidden="false" customHeight="false" outlineLevel="0" collapsed="false">
      <c r="A222" s="8" t="n">
        <f aca="false">Base!A222</f>
        <v>44712</v>
      </c>
      <c r="B222" s="10" t="n">
        <f aca="false">IF(COUNT(Transf!B$39:B222)&lt;36,"",(Transf!B222-AVERAGE(Transf!B$39:B222))/STDEV(Transf!B$39:B222))</f>
        <v>1.33017608012737</v>
      </c>
      <c r="C222" s="10" t="n">
        <f aca="false">IF(COUNT(Transf!C$39:C222)&lt;36,"",(Transf!C222-AVERAGE(Transf!C$39:C222))/STDEV(Transf!C$39:C222))</f>
        <v>1.26144598061066</v>
      </c>
      <c r="D222" s="10" t="n">
        <f aca="false">IF(COUNT(Transf!D$39:D222)&lt;36,"",(Transf!D222-AVERAGE(Transf!D$39:D222))/STDEV(Transf!D$39:D222))</f>
        <v>1.76612504170642</v>
      </c>
      <c r="E222" s="10" t="n">
        <f aca="false">IF(COUNT(Transf!E$39:E222)&lt;36,"",(Transf!E222-AVERAGE(Transf!E$39:E222))/STDEV(Transf!E$39:E222))</f>
        <v>0.920245014341331</v>
      </c>
      <c r="F222" s="10" t="n">
        <f aca="false">IF(COUNT(Transf!F$39:F222)&lt;36,"",(Transf!F222-AVERAGE(Transf!F$39:F222))/STDEV(Transf!F$39:F222))</f>
        <v>2.63912054343427</v>
      </c>
      <c r="G222" s="10" t="n">
        <f aca="false">IF(COUNT(Transf!G$39:G222)&lt;36,"",(Transf!G222-AVERAGE(Transf!G$39:G222))/STDEV(Transf!G$39:G222))</f>
        <v>-0.921456475582608</v>
      </c>
      <c r="H222" s="10" t="n">
        <f aca="false">IF(COUNT(Transf!H$39:H222)&lt;36,"",(Transf!H222-AVERAGE(Transf!H$39:H222))/STDEV(Transf!H$39:H222))</f>
        <v>1.64821122872831</v>
      </c>
      <c r="I222" s="10" t="n">
        <f aca="false">IF(COUNT(Transf!I$39:I222)&lt;36,"",(Transf!I222-AVERAGE(Transf!I$39:I222))/STDEV(Transf!I$39:I222))</f>
        <v>1.6465361387641</v>
      </c>
      <c r="J222" s="10" t="n">
        <f aca="false">IF(B222="","",IF(COUNT(B$74:B222)&lt;60,B222,MEDIAN(QUARTILE(B$74:B222,1)-1.5*(QUARTILE(B$74:B222,3)-QUARTILE(B$74:B222,1)),B222,QUARTILE(B$74:B222,3)+1.5*(QUARTILE(B$74:B222,3)-QUARTILE(B$74:B222,1)))))</f>
        <v>1.33017608012737</v>
      </c>
      <c r="K222" s="10" t="n">
        <f aca="false">IF(C222="","",IF(COUNT(C$74:C222)&lt;60,C222,MEDIAN(QUARTILE(C$74:C222,1)-1.5*(QUARTILE(C$74:C222,3)-QUARTILE(C$74:C222,1)),C222,QUARTILE(C$74:C222,3)+1.5*(QUARTILE(C$74:C222,3)-QUARTILE(C$74:C222,1)))))</f>
        <v>1.26144598061066</v>
      </c>
      <c r="L222" s="10" t="n">
        <f aca="false">IF(D222="","",IF(COUNT(D$74:D222)&lt;60,D222,MEDIAN(QUARTILE(D$74:D222,1)-1.5*(QUARTILE(D$74:D222,3)-QUARTILE(D$74:D222,1)),D222,QUARTILE(D$74:D222,3)+1.5*(QUARTILE(D$74:D222,3)-QUARTILE(D$74:D222,1)))))</f>
        <v>1.76612504170642</v>
      </c>
      <c r="M222" s="10" t="n">
        <f aca="false">IF(E222="","",IF(COUNT(E$74:E222)&lt;60,E222,MEDIAN(QUARTILE(E$74:E222,1)-1.5*(QUARTILE(E$74:E222,3)-QUARTILE(E$74:E222,1)),E222,QUARTILE(E$74:E222,3)+1.5*(QUARTILE(E$74:E222,3)-QUARTILE(E$74:E222,1)))))</f>
        <v>0.920245014341331</v>
      </c>
      <c r="N222" s="10" t="n">
        <f aca="false">IF(F222="","",IF(COUNT(F$74:F222)&lt;60,F222,MEDIAN(QUARTILE(F$74:F222,1)-1.5*(QUARTILE(F$74:F222,3)-QUARTILE(F$74:F222,1)),F222,QUARTILE(F$74:F222,3)+1.5*(QUARTILE(F$74:F222,3)-QUARTILE(F$74:F222,1)))))</f>
        <v>2.63912054343427</v>
      </c>
      <c r="O222" s="10" t="n">
        <f aca="false">IF(G222="","",IF(COUNT(G$74:G222)&lt;60,G222,MEDIAN(QUARTILE(G$74:G222,1)-1.5*(QUARTILE(G$74:G222,3)-QUARTILE(G$74:G222,1)),G222,QUARTILE(G$74:G222,3)+1.5*(QUARTILE(G$74:G222,3)-QUARTILE(G$74:G222,1)))))</f>
        <v>-0.921456475582608</v>
      </c>
      <c r="P222" s="10" t="n">
        <f aca="false">IF(H222="","",IF(COUNT(H$74:H222)&lt;60,H222,MEDIAN(QUARTILE(H$74:H222,1)-1.5*(QUARTILE(H$74:H222,3)-QUARTILE(H$74:H222,1)),H222,QUARTILE(H$74:H222,3)+1.5*(QUARTILE(H$74:H222,3)-QUARTILE(H$74:H222,1)))))</f>
        <v>1.64821122872831</v>
      </c>
      <c r="Q222" s="10" t="n">
        <f aca="false">IF(I222="","",IF(COUNT(I$74:I222)&lt;60,I222,MEDIAN(QUARTILE(I$74:I222,1)-1.5*(QUARTILE(I$74:I222,3)-QUARTILE(I$74:I222,1)),I222,QUARTILE(I$74:I222,3)+1.5*(QUARTILE(I$74:I222,3)-QUARTILE(I$74:I222,1)))))</f>
        <v>1.6465361387641</v>
      </c>
      <c r="R222" s="10" t="n">
        <f aca="false">IF(J222="","",MEDIAN(J222:Q222))</f>
        <v>1.48835610944574</v>
      </c>
      <c r="S222" s="10" t="n">
        <f aca="false">IF(R222="","",ABS(R222))</f>
        <v>1.48835610944574</v>
      </c>
      <c r="T222" s="10" t="n">
        <f aca="false">IF(COUNT(S$74:S221)&lt;60,"",MEDIAN(S$74:S221))</f>
        <v>0.369651352490435</v>
      </c>
      <c r="U222" s="10" t="n">
        <f aca="false">IF(R222="","",IF(T222="",0,IF(S222&gt;=T222,R222,0)))</f>
        <v>1.48835610944574</v>
      </c>
      <c r="V222" s="10" t="n">
        <f aca="false">IF(U222="","",MEDIAN(-1,U222,1))</f>
        <v>1</v>
      </c>
      <c r="W222" s="10" t="n">
        <f aca="false">IF(J222="","",AVERAGE(J222:Q222))</f>
        <v>1.28630044401623</v>
      </c>
    </row>
    <row r="223" customFormat="false" ht="15" hidden="false" customHeight="false" outlineLevel="0" collapsed="false">
      <c r="A223" s="8" t="n">
        <f aca="false">Base!A223</f>
        <v>44742</v>
      </c>
      <c r="B223" s="10" t="n">
        <f aca="false">IF(COUNT(Transf!B$39:B223)&lt;36,"",(Transf!B223-AVERAGE(Transf!B$39:B223))/STDEV(Transf!B$39:B223))</f>
        <v>1.16667933838271</v>
      </c>
      <c r="C223" s="10" t="n">
        <f aca="false">IF(COUNT(Transf!C$39:C223)&lt;36,"",(Transf!C223-AVERAGE(Transf!C$39:C223))/STDEV(Transf!C$39:C223))</f>
        <v>1.38584995598252</v>
      </c>
      <c r="D223" s="10" t="n">
        <f aca="false">IF(COUNT(Transf!D$39:D223)&lt;36,"",(Transf!D223-AVERAGE(Transf!D$39:D223))/STDEV(Transf!D$39:D223))</f>
        <v>1.71160839652244</v>
      </c>
      <c r="E223" s="10" t="n">
        <f aca="false">IF(COUNT(Transf!E$39:E223)&lt;36,"",(Transf!E223-AVERAGE(Transf!E$39:E223))/STDEV(Transf!E$39:E223))</f>
        <v>0.904786587872666</v>
      </c>
      <c r="F223" s="10" t="n">
        <f aca="false">IF(COUNT(Transf!F$39:F223)&lt;36,"",(Transf!F223-AVERAGE(Transf!F$39:F223))/STDEV(Transf!F$39:F223))</f>
        <v>2.64184941571243</v>
      </c>
      <c r="G223" s="10" t="n">
        <f aca="false">IF(COUNT(Transf!G$39:G223)&lt;36,"",(Transf!G223-AVERAGE(Transf!G$39:G223))/STDEV(Transf!G$39:G223))</f>
        <v>-1.0353539757777</v>
      </c>
      <c r="H223" s="10" t="n">
        <f aca="false">IF(COUNT(Transf!H$39:H223)&lt;36,"",(Transf!H223-AVERAGE(Transf!H$39:H223))/STDEV(Transf!H$39:H223))</f>
        <v>1.32623015084017</v>
      </c>
      <c r="I223" s="10" t="n">
        <f aca="false">IF(COUNT(Transf!I$39:I223)&lt;36,"",(Transf!I223-AVERAGE(Transf!I$39:I223))/STDEV(Transf!I$39:I223))</f>
        <v>2.10411100719736</v>
      </c>
      <c r="J223" s="10" t="n">
        <f aca="false">IF(B223="","",IF(COUNT(B$74:B223)&lt;60,B223,MEDIAN(QUARTILE(B$74:B223,1)-1.5*(QUARTILE(B$74:B223,3)-QUARTILE(B$74:B223,1)),B223,QUARTILE(B$74:B223,3)+1.5*(QUARTILE(B$74:B223,3)-QUARTILE(B$74:B223,1)))))</f>
        <v>1.16667933838271</v>
      </c>
      <c r="K223" s="10" t="n">
        <f aca="false">IF(C223="","",IF(COUNT(C$74:C223)&lt;60,C223,MEDIAN(QUARTILE(C$74:C223,1)-1.5*(QUARTILE(C$74:C223,3)-QUARTILE(C$74:C223,1)),C223,QUARTILE(C$74:C223,3)+1.5*(QUARTILE(C$74:C223,3)-QUARTILE(C$74:C223,1)))))</f>
        <v>1.38584995598252</v>
      </c>
      <c r="L223" s="10" t="n">
        <f aca="false">IF(D223="","",IF(COUNT(D$74:D223)&lt;60,D223,MEDIAN(QUARTILE(D$74:D223,1)-1.5*(QUARTILE(D$74:D223,3)-QUARTILE(D$74:D223,1)),D223,QUARTILE(D$74:D223,3)+1.5*(QUARTILE(D$74:D223,3)-QUARTILE(D$74:D223,1)))))</f>
        <v>1.71160839652244</v>
      </c>
      <c r="M223" s="10" t="n">
        <f aca="false">IF(E223="","",IF(COUNT(E$74:E223)&lt;60,E223,MEDIAN(QUARTILE(E$74:E223,1)-1.5*(QUARTILE(E$74:E223,3)-QUARTILE(E$74:E223,1)),E223,QUARTILE(E$74:E223,3)+1.5*(QUARTILE(E$74:E223,3)-QUARTILE(E$74:E223,1)))))</f>
        <v>0.904786587872666</v>
      </c>
      <c r="N223" s="10" t="n">
        <f aca="false">IF(F223="","",IF(COUNT(F$74:F223)&lt;60,F223,MEDIAN(QUARTILE(F$74:F223,1)-1.5*(QUARTILE(F$74:F223,3)-QUARTILE(F$74:F223,1)),F223,QUARTILE(F$74:F223,3)+1.5*(QUARTILE(F$74:F223,3)-QUARTILE(F$74:F223,1)))))</f>
        <v>2.64184941571243</v>
      </c>
      <c r="O223" s="10" t="n">
        <f aca="false">IF(G223="","",IF(COUNT(G$74:G223)&lt;60,G223,MEDIAN(QUARTILE(G$74:G223,1)-1.5*(QUARTILE(G$74:G223,3)-QUARTILE(G$74:G223,1)),G223,QUARTILE(G$74:G223,3)+1.5*(QUARTILE(G$74:G223,3)-QUARTILE(G$74:G223,1)))))</f>
        <v>-1.0353539757777</v>
      </c>
      <c r="P223" s="10" t="n">
        <f aca="false">IF(H223="","",IF(COUNT(H$74:H223)&lt;60,H223,MEDIAN(QUARTILE(H$74:H223,1)-1.5*(QUARTILE(H$74:H223,3)-QUARTILE(H$74:H223,1)),H223,QUARTILE(H$74:H223,3)+1.5*(QUARTILE(H$74:H223,3)-QUARTILE(H$74:H223,1)))))</f>
        <v>1.32623015084017</v>
      </c>
      <c r="Q223" s="10" t="n">
        <f aca="false">IF(I223="","",IF(COUNT(I$74:I223)&lt;60,I223,MEDIAN(QUARTILE(I$74:I223,1)-1.5*(QUARTILE(I$74:I223,3)-QUARTILE(I$74:I223,1)),I223,QUARTILE(I$74:I223,3)+1.5*(QUARTILE(I$74:I223,3)-QUARTILE(I$74:I223,1)))))</f>
        <v>2.10411100719736</v>
      </c>
      <c r="R223" s="10" t="n">
        <f aca="false">IF(J223="","",MEDIAN(J223:Q223))</f>
        <v>1.35604005341135</v>
      </c>
      <c r="S223" s="10" t="n">
        <f aca="false">IF(R223="","",ABS(R223))</f>
        <v>1.35604005341135</v>
      </c>
      <c r="T223" s="10" t="n">
        <f aca="false">IF(COUNT(S$74:S222)&lt;60,"",MEDIAN(S$74:S222))</f>
        <v>0.369781403669774</v>
      </c>
      <c r="U223" s="10" t="n">
        <f aca="false">IF(R223="","",IF(T223="",0,IF(S223&gt;=T223,R223,0)))</f>
        <v>1.35604005341135</v>
      </c>
      <c r="V223" s="10" t="n">
        <f aca="false">IF(U223="","",MEDIAN(-1,U223,1))</f>
        <v>1</v>
      </c>
      <c r="W223" s="10" t="n">
        <f aca="false">IF(J223="","",AVERAGE(J223:Q223))</f>
        <v>1.27572010959158</v>
      </c>
    </row>
    <row r="224" customFormat="false" ht="15" hidden="false" customHeight="false" outlineLevel="0" collapsed="false">
      <c r="A224" s="8" t="n">
        <f aca="false">Base!A224</f>
        <v>44773</v>
      </c>
      <c r="B224" s="10" t="n">
        <f aca="false">IF(COUNT(Transf!B$39:B224)&lt;36,"",(Transf!B224-AVERAGE(Transf!B$39:B224))/STDEV(Transf!B$39:B224))</f>
        <v>0.638434973935632</v>
      </c>
      <c r="C224" s="10" t="n">
        <f aca="false">IF(COUNT(Transf!C$39:C224)&lt;36,"",(Transf!C224-AVERAGE(Transf!C$39:C224))/STDEV(Transf!C$39:C224))</f>
        <v>1.36027200769214</v>
      </c>
      <c r="D224" s="10" t="n">
        <f aca="false">IF(COUNT(Transf!D$39:D224)&lt;36,"",(Transf!D224-AVERAGE(Transf!D$39:D224))/STDEV(Transf!D$39:D224))</f>
        <v>1.62334691039956</v>
      </c>
      <c r="E224" s="10" t="n">
        <f aca="false">IF(COUNT(Transf!E$39:E224)&lt;36,"",(Transf!E224-AVERAGE(Transf!E$39:E224))/STDEV(Transf!E$39:E224))</f>
        <v>0.991179519485961</v>
      </c>
      <c r="F224" s="10" t="n">
        <f aca="false">IF(COUNT(Transf!F$39:F224)&lt;36,"",(Transf!F224-AVERAGE(Transf!F$39:F224))/STDEV(Transf!F$39:F224))</f>
        <v>2.59176216977764</v>
      </c>
      <c r="G224" s="10" t="n">
        <f aca="false">IF(COUNT(Transf!G$39:G224)&lt;36,"",(Transf!G224-AVERAGE(Transf!G$39:G224))/STDEV(Transf!G$39:G224))</f>
        <v>-1.06260453820095</v>
      </c>
      <c r="H224" s="10" t="n">
        <f aca="false">IF(COUNT(Transf!H$39:H224)&lt;36,"",(Transf!H224-AVERAGE(Transf!H$39:H224))/STDEV(Transf!H$39:H224))</f>
        <v>0.971910151886361</v>
      </c>
      <c r="I224" s="10" t="n">
        <f aca="false">IF(COUNT(Transf!I$39:I224)&lt;36,"",(Transf!I224-AVERAGE(Transf!I$39:I224))/STDEV(Transf!I$39:I224))</f>
        <v>1.77083485297955</v>
      </c>
      <c r="J224" s="10" t="n">
        <f aca="false">IF(B224="","",IF(COUNT(B$74:B224)&lt;60,B224,MEDIAN(QUARTILE(B$74:B224,1)-1.5*(QUARTILE(B$74:B224,3)-QUARTILE(B$74:B224,1)),B224,QUARTILE(B$74:B224,3)+1.5*(QUARTILE(B$74:B224,3)-QUARTILE(B$74:B224,1)))))</f>
        <v>0.638434973935632</v>
      </c>
      <c r="K224" s="10" t="n">
        <f aca="false">IF(C224="","",IF(COUNT(C$74:C224)&lt;60,C224,MEDIAN(QUARTILE(C$74:C224,1)-1.5*(QUARTILE(C$74:C224,3)-QUARTILE(C$74:C224,1)),C224,QUARTILE(C$74:C224,3)+1.5*(QUARTILE(C$74:C224,3)-QUARTILE(C$74:C224,1)))))</f>
        <v>1.36027200769214</v>
      </c>
      <c r="L224" s="10" t="n">
        <f aca="false">IF(D224="","",IF(COUNT(D$74:D224)&lt;60,D224,MEDIAN(QUARTILE(D$74:D224,1)-1.5*(QUARTILE(D$74:D224,3)-QUARTILE(D$74:D224,1)),D224,QUARTILE(D$74:D224,3)+1.5*(QUARTILE(D$74:D224,3)-QUARTILE(D$74:D224,1)))))</f>
        <v>1.62334691039956</v>
      </c>
      <c r="M224" s="10" t="n">
        <f aca="false">IF(E224="","",IF(COUNT(E$74:E224)&lt;60,E224,MEDIAN(QUARTILE(E$74:E224,1)-1.5*(QUARTILE(E$74:E224,3)-QUARTILE(E$74:E224,1)),E224,QUARTILE(E$74:E224,3)+1.5*(QUARTILE(E$74:E224,3)-QUARTILE(E$74:E224,1)))))</f>
        <v>0.991179519485961</v>
      </c>
      <c r="N224" s="10" t="n">
        <f aca="false">IF(F224="","",IF(COUNT(F$74:F224)&lt;60,F224,MEDIAN(QUARTILE(F$74:F224,1)-1.5*(QUARTILE(F$74:F224,3)-QUARTILE(F$74:F224,1)),F224,QUARTILE(F$74:F224,3)+1.5*(QUARTILE(F$74:F224,3)-QUARTILE(F$74:F224,1)))))</f>
        <v>2.59176216977764</v>
      </c>
      <c r="O224" s="10" t="n">
        <f aca="false">IF(G224="","",IF(COUNT(G$74:G224)&lt;60,G224,MEDIAN(QUARTILE(G$74:G224,1)-1.5*(QUARTILE(G$74:G224,3)-QUARTILE(G$74:G224,1)),G224,QUARTILE(G$74:G224,3)+1.5*(QUARTILE(G$74:G224,3)-QUARTILE(G$74:G224,1)))))</f>
        <v>-1.06260453820095</v>
      </c>
      <c r="P224" s="10" t="n">
        <f aca="false">IF(H224="","",IF(COUNT(H$74:H224)&lt;60,H224,MEDIAN(QUARTILE(H$74:H224,1)-1.5*(QUARTILE(H$74:H224,3)-QUARTILE(H$74:H224,1)),H224,QUARTILE(H$74:H224,3)+1.5*(QUARTILE(H$74:H224,3)-QUARTILE(H$74:H224,1)))))</f>
        <v>0.971910151886361</v>
      </c>
      <c r="Q224" s="10" t="n">
        <f aca="false">IF(I224="","",IF(COUNT(I$74:I224)&lt;60,I224,MEDIAN(QUARTILE(I$74:I224,1)-1.5*(QUARTILE(I$74:I224,3)-QUARTILE(I$74:I224,1)),I224,QUARTILE(I$74:I224,3)+1.5*(QUARTILE(I$74:I224,3)-QUARTILE(I$74:I224,1)))))</f>
        <v>1.77083485297955</v>
      </c>
      <c r="R224" s="10" t="n">
        <f aca="false">IF(J224="","",MEDIAN(J224:Q224))</f>
        <v>1.17572576358905</v>
      </c>
      <c r="S224" s="10" t="n">
        <f aca="false">IF(R224="","",ABS(R224))</f>
        <v>1.17572576358905</v>
      </c>
      <c r="T224" s="10" t="n">
        <f aca="false">IF(COUNT(S$74:S223)&lt;60,"",MEDIAN(S$74:S223))</f>
        <v>0.371864556523883</v>
      </c>
      <c r="U224" s="10" t="n">
        <f aca="false">IF(R224="","",IF(T224="",0,IF(S224&gt;=T224,R224,0)))</f>
        <v>1.17572576358905</v>
      </c>
      <c r="V224" s="10" t="n">
        <f aca="false">IF(U224="","",MEDIAN(-1,U224,1))</f>
        <v>1</v>
      </c>
      <c r="W224" s="10" t="n">
        <f aca="false">IF(J224="","",AVERAGE(J224:Q224))</f>
        <v>1.11064200599449</v>
      </c>
    </row>
    <row r="225" customFormat="false" ht="15" hidden="false" customHeight="false" outlineLevel="0" collapsed="false">
      <c r="A225" s="8" t="n">
        <f aca="false">Base!A225</f>
        <v>44804</v>
      </c>
      <c r="B225" s="10" t="n">
        <f aca="false">IF(COUNT(Transf!B$39:B225)&lt;36,"",(Transf!B225-AVERAGE(Transf!B$39:B225))/STDEV(Transf!B$39:B225))</f>
        <v>0.137371694893125</v>
      </c>
      <c r="C225" s="10" t="n">
        <f aca="false">IF(COUNT(Transf!C$39:C225)&lt;36,"",(Transf!C225-AVERAGE(Transf!C$39:C225))/STDEV(Transf!C$39:C225))</f>
        <v>1.25899640443359</v>
      </c>
      <c r="D225" s="10" t="n">
        <f aca="false">IF(COUNT(Transf!D$39:D225)&lt;36,"",(Transf!D225-AVERAGE(Transf!D$39:D225))/STDEV(Transf!D$39:D225))</f>
        <v>1.36533497181621</v>
      </c>
      <c r="E225" s="10" t="n">
        <f aca="false">IF(COUNT(Transf!E$39:E225)&lt;36,"",(Transf!E225-AVERAGE(Transf!E$39:E225))/STDEV(Transf!E$39:E225))</f>
        <v>1.22256715618487</v>
      </c>
      <c r="F225" s="10" t="n">
        <f aca="false">IF(COUNT(Transf!F$39:F225)&lt;36,"",(Transf!F225-AVERAGE(Transf!F$39:F225))/STDEV(Transf!F$39:F225))</f>
        <v>2.56745040916722</v>
      </c>
      <c r="G225" s="10" t="n">
        <f aca="false">IF(COUNT(Transf!G$39:G225)&lt;36,"",(Transf!G225-AVERAGE(Transf!G$39:G225))/STDEV(Transf!G$39:G225))</f>
        <v>-1.12925995162004</v>
      </c>
      <c r="H225" s="10" t="n">
        <f aca="false">IF(COUNT(Transf!H$39:H225)&lt;36,"",(Transf!H225-AVERAGE(Transf!H$39:H225))/STDEV(Transf!H$39:H225))</f>
        <v>0.608499281856311</v>
      </c>
      <c r="I225" s="10" t="n">
        <f aca="false">IF(COUNT(Transf!I$39:I225)&lt;36,"",(Transf!I225-AVERAGE(Transf!I$39:I225))/STDEV(Transf!I$39:I225))</f>
        <v>1.20575861902856</v>
      </c>
      <c r="J225" s="10" t="n">
        <f aca="false">IF(B225="","",IF(COUNT(B$74:B225)&lt;60,B225,MEDIAN(QUARTILE(B$74:B225,1)-1.5*(QUARTILE(B$74:B225,3)-QUARTILE(B$74:B225,1)),B225,QUARTILE(B$74:B225,3)+1.5*(QUARTILE(B$74:B225,3)-QUARTILE(B$74:B225,1)))))</f>
        <v>0.137371694893125</v>
      </c>
      <c r="K225" s="10" t="n">
        <f aca="false">IF(C225="","",IF(COUNT(C$74:C225)&lt;60,C225,MEDIAN(QUARTILE(C$74:C225,1)-1.5*(QUARTILE(C$74:C225,3)-QUARTILE(C$74:C225,1)),C225,QUARTILE(C$74:C225,3)+1.5*(QUARTILE(C$74:C225,3)-QUARTILE(C$74:C225,1)))))</f>
        <v>1.25899640443359</v>
      </c>
      <c r="L225" s="10" t="n">
        <f aca="false">IF(D225="","",IF(COUNT(D$74:D225)&lt;60,D225,MEDIAN(QUARTILE(D$74:D225,1)-1.5*(QUARTILE(D$74:D225,3)-QUARTILE(D$74:D225,1)),D225,QUARTILE(D$74:D225,3)+1.5*(QUARTILE(D$74:D225,3)-QUARTILE(D$74:D225,1)))))</f>
        <v>1.36533497181621</v>
      </c>
      <c r="M225" s="10" t="n">
        <f aca="false">IF(E225="","",IF(COUNT(E$74:E225)&lt;60,E225,MEDIAN(QUARTILE(E$74:E225,1)-1.5*(QUARTILE(E$74:E225,3)-QUARTILE(E$74:E225,1)),E225,QUARTILE(E$74:E225,3)+1.5*(QUARTILE(E$74:E225,3)-QUARTILE(E$74:E225,1)))))</f>
        <v>1.22256715618487</v>
      </c>
      <c r="N225" s="10" t="n">
        <f aca="false">IF(F225="","",IF(COUNT(F$74:F225)&lt;60,F225,MEDIAN(QUARTILE(F$74:F225,1)-1.5*(QUARTILE(F$74:F225,3)-QUARTILE(F$74:F225,1)),F225,QUARTILE(F$74:F225,3)+1.5*(QUARTILE(F$74:F225,3)-QUARTILE(F$74:F225,1)))))</f>
        <v>2.56745040916722</v>
      </c>
      <c r="O225" s="10" t="n">
        <f aca="false">IF(G225="","",IF(COUNT(G$74:G225)&lt;60,G225,MEDIAN(QUARTILE(G$74:G225,1)-1.5*(QUARTILE(G$74:G225,3)-QUARTILE(G$74:G225,1)),G225,QUARTILE(G$74:G225,3)+1.5*(QUARTILE(G$74:G225,3)-QUARTILE(G$74:G225,1)))))</f>
        <v>-1.12925995162004</v>
      </c>
      <c r="P225" s="10" t="n">
        <f aca="false">IF(H225="","",IF(COUNT(H$74:H225)&lt;60,H225,MEDIAN(QUARTILE(H$74:H225,1)-1.5*(QUARTILE(H$74:H225,3)-QUARTILE(H$74:H225,1)),H225,QUARTILE(H$74:H225,3)+1.5*(QUARTILE(H$74:H225,3)-QUARTILE(H$74:H225,1)))))</f>
        <v>0.608499281856311</v>
      </c>
      <c r="Q225" s="10" t="n">
        <f aca="false">IF(I225="","",IF(COUNT(I$74:I225)&lt;60,I225,MEDIAN(QUARTILE(I$74:I225,1)-1.5*(QUARTILE(I$74:I225,3)-QUARTILE(I$74:I225,1)),I225,QUARTILE(I$74:I225,3)+1.5*(QUARTILE(I$74:I225,3)-QUARTILE(I$74:I225,1)))))</f>
        <v>1.20575861902856</v>
      </c>
      <c r="R225" s="10" t="n">
        <f aca="false">IF(J225="","",MEDIAN(J225:Q225))</f>
        <v>1.21416288760671</v>
      </c>
      <c r="S225" s="10" t="n">
        <f aca="false">IF(R225="","",ABS(R225))</f>
        <v>1.21416288760671</v>
      </c>
      <c r="T225" s="10" t="n">
        <f aca="false">IF(COUNT(S$74:S224)&lt;60,"",MEDIAN(S$74:S224))</f>
        <v>0.373947709377991</v>
      </c>
      <c r="U225" s="10" t="n">
        <f aca="false">IF(R225="","",IF(T225="",0,IF(S225&gt;=T225,R225,0)))</f>
        <v>1.21416288760671</v>
      </c>
      <c r="V225" s="10" t="n">
        <f aca="false">IF(U225="","",MEDIAN(-1,U225,1))</f>
        <v>1</v>
      </c>
      <c r="W225" s="10" t="n">
        <f aca="false">IF(J225="","",AVERAGE(J225:Q225))</f>
        <v>0.904589823219981</v>
      </c>
    </row>
    <row r="226" customFormat="false" ht="15" hidden="false" customHeight="false" outlineLevel="0" collapsed="false">
      <c r="A226" s="8" t="n">
        <f aca="false">Base!A226</f>
        <v>44834</v>
      </c>
      <c r="B226" s="10" t="n">
        <f aca="false">IF(COUNT(Transf!B$39:B226)&lt;36,"",(Transf!B226-AVERAGE(Transf!B$39:B226))/STDEV(Transf!B$39:B226))</f>
        <v>-0.23419607515883</v>
      </c>
      <c r="C226" s="10" t="n">
        <f aca="false">IF(COUNT(Transf!C$39:C226)&lt;36,"",(Transf!C226-AVERAGE(Transf!C$39:C226))/STDEV(Transf!C$39:C226))</f>
        <v>1.10082338980277</v>
      </c>
      <c r="D226" s="10" t="n">
        <f aca="false">IF(COUNT(Transf!D$39:D226)&lt;36,"",(Transf!D226-AVERAGE(Transf!D$39:D226))/STDEV(Transf!D$39:D226))</f>
        <v>1.13472003074551</v>
      </c>
      <c r="E226" s="10" t="n">
        <f aca="false">IF(COUNT(Transf!E$39:E226)&lt;36,"",(Transf!E226-AVERAGE(Transf!E$39:E226))/STDEV(Transf!E$39:E226))</f>
        <v>1.49625397145726</v>
      </c>
      <c r="F226" s="10" t="n">
        <f aca="false">IF(COUNT(Transf!F$39:F226)&lt;36,"",(Transf!F226-AVERAGE(Transf!F$39:F226))/STDEV(Transf!F$39:F226))</f>
        <v>2.48592334072122</v>
      </c>
      <c r="G226" s="10" t="n">
        <f aca="false">IF(COUNT(Transf!G$39:G226)&lt;36,"",(Transf!G226-AVERAGE(Transf!G$39:G226))/STDEV(Transf!G$39:G226))</f>
        <v>-1.11731512116268</v>
      </c>
      <c r="H226" s="10" t="n">
        <f aca="false">IF(COUNT(Transf!H$39:H226)&lt;36,"",(Transf!H226-AVERAGE(Transf!H$39:H226))/STDEV(Transf!H$39:H226))</f>
        <v>0.28056882596205</v>
      </c>
      <c r="I226" s="10" t="n">
        <f aca="false">IF(COUNT(Transf!I$39:I226)&lt;36,"",(Transf!I226-AVERAGE(Transf!I$39:I226))/STDEV(Transf!I$39:I226))</f>
        <v>0.716338732976606</v>
      </c>
      <c r="J226" s="10" t="n">
        <f aca="false">IF(B226="","",IF(COUNT(B$74:B226)&lt;60,B226,MEDIAN(QUARTILE(B$74:B226,1)-1.5*(QUARTILE(B$74:B226,3)-QUARTILE(B$74:B226,1)),B226,QUARTILE(B$74:B226,3)+1.5*(QUARTILE(B$74:B226,3)-QUARTILE(B$74:B226,1)))))</f>
        <v>-0.23419607515883</v>
      </c>
      <c r="K226" s="10" t="n">
        <f aca="false">IF(C226="","",IF(COUNT(C$74:C226)&lt;60,C226,MEDIAN(QUARTILE(C$74:C226,1)-1.5*(QUARTILE(C$74:C226,3)-QUARTILE(C$74:C226,1)),C226,QUARTILE(C$74:C226,3)+1.5*(QUARTILE(C$74:C226,3)-QUARTILE(C$74:C226,1)))))</f>
        <v>1.10082338980277</v>
      </c>
      <c r="L226" s="10" t="n">
        <f aca="false">IF(D226="","",IF(COUNT(D$74:D226)&lt;60,D226,MEDIAN(QUARTILE(D$74:D226,1)-1.5*(QUARTILE(D$74:D226,3)-QUARTILE(D$74:D226,1)),D226,QUARTILE(D$74:D226,3)+1.5*(QUARTILE(D$74:D226,3)-QUARTILE(D$74:D226,1)))))</f>
        <v>1.13472003074551</v>
      </c>
      <c r="M226" s="10" t="n">
        <f aca="false">IF(E226="","",IF(COUNT(E$74:E226)&lt;60,E226,MEDIAN(QUARTILE(E$74:E226,1)-1.5*(QUARTILE(E$74:E226,3)-QUARTILE(E$74:E226,1)),E226,QUARTILE(E$74:E226,3)+1.5*(QUARTILE(E$74:E226,3)-QUARTILE(E$74:E226,1)))))</f>
        <v>1.49625397145726</v>
      </c>
      <c r="N226" s="10" t="n">
        <f aca="false">IF(F226="","",IF(COUNT(F$74:F226)&lt;60,F226,MEDIAN(QUARTILE(F$74:F226,1)-1.5*(QUARTILE(F$74:F226,3)-QUARTILE(F$74:F226,1)),F226,QUARTILE(F$74:F226,3)+1.5*(QUARTILE(F$74:F226,3)-QUARTILE(F$74:F226,1)))))</f>
        <v>2.48592334072122</v>
      </c>
      <c r="O226" s="10" t="n">
        <f aca="false">IF(G226="","",IF(COUNT(G$74:G226)&lt;60,G226,MEDIAN(QUARTILE(G$74:G226,1)-1.5*(QUARTILE(G$74:G226,3)-QUARTILE(G$74:G226,1)),G226,QUARTILE(G$74:G226,3)+1.5*(QUARTILE(G$74:G226,3)-QUARTILE(G$74:G226,1)))))</f>
        <v>-1.11731512116268</v>
      </c>
      <c r="P226" s="10" t="n">
        <f aca="false">IF(H226="","",IF(COUNT(H$74:H226)&lt;60,H226,MEDIAN(QUARTILE(H$74:H226,1)-1.5*(QUARTILE(H$74:H226,3)-QUARTILE(H$74:H226,1)),H226,QUARTILE(H$74:H226,3)+1.5*(QUARTILE(H$74:H226,3)-QUARTILE(H$74:H226,1)))))</f>
        <v>0.28056882596205</v>
      </c>
      <c r="Q226" s="10" t="n">
        <f aca="false">IF(I226="","",IF(COUNT(I$74:I226)&lt;60,I226,MEDIAN(QUARTILE(I$74:I226,1)-1.5*(QUARTILE(I$74:I226,3)-QUARTILE(I$74:I226,1)),I226,QUARTILE(I$74:I226,3)+1.5*(QUARTILE(I$74:I226,3)-QUARTILE(I$74:I226,1)))))</f>
        <v>0.716338732976606</v>
      </c>
      <c r="R226" s="10" t="n">
        <f aca="false">IF(J226="","",MEDIAN(J226:Q226))</f>
        <v>0.908581061389689</v>
      </c>
      <c r="S226" s="10" t="n">
        <f aca="false">IF(R226="","",ABS(R226))</f>
        <v>0.908581061389689</v>
      </c>
      <c r="T226" s="10" t="n">
        <f aca="false">IF(COUNT(S$74:S225)&lt;60,"",MEDIAN(S$74:S225))</f>
        <v>0.390459475796028</v>
      </c>
      <c r="U226" s="10" t="n">
        <f aca="false">IF(R226="","",IF(T226="",0,IF(S226&gt;=T226,R226,0)))</f>
        <v>0.908581061389689</v>
      </c>
      <c r="V226" s="10" t="n">
        <f aca="false">IF(U226="","",MEDIAN(-1,U226,1))</f>
        <v>0.908581061389689</v>
      </c>
      <c r="W226" s="10" t="n">
        <f aca="false">IF(J226="","",AVERAGE(J226:Q226))</f>
        <v>0.732889636917988</v>
      </c>
    </row>
    <row r="227" customFormat="false" ht="15" hidden="false" customHeight="false" outlineLevel="0" collapsed="false">
      <c r="A227" s="8" t="n">
        <f aca="false">Base!A227</f>
        <v>44865</v>
      </c>
      <c r="B227" s="10" t="n">
        <f aca="false">IF(COUNT(Transf!B$39:B227)&lt;36,"",(Transf!B227-AVERAGE(Transf!B$39:B227))/STDEV(Transf!B$39:B227))</f>
        <v>-0.0428861377178914</v>
      </c>
      <c r="C227" s="10" t="n">
        <f aca="false">IF(COUNT(Transf!C$39:C227)&lt;36,"",(Transf!C227-AVERAGE(Transf!C$39:C227))/STDEV(Transf!C$39:C227))</f>
        <v>0.985335762508788</v>
      </c>
      <c r="D227" s="10" t="n">
        <f aca="false">IF(COUNT(Transf!D$39:D227)&lt;36,"",(Transf!D227-AVERAGE(Transf!D$39:D227))/STDEV(Transf!D$39:D227))</f>
        <v>0.927255896409745</v>
      </c>
      <c r="E227" s="10" t="n">
        <f aca="false">IF(COUNT(Transf!E$39:E227)&lt;36,"",(Transf!E227-AVERAGE(Transf!E$39:E227))/STDEV(Transf!E$39:E227))</f>
        <v>1.70096693818218</v>
      </c>
      <c r="F227" s="10" t="n">
        <f aca="false">IF(COUNT(Transf!F$39:F227)&lt;36,"",(Transf!F227-AVERAGE(Transf!F$39:F227))/STDEV(Transf!F$39:F227))</f>
        <v>2.4992806223782</v>
      </c>
      <c r="G227" s="10" t="n">
        <f aca="false">IF(COUNT(Transf!G$39:G227)&lt;36,"",(Transf!G227-AVERAGE(Transf!G$39:G227))/STDEV(Transf!G$39:G227))</f>
        <v>-1.03547551604275</v>
      </c>
      <c r="H227" s="10" t="n">
        <f aca="false">IF(COUNT(Transf!H$39:H227)&lt;36,"",(Transf!H227-AVERAGE(Transf!H$39:H227))/STDEV(Transf!H$39:H227))</f>
        <v>0.172189160970938</v>
      </c>
      <c r="I227" s="10" t="n">
        <f aca="false">IF(COUNT(Transf!I$39:I227)&lt;36,"",(Transf!I227-AVERAGE(Transf!I$39:I227))/STDEV(Transf!I$39:I227))</f>
        <v>0.903425995129597</v>
      </c>
      <c r="J227" s="10" t="n">
        <f aca="false">IF(B227="","",IF(COUNT(B$74:B227)&lt;60,B227,MEDIAN(QUARTILE(B$74:B227,1)-1.5*(QUARTILE(B$74:B227,3)-QUARTILE(B$74:B227,1)),B227,QUARTILE(B$74:B227,3)+1.5*(QUARTILE(B$74:B227,3)-QUARTILE(B$74:B227,1)))))</f>
        <v>-0.0428861377178914</v>
      </c>
      <c r="K227" s="10" t="n">
        <f aca="false">IF(C227="","",IF(COUNT(C$74:C227)&lt;60,C227,MEDIAN(QUARTILE(C$74:C227,1)-1.5*(QUARTILE(C$74:C227,3)-QUARTILE(C$74:C227,1)),C227,QUARTILE(C$74:C227,3)+1.5*(QUARTILE(C$74:C227,3)-QUARTILE(C$74:C227,1)))))</f>
        <v>0.985335762508788</v>
      </c>
      <c r="L227" s="10" t="n">
        <f aca="false">IF(D227="","",IF(COUNT(D$74:D227)&lt;60,D227,MEDIAN(QUARTILE(D$74:D227,1)-1.5*(QUARTILE(D$74:D227,3)-QUARTILE(D$74:D227,1)),D227,QUARTILE(D$74:D227,3)+1.5*(QUARTILE(D$74:D227,3)-QUARTILE(D$74:D227,1)))))</f>
        <v>0.927255896409745</v>
      </c>
      <c r="M227" s="10" t="n">
        <f aca="false">IF(E227="","",IF(COUNT(E$74:E227)&lt;60,E227,MEDIAN(QUARTILE(E$74:E227,1)-1.5*(QUARTILE(E$74:E227,3)-QUARTILE(E$74:E227,1)),E227,QUARTILE(E$74:E227,3)+1.5*(QUARTILE(E$74:E227,3)-QUARTILE(E$74:E227,1)))))</f>
        <v>1.70096693818218</v>
      </c>
      <c r="N227" s="10" t="n">
        <f aca="false">IF(F227="","",IF(COUNT(F$74:F227)&lt;60,F227,MEDIAN(QUARTILE(F$74:F227,1)-1.5*(QUARTILE(F$74:F227,3)-QUARTILE(F$74:F227,1)),F227,QUARTILE(F$74:F227,3)+1.5*(QUARTILE(F$74:F227,3)-QUARTILE(F$74:F227,1)))))</f>
        <v>2.4992806223782</v>
      </c>
      <c r="O227" s="10" t="n">
        <f aca="false">IF(G227="","",IF(COUNT(G$74:G227)&lt;60,G227,MEDIAN(QUARTILE(G$74:G227,1)-1.5*(QUARTILE(G$74:G227,3)-QUARTILE(G$74:G227,1)),G227,QUARTILE(G$74:G227,3)+1.5*(QUARTILE(G$74:G227,3)-QUARTILE(G$74:G227,1)))))</f>
        <v>-1.03547551604275</v>
      </c>
      <c r="P227" s="10" t="n">
        <f aca="false">IF(H227="","",IF(COUNT(H$74:H227)&lt;60,H227,MEDIAN(QUARTILE(H$74:H227,1)-1.5*(QUARTILE(H$74:H227,3)-QUARTILE(H$74:H227,1)),H227,QUARTILE(H$74:H227,3)+1.5*(QUARTILE(H$74:H227,3)-QUARTILE(H$74:H227,1)))))</f>
        <v>0.172189160970938</v>
      </c>
      <c r="Q227" s="10" t="n">
        <f aca="false">IF(I227="","",IF(COUNT(I$74:I227)&lt;60,I227,MEDIAN(QUARTILE(I$74:I227,1)-1.5*(QUARTILE(I$74:I227,3)-QUARTILE(I$74:I227,1)),I227,QUARTILE(I$74:I227,3)+1.5*(QUARTILE(I$74:I227,3)-QUARTILE(I$74:I227,1)))))</f>
        <v>0.903425995129597</v>
      </c>
      <c r="R227" s="10" t="n">
        <f aca="false">IF(J227="","",MEDIAN(J227:Q227))</f>
        <v>0.915340945769671</v>
      </c>
      <c r="S227" s="10" t="n">
        <f aca="false">IF(R227="","",ABS(R227))</f>
        <v>0.915340945769671</v>
      </c>
      <c r="T227" s="10" t="n">
        <f aca="false">IF(COUNT(S$74:S226)&lt;60,"",MEDIAN(S$74:S226))</f>
        <v>0.406971242214064</v>
      </c>
      <c r="U227" s="10" t="n">
        <f aca="false">IF(R227="","",IF(T227="",0,IF(S227&gt;=T227,R227,0)))</f>
        <v>0.915340945769671</v>
      </c>
      <c r="V227" s="10" t="n">
        <f aca="false">IF(U227="","",MEDIAN(-1,U227,1))</f>
        <v>0.915340945769671</v>
      </c>
      <c r="W227" s="10" t="n">
        <f aca="false">IF(J227="","",AVERAGE(J227:Q227))</f>
        <v>0.76376159022735</v>
      </c>
    </row>
    <row r="228" customFormat="false" ht="15" hidden="false" customHeight="false" outlineLevel="0" collapsed="false">
      <c r="A228" s="8" t="n">
        <f aca="false">Base!A228</f>
        <v>44895</v>
      </c>
      <c r="B228" s="10" t="n">
        <f aca="false">IF(COUNT(Transf!B$39:B228)&lt;36,"",(Transf!B228-AVERAGE(Transf!B$39:B228))/STDEV(Transf!B$39:B228))</f>
        <v>0.325614868004462</v>
      </c>
      <c r="C228" s="10" t="n">
        <f aca="false">IF(COUNT(Transf!C$39:C228)&lt;36,"",(Transf!C228-AVERAGE(Transf!C$39:C228))/STDEV(Transf!C$39:C228))</f>
        <v>0.748213136631362</v>
      </c>
      <c r="D228" s="10" t="n">
        <f aca="false">IF(COUNT(Transf!D$39:D228)&lt;36,"",(Transf!D228-AVERAGE(Transf!D$39:D228))/STDEV(Transf!D$39:D228))</f>
        <v>0.700946983391816</v>
      </c>
      <c r="E228" s="10" t="n">
        <f aca="false">IF(COUNT(Transf!E$39:E228)&lt;36,"",(Transf!E228-AVERAGE(Transf!E$39:E228))/STDEV(Transf!E$39:E228))</f>
        <v>1.89059903668502</v>
      </c>
      <c r="F228" s="10" t="n">
        <f aca="false">IF(COUNT(Transf!F$39:F228)&lt;36,"",(Transf!F228-AVERAGE(Transf!F$39:F228))/STDEV(Transf!F$39:F228))</f>
        <v>2.2644733647828</v>
      </c>
      <c r="G228" s="10" t="n">
        <f aca="false">IF(COUNT(Transf!G$39:G228)&lt;36,"",(Transf!G228-AVERAGE(Transf!G$39:G228))/STDEV(Transf!G$39:G228))</f>
        <v>-0.837711484604676</v>
      </c>
      <c r="H228" s="10" t="n">
        <f aca="false">IF(COUNT(Transf!H$39:H228)&lt;36,"",(Transf!H228-AVERAGE(Transf!H$39:H228))/STDEV(Transf!H$39:H228))</f>
        <v>0.220284049834825</v>
      </c>
      <c r="I228" s="10" t="n">
        <f aca="false">IF(COUNT(Transf!I$39:I228)&lt;36,"",(Transf!I228-AVERAGE(Transf!I$39:I228))/STDEV(Transf!I$39:I228))</f>
        <v>1.19531538711054</v>
      </c>
      <c r="J228" s="10" t="n">
        <f aca="false">IF(B228="","",IF(COUNT(B$74:B228)&lt;60,B228,MEDIAN(QUARTILE(B$74:B228,1)-1.5*(QUARTILE(B$74:B228,3)-QUARTILE(B$74:B228,1)),B228,QUARTILE(B$74:B228,3)+1.5*(QUARTILE(B$74:B228,3)-QUARTILE(B$74:B228,1)))))</f>
        <v>0.325614868004462</v>
      </c>
      <c r="K228" s="10" t="n">
        <f aca="false">IF(C228="","",IF(COUNT(C$74:C228)&lt;60,C228,MEDIAN(QUARTILE(C$74:C228,1)-1.5*(QUARTILE(C$74:C228,3)-QUARTILE(C$74:C228,1)),C228,QUARTILE(C$74:C228,3)+1.5*(QUARTILE(C$74:C228,3)-QUARTILE(C$74:C228,1)))))</f>
        <v>0.748213136631362</v>
      </c>
      <c r="L228" s="10" t="n">
        <f aca="false">IF(D228="","",IF(COUNT(D$74:D228)&lt;60,D228,MEDIAN(QUARTILE(D$74:D228,1)-1.5*(QUARTILE(D$74:D228,3)-QUARTILE(D$74:D228,1)),D228,QUARTILE(D$74:D228,3)+1.5*(QUARTILE(D$74:D228,3)-QUARTILE(D$74:D228,1)))))</f>
        <v>0.700946983391816</v>
      </c>
      <c r="M228" s="10" t="n">
        <f aca="false">IF(E228="","",IF(COUNT(E$74:E228)&lt;60,E228,MEDIAN(QUARTILE(E$74:E228,1)-1.5*(QUARTILE(E$74:E228,3)-QUARTILE(E$74:E228,1)),E228,QUARTILE(E$74:E228,3)+1.5*(QUARTILE(E$74:E228,3)-QUARTILE(E$74:E228,1)))))</f>
        <v>1.89059903668502</v>
      </c>
      <c r="N228" s="10" t="n">
        <f aca="false">IF(F228="","",IF(COUNT(F$74:F228)&lt;60,F228,MEDIAN(QUARTILE(F$74:F228,1)-1.5*(QUARTILE(F$74:F228,3)-QUARTILE(F$74:F228,1)),F228,QUARTILE(F$74:F228,3)+1.5*(QUARTILE(F$74:F228,3)-QUARTILE(F$74:F228,1)))))</f>
        <v>2.2644733647828</v>
      </c>
      <c r="O228" s="10" t="n">
        <f aca="false">IF(G228="","",IF(COUNT(G$74:G228)&lt;60,G228,MEDIAN(QUARTILE(G$74:G228,1)-1.5*(QUARTILE(G$74:G228,3)-QUARTILE(G$74:G228,1)),G228,QUARTILE(G$74:G228,3)+1.5*(QUARTILE(G$74:G228,3)-QUARTILE(G$74:G228,1)))))</f>
        <v>-0.837711484604676</v>
      </c>
      <c r="P228" s="10" t="n">
        <f aca="false">IF(H228="","",IF(COUNT(H$74:H228)&lt;60,H228,MEDIAN(QUARTILE(H$74:H228,1)-1.5*(QUARTILE(H$74:H228,3)-QUARTILE(H$74:H228,1)),H228,QUARTILE(H$74:H228,3)+1.5*(QUARTILE(H$74:H228,3)-QUARTILE(H$74:H228,1)))))</f>
        <v>0.220284049834825</v>
      </c>
      <c r="Q228" s="10" t="n">
        <f aca="false">IF(I228="","",IF(COUNT(I$74:I228)&lt;60,I228,MEDIAN(QUARTILE(I$74:I228,1)-1.5*(QUARTILE(I$74:I228,3)-QUARTILE(I$74:I228,1)),I228,QUARTILE(I$74:I228,3)+1.5*(QUARTILE(I$74:I228,3)-QUARTILE(I$74:I228,1)))))</f>
        <v>1.19531538711054</v>
      </c>
      <c r="R228" s="10" t="n">
        <f aca="false">IF(J228="","",MEDIAN(J228:Q228))</f>
        <v>0.724580060011589</v>
      </c>
      <c r="S228" s="10" t="n">
        <f aca="false">IF(R228="","",ABS(R228))</f>
        <v>0.724580060011589</v>
      </c>
      <c r="T228" s="10" t="n">
        <f aca="false">IF(COUNT(S$74:S227)&lt;60,"",MEDIAN(S$74:S227))</f>
        <v>0.419412091212397</v>
      </c>
      <c r="U228" s="10" t="n">
        <f aca="false">IF(R228="","",IF(T228="",0,IF(S228&gt;=T228,R228,0)))</f>
        <v>0.724580060011589</v>
      </c>
      <c r="V228" s="10" t="n">
        <f aca="false">IF(U228="","",MEDIAN(-1,U228,1))</f>
        <v>0.724580060011589</v>
      </c>
      <c r="W228" s="10" t="n">
        <f aca="false">IF(J228="","",AVERAGE(J228:Q228))</f>
        <v>0.813466917729519</v>
      </c>
    </row>
    <row r="229" customFormat="false" ht="15" hidden="false" customHeight="false" outlineLevel="0" collapsed="false">
      <c r="A229" s="8" t="n">
        <f aca="false">Base!A229</f>
        <v>44926</v>
      </c>
      <c r="B229" s="10" t="n">
        <f aca="false">IF(COUNT(Transf!B$39:B229)&lt;36,"",(Transf!B229-AVERAGE(Transf!B$39:B229))/STDEV(Transf!B$39:B229))</f>
        <v>0.219438974702886</v>
      </c>
      <c r="C229" s="10" t="n">
        <f aca="false">IF(COUNT(Transf!C$39:C229)&lt;36,"",(Transf!C229-AVERAGE(Transf!C$39:C229))/STDEV(Transf!C$39:C229))</f>
        <v>0.427166245609491</v>
      </c>
      <c r="D229" s="10" t="n">
        <f aca="false">IF(COUNT(Transf!D$39:D229)&lt;36,"",(Transf!D229-AVERAGE(Transf!D$39:D229))/STDEV(Transf!D$39:D229))</f>
        <v>0.457339971814284</v>
      </c>
      <c r="E229" s="10" t="n">
        <f aca="false">IF(COUNT(Transf!E$39:E229)&lt;36,"",(Transf!E229-AVERAGE(Transf!E$39:E229))/STDEV(Transf!E$39:E229))</f>
        <v>2.00861898314085</v>
      </c>
      <c r="F229" s="10" t="n">
        <f aca="false">IF(COUNT(Transf!F$39:F229)&lt;36,"",(Transf!F229-AVERAGE(Transf!F$39:F229))/STDEV(Transf!F$39:F229))</f>
        <v>2.10721751532984</v>
      </c>
      <c r="G229" s="10" t="n">
        <f aca="false">IF(COUNT(Transf!G$39:G229)&lt;36,"",(Transf!G229-AVERAGE(Transf!G$39:G229))/STDEV(Transf!G$39:G229))</f>
        <v>-0.59599533775652</v>
      </c>
      <c r="H229" s="10" t="n">
        <f aca="false">IF(COUNT(Transf!H$39:H229)&lt;36,"",(Transf!H229-AVERAGE(Transf!H$39:H229))/STDEV(Transf!H$39:H229))</f>
        <v>0.277485478551771</v>
      </c>
      <c r="I229" s="10" t="n">
        <f aca="false">IF(COUNT(Transf!I$39:I229)&lt;36,"",(Transf!I229-AVERAGE(Transf!I$39:I229))/STDEV(Transf!I$39:I229))</f>
        <v>1.28830501858214</v>
      </c>
      <c r="J229" s="10" t="n">
        <f aca="false">IF(B229="","",IF(COUNT(B$74:B229)&lt;60,B229,MEDIAN(QUARTILE(B$74:B229,1)-1.5*(QUARTILE(B$74:B229,3)-QUARTILE(B$74:B229,1)),B229,QUARTILE(B$74:B229,3)+1.5*(QUARTILE(B$74:B229,3)-QUARTILE(B$74:B229,1)))))</f>
        <v>0.219438974702886</v>
      </c>
      <c r="K229" s="10" t="n">
        <f aca="false">IF(C229="","",IF(COUNT(C$74:C229)&lt;60,C229,MEDIAN(QUARTILE(C$74:C229,1)-1.5*(QUARTILE(C$74:C229,3)-QUARTILE(C$74:C229,1)),C229,QUARTILE(C$74:C229,3)+1.5*(QUARTILE(C$74:C229,3)-QUARTILE(C$74:C229,1)))))</f>
        <v>0.427166245609491</v>
      </c>
      <c r="L229" s="10" t="n">
        <f aca="false">IF(D229="","",IF(COUNT(D$74:D229)&lt;60,D229,MEDIAN(QUARTILE(D$74:D229,1)-1.5*(QUARTILE(D$74:D229,3)-QUARTILE(D$74:D229,1)),D229,QUARTILE(D$74:D229,3)+1.5*(QUARTILE(D$74:D229,3)-QUARTILE(D$74:D229,1)))))</f>
        <v>0.457339971814284</v>
      </c>
      <c r="M229" s="10" t="n">
        <f aca="false">IF(E229="","",IF(COUNT(E$74:E229)&lt;60,E229,MEDIAN(QUARTILE(E$74:E229,1)-1.5*(QUARTILE(E$74:E229,3)-QUARTILE(E$74:E229,1)),E229,QUARTILE(E$74:E229,3)+1.5*(QUARTILE(E$74:E229,3)-QUARTILE(E$74:E229,1)))))</f>
        <v>2.00861898314085</v>
      </c>
      <c r="N229" s="10" t="n">
        <f aca="false">IF(F229="","",IF(COUNT(F$74:F229)&lt;60,F229,MEDIAN(QUARTILE(F$74:F229,1)-1.5*(QUARTILE(F$74:F229,3)-QUARTILE(F$74:F229,1)),F229,QUARTILE(F$74:F229,3)+1.5*(QUARTILE(F$74:F229,3)-QUARTILE(F$74:F229,1)))))</f>
        <v>2.10721751532984</v>
      </c>
      <c r="O229" s="10" t="n">
        <f aca="false">IF(G229="","",IF(COUNT(G$74:G229)&lt;60,G229,MEDIAN(QUARTILE(G$74:G229,1)-1.5*(QUARTILE(G$74:G229,3)-QUARTILE(G$74:G229,1)),G229,QUARTILE(G$74:G229,3)+1.5*(QUARTILE(G$74:G229,3)-QUARTILE(G$74:G229,1)))))</f>
        <v>-0.59599533775652</v>
      </c>
      <c r="P229" s="10" t="n">
        <f aca="false">IF(H229="","",IF(COUNT(H$74:H229)&lt;60,H229,MEDIAN(QUARTILE(H$74:H229,1)-1.5*(QUARTILE(H$74:H229,3)-QUARTILE(H$74:H229,1)),H229,QUARTILE(H$74:H229,3)+1.5*(QUARTILE(H$74:H229,3)-QUARTILE(H$74:H229,1)))))</f>
        <v>0.277485478551771</v>
      </c>
      <c r="Q229" s="10" t="n">
        <f aca="false">IF(I229="","",IF(COUNT(I$74:I229)&lt;60,I229,MEDIAN(QUARTILE(I$74:I229,1)-1.5*(QUARTILE(I$74:I229,3)-QUARTILE(I$74:I229,1)),I229,QUARTILE(I$74:I229,3)+1.5*(QUARTILE(I$74:I229,3)-QUARTILE(I$74:I229,1)))))</f>
        <v>1.28830501858214</v>
      </c>
      <c r="R229" s="10" t="n">
        <f aca="false">IF(J229="","",MEDIAN(J229:Q229))</f>
        <v>0.442253108711887</v>
      </c>
      <c r="S229" s="10" t="n">
        <f aca="false">IF(R229="","",ABS(R229))</f>
        <v>0.442253108711887</v>
      </c>
      <c r="T229" s="10" t="n">
        <f aca="false">IF(COUNT(S$74:S228)&lt;60,"",MEDIAN(S$74:S228))</f>
        <v>0.431852940210729</v>
      </c>
      <c r="U229" s="10" t="n">
        <f aca="false">IF(R229="","",IF(T229="",0,IF(S229&gt;=T229,R229,0)))</f>
        <v>0.442253108711887</v>
      </c>
      <c r="V229" s="10" t="n">
        <f aca="false">IF(U229="","",MEDIAN(-1,U229,1))</f>
        <v>0.442253108711887</v>
      </c>
      <c r="W229" s="10" t="n">
        <f aca="false">IF(J229="","",AVERAGE(J229:Q229))</f>
        <v>0.773697106246843</v>
      </c>
    </row>
    <row r="230" customFormat="false" ht="15" hidden="false" customHeight="false" outlineLevel="0" collapsed="false">
      <c r="A230" s="8" t="n">
        <f aca="false">Base!A230</f>
        <v>44957</v>
      </c>
      <c r="B230" s="10" t="n">
        <f aca="false">IF(COUNT(Transf!B$39:B230)&lt;36,"",(Transf!B230-AVERAGE(Transf!B$39:B230))/STDEV(Transf!B$39:B230))</f>
        <v>-0.280923863596474</v>
      </c>
      <c r="C230" s="10" t="n">
        <f aca="false">IF(COUNT(Transf!C$39:C230)&lt;36,"",(Transf!C230-AVERAGE(Transf!C$39:C230))/STDEV(Transf!C$39:C230))</f>
        <v>0.29727923973474</v>
      </c>
      <c r="D230" s="10" t="n">
        <f aca="false">IF(COUNT(Transf!D$39:D230)&lt;36,"",(Transf!D230-AVERAGE(Transf!D$39:D230))/STDEV(Transf!D$39:D230))</f>
        <v>0.332591411162579</v>
      </c>
      <c r="E230" s="10" t="n">
        <f aca="false">IF(COUNT(Transf!E$39:E230)&lt;36,"",(Transf!E230-AVERAGE(Transf!E$39:E230))/STDEV(Transf!E$39:E230))</f>
        <v>2.19651328402649</v>
      </c>
      <c r="F230" s="10" t="n">
        <f aca="false">IF(COUNT(Transf!F$39:F230)&lt;36,"",(Transf!F230-AVERAGE(Transf!F$39:F230))/STDEV(Transf!F$39:F230))</f>
        <v>1.84869119272179</v>
      </c>
      <c r="G230" s="10" t="n">
        <f aca="false">IF(COUNT(Transf!G$39:G230)&lt;36,"",(Transf!G230-AVERAGE(Transf!G$39:G230))/STDEV(Transf!G$39:G230))</f>
        <v>-0.378237827462161</v>
      </c>
      <c r="H230" s="10" t="n">
        <f aca="false">IF(COUNT(Transf!H$39:H230)&lt;36,"",(Transf!H230-AVERAGE(Transf!H$39:H230))/STDEV(Transf!H$39:H230))</f>
        <v>0.0170180098808789</v>
      </c>
      <c r="I230" s="10" t="n">
        <f aca="false">IF(COUNT(Transf!I$39:I230)&lt;36,"",(Transf!I230-AVERAGE(Transf!I$39:I230))/STDEV(Transf!I$39:I230))</f>
        <v>1.08502578736287</v>
      </c>
      <c r="J230" s="10" t="n">
        <f aca="false">IF(B230="","",IF(COUNT(B$74:B230)&lt;60,B230,MEDIAN(QUARTILE(B$74:B230,1)-1.5*(QUARTILE(B$74:B230,3)-QUARTILE(B$74:B230,1)),B230,QUARTILE(B$74:B230,3)+1.5*(QUARTILE(B$74:B230,3)-QUARTILE(B$74:B230,1)))))</f>
        <v>-0.280923863596474</v>
      </c>
      <c r="K230" s="10" t="n">
        <f aca="false">IF(C230="","",IF(COUNT(C$74:C230)&lt;60,C230,MEDIAN(QUARTILE(C$74:C230,1)-1.5*(QUARTILE(C$74:C230,3)-QUARTILE(C$74:C230,1)),C230,QUARTILE(C$74:C230,3)+1.5*(QUARTILE(C$74:C230,3)-QUARTILE(C$74:C230,1)))))</f>
        <v>0.29727923973474</v>
      </c>
      <c r="L230" s="10" t="n">
        <f aca="false">IF(D230="","",IF(COUNT(D$74:D230)&lt;60,D230,MEDIAN(QUARTILE(D$74:D230,1)-1.5*(QUARTILE(D$74:D230,3)-QUARTILE(D$74:D230,1)),D230,QUARTILE(D$74:D230,3)+1.5*(QUARTILE(D$74:D230,3)-QUARTILE(D$74:D230,1)))))</f>
        <v>0.332591411162579</v>
      </c>
      <c r="M230" s="10" t="n">
        <f aca="false">IF(E230="","",IF(COUNT(E$74:E230)&lt;60,E230,MEDIAN(QUARTILE(E$74:E230,1)-1.5*(QUARTILE(E$74:E230,3)-QUARTILE(E$74:E230,1)),E230,QUARTILE(E$74:E230,3)+1.5*(QUARTILE(E$74:E230,3)-QUARTILE(E$74:E230,1)))))</f>
        <v>2.19651328402649</v>
      </c>
      <c r="N230" s="10" t="n">
        <f aca="false">IF(F230="","",IF(COUNT(F$74:F230)&lt;60,F230,MEDIAN(QUARTILE(F$74:F230,1)-1.5*(QUARTILE(F$74:F230,3)-QUARTILE(F$74:F230,1)),F230,QUARTILE(F$74:F230,3)+1.5*(QUARTILE(F$74:F230,3)-QUARTILE(F$74:F230,1)))))</f>
        <v>1.84869119272179</v>
      </c>
      <c r="O230" s="10" t="n">
        <f aca="false">IF(G230="","",IF(COUNT(G$74:G230)&lt;60,G230,MEDIAN(QUARTILE(G$74:G230,1)-1.5*(QUARTILE(G$74:G230,3)-QUARTILE(G$74:G230,1)),G230,QUARTILE(G$74:G230,3)+1.5*(QUARTILE(G$74:G230,3)-QUARTILE(G$74:G230,1)))))</f>
        <v>-0.378237827462161</v>
      </c>
      <c r="P230" s="10" t="n">
        <f aca="false">IF(H230="","",IF(COUNT(H$74:H230)&lt;60,H230,MEDIAN(QUARTILE(H$74:H230,1)-1.5*(QUARTILE(H$74:H230,3)-QUARTILE(H$74:H230,1)),H230,QUARTILE(H$74:H230,3)+1.5*(QUARTILE(H$74:H230,3)-QUARTILE(H$74:H230,1)))))</f>
        <v>0.0170180098808789</v>
      </c>
      <c r="Q230" s="10" t="n">
        <f aca="false">IF(I230="","",IF(COUNT(I$74:I230)&lt;60,I230,MEDIAN(QUARTILE(I$74:I230,1)-1.5*(QUARTILE(I$74:I230,3)-QUARTILE(I$74:I230,1)),I230,QUARTILE(I$74:I230,3)+1.5*(QUARTILE(I$74:I230,3)-QUARTILE(I$74:I230,1)))))</f>
        <v>1.08502578736287</v>
      </c>
      <c r="R230" s="10" t="n">
        <f aca="false">IF(J230="","",MEDIAN(J230:Q230))</f>
        <v>0.31493532544866</v>
      </c>
      <c r="S230" s="10" t="n">
        <f aca="false">IF(R230="","",ABS(R230))</f>
        <v>0.31493532544866</v>
      </c>
      <c r="T230" s="10" t="n">
        <f aca="false">IF(COUNT(S$74:S229)&lt;60,"",MEDIAN(S$74:S229))</f>
        <v>0.432710108338735</v>
      </c>
      <c r="U230" s="10" t="n">
        <f aca="false">IF(R230="","",IF(T230="",0,IF(S230&gt;=T230,R230,0)))</f>
        <v>0</v>
      </c>
      <c r="V230" s="10" t="n">
        <f aca="false">IF(U230="","",MEDIAN(-1,U230,1))</f>
        <v>0</v>
      </c>
      <c r="W230" s="10" t="n">
        <f aca="false">IF(J230="","",AVERAGE(J230:Q230))</f>
        <v>0.639744654228839</v>
      </c>
    </row>
    <row r="231" customFormat="false" ht="15" hidden="false" customHeight="false" outlineLevel="0" collapsed="false">
      <c r="A231" s="8" t="n">
        <f aca="false">Base!A231</f>
        <v>44985</v>
      </c>
      <c r="B231" s="10" t="n">
        <f aca="false">IF(COUNT(Transf!B$39:B231)&lt;36,"",(Transf!B231-AVERAGE(Transf!B$39:B231))/STDEV(Transf!B$39:B231))</f>
        <v>-0.872825715115181</v>
      </c>
      <c r="C231" s="10" t="n">
        <f aca="false">IF(COUNT(Transf!C$39:C231)&lt;36,"",(Transf!C231-AVERAGE(Transf!C$39:C231))/STDEV(Transf!C$39:C231))</f>
        <v>0.12611797662838</v>
      </c>
      <c r="D231" s="10" t="n">
        <f aca="false">IF(COUNT(Transf!D$39:D231)&lt;36,"",(Transf!D231-AVERAGE(Transf!D$39:D231))/STDEV(Transf!D$39:D231))</f>
        <v>0.187291459165163</v>
      </c>
      <c r="E231" s="10" t="n">
        <f aca="false">IF(COUNT(Transf!E$39:E231)&lt;36,"",(Transf!E231-AVERAGE(Transf!E$39:E231))/STDEV(Transf!E$39:E231))</f>
        <v>2.222421202599</v>
      </c>
      <c r="F231" s="10" t="n">
        <f aca="false">IF(COUNT(Transf!F$39:F231)&lt;36,"",(Transf!F231-AVERAGE(Transf!F$39:F231))/STDEV(Transf!F$39:F231))</f>
        <v>1.87229938106619</v>
      </c>
      <c r="G231" s="10" t="n">
        <f aca="false">IF(COUNT(Transf!G$39:G231)&lt;36,"",(Transf!G231-AVERAGE(Transf!G$39:G231))/STDEV(Transf!G$39:G231))</f>
        <v>-0.296509967234903</v>
      </c>
      <c r="H231" s="10" t="n">
        <f aca="false">IF(COUNT(Transf!H$39:H231)&lt;36,"",(Transf!H231-AVERAGE(Transf!H$39:H231))/STDEV(Transf!H$39:H231))</f>
        <v>-0.582633923284753</v>
      </c>
      <c r="I231" s="10" t="n">
        <f aca="false">IF(COUNT(Transf!I$39:I231)&lt;36,"",(Transf!I231-AVERAGE(Transf!I$39:I231))/STDEV(Transf!I$39:I231))</f>
        <v>0.727321431571594</v>
      </c>
      <c r="J231" s="10" t="n">
        <f aca="false">IF(B231="","",IF(COUNT(B$74:B231)&lt;60,B231,MEDIAN(QUARTILE(B$74:B231,1)-1.5*(QUARTILE(B$74:B231,3)-QUARTILE(B$74:B231,1)),B231,QUARTILE(B$74:B231,3)+1.5*(QUARTILE(B$74:B231,3)-QUARTILE(B$74:B231,1)))))</f>
        <v>-0.872825715115181</v>
      </c>
      <c r="K231" s="10" t="n">
        <f aca="false">IF(C231="","",IF(COUNT(C$74:C231)&lt;60,C231,MEDIAN(QUARTILE(C$74:C231,1)-1.5*(QUARTILE(C$74:C231,3)-QUARTILE(C$74:C231,1)),C231,QUARTILE(C$74:C231,3)+1.5*(QUARTILE(C$74:C231,3)-QUARTILE(C$74:C231,1)))))</f>
        <v>0.12611797662838</v>
      </c>
      <c r="L231" s="10" t="n">
        <f aca="false">IF(D231="","",IF(COUNT(D$74:D231)&lt;60,D231,MEDIAN(QUARTILE(D$74:D231,1)-1.5*(QUARTILE(D$74:D231,3)-QUARTILE(D$74:D231,1)),D231,QUARTILE(D$74:D231,3)+1.5*(QUARTILE(D$74:D231,3)-QUARTILE(D$74:D231,1)))))</f>
        <v>0.187291459165163</v>
      </c>
      <c r="M231" s="10" t="n">
        <f aca="false">IF(E231="","",IF(COUNT(E$74:E231)&lt;60,E231,MEDIAN(QUARTILE(E$74:E231,1)-1.5*(QUARTILE(E$74:E231,3)-QUARTILE(E$74:E231,1)),E231,QUARTILE(E$74:E231,3)+1.5*(QUARTILE(E$74:E231,3)-QUARTILE(E$74:E231,1)))))</f>
        <v>2.222421202599</v>
      </c>
      <c r="N231" s="10" t="n">
        <f aca="false">IF(F231="","",IF(COUNT(F$74:F231)&lt;60,F231,MEDIAN(QUARTILE(F$74:F231,1)-1.5*(QUARTILE(F$74:F231,3)-QUARTILE(F$74:F231,1)),F231,QUARTILE(F$74:F231,3)+1.5*(QUARTILE(F$74:F231,3)-QUARTILE(F$74:F231,1)))))</f>
        <v>1.87229938106619</v>
      </c>
      <c r="O231" s="10" t="n">
        <f aca="false">IF(G231="","",IF(COUNT(G$74:G231)&lt;60,G231,MEDIAN(QUARTILE(G$74:G231,1)-1.5*(QUARTILE(G$74:G231,3)-QUARTILE(G$74:G231,1)),G231,QUARTILE(G$74:G231,3)+1.5*(QUARTILE(G$74:G231,3)-QUARTILE(G$74:G231,1)))))</f>
        <v>-0.296509967234903</v>
      </c>
      <c r="P231" s="10" t="n">
        <f aca="false">IF(H231="","",IF(COUNT(H$74:H231)&lt;60,H231,MEDIAN(QUARTILE(H$74:H231,1)-1.5*(QUARTILE(H$74:H231,3)-QUARTILE(H$74:H231,1)),H231,QUARTILE(H$74:H231,3)+1.5*(QUARTILE(H$74:H231,3)-QUARTILE(H$74:H231,1)))))</f>
        <v>-0.582633923284753</v>
      </c>
      <c r="Q231" s="10" t="n">
        <f aca="false">IF(I231="","",IF(COUNT(I$74:I231)&lt;60,I231,MEDIAN(QUARTILE(I$74:I231,1)-1.5*(QUARTILE(I$74:I231,3)-QUARTILE(I$74:I231,1)),I231,QUARTILE(I$74:I231,3)+1.5*(QUARTILE(I$74:I231,3)-QUARTILE(I$74:I231,1)))))</f>
        <v>0.727321431571594</v>
      </c>
      <c r="R231" s="10" t="n">
        <f aca="false">IF(J231="","",MEDIAN(J231:Q231))</f>
        <v>0.156704717896771</v>
      </c>
      <c r="S231" s="10" t="n">
        <f aca="false">IF(R231="","",ABS(R231))</f>
        <v>0.156704717896771</v>
      </c>
      <c r="T231" s="10" t="n">
        <f aca="false">IF(COUNT(S$74:S230)&lt;60,"",MEDIAN(S$74:S230))</f>
        <v>0.431852940210729</v>
      </c>
      <c r="U231" s="10" t="n">
        <f aca="false">IF(R231="","",IF(T231="",0,IF(S231&gt;=T231,R231,0)))</f>
        <v>0</v>
      </c>
      <c r="V231" s="10" t="n">
        <f aca="false">IF(U231="","",MEDIAN(-1,U231,1))</f>
        <v>0</v>
      </c>
      <c r="W231" s="10" t="n">
        <f aca="false">IF(J231="","",AVERAGE(J231:Q231))</f>
        <v>0.422935230674437</v>
      </c>
    </row>
    <row r="232" customFormat="false" ht="15" hidden="false" customHeight="false" outlineLevel="0" collapsed="false">
      <c r="A232" s="8" t="n">
        <f aca="false">Base!A232</f>
        <v>45016</v>
      </c>
      <c r="B232" s="10" t="n">
        <f aca="false">IF(COUNT(Transf!B$39:B232)&lt;36,"",(Transf!B232-AVERAGE(Transf!B$39:B232))/STDEV(Transf!B$39:B232))</f>
        <v>-1.12091060846433</v>
      </c>
      <c r="C232" s="10" t="n">
        <f aca="false">IF(COUNT(Transf!C$39:C232)&lt;36,"",(Transf!C232-AVERAGE(Transf!C$39:C232))/STDEV(Transf!C$39:C232))</f>
        <v>0.205872102327591</v>
      </c>
      <c r="D232" s="10" t="n">
        <f aca="false">IF(COUNT(Transf!D$39:D232)&lt;36,"",(Transf!D232-AVERAGE(Transf!D$39:D232))/STDEV(Transf!D$39:D232))</f>
        <v>0.0958932439383685</v>
      </c>
      <c r="E232" s="10" t="n">
        <f aca="false">IF(COUNT(Transf!E$39:E232)&lt;36,"",(Transf!E232-AVERAGE(Transf!E$39:E232))/STDEV(Transf!E$39:E232))</f>
        <v>2.19977732737889</v>
      </c>
      <c r="F232" s="10" t="n">
        <f aca="false">IF(COUNT(Transf!F$39:F232)&lt;36,"",(Transf!F232-AVERAGE(Transf!F$39:F232))/STDEV(Transf!F$39:F232))</f>
        <v>1.89530749524719</v>
      </c>
      <c r="G232" s="10" t="n">
        <f aca="false">IF(COUNT(Transf!G$39:G232)&lt;36,"",(Transf!G232-AVERAGE(Transf!G$39:G232))/STDEV(Transf!G$39:G232))</f>
        <v>-0.288249777635603</v>
      </c>
      <c r="H232" s="10" t="n">
        <f aca="false">IF(COUNT(Transf!H$39:H232)&lt;36,"",(Transf!H232-AVERAGE(Transf!H$39:H232))/STDEV(Transf!H$39:H232))</f>
        <v>-1.01143752957965</v>
      </c>
      <c r="I232" s="10" t="n">
        <f aca="false">IF(COUNT(Transf!I$39:I232)&lt;36,"",(Transf!I232-AVERAGE(Transf!I$39:I232))/STDEV(Transf!I$39:I232))</f>
        <v>0.248587811865319</v>
      </c>
      <c r="J232" s="10" t="n">
        <f aca="false">IF(B232="","",IF(COUNT(B$74:B232)&lt;60,B232,MEDIAN(QUARTILE(B$74:B232,1)-1.5*(QUARTILE(B$74:B232,3)-QUARTILE(B$74:B232,1)),B232,QUARTILE(B$74:B232,3)+1.5*(QUARTILE(B$74:B232,3)-QUARTILE(B$74:B232,1)))))</f>
        <v>-1.12091060846433</v>
      </c>
      <c r="K232" s="10" t="n">
        <f aca="false">IF(C232="","",IF(COUNT(C$74:C232)&lt;60,C232,MEDIAN(QUARTILE(C$74:C232,1)-1.5*(QUARTILE(C$74:C232,3)-QUARTILE(C$74:C232,1)),C232,QUARTILE(C$74:C232,3)+1.5*(QUARTILE(C$74:C232,3)-QUARTILE(C$74:C232,1)))))</f>
        <v>0.205872102327591</v>
      </c>
      <c r="L232" s="10" t="n">
        <f aca="false">IF(D232="","",IF(COUNT(D$74:D232)&lt;60,D232,MEDIAN(QUARTILE(D$74:D232,1)-1.5*(QUARTILE(D$74:D232,3)-QUARTILE(D$74:D232,1)),D232,QUARTILE(D$74:D232,3)+1.5*(QUARTILE(D$74:D232,3)-QUARTILE(D$74:D232,1)))))</f>
        <v>0.0958932439383685</v>
      </c>
      <c r="M232" s="10" t="n">
        <f aca="false">IF(E232="","",IF(COUNT(E$74:E232)&lt;60,E232,MEDIAN(QUARTILE(E$74:E232,1)-1.5*(QUARTILE(E$74:E232,3)-QUARTILE(E$74:E232,1)),E232,QUARTILE(E$74:E232,3)+1.5*(QUARTILE(E$74:E232,3)-QUARTILE(E$74:E232,1)))))</f>
        <v>2.19977732737889</v>
      </c>
      <c r="N232" s="10" t="n">
        <f aca="false">IF(F232="","",IF(COUNT(F$74:F232)&lt;60,F232,MEDIAN(QUARTILE(F$74:F232,1)-1.5*(QUARTILE(F$74:F232,3)-QUARTILE(F$74:F232,1)),F232,QUARTILE(F$74:F232,3)+1.5*(QUARTILE(F$74:F232,3)-QUARTILE(F$74:F232,1)))))</f>
        <v>1.89530749524719</v>
      </c>
      <c r="O232" s="10" t="n">
        <f aca="false">IF(G232="","",IF(COUNT(G$74:G232)&lt;60,G232,MEDIAN(QUARTILE(G$74:G232,1)-1.5*(QUARTILE(G$74:G232,3)-QUARTILE(G$74:G232,1)),G232,QUARTILE(G$74:G232,3)+1.5*(QUARTILE(G$74:G232,3)-QUARTILE(G$74:G232,1)))))</f>
        <v>-0.288249777635603</v>
      </c>
      <c r="P232" s="10" t="n">
        <f aca="false">IF(H232="","",IF(COUNT(H$74:H232)&lt;60,H232,MEDIAN(QUARTILE(H$74:H232,1)-1.5*(QUARTILE(H$74:H232,3)-QUARTILE(H$74:H232,1)),H232,QUARTILE(H$74:H232,3)+1.5*(QUARTILE(H$74:H232,3)-QUARTILE(H$74:H232,1)))))</f>
        <v>-1.01143752957965</v>
      </c>
      <c r="Q232" s="10" t="n">
        <f aca="false">IF(I232="","",IF(COUNT(I$74:I232)&lt;60,I232,MEDIAN(QUARTILE(I$74:I232,1)-1.5*(QUARTILE(I$74:I232,3)-QUARTILE(I$74:I232,1)),I232,QUARTILE(I$74:I232,3)+1.5*(QUARTILE(I$74:I232,3)-QUARTILE(I$74:I232,1)))))</f>
        <v>0.248587811865319</v>
      </c>
      <c r="R232" s="10" t="n">
        <f aca="false">IF(J232="","",MEDIAN(J232:Q232))</f>
        <v>0.15088267313298</v>
      </c>
      <c r="S232" s="10" t="n">
        <f aca="false">IF(R232="","",ABS(R232))</f>
        <v>0.15088267313298</v>
      </c>
      <c r="T232" s="10" t="n">
        <f aca="false">IF(COUNT(S$74:S231)&lt;60,"",MEDIAN(S$74:S231))</f>
        <v>0.419412091212397</v>
      </c>
      <c r="U232" s="10" t="n">
        <f aca="false">IF(R232="","",IF(T232="",0,IF(S232&gt;=T232,R232,0)))</f>
        <v>0</v>
      </c>
      <c r="V232" s="10" t="n">
        <f aca="false">IF(U232="","",MEDIAN(-1,U232,1))</f>
        <v>0</v>
      </c>
      <c r="W232" s="10" t="n">
        <f aca="false">IF(J232="","",AVERAGE(J232:Q232))</f>
        <v>0.278105008134722</v>
      </c>
    </row>
    <row r="233" customFormat="false" ht="15" hidden="false" customHeight="false" outlineLevel="0" collapsed="false">
      <c r="A233" s="8" t="n">
        <f aca="false">Base!A233</f>
        <v>45046</v>
      </c>
      <c r="B233" s="10" t="n">
        <f aca="false">IF(COUNT(Transf!B$39:B233)&lt;36,"",(Transf!B233-AVERAGE(Transf!B$39:B233))/STDEV(Transf!B$39:B233))</f>
        <v>-1.42165037159722</v>
      </c>
      <c r="C233" s="10" t="n">
        <f aca="false">IF(COUNT(Transf!C$39:C233)&lt;36,"",(Transf!C233-AVERAGE(Transf!C$39:C233))/STDEV(Transf!C$39:C233))</f>
        <v>-0.161325423527486</v>
      </c>
      <c r="D233" s="10" t="n">
        <f aca="false">IF(COUNT(Transf!D$39:D233)&lt;36,"",(Transf!D233-AVERAGE(Transf!D$39:D233))/STDEV(Transf!D$39:D233))</f>
        <v>-0.260338484644493</v>
      </c>
      <c r="E233" s="10" t="n">
        <f aca="false">IF(COUNT(Transf!E$39:E233)&lt;36,"",(Transf!E233-AVERAGE(Transf!E$39:E233))/STDEV(Transf!E$39:E233))</f>
        <v>2.06643354890813</v>
      </c>
      <c r="F233" s="10" t="n">
        <f aca="false">IF(COUNT(Transf!F$39:F233)&lt;36,"",(Transf!F233-AVERAGE(Transf!F$39:F233))/STDEV(Transf!F$39:F233))</f>
        <v>1.88780063235736</v>
      </c>
      <c r="G233" s="10" t="n">
        <f aca="false">IF(COUNT(Transf!G$39:G233)&lt;36,"",(Transf!G233-AVERAGE(Transf!G$39:G233))/STDEV(Transf!G$39:G233))</f>
        <v>-0.229182028536313</v>
      </c>
      <c r="H233" s="10" t="n">
        <f aca="false">IF(COUNT(Transf!H$39:H233)&lt;36,"",(Transf!H233-AVERAGE(Transf!H$39:H233))/STDEV(Transf!H$39:H233))</f>
        <v>-1.05285497899008</v>
      </c>
      <c r="I233" s="10" t="n">
        <f aca="false">IF(COUNT(Transf!I$39:I233)&lt;36,"",(Transf!I233-AVERAGE(Transf!I$39:I233))/STDEV(Transf!I$39:I233))</f>
        <v>-0.423781927741833</v>
      </c>
      <c r="J233" s="10" t="n">
        <f aca="false">IF(B233="","",IF(COUNT(B$74:B233)&lt;60,B233,MEDIAN(QUARTILE(B$74:B233,1)-1.5*(QUARTILE(B$74:B233,3)-QUARTILE(B$74:B233,1)),B233,QUARTILE(B$74:B233,3)+1.5*(QUARTILE(B$74:B233,3)-QUARTILE(B$74:B233,1)))))</f>
        <v>-1.42165037159722</v>
      </c>
      <c r="K233" s="10" t="n">
        <f aca="false">IF(C233="","",IF(COUNT(C$74:C233)&lt;60,C233,MEDIAN(QUARTILE(C$74:C233,1)-1.5*(QUARTILE(C$74:C233,3)-QUARTILE(C$74:C233,1)),C233,QUARTILE(C$74:C233,3)+1.5*(QUARTILE(C$74:C233,3)-QUARTILE(C$74:C233,1)))))</f>
        <v>-0.161325423527486</v>
      </c>
      <c r="L233" s="10" t="n">
        <f aca="false">IF(D233="","",IF(COUNT(D$74:D233)&lt;60,D233,MEDIAN(QUARTILE(D$74:D233,1)-1.5*(QUARTILE(D$74:D233,3)-QUARTILE(D$74:D233,1)),D233,QUARTILE(D$74:D233,3)+1.5*(QUARTILE(D$74:D233,3)-QUARTILE(D$74:D233,1)))))</f>
        <v>-0.260338484644493</v>
      </c>
      <c r="M233" s="10" t="n">
        <f aca="false">IF(E233="","",IF(COUNT(E$74:E233)&lt;60,E233,MEDIAN(QUARTILE(E$74:E233,1)-1.5*(QUARTILE(E$74:E233,3)-QUARTILE(E$74:E233,1)),E233,QUARTILE(E$74:E233,3)+1.5*(QUARTILE(E$74:E233,3)-QUARTILE(E$74:E233,1)))))</f>
        <v>2.06643354890813</v>
      </c>
      <c r="N233" s="10" t="n">
        <f aca="false">IF(F233="","",IF(COUNT(F$74:F233)&lt;60,F233,MEDIAN(QUARTILE(F$74:F233,1)-1.5*(QUARTILE(F$74:F233,3)-QUARTILE(F$74:F233,1)),F233,QUARTILE(F$74:F233,3)+1.5*(QUARTILE(F$74:F233,3)-QUARTILE(F$74:F233,1)))))</f>
        <v>1.88780063235736</v>
      </c>
      <c r="O233" s="10" t="n">
        <f aca="false">IF(G233="","",IF(COUNT(G$74:G233)&lt;60,G233,MEDIAN(QUARTILE(G$74:G233,1)-1.5*(QUARTILE(G$74:G233,3)-QUARTILE(G$74:G233,1)),G233,QUARTILE(G$74:G233,3)+1.5*(QUARTILE(G$74:G233,3)-QUARTILE(G$74:G233,1)))))</f>
        <v>-0.229182028536313</v>
      </c>
      <c r="P233" s="10" t="n">
        <f aca="false">IF(H233="","",IF(COUNT(H$74:H233)&lt;60,H233,MEDIAN(QUARTILE(H$74:H233,1)-1.5*(QUARTILE(H$74:H233,3)-QUARTILE(H$74:H233,1)),H233,QUARTILE(H$74:H233,3)+1.5*(QUARTILE(H$74:H233,3)-QUARTILE(H$74:H233,1)))))</f>
        <v>-1.05285497899008</v>
      </c>
      <c r="Q233" s="10" t="n">
        <f aca="false">IF(I233="","",IF(COUNT(I$74:I233)&lt;60,I233,MEDIAN(QUARTILE(I$74:I233,1)-1.5*(QUARTILE(I$74:I233,3)-QUARTILE(I$74:I233,1)),I233,QUARTILE(I$74:I233,3)+1.5*(QUARTILE(I$74:I233,3)-QUARTILE(I$74:I233,1)))))</f>
        <v>-0.423781927741833</v>
      </c>
      <c r="R233" s="10" t="n">
        <f aca="false">IF(J233="","",MEDIAN(J233:Q233))</f>
        <v>-0.244760256590403</v>
      </c>
      <c r="S233" s="10" t="n">
        <f aca="false">IF(R233="","",ABS(R233))</f>
        <v>0.244760256590403</v>
      </c>
      <c r="T233" s="10" t="n">
        <f aca="false">IF(COUNT(S$74:S232)&lt;60,"",MEDIAN(S$74:S232))</f>
        <v>0.406971242214064</v>
      </c>
      <c r="U233" s="10" t="n">
        <f aca="false">IF(R233="","",IF(T233="",0,IF(S233&gt;=T233,R233,0)))</f>
        <v>0</v>
      </c>
      <c r="V233" s="10" t="n">
        <f aca="false">IF(U233="","",MEDIAN(-1,U233,1))</f>
        <v>0</v>
      </c>
      <c r="W233" s="10" t="n">
        <f aca="false">IF(J233="","",AVERAGE(J233:Q233))</f>
        <v>0.0506376207785071</v>
      </c>
    </row>
    <row r="234" customFormat="false" ht="15" hidden="false" customHeight="false" outlineLevel="0" collapsed="false">
      <c r="A234" s="8" t="n">
        <f aca="false">Base!A234</f>
        <v>45077</v>
      </c>
      <c r="B234" s="10" t="n">
        <f aca="false">IF(COUNT(Transf!B$39:B234)&lt;36,"",(Transf!B234-AVERAGE(Transf!B$39:B234))/STDEV(Transf!B$39:B234))</f>
        <v>-1.50341584070103</v>
      </c>
      <c r="C234" s="10" t="n">
        <f aca="false">IF(COUNT(Transf!C$39:C234)&lt;36,"",(Transf!C234-AVERAGE(Transf!C$39:C234))/STDEV(Transf!C$39:C234))</f>
        <v>-0.476141827390744</v>
      </c>
      <c r="D234" s="10" t="n">
        <f aca="false">IF(COUNT(Transf!D$39:D234)&lt;36,"",(Transf!D234-AVERAGE(Transf!D$39:D234))/STDEV(Transf!D$39:D234))</f>
        <v>-0.428940246381247</v>
      </c>
      <c r="E234" s="10" t="n">
        <f aca="false">IF(COUNT(Transf!E$39:E234)&lt;36,"",(Transf!E234-AVERAGE(Transf!E$39:E234))/STDEV(Transf!E$39:E234))</f>
        <v>1.99726942080771</v>
      </c>
      <c r="F234" s="10" t="n">
        <f aca="false">IF(COUNT(Transf!F$39:F234)&lt;36,"",(Transf!F234-AVERAGE(Transf!F$39:F234))/STDEV(Transf!F$39:F234))</f>
        <v>1.70235637543328</v>
      </c>
      <c r="G234" s="10" t="n">
        <f aca="false">IF(COUNT(Transf!G$39:G234)&lt;36,"",(Transf!G234-AVERAGE(Transf!G$39:G234))/STDEV(Transf!G$39:G234))</f>
        <v>-0.199873654271246</v>
      </c>
      <c r="H234" s="10" t="n">
        <f aca="false">IF(COUNT(Transf!H$39:H234)&lt;36,"",(Transf!H234-AVERAGE(Transf!H$39:H234))/STDEV(Transf!H$39:H234))</f>
        <v>-0.883488054865959</v>
      </c>
      <c r="I234" s="10" t="n">
        <f aca="false">IF(COUNT(Transf!I$39:I234)&lt;36,"",(Transf!I234-AVERAGE(Transf!I$39:I234))/STDEV(Transf!I$39:I234))</f>
        <v>-0.829407839635254</v>
      </c>
      <c r="J234" s="10" t="n">
        <f aca="false">IF(B234="","",IF(COUNT(B$74:B234)&lt;60,B234,MEDIAN(QUARTILE(B$74:B234,1)-1.5*(QUARTILE(B$74:B234,3)-QUARTILE(B$74:B234,1)),B234,QUARTILE(B$74:B234,3)+1.5*(QUARTILE(B$74:B234,3)-QUARTILE(B$74:B234,1)))))</f>
        <v>-1.50341584070103</v>
      </c>
      <c r="K234" s="10" t="n">
        <f aca="false">IF(C234="","",IF(COUNT(C$74:C234)&lt;60,C234,MEDIAN(QUARTILE(C$74:C234,1)-1.5*(QUARTILE(C$74:C234,3)-QUARTILE(C$74:C234,1)),C234,QUARTILE(C$74:C234,3)+1.5*(QUARTILE(C$74:C234,3)-QUARTILE(C$74:C234,1)))))</f>
        <v>-0.476141827390744</v>
      </c>
      <c r="L234" s="10" t="n">
        <f aca="false">IF(D234="","",IF(COUNT(D$74:D234)&lt;60,D234,MEDIAN(QUARTILE(D$74:D234,1)-1.5*(QUARTILE(D$74:D234,3)-QUARTILE(D$74:D234,1)),D234,QUARTILE(D$74:D234,3)+1.5*(QUARTILE(D$74:D234,3)-QUARTILE(D$74:D234,1)))))</f>
        <v>-0.428940246381247</v>
      </c>
      <c r="M234" s="10" t="n">
        <f aca="false">IF(E234="","",IF(COUNT(E$74:E234)&lt;60,E234,MEDIAN(QUARTILE(E$74:E234,1)-1.5*(QUARTILE(E$74:E234,3)-QUARTILE(E$74:E234,1)),E234,QUARTILE(E$74:E234,3)+1.5*(QUARTILE(E$74:E234,3)-QUARTILE(E$74:E234,1)))))</f>
        <v>1.99726942080771</v>
      </c>
      <c r="N234" s="10" t="n">
        <f aca="false">IF(F234="","",IF(COUNT(F$74:F234)&lt;60,F234,MEDIAN(QUARTILE(F$74:F234,1)-1.5*(QUARTILE(F$74:F234,3)-QUARTILE(F$74:F234,1)),F234,QUARTILE(F$74:F234,3)+1.5*(QUARTILE(F$74:F234,3)-QUARTILE(F$74:F234,1)))))</f>
        <v>1.70235637543328</v>
      </c>
      <c r="O234" s="10" t="n">
        <f aca="false">IF(G234="","",IF(COUNT(G$74:G234)&lt;60,G234,MEDIAN(QUARTILE(G$74:G234,1)-1.5*(QUARTILE(G$74:G234,3)-QUARTILE(G$74:G234,1)),G234,QUARTILE(G$74:G234,3)+1.5*(QUARTILE(G$74:G234,3)-QUARTILE(G$74:G234,1)))))</f>
        <v>-0.199873654271246</v>
      </c>
      <c r="P234" s="10" t="n">
        <f aca="false">IF(H234="","",IF(COUNT(H$74:H234)&lt;60,H234,MEDIAN(QUARTILE(H$74:H234,1)-1.5*(QUARTILE(H$74:H234,3)-QUARTILE(H$74:H234,1)),H234,QUARTILE(H$74:H234,3)+1.5*(QUARTILE(H$74:H234,3)-QUARTILE(H$74:H234,1)))))</f>
        <v>-0.883488054865959</v>
      </c>
      <c r="Q234" s="10" t="n">
        <f aca="false">IF(I234="","",IF(COUNT(I$74:I234)&lt;60,I234,MEDIAN(QUARTILE(I$74:I234,1)-1.5*(QUARTILE(I$74:I234,3)-QUARTILE(I$74:I234,1)),I234,QUARTILE(I$74:I234,3)+1.5*(QUARTILE(I$74:I234,3)-QUARTILE(I$74:I234,1)))))</f>
        <v>-0.829407839635254</v>
      </c>
      <c r="R234" s="10" t="n">
        <f aca="false">IF(J234="","",MEDIAN(J234:Q234))</f>
        <v>-0.452541036885995</v>
      </c>
      <c r="S234" s="10" t="n">
        <f aca="false">IF(R234="","",ABS(R234))</f>
        <v>0.452541036885995</v>
      </c>
      <c r="T234" s="10" t="n">
        <f aca="false">IF(COUNT(S$74:S233)&lt;60,"",MEDIAN(S$74:S233))</f>
        <v>0.390459475796028</v>
      </c>
      <c r="U234" s="10" t="n">
        <f aca="false">IF(R234="","",IF(T234="",0,IF(S234&gt;=T234,R234,0)))</f>
        <v>-0.452541036885995</v>
      </c>
      <c r="V234" s="10" t="n">
        <f aca="false">IF(U234="","",MEDIAN(-1,U234,1))</f>
        <v>-0.452541036885995</v>
      </c>
      <c r="W234" s="10" t="n">
        <f aca="false">IF(J234="","",AVERAGE(J234:Q234))</f>
        <v>-0.0777052083755614</v>
      </c>
    </row>
    <row r="235" customFormat="false" ht="15" hidden="false" customHeight="false" outlineLevel="0" collapsed="false">
      <c r="A235" s="8" t="n">
        <f aca="false">Base!A235</f>
        <v>45107</v>
      </c>
      <c r="B235" s="10" t="n">
        <f aca="false">IF(COUNT(Transf!B$39:B235)&lt;36,"",(Transf!B235-AVERAGE(Transf!B$39:B235))/STDEV(Transf!B$39:B235))</f>
        <v>-1.71907745496425</v>
      </c>
      <c r="C235" s="10" t="n">
        <f aca="false">IF(COUNT(Transf!C$39:C235)&lt;36,"",(Transf!C235-AVERAGE(Transf!C$39:C235))/STDEV(Transf!C$39:C235))</f>
        <v>-0.79292538699071</v>
      </c>
      <c r="D235" s="10" t="n">
        <f aca="false">IF(COUNT(Transf!D$39:D235)&lt;36,"",(Transf!D235-AVERAGE(Transf!D$39:D235))/STDEV(Transf!D$39:D235))</f>
        <v>-0.537803380387753</v>
      </c>
      <c r="E235" s="10" t="n">
        <f aca="false">IF(COUNT(Transf!E$39:E235)&lt;36,"",(Transf!E235-AVERAGE(Transf!E$39:E235))/STDEV(Transf!E$39:E235))</f>
        <v>2.01556842482115</v>
      </c>
      <c r="F235" s="10" t="n">
        <f aca="false">IF(COUNT(Transf!F$39:F235)&lt;36,"",(Transf!F235-AVERAGE(Transf!F$39:F235))/STDEV(Transf!F$39:F235))</f>
        <v>1.476625175185</v>
      </c>
      <c r="G235" s="10" t="n">
        <f aca="false">IF(COUNT(Transf!G$39:G235)&lt;36,"",(Transf!G235-AVERAGE(Transf!G$39:G235))/STDEV(Transf!G$39:G235))</f>
        <v>-0.0125675600058923</v>
      </c>
      <c r="H235" s="10" t="n">
        <f aca="false">IF(COUNT(Transf!H$39:H235)&lt;36,"",(Transf!H235-AVERAGE(Transf!H$39:H235))/STDEV(Transf!H$39:H235))</f>
        <v>-0.699744421316348</v>
      </c>
      <c r="I235" s="10" t="n">
        <f aca="false">IF(COUNT(Transf!I$39:I235)&lt;36,"",(Transf!I235-AVERAGE(Transf!I$39:I235))/STDEV(Transf!I$39:I235))</f>
        <v>-1.01078968918738</v>
      </c>
      <c r="J235" s="10" t="n">
        <f aca="false">IF(B235="","",IF(COUNT(B$74:B235)&lt;60,B235,MEDIAN(QUARTILE(B$74:B235,1)-1.5*(QUARTILE(B$74:B235,3)-QUARTILE(B$74:B235,1)),B235,QUARTILE(B$74:B235,3)+1.5*(QUARTILE(B$74:B235,3)-QUARTILE(B$74:B235,1)))))</f>
        <v>-1.71907745496425</v>
      </c>
      <c r="K235" s="10" t="n">
        <f aca="false">IF(C235="","",IF(COUNT(C$74:C235)&lt;60,C235,MEDIAN(QUARTILE(C$74:C235,1)-1.5*(QUARTILE(C$74:C235,3)-QUARTILE(C$74:C235,1)),C235,QUARTILE(C$74:C235,3)+1.5*(QUARTILE(C$74:C235,3)-QUARTILE(C$74:C235,1)))))</f>
        <v>-0.79292538699071</v>
      </c>
      <c r="L235" s="10" t="n">
        <f aca="false">IF(D235="","",IF(COUNT(D$74:D235)&lt;60,D235,MEDIAN(QUARTILE(D$74:D235,1)-1.5*(QUARTILE(D$74:D235,3)-QUARTILE(D$74:D235,1)),D235,QUARTILE(D$74:D235,3)+1.5*(QUARTILE(D$74:D235,3)-QUARTILE(D$74:D235,1)))))</f>
        <v>-0.537803380387753</v>
      </c>
      <c r="M235" s="10" t="n">
        <f aca="false">IF(E235="","",IF(COUNT(E$74:E235)&lt;60,E235,MEDIAN(QUARTILE(E$74:E235,1)-1.5*(QUARTILE(E$74:E235,3)-QUARTILE(E$74:E235,1)),E235,QUARTILE(E$74:E235,3)+1.5*(QUARTILE(E$74:E235,3)-QUARTILE(E$74:E235,1)))))</f>
        <v>2.01556842482115</v>
      </c>
      <c r="N235" s="10" t="n">
        <f aca="false">IF(F235="","",IF(COUNT(F$74:F235)&lt;60,F235,MEDIAN(QUARTILE(F$74:F235,1)-1.5*(QUARTILE(F$74:F235,3)-QUARTILE(F$74:F235,1)),F235,QUARTILE(F$74:F235,3)+1.5*(QUARTILE(F$74:F235,3)-QUARTILE(F$74:F235,1)))))</f>
        <v>1.476625175185</v>
      </c>
      <c r="O235" s="10" t="n">
        <f aca="false">IF(G235="","",IF(COUNT(G$74:G235)&lt;60,G235,MEDIAN(QUARTILE(G$74:G235,1)-1.5*(QUARTILE(G$74:G235,3)-QUARTILE(G$74:G235,1)),G235,QUARTILE(G$74:G235,3)+1.5*(QUARTILE(G$74:G235,3)-QUARTILE(G$74:G235,1)))))</f>
        <v>-0.0125675600058923</v>
      </c>
      <c r="P235" s="10" t="n">
        <f aca="false">IF(H235="","",IF(COUNT(H$74:H235)&lt;60,H235,MEDIAN(QUARTILE(H$74:H235,1)-1.5*(QUARTILE(H$74:H235,3)-QUARTILE(H$74:H235,1)),H235,QUARTILE(H$74:H235,3)+1.5*(QUARTILE(H$74:H235,3)-QUARTILE(H$74:H235,1)))))</f>
        <v>-0.699744421316348</v>
      </c>
      <c r="Q235" s="10" t="n">
        <f aca="false">IF(I235="","",IF(COUNT(I$74:I235)&lt;60,I235,MEDIAN(QUARTILE(I$74:I235,1)-1.5*(QUARTILE(I$74:I235,3)-QUARTILE(I$74:I235,1)),I235,QUARTILE(I$74:I235,3)+1.5*(QUARTILE(I$74:I235,3)-QUARTILE(I$74:I235,1)))))</f>
        <v>-1.01078968918738</v>
      </c>
      <c r="R235" s="10" t="n">
        <f aca="false">IF(J235="","",MEDIAN(J235:Q235))</f>
        <v>-0.618773900852051</v>
      </c>
      <c r="S235" s="10" t="n">
        <f aca="false">IF(R235="","",ABS(R235))</f>
        <v>0.618773900852051</v>
      </c>
      <c r="T235" s="10" t="n">
        <f aca="false">IF(COUNT(S$74:S234)&lt;60,"",MEDIAN(S$74:S234))</f>
        <v>0.406971242214064</v>
      </c>
      <c r="U235" s="10" t="n">
        <f aca="false">IF(R235="","",IF(T235="",0,IF(S235&gt;=T235,R235,0)))</f>
        <v>-0.618773900852051</v>
      </c>
      <c r="V235" s="10" t="n">
        <f aca="false">IF(U235="","",MEDIAN(-1,U235,1))</f>
        <v>-0.618773900852051</v>
      </c>
      <c r="W235" s="10" t="n">
        <f aca="false">IF(J235="","",AVERAGE(J235:Q235))</f>
        <v>-0.160089286605774</v>
      </c>
    </row>
    <row r="236" customFormat="false" ht="15" hidden="false" customHeight="false" outlineLevel="0" collapsed="false">
      <c r="A236" s="8" t="n">
        <f aca="false">Base!A236</f>
        <v>45138</v>
      </c>
      <c r="B236" s="10" t="n">
        <f aca="false">IF(COUNT(Transf!B$39:B236)&lt;36,"",(Transf!B236-AVERAGE(Transf!B$39:B236))/STDEV(Transf!B$39:B236))</f>
        <v>-1.53440295653802</v>
      </c>
      <c r="C236" s="10" t="n">
        <f aca="false">IF(COUNT(Transf!C$39:C236)&lt;36,"",(Transf!C236-AVERAGE(Transf!C$39:C236))/STDEV(Transf!C$39:C236))</f>
        <v>-0.613438618910703</v>
      </c>
      <c r="D236" s="10" t="n">
        <f aca="false">IF(COUNT(Transf!D$39:D236)&lt;36,"",(Transf!D236-AVERAGE(Transf!D$39:D236))/STDEV(Transf!D$39:D236))</f>
        <v>-0.401170450656448</v>
      </c>
      <c r="E236" s="10" t="n">
        <f aca="false">IF(COUNT(Transf!E$39:E236)&lt;36,"",(Transf!E236-AVERAGE(Transf!E$39:E236))/STDEV(Transf!E$39:E236))</f>
        <v>1.99086728402952</v>
      </c>
      <c r="F236" s="10" t="n">
        <f aca="false">IF(COUNT(Transf!F$39:F236)&lt;36,"",(Transf!F236-AVERAGE(Transf!F$39:F236))/STDEV(Transf!F$39:F236))</f>
        <v>1.2633328747332</v>
      </c>
      <c r="G236" s="10" t="n">
        <f aca="false">IF(COUNT(Transf!G$39:G236)&lt;36,"",(Transf!G236-AVERAGE(Transf!G$39:G236))/STDEV(Transf!G$39:G236))</f>
        <v>0.183371076060747</v>
      </c>
      <c r="H236" s="10" t="n">
        <f aca="false">IF(COUNT(Transf!H$39:H236)&lt;36,"",(Transf!H236-AVERAGE(Transf!H$39:H236))/STDEV(Transf!H$39:H236))</f>
        <v>-0.466027232853366</v>
      </c>
      <c r="I236" s="10" t="n">
        <f aca="false">IF(COUNT(Transf!I$39:I236)&lt;36,"",(Transf!I236-AVERAGE(Transf!I$39:I236))/STDEV(Transf!I$39:I236))</f>
        <v>-0.695424976826305</v>
      </c>
      <c r="J236" s="10" t="n">
        <f aca="false">IF(B236="","",IF(COUNT(B$74:B236)&lt;60,B236,MEDIAN(QUARTILE(B$74:B236,1)-1.5*(QUARTILE(B$74:B236,3)-QUARTILE(B$74:B236,1)),B236,QUARTILE(B$74:B236,3)+1.5*(QUARTILE(B$74:B236,3)-QUARTILE(B$74:B236,1)))))</f>
        <v>-1.53440295653802</v>
      </c>
      <c r="K236" s="10" t="n">
        <f aca="false">IF(C236="","",IF(COUNT(C$74:C236)&lt;60,C236,MEDIAN(QUARTILE(C$74:C236,1)-1.5*(QUARTILE(C$74:C236,3)-QUARTILE(C$74:C236,1)),C236,QUARTILE(C$74:C236,3)+1.5*(QUARTILE(C$74:C236,3)-QUARTILE(C$74:C236,1)))))</f>
        <v>-0.613438618910703</v>
      </c>
      <c r="L236" s="10" t="n">
        <f aca="false">IF(D236="","",IF(COUNT(D$74:D236)&lt;60,D236,MEDIAN(QUARTILE(D$74:D236,1)-1.5*(QUARTILE(D$74:D236,3)-QUARTILE(D$74:D236,1)),D236,QUARTILE(D$74:D236,3)+1.5*(QUARTILE(D$74:D236,3)-QUARTILE(D$74:D236,1)))))</f>
        <v>-0.401170450656448</v>
      </c>
      <c r="M236" s="10" t="n">
        <f aca="false">IF(E236="","",IF(COUNT(E$74:E236)&lt;60,E236,MEDIAN(QUARTILE(E$74:E236,1)-1.5*(QUARTILE(E$74:E236,3)-QUARTILE(E$74:E236,1)),E236,QUARTILE(E$74:E236,3)+1.5*(QUARTILE(E$74:E236,3)-QUARTILE(E$74:E236,1)))))</f>
        <v>1.99086728402952</v>
      </c>
      <c r="N236" s="10" t="n">
        <f aca="false">IF(F236="","",IF(COUNT(F$74:F236)&lt;60,F236,MEDIAN(QUARTILE(F$74:F236,1)-1.5*(QUARTILE(F$74:F236,3)-QUARTILE(F$74:F236,1)),F236,QUARTILE(F$74:F236,3)+1.5*(QUARTILE(F$74:F236,3)-QUARTILE(F$74:F236,1)))))</f>
        <v>1.2633328747332</v>
      </c>
      <c r="O236" s="10" t="n">
        <f aca="false">IF(G236="","",IF(COUNT(G$74:G236)&lt;60,G236,MEDIAN(QUARTILE(G$74:G236,1)-1.5*(QUARTILE(G$74:G236,3)-QUARTILE(G$74:G236,1)),G236,QUARTILE(G$74:G236,3)+1.5*(QUARTILE(G$74:G236,3)-QUARTILE(G$74:G236,1)))))</f>
        <v>0.183371076060747</v>
      </c>
      <c r="P236" s="10" t="n">
        <f aca="false">IF(H236="","",IF(COUNT(H$74:H236)&lt;60,H236,MEDIAN(QUARTILE(H$74:H236,1)-1.5*(QUARTILE(H$74:H236,3)-QUARTILE(H$74:H236,1)),H236,QUARTILE(H$74:H236,3)+1.5*(QUARTILE(H$74:H236,3)-QUARTILE(H$74:H236,1)))))</f>
        <v>-0.466027232853366</v>
      </c>
      <c r="Q236" s="10" t="n">
        <f aca="false">IF(I236="","",IF(COUNT(I$74:I236)&lt;60,I236,MEDIAN(QUARTILE(I$74:I236,1)-1.5*(QUARTILE(I$74:I236,3)-QUARTILE(I$74:I236,1)),I236,QUARTILE(I$74:I236,3)+1.5*(QUARTILE(I$74:I236,3)-QUARTILE(I$74:I236,1)))))</f>
        <v>-0.695424976826305</v>
      </c>
      <c r="R236" s="10" t="n">
        <f aca="false">IF(J236="","",MEDIAN(J236:Q236))</f>
        <v>-0.433598841754907</v>
      </c>
      <c r="S236" s="10" t="n">
        <f aca="false">IF(R236="","",ABS(R236))</f>
        <v>0.433598841754907</v>
      </c>
      <c r="T236" s="10" t="n">
        <f aca="false">IF(COUNT(S$74:S235)&lt;60,"",MEDIAN(S$74:S235))</f>
        <v>0.419412091212397</v>
      </c>
      <c r="U236" s="10" t="n">
        <f aca="false">IF(R236="","",IF(T236="",0,IF(S236&gt;=T236,R236,0)))</f>
        <v>-0.433598841754907</v>
      </c>
      <c r="V236" s="10" t="n">
        <f aca="false">IF(U236="","",MEDIAN(-1,U236,1))</f>
        <v>-0.433598841754907</v>
      </c>
      <c r="W236" s="10" t="n">
        <f aca="false">IF(J236="","",AVERAGE(J236:Q236))</f>
        <v>-0.0341116251201724</v>
      </c>
    </row>
    <row r="237" customFormat="false" ht="15" hidden="false" customHeight="false" outlineLevel="0" collapsed="false">
      <c r="A237" s="8" t="n">
        <f aca="false">Base!A237</f>
        <v>45169</v>
      </c>
      <c r="B237" s="10" t="n">
        <f aca="false">IF(COUNT(Transf!B$39:B237)&lt;36,"",(Transf!B237-AVERAGE(Transf!B$39:B237))/STDEV(Transf!B$39:B237))</f>
        <v>-1.46734965470524</v>
      </c>
      <c r="C237" s="10" t="n">
        <f aca="false">IF(COUNT(Transf!C$39:C237)&lt;36,"",(Transf!C237-AVERAGE(Transf!C$39:C237))/STDEV(Transf!C$39:C237))</f>
        <v>-0.246241309423796</v>
      </c>
      <c r="D237" s="10" t="n">
        <f aca="false">IF(COUNT(Transf!D$39:D237)&lt;36,"",(Transf!D237-AVERAGE(Transf!D$39:D237))/STDEV(Transf!D$39:D237))</f>
        <v>-0.196645814451112</v>
      </c>
      <c r="E237" s="10" t="n">
        <f aca="false">IF(COUNT(Transf!E$39:E237)&lt;36,"",(Transf!E237-AVERAGE(Transf!E$39:E237))/STDEV(Transf!E$39:E237))</f>
        <v>1.99426686231819</v>
      </c>
      <c r="F237" s="10" t="n">
        <f aca="false">IF(COUNT(Transf!F$39:F237)&lt;36,"",(Transf!F237-AVERAGE(Transf!F$39:F237))/STDEV(Transf!F$39:F237))</f>
        <v>1.12944899098115</v>
      </c>
      <c r="G237" s="10" t="n">
        <f aca="false">IF(COUNT(Transf!G$39:G237)&lt;36,"",(Transf!G237-AVERAGE(Transf!G$39:G237))/STDEV(Transf!G$39:G237))</f>
        <v>0.79073010828844</v>
      </c>
      <c r="H237" s="10" t="n">
        <f aca="false">IF(COUNT(Transf!H$39:H237)&lt;36,"",(Transf!H237-AVERAGE(Transf!H$39:H237))/STDEV(Transf!H$39:H237))</f>
        <v>-0.162050677269131</v>
      </c>
      <c r="I237" s="10" t="n">
        <f aca="false">IF(COUNT(Transf!I$39:I237)&lt;36,"",(Transf!I237-AVERAGE(Transf!I$39:I237))/STDEV(Transf!I$39:I237))</f>
        <v>-0.426881430886061</v>
      </c>
      <c r="J237" s="10" t="n">
        <f aca="false">IF(B237="","",IF(COUNT(B$74:B237)&lt;60,B237,MEDIAN(QUARTILE(B$74:B237,1)-1.5*(QUARTILE(B$74:B237,3)-QUARTILE(B$74:B237,1)),B237,QUARTILE(B$74:B237,3)+1.5*(QUARTILE(B$74:B237,3)-QUARTILE(B$74:B237,1)))))</f>
        <v>-1.46734965470524</v>
      </c>
      <c r="K237" s="10" t="n">
        <f aca="false">IF(C237="","",IF(COUNT(C$74:C237)&lt;60,C237,MEDIAN(QUARTILE(C$74:C237,1)-1.5*(QUARTILE(C$74:C237,3)-QUARTILE(C$74:C237,1)),C237,QUARTILE(C$74:C237,3)+1.5*(QUARTILE(C$74:C237,3)-QUARTILE(C$74:C237,1)))))</f>
        <v>-0.246241309423796</v>
      </c>
      <c r="L237" s="10" t="n">
        <f aca="false">IF(D237="","",IF(COUNT(D$74:D237)&lt;60,D237,MEDIAN(QUARTILE(D$74:D237,1)-1.5*(QUARTILE(D$74:D237,3)-QUARTILE(D$74:D237,1)),D237,QUARTILE(D$74:D237,3)+1.5*(QUARTILE(D$74:D237,3)-QUARTILE(D$74:D237,1)))))</f>
        <v>-0.196645814451112</v>
      </c>
      <c r="M237" s="10" t="n">
        <f aca="false">IF(E237="","",IF(COUNT(E$74:E237)&lt;60,E237,MEDIAN(QUARTILE(E$74:E237,1)-1.5*(QUARTILE(E$74:E237,3)-QUARTILE(E$74:E237,1)),E237,QUARTILE(E$74:E237,3)+1.5*(QUARTILE(E$74:E237,3)-QUARTILE(E$74:E237,1)))))</f>
        <v>1.99426686231819</v>
      </c>
      <c r="N237" s="10" t="n">
        <f aca="false">IF(F237="","",IF(COUNT(F$74:F237)&lt;60,F237,MEDIAN(QUARTILE(F$74:F237,1)-1.5*(QUARTILE(F$74:F237,3)-QUARTILE(F$74:F237,1)),F237,QUARTILE(F$74:F237,3)+1.5*(QUARTILE(F$74:F237,3)-QUARTILE(F$74:F237,1)))))</f>
        <v>1.12944899098115</v>
      </c>
      <c r="O237" s="10" t="n">
        <f aca="false">IF(G237="","",IF(COUNT(G$74:G237)&lt;60,G237,MEDIAN(QUARTILE(G$74:G237,1)-1.5*(QUARTILE(G$74:G237,3)-QUARTILE(G$74:G237,1)),G237,QUARTILE(G$74:G237,3)+1.5*(QUARTILE(G$74:G237,3)-QUARTILE(G$74:G237,1)))))</f>
        <v>0.79073010828844</v>
      </c>
      <c r="P237" s="10" t="n">
        <f aca="false">IF(H237="","",IF(COUNT(H$74:H237)&lt;60,H237,MEDIAN(QUARTILE(H$74:H237,1)-1.5*(QUARTILE(H$74:H237,3)-QUARTILE(H$74:H237,1)),H237,QUARTILE(H$74:H237,3)+1.5*(QUARTILE(H$74:H237,3)-QUARTILE(H$74:H237,1)))))</f>
        <v>-0.162050677269131</v>
      </c>
      <c r="Q237" s="10" t="n">
        <f aca="false">IF(I237="","",IF(COUNT(I$74:I237)&lt;60,I237,MEDIAN(QUARTILE(I$74:I237,1)-1.5*(QUARTILE(I$74:I237,3)-QUARTILE(I$74:I237,1)),I237,QUARTILE(I$74:I237,3)+1.5*(QUARTILE(I$74:I237,3)-QUARTILE(I$74:I237,1)))))</f>
        <v>-0.426881430886061</v>
      </c>
      <c r="R237" s="10" t="n">
        <f aca="false">IF(J237="","",MEDIAN(J237:Q237))</f>
        <v>-0.179348245860122</v>
      </c>
      <c r="S237" s="10" t="n">
        <f aca="false">IF(R237="","",ABS(R237))</f>
        <v>0.179348245860122</v>
      </c>
      <c r="T237" s="10" t="n">
        <f aca="false">IF(COUNT(S$74:S236)&lt;60,"",MEDIAN(S$74:S236))</f>
        <v>0.431852940210729</v>
      </c>
      <c r="U237" s="10" t="n">
        <f aca="false">IF(R237="","",IF(T237="",0,IF(S237&gt;=T237,R237,0)))</f>
        <v>0</v>
      </c>
      <c r="V237" s="10" t="n">
        <f aca="false">IF(U237="","",MEDIAN(-1,U237,1))</f>
        <v>0</v>
      </c>
      <c r="W237" s="10" t="n">
        <f aca="false">IF(J237="","",AVERAGE(J237:Q237))</f>
        <v>0.176909634356554</v>
      </c>
    </row>
    <row r="238" customFormat="false" ht="15" hidden="false" customHeight="false" outlineLevel="0" collapsed="false">
      <c r="A238" s="8" t="n">
        <f aca="false">Base!A238</f>
        <v>45199</v>
      </c>
      <c r="B238" s="10" t="n">
        <f aca="false">IF(COUNT(Transf!B$39:B238)&lt;36,"",(Transf!B238-AVERAGE(Transf!B$39:B238))/STDEV(Transf!B$39:B238))</f>
        <v>-1.24118977609669</v>
      </c>
      <c r="C238" s="10" t="n">
        <f aca="false">IF(COUNT(Transf!C$39:C238)&lt;36,"",(Transf!C238-AVERAGE(Transf!C$39:C238))/STDEV(Transf!C$39:C238))</f>
        <v>0.00911102371301423</v>
      </c>
      <c r="D238" s="10" t="n">
        <f aca="false">IF(COUNT(Transf!D$39:D238)&lt;36,"",(Transf!D238-AVERAGE(Transf!D$39:D238))/STDEV(Transf!D$39:D238))</f>
        <v>-0.00948463310826836</v>
      </c>
      <c r="E238" s="10" t="n">
        <f aca="false">IF(COUNT(Transf!E$39:E238)&lt;36,"",(Transf!E238-AVERAGE(Transf!E$39:E238))/STDEV(Transf!E$39:E238))</f>
        <v>2.13986408401787</v>
      </c>
      <c r="F238" s="10" t="n">
        <f aca="false">IF(COUNT(Transf!F$39:F238)&lt;36,"",(Transf!F238-AVERAGE(Transf!F$39:F238))/STDEV(Transf!F$39:F238))</f>
        <v>1.07119813628193</v>
      </c>
      <c r="G238" s="10" t="n">
        <f aca="false">IF(COUNT(Transf!G$39:G238)&lt;36,"",(Transf!G238-AVERAGE(Transf!G$39:G238))/STDEV(Transf!G$39:G238))</f>
        <v>0.954087699764165</v>
      </c>
      <c r="H238" s="10" t="n">
        <f aca="false">IF(COUNT(Transf!H$39:H238)&lt;36,"",(Transf!H238-AVERAGE(Transf!H$39:H238))/STDEV(Transf!H$39:H238))</f>
        <v>0.223139967450502</v>
      </c>
      <c r="I238" s="10" t="n">
        <f aca="false">IF(COUNT(Transf!I$39:I238)&lt;36,"",(Transf!I238-AVERAGE(Transf!I$39:I238))/STDEV(Transf!I$39:I238))</f>
        <v>-0.441737545026385</v>
      </c>
      <c r="J238" s="10" t="n">
        <f aca="false">IF(B238="","",IF(COUNT(B$74:B238)&lt;60,B238,MEDIAN(QUARTILE(B$74:B238,1)-1.5*(QUARTILE(B$74:B238,3)-QUARTILE(B$74:B238,1)),B238,QUARTILE(B$74:B238,3)+1.5*(QUARTILE(B$74:B238,3)-QUARTILE(B$74:B238,1)))))</f>
        <v>-1.24118977609669</v>
      </c>
      <c r="K238" s="10" t="n">
        <f aca="false">IF(C238="","",IF(COUNT(C$74:C238)&lt;60,C238,MEDIAN(QUARTILE(C$74:C238,1)-1.5*(QUARTILE(C$74:C238,3)-QUARTILE(C$74:C238,1)),C238,QUARTILE(C$74:C238,3)+1.5*(QUARTILE(C$74:C238,3)-QUARTILE(C$74:C238,1)))))</f>
        <v>0.00911102371301423</v>
      </c>
      <c r="L238" s="10" t="n">
        <f aca="false">IF(D238="","",IF(COUNT(D$74:D238)&lt;60,D238,MEDIAN(QUARTILE(D$74:D238,1)-1.5*(QUARTILE(D$74:D238,3)-QUARTILE(D$74:D238,1)),D238,QUARTILE(D$74:D238,3)+1.5*(QUARTILE(D$74:D238,3)-QUARTILE(D$74:D238,1)))))</f>
        <v>-0.00948463310826836</v>
      </c>
      <c r="M238" s="10" t="n">
        <f aca="false">IF(E238="","",IF(COUNT(E$74:E238)&lt;60,E238,MEDIAN(QUARTILE(E$74:E238,1)-1.5*(QUARTILE(E$74:E238,3)-QUARTILE(E$74:E238,1)),E238,QUARTILE(E$74:E238,3)+1.5*(QUARTILE(E$74:E238,3)-QUARTILE(E$74:E238,1)))))</f>
        <v>2.13986408401787</v>
      </c>
      <c r="N238" s="10" t="n">
        <f aca="false">IF(F238="","",IF(COUNT(F$74:F238)&lt;60,F238,MEDIAN(QUARTILE(F$74:F238,1)-1.5*(QUARTILE(F$74:F238,3)-QUARTILE(F$74:F238,1)),F238,QUARTILE(F$74:F238,3)+1.5*(QUARTILE(F$74:F238,3)-QUARTILE(F$74:F238,1)))))</f>
        <v>1.07119813628193</v>
      </c>
      <c r="O238" s="10" t="n">
        <f aca="false">IF(G238="","",IF(COUNT(G$74:G238)&lt;60,G238,MEDIAN(QUARTILE(G$74:G238,1)-1.5*(QUARTILE(G$74:G238,3)-QUARTILE(G$74:G238,1)),G238,QUARTILE(G$74:G238,3)+1.5*(QUARTILE(G$74:G238,3)-QUARTILE(G$74:G238,1)))))</f>
        <v>0.954087699764165</v>
      </c>
      <c r="P238" s="10" t="n">
        <f aca="false">IF(H238="","",IF(COUNT(H$74:H238)&lt;60,H238,MEDIAN(QUARTILE(H$74:H238,1)-1.5*(QUARTILE(H$74:H238,3)-QUARTILE(H$74:H238,1)),H238,QUARTILE(H$74:H238,3)+1.5*(QUARTILE(H$74:H238,3)-QUARTILE(H$74:H238,1)))))</f>
        <v>0.223139967450502</v>
      </c>
      <c r="Q238" s="10" t="n">
        <f aca="false">IF(I238="","",IF(COUNT(I$74:I238)&lt;60,I238,MEDIAN(QUARTILE(I$74:I238,1)-1.5*(QUARTILE(I$74:I238,3)-QUARTILE(I$74:I238,1)),I238,QUARTILE(I$74:I238,3)+1.5*(QUARTILE(I$74:I238,3)-QUARTILE(I$74:I238,1)))))</f>
        <v>-0.441737545026385</v>
      </c>
      <c r="R238" s="10" t="n">
        <f aca="false">IF(J238="","",MEDIAN(J238:Q238))</f>
        <v>0.116125495581758</v>
      </c>
      <c r="S238" s="10" t="n">
        <f aca="false">IF(R238="","",ABS(R238))</f>
        <v>0.116125495581758</v>
      </c>
      <c r="T238" s="10" t="n">
        <f aca="false">IF(COUNT(S$74:S237)&lt;60,"",MEDIAN(S$74:S237))</f>
        <v>0.419412091212397</v>
      </c>
      <c r="U238" s="10" t="n">
        <f aca="false">IF(R238="","",IF(T238="",0,IF(S238&gt;=T238,R238,0)))</f>
        <v>0</v>
      </c>
      <c r="V238" s="10" t="n">
        <f aca="false">IF(U238="","",MEDIAN(-1,U238,1))</f>
        <v>0</v>
      </c>
      <c r="W238" s="10" t="n">
        <f aca="false">IF(J238="","",AVERAGE(J238:Q238))</f>
        <v>0.338123619624516</v>
      </c>
    </row>
    <row r="239" customFormat="false" ht="15" hidden="false" customHeight="false" outlineLevel="0" collapsed="false">
      <c r="A239" s="8" t="n">
        <f aca="false">Base!A239</f>
        <v>45230</v>
      </c>
      <c r="B239" s="10" t="n">
        <f aca="false">IF(COUNT(Transf!B$39:B239)&lt;36,"",(Transf!B239-AVERAGE(Transf!B$39:B239))/STDEV(Transf!B$39:B239))</f>
        <v>-1.4336950369114</v>
      </c>
      <c r="C239" s="10" t="n">
        <f aca="false">IF(COUNT(Transf!C$39:C239)&lt;36,"",(Transf!C239-AVERAGE(Transf!C$39:C239))/STDEV(Transf!C$39:C239))</f>
        <v>0.117182328026983</v>
      </c>
      <c r="D239" s="10" t="n">
        <f aca="false">IF(COUNT(Transf!D$39:D239)&lt;36,"",(Transf!D239-AVERAGE(Transf!D$39:D239))/STDEV(Transf!D$39:D239))</f>
        <v>-0.0223585409992886</v>
      </c>
      <c r="E239" s="10" t="n">
        <f aca="false">IF(COUNT(Transf!E$39:E239)&lt;36,"",(Transf!E239-AVERAGE(Transf!E$39:E239))/STDEV(Transf!E$39:E239))</f>
        <v>2.38032692906286</v>
      </c>
      <c r="F239" s="10" t="n">
        <f aca="false">IF(COUNT(Transf!F$39:F239)&lt;36,"",(Transf!F239-AVERAGE(Transf!F$39:F239))/STDEV(Transf!F$39:F239))</f>
        <v>1.10703793166305</v>
      </c>
      <c r="G239" s="10" t="n">
        <f aca="false">IF(COUNT(Transf!G$39:G239)&lt;36,"",(Transf!G239-AVERAGE(Transf!G$39:G239))/STDEV(Transf!G$39:G239))</f>
        <v>0.769921542252432</v>
      </c>
      <c r="H239" s="10" t="n">
        <f aca="false">IF(COUNT(Transf!H$39:H239)&lt;36,"",(Transf!H239-AVERAGE(Transf!H$39:H239))/STDEV(Transf!H$39:H239))</f>
        <v>0.426171338670236</v>
      </c>
      <c r="I239" s="10" t="n">
        <f aca="false">IF(COUNT(Transf!I$39:I239)&lt;36,"",(Transf!I239-AVERAGE(Transf!I$39:I239))/STDEV(Transf!I$39:I239))</f>
        <v>-0.72658726312111</v>
      </c>
      <c r="J239" s="10" t="n">
        <f aca="false">IF(B239="","",IF(COUNT(B$74:B239)&lt;60,B239,MEDIAN(QUARTILE(B$74:B239,1)-1.5*(QUARTILE(B$74:B239,3)-QUARTILE(B$74:B239,1)),B239,QUARTILE(B$74:B239,3)+1.5*(QUARTILE(B$74:B239,3)-QUARTILE(B$74:B239,1)))))</f>
        <v>-1.4336950369114</v>
      </c>
      <c r="K239" s="10" t="n">
        <f aca="false">IF(C239="","",IF(COUNT(C$74:C239)&lt;60,C239,MEDIAN(QUARTILE(C$74:C239,1)-1.5*(QUARTILE(C$74:C239,3)-QUARTILE(C$74:C239,1)),C239,QUARTILE(C$74:C239,3)+1.5*(QUARTILE(C$74:C239,3)-QUARTILE(C$74:C239,1)))))</f>
        <v>0.117182328026983</v>
      </c>
      <c r="L239" s="10" t="n">
        <f aca="false">IF(D239="","",IF(COUNT(D$74:D239)&lt;60,D239,MEDIAN(QUARTILE(D$74:D239,1)-1.5*(QUARTILE(D$74:D239,3)-QUARTILE(D$74:D239,1)),D239,QUARTILE(D$74:D239,3)+1.5*(QUARTILE(D$74:D239,3)-QUARTILE(D$74:D239,1)))))</f>
        <v>-0.0223585409992886</v>
      </c>
      <c r="M239" s="10" t="n">
        <f aca="false">IF(E239="","",IF(COUNT(E$74:E239)&lt;60,E239,MEDIAN(QUARTILE(E$74:E239,1)-1.5*(QUARTILE(E$74:E239,3)-QUARTILE(E$74:E239,1)),E239,QUARTILE(E$74:E239,3)+1.5*(QUARTILE(E$74:E239,3)-QUARTILE(E$74:E239,1)))))</f>
        <v>2.38032692906286</v>
      </c>
      <c r="N239" s="10" t="n">
        <f aca="false">IF(F239="","",IF(COUNT(F$74:F239)&lt;60,F239,MEDIAN(QUARTILE(F$74:F239,1)-1.5*(QUARTILE(F$74:F239,3)-QUARTILE(F$74:F239,1)),F239,QUARTILE(F$74:F239,3)+1.5*(QUARTILE(F$74:F239,3)-QUARTILE(F$74:F239,1)))))</f>
        <v>1.10703793166305</v>
      </c>
      <c r="O239" s="10" t="n">
        <f aca="false">IF(G239="","",IF(COUNT(G$74:G239)&lt;60,G239,MEDIAN(QUARTILE(G$74:G239,1)-1.5*(QUARTILE(G$74:G239,3)-QUARTILE(G$74:G239,1)),G239,QUARTILE(G$74:G239,3)+1.5*(QUARTILE(G$74:G239,3)-QUARTILE(G$74:G239,1)))))</f>
        <v>0.769921542252432</v>
      </c>
      <c r="P239" s="10" t="n">
        <f aca="false">IF(H239="","",IF(COUNT(H$74:H239)&lt;60,H239,MEDIAN(QUARTILE(H$74:H239,1)-1.5*(QUARTILE(H$74:H239,3)-QUARTILE(H$74:H239,1)),H239,QUARTILE(H$74:H239,3)+1.5*(QUARTILE(H$74:H239,3)-QUARTILE(H$74:H239,1)))))</f>
        <v>0.426171338670236</v>
      </c>
      <c r="Q239" s="10" t="n">
        <f aca="false">IF(I239="","",IF(COUNT(I$74:I239)&lt;60,I239,MEDIAN(QUARTILE(I$74:I239,1)-1.5*(QUARTILE(I$74:I239,3)-QUARTILE(I$74:I239,1)),I239,QUARTILE(I$74:I239,3)+1.5*(QUARTILE(I$74:I239,3)-QUARTILE(I$74:I239,1)))))</f>
        <v>-0.72658726312111</v>
      </c>
      <c r="R239" s="10" t="n">
        <f aca="false">IF(J239="","",MEDIAN(J239:Q239))</f>
        <v>0.271676833348609</v>
      </c>
      <c r="S239" s="10" t="n">
        <f aca="false">IF(R239="","",ABS(R239))</f>
        <v>0.271676833348609</v>
      </c>
      <c r="T239" s="10" t="n">
        <f aca="false">IF(COUNT(S$74:S238)&lt;60,"",MEDIAN(S$74:S238))</f>
        <v>0.406971242214064</v>
      </c>
      <c r="U239" s="10" t="n">
        <f aca="false">IF(R239="","",IF(T239="",0,IF(S239&gt;=T239,R239,0)))</f>
        <v>0</v>
      </c>
      <c r="V239" s="10" t="n">
        <f aca="false">IF(U239="","",MEDIAN(-1,U239,1))</f>
        <v>0</v>
      </c>
      <c r="W239" s="10" t="n">
        <f aca="false">IF(J239="","",AVERAGE(J239:Q239))</f>
        <v>0.327249903580471</v>
      </c>
    </row>
    <row r="240" customFormat="false" ht="15" hidden="false" customHeight="false" outlineLevel="0" collapsed="false">
      <c r="A240" s="8" t="n">
        <f aca="false">Base!A240</f>
        <v>45260</v>
      </c>
      <c r="B240" s="10" t="n">
        <f aca="false">IF(COUNT(Transf!B$39:B240)&lt;36,"",(Transf!B240-AVERAGE(Transf!B$39:B240))/STDEV(Transf!B$39:B240))</f>
        <v>-1.57465352624288</v>
      </c>
      <c r="C240" s="10" t="n">
        <f aca="false">IF(COUNT(Transf!C$39:C240)&lt;36,"",(Transf!C240-AVERAGE(Transf!C$39:C240))/STDEV(Transf!C$39:C240))</f>
        <v>0.0354204156815426</v>
      </c>
      <c r="D240" s="10" t="n">
        <f aca="false">IF(COUNT(Transf!D$39:D240)&lt;36,"",(Transf!D240-AVERAGE(Transf!D$39:D240))/STDEV(Transf!D$39:D240))</f>
        <v>-0.045788172933084</v>
      </c>
      <c r="E240" s="10" t="n">
        <f aca="false">IF(COUNT(Transf!E$39:E240)&lt;36,"",(Transf!E240-AVERAGE(Transf!E$39:E240))/STDEV(Transf!E$39:E240))</f>
        <v>2.61645676880575</v>
      </c>
      <c r="F240" s="10" t="n">
        <f aca="false">IF(COUNT(Transf!F$39:F240)&lt;36,"",(Transf!F240-AVERAGE(Transf!F$39:F240))/STDEV(Transf!F$39:F240))</f>
        <v>1.25349816134442</v>
      </c>
      <c r="G240" s="10" t="n">
        <f aca="false">IF(COUNT(Transf!G$39:G240)&lt;36,"",(Transf!G240-AVERAGE(Transf!G$39:G240))/STDEV(Transf!G$39:G240))</f>
        <v>0.029075234295606</v>
      </c>
      <c r="H240" s="10" t="n">
        <f aca="false">IF(COUNT(Transf!H$39:H240)&lt;36,"",(Transf!H240-AVERAGE(Transf!H$39:H240))/STDEV(Transf!H$39:H240))</f>
        <v>0.230928209797487</v>
      </c>
      <c r="I240" s="10" t="n">
        <f aca="false">IF(COUNT(Transf!I$39:I240)&lt;36,"",(Transf!I240-AVERAGE(Transf!I$39:I240))/STDEV(Transf!I$39:I240))</f>
        <v>-0.941274001990294</v>
      </c>
      <c r="J240" s="10" t="n">
        <f aca="false">IF(B240="","",IF(COUNT(B$74:B240)&lt;60,B240,MEDIAN(QUARTILE(B$74:B240,1)-1.5*(QUARTILE(B$74:B240,3)-QUARTILE(B$74:B240,1)),B240,QUARTILE(B$74:B240,3)+1.5*(QUARTILE(B$74:B240,3)-QUARTILE(B$74:B240,1)))))</f>
        <v>-1.57465352624288</v>
      </c>
      <c r="K240" s="10" t="n">
        <f aca="false">IF(C240="","",IF(COUNT(C$74:C240)&lt;60,C240,MEDIAN(QUARTILE(C$74:C240,1)-1.5*(QUARTILE(C$74:C240,3)-QUARTILE(C$74:C240,1)),C240,QUARTILE(C$74:C240,3)+1.5*(QUARTILE(C$74:C240,3)-QUARTILE(C$74:C240,1)))))</f>
        <v>0.0354204156815426</v>
      </c>
      <c r="L240" s="10" t="n">
        <f aca="false">IF(D240="","",IF(COUNT(D$74:D240)&lt;60,D240,MEDIAN(QUARTILE(D$74:D240,1)-1.5*(QUARTILE(D$74:D240,3)-QUARTILE(D$74:D240,1)),D240,QUARTILE(D$74:D240,3)+1.5*(QUARTILE(D$74:D240,3)-QUARTILE(D$74:D240,1)))))</f>
        <v>-0.045788172933084</v>
      </c>
      <c r="M240" s="10" t="n">
        <f aca="false">IF(E240="","",IF(COUNT(E$74:E240)&lt;60,E240,MEDIAN(QUARTILE(E$74:E240,1)-1.5*(QUARTILE(E$74:E240,3)-QUARTILE(E$74:E240,1)),E240,QUARTILE(E$74:E240,3)+1.5*(QUARTILE(E$74:E240,3)-QUARTILE(E$74:E240,1)))))</f>
        <v>2.61645676880575</v>
      </c>
      <c r="N240" s="10" t="n">
        <f aca="false">IF(F240="","",IF(COUNT(F$74:F240)&lt;60,F240,MEDIAN(QUARTILE(F$74:F240,1)-1.5*(QUARTILE(F$74:F240,3)-QUARTILE(F$74:F240,1)),F240,QUARTILE(F$74:F240,3)+1.5*(QUARTILE(F$74:F240,3)-QUARTILE(F$74:F240,1)))))</f>
        <v>1.25349816134442</v>
      </c>
      <c r="O240" s="10" t="n">
        <f aca="false">IF(G240="","",IF(COUNT(G$74:G240)&lt;60,G240,MEDIAN(QUARTILE(G$74:G240,1)-1.5*(QUARTILE(G$74:G240,3)-QUARTILE(G$74:G240,1)),G240,QUARTILE(G$74:G240,3)+1.5*(QUARTILE(G$74:G240,3)-QUARTILE(G$74:G240,1)))))</f>
        <v>0.029075234295606</v>
      </c>
      <c r="P240" s="10" t="n">
        <f aca="false">IF(H240="","",IF(COUNT(H$74:H240)&lt;60,H240,MEDIAN(QUARTILE(H$74:H240,1)-1.5*(QUARTILE(H$74:H240,3)-QUARTILE(H$74:H240,1)),H240,QUARTILE(H$74:H240,3)+1.5*(QUARTILE(H$74:H240,3)-QUARTILE(H$74:H240,1)))))</f>
        <v>0.230928209797487</v>
      </c>
      <c r="Q240" s="10" t="n">
        <f aca="false">IF(I240="","",IF(COUNT(I$74:I240)&lt;60,I240,MEDIAN(QUARTILE(I$74:I240,1)-1.5*(QUARTILE(I$74:I240,3)-QUARTILE(I$74:I240,1)),I240,QUARTILE(I$74:I240,3)+1.5*(QUARTILE(I$74:I240,3)-QUARTILE(I$74:I240,1)))))</f>
        <v>-0.941274001990294</v>
      </c>
      <c r="R240" s="10" t="n">
        <f aca="false">IF(J240="","",MEDIAN(J240:Q240))</f>
        <v>0.0322478249885743</v>
      </c>
      <c r="S240" s="10" t="n">
        <f aca="false">IF(R240="","",ABS(R240))</f>
        <v>0.0322478249885743</v>
      </c>
      <c r="T240" s="10" t="n">
        <f aca="false">IF(COUNT(S$74:S239)&lt;60,"",MEDIAN(S$74:S239))</f>
        <v>0.390459475796028</v>
      </c>
      <c r="U240" s="10" t="n">
        <f aca="false">IF(R240="","",IF(T240="",0,IF(S240&gt;=T240,R240,0)))</f>
        <v>0</v>
      </c>
      <c r="V240" s="10" t="n">
        <f aca="false">IF(U240="","",MEDIAN(-1,U240,1))</f>
        <v>0</v>
      </c>
      <c r="W240" s="10" t="n">
        <f aca="false">IF(J240="","",AVERAGE(J240:Q240))</f>
        <v>0.20045788609482</v>
      </c>
    </row>
    <row r="241" customFormat="false" ht="15" hidden="false" customHeight="false" outlineLevel="0" collapsed="false">
      <c r="A241" s="8" t="n">
        <f aca="false">Base!A241</f>
        <v>45291</v>
      </c>
      <c r="B241" s="10" t="n">
        <f aca="false">IF(COUNT(Transf!B$39:B241)&lt;36,"",(Transf!B241-AVERAGE(Transf!B$39:B241))/STDEV(Transf!B$39:B241))</f>
        <v>-1.40633966838777</v>
      </c>
      <c r="C241" s="10" t="n">
        <f aca="false">IF(COUNT(Transf!C$39:C241)&lt;36,"",(Transf!C241-AVERAGE(Transf!C$39:C241))/STDEV(Transf!C$39:C241))</f>
        <v>-0.198840528739766</v>
      </c>
      <c r="D241" s="10" t="n">
        <f aca="false">IF(COUNT(Transf!D$39:D241)&lt;36,"",(Transf!D241-AVERAGE(Transf!D$39:D241))/STDEV(Transf!D$39:D241))</f>
        <v>-0.100167973575309</v>
      </c>
      <c r="E241" s="10" t="n">
        <f aca="false">IF(COUNT(Transf!E$39:E241)&lt;36,"",(Transf!E241-AVERAGE(Transf!E$39:E241))/STDEV(Transf!E$39:E241))</f>
        <v>3.69358206362367</v>
      </c>
      <c r="F241" s="10" t="n">
        <f aca="false">IF(COUNT(Transf!F$39:F241)&lt;36,"",(Transf!F241-AVERAGE(Transf!F$39:F241))/STDEV(Transf!F$39:F241))</f>
        <v>1.43253115095189</v>
      </c>
      <c r="G241" s="10" t="n">
        <f aca="false">IF(COUNT(Transf!G$39:G241)&lt;36,"",(Transf!G241-AVERAGE(Transf!G$39:G241))/STDEV(Transf!G$39:G241))</f>
        <v>1.18534439468221</v>
      </c>
      <c r="H241" s="10" t="n">
        <f aca="false">IF(COUNT(Transf!H$39:H241)&lt;36,"",(Transf!H241-AVERAGE(Transf!H$39:H241))/STDEV(Transf!H$39:H241))</f>
        <v>0.0418119959595914</v>
      </c>
      <c r="I241" s="10" t="n">
        <f aca="false">IF(COUNT(Transf!I$39:I241)&lt;36,"",(Transf!I241-AVERAGE(Transf!I$39:I241))/STDEV(Transf!I$39:I241))</f>
        <v>-0.957537840593675</v>
      </c>
      <c r="J241" s="10" t="n">
        <f aca="false">IF(B241="","",IF(COUNT(B$74:B241)&lt;60,B241,MEDIAN(QUARTILE(B$74:B241,1)-1.5*(QUARTILE(B$74:B241,3)-QUARTILE(B$74:B241,1)),B241,QUARTILE(B$74:B241,3)+1.5*(QUARTILE(B$74:B241,3)-QUARTILE(B$74:B241,1)))))</f>
        <v>-1.40633966838777</v>
      </c>
      <c r="K241" s="10" t="n">
        <f aca="false">IF(C241="","",IF(COUNT(C$74:C241)&lt;60,C241,MEDIAN(QUARTILE(C$74:C241,1)-1.5*(QUARTILE(C$74:C241,3)-QUARTILE(C$74:C241,1)),C241,QUARTILE(C$74:C241,3)+1.5*(QUARTILE(C$74:C241,3)-QUARTILE(C$74:C241,1)))))</f>
        <v>-0.198840528739766</v>
      </c>
      <c r="L241" s="10" t="n">
        <f aca="false">IF(D241="","",IF(COUNT(D$74:D241)&lt;60,D241,MEDIAN(QUARTILE(D$74:D241,1)-1.5*(QUARTILE(D$74:D241,3)-QUARTILE(D$74:D241,1)),D241,QUARTILE(D$74:D241,3)+1.5*(QUARTILE(D$74:D241,3)-QUARTILE(D$74:D241,1)))))</f>
        <v>-0.100167973575309</v>
      </c>
      <c r="M241" s="10" t="n">
        <f aca="false">IF(E241="","",IF(COUNT(E$74:E241)&lt;60,E241,MEDIAN(QUARTILE(E$74:E241,1)-1.5*(QUARTILE(E$74:E241,3)-QUARTILE(E$74:E241,1)),E241,QUARTILE(E$74:E241,3)+1.5*(QUARTILE(E$74:E241,3)-QUARTILE(E$74:E241,1)))))</f>
        <v>3.69358206362367</v>
      </c>
      <c r="N241" s="10" t="n">
        <f aca="false">IF(F241="","",IF(COUNT(F$74:F241)&lt;60,F241,MEDIAN(QUARTILE(F$74:F241,1)-1.5*(QUARTILE(F$74:F241,3)-QUARTILE(F$74:F241,1)),F241,QUARTILE(F$74:F241,3)+1.5*(QUARTILE(F$74:F241,3)-QUARTILE(F$74:F241,1)))))</f>
        <v>1.43253115095189</v>
      </c>
      <c r="O241" s="10" t="n">
        <f aca="false">IF(G241="","",IF(COUNT(G$74:G241)&lt;60,G241,MEDIAN(QUARTILE(G$74:G241,1)-1.5*(QUARTILE(G$74:G241,3)-QUARTILE(G$74:G241,1)),G241,QUARTILE(G$74:G241,3)+1.5*(QUARTILE(G$74:G241,3)-QUARTILE(G$74:G241,1)))))</f>
        <v>1.18534439468221</v>
      </c>
      <c r="P241" s="10" t="n">
        <f aca="false">IF(H241="","",IF(COUNT(H$74:H241)&lt;60,H241,MEDIAN(QUARTILE(H$74:H241,1)-1.5*(QUARTILE(H$74:H241,3)-QUARTILE(H$74:H241,1)),H241,QUARTILE(H$74:H241,3)+1.5*(QUARTILE(H$74:H241,3)-QUARTILE(H$74:H241,1)))))</f>
        <v>0.0418119959595914</v>
      </c>
      <c r="Q241" s="10" t="n">
        <f aca="false">IF(I241="","",IF(COUNT(I$74:I241)&lt;60,I241,MEDIAN(QUARTILE(I$74:I241,1)-1.5*(QUARTILE(I$74:I241,3)-QUARTILE(I$74:I241,1)),I241,QUARTILE(I$74:I241,3)+1.5*(QUARTILE(I$74:I241,3)-QUARTILE(I$74:I241,1)))))</f>
        <v>-0.957537840593675</v>
      </c>
      <c r="R241" s="10" t="n">
        <f aca="false">IF(J241="","",MEDIAN(J241:Q241))</f>
        <v>-0.0291779888078587</v>
      </c>
      <c r="S241" s="10" t="n">
        <f aca="false">IF(R241="","",ABS(R241))</f>
        <v>0.0291779888078587</v>
      </c>
      <c r="T241" s="10" t="n">
        <f aca="false">IF(COUNT(S$74:S240)&lt;60,"",MEDIAN(S$74:S240))</f>
        <v>0.373947709377991</v>
      </c>
      <c r="U241" s="10" t="n">
        <f aca="false">IF(R241="","",IF(T241="",0,IF(S241&gt;=T241,R241,0)))</f>
        <v>0</v>
      </c>
      <c r="V241" s="10" t="n">
        <f aca="false">IF(U241="","",MEDIAN(-1,U241,1))</f>
        <v>0</v>
      </c>
      <c r="W241" s="10" t="n">
        <f aca="false">IF(J241="","",AVERAGE(J241:Q241))</f>
        <v>0.461297949240104</v>
      </c>
    </row>
    <row r="242" customFormat="false" ht="15" hidden="false" customHeight="false" outlineLevel="0" collapsed="false">
      <c r="A242" s="8" t="n">
        <f aca="false">Base!A242</f>
        <v>45322</v>
      </c>
      <c r="B242" s="10" t="n">
        <f aca="false">IF(COUNT(Transf!B$39:B242)&lt;36,"",(Transf!B242-AVERAGE(Transf!B$39:B242))/STDEV(Transf!B$39:B242))</f>
        <v>-0.689461958193357</v>
      </c>
      <c r="C242" s="10" t="n">
        <f aca="false">IF(COUNT(Transf!C$39:C242)&lt;36,"",(Transf!C242-AVERAGE(Transf!C$39:C242))/STDEV(Transf!C$39:C242))</f>
        <v>-0.459366095498347</v>
      </c>
      <c r="D242" s="10" t="n">
        <f aca="false">IF(COUNT(Transf!D$39:D242)&lt;36,"",(Transf!D242-AVERAGE(Transf!D$39:D242))/STDEV(Transf!D$39:D242))</f>
        <v>-0.0590834527366802</v>
      </c>
      <c r="E242" s="10" t="n">
        <f aca="false">IF(COUNT(Transf!E$39:E242)&lt;36,"",(Transf!E242-AVERAGE(Transf!E$39:E242))/STDEV(Transf!E$39:E242))</f>
        <v>5.40279940034705</v>
      </c>
      <c r="F242" s="10" t="n">
        <f aca="false">IF(COUNT(Transf!F$39:F242)&lt;36,"",(Transf!F242-AVERAGE(Transf!F$39:F242))/STDEV(Transf!F$39:F242))</f>
        <v>1.49902923139025</v>
      </c>
      <c r="G242" s="10" t="n">
        <f aca="false">IF(COUNT(Transf!G$39:G242)&lt;36,"",(Transf!G242-AVERAGE(Transf!G$39:G242))/STDEV(Transf!G$39:G242))</f>
        <v>1.85978375362057</v>
      </c>
      <c r="H242" s="10" t="n">
        <f aca="false">IF(COUNT(Transf!H$39:H242)&lt;36,"",(Transf!H242-AVERAGE(Transf!H$39:H242))/STDEV(Transf!H$39:H242))</f>
        <v>0.148076618478753</v>
      </c>
      <c r="I242" s="10" t="n">
        <f aca="false">IF(COUNT(Transf!I$39:I242)&lt;36,"",(Transf!I242-AVERAGE(Transf!I$39:I242))/STDEV(Transf!I$39:I242))</f>
        <v>-0.903328427308269</v>
      </c>
      <c r="J242" s="10" t="n">
        <f aca="false">IF(B242="","",IF(COUNT(B$74:B242)&lt;60,B242,MEDIAN(QUARTILE(B$74:B242,1)-1.5*(QUARTILE(B$74:B242,3)-QUARTILE(B$74:B242,1)),B242,QUARTILE(B$74:B242,3)+1.5*(QUARTILE(B$74:B242,3)-QUARTILE(B$74:B242,1)))))</f>
        <v>-0.689461958193357</v>
      </c>
      <c r="K242" s="10" t="n">
        <f aca="false">IF(C242="","",IF(COUNT(C$74:C242)&lt;60,C242,MEDIAN(QUARTILE(C$74:C242,1)-1.5*(QUARTILE(C$74:C242,3)-QUARTILE(C$74:C242,1)),C242,QUARTILE(C$74:C242,3)+1.5*(QUARTILE(C$74:C242,3)-QUARTILE(C$74:C242,1)))))</f>
        <v>-0.459366095498347</v>
      </c>
      <c r="L242" s="10" t="n">
        <f aca="false">IF(D242="","",IF(COUNT(D$74:D242)&lt;60,D242,MEDIAN(QUARTILE(D$74:D242,1)-1.5*(QUARTILE(D$74:D242,3)-QUARTILE(D$74:D242,1)),D242,QUARTILE(D$74:D242,3)+1.5*(QUARTILE(D$74:D242,3)-QUARTILE(D$74:D242,1)))))</f>
        <v>-0.0590834527366802</v>
      </c>
      <c r="M242" s="10" t="n">
        <f aca="false">IF(E242="","",IF(COUNT(E$74:E242)&lt;60,E242,MEDIAN(QUARTILE(E$74:E242,1)-1.5*(QUARTILE(E$74:E242,3)-QUARTILE(E$74:E242,1)),E242,QUARTILE(E$74:E242,3)+1.5*(QUARTILE(E$74:E242,3)-QUARTILE(E$74:E242,1)))))</f>
        <v>5.16908363843598</v>
      </c>
      <c r="N242" s="10" t="n">
        <f aca="false">IF(F242="","",IF(COUNT(F$74:F242)&lt;60,F242,MEDIAN(QUARTILE(F$74:F242,1)-1.5*(QUARTILE(F$74:F242,3)-QUARTILE(F$74:F242,1)),F242,QUARTILE(F$74:F242,3)+1.5*(QUARTILE(F$74:F242,3)-QUARTILE(F$74:F242,1)))))</f>
        <v>1.49902923139025</v>
      </c>
      <c r="O242" s="10" t="n">
        <f aca="false">IF(G242="","",IF(COUNT(G$74:G242)&lt;60,G242,MEDIAN(QUARTILE(G$74:G242,1)-1.5*(QUARTILE(G$74:G242,3)-QUARTILE(G$74:G242,1)),G242,QUARTILE(G$74:G242,3)+1.5*(QUARTILE(G$74:G242,3)-QUARTILE(G$74:G242,1)))))</f>
        <v>1.85978375362057</v>
      </c>
      <c r="P242" s="10" t="n">
        <f aca="false">IF(H242="","",IF(COUNT(H$74:H242)&lt;60,H242,MEDIAN(QUARTILE(H$74:H242,1)-1.5*(QUARTILE(H$74:H242,3)-QUARTILE(H$74:H242,1)),H242,QUARTILE(H$74:H242,3)+1.5*(QUARTILE(H$74:H242,3)-QUARTILE(H$74:H242,1)))))</f>
        <v>0.148076618478753</v>
      </c>
      <c r="Q242" s="10" t="n">
        <f aca="false">IF(I242="","",IF(COUNT(I$74:I242)&lt;60,I242,MEDIAN(QUARTILE(I$74:I242,1)-1.5*(QUARTILE(I$74:I242,3)-QUARTILE(I$74:I242,1)),I242,QUARTILE(I$74:I242,3)+1.5*(QUARTILE(I$74:I242,3)-QUARTILE(I$74:I242,1)))))</f>
        <v>-0.903328427308269</v>
      </c>
      <c r="R242" s="10" t="n">
        <f aca="false">IF(J242="","",MEDIAN(J242:Q242))</f>
        <v>0.0444965828710363</v>
      </c>
      <c r="S242" s="10" t="n">
        <f aca="false">IF(R242="","",ABS(R242))</f>
        <v>0.0444965828710363</v>
      </c>
      <c r="T242" s="10" t="n">
        <f aca="false">IF(COUNT(S$74:S241)&lt;60,"",MEDIAN(S$74:S241))</f>
        <v>0.371864556523883</v>
      </c>
      <c r="U242" s="10" t="n">
        <f aca="false">IF(R242="","",IF(T242="",0,IF(S242&gt;=T242,R242,0)))</f>
        <v>0</v>
      </c>
      <c r="V242" s="10" t="n">
        <f aca="false">IF(U242="","",MEDIAN(-1,U242,1))</f>
        <v>0</v>
      </c>
      <c r="W242" s="10" t="n">
        <f aca="false">IF(J242="","",AVERAGE(J242:Q242))</f>
        <v>0.820591663523612</v>
      </c>
    </row>
    <row r="243" customFormat="false" ht="15" hidden="false" customHeight="false" outlineLevel="0" collapsed="false">
      <c r="A243" s="8" t="n">
        <f aca="false">Base!A243</f>
        <v>45351</v>
      </c>
      <c r="B243" s="10" t="n">
        <f aca="false">IF(COUNT(Transf!B$39:B243)&lt;36,"",(Transf!B243-AVERAGE(Transf!B$39:B243))/STDEV(Transf!B$39:B243))</f>
        <v>-0.0832710281428658</v>
      </c>
      <c r="C243" s="10" t="n">
        <f aca="false">IF(COUNT(Transf!C$39:C243)&lt;36,"",(Transf!C243-AVERAGE(Transf!C$39:C243))/STDEV(Transf!C$39:C243))</f>
        <v>-0.560291426262328</v>
      </c>
      <c r="D243" s="10" t="n">
        <f aca="false">IF(COUNT(Transf!D$39:D243)&lt;36,"",(Transf!D243-AVERAGE(Transf!D$39:D243))/STDEV(Transf!D$39:D243))</f>
        <v>-0.0818014113394259</v>
      </c>
      <c r="E243" s="10" t="n">
        <f aca="false">IF(COUNT(Transf!E$39:E243)&lt;36,"",(Transf!E243-AVERAGE(Transf!E$39:E243))/STDEV(Transf!E$39:E243))</f>
        <v>7.12788310851518</v>
      </c>
      <c r="F243" s="10" t="n">
        <f aca="false">IF(COUNT(Transf!F$39:F243)&lt;36,"",(Transf!F243-AVERAGE(Transf!F$39:F243))/STDEV(Transf!F$39:F243))</f>
        <v>1.35637818915694</v>
      </c>
      <c r="G243" s="10" t="n">
        <f aca="false">IF(COUNT(Transf!G$39:G243)&lt;36,"",(Transf!G243-AVERAGE(Transf!G$39:G243))/STDEV(Transf!G$39:G243))</f>
        <v>2.50564990314278</v>
      </c>
      <c r="H243" s="10" t="n">
        <f aca="false">IF(COUNT(Transf!H$39:H243)&lt;36,"",(Transf!H243-AVERAGE(Transf!H$39:H243))/STDEV(Transf!H$39:H243))</f>
        <v>0.594612041693032</v>
      </c>
      <c r="I243" s="10" t="n">
        <f aca="false">IF(COUNT(Transf!I$39:I243)&lt;36,"",(Transf!I243-AVERAGE(Transf!I$39:I243))/STDEV(Transf!I$39:I243))</f>
        <v>-0.809250101769648</v>
      </c>
      <c r="J243" s="10" t="n">
        <f aca="false">IF(B243="","",IF(COUNT(B$74:B243)&lt;60,B243,MEDIAN(QUARTILE(B$74:B243,1)-1.5*(QUARTILE(B$74:B243,3)-QUARTILE(B$74:B243,1)),B243,QUARTILE(B$74:B243,3)+1.5*(QUARTILE(B$74:B243,3)-QUARTILE(B$74:B243,1)))))</f>
        <v>-0.0832710281428658</v>
      </c>
      <c r="K243" s="10" t="n">
        <f aca="false">IF(C243="","",IF(COUNT(C$74:C243)&lt;60,C243,MEDIAN(QUARTILE(C$74:C243,1)-1.5*(QUARTILE(C$74:C243,3)-QUARTILE(C$74:C243,1)),C243,QUARTILE(C$74:C243,3)+1.5*(QUARTILE(C$74:C243,3)-QUARTILE(C$74:C243,1)))))</f>
        <v>-0.560291426262328</v>
      </c>
      <c r="L243" s="10" t="n">
        <f aca="false">IF(D243="","",IF(COUNT(D$74:D243)&lt;60,D243,MEDIAN(QUARTILE(D$74:D243,1)-1.5*(QUARTILE(D$74:D243,3)-QUARTILE(D$74:D243,1)),D243,QUARTILE(D$74:D243,3)+1.5*(QUARTILE(D$74:D243,3)-QUARTILE(D$74:D243,1)))))</f>
        <v>-0.0818014113394259</v>
      </c>
      <c r="M243" s="10" t="n">
        <f aca="false">IF(E243="","",IF(COUNT(E$74:E243)&lt;60,E243,MEDIAN(QUARTILE(E$74:E243,1)-1.5*(QUARTILE(E$74:E243,3)-QUARTILE(E$74:E243,1)),E243,QUARTILE(E$74:E243,3)+1.5*(QUARTILE(E$74:E243,3)-QUARTILE(E$74:E243,1)))))</f>
        <v>5.16973423091923</v>
      </c>
      <c r="N243" s="10" t="n">
        <f aca="false">IF(F243="","",IF(COUNT(F$74:F243)&lt;60,F243,MEDIAN(QUARTILE(F$74:F243,1)-1.5*(QUARTILE(F$74:F243,3)-QUARTILE(F$74:F243,1)),F243,QUARTILE(F$74:F243,3)+1.5*(QUARTILE(F$74:F243,3)-QUARTILE(F$74:F243,1)))))</f>
        <v>1.35637818915694</v>
      </c>
      <c r="O243" s="10" t="n">
        <f aca="false">IF(G243="","",IF(COUNT(G$74:G243)&lt;60,G243,MEDIAN(QUARTILE(G$74:G243,1)-1.5*(QUARTILE(G$74:G243,3)-QUARTILE(G$74:G243,1)),G243,QUARTILE(G$74:G243,3)+1.5*(QUARTILE(G$74:G243,3)-QUARTILE(G$74:G243,1)))))</f>
        <v>2.50564990314278</v>
      </c>
      <c r="P243" s="10" t="n">
        <f aca="false">IF(H243="","",IF(COUNT(H$74:H243)&lt;60,H243,MEDIAN(QUARTILE(H$74:H243,1)-1.5*(QUARTILE(H$74:H243,3)-QUARTILE(H$74:H243,1)),H243,QUARTILE(H$74:H243,3)+1.5*(QUARTILE(H$74:H243,3)-QUARTILE(H$74:H243,1)))))</f>
        <v>0.594612041693032</v>
      </c>
      <c r="Q243" s="10" t="n">
        <f aca="false">IF(I243="","",IF(COUNT(I$74:I243)&lt;60,I243,MEDIAN(QUARTILE(I$74:I243,1)-1.5*(QUARTILE(I$74:I243,3)-QUARTILE(I$74:I243,1)),I243,QUARTILE(I$74:I243,3)+1.5*(QUARTILE(I$74:I243,3)-QUARTILE(I$74:I243,1)))))</f>
        <v>-0.809250101769648</v>
      </c>
      <c r="R243" s="10" t="n">
        <f aca="false">IF(J243="","",MEDIAN(J243:Q243))</f>
        <v>0.256405315176803</v>
      </c>
      <c r="S243" s="10" t="n">
        <f aca="false">IF(R243="","",ABS(R243))</f>
        <v>0.256405315176803</v>
      </c>
      <c r="T243" s="10" t="n">
        <f aca="false">IF(COUNT(S$74:S242)&lt;60,"",MEDIAN(S$74:S242))</f>
        <v>0.369781403669774</v>
      </c>
      <c r="U243" s="10" t="n">
        <f aca="false">IF(R243="","",IF(T243="",0,IF(S243&gt;=T243,R243,0)))</f>
        <v>0</v>
      </c>
      <c r="V243" s="10" t="n">
        <f aca="false">IF(U243="","",MEDIAN(-1,U243,1))</f>
        <v>0</v>
      </c>
      <c r="W243" s="10" t="n">
        <f aca="false">IF(J243="","",AVERAGE(J243:Q243))</f>
        <v>1.01147004967472</v>
      </c>
    </row>
    <row r="244" customFormat="false" ht="15" hidden="false" customHeight="false" outlineLevel="0" collapsed="false">
      <c r="A244" s="8" t="n">
        <f aca="false">Base!A244</f>
        <v>45382</v>
      </c>
      <c r="B244" s="10" t="n">
        <f aca="false">IF(COUNT(Transf!B$39:B244)&lt;36,"",(Transf!B244-AVERAGE(Transf!B$39:B244))/STDEV(Transf!B$39:B244))</f>
        <v>0.348595247210461</v>
      </c>
      <c r="C244" s="10" t="n">
        <f aca="false">IF(COUNT(Transf!C$39:C244)&lt;36,"",(Transf!C244-AVERAGE(Transf!C$39:C244))/STDEV(Transf!C$39:C244))</f>
        <v>-0.746194850968707</v>
      </c>
      <c r="D244" s="10" t="n">
        <f aca="false">IF(COUNT(Transf!D$39:D244)&lt;36,"",(Transf!D244-AVERAGE(Transf!D$39:D244))/STDEV(Transf!D$39:D244))</f>
        <v>-0.0997231758535547</v>
      </c>
      <c r="E244" s="10" t="n">
        <f aca="false">IF(COUNT(Transf!E$39:E244)&lt;36,"",(Transf!E244-AVERAGE(Transf!E$39:E244))/STDEV(Transf!E$39:E244))</f>
        <v>7.72017269891155</v>
      </c>
      <c r="F244" s="10" t="n">
        <f aca="false">IF(COUNT(Transf!F$39:F244)&lt;36,"",(Transf!F244-AVERAGE(Transf!F$39:F244))/STDEV(Transf!F$39:F244))</f>
        <v>1.175794265824</v>
      </c>
      <c r="G244" s="10" t="n">
        <f aca="false">IF(COUNT(Transf!G$39:G244)&lt;36,"",(Transf!G244-AVERAGE(Transf!G$39:G244))/STDEV(Transf!G$39:G244))</f>
        <v>1.3733070560172</v>
      </c>
      <c r="H244" s="10" t="n">
        <f aca="false">IF(COUNT(Transf!H$39:H244)&lt;36,"",(Transf!H244-AVERAGE(Transf!H$39:H244))/STDEV(Transf!H$39:H244))</f>
        <v>0.794887697593838</v>
      </c>
      <c r="I244" s="10" t="n">
        <f aca="false">IF(COUNT(Transf!I$39:I244)&lt;36,"",(Transf!I244-AVERAGE(Transf!I$39:I244))/STDEV(Transf!I$39:I244))</f>
        <v>-0.708345056559921</v>
      </c>
      <c r="J244" s="10" t="n">
        <f aca="false">IF(B244="","",IF(COUNT(B$74:B244)&lt;60,B244,MEDIAN(QUARTILE(B$74:B244,1)-1.5*(QUARTILE(B$74:B244,3)-QUARTILE(B$74:B244,1)),B244,QUARTILE(B$74:B244,3)+1.5*(QUARTILE(B$74:B244,3)-QUARTILE(B$74:B244,1)))))</f>
        <v>0.348595247210461</v>
      </c>
      <c r="K244" s="10" t="n">
        <f aca="false">IF(C244="","",IF(COUNT(C$74:C244)&lt;60,C244,MEDIAN(QUARTILE(C$74:C244,1)-1.5*(QUARTILE(C$74:C244,3)-QUARTILE(C$74:C244,1)),C244,QUARTILE(C$74:C244,3)+1.5*(QUARTILE(C$74:C244,3)-QUARTILE(C$74:C244,1)))))</f>
        <v>-0.746194850968707</v>
      </c>
      <c r="L244" s="10" t="n">
        <f aca="false">IF(D244="","",IF(COUNT(D$74:D244)&lt;60,D244,MEDIAN(QUARTILE(D$74:D244,1)-1.5*(QUARTILE(D$74:D244,3)-QUARTILE(D$74:D244,1)),D244,QUARTILE(D$74:D244,3)+1.5*(QUARTILE(D$74:D244,3)-QUARTILE(D$74:D244,1)))))</f>
        <v>-0.0997231758535547</v>
      </c>
      <c r="M244" s="10" t="n">
        <f aca="false">IF(E244="","",IF(COUNT(E$74:E244)&lt;60,E244,MEDIAN(QUARTILE(E$74:E244,1)-1.5*(QUARTILE(E$74:E244,3)-QUARTILE(E$74:E244,1)),E244,QUARTILE(E$74:E244,3)+1.5*(QUARTILE(E$74:E244,3)-QUARTILE(E$74:E244,1)))))</f>
        <v>5.16988854865356</v>
      </c>
      <c r="N244" s="10" t="n">
        <f aca="false">IF(F244="","",IF(COUNT(F$74:F244)&lt;60,F244,MEDIAN(QUARTILE(F$74:F244,1)-1.5*(QUARTILE(F$74:F244,3)-QUARTILE(F$74:F244,1)),F244,QUARTILE(F$74:F244,3)+1.5*(QUARTILE(F$74:F244,3)-QUARTILE(F$74:F244,1)))))</f>
        <v>1.175794265824</v>
      </c>
      <c r="O244" s="10" t="n">
        <f aca="false">IF(G244="","",IF(COUNT(G$74:G244)&lt;60,G244,MEDIAN(QUARTILE(G$74:G244,1)-1.5*(QUARTILE(G$74:G244,3)-QUARTILE(G$74:G244,1)),G244,QUARTILE(G$74:G244,3)+1.5*(QUARTILE(G$74:G244,3)-QUARTILE(G$74:G244,1)))))</f>
        <v>1.3733070560172</v>
      </c>
      <c r="P244" s="10" t="n">
        <f aca="false">IF(H244="","",IF(COUNT(H$74:H244)&lt;60,H244,MEDIAN(QUARTILE(H$74:H244,1)-1.5*(QUARTILE(H$74:H244,3)-QUARTILE(H$74:H244,1)),H244,QUARTILE(H$74:H244,3)+1.5*(QUARTILE(H$74:H244,3)-QUARTILE(H$74:H244,1)))))</f>
        <v>0.794887697593838</v>
      </c>
      <c r="Q244" s="10" t="n">
        <f aca="false">IF(I244="","",IF(COUNT(I$74:I244)&lt;60,I244,MEDIAN(QUARTILE(I$74:I244,1)-1.5*(QUARTILE(I$74:I244,3)-QUARTILE(I$74:I244,1)),I244,QUARTILE(I$74:I244,3)+1.5*(QUARTILE(I$74:I244,3)-QUARTILE(I$74:I244,1)))))</f>
        <v>-0.708345056559921</v>
      </c>
      <c r="R244" s="10" t="n">
        <f aca="false">IF(J244="","",MEDIAN(J244:Q244))</f>
        <v>0.571741472402149</v>
      </c>
      <c r="S244" s="10" t="n">
        <f aca="false">IF(R244="","",ABS(R244))</f>
        <v>0.571741472402149</v>
      </c>
      <c r="T244" s="10" t="n">
        <f aca="false">IF(COUNT(S$74:S243)&lt;60,"",MEDIAN(S$74:S243))</f>
        <v>0.369651352490435</v>
      </c>
      <c r="U244" s="10" t="n">
        <f aca="false">IF(R244="","",IF(T244="",0,IF(S244&gt;=T244,R244,0)))</f>
        <v>0.571741472402149</v>
      </c>
      <c r="V244" s="10" t="n">
        <f aca="false">IF(U244="","",MEDIAN(-1,U244,1))</f>
        <v>0.571741472402149</v>
      </c>
      <c r="W244" s="10" t="n">
        <f aca="false">IF(J244="","",AVERAGE(J244:Q244))</f>
        <v>0.913526216489609</v>
      </c>
    </row>
    <row r="245" customFormat="false" ht="15" hidden="false" customHeight="false" outlineLevel="0" collapsed="false">
      <c r="A245" s="8" t="n">
        <f aca="false">Base!A245</f>
        <v>45412</v>
      </c>
      <c r="B245" s="10" t="n">
        <f aca="false">IF(COUNT(Transf!B$39:B245)&lt;36,"",(Transf!B245-AVERAGE(Transf!B$39:B245))/STDEV(Transf!B$39:B245))</f>
        <v>0.37321959494091</v>
      </c>
      <c r="C245" s="10" t="n">
        <f aca="false">IF(COUNT(Transf!C$39:C245)&lt;36,"",(Transf!C245-AVERAGE(Transf!C$39:C245))/STDEV(Transf!C$39:C245))</f>
        <v>-0.634093444389994</v>
      </c>
      <c r="D245" s="10" t="n">
        <f aca="false">IF(COUNT(Transf!D$39:D245)&lt;36,"",(Transf!D245-AVERAGE(Transf!D$39:D245))/STDEV(Transf!D$39:D245))</f>
        <v>-0.0481902627831305</v>
      </c>
      <c r="E245" s="10" t="n">
        <f aca="false">IF(COUNT(Transf!E$39:E245)&lt;36,"",(Transf!E245-AVERAGE(Transf!E$39:E245))/STDEV(Transf!E$39:E245))</f>
        <v>7.45895964552798</v>
      </c>
      <c r="F245" s="10" t="n">
        <f aca="false">IF(COUNT(Transf!F$39:F245)&lt;36,"",(Transf!F245-AVERAGE(Transf!F$39:F245))/STDEV(Transf!F$39:F245))</f>
        <v>1.15260066483252</v>
      </c>
      <c r="G245" s="10" t="n">
        <f aca="false">IF(COUNT(Transf!G$39:G245)&lt;36,"",(Transf!G245-AVERAGE(Transf!G$39:G245))/STDEV(Transf!G$39:G245))</f>
        <v>0.745249723558077</v>
      </c>
      <c r="H245" s="10" t="n">
        <f aca="false">IF(COUNT(Transf!H$39:H245)&lt;36,"",(Transf!H245-AVERAGE(Transf!H$39:H245))/STDEV(Transf!H$39:H245))</f>
        <v>0.568797331782191</v>
      </c>
      <c r="I245" s="10" t="n">
        <f aca="false">IF(COUNT(Transf!I$39:I245)&lt;36,"",(Transf!I245-AVERAGE(Transf!I$39:I245))/STDEV(Transf!I$39:I245))</f>
        <v>-0.490885966626967</v>
      </c>
      <c r="J245" s="10" t="n">
        <f aca="false">IF(B245="","",IF(COUNT(B$74:B245)&lt;60,B245,MEDIAN(QUARTILE(B$74:B245,1)-1.5*(QUARTILE(B$74:B245,3)-QUARTILE(B$74:B245,1)),B245,QUARTILE(B$74:B245,3)+1.5*(QUARTILE(B$74:B245,3)-QUARTILE(B$74:B245,1)))))</f>
        <v>0.37321959494091</v>
      </c>
      <c r="K245" s="10" t="n">
        <f aca="false">IF(C245="","",IF(COUNT(C$74:C245)&lt;60,C245,MEDIAN(QUARTILE(C$74:C245,1)-1.5*(QUARTILE(C$74:C245,3)-QUARTILE(C$74:C245,1)),C245,QUARTILE(C$74:C245,3)+1.5*(QUARTILE(C$74:C245,3)-QUARTILE(C$74:C245,1)))))</f>
        <v>-0.634093444389994</v>
      </c>
      <c r="L245" s="10" t="n">
        <f aca="false">IF(D245="","",IF(COUNT(D$74:D245)&lt;60,D245,MEDIAN(QUARTILE(D$74:D245,1)-1.5*(QUARTILE(D$74:D245,3)-QUARTILE(D$74:D245,1)),D245,QUARTILE(D$74:D245,3)+1.5*(QUARTILE(D$74:D245,3)-QUARTILE(D$74:D245,1)))))</f>
        <v>-0.0481902627831305</v>
      </c>
      <c r="M245" s="10" t="n">
        <f aca="false">IF(E245="","",IF(COUNT(E$74:E245)&lt;60,E245,MEDIAN(QUARTILE(E$74:E245,1)-1.5*(QUARTILE(E$74:E245,3)-QUARTILE(E$74:E245,1)),E245,QUARTILE(E$74:E245,3)+1.5*(QUARTILE(E$74:E245,3)-QUARTILE(E$74:E245,1)))))</f>
        <v>5.17501160641567</v>
      </c>
      <c r="N245" s="10" t="n">
        <f aca="false">IF(F245="","",IF(COUNT(F$74:F245)&lt;60,F245,MEDIAN(QUARTILE(F$74:F245,1)-1.5*(QUARTILE(F$74:F245,3)-QUARTILE(F$74:F245,1)),F245,QUARTILE(F$74:F245,3)+1.5*(QUARTILE(F$74:F245,3)-QUARTILE(F$74:F245,1)))))</f>
        <v>1.15260066483252</v>
      </c>
      <c r="O245" s="10" t="n">
        <f aca="false">IF(G245="","",IF(COUNT(G$74:G245)&lt;60,G245,MEDIAN(QUARTILE(G$74:G245,1)-1.5*(QUARTILE(G$74:G245,3)-QUARTILE(G$74:G245,1)),G245,QUARTILE(G$74:G245,3)+1.5*(QUARTILE(G$74:G245,3)-QUARTILE(G$74:G245,1)))))</f>
        <v>0.745249723558077</v>
      </c>
      <c r="P245" s="10" t="n">
        <f aca="false">IF(H245="","",IF(COUNT(H$74:H245)&lt;60,H245,MEDIAN(QUARTILE(H$74:H245,1)-1.5*(QUARTILE(H$74:H245,3)-QUARTILE(H$74:H245,1)),H245,QUARTILE(H$74:H245,3)+1.5*(QUARTILE(H$74:H245,3)-QUARTILE(H$74:H245,1)))))</f>
        <v>0.568797331782191</v>
      </c>
      <c r="Q245" s="10" t="n">
        <f aca="false">IF(I245="","",IF(COUNT(I$74:I245)&lt;60,I245,MEDIAN(QUARTILE(I$74:I245,1)-1.5*(QUARTILE(I$74:I245,3)-QUARTILE(I$74:I245,1)),I245,QUARTILE(I$74:I245,3)+1.5*(QUARTILE(I$74:I245,3)-QUARTILE(I$74:I245,1)))))</f>
        <v>-0.490885966626967</v>
      </c>
      <c r="R245" s="10" t="n">
        <f aca="false">IF(J245="","",MEDIAN(J245:Q245))</f>
        <v>0.47100846336155</v>
      </c>
      <c r="S245" s="10" t="n">
        <f aca="false">IF(R245="","",ABS(R245))</f>
        <v>0.47100846336155</v>
      </c>
      <c r="T245" s="10" t="n">
        <f aca="false">IF(COUNT(S$74:S244)&lt;60,"",MEDIAN(S$74:S244))</f>
        <v>0.369781403669774</v>
      </c>
      <c r="U245" s="10" t="n">
        <f aca="false">IF(R245="","",IF(T245="",0,IF(S245&gt;=T245,R245,0)))</f>
        <v>0.47100846336155</v>
      </c>
      <c r="V245" s="10" t="n">
        <f aca="false">IF(U245="","",MEDIAN(-1,U245,1))</f>
        <v>0.47100846336155</v>
      </c>
      <c r="W245" s="10" t="n">
        <f aca="false">IF(J245="","",AVERAGE(J245:Q245))</f>
        <v>0.855213655966159</v>
      </c>
    </row>
    <row r="246" customFormat="false" ht="15" hidden="false" customHeight="false" outlineLevel="0" collapsed="false">
      <c r="A246" s="8" t="n">
        <f aca="false">Base!A246</f>
        <v>45443</v>
      </c>
      <c r="B246" s="10" t="n">
        <f aca="false">IF(COUNT(Transf!B$39:B246)&lt;36,"",(Transf!B246-AVERAGE(Transf!B$39:B246))/STDEV(Transf!B$39:B246))</f>
        <v>0.652048552115803</v>
      </c>
      <c r="C246" s="10" t="n">
        <f aca="false">IF(COUNT(Transf!C$39:C246)&lt;36,"",(Transf!C246-AVERAGE(Transf!C$39:C246))/STDEV(Transf!C$39:C246))</f>
        <v>-0.383956470222253</v>
      </c>
      <c r="D246" s="10" t="n">
        <f aca="false">IF(COUNT(Transf!D$39:D246)&lt;36,"",(Transf!D246-AVERAGE(Transf!D$39:D246))/STDEV(Transf!D$39:D246))</f>
        <v>0.105104827809487</v>
      </c>
      <c r="E246" s="10" t="n">
        <f aca="false">IF(COUNT(Transf!E$39:E246)&lt;36,"",(Transf!E246-AVERAGE(Transf!E$39:E246))/STDEV(Transf!E$39:E246))</f>
        <v>6.6817477074114</v>
      </c>
      <c r="F246" s="10" t="n">
        <f aca="false">IF(COUNT(Transf!F$39:F246)&lt;36,"",(Transf!F246-AVERAGE(Transf!F$39:F246))/STDEV(Transf!F$39:F246))</f>
        <v>1.24583789759343</v>
      </c>
      <c r="G246" s="10" t="n">
        <f aca="false">IF(COUNT(Transf!G$39:G246)&lt;36,"",(Transf!G246-AVERAGE(Transf!G$39:G246))/STDEV(Transf!G$39:G246))</f>
        <v>0.351711679403078</v>
      </c>
      <c r="H246" s="10" t="n">
        <f aca="false">IF(COUNT(Transf!H$39:H246)&lt;36,"",(Transf!H246-AVERAGE(Transf!H$39:H246))/STDEV(Transf!H$39:H246))</f>
        <v>0.375002561765225</v>
      </c>
      <c r="I246" s="10" t="n">
        <f aca="false">IF(COUNT(Transf!I$39:I246)&lt;36,"",(Transf!I246-AVERAGE(Transf!I$39:I246))/STDEV(Transf!I$39:I246))</f>
        <v>-0.552229353388145</v>
      </c>
      <c r="J246" s="10" t="n">
        <f aca="false">IF(B246="","",IF(COUNT(B$74:B246)&lt;60,B246,MEDIAN(QUARTILE(B$74:B246,1)-1.5*(QUARTILE(B$74:B246,3)-QUARTILE(B$74:B246,1)),B246,QUARTILE(B$74:B246,3)+1.5*(QUARTILE(B$74:B246,3)-QUARTILE(B$74:B246,1)))))</f>
        <v>0.652048552115803</v>
      </c>
      <c r="K246" s="10" t="n">
        <f aca="false">IF(C246="","",IF(COUNT(C$74:C246)&lt;60,C246,MEDIAN(QUARTILE(C$74:C246,1)-1.5*(QUARTILE(C$74:C246,3)-QUARTILE(C$74:C246,1)),C246,QUARTILE(C$74:C246,3)+1.5*(QUARTILE(C$74:C246,3)-QUARTILE(C$74:C246,1)))))</f>
        <v>-0.383956470222253</v>
      </c>
      <c r="L246" s="10" t="n">
        <f aca="false">IF(D246="","",IF(COUNT(D$74:D246)&lt;60,D246,MEDIAN(QUARTILE(D$74:D246,1)-1.5*(QUARTILE(D$74:D246,3)-QUARTILE(D$74:D246,1)),D246,QUARTILE(D$74:D246,3)+1.5*(QUARTILE(D$74:D246,3)-QUARTILE(D$74:D246,1)))))</f>
        <v>0.105104827809487</v>
      </c>
      <c r="M246" s="10" t="n">
        <f aca="false">IF(E246="","",IF(COUNT(E$74:E246)&lt;60,E246,MEDIAN(QUARTILE(E$74:E246,1)-1.5*(QUARTILE(E$74:E246,3)-QUARTILE(E$74:E246,1)),E246,QUARTILE(E$74:E246,3)+1.5*(QUARTILE(E$74:E246,3)-QUARTILE(E$74:E246,1)))))</f>
        <v>5.19056841898231</v>
      </c>
      <c r="N246" s="10" t="n">
        <f aca="false">IF(F246="","",IF(COUNT(F$74:F246)&lt;60,F246,MEDIAN(QUARTILE(F$74:F246,1)-1.5*(QUARTILE(F$74:F246,3)-QUARTILE(F$74:F246,1)),F246,QUARTILE(F$74:F246,3)+1.5*(QUARTILE(F$74:F246,3)-QUARTILE(F$74:F246,1)))))</f>
        <v>1.24583789759343</v>
      </c>
      <c r="O246" s="10" t="n">
        <f aca="false">IF(G246="","",IF(COUNT(G$74:G246)&lt;60,G246,MEDIAN(QUARTILE(G$74:G246,1)-1.5*(QUARTILE(G$74:G246,3)-QUARTILE(G$74:G246,1)),G246,QUARTILE(G$74:G246,3)+1.5*(QUARTILE(G$74:G246,3)-QUARTILE(G$74:G246,1)))))</f>
        <v>0.351711679403078</v>
      </c>
      <c r="P246" s="10" t="n">
        <f aca="false">IF(H246="","",IF(COUNT(H$74:H246)&lt;60,H246,MEDIAN(QUARTILE(H$74:H246,1)-1.5*(QUARTILE(H$74:H246,3)-QUARTILE(H$74:H246,1)),H246,QUARTILE(H$74:H246,3)+1.5*(QUARTILE(H$74:H246,3)-QUARTILE(H$74:H246,1)))))</f>
        <v>0.375002561765225</v>
      </c>
      <c r="Q246" s="10" t="n">
        <f aca="false">IF(I246="","",IF(COUNT(I$74:I246)&lt;60,I246,MEDIAN(QUARTILE(I$74:I246,1)-1.5*(QUARTILE(I$74:I246,3)-QUARTILE(I$74:I246,1)),I246,QUARTILE(I$74:I246,3)+1.5*(QUARTILE(I$74:I246,3)-QUARTILE(I$74:I246,1)))))</f>
        <v>-0.552229353388145</v>
      </c>
      <c r="R246" s="10" t="n">
        <f aca="false">IF(J246="","",MEDIAN(J246:Q246))</f>
        <v>0.363357120584152</v>
      </c>
      <c r="S246" s="10" t="n">
        <f aca="false">IF(R246="","",ABS(R246))</f>
        <v>0.363357120584152</v>
      </c>
      <c r="T246" s="10" t="n">
        <f aca="false">IF(COUNT(S$74:S245)&lt;60,"",MEDIAN(S$74:S245))</f>
        <v>0.371864556523883</v>
      </c>
      <c r="U246" s="10" t="n">
        <f aca="false">IF(R246="","",IF(T246="",0,IF(S246&gt;=T246,R246,0)))</f>
        <v>0</v>
      </c>
      <c r="V246" s="10" t="n">
        <f aca="false">IF(U246="","",MEDIAN(-1,U246,1))</f>
        <v>0</v>
      </c>
      <c r="W246" s="10" t="n">
        <f aca="false">IF(J246="","",AVERAGE(J246:Q246))</f>
        <v>0.873011014257366</v>
      </c>
    </row>
    <row r="247" customFormat="false" ht="15" hidden="false" customHeight="false" outlineLevel="0" collapsed="false">
      <c r="A247" s="8" t="n">
        <f aca="false">Base!A247</f>
        <v>45473</v>
      </c>
      <c r="B247" s="10" t="n">
        <f aca="false">IF(COUNT(Transf!B$39:B247)&lt;36,"",(Transf!B247-AVERAGE(Transf!B$39:B247))/STDEV(Transf!B$39:B247))</f>
        <v>0.79231627670901</v>
      </c>
      <c r="C247" s="10" t="n">
        <f aca="false">IF(COUNT(Transf!C$39:C247)&lt;36,"",(Transf!C247-AVERAGE(Transf!C$39:C247))/STDEV(Transf!C$39:C247))</f>
        <v>-0.122017584941571</v>
      </c>
      <c r="D247" s="10" t="n">
        <f aca="false">IF(COUNT(Transf!D$39:D247)&lt;36,"",(Transf!D247-AVERAGE(Transf!D$39:D247))/STDEV(Transf!D$39:D247))</f>
        <v>0.195302814293659</v>
      </c>
      <c r="E247" s="10" t="n">
        <f aca="false">IF(COUNT(Transf!E$39:E247)&lt;36,"",(Transf!E247-AVERAGE(Transf!E$39:E247))/STDEV(Transf!E$39:E247))</f>
        <v>5.8354212386172</v>
      </c>
      <c r="F247" s="10" t="n">
        <f aca="false">IF(COUNT(Transf!F$39:F247)&lt;36,"",(Transf!F247-AVERAGE(Transf!F$39:F247))/STDEV(Transf!F$39:F247))</f>
        <v>1.19619602142018</v>
      </c>
      <c r="G247" s="10" t="n">
        <f aca="false">IF(COUNT(Transf!G$39:G247)&lt;36,"",(Transf!G247-AVERAGE(Transf!G$39:G247))/STDEV(Transf!G$39:G247))</f>
        <v>0.00107238429198255</v>
      </c>
      <c r="H247" s="10" t="n">
        <f aca="false">IF(COUNT(Transf!H$39:H247)&lt;36,"",(Transf!H247-AVERAGE(Transf!H$39:H247))/STDEV(Transf!H$39:H247))</f>
        <v>0.274401129679961</v>
      </c>
      <c r="I247" s="10" t="n">
        <f aca="false">IF(COUNT(Transf!I$39:I247)&lt;36,"",(Transf!I247-AVERAGE(Transf!I$39:I247))/STDEV(Transf!I$39:I247))</f>
        <v>-0.627693358962658</v>
      </c>
      <c r="J247" s="10" t="n">
        <f aca="false">IF(B247="","",IF(COUNT(B$74:B247)&lt;60,B247,MEDIAN(QUARTILE(B$74:B247,1)-1.5*(QUARTILE(B$74:B247,3)-QUARTILE(B$74:B247,1)),B247,QUARTILE(B$74:B247,3)+1.5*(QUARTILE(B$74:B247,3)-QUARTILE(B$74:B247,1)))))</f>
        <v>0.79231627670901</v>
      </c>
      <c r="K247" s="10" t="n">
        <f aca="false">IF(C247="","",IF(COUNT(C$74:C247)&lt;60,C247,MEDIAN(QUARTILE(C$74:C247,1)-1.5*(QUARTILE(C$74:C247,3)-QUARTILE(C$74:C247,1)),C247,QUARTILE(C$74:C247,3)+1.5*(QUARTILE(C$74:C247,3)-QUARTILE(C$74:C247,1)))))</f>
        <v>-0.122017584941571</v>
      </c>
      <c r="L247" s="10" t="n">
        <f aca="false">IF(D247="","",IF(COUNT(D$74:D247)&lt;60,D247,MEDIAN(QUARTILE(D$74:D247,1)-1.5*(QUARTILE(D$74:D247,3)-QUARTILE(D$74:D247,1)),D247,QUARTILE(D$74:D247,3)+1.5*(QUARTILE(D$74:D247,3)-QUARTILE(D$74:D247,1)))))</f>
        <v>0.195302814293659</v>
      </c>
      <c r="M247" s="10" t="n">
        <f aca="false">IF(E247="","",IF(COUNT(E$74:E247)&lt;60,E247,MEDIAN(QUARTILE(E$74:E247,1)-1.5*(QUARTILE(E$74:E247,3)-QUARTILE(E$74:E247,1)),E247,QUARTILE(E$74:E247,3)+1.5*(QUARTILE(E$74:E247,3)-QUARTILE(E$74:E247,1)))))</f>
        <v>5.18009009581041</v>
      </c>
      <c r="N247" s="10" t="n">
        <f aca="false">IF(F247="","",IF(COUNT(F$74:F247)&lt;60,F247,MEDIAN(QUARTILE(F$74:F247,1)-1.5*(QUARTILE(F$74:F247,3)-QUARTILE(F$74:F247,1)),F247,QUARTILE(F$74:F247,3)+1.5*(QUARTILE(F$74:F247,3)-QUARTILE(F$74:F247,1)))))</f>
        <v>1.19619602142018</v>
      </c>
      <c r="O247" s="10" t="n">
        <f aca="false">IF(G247="","",IF(COUNT(G$74:G247)&lt;60,G247,MEDIAN(QUARTILE(G$74:G247,1)-1.5*(QUARTILE(G$74:G247,3)-QUARTILE(G$74:G247,1)),G247,QUARTILE(G$74:G247,3)+1.5*(QUARTILE(G$74:G247,3)-QUARTILE(G$74:G247,1)))))</f>
        <v>0.00107238429198255</v>
      </c>
      <c r="P247" s="10" t="n">
        <f aca="false">IF(H247="","",IF(COUNT(H$74:H247)&lt;60,H247,MEDIAN(QUARTILE(H$74:H247,1)-1.5*(QUARTILE(H$74:H247,3)-QUARTILE(H$74:H247,1)),H247,QUARTILE(H$74:H247,3)+1.5*(QUARTILE(H$74:H247,3)-QUARTILE(H$74:H247,1)))))</f>
        <v>0.274401129679961</v>
      </c>
      <c r="Q247" s="10" t="n">
        <f aca="false">IF(I247="","",IF(COUNT(I$74:I247)&lt;60,I247,MEDIAN(QUARTILE(I$74:I247,1)-1.5*(QUARTILE(I$74:I247,3)-QUARTILE(I$74:I247,1)),I247,QUARTILE(I$74:I247,3)+1.5*(QUARTILE(I$74:I247,3)-QUARTILE(I$74:I247,1)))))</f>
        <v>-0.627693358962658</v>
      </c>
      <c r="R247" s="10" t="n">
        <f aca="false">IF(J247="","",MEDIAN(J247:Q247))</f>
        <v>0.23485197198681</v>
      </c>
      <c r="S247" s="10" t="n">
        <f aca="false">IF(R247="","",ABS(R247))</f>
        <v>0.23485197198681</v>
      </c>
      <c r="T247" s="10" t="n">
        <f aca="false">IF(COUNT(S$74:S246)&lt;60,"",MEDIAN(S$74:S246))</f>
        <v>0.369781403669774</v>
      </c>
      <c r="U247" s="10" t="n">
        <f aca="false">IF(R247="","",IF(T247="",0,IF(S247&gt;=T247,R247,0)))</f>
        <v>0</v>
      </c>
      <c r="V247" s="10" t="n">
        <f aca="false">IF(U247="","",MEDIAN(-1,U247,1))</f>
        <v>0</v>
      </c>
      <c r="W247" s="10" t="n">
        <f aca="false">IF(J247="","",AVERAGE(J247:Q247))</f>
        <v>0.861208472287622</v>
      </c>
    </row>
    <row r="248" customFormat="false" ht="15" hidden="false" customHeight="false" outlineLevel="0" collapsed="false">
      <c r="A248" s="8" t="n">
        <f aca="false">Base!A248</f>
        <v>45504</v>
      </c>
      <c r="B248" s="10" t="n">
        <f aca="false">IF(COUNT(Transf!B$39:B248)&lt;36,"",(Transf!B248-AVERAGE(Transf!B$39:B248))/STDEV(Transf!B$39:B248))</f>
        <v>0.894988057808104</v>
      </c>
      <c r="C248" s="10" t="n">
        <f aca="false">IF(COUNT(Transf!C$39:C248)&lt;36,"",(Transf!C248-AVERAGE(Transf!C$39:C248))/STDEV(Transf!C$39:C248))</f>
        <v>-0.0368347624313159</v>
      </c>
      <c r="D248" s="10" t="n">
        <f aca="false">IF(COUNT(Transf!D$39:D248)&lt;36,"",(Transf!D248-AVERAGE(Transf!D$39:D248))/STDEV(Transf!D$39:D248))</f>
        <v>0.210154303682299</v>
      </c>
      <c r="E248" s="10" t="n">
        <f aca="false">IF(COUNT(Transf!E$39:E248)&lt;36,"",(Transf!E248-AVERAGE(Transf!E$39:E248))/STDEV(Transf!E$39:E248))</f>
        <v>5.12524731309763</v>
      </c>
      <c r="F248" s="10" t="n">
        <f aca="false">IF(COUNT(Transf!F$39:F248)&lt;36,"",(Transf!F248-AVERAGE(Transf!F$39:F248))/STDEV(Transf!F$39:F248))</f>
        <v>1.25215350906264</v>
      </c>
      <c r="G248" s="10" t="n">
        <f aca="false">IF(COUNT(Transf!G$39:G248)&lt;36,"",(Transf!G248-AVERAGE(Transf!G$39:G248))/STDEV(Transf!G$39:G248))</f>
        <v>-0.223611194950419</v>
      </c>
      <c r="H248" s="10" t="n">
        <f aca="false">IF(COUNT(Transf!H$39:H248)&lt;36,"",(Transf!H248-AVERAGE(Transf!H$39:H248))/STDEV(Transf!H$39:H248))</f>
        <v>0.331012998406577</v>
      </c>
      <c r="I248" s="10" t="n">
        <f aca="false">IF(COUNT(Transf!I$39:I248)&lt;36,"",(Transf!I248-AVERAGE(Transf!I$39:I248))/STDEV(Transf!I$39:I248))</f>
        <v>-0.903476266072021</v>
      </c>
      <c r="J248" s="10" t="n">
        <f aca="false">IF(B248="","",IF(COUNT(B$74:B248)&lt;60,B248,MEDIAN(QUARTILE(B$74:B248,1)-1.5*(QUARTILE(B$74:B248,3)-QUARTILE(B$74:B248,1)),B248,QUARTILE(B$74:B248,3)+1.5*(QUARTILE(B$74:B248,3)-QUARTILE(B$74:B248,1)))))</f>
        <v>0.894988057808104</v>
      </c>
      <c r="K248" s="10" t="n">
        <f aca="false">IF(C248="","",IF(COUNT(C$74:C248)&lt;60,C248,MEDIAN(QUARTILE(C$74:C248,1)-1.5*(QUARTILE(C$74:C248,3)-QUARTILE(C$74:C248,1)),C248,QUARTILE(C$74:C248,3)+1.5*(QUARTILE(C$74:C248,3)-QUARTILE(C$74:C248,1)))))</f>
        <v>-0.0368347624313159</v>
      </c>
      <c r="L248" s="10" t="n">
        <f aca="false">IF(D248="","",IF(COUNT(D$74:D248)&lt;60,D248,MEDIAN(QUARTILE(D$74:D248,1)-1.5*(QUARTILE(D$74:D248,3)-QUARTILE(D$74:D248,1)),D248,QUARTILE(D$74:D248,3)+1.5*(QUARTILE(D$74:D248,3)-QUARTILE(D$74:D248,1)))))</f>
        <v>0.210154303682299</v>
      </c>
      <c r="M248" s="10" t="n">
        <f aca="false">IF(E248="","",IF(COUNT(E$74:E248)&lt;60,E248,MEDIAN(QUARTILE(E$74:E248,1)-1.5*(QUARTILE(E$74:E248,3)-QUARTILE(E$74:E248,1)),E248,QUARTILE(E$74:E248,3)+1.5*(QUARTILE(E$74:E248,3)-QUARTILE(E$74:E248,1)))))</f>
        <v>5.12524731309763</v>
      </c>
      <c r="N248" s="10" t="n">
        <f aca="false">IF(F248="","",IF(COUNT(F$74:F248)&lt;60,F248,MEDIAN(QUARTILE(F$74:F248,1)-1.5*(QUARTILE(F$74:F248,3)-QUARTILE(F$74:F248,1)),F248,QUARTILE(F$74:F248,3)+1.5*(QUARTILE(F$74:F248,3)-QUARTILE(F$74:F248,1)))))</f>
        <v>1.25215350906264</v>
      </c>
      <c r="O248" s="10" t="n">
        <f aca="false">IF(G248="","",IF(COUNT(G$74:G248)&lt;60,G248,MEDIAN(QUARTILE(G$74:G248,1)-1.5*(QUARTILE(G$74:G248,3)-QUARTILE(G$74:G248,1)),G248,QUARTILE(G$74:G248,3)+1.5*(QUARTILE(G$74:G248,3)-QUARTILE(G$74:G248,1)))))</f>
        <v>-0.223611194950419</v>
      </c>
      <c r="P248" s="10" t="n">
        <f aca="false">IF(H248="","",IF(COUNT(H$74:H248)&lt;60,H248,MEDIAN(QUARTILE(H$74:H248,1)-1.5*(QUARTILE(H$74:H248,3)-QUARTILE(H$74:H248,1)),H248,QUARTILE(H$74:H248,3)+1.5*(QUARTILE(H$74:H248,3)-QUARTILE(H$74:H248,1)))))</f>
        <v>0.331012998406577</v>
      </c>
      <c r="Q248" s="10" t="n">
        <f aca="false">IF(I248="","",IF(COUNT(I$74:I248)&lt;60,I248,MEDIAN(QUARTILE(I$74:I248,1)-1.5*(QUARTILE(I$74:I248,3)-QUARTILE(I$74:I248,1)),I248,QUARTILE(I$74:I248,3)+1.5*(QUARTILE(I$74:I248,3)-QUARTILE(I$74:I248,1)))))</f>
        <v>-0.903476266072021</v>
      </c>
      <c r="R248" s="10" t="n">
        <f aca="false">IF(J248="","",MEDIAN(J248:Q248))</f>
        <v>0.270583651044438</v>
      </c>
      <c r="S248" s="10" t="n">
        <f aca="false">IF(R248="","",ABS(R248))</f>
        <v>0.270583651044438</v>
      </c>
      <c r="T248" s="10" t="n">
        <f aca="false">IF(COUNT(S$74:S247)&lt;60,"",MEDIAN(S$74:S247))</f>
        <v>0.369651352490435</v>
      </c>
      <c r="U248" s="10" t="n">
        <f aca="false">IF(R248="","",IF(T248="",0,IF(S248&gt;=T248,R248,0)))</f>
        <v>0</v>
      </c>
      <c r="V248" s="10" t="n">
        <f aca="false">IF(U248="","",MEDIAN(-1,U248,1))</f>
        <v>0</v>
      </c>
      <c r="W248" s="10" t="n">
        <f aca="false">IF(J248="","",AVERAGE(J248:Q248))</f>
        <v>0.831204244825436</v>
      </c>
    </row>
    <row r="249" customFormat="false" ht="15" hidden="false" customHeight="false" outlineLevel="0" collapsed="false">
      <c r="A249" s="8" t="n">
        <f aca="false">Base!A249</f>
        <v>45535</v>
      </c>
      <c r="B249" s="10" t="n">
        <f aca="false">IF(COUNT(Transf!B$39:B249)&lt;36,"",(Transf!B249-AVERAGE(Transf!B$39:B249))/STDEV(Transf!B$39:B249))</f>
        <v>0.753842788864621</v>
      </c>
      <c r="C249" s="10" t="n">
        <f aca="false">IF(COUNT(Transf!C$39:C249)&lt;36,"",(Transf!C249-AVERAGE(Transf!C$39:C249))/STDEV(Transf!C$39:C249))</f>
        <v>-0.300566321345885</v>
      </c>
      <c r="D249" s="10" t="n">
        <f aca="false">IF(COUNT(Transf!D$39:D249)&lt;36,"",(Transf!D249-AVERAGE(Transf!D$39:D249))/STDEV(Transf!D$39:D249))</f>
        <v>-0.0338745639686998</v>
      </c>
      <c r="E249" s="10" t="n">
        <f aca="false">IF(COUNT(Transf!E$39:E249)&lt;36,"",(Transf!E249-AVERAGE(Transf!E$39:E249))/STDEV(Transf!E$39:E249))</f>
        <v>4.54382878642503</v>
      </c>
      <c r="F249" s="10" t="n">
        <f aca="false">IF(COUNT(Transf!F$39:F249)&lt;36,"",(Transf!F249-AVERAGE(Transf!F$39:F249))/STDEV(Transf!F$39:F249))</f>
        <v>1.52446694458187</v>
      </c>
      <c r="G249" s="10" t="n">
        <f aca="false">IF(COUNT(Transf!G$39:G249)&lt;36,"",(Transf!G249-AVERAGE(Transf!G$39:G249))/STDEV(Transf!G$39:G249))</f>
        <v>-0.690211803033093</v>
      </c>
      <c r="H249" s="10" t="n">
        <f aca="false">IF(COUNT(Transf!H$39:H249)&lt;36,"",(Transf!H249-AVERAGE(Transf!H$39:H249))/STDEV(Transf!H$39:H249))</f>
        <v>0.33916698024897</v>
      </c>
      <c r="I249" s="10" t="n">
        <f aca="false">IF(COUNT(Transf!I$39:I249)&lt;36,"",(Transf!I249-AVERAGE(Transf!I$39:I249))/STDEV(Transf!I$39:I249))</f>
        <v>-1.02886961754951</v>
      </c>
      <c r="J249" s="10" t="n">
        <f aca="false">IF(B249="","",IF(COUNT(B$74:B249)&lt;60,B249,MEDIAN(QUARTILE(B$74:B249,1)-1.5*(QUARTILE(B$74:B249,3)-QUARTILE(B$74:B249,1)),B249,QUARTILE(B$74:B249,3)+1.5*(QUARTILE(B$74:B249,3)-QUARTILE(B$74:B249,1)))))</f>
        <v>0.753842788864621</v>
      </c>
      <c r="K249" s="10" t="n">
        <f aca="false">IF(C249="","",IF(COUNT(C$74:C249)&lt;60,C249,MEDIAN(QUARTILE(C$74:C249,1)-1.5*(QUARTILE(C$74:C249,3)-QUARTILE(C$74:C249,1)),C249,QUARTILE(C$74:C249,3)+1.5*(QUARTILE(C$74:C249,3)-QUARTILE(C$74:C249,1)))))</f>
        <v>-0.300566321345885</v>
      </c>
      <c r="L249" s="10" t="n">
        <f aca="false">IF(D249="","",IF(COUNT(D$74:D249)&lt;60,D249,MEDIAN(QUARTILE(D$74:D249,1)-1.5*(QUARTILE(D$74:D249,3)-QUARTILE(D$74:D249,1)),D249,QUARTILE(D$74:D249,3)+1.5*(QUARTILE(D$74:D249,3)-QUARTILE(D$74:D249,1)))))</f>
        <v>-0.0338745639686998</v>
      </c>
      <c r="M249" s="10" t="n">
        <f aca="false">IF(E249="","",IF(COUNT(E$74:E249)&lt;60,E249,MEDIAN(QUARTILE(E$74:E249,1)-1.5*(QUARTILE(E$74:E249,3)-QUARTILE(E$74:E249,1)),E249,QUARTILE(E$74:E249,3)+1.5*(QUARTILE(E$74:E249,3)-QUARTILE(E$74:E249,1)))))</f>
        <v>4.54382878642503</v>
      </c>
      <c r="N249" s="10" t="n">
        <f aca="false">IF(F249="","",IF(COUNT(F$74:F249)&lt;60,F249,MEDIAN(QUARTILE(F$74:F249,1)-1.5*(QUARTILE(F$74:F249,3)-QUARTILE(F$74:F249,1)),F249,QUARTILE(F$74:F249,3)+1.5*(QUARTILE(F$74:F249,3)-QUARTILE(F$74:F249,1)))))</f>
        <v>1.52446694458187</v>
      </c>
      <c r="O249" s="10" t="n">
        <f aca="false">IF(G249="","",IF(COUNT(G$74:G249)&lt;60,G249,MEDIAN(QUARTILE(G$74:G249,1)-1.5*(QUARTILE(G$74:G249,3)-QUARTILE(G$74:G249,1)),G249,QUARTILE(G$74:G249,3)+1.5*(QUARTILE(G$74:G249,3)-QUARTILE(G$74:G249,1)))))</f>
        <v>-0.690211803033093</v>
      </c>
      <c r="P249" s="10" t="n">
        <f aca="false">IF(H249="","",IF(COUNT(H$74:H249)&lt;60,H249,MEDIAN(QUARTILE(H$74:H249,1)-1.5*(QUARTILE(H$74:H249,3)-QUARTILE(H$74:H249,1)),H249,QUARTILE(H$74:H249,3)+1.5*(QUARTILE(H$74:H249,3)-QUARTILE(H$74:H249,1)))))</f>
        <v>0.33916698024897</v>
      </c>
      <c r="Q249" s="10" t="n">
        <f aca="false">IF(I249="","",IF(COUNT(I$74:I249)&lt;60,I249,MEDIAN(QUARTILE(I$74:I249,1)-1.5*(QUARTILE(I$74:I249,3)-QUARTILE(I$74:I249,1)),I249,QUARTILE(I$74:I249,3)+1.5*(QUARTILE(I$74:I249,3)-QUARTILE(I$74:I249,1)))))</f>
        <v>-1.02886961754951</v>
      </c>
      <c r="R249" s="10" t="n">
        <f aca="false">IF(J249="","",MEDIAN(J249:Q249))</f>
        <v>0.152646208140135</v>
      </c>
      <c r="S249" s="10" t="n">
        <f aca="false">IF(R249="","",ABS(R249))</f>
        <v>0.152646208140135</v>
      </c>
      <c r="T249" s="10" t="n">
        <f aca="false">IF(COUNT(S$74:S248)&lt;60,"",MEDIAN(S$74:S248))</f>
        <v>0.369521301311095</v>
      </c>
      <c r="U249" s="10" t="n">
        <f aca="false">IF(R249="","",IF(T249="",0,IF(S249&gt;=T249,R249,0)))</f>
        <v>0</v>
      </c>
      <c r="V249" s="10" t="n">
        <f aca="false">IF(U249="","",MEDIAN(-1,U249,1))</f>
        <v>0</v>
      </c>
      <c r="W249" s="10" t="n">
        <f aca="false">IF(J249="","",AVERAGE(J249:Q249))</f>
        <v>0.638472899277913</v>
      </c>
    </row>
    <row r="250" customFormat="false" ht="15" hidden="false" customHeight="false" outlineLevel="0" collapsed="false">
      <c r="A250" s="8" t="n">
        <f aca="false">Base!A250</f>
        <v>45565</v>
      </c>
      <c r="B250" s="10" t="n">
        <f aca="false">IF(COUNT(Transf!B$39:B250)&lt;36,"",(Transf!B250-AVERAGE(Transf!B$39:B250))/STDEV(Transf!B$39:B250))</f>
        <v>0.739009923671025</v>
      </c>
      <c r="C250" s="10" t="n">
        <f aca="false">IF(COUNT(Transf!C$39:C250)&lt;36,"",(Transf!C250-AVERAGE(Transf!C$39:C250))/STDEV(Transf!C$39:C250))</f>
        <v>-0.245479994875271</v>
      </c>
      <c r="D250" s="10" t="n">
        <f aca="false">IF(COUNT(Transf!D$39:D250)&lt;36,"",(Transf!D250-AVERAGE(Transf!D$39:D250))/STDEV(Transf!D$39:D250))</f>
        <v>-0.0927271041650412</v>
      </c>
      <c r="E250" s="10" t="n">
        <f aca="false">IF(COUNT(Transf!E$39:E250)&lt;36,"",(Transf!E250-AVERAGE(Transf!E$39:E250))/STDEV(Transf!E$39:E250))</f>
        <v>3.94794841285392</v>
      </c>
      <c r="F250" s="10" t="n">
        <f aca="false">IF(COUNT(Transf!F$39:F250)&lt;36,"",(Transf!F250-AVERAGE(Transf!F$39:F250))/STDEV(Transf!F$39:F250))</f>
        <v>1.94313120011117</v>
      </c>
      <c r="G250" s="10" t="n">
        <f aca="false">IF(COUNT(Transf!G$39:G250)&lt;36,"",(Transf!G250-AVERAGE(Transf!G$39:G250))/STDEV(Transf!G$39:G250))</f>
        <v>-0.729991444150836</v>
      </c>
      <c r="H250" s="10" t="n">
        <f aca="false">IF(COUNT(Transf!H$39:H250)&lt;36,"",(Transf!H250-AVERAGE(Transf!H$39:H250))/STDEV(Transf!H$39:H250))</f>
        <v>0.290423162862992</v>
      </c>
      <c r="I250" s="10" t="n">
        <f aca="false">IF(COUNT(Transf!I$39:I250)&lt;36,"",(Transf!I250-AVERAGE(Transf!I$39:I250))/STDEV(Transf!I$39:I250))</f>
        <v>-1.01044377753068</v>
      </c>
      <c r="J250" s="10" t="n">
        <f aca="false">IF(B250="","",IF(COUNT(B$74:B250)&lt;60,B250,MEDIAN(QUARTILE(B$74:B250,1)-1.5*(QUARTILE(B$74:B250,3)-QUARTILE(B$74:B250,1)),B250,QUARTILE(B$74:B250,3)+1.5*(QUARTILE(B$74:B250,3)-QUARTILE(B$74:B250,1)))))</f>
        <v>0.739009923671025</v>
      </c>
      <c r="K250" s="10" t="n">
        <f aca="false">IF(C250="","",IF(COUNT(C$74:C250)&lt;60,C250,MEDIAN(QUARTILE(C$74:C250,1)-1.5*(QUARTILE(C$74:C250,3)-QUARTILE(C$74:C250,1)),C250,QUARTILE(C$74:C250,3)+1.5*(QUARTILE(C$74:C250,3)-QUARTILE(C$74:C250,1)))))</f>
        <v>-0.245479994875271</v>
      </c>
      <c r="L250" s="10" t="n">
        <f aca="false">IF(D250="","",IF(COUNT(D$74:D250)&lt;60,D250,MEDIAN(QUARTILE(D$74:D250,1)-1.5*(QUARTILE(D$74:D250,3)-QUARTILE(D$74:D250,1)),D250,QUARTILE(D$74:D250,3)+1.5*(QUARTILE(D$74:D250,3)-QUARTILE(D$74:D250,1)))))</f>
        <v>-0.0927271041650412</v>
      </c>
      <c r="M250" s="10" t="n">
        <f aca="false">IF(E250="","",IF(COUNT(E$74:E250)&lt;60,E250,MEDIAN(QUARTILE(E$74:E250,1)-1.5*(QUARTILE(E$74:E250,3)-QUARTILE(E$74:E250,1)),E250,QUARTILE(E$74:E250,3)+1.5*(QUARTILE(E$74:E250,3)-QUARTILE(E$74:E250,1)))))</f>
        <v>3.94794841285392</v>
      </c>
      <c r="N250" s="10" t="n">
        <f aca="false">IF(F250="","",IF(COUNT(F$74:F250)&lt;60,F250,MEDIAN(QUARTILE(F$74:F250,1)-1.5*(QUARTILE(F$74:F250,3)-QUARTILE(F$74:F250,1)),F250,QUARTILE(F$74:F250,3)+1.5*(QUARTILE(F$74:F250,3)-QUARTILE(F$74:F250,1)))))</f>
        <v>1.94313120011117</v>
      </c>
      <c r="O250" s="10" t="n">
        <f aca="false">IF(G250="","",IF(COUNT(G$74:G250)&lt;60,G250,MEDIAN(QUARTILE(G$74:G250,1)-1.5*(QUARTILE(G$74:G250,3)-QUARTILE(G$74:G250,1)),G250,QUARTILE(G$74:G250,3)+1.5*(QUARTILE(G$74:G250,3)-QUARTILE(G$74:G250,1)))))</f>
        <v>-0.729991444150836</v>
      </c>
      <c r="P250" s="10" t="n">
        <f aca="false">IF(H250="","",IF(COUNT(H$74:H250)&lt;60,H250,MEDIAN(QUARTILE(H$74:H250,1)-1.5*(QUARTILE(H$74:H250,3)-QUARTILE(H$74:H250,1)),H250,QUARTILE(H$74:H250,3)+1.5*(QUARTILE(H$74:H250,3)-QUARTILE(H$74:H250,1)))))</f>
        <v>0.290423162862992</v>
      </c>
      <c r="Q250" s="10" t="n">
        <f aca="false">IF(I250="","",IF(COUNT(I$74:I250)&lt;60,I250,MEDIAN(QUARTILE(I$74:I250,1)-1.5*(QUARTILE(I$74:I250,3)-QUARTILE(I$74:I250,1)),I250,QUARTILE(I$74:I250,3)+1.5*(QUARTILE(I$74:I250,3)-QUARTILE(I$74:I250,1)))))</f>
        <v>-1.01044377753068</v>
      </c>
      <c r="R250" s="10" t="n">
        <f aca="false">IF(J250="","",MEDIAN(J250:Q250))</f>
        <v>0.0988480293489756</v>
      </c>
      <c r="S250" s="10" t="n">
        <f aca="false">IF(R250="","",ABS(R250))</f>
        <v>0.0988480293489756</v>
      </c>
      <c r="T250" s="10" t="n">
        <f aca="false">IF(COUNT(S$74:S249)&lt;60,"",MEDIAN(S$74:S249))</f>
        <v>0.367833511290124</v>
      </c>
      <c r="U250" s="10" t="n">
        <f aca="false">IF(R250="","",IF(T250="",0,IF(S250&gt;=T250,R250,0)))</f>
        <v>0</v>
      </c>
      <c r="V250" s="10" t="n">
        <f aca="false">IF(U250="","",MEDIAN(-1,U250,1))</f>
        <v>0</v>
      </c>
      <c r="W250" s="10" t="n">
        <f aca="false">IF(J250="","",AVERAGE(J250:Q250))</f>
        <v>0.60523379734716</v>
      </c>
    </row>
    <row r="251" customFormat="false" ht="15" hidden="false" customHeight="false" outlineLevel="0" collapsed="false">
      <c r="A251" s="8" t="n">
        <f aca="false">Base!A251</f>
        <v>45596</v>
      </c>
      <c r="B251" s="10" t="n">
        <f aca="false">IF(COUNT(Transf!B$39:B251)&lt;36,"",(Transf!B251-AVERAGE(Transf!B$39:B251))/STDEV(Transf!B$39:B251))</f>
        <v>0.931463902895997</v>
      </c>
      <c r="C251" s="10" t="n">
        <f aca="false">IF(COUNT(Transf!C$39:C251)&lt;36,"",(Transf!C251-AVERAGE(Transf!C$39:C251))/STDEV(Transf!C$39:C251))</f>
        <v>-0.201205223224797</v>
      </c>
      <c r="D251" s="10" t="n">
        <f aca="false">IF(COUNT(Transf!D$39:D251)&lt;36,"",(Transf!D251-AVERAGE(Transf!D$39:D251))/STDEV(Transf!D$39:D251))</f>
        <v>-0.0757084195989326</v>
      </c>
      <c r="E251" s="10" t="n">
        <f aca="false">IF(COUNT(Transf!E$39:E251)&lt;36,"",(Transf!E251-AVERAGE(Transf!E$39:E251))/STDEV(Transf!E$39:E251))</f>
        <v>3.364170281595</v>
      </c>
      <c r="F251" s="10" t="n">
        <f aca="false">IF(COUNT(Transf!F$39:F251)&lt;36,"",(Transf!F251-AVERAGE(Transf!F$39:F251))/STDEV(Transf!F$39:F251))</f>
        <v>2.06574185109915</v>
      </c>
      <c r="G251" s="10" t="n">
        <f aca="false">IF(COUNT(Transf!G$39:G251)&lt;36,"",(Transf!G251-AVERAGE(Transf!G$39:G251))/STDEV(Transf!G$39:G251))</f>
        <v>-0.580476366000622</v>
      </c>
      <c r="H251" s="10" t="n">
        <f aca="false">IF(COUNT(Transf!H$39:H251)&lt;36,"",(Transf!H251-AVERAGE(Transf!H$39:H251))/STDEV(Transf!H$39:H251))</f>
        <v>0.213305348448965</v>
      </c>
      <c r="I251" s="10" t="n">
        <f aca="false">IF(COUNT(Transf!I$39:I251)&lt;36,"",(Transf!I251-AVERAGE(Transf!I$39:I251))/STDEV(Transf!I$39:I251))</f>
        <v>-0.894579903570292</v>
      </c>
      <c r="J251" s="10" t="n">
        <f aca="false">IF(B251="","",IF(COUNT(B$74:B251)&lt;60,B251,MEDIAN(QUARTILE(B$74:B251,1)-1.5*(QUARTILE(B$74:B251,3)-QUARTILE(B$74:B251,1)),B251,QUARTILE(B$74:B251,3)+1.5*(QUARTILE(B$74:B251,3)-QUARTILE(B$74:B251,1)))))</f>
        <v>0.931463902895997</v>
      </c>
      <c r="K251" s="10" t="n">
        <f aca="false">IF(C251="","",IF(COUNT(C$74:C251)&lt;60,C251,MEDIAN(QUARTILE(C$74:C251,1)-1.5*(QUARTILE(C$74:C251,3)-QUARTILE(C$74:C251,1)),C251,QUARTILE(C$74:C251,3)+1.5*(QUARTILE(C$74:C251,3)-QUARTILE(C$74:C251,1)))))</f>
        <v>-0.201205223224797</v>
      </c>
      <c r="L251" s="10" t="n">
        <f aca="false">IF(D251="","",IF(COUNT(D$74:D251)&lt;60,D251,MEDIAN(QUARTILE(D$74:D251,1)-1.5*(QUARTILE(D$74:D251,3)-QUARTILE(D$74:D251,1)),D251,QUARTILE(D$74:D251,3)+1.5*(QUARTILE(D$74:D251,3)-QUARTILE(D$74:D251,1)))))</f>
        <v>-0.0757084195989326</v>
      </c>
      <c r="M251" s="10" t="n">
        <f aca="false">IF(E251="","",IF(COUNT(E$74:E251)&lt;60,E251,MEDIAN(QUARTILE(E$74:E251,1)-1.5*(QUARTILE(E$74:E251,3)-QUARTILE(E$74:E251,1)),E251,QUARTILE(E$74:E251,3)+1.5*(QUARTILE(E$74:E251,3)-QUARTILE(E$74:E251,1)))))</f>
        <v>3.364170281595</v>
      </c>
      <c r="N251" s="10" t="n">
        <f aca="false">IF(F251="","",IF(COUNT(F$74:F251)&lt;60,F251,MEDIAN(QUARTILE(F$74:F251,1)-1.5*(QUARTILE(F$74:F251,3)-QUARTILE(F$74:F251,1)),F251,QUARTILE(F$74:F251,3)+1.5*(QUARTILE(F$74:F251,3)-QUARTILE(F$74:F251,1)))))</f>
        <v>2.06574185109915</v>
      </c>
      <c r="O251" s="10" t="n">
        <f aca="false">IF(G251="","",IF(COUNT(G$74:G251)&lt;60,G251,MEDIAN(QUARTILE(G$74:G251,1)-1.5*(QUARTILE(G$74:G251,3)-QUARTILE(G$74:G251,1)),G251,QUARTILE(G$74:G251,3)+1.5*(QUARTILE(G$74:G251,3)-QUARTILE(G$74:G251,1)))))</f>
        <v>-0.580476366000622</v>
      </c>
      <c r="P251" s="10" t="n">
        <f aca="false">IF(H251="","",IF(COUNT(H$74:H251)&lt;60,H251,MEDIAN(QUARTILE(H$74:H251,1)-1.5*(QUARTILE(H$74:H251,3)-QUARTILE(H$74:H251,1)),H251,QUARTILE(H$74:H251,3)+1.5*(QUARTILE(H$74:H251,3)-QUARTILE(H$74:H251,1)))))</f>
        <v>0.213305348448965</v>
      </c>
      <c r="Q251" s="10" t="n">
        <f aca="false">IF(I251="","",IF(COUNT(I$74:I251)&lt;60,I251,MEDIAN(QUARTILE(I$74:I251,1)-1.5*(QUARTILE(I$74:I251,3)-QUARTILE(I$74:I251,1)),I251,QUARTILE(I$74:I251,3)+1.5*(QUARTILE(I$74:I251,3)-QUARTILE(I$74:I251,1)))))</f>
        <v>-0.894579903570292</v>
      </c>
      <c r="R251" s="10" t="n">
        <f aca="false">IF(J251="","",MEDIAN(J251:Q251))</f>
        <v>0.0687984644250161</v>
      </c>
      <c r="S251" s="10" t="n">
        <f aca="false">IF(R251="","",ABS(R251))</f>
        <v>0.0687984644250161</v>
      </c>
      <c r="T251" s="10" t="n">
        <f aca="false">IF(COUNT(S$74:S250)&lt;60,"",MEDIAN(S$74:S250))</f>
        <v>0.366145721269152</v>
      </c>
      <c r="U251" s="10" t="n">
        <f aca="false">IF(R251="","",IF(T251="",0,IF(S251&gt;=T251,R251,0)))</f>
        <v>0</v>
      </c>
      <c r="V251" s="10" t="n">
        <f aca="false">IF(U251="","",MEDIAN(-1,U251,1))</f>
        <v>0</v>
      </c>
      <c r="W251" s="10" t="n">
        <f aca="false">IF(J251="","",AVERAGE(J251:Q251))</f>
        <v>0.602838933955559</v>
      </c>
    </row>
    <row r="252" customFormat="false" ht="15" hidden="false" customHeight="false" outlineLevel="0" collapsed="false">
      <c r="A252" s="8" t="n">
        <f aca="false">Base!A252</f>
        <v>45626</v>
      </c>
      <c r="B252" s="10" t="n">
        <f aca="false">IF(COUNT(Transf!B$39:B252)&lt;36,"",(Transf!B252-AVERAGE(Transf!B$39:B252))/STDEV(Transf!B$39:B252))</f>
        <v>1.23338984195082</v>
      </c>
      <c r="C252" s="10" t="n">
        <f aca="false">IF(COUNT(Transf!C$39:C252)&lt;36,"",(Transf!C252-AVERAGE(Transf!C$39:C252))/STDEV(Transf!C$39:C252))</f>
        <v>0.0322209559264224</v>
      </c>
      <c r="D252" s="10" t="n">
        <f aca="false">IF(COUNT(Transf!D$39:D252)&lt;36,"",(Transf!D252-AVERAGE(Transf!D$39:D252))/STDEV(Transf!D$39:D252))</f>
        <v>0.0879818697786746</v>
      </c>
      <c r="E252" s="10" t="n">
        <f aca="false">IF(COUNT(Transf!E$39:E252)&lt;36,"",(Transf!E252-AVERAGE(Transf!E$39:E252))/STDEV(Transf!E$39:E252))</f>
        <v>2.82154498661842</v>
      </c>
      <c r="F252" s="10" t="n">
        <f aca="false">IF(COUNT(Transf!F$39:F252)&lt;36,"",(Transf!F252-AVERAGE(Transf!F$39:F252))/STDEV(Transf!F$39:F252))</f>
        <v>1.96073129986205</v>
      </c>
      <c r="G252" s="10" t="n">
        <f aca="false">IF(COUNT(Transf!G$39:G252)&lt;36,"",(Transf!G252-AVERAGE(Transf!G$39:G252))/STDEV(Transf!G$39:G252))</f>
        <v>-0.110041391289061</v>
      </c>
      <c r="H252" s="10" t="n">
        <f aca="false">IF(COUNT(Transf!H$39:H252)&lt;36,"",(Transf!H252-AVERAGE(Transf!H$39:H252))/STDEV(Transf!H$39:H252))</f>
        <v>0.365213119854161</v>
      </c>
      <c r="I252" s="10" t="n">
        <f aca="false">IF(COUNT(Transf!I$39:I252)&lt;36,"",(Transf!I252-AVERAGE(Transf!I$39:I252))/STDEV(Transf!I$39:I252))</f>
        <v>-0.809091250592281</v>
      </c>
      <c r="J252" s="10" t="n">
        <f aca="false">IF(B252="","",IF(COUNT(B$74:B252)&lt;60,B252,MEDIAN(QUARTILE(B$74:B252,1)-1.5*(QUARTILE(B$74:B252,3)-QUARTILE(B$74:B252,1)),B252,QUARTILE(B$74:B252,3)+1.5*(QUARTILE(B$74:B252,3)-QUARTILE(B$74:B252,1)))))</f>
        <v>1.23338984195082</v>
      </c>
      <c r="K252" s="10" t="n">
        <f aca="false">IF(C252="","",IF(COUNT(C$74:C252)&lt;60,C252,MEDIAN(QUARTILE(C$74:C252,1)-1.5*(QUARTILE(C$74:C252,3)-QUARTILE(C$74:C252,1)),C252,QUARTILE(C$74:C252,3)+1.5*(QUARTILE(C$74:C252,3)-QUARTILE(C$74:C252,1)))))</f>
        <v>0.0322209559264224</v>
      </c>
      <c r="L252" s="10" t="n">
        <f aca="false">IF(D252="","",IF(COUNT(D$74:D252)&lt;60,D252,MEDIAN(QUARTILE(D$74:D252,1)-1.5*(QUARTILE(D$74:D252,3)-QUARTILE(D$74:D252,1)),D252,QUARTILE(D$74:D252,3)+1.5*(QUARTILE(D$74:D252,3)-QUARTILE(D$74:D252,1)))))</f>
        <v>0.0879818697786746</v>
      </c>
      <c r="M252" s="10" t="n">
        <f aca="false">IF(E252="","",IF(COUNT(E$74:E252)&lt;60,E252,MEDIAN(QUARTILE(E$74:E252,1)-1.5*(QUARTILE(E$74:E252,3)-QUARTILE(E$74:E252,1)),E252,QUARTILE(E$74:E252,3)+1.5*(QUARTILE(E$74:E252,3)-QUARTILE(E$74:E252,1)))))</f>
        <v>2.82154498661842</v>
      </c>
      <c r="N252" s="10" t="n">
        <f aca="false">IF(F252="","",IF(COUNT(F$74:F252)&lt;60,F252,MEDIAN(QUARTILE(F$74:F252,1)-1.5*(QUARTILE(F$74:F252,3)-QUARTILE(F$74:F252,1)),F252,QUARTILE(F$74:F252,3)+1.5*(QUARTILE(F$74:F252,3)-QUARTILE(F$74:F252,1)))))</f>
        <v>1.96073129986205</v>
      </c>
      <c r="O252" s="10" t="n">
        <f aca="false">IF(G252="","",IF(COUNT(G$74:G252)&lt;60,G252,MEDIAN(QUARTILE(G$74:G252,1)-1.5*(QUARTILE(G$74:G252,3)-QUARTILE(G$74:G252,1)),G252,QUARTILE(G$74:G252,3)+1.5*(QUARTILE(G$74:G252,3)-QUARTILE(G$74:G252,1)))))</f>
        <v>-0.110041391289061</v>
      </c>
      <c r="P252" s="10" t="n">
        <f aca="false">IF(H252="","",IF(COUNT(H$74:H252)&lt;60,H252,MEDIAN(QUARTILE(H$74:H252,1)-1.5*(QUARTILE(H$74:H252,3)-QUARTILE(H$74:H252,1)),H252,QUARTILE(H$74:H252,3)+1.5*(QUARTILE(H$74:H252,3)-QUARTILE(H$74:H252,1)))))</f>
        <v>0.365213119854161</v>
      </c>
      <c r="Q252" s="10" t="n">
        <f aca="false">IF(I252="","",IF(COUNT(I$74:I252)&lt;60,I252,MEDIAN(QUARTILE(I$74:I252,1)-1.5*(QUARTILE(I$74:I252,3)-QUARTILE(I$74:I252,1)),I252,QUARTILE(I$74:I252,3)+1.5*(QUARTILE(I$74:I252,3)-QUARTILE(I$74:I252,1)))))</f>
        <v>-0.809091250592281</v>
      </c>
      <c r="R252" s="10" t="n">
        <f aca="false">IF(J252="","",MEDIAN(J252:Q252))</f>
        <v>0.226597494816418</v>
      </c>
      <c r="S252" s="10" t="n">
        <f aca="false">IF(R252="","",ABS(R252))</f>
        <v>0.226597494816418</v>
      </c>
      <c r="T252" s="10" t="n">
        <f aca="false">IF(COUNT(S$74:S251)&lt;60,"",MEDIAN(S$74:S251))</f>
        <v>0.365704440231461</v>
      </c>
      <c r="U252" s="10" t="n">
        <f aca="false">IF(R252="","",IF(T252="",0,IF(S252&gt;=T252,R252,0)))</f>
        <v>0</v>
      </c>
      <c r="V252" s="10" t="n">
        <f aca="false">IF(U252="","",MEDIAN(-1,U252,1))</f>
        <v>0</v>
      </c>
      <c r="W252" s="10" t="n">
        <f aca="false">IF(J252="","",AVERAGE(J252:Q252))</f>
        <v>0.69774367901365</v>
      </c>
    </row>
    <row r="253" customFormat="false" ht="15" hidden="false" customHeight="false" outlineLevel="0" collapsed="false">
      <c r="A253" s="8" t="n">
        <f aca="false">Base!A253</f>
        <v>45657</v>
      </c>
      <c r="B253" s="10" t="n">
        <f aca="false">IF(COUNT(Transf!B$39:B253)&lt;36,"",(Transf!B253-AVERAGE(Transf!B$39:B253))/STDEV(Transf!B$39:B253))</f>
        <v>1.43681502670839</v>
      </c>
      <c r="C253" s="10" t="n">
        <f aca="false">IF(COUNT(Transf!C$39:C253)&lt;36,"",(Transf!C253-AVERAGE(Transf!C$39:C253))/STDEV(Transf!C$39:C253))</f>
        <v>0.51455500308655</v>
      </c>
      <c r="D253" s="10" t="n">
        <f aca="false">IF(COUNT(Transf!D$39:D253)&lt;36,"",(Transf!D253-AVERAGE(Transf!D$39:D253))/STDEV(Transf!D$39:D253))</f>
        <v>0.257082865823532</v>
      </c>
      <c r="E253" s="10" t="n">
        <f aca="false">IF(COUNT(Transf!E$39:E253)&lt;36,"",(Transf!E253-AVERAGE(Transf!E$39:E253))/STDEV(Transf!E$39:E253))</f>
        <v>1.99989196902111</v>
      </c>
      <c r="F253" s="10" t="n">
        <f aca="false">IF(COUNT(Transf!F$39:F253)&lt;36,"",(Transf!F253-AVERAGE(Transf!F$39:F253))/STDEV(Transf!F$39:F253))</f>
        <v>1.78216774104991</v>
      </c>
      <c r="G253" s="10" t="n">
        <f aca="false">IF(COUNT(Transf!G$39:G253)&lt;36,"",(Transf!G253-AVERAGE(Transf!G$39:G253))/STDEV(Transf!G$39:G253))</f>
        <v>-0.968713124042812</v>
      </c>
      <c r="H253" s="10" t="n">
        <f aca="false">IF(COUNT(Transf!H$39:H253)&lt;36,"",(Transf!H253-AVERAGE(Transf!H$39:H253))/STDEV(Transf!H$39:H253))</f>
        <v>0.501760533067505</v>
      </c>
      <c r="I253" s="10" t="n">
        <f aca="false">IF(COUNT(Transf!I$39:I253)&lt;36,"",(Transf!I253-AVERAGE(Transf!I$39:I253))/STDEV(Transf!I$39:I253))</f>
        <v>-0.808360363936294</v>
      </c>
      <c r="J253" s="10" t="n">
        <f aca="false">IF(B253="","",IF(COUNT(B$74:B253)&lt;60,B253,MEDIAN(QUARTILE(B$74:B253,1)-1.5*(QUARTILE(B$74:B253,3)-QUARTILE(B$74:B253,1)),B253,QUARTILE(B$74:B253,3)+1.5*(QUARTILE(B$74:B253,3)-QUARTILE(B$74:B253,1)))))</f>
        <v>1.43681502670839</v>
      </c>
      <c r="K253" s="10" t="n">
        <f aca="false">IF(C253="","",IF(COUNT(C$74:C253)&lt;60,C253,MEDIAN(QUARTILE(C$74:C253,1)-1.5*(QUARTILE(C$74:C253,3)-QUARTILE(C$74:C253,1)),C253,QUARTILE(C$74:C253,3)+1.5*(QUARTILE(C$74:C253,3)-QUARTILE(C$74:C253,1)))))</f>
        <v>0.51455500308655</v>
      </c>
      <c r="L253" s="10" t="n">
        <f aca="false">IF(D253="","",IF(COUNT(D$74:D253)&lt;60,D253,MEDIAN(QUARTILE(D$74:D253,1)-1.5*(QUARTILE(D$74:D253,3)-QUARTILE(D$74:D253,1)),D253,QUARTILE(D$74:D253,3)+1.5*(QUARTILE(D$74:D253,3)-QUARTILE(D$74:D253,1)))))</f>
        <v>0.257082865823532</v>
      </c>
      <c r="M253" s="10" t="n">
        <f aca="false">IF(E253="","",IF(COUNT(E$74:E253)&lt;60,E253,MEDIAN(QUARTILE(E$74:E253,1)-1.5*(QUARTILE(E$74:E253,3)-QUARTILE(E$74:E253,1)),E253,QUARTILE(E$74:E253,3)+1.5*(QUARTILE(E$74:E253,3)-QUARTILE(E$74:E253,1)))))</f>
        <v>1.99989196902111</v>
      </c>
      <c r="N253" s="10" t="n">
        <f aca="false">IF(F253="","",IF(COUNT(F$74:F253)&lt;60,F253,MEDIAN(QUARTILE(F$74:F253,1)-1.5*(QUARTILE(F$74:F253,3)-QUARTILE(F$74:F253,1)),F253,QUARTILE(F$74:F253,3)+1.5*(QUARTILE(F$74:F253,3)-QUARTILE(F$74:F253,1)))))</f>
        <v>1.78216774104991</v>
      </c>
      <c r="O253" s="10" t="n">
        <f aca="false">IF(G253="","",IF(COUNT(G$74:G253)&lt;60,G253,MEDIAN(QUARTILE(G$74:G253,1)-1.5*(QUARTILE(G$74:G253,3)-QUARTILE(G$74:G253,1)),G253,QUARTILE(G$74:G253,3)+1.5*(QUARTILE(G$74:G253,3)-QUARTILE(G$74:G253,1)))))</f>
        <v>-0.968713124042812</v>
      </c>
      <c r="P253" s="10" t="n">
        <f aca="false">IF(H253="","",IF(COUNT(H$74:H253)&lt;60,H253,MEDIAN(QUARTILE(H$74:H253,1)-1.5*(QUARTILE(H$74:H253,3)-QUARTILE(H$74:H253,1)),H253,QUARTILE(H$74:H253,3)+1.5*(QUARTILE(H$74:H253,3)-QUARTILE(H$74:H253,1)))))</f>
        <v>0.501760533067505</v>
      </c>
      <c r="Q253" s="10" t="n">
        <f aca="false">IF(I253="","",IF(COUNT(I$74:I253)&lt;60,I253,MEDIAN(QUARTILE(I$74:I253,1)-1.5*(QUARTILE(I$74:I253,3)-QUARTILE(I$74:I253,1)),I253,QUARTILE(I$74:I253,3)+1.5*(QUARTILE(I$74:I253,3)-QUARTILE(I$74:I253,1)))))</f>
        <v>-0.808360363936294</v>
      </c>
      <c r="R253" s="10" t="n">
        <f aca="false">IF(J253="","",MEDIAN(J253:Q253))</f>
        <v>0.508157768077028</v>
      </c>
      <c r="S253" s="10" t="n">
        <f aca="false">IF(R253="","",ABS(R253))</f>
        <v>0.508157768077028</v>
      </c>
      <c r="T253" s="10" t="n">
        <f aca="false">IF(COUNT(S$74:S252)&lt;60,"",MEDIAN(S$74:S252))</f>
        <v>0.365263159193769</v>
      </c>
      <c r="U253" s="10" t="n">
        <f aca="false">IF(R253="","",IF(T253="",0,IF(S253&gt;=T253,R253,0)))</f>
        <v>0.508157768077028</v>
      </c>
      <c r="V253" s="10" t="n">
        <f aca="false">IF(U253="","",MEDIAN(-1,U253,1))</f>
        <v>0.508157768077028</v>
      </c>
      <c r="W253" s="10" t="n">
        <f aca="false">IF(J253="","",AVERAGE(J253:Q253))</f>
        <v>0.589399956347237</v>
      </c>
    </row>
    <row r="254" customFormat="false" ht="15" hidden="false" customHeight="false" outlineLevel="0" collapsed="false">
      <c r="A254" s="8" t="n">
        <f aca="false">Base!A254</f>
        <v>45688</v>
      </c>
      <c r="B254" s="10" t="n">
        <f aca="false">IF(COUNT(Transf!B$39:B254)&lt;36,"",(Transf!B254-AVERAGE(Transf!B$39:B254))/STDEV(Transf!B$39:B254))</f>
        <v>1.08326902225285</v>
      </c>
      <c r="C254" s="10" t="n">
        <f aca="false">IF(COUNT(Transf!C$39:C254)&lt;36,"",(Transf!C254-AVERAGE(Transf!C$39:C254))/STDEV(Transf!C$39:C254))</f>
        <v>0.838164673735989</v>
      </c>
      <c r="D254" s="10" t="n">
        <f aca="false">IF(COUNT(Transf!D$39:D254)&lt;36,"",(Transf!D254-AVERAGE(Transf!D$39:D254))/STDEV(Transf!D$39:D254))</f>
        <v>0.311536382857547</v>
      </c>
      <c r="E254" s="10" t="n">
        <f aca="false">IF(COUNT(Transf!E$39:E254)&lt;36,"",(Transf!E254-AVERAGE(Transf!E$39:E254))/STDEV(Transf!E$39:E254))</f>
        <v>0.99527162566894</v>
      </c>
      <c r="F254" s="10" t="n">
        <f aca="false">IF(COUNT(Transf!F$39:F254)&lt;36,"",(Transf!F254-AVERAGE(Transf!F$39:F254))/STDEV(Transf!F$39:F254))</f>
        <v>1.72197504472083</v>
      </c>
      <c r="G254" s="10" t="n">
        <f aca="false">IF(COUNT(Transf!G$39:G254)&lt;36,"",(Transf!G254-AVERAGE(Transf!G$39:G254))/STDEV(Transf!G$39:G254))</f>
        <v>-1.64302135573144</v>
      </c>
      <c r="H254" s="10" t="n">
        <f aca="false">IF(COUNT(Transf!H$39:H254)&lt;36,"",(Transf!H254-AVERAGE(Transf!H$39:H254))/STDEV(Transf!H$39:H254))</f>
        <v>0.513563041599736</v>
      </c>
      <c r="I254" s="10" t="n">
        <f aca="false">IF(COUNT(Transf!I$39:I254)&lt;36,"",(Transf!I254-AVERAGE(Transf!I$39:I254))/STDEV(Transf!I$39:I254))</f>
        <v>-0.834791227137335</v>
      </c>
      <c r="J254" s="10" t="n">
        <f aca="false">IF(B254="","",IF(COUNT(B$74:B254)&lt;60,B254,MEDIAN(QUARTILE(B$74:B254,1)-1.5*(QUARTILE(B$74:B254,3)-QUARTILE(B$74:B254,1)),B254,QUARTILE(B$74:B254,3)+1.5*(QUARTILE(B$74:B254,3)-QUARTILE(B$74:B254,1)))))</f>
        <v>1.08326902225285</v>
      </c>
      <c r="K254" s="10" t="n">
        <f aca="false">IF(C254="","",IF(COUNT(C$74:C254)&lt;60,C254,MEDIAN(QUARTILE(C$74:C254,1)-1.5*(QUARTILE(C$74:C254,3)-QUARTILE(C$74:C254,1)),C254,QUARTILE(C$74:C254,3)+1.5*(QUARTILE(C$74:C254,3)-QUARTILE(C$74:C254,1)))))</f>
        <v>0.838164673735989</v>
      </c>
      <c r="L254" s="10" t="n">
        <f aca="false">IF(D254="","",IF(COUNT(D$74:D254)&lt;60,D254,MEDIAN(QUARTILE(D$74:D254,1)-1.5*(QUARTILE(D$74:D254,3)-QUARTILE(D$74:D254,1)),D254,QUARTILE(D$74:D254,3)+1.5*(QUARTILE(D$74:D254,3)-QUARTILE(D$74:D254,1)))))</f>
        <v>0.311536382857547</v>
      </c>
      <c r="M254" s="10" t="n">
        <f aca="false">IF(E254="","",IF(COUNT(E$74:E254)&lt;60,E254,MEDIAN(QUARTILE(E$74:E254,1)-1.5*(QUARTILE(E$74:E254,3)-QUARTILE(E$74:E254,1)),E254,QUARTILE(E$74:E254,3)+1.5*(QUARTILE(E$74:E254,3)-QUARTILE(E$74:E254,1)))))</f>
        <v>0.99527162566894</v>
      </c>
      <c r="N254" s="10" t="n">
        <f aca="false">IF(F254="","",IF(COUNT(F$74:F254)&lt;60,F254,MEDIAN(QUARTILE(F$74:F254,1)-1.5*(QUARTILE(F$74:F254,3)-QUARTILE(F$74:F254,1)),F254,QUARTILE(F$74:F254,3)+1.5*(QUARTILE(F$74:F254,3)-QUARTILE(F$74:F254,1)))))</f>
        <v>1.72197504472083</v>
      </c>
      <c r="O254" s="10" t="n">
        <f aca="false">IF(G254="","",IF(COUNT(G$74:G254)&lt;60,G254,MEDIAN(QUARTILE(G$74:G254,1)-1.5*(QUARTILE(G$74:G254,3)-QUARTILE(G$74:G254,1)),G254,QUARTILE(G$74:G254,3)+1.5*(QUARTILE(G$74:G254,3)-QUARTILE(G$74:G254,1)))))</f>
        <v>-1.64302135573144</v>
      </c>
      <c r="P254" s="10" t="n">
        <f aca="false">IF(H254="","",IF(COUNT(H$74:H254)&lt;60,H254,MEDIAN(QUARTILE(H$74:H254,1)-1.5*(QUARTILE(H$74:H254,3)-QUARTILE(H$74:H254,1)),H254,QUARTILE(H$74:H254,3)+1.5*(QUARTILE(H$74:H254,3)-QUARTILE(H$74:H254,1)))))</f>
        <v>0.513563041599736</v>
      </c>
      <c r="Q254" s="10" t="n">
        <f aca="false">IF(I254="","",IF(COUNT(I$74:I254)&lt;60,I254,MEDIAN(QUARTILE(I$74:I254,1)-1.5*(QUARTILE(I$74:I254,3)-QUARTILE(I$74:I254,1)),I254,QUARTILE(I$74:I254,3)+1.5*(QUARTILE(I$74:I254,3)-QUARTILE(I$74:I254,1)))))</f>
        <v>-0.834791227137335</v>
      </c>
      <c r="R254" s="10" t="n">
        <f aca="false">IF(J254="","",MEDIAN(J254:Q254))</f>
        <v>0.675863857667862</v>
      </c>
      <c r="S254" s="10" t="n">
        <f aca="false">IF(R254="","",ABS(R254))</f>
        <v>0.675863857667862</v>
      </c>
      <c r="T254" s="10" t="n">
        <f aca="false">IF(COUNT(S$74:S253)&lt;60,"",MEDIAN(S$74:S253))</f>
        <v>0.365704440231461</v>
      </c>
      <c r="U254" s="10" t="n">
        <f aca="false">IF(R254="","",IF(T254="",0,IF(S254&gt;=T254,R254,0)))</f>
        <v>0.675863857667862</v>
      </c>
      <c r="V254" s="10" t="n">
        <f aca="false">IF(U254="","",MEDIAN(-1,U254,1))</f>
        <v>0.675863857667862</v>
      </c>
      <c r="W254" s="10" t="n">
        <f aca="false">IF(J254="","",AVERAGE(J254:Q254))</f>
        <v>0.37324590099589</v>
      </c>
    </row>
    <row r="255" customFormat="false" ht="15" hidden="false" customHeight="false" outlineLevel="0" collapsed="false">
      <c r="A255" s="8" t="n">
        <f aca="false">Base!A255</f>
        <v>45716</v>
      </c>
      <c r="B255" s="10" t="n">
        <f aca="false">IF(COUNT(Transf!B$39:B255)&lt;36,"",(Transf!B255-AVERAGE(Transf!B$39:B255))/STDEV(Transf!B$39:B255))</f>
        <v>0.714807362170458</v>
      </c>
      <c r="C255" s="10" t="n">
        <f aca="false">IF(COUNT(Transf!C$39:C255)&lt;36,"",(Transf!C255-AVERAGE(Transf!C$39:C255))/STDEV(Transf!C$39:C255))</f>
        <v>1.07825125841916</v>
      </c>
      <c r="D255" s="10" t="n">
        <f aca="false">IF(COUNT(Transf!D$39:D255)&lt;36,"",(Transf!D255-AVERAGE(Transf!D$39:D255))/STDEV(Transf!D$39:D255))</f>
        <v>0.393256943347967</v>
      </c>
      <c r="E255" s="10" t="n">
        <f aca="false">IF(COUNT(Transf!E$39:E255)&lt;36,"",(Transf!E255-AVERAGE(Transf!E$39:E255))/STDEV(Transf!E$39:E255))</f>
        <v>-0.0830617695867085</v>
      </c>
      <c r="F255" s="10" t="n">
        <f aca="false">IF(COUNT(Transf!F$39:F255)&lt;36,"",(Transf!F255-AVERAGE(Transf!F$39:F255))/STDEV(Transf!F$39:F255))</f>
        <v>1.63398295649718</v>
      </c>
      <c r="G255" s="10" t="n">
        <f aca="false">IF(COUNT(Transf!G$39:G255)&lt;36,"",(Transf!G255-AVERAGE(Transf!G$39:G255))/STDEV(Transf!G$39:G255))</f>
        <v>-2.24588393580815</v>
      </c>
      <c r="H255" s="10" t="n">
        <f aca="false">IF(COUNT(Transf!H$39:H255)&lt;36,"",(Transf!H255-AVERAGE(Transf!H$39:H255))/STDEV(Transf!H$39:H255))</f>
        <v>0.420128724511676</v>
      </c>
      <c r="I255" s="10" t="n">
        <f aca="false">IF(COUNT(Transf!I$39:I255)&lt;36,"",(Transf!I255-AVERAGE(Transf!I$39:I255))/STDEV(Transf!I$39:I255))</f>
        <v>-0.752368099259565</v>
      </c>
      <c r="J255" s="10" t="n">
        <f aca="false">IF(B255="","",IF(COUNT(B$74:B255)&lt;60,B255,MEDIAN(QUARTILE(B$74:B255,1)-1.5*(QUARTILE(B$74:B255,3)-QUARTILE(B$74:B255,1)),B255,QUARTILE(B$74:B255,3)+1.5*(QUARTILE(B$74:B255,3)-QUARTILE(B$74:B255,1)))))</f>
        <v>0.714807362170458</v>
      </c>
      <c r="K255" s="10" t="n">
        <f aca="false">IF(C255="","",IF(COUNT(C$74:C255)&lt;60,C255,MEDIAN(QUARTILE(C$74:C255,1)-1.5*(QUARTILE(C$74:C255,3)-QUARTILE(C$74:C255,1)),C255,QUARTILE(C$74:C255,3)+1.5*(QUARTILE(C$74:C255,3)-QUARTILE(C$74:C255,1)))))</f>
        <v>1.07825125841916</v>
      </c>
      <c r="L255" s="10" t="n">
        <f aca="false">IF(D255="","",IF(COUNT(D$74:D255)&lt;60,D255,MEDIAN(QUARTILE(D$74:D255,1)-1.5*(QUARTILE(D$74:D255,3)-QUARTILE(D$74:D255,1)),D255,QUARTILE(D$74:D255,3)+1.5*(QUARTILE(D$74:D255,3)-QUARTILE(D$74:D255,1)))))</f>
        <v>0.393256943347967</v>
      </c>
      <c r="M255" s="10" t="n">
        <f aca="false">IF(E255="","",IF(COUNT(E$74:E255)&lt;60,E255,MEDIAN(QUARTILE(E$74:E255,1)-1.5*(QUARTILE(E$74:E255,3)-QUARTILE(E$74:E255,1)),E255,QUARTILE(E$74:E255,3)+1.5*(QUARTILE(E$74:E255,3)-QUARTILE(E$74:E255,1)))))</f>
        <v>-0.0830617695867085</v>
      </c>
      <c r="N255" s="10" t="n">
        <f aca="false">IF(F255="","",IF(COUNT(F$74:F255)&lt;60,F255,MEDIAN(QUARTILE(F$74:F255,1)-1.5*(QUARTILE(F$74:F255,3)-QUARTILE(F$74:F255,1)),F255,QUARTILE(F$74:F255,3)+1.5*(QUARTILE(F$74:F255,3)-QUARTILE(F$74:F255,1)))))</f>
        <v>1.63398295649718</v>
      </c>
      <c r="O255" s="10" t="n">
        <f aca="false">IF(G255="","",IF(COUNT(G$74:G255)&lt;60,G255,MEDIAN(QUARTILE(G$74:G255,1)-1.5*(QUARTILE(G$74:G255,3)-QUARTILE(G$74:G255,1)),G255,QUARTILE(G$74:G255,3)+1.5*(QUARTILE(G$74:G255,3)-QUARTILE(G$74:G255,1)))))</f>
        <v>-2.24588393580815</v>
      </c>
      <c r="P255" s="10" t="n">
        <f aca="false">IF(H255="","",IF(COUNT(H$74:H255)&lt;60,H255,MEDIAN(QUARTILE(H$74:H255,1)-1.5*(QUARTILE(H$74:H255,3)-QUARTILE(H$74:H255,1)),H255,QUARTILE(H$74:H255,3)+1.5*(QUARTILE(H$74:H255,3)-QUARTILE(H$74:H255,1)))))</f>
        <v>0.420128724511676</v>
      </c>
      <c r="Q255" s="10" t="n">
        <f aca="false">IF(I255="","",IF(COUNT(I$74:I255)&lt;60,I255,MEDIAN(QUARTILE(I$74:I255,1)-1.5*(QUARTILE(I$74:I255,3)-QUARTILE(I$74:I255,1)),I255,QUARTILE(I$74:I255,3)+1.5*(QUARTILE(I$74:I255,3)-QUARTILE(I$74:I255,1)))))</f>
        <v>-0.752368099259565</v>
      </c>
      <c r="R255" s="10" t="n">
        <f aca="false">IF(J255="","",MEDIAN(J255:Q255))</f>
        <v>0.406692833929821</v>
      </c>
      <c r="S255" s="10" t="n">
        <f aca="false">IF(R255="","",ABS(R255))</f>
        <v>0.406692833929821</v>
      </c>
      <c r="T255" s="10" t="n">
        <f aca="false">IF(COUNT(S$74:S254)&lt;60,"",MEDIAN(S$74:S254))</f>
        <v>0.366145721269152</v>
      </c>
      <c r="U255" s="10" t="n">
        <f aca="false">IF(R255="","",IF(T255="",0,IF(S255&gt;=T255,R255,0)))</f>
        <v>0.406692833929821</v>
      </c>
      <c r="V255" s="10" t="n">
        <f aca="false">IF(U255="","",MEDIAN(-1,U255,1))</f>
        <v>0.406692833929821</v>
      </c>
      <c r="W255" s="10" t="n">
        <f aca="false">IF(J255="","",AVERAGE(J255:Q255))</f>
        <v>0.144889180036502</v>
      </c>
    </row>
    <row r="256" customFormat="false" ht="15" hidden="false" customHeight="false" outlineLevel="0" collapsed="false">
      <c r="A256" s="8" t="n">
        <f aca="false">Base!A256</f>
        <v>45747</v>
      </c>
      <c r="B256" s="10" t="n">
        <f aca="false">IF(COUNT(Transf!B$39:B256)&lt;36,"",(Transf!B256-AVERAGE(Transf!B$39:B256))/STDEV(Transf!B$39:B256))</f>
        <v>0.185492900600536</v>
      </c>
      <c r="C256" s="10" t="n">
        <f aca="false">IF(COUNT(Transf!C$39:C256)&lt;36,"",(Transf!C256-AVERAGE(Transf!C$39:C256))/STDEV(Transf!C$39:C256))</f>
        <v>0.994511021795514</v>
      </c>
      <c r="D256" s="10" t="n">
        <f aca="false">IF(COUNT(Transf!D$39:D256)&lt;36,"",(Transf!D256-AVERAGE(Transf!D$39:D256))/STDEV(Transf!D$39:D256))</f>
        <v>0.301609007269213</v>
      </c>
      <c r="E256" s="10" t="n">
        <f aca="false">IF(COUNT(Transf!E$39:E256)&lt;36,"",(Transf!E256-AVERAGE(Transf!E$39:E256))/STDEV(Transf!E$39:E256))</f>
        <v>-0.773282083615021</v>
      </c>
      <c r="F256" s="10" t="n">
        <f aca="false">IF(COUNT(Transf!F$39:F256)&lt;36,"",(Transf!F256-AVERAGE(Transf!F$39:F256))/STDEV(Transf!F$39:F256))</f>
        <v>1.54810095530089</v>
      </c>
      <c r="G256" s="10" t="n">
        <f aca="false">IF(COUNT(Transf!G$39:G256)&lt;36,"",(Transf!G256-AVERAGE(Transf!G$39:G256))/STDEV(Transf!G$39:G256))</f>
        <v>-1.67105704473821</v>
      </c>
      <c r="H256" s="10" t="n">
        <f aca="false">IF(COUNT(Transf!H$39:H256)&lt;36,"",(Transf!H256-AVERAGE(Transf!H$39:H256))/STDEV(Transf!H$39:H256))</f>
        <v>0.386296567892273</v>
      </c>
      <c r="I256" s="10" t="n">
        <f aca="false">IF(COUNT(Transf!I$39:I256)&lt;36,"",(Transf!I256-AVERAGE(Transf!I$39:I256))/STDEV(Transf!I$39:I256))</f>
        <v>-0.683807087058747</v>
      </c>
      <c r="J256" s="10" t="n">
        <f aca="false">IF(B256="","",IF(COUNT(B$74:B256)&lt;60,B256,MEDIAN(QUARTILE(B$74:B256,1)-1.5*(QUARTILE(B$74:B256,3)-QUARTILE(B$74:B256,1)),B256,QUARTILE(B$74:B256,3)+1.5*(QUARTILE(B$74:B256,3)-QUARTILE(B$74:B256,1)))))</f>
        <v>0.185492900600536</v>
      </c>
      <c r="K256" s="10" t="n">
        <f aca="false">IF(C256="","",IF(COUNT(C$74:C256)&lt;60,C256,MEDIAN(QUARTILE(C$74:C256,1)-1.5*(QUARTILE(C$74:C256,3)-QUARTILE(C$74:C256,1)),C256,QUARTILE(C$74:C256,3)+1.5*(QUARTILE(C$74:C256,3)-QUARTILE(C$74:C256,1)))))</f>
        <v>0.994511021795514</v>
      </c>
      <c r="L256" s="10" t="n">
        <f aca="false">IF(D256="","",IF(COUNT(D$74:D256)&lt;60,D256,MEDIAN(QUARTILE(D$74:D256,1)-1.5*(QUARTILE(D$74:D256,3)-QUARTILE(D$74:D256,1)),D256,QUARTILE(D$74:D256,3)+1.5*(QUARTILE(D$74:D256,3)-QUARTILE(D$74:D256,1)))))</f>
        <v>0.301609007269213</v>
      </c>
      <c r="M256" s="10" t="n">
        <f aca="false">IF(E256="","",IF(COUNT(E$74:E256)&lt;60,E256,MEDIAN(QUARTILE(E$74:E256,1)-1.5*(QUARTILE(E$74:E256,3)-QUARTILE(E$74:E256,1)),E256,QUARTILE(E$74:E256,3)+1.5*(QUARTILE(E$74:E256,3)-QUARTILE(E$74:E256,1)))))</f>
        <v>-0.773282083615021</v>
      </c>
      <c r="N256" s="10" t="n">
        <f aca="false">IF(F256="","",IF(COUNT(F$74:F256)&lt;60,F256,MEDIAN(QUARTILE(F$74:F256,1)-1.5*(QUARTILE(F$74:F256,3)-QUARTILE(F$74:F256,1)),F256,QUARTILE(F$74:F256,3)+1.5*(QUARTILE(F$74:F256,3)-QUARTILE(F$74:F256,1)))))</f>
        <v>1.54810095530089</v>
      </c>
      <c r="O256" s="10" t="n">
        <f aca="false">IF(G256="","",IF(COUNT(G$74:G256)&lt;60,G256,MEDIAN(QUARTILE(G$74:G256,1)-1.5*(QUARTILE(G$74:G256,3)-QUARTILE(G$74:G256,1)),G256,QUARTILE(G$74:G256,3)+1.5*(QUARTILE(G$74:G256,3)-QUARTILE(G$74:G256,1)))))</f>
        <v>-1.67105704473821</v>
      </c>
      <c r="P256" s="10" t="n">
        <f aca="false">IF(H256="","",IF(COUNT(H$74:H256)&lt;60,H256,MEDIAN(QUARTILE(H$74:H256,1)-1.5*(QUARTILE(H$74:H256,3)-QUARTILE(H$74:H256,1)),H256,QUARTILE(H$74:H256,3)+1.5*(QUARTILE(H$74:H256,3)-QUARTILE(H$74:H256,1)))))</f>
        <v>0.386296567892273</v>
      </c>
      <c r="Q256" s="10" t="n">
        <f aca="false">IF(I256="","",IF(COUNT(I$74:I256)&lt;60,I256,MEDIAN(QUARTILE(I$74:I256,1)-1.5*(QUARTILE(I$74:I256,3)-QUARTILE(I$74:I256,1)),I256,QUARTILE(I$74:I256,3)+1.5*(QUARTILE(I$74:I256,3)-QUARTILE(I$74:I256,1)))))</f>
        <v>-0.683807087058747</v>
      </c>
      <c r="R256" s="10" t="n">
        <f aca="false">IF(J256="","",MEDIAN(J256:Q256))</f>
        <v>0.243550953934875</v>
      </c>
      <c r="S256" s="10" t="n">
        <f aca="false">IF(R256="","",ABS(R256))</f>
        <v>0.243550953934875</v>
      </c>
      <c r="T256" s="10" t="n">
        <f aca="false">IF(COUNT(S$74:S255)&lt;60,"",MEDIAN(S$74:S255))</f>
        <v>0.367833511290124</v>
      </c>
      <c r="U256" s="10" t="n">
        <f aca="false">IF(R256="","",IF(T256="",0,IF(S256&gt;=T256,R256,0)))</f>
        <v>0</v>
      </c>
      <c r="V256" s="10" t="n">
        <f aca="false">IF(U256="","",MEDIAN(-1,U256,1))</f>
        <v>0</v>
      </c>
      <c r="W256" s="10" t="n">
        <f aca="false">IF(J256="","",AVERAGE(J256:Q256))</f>
        <v>0.0359830296808061</v>
      </c>
    </row>
    <row r="257" customFormat="false" ht="15" hidden="false" customHeight="false" outlineLevel="0" collapsed="false">
      <c r="A257" s="8" t="n">
        <f aca="false">Base!A257</f>
        <v>45777</v>
      </c>
      <c r="B257" s="10" t="n">
        <f aca="false">IF(COUNT(Transf!B$39:B257)&lt;36,"",(Transf!B257-AVERAGE(Transf!B$39:B257))/STDEV(Transf!B$39:B257))</f>
        <v>0.0602348050910138</v>
      </c>
      <c r="C257" s="10" t="n">
        <f aca="false">IF(COUNT(Transf!C$39:C257)&lt;36,"",(Transf!C257-AVERAGE(Transf!C$39:C257))/STDEV(Transf!C$39:C257))</f>
        <v>1.03016665261236</v>
      </c>
      <c r="D257" s="10" t="n">
        <f aca="false">IF(COUNT(Transf!D$39:D257)&lt;36,"",(Transf!D257-AVERAGE(Transf!D$39:D257))/STDEV(Transf!D$39:D257))</f>
        <v>0.248447808552069</v>
      </c>
      <c r="E257" s="10" t="n">
        <f aca="false">IF(COUNT(Transf!E$39:E257)&lt;36,"",(Transf!E257-AVERAGE(Transf!E$39:E257))/STDEV(Transf!E$39:E257))</f>
        <v>-1.15391579415745</v>
      </c>
      <c r="F257" s="10" t="n">
        <f aca="false">IF(COUNT(Transf!F$39:F257)&lt;36,"",(Transf!F257-AVERAGE(Transf!F$39:F257))/STDEV(Transf!F$39:F257))</f>
        <v>1.41005360791738</v>
      </c>
      <c r="G257" s="10" t="n">
        <f aca="false">IF(COUNT(Transf!G$39:G257)&lt;36,"",(Transf!G257-AVERAGE(Transf!G$39:G257))/STDEV(Transf!G$39:G257))</f>
        <v>-1.08780482960636</v>
      </c>
      <c r="H257" s="10" t="n">
        <f aca="false">IF(COUNT(Transf!H$39:H257)&lt;36,"",(Transf!H257-AVERAGE(Transf!H$39:H257))/STDEV(Transf!H$39:H257))</f>
        <v>0.543497585538049</v>
      </c>
      <c r="I257" s="10" t="n">
        <f aca="false">IF(COUNT(Transf!I$39:I257)&lt;36,"",(Transf!I257-AVERAGE(Transf!I$39:I257))/STDEV(Transf!I$39:I257))</f>
        <v>-0.5710426820177</v>
      </c>
      <c r="J257" s="10" t="n">
        <f aca="false">IF(B257="","",IF(COUNT(B$74:B257)&lt;60,B257,MEDIAN(QUARTILE(B$74:B257,1)-1.5*(QUARTILE(B$74:B257,3)-QUARTILE(B$74:B257,1)),B257,QUARTILE(B$74:B257,3)+1.5*(QUARTILE(B$74:B257,3)-QUARTILE(B$74:B257,1)))))</f>
        <v>0.0602348050910138</v>
      </c>
      <c r="K257" s="10" t="n">
        <f aca="false">IF(C257="","",IF(COUNT(C$74:C257)&lt;60,C257,MEDIAN(QUARTILE(C$74:C257,1)-1.5*(QUARTILE(C$74:C257,3)-QUARTILE(C$74:C257,1)),C257,QUARTILE(C$74:C257,3)+1.5*(QUARTILE(C$74:C257,3)-QUARTILE(C$74:C257,1)))))</f>
        <v>1.03016665261236</v>
      </c>
      <c r="L257" s="10" t="n">
        <f aca="false">IF(D257="","",IF(COUNT(D$74:D257)&lt;60,D257,MEDIAN(QUARTILE(D$74:D257,1)-1.5*(QUARTILE(D$74:D257,3)-QUARTILE(D$74:D257,1)),D257,QUARTILE(D$74:D257,3)+1.5*(QUARTILE(D$74:D257,3)-QUARTILE(D$74:D257,1)))))</f>
        <v>0.248447808552069</v>
      </c>
      <c r="M257" s="10" t="n">
        <f aca="false">IF(E257="","",IF(COUNT(E$74:E257)&lt;60,E257,MEDIAN(QUARTILE(E$74:E257,1)-1.5*(QUARTILE(E$74:E257,3)-QUARTILE(E$74:E257,1)),E257,QUARTILE(E$74:E257,3)+1.5*(QUARTILE(E$74:E257,3)-QUARTILE(E$74:E257,1)))))</f>
        <v>-1.15391579415745</v>
      </c>
      <c r="N257" s="10" t="n">
        <f aca="false">IF(F257="","",IF(COUNT(F$74:F257)&lt;60,F257,MEDIAN(QUARTILE(F$74:F257,1)-1.5*(QUARTILE(F$74:F257,3)-QUARTILE(F$74:F257,1)),F257,QUARTILE(F$74:F257,3)+1.5*(QUARTILE(F$74:F257,3)-QUARTILE(F$74:F257,1)))))</f>
        <v>1.41005360791738</v>
      </c>
      <c r="O257" s="10" t="n">
        <f aca="false">IF(G257="","",IF(COUNT(G$74:G257)&lt;60,G257,MEDIAN(QUARTILE(G$74:G257,1)-1.5*(QUARTILE(G$74:G257,3)-QUARTILE(G$74:G257,1)),G257,QUARTILE(G$74:G257,3)+1.5*(QUARTILE(G$74:G257,3)-QUARTILE(G$74:G257,1)))))</f>
        <v>-1.08780482960636</v>
      </c>
      <c r="P257" s="10" t="n">
        <f aca="false">IF(H257="","",IF(COUNT(H$74:H257)&lt;60,H257,MEDIAN(QUARTILE(H$74:H257,1)-1.5*(QUARTILE(H$74:H257,3)-QUARTILE(H$74:H257,1)),H257,QUARTILE(H$74:H257,3)+1.5*(QUARTILE(H$74:H257,3)-QUARTILE(H$74:H257,1)))))</f>
        <v>0.543497585538049</v>
      </c>
      <c r="Q257" s="10" t="n">
        <f aca="false">IF(I257="","",IF(COUNT(I$74:I257)&lt;60,I257,MEDIAN(QUARTILE(I$74:I257,1)-1.5*(QUARTILE(I$74:I257,3)-QUARTILE(I$74:I257,1)),I257,QUARTILE(I$74:I257,3)+1.5*(QUARTILE(I$74:I257,3)-QUARTILE(I$74:I257,1)))))</f>
        <v>-0.5710426820177</v>
      </c>
      <c r="R257" s="10" t="n">
        <f aca="false">IF(J257="","",MEDIAN(J257:Q257))</f>
        <v>0.154341306821542</v>
      </c>
      <c r="S257" s="10" t="n">
        <f aca="false">IF(R257="","",ABS(R257))</f>
        <v>0.154341306821542</v>
      </c>
      <c r="T257" s="10" t="n">
        <f aca="false">IF(COUNT(S$74:S256)&lt;60,"",MEDIAN(S$74:S256))</f>
        <v>0.366145721269152</v>
      </c>
      <c r="U257" s="10" t="n">
        <f aca="false">IF(R257="","",IF(T257="",0,IF(S257&gt;=T257,R257,0)))</f>
        <v>0</v>
      </c>
      <c r="V257" s="10" t="n">
        <f aca="false">IF(U257="","",MEDIAN(-1,U257,1))</f>
        <v>0</v>
      </c>
      <c r="W257" s="10" t="n">
        <f aca="false">IF(J257="","",AVERAGE(J257:Q257))</f>
        <v>0.0599546442411703</v>
      </c>
    </row>
    <row r="258" customFormat="false" ht="15" hidden="false" customHeight="false" outlineLevel="0" collapsed="false">
      <c r="A258" s="8" t="n">
        <f aca="false">Base!A258</f>
        <v>45808</v>
      </c>
      <c r="B258" s="10" t="n">
        <f aca="false">IF(COUNT(Transf!B$39:B258)&lt;36,"",(Transf!B258-AVERAGE(Transf!B$39:B258))/STDEV(Transf!B$39:B258))</f>
        <v>-0.257472194748127</v>
      </c>
      <c r="C258" s="10" t="n">
        <f aca="false">IF(COUNT(Transf!C$39:C258)&lt;36,"",(Transf!C258-AVERAGE(Transf!C$39:C258))/STDEV(Transf!C$39:C258))</f>
        <v>0.963081165742032</v>
      </c>
      <c r="D258" s="10" t="n">
        <f aca="false">IF(COUNT(Transf!D$39:D258)&lt;36,"",(Transf!D258-AVERAGE(Transf!D$39:D258))/STDEV(Transf!D$39:D258))</f>
        <v>0.107281320120568</v>
      </c>
      <c r="E258" s="10" t="n">
        <f aca="false">IF(COUNT(Transf!E$39:E258)&lt;36,"",(Transf!E258-AVERAGE(Transf!E$39:E258))/STDEV(Transf!E$39:E258))</f>
        <v>-1.33283947557156</v>
      </c>
      <c r="F258" s="10" t="n">
        <f aca="false">IF(COUNT(Transf!F$39:F258)&lt;36,"",(Transf!F258-AVERAGE(Transf!F$39:F258))/STDEV(Transf!F$39:F258))</f>
        <v>1.3113469600114</v>
      </c>
      <c r="G258" s="10" t="n">
        <f aca="false">IF(COUNT(Transf!G$39:G258)&lt;36,"",(Transf!G258-AVERAGE(Transf!G$39:G258))/STDEV(Transf!G$39:G258))</f>
        <v>-0.617337005814518</v>
      </c>
      <c r="H258" s="10" t="n">
        <f aca="false">IF(COUNT(Transf!H$39:H258)&lt;36,"",(Transf!H258-AVERAGE(Transf!H$39:H258))/STDEV(Transf!H$39:H258))</f>
        <v>0.586039073362716</v>
      </c>
      <c r="I258" s="10" t="n">
        <f aca="false">IF(COUNT(Transf!I$39:I258)&lt;36,"",(Transf!I258-AVERAGE(Transf!I$39:I258))/STDEV(Transf!I$39:I258))</f>
        <v>-0.462328859034302</v>
      </c>
      <c r="J258" s="10" t="n">
        <f aca="false">IF(B258="","",IF(COUNT(B$74:B258)&lt;60,B258,MEDIAN(QUARTILE(B$74:B258,1)-1.5*(QUARTILE(B$74:B258,3)-QUARTILE(B$74:B258,1)),B258,QUARTILE(B$74:B258,3)+1.5*(QUARTILE(B$74:B258,3)-QUARTILE(B$74:B258,1)))))</f>
        <v>-0.257472194748127</v>
      </c>
      <c r="K258" s="10" t="n">
        <f aca="false">IF(C258="","",IF(COUNT(C$74:C258)&lt;60,C258,MEDIAN(QUARTILE(C$74:C258,1)-1.5*(QUARTILE(C$74:C258,3)-QUARTILE(C$74:C258,1)),C258,QUARTILE(C$74:C258,3)+1.5*(QUARTILE(C$74:C258,3)-QUARTILE(C$74:C258,1)))))</f>
        <v>0.963081165742032</v>
      </c>
      <c r="L258" s="10" t="n">
        <f aca="false">IF(D258="","",IF(COUNT(D$74:D258)&lt;60,D258,MEDIAN(QUARTILE(D$74:D258,1)-1.5*(QUARTILE(D$74:D258,3)-QUARTILE(D$74:D258,1)),D258,QUARTILE(D$74:D258,3)+1.5*(QUARTILE(D$74:D258,3)-QUARTILE(D$74:D258,1)))))</f>
        <v>0.107281320120568</v>
      </c>
      <c r="M258" s="10" t="n">
        <f aca="false">IF(E258="","",IF(COUNT(E$74:E258)&lt;60,E258,MEDIAN(QUARTILE(E$74:E258,1)-1.5*(QUARTILE(E$74:E258,3)-QUARTILE(E$74:E258,1)),E258,QUARTILE(E$74:E258,3)+1.5*(QUARTILE(E$74:E258,3)-QUARTILE(E$74:E258,1)))))</f>
        <v>-1.33283947557156</v>
      </c>
      <c r="N258" s="10" t="n">
        <f aca="false">IF(F258="","",IF(COUNT(F$74:F258)&lt;60,F258,MEDIAN(QUARTILE(F$74:F258,1)-1.5*(QUARTILE(F$74:F258,3)-QUARTILE(F$74:F258,1)),F258,QUARTILE(F$74:F258,3)+1.5*(QUARTILE(F$74:F258,3)-QUARTILE(F$74:F258,1)))))</f>
        <v>1.3113469600114</v>
      </c>
      <c r="O258" s="10" t="n">
        <f aca="false">IF(G258="","",IF(COUNT(G$74:G258)&lt;60,G258,MEDIAN(QUARTILE(G$74:G258,1)-1.5*(QUARTILE(G$74:G258,3)-QUARTILE(G$74:G258,1)),G258,QUARTILE(G$74:G258,3)+1.5*(QUARTILE(G$74:G258,3)-QUARTILE(G$74:G258,1)))))</f>
        <v>-0.617337005814518</v>
      </c>
      <c r="P258" s="10" t="n">
        <f aca="false">IF(H258="","",IF(COUNT(H$74:H258)&lt;60,H258,MEDIAN(QUARTILE(H$74:H258,1)-1.5*(QUARTILE(H$74:H258,3)-QUARTILE(H$74:H258,1)),H258,QUARTILE(H$74:H258,3)+1.5*(QUARTILE(H$74:H258,3)-QUARTILE(H$74:H258,1)))))</f>
        <v>0.586039073362716</v>
      </c>
      <c r="Q258" s="10" t="n">
        <f aca="false">IF(I258="","",IF(COUNT(I$74:I258)&lt;60,I258,MEDIAN(QUARTILE(I$74:I258,1)-1.5*(QUARTILE(I$74:I258,3)-QUARTILE(I$74:I258,1)),I258,QUARTILE(I$74:I258,3)+1.5*(QUARTILE(I$74:I258,3)-QUARTILE(I$74:I258,1)))))</f>
        <v>-0.462328859034302</v>
      </c>
      <c r="R258" s="10" t="n">
        <f aca="false">IF(J258="","",MEDIAN(J258:Q258))</f>
        <v>-0.0750954373137797</v>
      </c>
      <c r="S258" s="10" t="n">
        <f aca="false">IF(R258="","",ABS(R258))</f>
        <v>0.0750954373137797</v>
      </c>
      <c r="T258" s="10" t="n">
        <f aca="false">IF(COUNT(S$74:S257)&lt;60,"",MEDIAN(S$74:S257))</f>
        <v>0.365704440231461</v>
      </c>
      <c r="U258" s="10" t="n">
        <f aca="false">IF(R258="","",IF(T258="",0,IF(S258&gt;=T258,R258,0)))</f>
        <v>0</v>
      </c>
      <c r="V258" s="10" t="n">
        <f aca="false">IF(U258="","",MEDIAN(-1,U258,1))</f>
        <v>0</v>
      </c>
      <c r="W258" s="10" t="n">
        <f aca="false">IF(J258="","",AVERAGE(J258:Q258))</f>
        <v>0.0372213730085268</v>
      </c>
    </row>
    <row r="259" customFormat="false" ht="15" hidden="false" customHeight="false" outlineLevel="0" collapsed="false">
      <c r="A259" s="8" t="n">
        <f aca="false">Base!A259</f>
        <v>45838</v>
      </c>
      <c r="B259" s="10" t="n">
        <f aca="false">IF(COUNT(Transf!B$39:B259)&lt;36,"",(Transf!B259-AVERAGE(Transf!B$39:B259))/STDEV(Transf!B$39:B259))</f>
        <v>-0.133970444536154</v>
      </c>
      <c r="C259" s="10" t="n">
        <f aca="false">IF(COUNT(Transf!C$39:C259)&lt;36,"",(Transf!C259-AVERAGE(Transf!C$39:C259))/STDEV(Transf!C$39:C259))</f>
        <v>0.922735061317352</v>
      </c>
      <c r="D259" s="10" t="n">
        <f aca="false">IF(COUNT(Transf!D$39:D259)&lt;36,"",(Transf!D259-AVERAGE(Transf!D$39:D259))/STDEV(Transf!D$39:D259))</f>
        <v>0.00941525324486283</v>
      </c>
      <c r="E259" s="10" t="n">
        <f aca="false">IF(COUNT(Transf!E$39:E259)&lt;36,"",(Transf!E259-AVERAGE(Transf!E$39:E259))/STDEV(Transf!E$39:E259))</f>
        <v>-1.41419351138541</v>
      </c>
      <c r="F259" s="10" t="n">
        <f aca="false">IF(COUNT(Transf!F$39:F259)&lt;36,"",(Transf!F259-AVERAGE(Transf!F$39:F259))/STDEV(Transf!F$39:F259))</f>
        <v>1.63393245894574</v>
      </c>
      <c r="G259" s="10" t="n">
        <f aca="false">IF(COUNT(Transf!G$39:G259)&lt;36,"",(Transf!G259-AVERAGE(Transf!G$39:G259))/STDEV(Transf!G$39:G259))</f>
        <v>-0.110874880314812</v>
      </c>
      <c r="H259" s="10" t="n">
        <f aca="false">IF(COUNT(Transf!H$39:H259)&lt;36,"",(Transf!H259-AVERAGE(Transf!H$39:H259))/STDEV(Transf!H$39:H259))</f>
        <v>0.714617933058047</v>
      </c>
      <c r="I259" s="10" t="n">
        <f aca="false">IF(COUNT(Transf!I$39:I259)&lt;36,"",(Transf!I259-AVERAGE(Transf!I$39:I259))/STDEV(Transf!I$39:I259))</f>
        <v>-0.34465711146525</v>
      </c>
      <c r="J259" s="10" t="n">
        <f aca="false">IF(B259="","",IF(COUNT(B$74:B259)&lt;60,B259,MEDIAN(QUARTILE(B$74:B259,1)-1.5*(QUARTILE(B$74:B259,3)-QUARTILE(B$74:B259,1)),B259,QUARTILE(B$74:B259,3)+1.5*(QUARTILE(B$74:B259,3)-QUARTILE(B$74:B259,1)))))</f>
        <v>-0.133970444536154</v>
      </c>
      <c r="K259" s="10" t="n">
        <f aca="false">IF(C259="","",IF(COUNT(C$74:C259)&lt;60,C259,MEDIAN(QUARTILE(C$74:C259,1)-1.5*(QUARTILE(C$74:C259,3)-QUARTILE(C$74:C259,1)),C259,QUARTILE(C$74:C259,3)+1.5*(QUARTILE(C$74:C259,3)-QUARTILE(C$74:C259,1)))))</f>
        <v>0.922735061317352</v>
      </c>
      <c r="L259" s="10" t="n">
        <f aca="false">IF(D259="","",IF(COUNT(D$74:D259)&lt;60,D259,MEDIAN(QUARTILE(D$74:D259,1)-1.5*(QUARTILE(D$74:D259,3)-QUARTILE(D$74:D259,1)),D259,QUARTILE(D$74:D259,3)+1.5*(QUARTILE(D$74:D259,3)-QUARTILE(D$74:D259,1)))))</f>
        <v>0.00941525324486283</v>
      </c>
      <c r="M259" s="10" t="n">
        <f aca="false">IF(E259="","",IF(COUNT(E$74:E259)&lt;60,E259,MEDIAN(QUARTILE(E$74:E259,1)-1.5*(QUARTILE(E$74:E259,3)-QUARTILE(E$74:E259,1)),E259,QUARTILE(E$74:E259,3)+1.5*(QUARTILE(E$74:E259,3)-QUARTILE(E$74:E259,1)))))</f>
        <v>-1.41419351138541</v>
      </c>
      <c r="N259" s="10" t="n">
        <f aca="false">IF(F259="","",IF(COUNT(F$74:F259)&lt;60,F259,MEDIAN(QUARTILE(F$74:F259,1)-1.5*(QUARTILE(F$74:F259,3)-QUARTILE(F$74:F259,1)),F259,QUARTILE(F$74:F259,3)+1.5*(QUARTILE(F$74:F259,3)-QUARTILE(F$74:F259,1)))))</f>
        <v>1.63393245894574</v>
      </c>
      <c r="O259" s="10" t="n">
        <f aca="false">IF(G259="","",IF(COUNT(G$74:G259)&lt;60,G259,MEDIAN(QUARTILE(G$74:G259,1)-1.5*(QUARTILE(G$74:G259,3)-QUARTILE(G$74:G259,1)),G259,QUARTILE(G$74:G259,3)+1.5*(QUARTILE(G$74:G259,3)-QUARTILE(G$74:G259,1)))))</f>
        <v>-0.110874880314812</v>
      </c>
      <c r="P259" s="10" t="n">
        <f aca="false">IF(H259="","",IF(COUNT(H$74:H259)&lt;60,H259,MEDIAN(QUARTILE(H$74:H259,1)-1.5*(QUARTILE(H$74:H259,3)-QUARTILE(H$74:H259,1)),H259,QUARTILE(H$74:H259,3)+1.5*(QUARTILE(H$74:H259,3)-QUARTILE(H$74:H259,1)))))</f>
        <v>0.714617933058047</v>
      </c>
      <c r="Q259" s="10" t="n">
        <f aca="false">IF(I259="","",IF(COUNT(I$74:I259)&lt;60,I259,MEDIAN(QUARTILE(I$74:I259,1)-1.5*(QUARTILE(I$74:I259,3)-QUARTILE(I$74:I259,1)),I259,QUARTILE(I$74:I259,3)+1.5*(QUARTILE(I$74:I259,3)-QUARTILE(I$74:I259,1)))))</f>
        <v>-0.34465711146525</v>
      </c>
      <c r="R259" s="10" t="n">
        <f aca="false">IF(J259="","",MEDIAN(J259:Q259))</f>
        <v>-0.0507298135349748</v>
      </c>
      <c r="S259" s="10" t="n">
        <f aca="false">IF(R259="","",ABS(R259))</f>
        <v>0.0507298135349748</v>
      </c>
      <c r="T259" s="10" t="n">
        <f aca="false">IF(COUNT(S$74:S258)&lt;60,"",MEDIAN(S$74:S258))</f>
        <v>0.365263159193769</v>
      </c>
      <c r="U259" s="10" t="n">
        <f aca="false">IF(R259="","",IF(T259="",0,IF(S259&gt;=T259,R259,0)))</f>
        <v>0</v>
      </c>
      <c r="V259" s="10" t="n">
        <f aca="false">IF(U259="","",MEDIAN(-1,U259,1))</f>
        <v>0</v>
      </c>
      <c r="W259" s="10" t="n">
        <f aca="false">IF(J259="","",AVERAGE(J259:Q259))</f>
        <v>0.159625594858047</v>
      </c>
    </row>
    <row r="260" customFormat="false" ht="15" hidden="false" customHeight="false" outlineLevel="0" collapsed="false">
      <c r="A260" s="8" t="n">
        <f aca="false">Base!A260</f>
        <v>45869</v>
      </c>
      <c r="B260" s="10" t="n">
        <f aca="false">IF(COUNT(Transf!B$39:B260)&lt;36,"",(Transf!B260-AVERAGE(Transf!B$39:B260))/STDEV(Transf!B$39:B260))</f>
        <v>-0.0613307774210939</v>
      </c>
      <c r="C260" s="10" t="n">
        <f aca="false">IF(COUNT(Transf!C$39:C260)&lt;36,"",(Transf!C260-AVERAGE(Transf!C$39:C260))/STDEV(Transf!C$39:C260))</f>
        <v>0.5742746093415</v>
      </c>
      <c r="D260" s="10" t="n">
        <f aca="false">IF(COUNT(Transf!D$39:D260)&lt;36,"",(Transf!D260-AVERAGE(Transf!D$39:D260))/STDEV(Transf!D$39:D260))</f>
        <v>-0.143728147779453</v>
      </c>
      <c r="E260" s="10" t="n">
        <f aca="false">IF(COUNT(Transf!E$39:E260)&lt;36,"",(Transf!E260-AVERAGE(Transf!E$39:E260))/STDEV(Transf!E$39:E260))</f>
        <v>-1.44795154356341</v>
      </c>
      <c r="F260" s="10" t="n">
        <f aca="false">IF(COUNT(Transf!F$39:F260)&lt;36,"",(Transf!F260-AVERAGE(Transf!F$39:F260))/STDEV(Transf!F$39:F260))</f>
        <v>2.10101346990205</v>
      </c>
      <c r="G260" s="10" t="n">
        <f aca="false">IF(COUNT(Transf!G$39:G260)&lt;36,"",(Transf!G260-AVERAGE(Transf!G$39:G260))/STDEV(Transf!G$39:G260))</f>
        <v>0.351879418671093</v>
      </c>
      <c r="H260" s="10" t="n">
        <f aca="false">IF(COUNT(Transf!H$39:H260)&lt;36,"",(Transf!H260-AVERAGE(Transf!H$39:H260))/STDEV(Transf!H$39:H260))</f>
        <v>0.615629005936908</v>
      </c>
      <c r="I260" s="10" t="n">
        <f aca="false">IF(COUNT(Transf!I$39:I260)&lt;36,"",(Transf!I260-AVERAGE(Transf!I$39:I260))/STDEV(Transf!I$39:I260))</f>
        <v>-0.281235522770935</v>
      </c>
      <c r="J260" s="10" t="n">
        <f aca="false">IF(B260="","",IF(COUNT(B$74:B260)&lt;60,B260,MEDIAN(QUARTILE(B$74:B260,1)-1.5*(QUARTILE(B$74:B260,3)-QUARTILE(B$74:B260,1)),B260,QUARTILE(B$74:B260,3)+1.5*(QUARTILE(B$74:B260,3)-QUARTILE(B$74:B260,1)))))</f>
        <v>-0.0613307774210939</v>
      </c>
      <c r="K260" s="10" t="n">
        <f aca="false">IF(C260="","",IF(COUNT(C$74:C260)&lt;60,C260,MEDIAN(QUARTILE(C$74:C260,1)-1.5*(QUARTILE(C$74:C260,3)-QUARTILE(C$74:C260,1)),C260,QUARTILE(C$74:C260,3)+1.5*(QUARTILE(C$74:C260,3)-QUARTILE(C$74:C260,1)))))</f>
        <v>0.5742746093415</v>
      </c>
      <c r="L260" s="10" t="n">
        <f aca="false">IF(D260="","",IF(COUNT(D$74:D260)&lt;60,D260,MEDIAN(QUARTILE(D$74:D260,1)-1.5*(QUARTILE(D$74:D260,3)-QUARTILE(D$74:D260,1)),D260,QUARTILE(D$74:D260,3)+1.5*(QUARTILE(D$74:D260,3)-QUARTILE(D$74:D260,1)))))</f>
        <v>-0.143728147779453</v>
      </c>
      <c r="M260" s="10" t="n">
        <f aca="false">IF(E260="","",IF(COUNT(E$74:E260)&lt;60,E260,MEDIAN(QUARTILE(E$74:E260,1)-1.5*(QUARTILE(E$74:E260,3)-QUARTILE(E$74:E260,1)),E260,QUARTILE(E$74:E260,3)+1.5*(QUARTILE(E$74:E260,3)-QUARTILE(E$74:E260,1)))))</f>
        <v>-1.44795154356341</v>
      </c>
      <c r="N260" s="10" t="n">
        <f aca="false">IF(F260="","",IF(COUNT(F$74:F260)&lt;60,F260,MEDIAN(QUARTILE(F$74:F260,1)-1.5*(QUARTILE(F$74:F260,3)-QUARTILE(F$74:F260,1)),F260,QUARTILE(F$74:F260,3)+1.5*(QUARTILE(F$74:F260,3)-QUARTILE(F$74:F260,1)))))</f>
        <v>2.10101346990205</v>
      </c>
      <c r="O260" s="10" t="n">
        <f aca="false">IF(G260="","",IF(COUNT(G$74:G260)&lt;60,G260,MEDIAN(QUARTILE(G$74:G260,1)-1.5*(QUARTILE(G$74:G260,3)-QUARTILE(G$74:G260,1)),G260,QUARTILE(G$74:G260,3)+1.5*(QUARTILE(G$74:G260,3)-QUARTILE(G$74:G260,1)))))</f>
        <v>0.351879418671093</v>
      </c>
      <c r="P260" s="10" t="n">
        <f aca="false">IF(H260="","",IF(COUNT(H$74:H260)&lt;60,H260,MEDIAN(QUARTILE(H$74:H260,1)-1.5*(QUARTILE(H$74:H260,3)-QUARTILE(H$74:H260,1)),H260,QUARTILE(H$74:H260,3)+1.5*(QUARTILE(H$74:H260,3)-QUARTILE(H$74:H260,1)))))</f>
        <v>0.615629005936908</v>
      </c>
      <c r="Q260" s="10" t="n">
        <f aca="false">IF(I260="","",IF(COUNT(I$74:I260)&lt;60,I260,MEDIAN(QUARTILE(I$74:I260,1)-1.5*(QUARTILE(I$74:I260,3)-QUARTILE(I$74:I260,1)),I260,QUARTILE(I$74:I260,3)+1.5*(QUARTILE(I$74:I260,3)-QUARTILE(I$74:I260,1)))))</f>
        <v>-0.281235522770935</v>
      </c>
      <c r="R260" s="10" t="n">
        <f aca="false">IF(J260="","",MEDIAN(J260:Q260))</f>
        <v>0.145274320625</v>
      </c>
      <c r="S260" s="10" t="n">
        <f aca="false">IF(R260="","",ABS(R260))</f>
        <v>0.145274320625</v>
      </c>
      <c r="T260" s="10" t="n">
        <f aca="false">IF(COUNT(S$74:S259)&lt;60,"",MEDIAN(S$74:S259))</f>
        <v>0.36431013988896</v>
      </c>
      <c r="U260" s="10" t="n">
        <f aca="false">IF(R260="","",IF(T260="",0,IF(S260&gt;=T260,R260,0)))</f>
        <v>0</v>
      </c>
      <c r="V260" s="10" t="n">
        <f aca="false">IF(U260="","",MEDIAN(-1,U260,1))</f>
        <v>0</v>
      </c>
      <c r="W260" s="10" t="n">
        <f aca="false">IF(J260="","",AVERAGE(J260:Q260))</f>
        <v>0.213568814039582</v>
      </c>
    </row>
    <row r="261" customFormat="false" ht="15" hidden="false" customHeight="false" outlineLevel="0" collapsed="false">
      <c r="A261" s="8" t="n">
        <f aca="false">Base!A261</f>
        <v>45900</v>
      </c>
      <c r="B261" s="10" t="n">
        <f aca="false">IF(COUNT(Transf!B$39:B261)&lt;36,"",(Transf!B261-AVERAGE(Transf!B$39:B261))/STDEV(Transf!B$39:B261))</f>
        <v>0.335398375737115</v>
      </c>
      <c r="C261" s="10" t="n">
        <f aca="false">IF(COUNT(Transf!C$39:C261)&lt;36,"",(Transf!C261-AVERAGE(Transf!C$39:C261))/STDEV(Transf!C$39:C261))</f>
        <v>0.32977078460259</v>
      </c>
      <c r="D261" s="10" t="n">
        <f aca="false">IF(COUNT(Transf!D$39:D261)&lt;36,"",(Transf!D261-AVERAGE(Transf!D$39:D261))/STDEV(Transf!D$39:D261))</f>
        <v>-0.108499138456523</v>
      </c>
      <c r="E261" s="10" t="n">
        <f aca="false">IF(COUNT(Transf!E$39:E261)&lt;36,"",(Transf!E261-AVERAGE(Transf!E$39:E261))/STDEV(Transf!E$39:E261))</f>
        <v>-1.46103287273947</v>
      </c>
      <c r="F261" s="10" t="n">
        <f aca="false">IF(COUNT(Transf!F$39:F261)&lt;36,"",(Transf!F261-AVERAGE(Transf!F$39:F261))/STDEV(Transf!F$39:F261))</f>
        <v>2.33342899244316</v>
      </c>
      <c r="G261" s="10" t="n">
        <f aca="false">IF(COUNT(Transf!G$39:G261)&lt;36,"",(Transf!G261-AVERAGE(Transf!G$39:G261))/STDEV(Transf!G$39:G261))</f>
        <v>0.741543102657779</v>
      </c>
      <c r="H261" s="10" t="n">
        <f aca="false">IF(COUNT(Transf!H$39:H261)&lt;36,"",(Transf!H261-AVERAGE(Transf!H$39:H261))/STDEV(Transf!H$39:H261))</f>
        <v>0.453368500855708</v>
      </c>
      <c r="I261" s="10" t="n">
        <f aca="false">IF(COUNT(Transf!I$39:I261)&lt;36,"",(Transf!I261-AVERAGE(Transf!I$39:I261))/STDEV(Transf!I$39:I261))</f>
        <v>-0.061594801811545</v>
      </c>
      <c r="J261" s="10" t="n">
        <f aca="false">IF(B261="","",IF(COUNT(B$74:B261)&lt;60,B261,MEDIAN(QUARTILE(B$74:B261,1)-1.5*(QUARTILE(B$74:B261,3)-QUARTILE(B$74:B261,1)),B261,QUARTILE(B$74:B261,3)+1.5*(QUARTILE(B$74:B261,3)-QUARTILE(B$74:B261,1)))))</f>
        <v>0.335398375737115</v>
      </c>
      <c r="K261" s="10" t="n">
        <f aca="false">IF(C261="","",IF(COUNT(C$74:C261)&lt;60,C261,MEDIAN(QUARTILE(C$74:C261,1)-1.5*(QUARTILE(C$74:C261,3)-QUARTILE(C$74:C261,1)),C261,QUARTILE(C$74:C261,3)+1.5*(QUARTILE(C$74:C261,3)-QUARTILE(C$74:C261,1)))))</f>
        <v>0.32977078460259</v>
      </c>
      <c r="L261" s="10" t="n">
        <f aca="false">IF(D261="","",IF(COUNT(D$74:D261)&lt;60,D261,MEDIAN(QUARTILE(D$74:D261,1)-1.5*(QUARTILE(D$74:D261,3)-QUARTILE(D$74:D261,1)),D261,QUARTILE(D$74:D261,3)+1.5*(QUARTILE(D$74:D261,3)-QUARTILE(D$74:D261,1)))))</f>
        <v>-0.108499138456523</v>
      </c>
      <c r="M261" s="10" t="n">
        <f aca="false">IF(E261="","",IF(COUNT(E$74:E261)&lt;60,E261,MEDIAN(QUARTILE(E$74:E261,1)-1.5*(QUARTILE(E$74:E261,3)-QUARTILE(E$74:E261,1)),E261,QUARTILE(E$74:E261,3)+1.5*(QUARTILE(E$74:E261,3)-QUARTILE(E$74:E261,1)))))</f>
        <v>-1.46103287273947</v>
      </c>
      <c r="N261" s="10" t="n">
        <f aca="false">IF(F261="","",IF(COUNT(F$74:F261)&lt;60,F261,MEDIAN(QUARTILE(F$74:F261,1)-1.5*(QUARTILE(F$74:F261,3)-QUARTILE(F$74:F261,1)),F261,QUARTILE(F$74:F261,3)+1.5*(QUARTILE(F$74:F261,3)-QUARTILE(F$74:F261,1)))))</f>
        <v>2.33342899244316</v>
      </c>
      <c r="O261" s="10" t="n">
        <f aca="false">IF(G261="","",IF(COUNT(G$74:G261)&lt;60,G261,MEDIAN(QUARTILE(G$74:G261,1)-1.5*(QUARTILE(G$74:G261,3)-QUARTILE(G$74:G261,1)),G261,QUARTILE(G$74:G261,3)+1.5*(QUARTILE(G$74:G261,3)-QUARTILE(G$74:G261,1)))))</f>
        <v>0.741543102657779</v>
      </c>
      <c r="P261" s="10" t="n">
        <f aca="false">IF(H261="","",IF(COUNT(H$74:H261)&lt;60,H261,MEDIAN(QUARTILE(H$74:H261,1)-1.5*(QUARTILE(H$74:H261,3)-QUARTILE(H$74:H261,1)),H261,QUARTILE(H$74:H261,3)+1.5*(QUARTILE(H$74:H261,3)-QUARTILE(H$74:H261,1)))))</f>
        <v>0.453368500855708</v>
      </c>
      <c r="Q261" s="10" t="n">
        <f aca="false">IF(I261="","",IF(COUNT(I$74:I261)&lt;60,I261,MEDIAN(QUARTILE(I$74:I261,1)-1.5*(QUARTILE(I$74:I261,3)-QUARTILE(I$74:I261,1)),I261,QUARTILE(I$74:I261,3)+1.5*(QUARTILE(I$74:I261,3)-QUARTILE(I$74:I261,1)))))</f>
        <v>-0.061594801811545</v>
      </c>
      <c r="R261" s="10" t="n">
        <f aca="false">IF(J261="","",MEDIAN(J261:Q261))</f>
        <v>0.332584580169853</v>
      </c>
      <c r="S261" s="10" t="n">
        <f aca="false">IF(R261="","",ABS(R261))</f>
        <v>0.332584580169853</v>
      </c>
      <c r="T261" s="10" t="n">
        <f aca="false">IF(COUNT(S$74:S260)&lt;60,"",MEDIAN(S$74:S260))</f>
        <v>0.363357120584152</v>
      </c>
      <c r="U261" s="10" t="n">
        <f aca="false">IF(R261="","",IF(T261="",0,IF(S261&gt;=T261,R261,0)))</f>
        <v>0</v>
      </c>
      <c r="V261" s="10" t="n">
        <f aca="false">IF(U261="","",MEDIAN(-1,U261,1))</f>
        <v>0</v>
      </c>
      <c r="W261" s="10" t="n">
        <f aca="false">IF(J261="","",AVERAGE(J261:Q261))</f>
        <v>0.320297867911101</v>
      </c>
    </row>
    <row r="262" customFormat="false" ht="15" hidden="false" customHeight="false" outlineLevel="0" collapsed="false">
      <c r="A262" s="8" t="n">
        <f aca="false">Base!A262</f>
        <v>45930</v>
      </c>
      <c r="B262" s="10" t="n">
        <f aca="false">IF(COUNT(Transf!B$39:B262)&lt;36,"",(Transf!B262-AVERAGE(Transf!B$39:B262))/STDEV(Transf!B$39:B262))</f>
        <v>0.428082584007409</v>
      </c>
      <c r="C262" s="10" t="n">
        <f aca="false">IF(COUNT(Transf!C$39:C262)&lt;36,"",(Transf!C262-AVERAGE(Transf!C$39:C262))/STDEV(Transf!C$39:C262))</f>
        <v>0.205294382298511</v>
      </c>
      <c r="D262" s="10" t="n">
        <f aca="false">IF(COUNT(Transf!D$39:D262)&lt;36,"",(Transf!D262-AVERAGE(Transf!D$39:D262))/STDEV(Transf!D$39:D262))</f>
        <v>-0.0732736342956906</v>
      </c>
      <c r="E262" s="10" t="n">
        <f aca="false">IF(COUNT(Transf!E$39:E262)&lt;36,"",(Transf!E262-AVERAGE(Transf!E$39:E262))/STDEV(Transf!E$39:E262))</f>
        <v>-1.45639346399656</v>
      </c>
      <c r="F262" s="10" t="n">
        <f aca="false">IF(COUNT(Transf!F$39:F262)&lt;36,"",(Transf!F262-AVERAGE(Transf!F$39:F262))/STDEV(Transf!F$39:F262))</f>
        <v>2.13542288782263</v>
      </c>
      <c r="G262" s="10" t="n">
        <f aca="false">IF(COUNT(Transf!G$39:G262)&lt;36,"",(Transf!G262-AVERAGE(Transf!G$39:G262))/STDEV(Transf!G$39:G262))</f>
        <v>1.00955635266759</v>
      </c>
      <c r="H262" s="10" t="n">
        <f aca="false">IF(COUNT(Transf!H$39:H262)&lt;36,"",(Transf!H262-AVERAGE(Transf!H$39:H262))/STDEV(Transf!H$39:H262))</f>
        <v>0.23995468455359</v>
      </c>
      <c r="I262" s="10" t="n">
        <f aca="false">IF(COUNT(Transf!I$39:I262)&lt;36,"",(Transf!I262-AVERAGE(Transf!I$39:I262))/STDEV(Transf!I$39:I262))</f>
        <v>0.218854805104411</v>
      </c>
      <c r="J262" s="10" t="n">
        <f aca="false">IF(B262="","",IF(COUNT(B$74:B262)&lt;60,B262,MEDIAN(QUARTILE(B$74:B262,1)-1.5*(QUARTILE(B$74:B262,3)-QUARTILE(B$74:B262,1)),B262,QUARTILE(B$74:B262,3)+1.5*(QUARTILE(B$74:B262,3)-QUARTILE(B$74:B262,1)))))</f>
        <v>0.428082584007409</v>
      </c>
      <c r="K262" s="10" t="n">
        <f aca="false">IF(C262="","",IF(COUNT(C$74:C262)&lt;60,C262,MEDIAN(QUARTILE(C$74:C262,1)-1.5*(QUARTILE(C$74:C262,3)-QUARTILE(C$74:C262,1)),C262,QUARTILE(C$74:C262,3)+1.5*(QUARTILE(C$74:C262,3)-QUARTILE(C$74:C262,1)))))</f>
        <v>0.205294382298511</v>
      </c>
      <c r="L262" s="10" t="n">
        <f aca="false">IF(D262="","",IF(COUNT(D$74:D262)&lt;60,D262,MEDIAN(QUARTILE(D$74:D262,1)-1.5*(QUARTILE(D$74:D262,3)-QUARTILE(D$74:D262,1)),D262,QUARTILE(D$74:D262,3)+1.5*(QUARTILE(D$74:D262,3)-QUARTILE(D$74:D262,1)))))</f>
        <v>-0.0732736342956906</v>
      </c>
      <c r="M262" s="10" t="n">
        <f aca="false">IF(E262="","",IF(COUNT(E$74:E262)&lt;60,E262,MEDIAN(QUARTILE(E$74:E262,1)-1.5*(QUARTILE(E$74:E262,3)-QUARTILE(E$74:E262,1)),E262,QUARTILE(E$74:E262,3)+1.5*(QUARTILE(E$74:E262,3)-QUARTILE(E$74:E262,1)))))</f>
        <v>-1.45639346399656</v>
      </c>
      <c r="N262" s="10" t="n">
        <f aca="false">IF(F262="","",IF(COUNT(F$74:F262)&lt;60,F262,MEDIAN(QUARTILE(F$74:F262,1)-1.5*(QUARTILE(F$74:F262,3)-QUARTILE(F$74:F262,1)),F262,QUARTILE(F$74:F262,3)+1.5*(QUARTILE(F$74:F262,3)-QUARTILE(F$74:F262,1)))))</f>
        <v>2.13542288782263</v>
      </c>
      <c r="O262" s="10" t="n">
        <f aca="false">IF(G262="","",IF(COUNT(G$74:G262)&lt;60,G262,MEDIAN(QUARTILE(G$74:G262,1)-1.5*(QUARTILE(G$74:G262,3)-QUARTILE(G$74:G262,1)),G262,QUARTILE(G$74:G262,3)+1.5*(QUARTILE(G$74:G262,3)-QUARTILE(G$74:G262,1)))))</f>
        <v>1.00955635266759</v>
      </c>
      <c r="P262" s="10" t="n">
        <f aca="false">IF(H262="","",IF(COUNT(H$74:H262)&lt;60,H262,MEDIAN(QUARTILE(H$74:H262,1)-1.5*(QUARTILE(H$74:H262,3)-QUARTILE(H$74:H262,1)),H262,QUARTILE(H$74:H262,3)+1.5*(QUARTILE(H$74:H262,3)-QUARTILE(H$74:H262,1)))))</f>
        <v>0.23995468455359</v>
      </c>
      <c r="Q262" s="10" t="n">
        <f aca="false">IF(I262="","",IF(COUNT(I$74:I262)&lt;60,I262,MEDIAN(QUARTILE(I$74:I262,1)-1.5*(QUARTILE(I$74:I262,3)-QUARTILE(I$74:I262,1)),I262,QUARTILE(I$74:I262,3)+1.5*(QUARTILE(I$74:I262,3)-QUARTILE(I$74:I262,1)))))</f>
        <v>0.218854805104411</v>
      </c>
      <c r="R262" s="10" t="n">
        <f aca="false">IF(J262="","",MEDIAN(J262:Q262))</f>
        <v>0.229404744829</v>
      </c>
      <c r="S262" s="10" t="n">
        <f aca="false">IF(R262="","",ABS(R262))</f>
        <v>0.229404744829</v>
      </c>
      <c r="T262" s="10" t="n">
        <f aca="false">IF(COUNT(S$74:S261)&lt;60,"",MEDIAN(S$74:S261))</f>
        <v>0.361254626831003</v>
      </c>
      <c r="U262" s="10" t="n">
        <f aca="false">IF(R262="","",IF(T262="",0,IF(S262&gt;=T262,R262,0)))</f>
        <v>0</v>
      </c>
      <c r="V262" s="10" t="n">
        <f aca="false">IF(U262="","",MEDIAN(-1,U262,1))</f>
        <v>0</v>
      </c>
      <c r="W262" s="10" t="n">
        <f aca="false">IF(J262="","",AVERAGE(J262:Q262))</f>
        <v>0.338437324770236</v>
      </c>
    </row>
    <row r="263" customFormat="false" ht="15" hidden="false" customHeight="false" outlineLevel="0" collapsed="false">
      <c r="A263" s="8" t="n">
        <f aca="false">Base!A263</f>
        <v>45961</v>
      </c>
      <c r="B263" s="10" t="n">
        <f aca="false">IF(COUNT(Transf!B$39:B263)&lt;36,"",(Transf!B263-AVERAGE(Transf!B$39:B263))/STDEV(Transf!B$39:B263))</f>
        <v>0.505473231686302</v>
      </c>
      <c r="C263" s="10" t="n">
        <f aca="false">IF(COUNT(Transf!C$39:C263)&lt;36,"",(Transf!C263-AVERAGE(Transf!C$39:C263))/STDEV(Transf!C$39:C263))</f>
        <v>0.190076466750199</v>
      </c>
      <c r="D263" s="10" t="n">
        <f aca="false">IF(COUNT(Transf!D$39:D263)&lt;36,"",(Transf!D263-AVERAGE(Transf!D$39:D263))/STDEV(Transf!D$39:D263))</f>
        <v>-0.0157879595294236</v>
      </c>
      <c r="E263" s="10" t="n">
        <f aca="false">IF(COUNT(Transf!E$39:E263)&lt;36,"",(Transf!E263-AVERAGE(Transf!E$39:E263))/STDEV(Transf!E$39:E263))</f>
        <v>-1.43217466286176</v>
      </c>
      <c r="F263" s="10" t="n">
        <f aca="false">IF(COUNT(Transf!F$39:F263)&lt;36,"",(Transf!F263-AVERAGE(Transf!F$39:F263))/STDEV(Transf!F$39:F263))</f>
        <v>1.95136587118901</v>
      </c>
      <c r="G263" s="10" t="n">
        <f aca="false">IF(COUNT(Transf!G$39:G263)&lt;36,"",(Transf!G263-AVERAGE(Transf!G$39:G263))/STDEV(Transf!G$39:G263))</f>
        <v>1.13735321897569</v>
      </c>
      <c r="H263" s="10" t="n">
        <f aca="false">IF(COUNT(Transf!H$39:H263)&lt;36,"",(Transf!H263-AVERAGE(Transf!H$39:H263))/STDEV(Transf!H$39:H263))</f>
        <v>0.22473844305737</v>
      </c>
      <c r="I263" s="10" t="n">
        <f aca="false">IF(COUNT(Transf!I$39:I263)&lt;36,"",(Transf!I263-AVERAGE(Transf!I$39:I263))/STDEV(Transf!I$39:I263))</f>
        <v>0.518404915999273</v>
      </c>
      <c r="J263" s="10" t="n">
        <f aca="false">IF(B263="","",IF(COUNT(B$74:B263)&lt;60,B263,MEDIAN(QUARTILE(B$74:B263,1)-1.5*(QUARTILE(B$74:B263,3)-QUARTILE(B$74:B263,1)),B263,QUARTILE(B$74:B263,3)+1.5*(QUARTILE(B$74:B263,3)-QUARTILE(B$74:B263,1)))))</f>
        <v>0.505473231686302</v>
      </c>
      <c r="K263" s="10" t="n">
        <f aca="false">IF(C263="","",IF(COUNT(C$74:C263)&lt;60,C263,MEDIAN(QUARTILE(C$74:C263,1)-1.5*(QUARTILE(C$74:C263,3)-QUARTILE(C$74:C263,1)),C263,QUARTILE(C$74:C263,3)+1.5*(QUARTILE(C$74:C263,3)-QUARTILE(C$74:C263,1)))))</f>
        <v>0.190076466750199</v>
      </c>
      <c r="L263" s="10" t="n">
        <f aca="false">IF(D263="","",IF(COUNT(D$74:D263)&lt;60,D263,MEDIAN(QUARTILE(D$74:D263,1)-1.5*(QUARTILE(D$74:D263,3)-QUARTILE(D$74:D263,1)),D263,QUARTILE(D$74:D263,3)+1.5*(QUARTILE(D$74:D263,3)-QUARTILE(D$74:D263,1)))))</f>
        <v>-0.0157879595294236</v>
      </c>
      <c r="M263" s="10" t="n">
        <f aca="false">IF(E263="","",IF(COUNT(E$74:E263)&lt;60,E263,MEDIAN(QUARTILE(E$74:E263,1)-1.5*(QUARTILE(E$74:E263,3)-QUARTILE(E$74:E263,1)),E263,QUARTILE(E$74:E263,3)+1.5*(QUARTILE(E$74:E263,3)-QUARTILE(E$74:E263,1)))))</f>
        <v>-1.43217466286176</v>
      </c>
      <c r="N263" s="10" t="n">
        <f aca="false">IF(F263="","",IF(COUNT(F$74:F263)&lt;60,F263,MEDIAN(QUARTILE(F$74:F263,1)-1.5*(QUARTILE(F$74:F263,3)-QUARTILE(F$74:F263,1)),F263,QUARTILE(F$74:F263,3)+1.5*(QUARTILE(F$74:F263,3)-QUARTILE(F$74:F263,1)))))</f>
        <v>1.95136587118901</v>
      </c>
      <c r="O263" s="10" t="n">
        <f aca="false">IF(G263="","",IF(COUNT(G$74:G263)&lt;60,G263,MEDIAN(QUARTILE(G$74:G263,1)-1.5*(QUARTILE(G$74:G263,3)-QUARTILE(G$74:G263,1)),G263,QUARTILE(G$74:G263,3)+1.5*(QUARTILE(G$74:G263,3)-QUARTILE(G$74:G263,1)))))</f>
        <v>1.13735321897569</v>
      </c>
      <c r="P263" s="10" t="n">
        <f aca="false">IF(H263="","",IF(COUNT(H$74:H263)&lt;60,H263,MEDIAN(QUARTILE(H$74:H263,1)-1.5*(QUARTILE(H$74:H263,3)-QUARTILE(H$74:H263,1)),H263,QUARTILE(H$74:H263,3)+1.5*(QUARTILE(H$74:H263,3)-QUARTILE(H$74:H263,1)))))</f>
        <v>0.22473844305737</v>
      </c>
      <c r="Q263" s="10" t="n">
        <f aca="false">IF(I263="","",IF(COUNT(I$74:I263)&lt;60,I263,MEDIAN(QUARTILE(I$74:I263,1)-1.5*(QUARTILE(I$74:I263,3)-QUARTILE(I$74:I263,1)),I263,QUARTILE(I$74:I263,3)+1.5*(QUARTILE(I$74:I263,3)-QUARTILE(I$74:I263,1)))))</f>
        <v>0.518404915999273</v>
      </c>
      <c r="R263" s="10" t="n">
        <f aca="false">IF(J263="","",MEDIAN(J263:Q263))</f>
        <v>0.365105837371836</v>
      </c>
      <c r="S263" s="10" t="n">
        <f aca="false">IF(R263="","",ABS(R263))</f>
        <v>0.365105837371836</v>
      </c>
      <c r="T263" s="10" t="n">
        <f aca="false">IF(COUNT(S$74:S262)&lt;60,"",MEDIAN(S$74:S262))</f>
        <v>0.359152133077854</v>
      </c>
      <c r="U263" s="10" t="n">
        <f aca="false">IF(R263="","",IF(T263="",0,IF(S263&gt;=T263,R263,0)))</f>
        <v>0.365105837371836</v>
      </c>
      <c r="V263" s="10" t="n">
        <f aca="false">IF(U263="","",MEDIAN(-1,U263,1))</f>
        <v>0.365105837371836</v>
      </c>
      <c r="W263" s="10" t="n">
        <f aca="false">IF(J263="","",AVERAGE(J263:Q263))</f>
        <v>0.384931190658334</v>
      </c>
    </row>
    <row r="264" customFormat="false" ht="15" hidden="false" customHeight="false" outlineLevel="0" collapsed="false">
      <c r="A264" s="8" t="n">
        <f aca="false">Base!A264</f>
        <v>45991</v>
      </c>
      <c r="B264" s="10" t="n">
        <f aca="false">IF(COUNT(Transf!B$39:B264)&lt;36,"",(Transf!B264-AVERAGE(Transf!B$39:B264))/STDEV(Transf!B$39:B264))</f>
        <v>0.62471272994877</v>
      </c>
      <c r="C264" s="10" t="n">
        <f aca="false">IF(COUNT(Transf!C$39:C264)&lt;36,"",(Transf!C264-AVERAGE(Transf!C$39:C264))/STDEV(Transf!C$39:C264))</f>
        <v>0.0325532912645777</v>
      </c>
      <c r="D264" s="10" t="n">
        <f aca="false">IF(COUNT(Transf!D$39:D264)&lt;36,"",(Transf!D264-AVERAGE(Transf!D$39:D264))/STDEV(Transf!D$39:D264))</f>
        <v>-0.103323603959171</v>
      </c>
      <c r="E264" s="10" t="n">
        <f aca="false">IF(COUNT(Transf!E$39:E264)&lt;36,"",(Transf!E264-AVERAGE(Transf!E$39:E264))/STDEV(Transf!E$39:E264))</f>
        <v>-1.39830531547001</v>
      </c>
      <c r="F264" s="10" t="n">
        <f aca="false">IF(COUNT(Transf!F$39:F264)&lt;36,"",(Transf!F264-AVERAGE(Transf!F$39:F264))/STDEV(Transf!F$39:F264))</f>
        <v>1.83924107707734</v>
      </c>
      <c r="G264" s="10" t="n">
        <f aca="false">IF(COUNT(Transf!G$39:G264)&lt;36,"",(Transf!G264-AVERAGE(Transf!G$39:G264))/STDEV(Transf!G$39:G264))</f>
        <v>1.33338477178957</v>
      </c>
      <c r="H264" s="10" t="n">
        <f aca="false">IF(COUNT(Transf!H$39:H264)&lt;36,"",(Transf!H264-AVERAGE(Transf!H$39:H264))/STDEV(Transf!H$39:H264))</f>
        <v>0.2110397254922</v>
      </c>
      <c r="I264" s="10" t="n">
        <f aca="false">IF(COUNT(Transf!I$39:I264)&lt;36,"",(Transf!I264-AVERAGE(Transf!I$39:I264))/STDEV(Transf!I$39:I264))</f>
        <v>0.66056080327118</v>
      </c>
      <c r="J264" s="10" t="n">
        <f aca="false">IF(B264="","",IF(COUNT(B$74:B264)&lt;60,B264,MEDIAN(QUARTILE(B$74:B264,1)-1.5*(QUARTILE(B$74:B264,3)-QUARTILE(B$74:B264,1)),B264,QUARTILE(B$74:B264,3)+1.5*(QUARTILE(B$74:B264,3)-QUARTILE(B$74:B264,1)))))</f>
        <v>0.62471272994877</v>
      </c>
      <c r="K264" s="10" t="n">
        <f aca="false">IF(C264="","",IF(COUNT(C$74:C264)&lt;60,C264,MEDIAN(QUARTILE(C$74:C264,1)-1.5*(QUARTILE(C$74:C264,3)-QUARTILE(C$74:C264,1)),C264,QUARTILE(C$74:C264,3)+1.5*(QUARTILE(C$74:C264,3)-QUARTILE(C$74:C264,1)))))</f>
        <v>0.0325532912645777</v>
      </c>
      <c r="L264" s="10" t="n">
        <f aca="false">IF(D264="","",IF(COUNT(D$74:D264)&lt;60,D264,MEDIAN(QUARTILE(D$74:D264,1)-1.5*(QUARTILE(D$74:D264,3)-QUARTILE(D$74:D264,1)),D264,QUARTILE(D$74:D264,3)+1.5*(QUARTILE(D$74:D264,3)-QUARTILE(D$74:D264,1)))))</f>
        <v>-0.103323603959171</v>
      </c>
      <c r="M264" s="10" t="n">
        <f aca="false">IF(E264="","",IF(COUNT(E$74:E264)&lt;60,E264,MEDIAN(QUARTILE(E$74:E264,1)-1.5*(QUARTILE(E$74:E264,3)-QUARTILE(E$74:E264,1)),E264,QUARTILE(E$74:E264,3)+1.5*(QUARTILE(E$74:E264,3)-QUARTILE(E$74:E264,1)))))</f>
        <v>-1.39830531547001</v>
      </c>
      <c r="N264" s="10" t="n">
        <f aca="false">IF(F264="","",IF(COUNT(F$74:F264)&lt;60,F264,MEDIAN(QUARTILE(F$74:F264,1)-1.5*(QUARTILE(F$74:F264,3)-QUARTILE(F$74:F264,1)),F264,QUARTILE(F$74:F264,3)+1.5*(QUARTILE(F$74:F264,3)-QUARTILE(F$74:F264,1)))))</f>
        <v>1.83924107707734</v>
      </c>
      <c r="O264" s="10" t="n">
        <f aca="false">IF(G264="","",IF(COUNT(G$74:G264)&lt;60,G264,MEDIAN(QUARTILE(G$74:G264,1)-1.5*(QUARTILE(G$74:G264,3)-QUARTILE(G$74:G264,1)),G264,QUARTILE(G$74:G264,3)+1.5*(QUARTILE(G$74:G264,3)-QUARTILE(G$74:G264,1)))))</f>
        <v>1.33338477178957</v>
      </c>
      <c r="P264" s="10" t="n">
        <f aca="false">IF(H264="","",IF(COUNT(H$74:H264)&lt;60,H264,MEDIAN(QUARTILE(H$74:H264,1)-1.5*(QUARTILE(H$74:H264,3)-QUARTILE(H$74:H264,1)),H264,QUARTILE(H$74:H264,3)+1.5*(QUARTILE(H$74:H264,3)-QUARTILE(H$74:H264,1)))))</f>
        <v>0.2110397254922</v>
      </c>
      <c r="Q264" s="10" t="n">
        <f aca="false">IF(I264="","",IF(COUNT(I$74:I264)&lt;60,I264,MEDIAN(QUARTILE(I$74:I264,1)-1.5*(QUARTILE(I$74:I264,3)-QUARTILE(I$74:I264,1)),I264,QUARTILE(I$74:I264,3)+1.5*(QUARTILE(I$74:I264,3)-QUARTILE(I$74:I264,1)))))</f>
        <v>0.66056080327118</v>
      </c>
      <c r="R264" s="10" t="n">
        <f aca="false">IF(J264="","",MEDIAN(J264:Q264))</f>
        <v>0.417876227720485</v>
      </c>
      <c r="S264" s="10" t="n">
        <f aca="false">IF(R264="","",ABS(R264))</f>
        <v>0.417876227720485</v>
      </c>
      <c r="T264" s="10" t="n">
        <f aca="false">IF(COUNT(S$74:S263)&lt;60,"",MEDIAN(S$74:S263))</f>
        <v>0.361254626831003</v>
      </c>
      <c r="U264" s="10" t="n">
        <f aca="false">IF(R264="","",IF(T264="",0,IF(S264&gt;=T264,R264,0)))</f>
        <v>0.417876227720485</v>
      </c>
      <c r="V264" s="10" t="n">
        <f aca="false">IF(U264="","",MEDIAN(-1,U264,1))</f>
        <v>0.417876227720485</v>
      </c>
      <c r="W264" s="10" t="n">
        <f aca="false">IF(J264="","",AVERAGE(J264:Q264))</f>
        <v>0.399982934926808</v>
      </c>
    </row>
    <row r="265" customFormat="false" ht="15" hidden="false" customHeight="false" outlineLevel="0" collapsed="false">
      <c r="A265" s="8" t="n">
        <f aca="false">Base!A265</f>
        <v>46022</v>
      </c>
      <c r="B265" s="10" t="n">
        <f aca="false">IF(COUNT(Transf!B$39:B265)&lt;36,"",(Transf!B265-AVERAGE(Transf!B$39:B265))/STDEV(Transf!B$39:B265))</f>
        <v>0.431829408356216</v>
      </c>
      <c r="C265" s="10" t="n">
        <f aca="false">IF(COUNT(Transf!C$39:C265)&lt;36,"",(Transf!C265-AVERAGE(Transf!C$39:C265))/STDEV(Transf!C$39:C265))</f>
        <v>-0.0566693598753585</v>
      </c>
      <c r="D265" s="10" t="n">
        <f aca="false">IF(COUNT(Transf!D$39:D265)&lt;36,"",(Transf!D265-AVERAGE(Transf!D$39:D265))/STDEV(Transf!D$39:D265))</f>
        <v>-0.177155242976798</v>
      </c>
      <c r="E265" s="10" t="n">
        <f aca="false">IF(COUNT(Transf!E$39:E265)&lt;36,"",(Transf!E265-AVERAGE(Transf!E$39:E265))/STDEV(Transf!E$39:E265))</f>
        <v>-1.34554728111414</v>
      </c>
      <c r="F265" s="10" t="n">
        <f aca="false">IF(COUNT(Transf!F$39:F265)&lt;36,"",(Transf!F265-AVERAGE(Transf!F$39:F265))/STDEV(Transf!F$39:F265))</f>
        <v>1.81793291565429</v>
      </c>
      <c r="G265" s="10" t="n">
        <f aca="false">IF(COUNT(Transf!G$39:G265)&lt;36,"",(Transf!G265-AVERAGE(Transf!G$39:G265))/STDEV(Transf!G$39:G265))</f>
        <v>1.4703643726566</v>
      </c>
      <c r="H265" s="10" t="n">
        <f aca="false">IF(COUNT(Transf!H$39:H265)&lt;36,"",(Transf!H265-AVERAGE(Transf!H$39:H265))/STDEV(Transf!H$39:H265))</f>
        <v>0.149916268202459</v>
      </c>
      <c r="I265" s="10" t="n">
        <f aca="false">IF(COUNT(Transf!I$39:I265)&lt;36,"",(Transf!I265-AVERAGE(Transf!I$39:I265))/STDEV(Transf!I$39:I265))</f>
        <v>0.485337682670205</v>
      </c>
      <c r="J265" s="10" t="n">
        <f aca="false">IF(B265="","",IF(COUNT(B$74:B265)&lt;60,B265,MEDIAN(QUARTILE(B$74:B265,1)-1.5*(QUARTILE(B$74:B265,3)-QUARTILE(B$74:B265,1)),B265,QUARTILE(B$74:B265,3)+1.5*(QUARTILE(B$74:B265,3)-QUARTILE(B$74:B265,1)))))</f>
        <v>0.431829408356216</v>
      </c>
      <c r="K265" s="10" t="n">
        <f aca="false">IF(C265="","",IF(COUNT(C$74:C265)&lt;60,C265,MEDIAN(QUARTILE(C$74:C265,1)-1.5*(QUARTILE(C$74:C265,3)-QUARTILE(C$74:C265,1)),C265,QUARTILE(C$74:C265,3)+1.5*(QUARTILE(C$74:C265,3)-QUARTILE(C$74:C265,1)))))</f>
        <v>-0.0566693598753585</v>
      </c>
      <c r="L265" s="10" t="n">
        <f aca="false">IF(D265="","",IF(COUNT(D$74:D265)&lt;60,D265,MEDIAN(QUARTILE(D$74:D265,1)-1.5*(QUARTILE(D$74:D265,3)-QUARTILE(D$74:D265,1)),D265,QUARTILE(D$74:D265,3)+1.5*(QUARTILE(D$74:D265,3)-QUARTILE(D$74:D265,1)))))</f>
        <v>-0.177155242976798</v>
      </c>
      <c r="M265" s="10" t="n">
        <f aca="false">IF(E265="","",IF(COUNT(E$74:E265)&lt;60,E265,MEDIAN(QUARTILE(E$74:E265,1)-1.5*(QUARTILE(E$74:E265,3)-QUARTILE(E$74:E265,1)),E265,QUARTILE(E$74:E265,3)+1.5*(QUARTILE(E$74:E265,3)-QUARTILE(E$74:E265,1)))))</f>
        <v>-1.34554728111414</v>
      </c>
      <c r="N265" s="10" t="n">
        <f aca="false">IF(F265="","",IF(COUNT(F$74:F265)&lt;60,F265,MEDIAN(QUARTILE(F$74:F265,1)-1.5*(QUARTILE(F$74:F265,3)-QUARTILE(F$74:F265,1)),F265,QUARTILE(F$74:F265,3)+1.5*(QUARTILE(F$74:F265,3)-QUARTILE(F$74:F265,1)))))</f>
        <v>1.81793291565429</v>
      </c>
      <c r="O265" s="10" t="n">
        <f aca="false">IF(G265="","",IF(COUNT(G$74:G265)&lt;60,G265,MEDIAN(QUARTILE(G$74:G265,1)-1.5*(QUARTILE(G$74:G265,3)-QUARTILE(G$74:G265,1)),G265,QUARTILE(G$74:G265,3)+1.5*(QUARTILE(G$74:G265,3)-QUARTILE(G$74:G265,1)))))</f>
        <v>1.4703643726566</v>
      </c>
      <c r="P265" s="10" t="n">
        <f aca="false">IF(H265="","",IF(COUNT(H$74:H265)&lt;60,H265,MEDIAN(QUARTILE(H$74:H265,1)-1.5*(QUARTILE(H$74:H265,3)-QUARTILE(H$74:H265,1)),H265,QUARTILE(H$74:H265,3)+1.5*(QUARTILE(H$74:H265,3)-QUARTILE(H$74:H265,1)))))</f>
        <v>0.149916268202459</v>
      </c>
      <c r="Q265" s="10" t="n">
        <f aca="false">IF(I265="","",IF(COUNT(I$74:I265)&lt;60,I265,MEDIAN(QUARTILE(I$74:I265,1)-1.5*(QUARTILE(I$74:I265,3)-QUARTILE(I$74:I265,1)),I265,QUARTILE(I$74:I265,3)+1.5*(QUARTILE(I$74:I265,3)-QUARTILE(I$74:I265,1)))))</f>
        <v>0.485337682670205</v>
      </c>
      <c r="R265" s="10" t="n">
        <f aca="false">IF(J265="","",MEDIAN(J265:Q265))</f>
        <v>0.290872838279337</v>
      </c>
      <c r="S265" s="10" t="n">
        <f aca="false">IF(R265="","",ABS(R265))</f>
        <v>0.290872838279337</v>
      </c>
      <c r="T265" s="10" t="n">
        <f aca="false">IF(COUNT(S$74:S264)&lt;60,"",MEDIAN(S$74:S264))</f>
        <v>0.363357120584152</v>
      </c>
      <c r="U265" s="10" t="n">
        <f aca="false">IF(R265="","",IF(T265="",0,IF(S265&gt;=T265,R265,0)))</f>
        <v>0</v>
      </c>
      <c r="V265" s="10" t="n">
        <f aca="false">IF(U265="","",MEDIAN(-1,U265,1))</f>
        <v>0</v>
      </c>
      <c r="W265" s="10" t="n">
        <f aca="false">IF(J265="","",AVERAGE(J265:Q265))</f>
        <v>0.347001095446685</v>
      </c>
    </row>
    <row r="266" customFormat="false" ht="15" hidden="false" customHeight="false" outlineLevel="0" collapsed="false">
      <c r="A266" s="8" t="n">
        <f aca="false">Base!A266</f>
        <v>46053</v>
      </c>
      <c r="B266" s="10" t="n">
        <f aca="false">IF(COUNT(Transf!B$39:B266)&lt;36,"",(Transf!B266-AVERAGE(Transf!B$39:B266))/STDEV(Transf!B$39:B266))</f>
        <v>0.584747650982243</v>
      </c>
      <c r="C266" s="10" t="n">
        <f aca="false">IF(COUNT(Transf!C$39:C266)&lt;36,"",(Transf!C266-AVERAGE(Transf!C$39:C266))/STDEV(Transf!C$39:C266))</f>
        <v>-0.14039063926466</v>
      </c>
      <c r="D266" s="10" t="n">
        <f aca="false">IF(COUNT(Transf!D$39:D266)&lt;36,"",(Transf!D266-AVERAGE(Transf!D$39:D266))/STDEV(Transf!D$39:D266))</f>
        <v>-0.206160840039427</v>
      </c>
      <c r="E266" s="10" t="n">
        <f aca="false">IF(COUNT(Transf!E$39:E266)&lt;36,"",(Transf!E266-AVERAGE(Transf!E$39:E266))/STDEV(Transf!E$39:E266))</f>
        <v>-1.30844228310295</v>
      </c>
      <c r="F266" s="10" t="n">
        <f aca="false">IF(COUNT(Transf!F$39:F266)&lt;36,"",(Transf!F266-AVERAGE(Transf!F$39:F266))/STDEV(Transf!F$39:F266))</f>
        <v>1.86162948614534</v>
      </c>
      <c r="G266" s="10" t="n">
        <f aca="false">IF(COUNT(Transf!G$39:G266)&lt;36,"",(Transf!G266-AVERAGE(Transf!G$39:G266))/STDEV(Transf!G$39:G266))</f>
        <v>1.39048680759789</v>
      </c>
      <c r="H266" s="10" t="n">
        <f aca="false">IF(COUNT(Transf!H$39:H266)&lt;36,"",(Transf!H266-AVERAGE(Transf!H$39:H266))/STDEV(Transf!H$39:H266))</f>
        <v>0.143112961242717</v>
      </c>
      <c r="I266" s="10" t="n">
        <f aca="false">IF(COUNT(Transf!I$39:I266)&lt;36,"",(Transf!I266-AVERAGE(Transf!I$39:I266))/STDEV(Transf!I$39:I266))</f>
        <v>0.358702669843419</v>
      </c>
      <c r="J266" s="10" t="n">
        <f aca="false">IF(B266="","",IF(COUNT(B$74:B266)&lt;60,B266,MEDIAN(QUARTILE(B$74:B266,1)-1.5*(QUARTILE(B$74:B266,3)-QUARTILE(B$74:B266,1)),B266,QUARTILE(B$74:B266,3)+1.5*(QUARTILE(B$74:B266,3)-QUARTILE(B$74:B266,1)))))</f>
        <v>0.584747650982243</v>
      </c>
      <c r="K266" s="10" t="n">
        <f aca="false">IF(C266="","",IF(COUNT(C$74:C266)&lt;60,C266,MEDIAN(QUARTILE(C$74:C266,1)-1.5*(QUARTILE(C$74:C266,3)-QUARTILE(C$74:C266,1)),C266,QUARTILE(C$74:C266,3)+1.5*(QUARTILE(C$74:C266,3)-QUARTILE(C$74:C266,1)))))</f>
        <v>-0.14039063926466</v>
      </c>
      <c r="L266" s="10" t="n">
        <f aca="false">IF(D266="","",IF(COUNT(D$74:D266)&lt;60,D266,MEDIAN(QUARTILE(D$74:D266,1)-1.5*(QUARTILE(D$74:D266,3)-QUARTILE(D$74:D266,1)),D266,QUARTILE(D$74:D266,3)+1.5*(QUARTILE(D$74:D266,3)-QUARTILE(D$74:D266,1)))))</f>
        <v>-0.206160840039427</v>
      </c>
      <c r="M266" s="10" t="n">
        <f aca="false">IF(E266="","",IF(COUNT(E$74:E266)&lt;60,E266,MEDIAN(QUARTILE(E$74:E266,1)-1.5*(QUARTILE(E$74:E266,3)-QUARTILE(E$74:E266,1)),E266,QUARTILE(E$74:E266,3)+1.5*(QUARTILE(E$74:E266,3)-QUARTILE(E$74:E266,1)))))</f>
        <v>-1.30844228310295</v>
      </c>
      <c r="N266" s="10" t="n">
        <f aca="false">IF(F266="","",IF(COUNT(F$74:F266)&lt;60,F266,MEDIAN(QUARTILE(F$74:F266,1)-1.5*(QUARTILE(F$74:F266,3)-QUARTILE(F$74:F266,1)),F266,QUARTILE(F$74:F266,3)+1.5*(QUARTILE(F$74:F266,3)-QUARTILE(F$74:F266,1)))))</f>
        <v>1.86162948614534</v>
      </c>
      <c r="O266" s="10" t="n">
        <f aca="false">IF(G266="","",IF(COUNT(G$74:G266)&lt;60,G266,MEDIAN(QUARTILE(G$74:G266,1)-1.5*(QUARTILE(G$74:G266,3)-QUARTILE(G$74:G266,1)),G266,QUARTILE(G$74:G266,3)+1.5*(QUARTILE(G$74:G266,3)-QUARTILE(G$74:G266,1)))))</f>
        <v>1.39048680759789</v>
      </c>
      <c r="P266" s="10" t="n">
        <f aca="false">IF(H266="","",IF(COUNT(H$74:H266)&lt;60,H266,MEDIAN(QUARTILE(H$74:H266,1)-1.5*(QUARTILE(H$74:H266,3)-QUARTILE(H$74:H266,1)),H266,QUARTILE(H$74:H266,3)+1.5*(QUARTILE(H$74:H266,3)-QUARTILE(H$74:H266,1)))))</f>
        <v>0.143112961242717</v>
      </c>
      <c r="Q266" s="10" t="n">
        <f aca="false">IF(I266="","",IF(COUNT(I$74:I266)&lt;60,I266,MEDIAN(QUARTILE(I$74:I266,1)-1.5*(QUARTILE(I$74:I266,3)-QUARTILE(I$74:I266,1)),I266,QUARTILE(I$74:I266,3)+1.5*(QUARTILE(I$74:I266,3)-QUARTILE(I$74:I266,1)))))</f>
        <v>0.358702669843419</v>
      </c>
      <c r="R266" s="10" t="n">
        <f aca="false">IF(J266="","",MEDIAN(J266:Q266))</f>
        <v>0.250907815543068</v>
      </c>
      <c r="S266" s="10" t="n">
        <f aca="false">IF(R266="","",ABS(R266))</f>
        <v>0.250907815543068</v>
      </c>
      <c r="T266" s="10" t="n">
        <f aca="false">IF(COUNT(S$74:S265)&lt;60,"",MEDIAN(S$74:S265))</f>
        <v>0.361254626831003</v>
      </c>
      <c r="U266" s="10" t="n">
        <f aca="false">IF(R266="","",IF(T266="",0,IF(S266&gt;=T266,R266,0)))</f>
        <v>0</v>
      </c>
      <c r="V266" s="10" t="n">
        <f aca="false">IF(U266="","",MEDIAN(-1,U266,1))</f>
        <v>0</v>
      </c>
      <c r="W266" s="10" t="n">
        <f aca="false">IF(J266="","",AVERAGE(J266:Q266))</f>
        <v>0.335460726675572</v>
      </c>
    </row>
    <row r="267" customFormat="false" ht="15" hidden="false" customHeight="false" outlineLevel="0" collapsed="false">
      <c r="A267" s="8" t="n">
        <f aca="false">Base!A267</f>
        <v>46081</v>
      </c>
      <c r="B267" s="10" t="n">
        <f aca="false">IF(COUNT(Transf!B$39:B267)&lt;36,"",(Transf!B267-AVERAGE(Transf!B$39:B267))/STDEV(Transf!B$39:B267))</f>
        <v>0.101344317841679</v>
      </c>
      <c r="C267" s="10" t="n">
        <f aca="false">IF(COUNT(Transf!C$39:C267)&lt;36,"",(Transf!C267-AVERAGE(Transf!C$39:C267))/STDEV(Transf!C$39:C267))</f>
        <v>-0.235111012616764</v>
      </c>
      <c r="D267" s="10" t="n">
        <f aca="false">IF(COUNT(Transf!D$39:D267)&lt;36,"",(Transf!D267-AVERAGE(Transf!D$39:D267))/STDEV(Transf!D$39:D267))</f>
        <v>-0.369816946024086</v>
      </c>
      <c r="E267" s="10" t="n">
        <f aca="false">IF(COUNT(Transf!E$39:E267)&lt;36,"",(Transf!E267-AVERAGE(Transf!E$39:E267))/STDEV(Transf!E$39:E267))</f>
        <v>-1.2682220014214</v>
      </c>
      <c r="F267" s="10" t="n">
        <f aca="false">IF(COUNT(Transf!F$39:F267)&lt;36,"",(Transf!F267-AVERAGE(Transf!F$39:F267))/STDEV(Transf!F$39:F267))</f>
        <v>1.98307726105479</v>
      </c>
      <c r="G267" s="10" t="n">
        <f aca="false">IF(COUNT(Transf!G$39:G267)&lt;36,"",(Transf!G267-AVERAGE(Transf!G$39:G267))/STDEV(Transf!G$39:G267))</f>
        <v>1.18428180278942</v>
      </c>
      <c r="H267" s="10" t="n">
        <f aca="false">IF(COUNT(Transf!H$39:H267)&lt;36,"",(Transf!H267-AVERAGE(Transf!H$39:H267))/STDEV(Transf!H$39:H267))</f>
        <v>0.133098269477281</v>
      </c>
      <c r="I267" s="10" t="n">
        <f aca="false">IF(COUNT(Transf!I$39:I267)&lt;36,"",(Transf!I267-AVERAGE(Transf!I$39:I267))/STDEV(Transf!I$39:I267))</f>
        <v>0.207955452638327</v>
      </c>
      <c r="J267" s="10" t="n">
        <f aca="false">IF(B267="","",IF(COUNT(B$74:B267)&lt;60,B267,MEDIAN(QUARTILE(B$74:B267,1)-1.5*(QUARTILE(B$74:B267,3)-QUARTILE(B$74:B267,1)),B267,QUARTILE(B$74:B267,3)+1.5*(QUARTILE(B$74:B267,3)-QUARTILE(B$74:B267,1)))))</f>
        <v>0.101344317841679</v>
      </c>
      <c r="K267" s="10" t="n">
        <f aca="false">IF(C267="","",IF(COUNT(C$74:C267)&lt;60,C267,MEDIAN(QUARTILE(C$74:C267,1)-1.5*(QUARTILE(C$74:C267,3)-QUARTILE(C$74:C267,1)),C267,QUARTILE(C$74:C267,3)+1.5*(QUARTILE(C$74:C267,3)-QUARTILE(C$74:C267,1)))))</f>
        <v>-0.235111012616764</v>
      </c>
      <c r="L267" s="10" t="n">
        <f aca="false">IF(D267="","",IF(COUNT(D$74:D267)&lt;60,D267,MEDIAN(QUARTILE(D$74:D267,1)-1.5*(QUARTILE(D$74:D267,3)-QUARTILE(D$74:D267,1)),D267,QUARTILE(D$74:D267,3)+1.5*(QUARTILE(D$74:D267,3)-QUARTILE(D$74:D267,1)))))</f>
        <v>-0.369816946024086</v>
      </c>
      <c r="M267" s="10" t="n">
        <f aca="false">IF(E267="","",IF(COUNT(E$74:E267)&lt;60,E267,MEDIAN(QUARTILE(E$74:E267,1)-1.5*(QUARTILE(E$74:E267,3)-QUARTILE(E$74:E267,1)),E267,QUARTILE(E$74:E267,3)+1.5*(QUARTILE(E$74:E267,3)-QUARTILE(E$74:E267,1)))))</f>
        <v>-1.2682220014214</v>
      </c>
      <c r="N267" s="10" t="n">
        <f aca="false">IF(F267="","",IF(COUNT(F$74:F267)&lt;60,F267,MEDIAN(QUARTILE(F$74:F267,1)-1.5*(QUARTILE(F$74:F267,3)-QUARTILE(F$74:F267,1)),F267,QUARTILE(F$74:F267,3)+1.5*(QUARTILE(F$74:F267,3)-QUARTILE(F$74:F267,1)))))</f>
        <v>1.98307726105479</v>
      </c>
      <c r="O267" s="10" t="n">
        <f aca="false">IF(G267="","",IF(COUNT(G$74:G267)&lt;60,G267,MEDIAN(QUARTILE(G$74:G267,1)-1.5*(QUARTILE(G$74:G267,3)-QUARTILE(G$74:G267,1)),G267,QUARTILE(G$74:G267,3)+1.5*(QUARTILE(G$74:G267,3)-QUARTILE(G$74:G267,1)))))</f>
        <v>1.18428180278942</v>
      </c>
      <c r="P267" s="10" t="n">
        <f aca="false">IF(H267="","",IF(COUNT(H$74:H267)&lt;60,H267,MEDIAN(QUARTILE(H$74:H267,1)-1.5*(QUARTILE(H$74:H267,3)-QUARTILE(H$74:H267,1)),H267,QUARTILE(H$74:H267,3)+1.5*(QUARTILE(H$74:H267,3)-QUARTILE(H$74:H267,1)))))</f>
        <v>0.133098269477281</v>
      </c>
      <c r="Q267" s="10" t="n">
        <f aca="false">IF(I267="","",IF(COUNT(I$74:I267)&lt;60,I267,MEDIAN(QUARTILE(I$74:I267,1)-1.5*(QUARTILE(I$74:I267,3)-QUARTILE(I$74:I267,1)),I267,QUARTILE(I$74:I267,3)+1.5*(QUARTILE(I$74:I267,3)-QUARTILE(I$74:I267,1)))))</f>
        <v>0.207955452638327</v>
      </c>
      <c r="R267" s="10" t="n">
        <f aca="false">IF(J267="","",MEDIAN(J267:Q267))</f>
        <v>0.11722129365948</v>
      </c>
      <c r="S267" s="10" t="n">
        <f aca="false">IF(R267="","",ABS(R267))</f>
        <v>0.11722129365948</v>
      </c>
      <c r="T267" s="10" t="n">
        <f aca="false">IF(COUNT(S$74:S266)&lt;60,"",MEDIAN(S$74:S266))</f>
        <v>0.359152133077854</v>
      </c>
      <c r="U267" s="10" t="n">
        <f aca="false">IF(R267="","",IF(T267="",0,IF(S267&gt;=T267,R267,0)))</f>
        <v>0</v>
      </c>
      <c r="V267" s="10" t="n">
        <f aca="false">IF(U267="","",MEDIAN(-1,U267,1))</f>
        <v>0</v>
      </c>
      <c r="W267" s="10" t="n">
        <f aca="false">IF(J267="","",AVERAGE(J267:Q267))</f>
        <v>0.217075892967407</v>
      </c>
    </row>
    <row r="268" customFormat="false" ht="15" hidden="false" customHeight="false" outlineLevel="0" collapsed="false">
      <c r="A268" s="8" t="n">
        <f aca="false">Base!A268</f>
        <v>46112</v>
      </c>
      <c r="B268" s="10" t="n">
        <f aca="false">IF(COUNT(Transf!B$39:B268)&lt;36,"",(Transf!B268-AVERAGE(Transf!B$39:B268))/STDEV(Transf!B$39:B268))</f>
        <v>0.531972903271889</v>
      </c>
      <c r="C268" s="10" t="n">
        <f aca="false">IF(COUNT(Transf!C$39:C268)&lt;36,"",(Transf!C268-AVERAGE(Transf!C$39:C268))/STDEV(Transf!C$39:C268))</f>
        <v>-0.0832999541991903</v>
      </c>
      <c r="D268" s="10" t="n">
        <f aca="false">IF(COUNT(Transf!D$39:D268)&lt;36,"",(Transf!D268-AVERAGE(Transf!D$39:D268))/STDEV(Transf!D$39:D268))</f>
        <v>-0.186753304831168</v>
      </c>
      <c r="E268" s="10" t="n">
        <f aca="false">IF(COUNT(Transf!E$39:E268)&lt;36,"",(Transf!E268-AVERAGE(Transf!E$39:E268))/STDEV(Transf!E$39:E268))</f>
        <v>-1.22404184261292</v>
      </c>
      <c r="F268" s="10" t="n">
        <f aca="false">IF(COUNT(Transf!F$39:F268)&lt;36,"",(Transf!F268-AVERAGE(Transf!F$39:F268))/STDEV(Transf!F$39:F268))</f>
        <v>2.07785116192431</v>
      </c>
      <c r="G268" s="10" t="n">
        <f aca="false">IF(COUNT(Transf!G$39:G268)&lt;36,"",(Transf!G268-AVERAGE(Transf!G$39:G268))/STDEV(Transf!G$39:G268))</f>
        <v>0.878916105988805</v>
      </c>
      <c r="H268" s="10" t="n">
        <f aca="false">IF(COUNT(Transf!H$39:H268)&lt;36,"",(Transf!H268-AVERAGE(Transf!H$39:H268))/STDEV(Transf!H$39:H268))</f>
        <v>0.0265179879061555</v>
      </c>
      <c r="I268" s="10" t="n">
        <f aca="false">IF(COUNT(Transf!I$39:I268)&lt;36,"",(Transf!I268-AVERAGE(Transf!I$39:I268))/STDEV(Transf!I$39:I268))</f>
        <v>0.616520749511203</v>
      </c>
      <c r="J268" s="10" t="n">
        <f aca="false">IF(B268="","",IF(COUNT(B$74:B268)&lt;60,B268,MEDIAN(QUARTILE(B$74:B268,1)-1.5*(QUARTILE(B$74:B268,3)-QUARTILE(B$74:B268,1)),B268,QUARTILE(B$74:B268,3)+1.5*(QUARTILE(B$74:B268,3)-QUARTILE(B$74:B268,1)))))</f>
        <v>0.531972903271889</v>
      </c>
      <c r="K268" s="10" t="n">
        <f aca="false">IF(C268="","",IF(COUNT(C$74:C268)&lt;60,C268,MEDIAN(QUARTILE(C$74:C268,1)-1.5*(QUARTILE(C$74:C268,3)-QUARTILE(C$74:C268,1)),C268,QUARTILE(C$74:C268,3)+1.5*(QUARTILE(C$74:C268,3)-QUARTILE(C$74:C268,1)))))</f>
        <v>-0.0832999541991903</v>
      </c>
      <c r="L268" s="10" t="n">
        <f aca="false">IF(D268="","",IF(COUNT(D$74:D268)&lt;60,D268,MEDIAN(QUARTILE(D$74:D268,1)-1.5*(QUARTILE(D$74:D268,3)-QUARTILE(D$74:D268,1)),D268,QUARTILE(D$74:D268,3)+1.5*(QUARTILE(D$74:D268,3)-QUARTILE(D$74:D268,1)))))</f>
        <v>-0.186753304831168</v>
      </c>
      <c r="M268" s="10" t="n">
        <f aca="false">IF(E268="","",IF(COUNT(E$74:E268)&lt;60,E268,MEDIAN(QUARTILE(E$74:E268,1)-1.5*(QUARTILE(E$74:E268,3)-QUARTILE(E$74:E268,1)),E268,QUARTILE(E$74:E268,3)+1.5*(QUARTILE(E$74:E268,3)-QUARTILE(E$74:E268,1)))))</f>
        <v>-1.22404184261292</v>
      </c>
      <c r="N268" s="10" t="n">
        <f aca="false">IF(F268="","",IF(COUNT(F$74:F268)&lt;60,F268,MEDIAN(QUARTILE(F$74:F268,1)-1.5*(QUARTILE(F$74:F268,3)-QUARTILE(F$74:F268,1)),F268,QUARTILE(F$74:F268,3)+1.5*(QUARTILE(F$74:F268,3)-QUARTILE(F$74:F268,1)))))</f>
        <v>2.07785116192431</v>
      </c>
      <c r="O268" s="10" t="n">
        <f aca="false">IF(G268="","",IF(COUNT(G$74:G268)&lt;60,G268,MEDIAN(QUARTILE(G$74:G268,1)-1.5*(QUARTILE(G$74:G268,3)-QUARTILE(G$74:G268,1)),G268,QUARTILE(G$74:G268,3)+1.5*(QUARTILE(G$74:G268,3)-QUARTILE(G$74:G268,1)))))</f>
        <v>0.878916105988805</v>
      </c>
      <c r="P268" s="10" t="n">
        <f aca="false">IF(H268="","",IF(COUNT(H$74:H268)&lt;60,H268,MEDIAN(QUARTILE(H$74:H268,1)-1.5*(QUARTILE(H$74:H268,3)-QUARTILE(H$74:H268,1)),H268,QUARTILE(H$74:H268,3)+1.5*(QUARTILE(H$74:H268,3)-QUARTILE(H$74:H268,1)))))</f>
        <v>0.0265179879061555</v>
      </c>
      <c r="Q268" s="10" t="n">
        <f aca="false">IF(I268="","",IF(COUNT(I$74:I268)&lt;60,I268,MEDIAN(QUARTILE(I$74:I268,1)-1.5*(QUARTILE(I$74:I268,3)-QUARTILE(I$74:I268,1)),I268,QUARTILE(I$74:I268,3)+1.5*(QUARTILE(I$74:I268,3)-QUARTILE(I$74:I268,1)))))</f>
        <v>0.616520749511203</v>
      </c>
      <c r="R268" s="10" t="n">
        <f aca="false">IF(J268="","",MEDIAN(J268:Q268))</f>
        <v>0.279245445589022</v>
      </c>
      <c r="S268" s="10" t="n">
        <f aca="false">IF(R268="","",ABS(R268))</f>
        <v>0.279245445589022</v>
      </c>
      <c r="T268" s="10" t="n">
        <f aca="false">IF(COUNT(S$74:S267)&lt;60,"",MEDIAN(S$74:S267))</f>
        <v>0.358666303940252</v>
      </c>
      <c r="U268" s="10" t="n">
        <f aca="false">IF(R268="","",IF(T268="",0,IF(S268&gt;=T268,R268,0)))</f>
        <v>0</v>
      </c>
      <c r="V268" s="10" t="n">
        <f aca="false">IF(U268="","",MEDIAN(-1,U268,1))</f>
        <v>0</v>
      </c>
      <c r="W268" s="10" t="n">
        <f aca="false">IF(J268="","",AVERAGE(J268:Q268))</f>
        <v>0.329710475869886</v>
      </c>
    </row>
    <row r="269" customFormat="false" ht="15" hidden="false" customHeight="false" outlineLevel="0" collapsed="false">
      <c r="A269" s="8" t="n">
        <f aca="false">Base!A269</f>
        <v>46142</v>
      </c>
      <c r="B269" s="10" t="n">
        <f aca="false">IF(COUNT(Transf!B$39:B269)&lt;36,"",(Transf!B269-AVERAGE(Transf!B$39:B269))/STDEV(Transf!B$39:B269))</f>
        <v>0.723833230556777</v>
      </c>
      <c r="C269" s="10" t="n">
        <f aca="false">IF(COUNT(Transf!C$39:C269)&lt;36,"",(Transf!C269-AVERAGE(Transf!C$39:C269))/STDEV(Transf!C$39:C269))</f>
        <v>-0.0975065516708003</v>
      </c>
      <c r="D269" s="10" t="n">
        <f aca="false">IF(COUNT(Transf!D$39:D269)&lt;36,"",(Transf!D269-AVERAGE(Transf!D$39:D269))/STDEV(Transf!D$39:D269))</f>
        <v>-0.20662391657032</v>
      </c>
      <c r="E269" s="10" t="n">
        <f aca="false">IF(COUNT(Transf!E$39:E269)&lt;36,"",(Transf!E269-AVERAGE(Transf!E$39:E269))/STDEV(Transf!E$39:E269))</f>
        <v>-1.15971461972136</v>
      </c>
      <c r="F269" s="10" t="n">
        <f aca="false">IF(COUNT(Transf!F$39:F269)&lt;36,"",(Transf!F269-AVERAGE(Transf!F$39:F269))/STDEV(Transf!F$39:F269))</f>
        <v>2.15398553383265</v>
      </c>
      <c r="G269" s="10" t="n">
        <f aca="false">IF(COUNT(Transf!G$39:G269)&lt;36,"",(Transf!G269-AVERAGE(Transf!G$39:G269))/STDEV(Transf!G$39:G269))</f>
        <v>0.510966832422857</v>
      </c>
      <c r="H269" s="10" t="n">
        <f aca="false">IF(COUNT(Transf!H$39:H269)&lt;36,"",(Transf!H269-AVERAGE(Transf!H$39:H269))/STDEV(Transf!H$39:H269))</f>
        <v>-0.144505393110847</v>
      </c>
      <c r="I269" s="10" t="n">
        <f aca="false">IF(COUNT(Transf!I$39:I269)&lt;36,"",(Transf!I269-AVERAGE(Transf!I$39:I269))/STDEV(Transf!I$39:I269))</f>
        <v>1.04678328362914</v>
      </c>
      <c r="J269" s="10" t="n">
        <f aca="false">IF(B269="","",IF(COUNT(B$74:B269)&lt;60,B269,MEDIAN(QUARTILE(B$74:B269,1)-1.5*(QUARTILE(B$74:B269,3)-QUARTILE(B$74:B269,1)),B269,QUARTILE(B$74:B269,3)+1.5*(QUARTILE(B$74:B269,3)-QUARTILE(B$74:B269,1)))))</f>
        <v>0.723833230556777</v>
      </c>
      <c r="K269" s="10" t="n">
        <f aca="false">IF(C269="","",IF(COUNT(C$74:C269)&lt;60,C269,MEDIAN(QUARTILE(C$74:C269,1)-1.5*(QUARTILE(C$74:C269,3)-QUARTILE(C$74:C269,1)),C269,QUARTILE(C$74:C269,3)+1.5*(QUARTILE(C$74:C269,3)-QUARTILE(C$74:C269,1)))))</f>
        <v>-0.0975065516708003</v>
      </c>
      <c r="L269" s="10" t="n">
        <f aca="false">IF(D269="","",IF(COUNT(D$74:D269)&lt;60,D269,MEDIAN(QUARTILE(D$74:D269,1)-1.5*(QUARTILE(D$74:D269,3)-QUARTILE(D$74:D269,1)),D269,QUARTILE(D$74:D269,3)+1.5*(QUARTILE(D$74:D269,3)-QUARTILE(D$74:D269,1)))))</f>
        <v>-0.20662391657032</v>
      </c>
      <c r="M269" s="10" t="n">
        <f aca="false">IF(E269="","",IF(COUNT(E$74:E269)&lt;60,E269,MEDIAN(QUARTILE(E$74:E269,1)-1.5*(QUARTILE(E$74:E269,3)-QUARTILE(E$74:E269,1)),E269,QUARTILE(E$74:E269,3)+1.5*(QUARTILE(E$74:E269,3)-QUARTILE(E$74:E269,1)))))</f>
        <v>-1.15971461972136</v>
      </c>
      <c r="N269" s="10" t="n">
        <f aca="false">IF(F269="","",IF(COUNT(F$74:F269)&lt;60,F269,MEDIAN(QUARTILE(F$74:F269,1)-1.5*(QUARTILE(F$74:F269,3)-QUARTILE(F$74:F269,1)),F269,QUARTILE(F$74:F269,3)+1.5*(QUARTILE(F$74:F269,3)-QUARTILE(F$74:F269,1)))))</f>
        <v>2.15398553383265</v>
      </c>
      <c r="O269" s="10" t="n">
        <f aca="false">IF(G269="","",IF(COUNT(G$74:G269)&lt;60,G269,MEDIAN(QUARTILE(G$74:G269,1)-1.5*(QUARTILE(G$74:G269,3)-QUARTILE(G$74:G269,1)),G269,QUARTILE(G$74:G269,3)+1.5*(QUARTILE(G$74:G269,3)-QUARTILE(G$74:G269,1)))))</f>
        <v>0.510966832422857</v>
      </c>
      <c r="P269" s="10" t="n">
        <f aca="false">IF(H269="","",IF(COUNT(H$74:H269)&lt;60,H269,MEDIAN(QUARTILE(H$74:H269,1)-1.5*(QUARTILE(H$74:H269,3)-QUARTILE(H$74:H269,1)),H269,QUARTILE(H$74:H269,3)+1.5*(QUARTILE(H$74:H269,3)-QUARTILE(H$74:H269,1)))))</f>
        <v>-0.144505393110847</v>
      </c>
      <c r="Q269" s="10" t="n">
        <f aca="false">IF(I269="","",IF(COUNT(I$74:I269)&lt;60,I269,MEDIAN(QUARTILE(I$74:I269,1)-1.5*(QUARTILE(I$74:I269,3)-QUARTILE(I$74:I269,1)),I269,QUARTILE(I$74:I269,3)+1.5*(QUARTILE(I$74:I269,3)-QUARTILE(I$74:I269,1)))))</f>
        <v>1.04678328362914</v>
      </c>
      <c r="R269" s="10" t="n">
        <f aca="false">IF(J269="","",MEDIAN(J269:Q269))</f>
        <v>0.206730140376028</v>
      </c>
      <c r="S269" s="10" t="n">
        <f aca="false">IF(R269="","",ABS(R269))</f>
        <v>0.206730140376028</v>
      </c>
      <c r="T269" s="10" t="n">
        <f aca="false">IF(COUNT(S$74:S268)&lt;60,"",MEDIAN(S$74:S268))</f>
        <v>0.358180474802651</v>
      </c>
      <c r="U269" s="10" t="n">
        <f aca="false">IF(R269="","",IF(T269="",0,IF(S269&gt;=T269,R269,0)))</f>
        <v>0</v>
      </c>
      <c r="V269" s="10" t="n">
        <f aca="false">IF(U269="","",MEDIAN(-1,U269,1))</f>
        <v>0</v>
      </c>
      <c r="W269" s="10" t="n">
        <f aca="false">IF(J269="","",AVERAGE(J269:Q269))</f>
        <v>0.353402299921012</v>
      </c>
    </row>
    <row r="270" customFormat="false" ht="15" hidden="false" customHeight="false" outlineLevel="0" collapsed="false">
      <c r="A270" s="8" t="n">
        <f aca="false">Base!A270</f>
        <v>46173</v>
      </c>
      <c r="B270" s="10" t="n">
        <f aca="false">IF(COUNT(Transf!B$39:B270)&lt;36,"",(Transf!B270-AVERAGE(Transf!B$39:B270))/STDEV(Transf!B$39:B270))</f>
        <v>1.3765951928236</v>
      </c>
      <c r="C270" s="10" t="n">
        <f aca="false">IF(COUNT(Transf!C$39:C270)&lt;36,"",(Transf!C270-AVERAGE(Transf!C$39:C270))/STDEV(Transf!C$39:C270))</f>
        <v>0.0102949347039633</v>
      </c>
      <c r="D270" s="10" t="n">
        <f aca="false">IF(COUNT(Transf!D$39:D270)&lt;36,"",(Transf!D270-AVERAGE(Transf!D$39:D270))/STDEV(Transf!D$39:D270))</f>
        <v>-0.124834499648897</v>
      </c>
      <c r="E270" s="10" t="n">
        <f aca="false">IF(COUNT(Transf!E$39:E270)&lt;36,"",(Transf!E270-AVERAGE(Transf!E$39:E270))/STDEV(Transf!E$39:E270))</f>
        <v>-1.08222122635729</v>
      </c>
      <c r="F270" s="10" t="n">
        <f aca="false">IF(COUNT(Transf!F$39:F270)&lt;36,"",(Transf!F270-AVERAGE(Transf!F$39:F270))/STDEV(Transf!F$39:F270))</f>
        <v>2.27303206588645</v>
      </c>
      <c r="G270" s="10" t="n">
        <f aca="false">IF(COUNT(Transf!G$39:G270)&lt;36,"",(Transf!G270-AVERAGE(Transf!G$39:G270))/STDEV(Transf!G$39:G270))</f>
        <v>0.211914168009601</v>
      </c>
      <c r="H270" s="10" t="n">
        <f aca="false">IF(COUNT(Transf!H$39:H270)&lt;36,"",(Transf!H270-AVERAGE(Transf!H$39:H270))/STDEV(Transf!H$39:H270))</f>
        <v>-0.0841618236767032</v>
      </c>
      <c r="I270" s="10" t="n">
        <f aca="false">IF(COUNT(Transf!I$39:I270)&lt;36,"",(Transf!I270-AVERAGE(Transf!I$39:I270))/STDEV(Transf!I$39:I270))</f>
        <v>1.43541831381289</v>
      </c>
      <c r="J270" s="10" t="n">
        <f aca="false">IF(B270="","",IF(COUNT(B$74:B270)&lt;60,B270,MEDIAN(QUARTILE(B$74:B270,1)-1.5*(QUARTILE(B$74:B270,3)-QUARTILE(B$74:B270,1)),B270,QUARTILE(B$74:B270,3)+1.5*(QUARTILE(B$74:B270,3)-QUARTILE(B$74:B270,1)))))</f>
        <v>1.3765951928236</v>
      </c>
      <c r="K270" s="10" t="n">
        <f aca="false">IF(C270="","",IF(COUNT(C$74:C270)&lt;60,C270,MEDIAN(QUARTILE(C$74:C270,1)-1.5*(QUARTILE(C$74:C270,3)-QUARTILE(C$74:C270,1)),C270,QUARTILE(C$74:C270,3)+1.5*(QUARTILE(C$74:C270,3)-QUARTILE(C$74:C270,1)))))</f>
        <v>0.0102949347039633</v>
      </c>
      <c r="L270" s="10" t="n">
        <f aca="false">IF(D270="","",IF(COUNT(D$74:D270)&lt;60,D270,MEDIAN(QUARTILE(D$74:D270,1)-1.5*(QUARTILE(D$74:D270,3)-QUARTILE(D$74:D270,1)),D270,QUARTILE(D$74:D270,3)+1.5*(QUARTILE(D$74:D270,3)-QUARTILE(D$74:D270,1)))))</f>
        <v>-0.124834499648897</v>
      </c>
      <c r="M270" s="10" t="n">
        <f aca="false">IF(E270="","",IF(COUNT(E$74:E270)&lt;60,E270,MEDIAN(QUARTILE(E$74:E270,1)-1.5*(QUARTILE(E$74:E270,3)-QUARTILE(E$74:E270,1)),E270,QUARTILE(E$74:E270,3)+1.5*(QUARTILE(E$74:E270,3)-QUARTILE(E$74:E270,1)))))</f>
        <v>-1.08222122635729</v>
      </c>
      <c r="N270" s="10" t="n">
        <f aca="false">IF(F270="","",IF(COUNT(F$74:F270)&lt;60,F270,MEDIAN(QUARTILE(F$74:F270,1)-1.5*(QUARTILE(F$74:F270,3)-QUARTILE(F$74:F270,1)),F270,QUARTILE(F$74:F270,3)+1.5*(QUARTILE(F$74:F270,3)-QUARTILE(F$74:F270,1)))))</f>
        <v>2.27303206588645</v>
      </c>
      <c r="O270" s="10" t="n">
        <f aca="false">IF(G270="","",IF(COUNT(G$74:G270)&lt;60,G270,MEDIAN(QUARTILE(G$74:G270,1)-1.5*(QUARTILE(G$74:G270,3)-QUARTILE(G$74:G270,1)),G270,QUARTILE(G$74:G270,3)+1.5*(QUARTILE(G$74:G270,3)-QUARTILE(G$74:G270,1)))))</f>
        <v>0.211914168009601</v>
      </c>
      <c r="P270" s="10" t="n">
        <f aca="false">IF(H270="","",IF(COUNT(H$74:H270)&lt;60,H270,MEDIAN(QUARTILE(H$74:H270,1)-1.5*(QUARTILE(H$74:H270,3)-QUARTILE(H$74:H270,1)),H270,QUARTILE(H$74:H270,3)+1.5*(QUARTILE(H$74:H270,3)-QUARTILE(H$74:H270,1)))))</f>
        <v>-0.0841618236767032</v>
      </c>
      <c r="Q270" s="10" t="n">
        <f aca="false">IF(I270="","",IF(COUNT(I$74:I270)&lt;60,I270,MEDIAN(QUARTILE(I$74:I270,1)-1.5*(QUARTILE(I$74:I270,3)-QUARTILE(I$74:I270,1)),I270,QUARTILE(I$74:I270,3)+1.5*(QUARTILE(I$74:I270,3)-QUARTILE(I$74:I270,1)))))</f>
        <v>1.43541831381289</v>
      </c>
      <c r="R270" s="10" t="n">
        <f aca="false">IF(J270="","",MEDIAN(J270:Q270))</f>
        <v>0.111104551356782</v>
      </c>
      <c r="S270" s="10" t="n">
        <f aca="false">IF(R270="","",ABS(R270))</f>
        <v>0.111104551356782</v>
      </c>
      <c r="T270" s="10" t="n">
        <f aca="false">IF(COUNT(S$74:S269)&lt;60,"",MEDIAN(S$74:S269))</f>
        <v>0.357012954918511</v>
      </c>
      <c r="U270" s="10" t="n">
        <f aca="false">IF(R270="","",IF(T270="",0,IF(S270&gt;=T270,R270,0)))</f>
        <v>0</v>
      </c>
      <c r="V270" s="10" t="n">
        <f aca="false">IF(U270="","",MEDIAN(-1,U270,1))</f>
        <v>0</v>
      </c>
      <c r="W270" s="10" t="n">
        <f aca="false">IF(J270="","",AVERAGE(J270:Q270))</f>
        <v>0.502004640694201</v>
      </c>
    </row>
    <row r="271" customFormat="false" ht="15" hidden="false" customHeight="false" outlineLevel="0" collapsed="false">
      <c r="A271" s="8" t="n">
        <f aca="false">Base!A271</f>
        <v>46203</v>
      </c>
      <c r="B271" s="10" t="n">
        <f aca="false">IF(COUNT(Transf!B$39:B271)&lt;36,"",(Transf!B271-AVERAGE(Transf!B$39:B271))/STDEV(Transf!B$39:B271))</f>
        <v>1.28471942151261</v>
      </c>
      <c r="C271" s="10" t="n">
        <f aca="false">IF(COUNT(Transf!C$39:C271)&lt;36,"",(Transf!C271-AVERAGE(Transf!C$39:C271))/STDEV(Transf!C$39:C271))</f>
        <v>-0.137844094767786</v>
      </c>
      <c r="D271" s="10" t="n">
        <f aca="false">IF(COUNT(Transf!D$39:D271)&lt;36,"",(Transf!D271-AVERAGE(Transf!D$39:D271))/STDEV(Transf!D$39:D271))</f>
        <v>-0.275383394617406</v>
      </c>
      <c r="E271" s="10" t="n">
        <f aca="false">IF(COUNT(Transf!E$39:E271)&lt;36,"",(Transf!E271-AVERAGE(Transf!E$39:E271))/STDEV(Transf!E$39:E271))</f>
        <v>-1.02749439390548</v>
      </c>
      <c r="F271" s="10" t="n">
        <f aca="false">IF(COUNT(Transf!F$39:F271)&lt;36,"",(Transf!F271-AVERAGE(Transf!F$39:F271))/STDEV(Transf!F$39:F271))</f>
        <v>2.37595833244758</v>
      </c>
      <c r="G271" s="10" t="n">
        <f aca="false">IF(COUNT(Transf!G$39:G271)&lt;36,"",(Transf!G271-AVERAGE(Transf!G$39:G271))/STDEV(Transf!G$39:G271))</f>
        <v>0.0125410622909131</v>
      </c>
      <c r="H271" s="10" t="n">
        <f aca="false">IF(COUNT(Transf!H$39:H271)&lt;36,"",(Transf!H271-AVERAGE(Transf!H$39:H271))/STDEV(Transf!H$39:H271))</f>
        <v>0.165536446248349</v>
      </c>
      <c r="I271" s="10" t="n">
        <f aca="false">IF(COUNT(Transf!I$39:I271)&lt;36,"",(Transf!I271-AVERAGE(Transf!I$39:I271))/STDEV(Transf!I$39:I271))</f>
        <v>1.67277702734644</v>
      </c>
      <c r="J271" s="10" t="n">
        <f aca="false">IF(B271="","",IF(COUNT(B$74:B271)&lt;60,B271,MEDIAN(QUARTILE(B$74:B271,1)-1.5*(QUARTILE(B$74:B271,3)-QUARTILE(B$74:B271,1)),B271,QUARTILE(B$74:B271,3)+1.5*(QUARTILE(B$74:B271,3)-QUARTILE(B$74:B271,1)))))</f>
        <v>1.28471942151261</v>
      </c>
      <c r="K271" s="10" t="n">
        <f aca="false">IF(C271="","",IF(COUNT(C$74:C271)&lt;60,C271,MEDIAN(QUARTILE(C$74:C271,1)-1.5*(QUARTILE(C$74:C271,3)-QUARTILE(C$74:C271,1)),C271,QUARTILE(C$74:C271,3)+1.5*(QUARTILE(C$74:C271,3)-QUARTILE(C$74:C271,1)))))</f>
        <v>-0.137844094767786</v>
      </c>
      <c r="L271" s="10" t="n">
        <f aca="false">IF(D271="","",IF(COUNT(D$74:D271)&lt;60,D271,MEDIAN(QUARTILE(D$74:D271,1)-1.5*(QUARTILE(D$74:D271,3)-QUARTILE(D$74:D271,1)),D271,QUARTILE(D$74:D271,3)+1.5*(QUARTILE(D$74:D271,3)-QUARTILE(D$74:D271,1)))))</f>
        <v>-0.275383394617406</v>
      </c>
      <c r="M271" s="10" t="n">
        <f aca="false">IF(E271="","",IF(COUNT(E$74:E271)&lt;60,E271,MEDIAN(QUARTILE(E$74:E271,1)-1.5*(QUARTILE(E$74:E271,3)-QUARTILE(E$74:E271,1)),E271,QUARTILE(E$74:E271,3)+1.5*(QUARTILE(E$74:E271,3)-QUARTILE(E$74:E271,1)))))</f>
        <v>-1.02749439390548</v>
      </c>
      <c r="N271" s="10" t="n">
        <f aca="false">IF(F271="","",IF(COUNT(F$74:F271)&lt;60,F271,MEDIAN(QUARTILE(F$74:F271,1)-1.5*(QUARTILE(F$74:F271,3)-QUARTILE(F$74:F271,1)),F271,QUARTILE(F$74:F271,3)+1.5*(QUARTILE(F$74:F271,3)-QUARTILE(F$74:F271,1)))))</f>
        <v>2.37595833244758</v>
      </c>
      <c r="O271" s="10" t="n">
        <f aca="false">IF(G271="","",IF(COUNT(G$74:G271)&lt;60,G271,MEDIAN(QUARTILE(G$74:G271,1)-1.5*(QUARTILE(G$74:G271,3)-QUARTILE(G$74:G271,1)),G271,QUARTILE(G$74:G271,3)+1.5*(QUARTILE(G$74:G271,3)-QUARTILE(G$74:G271,1)))))</f>
        <v>0.0125410622909131</v>
      </c>
      <c r="P271" s="10" t="n">
        <f aca="false">IF(H271="","",IF(COUNT(H$74:H271)&lt;60,H271,MEDIAN(QUARTILE(H$74:H271,1)-1.5*(QUARTILE(H$74:H271,3)-QUARTILE(H$74:H271,1)),H271,QUARTILE(H$74:H271,3)+1.5*(QUARTILE(H$74:H271,3)-QUARTILE(H$74:H271,1)))))</f>
        <v>0.165536446248349</v>
      </c>
      <c r="Q271" s="10" t="n">
        <f aca="false">IF(I271="","",IF(COUNT(I$74:I271)&lt;60,I271,MEDIAN(QUARTILE(I$74:I271,1)-1.5*(QUARTILE(I$74:I271,3)-QUARTILE(I$74:I271,1)),I271,QUARTILE(I$74:I271,3)+1.5*(QUARTILE(I$74:I271,3)-QUARTILE(I$74:I271,1)))))</f>
        <v>1.67277702734644</v>
      </c>
      <c r="R271" s="10" t="n">
        <f aca="false">IF(J271="","",MEDIAN(J271:Q271))</f>
        <v>0.0890387542696313</v>
      </c>
      <c r="S271" s="10" t="n">
        <f aca="false">IF(R271="","",ABS(R271))</f>
        <v>0.0890387542696313</v>
      </c>
      <c r="T271" s="10" t="n">
        <f aca="false">IF(COUNT(S$74:S270)&lt;60,"",MEDIAN(S$74:S270))</f>
        <v>0.355845435034372</v>
      </c>
      <c r="U271" s="10" t="n">
        <f aca="false">IF(R271="","",IF(T271="",0,IF(S271&gt;=T271,R271,0)))</f>
        <v>0</v>
      </c>
      <c r="V271" s="10" t="n">
        <f aca="false">IF(U271="","",MEDIAN(-1,U271,1))</f>
        <v>0</v>
      </c>
      <c r="W271" s="10" t="n">
        <f aca="false">IF(J271="","",AVERAGE(J271:Q271))</f>
        <v>0.508851300819403</v>
      </c>
    </row>
    <row r="272" customFormat="false" ht="15" hidden="false" customHeight="false" outlineLevel="0" collapsed="false">
      <c r="A272" s="8" t="n">
        <f aca="false">Base!A272</f>
        <v>46234</v>
      </c>
      <c r="B272" s="10" t="n">
        <f aca="false">IF(COUNT(Transf!B$39:B272)&lt;36,"",(Transf!B272-AVERAGE(Transf!B$39:B272))/STDEV(Transf!B$39:B272))</f>
        <v>0.956134464671252</v>
      </c>
      <c r="C272" s="10" t="n">
        <f aca="false">IF(COUNT(Transf!C$39:C272)&lt;36,"",(Transf!C272-AVERAGE(Transf!C$39:C272))/STDEV(Transf!C$39:C272))</f>
        <v>-0.0353425000746709</v>
      </c>
      <c r="D272" s="10" t="n">
        <f aca="false">IF(COUNT(Transf!D$39:D272)&lt;36,"",(Transf!D272-AVERAGE(Transf!D$39:D272))/STDEV(Transf!D$39:D272))</f>
        <v>-0.255758969023737</v>
      </c>
      <c r="E272" s="10" t="n">
        <f aca="false">IF(COUNT(Transf!E$39:E272)&lt;36,"",(Transf!E272-AVERAGE(Transf!E$39:E272))/STDEV(Transf!E$39:E272))</f>
        <v>-1.00814053898384</v>
      </c>
      <c r="F272" s="10" t="n">
        <f aca="false">IF(COUNT(Transf!F$39:F272)&lt;36,"",(Transf!F272-AVERAGE(Transf!F$39:F272))/STDEV(Transf!F$39:F272))</f>
        <v>2.34268763821196</v>
      </c>
      <c r="G272" s="10" t="n">
        <f aca="false">IF(COUNT(Transf!G$39:G272)&lt;36,"",(Transf!G272-AVERAGE(Transf!G$39:G272))/STDEV(Transf!G$39:G272))</f>
        <v>-0.244216718466069</v>
      </c>
      <c r="H272" s="10" t="n">
        <f aca="false">IF(COUNT(Transf!H$39:H272)&lt;36,"",(Transf!H272-AVERAGE(Transf!H$39:H272))/STDEV(Transf!H$39:H272))</f>
        <v>0.463622520011217</v>
      </c>
      <c r="I272" s="10" t="n">
        <f aca="false">IF(COUNT(Transf!I$39:I272)&lt;36,"",(Transf!I272-AVERAGE(Transf!I$39:I272))/STDEV(Transf!I$39:I272))</f>
        <v>1.90884366647643</v>
      </c>
      <c r="J272" s="10" t="n">
        <f aca="false">IF(B272="","",IF(COUNT(B$74:B272)&lt;60,B272,MEDIAN(QUARTILE(B$74:B272,1)-1.5*(QUARTILE(B$74:B272,3)-QUARTILE(B$74:B272,1)),B272,QUARTILE(B$74:B272,3)+1.5*(QUARTILE(B$74:B272,3)-QUARTILE(B$74:B272,1)))))</f>
        <v>0.956134464671252</v>
      </c>
      <c r="K272" s="10" t="n">
        <f aca="false">IF(C272="","",IF(COUNT(C$74:C272)&lt;60,C272,MEDIAN(QUARTILE(C$74:C272,1)-1.5*(QUARTILE(C$74:C272,3)-QUARTILE(C$74:C272,1)),C272,QUARTILE(C$74:C272,3)+1.5*(QUARTILE(C$74:C272,3)-QUARTILE(C$74:C272,1)))))</f>
        <v>-0.0353425000746709</v>
      </c>
      <c r="L272" s="10" t="n">
        <f aca="false">IF(D272="","",IF(COUNT(D$74:D272)&lt;60,D272,MEDIAN(QUARTILE(D$74:D272,1)-1.5*(QUARTILE(D$74:D272,3)-QUARTILE(D$74:D272,1)),D272,QUARTILE(D$74:D272,3)+1.5*(QUARTILE(D$74:D272,3)-QUARTILE(D$74:D272,1)))))</f>
        <v>-0.255758969023737</v>
      </c>
      <c r="M272" s="10" t="n">
        <f aca="false">IF(E272="","",IF(COUNT(E$74:E272)&lt;60,E272,MEDIAN(QUARTILE(E$74:E272,1)-1.5*(QUARTILE(E$74:E272,3)-QUARTILE(E$74:E272,1)),E272,QUARTILE(E$74:E272,3)+1.5*(QUARTILE(E$74:E272,3)-QUARTILE(E$74:E272,1)))))</f>
        <v>-1.00814053898384</v>
      </c>
      <c r="N272" s="10" t="n">
        <f aca="false">IF(F272="","",IF(COUNT(F$74:F272)&lt;60,F272,MEDIAN(QUARTILE(F$74:F272,1)-1.5*(QUARTILE(F$74:F272,3)-QUARTILE(F$74:F272,1)),F272,QUARTILE(F$74:F272,3)+1.5*(QUARTILE(F$74:F272,3)-QUARTILE(F$74:F272,1)))))</f>
        <v>2.34268763821196</v>
      </c>
      <c r="O272" s="10" t="n">
        <f aca="false">IF(G272="","",IF(COUNT(G$74:G272)&lt;60,G272,MEDIAN(QUARTILE(G$74:G272,1)-1.5*(QUARTILE(G$74:G272,3)-QUARTILE(G$74:G272,1)),G272,QUARTILE(G$74:G272,3)+1.5*(QUARTILE(G$74:G272,3)-QUARTILE(G$74:G272,1)))))</f>
        <v>-0.244216718466069</v>
      </c>
      <c r="P272" s="10" t="n">
        <f aca="false">IF(H272="","",IF(COUNT(H$74:H272)&lt;60,H272,MEDIAN(QUARTILE(H$74:H272,1)-1.5*(QUARTILE(H$74:H272,3)-QUARTILE(H$74:H272,1)),H272,QUARTILE(H$74:H272,3)+1.5*(QUARTILE(H$74:H272,3)-QUARTILE(H$74:H272,1)))))</f>
        <v>0.463622520011217</v>
      </c>
      <c r="Q272" s="10" t="n">
        <f aca="false">IF(I272="","",IF(COUNT(I$74:I272)&lt;60,I272,MEDIAN(QUARTILE(I$74:I272,1)-1.5*(QUARTILE(I$74:I272,3)-QUARTILE(I$74:I272,1)),I272,QUARTILE(I$74:I272,3)+1.5*(QUARTILE(I$74:I272,3)-QUARTILE(I$74:I272,1)))))</f>
        <v>1.90884366647643</v>
      </c>
      <c r="R272" s="10" t="n">
        <f aca="false">IF(J272="","",MEDIAN(J272:Q272))</f>
        <v>0.214140009968273</v>
      </c>
      <c r="S272" s="10" t="n">
        <f aca="false">IF(R272="","",ABS(R272))</f>
        <v>0.214140009968273</v>
      </c>
      <c r="T272" s="10" t="n">
        <f aca="false">IF(COUNT(S$74:S271)&lt;60,"",MEDIAN(S$74:S271))</f>
        <v>0.353827211240097</v>
      </c>
      <c r="U272" s="10" t="n">
        <f aca="false">IF(R272="","",IF(T272="",0,IF(S272&gt;=T272,R272,0)))</f>
        <v>0</v>
      </c>
      <c r="V272" s="10" t="n">
        <f aca="false">IF(U272="","",MEDIAN(-1,U272,1))</f>
        <v>0</v>
      </c>
      <c r="W272" s="10" t="n">
        <f aca="false">IF(J272="","",AVERAGE(J272:Q272))</f>
        <v>0.515978695352819</v>
      </c>
    </row>
    <row r="273" customFormat="false" ht="15" hidden="false" customHeight="false" outlineLevel="0" collapsed="false">
      <c r="A273" s="8" t="n">
        <f aca="false">Base!A273</f>
        <v>46265</v>
      </c>
      <c r="B273" s="10" t="n">
        <f aca="false">IF(COUNT(Transf!B$39:B273)&lt;36,"",(Transf!B273-AVERAGE(Transf!B$39:B273))/STDEV(Transf!B$39:B273))</f>
        <v>0.569773720907956</v>
      </c>
      <c r="C273" s="10" t="n">
        <f aca="false">IF(COUNT(Transf!C$39:C273)&lt;36,"",(Transf!C273-AVERAGE(Transf!C$39:C273))/STDEV(Transf!C$39:C273))</f>
        <v>0.139720426779411</v>
      </c>
      <c r="D273" s="10" t="n">
        <f aca="false">IF(COUNT(Transf!D$39:D273)&lt;36,"",(Transf!D273-AVERAGE(Transf!D$39:D273))/STDEV(Transf!D$39:D273))</f>
        <v>-0.162279672889998</v>
      </c>
      <c r="E273" s="10" t="n">
        <f aca="false">IF(COUNT(Transf!E$39:E273)&lt;36,"",(Transf!E273-AVERAGE(Transf!E$39:E273))/STDEV(Transf!E$39:E273))</f>
        <v>-1.02367227924847</v>
      </c>
      <c r="F273" s="10" t="n">
        <f aca="false">IF(COUNT(Transf!F$39:F273)&lt;36,"",(Transf!F273-AVERAGE(Transf!F$39:F273))/STDEV(Transf!F$39:F273))</f>
        <v>2.31077755437453</v>
      </c>
      <c r="G273" s="10" t="n">
        <f aca="false">IF(COUNT(Transf!G$39:G273)&lt;36,"",(Transf!G273-AVERAGE(Transf!G$39:G273))/STDEV(Transf!G$39:G273))</f>
        <v>-0.421405372456881</v>
      </c>
      <c r="H273" s="10" t="n">
        <f aca="false">IF(COUNT(Transf!H$39:H273)&lt;36,"",(Transf!H273-AVERAGE(Transf!H$39:H273))/STDEV(Transf!H$39:H273))</f>
        <v>0.414686896726306</v>
      </c>
      <c r="I273" s="10" t="n">
        <f aca="false">IF(COUNT(Transf!I$39:I273)&lt;36,"",(Transf!I273-AVERAGE(Transf!I$39:I273))/STDEV(Transf!I$39:I273))</f>
        <v>2.32291282979538</v>
      </c>
      <c r="J273" s="10" t="n">
        <f aca="false">IF(B273="","",IF(COUNT(B$74:B273)&lt;60,B273,MEDIAN(QUARTILE(B$74:B273,1)-1.5*(QUARTILE(B$74:B273,3)-QUARTILE(B$74:B273,1)),B273,QUARTILE(B$74:B273,3)+1.5*(QUARTILE(B$74:B273,3)-QUARTILE(B$74:B273,1)))))</f>
        <v>0.569773720907956</v>
      </c>
      <c r="K273" s="10" t="n">
        <f aca="false">IF(C273="","",IF(COUNT(C$74:C273)&lt;60,C273,MEDIAN(QUARTILE(C$74:C273,1)-1.5*(QUARTILE(C$74:C273,3)-QUARTILE(C$74:C273,1)),C273,QUARTILE(C$74:C273,3)+1.5*(QUARTILE(C$74:C273,3)-QUARTILE(C$74:C273,1)))))</f>
        <v>0.139720426779411</v>
      </c>
      <c r="L273" s="10" t="n">
        <f aca="false">IF(D273="","",IF(COUNT(D$74:D273)&lt;60,D273,MEDIAN(QUARTILE(D$74:D273,1)-1.5*(QUARTILE(D$74:D273,3)-QUARTILE(D$74:D273,1)),D273,QUARTILE(D$74:D273,3)+1.5*(QUARTILE(D$74:D273,3)-QUARTILE(D$74:D273,1)))))</f>
        <v>-0.162279672889998</v>
      </c>
      <c r="M273" s="10" t="n">
        <f aca="false">IF(E273="","",IF(COUNT(E$74:E273)&lt;60,E273,MEDIAN(QUARTILE(E$74:E273,1)-1.5*(QUARTILE(E$74:E273,3)-QUARTILE(E$74:E273,1)),E273,QUARTILE(E$74:E273,3)+1.5*(QUARTILE(E$74:E273,3)-QUARTILE(E$74:E273,1)))))</f>
        <v>-1.02367227924847</v>
      </c>
      <c r="N273" s="10" t="n">
        <f aca="false">IF(F273="","",IF(COUNT(F$74:F273)&lt;60,F273,MEDIAN(QUARTILE(F$74:F273,1)-1.5*(QUARTILE(F$74:F273,3)-QUARTILE(F$74:F273,1)),F273,QUARTILE(F$74:F273,3)+1.5*(QUARTILE(F$74:F273,3)-QUARTILE(F$74:F273,1)))))</f>
        <v>2.31077755437453</v>
      </c>
      <c r="O273" s="10" t="n">
        <f aca="false">IF(G273="","",IF(COUNT(G$74:G273)&lt;60,G273,MEDIAN(QUARTILE(G$74:G273,1)-1.5*(QUARTILE(G$74:G273,3)-QUARTILE(G$74:G273,1)),G273,QUARTILE(G$74:G273,3)+1.5*(QUARTILE(G$74:G273,3)-QUARTILE(G$74:G273,1)))))</f>
        <v>-0.421405372456881</v>
      </c>
      <c r="P273" s="10" t="n">
        <f aca="false">IF(H273="","",IF(COUNT(H$74:H273)&lt;60,H273,MEDIAN(QUARTILE(H$74:H273,1)-1.5*(QUARTILE(H$74:H273,3)-QUARTILE(H$74:H273,1)),H273,QUARTILE(H$74:H273,3)+1.5*(QUARTILE(H$74:H273,3)-QUARTILE(H$74:H273,1)))))</f>
        <v>0.414686896726306</v>
      </c>
      <c r="Q273" s="10" t="n">
        <f aca="false">IF(I273="","",IF(COUNT(I$74:I273)&lt;60,I273,MEDIAN(QUARTILE(I$74:I273,1)-1.5*(QUARTILE(I$74:I273,3)-QUARTILE(I$74:I273,1)),I273,QUARTILE(I$74:I273,3)+1.5*(QUARTILE(I$74:I273,3)-QUARTILE(I$74:I273,1)))))</f>
        <v>2.32291282979538</v>
      </c>
      <c r="R273" s="10" t="n">
        <f aca="false">IF(J273="","",MEDIAN(J273:Q273))</f>
        <v>0.277203661752858</v>
      </c>
      <c r="S273" s="10" t="n">
        <f aca="false">IF(R273="","",ABS(R273))</f>
        <v>0.277203661752858</v>
      </c>
      <c r="T273" s="10" t="n">
        <f aca="false">IF(COUNT(S$74:S272)&lt;60,"",MEDIAN(S$74:S272))</f>
        <v>0.351808987445821</v>
      </c>
      <c r="U273" s="10" t="n">
        <f aca="false">IF(R273="","",IF(T273="",0,IF(S273&gt;=T273,R273,0)))</f>
        <v>0</v>
      </c>
      <c r="V273" s="10" t="n">
        <f aca="false">IF(U273="","",MEDIAN(-1,U273,1))</f>
        <v>0</v>
      </c>
      <c r="W273" s="10" t="n">
        <f aca="false">IF(J273="","",AVERAGE(J273:Q273))</f>
        <v>0.518814262998528</v>
      </c>
    </row>
    <row r="275" customFormat="false" ht="15" hidden="false" customHeight="false" outlineLevel="0" collapsed="false">
      <c r="A275" s="6" t="s">
        <v>94</v>
      </c>
    </row>
    <row r="276" customFormat="false" ht="15" hidden="false" customHeight="false" outlineLevel="0" collapsed="false">
      <c r="A276" s="6" t="s">
        <v>95</v>
      </c>
    </row>
    <row r="277" customFormat="false" ht="15" hidden="false" customHeight="false" outlineLevel="0" collapsed="false">
      <c r="A277" s="6" t="s">
        <v>96</v>
      </c>
    </row>
    <row r="278" customFormat="false" ht="15" hidden="false" customHeight="false" outlineLevel="0" collapsed="false">
      <c r="A278" s="6" t="s">
        <v>97</v>
      </c>
    </row>
    <row r="279" customFormat="false" ht="15" hidden="false" customHeight="false" outlineLevel="0" collapsed="false">
      <c r="A279" s="6" t="s">
        <v>98</v>
      </c>
    </row>
    <row r="280" customFormat="false" ht="15" hidden="false" customHeight="false" outlineLevel="0" collapsed="false">
      <c r="A280" s="6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8" min="2" style="0" width="12"/>
  </cols>
  <sheetData>
    <row r="1" customFormat="false" ht="30" hidden="false" customHeight="true" outlineLevel="0" collapsed="false">
      <c r="A1" s="3" t="s">
        <v>34</v>
      </c>
      <c r="B1" s="3" t="s">
        <v>100</v>
      </c>
      <c r="C1" s="3" t="s">
        <v>101</v>
      </c>
      <c r="D1" s="3" t="s">
        <v>102</v>
      </c>
      <c r="E1" s="3" t="s">
        <v>103</v>
      </c>
      <c r="F1" s="3" t="s">
        <v>104</v>
      </c>
      <c r="G1" s="3" t="s">
        <v>105</v>
      </c>
      <c r="H1" s="3" t="s">
        <v>106</v>
      </c>
      <c r="I1" s="3" t="s">
        <v>107</v>
      </c>
      <c r="J1" s="3" t="s">
        <v>108</v>
      </c>
      <c r="K1" s="3" t="s">
        <v>109</v>
      </c>
      <c r="L1" s="3" t="s">
        <v>110</v>
      </c>
      <c r="M1" s="3" t="s">
        <v>111</v>
      </c>
      <c r="N1" s="3" t="s">
        <v>112</v>
      </c>
      <c r="O1" s="3" t="s">
        <v>113</v>
      </c>
      <c r="P1" s="3" t="s">
        <v>114</v>
      </c>
      <c r="Q1" s="3" t="s">
        <v>115</v>
      </c>
      <c r="R1" s="3" t="s">
        <v>116</v>
      </c>
      <c r="S1" s="3" t="s">
        <v>117</v>
      </c>
      <c r="T1" s="3" t="s">
        <v>118</v>
      </c>
      <c r="U1" s="3" t="s">
        <v>119</v>
      </c>
      <c r="V1" s="3" t="s">
        <v>120</v>
      </c>
      <c r="W1" s="3" t="s">
        <v>121</v>
      </c>
      <c r="X1" s="3" t="s">
        <v>122</v>
      </c>
      <c r="Y1" s="3" t="s">
        <v>123</v>
      </c>
      <c r="Z1" s="3" t="s">
        <v>124</v>
      </c>
      <c r="AA1" s="3" t="s">
        <v>125</v>
      </c>
      <c r="AB1" s="3" t="s">
        <v>126</v>
      </c>
    </row>
    <row r="2" customFormat="false" ht="15" hidden="false" customHeight="false" outlineLevel="0" collapsed="false">
      <c r="A2" s="8" t="n">
        <f aca="false">Base!A2</f>
        <v>38017</v>
      </c>
      <c r="B2" s="10" t="str">
        <f aca="false">IF(Base!T2="","",Base!T2)</f>
        <v/>
      </c>
      <c r="C2" s="11" t="str">
        <f aca="false">IF(B2="","",LN(B2))</f>
        <v/>
      </c>
      <c r="E2" s="12" t="str">
        <f aca="false">IF(Base!U2="","",Base!U2)</f>
        <v/>
      </c>
      <c r="F2" s="11" t="str">
        <f aca="false">IF(E2="","",LN(E2))</f>
        <v/>
      </c>
      <c r="R2" s="13" t="str">
        <f aca="false">IF(COUNT(I3:I3)&lt;1,"",SUM(I3:I3))</f>
        <v/>
      </c>
      <c r="S2" s="13" t="str">
        <f aca="false">IF(COUNT(I3:I5)&lt;3,"",SUM(I3:I5))</f>
        <v/>
      </c>
      <c r="T2" s="13" t="str">
        <f aca="false">IF(COUNT(I3:I8)&lt;6,"",SUM(I3:I8))</f>
        <v/>
      </c>
      <c r="U2" s="13" t="str">
        <f aca="false">IF(COUNT(I3:I14)&lt;12,"",SUM(I3:I14))</f>
        <v/>
      </c>
      <c r="Y2" s="13" t="str">
        <f aca="false">IF(COUNT(D3:D3)&lt;1,"",SUM(D3:D3))</f>
        <v/>
      </c>
      <c r="Z2" s="13" t="str">
        <f aca="false">IF(COUNT(D3:D5)&lt;3,"",SUM(D3:D5))</f>
        <v/>
      </c>
      <c r="AA2" s="13" t="str">
        <f aca="false">IF(COUNT(D3:D8)&lt;6,"",SUM(D3:D8))</f>
        <v/>
      </c>
      <c r="AB2" s="13" t="str">
        <f aca="false">IF(COUNT(D3:D14)&lt;12,"",SUM(D3:D14))</f>
        <v/>
      </c>
    </row>
    <row r="3" customFormat="false" ht="15" hidden="false" customHeight="false" outlineLevel="0" collapsed="false">
      <c r="A3" s="8" t="n">
        <f aca="false">Base!A3</f>
        <v>38046</v>
      </c>
      <c r="B3" s="10" t="str">
        <f aca="false">IF(Base!T3="","",Base!T3)</f>
        <v/>
      </c>
      <c r="C3" s="11" t="str">
        <f aca="false">IF(B3="","",LN(B3))</f>
        <v/>
      </c>
      <c r="D3" s="13" t="str">
        <f aca="false">IF(OR(C3="",C2=""),"",C3-C2)</f>
        <v/>
      </c>
      <c r="E3" s="12" t="str">
        <f aca="false">IF(Base!U3="","",Base!U3)</f>
        <v/>
      </c>
      <c r="F3" s="11" t="str">
        <f aca="false">IF(E3="","",LN(E3))</f>
        <v/>
      </c>
      <c r="G3" s="13" t="str">
        <f aca="false">IF(OR(F3="",F2=""),"",F3-F2)</f>
        <v/>
      </c>
      <c r="R3" s="13" t="str">
        <f aca="false">IF(COUNT(I4:I4)&lt;1,"",SUM(I4:I4))</f>
        <v/>
      </c>
      <c r="S3" s="13" t="str">
        <f aca="false">IF(COUNT(I4:I6)&lt;3,"",SUM(I4:I6))</f>
        <v/>
      </c>
      <c r="T3" s="13" t="str">
        <f aca="false">IF(COUNT(I4:I9)&lt;6,"",SUM(I4:I9))</f>
        <v/>
      </c>
      <c r="U3" s="13" t="str">
        <f aca="false">IF(COUNT(I4:I15)&lt;12,"",SUM(I4:I15))</f>
        <v/>
      </c>
      <c r="Y3" s="13" t="str">
        <f aca="false">IF(COUNT(D4:D4)&lt;1,"",SUM(D4:D4))</f>
        <v/>
      </c>
      <c r="Z3" s="13" t="str">
        <f aca="false">IF(COUNT(D4:D6)&lt;3,"",SUM(D4:D6))</f>
        <v/>
      </c>
      <c r="AA3" s="13" t="str">
        <f aca="false">IF(COUNT(D4:D9)&lt;6,"",SUM(D4:D9))</f>
        <v/>
      </c>
      <c r="AB3" s="13" t="str">
        <f aca="false">IF(COUNT(D4:D15)&lt;12,"",SUM(D4:D15))</f>
        <v/>
      </c>
    </row>
    <row r="4" customFormat="false" ht="15" hidden="false" customHeight="false" outlineLevel="0" collapsed="false">
      <c r="A4" s="8" t="n">
        <f aca="false">Base!A4</f>
        <v>38077</v>
      </c>
      <c r="B4" s="10" t="str">
        <f aca="false">IF(Base!T4="","",Base!T4)</f>
        <v/>
      </c>
      <c r="C4" s="11" t="str">
        <f aca="false">IF(B4="","",LN(B4))</f>
        <v/>
      </c>
      <c r="D4" s="13" t="str">
        <f aca="false">IF(OR(C4="",C3=""),"",C4-C3)</f>
        <v/>
      </c>
      <c r="E4" s="12" t="str">
        <f aca="false">IF(Base!U4="","",Base!U4)</f>
        <v/>
      </c>
      <c r="F4" s="11" t="str">
        <f aca="false">IF(E4="","",LN(E4))</f>
        <v/>
      </c>
      <c r="G4" s="13" t="str">
        <f aca="false">IF(OR(F4="",F3=""),"",F4-F3)</f>
        <v/>
      </c>
      <c r="R4" s="13" t="str">
        <f aca="false">IF(COUNT(I5:I5)&lt;1,"",SUM(I5:I5))</f>
        <v/>
      </c>
      <c r="S4" s="13" t="str">
        <f aca="false">IF(COUNT(I5:I7)&lt;3,"",SUM(I5:I7))</f>
        <v/>
      </c>
      <c r="T4" s="13" t="str">
        <f aca="false">IF(COUNT(I5:I10)&lt;6,"",SUM(I5:I10))</f>
        <v/>
      </c>
      <c r="U4" s="13" t="str">
        <f aca="false">IF(COUNT(I5:I16)&lt;12,"",SUM(I5:I16))</f>
        <v/>
      </c>
      <c r="Y4" s="13" t="str">
        <f aca="false">IF(COUNT(D5:D5)&lt;1,"",SUM(D5:D5))</f>
        <v/>
      </c>
      <c r="Z4" s="13" t="str">
        <f aca="false">IF(COUNT(D5:D7)&lt;3,"",SUM(D5:D7))</f>
        <v/>
      </c>
      <c r="AA4" s="13" t="str">
        <f aca="false">IF(COUNT(D5:D10)&lt;6,"",SUM(D5:D10))</f>
        <v/>
      </c>
      <c r="AB4" s="13" t="str">
        <f aca="false">IF(COUNT(D5:D16)&lt;12,"",SUM(D5:D16))</f>
        <v/>
      </c>
    </row>
    <row r="5" customFormat="false" ht="15" hidden="false" customHeight="false" outlineLevel="0" collapsed="false">
      <c r="A5" s="8" t="n">
        <f aca="false">Base!A5</f>
        <v>38107</v>
      </c>
      <c r="B5" s="10" t="str">
        <f aca="false">IF(Base!T5="","",Base!T5)</f>
        <v/>
      </c>
      <c r="C5" s="11" t="str">
        <f aca="false">IF(B5="","",LN(B5))</f>
        <v/>
      </c>
      <c r="D5" s="13" t="str">
        <f aca="false">IF(OR(C5="",C4=""),"",C5-C4)</f>
        <v/>
      </c>
      <c r="E5" s="12" t="str">
        <f aca="false">IF(Base!U5="","",Base!U5)</f>
        <v/>
      </c>
      <c r="F5" s="11" t="str">
        <f aca="false">IF(E5="","",LN(E5))</f>
        <v/>
      </c>
      <c r="G5" s="13" t="str">
        <f aca="false">IF(OR(F5="",F4=""),"",F5-F4)</f>
        <v/>
      </c>
      <c r="R5" s="13" t="str">
        <f aca="false">IF(COUNT(I6:I6)&lt;1,"",SUM(I6:I6))</f>
        <v/>
      </c>
      <c r="S5" s="13" t="str">
        <f aca="false">IF(COUNT(I6:I8)&lt;3,"",SUM(I6:I8))</f>
        <v/>
      </c>
      <c r="T5" s="13" t="str">
        <f aca="false">IF(COUNT(I6:I11)&lt;6,"",SUM(I6:I11))</f>
        <v/>
      </c>
      <c r="U5" s="13" t="str">
        <f aca="false">IF(COUNT(I6:I17)&lt;12,"",SUM(I6:I17))</f>
        <v/>
      </c>
      <c r="Y5" s="13" t="str">
        <f aca="false">IF(COUNT(D6:D6)&lt;1,"",SUM(D6:D6))</f>
        <v/>
      </c>
      <c r="Z5" s="13" t="str">
        <f aca="false">IF(COUNT(D6:D8)&lt;3,"",SUM(D6:D8))</f>
        <v/>
      </c>
      <c r="AA5" s="13" t="str">
        <f aca="false">IF(COUNT(D6:D11)&lt;6,"",SUM(D6:D11))</f>
        <v/>
      </c>
      <c r="AB5" s="13" t="str">
        <f aca="false">IF(COUNT(D6:D17)&lt;12,"",SUM(D6:D17))</f>
        <v/>
      </c>
    </row>
    <row r="6" customFormat="false" ht="15" hidden="false" customHeight="false" outlineLevel="0" collapsed="false">
      <c r="A6" s="8" t="n">
        <f aca="false">Base!A6</f>
        <v>38138</v>
      </c>
      <c r="B6" s="10" t="str">
        <f aca="false">IF(Base!T6="","",Base!T6)</f>
        <v/>
      </c>
      <c r="C6" s="11" t="str">
        <f aca="false">IF(B6="","",LN(B6))</f>
        <v/>
      </c>
      <c r="D6" s="13" t="str">
        <f aca="false">IF(OR(C6="",C5=""),"",C6-C5)</f>
        <v/>
      </c>
      <c r="E6" s="12" t="str">
        <f aca="false">IF(Base!U6="","",Base!U6)</f>
        <v/>
      </c>
      <c r="F6" s="11" t="str">
        <f aca="false">IF(E6="","",LN(E6))</f>
        <v/>
      </c>
      <c r="G6" s="13" t="str">
        <f aca="false">IF(OR(F6="",F5=""),"",F6-F5)</f>
        <v/>
      </c>
      <c r="R6" s="13" t="str">
        <f aca="false">IF(COUNT(I7:I7)&lt;1,"",SUM(I7:I7))</f>
        <v/>
      </c>
      <c r="S6" s="13" t="str">
        <f aca="false">IF(COUNT(I7:I9)&lt;3,"",SUM(I7:I9))</f>
        <v/>
      </c>
      <c r="T6" s="13" t="str">
        <f aca="false">IF(COUNT(I7:I12)&lt;6,"",SUM(I7:I12))</f>
        <v/>
      </c>
      <c r="U6" s="13" t="str">
        <f aca="false">IF(COUNT(I7:I18)&lt;12,"",SUM(I7:I18))</f>
        <v/>
      </c>
      <c r="Y6" s="13" t="str">
        <f aca="false">IF(COUNT(D7:D7)&lt;1,"",SUM(D7:D7))</f>
        <v/>
      </c>
      <c r="Z6" s="13" t="str">
        <f aca="false">IF(COUNT(D7:D9)&lt;3,"",SUM(D7:D9))</f>
        <v/>
      </c>
      <c r="AA6" s="13" t="str">
        <f aca="false">IF(COUNT(D7:D12)&lt;6,"",SUM(D7:D12))</f>
        <v/>
      </c>
      <c r="AB6" s="13" t="str">
        <f aca="false">IF(COUNT(D7:D18)&lt;12,"",SUM(D7:D18))</f>
        <v/>
      </c>
    </row>
    <row r="7" customFormat="false" ht="15" hidden="false" customHeight="false" outlineLevel="0" collapsed="false">
      <c r="A7" s="8" t="n">
        <f aca="false">Base!A7</f>
        <v>38168</v>
      </c>
      <c r="B7" s="10" t="str">
        <f aca="false">IF(Base!T7="","",Base!T7)</f>
        <v/>
      </c>
      <c r="C7" s="11" t="str">
        <f aca="false">IF(B7="","",LN(B7))</f>
        <v/>
      </c>
      <c r="D7" s="13" t="str">
        <f aca="false">IF(OR(C7="",C6=""),"",C7-C6)</f>
        <v/>
      </c>
      <c r="E7" s="12" t="str">
        <f aca="false">IF(Base!U7="","",Base!U7)</f>
        <v/>
      </c>
      <c r="F7" s="11" t="str">
        <f aca="false">IF(E7="","",LN(E7))</f>
        <v/>
      </c>
      <c r="G7" s="13" t="str">
        <f aca="false">IF(OR(F7="",F6=""),"",F7-F6)</f>
        <v/>
      </c>
      <c r="R7" s="13" t="str">
        <f aca="false">IF(COUNT(I8:I8)&lt;1,"",SUM(I8:I8))</f>
        <v/>
      </c>
      <c r="S7" s="13" t="str">
        <f aca="false">IF(COUNT(I8:I10)&lt;3,"",SUM(I8:I10))</f>
        <v/>
      </c>
      <c r="T7" s="13" t="str">
        <f aca="false">IF(COUNT(I8:I13)&lt;6,"",SUM(I8:I13))</f>
        <v/>
      </c>
      <c r="U7" s="13" t="str">
        <f aca="false">IF(COUNT(I8:I19)&lt;12,"",SUM(I8:I19))</f>
        <v/>
      </c>
      <c r="Y7" s="13" t="str">
        <f aca="false">IF(COUNT(D8:D8)&lt;1,"",SUM(D8:D8))</f>
        <v/>
      </c>
      <c r="Z7" s="13" t="str">
        <f aca="false">IF(COUNT(D8:D10)&lt;3,"",SUM(D8:D10))</f>
        <v/>
      </c>
      <c r="AA7" s="13" t="str">
        <f aca="false">IF(COUNT(D8:D13)&lt;6,"",SUM(D8:D13))</f>
        <v/>
      </c>
      <c r="AB7" s="13" t="str">
        <f aca="false">IF(COUNT(D8:D19)&lt;12,"",SUM(D8:D19))</f>
        <v/>
      </c>
    </row>
    <row r="8" customFormat="false" ht="15" hidden="false" customHeight="false" outlineLevel="0" collapsed="false">
      <c r="A8" s="8" t="n">
        <f aca="false">Base!A8</f>
        <v>38199</v>
      </c>
      <c r="B8" s="10" t="str">
        <f aca="false">IF(Base!T8="","",Base!T8)</f>
        <v/>
      </c>
      <c r="C8" s="11" t="str">
        <f aca="false">IF(B8="","",LN(B8))</f>
        <v/>
      </c>
      <c r="D8" s="13" t="str">
        <f aca="false">IF(OR(C8="",C7=""),"",C8-C7)</f>
        <v/>
      </c>
      <c r="E8" s="12" t="str">
        <f aca="false">IF(Base!U8="","",Base!U8)</f>
        <v/>
      </c>
      <c r="F8" s="11" t="str">
        <f aca="false">IF(E8="","",LN(E8))</f>
        <v/>
      </c>
      <c r="G8" s="13" t="str">
        <f aca="false">IF(OR(F8="",F7=""),"",F8-F7)</f>
        <v/>
      </c>
      <c r="R8" s="13" t="str">
        <f aca="false">IF(COUNT(I9:I9)&lt;1,"",SUM(I9:I9))</f>
        <v/>
      </c>
      <c r="S8" s="13" t="str">
        <f aca="false">IF(COUNT(I9:I11)&lt;3,"",SUM(I9:I11))</f>
        <v/>
      </c>
      <c r="T8" s="13" t="str">
        <f aca="false">IF(COUNT(I9:I14)&lt;6,"",SUM(I9:I14))</f>
        <v/>
      </c>
      <c r="U8" s="13" t="str">
        <f aca="false">IF(COUNT(I9:I20)&lt;12,"",SUM(I9:I20))</f>
        <v/>
      </c>
      <c r="Y8" s="13" t="str">
        <f aca="false">IF(COUNT(D9:D9)&lt;1,"",SUM(D9:D9))</f>
        <v/>
      </c>
      <c r="Z8" s="13" t="str">
        <f aca="false">IF(COUNT(D9:D11)&lt;3,"",SUM(D9:D11))</f>
        <v/>
      </c>
      <c r="AA8" s="13" t="str">
        <f aca="false">IF(COUNT(D9:D14)&lt;6,"",SUM(D9:D14))</f>
        <v/>
      </c>
      <c r="AB8" s="13" t="str">
        <f aca="false">IF(COUNT(D9:D20)&lt;12,"",SUM(D9:D20))</f>
        <v/>
      </c>
    </row>
    <row r="9" customFormat="false" ht="15" hidden="false" customHeight="false" outlineLevel="0" collapsed="false">
      <c r="A9" s="8" t="n">
        <f aca="false">Base!A9</f>
        <v>38230</v>
      </c>
      <c r="B9" s="10" t="str">
        <f aca="false">IF(Base!T9="","",Base!T9)</f>
        <v/>
      </c>
      <c r="C9" s="11" t="str">
        <f aca="false">IF(B9="","",LN(B9))</f>
        <v/>
      </c>
      <c r="D9" s="13" t="str">
        <f aca="false">IF(OR(C9="",C8=""),"",C9-C8)</f>
        <v/>
      </c>
      <c r="E9" s="12" t="str">
        <f aca="false">IF(Base!U9="","",Base!U9)</f>
        <v/>
      </c>
      <c r="F9" s="11" t="str">
        <f aca="false">IF(E9="","",LN(E9))</f>
        <v/>
      </c>
      <c r="G9" s="13" t="str">
        <f aca="false">IF(OR(F9="",F8=""),"",F9-F8)</f>
        <v/>
      </c>
      <c r="R9" s="13" t="str">
        <f aca="false">IF(COUNT(I10:I10)&lt;1,"",SUM(I10:I10))</f>
        <v/>
      </c>
      <c r="S9" s="13" t="str">
        <f aca="false">IF(COUNT(I10:I12)&lt;3,"",SUM(I10:I12))</f>
        <v/>
      </c>
      <c r="T9" s="13" t="str">
        <f aca="false">IF(COUNT(I10:I15)&lt;6,"",SUM(I10:I15))</f>
        <v/>
      </c>
      <c r="U9" s="13" t="str">
        <f aca="false">IF(COUNT(I10:I21)&lt;12,"",SUM(I10:I21))</f>
        <v/>
      </c>
      <c r="Y9" s="13" t="str">
        <f aca="false">IF(COUNT(D10:D10)&lt;1,"",SUM(D10:D10))</f>
        <v/>
      </c>
      <c r="Z9" s="13" t="str">
        <f aca="false">IF(COUNT(D10:D12)&lt;3,"",SUM(D10:D12))</f>
        <v/>
      </c>
      <c r="AA9" s="13" t="str">
        <f aca="false">IF(COUNT(D10:D15)&lt;6,"",SUM(D10:D15))</f>
        <v/>
      </c>
      <c r="AB9" s="13" t="str">
        <f aca="false">IF(COUNT(D10:D21)&lt;12,"",SUM(D10:D21))</f>
        <v/>
      </c>
    </row>
    <row r="10" customFormat="false" ht="15" hidden="false" customHeight="false" outlineLevel="0" collapsed="false">
      <c r="A10" s="8" t="n">
        <f aca="false">Base!A10</f>
        <v>38260</v>
      </c>
      <c r="B10" s="10" t="str">
        <f aca="false">IF(Base!T10="","",Base!T10)</f>
        <v/>
      </c>
      <c r="C10" s="11" t="str">
        <f aca="false">IF(B10="","",LN(B10))</f>
        <v/>
      </c>
      <c r="D10" s="13" t="str">
        <f aca="false">IF(OR(C10="",C9=""),"",C10-C9)</f>
        <v/>
      </c>
      <c r="E10" s="12" t="str">
        <f aca="false">IF(Base!U10="","",Base!U10)</f>
        <v/>
      </c>
      <c r="F10" s="11" t="str">
        <f aca="false">IF(E10="","",LN(E10))</f>
        <v/>
      </c>
      <c r="G10" s="13" t="str">
        <f aca="false">IF(OR(F10="",F9=""),"",F10-F9)</f>
        <v/>
      </c>
      <c r="R10" s="13" t="str">
        <f aca="false">IF(COUNT(I11:I11)&lt;1,"",SUM(I11:I11))</f>
        <v/>
      </c>
      <c r="S10" s="13" t="str">
        <f aca="false">IF(COUNT(I11:I13)&lt;3,"",SUM(I11:I13))</f>
        <v/>
      </c>
      <c r="T10" s="13" t="str">
        <f aca="false">IF(COUNT(I11:I16)&lt;6,"",SUM(I11:I16))</f>
        <v/>
      </c>
      <c r="U10" s="13" t="str">
        <f aca="false">IF(COUNT(I11:I22)&lt;12,"",SUM(I11:I22))</f>
        <v/>
      </c>
      <c r="Y10" s="13" t="str">
        <f aca="false">IF(COUNT(D11:D11)&lt;1,"",SUM(D11:D11))</f>
        <v/>
      </c>
      <c r="Z10" s="13" t="str">
        <f aca="false">IF(COUNT(D11:D13)&lt;3,"",SUM(D11:D13))</f>
        <v/>
      </c>
      <c r="AA10" s="13" t="str">
        <f aca="false">IF(COUNT(D11:D16)&lt;6,"",SUM(D11:D16))</f>
        <v/>
      </c>
      <c r="AB10" s="13" t="str">
        <f aca="false">IF(COUNT(D11:D22)&lt;12,"",SUM(D11:D22))</f>
        <v/>
      </c>
    </row>
    <row r="11" customFormat="false" ht="15" hidden="false" customHeight="false" outlineLevel="0" collapsed="false">
      <c r="A11" s="8" t="n">
        <f aca="false">Base!A11</f>
        <v>38291</v>
      </c>
      <c r="B11" s="10" t="str">
        <f aca="false">IF(Base!T11="","",Base!T11)</f>
        <v/>
      </c>
      <c r="C11" s="11" t="str">
        <f aca="false">IF(B11="","",LN(B11))</f>
        <v/>
      </c>
      <c r="D11" s="13" t="str">
        <f aca="false">IF(OR(C11="",C10=""),"",C11-C10)</f>
        <v/>
      </c>
      <c r="E11" s="12" t="str">
        <f aca="false">IF(Base!U11="","",Base!U11)</f>
        <v/>
      </c>
      <c r="F11" s="11" t="str">
        <f aca="false">IF(E11="","",LN(E11))</f>
        <v/>
      </c>
      <c r="G11" s="13" t="str">
        <f aca="false">IF(OR(F11="",F10=""),"",F11-F10)</f>
        <v/>
      </c>
      <c r="R11" s="13" t="str">
        <f aca="false">IF(COUNT(I12:I12)&lt;1,"",SUM(I12:I12))</f>
        <v/>
      </c>
      <c r="S11" s="13" t="str">
        <f aca="false">IF(COUNT(I12:I14)&lt;3,"",SUM(I12:I14))</f>
        <v/>
      </c>
      <c r="T11" s="13" t="str">
        <f aca="false">IF(COUNT(I12:I17)&lt;6,"",SUM(I12:I17))</f>
        <v/>
      </c>
      <c r="U11" s="13" t="str">
        <f aca="false">IF(COUNT(I12:I23)&lt;12,"",SUM(I12:I23))</f>
        <v/>
      </c>
      <c r="Y11" s="13" t="str">
        <f aca="false">IF(COUNT(D12:D12)&lt;1,"",SUM(D12:D12))</f>
        <v/>
      </c>
      <c r="Z11" s="13" t="str">
        <f aca="false">IF(COUNT(D12:D14)&lt;3,"",SUM(D12:D14))</f>
        <v/>
      </c>
      <c r="AA11" s="13" t="str">
        <f aca="false">IF(COUNT(D12:D17)&lt;6,"",SUM(D12:D17))</f>
        <v/>
      </c>
      <c r="AB11" s="13" t="str">
        <f aca="false">IF(COUNT(D12:D23)&lt;12,"",SUM(D12:D23))</f>
        <v/>
      </c>
    </row>
    <row r="12" customFormat="false" ht="15" hidden="false" customHeight="false" outlineLevel="0" collapsed="false">
      <c r="A12" s="8" t="n">
        <f aca="false">Base!A12</f>
        <v>38321</v>
      </c>
      <c r="B12" s="10" t="str">
        <f aca="false">IF(Base!T12="","",Base!T12)</f>
        <v/>
      </c>
      <c r="C12" s="11" t="str">
        <f aca="false">IF(B12="","",LN(B12))</f>
        <v/>
      </c>
      <c r="D12" s="13" t="str">
        <f aca="false">IF(OR(C12="",C11=""),"",C12-C11)</f>
        <v/>
      </c>
      <c r="E12" s="12" t="str">
        <f aca="false">IF(Base!U12="","",Base!U12)</f>
        <v/>
      </c>
      <c r="F12" s="11" t="str">
        <f aca="false">IF(E12="","",LN(E12))</f>
        <v/>
      </c>
      <c r="G12" s="13" t="str">
        <f aca="false">IF(OR(F12="",F11=""),"",F12-F11)</f>
        <v/>
      </c>
      <c r="R12" s="13" t="str">
        <f aca="false">IF(COUNT(I13:I13)&lt;1,"",SUM(I13:I13))</f>
        <v/>
      </c>
      <c r="S12" s="13" t="str">
        <f aca="false">IF(COUNT(I13:I15)&lt;3,"",SUM(I13:I15))</f>
        <v/>
      </c>
      <c r="T12" s="13" t="str">
        <f aca="false">IF(COUNT(I13:I18)&lt;6,"",SUM(I13:I18))</f>
        <v/>
      </c>
      <c r="U12" s="13" t="str">
        <f aca="false">IF(COUNT(I13:I24)&lt;12,"",SUM(I13:I24))</f>
        <v/>
      </c>
      <c r="Y12" s="13" t="str">
        <f aca="false">IF(COUNT(D13:D13)&lt;1,"",SUM(D13:D13))</f>
        <v/>
      </c>
      <c r="Z12" s="13" t="str">
        <f aca="false">IF(COUNT(D13:D15)&lt;3,"",SUM(D13:D15))</f>
        <v/>
      </c>
      <c r="AA12" s="13" t="str">
        <f aca="false">IF(COUNT(D13:D18)&lt;6,"",SUM(D13:D18))</f>
        <v/>
      </c>
      <c r="AB12" s="13" t="str">
        <f aca="false">IF(COUNT(D13:D24)&lt;12,"",SUM(D13:D24))</f>
        <v/>
      </c>
    </row>
    <row r="13" customFormat="false" ht="15" hidden="false" customHeight="false" outlineLevel="0" collapsed="false">
      <c r="A13" s="8" t="n">
        <f aca="false">Base!A13</f>
        <v>38352</v>
      </c>
      <c r="B13" s="10" t="str">
        <f aca="false">IF(Base!T13="","",Base!T13)</f>
        <v/>
      </c>
      <c r="C13" s="11" t="str">
        <f aca="false">IF(B13="","",LN(B13))</f>
        <v/>
      </c>
      <c r="D13" s="13" t="str">
        <f aca="false">IF(OR(C13="",C12=""),"",C13-C12)</f>
        <v/>
      </c>
      <c r="E13" s="12" t="str">
        <f aca="false">IF(Base!U13="","",Base!U13)</f>
        <v/>
      </c>
      <c r="F13" s="11" t="str">
        <f aca="false">IF(E13="","",LN(E13))</f>
        <v/>
      </c>
      <c r="G13" s="13" t="str">
        <f aca="false">IF(OR(F13="",F12=""),"",F13-F12)</f>
        <v/>
      </c>
      <c r="R13" s="13" t="str">
        <f aca="false">IF(COUNT(I14:I14)&lt;1,"",SUM(I14:I14))</f>
        <v/>
      </c>
      <c r="S13" s="13" t="str">
        <f aca="false">IF(COUNT(I14:I16)&lt;3,"",SUM(I14:I16))</f>
        <v/>
      </c>
      <c r="T13" s="13" t="str">
        <f aca="false">IF(COUNT(I14:I19)&lt;6,"",SUM(I14:I19))</f>
        <v/>
      </c>
      <c r="U13" s="13" t="str">
        <f aca="false">IF(COUNT(I14:I25)&lt;12,"",SUM(I14:I25))</f>
        <v/>
      </c>
      <c r="Y13" s="13" t="str">
        <f aca="false">IF(COUNT(D14:D14)&lt;1,"",SUM(D14:D14))</f>
        <v/>
      </c>
      <c r="Z13" s="13" t="str">
        <f aca="false">IF(COUNT(D14:D16)&lt;3,"",SUM(D14:D16))</f>
        <v/>
      </c>
      <c r="AA13" s="13" t="str">
        <f aca="false">IF(COUNT(D14:D19)&lt;6,"",SUM(D14:D19))</f>
        <v/>
      </c>
      <c r="AB13" s="13" t="str">
        <f aca="false">IF(COUNT(D14:D25)&lt;12,"",SUM(D14:D25))</f>
        <v/>
      </c>
    </row>
    <row r="14" customFormat="false" ht="15" hidden="false" customHeight="false" outlineLevel="0" collapsed="false">
      <c r="A14" s="8" t="n">
        <f aca="false">Base!A14</f>
        <v>38383</v>
      </c>
      <c r="B14" s="10" t="str">
        <f aca="false">IF(Base!T14="","",Base!T14)</f>
        <v/>
      </c>
      <c r="C14" s="11" t="str">
        <f aca="false">IF(B14="","",LN(B14))</f>
        <v/>
      </c>
      <c r="D14" s="13" t="str">
        <f aca="false">IF(OR(C14="",C13=""),"",C14-C13)</f>
        <v/>
      </c>
      <c r="E14" s="12" t="str">
        <f aca="false">IF(Base!U14="","",Base!U14)</f>
        <v/>
      </c>
      <c r="F14" s="11" t="str">
        <f aca="false">IF(E14="","",LN(E14))</f>
        <v/>
      </c>
      <c r="G14" s="13" t="str">
        <f aca="false">IF(OR(F14="",F13=""),"",F14-F13)</f>
        <v/>
      </c>
      <c r="R14" s="13" t="str">
        <f aca="false">IF(COUNT(I15:I15)&lt;1,"",SUM(I15:I15))</f>
        <v/>
      </c>
      <c r="S14" s="13" t="str">
        <f aca="false">IF(COUNT(I15:I17)&lt;3,"",SUM(I15:I17))</f>
        <v/>
      </c>
      <c r="T14" s="13" t="str">
        <f aca="false">IF(COUNT(I15:I20)&lt;6,"",SUM(I15:I20))</f>
        <v/>
      </c>
      <c r="U14" s="13" t="str">
        <f aca="false">IF(COUNT(I15:I26)&lt;12,"",SUM(I15:I26))</f>
        <v/>
      </c>
      <c r="Y14" s="13" t="str">
        <f aca="false">IF(COUNT(D15:D15)&lt;1,"",SUM(D15:D15))</f>
        <v/>
      </c>
      <c r="Z14" s="13" t="str">
        <f aca="false">IF(COUNT(D15:D17)&lt;3,"",SUM(D15:D17))</f>
        <v/>
      </c>
      <c r="AA14" s="13" t="str">
        <f aca="false">IF(COUNT(D15:D20)&lt;6,"",SUM(D15:D20))</f>
        <v/>
      </c>
      <c r="AB14" s="13" t="str">
        <f aca="false">IF(COUNT(D15:D26)&lt;12,"",SUM(D15:D26))</f>
        <v/>
      </c>
    </row>
    <row r="15" customFormat="false" ht="15" hidden="false" customHeight="false" outlineLevel="0" collapsed="false">
      <c r="A15" s="8" t="n">
        <f aca="false">Base!A15</f>
        <v>38411</v>
      </c>
      <c r="B15" s="10" t="str">
        <f aca="false">IF(Base!T15="","",Base!T15)</f>
        <v/>
      </c>
      <c r="C15" s="11" t="str">
        <f aca="false">IF(B15="","",LN(B15))</f>
        <v/>
      </c>
      <c r="D15" s="13" t="str">
        <f aca="false">IF(OR(C15="",C14=""),"",C15-C14)</f>
        <v/>
      </c>
      <c r="E15" s="12" t="str">
        <f aca="false">IF(Base!U15="","",Base!U15)</f>
        <v/>
      </c>
      <c r="F15" s="11" t="str">
        <f aca="false">IF(E15="","",LN(E15))</f>
        <v/>
      </c>
      <c r="G15" s="13" t="str">
        <f aca="false">IF(OR(F15="",F14=""),"",F15-F14)</f>
        <v/>
      </c>
      <c r="R15" s="13" t="str">
        <f aca="false">IF(COUNT(I16:I16)&lt;1,"",SUM(I16:I16))</f>
        <v/>
      </c>
      <c r="S15" s="13" t="str">
        <f aca="false">IF(COUNT(I16:I18)&lt;3,"",SUM(I16:I18))</f>
        <v/>
      </c>
      <c r="T15" s="13" t="str">
        <f aca="false">IF(COUNT(I16:I21)&lt;6,"",SUM(I16:I21))</f>
        <v/>
      </c>
      <c r="U15" s="13" t="str">
        <f aca="false">IF(COUNT(I16:I27)&lt;12,"",SUM(I16:I27))</f>
        <v/>
      </c>
      <c r="Y15" s="13" t="str">
        <f aca="false">IF(COUNT(D16:D16)&lt;1,"",SUM(D16:D16))</f>
        <v/>
      </c>
      <c r="Z15" s="13" t="str">
        <f aca="false">IF(COUNT(D16:D18)&lt;3,"",SUM(D16:D18))</f>
        <v/>
      </c>
      <c r="AA15" s="13" t="str">
        <f aca="false">IF(COUNT(D16:D21)&lt;6,"",SUM(D16:D21))</f>
        <v/>
      </c>
      <c r="AB15" s="13" t="str">
        <f aca="false">IF(COUNT(D16:D27)&lt;12,"",SUM(D16:D27))</f>
        <v/>
      </c>
    </row>
    <row r="16" customFormat="false" ht="15" hidden="false" customHeight="false" outlineLevel="0" collapsed="false">
      <c r="A16" s="8" t="n">
        <f aca="false">Base!A16</f>
        <v>38442</v>
      </c>
      <c r="B16" s="10" t="str">
        <f aca="false">IF(Base!T16="","",Base!T16)</f>
        <v/>
      </c>
      <c r="C16" s="11" t="str">
        <f aca="false">IF(B16="","",LN(B16))</f>
        <v/>
      </c>
      <c r="D16" s="13" t="str">
        <f aca="false">IF(OR(C16="",C15=""),"",C16-C15)</f>
        <v/>
      </c>
      <c r="E16" s="12" t="str">
        <f aca="false">IF(Base!U16="","",Base!U16)</f>
        <v/>
      </c>
      <c r="F16" s="11" t="str">
        <f aca="false">IF(E16="","",LN(E16))</f>
        <v/>
      </c>
      <c r="G16" s="13" t="str">
        <f aca="false">IF(OR(F16="",F15=""),"",F16-F15)</f>
        <v/>
      </c>
      <c r="R16" s="13" t="str">
        <f aca="false">IF(COUNT(I17:I17)&lt;1,"",SUM(I17:I17))</f>
        <v/>
      </c>
      <c r="S16" s="13" t="str">
        <f aca="false">IF(COUNT(I17:I19)&lt;3,"",SUM(I17:I19))</f>
        <v/>
      </c>
      <c r="T16" s="13" t="str">
        <f aca="false">IF(COUNT(I17:I22)&lt;6,"",SUM(I17:I22))</f>
        <v/>
      </c>
      <c r="U16" s="13" t="str">
        <f aca="false">IF(COUNT(I17:I28)&lt;12,"",SUM(I17:I28))</f>
        <v/>
      </c>
      <c r="Y16" s="13" t="str">
        <f aca="false">IF(COUNT(D17:D17)&lt;1,"",SUM(D17:D17))</f>
        <v/>
      </c>
      <c r="Z16" s="13" t="str">
        <f aca="false">IF(COUNT(D17:D19)&lt;3,"",SUM(D17:D19))</f>
        <v/>
      </c>
      <c r="AA16" s="13" t="str">
        <f aca="false">IF(COUNT(D17:D22)&lt;6,"",SUM(D17:D22))</f>
        <v/>
      </c>
      <c r="AB16" s="13" t="str">
        <f aca="false">IF(COUNT(D17:D28)&lt;12,"",SUM(D17:D28))</f>
        <v/>
      </c>
    </row>
    <row r="17" customFormat="false" ht="15" hidden="false" customHeight="false" outlineLevel="0" collapsed="false">
      <c r="A17" s="8" t="n">
        <f aca="false">Base!A17</f>
        <v>38472</v>
      </c>
      <c r="B17" s="10" t="str">
        <f aca="false">IF(Base!T17="","",Base!T17)</f>
        <v/>
      </c>
      <c r="C17" s="11" t="str">
        <f aca="false">IF(B17="","",LN(B17))</f>
        <v/>
      </c>
      <c r="D17" s="13" t="str">
        <f aca="false">IF(OR(C17="",C16=""),"",C17-C16)</f>
        <v/>
      </c>
      <c r="E17" s="12" t="str">
        <f aca="false">IF(Base!U17="","",Base!U17)</f>
        <v/>
      </c>
      <c r="F17" s="11" t="str">
        <f aca="false">IF(E17="","",LN(E17))</f>
        <v/>
      </c>
      <c r="G17" s="13" t="str">
        <f aca="false">IF(OR(F17="",F16=""),"",F17-F16)</f>
        <v/>
      </c>
      <c r="R17" s="13" t="str">
        <f aca="false">IF(COUNT(I18:I18)&lt;1,"",SUM(I18:I18))</f>
        <v/>
      </c>
      <c r="S17" s="13" t="str">
        <f aca="false">IF(COUNT(I18:I20)&lt;3,"",SUM(I18:I20))</f>
        <v/>
      </c>
      <c r="T17" s="13" t="str">
        <f aca="false">IF(COUNT(I18:I23)&lt;6,"",SUM(I18:I23))</f>
        <v/>
      </c>
      <c r="U17" s="13" t="str">
        <f aca="false">IF(COUNT(I18:I29)&lt;12,"",SUM(I18:I29))</f>
        <v/>
      </c>
      <c r="Y17" s="13" t="str">
        <f aca="false">IF(COUNT(D18:D18)&lt;1,"",SUM(D18:D18))</f>
        <v/>
      </c>
      <c r="Z17" s="13" t="str">
        <f aca="false">IF(COUNT(D18:D20)&lt;3,"",SUM(D18:D20))</f>
        <v/>
      </c>
      <c r="AA17" s="13" t="str">
        <f aca="false">IF(COUNT(D18:D23)&lt;6,"",SUM(D18:D23))</f>
        <v/>
      </c>
      <c r="AB17" s="13" t="str">
        <f aca="false">IF(COUNT(D18:D29)&lt;12,"",SUM(D18:D29))</f>
        <v/>
      </c>
    </row>
    <row r="18" customFormat="false" ht="15" hidden="false" customHeight="false" outlineLevel="0" collapsed="false">
      <c r="A18" s="8" t="n">
        <f aca="false">Base!A18</f>
        <v>38503</v>
      </c>
      <c r="B18" s="10" t="str">
        <f aca="false">IF(Base!T18="","",Base!T18)</f>
        <v/>
      </c>
      <c r="C18" s="11" t="str">
        <f aca="false">IF(B18="","",LN(B18))</f>
        <v/>
      </c>
      <c r="D18" s="13" t="str">
        <f aca="false">IF(OR(C18="",C17=""),"",C18-C17)</f>
        <v/>
      </c>
      <c r="E18" s="12" t="str">
        <f aca="false">IF(Base!U18="","",Base!U18)</f>
        <v/>
      </c>
      <c r="F18" s="11" t="str">
        <f aca="false">IF(E18="","",LN(E18))</f>
        <v/>
      </c>
      <c r="G18" s="13" t="str">
        <f aca="false">IF(OR(F18="",F17=""),"",F18-F17)</f>
        <v/>
      </c>
      <c r="R18" s="13" t="str">
        <f aca="false">IF(COUNT(I19:I19)&lt;1,"",SUM(I19:I19))</f>
        <v/>
      </c>
      <c r="S18" s="13" t="str">
        <f aca="false">IF(COUNT(I19:I21)&lt;3,"",SUM(I19:I21))</f>
        <v/>
      </c>
      <c r="T18" s="13" t="str">
        <f aca="false">IF(COUNT(I19:I24)&lt;6,"",SUM(I19:I24))</f>
        <v/>
      </c>
      <c r="U18" s="13" t="str">
        <f aca="false">IF(COUNT(I19:I30)&lt;12,"",SUM(I19:I30))</f>
        <v/>
      </c>
      <c r="Y18" s="13" t="str">
        <f aca="false">IF(COUNT(D19:D19)&lt;1,"",SUM(D19:D19))</f>
        <v/>
      </c>
      <c r="Z18" s="13" t="str">
        <f aca="false">IF(COUNT(D19:D21)&lt;3,"",SUM(D19:D21))</f>
        <v/>
      </c>
      <c r="AA18" s="13" t="str">
        <f aca="false">IF(COUNT(D19:D24)&lt;6,"",SUM(D19:D24))</f>
        <v/>
      </c>
      <c r="AB18" s="13" t="str">
        <f aca="false">IF(COUNT(D19:D30)&lt;12,"",SUM(D19:D30))</f>
        <v/>
      </c>
    </row>
    <row r="19" customFormat="false" ht="15" hidden="false" customHeight="false" outlineLevel="0" collapsed="false">
      <c r="A19" s="8" t="n">
        <f aca="false">Base!A19</f>
        <v>38533</v>
      </c>
      <c r="B19" s="10" t="str">
        <f aca="false">IF(Base!T19="","",Base!T19)</f>
        <v/>
      </c>
      <c r="C19" s="11" t="str">
        <f aca="false">IF(B19="","",LN(B19))</f>
        <v/>
      </c>
      <c r="D19" s="13" t="str">
        <f aca="false">IF(OR(C19="",C18=""),"",C19-C18)</f>
        <v/>
      </c>
      <c r="E19" s="12" t="str">
        <f aca="false">IF(Base!U19="","",Base!U19)</f>
        <v/>
      </c>
      <c r="F19" s="11" t="str">
        <f aca="false">IF(E19="","",LN(E19))</f>
        <v/>
      </c>
      <c r="G19" s="13" t="str">
        <f aca="false">IF(OR(F19="",F18=""),"",F19-F18)</f>
        <v/>
      </c>
      <c r="R19" s="13" t="str">
        <f aca="false">IF(COUNT(I20:I20)&lt;1,"",SUM(I20:I20))</f>
        <v/>
      </c>
      <c r="S19" s="13" t="str">
        <f aca="false">IF(COUNT(I20:I22)&lt;3,"",SUM(I20:I22))</f>
        <v/>
      </c>
      <c r="T19" s="13" t="str">
        <f aca="false">IF(COUNT(I20:I25)&lt;6,"",SUM(I20:I25))</f>
        <v/>
      </c>
      <c r="U19" s="13" t="str">
        <f aca="false">IF(COUNT(I20:I31)&lt;12,"",SUM(I20:I31))</f>
        <v/>
      </c>
      <c r="Y19" s="13" t="str">
        <f aca="false">IF(COUNT(D20:D20)&lt;1,"",SUM(D20:D20))</f>
        <v/>
      </c>
      <c r="Z19" s="13" t="str">
        <f aca="false">IF(COUNT(D20:D22)&lt;3,"",SUM(D20:D22))</f>
        <v/>
      </c>
      <c r="AA19" s="13" t="str">
        <f aca="false">IF(COUNT(D20:D25)&lt;6,"",SUM(D20:D25))</f>
        <v/>
      </c>
      <c r="AB19" s="13" t="str">
        <f aca="false">IF(COUNT(D20:D31)&lt;12,"",SUM(D20:D31))</f>
        <v/>
      </c>
    </row>
    <row r="20" customFormat="false" ht="15" hidden="false" customHeight="false" outlineLevel="0" collapsed="false">
      <c r="A20" s="8" t="n">
        <f aca="false">Base!A20</f>
        <v>38564</v>
      </c>
      <c r="B20" s="10" t="str">
        <f aca="false">IF(Base!T20="","",Base!T20)</f>
        <v/>
      </c>
      <c r="C20" s="11" t="str">
        <f aca="false">IF(B20="","",LN(B20))</f>
        <v/>
      </c>
      <c r="D20" s="13" t="str">
        <f aca="false">IF(OR(C20="",C19=""),"",C20-C19)</f>
        <v/>
      </c>
      <c r="E20" s="12" t="str">
        <f aca="false">IF(Base!U20="","",Base!U20)</f>
        <v/>
      </c>
      <c r="F20" s="11" t="str">
        <f aca="false">IF(E20="","",LN(E20))</f>
        <v/>
      </c>
      <c r="G20" s="13" t="str">
        <f aca="false">IF(OR(F20="",F19=""),"",F20-F19)</f>
        <v/>
      </c>
      <c r="R20" s="13" t="str">
        <f aca="false">IF(COUNT(I21:I21)&lt;1,"",SUM(I21:I21))</f>
        <v/>
      </c>
      <c r="S20" s="13" t="str">
        <f aca="false">IF(COUNT(I21:I23)&lt;3,"",SUM(I21:I23))</f>
        <v/>
      </c>
      <c r="T20" s="13" t="str">
        <f aca="false">IF(COUNT(I21:I26)&lt;6,"",SUM(I21:I26))</f>
        <v/>
      </c>
      <c r="U20" s="13" t="str">
        <f aca="false">IF(COUNT(I21:I32)&lt;12,"",SUM(I21:I32))</f>
        <v/>
      </c>
      <c r="Y20" s="13" t="str">
        <f aca="false">IF(COUNT(D21:D21)&lt;1,"",SUM(D21:D21))</f>
        <v/>
      </c>
      <c r="Z20" s="13" t="str">
        <f aca="false">IF(COUNT(D21:D23)&lt;3,"",SUM(D21:D23))</f>
        <v/>
      </c>
      <c r="AA20" s="13" t="str">
        <f aca="false">IF(COUNT(D21:D26)&lt;6,"",SUM(D21:D26))</f>
        <v/>
      </c>
      <c r="AB20" s="13" t="str">
        <f aca="false">IF(COUNT(D21:D32)&lt;12,"",SUM(D21:D32))</f>
        <v/>
      </c>
    </row>
    <row r="21" customFormat="false" ht="15" hidden="false" customHeight="false" outlineLevel="0" collapsed="false">
      <c r="A21" s="8" t="n">
        <f aca="false">Base!A21</f>
        <v>38595</v>
      </c>
      <c r="B21" s="10" t="str">
        <f aca="false">IF(Base!T21="","",Base!T21)</f>
        <v/>
      </c>
      <c r="C21" s="11" t="str">
        <f aca="false">IF(B21="","",LN(B21))</f>
        <v/>
      </c>
      <c r="D21" s="13" t="str">
        <f aca="false">IF(OR(C21="",C20=""),"",C21-C20)</f>
        <v/>
      </c>
      <c r="E21" s="12" t="str">
        <f aca="false">IF(Base!U21="","",Base!U21)</f>
        <v/>
      </c>
      <c r="F21" s="11" t="str">
        <f aca="false">IF(E21="","",LN(E21))</f>
        <v/>
      </c>
      <c r="G21" s="13" t="str">
        <f aca="false">IF(OR(F21="",F20=""),"",F21-F20)</f>
        <v/>
      </c>
      <c r="R21" s="13" t="str">
        <f aca="false">IF(COUNT(I22:I22)&lt;1,"",SUM(I22:I22))</f>
        <v/>
      </c>
      <c r="S21" s="13" t="str">
        <f aca="false">IF(COUNT(I22:I24)&lt;3,"",SUM(I22:I24))</f>
        <v/>
      </c>
      <c r="T21" s="13" t="str">
        <f aca="false">IF(COUNT(I22:I27)&lt;6,"",SUM(I22:I27))</f>
        <v/>
      </c>
      <c r="U21" s="13" t="str">
        <f aca="false">IF(COUNT(I22:I33)&lt;12,"",SUM(I22:I33))</f>
        <v/>
      </c>
      <c r="Y21" s="13" t="str">
        <f aca="false">IF(COUNT(D22:D22)&lt;1,"",SUM(D22:D22))</f>
        <v/>
      </c>
      <c r="Z21" s="13" t="str">
        <f aca="false">IF(COUNT(D22:D24)&lt;3,"",SUM(D22:D24))</f>
        <v/>
      </c>
      <c r="AA21" s="13" t="str">
        <f aca="false">IF(COUNT(D22:D27)&lt;6,"",SUM(D22:D27))</f>
        <v/>
      </c>
      <c r="AB21" s="13" t="str">
        <f aca="false">IF(COUNT(D22:D33)&lt;12,"",SUM(D22:D33))</f>
        <v/>
      </c>
    </row>
    <row r="22" customFormat="false" ht="15" hidden="false" customHeight="false" outlineLevel="0" collapsed="false">
      <c r="A22" s="8" t="n">
        <f aca="false">Base!A22</f>
        <v>38625</v>
      </c>
      <c r="B22" s="10" t="str">
        <f aca="false">IF(Base!T22="","",Base!T22)</f>
        <v/>
      </c>
      <c r="C22" s="11" t="str">
        <f aca="false">IF(B22="","",LN(B22))</f>
        <v/>
      </c>
      <c r="D22" s="13" t="str">
        <f aca="false">IF(OR(C22="",C21=""),"",C22-C21)</f>
        <v/>
      </c>
      <c r="E22" s="12" t="str">
        <f aca="false">IF(Base!U22="","",Base!U22)</f>
        <v/>
      </c>
      <c r="F22" s="11" t="str">
        <f aca="false">IF(E22="","",LN(E22))</f>
        <v/>
      </c>
      <c r="G22" s="13" t="str">
        <f aca="false">IF(OR(F22="",F21=""),"",F22-F21)</f>
        <v/>
      </c>
      <c r="R22" s="13" t="str">
        <f aca="false">IF(COUNT(I23:I23)&lt;1,"",SUM(I23:I23))</f>
        <v/>
      </c>
      <c r="S22" s="13" t="str">
        <f aca="false">IF(COUNT(I23:I25)&lt;3,"",SUM(I23:I25))</f>
        <v/>
      </c>
      <c r="T22" s="13" t="str">
        <f aca="false">IF(COUNT(I23:I28)&lt;6,"",SUM(I23:I28))</f>
        <v/>
      </c>
      <c r="U22" s="13" t="str">
        <f aca="false">IF(COUNT(I23:I34)&lt;12,"",SUM(I23:I34))</f>
        <v/>
      </c>
      <c r="Y22" s="13" t="str">
        <f aca="false">IF(COUNT(D23:D23)&lt;1,"",SUM(D23:D23))</f>
        <v/>
      </c>
      <c r="Z22" s="13" t="str">
        <f aca="false">IF(COUNT(D23:D25)&lt;3,"",SUM(D23:D25))</f>
        <v/>
      </c>
      <c r="AA22" s="13" t="str">
        <f aca="false">IF(COUNT(D23:D28)&lt;6,"",SUM(D23:D28))</f>
        <v/>
      </c>
      <c r="AB22" s="13" t="str">
        <f aca="false">IF(COUNT(D23:D34)&lt;12,"",SUM(D23:D34))</f>
        <v/>
      </c>
    </row>
    <row r="23" customFormat="false" ht="15" hidden="false" customHeight="false" outlineLevel="0" collapsed="false">
      <c r="A23" s="8" t="n">
        <f aca="false">Base!A23</f>
        <v>38656</v>
      </c>
      <c r="B23" s="10" t="str">
        <f aca="false">IF(Base!T23="","",Base!T23)</f>
        <v/>
      </c>
      <c r="C23" s="11" t="str">
        <f aca="false">IF(B23="","",LN(B23))</f>
        <v/>
      </c>
      <c r="D23" s="13" t="str">
        <f aca="false">IF(OR(C23="",C22=""),"",C23-C22)</f>
        <v/>
      </c>
      <c r="E23" s="12" t="str">
        <f aca="false">IF(Base!U23="","",Base!U23)</f>
        <v/>
      </c>
      <c r="F23" s="11" t="str">
        <f aca="false">IF(E23="","",LN(E23))</f>
        <v/>
      </c>
      <c r="G23" s="13" t="str">
        <f aca="false">IF(OR(F23="",F22=""),"",F23-F22)</f>
        <v/>
      </c>
      <c r="R23" s="13" t="str">
        <f aca="false">IF(COUNT(I24:I24)&lt;1,"",SUM(I24:I24))</f>
        <v/>
      </c>
      <c r="S23" s="13" t="str">
        <f aca="false">IF(COUNT(I24:I26)&lt;3,"",SUM(I24:I26))</f>
        <v/>
      </c>
      <c r="T23" s="13" t="str">
        <f aca="false">IF(COUNT(I24:I29)&lt;6,"",SUM(I24:I29))</f>
        <v/>
      </c>
      <c r="U23" s="13" t="str">
        <f aca="false">IF(COUNT(I24:I35)&lt;12,"",SUM(I24:I35))</f>
        <v/>
      </c>
      <c r="Y23" s="13" t="str">
        <f aca="false">IF(COUNT(D24:D24)&lt;1,"",SUM(D24:D24))</f>
        <v/>
      </c>
      <c r="Z23" s="13" t="str">
        <f aca="false">IF(COUNT(D24:D26)&lt;3,"",SUM(D24:D26))</f>
        <v/>
      </c>
      <c r="AA23" s="13" t="str">
        <f aca="false">IF(COUNT(D24:D29)&lt;6,"",SUM(D24:D29))</f>
        <v/>
      </c>
      <c r="AB23" s="13" t="str">
        <f aca="false">IF(COUNT(D24:D35)&lt;12,"",SUM(D24:D35))</f>
        <v/>
      </c>
    </row>
    <row r="24" customFormat="false" ht="15" hidden="false" customHeight="false" outlineLevel="0" collapsed="false">
      <c r="A24" s="8" t="n">
        <f aca="false">Base!A24</f>
        <v>38686</v>
      </c>
      <c r="B24" s="10" t="str">
        <f aca="false">IF(Base!T24="","",Base!T24)</f>
        <v/>
      </c>
      <c r="C24" s="11" t="str">
        <f aca="false">IF(B24="","",LN(B24))</f>
        <v/>
      </c>
      <c r="D24" s="13" t="str">
        <f aca="false">IF(OR(C24="",C23=""),"",C24-C23)</f>
        <v/>
      </c>
      <c r="E24" s="12" t="str">
        <f aca="false">IF(Base!U24="","",Base!U24)</f>
        <v/>
      </c>
      <c r="F24" s="11" t="str">
        <f aca="false">IF(E24="","",LN(E24))</f>
        <v/>
      </c>
      <c r="G24" s="13" t="str">
        <f aca="false">IF(OR(F24="",F23=""),"",F24-F23)</f>
        <v/>
      </c>
      <c r="R24" s="13" t="str">
        <f aca="false">IF(COUNT(I25:I25)&lt;1,"",SUM(I25:I25))</f>
        <v/>
      </c>
      <c r="S24" s="13" t="str">
        <f aca="false">IF(COUNT(I25:I27)&lt;3,"",SUM(I25:I27))</f>
        <v/>
      </c>
      <c r="T24" s="13" t="str">
        <f aca="false">IF(COUNT(I25:I30)&lt;6,"",SUM(I25:I30))</f>
        <v/>
      </c>
      <c r="U24" s="13" t="str">
        <f aca="false">IF(COUNT(I25:I36)&lt;12,"",SUM(I25:I36))</f>
        <v/>
      </c>
      <c r="Y24" s="13" t="str">
        <f aca="false">IF(COUNT(D25:D25)&lt;1,"",SUM(D25:D25))</f>
        <v/>
      </c>
      <c r="Z24" s="13" t="str">
        <f aca="false">IF(COUNT(D25:D27)&lt;3,"",SUM(D25:D27))</f>
        <v/>
      </c>
      <c r="AA24" s="13" t="str">
        <f aca="false">IF(COUNT(D25:D30)&lt;6,"",SUM(D25:D30))</f>
        <v/>
      </c>
      <c r="AB24" s="13" t="str">
        <f aca="false">IF(COUNT(D25:D36)&lt;12,"",SUM(D25:D36))</f>
        <v/>
      </c>
    </row>
    <row r="25" customFormat="false" ht="15" hidden="false" customHeight="false" outlineLevel="0" collapsed="false">
      <c r="A25" s="8" t="n">
        <f aca="false">Base!A25</f>
        <v>38717</v>
      </c>
      <c r="B25" s="10" t="str">
        <f aca="false">IF(Base!T25="","",Base!T25)</f>
        <v/>
      </c>
      <c r="C25" s="11" t="str">
        <f aca="false">IF(B25="","",LN(B25))</f>
        <v/>
      </c>
      <c r="D25" s="13" t="str">
        <f aca="false">IF(OR(C25="",C24=""),"",C25-C24)</f>
        <v/>
      </c>
      <c r="E25" s="12" t="str">
        <f aca="false">IF(Base!U25="","",Base!U25)</f>
        <v/>
      </c>
      <c r="F25" s="11" t="str">
        <f aca="false">IF(E25="","",LN(E25))</f>
        <v/>
      </c>
      <c r="G25" s="13" t="str">
        <f aca="false">IF(OR(F25="",F24=""),"",F25-F24)</f>
        <v/>
      </c>
      <c r="R25" s="13" t="str">
        <f aca="false">IF(COUNT(I26:I26)&lt;1,"",SUM(I26:I26))</f>
        <v/>
      </c>
      <c r="S25" s="13" t="str">
        <f aca="false">IF(COUNT(I26:I28)&lt;3,"",SUM(I26:I28))</f>
        <v/>
      </c>
      <c r="T25" s="13" t="str">
        <f aca="false">IF(COUNT(I26:I31)&lt;6,"",SUM(I26:I31))</f>
        <v/>
      </c>
      <c r="U25" s="13" t="str">
        <f aca="false">IF(COUNT(I26:I37)&lt;12,"",SUM(I26:I37))</f>
        <v/>
      </c>
      <c r="Y25" s="13" t="str">
        <f aca="false">IF(COUNT(D26:D26)&lt;1,"",SUM(D26:D26))</f>
        <v/>
      </c>
      <c r="Z25" s="13" t="str">
        <f aca="false">IF(COUNT(D26:D28)&lt;3,"",SUM(D26:D28))</f>
        <v/>
      </c>
      <c r="AA25" s="13" t="str">
        <f aca="false">IF(COUNT(D26:D31)&lt;6,"",SUM(D26:D31))</f>
        <v/>
      </c>
      <c r="AB25" s="13" t="str">
        <f aca="false">IF(COUNT(D26:D37)&lt;12,"",SUM(D26:D37))</f>
        <v/>
      </c>
    </row>
    <row r="26" customFormat="false" ht="15" hidden="false" customHeight="false" outlineLevel="0" collapsed="false">
      <c r="A26" s="8" t="n">
        <f aca="false">Base!A26</f>
        <v>38748</v>
      </c>
      <c r="B26" s="10" t="str">
        <f aca="false">IF(Base!T26="","",Base!T26)</f>
        <v/>
      </c>
      <c r="C26" s="11" t="str">
        <f aca="false">IF(B26="","",LN(B26))</f>
        <v/>
      </c>
      <c r="D26" s="13" t="str">
        <f aca="false">IF(OR(C26="",C25=""),"",C26-C25)</f>
        <v/>
      </c>
      <c r="E26" s="12" t="str">
        <f aca="false">IF(Base!U26="","",Base!U26)</f>
        <v/>
      </c>
      <c r="F26" s="11" t="str">
        <f aca="false">IF(E26="","",LN(E26))</f>
        <v/>
      </c>
      <c r="G26" s="13" t="str">
        <f aca="false">IF(OR(F26="",F25=""),"",F26-F25)</f>
        <v/>
      </c>
      <c r="R26" s="13" t="str">
        <f aca="false">IF(COUNT(I27:I27)&lt;1,"",SUM(I27:I27))</f>
        <v/>
      </c>
      <c r="S26" s="13" t="str">
        <f aca="false">IF(COUNT(I27:I29)&lt;3,"",SUM(I27:I29))</f>
        <v/>
      </c>
      <c r="T26" s="13" t="str">
        <f aca="false">IF(COUNT(I27:I32)&lt;6,"",SUM(I27:I32))</f>
        <v/>
      </c>
      <c r="U26" s="13" t="str">
        <f aca="false">IF(COUNT(I27:I38)&lt;12,"",SUM(I27:I38))</f>
        <v/>
      </c>
      <c r="Y26" s="13" t="str">
        <f aca="false">IF(COUNT(D27:D27)&lt;1,"",SUM(D27:D27))</f>
        <v/>
      </c>
      <c r="Z26" s="13" t="str">
        <f aca="false">IF(COUNT(D27:D29)&lt;3,"",SUM(D27:D29))</f>
        <v/>
      </c>
      <c r="AA26" s="13" t="str">
        <f aca="false">IF(COUNT(D27:D32)&lt;6,"",SUM(D27:D32))</f>
        <v/>
      </c>
      <c r="AB26" s="13" t="str">
        <f aca="false">IF(COUNT(D27:D38)&lt;12,"",SUM(D27:D38))</f>
        <v/>
      </c>
    </row>
    <row r="27" customFormat="false" ht="15" hidden="false" customHeight="false" outlineLevel="0" collapsed="false">
      <c r="A27" s="8" t="n">
        <f aca="false">Base!A27</f>
        <v>38776</v>
      </c>
      <c r="B27" s="10" t="str">
        <f aca="false">IF(Base!T27="","",Base!T27)</f>
        <v/>
      </c>
      <c r="C27" s="11" t="str">
        <f aca="false">IF(B27="","",LN(B27))</f>
        <v/>
      </c>
      <c r="D27" s="13" t="str">
        <f aca="false">IF(OR(C27="",C26=""),"",C27-C26)</f>
        <v/>
      </c>
      <c r="E27" s="12" t="str">
        <f aca="false">IF(Base!U27="","",Base!U27)</f>
        <v/>
      </c>
      <c r="F27" s="11" t="str">
        <f aca="false">IF(E27="","",LN(E27))</f>
        <v/>
      </c>
      <c r="G27" s="13" t="str">
        <f aca="false">IF(OR(F27="",F26=""),"",F27-F26)</f>
        <v/>
      </c>
      <c r="R27" s="13" t="str">
        <f aca="false">IF(COUNT(I28:I28)&lt;1,"",SUM(I28:I28))</f>
        <v/>
      </c>
      <c r="S27" s="13" t="str">
        <f aca="false">IF(COUNT(I28:I30)&lt;3,"",SUM(I28:I30))</f>
        <v/>
      </c>
      <c r="T27" s="13" t="str">
        <f aca="false">IF(COUNT(I28:I33)&lt;6,"",SUM(I28:I33))</f>
        <v/>
      </c>
      <c r="U27" s="13" t="str">
        <f aca="false">IF(COUNT(I28:I39)&lt;12,"",SUM(I28:I39))</f>
        <v/>
      </c>
      <c r="Y27" s="13" t="str">
        <f aca="false">IF(COUNT(D28:D28)&lt;1,"",SUM(D28:D28))</f>
        <v/>
      </c>
      <c r="Z27" s="13" t="str">
        <f aca="false">IF(COUNT(D28:D30)&lt;3,"",SUM(D28:D30))</f>
        <v/>
      </c>
      <c r="AA27" s="13" t="str">
        <f aca="false">IF(COUNT(D28:D33)&lt;6,"",SUM(D28:D33))</f>
        <v/>
      </c>
      <c r="AB27" s="13" t="str">
        <f aca="false">IF(COUNT(D28:D39)&lt;12,"",SUM(D28:D39))</f>
        <v/>
      </c>
    </row>
    <row r="28" customFormat="false" ht="15" hidden="false" customHeight="false" outlineLevel="0" collapsed="false">
      <c r="A28" s="8" t="n">
        <f aca="false">Base!A28</f>
        <v>38807</v>
      </c>
      <c r="B28" s="10" t="str">
        <f aca="false">IF(Base!T28="","",Base!T28)</f>
        <v/>
      </c>
      <c r="C28" s="11" t="str">
        <f aca="false">IF(B28="","",LN(B28))</f>
        <v/>
      </c>
      <c r="D28" s="13" t="str">
        <f aca="false">IF(OR(C28="",C27=""),"",C28-C27)</f>
        <v/>
      </c>
      <c r="E28" s="12" t="str">
        <f aca="false">IF(Base!U28="","",Base!U28)</f>
        <v/>
      </c>
      <c r="F28" s="11" t="str">
        <f aca="false">IF(E28="","",LN(E28))</f>
        <v/>
      </c>
      <c r="G28" s="13" t="str">
        <f aca="false">IF(OR(F28="",F27=""),"",F28-F27)</f>
        <v/>
      </c>
      <c r="R28" s="13" t="str">
        <f aca="false">IF(COUNT(I29:I29)&lt;1,"",SUM(I29:I29))</f>
        <v/>
      </c>
      <c r="S28" s="13" t="str">
        <f aca="false">IF(COUNT(I29:I31)&lt;3,"",SUM(I29:I31))</f>
        <v/>
      </c>
      <c r="T28" s="13" t="str">
        <f aca="false">IF(COUNT(I29:I34)&lt;6,"",SUM(I29:I34))</f>
        <v/>
      </c>
      <c r="U28" s="13" t="str">
        <f aca="false">IF(COUNT(I29:I40)&lt;12,"",SUM(I29:I40))</f>
        <v/>
      </c>
      <c r="Y28" s="13" t="str">
        <f aca="false">IF(COUNT(D29:D29)&lt;1,"",SUM(D29:D29))</f>
        <v/>
      </c>
      <c r="Z28" s="13" t="str">
        <f aca="false">IF(COUNT(D29:D31)&lt;3,"",SUM(D29:D31))</f>
        <v/>
      </c>
      <c r="AA28" s="13" t="str">
        <f aca="false">IF(COUNT(D29:D34)&lt;6,"",SUM(D29:D34))</f>
        <v/>
      </c>
      <c r="AB28" s="13" t="str">
        <f aca="false">IF(COUNT(D29:D40)&lt;12,"",SUM(D29:D40))</f>
        <v/>
      </c>
    </row>
    <row r="29" customFormat="false" ht="15" hidden="false" customHeight="false" outlineLevel="0" collapsed="false">
      <c r="A29" s="8" t="n">
        <f aca="false">Base!A29</f>
        <v>38837</v>
      </c>
      <c r="B29" s="10" t="str">
        <f aca="false">IF(Base!T29="","",Base!T29)</f>
        <v/>
      </c>
      <c r="C29" s="11" t="str">
        <f aca="false">IF(B29="","",LN(B29))</f>
        <v/>
      </c>
      <c r="D29" s="13" t="str">
        <f aca="false">IF(OR(C29="",C28=""),"",C29-C28)</f>
        <v/>
      </c>
      <c r="E29" s="12" t="str">
        <f aca="false">IF(Base!U29="","",Base!U29)</f>
        <v/>
      </c>
      <c r="F29" s="11" t="str">
        <f aca="false">IF(E29="","",LN(E29))</f>
        <v/>
      </c>
      <c r="G29" s="13" t="str">
        <f aca="false">IF(OR(F29="",F28=""),"",F29-F28)</f>
        <v/>
      </c>
      <c r="R29" s="13" t="str">
        <f aca="false">IF(COUNT(I30:I30)&lt;1,"",SUM(I30:I30))</f>
        <v/>
      </c>
      <c r="S29" s="13" t="str">
        <f aca="false">IF(COUNT(I30:I32)&lt;3,"",SUM(I30:I32))</f>
        <v/>
      </c>
      <c r="T29" s="13" t="str">
        <f aca="false">IF(COUNT(I30:I35)&lt;6,"",SUM(I30:I35))</f>
        <v/>
      </c>
      <c r="U29" s="13" t="str">
        <f aca="false">IF(COUNT(I30:I41)&lt;12,"",SUM(I30:I41))</f>
        <v/>
      </c>
      <c r="Y29" s="13" t="str">
        <f aca="false">IF(COUNT(D30:D30)&lt;1,"",SUM(D30:D30))</f>
        <v/>
      </c>
      <c r="Z29" s="13" t="str">
        <f aca="false">IF(COUNT(D30:D32)&lt;3,"",SUM(D30:D32))</f>
        <v/>
      </c>
      <c r="AA29" s="13" t="str">
        <f aca="false">IF(COUNT(D30:D35)&lt;6,"",SUM(D30:D35))</f>
        <v/>
      </c>
      <c r="AB29" s="13" t="str">
        <f aca="false">IF(COUNT(D30:D41)&lt;12,"",SUM(D30:D41))</f>
        <v/>
      </c>
    </row>
    <row r="30" customFormat="false" ht="15" hidden="false" customHeight="false" outlineLevel="0" collapsed="false">
      <c r="A30" s="8" t="n">
        <f aca="false">Base!A30</f>
        <v>38868</v>
      </c>
      <c r="B30" s="10" t="str">
        <f aca="false">IF(Base!T30="","",Base!T30)</f>
        <v/>
      </c>
      <c r="C30" s="11" t="str">
        <f aca="false">IF(B30="","",LN(B30))</f>
        <v/>
      </c>
      <c r="D30" s="13" t="str">
        <f aca="false">IF(OR(C30="",C29=""),"",C30-C29)</f>
        <v/>
      </c>
      <c r="E30" s="12" t="str">
        <f aca="false">IF(Base!U30="","",Base!U30)</f>
        <v/>
      </c>
      <c r="F30" s="11" t="str">
        <f aca="false">IF(E30="","",LN(E30))</f>
        <v/>
      </c>
      <c r="G30" s="13" t="str">
        <f aca="false">IF(OR(F30="",F29=""),"",F30-F29)</f>
        <v/>
      </c>
      <c r="R30" s="13" t="str">
        <f aca="false">IF(COUNT(I31:I31)&lt;1,"",SUM(I31:I31))</f>
        <v/>
      </c>
      <c r="S30" s="13" t="str">
        <f aca="false">IF(COUNT(I31:I33)&lt;3,"",SUM(I31:I33))</f>
        <v/>
      </c>
      <c r="T30" s="13" t="str">
        <f aca="false">IF(COUNT(I31:I36)&lt;6,"",SUM(I31:I36))</f>
        <v/>
      </c>
      <c r="U30" s="13" t="str">
        <f aca="false">IF(COUNT(I31:I42)&lt;12,"",SUM(I31:I42))</f>
        <v/>
      </c>
      <c r="Y30" s="13" t="str">
        <f aca="false">IF(COUNT(D31:D31)&lt;1,"",SUM(D31:D31))</f>
        <v/>
      </c>
      <c r="Z30" s="13" t="str">
        <f aca="false">IF(COUNT(D31:D33)&lt;3,"",SUM(D31:D33))</f>
        <v/>
      </c>
      <c r="AA30" s="13" t="str">
        <f aca="false">IF(COUNT(D31:D36)&lt;6,"",SUM(D31:D36))</f>
        <v/>
      </c>
      <c r="AB30" s="13" t="str">
        <f aca="false">IF(COUNT(D31:D42)&lt;12,"",SUM(D31:D42))</f>
        <v/>
      </c>
    </row>
    <row r="31" customFormat="false" ht="15" hidden="false" customHeight="false" outlineLevel="0" collapsed="false">
      <c r="A31" s="8" t="n">
        <f aca="false">Base!A31</f>
        <v>38898</v>
      </c>
      <c r="B31" s="10" t="str">
        <f aca="false">IF(Base!T31="","",Base!T31)</f>
        <v/>
      </c>
      <c r="C31" s="11" t="str">
        <f aca="false">IF(B31="","",LN(B31))</f>
        <v/>
      </c>
      <c r="D31" s="13" t="str">
        <f aca="false">IF(OR(C31="",C30=""),"",C31-C30)</f>
        <v/>
      </c>
      <c r="E31" s="12" t="str">
        <f aca="false">IF(Base!U31="","",Base!U31)</f>
        <v/>
      </c>
      <c r="F31" s="11" t="str">
        <f aca="false">IF(E31="","",LN(E31))</f>
        <v/>
      </c>
      <c r="G31" s="13" t="str">
        <f aca="false">IF(OR(F31="",F30=""),"",F31-F30)</f>
        <v/>
      </c>
      <c r="R31" s="13" t="str">
        <f aca="false">IF(COUNT(I32:I32)&lt;1,"",SUM(I32:I32))</f>
        <v/>
      </c>
      <c r="S31" s="13" t="str">
        <f aca="false">IF(COUNT(I32:I34)&lt;3,"",SUM(I32:I34))</f>
        <v/>
      </c>
      <c r="T31" s="13" t="str">
        <f aca="false">IF(COUNT(I32:I37)&lt;6,"",SUM(I32:I37))</f>
        <v/>
      </c>
      <c r="U31" s="13" t="str">
        <f aca="false">IF(COUNT(I32:I43)&lt;12,"",SUM(I32:I43))</f>
        <v/>
      </c>
      <c r="Y31" s="13" t="str">
        <f aca="false">IF(COUNT(D32:D32)&lt;1,"",SUM(D32:D32))</f>
        <v/>
      </c>
      <c r="Z31" s="13" t="str">
        <f aca="false">IF(COUNT(D32:D34)&lt;3,"",SUM(D32:D34))</f>
        <v/>
      </c>
      <c r="AA31" s="13" t="str">
        <f aca="false">IF(COUNT(D32:D37)&lt;6,"",SUM(D32:D37))</f>
        <v/>
      </c>
      <c r="AB31" s="13" t="str">
        <f aca="false">IF(COUNT(D32:D43)&lt;12,"",SUM(D32:D43))</f>
        <v/>
      </c>
    </row>
    <row r="32" customFormat="false" ht="15" hidden="false" customHeight="false" outlineLevel="0" collapsed="false">
      <c r="A32" s="8" t="n">
        <f aca="false">Base!A32</f>
        <v>38929</v>
      </c>
      <c r="B32" s="10" t="str">
        <f aca="false">IF(Base!T32="","",Base!T32)</f>
        <v/>
      </c>
      <c r="C32" s="11" t="str">
        <f aca="false">IF(B32="","",LN(B32))</f>
        <v/>
      </c>
      <c r="D32" s="13" t="str">
        <f aca="false">IF(OR(C32="",C31=""),"",C32-C31)</f>
        <v/>
      </c>
      <c r="E32" s="12" t="str">
        <f aca="false">IF(Base!U32="","",Base!U32)</f>
        <v/>
      </c>
      <c r="F32" s="11" t="str">
        <f aca="false">IF(E32="","",LN(E32))</f>
        <v/>
      </c>
      <c r="G32" s="13" t="str">
        <f aca="false">IF(OR(F32="",F31=""),"",F32-F31)</f>
        <v/>
      </c>
      <c r="R32" s="13" t="str">
        <f aca="false">IF(COUNT(I33:I33)&lt;1,"",SUM(I33:I33))</f>
        <v/>
      </c>
      <c r="S32" s="13" t="str">
        <f aca="false">IF(COUNT(I33:I35)&lt;3,"",SUM(I33:I35))</f>
        <v/>
      </c>
      <c r="T32" s="13" t="str">
        <f aca="false">IF(COUNT(I33:I38)&lt;6,"",SUM(I33:I38))</f>
        <v/>
      </c>
      <c r="U32" s="13" t="str">
        <f aca="false">IF(COUNT(I33:I44)&lt;12,"",SUM(I33:I44))</f>
        <v/>
      </c>
      <c r="Y32" s="13" t="str">
        <f aca="false">IF(COUNT(D33:D33)&lt;1,"",SUM(D33:D33))</f>
        <v/>
      </c>
      <c r="Z32" s="13" t="str">
        <f aca="false">IF(COUNT(D33:D35)&lt;3,"",SUM(D33:D35))</f>
        <v/>
      </c>
      <c r="AA32" s="13" t="str">
        <f aca="false">IF(COUNT(D33:D38)&lt;6,"",SUM(D33:D38))</f>
        <v/>
      </c>
      <c r="AB32" s="13" t="str">
        <f aca="false">IF(COUNT(D33:D44)&lt;12,"",SUM(D33:D44))</f>
        <v/>
      </c>
    </row>
    <row r="33" customFormat="false" ht="15" hidden="false" customHeight="false" outlineLevel="0" collapsed="false">
      <c r="A33" s="8" t="n">
        <f aca="false">Base!A33</f>
        <v>38960</v>
      </c>
      <c r="B33" s="10" t="str">
        <f aca="false">IF(Base!T33="","",Base!T33)</f>
        <v/>
      </c>
      <c r="C33" s="11" t="str">
        <f aca="false">IF(B33="","",LN(B33))</f>
        <v/>
      </c>
      <c r="D33" s="13" t="str">
        <f aca="false">IF(OR(C33="",C32=""),"",C33-C32)</f>
        <v/>
      </c>
      <c r="E33" s="12" t="str">
        <f aca="false">IF(Base!U33="","",Base!U33)</f>
        <v/>
      </c>
      <c r="F33" s="11" t="str">
        <f aca="false">IF(E33="","",LN(E33))</f>
        <v/>
      </c>
      <c r="G33" s="13" t="str">
        <f aca="false">IF(OR(F33="",F32=""),"",F33-F32)</f>
        <v/>
      </c>
      <c r="R33" s="13" t="str">
        <f aca="false">IF(COUNT(I34:I34)&lt;1,"",SUM(I34:I34))</f>
        <v/>
      </c>
      <c r="S33" s="13" t="str">
        <f aca="false">IF(COUNT(I34:I36)&lt;3,"",SUM(I34:I36))</f>
        <v/>
      </c>
      <c r="T33" s="13" t="str">
        <f aca="false">IF(COUNT(I34:I39)&lt;6,"",SUM(I34:I39))</f>
        <v/>
      </c>
      <c r="U33" s="13" t="str">
        <f aca="false">IF(COUNT(I34:I45)&lt;12,"",SUM(I34:I45))</f>
        <v/>
      </c>
      <c r="Y33" s="13" t="str">
        <f aca="false">IF(COUNT(D34:D34)&lt;1,"",SUM(D34:D34))</f>
        <v/>
      </c>
      <c r="Z33" s="13" t="str">
        <f aca="false">IF(COUNT(D34:D36)&lt;3,"",SUM(D34:D36))</f>
        <v/>
      </c>
      <c r="AA33" s="13" t="str">
        <f aca="false">IF(COUNT(D34:D39)&lt;6,"",SUM(D34:D39))</f>
        <v/>
      </c>
      <c r="AB33" s="13" t="str">
        <f aca="false">IF(COUNT(D34:D45)&lt;12,"",SUM(D34:D45))</f>
        <v/>
      </c>
    </row>
    <row r="34" customFormat="false" ht="15" hidden="false" customHeight="false" outlineLevel="0" collapsed="false">
      <c r="A34" s="8" t="n">
        <f aca="false">Base!A34</f>
        <v>38990</v>
      </c>
      <c r="B34" s="10" t="str">
        <f aca="false">IF(Base!T34="","",Base!T34)</f>
        <v/>
      </c>
      <c r="C34" s="11" t="str">
        <f aca="false">IF(B34="","",LN(B34))</f>
        <v/>
      </c>
      <c r="D34" s="13" t="str">
        <f aca="false">IF(OR(C34="",C33=""),"",C34-C33)</f>
        <v/>
      </c>
      <c r="E34" s="12" t="str">
        <f aca="false">IF(Base!U34="","",Base!U34)</f>
        <v/>
      </c>
      <c r="F34" s="11" t="str">
        <f aca="false">IF(E34="","",LN(E34))</f>
        <v/>
      </c>
      <c r="G34" s="13" t="str">
        <f aca="false">IF(OR(F34="",F33=""),"",F34-F33)</f>
        <v/>
      </c>
      <c r="R34" s="13" t="str">
        <f aca="false">IF(COUNT(I35:I35)&lt;1,"",SUM(I35:I35))</f>
        <v/>
      </c>
      <c r="S34" s="13" t="str">
        <f aca="false">IF(COUNT(I35:I37)&lt;3,"",SUM(I35:I37))</f>
        <v/>
      </c>
      <c r="T34" s="13" t="str">
        <f aca="false">IF(COUNT(I35:I40)&lt;6,"",SUM(I35:I40))</f>
        <v/>
      </c>
      <c r="U34" s="13" t="str">
        <f aca="false">IF(COUNT(I35:I46)&lt;12,"",SUM(I35:I46))</f>
        <v/>
      </c>
      <c r="Y34" s="13" t="str">
        <f aca="false">IF(COUNT(D35:D35)&lt;1,"",SUM(D35:D35))</f>
        <v/>
      </c>
      <c r="Z34" s="13" t="str">
        <f aca="false">IF(COUNT(D35:D37)&lt;3,"",SUM(D35:D37))</f>
        <v/>
      </c>
      <c r="AA34" s="13" t="str">
        <f aca="false">IF(COUNT(D35:D40)&lt;6,"",SUM(D35:D40))</f>
        <v/>
      </c>
      <c r="AB34" s="13" t="str">
        <f aca="false">IF(COUNT(D35:D46)&lt;12,"",SUM(D35:D46))</f>
        <v/>
      </c>
    </row>
    <row r="35" customFormat="false" ht="15" hidden="false" customHeight="false" outlineLevel="0" collapsed="false">
      <c r="A35" s="8" t="n">
        <f aca="false">Base!A35</f>
        <v>39021</v>
      </c>
      <c r="B35" s="10" t="str">
        <f aca="false">IF(Base!T35="","",Base!T35)</f>
        <v/>
      </c>
      <c r="C35" s="11" t="str">
        <f aca="false">IF(B35="","",LN(B35))</f>
        <v/>
      </c>
      <c r="D35" s="13" t="str">
        <f aca="false">IF(OR(C35="",C34=""),"",C35-C34)</f>
        <v/>
      </c>
      <c r="E35" s="12" t="str">
        <f aca="false">IF(Base!U35="","",Base!U35)</f>
        <v/>
      </c>
      <c r="F35" s="11" t="str">
        <f aca="false">IF(E35="","",LN(E35))</f>
        <v/>
      </c>
      <c r="G35" s="13" t="str">
        <f aca="false">IF(OR(F35="",F34=""),"",F35-F34)</f>
        <v/>
      </c>
      <c r="R35" s="13" t="str">
        <f aca="false">IF(COUNT(I36:I36)&lt;1,"",SUM(I36:I36))</f>
        <v/>
      </c>
      <c r="S35" s="13" t="str">
        <f aca="false">IF(COUNT(I36:I38)&lt;3,"",SUM(I36:I38))</f>
        <v/>
      </c>
      <c r="T35" s="13" t="str">
        <f aca="false">IF(COUNT(I36:I41)&lt;6,"",SUM(I36:I41))</f>
        <v/>
      </c>
      <c r="U35" s="13" t="str">
        <f aca="false">IF(COUNT(I36:I47)&lt;12,"",SUM(I36:I47))</f>
        <v/>
      </c>
      <c r="Y35" s="13" t="str">
        <f aca="false">IF(COUNT(D36:D36)&lt;1,"",SUM(D36:D36))</f>
        <v/>
      </c>
      <c r="Z35" s="13" t="str">
        <f aca="false">IF(COUNT(D36:D38)&lt;3,"",SUM(D36:D38))</f>
        <v/>
      </c>
      <c r="AA35" s="13" t="str">
        <f aca="false">IF(COUNT(D36:D41)&lt;6,"",SUM(D36:D41))</f>
        <v/>
      </c>
      <c r="AB35" s="13" t="str">
        <f aca="false">IF(COUNT(D36:D47)&lt;12,"",SUM(D36:D47))</f>
        <v/>
      </c>
    </row>
    <row r="36" customFormat="false" ht="15" hidden="false" customHeight="false" outlineLevel="0" collapsed="false">
      <c r="A36" s="8" t="n">
        <f aca="false">Base!A36</f>
        <v>39051</v>
      </c>
      <c r="B36" s="10" t="str">
        <f aca="false">IF(Base!T36="","",Base!T36)</f>
        <v/>
      </c>
      <c r="C36" s="11" t="str">
        <f aca="false">IF(B36="","",LN(B36))</f>
        <v/>
      </c>
      <c r="D36" s="13" t="str">
        <f aca="false">IF(OR(C36="",C35=""),"",C36-C35)</f>
        <v/>
      </c>
      <c r="E36" s="12" t="str">
        <f aca="false">IF(Base!U36="","",Base!U36)</f>
        <v/>
      </c>
      <c r="F36" s="11" t="str">
        <f aca="false">IF(E36="","",LN(E36))</f>
        <v/>
      </c>
      <c r="G36" s="13" t="str">
        <f aca="false">IF(OR(F36="",F35=""),"",F36-F35)</f>
        <v/>
      </c>
      <c r="R36" s="13" t="str">
        <f aca="false">IF(COUNT(I37:I37)&lt;1,"",SUM(I37:I37))</f>
        <v/>
      </c>
      <c r="S36" s="13" t="str">
        <f aca="false">IF(COUNT(I37:I39)&lt;3,"",SUM(I37:I39))</f>
        <v/>
      </c>
      <c r="T36" s="13" t="str">
        <f aca="false">IF(COUNT(I37:I42)&lt;6,"",SUM(I37:I42))</f>
        <v/>
      </c>
      <c r="U36" s="13" t="str">
        <f aca="false">IF(COUNT(I37:I48)&lt;12,"",SUM(I37:I48))</f>
        <v/>
      </c>
      <c r="Y36" s="13" t="str">
        <f aca="false">IF(COUNT(D37:D37)&lt;1,"",SUM(D37:D37))</f>
        <v/>
      </c>
      <c r="Z36" s="13" t="str">
        <f aca="false">IF(COUNT(D37:D39)&lt;3,"",SUM(D37:D39))</f>
        <v/>
      </c>
      <c r="AA36" s="13" t="str">
        <f aca="false">IF(COUNT(D37:D42)&lt;6,"",SUM(D37:D42))</f>
        <v/>
      </c>
      <c r="AB36" s="13" t="str">
        <f aca="false">IF(COUNT(D37:D48)&lt;12,"",SUM(D37:D48))</f>
        <v/>
      </c>
    </row>
    <row r="37" customFormat="false" ht="15" hidden="false" customHeight="false" outlineLevel="0" collapsed="false">
      <c r="A37" s="8" t="n">
        <f aca="false">Base!A37</f>
        <v>39082</v>
      </c>
      <c r="B37" s="10" t="str">
        <f aca="false">IF(Base!T37="","",Base!T37)</f>
        <v/>
      </c>
      <c r="C37" s="11" t="str">
        <f aca="false">IF(B37="","",LN(B37))</f>
        <v/>
      </c>
      <c r="D37" s="13" t="str">
        <f aca="false">IF(OR(C37="",C36=""),"",C37-C36)</f>
        <v/>
      </c>
      <c r="E37" s="12" t="str">
        <f aca="false">IF(Base!U37="","",Base!U37)</f>
        <v/>
      </c>
      <c r="F37" s="11" t="str">
        <f aca="false">IF(E37="","",LN(E37))</f>
        <v/>
      </c>
      <c r="G37" s="13" t="str">
        <f aca="false">IF(OR(F37="",F36=""),"",F37-F36)</f>
        <v/>
      </c>
      <c r="R37" s="13" t="str">
        <f aca="false">IF(COUNT(I38:I38)&lt;1,"",SUM(I38:I38))</f>
        <v/>
      </c>
      <c r="S37" s="13" t="str">
        <f aca="false">IF(COUNT(I38:I40)&lt;3,"",SUM(I38:I40))</f>
        <v/>
      </c>
      <c r="T37" s="13" t="str">
        <f aca="false">IF(COUNT(I38:I43)&lt;6,"",SUM(I38:I43))</f>
        <v/>
      </c>
      <c r="U37" s="13" t="str">
        <f aca="false">IF(COUNT(I38:I49)&lt;12,"",SUM(I38:I49))</f>
        <v/>
      </c>
      <c r="Y37" s="13" t="str">
        <f aca="false">IF(COUNT(D38:D38)&lt;1,"",SUM(D38:D38))</f>
        <v/>
      </c>
      <c r="Z37" s="13" t="str">
        <f aca="false">IF(COUNT(D38:D40)&lt;3,"",SUM(D38:D40))</f>
        <v/>
      </c>
      <c r="AA37" s="13" t="str">
        <f aca="false">IF(COUNT(D38:D43)&lt;6,"",SUM(D38:D43))</f>
        <v/>
      </c>
      <c r="AB37" s="13" t="str">
        <f aca="false">IF(COUNT(D38:D49)&lt;12,"",SUM(D38:D49))</f>
        <v/>
      </c>
    </row>
    <row r="38" customFormat="false" ht="15" hidden="false" customHeight="false" outlineLevel="0" collapsed="false">
      <c r="A38" s="8" t="n">
        <f aca="false">Base!A38</f>
        <v>39113</v>
      </c>
      <c r="B38" s="10" t="str">
        <f aca="false">IF(Base!T38="","",Base!T38)</f>
        <v/>
      </c>
      <c r="C38" s="11" t="str">
        <f aca="false">IF(B38="","",LN(B38))</f>
        <v/>
      </c>
      <c r="D38" s="13" t="str">
        <f aca="false">IF(OR(C38="",C37=""),"",C38-C37)</f>
        <v/>
      </c>
      <c r="E38" s="12" t="str">
        <f aca="false">IF(Base!U38="","",Base!U38)</f>
        <v/>
      </c>
      <c r="F38" s="11" t="str">
        <f aca="false">IF(E38="","",LN(E38))</f>
        <v/>
      </c>
      <c r="G38" s="13" t="str">
        <f aca="false">IF(OR(F38="",F37=""),"",F38-F37)</f>
        <v/>
      </c>
      <c r="R38" s="13" t="str">
        <f aca="false">IF(COUNT(I39:I39)&lt;1,"",SUM(I39:I39))</f>
        <v/>
      </c>
      <c r="S38" s="13" t="str">
        <f aca="false">IF(COUNT(I39:I41)&lt;3,"",SUM(I39:I41))</f>
        <v/>
      </c>
      <c r="T38" s="13" t="str">
        <f aca="false">IF(COUNT(I39:I44)&lt;6,"",SUM(I39:I44))</f>
        <v/>
      </c>
      <c r="U38" s="13" t="str">
        <f aca="false">IF(COUNT(I39:I50)&lt;12,"",SUM(I39:I50))</f>
        <v/>
      </c>
      <c r="Y38" s="13" t="str">
        <f aca="false">IF(COUNT(D39:D39)&lt;1,"",SUM(D39:D39))</f>
        <v/>
      </c>
      <c r="Z38" s="13" t="str">
        <f aca="false">IF(COUNT(D39:D41)&lt;3,"",SUM(D39:D41))</f>
        <v/>
      </c>
      <c r="AA38" s="13" t="str">
        <f aca="false">IF(COUNT(D39:D44)&lt;6,"",SUM(D39:D44))</f>
        <v/>
      </c>
      <c r="AB38" s="13" t="str">
        <f aca="false">IF(COUNT(D39:D50)&lt;12,"",SUM(D39:D50))</f>
        <v/>
      </c>
    </row>
    <row r="39" customFormat="false" ht="15" hidden="false" customHeight="false" outlineLevel="0" collapsed="false">
      <c r="A39" s="8" t="n">
        <f aca="false">Base!A39</f>
        <v>39141</v>
      </c>
      <c r="B39" s="10" t="str">
        <f aca="false">IF(Base!T39="","",Base!T39)</f>
        <v/>
      </c>
      <c r="C39" s="11" t="str">
        <f aca="false">IF(B39="","",LN(B39))</f>
        <v/>
      </c>
      <c r="D39" s="13" t="str">
        <f aca="false">IF(OR(C39="",C38=""),"",C39-C38)</f>
        <v/>
      </c>
      <c r="E39" s="12" t="str">
        <f aca="false">IF(Base!U39="","",Base!U39)</f>
        <v/>
      </c>
      <c r="F39" s="11" t="str">
        <f aca="false">IF(E39="","",LN(E39))</f>
        <v/>
      </c>
      <c r="G39" s="13" t="str">
        <f aca="false">IF(OR(F39="",F38=""),"",F39-F38)</f>
        <v/>
      </c>
      <c r="R39" s="13" t="str">
        <f aca="false">IF(COUNT(I40:I40)&lt;1,"",SUM(I40:I40))</f>
        <v/>
      </c>
      <c r="S39" s="13" t="str">
        <f aca="false">IF(COUNT(I40:I42)&lt;3,"",SUM(I40:I42))</f>
        <v/>
      </c>
      <c r="T39" s="13" t="str">
        <f aca="false">IF(COUNT(I40:I45)&lt;6,"",SUM(I40:I45))</f>
        <v/>
      </c>
      <c r="U39" s="13" t="str">
        <f aca="false">IF(COUNT(I40:I51)&lt;12,"",SUM(I40:I51))</f>
        <v/>
      </c>
      <c r="Y39" s="13" t="str">
        <f aca="false">IF(COUNT(D40:D40)&lt;1,"",SUM(D40:D40))</f>
        <v/>
      </c>
      <c r="Z39" s="13" t="str">
        <f aca="false">IF(COUNT(D40:D42)&lt;3,"",SUM(D40:D42))</f>
        <v/>
      </c>
      <c r="AA39" s="13" t="str">
        <f aca="false">IF(COUNT(D40:D45)&lt;6,"",SUM(D40:D45))</f>
        <v/>
      </c>
      <c r="AB39" s="13" t="str">
        <f aca="false">IF(COUNT(D40:D51)&lt;12,"",SUM(D40:D51))</f>
        <v/>
      </c>
    </row>
    <row r="40" customFormat="false" ht="15" hidden="false" customHeight="false" outlineLevel="0" collapsed="false">
      <c r="A40" s="8" t="n">
        <f aca="false">Base!A40</f>
        <v>39172</v>
      </c>
      <c r="B40" s="10" t="str">
        <f aca="false">IF(Base!T40="","",Base!T40)</f>
        <v/>
      </c>
      <c r="C40" s="11" t="str">
        <f aca="false">IF(B40="","",LN(B40))</f>
        <v/>
      </c>
      <c r="D40" s="13" t="str">
        <f aca="false">IF(OR(C40="",C39=""),"",C40-C39)</f>
        <v/>
      </c>
      <c r="E40" s="12" t="str">
        <f aca="false">IF(Base!U40="","",Base!U40)</f>
        <v/>
      </c>
      <c r="F40" s="11" t="str">
        <f aca="false">IF(E40="","",LN(E40))</f>
        <v/>
      </c>
      <c r="G40" s="13" t="str">
        <f aca="false">IF(OR(F40="",F39=""),"",F40-F39)</f>
        <v/>
      </c>
      <c r="R40" s="13" t="str">
        <f aca="false">IF(COUNT(I41:I41)&lt;1,"",SUM(I41:I41))</f>
        <v/>
      </c>
      <c r="S40" s="13" t="str">
        <f aca="false">IF(COUNT(I41:I43)&lt;3,"",SUM(I41:I43))</f>
        <v/>
      </c>
      <c r="T40" s="13" t="str">
        <f aca="false">IF(COUNT(I41:I46)&lt;6,"",SUM(I41:I46))</f>
        <v/>
      </c>
      <c r="U40" s="13" t="str">
        <f aca="false">IF(COUNT(I41:I52)&lt;12,"",SUM(I41:I52))</f>
        <v/>
      </c>
      <c r="Y40" s="13" t="str">
        <f aca="false">IF(COUNT(D41:D41)&lt;1,"",SUM(D41:D41))</f>
        <v/>
      </c>
      <c r="Z40" s="13" t="str">
        <f aca="false">IF(COUNT(D41:D43)&lt;3,"",SUM(D41:D43))</f>
        <v/>
      </c>
      <c r="AA40" s="13" t="str">
        <f aca="false">IF(COUNT(D41:D46)&lt;6,"",SUM(D41:D46))</f>
        <v/>
      </c>
      <c r="AB40" s="13" t="str">
        <f aca="false">IF(COUNT(D41:D52)&lt;12,"",SUM(D41:D52))</f>
        <v/>
      </c>
    </row>
    <row r="41" customFormat="false" ht="15" hidden="false" customHeight="false" outlineLevel="0" collapsed="false">
      <c r="A41" s="8" t="n">
        <f aca="false">Base!A41</f>
        <v>39202</v>
      </c>
      <c r="B41" s="10" t="str">
        <f aca="false">IF(Base!T41="","",Base!T41)</f>
        <v/>
      </c>
      <c r="C41" s="11" t="str">
        <f aca="false">IF(B41="","",LN(B41))</f>
        <v/>
      </c>
      <c r="D41" s="13" t="str">
        <f aca="false">IF(OR(C41="",C40=""),"",C41-C40)</f>
        <v/>
      </c>
      <c r="E41" s="12" t="str">
        <f aca="false">IF(Base!U41="","",Base!U41)</f>
        <v/>
      </c>
      <c r="F41" s="11" t="str">
        <f aca="false">IF(E41="","",LN(E41))</f>
        <v/>
      </c>
      <c r="G41" s="13" t="str">
        <f aca="false">IF(OR(F41="",F40=""),"",F41-F40)</f>
        <v/>
      </c>
      <c r="R41" s="13" t="str">
        <f aca="false">IF(COUNT(I42:I42)&lt;1,"",SUM(I42:I42))</f>
        <v/>
      </c>
      <c r="S41" s="13" t="str">
        <f aca="false">IF(COUNT(I42:I44)&lt;3,"",SUM(I42:I44))</f>
        <v/>
      </c>
      <c r="T41" s="13" t="str">
        <f aca="false">IF(COUNT(I42:I47)&lt;6,"",SUM(I42:I47))</f>
        <v/>
      </c>
      <c r="U41" s="13" t="str">
        <f aca="false">IF(COUNT(I42:I53)&lt;12,"",SUM(I42:I53))</f>
        <v/>
      </c>
      <c r="Y41" s="13" t="str">
        <f aca="false">IF(COUNT(D42:D42)&lt;1,"",SUM(D42:D42))</f>
        <v/>
      </c>
      <c r="Z41" s="13" t="str">
        <f aca="false">IF(COUNT(D42:D44)&lt;3,"",SUM(D42:D44))</f>
        <v/>
      </c>
      <c r="AA41" s="13" t="str">
        <f aca="false">IF(COUNT(D42:D47)&lt;6,"",SUM(D42:D47))</f>
        <v/>
      </c>
      <c r="AB41" s="13" t="str">
        <f aca="false">IF(COUNT(D42:D53)&lt;12,"",SUM(D42:D53))</f>
        <v/>
      </c>
    </row>
    <row r="42" customFormat="false" ht="15" hidden="false" customHeight="false" outlineLevel="0" collapsed="false">
      <c r="A42" s="8" t="n">
        <f aca="false">Base!A42</f>
        <v>39233</v>
      </c>
      <c r="B42" s="10" t="str">
        <f aca="false">IF(Base!T42="","",Base!T42)</f>
        <v/>
      </c>
      <c r="C42" s="11" t="str">
        <f aca="false">IF(B42="","",LN(B42))</f>
        <v/>
      </c>
      <c r="D42" s="13" t="str">
        <f aca="false">IF(OR(C42="",C41=""),"",C42-C41)</f>
        <v/>
      </c>
      <c r="E42" s="12" t="str">
        <f aca="false">IF(Base!U42="","",Base!U42)</f>
        <v/>
      </c>
      <c r="F42" s="11" t="str">
        <f aca="false">IF(E42="","",LN(E42))</f>
        <v/>
      </c>
      <c r="G42" s="13" t="str">
        <f aca="false">IF(OR(F42="",F41=""),"",F42-F41)</f>
        <v/>
      </c>
      <c r="R42" s="13" t="str">
        <f aca="false">IF(COUNT(I43:I43)&lt;1,"",SUM(I43:I43))</f>
        <v/>
      </c>
      <c r="S42" s="13" t="str">
        <f aca="false">IF(COUNT(I43:I45)&lt;3,"",SUM(I43:I45))</f>
        <v/>
      </c>
      <c r="T42" s="13" t="str">
        <f aca="false">IF(COUNT(I43:I48)&lt;6,"",SUM(I43:I48))</f>
        <v/>
      </c>
      <c r="U42" s="13" t="str">
        <f aca="false">IF(COUNT(I43:I54)&lt;12,"",SUM(I43:I54))</f>
        <v/>
      </c>
      <c r="Y42" s="13" t="str">
        <f aca="false">IF(COUNT(D43:D43)&lt;1,"",SUM(D43:D43))</f>
        <v/>
      </c>
      <c r="Z42" s="13" t="str">
        <f aca="false">IF(COUNT(D43:D45)&lt;3,"",SUM(D43:D45))</f>
        <v/>
      </c>
      <c r="AA42" s="13" t="str">
        <f aca="false">IF(COUNT(D43:D48)&lt;6,"",SUM(D43:D48))</f>
        <v/>
      </c>
      <c r="AB42" s="13" t="str">
        <f aca="false">IF(COUNT(D43:D54)&lt;12,"",SUM(D43:D54))</f>
        <v/>
      </c>
    </row>
    <row r="43" customFormat="false" ht="15" hidden="false" customHeight="false" outlineLevel="0" collapsed="false">
      <c r="A43" s="8" t="n">
        <f aca="false">Base!A43</f>
        <v>39263</v>
      </c>
      <c r="B43" s="10" t="str">
        <f aca="false">IF(Base!T43="","",Base!T43)</f>
        <v/>
      </c>
      <c r="C43" s="11" t="str">
        <f aca="false">IF(B43="","",LN(B43))</f>
        <v/>
      </c>
      <c r="D43" s="13" t="str">
        <f aca="false">IF(OR(C43="",C42=""),"",C43-C42)</f>
        <v/>
      </c>
      <c r="E43" s="12" t="str">
        <f aca="false">IF(Base!U43="","",Base!U43)</f>
        <v/>
      </c>
      <c r="F43" s="11" t="str">
        <f aca="false">IF(E43="","",LN(E43))</f>
        <v/>
      </c>
      <c r="G43" s="13" t="str">
        <f aca="false">IF(OR(F43="",F42=""),"",F43-F42)</f>
        <v/>
      </c>
      <c r="R43" s="13" t="str">
        <f aca="false">IF(COUNT(I44:I44)&lt;1,"",SUM(I44:I44))</f>
        <v/>
      </c>
      <c r="S43" s="13" t="str">
        <f aca="false">IF(COUNT(I44:I46)&lt;3,"",SUM(I44:I46))</f>
        <v/>
      </c>
      <c r="T43" s="13" t="str">
        <f aca="false">IF(COUNT(I44:I49)&lt;6,"",SUM(I44:I49))</f>
        <v/>
      </c>
      <c r="U43" s="13" t="str">
        <f aca="false">IF(COUNT(I44:I55)&lt;12,"",SUM(I44:I55))</f>
        <v/>
      </c>
      <c r="Y43" s="13" t="str">
        <f aca="false">IF(COUNT(D44:D44)&lt;1,"",SUM(D44:D44))</f>
        <v/>
      </c>
      <c r="Z43" s="13" t="str">
        <f aca="false">IF(COUNT(D44:D46)&lt;3,"",SUM(D44:D46))</f>
        <v/>
      </c>
      <c r="AA43" s="13" t="str">
        <f aca="false">IF(COUNT(D44:D49)&lt;6,"",SUM(D44:D49))</f>
        <v/>
      </c>
      <c r="AB43" s="13" t="str">
        <f aca="false">IF(COUNT(D44:D55)&lt;12,"",SUM(D44:D55))</f>
        <v/>
      </c>
    </row>
    <row r="44" customFormat="false" ht="15" hidden="false" customHeight="false" outlineLevel="0" collapsed="false">
      <c r="A44" s="8" t="n">
        <f aca="false">Base!A44</f>
        <v>39294</v>
      </c>
      <c r="B44" s="10" t="str">
        <f aca="false">IF(Base!T44="","",Base!T44)</f>
        <v/>
      </c>
      <c r="C44" s="11" t="str">
        <f aca="false">IF(B44="","",LN(B44))</f>
        <v/>
      </c>
      <c r="D44" s="13" t="str">
        <f aca="false">IF(OR(C44="",C43=""),"",C44-C43)</f>
        <v/>
      </c>
      <c r="E44" s="12" t="str">
        <f aca="false">IF(Base!U44="","",Base!U44)</f>
        <v/>
      </c>
      <c r="F44" s="11" t="str">
        <f aca="false">IF(E44="","",LN(E44))</f>
        <v/>
      </c>
      <c r="G44" s="13" t="str">
        <f aca="false">IF(OR(F44="",F43=""),"",F44-F43)</f>
        <v/>
      </c>
      <c r="R44" s="13" t="str">
        <f aca="false">IF(COUNT(I45:I45)&lt;1,"",SUM(I45:I45))</f>
        <v/>
      </c>
      <c r="S44" s="13" t="str">
        <f aca="false">IF(COUNT(I45:I47)&lt;3,"",SUM(I45:I47))</f>
        <v/>
      </c>
      <c r="T44" s="13" t="str">
        <f aca="false">IF(COUNT(I45:I50)&lt;6,"",SUM(I45:I50))</f>
        <v/>
      </c>
      <c r="U44" s="13" t="str">
        <f aca="false">IF(COUNT(I45:I56)&lt;12,"",SUM(I45:I56))</f>
        <v/>
      </c>
      <c r="Y44" s="13" t="str">
        <f aca="false">IF(COUNT(D45:D45)&lt;1,"",SUM(D45:D45))</f>
        <v/>
      </c>
      <c r="Z44" s="13" t="str">
        <f aca="false">IF(COUNT(D45:D47)&lt;3,"",SUM(D45:D47))</f>
        <v/>
      </c>
      <c r="AA44" s="13" t="str">
        <f aca="false">IF(COUNT(D45:D50)&lt;6,"",SUM(D45:D50))</f>
        <v/>
      </c>
      <c r="AB44" s="13" t="str">
        <f aca="false">IF(COUNT(D45:D56)&lt;12,"",SUM(D45:D56))</f>
        <v/>
      </c>
    </row>
    <row r="45" customFormat="false" ht="15" hidden="false" customHeight="false" outlineLevel="0" collapsed="false">
      <c r="A45" s="8" t="n">
        <f aca="false">Base!A45</f>
        <v>39325</v>
      </c>
      <c r="B45" s="10" t="str">
        <f aca="false">IF(Base!T45="","",Base!T45)</f>
        <v/>
      </c>
      <c r="C45" s="11" t="str">
        <f aca="false">IF(B45="","",LN(B45))</f>
        <v/>
      </c>
      <c r="D45" s="13" t="str">
        <f aca="false">IF(OR(C45="",C44=""),"",C45-C44)</f>
        <v/>
      </c>
      <c r="E45" s="12" t="str">
        <f aca="false">IF(Base!U45="","",Base!U45)</f>
        <v/>
      </c>
      <c r="F45" s="11" t="str">
        <f aca="false">IF(E45="","",LN(E45))</f>
        <v/>
      </c>
      <c r="G45" s="13" t="str">
        <f aca="false">IF(OR(F45="",F44=""),"",F45-F44)</f>
        <v/>
      </c>
      <c r="R45" s="13" t="str">
        <f aca="false">IF(COUNT(I46:I46)&lt;1,"",SUM(I46:I46))</f>
        <v/>
      </c>
      <c r="S45" s="13" t="str">
        <f aca="false">IF(COUNT(I46:I48)&lt;3,"",SUM(I46:I48))</f>
        <v/>
      </c>
      <c r="T45" s="13" t="str">
        <f aca="false">IF(COUNT(I46:I51)&lt;6,"",SUM(I46:I51))</f>
        <v/>
      </c>
      <c r="U45" s="13" t="str">
        <f aca="false">IF(COUNT(I46:I57)&lt;12,"",SUM(I46:I57))</f>
        <v/>
      </c>
      <c r="Y45" s="13" t="str">
        <f aca="false">IF(COUNT(D46:D46)&lt;1,"",SUM(D46:D46))</f>
        <v/>
      </c>
      <c r="Z45" s="13" t="str">
        <f aca="false">IF(COUNT(D46:D48)&lt;3,"",SUM(D46:D48))</f>
        <v/>
      </c>
      <c r="AA45" s="13" t="str">
        <f aca="false">IF(COUNT(D46:D51)&lt;6,"",SUM(D46:D51))</f>
        <v/>
      </c>
      <c r="AB45" s="13" t="str">
        <f aca="false">IF(COUNT(D46:D57)&lt;12,"",SUM(D46:D57))</f>
        <v/>
      </c>
    </row>
    <row r="46" customFormat="false" ht="15" hidden="false" customHeight="false" outlineLevel="0" collapsed="false">
      <c r="A46" s="8" t="n">
        <f aca="false">Base!A46</f>
        <v>39355</v>
      </c>
      <c r="B46" s="10" t="str">
        <f aca="false">IF(Base!T46="","",Base!T46)</f>
        <v/>
      </c>
      <c r="C46" s="11" t="str">
        <f aca="false">IF(B46="","",LN(B46))</f>
        <v/>
      </c>
      <c r="D46" s="13" t="str">
        <f aca="false">IF(OR(C46="",C45=""),"",C46-C45)</f>
        <v/>
      </c>
      <c r="E46" s="12" t="str">
        <f aca="false">IF(Base!U46="","",Base!U46)</f>
        <v/>
      </c>
      <c r="F46" s="11" t="str">
        <f aca="false">IF(E46="","",LN(E46))</f>
        <v/>
      </c>
      <c r="G46" s="13" t="str">
        <f aca="false">IF(OR(F46="",F45=""),"",F46-F45)</f>
        <v/>
      </c>
      <c r="R46" s="13" t="str">
        <f aca="false">IF(COUNT(I47:I47)&lt;1,"",SUM(I47:I47))</f>
        <v/>
      </c>
      <c r="S46" s="13" t="str">
        <f aca="false">IF(COUNT(I47:I49)&lt;3,"",SUM(I47:I49))</f>
        <v/>
      </c>
      <c r="T46" s="13" t="str">
        <f aca="false">IF(COUNT(I47:I52)&lt;6,"",SUM(I47:I52))</f>
        <v/>
      </c>
      <c r="U46" s="13" t="str">
        <f aca="false">IF(COUNT(I47:I58)&lt;12,"",SUM(I47:I58))</f>
        <v/>
      </c>
      <c r="Y46" s="13" t="str">
        <f aca="false">IF(COUNT(D47:D47)&lt;1,"",SUM(D47:D47))</f>
        <v/>
      </c>
      <c r="Z46" s="13" t="str">
        <f aca="false">IF(COUNT(D47:D49)&lt;3,"",SUM(D47:D49))</f>
        <v/>
      </c>
      <c r="AA46" s="13" t="str">
        <f aca="false">IF(COUNT(D47:D52)&lt;6,"",SUM(D47:D52))</f>
        <v/>
      </c>
      <c r="AB46" s="13" t="str">
        <f aca="false">IF(COUNT(D47:D58)&lt;12,"",SUM(D47:D58))</f>
        <v/>
      </c>
    </row>
    <row r="47" customFormat="false" ht="15" hidden="false" customHeight="false" outlineLevel="0" collapsed="false">
      <c r="A47" s="8" t="n">
        <f aca="false">Base!A47</f>
        <v>39386</v>
      </c>
      <c r="B47" s="10" t="str">
        <f aca="false">IF(Base!T47="","",Base!T47)</f>
        <v/>
      </c>
      <c r="C47" s="11" t="str">
        <f aca="false">IF(B47="","",LN(B47))</f>
        <v/>
      </c>
      <c r="D47" s="13" t="str">
        <f aca="false">IF(OR(C47="",C46=""),"",C47-C46)</f>
        <v/>
      </c>
      <c r="E47" s="12" t="str">
        <f aca="false">IF(Base!U47="","",Base!U47)</f>
        <v/>
      </c>
      <c r="F47" s="11" t="str">
        <f aca="false">IF(E47="","",LN(E47))</f>
        <v/>
      </c>
      <c r="G47" s="13" t="str">
        <f aca="false">IF(OR(F47="",F46=""),"",F47-F46)</f>
        <v/>
      </c>
      <c r="R47" s="13" t="str">
        <f aca="false">IF(COUNT(I48:I48)&lt;1,"",SUM(I48:I48))</f>
        <v/>
      </c>
      <c r="S47" s="13" t="str">
        <f aca="false">IF(COUNT(I48:I50)&lt;3,"",SUM(I48:I50))</f>
        <v/>
      </c>
      <c r="T47" s="13" t="str">
        <f aca="false">IF(COUNT(I48:I53)&lt;6,"",SUM(I48:I53))</f>
        <v/>
      </c>
      <c r="U47" s="13" t="str">
        <f aca="false">IF(COUNT(I48:I59)&lt;12,"",SUM(I48:I59))</f>
        <v/>
      </c>
      <c r="Y47" s="13" t="str">
        <f aca="false">IF(COUNT(D48:D48)&lt;1,"",SUM(D48:D48))</f>
        <v/>
      </c>
      <c r="Z47" s="13" t="str">
        <f aca="false">IF(COUNT(D48:D50)&lt;3,"",SUM(D48:D50))</f>
        <v/>
      </c>
      <c r="AA47" s="13" t="str">
        <f aca="false">IF(COUNT(D48:D53)&lt;6,"",SUM(D48:D53))</f>
        <v/>
      </c>
      <c r="AB47" s="13" t="str">
        <f aca="false">IF(COUNT(D48:D59)&lt;12,"",SUM(D48:D59))</f>
        <v/>
      </c>
    </row>
    <row r="48" customFormat="false" ht="15" hidden="false" customHeight="false" outlineLevel="0" collapsed="false">
      <c r="A48" s="8" t="n">
        <f aca="false">Base!A48</f>
        <v>39416</v>
      </c>
      <c r="B48" s="10" t="str">
        <f aca="false">IF(Base!T48="","",Base!T48)</f>
        <v/>
      </c>
      <c r="C48" s="11" t="str">
        <f aca="false">IF(B48="","",LN(B48))</f>
        <v/>
      </c>
      <c r="D48" s="13" t="str">
        <f aca="false">IF(OR(C48="",C47=""),"",C48-C47)</f>
        <v/>
      </c>
      <c r="E48" s="12" t="str">
        <f aca="false">IF(Base!U48="","",Base!U48)</f>
        <v/>
      </c>
      <c r="F48" s="11" t="str">
        <f aca="false">IF(E48="","",LN(E48))</f>
        <v/>
      </c>
      <c r="G48" s="13" t="str">
        <f aca="false">IF(OR(F48="",F47=""),"",F48-F47)</f>
        <v/>
      </c>
      <c r="R48" s="13" t="str">
        <f aca="false">IF(COUNT(I49:I49)&lt;1,"",SUM(I49:I49))</f>
        <v/>
      </c>
      <c r="S48" s="13" t="str">
        <f aca="false">IF(COUNT(I49:I51)&lt;3,"",SUM(I49:I51))</f>
        <v/>
      </c>
      <c r="T48" s="13" t="str">
        <f aca="false">IF(COUNT(I49:I54)&lt;6,"",SUM(I49:I54))</f>
        <v/>
      </c>
      <c r="U48" s="13" t="str">
        <f aca="false">IF(COUNT(I49:I60)&lt;12,"",SUM(I49:I60))</f>
        <v/>
      </c>
      <c r="Y48" s="13" t="str">
        <f aca="false">IF(COUNT(D49:D49)&lt;1,"",SUM(D49:D49))</f>
        <v/>
      </c>
      <c r="Z48" s="13" t="str">
        <f aca="false">IF(COUNT(D49:D51)&lt;3,"",SUM(D49:D51))</f>
        <v/>
      </c>
      <c r="AA48" s="13" t="str">
        <f aca="false">IF(COUNT(D49:D54)&lt;6,"",SUM(D49:D54))</f>
        <v/>
      </c>
      <c r="AB48" s="13" t="str">
        <f aca="false">IF(COUNT(D49:D60)&lt;12,"",SUM(D49:D60))</f>
        <v/>
      </c>
    </row>
    <row r="49" customFormat="false" ht="15" hidden="false" customHeight="false" outlineLevel="0" collapsed="false">
      <c r="A49" s="8" t="n">
        <f aca="false">Base!A49</f>
        <v>39447</v>
      </c>
      <c r="B49" s="10" t="str">
        <f aca="false">IF(Base!T49="","",Base!T49)</f>
        <v/>
      </c>
      <c r="C49" s="11" t="str">
        <f aca="false">IF(B49="","",LN(B49))</f>
        <v/>
      </c>
      <c r="D49" s="13" t="str">
        <f aca="false">IF(OR(C49="",C48=""),"",C49-C48)</f>
        <v/>
      </c>
      <c r="E49" s="12" t="str">
        <f aca="false">IF(Base!U49="","",Base!U49)</f>
        <v/>
      </c>
      <c r="F49" s="11" t="str">
        <f aca="false">IF(E49="","",LN(E49))</f>
        <v/>
      </c>
      <c r="G49" s="13" t="str">
        <f aca="false">IF(OR(F49="",F48=""),"",F49-F48)</f>
        <v/>
      </c>
      <c r="R49" s="13" t="str">
        <f aca="false">IF(COUNT(I50:I50)&lt;1,"",SUM(I50:I50))</f>
        <v/>
      </c>
      <c r="S49" s="13" t="str">
        <f aca="false">IF(COUNT(I50:I52)&lt;3,"",SUM(I50:I52))</f>
        <v/>
      </c>
      <c r="T49" s="13" t="str">
        <f aca="false">IF(COUNT(I50:I55)&lt;6,"",SUM(I50:I55))</f>
        <v/>
      </c>
      <c r="U49" s="13" t="str">
        <f aca="false">IF(COUNT(I50:I61)&lt;12,"",SUM(I50:I61))</f>
        <v/>
      </c>
      <c r="Y49" s="13" t="str">
        <f aca="false">IF(COUNT(D50:D50)&lt;1,"",SUM(D50:D50))</f>
        <v/>
      </c>
      <c r="Z49" s="13" t="str">
        <f aca="false">IF(COUNT(D50:D52)&lt;3,"",SUM(D50:D52))</f>
        <v/>
      </c>
      <c r="AA49" s="13" t="str">
        <f aca="false">IF(COUNT(D50:D55)&lt;6,"",SUM(D50:D55))</f>
        <v/>
      </c>
      <c r="AB49" s="13" t="str">
        <f aca="false">IF(COUNT(D50:D61)&lt;12,"",SUM(D50:D61))</f>
        <v/>
      </c>
    </row>
    <row r="50" customFormat="false" ht="15" hidden="false" customHeight="false" outlineLevel="0" collapsed="false">
      <c r="A50" s="8" t="n">
        <f aca="false">Base!A50</f>
        <v>39478</v>
      </c>
      <c r="B50" s="10" t="str">
        <f aca="false">IF(Base!T50="","",Base!T50)</f>
        <v/>
      </c>
      <c r="C50" s="11" t="str">
        <f aca="false">IF(B50="","",LN(B50))</f>
        <v/>
      </c>
      <c r="D50" s="13" t="str">
        <f aca="false">IF(OR(C50="",C49=""),"",C50-C49)</f>
        <v/>
      </c>
      <c r="E50" s="12" t="str">
        <f aca="false">IF(Base!U50="","",Base!U50)</f>
        <v/>
      </c>
      <c r="F50" s="11" t="str">
        <f aca="false">IF(E50="","",LN(E50))</f>
        <v/>
      </c>
      <c r="G50" s="13" t="str">
        <f aca="false">IF(OR(F50="",F49=""),"",F50-F49)</f>
        <v/>
      </c>
      <c r="R50" s="13" t="str">
        <f aca="false">IF(COUNT(I51:I51)&lt;1,"",SUM(I51:I51))</f>
        <v/>
      </c>
      <c r="S50" s="13" t="str">
        <f aca="false">IF(COUNT(I51:I53)&lt;3,"",SUM(I51:I53))</f>
        <v/>
      </c>
      <c r="T50" s="13" t="str">
        <f aca="false">IF(COUNT(I51:I56)&lt;6,"",SUM(I51:I56))</f>
        <v/>
      </c>
      <c r="U50" s="13" t="str">
        <f aca="false">IF(COUNT(I51:I62)&lt;12,"",SUM(I51:I62))</f>
        <v/>
      </c>
      <c r="Y50" s="13" t="str">
        <f aca="false">IF(COUNT(D51:D51)&lt;1,"",SUM(D51:D51))</f>
        <v/>
      </c>
      <c r="Z50" s="13" t="str">
        <f aca="false">IF(COUNT(D51:D53)&lt;3,"",SUM(D51:D53))</f>
        <v/>
      </c>
      <c r="AA50" s="13" t="str">
        <f aca="false">IF(COUNT(D51:D56)&lt;6,"",SUM(D51:D56))</f>
        <v/>
      </c>
      <c r="AB50" s="13" t="str">
        <f aca="false">IF(COUNT(D51:D62)&lt;12,"",SUM(D51:D62))</f>
        <v/>
      </c>
    </row>
    <row r="51" customFormat="false" ht="15" hidden="false" customHeight="false" outlineLevel="0" collapsed="false">
      <c r="A51" s="8" t="n">
        <f aca="false">Base!A51</f>
        <v>39507</v>
      </c>
      <c r="B51" s="10" t="str">
        <f aca="false">IF(Base!T51="","",Base!T51)</f>
        <v/>
      </c>
      <c r="C51" s="11" t="str">
        <f aca="false">IF(B51="","",LN(B51))</f>
        <v/>
      </c>
      <c r="D51" s="13" t="str">
        <f aca="false">IF(OR(C51="",C50=""),"",C51-C50)</f>
        <v/>
      </c>
      <c r="E51" s="12" t="str">
        <f aca="false">IF(Base!U51="","",Base!U51)</f>
        <v/>
      </c>
      <c r="F51" s="11" t="str">
        <f aca="false">IF(E51="","",LN(E51))</f>
        <v/>
      </c>
      <c r="G51" s="13" t="str">
        <f aca="false">IF(OR(F51="",F50=""),"",F51-F50)</f>
        <v/>
      </c>
      <c r="R51" s="13" t="str">
        <f aca="false">IF(COUNT(I52:I52)&lt;1,"",SUM(I52:I52))</f>
        <v/>
      </c>
      <c r="S51" s="13" t="str">
        <f aca="false">IF(COUNT(I52:I54)&lt;3,"",SUM(I52:I54))</f>
        <v/>
      </c>
      <c r="T51" s="13" t="str">
        <f aca="false">IF(COUNT(I52:I57)&lt;6,"",SUM(I52:I57))</f>
        <v/>
      </c>
      <c r="U51" s="13" t="str">
        <f aca="false">IF(COUNT(I52:I63)&lt;12,"",SUM(I52:I63))</f>
        <v/>
      </c>
      <c r="Y51" s="13" t="str">
        <f aca="false">IF(COUNT(D52:D52)&lt;1,"",SUM(D52:D52))</f>
        <v/>
      </c>
      <c r="Z51" s="13" t="str">
        <f aca="false">IF(COUNT(D52:D54)&lt;3,"",SUM(D52:D54))</f>
        <v/>
      </c>
      <c r="AA51" s="13" t="str">
        <f aca="false">IF(COUNT(D52:D57)&lt;6,"",SUM(D52:D57))</f>
        <v/>
      </c>
      <c r="AB51" s="13" t="str">
        <f aca="false">IF(COUNT(D52:D63)&lt;12,"",SUM(D52:D63))</f>
        <v/>
      </c>
    </row>
    <row r="52" customFormat="false" ht="15" hidden="false" customHeight="false" outlineLevel="0" collapsed="false">
      <c r="A52" s="8" t="n">
        <f aca="false">Base!A52</f>
        <v>39538</v>
      </c>
      <c r="B52" s="10" t="str">
        <f aca="false">IF(Base!T52="","",Base!T52)</f>
        <v/>
      </c>
      <c r="C52" s="11" t="str">
        <f aca="false">IF(B52="","",LN(B52))</f>
        <v/>
      </c>
      <c r="D52" s="13" t="str">
        <f aca="false">IF(OR(C52="",C51=""),"",C52-C51)</f>
        <v/>
      </c>
      <c r="E52" s="12" t="str">
        <f aca="false">IF(Base!U52="","",Base!U52)</f>
        <v/>
      </c>
      <c r="F52" s="11" t="str">
        <f aca="false">IF(E52="","",LN(E52))</f>
        <v/>
      </c>
      <c r="G52" s="13" t="str">
        <f aca="false">IF(OR(F52="",F51=""),"",F52-F51)</f>
        <v/>
      </c>
      <c r="R52" s="13" t="str">
        <f aca="false">IF(COUNT(I53:I53)&lt;1,"",SUM(I53:I53))</f>
        <v/>
      </c>
      <c r="S52" s="13" t="str">
        <f aca="false">IF(COUNT(I53:I55)&lt;3,"",SUM(I53:I55))</f>
        <v/>
      </c>
      <c r="T52" s="13" t="str">
        <f aca="false">IF(COUNT(I53:I58)&lt;6,"",SUM(I53:I58))</f>
        <v/>
      </c>
      <c r="U52" s="13" t="str">
        <f aca="false">IF(COUNT(I53:I64)&lt;12,"",SUM(I53:I64))</f>
        <v/>
      </c>
      <c r="Y52" s="13" t="str">
        <f aca="false">IF(COUNT(D53:D53)&lt;1,"",SUM(D53:D53))</f>
        <v/>
      </c>
      <c r="Z52" s="13" t="str">
        <f aca="false">IF(COUNT(D53:D55)&lt;3,"",SUM(D53:D55))</f>
        <v/>
      </c>
      <c r="AA52" s="13" t="str">
        <f aca="false">IF(COUNT(D53:D58)&lt;6,"",SUM(D53:D58))</f>
        <v/>
      </c>
      <c r="AB52" s="13" t="str">
        <f aca="false">IF(COUNT(D53:D64)&lt;12,"",SUM(D53:D64))</f>
        <v/>
      </c>
    </row>
    <row r="53" customFormat="false" ht="15" hidden="false" customHeight="false" outlineLevel="0" collapsed="false">
      <c r="A53" s="8" t="n">
        <f aca="false">Base!A53</f>
        <v>39568</v>
      </c>
      <c r="B53" s="10" t="str">
        <f aca="false">IF(Base!T53="","",Base!T53)</f>
        <v/>
      </c>
      <c r="C53" s="11" t="str">
        <f aca="false">IF(B53="","",LN(B53))</f>
        <v/>
      </c>
      <c r="D53" s="13" t="str">
        <f aca="false">IF(OR(C53="",C52=""),"",C53-C52)</f>
        <v/>
      </c>
      <c r="E53" s="12" t="str">
        <f aca="false">IF(Base!U53="","",Base!U53)</f>
        <v/>
      </c>
      <c r="F53" s="11" t="str">
        <f aca="false">IF(E53="","",LN(E53))</f>
        <v/>
      </c>
      <c r="G53" s="13" t="str">
        <f aca="false">IF(OR(F53="",F52=""),"",F53-F52)</f>
        <v/>
      </c>
      <c r="R53" s="13" t="str">
        <f aca="false">IF(COUNT(I54:I54)&lt;1,"",SUM(I54:I54))</f>
        <v/>
      </c>
      <c r="S53" s="13" t="str">
        <f aca="false">IF(COUNT(I54:I56)&lt;3,"",SUM(I54:I56))</f>
        <v/>
      </c>
      <c r="T53" s="13" t="str">
        <f aca="false">IF(COUNT(I54:I59)&lt;6,"",SUM(I54:I59))</f>
        <v/>
      </c>
      <c r="U53" s="13" t="str">
        <f aca="false">IF(COUNT(I54:I65)&lt;12,"",SUM(I54:I65))</f>
        <v/>
      </c>
      <c r="Y53" s="13" t="str">
        <f aca="false">IF(COUNT(D54:D54)&lt;1,"",SUM(D54:D54))</f>
        <v/>
      </c>
      <c r="Z53" s="13" t="str">
        <f aca="false">IF(COUNT(D54:D56)&lt;3,"",SUM(D54:D56))</f>
        <v/>
      </c>
      <c r="AA53" s="13" t="str">
        <f aca="false">IF(COUNT(D54:D59)&lt;6,"",SUM(D54:D59))</f>
        <v/>
      </c>
      <c r="AB53" s="13" t="str">
        <f aca="false">IF(COUNT(D54:D65)&lt;12,"",SUM(D54:D65))</f>
        <v/>
      </c>
    </row>
    <row r="54" customFormat="false" ht="15" hidden="false" customHeight="false" outlineLevel="0" collapsed="false">
      <c r="A54" s="8" t="n">
        <f aca="false">Base!A54</f>
        <v>39599</v>
      </c>
      <c r="B54" s="10" t="str">
        <f aca="false">IF(Base!T54="","",Base!T54)</f>
        <v/>
      </c>
      <c r="C54" s="11" t="str">
        <f aca="false">IF(B54="","",LN(B54))</f>
        <v/>
      </c>
      <c r="D54" s="13" t="str">
        <f aca="false">IF(OR(C54="",C53=""),"",C54-C53)</f>
        <v/>
      </c>
      <c r="E54" s="12" t="str">
        <f aca="false">IF(Base!U54="","",Base!U54)</f>
        <v/>
      </c>
      <c r="F54" s="11" t="str">
        <f aca="false">IF(E54="","",LN(E54))</f>
        <v/>
      </c>
      <c r="G54" s="13" t="str">
        <f aca="false">IF(OR(F54="",F53=""),"",F54-F53)</f>
        <v/>
      </c>
      <c r="R54" s="13" t="str">
        <f aca="false">IF(COUNT(I55:I55)&lt;1,"",SUM(I55:I55))</f>
        <v/>
      </c>
      <c r="S54" s="13" t="str">
        <f aca="false">IF(COUNT(I55:I57)&lt;3,"",SUM(I55:I57))</f>
        <v/>
      </c>
      <c r="T54" s="13" t="str">
        <f aca="false">IF(COUNT(I55:I60)&lt;6,"",SUM(I55:I60))</f>
        <v/>
      </c>
      <c r="U54" s="13" t="str">
        <f aca="false">IF(COUNT(I55:I66)&lt;12,"",SUM(I55:I66))</f>
        <v/>
      </c>
      <c r="Y54" s="13" t="str">
        <f aca="false">IF(COUNT(D55:D55)&lt;1,"",SUM(D55:D55))</f>
        <v/>
      </c>
      <c r="Z54" s="13" t="str">
        <f aca="false">IF(COUNT(D55:D57)&lt;3,"",SUM(D55:D57))</f>
        <v/>
      </c>
      <c r="AA54" s="13" t="str">
        <f aca="false">IF(COUNT(D55:D60)&lt;6,"",SUM(D55:D60))</f>
        <v/>
      </c>
      <c r="AB54" s="13" t="str">
        <f aca="false">IF(COUNT(D55:D66)&lt;12,"",SUM(D55:D66))</f>
        <v/>
      </c>
    </row>
    <row r="55" customFormat="false" ht="15" hidden="false" customHeight="false" outlineLevel="0" collapsed="false">
      <c r="A55" s="8" t="n">
        <f aca="false">Base!A55</f>
        <v>39629</v>
      </c>
      <c r="B55" s="10" t="str">
        <f aca="false">IF(Base!T55="","",Base!T55)</f>
        <v/>
      </c>
      <c r="C55" s="11" t="str">
        <f aca="false">IF(B55="","",LN(B55))</f>
        <v/>
      </c>
      <c r="D55" s="13" t="str">
        <f aca="false">IF(OR(C55="",C54=""),"",C55-C54)</f>
        <v/>
      </c>
      <c r="E55" s="12" t="str">
        <f aca="false">IF(Base!U55="","",Base!U55)</f>
        <v/>
      </c>
      <c r="F55" s="11" t="str">
        <f aca="false">IF(E55="","",LN(E55))</f>
        <v/>
      </c>
      <c r="G55" s="13" t="str">
        <f aca="false">IF(OR(F55="",F54=""),"",F55-F54)</f>
        <v/>
      </c>
      <c r="R55" s="13" t="str">
        <f aca="false">IF(COUNT(I56:I56)&lt;1,"",SUM(I56:I56))</f>
        <v/>
      </c>
      <c r="S55" s="13" t="str">
        <f aca="false">IF(COUNT(I56:I58)&lt;3,"",SUM(I56:I58))</f>
        <v/>
      </c>
      <c r="T55" s="13" t="str">
        <f aca="false">IF(COUNT(I56:I61)&lt;6,"",SUM(I56:I61))</f>
        <v/>
      </c>
      <c r="U55" s="13" t="str">
        <f aca="false">IF(COUNT(I56:I67)&lt;12,"",SUM(I56:I67))</f>
        <v/>
      </c>
      <c r="Y55" s="13" t="str">
        <f aca="false">IF(COUNT(D56:D56)&lt;1,"",SUM(D56:D56))</f>
        <v/>
      </c>
      <c r="Z55" s="13" t="str">
        <f aca="false">IF(COUNT(D56:D58)&lt;3,"",SUM(D56:D58))</f>
        <v/>
      </c>
      <c r="AA55" s="13" t="str">
        <f aca="false">IF(COUNT(D56:D61)&lt;6,"",SUM(D56:D61))</f>
        <v/>
      </c>
      <c r="AB55" s="13" t="str">
        <f aca="false">IF(COUNT(D56:D67)&lt;12,"",SUM(D56:D67))</f>
        <v/>
      </c>
    </row>
    <row r="56" customFormat="false" ht="15" hidden="false" customHeight="false" outlineLevel="0" collapsed="false">
      <c r="A56" s="8" t="n">
        <f aca="false">Base!A56</f>
        <v>39660</v>
      </c>
      <c r="B56" s="10" t="str">
        <f aca="false">IF(Base!T56="","",Base!T56)</f>
        <v/>
      </c>
      <c r="C56" s="11" t="str">
        <f aca="false">IF(B56="","",LN(B56))</f>
        <v/>
      </c>
      <c r="D56" s="13" t="str">
        <f aca="false">IF(OR(C56="",C55=""),"",C56-C55)</f>
        <v/>
      </c>
      <c r="E56" s="12" t="str">
        <f aca="false">IF(Base!U56="","",Base!U56)</f>
        <v/>
      </c>
      <c r="F56" s="11" t="str">
        <f aca="false">IF(E56="","",LN(E56))</f>
        <v/>
      </c>
      <c r="G56" s="13" t="str">
        <f aca="false">IF(OR(F56="",F55=""),"",F56-F55)</f>
        <v/>
      </c>
      <c r="R56" s="13" t="str">
        <f aca="false">IF(COUNT(I57:I57)&lt;1,"",SUM(I57:I57))</f>
        <v/>
      </c>
      <c r="S56" s="13" t="str">
        <f aca="false">IF(COUNT(I57:I59)&lt;3,"",SUM(I57:I59))</f>
        <v/>
      </c>
      <c r="T56" s="13" t="str">
        <f aca="false">IF(COUNT(I57:I62)&lt;6,"",SUM(I57:I62))</f>
        <v/>
      </c>
      <c r="U56" s="13" t="str">
        <f aca="false">IF(COUNT(I57:I68)&lt;12,"",SUM(I57:I68))</f>
        <v/>
      </c>
      <c r="Y56" s="13" t="str">
        <f aca="false">IF(COUNT(D57:D57)&lt;1,"",SUM(D57:D57))</f>
        <v/>
      </c>
      <c r="Z56" s="13" t="str">
        <f aca="false">IF(COUNT(D57:D59)&lt;3,"",SUM(D57:D59))</f>
        <v/>
      </c>
      <c r="AA56" s="13" t="str">
        <f aca="false">IF(COUNT(D57:D62)&lt;6,"",SUM(D57:D62))</f>
        <v/>
      </c>
      <c r="AB56" s="13" t="str">
        <f aca="false">IF(COUNT(D57:D68)&lt;12,"",SUM(D57:D68))</f>
        <v/>
      </c>
    </row>
    <row r="57" customFormat="false" ht="15" hidden="false" customHeight="false" outlineLevel="0" collapsed="false">
      <c r="A57" s="8" t="n">
        <f aca="false">Base!A57</f>
        <v>39691</v>
      </c>
      <c r="B57" s="10" t="str">
        <f aca="false">IF(Base!T57="","",Base!T57)</f>
        <v/>
      </c>
      <c r="C57" s="11" t="str">
        <f aca="false">IF(B57="","",LN(B57))</f>
        <v/>
      </c>
      <c r="D57" s="13" t="str">
        <f aca="false">IF(OR(C57="",C56=""),"",C57-C56)</f>
        <v/>
      </c>
      <c r="E57" s="12" t="str">
        <f aca="false">IF(Base!U57="","",Base!U57)</f>
        <v/>
      </c>
      <c r="F57" s="11" t="str">
        <f aca="false">IF(E57="","",LN(E57))</f>
        <v/>
      </c>
      <c r="G57" s="13" t="str">
        <f aca="false">IF(OR(F57="",F56=""),"",F57-F56)</f>
        <v/>
      </c>
      <c r="R57" s="13" t="str">
        <f aca="false">IF(COUNT(I58:I58)&lt;1,"",SUM(I58:I58))</f>
        <v/>
      </c>
      <c r="S57" s="13" t="str">
        <f aca="false">IF(COUNT(I58:I60)&lt;3,"",SUM(I58:I60))</f>
        <v/>
      </c>
      <c r="T57" s="13" t="str">
        <f aca="false">IF(COUNT(I58:I63)&lt;6,"",SUM(I58:I63))</f>
        <v/>
      </c>
      <c r="U57" s="13" t="str">
        <f aca="false">IF(COUNT(I58:I69)&lt;12,"",SUM(I58:I69))</f>
        <v/>
      </c>
      <c r="Y57" s="13" t="str">
        <f aca="false">IF(COUNT(D58:D58)&lt;1,"",SUM(D58:D58))</f>
        <v/>
      </c>
      <c r="Z57" s="13" t="str">
        <f aca="false">IF(COUNT(D58:D60)&lt;3,"",SUM(D58:D60))</f>
        <v/>
      </c>
      <c r="AA57" s="13" t="str">
        <f aca="false">IF(COUNT(D58:D63)&lt;6,"",SUM(D58:D63))</f>
        <v/>
      </c>
      <c r="AB57" s="13" t="str">
        <f aca="false">IF(COUNT(D58:D69)&lt;12,"",SUM(D58:D69))</f>
        <v/>
      </c>
    </row>
    <row r="58" customFormat="false" ht="15" hidden="false" customHeight="false" outlineLevel="0" collapsed="false">
      <c r="A58" s="8" t="n">
        <f aca="false">Base!A58</f>
        <v>39721</v>
      </c>
      <c r="B58" s="10" t="str">
        <f aca="false">IF(Base!T58="","",Base!T58)</f>
        <v/>
      </c>
      <c r="C58" s="11" t="str">
        <f aca="false">IF(B58="","",LN(B58))</f>
        <v/>
      </c>
      <c r="D58" s="13" t="str">
        <f aca="false">IF(OR(C58="",C57=""),"",C58-C57)</f>
        <v/>
      </c>
      <c r="E58" s="12" t="str">
        <f aca="false">IF(Base!U58="","",Base!U58)</f>
        <v/>
      </c>
      <c r="F58" s="11" t="str">
        <f aca="false">IF(E58="","",LN(E58))</f>
        <v/>
      </c>
      <c r="G58" s="13" t="str">
        <f aca="false">IF(OR(F58="",F57=""),"",F58-F57)</f>
        <v/>
      </c>
      <c r="R58" s="13" t="str">
        <f aca="false">IF(COUNT(I59:I59)&lt;1,"",SUM(I59:I59))</f>
        <v/>
      </c>
      <c r="S58" s="13" t="str">
        <f aca="false">IF(COUNT(I59:I61)&lt;3,"",SUM(I59:I61))</f>
        <v/>
      </c>
      <c r="T58" s="13" t="str">
        <f aca="false">IF(COUNT(I59:I64)&lt;6,"",SUM(I59:I64))</f>
        <v/>
      </c>
      <c r="U58" s="13" t="str">
        <f aca="false">IF(COUNT(I59:I70)&lt;12,"",SUM(I59:I70))</f>
        <v/>
      </c>
      <c r="Y58" s="13" t="str">
        <f aca="false">IF(COUNT(D59:D59)&lt;1,"",SUM(D59:D59))</f>
        <v/>
      </c>
      <c r="Z58" s="13" t="str">
        <f aca="false">IF(COUNT(D59:D61)&lt;3,"",SUM(D59:D61))</f>
        <v/>
      </c>
      <c r="AA58" s="13" t="str">
        <f aca="false">IF(COUNT(D59:D64)&lt;6,"",SUM(D59:D64))</f>
        <v/>
      </c>
      <c r="AB58" s="13" t="str">
        <f aca="false">IF(COUNT(D59:D70)&lt;12,"",SUM(D59:D70))</f>
        <v/>
      </c>
    </row>
    <row r="59" customFormat="false" ht="15" hidden="false" customHeight="false" outlineLevel="0" collapsed="false">
      <c r="A59" s="8" t="n">
        <f aca="false">Base!A59</f>
        <v>39752</v>
      </c>
      <c r="B59" s="10" t="str">
        <f aca="false">IF(Base!T59="","",Base!T59)</f>
        <v/>
      </c>
      <c r="C59" s="11" t="str">
        <f aca="false">IF(B59="","",LN(B59))</f>
        <v/>
      </c>
      <c r="D59" s="13" t="str">
        <f aca="false">IF(OR(C59="",C58=""),"",C59-C58)</f>
        <v/>
      </c>
      <c r="E59" s="12" t="str">
        <f aca="false">IF(Base!U59="","",Base!U59)</f>
        <v/>
      </c>
      <c r="F59" s="11" t="str">
        <f aca="false">IF(E59="","",LN(E59))</f>
        <v/>
      </c>
      <c r="G59" s="13" t="str">
        <f aca="false">IF(OR(F59="",F58=""),"",F59-F58)</f>
        <v/>
      </c>
      <c r="R59" s="13" t="str">
        <f aca="false">IF(COUNT(I60:I60)&lt;1,"",SUM(I60:I60))</f>
        <v/>
      </c>
      <c r="S59" s="13" t="str">
        <f aca="false">IF(COUNT(I60:I62)&lt;3,"",SUM(I60:I62))</f>
        <v/>
      </c>
      <c r="T59" s="13" t="str">
        <f aca="false">IF(COUNT(I60:I65)&lt;6,"",SUM(I60:I65))</f>
        <v/>
      </c>
      <c r="U59" s="13" t="str">
        <f aca="false">IF(COUNT(I60:I71)&lt;12,"",SUM(I60:I71))</f>
        <v/>
      </c>
      <c r="Y59" s="13" t="str">
        <f aca="false">IF(COUNT(D60:D60)&lt;1,"",SUM(D60:D60))</f>
        <v/>
      </c>
      <c r="Z59" s="13" t="str">
        <f aca="false">IF(COUNT(D60:D62)&lt;3,"",SUM(D60:D62))</f>
        <v/>
      </c>
      <c r="AA59" s="13" t="str">
        <f aca="false">IF(COUNT(D60:D65)&lt;6,"",SUM(D60:D65))</f>
        <v/>
      </c>
      <c r="AB59" s="13" t="str">
        <f aca="false">IF(COUNT(D60:D71)&lt;12,"",SUM(D60:D71))</f>
        <v/>
      </c>
    </row>
    <row r="60" customFormat="false" ht="15" hidden="false" customHeight="false" outlineLevel="0" collapsed="false">
      <c r="A60" s="8" t="n">
        <f aca="false">Base!A60</f>
        <v>39782</v>
      </c>
      <c r="B60" s="10" t="str">
        <f aca="false">IF(Base!T60="","",Base!T60)</f>
        <v/>
      </c>
      <c r="C60" s="11" t="str">
        <f aca="false">IF(B60="","",LN(B60))</f>
        <v/>
      </c>
      <c r="D60" s="13" t="str">
        <f aca="false">IF(OR(C60="",C59=""),"",C60-C59)</f>
        <v/>
      </c>
      <c r="E60" s="12" t="str">
        <f aca="false">IF(Base!U60="","",Base!U60)</f>
        <v/>
      </c>
      <c r="F60" s="11" t="str">
        <f aca="false">IF(E60="","",LN(E60))</f>
        <v/>
      </c>
      <c r="G60" s="13" t="str">
        <f aca="false">IF(OR(F60="",F59=""),"",F60-F59)</f>
        <v/>
      </c>
      <c r="R60" s="13" t="str">
        <f aca="false">IF(COUNT(I61:I61)&lt;1,"",SUM(I61:I61))</f>
        <v/>
      </c>
      <c r="S60" s="13" t="str">
        <f aca="false">IF(COUNT(I61:I63)&lt;3,"",SUM(I61:I63))</f>
        <v/>
      </c>
      <c r="T60" s="13" t="str">
        <f aca="false">IF(COUNT(I61:I66)&lt;6,"",SUM(I61:I66))</f>
        <v/>
      </c>
      <c r="U60" s="13" t="str">
        <f aca="false">IF(COUNT(I61:I72)&lt;12,"",SUM(I61:I72))</f>
        <v/>
      </c>
      <c r="Y60" s="13" t="str">
        <f aca="false">IF(COUNT(D61:D61)&lt;1,"",SUM(D61:D61))</f>
        <v/>
      </c>
      <c r="Z60" s="13" t="str">
        <f aca="false">IF(COUNT(D61:D63)&lt;3,"",SUM(D61:D63))</f>
        <v/>
      </c>
      <c r="AA60" s="13" t="str">
        <f aca="false">IF(COUNT(D61:D66)&lt;6,"",SUM(D61:D66))</f>
        <v/>
      </c>
      <c r="AB60" s="13" t="str">
        <f aca="false">IF(COUNT(D61:D72)&lt;12,"",SUM(D61:D72))</f>
        <v/>
      </c>
    </row>
    <row r="61" customFormat="false" ht="15" hidden="false" customHeight="false" outlineLevel="0" collapsed="false">
      <c r="A61" s="8" t="n">
        <f aca="false">Base!A61</f>
        <v>39813</v>
      </c>
      <c r="B61" s="10" t="str">
        <f aca="false">IF(Base!T61="","",Base!T61)</f>
        <v/>
      </c>
      <c r="C61" s="11" t="str">
        <f aca="false">IF(B61="","",LN(B61))</f>
        <v/>
      </c>
      <c r="D61" s="13" t="str">
        <f aca="false">IF(OR(C61="",C60=""),"",C61-C60)</f>
        <v/>
      </c>
      <c r="E61" s="12" t="str">
        <f aca="false">IF(Base!U61="","",Base!U61)</f>
        <v/>
      </c>
      <c r="F61" s="11" t="str">
        <f aca="false">IF(E61="","",LN(E61))</f>
        <v/>
      </c>
      <c r="G61" s="13" t="str">
        <f aca="false">IF(OR(F61="",F60=""),"",F61-F60)</f>
        <v/>
      </c>
      <c r="R61" s="13" t="str">
        <f aca="false">IF(COUNT(I62:I62)&lt;1,"",SUM(I62:I62))</f>
        <v/>
      </c>
      <c r="S61" s="13" t="str">
        <f aca="false">IF(COUNT(I62:I64)&lt;3,"",SUM(I62:I64))</f>
        <v/>
      </c>
      <c r="T61" s="13" t="str">
        <f aca="false">IF(COUNT(I62:I67)&lt;6,"",SUM(I62:I67))</f>
        <v/>
      </c>
      <c r="U61" s="13" t="str">
        <f aca="false">IF(COUNT(I62:I73)&lt;12,"",SUM(I62:I73))</f>
        <v/>
      </c>
      <c r="Y61" s="13" t="str">
        <f aca="false">IF(COUNT(D62:D62)&lt;1,"",SUM(D62:D62))</f>
        <v/>
      </c>
      <c r="Z61" s="13" t="str">
        <f aca="false">IF(COUNT(D62:D64)&lt;3,"",SUM(D62:D64))</f>
        <v/>
      </c>
      <c r="AA61" s="13" t="str">
        <f aca="false">IF(COUNT(D62:D67)&lt;6,"",SUM(D62:D67))</f>
        <v/>
      </c>
      <c r="AB61" s="13" t="str">
        <f aca="false">IF(COUNT(D62:D73)&lt;12,"",SUM(D62:D73))</f>
        <v/>
      </c>
    </row>
    <row r="62" customFormat="false" ht="15" hidden="false" customHeight="false" outlineLevel="0" collapsed="false">
      <c r="A62" s="8" t="n">
        <f aca="false">Base!A62</f>
        <v>39844</v>
      </c>
      <c r="B62" s="10" t="str">
        <f aca="false">IF(Base!T62="","",Base!T62)</f>
        <v/>
      </c>
      <c r="C62" s="11" t="str">
        <f aca="false">IF(B62="","",LN(B62))</f>
        <v/>
      </c>
      <c r="D62" s="13" t="str">
        <f aca="false">IF(OR(C62="",C61=""),"",C62-C61)</f>
        <v/>
      </c>
      <c r="E62" s="12" t="str">
        <f aca="false">IF(Base!U62="","",Base!U62)</f>
        <v/>
      </c>
      <c r="F62" s="11" t="str">
        <f aca="false">IF(E62="","",LN(E62))</f>
        <v/>
      </c>
      <c r="G62" s="13" t="str">
        <f aca="false">IF(OR(F62="",F61=""),"",F62-F61)</f>
        <v/>
      </c>
      <c r="R62" s="13" t="str">
        <f aca="false">IF(COUNT(I63:I63)&lt;1,"",SUM(I63:I63))</f>
        <v/>
      </c>
      <c r="S62" s="13" t="str">
        <f aca="false">IF(COUNT(I63:I65)&lt;3,"",SUM(I63:I65))</f>
        <v/>
      </c>
      <c r="T62" s="13" t="str">
        <f aca="false">IF(COUNT(I63:I68)&lt;6,"",SUM(I63:I68))</f>
        <v/>
      </c>
      <c r="U62" s="13" t="str">
        <f aca="false">IF(COUNT(I63:I74)&lt;12,"",SUM(I63:I74))</f>
        <v/>
      </c>
      <c r="Y62" s="13" t="str">
        <f aca="false">IF(COUNT(D63:D63)&lt;1,"",SUM(D63:D63))</f>
        <v/>
      </c>
      <c r="Z62" s="13" t="str">
        <f aca="false">IF(COUNT(D63:D65)&lt;3,"",SUM(D63:D65))</f>
        <v/>
      </c>
      <c r="AA62" s="13" t="str">
        <f aca="false">IF(COUNT(D63:D68)&lt;6,"",SUM(D63:D68))</f>
        <v/>
      </c>
      <c r="AB62" s="13" t="str">
        <f aca="false">IF(COUNT(D63:D74)&lt;12,"",SUM(D63:D74))</f>
        <v/>
      </c>
    </row>
    <row r="63" customFormat="false" ht="15" hidden="false" customHeight="false" outlineLevel="0" collapsed="false">
      <c r="A63" s="8" t="n">
        <f aca="false">Base!A63</f>
        <v>39872</v>
      </c>
      <c r="B63" s="10" t="str">
        <f aca="false">IF(Base!T63="","",Base!T63)</f>
        <v/>
      </c>
      <c r="C63" s="11" t="str">
        <f aca="false">IF(B63="","",LN(B63))</f>
        <v/>
      </c>
      <c r="D63" s="13" t="str">
        <f aca="false">IF(OR(C63="",C62=""),"",C63-C62)</f>
        <v/>
      </c>
      <c r="E63" s="12" t="str">
        <f aca="false">IF(Base!U63="","",Base!U63)</f>
        <v/>
      </c>
      <c r="F63" s="11" t="str">
        <f aca="false">IF(E63="","",LN(E63))</f>
        <v/>
      </c>
      <c r="G63" s="13" t="str">
        <f aca="false">IF(OR(F63="",F62=""),"",F63-F62)</f>
        <v/>
      </c>
      <c r="R63" s="13" t="str">
        <f aca="false">IF(COUNT(I64:I64)&lt;1,"",SUM(I64:I64))</f>
        <v/>
      </c>
      <c r="S63" s="13" t="str">
        <f aca="false">IF(COUNT(I64:I66)&lt;3,"",SUM(I64:I66))</f>
        <v/>
      </c>
      <c r="T63" s="13" t="str">
        <f aca="false">IF(COUNT(I64:I69)&lt;6,"",SUM(I64:I69))</f>
        <v/>
      </c>
      <c r="U63" s="13" t="str">
        <f aca="false">IF(COUNT(I64:I75)&lt;12,"",SUM(I64:I75))</f>
        <v/>
      </c>
      <c r="Y63" s="13" t="str">
        <f aca="false">IF(COUNT(D64:D64)&lt;1,"",SUM(D64:D64))</f>
        <v/>
      </c>
      <c r="Z63" s="13" t="str">
        <f aca="false">IF(COUNT(D64:D66)&lt;3,"",SUM(D64:D66))</f>
        <v/>
      </c>
      <c r="AA63" s="13" t="str">
        <f aca="false">IF(COUNT(D64:D69)&lt;6,"",SUM(D64:D69))</f>
        <v/>
      </c>
      <c r="AB63" s="13" t="str">
        <f aca="false">IF(COUNT(D64:D75)&lt;12,"",SUM(D64:D75))</f>
        <v/>
      </c>
    </row>
    <row r="64" customFormat="false" ht="15" hidden="false" customHeight="false" outlineLevel="0" collapsed="false">
      <c r="A64" s="8" t="n">
        <f aca="false">Base!A64</f>
        <v>39903</v>
      </c>
      <c r="B64" s="10" t="str">
        <f aca="false">IF(Base!T64="","",Base!T64)</f>
        <v/>
      </c>
      <c r="C64" s="11" t="str">
        <f aca="false">IF(B64="","",LN(B64))</f>
        <v/>
      </c>
      <c r="D64" s="13" t="str">
        <f aca="false">IF(OR(C64="",C63=""),"",C64-C63)</f>
        <v/>
      </c>
      <c r="E64" s="12" t="str">
        <f aca="false">IF(Base!U64="","",Base!U64)</f>
        <v/>
      </c>
      <c r="F64" s="11" t="str">
        <f aca="false">IF(E64="","",LN(E64))</f>
        <v/>
      </c>
      <c r="G64" s="13" t="str">
        <f aca="false">IF(OR(F64="",F63=""),"",F64-F63)</f>
        <v/>
      </c>
      <c r="R64" s="13" t="str">
        <f aca="false">IF(COUNT(I65:I65)&lt;1,"",SUM(I65:I65))</f>
        <v/>
      </c>
      <c r="S64" s="13" t="str">
        <f aca="false">IF(COUNT(I65:I67)&lt;3,"",SUM(I65:I67))</f>
        <v/>
      </c>
      <c r="T64" s="13" t="str">
        <f aca="false">IF(COUNT(I65:I70)&lt;6,"",SUM(I65:I70))</f>
        <v/>
      </c>
      <c r="U64" s="13" t="str">
        <f aca="false">IF(COUNT(I65:I76)&lt;12,"",SUM(I65:I76))</f>
        <v/>
      </c>
      <c r="Y64" s="13" t="str">
        <f aca="false">IF(COUNT(D65:D65)&lt;1,"",SUM(D65:D65))</f>
        <v/>
      </c>
      <c r="Z64" s="13" t="str">
        <f aca="false">IF(COUNT(D65:D67)&lt;3,"",SUM(D65:D67))</f>
        <v/>
      </c>
      <c r="AA64" s="13" t="str">
        <f aca="false">IF(COUNT(D65:D70)&lt;6,"",SUM(D65:D70))</f>
        <v/>
      </c>
      <c r="AB64" s="13" t="str">
        <f aca="false">IF(COUNT(D65:D76)&lt;12,"",SUM(D65:D76))</f>
        <v/>
      </c>
    </row>
    <row r="65" customFormat="false" ht="15" hidden="false" customHeight="false" outlineLevel="0" collapsed="false">
      <c r="A65" s="8" t="n">
        <f aca="false">Base!A65</f>
        <v>39933</v>
      </c>
      <c r="B65" s="10" t="str">
        <f aca="false">IF(Base!T65="","",Base!T65)</f>
        <v/>
      </c>
      <c r="C65" s="11" t="str">
        <f aca="false">IF(B65="","",LN(B65))</f>
        <v/>
      </c>
      <c r="D65" s="13" t="str">
        <f aca="false">IF(OR(C65="",C64=""),"",C65-C64)</f>
        <v/>
      </c>
      <c r="E65" s="12" t="str">
        <f aca="false">IF(Base!U65="","",Base!U65)</f>
        <v/>
      </c>
      <c r="F65" s="11" t="str">
        <f aca="false">IF(E65="","",LN(E65))</f>
        <v/>
      </c>
      <c r="G65" s="13" t="str">
        <f aca="false">IF(OR(F65="",F64=""),"",F65-F64)</f>
        <v/>
      </c>
      <c r="R65" s="13" t="str">
        <f aca="false">IF(COUNT(I66:I66)&lt;1,"",SUM(I66:I66))</f>
        <v/>
      </c>
      <c r="S65" s="13" t="str">
        <f aca="false">IF(COUNT(I66:I68)&lt;3,"",SUM(I66:I68))</f>
        <v/>
      </c>
      <c r="T65" s="13" t="str">
        <f aca="false">IF(COUNT(I66:I71)&lt;6,"",SUM(I66:I71))</f>
        <v/>
      </c>
      <c r="U65" s="13" t="str">
        <f aca="false">IF(COUNT(I66:I77)&lt;12,"",SUM(I66:I77))</f>
        <v/>
      </c>
      <c r="Y65" s="13" t="str">
        <f aca="false">IF(COUNT(D66:D66)&lt;1,"",SUM(D66:D66))</f>
        <v/>
      </c>
      <c r="Z65" s="13" t="str">
        <f aca="false">IF(COUNT(D66:D68)&lt;3,"",SUM(D66:D68))</f>
        <v/>
      </c>
      <c r="AA65" s="13" t="str">
        <f aca="false">IF(COUNT(D66:D71)&lt;6,"",SUM(D66:D71))</f>
        <v/>
      </c>
      <c r="AB65" s="13" t="str">
        <f aca="false">IF(COUNT(D66:D77)&lt;12,"",SUM(D66:D77))</f>
        <v/>
      </c>
    </row>
    <row r="66" customFormat="false" ht="15" hidden="false" customHeight="false" outlineLevel="0" collapsed="false">
      <c r="A66" s="8" t="n">
        <f aca="false">Base!A66</f>
        <v>39964</v>
      </c>
      <c r="B66" s="10" t="str">
        <f aca="false">IF(Base!T66="","",Base!T66)</f>
        <v/>
      </c>
      <c r="C66" s="11" t="str">
        <f aca="false">IF(B66="","",LN(B66))</f>
        <v/>
      </c>
      <c r="D66" s="13" t="str">
        <f aca="false">IF(OR(C66="",C65=""),"",C66-C65)</f>
        <v/>
      </c>
      <c r="E66" s="12" t="str">
        <f aca="false">IF(Base!U66="","",Base!U66)</f>
        <v/>
      </c>
      <c r="F66" s="11" t="str">
        <f aca="false">IF(E66="","",LN(E66))</f>
        <v/>
      </c>
      <c r="G66" s="13" t="str">
        <f aca="false">IF(OR(F66="",F65=""),"",F66-F65)</f>
        <v/>
      </c>
      <c r="R66" s="13" t="str">
        <f aca="false">IF(COUNT(I67:I67)&lt;1,"",SUM(I67:I67))</f>
        <v/>
      </c>
      <c r="S66" s="13" t="str">
        <f aca="false">IF(COUNT(I67:I69)&lt;3,"",SUM(I67:I69))</f>
        <v/>
      </c>
      <c r="T66" s="13" t="str">
        <f aca="false">IF(COUNT(I67:I72)&lt;6,"",SUM(I67:I72))</f>
        <v/>
      </c>
      <c r="U66" s="13" t="str">
        <f aca="false">IF(COUNT(I67:I78)&lt;12,"",SUM(I67:I78))</f>
        <v/>
      </c>
      <c r="Y66" s="13" t="str">
        <f aca="false">IF(COUNT(D67:D67)&lt;1,"",SUM(D67:D67))</f>
        <v/>
      </c>
      <c r="Z66" s="13" t="str">
        <f aca="false">IF(COUNT(D67:D69)&lt;3,"",SUM(D67:D69))</f>
        <v/>
      </c>
      <c r="AA66" s="13" t="str">
        <f aca="false">IF(COUNT(D67:D72)&lt;6,"",SUM(D67:D72))</f>
        <v/>
      </c>
      <c r="AB66" s="13" t="str">
        <f aca="false">IF(COUNT(D67:D78)&lt;12,"",SUM(D67:D78))</f>
        <v/>
      </c>
    </row>
    <row r="67" customFormat="false" ht="15" hidden="false" customHeight="false" outlineLevel="0" collapsed="false">
      <c r="A67" s="8" t="n">
        <f aca="false">Base!A67</f>
        <v>39994</v>
      </c>
      <c r="B67" s="10" t="str">
        <f aca="false">IF(Base!T67="","",Base!T67)</f>
        <v/>
      </c>
      <c r="C67" s="11" t="str">
        <f aca="false">IF(B67="","",LN(B67))</f>
        <v/>
      </c>
      <c r="D67" s="13" t="str">
        <f aca="false">IF(OR(C67="",C66=""),"",C67-C66)</f>
        <v/>
      </c>
      <c r="E67" s="12" t="str">
        <f aca="false">IF(Base!U67="","",Base!U67)</f>
        <v/>
      </c>
      <c r="F67" s="11" t="str">
        <f aca="false">IF(E67="","",LN(E67))</f>
        <v/>
      </c>
      <c r="G67" s="13" t="str">
        <f aca="false">IF(OR(F67="",F66=""),"",F67-F66)</f>
        <v/>
      </c>
      <c r="R67" s="13" t="str">
        <f aca="false">IF(COUNT(I68:I68)&lt;1,"",SUM(I68:I68))</f>
        <v/>
      </c>
      <c r="S67" s="13" t="str">
        <f aca="false">IF(COUNT(I68:I70)&lt;3,"",SUM(I68:I70))</f>
        <v/>
      </c>
      <c r="T67" s="13" t="str">
        <f aca="false">IF(COUNT(I68:I73)&lt;6,"",SUM(I68:I73))</f>
        <v/>
      </c>
      <c r="U67" s="13" t="str">
        <f aca="false">IF(COUNT(I68:I79)&lt;12,"",SUM(I68:I79))</f>
        <v/>
      </c>
      <c r="Y67" s="13" t="str">
        <f aca="false">IF(COUNT(D68:D68)&lt;1,"",SUM(D68:D68))</f>
        <v/>
      </c>
      <c r="Z67" s="13" t="str">
        <f aca="false">IF(COUNT(D68:D70)&lt;3,"",SUM(D68:D70))</f>
        <v/>
      </c>
      <c r="AA67" s="13" t="str">
        <f aca="false">IF(COUNT(D68:D73)&lt;6,"",SUM(D68:D73))</f>
        <v/>
      </c>
      <c r="AB67" s="13" t="str">
        <f aca="false">IF(COUNT(D68:D79)&lt;12,"",SUM(D68:D79))</f>
        <v/>
      </c>
    </row>
    <row r="68" customFormat="false" ht="15" hidden="false" customHeight="false" outlineLevel="0" collapsed="false">
      <c r="A68" s="8" t="n">
        <f aca="false">Base!A68</f>
        <v>40025</v>
      </c>
      <c r="B68" s="10" t="str">
        <f aca="false">IF(Base!T68="","",Base!T68)</f>
        <v/>
      </c>
      <c r="C68" s="11" t="str">
        <f aca="false">IF(B68="","",LN(B68))</f>
        <v/>
      </c>
      <c r="D68" s="13" t="str">
        <f aca="false">IF(OR(C68="",C67=""),"",C68-C67)</f>
        <v/>
      </c>
      <c r="E68" s="12" t="str">
        <f aca="false">IF(Base!U68="","",Base!U68)</f>
        <v/>
      </c>
      <c r="F68" s="11" t="str">
        <f aca="false">IF(E68="","",LN(E68))</f>
        <v/>
      </c>
      <c r="G68" s="13" t="str">
        <f aca="false">IF(OR(F68="",F67=""),"",F68-F67)</f>
        <v/>
      </c>
      <c r="R68" s="13" t="str">
        <f aca="false">IF(COUNT(I69:I69)&lt;1,"",SUM(I69:I69))</f>
        <v/>
      </c>
      <c r="S68" s="13" t="str">
        <f aca="false">IF(COUNT(I69:I71)&lt;3,"",SUM(I69:I71))</f>
        <v/>
      </c>
      <c r="T68" s="13" t="str">
        <f aca="false">IF(COUNT(I69:I74)&lt;6,"",SUM(I69:I74))</f>
        <v/>
      </c>
      <c r="U68" s="13" t="str">
        <f aca="false">IF(COUNT(I69:I80)&lt;12,"",SUM(I69:I80))</f>
        <v/>
      </c>
      <c r="Y68" s="13" t="str">
        <f aca="false">IF(COUNT(D69:D69)&lt;1,"",SUM(D69:D69))</f>
        <v/>
      </c>
      <c r="Z68" s="13" t="str">
        <f aca="false">IF(COUNT(D69:D71)&lt;3,"",SUM(D69:D71))</f>
        <v/>
      </c>
      <c r="AA68" s="13" t="str">
        <f aca="false">IF(COUNT(D69:D74)&lt;6,"",SUM(D69:D74))</f>
        <v/>
      </c>
      <c r="AB68" s="13" t="str">
        <f aca="false">IF(COUNT(D69:D80)&lt;12,"",SUM(D69:D80))</f>
        <v/>
      </c>
    </row>
    <row r="69" customFormat="false" ht="15" hidden="false" customHeight="false" outlineLevel="0" collapsed="false">
      <c r="A69" s="8" t="n">
        <f aca="false">Base!A69</f>
        <v>40056</v>
      </c>
      <c r="B69" s="10" t="str">
        <f aca="false">IF(Base!T69="","",Base!T69)</f>
        <v/>
      </c>
      <c r="C69" s="11" t="str">
        <f aca="false">IF(B69="","",LN(B69))</f>
        <v/>
      </c>
      <c r="D69" s="13" t="str">
        <f aca="false">IF(OR(C69="",C68=""),"",C69-C68)</f>
        <v/>
      </c>
      <c r="E69" s="12" t="str">
        <f aca="false">IF(Base!U69="","",Base!U69)</f>
        <v/>
      </c>
      <c r="F69" s="11" t="str">
        <f aca="false">IF(E69="","",LN(E69))</f>
        <v/>
      </c>
      <c r="G69" s="13" t="str">
        <f aca="false">IF(OR(F69="",F68=""),"",F69-F68)</f>
        <v/>
      </c>
      <c r="R69" s="13" t="str">
        <f aca="false">IF(COUNT(I70:I70)&lt;1,"",SUM(I70:I70))</f>
        <v/>
      </c>
      <c r="S69" s="13" t="str">
        <f aca="false">IF(COUNT(I70:I72)&lt;3,"",SUM(I70:I72))</f>
        <v/>
      </c>
      <c r="T69" s="13" t="str">
        <f aca="false">IF(COUNT(I70:I75)&lt;6,"",SUM(I70:I75))</f>
        <v/>
      </c>
      <c r="U69" s="13" t="str">
        <f aca="false">IF(COUNT(I70:I81)&lt;12,"",SUM(I70:I81))</f>
        <v/>
      </c>
      <c r="Y69" s="13" t="str">
        <f aca="false">IF(COUNT(D70:D70)&lt;1,"",SUM(D70:D70))</f>
        <v/>
      </c>
      <c r="Z69" s="13" t="str">
        <f aca="false">IF(COUNT(D70:D72)&lt;3,"",SUM(D70:D72))</f>
        <v/>
      </c>
      <c r="AA69" s="13" t="str">
        <f aca="false">IF(COUNT(D70:D75)&lt;6,"",SUM(D70:D75))</f>
        <v/>
      </c>
      <c r="AB69" s="13" t="str">
        <f aca="false">IF(COUNT(D70:D81)&lt;12,"",SUM(D70:D81))</f>
        <v/>
      </c>
    </row>
    <row r="70" customFormat="false" ht="15" hidden="false" customHeight="false" outlineLevel="0" collapsed="false">
      <c r="A70" s="8" t="n">
        <f aca="false">Base!A70</f>
        <v>40086</v>
      </c>
      <c r="B70" s="10" t="str">
        <f aca="false">IF(Base!T70="","",Base!T70)</f>
        <v/>
      </c>
      <c r="C70" s="11" t="str">
        <f aca="false">IF(B70="","",LN(B70))</f>
        <v/>
      </c>
      <c r="D70" s="13" t="str">
        <f aca="false">IF(OR(C70="",C69=""),"",C70-C69)</f>
        <v/>
      </c>
      <c r="E70" s="12" t="str">
        <f aca="false">IF(Base!U70="","",Base!U70)</f>
        <v/>
      </c>
      <c r="F70" s="11" t="str">
        <f aca="false">IF(E70="","",LN(E70))</f>
        <v/>
      </c>
      <c r="G70" s="13" t="str">
        <f aca="false">IF(OR(F70="",F69=""),"",F70-F69)</f>
        <v/>
      </c>
      <c r="R70" s="13" t="str">
        <f aca="false">IF(COUNT(I71:I71)&lt;1,"",SUM(I71:I71))</f>
        <v/>
      </c>
      <c r="S70" s="13" t="str">
        <f aca="false">IF(COUNT(I71:I73)&lt;3,"",SUM(I71:I73))</f>
        <v/>
      </c>
      <c r="T70" s="13" t="str">
        <f aca="false">IF(COUNT(I71:I76)&lt;6,"",SUM(I71:I76))</f>
        <v/>
      </c>
      <c r="U70" s="13" t="str">
        <f aca="false">IF(COUNT(I71:I82)&lt;12,"",SUM(I71:I82))</f>
        <v/>
      </c>
      <c r="Y70" s="13" t="str">
        <f aca="false">IF(COUNT(D71:D71)&lt;1,"",SUM(D71:D71))</f>
        <v/>
      </c>
      <c r="Z70" s="13" t="str">
        <f aca="false">IF(COUNT(D71:D73)&lt;3,"",SUM(D71:D73))</f>
        <v/>
      </c>
      <c r="AA70" s="13" t="str">
        <f aca="false">IF(COUNT(D71:D76)&lt;6,"",SUM(D71:D76))</f>
        <v/>
      </c>
      <c r="AB70" s="13" t="str">
        <f aca="false">IF(COUNT(D71:D82)&lt;12,"",SUM(D71:D82))</f>
        <v/>
      </c>
    </row>
    <row r="71" customFormat="false" ht="15" hidden="false" customHeight="false" outlineLevel="0" collapsed="false">
      <c r="A71" s="8" t="n">
        <f aca="false">Base!A71</f>
        <v>40117</v>
      </c>
      <c r="B71" s="10" t="str">
        <f aca="false">IF(Base!T71="","",Base!T71)</f>
        <v/>
      </c>
      <c r="C71" s="11" t="str">
        <f aca="false">IF(B71="","",LN(B71))</f>
        <v/>
      </c>
      <c r="D71" s="13" t="str">
        <f aca="false">IF(OR(C71="",C70=""),"",C71-C70)</f>
        <v/>
      </c>
      <c r="E71" s="12" t="str">
        <f aca="false">IF(Base!U71="","",Base!U71)</f>
        <v/>
      </c>
      <c r="F71" s="11" t="str">
        <f aca="false">IF(E71="","",LN(E71))</f>
        <v/>
      </c>
      <c r="G71" s="13" t="str">
        <f aca="false">IF(OR(F71="",F70=""),"",F71-F70)</f>
        <v/>
      </c>
      <c r="R71" s="13" t="str">
        <f aca="false">IF(COUNT(I72:I72)&lt;1,"",SUM(I72:I72))</f>
        <v/>
      </c>
      <c r="S71" s="13" t="str">
        <f aca="false">IF(COUNT(I72:I74)&lt;3,"",SUM(I72:I74))</f>
        <v/>
      </c>
      <c r="T71" s="13" t="str">
        <f aca="false">IF(COUNT(I72:I77)&lt;6,"",SUM(I72:I77))</f>
        <v/>
      </c>
      <c r="U71" s="13" t="str">
        <f aca="false">IF(COUNT(I72:I83)&lt;12,"",SUM(I72:I83))</f>
        <v/>
      </c>
      <c r="Y71" s="13" t="str">
        <f aca="false">IF(COUNT(D72:D72)&lt;1,"",SUM(D72:D72))</f>
        <v/>
      </c>
      <c r="Z71" s="13" t="str">
        <f aca="false">IF(COUNT(D72:D74)&lt;3,"",SUM(D72:D74))</f>
        <v/>
      </c>
      <c r="AA71" s="13" t="str">
        <f aca="false">IF(COUNT(D72:D77)&lt;6,"",SUM(D72:D77))</f>
        <v/>
      </c>
      <c r="AB71" s="13" t="str">
        <f aca="false">IF(COUNT(D72:D83)&lt;12,"",SUM(D72:D83))</f>
        <v/>
      </c>
    </row>
    <row r="72" customFormat="false" ht="15" hidden="false" customHeight="false" outlineLevel="0" collapsed="false">
      <c r="A72" s="8" t="n">
        <f aca="false">Base!A72</f>
        <v>40147</v>
      </c>
      <c r="B72" s="10" t="str">
        <f aca="false">IF(Base!T72="","",Base!T72)</f>
        <v/>
      </c>
      <c r="C72" s="11" t="str">
        <f aca="false">IF(B72="","",LN(B72))</f>
        <v/>
      </c>
      <c r="D72" s="13" t="str">
        <f aca="false">IF(OR(C72="",C71=""),"",C72-C71)</f>
        <v/>
      </c>
      <c r="E72" s="12" t="str">
        <f aca="false">IF(Base!U72="","",Base!U72)</f>
        <v/>
      </c>
      <c r="F72" s="11" t="str">
        <f aca="false">IF(E72="","",LN(E72))</f>
        <v/>
      </c>
      <c r="G72" s="13" t="str">
        <f aca="false">IF(OR(F72="",F71=""),"",F72-F71)</f>
        <v/>
      </c>
      <c r="R72" s="13" t="str">
        <f aca="false">IF(COUNT(I73:I73)&lt;1,"",SUM(I73:I73))</f>
        <v/>
      </c>
      <c r="S72" s="13" t="str">
        <f aca="false">IF(COUNT(I73:I75)&lt;3,"",SUM(I73:I75))</f>
        <v/>
      </c>
      <c r="T72" s="13" t="str">
        <f aca="false">IF(COUNT(I73:I78)&lt;6,"",SUM(I73:I78))</f>
        <v/>
      </c>
      <c r="U72" s="13" t="str">
        <f aca="false">IF(COUNT(I73:I84)&lt;12,"",SUM(I73:I84))</f>
        <v/>
      </c>
      <c r="Y72" s="13" t="str">
        <f aca="false">IF(COUNT(D73:D73)&lt;1,"",SUM(D73:D73))</f>
        <v/>
      </c>
      <c r="Z72" s="13" t="str">
        <f aca="false">IF(COUNT(D73:D75)&lt;3,"",SUM(D73:D75))</f>
        <v/>
      </c>
      <c r="AA72" s="13" t="str">
        <f aca="false">IF(COUNT(D73:D78)&lt;6,"",SUM(D73:D78))</f>
        <v/>
      </c>
      <c r="AB72" s="13" t="str">
        <f aca="false">IF(COUNT(D73:D84)&lt;12,"",SUM(D73:D84))</f>
        <v/>
      </c>
    </row>
    <row r="73" customFormat="false" ht="15" hidden="false" customHeight="false" outlineLevel="0" collapsed="false">
      <c r="A73" s="8" t="n">
        <f aca="false">Base!A73</f>
        <v>40178</v>
      </c>
      <c r="B73" s="10" t="str">
        <f aca="false">IF(Base!T73="","",Base!T73)</f>
        <v/>
      </c>
      <c r="C73" s="11" t="str">
        <f aca="false">IF(B73="","",LN(B73))</f>
        <v/>
      </c>
      <c r="D73" s="13" t="str">
        <f aca="false">IF(OR(C73="",C72=""),"",C73-C72)</f>
        <v/>
      </c>
      <c r="E73" s="12" t="str">
        <f aca="false">IF(Base!U73="","",Base!U73)</f>
        <v/>
      </c>
      <c r="F73" s="11" t="str">
        <f aca="false">IF(E73="","",LN(E73))</f>
        <v/>
      </c>
      <c r="G73" s="13" t="str">
        <f aca="false">IF(OR(F73="",F72=""),"",F73-F72)</f>
        <v/>
      </c>
      <c r="R73" s="13" t="str">
        <f aca="false">IF(COUNT(I74:I74)&lt;1,"",SUM(I74:I74))</f>
        <v/>
      </c>
      <c r="S73" s="13" t="str">
        <f aca="false">IF(COUNT(I74:I76)&lt;3,"",SUM(I74:I76))</f>
        <v/>
      </c>
      <c r="T73" s="13" t="str">
        <f aca="false">IF(COUNT(I74:I79)&lt;6,"",SUM(I74:I79))</f>
        <v/>
      </c>
      <c r="U73" s="13" t="str">
        <f aca="false">IF(COUNT(I74:I85)&lt;12,"",SUM(I74:I85))</f>
        <v/>
      </c>
      <c r="Y73" s="13" t="str">
        <f aca="false">IF(COUNT(D74:D74)&lt;1,"",SUM(D74:D74))</f>
        <v/>
      </c>
      <c r="Z73" s="13" t="str">
        <f aca="false">IF(COUNT(D74:D76)&lt;3,"",SUM(D74:D76))</f>
        <v/>
      </c>
      <c r="AA73" s="13" t="str">
        <f aca="false">IF(COUNT(D74:D79)&lt;6,"",SUM(D74:D79))</f>
        <v/>
      </c>
      <c r="AB73" s="13" t="str">
        <f aca="false">IF(COUNT(D74:D85)&lt;12,"",SUM(D74:D85))</f>
        <v/>
      </c>
    </row>
    <row r="74" customFormat="false" ht="15" hidden="false" customHeight="false" outlineLevel="0" collapsed="false">
      <c r="A74" s="8" t="n">
        <f aca="false">Base!A74</f>
        <v>40209</v>
      </c>
      <c r="B74" s="10" t="n">
        <f aca="false">IF(Base!T74="","",Base!T74)</f>
        <v>0.881973806818588</v>
      </c>
      <c r="C74" s="11" t="n">
        <f aca="false">IF(B74="","",LN(B74))</f>
        <v>-0.125592920900919</v>
      </c>
      <c r="D74" s="13" t="str">
        <f aca="false">IF(OR(C74="",C73=""),"",C74-C73)</f>
        <v/>
      </c>
      <c r="E74" s="12" t="n">
        <f aca="false">IF(Base!U74="","",Base!U74)</f>
        <v>76.17</v>
      </c>
      <c r="F74" s="11" t="n">
        <f aca="false">IF(E74="","",LN(E74))</f>
        <v>4.3329676843847</v>
      </c>
      <c r="G74" s="13" t="str">
        <f aca="false">IF(OR(F74="",F73=""),"",F74-F73)</f>
        <v/>
      </c>
      <c r="R74" s="13" t="str">
        <f aca="false">IF(COUNT(I75:I75)&lt;1,"",SUM(I75:I75))</f>
        <v/>
      </c>
      <c r="S74" s="13" t="str">
        <f aca="false">IF(COUNT(I75:I77)&lt;3,"",SUM(I75:I77))</f>
        <v/>
      </c>
      <c r="T74" s="13" t="str">
        <f aca="false">IF(COUNT(I75:I80)&lt;6,"",SUM(I75:I80))</f>
        <v/>
      </c>
      <c r="U74" s="13" t="str">
        <f aca="false">IF(COUNT(I75:I86)&lt;12,"",SUM(I75:I86))</f>
        <v/>
      </c>
      <c r="Y74" s="13" t="n">
        <f aca="false">IF(COUNT(D75:D75)&lt;1,"",SUM(D75:D75))</f>
        <v>0.00351321856794723</v>
      </c>
      <c r="Z74" s="13" t="n">
        <f aca="false">IF(COUNT(D75:D77)&lt;3,"",SUM(D75:D77))</f>
        <v>0.0275375495251153</v>
      </c>
      <c r="AA74" s="13" t="n">
        <f aca="false">IF(COUNT(D75:D80)&lt;6,"",SUM(D75:D80))</f>
        <v>-0.0543634602693709</v>
      </c>
      <c r="AB74" s="13" t="n">
        <f aca="false">IF(COUNT(D75:D86)&lt;12,"",SUM(D75:D86))</f>
        <v>-0.149977503976948</v>
      </c>
    </row>
    <row r="75" customFormat="false" ht="15" hidden="false" customHeight="false" outlineLevel="0" collapsed="false">
      <c r="A75" s="8" t="n">
        <f aca="false">Base!A75</f>
        <v>40237</v>
      </c>
      <c r="B75" s="10" t="n">
        <f aca="false">IF(Base!T75="","",Base!T75)</f>
        <v>0.885077822923992</v>
      </c>
      <c r="C75" s="11" t="n">
        <f aca="false">IF(B75="","",LN(B75))</f>
        <v>-0.122079702332972</v>
      </c>
      <c r="D75" s="13" t="n">
        <f aca="false">IF(OR(C75="",C74=""),"",C75-C74)</f>
        <v>0.00351321856794723</v>
      </c>
      <c r="E75" s="12" t="n">
        <f aca="false">IF(Base!U75="","",Base!U75)</f>
        <v>73.75</v>
      </c>
      <c r="F75" s="11" t="n">
        <f aca="false">IF(E75="","",LN(E75))</f>
        <v>4.30068099521993</v>
      </c>
      <c r="G75" s="13" t="n">
        <f aca="false">IF(OR(F75="",F74=""),"",F75-F74)</f>
        <v>-0.0322866891647671</v>
      </c>
      <c r="J75" s="10" t="n">
        <f aca="false">IF(COUNT(Senal!V63:V74)=0,"",AVERAGE(Senal!V63:V74))</f>
        <v>0</v>
      </c>
      <c r="K75" s="10" t="n">
        <f aca="false">IF(J75="","",ABS(J75))</f>
        <v>0</v>
      </c>
      <c r="L75" s="10" t="str">
        <f aca="false">IF(OR(J75="",J74=""),"",ABS(J75-J74))</f>
        <v/>
      </c>
      <c r="M75" s="13" t="str">
        <f aca="false">IF(OR(J75="",I75=""),"",J75*I75-IF(L75="",0,L75)*Resumen!$B$8/10000)</f>
        <v/>
      </c>
      <c r="N75" s="13" t="n">
        <f aca="false">IF(OR(J75="",D75=""),"",J75*D75-IF(L75="",0,L75)*Resumen!$B$8/10000)</f>
        <v>0</v>
      </c>
      <c r="O75" s="13" t="str">
        <f aca="false">IF(M75="","",IF(COUNT(O$2:O74)=0,M75,SUM(M$2:M75)))</f>
        <v/>
      </c>
      <c r="P75" s="13" t="str">
        <f aca="false">IF(O75="","",MAX(O$2:O75))</f>
        <v/>
      </c>
      <c r="Q75" s="13" t="str">
        <f aca="false">IF(O75="","",O75-P75)</f>
        <v/>
      </c>
      <c r="R75" s="13" t="str">
        <f aca="false">IF(COUNT(I76:I76)&lt;1,"",SUM(I76:I76))</f>
        <v/>
      </c>
      <c r="S75" s="13" t="str">
        <f aca="false">IF(COUNT(I76:I78)&lt;3,"",SUM(I76:I78))</f>
        <v/>
      </c>
      <c r="T75" s="13" t="str">
        <f aca="false">IF(COUNT(I76:I81)&lt;6,"",SUM(I76:I81))</f>
        <v/>
      </c>
      <c r="U75" s="13" t="str">
        <f aca="false">IF(COUNT(I76:I87)&lt;12,"",SUM(I76:I87))</f>
        <v/>
      </c>
      <c r="V75" s="13" t="n">
        <f aca="false">IF(N75="","",SUM(N$2:N75))</f>
        <v>0</v>
      </c>
      <c r="W75" s="13" t="n">
        <f aca="false">IF(V75="","",MAX(V$2:V75))</f>
        <v>0</v>
      </c>
      <c r="X75" s="13" t="n">
        <f aca="false">IF(V75="","",V75-W75)</f>
        <v>0</v>
      </c>
      <c r="Y75" s="13" t="n">
        <f aca="false">IF(COUNT(D76:D76)&lt;1,"",SUM(D76:D76))</f>
        <v>-0.0708694840462345</v>
      </c>
      <c r="Z75" s="13" t="n">
        <f aca="false">IF(COUNT(D76:D78)&lt;3,"",SUM(D76:D78))</f>
        <v>-0.0535686735836035</v>
      </c>
      <c r="AA75" s="13" t="n">
        <f aca="false">IF(COUNT(D76:D81)&lt;6,"",SUM(D76:D81))</f>
        <v>-0.0357420177200156</v>
      </c>
      <c r="AB75" s="13" t="n">
        <f aca="false">IF(COUNT(D76:D87)&lt;12,"",SUM(D76:D87))</f>
        <v>-0.0539559524191444</v>
      </c>
    </row>
    <row r="76" customFormat="false" ht="15" hidden="false" customHeight="false" outlineLevel="0" collapsed="false">
      <c r="A76" s="8" t="n">
        <f aca="false">Base!A76</f>
        <v>40268</v>
      </c>
      <c r="B76" s="10" t="n">
        <f aca="false">IF(Base!T76="","",Base!T76)</f>
        <v>0.824523870117928</v>
      </c>
      <c r="C76" s="11" t="n">
        <f aca="false">IF(B76="","",LN(B76))</f>
        <v>-0.192949186379206</v>
      </c>
      <c r="D76" s="13" t="n">
        <f aca="false">IF(OR(C76="",C75=""),"",C76-C75)</f>
        <v>-0.0708694840462345</v>
      </c>
      <c r="E76" s="12" t="n">
        <f aca="false">IF(Base!U76="","",Base!U76)</f>
        <v>78.83</v>
      </c>
      <c r="F76" s="11" t="n">
        <f aca="false">IF(E76="","",LN(E76))</f>
        <v>4.36729363507182</v>
      </c>
      <c r="G76" s="13" t="n">
        <f aca="false">IF(OR(F76="",F75=""),"",F76-F75)</f>
        <v>0.0666126398518872</v>
      </c>
      <c r="J76" s="10" t="n">
        <f aca="false">IF(COUNT(Senal!V64:V75)=0,"",AVERAGE(Senal!V64:V75))</f>
        <v>0</v>
      </c>
      <c r="K76" s="10" t="n">
        <f aca="false">IF(J76="","",ABS(J76))</f>
        <v>0</v>
      </c>
      <c r="L76" s="10" t="n">
        <f aca="false">IF(OR(J76="",J75=""),"",ABS(J76-J75))</f>
        <v>0</v>
      </c>
      <c r="M76" s="13" t="str">
        <f aca="false">IF(OR(J76="",I76=""),"",J76*I76-IF(L76="",0,L76)*Resumen!$B$8/10000)</f>
        <v/>
      </c>
      <c r="N76" s="13" t="n">
        <f aca="false">IF(OR(J76="",D76=""),"",J76*D76-IF(L76="",0,L76)*Resumen!$B$8/10000)</f>
        <v>-0</v>
      </c>
      <c r="O76" s="13" t="str">
        <f aca="false">IF(M76="","",IF(COUNT(O$2:O75)=0,M76,SUM(M$2:M76)))</f>
        <v/>
      </c>
      <c r="P76" s="13" t="str">
        <f aca="false">IF(O76="","",MAX(O$2:O76))</f>
        <v/>
      </c>
      <c r="Q76" s="13" t="str">
        <f aca="false">IF(O76="","",O76-P76)</f>
        <v/>
      </c>
      <c r="R76" s="13" t="str">
        <f aca="false">IF(COUNT(I77:I77)&lt;1,"",SUM(I77:I77))</f>
        <v/>
      </c>
      <c r="S76" s="13" t="str">
        <f aca="false">IF(COUNT(I77:I79)&lt;3,"",SUM(I77:I79))</f>
        <v/>
      </c>
      <c r="T76" s="13" t="str">
        <f aca="false">IF(COUNT(I77:I82)&lt;6,"",SUM(I77:I82))</f>
        <v/>
      </c>
      <c r="U76" s="13" t="str">
        <f aca="false">IF(COUNT(I77:I88)&lt;12,"",SUM(I77:I88))</f>
        <v/>
      </c>
      <c r="V76" s="13" t="n">
        <f aca="false">IF(N76="","",SUM(N$2:N76))</f>
        <v>0</v>
      </c>
      <c r="W76" s="13" t="n">
        <f aca="false">IF(V76="","",MAX(V$2:V76))</f>
        <v>0</v>
      </c>
      <c r="X76" s="13" t="n">
        <f aca="false">IF(V76="","",V76-W76)</f>
        <v>0</v>
      </c>
      <c r="Y76" s="13" t="n">
        <f aca="false">IF(COUNT(D77:D77)&lt;1,"",SUM(D77:D77))</f>
        <v>0.0948938150034026</v>
      </c>
      <c r="Z76" s="13" t="n">
        <f aca="false">IF(COUNT(D77:D79)&lt;3,"",SUM(D77:D79))</f>
        <v>0.0351753118367852</v>
      </c>
      <c r="AA76" s="13" t="n">
        <f aca="false">IF(COUNT(D77:D82)&lt;6,"",SUM(D77:D82))</f>
        <v>-0.0745221759589717</v>
      </c>
      <c r="AB76" s="13" t="n">
        <f aca="false">IF(COUNT(D77:D88)&lt;12,"",SUM(D77:D88))</f>
        <v>-0.144876870107542</v>
      </c>
    </row>
    <row r="77" customFormat="false" ht="15" hidden="false" customHeight="false" outlineLevel="0" collapsed="false">
      <c r="A77" s="8" t="n">
        <f aca="false">Base!A77</f>
        <v>40298</v>
      </c>
      <c r="B77" s="10" t="n">
        <f aca="false">IF(Base!T77="","",Base!T77)</f>
        <v>0.906598702746612</v>
      </c>
      <c r="C77" s="11" t="n">
        <f aca="false">IF(B77="","",LN(B77))</f>
        <v>-0.0980553713758035</v>
      </c>
      <c r="D77" s="13" t="n">
        <f aca="false">IF(OR(C77="",C76=""),"",C77-C76)</f>
        <v>0.0948938150034026</v>
      </c>
      <c r="E77" s="12" t="n">
        <f aca="false">IF(Base!U77="","",Base!U77)</f>
        <v>84.82</v>
      </c>
      <c r="F77" s="11" t="n">
        <f aca="false">IF(E77="","",LN(E77))</f>
        <v>4.44053136404644</v>
      </c>
      <c r="G77" s="13" t="n">
        <f aca="false">IF(OR(F77="",F76=""),"",F77-F76)</f>
        <v>0.073237728974628</v>
      </c>
      <c r="J77" s="10" t="n">
        <f aca="false">IF(COUNT(Senal!V65:V76)=0,"",AVERAGE(Senal!V65:V76))</f>
        <v>0</v>
      </c>
      <c r="K77" s="10" t="n">
        <f aca="false">IF(J77="","",ABS(J77))</f>
        <v>0</v>
      </c>
      <c r="L77" s="10" t="n">
        <f aca="false">IF(OR(J77="",J76=""),"",ABS(J77-J76))</f>
        <v>0</v>
      </c>
      <c r="M77" s="13" t="str">
        <f aca="false">IF(OR(J77="",I77=""),"",J77*I77-IF(L77="",0,L77)*Resumen!$B$8/10000)</f>
        <v/>
      </c>
      <c r="N77" s="13" t="n">
        <f aca="false">IF(OR(J77="",D77=""),"",J77*D77-IF(L77="",0,L77)*Resumen!$B$8/10000)</f>
        <v>0</v>
      </c>
      <c r="O77" s="13" t="str">
        <f aca="false">IF(M77="","",IF(COUNT(O$2:O76)=0,M77,SUM(M$2:M77)))</f>
        <v/>
      </c>
      <c r="P77" s="13" t="str">
        <f aca="false">IF(O77="","",MAX(O$2:O77))</f>
        <v/>
      </c>
      <c r="Q77" s="13" t="str">
        <f aca="false">IF(O77="","",O77-P77)</f>
        <v/>
      </c>
      <c r="R77" s="13" t="str">
        <f aca="false">IF(COUNT(I78:I78)&lt;1,"",SUM(I78:I78))</f>
        <v/>
      </c>
      <c r="S77" s="13" t="str">
        <f aca="false">IF(COUNT(I78:I80)&lt;3,"",SUM(I78:I80))</f>
        <v/>
      </c>
      <c r="T77" s="13" t="str">
        <f aca="false">IF(COUNT(I78:I83)&lt;6,"",SUM(I78:I83))</f>
        <v/>
      </c>
      <c r="U77" s="13" t="str">
        <f aca="false">IF(COUNT(I78:I89)&lt;12,"",SUM(I78:I89))</f>
        <v/>
      </c>
      <c r="V77" s="13" t="n">
        <f aca="false">IF(N77="","",SUM(N$2:N77))</f>
        <v>0</v>
      </c>
      <c r="W77" s="13" t="n">
        <f aca="false">IF(V77="","",MAX(V$2:V77))</f>
        <v>0</v>
      </c>
      <c r="X77" s="13" t="n">
        <f aca="false">IF(V77="","",V77-W77)</f>
        <v>0</v>
      </c>
      <c r="Y77" s="13" t="n">
        <f aca="false">IF(COUNT(D78:D78)&lt;1,"",SUM(D78:D78))</f>
        <v>-0.0775930045407716</v>
      </c>
      <c r="Z77" s="13" t="n">
        <f aca="false">IF(COUNT(D78:D80)&lt;3,"",SUM(D78:D80))</f>
        <v>-0.0819010097944862</v>
      </c>
      <c r="AA77" s="13" t="n">
        <f aca="false">IF(COUNT(D78:D83)&lt;6,"",SUM(D78:D83))</f>
        <v>-0.295803251430887</v>
      </c>
      <c r="AB77" s="13" t="n">
        <f aca="false">IF(COUNT(D78:D89)&lt;12,"",SUM(D78:D89))</f>
        <v>-0.181176987440645</v>
      </c>
    </row>
    <row r="78" customFormat="false" ht="15" hidden="false" customHeight="false" outlineLevel="0" collapsed="false">
      <c r="A78" s="8" t="n">
        <f aca="false">Base!A78</f>
        <v>40329</v>
      </c>
      <c r="B78" s="10" t="n">
        <f aca="false">IF(Base!T78="","",Base!T78)</f>
        <v>0.838912913466038</v>
      </c>
      <c r="C78" s="11" t="n">
        <f aca="false">IF(B78="","",LN(B78))</f>
        <v>-0.175648375916575</v>
      </c>
      <c r="D78" s="13" t="n">
        <f aca="false">IF(OR(C78="",C77=""),"",C78-C77)</f>
        <v>-0.0775930045407716</v>
      </c>
      <c r="E78" s="12" t="n">
        <f aca="false">IF(Base!U78="","",Base!U78)</f>
        <v>75.95</v>
      </c>
      <c r="F78" s="11" t="n">
        <f aca="false">IF(E78="","",LN(E78))</f>
        <v>4.33007522904178</v>
      </c>
      <c r="G78" s="13" t="n">
        <f aca="false">IF(OR(F78="",F77=""),"",F78-F77)</f>
        <v>-0.110456135004663</v>
      </c>
      <c r="J78" s="10" t="n">
        <f aca="false">IF(COUNT(Senal!V66:V77)=0,"",AVERAGE(Senal!V66:V77))</f>
        <v>0</v>
      </c>
      <c r="K78" s="10" t="n">
        <f aca="false">IF(J78="","",ABS(J78))</f>
        <v>0</v>
      </c>
      <c r="L78" s="10" t="n">
        <f aca="false">IF(OR(J78="",J77=""),"",ABS(J78-J77))</f>
        <v>0</v>
      </c>
      <c r="M78" s="13" t="str">
        <f aca="false">IF(OR(J78="",I78=""),"",J78*I78-IF(L78="",0,L78)*Resumen!$B$8/10000)</f>
        <v/>
      </c>
      <c r="N78" s="13" t="n">
        <f aca="false">IF(OR(J78="",D78=""),"",J78*D78-IF(L78="",0,L78)*Resumen!$B$8/10000)</f>
        <v>-0</v>
      </c>
      <c r="O78" s="13" t="str">
        <f aca="false">IF(M78="","",IF(COUNT(O$2:O77)=0,M78,SUM(M$2:M78)))</f>
        <v/>
      </c>
      <c r="P78" s="13" t="str">
        <f aca="false">IF(O78="","",MAX(O$2:O78))</f>
        <v/>
      </c>
      <c r="Q78" s="13" t="str">
        <f aca="false">IF(O78="","",O78-P78)</f>
        <v/>
      </c>
      <c r="R78" s="13" t="str">
        <f aca="false">IF(COUNT(I79:I79)&lt;1,"",SUM(I79:I79))</f>
        <v/>
      </c>
      <c r="S78" s="13" t="str">
        <f aca="false">IF(COUNT(I79:I81)&lt;3,"",SUM(I79:I81))</f>
        <v/>
      </c>
      <c r="T78" s="13" t="str">
        <f aca="false">IF(COUNT(I79:I84)&lt;6,"",SUM(I79:I84))</f>
        <v/>
      </c>
      <c r="U78" s="13" t="str">
        <f aca="false">IF(COUNT(I79:I90)&lt;12,"",SUM(I79:I90))</f>
        <v/>
      </c>
      <c r="V78" s="13" t="n">
        <f aca="false">IF(N78="","",SUM(N$2:N78))</f>
        <v>0</v>
      </c>
      <c r="W78" s="13" t="n">
        <f aca="false">IF(V78="","",MAX(V$2:V78))</f>
        <v>0</v>
      </c>
      <c r="X78" s="13" t="n">
        <f aca="false">IF(V78="","",V78-W78)</f>
        <v>0</v>
      </c>
      <c r="Y78" s="13" t="n">
        <f aca="false">IF(COUNT(D79:D79)&lt;1,"",SUM(D79:D79))</f>
        <v>0.0178745013741543</v>
      </c>
      <c r="Z78" s="13" t="n">
        <f aca="false">IF(COUNT(D79:D81)&lt;3,"",SUM(D79:D81))</f>
        <v>0.017826655863588</v>
      </c>
      <c r="AA78" s="13" t="n">
        <f aca="false">IF(COUNT(D79:D84)&lt;6,"",SUM(D79:D84))</f>
        <v>-0.203361519247074</v>
      </c>
      <c r="AB78" s="13" t="n">
        <f aca="false">IF(COUNT(D79:D90)&lt;12,"",SUM(D79:D90))</f>
        <v>0.0242066928839421</v>
      </c>
    </row>
    <row r="79" customFormat="false" ht="15" hidden="false" customHeight="false" outlineLevel="0" collapsed="false">
      <c r="A79" s="8" t="n">
        <f aca="false">Base!A79</f>
        <v>40359</v>
      </c>
      <c r="B79" s="10" t="n">
        <f aca="false">IF(Base!T79="","",Base!T79)</f>
        <v>0.854042880972611</v>
      </c>
      <c r="C79" s="11" t="n">
        <f aca="false">IF(B79="","",LN(B79))</f>
        <v>-0.157773874542421</v>
      </c>
      <c r="D79" s="13" t="n">
        <f aca="false">IF(OR(C79="",C78=""),"",C79-C78)</f>
        <v>0.0178745013741543</v>
      </c>
      <c r="E79" s="12" t="n">
        <f aca="false">IF(Base!U79="","",Base!U79)</f>
        <v>74.76</v>
      </c>
      <c r="F79" s="11" t="n">
        <f aca="false">IF(E79="","",LN(E79))</f>
        <v>4.31428298258736</v>
      </c>
      <c r="G79" s="13" t="n">
        <f aca="false">IF(OR(F79="",F78=""),"",F79-F78)</f>
        <v>-0.0157922464544198</v>
      </c>
      <c r="J79" s="10" t="n">
        <f aca="false">IF(COUNT(Senal!V67:V78)=0,"",AVERAGE(Senal!V67:V78))</f>
        <v>0</v>
      </c>
      <c r="K79" s="10" t="n">
        <f aca="false">IF(J79="","",ABS(J79))</f>
        <v>0</v>
      </c>
      <c r="L79" s="10" t="n">
        <f aca="false">IF(OR(J79="",J78=""),"",ABS(J79-J78))</f>
        <v>0</v>
      </c>
      <c r="M79" s="13" t="str">
        <f aca="false">IF(OR(J79="",I79=""),"",J79*I79-IF(L79="",0,L79)*Resumen!$B$8/10000)</f>
        <v/>
      </c>
      <c r="N79" s="13" t="n">
        <f aca="false">IF(OR(J79="",D79=""),"",J79*D79-IF(L79="",0,L79)*Resumen!$B$8/10000)</f>
        <v>0</v>
      </c>
      <c r="O79" s="13" t="str">
        <f aca="false">IF(M79="","",IF(COUNT(O$2:O78)=0,M79,SUM(M$2:M79)))</f>
        <v/>
      </c>
      <c r="P79" s="13" t="str">
        <f aca="false">IF(O79="","",MAX(O$2:O79))</f>
        <v/>
      </c>
      <c r="Q79" s="13" t="str">
        <f aca="false">IF(O79="","",O79-P79)</f>
        <v/>
      </c>
      <c r="R79" s="13" t="str">
        <f aca="false">IF(COUNT(I80:I80)&lt;1,"",SUM(I80:I80))</f>
        <v/>
      </c>
      <c r="S79" s="13" t="str">
        <f aca="false">IF(COUNT(I80:I82)&lt;3,"",SUM(I80:I82))</f>
        <v/>
      </c>
      <c r="T79" s="13" t="str">
        <f aca="false">IF(COUNT(I80:I85)&lt;6,"",SUM(I80:I85))</f>
        <v/>
      </c>
      <c r="U79" s="13" t="str">
        <f aca="false">IF(COUNT(I80:I91)&lt;12,"",SUM(I80:I91))</f>
        <v/>
      </c>
      <c r="V79" s="13" t="n">
        <f aca="false">IF(N79="","",SUM(N$2:N79))</f>
        <v>0</v>
      </c>
      <c r="W79" s="13" t="n">
        <f aca="false">IF(V79="","",MAX(V$2:V79))</f>
        <v>0</v>
      </c>
      <c r="X79" s="13" t="n">
        <f aca="false">IF(V79="","",V79-W79)</f>
        <v>0</v>
      </c>
      <c r="Y79" s="13" t="n">
        <f aca="false">IF(COUNT(D80:D80)&lt;1,"",SUM(D80:D80))</f>
        <v>-0.0221825066278689</v>
      </c>
      <c r="Z79" s="13" t="n">
        <f aca="false">IF(COUNT(D80:D82)&lt;3,"",SUM(D80:D82))</f>
        <v>-0.109697487795757</v>
      </c>
      <c r="AA79" s="13" t="n">
        <f aca="false">IF(COUNT(D80:D85)&lt;6,"",SUM(D80:D85))</f>
        <v>-0.102731912224279</v>
      </c>
      <c r="AB79" s="13" t="n">
        <f aca="false">IF(COUNT(D80:D91)&lt;12,"",SUM(D80:D91))</f>
        <v>-0.102636443214609</v>
      </c>
    </row>
    <row r="80" customFormat="false" ht="15" hidden="false" customHeight="false" outlineLevel="0" collapsed="false">
      <c r="A80" s="8" t="n">
        <f aca="false">Base!A80</f>
        <v>40390</v>
      </c>
      <c r="B80" s="10" t="n">
        <f aca="false">IF(Base!T80="","",Base!T80)</f>
        <v>0.835306645714991</v>
      </c>
      <c r="C80" s="11" t="n">
        <f aca="false">IF(B80="","",LN(B80))</f>
        <v>-0.17995638117029</v>
      </c>
      <c r="D80" s="13" t="n">
        <f aca="false">IF(OR(C80="",C79=""),"",C80-C79)</f>
        <v>-0.0221825066278689</v>
      </c>
      <c r="E80" s="12" t="n">
        <f aca="false">IF(Base!U80="","",Base!U80)</f>
        <v>75.58</v>
      </c>
      <c r="F80" s="11" t="n">
        <f aca="false">IF(E80="","",LN(E80))</f>
        <v>4.32519169792134</v>
      </c>
      <c r="G80" s="13" t="n">
        <f aca="false">IF(OR(F80="",F79=""),"",F80-F79)</f>
        <v>0.0109087153339811</v>
      </c>
      <c r="J80" s="10" t="n">
        <f aca="false">IF(COUNT(Senal!V68:V79)=0,"",AVERAGE(Senal!V68:V79))</f>
        <v>0</v>
      </c>
      <c r="K80" s="10" t="n">
        <f aca="false">IF(J80="","",ABS(J80))</f>
        <v>0</v>
      </c>
      <c r="L80" s="10" t="n">
        <f aca="false">IF(OR(J80="",J79=""),"",ABS(J80-J79))</f>
        <v>0</v>
      </c>
      <c r="M80" s="13" t="str">
        <f aca="false">IF(OR(J80="",I80=""),"",J80*I80-IF(L80="",0,L80)*Resumen!$B$8/10000)</f>
        <v/>
      </c>
      <c r="N80" s="13" t="n">
        <f aca="false">IF(OR(J80="",D80=""),"",J80*D80-IF(L80="",0,L80)*Resumen!$B$8/10000)</f>
        <v>-0</v>
      </c>
      <c r="O80" s="13" t="str">
        <f aca="false">IF(M80="","",IF(COUNT(O$2:O79)=0,M80,SUM(M$2:M80)))</f>
        <v/>
      </c>
      <c r="P80" s="13" t="str">
        <f aca="false">IF(O80="","",MAX(O$2:O80))</f>
        <v/>
      </c>
      <c r="Q80" s="13" t="str">
        <f aca="false">IF(O80="","",O80-P80)</f>
        <v/>
      </c>
      <c r="R80" s="13" t="str">
        <f aca="false">IF(COUNT(I81:I81)&lt;1,"",SUM(I81:I81))</f>
        <v/>
      </c>
      <c r="S80" s="13" t="str">
        <f aca="false">IF(COUNT(I81:I83)&lt;3,"",SUM(I81:I83))</f>
        <v/>
      </c>
      <c r="T80" s="13" t="str">
        <f aca="false">IF(COUNT(I81:I86)&lt;6,"",SUM(I81:I86))</f>
        <v/>
      </c>
      <c r="U80" s="13" t="str">
        <f aca="false">IF(COUNT(I81:I92)&lt;12,"",SUM(I81:I92))</f>
        <v/>
      </c>
      <c r="V80" s="13" t="n">
        <f aca="false">IF(N80="","",SUM(N$2:N80))</f>
        <v>0</v>
      </c>
      <c r="W80" s="13" t="n">
        <f aca="false">IF(V80="","",MAX(V$2:V80))</f>
        <v>0</v>
      </c>
      <c r="X80" s="13" t="n">
        <f aca="false">IF(V80="","",V80-W80)</f>
        <v>0</v>
      </c>
      <c r="Y80" s="13" t="n">
        <f aca="false">IF(COUNT(D81:D81)&lt;1,"",SUM(D81:D81))</f>
        <v>0.0221346611173026</v>
      </c>
      <c r="Z80" s="13" t="n">
        <f aca="false">IF(COUNT(D81:D83)&lt;3,"",SUM(D81:D83))</f>
        <v>-0.213902241636401</v>
      </c>
      <c r="AA80" s="13" t="n">
        <f aca="false">IF(COUNT(D81:D86)&lt;6,"",SUM(D81:D86))</f>
        <v>-0.095614043707577</v>
      </c>
      <c r="AB80" s="13" t="n">
        <f aca="false">IF(COUNT(D81:D92)&lt;12,"",SUM(D81:D92))</f>
        <v>-0.0916665067909284</v>
      </c>
    </row>
    <row r="81" customFormat="false" ht="15" hidden="false" customHeight="false" outlineLevel="0" collapsed="false">
      <c r="A81" s="8" t="n">
        <f aca="false">Base!A81</f>
        <v>40421</v>
      </c>
      <c r="B81" s="10" t="n">
        <f aca="false">IF(Base!T81="","",Base!T81)</f>
        <v>0.854002019832444</v>
      </c>
      <c r="C81" s="11" t="n">
        <f aca="false">IF(B81="","",LN(B81))</f>
        <v>-0.157821720052987</v>
      </c>
      <c r="D81" s="13" t="n">
        <f aca="false">IF(OR(C81="",C80=""),"",C81-C80)</f>
        <v>0.0221346611173026</v>
      </c>
      <c r="E81" s="12" t="n">
        <f aca="false">IF(Base!U81="","",Base!U81)</f>
        <v>77.04</v>
      </c>
      <c r="F81" s="11" t="n">
        <f aca="false">IF(E81="","",LN(E81))</f>
        <v>4.34432476748987</v>
      </c>
      <c r="G81" s="13" t="n">
        <f aca="false">IF(OR(F81="",F80=""),"",F81-F80)</f>
        <v>0.019133069568527</v>
      </c>
      <c r="J81" s="10" t="n">
        <f aca="false">IF(COUNT(Senal!V69:V80)=0,"",AVERAGE(Senal!V69:V80))</f>
        <v>0</v>
      </c>
      <c r="K81" s="10" t="n">
        <f aca="false">IF(J81="","",ABS(J81))</f>
        <v>0</v>
      </c>
      <c r="L81" s="10" t="n">
        <f aca="false">IF(OR(J81="",J80=""),"",ABS(J81-J80))</f>
        <v>0</v>
      </c>
      <c r="M81" s="13" t="str">
        <f aca="false">IF(OR(J81="",I81=""),"",J81*I81-IF(L81="",0,L81)*Resumen!$B$8/10000)</f>
        <v/>
      </c>
      <c r="N81" s="13" t="n">
        <f aca="false">IF(OR(J81="",D81=""),"",J81*D81-IF(L81="",0,L81)*Resumen!$B$8/10000)</f>
        <v>0</v>
      </c>
      <c r="O81" s="13" t="str">
        <f aca="false">IF(M81="","",IF(COUNT(O$2:O80)=0,M81,SUM(M$2:M81)))</f>
        <v/>
      </c>
      <c r="P81" s="13" t="str">
        <f aca="false">IF(O81="","",MAX(O$2:O81))</f>
        <v/>
      </c>
      <c r="Q81" s="13" t="str">
        <f aca="false">IF(O81="","",O81-P81)</f>
        <v/>
      </c>
      <c r="R81" s="13" t="str">
        <f aca="false">IF(COUNT(I82:I82)&lt;1,"",SUM(I82:I82))</f>
        <v/>
      </c>
      <c r="S81" s="13" t="str">
        <f aca="false">IF(COUNT(I82:I84)&lt;3,"",SUM(I82:I84))</f>
        <v/>
      </c>
      <c r="T81" s="13" t="str">
        <f aca="false">IF(COUNT(I82:I87)&lt;6,"",SUM(I82:I87))</f>
        <v/>
      </c>
      <c r="U81" s="13" t="str">
        <f aca="false">IF(COUNT(I82:I93)&lt;12,"",SUM(I82:I93))</f>
        <v/>
      </c>
      <c r="V81" s="13" t="n">
        <f aca="false">IF(N81="","",SUM(N$2:N81))</f>
        <v>0</v>
      </c>
      <c r="W81" s="13" t="n">
        <f aca="false">IF(V81="","",MAX(V$2:V81))</f>
        <v>0</v>
      </c>
      <c r="X81" s="13" t="n">
        <f aca="false">IF(V81="","",V81-W81)</f>
        <v>0</v>
      </c>
      <c r="Y81" s="13" t="n">
        <f aca="false">IF(COUNT(D82:D82)&lt;1,"",SUM(D82:D82))</f>
        <v>-0.109649642285191</v>
      </c>
      <c r="Z81" s="13" t="n">
        <f aca="false">IF(COUNT(D82:D84)&lt;3,"",SUM(D82:D84))</f>
        <v>-0.221188175110662</v>
      </c>
      <c r="AA81" s="13" t="n">
        <f aca="false">IF(COUNT(D82:D87)&lt;6,"",SUM(D82:D87))</f>
        <v>-0.0182139346991289</v>
      </c>
      <c r="AB81" s="13" t="n">
        <f aca="false">IF(COUNT(D82:D93)&lt;12,"",SUM(D82:D93))</f>
        <v>-0.0562555699108731</v>
      </c>
    </row>
    <row r="82" customFormat="false" ht="15" hidden="false" customHeight="false" outlineLevel="0" collapsed="false">
      <c r="A82" s="8" t="n">
        <f aca="false">Base!A82</f>
        <v>40451</v>
      </c>
      <c r="B82" s="10" t="n">
        <f aca="false">IF(Base!T82="","",Base!T82)</f>
        <v>0.765312247062326</v>
      </c>
      <c r="C82" s="11" t="n">
        <f aca="false">IF(B82="","",LN(B82))</f>
        <v>-0.267471362338178</v>
      </c>
      <c r="D82" s="13" t="n">
        <f aca="false">IF(OR(C82="",C81=""),"",C82-C81)</f>
        <v>-0.109649642285191</v>
      </c>
      <c r="E82" s="12" t="n">
        <f aca="false">IF(Base!U82="","",Base!U82)</f>
        <v>77.84</v>
      </c>
      <c r="F82" s="11" t="n">
        <f aca="false">IF(E82="","",LN(E82))</f>
        <v>4.35465543787775</v>
      </c>
      <c r="G82" s="13" t="n">
        <f aca="false">IF(OR(F82="",F81=""),"",F82-F81)</f>
        <v>0.0103306703878792</v>
      </c>
      <c r="J82" s="10" t="n">
        <f aca="false">IF(COUNT(Senal!V70:V81)=0,"",AVERAGE(Senal!V70:V81))</f>
        <v>0</v>
      </c>
      <c r="K82" s="10" t="n">
        <f aca="false">IF(J82="","",ABS(J82))</f>
        <v>0</v>
      </c>
      <c r="L82" s="10" t="n">
        <f aca="false">IF(OR(J82="",J81=""),"",ABS(J82-J81))</f>
        <v>0</v>
      </c>
      <c r="M82" s="13" t="str">
        <f aca="false">IF(OR(J82="",I82=""),"",J82*I82-IF(L82="",0,L82)*Resumen!$B$8/10000)</f>
        <v/>
      </c>
      <c r="N82" s="13" t="n">
        <f aca="false">IF(OR(J82="",D82=""),"",J82*D82-IF(L82="",0,L82)*Resumen!$B$8/10000)</f>
        <v>-0</v>
      </c>
      <c r="O82" s="13" t="str">
        <f aca="false">IF(M82="","",IF(COUNT(O$2:O81)=0,M82,SUM(M$2:M82)))</f>
        <v/>
      </c>
      <c r="P82" s="13" t="str">
        <f aca="false">IF(O82="","",MAX(O$2:O82))</f>
        <v/>
      </c>
      <c r="Q82" s="13" t="str">
        <f aca="false">IF(O82="","",O82-P82)</f>
        <v/>
      </c>
      <c r="R82" s="13" t="str">
        <f aca="false">IF(COUNT(I83:I83)&lt;1,"",SUM(I83:I83))</f>
        <v/>
      </c>
      <c r="S82" s="13" t="str">
        <f aca="false">IF(COUNT(I83:I85)&lt;3,"",SUM(I83:I85))</f>
        <v/>
      </c>
      <c r="T82" s="13" t="str">
        <f aca="false">IF(COUNT(I83:I88)&lt;6,"",SUM(I83:I88))</f>
        <v/>
      </c>
      <c r="U82" s="13" t="str">
        <f aca="false">IF(COUNT(I83:I94)&lt;12,"",SUM(I83:I94))</f>
        <v/>
      </c>
      <c r="V82" s="13" t="n">
        <f aca="false">IF(N82="","",SUM(N$2:N82))</f>
        <v>0</v>
      </c>
      <c r="W82" s="13" t="n">
        <f aca="false">IF(V82="","",MAX(V$2:V82))</f>
        <v>0</v>
      </c>
      <c r="X82" s="13" t="n">
        <f aca="false">IF(V82="","",V82-W82)</f>
        <v>0</v>
      </c>
      <c r="Y82" s="13" t="n">
        <f aca="false">IF(COUNT(D83:D83)&lt;1,"",SUM(D83:D83))</f>
        <v>-0.126387260468513</v>
      </c>
      <c r="Z82" s="13" t="n">
        <f aca="false">IF(COUNT(D83:D85)&lt;3,"",SUM(D83:D85))</f>
        <v>0.00696557557147831</v>
      </c>
      <c r="AA82" s="13" t="n">
        <f aca="false">IF(COUNT(D83:D88)&lt;6,"",SUM(D83:D88))</f>
        <v>-0.0703546941485705</v>
      </c>
      <c r="AB82" s="13" t="n">
        <f aca="false">IF(COUNT(D83:D94)&lt;12,"",SUM(D83:D94))</f>
        <v>0.251275688030505</v>
      </c>
    </row>
    <row r="83" customFormat="false" ht="15" hidden="false" customHeight="false" outlineLevel="0" collapsed="false">
      <c r="A83" s="8" t="n">
        <f aca="false">Base!A83</f>
        <v>40482</v>
      </c>
      <c r="B83" s="10" t="n">
        <f aca="false">IF(Base!T83="","",Base!T83)</f>
        <v>0.674449401263859</v>
      </c>
      <c r="C83" s="11" t="n">
        <f aca="false">IF(B83="","",LN(B83))</f>
        <v>-0.393858622806691</v>
      </c>
      <c r="D83" s="13" t="n">
        <f aca="false">IF(OR(C83="",C82=""),"",C83-C82)</f>
        <v>-0.126387260468513</v>
      </c>
      <c r="E83" s="12" t="n">
        <f aca="false">IF(Base!U83="","",Base!U83)</f>
        <v>82.67</v>
      </c>
      <c r="F83" s="11" t="n">
        <f aca="false">IF(E83="","",LN(E83))</f>
        <v>4.41485677926458</v>
      </c>
      <c r="G83" s="13" t="n">
        <f aca="false">IF(OR(F83="",F82=""),"",F83-F82)</f>
        <v>0.0602013413868345</v>
      </c>
      <c r="J83" s="10" t="n">
        <f aca="false">IF(COUNT(Senal!V71:V82)=0,"",AVERAGE(Senal!V71:V82))</f>
        <v>0</v>
      </c>
      <c r="K83" s="10" t="n">
        <f aca="false">IF(J83="","",ABS(J83))</f>
        <v>0</v>
      </c>
      <c r="L83" s="10" t="n">
        <f aca="false">IF(OR(J83="",J82=""),"",ABS(J83-J82))</f>
        <v>0</v>
      </c>
      <c r="M83" s="13" t="str">
        <f aca="false">IF(OR(J83="",I83=""),"",J83*I83-IF(L83="",0,L83)*Resumen!$B$8/10000)</f>
        <v/>
      </c>
      <c r="N83" s="13" t="n">
        <f aca="false">IF(OR(J83="",D83=""),"",J83*D83-IF(L83="",0,L83)*Resumen!$B$8/10000)</f>
        <v>-0</v>
      </c>
      <c r="O83" s="13" t="str">
        <f aca="false">IF(M83="","",IF(COUNT(O$2:O82)=0,M83,SUM(M$2:M83)))</f>
        <v/>
      </c>
      <c r="P83" s="13" t="str">
        <f aca="false">IF(O83="","",MAX(O$2:O83))</f>
        <v/>
      </c>
      <c r="Q83" s="13" t="str">
        <f aca="false">IF(O83="","",O83-P83)</f>
        <v/>
      </c>
      <c r="R83" s="13" t="str">
        <f aca="false">IF(COUNT(I84:I84)&lt;1,"",SUM(I84:I84))</f>
        <v/>
      </c>
      <c r="S83" s="13" t="str">
        <f aca="false">IF(COUNT(I84:I86)&lt;3,"",SUM(I84:I86))</f>
        <v/>
      </c>
      <c r="T83" s="13" t="str">
        <f aca="false">IF(COUNT(I84:I89)&lt;6,"",SUM(I84:I89))</f>
        <v/>
      </c>
      <c r="U83" s="13" t="str">
        <f aca="false">IF(COUNT(I84:I95)&lt;12,"",SUM(I84:I95))</f>
        <v/>
      </c>
      <c r="V83" s="13" t="n">
        <f aca="false">IF(N83="","",SUM(N$2:N83))</f>
        <v>0</v>
      </c>
      <c r="W83" s="13" t="n">
        <f aca="false">IF(V83="","",MAX(V$2:V83))</f>
        <v>0</v>
      </c>
      <c r="X83" s="13" t="n">
        <f aca="false">IF(V83="","",V83-W83)</f>
        <v>0</v>
      </c>
      <c r="Y83" s="13" t="n">
        <f aca="false">IF(COUNT(D84:D84)&lt;1,"",SUM(D84:D84))</f>
        <v>0.0148487276430413</v>
      </c>
      <c r="Z83" s="13" t="n">
        <f aca="false">IF(COUNT(D84:D86)&lt;3,"",SUM(D84:D86))</f>
        <v>0.118288197928824</v>
      </c>
      <c r="AA83" s="13" t="n">
        <f aca="false">IF(COUNT(D84:D89)&lt;6,"",SUM(D84:D89))</f>
        <v>0.114626263990242</v>
      </c>
      <c r="AB83" s="13" t="n">
        <f aca="false">IF(COUNT(D84:D95)&lt;12,"",SUM(D84:D95))</f>
        <v>0.160745486437675</v>
      </c>
    </row>
    <row r="84" customFormat="false" ht="15" hidden="false" customHeight="false" outlineLevel="0" collapsed="false">
      <c r="A84" s="8" t="n">
        <f aca="false">Base!A84</f>
        <v>40512</v>
      </c>
      <c r="B84" s="10" t="n">
        <f aca="false">IF(Base!T84="","",Base!T84)</f>
        <v>0.684538839008929</v>
      </c>
      <c r="C84" s="11" t="n">
        <f aca="false">IF(B84="","",LN(B84))</f>
        <v>-0.379009895163649</v>
      </c>
      <c r="D84" s="13" t="n">
        <f aca="false">IF(OR(C84="",C83=""),"",C84-C83)</f>
        <v>0.0148487276430413</v>
      </c>
      <c r="E84" s="12" t="n">
        <f aca="false">IF(Base!U84="","",Base!U84)</f>
        <v>85.28</v>
      </c>
      <c r="F84" s="11" t="n">
        <f aca="false">IF(E84="","",LN(E84))</f>
        <v>4.44593996041753</v>
      </c>
      <c r="G84" s="13" t="n">
        <f aca="false">IF(OR(F84="",F83=""),"",F84-F83)</f>
        <v>0.0310831811529502</v>
      </c>
      <c r="J84" s="10" t="n">
        <f aca="false">IF(COUNT(Senal!V72:V83)=0,"",AVERAGE(Senal!V72:V83))</f>
        <v>0</v>
      </c>
      <c r="K84" s="10" t="n">
        <f aca="false">IF(J84="","",ABS(J84))</f>
        <v>0</v>
      </c>
      <c r="L84" s="10" t="n">
        <f aca="false">IF(OR(J84="",J83=""),"",ABS(J84-J83))</f>
        <v>0</v>
      </c>
      <c r="M84" s="13" t="str">
        <f aca="false">IF(OR(J84="",I84=""),"",J84*I84-IF(L84="",0,L84)*Resumen!$B$8/10000)</f>
        <v/>
      </c>
      <c r="N84" s="13" t="n">
        <f aca="false">IF(OR(J84="",D84=""),"",J84*D84-IF(L84="",0,L84)*Resumen!$B$8/10000)</f>
        <v>0</v>
      </c>
      <c r="O84" s="13" t="str">
        <f aca="false">IF(M84="","",IF(COUNT(O$2:O83)=0,M84,SUM(M$2:M84)))</f>
        <v/>
      </c>
      <c r="P84" s="13" t="str">
        <f aca="false">IF(O84="","",MAX(O$2:O84))</f>
        <v/>
      </c>
      <c r="Q84" s="13" t="str">
        <f aca="false">IF(O84="","",O84-P84)</f>
        <v/>
      </c>
      <c r="R84" s="13" t="str">
        <f aca="false">IF(COUNT(I85:I85)&lt;1,"",SUM(I85:I85))</f>
        <v/>
      </c>
      <c r="S84" s="13" t="str">
        <f aca="false">IF(COUNT(I85:I87)&lt;3,"",SUM(I85:I87))</f>
        <v/>
      </c>
      <c r="T84" s="13" t="str">
        <f aca="false">IF(COUNT(I85:I90)&lt;6,"",SUM(I85:I90))</f>
        <v/>
      </c>
      <c r="U84" s="13" t="str">
        <f aca="false">IF(COUNT(I85:I96)&lt;12,"",SUM(I85:I96))</f>
        <v/>
      </c>
      <c r="V84" s="13" t="n">
        <f aca="false">IF(N84="","",SUM(N$2:N84))</f>
        <v>0</v>
      </c>
      <c r="W84" s="13" t="n">
        <f aca="false">IF(V84="","",MAX(V$2:V84))</f>
        <v>0</v>
      </c>
      <c r="X84" s="13" t="n">
        <f aca="false">IF(V84="","",V84-W84)</f>
        <v>0</v>
      </c>
      <c r="Y84" s="13" t="n">
        <f aca="false">IF(COUNT(D85:D85)&lt;1,"",SUM(D85:D85))</f>
        <v>0.11850410839695</v>
      </c>
      <c r="Z84" s="13" t="n">
        <f aca="false">IF(COUNT(D85:D87)&lt;3,"",SUM(D85:D87))</f>
        <v>0.202974240411533</v>
      </c>
      <c r="AA84" s="13" t="n">
        <f aca="false">IF(COUNT(D85:D90)&lt;6,"",SUM(D85:D90))</f>
        <v>0.227568212131016</v>
      </c>
      <c r="AB84" s="13" t="n">
        <f aca="false">IF(COUNT(D85:D96)&lt;12,"",SUM(D85:D96))</f>
        <v>0.304143754971347</v>
      </c>
    </row>
    <row r="85" customFormat="false" ht="15" hidden="false" customHeight="false" outlineLevel="0" collapsed="false">
      <c r="A85" s="8" t="n">
        <f aca="false">Base!A85</f>
        <v>40543</v>
      </c>
      <c r="B85" s="10" t="n">
        <f aca="false">IF(Base!T85="","",Base!T85)</f>
        <v>0.770661696723705</v>
      </c>
      <c r="C85" s="11" t="n">
        <f aca="false">IF(B85="","",LN(B85))</f>
        <v>-0.260505786766699</v>
      </c>
      <c r="D85" s="13" t="n">
        <f aca="false">IF(OR(C85="",C84=""),"",C85-C84)</f>
        <v>0.11850410839695</v>
      </c>
      <c r="E85" s="12" t="n">
        <f aca="false">IF(Base!U85="","",Base!U85)</f>
        <v>91.45</v>
      </c>
      <c r="F85" s="11" t="n">
        <f aca="false">IF(E85="","",LN(E85))</f>
        <v>4.51579237483688</v>
      </c>
      <c r="G85" s="13" t="n">
        <f aca="false">IF(OR(F85="",F84=""),"",F85-F84)</f>
        <v>0.0698524144193407</v>
      </c>
      <c r="J85" s="10" t="n">
        <f aca="false">IF(COUNT(Senal!V73:V84)=0,"",AVERAGE(Senal!V73:V84))</f>
        <v>0</v>
      </c>
      <c r="K85" s="10" t="n">
        <f aca="false">IF(J85="","",ABS(J85))</f>
        <v>0</v>
      </c>
      <c r="L85" s="10" t="n">
        <f aca="false">IF(OR(J85="",J84=""),"",ABS(J85-J84))</f>
        <v>0</v>
      </c>
      <c r="M85" s="13" t="str">
        <f aca="false">IF(OR(J85="",I85=""),"",J85*I85-IF(L85="",0,L85)*Resumen!$B$8/10000)</f>
        <v/>
      </c>
      <c r="N85" s="13" t="n">
        <f aca="false">IF(OR(J85="",D85=""),"",J85*D85-IF(L85="",0,L85)*Resumen!$B$8/10000)</f>
        <v>0</v>
      </c>
      <c r="O85" s="13" t="str">
        <f aca="false">IF(M85="","",IF(COUNT(O$2:O84)=0,M85,SUM(M$2:M85)))</f>
        <v/>
      </c>
      <c r="P85" s="13" t="str">
        <f aca="false">IF(O85="","",MAX(O$2:O85))</f>
        <v/>
      </c>
      <c r="Q85" s="13" t="str">
        <f aca="false">IF(O85="","",O85-P85)</f>
        <v/>
      </c>
      <c r="R85" s="13" t="str">
        <f aca="false">IF(COUNT(I86:I86)&lt;1,"",SUM(I86:I86))</f>
        <v/>
      </c>
      <c r="S85" s="13" t="str">
        <f aca="false">IF(COUNT(I86:I88)&lt;3,"",SUM(I86:I88))</f>
        <v/>
      </c>
      <c r="T85" s="13" t="str">
        <f aca="false">IF(COUNT(I86:I91)&lt;6,"",SUM(I86:I91))</f>
        <v/>
      </c>
      <c r="U85" s="13" t="str">
        <f aca="false">IF(COUNT(I86:I97)&lt;12,"",SUM(I86:I97))</f>
        <v/>
      </c>
      <c r="V85" s="13" t="n">
        <f aca="false">IF(N85="","",SUM(N$2:N85))</f>
        <v>0</v>
      </c>
      <c r="W85" s="13" t="n">
        <f aca="false">IF(V85="","",MAX(V$2:V85))</f>
        <v>0</v>
      </c>
      <c r="X85" s="13" t="n">
        <f aca="false">IF(V85="","",V85-W85)</f>
        <v>0</v>
      </c>
      <c r="Y85" s="13" t="n">
        <f aca="false">IF(COUNT(D86:D86)&lt;1,"",SUM(D86:D86))</f>
        <v>-0.0150646381111673</v>
      </c>
      <c r="Z85" s="13" t="n">
        <f aca="false">IF(COUNT(D86:D88)&lt;3,"",SUM(D86:D88))</f>
        <v>-0.0773202697200488</v>
      </c>
      <c r="AA85" s="13" t="n">
        <f aca="false">IF(COUNT(D86:D91)&lt;6,"",SUM(D86:D91))</f>
        <v>9.54690096697797E-005</v>
      </c>
      <c r="AB85" s="13" t="n">
        <f aca="false">IF(COUNT(D86:D97)&lt;12,"",SUM(D86:D97))</f>
        <v>0.245607292302694</v>
      </c>
    </row>
    <row r="86" customFormat="false" ht="15" hidden="false" customHeight="false" outlineLevel="0" collapsed="false">
      <c r="A86" s="8" t="n">
        <f aca="false">Base!A86</f>
        <v>40574</v>
      </c>
      <c r="B86" s="10" t="n">
        <f aca="false">IF(Base!T86="","",Base!T86)</f>
        <v>0.759138967942367</v>
      </c>
      <c r="C86" s="11" t="n">
        <f aca="false">IF(B86="","",LN(B86))</f>
        <v>-0.275570424877867</v>
      </c>
      <c r="D86" s="13" t="n">
        <f aca="false">IF(OR(C86="",C85=""),"",C86-C85)</f>
        <v>-0.0150646381111673</v>
      </c>
      <c r="E86" s="12" t="n">
        <f aca="false">IF(Base!U86="","",Base!U86)</f>
        <v>96.52</v>
      </c>
      <c r="F86" s="11" t="n">
        <f aca="false">IF(E86="","",LN(E86))</f>
        <v>4.56975024075683</v>
      </c>
      <c r="G86" s="13" t="n">
        <f aca="false">IF(OR(F86="",F85=""),"",F86-F85)</f>
        <v>0.0539578659199567</v>
      </c>
      <c r="J86" s="10" t="n">
        <f aca="false">IF(COUNT(Senal!V74:V85)=0,"",AVERAGE(Senal!V74:V85))</f>
        <v>0</v>
      </c>
      <c r="K86" s="10" t="n">
        <f aca="false">IF(J86="","",ABS(J86))</f>
        <v>0</v>
      </c>
      <c r="L86" s="10" t="n">
        <f aca="false">IF(OR(J86="",J85=""),"",ABS(J86-J85))</f>
        <v>0</v>
      </c>
      <c r="M86" s="13" t="str">
        <f aca="false">IF(OR(J86="",I86=""),"",J86*I86-IF(L86="",0,L86)*Resumen!$B$8/10000)</f>
        <v/>
      </c>
      <c r="N86" s="13" t="n">
        <f aca="false">IF(OR(J86="",D86=""),"",J86*D86-IF(L86="",0,L86)*Resumen!$B$8/10000)</f>
        <v>-0</v>
      </c>
      <c r="O86" s="13" t="str">
        <f aca="false">IF(M86="","",IF(COUNT(O$2:O85)=0,M86,SUM(M$2:M86)))</f>
        <v/>
      </c>
      <c r="P86" s="13" t="str">
        <f aca="false">IF(O86="","",MAX(O$2:O86))</f>
        <v/>
      </c>
      <c r="Q86" s="13" t="str">
        <f aca="false">IF(O86="","",O86-P86)</f>
        <v/>
      </c>
      <c r="R86" s="13" t="str">
        <f aca="false">IF(COUNT(I87:I87)&lt;1,"",SUM(I87:I87))</f>
        <v/>
      </c>
      <c r="S86" s="13" t="str">
        <f aca="false">IF(COUNT(I87:I89)&lt;3,"",SUM(I87:I89))</f>
        <v/>
      </c>
      <c r="T86" s="13" t="str">
        <f aca="false">IF(COUNT(I87:I92)&lt;6,"",SUM(I87:I92))</f>
        <v/>
      </c>
      <c r="U86" s="13" t="str">
        <f aca="false">IF(COUNT(I87:I98)&lt;12,"",SUM(I87:I98))</f>
        <v/>
      </c>
      <c r="V86" s="13" t="n">
        <f aca="false">IF(N86="","",SUM(N$2:N86))</f>
        <v>0</v>
      </c>
      <c r="W86" s="13" t="n">
        <f aca="false">IF(V86="","",MAX(V$2:V86))</f>
        <v>0</v>
      </c>
      <c r="X86" s="13" t="n">
        <f aca="false">IF(V86="","",V86-W86)</f>
        <v>0</v>
      </c>
      <c r="Y86" s="13" t="n">
        <f aca="false">IF(COUNT(D87:D87)&lt;1,"",SUM(D87:D87))</f>
        <v>0.0995347701257507</v>
      </c>
      <c r="Z86" s="13" t="n">
        <f aca="false">IF(COUNT(D87:D89)&lt;3,"",SUM(D87:D89))</f>
        <v>-0.00366193393858155</v>
      </c>
      <c r="AA86" s="13" t="n">
        <f aca="false">IF(COUNT(D87:D92)&lt;6,"",SUM(D87:D92))</f>
        <v>0.00394753691664856</v>
      </c>
      <c r="AB86" s="13" t="n">
        <f aca="false">IF(COUNT(D87:D98)&lt;12,"",SUM(D87:D98))</f>
        <v>0.209204927407463</v>
      </c>
    </row>
    <row r="87" customFormat="false" ht="15" hidden="false" customHeight="false" outlineLevel="0" collapsed="false">
      <c r="A87" s="8" t="n">
        <f aca="false">Base!A87</f>
        <v>40602</v>
      </c>
      <c r="B87" s="10" t="n">
        <f aca="false">IF(Base!T87="","",Base!T87)</f>
        <v>0.838588083153803</v>
      </c>
      <c r="C87" s="11" t="n">
        <f aca="false">IF(B87="","",LN(B87))</f>
        <v>-0.176035654752116</v>
      </c>
      <c r="D87" s="13" t="n">
        <f aca="false">IF(OR(C87="",C86=""),"",C87-C86)</f>
        <v>0.0995347701257507</v>
      </c>
      <c r="E87" s="12" t="n">
        <f aca="false">IF(Base!U87="","",Base!U87)</f>
        <v>103.72</v>
      </c>
      <c r="F87" s="11" t="n">
        <f aca="false">IF(E87="","",LN(E87))</f>
        <v>4.64169496067046</v>
      </c>
      <c r="G87" s="13" t="n">
        <f aca="false">IF(OR(F87="",F86=""),"",F87-F86)</f>
        <v>0.0719447199136321</v>
      </c>
      <c r="J87" s="10" t="n">
        <f aca="false">IF(COUNT(Senal!V75:V86)=0,"",AVERAGE(Senal!V75:V86))</f>
        <v>0</v>
      </c>
      <c r="K87" s="10" t="n">
        <f aca="false">IF(J87="","",ABS(J87))</f>
        <v>0</v>
      </c>
      <c r="L87" s="10" t="n">
        <f aca="false">IF(OR(J87="",J86=""),"",ABS(J87-J86))</f>
        <v>0</v>
      </c>
      <c r="M87" s="13" t="str">
        <f aca="false">IF(OR(J87="",I87=""),"",J87*I87-IF(L87="",0,L87)*Resumen!$B$8/10000)</f>
        <v/>
      </c>
      <c r="N87" s="13" t="n">
        <f aca="false">IF(OR(J87="",D87=""),"",J87*D87-IF(L87="",0,L87)*Resumen!$B$8/10000)</f>
        <v>0</v>
      </c>
      <c r="O87" s="13" t="str">
        <f aca="false">IF(M87="","",IF(COUNT(O$2:O86)=0,M87,SUM(M$2:M87)))</f>
        <v/>
      </c>
      <c r="P87" s="13" t="str">
        <f aca="false">IF(O87="","",MAX(O$2:O87))</f>
        <v/>
      </c>
      <c r="Q87" s="13" t="str">
        <f aca="false">IF(O87="","",O87-P87)</f>
        <v/>
      </c>
      <c r="R87" s="13" t="str">
        <f aca="false">IF(COUNT(I88:I88)&lt;1,"",SUM(I88:I88))</f>
        <v/>
      </c>
      <c r="S87" s="13" t="str">
        <f aca="false">IF(COUNT(I88:I90)&lt;3,"",SUM(I88:I90))</f>
        <v/>
      </c>
      <c r="T87" s="13" t="str">
        <f aca="false">IF(COUNT(I88:I93)&lt;6,"",SUM(I88:I93))</f>
        <v/>
      </c>
      <c r="U87" s="13" t="str">
        <f aca="false">IF(COUNT(I88:I99)&lt;12,"",SUM(I88:I99))</f>
        <v/>
      </c>
      <c r="V87" s="13" t="n">
        <f aca="false">IF(N87="","",SUM(N$2:N87))</f>
        <v>0</v>
      </c>
      <c r="W87" s="13" t="n">
        <f aca="false">IF(V87="","",MAX(V$2:V87))</f>
        <v>0</v>
      </c>
      <c r="X87" s="13" t="n">
        <f aca="false">IF(V87="","",V87-W87)</f>
        <v>0</v>
      </c>
      <c r="Y87" s="13" t="n">
        <f aca="false">IF(COUNT(D88:D88)&lt;1,"",SUM(D88:D88))</f>
        <v>-0.161790401734632</v>
      </c>
      <c r="Z87" s="13" t="n">
        <f aca="false">IF(COUNT(D88:D90)&lt;3,"",SUM(D88:D90))</f>
        <v>0.024593971719483</v>
      </c>
      <c r="AA87" s="13" t="n">
        <f aca="false">IF(COUNT(D88:D93)&lt;6,"",SUM(D88:D93))</f>
        <v>-0.0380416352117442</v>
      </c>
      <c r="AB87" s="13" t="n">
        <f aca="false">IF(COUNT(D88:D99)&lt;12,"",SUM(D88:D99))</f>
        <v>-0.00219996953529195</v>
      </c>
    </row>
    <row r="88" customFormat="false" ht="15" hidden="false" customHeight="false" outlineLevel="0" collapsed="false">
      <c r="A88" s="8" t="n">
        <f aca="false">Base!A88</f>
        <v>40633</v>
      </c>
      <c r="B88" s="10" t="n">
        <f aca="false">IF(Base!T88="","",Base!T88)</f>
        <v>0.713319354382261</v>
      </c>
      <c r="C88" s="11" t="n">
        <f aca="false">IF(B88="","",LN(B88))</f>
        <v>-0.337826056486748</v>
      </c>
      <c r="D88" s="13" t="n">
        <f aca="false">IF(OR(C88="",C87=""),"",C88-C87)</f>
        <v>-0.161790401734632</v>
      </c>
      <c r="E88" s="12" t="n">
        <f aca="false">IF(Base!U88="","",Base!U88)</f>
        <v>114.64</v>
      </c>
      <c r="F88" s="11" t="n">
        <f aca="false">IF(E88="","",LN(E88))</f>
        <v>4.74179678351992</v>
      </c>
      <c r="G88" s="13" t="n">
        <f aca="false">IF(OR(F88="",F87=""),"",F88-F87)</f>
        <v>0.100101822849453</v>
      </c>
      <c r="J88" s="10" t="n">
        <f aca="false">IF(COUNT(Senal!V76:V87)=0,"",AVERAGE(Senal!V76:V87))</f>
        <v>0</v>
      </c>
      <c r="K88" s="10" t="n">
        <f aca="false">IF(J88="","",ABS(J88))</f>
        <v>0</v>
      </c>
      <c r="L88" s="10" t="n">
        <f aca="false">IF(OR(J88="",J87=""),"",ABS(J88-J87))</f>
        <v>0</v>
      </c>
      <c r="M88" s="13" t="str">
        <f aca="false">IF(OR(J88="",I88=""),"",J88*I88-IF(L88="",0,L88)*Resumen!$B$8/10000)</f>
        <v/>
      </c>
      <c r="N88" s="13" t="n">
        <f aca="false">IF(OR(J88="",D88=""),"",J88*D88-IF(L88="",0,L88)*Resumen!$B$8/10000)</f>
        <v>-0</v>
      </c>
      <c r="O88" s="13" t="str">
        <f aca="false">IF(M88="","",IF(COUNT(O$2:O87)=0,M88,SUM(M$2:M88)))</f>
        <v/>
      </c>
      <c r="P88" s="13" t="str">
        <f aca="false">IF(O88="","",MAX(O$2:O88))</f>
        <v/>
      </c>
      <c r="Q88" s="13" t="str">
        <f aca="false">IF(O88="","",O88-P88)</f>
        <v/>
      </c>
      <c r="R88" s="13" t="str">
        <f aca="false">IF(COUNT(I89:I89)&lt;1,"",SUM(I89:I89))</f>
        <v/>
      </c>
      <c r="S88" s="13" t="str">
        <f aca="false">IF(COUNT(I89:I91)&lt;3,"",SUM(I89:I91))</f>
        <v/>
      </c>
      <c r="T88" s="13" t="str">
        <f aca="false">IF(COUNT(I89:I94)&lt;6,"",SUM(I89:I94))</f>
        <v/>
      </c>
      <c r="U88" s="13" t="str">
        <f aca="false">IF(COUNT(I89:I100)&lt;12,"",SUM(I89:I100))</f>
        <v/>
      </c>
      <c r="V88" s="13" t="n">
        <f aca="false">IF(N88="","",SUM(N$2:N88))</f>
        <v>0</v>
      </c>
      <c r="W88" s="13" t="n">
        <f aca="false">IF(V88="","",MAX(V$2:V88))</f>
        <v>0</v>
      </c>
      <c r="X88" s="13" t="n">
        <f aca="false">IF(V88="","",V88-W88)</f>
        <v>0</v>
      </c>
      <c r="Y88" s="13" t="n">
        <f aca="false">IF(COUNT(D89:D89)&lt;1,"",SUM(D89:D89))</f>
        <v>0.0585936976703</v>
      </c>
      <c r="Z88" s="13" t="n">
        <f aca="false">IF(COUNT(D89:D91)&lt;3,"",SUM(D89:D91))</f>
        <v>0.0774157387297186</v>
      </c>
      <c r="AA88" s="13" t="n">
        <f aca="false">IF(COUNT(D89:D94)&lt;6,"",SUM(D89:D94))</f>
        <v>0.321630382179076</v>
      </c>
      <c r="AB88" s="13" t="n">
        <f aca="false">IF(COUNT(D89:D100)&lt;12,"",SUM(D89:D100))</f>
        <v>0.11318476450544</v>
      </c>
    </row>
    <row r="89" customFormat="false" ht="15" hidden="false" customHeight="false" outlineLevel="0" collapsed="false">
      <c r="A89" s="8" t="n">
        <f aca="false">Base!A89</f>
        <v>40663</v>
      </c>
      <c r="B89" s="10" t="n">
        <f aca="false">IF(Base!T89="","",Base!T89)</f>
        <v>0.756364134919988</v>
      </c>
      <c r="C89" s="11" t="n">
        <f aca="false">IF(B89="","",LN(B89))</f>
        <v>-0.279232358816448</v>
      </c>
      <c r="D89" s="13" t="n">
        <f aca="false">IF(OR(C89="",C88=""),"",C89-C88)</f>
        <v>0.0585936976703</v>
      </c>
      <c r="E89" s="12" t="n">
        <f aca="false">IF(Base!U89="","",Base!U89)</f>
        <v>123.26</v>
      </c>
      <c r="F89" s="11" t="n">
        <f aca="false">IF(E89="","",LN(E89))</f>
        <v>4.8142959455341</v>
      </c>
      <c r="G89" s="13" t="n">
        <f aca="false">IF(OR(F89="",F88=""),"",F89-F88)</f>
        <v>0.0724991620141804</v>
      </c>
      <c r="J89" s="10" t="n">
        <f aca="false">IF(COUNT(Senal!V77:V88)=0,"",AVERAGE(Senal!V77:V88))</f>
        <v>0</v>
      </c>
      <c r="K89" s="10" t="n">
        <f aca="false">IF(J89="","",ABS(J89))</f>
        <v>0</v>
      </c>
      <c r="L89" s="10" t="n">
        <f aca="false">IF(OR(J89="",J88=""),"",ABS(J89-J88))</f>
        <v>0</v>
      </c>
      <c r="M89" s="13" t="str">
        <f aca="false">IF(OR(J89="",I89=""),"",J89*I89-IF(L89="",0,L89)*Resumen!$B$8/10000)</f>
        <v/>
      </c>
      <c r="N89" s="13" t="n">
        <f aca="false">IF(OR(J89="",D89=""),"",J89*D89-IF(L89="",0,L89)*Resumen!$B$8/10000)</f>
        <v>0</v>
      </c>
      <c r="O89" s="13" t="str">
        <f aca="false">IF(M89="","",IF(COUNT(O$2:O88)=0,M89,SUM(M$2:M89)))</f>
        <v/>
      </c>
      <c r="P89" s="13" t="str">
        <f aca="false">IF(O89="","",MAX(O$2:O89))</f>
        <v/>
      </c>
      <c r="Q89" s="13" t="str">
        <f aca="false">IF(O89="","",O89-P89)</f>
        <v/>
      </c>
      <c r="R89" s="13" t="str">
        <f aca="false">IF(COUNT(I90:I90)&lt;1,"",SUM(I90:I90))</f>
        <v/>
      </c>
      <c r="S89" s="13" t="str">
        <f aca="false">IF(COUNT(I90:I92)&lt;3,"",SUM(I90:I92))</f>
        <v/>
      </c>
      <c r="T89" s="13" t="str">
        <f aca="false">IF(COUNT(I90:I95)&lt;6,"",SUM(I90:I95))</f>
        <v/>
      </c>
      <c r="U89" s="13" t="str">
        <f aca="false">IF(COUNT(I90:I101)&lt;12,"",SUM(I90:I101))</f>
        <v/>
      </c>
      <c r="V89" s="13" t="n">
        <f aca="false">IF(N89="","",SUM(N$2:N89))</f>
        <v>0</v>
      </c>
      <c r="W89" s="13" t="n">
        <f aca="false">IF(V89="","",MAX(V$2:V89))</f>
        <v>0</v>
      </c>
      <c r="X89" s="13" t="n">
        <f aca="false">IF(V89="","",V89-W89)</f>
        <v>0</v>
      </c>
      <c r="Y89" s="13" t="n">
        <f aca="false">IF(COUNT(D90:D90)&lt;1,"",SUM(D90:D90))</f>
        <v>0.127790675783815</v>
      </c>
      <c r="Z89" s="13" t="n">
        <f aca="false">IF(COUNT(D90:D92)&lt;3,"",SUM(D90:D92))</f>
        <v>0.00760947085523012</v>
      </c>
      <c r="AA89" s="13" t="n">
        <f aca="false">IF(COUNT(D90:D95)&lt;6,"",SUM(D90:D95))</f>
        <v>0.0461192224474324</v>
      </c>
      <c r="AB89" s="13" t="n">
        <f aca="false">IF(COUNT(D90:D101)&lt;12,"",SUM(D90:D101))</f>
        <v>-0.3919496623347</v>
      </c>
    </row>
    <row r="90" customFormat="false" ht="15" hidden="false" customHeight="false" outlineLevel="0" collapsed="false">
      <c r="A90" s="8" t="n">
        <f aca="false">Base!A90</f>
        <v>40694</v>
      </c>
      <c r="B90" s="10" t="n">
        <f aca="false">IF(Base!T90="","",Base!T90)</f>
        <v>0.859468002378934</v>
      </c>
      <c r="C90" s="11" t="n">
        <f aca="false">IF(B90="","",LN(B90))</f>
        <v>-0.151441683032633</v>
      </c>
      <c r="D90" s="13" t="n">
        <f aca="false">IF(OR(C90="",C89=""),"",C90-C89)</f>
        <v>0.127790675783815</v>
      </c>
      <c r="E90" s="12" t="n">
        <f aca="false">IF(Base!U90="","",Base!U90)</f>
        <v>114.99</v>
      </c>
      <c r="F90" s="11" t="n">
        <f aca="false">IF(E90="","",LN(E90))</f>
        <v>4.74484516806057</v>
      </c>
      <c r="G90" s="13" t="n">
        <f aca="false">IF(OR(F90="",F89=""),"",F90-F89)</f>
        <v>-0.0694507774735236</v>
      </c>
      <c r="J90" s="10" t="n">
        <f aca="false">IF(COUNT(Senal!V78:V89)=0,"",AVERAGE(Senal!V78:V89))</f>
        <v>0</v>
      </c>
      <c r="K90" s="10" t="n">
        <f aca="false">IF(J90="","",ABS(J90))</f>
        <v>0</v>
      </c>
      <c r="L90" s="10" t="n">
        <f aca="false">IF(OR(J90="",J89=""),"",ABS(J90-J89))</f>
        <v>0</v>
      </c>
      <c r="M90" s="13" t="str">
        <f aca="false">IF(OR(J90="",I90=""),"",J90*I90-IF(L90="",0,L90)*Resumen!$B$8/10000)</f>
        <v/>
      </c>
      <c r="N90" s="13" t="n">
        <f aca="false">IF(OR(J90="",D90=""),"",J90*D90-IF(L90="",0,L90)*Resumen!$B$8/10000)</f>
        <v>0</v>
      </c>
      <c r="O90" s="13" t="str">
        <f aca="false">IF(M90="","",IF(COUNT(O$2:O89)=0,M90,SUM(M$2:M90)))</f>
        <v/>
      </c>
      <c r="P90" s="13" t="str">
        <f aca="false">IF(O90="","",MAX(O$2:O90))</f>
        <v/>
      </c>
      <c r="Q90" s="13" t="str">
        <f aca="false">IF(O90="","",O90-P90)</f>
        <v/>
      </c>
      <c r="R90" s="13" t="str">
        <f aca="false">IF(COUNT(I91:I91)&lt;1,"",SUM(I91:I91))</f>
        <v/>
      </c>
      <c r="S90" s="13" t="str">
        <f aca="false">IF(COUNT(I91:I93)&lt;3,"",SUM(I91:I93))</f>
        <v/>
      </c>
      <c r="T90" s="13" t="str">
        <f aca="false">IF(COUNT(I91:I96)&lt;6,"",SUM(I91:I96))</f>
        <v/>
      </c>
      <c r="U90" s="13" t="str">
        <f aca="false">IF(COUNT(I91:I102)&lt;12,"",SUM(I91:I102))</f>
        <v/>
      </c>
      <c r="V90" s="13" t="n">
        <f aca="false">IF(N90="","",SUM(N$2:N90))</f>
        <v>0</v>
      </c>
      <c r="W90" s="13" t="n">
        <f aca="false">IF(V90="","",MAX(V$2:V90))</f>
        <v>0</v>
      </c>
      <c r="X90" s="13" t="n">
        <f aca="false">IF(V90="","",V90-W90)</f>
        <v>0</v>
      </c>
      <c r="Y90" s="13" t="n">
        <f aca="false">IF(COUNT(D91:D91)&lt;1,"",SUM(D91:D91))</f>
        <v>-0.108968634724397</v>
      </c>
      <c r="Z90" s="13" t="n">
        <f aca="false">IF(COUNT(D91:D93)&lt;3,"",SUM(D91:D93))</f>
        <v>-0.0626356069312272</v>
      </c>
      <c r="AA90" s="13" t="n">
        <f aca="false">IF(COUNT(D91:D96)&lt;6,"",SUM(D91:D96))</f>
        <v>0.0765755428403304</v>
      </c>
      <c r="AB90" s="13" t="n">
        <f aca="false">IF(COUNT(D91:D102)&lt;12,"",SUM(D91:D102))</f>
        <v>-0.472511285163766</v>
      </c>
    </row>
    <row r="91" customFormat="false" ht="15" hidden="false" customHeight="false" outlineLevel="0" collapsed="false">
      <c r="A91" s="8" t="n">
        <f aca="false">Base!A91</f>
        <v>40724</v>
      </c>
      <c r="B91" s="10" t="n">
        <f aca="false">IF(Base!T91="","",Base!T91)</f>
        <v>0.770735274544826</v>
      </c>
      <c r="C91" s="11" t="n">
        <f aca="false">IF(B91="","",LN(B91))</f>
        <v>-0.26041031775703</v>
      </c>
      <c r="D91" s="13" t="n">
        <f aca="false">IF(OR(C91="",C90=""),"",C91-C90)</f>
        <v>-0.108968634724397</v>
      </c>
      <c r="E91" s="12" t="n">
        <f aca="false">IF(Base!U91="","",Base!U91)</f>
        <v>113.83</v>
      </c>
      <c r="F91" s="11" t="n">
        <f aca="false">IF(E91="","",LN(E91))</f>
        <v>4.73470610733713</v>
      </c>
      <c r="G91" s="13" t="n">
        <f aca="false">IF(OR(F91="",F90=""),"",F91-F90)</f>
        <v>-0.0101390607234482</v>
      </c>
      <c r="J91" s="10" t="n">
        <f aca="false">IF(COUNT(Senal!V79:V90)=0,"",AVERAGE(Senal!V79:V90))</f>
        <v>0</v>
      </c>
      <c r="K91" s="10" t="n">
        <f aca="false">IF(J91="","",ABS(J91))</f>
        <v>0</v>
      </c>
      <c r="L91" s="10" t="n">
        <f aca="false">IF(OR(J91="",J90=""),"",ABS(J91-J90))</f>
        <v>0</v>
      </c>
      <c r="M91" s="13" t="str">
        <f aca="false">IF(OR(J91="",I91=""),"",J91*I91-IF(L91="",0,L91)*Resumen!$B$8/10000)</f>
        <v/>
      </c>
      <c r="N91" s="13" t="n">
        <f aca="false">IF(OR(J91="",D91=""),"",J91*D91-IF(L91="",0,L91)*Resumen!$B$8/10000)</f>
        <v>-0</v>
      </c>
      <c r="O91" s="13" t="str">
        <f aca="false">IF(M91="","",IF(COUNT(O$2:O90)=0,M91,SUM(M$2:M91)))</f>
        <v/>
      </c>
      <c r="P91" s="13" t="str">
        <f aca="false">IF(O91="","",MAX(O$2:O91))</f>
        <v/>
      </c>
      <c r="Q91" s="13" t="str">
        <f aca="false">IF(O91="","",O91-P91)</f>
        <v/>
      </c>
      <c r="R91" s="13" t="str">
        <f aca="false">IF(COUNT(I92:I92)&lt;1,"",SUM(I92:I92))</f>
        <v/>
      </c>
      <c r="S91" s="13" t="str">
        <f aca="false">IF(COUNT(I92:I94)&lt;3,"",SUM(I92:I94))</f>
        <v/>
      </c>
      <c r="T91" s="13" t="str">
        <f aca="false">IF(COUNT(I92:I97)&lt;6,"",SUM(I92:I97))</f>
        <v/>
      </c>
      <c r="U91" s="13" t="str">
        <f aca="false">IF(COUNT(I92:I103)&lt;12,"",SUM(I92:I103))</f>
        <v/>
      </c>
      <c r="V91" s="13" t="n">
        <f aca="false">IF(N91="","",SUM(N$2:N91))</f>
        <v>0</v>
      </c>
      <c r="W91" s="13" t="n">
        <f aca="false">IF(V91="","",MAX(V$2:V91))</f>
        <v>0</v>
      </c>
      <c r="X91" s="13" t="n">
        <f aca="false">IF(V91="","",V91-W91)</f>
        <v>0</v>
      </c>
      <c r="Y91" s="13" t="n">
        <f aca="false">IF(COUNT(D92:D92)&lt;1,"",SUM(D92:D92))</f>
        <v>-0.0112125702041885</v>
      </c>
      <c r="Z91" s="13" t="n">
        <f aca="false">IF(COUNT(D92:D94)&lt;3,"",SUM(D92:D94))</f>
        <v>0.244214643449357</v>
      </c>
      <c r="AA91" s="13" t="n">
        <f aca="false">IF(COUNT(D92:D97)&lt;6,"",SUM(D92:D97))</f>
        <v>0.245511823293024</v>
      </c>
      <c r="AB91" s="13" t="n">
        <f aca="false">IF(COUNT(D92:D103)&lt;12,"",SUM(D92:D103))</f>
        <v>-0.401785478645768</v>
      </c>
    </row>
    <row r="92" customFormat="false" ht="15" hidden="false" customHeight="false" outlineLevel="0" collapsed="false">
      <c r="A92" s="8" t="n">
        <f aca="false">Base!A92</f>
        <v>40755</v>
      </c>
      <c r="B92" s="10" t="n">
        <f aca="false">IF(Base!T92="","",Base!T92)</f>
        <v>0.762141619683279</v>
      </c>
      <c r="C92" s="11" t="n">
        <f aca="false">IF(B92="","",LN(B92))</f>
        <v>-0.271622887961218</v>
      </c>
      <c r="D92" s="13" t="n">
        <f aca="false">IF(OR(C92="",C91=""),"",C92-C91)</f>
        <v>-0.0112125702041885</v>
      </c>
      <c r="E92" s="12" t="n">
        <f aca="false">IF(Base!U92="","",Base!U92)</f>
        <v>116.97</v>
      </c>
      <c r="F92" s="11" t="n">
        <f aca="false">IF(E92="","",LN(E92))</f>
        <v>4.76191749166262</v>
      </c>
      <c r="G92" s="13" t="n">
        <f aca="false">IF(OR(F92="",F91=""),"",F92-F91)</f>
        <v>0.0272113843254909</v>
      </c>
      <c r="J92" s="10" t="n">
        <f aca="false">IF(COUNT(Senal!V80:V91)=0,"",AVERAGE(Senal!V80:V91))</f>
        <v>0</v>
      </c>
      <c r="K92" s="10" t="n">
        <f aca="false">IF(J92="","",ABS(J92))</f>
        <v>0</v>
      </c>
      <c r="L92" s="10" t="n">
        <f aca="false">IF(OR(J92="",J91=""),"",ABS(J92-J91))</f>
        <v>0</v>
      </c>
      <c r="M92" s="13" t="str">
        <f aca="false">IF(OR(J92="",I92=""),"",J92*I92-IF(L92="",0,L92)*Resumen!$B$8/10000)</f>
        <v/>
      </c>
      <c r="N92" s="13" t="n">
        <f aca="false">IF(OR(J92="",D92=""),"",J92*D92-IF(L92="",0,L92)*Resumen!$B$8/10000)</f>
        <v>-0</v>
      </c>
      <c r="O92" s="13" t="str">
        <f aca="false">IF(M92="","",IF(COUNT(O$2:O91)=0,M92,SUM(M$2:M92)))</f>
        <v/>
      </c>
      <c r="P92" s="13" t="str">
        <f aca="false">IF(O92="","",MAX(O$2:O92))</f>
        <v/>
      </c>
      <c r="Q92" s="13" t="str">
        <f aca="false">IF(O92="","",O92-P92)</f>
        <v/>
      </c>
      <c r="R92" s="13" t="str">
        <f aca="false">IF(COUNT(I93:I93)&lt;1,"",SUM(I93:I93))</f>
        <v/>
      </c>
      <c r="S92" s="13" t="str">
        <f aca="false">IF(COUNT(I93:I95)&lt;3,"",SUM(I93:I95))</f>
        <v/>
      </c>
      <c r="T92" s="13" t="str">
        <f aca="false">IF(COUNT(I93:I98)&lt;6,"",SUM(I93:I98))</f>
        <v/>
      </c>
      <c r="U92" s="13" t="str">
        <f aca="false">IF(COUNT(I93:I104)&lt;12,"",SUM(I93:I104))</f>
        <v/>
      </c>
      <c r="V92" s="13" t="n">
        <f aca="false">IF(N92="","",SUM(N$2:N92))</f>
        <v>0</v>
      </c>
      <c r="W92" s="13" t="n">
        <f aca="false">IF(V92="","",MAX(V$2:V92))</f>
        <v>0</v>
      </c>
      <c r="X92" s="13" t="n">
        <f aca="false">IF(V92="","",V92-W92)</f>
        <v>0</v>
      </c>
      <c r="Y92" s="13" t="n">
        <f aca="false">IF(COUNT(D93:D93)&lt;1,"",SUM(D93:D93))</f>
        <v>0.057545597997358</v>
      </c>
      <c r="Z92" s="13" t="n">
        <f aca="false">IF(COUNT(D93:D95)&lt;3,"",SUM(D93:D95))</f>
        <v>0.0385097515922022</v>
      </c>
      <c r="AA92" s="13" t="n">
        <f aca="false">IF(COUNT(D93:D98)&lt;6,"",SUM(D93:D98))</f>
        <v>0.205257390490815</v>
      </c>
      <c r="AB92" s="13" t="n">
        <f aca="false">IF(COUNT(D93:D104)&lt;12,"",SUM(D93:D104))</f>
        <v>-0.4168001574544</v>
      </c>
    </row>
    <row r="93" customFormat="false" ht="15" hidden="false" customHeight="false" outlineLevel="0" collapsed="false">
      <c r="A93" s="8" t="n">
        <f aca="false">Base!A93</f>
        <v>40786</v>
      </c>
      <c r="B93" s="10" t="n">
        <f aca="false">IF(Base!T93="","",Base!T93)</f>
        <v>0.807285987506562</v>
      </c>
      <c r="C93" s="11" t="n">
        <f aca="false">IF(B93="","",LN(B93))</f>
        <v>-0.21407728996386</v>
      </c>
      <c r="D93" s="13" t="n">
        <f aca="false">IF(OR(C93="",C92=""),"",C93-C92)</f>
        <v>0.057545597997358</v>
      </c>
      <c r="E93" s="12" t="n">
        <f aca="false">IF(Base!U93="","",Base!U93)</f>
        <v>110.22</v>
      </c>
      <c r="F93" s="11" t="n">
        <f aca="false">IF(E93="","",LN(E93))</f>
        <v>4.70247836845509</v>
      </c>
      <c r="G93" s="13" t="n">
        <f aca="false">IF(OR(F93="",F92=""),"",F93-F92)</f>
        <v>-0.0594391232075262</v>
      </c>
      <c r="J93" s="10" t="n">
        <f aca="false">IF(COUNT(Senal!V81:V92)=0,"",AVERAGE(Senal!V81:V92))</f>
        <v>0</v>
      </c>
      <c r="K93" s="10" t="n">
        <f aca="false">IF(J93="","",ABS(J93))</f>
        <v>0</v>
      </c>
      <c r="L93" s="10" t="n">
        <f aca="false">IF(OR(J93="",J92=""),"",ABS(J93-J92))</f>
        <v>0</v>
      </c>
      <c r="M93" s="13" t="str">
        <f aca="false">IF(OR(J93="",I93=""),"",J93*I93-IF(L93="",0,L93)*Resumen!$B$8/10000)</f>
        <v/>
      </c>
      <c r="N93" s="13" t="n">
        <f aca="false">IF(OR(J93="",D93=""),"",J93*D93-IF(L93="",0,L93)*Resumen!$B$8/10000)</f>
        <v>0</v>
      </c>
      <c r="O93" s="13" t="str">
        <f aca="false">IF(M93="","",IF(COUNT(O$2:O92)=0,M93,SUM(M$2:M93)))</f>
        <v/>
      </c>
      <c r="P93" s="13" t="str">
        <f aca="false">IF(O93="","",MAX(O$2:O93))</f>
        <v/>
      </c>
      <c r="Q93" s="13" t="str">
        <f aca="false">IF(O93="","",O93-P93)</f>
        <v/>
      </c>
      <c r="R93" s="13" t="str">
        <f aca="false">IF(COUNT(I94:I94)&lt;1,"",SUM(I94:I94))</f>
        <v/>
      </c>
      <c r="S93" s="13" t="str">
        <f aca="false">IF(COUNT(I94:I96)&lt;3,"",SUM(I94:I96))</f>
        <v/>
      </c>
      <c r="T93" s="13" t="str">
        <f aca="false">IF(COUNT(I94:I99)&lt;6,"",SUM(I94:I99))</f>
        <v/>
      </c>
      <c r="U93" s="13" t="str">
        <f aca="false">IF(COUNT(I94:I105)&lt;12,"",SUM(I94:I105))</f>
        <v/>
      </c>
      <c r="V93" s="13" t="n">
        <f aca="false">IF(N93="","",SUM(N$2:N93))</f>
        <v>0</v>
      </c>
      <c r="W93" s="13" t="n">
        <f aca="false">IF(V93="","",MAX(V$2:V93))</f>
        <v>0</v>
      </c>
      <c r="X93" s="13" t="n">
        <f aca="false">IF(V93="","",V93-W93)</f>
        <v>0</v>
      </c>
      <c r="Y93" s="13" t="n">
        <f aca="false">IF(COUNT(D94:D94)&lt;1,"",SUM(D94:D94))</f>
        <v>0.197881615656188</v>
      </c>
      <c r="Z93" s="13" t="n">
        <f aca="false">IF(COUNT(D94:D96)&lt;3,"",SUM(D94:D96))</f>
        <v>0.139211149771558</v>
      </c>
      <c r="AA93" s="13" t="n">
        <f aca="false">IF(COUNT(D94:D99)&lt;6,"",SUM(D94:D99))</f>
        <v>0.0358416656764522</v>
      </c>
      <c r="AB93" s="13" t="n">
        <f aca="false">IF(COUNT(D94:D105)&lt;12,"",SUM(D94:D105))</f>
        <v>-0.4842179645813</v>
      </c>
    </row>
    <row r="94" customFormat="false" ht="15" hidden="false" customHeight="false" outlineLevel="0" collapsed="false">
      <c r="A94" s="8" t="n">
        <f aca="false">Base!A94</f>
        <v>40816</v>
      </c>
      <c r="B94" s="10" t="n">
        <f aca="false">IF(Base!T94="","",Base!T94)</f>
        <v>0.98393477046239</v>
      </c>
      <c r="C94" s="11" t="n">
        <f aca="false">IF(B94="","",LN(B94))</f>
        <v>-0.0161956743076725</v>
      </c>
      <c r="D94" s="13" t="n">
        <f aca="false">IF(OR(C94="",C93=""),"",C94-C93)</f>
        <v>0.197881615656188</v>
      </c>
      <c r="E94" s="12" t="n">
        <f aca="false">IF(Base!U94="","",Base!U94)</f>
        <v>112.83</v>
      </c>
      <c r="F94" s="11" t="n">
        <f aca="false">IF(E94="","",LN(E94))</f>
        <v>4.72588226115036</v>
      </c>
      <c r="G94" s="13" t="n">
        <f aca="false">IF(OR(F94="",F93=""),"",F94-F93)</f>
        <v>0.0234038926952653</v>
      </c>
      <c r="J94" s="10" t="n">
        <f aca="false">IF(COUNT(Senal!V82:V93)=0,"",AVERAGE(Senal!V82:V93))</f>
        <v>0</v>
      </c>
      <c r="K94" s="10" t="n">
        <f aca="false">IF(J94="","",ABS(J94))</f>
        <v>0</v>
      </c>
      <c r="L94" s="10" t="n">
        <f aca="false">IF(OR(J94="",J93=""),"",ABS(J94-J93))</f>
        <v>0</v>
      </c>
      <c r="M94" s="13" t="str">
        <f aca="false">IF(OR(J94="",I94=""),"",J94*I94-IF(L94="",0,L94)*Resumen!$B$8/10000)</f>
        <v/>
      </c>
      <c r="N94" s="13" t="n">
        <f aca="false">IF(OR(J94="",D94=""),"",J94*D94-IF(L94="",0,L94)*Resumen!$B$8/10000)</f>
        <v>0</v>
      </c>
      <c r="O94" s="13" t="str">
        <f aca="false">IF(M94="","",IF(COUNT(O$2:O93)=0,M94,SUM(M$2:M94)))</f>
        <v/>
      </c>
      <c r="P94" s="13" t="str">
        <f aca="false">IF(O94="","",MAX(O$2:O94))</f>
        <v/>
      </c>
      <c r="Q94" s="13" t="str">
        <f aca="false">IF(O94="","",O94-P94)</f>
        <v/>
      </c>
      <c r="R94" s="13" t="str">
        <f aca="false">IF(COUNT(I95:I95)&lt;1,"",SUM(I95:I95))</f>
        <v/>
      </c>
      <c r="S94" s="13" t="str">
        <f aca="false">IF(COUNT(I95:I97)&lt;3,"",SUM(I95:I97))</f>
        <v/>
      </c>
      <c r="T94" s="13" t="str">
        <f aca="false">IF(COUNT(I95:I100)&lt;6,"",SUM(I95:I100))</f>
        <v/>
      </c>
      <c r="U94" s="13" t="str">
        <f aca="false">IF(COUNT(I95:I106)&lt;12,"",SUM(I95:I106))</f>
        <v/>
      </c>
      <c r="V94" s="13" t="n">
        <f aca="false">IF(N94="","",SUM(N$2:N94))</f>
        <v>0</v>
      </c>
      <c r="W94" s="13" t="n">
        <f aca="false">IF(V94="","",MAX(V$2:V94))</f>
        <v>0</v>
      </c>
      <c r="X94" s="13" t="n">
        <f aca="false">IF(V94="","",V94-W94)</f>
        <v>0</v>
      </c>
      <c r="Y94" s="13" t="n">
        <f aca="false">IF(COUNT(D95:D95)&lt;1,"",SUM(D95:D95))</f>
        <v>-0.216917462061343</v>
      </c>
      <c r="Z94" s="13" t="n">
        <f aca="false">IF(COUNT(D95:D97)&lt;3,"",SUM(D95:D97))</f>
        <v>0.00129717984366679</v>
      </c>
      <c r="AA94" s="13" t="n">
        <f aca="false">IF(COUNT(D95:D100)&lt;6,"",SUM(D95:D100))</f>
        <v>-0.208445617673636</v>
      </c>
      <c r="AB94" s="13" t="n">
        <f aca="false">IF(COUNT(D95:D106)&lt;12,"",SUM(D95:D106))</f>
        <v>-0.692579986059444</v>
      </c>
    </row>
    <row r="95" customFormat="false" ht="15" hidden="false" customHeight="false" outlineLevel="0" collapsed="false">
      <c r="A95" s="8" t="n">
        <f aca="false">Base!A95</f>
        <v>40847</v>
      </c>
      <c r="B95" s="10" t="n">
        <f aca="false">IF(Base!T95="","",Base!T95)</f>
        <v>0.79206395721483</v>
      </c>
      <c r="C95" s="11" t="n">
        <f aca="false">IF(B95="","",LN(B95))</f>
        <v>-0.233113136369016</v>
      </c>
      <c r="D95" s="13" t="n">
        <f aca="false">IF(OR(C95="",C94=""),"",C95-C94)</f>
        <v>-0.216917462061343</v>
      </c>
      <c r="E95" s="12" t="n">
        <f aca="false">IF(Base!U95="","",Base!U95)</f>
        <v>109.55</v>
      </c>
      <c r="F95" s="11" t="n">
        <f aca="false">IF(E95="","",LN(E95))</f>
        <v>4.69638106604148</v>
      </c>
      <c r="G95" s="13" t="n">
        <f aca="false">IF(OR(F95="",F94=""),"",F95-F94)</f>
        <v>-0.0295011951088799</v>
      </c>
      <c r="J95" s="10" t="n">
        <f aca="false">IF(COUNT(Senal!V83:V94)=0,"",AVERAGE(Senal!V83:V94))</f>
        <v>0</v>
      </c>
      <c r="K95" s="10" t="n">
        <f aca="false">IF(J95="","",ABS(J95))</f>
        <v>0</v>
      </c>
      <c r="L95" s="10" t="n">
        <f aca="false">IF(OR(J95="",J94=""),"",ABS(J95-J94))</f>
        <v>0</v>
      </c>
      <c r="M95" s="13" t="str">
        <f aca="false">IF(OR(J95="",I95=""),"",J95*I95-IF(L95="",0,L95)*Resumen!$B$8/10000)</f>
        <v/>
      </c>
      <c r="N95" s="13" t="n">
        <f aca="false">IF(OR(J95="",D95=""),"",J95*D95-IF(L95="",0,L95)*Resumen!$B$8/10000)</f>
        <v>-0</v>
      </c>
      <c r="O95" s="13" t="str">
        <f aca="false">IF(M95="","",IF(COUNT(O$2:O94)=0,M95,SUM(M$2:M95)))</f>
        <v/>
      </c>
      <c r="P95" s="13" t="str">
        <f aca="false">IF(O95="","",MAX(O$2:O95))</f>
        <v/>
      </c>
      <c r="Q95" s="13" t="str">
        <f aca="false">IF(O95="","",O95-P95)</f>
        <v/>
      </c>
      <c r="R95" s="13" t="str">
        <f aca="false">IF(COUNT(I96:I96)&lt;1,"",SUM(I96:I96))</f>
        <v/>
      </c>
      <c r="S95" s="13" t="str">
        <f aca="false">IF(COUNT(I96:I98)&lt;3,"",SUM(I96:I98))</f>
        <v/>
      </c>
      <c r="T95" s="13" t="str">
        <f aca="false">IF(COUNT(I96:I101)&lt;6,"",SUM(I96:I101))</f>
        <v/>
      </c>
      <c r="U95" s="13" t="str">
        <f aca="false">IF(COUNT(I96:I107)&lt;12,"",SUM(I96:I107))</f>
        <v/>
      </c>
      <c r="V95" s="13" t="n">
        <f aca="false">IF(N95="","",SUM(N$2:N95))</f>
        <v>0</v>
      </c>
      <c r="W95" s="13" t="n">
        <f aca="false">IF(V95="","",MAX(V$2:V95))</f>
        <v>0</v>
      </c>
      <c r="X95" s="13" t="n">
        <f aca="false">IF(V95="","",V95-W95)</f>
        <v>0</v>
      </c>
      <c r="Y95" s="13" t="n">
        <f aca="false">IF(COUNT(D96:D96)&lt;1,"",SUM(D96:D96))</f>
        <v>0.158246996176713</v>
      </c>
      <c r="Z95" s="13" t="n">
        <f aca="false">IF(COUNT(D96:D98)&lt;3,"",SUM(D96:D98))</f>
        <v>0.166747638898612</v>
      </c>
      <c r="AA95" s="13" t="n">
        <f aca="false">IF(COUNT(D96:D101)&lt;6,"",SUM(D96:D101))</f>
        <v>-0.438068884782133</v>
      </c>
      <c r="AB95" s="13" t="n">
        <f aca="false">IF(COUNT(D96:D107)&lt;12,"",SUM(D96:D107))</f>
        <v>-0.513349731987554</v>
      </c>
    </row>
    <row r="96" customFormat="false" ht="15" hidden="false" customHeight="false" outlineLevel="0" collapsed="false">
      <c r="A96" s="8" t="n">
        <f aca="false">Base!A96</f>
        <v>40877</v>
      </c>
      <c r="B96" s="10" t="n">
        <f aca="false">IF(Base!T96="","",Base!T96)</f>
        <v>0.927867682205458</v>
      </c>
      <c r="C96" s="11" t="n">
        <f aca="false">IF(B96="","",LN(B96))</f>
        <v>-0.0748661401923026</v>
      </c>
      <c r="D96" s="13" t="n">
        <f aca="false">IF(OR(C96="",C95=""),"",C96-C95)</f>
        <v>0.158246996176713</v>
      </c>
      <c r="E96" s="12" t="n">
        <f aca="false">IF(Base!U96="","",Base!U96)</f>
        <v>110.77</v>
      </c>
      <c r="F96" s="11" t="n">
        <f aca="false">IF(E96="","",LN(E96))</f>
        <v>4.70745597952884</v>
      </c>
      <c r="G96" s="13" t="n">
        <f aca="false">IF(OR(F96="",F95=""),"",F96-F95)</f>
        <v>0.0110749134873664</v>
      </c>
      <c r="J96" s="10" t="n">
        <f aca="false">IF(COUNT(Senal!V84:V95)=0,"",AVERAGE(Senal!V84:V95))</f>
        <v>0</v>
      </c>
      <c r="K96" s="10" t="n">
        <f aca="false">IF(J96="","",ABS(J96))</f>
        <v>0</v>
      </c>
      <c r="L96" s="10" t="n">
        <f aca="false">IF(OR(J96="",J95=""),"",ABS(J96-J95))</f>
        <v>0</v>
      </c>
      <c r="M96" s="13" t="str">
        <f aca="false">IF(OR(J96="",I96=""),"",J96*I96-IF(L96="",0,L96)*Resumen!$B$8/10000)</f>
        <v/>
      </c>
      <c r="N96" s="13" t="n">
        <f aca="false">IF(OR(J96="",D96=""),"",J96*D96-IF(L96="",0,L96)*Resumen!$B$8/10000)</f>
        <v>0</v>
      </c>
      <c r="O96" s="13" t="str">
        <f aca="false">IF(M96="","",IF(COUNT(O$2:O95)=0,M96,SUM(M$2:M96)))</f>
        <v/>
      </c>
      <c r="P96" s="13" t="str">
        <f aca="false">IF(O96="","",MAX(O$2:O96))</f>
        <v/>
      </c>
      <c r="Q96" s="13" t="str">
        <f aca="false">IF(O96="","",O96-P96)</f>
        <v/>
      </c>
      <c r="R96" s="13" t="str">
        <f aca="false">IF(COUNT(I97:I97)&lt;1,"",SUM(I97:I97))</f>
        <v/>
      </c>
      <c r="S96" s="13" t="str">
        <f aca="false">IF(COUNT(I97:I99)&lt;3,"",SUM(I97:I99))</f>
        <v/>
      </c>
      <c r="T96" s="13" t="str">
        <f aca="false">IF(COUNT(I97:I102)&lt;6,"",SUM(I97:I102))</f>
        <v/>
      </c>
      <c r="U96" s="13" t="str">
        <f aca="false">IF(COUNT(I97:I108)&lt;12,"",SUM(I97:I108))</f>
        <v/>
      </c>
      <c r="V96" s="13" t="n">
        <f aca="false">IF(N96="","",SUM(N$2:N96))</f>
        <v>0</v>
      </c>
      <c r="W96" s="13" t="n">
        <f aca="false">IF(V96="","",MAX(V$2:V96))</f>
        <v>0</v>
      </c>
      <c r="X96" s="13" t="n">
        <f aca="false">IF(V96="","",V96-W96)</f>
        <v>0</v>
      </c>
      <c r="Y96" s="13" t="n">
        <f aca="false">IF(COUNT(D97:D97)&lt;1,"",SUM(D97:D97))</f>
        <v>0.0599676457282969</v>
      </c>
      <c r="Z96" s="13" t="n">
        <f aca="false">IF(COUNT(D97:D99)&lt;3,"",SUM(D97:D99))</f>
        <v>-0.103369484095105</v>
      </c>
      <c r="AA96" s="13" t="n">
        <f aca="false">IF(COUNT(D97:D102)&lt;6,"",SUM(D97:D102))</f>
        <v>-0.549086828004096</v>
      </c>
      <c r="AB96" s="13" t="n">
        <f aca="false">IF(COUNT(D97:D108)&lt;12,"",SUM(D97:D108))</f>
        <v>-0.670928603171469</v>
      </c>
    </row>
    <row r="97" customFormat="false" ht="15" hidden="false" customHeight="false" outlineLevel="0" collapsed="false">
      <c r="A97" s="8" t="n">
        <f aca="false">Base!A97</f>
        <v>40908</v>
      </c>
      <c r="B97" s="10" t="n">
        <f aca="false">IF(Base!T97="","",Base!T97)</f>
        <v>0.985211938993666</v>
      </c>
      <c r="C97" s="11" t="n">
        <f aca="false">IF(B97="","",LN(B97))</f>
        <v>-0.0148984944640057</v>
      </c>
      <c r="D97" s="13" t="n">
        <f aca="false">IF(OR(C97="",C96=""),"",C97-C96)</f>
        <v>0.0599676457282969</v>
      </c>
      <c r="E97" s="12" t="n">
        <f aca="false">IF(Base!U97="","",Base!U97)</f>
        <v>107.87</v>
      </c>
      <c r="F97" s="11" t="n">
        <f aca="false">IF(E97="","",LN(E97))</f>
        <v>4.68092679838734</v>
      </c>
      <c r="G97" s="13" t="n">
        <f aca="false">IF(OR(F97="",F96=""),"",F97-F96)</f>
        <v>-0.0265291811415036</v>
      </c>
      <c r="J97" s="10" t="n">
        <f aca="false">IF(COUNT(Senal!V85:V96)=0,"",AVERAGE(Senal!V85:V96))</f>
        <v>0</v>
      </c>
      <c r="K97" s="10" t="n">
        <f aca="false">IF(J97="","",ABS(J97))</f>
        <v>0</v>
      </c>
      <c r="L97" s="10" t="n">
        <f aca="false">IF(OR(J97="",J96=""),"",ABS(J97-J96))</f>
        <v>0</v>
      </c>
      <c r="M97" s="13" t="str">
        <f aca="false">IF(OR(J97="",I97=""),"",J97*I97-IF(L97="",0,L97)*Resumen!$B$8/10000)</f>
        <v/>
      </c>
      <c r="N97" s="13" t="n">
        <f aca="false">IF(OR(J97="",D97=""),"",J97*D97-IF(L97="",0,L97)*Resumen!$B$8/10000)</f>
        <v>0</v>
      </c>
      <c r="O97" s="13" t="str">
        <f aca="false">IF(M97="","",IF(COUNT(O$2:O96)=0,M97,SUM(M$2:M97)))</f>
        <v/>
      </c>
      <c r="P97" s="13" t="str">
        <f aca="false">IF(O97="","",MAX(O$2:O97))</f>
        <v/>
      </c>
      <c r="Q97" s="13" t="str">
        <f aca="false">IF(O97="","",O97-P97)</f>
        <v/>
      </c>
      <c r="R97" s="13" t="str">
        <f aca="false">IF(COUNT(I98:I98)&lt;1,"",SUM(I98:I98))</f>
        <v/>
      </c>
      <c r="S97" s="13" t="str">
        <f aca="false">IF(COUNT(I98:I100)&lt;3,"",SUM(I98:I100))</f>
        <v/>
      </c>
      <c r="T97" s="13" t="str">
        <f aca="false">IF(COUNT(I98:I103)&lt;6,"",SUM(I98:I103))</f>
        <v/>
      </c>
      <c r="U97" s="13" t="str">
        <f aca="false">IF(COUNT(I98:I109)&lt;12,"",SUM(I98:I109))</f>
        <v/>
      </c>
      <c r="V97" s="13" t="n">
        <f aca="false">IF(N97="","",SUM(N$2:N97))</f>
        <v>0</v>
      </c>
      <c r="W97" s="13" t="n">
        <f aca="false">IF(V97="","",MAX(V$2:V97))</f>
        <v>0</v>
      </c>
      <c r="X97" s="13" t="n">
        <f aca="false">IF(V97="","",V97-W97)</f>
        <v>0</v>
      </c>
      <c r="Y97" s="13" t="n">
        <f aca="false">IF(COUNT(D98:D98)&lt;1,"",SUM(D98:D98))</f>
        <v>-0.0514670030063977</v>
      </c>
      <c r="Z97" s="13" t="n">
        <f aca="false">IF(COUNT(D98:D100)&lt;3,"",SUM(D98:D100))</f>
        <v>-0.209742797517302</v>
      </c>
      <c r="AA97" s="13" t="n">
        <f aca="false">IF(COUNT(D98:D103)&lt;6,"",SUM(D98:D103))</f>
        <v>-0.647297301938792</v>
      </c>
      <c r="AB97" s="13" t="n">
        <f aca="false">IF(COUNT(D98:D109)&lt;12,"",SUM(D98:D109))</f>
        <v>-0.654676347425416</v>
      </c>
    </row>
    <row r="98" customFormat="false" ht="15" hidden="false" customHeight="false" outlineLevel="0" collapsed="false">
      <c r="A98" s="8" t="n">
        <f aca="false">Base!A98</f>
        <v>40939</v>
      </c>
      <c r="B98" s="10" t="n">
        <f aca="false">IF(Base!T98="","",Base!T98)</f>
        <v>0.935788773349249</v>
      </c>
      <c r="C98" s="11" t="n">
        <f aca="false">IF(B98="","",LN(B98))</f>
        <v>-0.0663654974704034</v>
      </c>
      <c r="D98" s="13" t="n">
        <f aca="false">IF(OR(C98="",C97=""),"",C98-C97)</f>
        <v>-0.0514670030063977</v>
      </c>
      <c r="E98" s="12" t="n">
        <f aca="false">IF(Base!U98="","",Base!U98)</f>
        <v>110.69</v>
      </c>
      <c r="F98" s="11" t="n">
        <f aca="false">IF(E98="","",LN(E98))</f>
        <v>4.70673350139753</v>
      </c>
      <c r="G98" s="13" t="n">
        <f aca="false">IF(OR(F98="",F97=""),"",F98-F97)</f>
        <v>0.0258067030101943</v>
      </c>
      <c r="J98" s="10" t="n">
        <f aca="false">IF(COUNT(Senal!V86:V97)=0,"",AVERAGE(Senal!V86:V97))</f>
        <v>0</v>
      </c>
      <c r="K98" s="10" t="n">
        <f aca="false">IF(J98="","",ABS(J98))</f>
        <v>0</v>
      </c>
      <c r="L98" s="10" t="n">
        <f aca="false">IF(OR(J98="",J97=""),"",ABS(J98-J97))</f>
        <v>0</v>
      </c>
      <c r="M98" s="13" t="str">
        <f aca="false">IF(OR(J98="",I98=""),"",J98*I98-IF(L98="",0,L98)*Resumen!$B$8/10000)</f>
        <v/>
      </c>
      <c r="N98" s="13" t="n">
        <f aca="false">IF(OR(J98="",D98=""),"",J98*D98-IF(L98="",0,L98)*Resumen!$B$8/10000)</f>
        <v>-0</v>
      </c>
      <c r="O98" s="13" t="str">
        <f aca="false">IF(M98="","",IF(COUNT(O$2:O97)=0,M98,SUM(M$2:M98)))</f>
        <v/>
      </c>
      <c r="P98" s="13" t="str">
        <f aca="false">IF(O98="","",MAX(O$2:O98))</f>
        <v/>
      </c>
      <c r="Q98" s="13" t="str">
        <f aca="false">IF(O98="","",O98-P98)</f>
        <v/>
      </c>
      <c r="R98" s="13" t="str">
        <f aca="false">IF(COUNT(I99:I99)&lt;1,"",SUM(I99:I99))</f>
        <v/>
      </c>
      <c r="S98" s="13" t="str">
        <f aca="false">IF(COUNT(I99:I101)&lt;3,"",SUM(I99:I101))</f>
        <v/>
      </c>
      <c r="T98" s="13" t="str">
        <f aca="false">IF(COUNT(I99:I104)&lt;6,"",SUM(I99:I104))</f>
        <v/>
      </c>
      <c r="U98" s="13" t="str">
        <f aca="false">IF(COUNT(I99:I110)&lt;12,"",SUM(I99:I110))</f>
        <v/>
      </c>
      <c r="V98" s="13" t="n">
        <f aca="false">IF(N98="","",SUM(N$2:N98))</f>
        <v>0</v>
      </c>
      <c r="W98" s="13" t="n">
        <f aca="false">IF(V98="","",MAX(V$2:V98))</f>
        <v>0</v>
      </c>
      <c r="X98" s="13" t="n">
        <f aca="false">IF(V98="","",V98-W98)</f>
        <v>0</v>
      </c>
      <c r="Y98" s="13" t="n">
        <f aca="false">IF(COUNT(D99:D99)&lt;1,"",SUM(D99:D99))</f>
        <v>-0.111870126817005</v>
      </c>
      <c r="Z98" s="13" t="n">
        <f aca="false">IF(COUNT(D99:D101)&lt;3,"",SUM(D99:D101))</f>
        <v>-0.604816523680745</v>
      </c>
      <c r="AA98" s="13" t="n">
        <f aca="false">IF(COUNT(D99:D104)&lt;6,"",SUM(D99:D104))</f>
        <v>-0.622057547945215</v>
      </c>
      <c r="AB98" s="13" t="n">
        <f aca="false">IF(COUNT(D99:D110)&lt;12,"",SUM(D99:D110))</f>
        <v>-0.581430286595654</v>
      </c>
    </row>
    <row r="99" customFormat="false" ht="15" hidden="false" customHeight="false" outlineLevel="0" collapsed="false">
      <c r="A99" s="8" t="n">
        <f aca="false">Base!A99</f>
        <v>40968</v>
      </c>
      <c r="B99" s="10" t="n">
        <f aca="false">IF(Base!T99="","",Base!T99)</f>
        <v>0.836745242757829</v>
      </c>
      <c r="C99" s="11" t="n">
        <f aca="false">IF(B99="","",LN(B99))</f>
        <v>-0.178235624287408</v>
      </c>
      <c r="D99" s="13" t="n">
        <f aca="false">IF(OR(C99="",C98=""),"",C99-C98)</f>
        <v>-0.111870126817005</v>
      </c>
      <c r="E99" s="12" t="n">
        <f aca="false">IF(Base!U99="","",Base!U99)</f>
        <v>119.33</v>
      </c>
      <c r="F99" s="11" t="n">
        <f aca="false">IF(E99="","",LN(E99))</f>
        <v>4.78189276438156</v>
      </c>
      <c r="G99" s="13" t="n">
        <f aca="false">IF(OR(F99="",F98=""),"",F99-F98)</f>
        <v>0.0751592629840321</v>
      </c>
      <c r="J99" s="10" t="n">
        <f aca="false">IF(COUNT(Senal!V87:V98)=0,"",AVERAGE(Senal!V87:V98))</f>
        <v>0</v>
      </c>
      <c r="K99" s="10" t="n">
        <f aca="false">IF(J99="","",ABS(J99))</f>
        <v>0</v>
      </c>
      <c r="L99" s="10" t="n">
        <f aca="false">IF(OR(J99="",J98=""),"",ABS(J99-J98))</f>
        <v>0</v>
      </c>
      <c r="M99" s="13" t="str">
        <f aca="false">IF(OR(J99="",I99=""),"",J99*I99-IF(L99="",0,L99)*Resumen!$B$8/10000)</f>
        <v/>
      </c>
      <c r="N99" s="13" t="n">
        <f aca="false">IF(OR(J99="",D99=""),"",J99*D99-IF(L99="",0,L99)*Resumen!$B$8/10000)</f>
        <v>-0</v>
      </c>
      <c r="O99" s="13" t="str">
        <f aca="false">IF(M99="","",IF(COUNT(O$2:O98)=0,M99,SUM(M$2:M99)))</f>
        <v/>
      </c>
      <c r="P99" s="13" t="str">
        <f aca="false">IF(O99="","",MAX(O$2:O99))</f>
        <v/>
      </c>
      <c r="Q99" s="13" t="str">
        <f aca="false">IF(O99="","",O99-P99)</f>
        <v/>
      </c>
      <c r="R99" s="13" t="str">
        <f aca="false">IF(COUNT(I100:I100)&lt;1,"",SUM(I100:I100))</f>
        <v/>
      </c>
      <c r="S99" s="13" t="str">
        <f aca="false">IF(COUNT(I100:I102)&lt;3,"",SUM(I100:I102))</f>
        <v/>
      </c>
      <c r="T99" s="13" t="str">
        <f aca="false">IF(COUNT(I100:I105)&lt;6,"",SUM(I100:I105))</f>
        <v/>
      </c>
      <c r="U99" s="13" t="str">
        <f aca="false">IF(COUNT(I100:I111)&lt;12,"",SUM(I100:I111))</f>
        <v/>
      </c>
      <c r="V99" s="13" t="n">
        <f aca="false">IF(N99="","",SUM(N$2:N99))</f>
        <v>0</v>
      </c>
      <c r="W99" s="13" t="n">
        <f aca="false">IF(V99="","",MAX(V$2:V99))</f>
        <v>0</v>
      </c>
      <c r="X99" s="13" t="n">
        <f aca="false">IF(V99="","",V99-W99)</f>
        <v>0</v>
      </c>
      <c r="Y99" s="13" t="n">
        <f aca="false">IF(COUNT(D100:D100)&lt;1,"",SUM(D100:D100))</f>
        <v>-0.0464056676939002</v>
      </c>
      <c r="Z99" s="13" t="n">
        <f aca="false">IF(COUNT(D100:D102)&lt;3,"",SUM(D100:D102))</f>
        <v>-0.445717343908991</v>
      </c>
      <c r="AA99" s="13" t="n">
        <f aca="false">IF(COUNT(D100:D105)&lt;6,"",SUM(D100:D105))</f>
        <v>-0.520059630257752</v>
      </c>
      <c r="AB99" s="13" t="n">
        <f aca="false">IF(COUNT(D100:D111)&lt;12,"",SUM(D100:D111))</f>
        <v>-0.428193691417761</v>
      </c>
    </row>
    <row r="100" customFormat="false" ht="15" hidden="false" customHeight="false" outlineLevel="0" collapsed="false">
      <c r="A100" s="8" t="n">
        <f aca="false">Base!A100</f>
        <v>40999</v>
      </c>
      <c r="B100" s="10" t="n">
        <f aca="false">IF(Base!T100="","",Base!T100)</f>
        <v>0.798802704309362</v>
      </c>
      <c r="C100" s="11" t="n">
        <f aca="false">IF(B100="","",LN(B100))</f>
        <v>-0.224641291981308</v>
      </c>
      <c r="D100" s="13" t="n">
        <f aca="false">IF(OR(C100="",C99=""),"",C100-C99)</f>
        <v>-0.0464056676939002</v>
      </c>
      <c r="E100" s="12" t="n">
        <f aca="false">IF(Base!U100="","",Base!U100)</f>
        <v>125.45</v>
      </c>
      <c r="F100" s="11" t="n">
        <f aca="false">IF(E100="","",LN(E100))</f>
        <v>4.83190727281243</v>
      </c>
      <c r="G100" s="13" t="n">
        <f aca="false">IF(OR(F100="",F99=""),"",F100-F99)</f>
        <v>0.0500145084308672</v>
      </c>
      <c r="J100" s="10" t="n">
        <f aca="false">IF(COUNT(Senal!V88:V99)=0,"",AVERAGE(Senal!V88:V99))</f>
        <v>0</v>
      </c>
      <c r="K100" s="10" t="n">
        <f aca="false">IF(J100="","",ABS(J100))</f>
        <v>0</v>
      </c>
      <c r="L100" s="10" t="n">
        <f aca="false">IF(OR(J100="",J99=""),"",ABS(J100-J99))</f>
        <v>0</v>
      </c>
      <c r="M100" s="13" t="str">
        <f aca="false">IF(OR(J100="",I100=""),"",J100*I100-IF(L100="",0,L100)*Resumen!$B$8/10000)</f>
        <v/>
      </c>
      <c r="N100" s="13" t="n">
        <f aca="false">IF(OR(J100="",D100=""),"",J100*D100-IF(L100="",0,L100)*Resumen!$B$8/10000)</f>
        <v>-0</v>
      </c>
      <c r="O100" s="13" t="str">
        <f aca="false">IF(M100="","",IF(COUNT(O$2:O99)=0,M100,SUM(M$2:M100)))</f>
        <v/>
      </c>
      <c r="P100" s="13" t="str">
        <f aca="false">IF(O100="","",MAX(O$2:O100))</f>
        <v/>
      </c>
      <c r="Q100" s="13" t="str">
        <f aca="false">IF(O100="","",O100-P100)</f>
        <v/>
      </c>
      <c r="R100" s="13" t="str">
        <f aca="false">IF(COUNT(I101:I101)&lt;1,"",SUM(I101:I101))</f>
        <v/>
      </c>
      <c r="S100" s="13" t="str">
        <f aca="false">IF(COUNT(I101:I103)&lt;3,"",SUM(I101:I103))</f>
        <v/>
      </c>
      <c r="T100" s="13" t="str">
        <f aca="false">IF(COUNT(I101:I106)&lt;6,"",SUM(I101:I106))</f>
        <v/>
      </c>
      <c r="U100" s="13" t="str">
        <f aca="false">IF(COUNT(I101:I112)&lt;12,"",SUM(I101:I112))</f>
        <v/>
      </c>
      <c r="V100" s="13" t="n">
        <f aca="false">IF(N100="","",SUM(N$2:N100))</f>
        <v>0</v>
      </c>
      <c r="W100" s="13" t="n">
        <f aca="false">IF(V100="","",MAX(V$2:V100))</f>
        <v>0</v>
      </c>
      <c r="X100" s="13" t="n">
        <f aca="false">IF(V100="","",V100-W100)</f>
        <v>0</v>
      </c>
      <c r="Y100" s="13" t="n">
        <f aca="false">IF(COUNT(D101:D101)&lt;1,"",SUM(D101:D101))</f>
        <v>-0.44654072916984</v>
      </c>
      <c r="Z100" s="13" t="n">
        <f aca="false">IF(COUNT(D101:D103)&lt;3,"",SUM(D101:D103))</f>
        <v>-0.437554504421489</v>
      </c>
      <c r="AA100" s="13" t="n">
        <f aca="false">IF(COUNT(D101:D106)&lt;6,"",SUM(D101:D106))</f>
        <v>-0.484134368385808</v>
      </c>
      <c r="AB100" s="13" t="n">
        <f aca="false">IF(COUNT(D101:D112)&lt;12,"",SUM(D101:D112))</f>
        <v>-0.390823881288987</v>
      </c>
    </row>
    <row r="101" customFormat="false" ht="15" hidden="false" customHeight="false" outlineLevel="0" collapsed="false">
      <c r="A101" s="8" t="n">
        <f aca="false">Base!A101</f>
        <v>41029</v>
      </c>
      <c r="B101" s="10" t="n">
        <f aca="false">IF(Base!T101="","",Base!T101)</f>
        <v>0.51110408475653</v>
      </c>
      <c r="C101" s="11" t="n">
        <f aca="false">IF(B101="","",LN(B101))</f>
        <v>-0.671182021151148</v>
      </c>
      <c r="D101" s="13" t="n">
        <f aca="false">IF(OR(C101="",C100=""),"",C101-C100)</f>
        <v>-0.44654072916984</v>
      </c>
      <c r="E101" s="12" t="n">
        <f aca="false">IF(Base!U101="","",Base!U101)</f>
        <v>119.75</v>
      </c>
      <c r="F101" s="11" t="n">
        <f aca="false">IF(E101="","",LN(E101))</f>
        <v>4.78540623629103</v>
      </c>
      <c r="G101" s="13" t="n">
        <f aca="false">IF(OR(F101="",F100=""),"",F101-F100)</f>
        <v>-0.0465010365214065</v>
      </c>
      <c r="J101" s="10" t="n">
        <f aca="false">IF(COUNT(Senal!V89:V100)=0,"",AVERAGE(Senal!V89:V100))</f>
        <v>0</v>
      </c>
      <c r="K101" s="10" t="n">
        <f aca="false">IF(J101="","",ABS(J101))</f>
        <v>0</v>
      </c>
      <c r="L101" s="10" t="n">
        <f aca="false">IF(OR(J101="",J100=""),"",ABS(J101-J100))</f>
        <v>0</v>
      </c>
      <c r="M101" s="13" t="str">
        <f aca="false">IF(OR(J101="",I101=""),"",J101*I101-IF(L101="",0,L101)*Resumen!$B$8/10000)</f>
        <v/>
      </c>
      <c r="N101" s="13" t="n">
        <f aca="false">IF(OR(J101="",D101=""),"",J101*D101-IF(L101="",0,L101)*Resumen!$B$8/10000)</f>
        <v>-0</v>
      </c>
      <c r="O101" s="13" t="str">
        <f aca="false">IF(M101="","",IF(COUNT(O$2:O100)=0,M101,SUM(M$2:M101)))</f>
        <v/>
      </c>
      <c r="P101" s="13" t="str">
        <f aca="false">IF(O101="","",MAX(O$2:O101))</f>
        <v/>
      </c>
      <c r="Q101" s="13" t="str">
        <f aca="false">IF(O101="","",O101-P101)</f>
        <v/>
      </c>
      <c r="R101" s="13" t="str">
        <f aca="false">IF(COUNT(I102:I102)&lt;1,"",SUM(I102:I102))</f>
        <v/>
      </c>
      <c r="S101" s="13" t="str">
        <f aca="false">IF(COUNT(I102:I104)&lt;3,"",SUM(I102:I104))</f>
        <v/>
      </c>
      <c r="T101" s="13" t="str">
        <f aca="false">IF(COUNT(I102:I107)&lt;6,"",SUM(I102:I107))</f>
        <v/>
      </c>
      <c r="U101" s="13" t="str">
        <f aca="false">IF(COUNT(I102:I113)&lt;12,"",SUM(I102:I113))</f>
        <v/>
      </c>
      <c r="V101" s="13" t="n">
        <f aca="false">IF(N101="","",SUM(N$2:N101))</f>
        <v>0</v>
      </c>
      <c r="W101" s="13" t="n">
        <f aca="false">IF(V101="","",MAX(V$2:V101))</f>
        <v>0</v>
      </c>
      <c r="X101" s="13" t="n">
        <f aca="false">IF(V101="","",V101-W101)</f>
        <v>0</v>
      </c>
      <c r="Y101" s="13" t="n">
        <f aca="false">IF(COUNT(D102:D102)&lt;1,"",SUM(D102:D102))</f>
        <v>0.0472290529547498</v>
      </c>
      <c r="Z101" s="13" t="n">
        <f aca="false">IF(COUNT(D102:D104)&lt;3,"",SUM(D102:D104))</f>
        <v>-0.0172410242644695</v>
      </c>
      <c r="AA101" s="13" t="n">
        <f aca="false">IF(COUNT(D102:D107)&lt;6,"",SUM(D102:D107))</f>
        <v>-0.0752808472054214</v>
      </c>
      <c r="AB101" s="13" t="n">
        <f aca="false">IF(COUNT(D102:D113)&lt;12,"",SUM(D102:D113))</f>
        <v>-0.0802395404060263</v>
      </c>
    </row>
    <row r="102" customFormat="false" ht="15" hidden="false" customHeight="false" outlineLevel="0" collapsed="false">
      <c r="A102" s="8" t="n">
        <f aca="false">Base!A102</f>
        <v>41060</v>
      </c>
      <c r="B102" s="10" t="n">
        <f aca="false">IF(Base!T102="","",Base!T102)</f>
        <v>0.535822157757337</v>
      </c>
      <c r="C102" s="11" t="n">
        <f aca="false">IF(B102="","",LN(B102))</f>
        <v>-0.623952968196399</v>
      </c>
      <c r="D102" s="13" t="n">
        <f aca="false">IF(OR(C102="",C101=""),"",C102-C101)</f>
        <v>0.0472290529547498</v>
      </c>
      <c r="E102" s="12" t="n">
        <f aca="false">IF(Base!U102="","",Base!U102)</f>
        <v>110.34</v>
      </c>
      <c r="F102" s="11" t="n">
        <f aca="false">IF(E102="","",LN(E102))</f>
        <v>4.70356650784428</v>
      </c>
      <c r="G102" s="13" t="n">
        <f aca="false">IF(OR(F102="",F101=""),"",F102-F101)</f>
        <v>-0.0818397284467407</v>
      </c>
      <c r="J102" s="10" t="n">
        <f aca="false">IF(COUNT(Senal!V90:V101)=0,"",AVERAGE(Senal!V90:V101))</f>
        <v>0</v>
      </c>
      <c r="K102" s="10" t="n">
        <f aca="false">IF(J102="","",ABS(J102))</f>
        <v>0</v>
      </c>
      <c r="L102" s="10" t="n">
        <f aca="false">IF(OR(J102="",J101=""),"",ABS(J102-J101))</f>
        <v>0</v>
      </c>
      <c r="M102" s="13" t="str">
        <f aca="false">IF(OR(J102="",I102=""),"",J102*I102-IF(L102="",0,L102)*Resumen!$B$8/10000)</f>
        <v/>
      </c>
      <c r="N102" s="13" t="n">
        <f aca="false">IF(OR(J102="",D102=""),"",J102*D102-IF(L102="",0,L102)*Resumen!$B$8/10000)</f>
        <v>0</v>
      </c>
      <c r="O102" s="13" t="str">
        <f aca="false">IF(M102="","",IF(COUNT(O$2:O101)=0,M102,SUM(M$2:M102)))</f>
        <v/>
      </c>
      <c r="P102" s="13" t="str">
        <f aca="false">IF(O102="","",MAX(O$2:O102))</f>
        <v/>
      </c>
      <c r="Q102" s="13" t="str">
        <f aca="false">IF(O102="","",O102-P102)</f>
        <v/>
      </c>
      <c r="R102" s="13" t="str">
        <f aca="false">IF(COUNT(I103:I103)&lt;1,"",SUM(I103:I103))</f>
        <v/>
      </c>
      <c r="S102" s="13" t="str">
        <f aca="false">IF(COUNT(I103:I105)&lt;3,"",SUM(I103:I105))</f>
        <v/>
      </c>
      <c r="T102" s="13" t="str">
        <f aca="false">IF(COUNT(I103:I108)&lt;6,"",SUM(I103:I108))</f>
        <v/>
      </c>
      <c r="U102" s="13" t="str">
        <f aca="false">IF(COUNT(I103:I114)&lt;12,"",SUM(I103:I114))</f>
        <v/>
      </c>
      <c r="V102" s="13" t="n">
        <f aca="false">IF(N102="","",SUM(N$2:N102))</f>
        <v>0</v>
      </c>
      <c r="W102" s="13" t="n">
        <f aca="false">IF(V102="","",MAX(V$2:V102))</f>
        <v>0</v>
      </c>
      <c r="X102" s="13" t="n">
        <f aca="false">IF(V102="","",V102-W102)</f>
        <v>0</v>
      </c>
      <c r="Y102" s="13" t="n">
        <f aca="false">IF(COUNT(D103:D103)&lt;1,"",SUM(D103:D103))</f>
        <v>-0.038242828206399</v>
      </c>
      <c r="Z102" s="13" t="n">
        <f aca="false">IF(COUNT(D103:D105)&lt;3,"",SUM(D103:D105))</f>
        <v>-0.0743422863487617</v>
      </c>
      <c r="AA102" s="13" t="n">
        <f aca="false">IF(COUNT(D103:D108)&lt;6,"",SUM(D103:D108))</f>
        <v>-0.121841775167373</v>
      </c>
      <c r="AB102" s="13" t="n">
        <f aca="false">IF(COUNT(D103:D114)&lt;12,"",SUM(D103:D114))</f>
        <v>-0.0337268855455872</v>
      </c>
    </row>
    <row r="103" customFormat="false" ht="15" hidden="false" customHeight="false" outlineLevel="0" collapsed="false">
      <c r="A103" s="8" t="n">
        <f aca="false">Base!A103</f>
        <v>41090</v>
      </c>
      <c r="B103" s="10" t="n">
        <f aca="false">IF(Base!T103="","",Base!T103)</f>
        <v>0.51571767928415</v>
      </c>
      <c r="C103" s="11" t="n">
        <f aca="false">IF(B103="","",LN(B103))</f>
        <v>-0.662195796402798</v>
      </c>
      <c r="D103" s="13" t="n">
        <f aca="false">IF(OR(C103="",C102=""),"",C103-C102)</f>
        <v>-0.038242828206399</v>
      </c>
      <c r="E103" s="12" t="n">
        <f aca="false">IF(Base!U103="","",Base!U103)</f>
        <v>95.16</v>
      </c>
      <c r="F103" s="11" t="n">
        <f aca="false">IF(E103="","",LN(E103))</f>
        <v>4.55555968543476</v>
      </c>
      <c r="G103" s="13" t="n">
        <f aca="false">IF(OR(F103="",F102=""),"",F103-F102)</f>
        <v>-0.148006822409528</v>
      </c>
      <c r="J103" s="10" t="n">
        <f aca="false">IF(COUNT(Senal!V91:V102)=0,"",AVERAGE(Senal!V91:V102))</f>
        <v>0</v>
      </c>
      <c r="K103" s="10" t="n">
        <f aca="false">IF(J103="","",ABS(J103))</f>
        <v>0</v>
      </c>
      <c r="L103" s="10" t="n">
        <f aca="false">IF(OR(J103="",J102=""),"",ABS(J103-J102))</f>
        <v>0</v>
      </c>
      <c r="M103" s="13" t="str">
        <f aca="false">IF(OR(J103="",I103=""),"",J103*I103-IF(L103="",0,L103)*Resumen!$B$8/10000)</f>
        <v/>
      </c>
      <c r="N103" s="13" t="n">
        <f aca="false">IF(OR(J103="",D103=""),"",J103*D103-IF(L103="",0,L103)*Resumen!$B$8/10000)</f>
        <v>-0</v>
      </c>
      <c r="O103" s="13" t="str">
        <f aca="false">IF(M103="","",IF(COUNT(O$2:O102)=0,M103,SUM(M$2:M103)))</f>
        <v/>
      </c>
      <c r="P103" s="13" t="str">
        <f aca="false">IF(O103="","",MAX(O$2:O103))</f>
        <v/>
      </c>
      <c r="Q103" s="13" t="str">
        <f aca="false">IF(O103="","",O103-P103)</f>
        <v/>
      </c>
      <c r="R103" s="13" t="str">
        <f aca="false">IF(COUNT(I104:I104)&lt;1,"",SUM(I104:I104))</f>
        <v/>
      </c>
      <c r="S103" s="13" t="str">
        <f aca="false">IF(COUNT(I104:I106)&lt;3,"",SUM(I104:I106))</f>
        <v/>
      </c>
      <c r="T103" s="13" t="str">
        <f aca="false">IF(COUNT(I104:I109)&lt;6,"",SUM(I104:I109))</f>
        <v/>
      </c>
      <c r="U103" s="13" t="str">
        <f aca="false">IF(COUNT(I104:I115)&lt;12,"",SUM(I104:I115))</f>
        <v/>
      </c>
      <c r="V103" s="13" t="n">
        <f aca="false">IF(N103="","",SUM(N$2:N103))</f>
        <v>0</v>
      </c>
      <c r="W103" s="13" t="n">
        <f aca="false">IF(V103="","",MAX(V$2:V103))</f>
        <v>0</v>
      </c>
      <c r="X103" s="13" t="n">
        <f aca="false">IF(V103="","",V103-W103)</f>
        <v>0</v>
      </c>
      <c r="Y103" s="13" t="n">
        <f aca="false">IF(COUNT(D104:D104)&lt;1,"",SUM(D104:D104))</f>
        <v>-0.0262272490128203</v>
      </c>
      <c r="Z103" s="13" t="n">
        <f aca="false">IF(COUNT(D104:D106)&lt;3,"",SUM(D104:D106))</f>
        <v>-0.0465798639643183</v>
      </c>
      <c r="AA103" s="13" t="n">
        <f aca="false">IF(COUNT(D104:D109)&lt;6,"",SUM(D104:D109))</f>
        <v>-0.00737904548662371</v>
      </c>
      <c r="AB103" s="13" t="n">
        <f aca="false">IF(COUNT(D104:D115)&lt;12,"",SUM(D104:D115))</f>
        <v>0.0956916485068853</v>
      </c>
    </row>
    <row r="104" customFormat="false" ht="15" hidden="false" customHeight="false" outlineLevel="0" collapsed="false">
      <c r="A104" s="8" t="n">
        <f aca="false">Base!A104</f>
        <v>41121</v>
      </c>
      <c r="B104" s="10" t="n">
        <f aca="false">IF(Base!T104="","",Base!T104)</f>
        <v>0.502367655731654</v>
      </c>
      <c r="C104" s="11" t="n">
        <f aca="false">IF(B104="","",LN(B104))</f>
        <v>-0.688423045415618</v>
      </c>
      <c r="D104" s="13" t="n">
        <f aca="false">IF(OR(C104="",C103=""),"",C104-C103)</f>
        <v>-0.0262272490128203</v>
      </c>
      <c r="E104" s="12" t="n">
        <f aca="false">IF(Base!U104="","",Base!U104)</f>
        <v>102.62</v>
      </c>
      <c r="F104" s="11" t="n">
        <f aca="false">IF(E104="","",LN(E104))</f>
        <v>4.63103284551382</v>
      </c>
      <c r="G104" s="13" t="n">
        <f aca="false">IF(OR(F104="",F103=""),"",F104-F103)</f>
        <v>0.0754731600790626</v>
      </c>
      <c r="J104" s="10" t="n">
        <f aca="false">IF(COUNT(Senal!V92:V103)=0,"",AVERAGE(Senal!V92:V103))</f>
        <v>0</v>
      </c>
      <c r="K104" s="10" t="n">
        <f aca="false">IF(J104="","",ABS(J104))</f>
        <v>0</v>
      </c>
      <c r="L104" s="10" t="n">
        <f aca="false">IF(OR(J104="",J103=""),"",ABS(J104-J103))</f>
        <v>0</v>
      </c>
      <c r="M104" s="13" t="str">
        <f aca="false">IF(OR(J104="",I104=""),"",J104*I104-IF(L104="",0,L104)*Resumen!$B$8/10000)</f>
        <v/>
      </c>
      <c r="N104" s="13" t="n">
        <f aca="false">IF(OR(J104="",D104=""),"",J104*D104-IF(L104="",0,L104)*Resumen!$B$8/10000)</f>
        <v>-0</v>
      </c>
      <c r="O104" s="13" t="str">
        <f aca="false">IF(M104="","",IF(COUNT(O$2:O103)=0,M104,SUM(M$2:M104)))</f>
        <v/>
      </c>
      <c r="P104" s="13" t="str">
        <f aca="false">IF(O104="","",MAX(O$2:O104))</f>
        <v/>
      </c>
      <c r="Q104" s="13" t="str">
        <f aca="false">IF(O104="","",O104-P104)</f>
        <v/>
      </c>
      <c r="R104" s="13" t="str">
        <f aca="false">IF(COUNT(I105:I105)&lt;1,"",SUM(I105:I105))</f>
        <v/>
      </c>
      <c r="S104" s="13" t="str">
        <f aca="false">IF(COUNT(I105:I107)&lt;3,"",SUM(I105:I107))</f>
        <v/>
      </c>
      <c r="T104" s="13" t="str">
        <f aca="false">IF(COUNT(I105:I110)&lt;6,"",SUM(I105:I110))</f>
        <v/>
      </c>
      <c r="U104" s="13" t="str">
        <f aca="false">IF(COUNT(I105:I116)&lt;12,"",SUM(I105:I116))</f>
        <v/>
      </c>
      <c r="V104" s="13" t="n">
        <f aca="false">IF(N104="","",SUM(N$2:N104))</f>
        <v>0</v>
      </c>
      <c r="W104" s="13" t="n">
        <f aca="false">IF(V104="","",MAX(V$2:V104))</f>
        <v>0</v>
      </c>
      <c r="X104" s="13" t="n">
        <f aca="false">IF(V104="","",V104-W104)</f>
        <v>0</v>
      </c>
      <c r="Y104" s="13" t="n">
        <f aca="false">IF(COUNT(D105:D105)&lt;1,"",SUM(D105:D105))</f>
        <v>-0.00987220912954245</v>
      </c>
      <c r="Z104" s="13" t="n">
        <f aca="false">IF(COUNT(D105:D107)&lt;3,"",SUM(D105:D107))</f>
        <v>-0.0580398229409519</v>
      </c>
      <c r="AA104" s="13" t="n">
        <f aca="false">IF(COUNT(D105:D110)&lt;6,"",SUM(D105:D110))</f>
        <v>0.0406272613495602</v>
      </c>
      <c r="AB104" s="13" t="n">
        <f aca="false">IF(COUNT(D105:D116)&lt;12,"",SUM(D105:D116))</f>
        <v>0.134788297339693</v>
      </c>
    </row>
    <row r="105" customFormat="false" ht="15" hidden="false" customHeight="false" outlineLevel="0" collapsed="false">
      <c r="A105" s="8" t="n">
        <f aca="false">Base!A105</f>
        <v>41152</v>
      </c>
      <c r="B105" s="10" t="n">
        <f aca="false">IF(Base!T105="","",Base!T105)</f>
        <v>0.497432577318643</v>
      </c>
      <c r="C105" s="11" t="n">
        <f aca="false">IF(B105="","",LN(B105))</f>
        <v>-0.69829525454516</v>
      </c>
      <c r="D105" s="13" t="n">
        <f aca="false">IF(OR(C105="",C104=""),"",C105-C104)</f>
        <v>-0.00987220912954245</v>
      </c>
      <c r="E105" s="12" t="n">
        <f aca="false">IF(Base!U105="","",Base!U105)</f>
        <v>113.36</v>
      </c>
      <c r="F105" s="11" t="n">
        <f aca="false">IF(E105="","",LN(E105))</f>
        <v>4.73056859538243</v>
      </c>
      <c r="G105" s="13" t="n">
        <f aca="false">IF(OR(F105="",F104=""),"",F105-F104)</f>
        <v>0.0995357498686058</v>
      </c>
      <c r="J105" s="10" t="n">
        <f aca="false">IF(COUNT(Senal!V93:V104)=0,"",AVERAGE(Senal!V93:V104))</f>
        <v>0</v>
      </c>
      <c r="K105" s="10" t="n">
        <f aca="false">IF(J105="","",ABS(J105))</f>
        <v>0</v>
      </c>
      <c r="L105" s="10" t="n">
        <f aca="false">IF(OR(J105="",J104=""),"",ABS(J105-J104))</f>
        <v>0</v>
      </c>
      <c r="M105" s="13" t="str">
        <f aca="false">IF(OR(J105="",I105=""),"",J105*I105-IF(L105="",0,L105)*Resumen!$B$8/10000)</f>
        <v/>
      </c>
      <c r="N105" s="13" t="n">
        <f aca="false">IF(OR(J105="",D105=""),"",J105*D105-IF(L105="",0,L105)*Resumen!$B$8/10000)</f>
        <v>-0</v>
      </c>
      <c r="O105" s="13" t="str">
        <f aca="false">IF(M105="","",IF(COUNT(O$2:O104)=0,M105,SUM(M$2:M105)))</f>
        <v/>
      </c>
      <c r="P105" s="13" t="str">
        <f aca="false">IF(O105="","",MAX(O$2:O105))</f>
        <v/>
      </c>
      <c r="Q105" s="13" t="str">
        <f aca="false">IF(O105="","",O105-P105)</f>
        <v/>
      </c>
      <c r="R105" s="13" t="str">
        <f aca="false">IF(COUNT(I106:I106)&lt;1,"",SUM(I106:I106))</f>
        <v/>
      </c>
      <c r="S105" s="13" t="str">
        <f aca="false">IF(COUNT(I106:I108)&lt;3,"",SUM(I106:I108))</f>
        <v/>
      </c>
      <c r="T105" s="13" t="str">
        <f aca="false">IF(COUNT(I106:I111)&lt;6,"",SUM(I106:I111))</f>
        <v/>
      </c>
      <c r="U105" s="13" t="str">
        <f aca="false">IF(COUNT(I106:I117)&lt;12,"",SUM(I106:I117))</f>
        <v/>
      </c>
      <c r="V105" s="13" t="n">
        <f aca="false">IF(N105="","",SUM(N$2:N105))</f>
        <v>0</v>
      </c>
      <c r="W105" s="13" t="n">
        <f aca="false">IF(V105="","",MAX(V$2:V105))</f>
        <v>0</v>
      </c>
      <c r="X105" s="13" t="n">
        <f aca="false">IF(V105="","",V105-W105)</f>
        <v>0</v>
      </c>
      <c r="Y105" s="13" t="n">
        <f aca="false">IF(COUNT(D106:D106)&lt;1,"",SUM(D106:D106))</f>
        <v>-0.0104804058219556</v>
      </c>
      <c r="Z105" s="13" t="n">
        <f aca="false">IF(COUNT(D106:D108)&lt;3,"",SUM(D106:D108))</f>
        <v>-0.0474994888186117</v>
      </c>
      <c r="AA105" s="13" t="n">
        <f aca="false">IF(COUNT(D106:D111)&lt;6,"",SUM(D106:D111))</f>
        <v>0.0918659388399911</v>
      </c>
      <c r="AB105" s="13" t="n">
        <f aca="false">IF(COUNT(D106:D117)&lt;12,"",SUM(D106:D117))</f>
        <v>0.121051018465193</v>
      </c>
    </row>
    <row r="106" customFormat="false" ht="15" hidden="false" customHeight="false" outlineLevel="0" collapsed="false">
      <c r="A106" s="8" t="n">
        <f aca="false">Base!A106</f>
        <v>41182</v>
      </c>
      <c r="B106" s="10" t="n">
        <f aca="false">IF(Base!T106="","",Base!T106)</f>
        <v>0.492246505576804</v>
      </c>
      <c r="C106" s="11" t="n">
        <f aca="false">IF(B106="","",LN(B106))</f>
        <v>-0.708775660367116</v>
      </c>
      <c r="D106" s="13" t="n">
        <f aca="false">IF(OR(C106="",C105=""),"",C106-C105)</f>
        <v>-0.0104804058219556</v>
      </c>
      <c r="E106" s="12" t="n">
        <f aca="false">IF(Base!U106="","",Base!U106)</f>
        <v>112.86</v>
      </c>
      <c r="F106" s="11" t="n">
        <f aca="false">IF(E106="","",LN(E106))</f>
        <v>4.72614811254099</v>
      </c>
      <c r="G106" s="13" t="n">
        <f aca="false">IF(OR(F106="",F105=""),"",F106-F105)</f>
        <v>-0.00442048284143137</v>
      </c>
      <c r="J106" s="10" t="n">
        <f aca="false">IF(COUNT(Senal!V94:V105)=0,"",AVERAGE(Senal!V94:V105))</f>
        <v>0</v>
      </c>
      <c r="K106" s="10" t="n">
        <f aca="false">IF(J106="","",ABS(J106))</f>
        <v>0</v>
      </c>
      <c r="L106" s="10" t="n">
        <f aca="false">IF(OR(J106="",J105=""),"",ABS(J106-J105))</f>
        <v>0</v>
      </c>
      <c r="M106" s="13" t="str">
        <f aca="false">IF(OR(J106="",I106=""),"",J106*I106-IF(L106="",0,L106)*Resumen!$B$8/10000)</f>
        <v/>
      </c>
      <c r="N106" s="13" t="n">
        <f aca="false">IF(OR(J106="",D106=""),"",J106*D106-IF(L106="",0,L106)*Resumen!$B$8/10000)</f>
        <v>-0</v>
      </c>
      <c r="O106" s="13" t="str">
        <f aca="false">IF(M106="","",IF(COUNT(O$2:O105)=0,M106,SUM(M$2:M106)))</f>
        <v/>
      </c>
      <c r="P106" s="13" t="str">
        <f aca="false">IF(O106="","",MAX(O$2:O106))</f>
        <v/>
      </c>
      <c r="Q106" s="13" t="str">
        <f aca="false">IF(O106="","",O106-P106)</f>
        <v/>
      </c>
      <c r="R106" s="13" t="str">
        <f aca="false">IF(COUNT(I107:I107)&lt;1,"",SUM(I107:I107))</f>
        <v/>
      </c>
      <c r="S106" s="13" t="str">
        <f aca="false">IF(COUNT(I107:I109)&lt;3,"",SUM(I107:I109))</f>
        <v/>
      </c>
      <c r="T106" s="13" t="str">
        <f aca="false">IF(COUNT(I107:I112)&lt;6,"",SUM(I107:I112))</f>
        <v/>
      </c>
      <c r="U106" s="13" t="str">
        <f aca="false">IF(COUNT(I107:I118)&lt;12,"",SUM(I107:I118))</f>
        <v/>
      </c>
      <c r="V106" s="13" t="n">
        <f aca="false">IF(N106="","",SUM(N$2:N106))</f>
        <v>0</v>
      </c>
      <c r="W106" s="13" t="n">
        <f aca="false">IF(V106="","",MAX(V$2:V106))</f>
        <v>0</v>
      </c>
      <c r="X106" s="13" t="n">
        <f aca="false">IF(V106="","",V106-W106)</f>
        <v>0</v>
      </c>
      <c r="Y106" s="13" t="n">
        <f aca="false">IF(COUNT(D107:D107)&lt;1,"",SUM(D107:D107))</f>
        <v>-0.0376872079894538</v>
      </c>
      <c r="Z106" s="13" t="n">
        <f aca="false">IF(COUNT(D107:D109)&lt;3,"",SUM(D107:D109))</f>
        <v>0.0392008184776946</v>
      </c>
      <c r="AA106" s="13" t="n">
        <f aca="false">IF(COUNT(D107:D112)&lt;6,"",SUM(D107:D112))</f>
        <v>0.0933104870968208</v>
      </c>
      <c r="AB106" s="13" t="n">
        <f aca="false">IF(COUNT(D107:D118)&lt;12,"",SUM(D107:D118))</f>
        <v>0.150666339267726</v>
      </c>
    </row>
    <row r="107" customFormat="false" ht="15" hidden="false" customHeight="false" outlineLevel="0" collapsed="false">
      <c r="A107" s="8" t="n">
        <f aca="false">Base!A107</f>
        <v>41213</v>
      </c>
      <c r="B107" s="10" t="n">
        <f aca="false">IF(Base!T107="","",Base!T107)</f>
        <v>0.474040333869011</v>
      </c>
      <c r="C107" s="11" t="n">
        <f aca="false">IF(B107="","",LN(B107))</f>
        <v>-0.74646286835657</v>
      </c>
      <c r="D107" s="13" t="n">
        <f aca="false">IF(OR(C107="",C106=""),"",C107-C106)</f>
        <v>-0.0376872079894538</v>
      </c>
      <c r="E107" s="12" t="n">
        <f aca="false">IF(Base!U107="","",Base!U107)</f>
        <v>111.71</v>
      </c>
      <c r="F107" s="11" t="n">
        <f aca="false">IF(E107="","",LN(E107))</f>
        <v>4.71590622758276</v>
      </c>
      <c r="G107" s="13" t="n">
        <f aca="false">IF(OR(F107="",F106=""),"",F107-F106)</f>
        <v>-0.0102418849582371</v>
      </c>
      <c r="J107" s="10" t="n">
        <f aca="false">IF(COUNT(Senal!V95:V106)=0,"",AVERAGE(Senal!V95:V106))</f>
        <v>0</v>
      </c>
      <c r="K107" s="10" t="n">
        <f aca="false">IF(J107="","",ABS(J107))</f>
        <v>0</v>
      </c>
      <c r="L107" s="10" t="n">
        <f aca="false">IF(OR(J107="",J106=""),"",ABS(J107-J106))</f>
        <v>0</v>
      </c>
      <c r="M107" s="13" t="str">
        <f aca="false">IF(OR(J107="",I107=""),"",J107*I107-IF(L107="",0,L107)*Resumen!$B$8/10000)</f>
        <v/>
      </c>
      <c r="N107" s="13" t="n">
        <f aca="false">IF(OR(J107="",D107=""),"",J107*D107-IF(L107="",0,L107)*Resumen!$B$8/10000)</f>
        <v>-0</v>
      </c>
      <c r="O107" s="13" t="str">
        <f aca="false">IF(M107="","",IF(COUNT(O$2:O106)=0,M107,SUM(M$2:M107)))</f>
        <v/>
      </c>
      <c r="P107" s="13" t="str">
        <f aca="false">IF(O107="","",MAX(O$2:O107))</f>
        <v/>
      </c>
      <c r="Q107" s="13" t="str">
        <f aca="false">IF(O107="","",O107-P107)</f>
        <v/>
      </c>
      <c r="R107" s="13" t="str">
        <f aca="false">IF(COUNT(I108:I108)&lt;1,"",SUM(I108:I108))</f>
        <v/>
      </c>
      <c r="S107" s="13" t="str">
        <f aca="false">IF(COUNT(I108:I110)&lt;3,"",SUM(I108:I110))</f>
        <v/>
      </c>
      <c r="T107" s="13" t="str">
        <f aca="false">IF(COUNT(I108:I113)&lt;6,"",SUM(I108:I113))</f>
        <v/>
      </c>
      <c r="U107" s="13" t="str">
        <f aca="false">IF(COUNT(I108:I119)&lt;12,"",SUM(I108:I119))</f>
        <v/>
      </c>
      <c r="V107" s="13" t="n">
        <f aca="false">IF(N107="","",SUM(N$2:N107))</f>
        <v>0</v>
      </c>
      <c r="W107" s="13" t="n">
        <f aca="false">IF(V107="","",MAX(V$2:V107))</f>
        <v>0</v>
      </c>
      <c r="X107" s="13" t="n">
        <f aca="false">IF(V107="","",V107-W107)</f>
        <v>0</v>
      </c>
      <c r="Y107" s="13" t="n">
        <f aca="false">IF(COUNT(D108:D108)&lt;1,"",SUM(D108:D108))</f>
        <v>0.000668124992797781</v>
      </c>
      <c r="Z107" s="13" t="n">
        <f aca="false">IF(COUNT(D108:D110)&lt;3,"",SUM(D108:D110))</f>
        <v>0.0986670842905121</v>
      </c>
      <c r="AA107" s="13" t="n">
        <f aca="false">IF(COUNT(D108:D113)&lt;6,"",SUM(D108:D113))</f>
        <v>-0.00495869320060494</v>
      </c>
      <c r="AB107" s="13" t="n">
        <f aca="false">IF(COUNT(D108:D119)&lt;12,"",SUM(D108:D119))</f>
        <v>0.15485723724951</v>
      </c>
    </row>
    <row r="108" customFormat="false" ht="15" hidden="false" customHeight="false" outlineLevel="0" collapsed="false">
      <c r="A108" s="8" t="n">
        <f aca="false">Base!A108</f>
        <v>41243</v>
      </c>
      <c r="B108" s="10" t="n">
        <f aca="false">IF(Base!T108="","",Base!T108)</f>
        <v>0.474357157890901</v>
      </c>
      <c r="C108" s="11" t="n">
        <f aca="false">IF(B108="","",LN(B108))</f>
        <v>-0.745794743363772</v>
      </c>
      <c r="D108" s="13" t="n">
        <f aca="false">IF(OR(C108="",C107=""),"",C108-C107)</f>
        <v>0.000668124992797781</v>
      </c>
      <c r="E108" s="12" t="n">
        <f aca="false">IF(Base!U108="","",Base!U108)</f>
        <v>109.06</v>
      </c>
      <c r="F108" s="11" t="n">
        <f aca="false">IF(E108="","",LN(E108))</f>
        <v>4.69189818949792</v>
      </c>
      <c r="G108" s="13" t="n">
        <f aca="false">IF(OR(F108="",F107=""),"",F108-F107)</f>
        <v>-0.0240080380848413</v>
      </c>
      <c r="J108" s="10" t="n">
        <f aca="false">IF(COUNT(Senal!V96:V107)=0,"",AVERAGE(Senal!V96:V107))</f>
        <v>0</v>
      </c>
      <c r="K108" s="10" t="n">
        <f aca="false">IF(J108="","",ABS(J108))</f>
        <v>0</v>
      </c>
      <c r="L108" s="10" t="n">
        <f aca="false">IF(OR(J108="",J107=""),"",ABS(J108-J107))</f>
        <v>0</v>
      </c>
      <c r="M108" s="13" t="str">
        <f aca="false">IF(OR(J108="",I108=""),"",J108*I108-IF(L108="",0,L108)*Resumen!$B$8/10000)</f>
        <v/>
      </c>
      <c r="N108" s="13" t="n">
        <f aca="false">IF(OR(J108="",D108=""),"",J108*D108-IF(L108="",0,L108)*Resumen!$B$8/10000)</f>
        <v>0</v>
      </c>
      <c r="O108" s="13" t="str">
        <f aca="false">IF(M108="","",IF(COUNT(O$2:O107)=0,M108,SUM(M$2:M108)))</f>
        <v/>
      </c>
      <c r="P108" s="13" t="str">
        <f aca="false">IF(O108="","",MAX(O$2:O108))</f>
        <v/>
      </c>
      <c r="Q108" s="13" t="str">
        <f aca="false">IF(O108="","",O108-P108)</f>
        <v/>
      </c>
      <c r="R108" s="13" t="str">
        <f aca="false">IF(COUNT(I109:I109)&lt;1,"",SUM(I109:I109))</f>
        <v/>
      </c>
      <c r="S108" s="13" t="str">
        <f aca="false">IF(COUNT(I109:I111)&lt;3,"",SUM(I109:I111))</f>
        <v/>
      </c>
      <c r="T108" s="13" t="str">
        <f aca="false">IF(COUNT(I109:I114)&lt;6,"",SUM(I109:I114))</f>
        <v/>
      </c>
      <c r="U108" s="13" t="str">
        <f aca="false">IF(COUNT(I109:I120)&lt;12,"",SUM(I109:I120))</f>
        <v/>
      </c>
      <c r="V108" s="13" t="n">
        <f aca="false">IF(N108="","",SUM(N$2:N108))</f>
        <v>0</v>
      </c>
      <c r="W108" s="13" t="n">
        <f aca="false">IF(V108="","",MAX(V$2:V108))</f>
        <v>0</v>
      </c>
      <c r="X108" s="13" t="n">
        <f aca="false">IF(V108="","",V108-W108)</f>
        <v>0</v>
      </c>
      <c r="Y108" s="13" t="n">
        <f aca="false">IF(COUNT(D109:D109)&lt;1,"",SUM(D109:D109))</f>
        <v>0.0762199014743507</v>
      </c>
      <c r="Z108" s="13" t="n">
        <f aca="false">IF(COUNT(D109:D111)&lt;3,"",SUM(D109:D111))</f>
        <v>0.139365427658603</v>
      </c>
      <c r="AA108" s="13" t="n">
        <f aca="false">IF(COUNT(D109:D114)&lt;6,"",SUM(D109:D114))</f>
        <v>0.0881148896217862</v>
      </c>
      <c r="AB108" s="13" t="n">
        <f aca="false">IF(COUNT(D109:D120)&lt;12,"",SUM(D109:D120))</f>
        <v>0.302914509405167</v>
      </c>
    </row>
    <row r="109" customFormat="false" ht="15" hidden="false" customHeight="false" outlineLevel="0" collapsed="false">
      <c r="A109" s="8" t="n">
        <f aca="false">Base!A109</f>
        <v>41274</v>
      </c>
      <c r="B109" s="10" t="n">
        <f aca="false">IF(Base!T109="","",Base!T109)</f>
        <v>0.511926181093269</v>
      </c>
      <c r="C109" s="11" t="n">
        <f aca="false">IF(B109="","",LN(B109))</f>
        <v>-0.669574841889421</v>
      </c>
      <c r="D109" s="13" t="n">
        <f aca="false">IF(OR(C109="",C108=""),"",C109-C108)</f>
        <v>0.0762199014743507</v>
      </c>
      <c r="E109" s="12" t="n">
        <f aca="false">IF(Base!U109="","",Base!U109)</f>
        <v>109.49</v>
      </c>
      <c r="F109" s="11" t="n">
        <f aca="false">IF(E109="","",LN(E109))</f>
        <v>4.69583322088533</v>
      </c>
      <c r="G109" s="13" t="n">
        <f aca="false">IF(OR(F109="",F108=""),"",F109-F108)</f>
        <v>0.00393503138741824</v>
      </c>
      <c r="J109" s="10" t="n">
        <f aca="false">IF(COUNT(Senal!V97:V108)=0,"",AVERAGE(Senal!V97:V108))</f>
        <v>0</v>
      </c>
      <c r="K109" s="10" t="n">
        <f aca="false">IF(J109="","",ABS(J109))</f>
        <v>0</v>
      </c>
      <c r="L109" s="10" t="n">
        <f aca="false">IF(OR(J109="",J108=""),"",ABS(J109-J108))</f>
        <v>0</v>
      </c>
      <c r="M109" s="13" t="str">
        <f aca="false">IF(OR(J109="",I109=""),"",J109*I109-IF(L109="",0,L109)*Resumen!$B$8/10000)</f>
        <v/>
      </c>
      <c r="N109" s="13" t="n">
        <f aca="false">IF(OR(J109="",D109=""),"",J109*D109-IF(L109="",0,L109)*Resumen!$B$8/10000)</f>
        <v>0</v>
      </c>
      <c r="O109" s="13" t="str">
        <f aca="false">IF(M109="","",IF(COUNT(O$2:O108)=0,M109,SUM(M$2:M109)))</f>
        <v/>
      </c>
      <c r="P109" s="13" t="str">
        <f aca="false">IF(O109="","",MAX(O$2:O109))</f>
        <v/>
      </c>
      <c r="Q109" s="13" t="str">
        <f aca="false">IF(O109="","",O109-P109)</f>
        <v/>
      </c>
      <c r="R109" s="13" t="str">
        <f aca="false">IF(COUNT(I110:I110)&lt;1,"",SUM(I110:I110))</f>
        <v/>
      </c>
      <c r="S109" s="13" t="str">
        <f aca="false">IF(COUNT(I110:I112)&lt;3,"",SUM(I110:I112))</f>
        <v/>
      </c>
      <c r="T109" s="13" t="str">
        <f aca="false">IF(COUNT(I110:I115)&lt;6,"",SUM(I110:I115))</f>
        <v/>
      </c>
      <c r="U109" s="13" t="str">
        <f aca="false">IF(COUNT(I110:I121)&lt;12,"",SUM(I110:I121))</f>
        <v/>
      </c>
      <c r="V109" s="13" t="n">
        <f aca="false">IF(N109="","",SUM(N$2:N109))</f>
        <v>0</v>
      </c>
      <c r="W109" s="13" t="n">
        <f aca="false">IF(V109="","",MAX(V$2:V109))</f>
        <v>0</v>
      </c>
      <c r="X109" s="13" t="n">
        <f aca="false">IF(V109="","",V109-W109)</f>
        <v>0</v>
      </c>
      <c r="Y109" s="13" t="n">
        <f aca="false">IF(COUNT(D110:D110)&lt;1,"",SUM(D110:D110))</f>
        <v>0.0217790578233636</v>
      </c>
      <c r="Z109" s="13" t="n">
        <f aca="false">IF(COUNT(D110:D112)&lt;3,"",SUM(D110:D112))</f>
        <v>0.0541096686191261</v>
      </c>
      <c r="AA109" s="13" t="n">
        <f aca="false">IF(COUNT(D110:D115)&lt;6,"",SUM(D110:D115))</f>
        <v>0.103070693993509</v>
      </c>
      <c r="AB109" s="13" t="n">
        <f aca="false">IF(COUNT(D110:D121)&lt;12,"",SUM(D110:D121))</f>
        <v>0.416157622940359</v>
      </c>
    </row>
    <row r="110" customFormat="false" ht="15" hidden="false" customHeight="false" outlineLevel="0" collapsed="false">
      <c r="A110" s="8" t="n">
        <f aca="false">Base!A110</f>
        <v>41305</v>
      </c>
      <c r="B110" s="10" t="n">
        <f aca="false">IF(Base!T110="","",Base!T110)</f>
        <v>0.52319774751013</v>
      </c>
      <c r="C110" s="11" t="n">
        <f aca="false">IF(B110="","",LN(B110))</f>
        <v>-0.647795784066058</v>
      </c>
      <c r="D110" s="13" t="n">
        <f aca="false">IF(OR(C110="",C109=""),"",C110-C109)</f>
        <v>0.0217790578233636</v>
      </c>
      <c r="E110" s="12" t="n">
        <f aca="false">IF(Base!U110="","",Base!U110)</f>
        <v>112.96</v>
      </c>
      <c r="F110" s="11" t="n">
        <f aca="false">IF(E110="","",LN(E110))</f>
        <v>4.72703377374493</v>
      </c>
      <c r="G110" s="13" t="n">
        <f aca="false">IF(OR(F110="",F109=""),"",F110-F109)</f>
        <v>0.0312005528595982</v>
      </c>
      <c r="J110" s="10" t="n">
        <f aca="false">IF(COUNT(Senal!V98:V109)=0,"",AVERAGE(Senal!V98:V109))</f>
        <v>0</v>
      </c>
      <c r="K110" s="10" t="n">
        <f aca="false">IF(J110="","",ABS(J110))</f>
        <v>0</v>
      </c>
      <c r="L110" s="10" t="n">
        <f aca="false">IF(OR(J110="",J109=""),"",ABS(J110-J109))</f>
        <v>0</v>
      </c>
      <c r="M110" s="13" t="str">
        <f aca="false">IF(OR(J110="",I110=""),"",J110*I110-IF(L110="",0,L110)*Resumen!$B$8/10000)</f>
        <v/>
      </c>
      <c r="N110" s="13" t="n">
        <f aca="false">IF(OR(J110="",D110=""),"",J110*D110-IF(L110="",0,L110)*Resumen!$B$8/10000)</f>
        <v>0</v>
      </c>
      <c r="O110" s="13" t="str">
        <f aca="false">IF(M110="","",IF(COUNT(O$2:O109)=0,M110,SUM(M$2:M110)))</f>
        <v/>
      </c>
      <c r="P110" s="13" t="str">
        <f aca="false">IF(O110="","",MAX(O$2:O110))</f>
        <v/>
      </c>
      <c r="Q110" s="13" t="str">
        <f aca="false">IF(O110="","",O110-P110)</f>
        <v/>
      </c>
      <c r="R110" s="13" t="n">
        <f aca="false">IF(COUNT(I111:I111)&lt;1,"",SUM(I111:I111))</f>
        <v>0.0370448236712961</v>
      </c>
      <c r="S110" s="13" t="n">
        <f aca="false">IF(COUNT(I111:I113)&lt;3,"",SUM(I111:I113))</f>
        <v>-0.087415890656526</v>
      </c>
      <c r="T110" s="13" t="n">
        <f aca="false">IF(COUNT(I111:I116)&lt;6,"",SUM(I111:I116))</f>
        <v>0.0991634020596559</v>
      </c>
      <c r="U110" s="13" t="n">
        <f aca="false">IF(COUNT(I111:I122)&lt;12,"",SUM(I111:I122))</f>
        <v>0.232627848067257</v>
      </c>
      <c r="V110" s="13" t="n">
        <f aca="false">IF(N110="","",SUM(N$2:N110))</f>
        <v>0</v>
      </c>
      <c r="W110" s="13" t="n">
        <f aca="false">IF(V110="","",MAX(V$2:V110))</f>
        <v>0</v>
      </c>
      <c r="X110" s="13" t="n">
        <f aca="false">IF(V110="","",V110-W110)</f>
        <v>0</v>
      </c>
      <c r="Y110" s="13" t="n">
        <f aca="false">IF(COUNT(D111:D111)&lt;1,"",SUM(D111:D111))</f>
        <v>0.0413664683608884</v>
      </c>
      <c r="Z110" s="13" t="n">
        <f aca="false">IF(COUNT(D111:D113)&lt;3,"",SUM(D111:D113))</f>
        <v>-0.103625777491117</v>
      </c>
      <c r="AA110" s="13" t="n">
        <f aca="false">IF(COUNT(D111:D116)&lt;6,"",SUM(D111:D116))</f>
        <v>0.0941610359901328</v>
      </c>
      <c r="AB110" s="13" t="n">
        <f aca="false">IF(COUNT(D111:D122)&lt;12,"",SUM(D111:D122))</f>
        <v>0.227358581218948</v>
      </c>
    </row>
    <row r="111" customFormat="false" ht="15" hidden="false" customHeight="false" outlineLevel="0" collapsed="false">
      <c r="A111" s="8" t="n">
        <f aca="false">Base!A111</f>
        <v>41333</v>
      </c>
      <c r="B111" s="10" t="n">
        <f aca="false">IF(Base!T111="","",Base!T111)</f>
        <v>0.545294471419428</v>
      </c>
      <c r="C111" s="11" t="n">
        <f aca="false">IF(B111="","",LN(B111))</f>
        <v>-0.606429315705169</v>
      </c>
      <c r="D111" s="13" t="n">
        <f aca="false">IF(OR(C111="",C110=""),"",C111-C110)</f>
        <v>0.0413664683608884</v>
      </c>
      <c r="E111" s="12" t="n">
        <f aca="false">IF(Base!U111="","",Base!U111)</f>
        <v>116.05</v>
      </c>
      <c r="F111" s="11" t="n">
        <f aca="false">IF(E111="","",LN(E111))</f>
        <v>4.75402113272045</v>
      </c>
      <c r="G111" s="13" t="n">
        <f aca="false">IF(OR(F111="",F110=""),"",F111-F110)</f>
        <v>0.0269873589755143</v>
      </c>
      <c r="H111" s="10" t="n">
        <f aca="false">IF(COUNT(D$75:D110)&lt;36,"",SLOPE(D$75:D110,G$75:G110))</f>
        <v>0.160135887824866</v>
      </c>
      <c r="I111" s="13" t="n">
        <f aca="false">IF(OR(D111="",H111="",G111=""),"",D111-H111*G111)</f>
        <v>0.0370448236712961</v>
      </c>
      <c r="J111" s="10" t="n">
        <f aca="false">IF(COUNT(Senal!V99:V110)=0,"",AVERAGE(Senal!V99:V110))</f>
        <v>0</v>
      </c>
      <c r="K111" s="10" t="n">
        <f aca="false">IF(J111="","",ABS(J111))</f>
        <v>0</v>
      </c>
      <c r="L111" s="10" t="n">
        <f aca="false">IF(OR(J111="",J110=""),"",ABS(J111-J110))</f>
        <v>0</v>
      </c>
      <c r="M111" s="13" t="n">
        <f aca="false">IF(OR(J111="",I111=""),"",J111*I111-IF(L111="",0,L111)*Resumen!$B$8/10000)</f>
        <v>0</v>
      </c>
      <c r="N111" s="13" t="n">
        <f aca="false">IF(OR(J111="",D111=""),"",J111*D111-IF(L111="",0,L111)*Resumen!$B$8/10000)</f>
        <v>0</v>
      </c>
      <c r="O111" s="13" t="n">
        <f aca="false">IF(M111="","",IF(COUNT(O$2:O110)=0,M111,SUM(M$2:M111)))</f>
        <v>0</v>
      </c>
      <c r="P111" s="13" t="n">
        <f aca="false">IF(O111="","",MAX(O$2:O111))</f>
        <v>0</v>
      </c>
      <c r="Q111" s="13" t="n">
        <f aca="false">IF(O111="","",O111-P111)</f>
        <v>0</v>
      </c>
      <c r="R111" s="13" t="n">
        <f aca="false">IF(COUNT(I112:I112)&lt;1,"",SUM(I112:I112))</f>
        <v>0.00224543581356769</v>
      </c>
      <c r="S111" s="13" t="n">
        <f aca="false">IF(COUNT(I112:I114)&lt;3,"",SUM(I112:I114))</f>
        <v>-0.0313653445153891</v>
      </c>
      <c r="T111" s="13" t="n">
        <f aca="false">IF(COUNT(I112:I117)&lt;6,"",SUM(I112:I117))</f>
        <v>0.0320521723781278</v>
      </c>
      <c r="U111" s="13" t="n">
        <f aca="false">IF(COUNT(I112:I123)&lt;12,"",SUM(I112:I123))</f>
        <v>0.246394035661611</v>
      </c>
      <c r="V111" s="13" t="n">
        <f aca="false">IF(N111="","",SUM(N$2:N111))</f>
        <v>0</v>
      </c>
      <c r="W111" s="13" t="n">
        <f aca="false">IF(V111="","",MAX(V$2:V111))</f>
        <v>0</v>
      </c>
      <c r="X111" s="13" t="n">
        <f aca="false">IF(V111="","",V111-W111)</f>
        <v>0</v>
      </c>
      <c r="Y111" s="13" t="n">
        <f aca="false">IF(COUNT(D112:D112)&lt;1,"",SUM(D112:D112))</f>
        <v>-0.00903585756512593</v>
      </c>
      <c r="Z111" s="13" t="n">
        <f aca="false">IF(COUNT(D112:D114)&lt;3,"",SUM(D112:D114))</f>
        <v>-0.0512505380368166</v>
      </c>
      <c r="AA111" s="13" t="n">
        <f aca="false">IF(COUNT(D112:D117)&lt;6,"",SUM(D112:D117))</f>
        <v>0.0291850796252017</v>
      </c>
      <c r="AB111" s="13" t="n">
        <f aca="false">IF(COUNT(D112:D123)&lt;12,"",SUM(D112:D123))</f>
        <v>0.238606998095649</v>
      </c>
    </row>
    <row r="112" customFormat="false" ht="15" hidden="false" customHeight="false" outlineLevel="0" collapsed="false">
      <c r="A112" s="8" t="n">
        <f aca="false">Base!A112</f>
        <v>41364</v>
      </c>
      <c r="B112" s="10" t="n">
        <f aca="false">IF(Base!T112="","",Base!T112)</f>
        <v>0.540389462100528</v>
      </c>
      <c r="C112" s="11" t="n">
        <f aca="false">IF(B112="","",LN(B112))</f>
        <v>-0.615465173270295</v>
      </c>
      <c r="D112" s="13" t="n">
        <f aca="false">IF(OR(C112="",C111=""),"",C112-C111)</f>
        <v>-0.00903585756512593</v>
      </c>
      <c r="E112" s="12" t="n">
        <f aca="false">IF(Base!U112="","",Base!U112)</f>
        <v>108.47</v>
      </c>
      <c r="F112" s="11" t="n">
        <f aca="false">IF(E112="","",LN(E112))</f>
        <v>4.68647363705213</v>
      </c>
      <c r="G112" s="13" t="n">
        <f aca="false">IF(OR(F112="",F111=""),"",F112-F111)</f>
        <v>-0.06754749566832</v>
      </c>
      <c r="H112" s="10" t="n">
        <f aca="false">IF(COUNT(D$75:D111)&lt;36,"",SLOPE(D$75:D111,G$75:G111))</f>
        <v>0.167012755500047</v>
      </c>
      <c r="I112" s="13" t="n">
        <f aca="false">IF(OR(D112="",H112="",G112=""),"",D112-H112*G112)</f>
        <v>0.00224543581356769</v>
      </c>
      <c r="J112" s="10" t="n">
        <f aca="false">IF(COUNT(Senal!V100:V111)=0,"",AVERAGE(Senal!V100:V111))</f>
        <v>0</v>
      </c>
      <c r="K112" s="10" t="n">
        <f aca="false">IF(J112="","",ABS(J112))</f>
        <v>0</v>
      </c>
      <c r="L112" s="10" t="n">
        <f aca="false">IF(OR(J112="",J111=""),"",ABS(J112-J111))</f>
        <v>0</v>
      </c>
      <c r="M112" s="13" t="n">
        <f aca="false">IF(OR(J112="",I112=""),"",J112*I112-IF(L112="",0,L112)*Resumen!$B$8/10000)</f>
        <v>0</v>
      </c>
      <c r="N112" s="13" t="n">
        <f aca="false">IF(OR(J112="",D112=""),"",J112*D112-IF(L112="",0,L112)*Resumen!$B$8/10000)</f>
        <v>-0</v>
      </c>
      <c r="O112" s="13" t="n">
        <f aca="false">IF(M112="","",IF(COUNT(O$2:O111)=0,M112,SUM(M$2:M112)))</f>
        <v>0</v>
      </c>
      <c r="P112" s="13" t="n">
        <f aca="false">IF(O112="","",MAX(O$2:O112))</f>
        <v>0</v>
      </c>
      <c r="Q112" s="13" t="n">
        <f aca="false">IF(O112="","",O112-P112)</f>
        <v>0</v>
      </c>
      <c r="R112" s="13" t="n">
        <f aca="false">IF(COUNT(I113:I113)&lt;1,"",SUM(I113:I113))</f>
        <v>-0.12670615014139</v>
      </c>
      <c r="S112" s="13" t="n">
        <f aca="false">IF(COUNT(I113:I115)&lt;3,"",SUM(I113:I115))</f>
        <v>0.0568297896087738</v>
      </c>
      <c r="T112" s="13" t="n">
        <f aca="false">IF(COUNT(I113:I118)&lt;6,"",SUM(I113:I118))</f>
        <v>0.0483435404815086</v>
      </c>
      <c r="U112" s="13" t="n">
        <f aca="false">IF(COUNT(I113:I124)&lt;12,"",SUM(I113:I124))</f>
        <v>0.275125896067403</v>
      </c>
      <c r="V112" s="13" t="n">
        <f aca="false">IF(N112="","",SUM(N$2:N112))</f>
        <v>0</v>
      </c>
      <c r="W112" s="13" t="n">
        <f aca="false">IF(V112="","",MAX(V$2:V112))</f>
        <v>0</v>
      </c>
      <c r="X112" s="13" t="n">
        <f aca="false">IF(V112="","",V112-W112)</f>
        <v>0</v>
      </c>
      <c r="Y112" s="13" t="n">
        <f aca="false">IF(COUNT(D113:D113)&lt;1,"",SUM(D113:D113))</f>
        <v>-0.13595638828688</v>
      </c>
      <c r="Z112" s="13" t="n">
        <f aca="false">IF(COUNT(D113:D115)&lt;3,"",SUM(D113:D115))</f>
        <v>0.0489610253743829</v>
      </c>
      <c r="AA112" s="13" t="n">
        <f aca="false">IF(COUNT(D113:D118)&lt;6,"",SUM(D113:D118))</f>
        <v>0.0573558521709051</v>
      </c>
      <c r="AB112" s="13" t="n">
        <f aca="false">IF(COUNT(D113:D124)&lt;12,"",SUM(D113:D124))</f>
        <v>0.275327033937067</v>
      </c>
    </row>
    <row r="113" customFormat="false" ht="15" hidden="false" customHeight="false" outlineLevel="0" collapsed="false">
      <c r="A113" s="8" t="n">
        <f aca="false">Base!A113</f>
        <v>41394</v>
      </c>
      <c r="B113" s="10" t="n">
        <f aca="false">IF(Base!T113="","",Base!T113)</f>
        <v>0.471695531670624</v>
      </c>
      <c r="C113" s="11" t="n">
        <f aca="false">IF(B113="","",LN(B113))</f>
        <v>-0.751421561557175</v>
      </c>
      <c r="D113" s="13" t="n">
        <f aca="false">IF(OR(C113="",C112=""),"",C113-C112)</f>
        <v>-0.13595638828688</v>
      </c>
      <c r="E113" s="12" t="n">
        <f aca="false">IF(Base!U113="","",Base!U113)</f>
        <v>102.25</v>
      </c>
      <c r="F113" s="11" t="n">
        <f aca="false">IF(E113="","",LN(E113))</f>
        <v>4.62742079492291</v>
      </c>
      <c r="G113" s="13" t="n">
        <f aca="false">IF(OR(F113="",F112=""),"",F113-F112)</f>
        <v>-0.0590528421292147</v>
      </c>
      <c r="H113" s="10" t="n">
        <f aca="false">IF(COUNT(D$75:D112)&lt;36,"",SLOPE(D$75:D112,G$75:G112))</f>
        <v>0.156643402958474</v>
      </c>
      <c r="I113" s="13" t="n">
        <f aca="false">IF(OR(D113="",H113="",G113=""),"",D113-H113*G113)</f>
        <v>-0.12670615014139</v>
      </c>
      <c r="J113" s="10" t="n">
        <f aca="false">IF(COUNT(Senal!V101:V112)=0,"",AVERAGE(Senal!V101:V112))</f>
        <v>0</v>
      </c>
      <c r="K113" s="10" t="n">
        <f aca="false">IF(J113="","",ABS(J113))</f>
        <v>0</v>
      </c>
      <c r="L113" s="10" t="n">
        <f aca="false">IF(OR(J113="",J112=""),"",ABS(J113-J112))</f>
        <v>0</v>
      </c>
      <c r="M113" s="13" t="n">
        <f aca="false">IF(OR(J113="",I113=""),"",J113*I113-IF(L113="",0,L113)*Resumen!$B$8/10000)</f>
        <v>-0</v>
      </c>
      <c r="N113" s="13" t="n">
        <f aca="false">IF(OR(J113="",D113=""),"",J113*D113-IF(L113="",0,L113)*Resumen!$B$8/10000)</f>
        <v>-0</v>
      </c>
      <c r="O113" s="13" t="n">
        <f aca="false">IF(M113="","",IF(COUNT(O$2:O112)=0,M113,SUM(M$2:M113)))</f>
        <v>0</v>
      </c>
      <c r="P113" s="13" t="n">
        <f aca="false">IF(O113="","",MAX(O$2:O113))</f>
        <v>0</v>
      </c>
      <c r="Q113" s="13" t="n">
        <f aca="false">IF(O113="","",O113-P113)</f>
        <v>0</v>
      </c>
      <c r="R113" s="13" t="n">
        <f aca="false">IF(COUNT(I114:I114)&lt;1,"",SUM(I114:I114))</f>
        <v>0.093095369812433</v>
      </c>
      <c r="S113" s="13" t="n">
        <f aca="false">IF(COUNT(I114:I116)&lt;3,"",SUM(I114:I116))</f>
        <v>0.186579292716182</v>
      </c>
      <c r="T113" s="13" t="n">
        <f aca="false">IF(COUNT(I114:I119)&lt;6,"",SUM(I114:I119))</f>
        <v>0.146280029383165</v>
      </c>
      <c r="U113" s="13" t="n">
        <f aca="false">IF(COUNT(I114:I125)&lt;12,"",SUM(I114:I125))</f>
        <v>0.268680618845723</v>
      </c>
      <c r="V113" s="13" t="n">
        <f aca="false">IF(N113="","",SUM(N$2:N113))</f>
        <v>0</v>
      </c>
      <c r="W113" s="13" t="n">
        <f aca="false">IF(V113="","",MAX(V$2:V113))</f>
        <v>0</v>
      </c>
      <c r="X113" s="13" t="n">
        <f aca="false">IF(V113="","",V113-W113)</f>
        <v>0</v>
      </c>
      <c r="Y113" s="13" t="n">
        <f aca="false">IF(COUNT(D114:D114)&lt;1,"",SUM(D114:D114))</f>
        <v>0.0937417078151889</v>
      </c>
      <c r="Z113" s="13" t="n">
        <f aca="false">IF(COUNT(D114:D116)&lt;3,"",SUM(D114:D116))</f>
        <v>0.19778681348125</v>
      </c>
      <c r="AA113" s="13" t="n">
        <f aca="false">IF(COUNT(D114:D119)&lt;6,"",SUM(D114:D119))</f>
        <v>0.159815930450115</v>
      </c>
      <c r="AB113" s="13" t="n">
        <f aca="false">IF(COUNT(D114:D125)&lt;12,"",SUM(D114:D125))</f>
        <v>0.278770412244155</v>
      </c>
    </row>
    <row r="114" customFormat="false" ht="15" hidden="false" customHeight="false" outlineLevel="0" collapsed="false">
      <c r="A114" s="8" t="n">
        <f aca="false">Base!A114</f>
        <v>41425</v>
      </c>
      <c r="B114" s="10" t="n">
        <f aca="false">IF(Base!T114="","",Base!T114)</f>
        <v>0.51805189738356</v>
      </c>
      <c r="C114" s="11" t="n">
        <f aca="false">IF(B114="","",LN(B114))</f>
        <v>-0.657679853741986</v>
      </c>
      <c r="D114" s="13" t="n">
        <f aca="false">IF(OR(C114="",C113=""),"",C114-C113)</f>
        <v>0.0937417078151889</v>
      </c>
      <c r="E114" s="12" t="n">
        <f aca="false">IF(Base!U114="","",Base!U114)</f>
        <v>102.56</v>
      </c>
      <c r="F114" s="11" t="n">
        <f aca="false">IF(E114="","",LN(E114))</f>
        <v>4.63044799317236</v>
      </c>
      <c r="G114" s="13" t="n">
        <f aca="false">IF(OR(F114="",F113=""),"",F114-F113)</f>
        <v>0.0030271982494483</v>
      </c>
      <c r="H114" s="10" t="n">
        <f aca="false">IF(COUNT(D$75:D113)&lt;36,"",SLOPE(D$75:D113,G$75:G113))</f>
        <v>0.213510298796483</v>
      </c>
      <c r="I114" s="13" t="n">
        <f aca="false">IF(OR(D114="",H114="",G114=""),"",D114-H114*G114)</f>
        <v>0.093095369812433</v>
      </c>
      <c r="J114" s="10" t="n">
        <f aca="false">IF(COUNT(Senal!V102:V113)=0,"",AVERAGE(Senal!V102:V113))</f>
        <v>0</v>
      </c>
      <c r="K114" s="10" t="n">
        <f aca="false">IF(J114="","",ABS(J114))</f>
        <v>0</v>
      </c>
      <c r="L114" s="10" t="n">
        <f aca="false">IF(OR(J114="",J113=""),"",ABS(J114-J113))</f>
        <v>0</v>
      </c>
      <c r="M114" s="13" t="n">
        <f aca="false">IF(OR(J114="",I114=""),"",J114*I114-IF(L114="",0,L114)*Resumen!$B$8/10000)</f>
        <v>0</v>
      </c>
      <c r="N114" s="13" t="n">
        <f aca="false">IF(OR(J114="",D114=""),"",J114*D114-IF(L114="",0,L114)*Resumen!$B$8/10000)</f>
        <v>0</v>
      </c>
      <c r="O114" s="13" t="n">
        <f aca="false">IF(M114="","",IF(COUNT(O$2:O113)=0,M114,SUM(M$2:M114)))</f>
        <v>0</v>
      </c>
      <c r="P114" s="13" t="n">
        <f aca="false">IF(O114="","",MAX(O$2:O114))</f>
        <v>0</v>
      </c>
      <c r="Q114" s="13" t="n">
        <f aca="false">IF(O114="","",O114-P114)</f>
        <v>0</v>
      </c>
      <c r="R114" s="13" t="n">
        <f aca="false">IF(COUNT(I115:I115)&lt;1,"",SUM(I115:I115))</f>
        <v>0.0904405699377306</v>
      </c>
      <c r="S114" s="13" t="n">
        <f aca="false">IF(COUNT(I115:I117)&lt;3,"",SUM(I115:I117))</f>
        <v>0.0634175168935169</v>
      </c>
      <c r="T114" s="13" t="n">
        <f aca="false">IF(COUNT(I115:I120)&lt;6,"",SUM(I115:I120))</f>
        <v>0.204418745705016</v>
      </c>
      <c r="U114" s="13" t="n">
        <f aca="false">IF(COUNT(I115:I126)&lt;12,"",SUM(I115:I126))</f>
        <v>0.177663606473638</v>
      </c>
      <c r="V114" s="13" t="n">
        <f aca="false">IF(N114="","",SUM(N$2:N114))</f>
        <v>0</v>
      </c>
      <c r="W114" s="13" t="n">
        <f aca="false">IF(V114="","",MAX(V$2:V114))</f>
        <v>0</v>
      </c>
      <c r="X114" s="13" t="n">
        <f aca="false">IF(V114="","",V114-W114)</f>
        <v>0</v>
      </c>
      <c r="Y114" s="13" t="n">
        <f aca="false">IF(COUNT(D115:D115)&lt;1,"",SUM(D115:D115))</f>
        <v>0.0911757058460735</v>
      </c>
      <c r="Z114" s="13" t="n">
        <f aca="false">IF(COUNT(D115:D117)&lt;3,"",SUM(D115:D117))</f>
        <v>0.0804356176620182</v>
      </c>
      <c r="AA114" s="13" t="n">
        <f aca="false">IF(COUNT(D115:D120)&lt;6,"",SUM(D115:D120))</f>
        <v>0.214799619783381</v>
      </c>
      <c r="AB114" s="13" t="n">
        <f aca="false">IF(COUNT(D115:D126)&lt;12,"",SUM(D115:D126))</f>
        <v>0.191191122062426</v>
      </c>
    </row>
    <row r="115" customFormat="false" ht="15" hidden="false" customHeight="false" outlineLevel="0" collapsed="false">
      <c r="A115" s="8" t="n">
        <f aca="false">Base!A115</f>
        <v>41455</v>
      </c>
      <c r="B115" s="10" t="n">
        <f aca="false">IF(Base!T115="","",Base!T115)</f>
        <v>0.567505891662736</v>
      </c>
      <c r="C115" s="11" t="n">
        <f aca="false">IF(B115="","",LN(B115))</f>
        <v>-0.566504147895912</v>
      </c>
      <c r="D115" s="13" t="n">
        <f aca="false">IF(OR(C115="",C114=""),"",C115-C114)</f>
        <v>0.0911757058460735</v>
      </c>
      <c r="E115" s="12" t="n">
        <f aca="false">IF(Base!U115="","",Base!U115)</f>
        <v>102.92</v>
      </c>
      <c r="F115" s="11" t="n">
        <f aca="false">IF(E115="","",LN(E115))</f>
        <v>4.63395198741354</v>
      </c>
      <c r="G115" s="13" t="n">
        <f aca="false">IF(OR(F115="",F114=""),"",F115-F114)</f>
        <v>0.00350399424118386</v>
      </c>
      <c r="H115" s="10" t="n">
        <f aca="false">IF(COUNT(D$75:D114)&lt;36,"",SLOPE(D$75:D114,G$75:G114))</f>
        <v>0.209799405404986</v>
      </c>
      <c r="I115" s="13" t="n">
        <f aca="false">IF(OR(D115="",H115="",G115=""),"",D115-H115*G115)</f>
        <v>0.0904405699377306</v>
      </c>
      <c r="J115" s="10" t="n">
        <f aca="false">IF(COUNT(Senal!V103:V114)=0,"",AVERAGE(Senal!V103:V114))</f>
        <v>0</v>
      </c>
      <c r="K115" s="10" t="n">
        <f aca="false">IF(J115="","",ABS(J115))</f>
        <v>0</v>
      </c>
      <c r="L115" s="10" t="n">
        <f aca="false">IF(OR(J115="",J114=""),"",ABS(J115-J114))</f>
        <v>0</v>
      </c>
      <c r="M115" s="13" t="n">
        <f aca="false">IF(OR(J115="",I115=""),"",J115*I115-IF(L115="",0,L115)*Resumen!$B$8/10000)</f>
        <v>0</v>
      </c>
      <c r="N115" s="13" t="n">
        <f aca="false">IF(OR(J115="",D115=""),"",J115*D115-IF(L115="",0,L115)*Resumen!$B$8/10000)</f>
        <v>0</v>
      </c>
      <c r="O115" s="13" t="n">
        <f aca="false">IF(M115="","",IF(COUNT(O$2:O114)=0,M115,SUM(M$2:M115)))</f>
        <v>0</v>
      </c>
      <c r="P115" s="13" t="n">
        <f aca="false">IF(O115="","",MAX(O$2:O115))</f>
        <v>0</v>
      </c>
      <c r="Q115" s="13" t="n">
        <f aca="false">IF(O115="","",O115-P115)</f>
        <v>0</v>
      </c>
      <c r="R115" s="13" t="n">
        <f aca="false">IF(COUNT(I116:I116)&lt;1,"",SUM(I116:I116))</f>
        <v>0.00304335296601829</v>
      </c>
      <c r="S115" s="13" t="n">
        <f aca="false">IF(COUNT(I116:I118)&lt;3,"",SUM(I116:I118))</f>
        <v>-0.00848624912726523</v>
      </c>
      <c r="T115" s="13" t="n">
        <f aca="false">IF(COUNT(I116:I121)&lt;6,"",SUM(I116:I121))</f>
        <v>0.298348310115301</v>
      </c>
      <c r="U115" s="13" t="n">
        <f aca="false">IF(COUNT(I116:I127)&lt;12,"",SUM(I116:I127))</f>
        <v>0.0933501405237563</v>
      </c>
      <c r="V115" s="13" t="n">
        <f aca="false">IF(N115="","",SUM(N$2:N115))</f>
        <v>0</v>
      </c>
      <c r="W115" s="13" t="n">
        <f aca="false">IF(V115="","",MAX(V$2:V115))</f>
        <v>0</v>
      </c>
      <c r="X115" s="13" t="n">
        <f aca="false">IF(V115="","",V115-W115)</f>
        <v>0</v>
      </c>
      <c r="Y115" s="13" t="n">
        <f aca="false">IF(COUNT(D116:D116)&lt;1,"",SUM(D116:D116))</f>
        <v>0.0128693998199875</v>
      </c>
      <c r="Z115" s="13" t="n">
        <f aca="false">IF(COUNT(D116:D118)&lt;3,"",SUM(D116:D118))</f>
        <v>0.00839482679652226</v>
      </c>
      <c r="AA115" s="13" t="n">
        <f aca="false">IF(COUNT(D116:D121)&lt;6,"",SUM(D116:D121))</f>
        <v>0.31308692894685</v>
      </c>
      <c r="AB115" s="13" t="n">
        <f aca="false">IF(COUNT(D116:D127)&lt;12,"",SUM(D116:D127))</f>
        <v>0.111248136514427</v>
      </c>
    </row>
    <row r="116" customFormat="false" ht="15" hidden="false" customHeight="false" outlineLevel="0" collapsed="false">
      <c r="A116" s="8" t="n">
        <f aca="false">Base!A116</f>
        <v>41486</v>
      </c>
      <c r="B116" s="10" t="n">
        <f aca="false">IF(Base!T116="","",Base!T116)</f>
        <v>0.574856549709473</v>
      </c>
      <c r="C116" s="11" t="n">
        <f aca="false">IF(B116="","",LN(B116))</f>
        <v>-0.553634748075925</v>
      </c>
      <c r="D116" s="13" t="n">
        <f aca="false">IF(OR(C116="",C115=""),"",C116-C115)</f>
        <v>0.0128693998199875</v>
      </c>
      <c r="E116" s="12" t="n">
        <f aca="false">IF(Base!U116="","",Base!U116)</f>
        <v>107.93</v>
      </c>
      <c r="F116" s="11" t="n">
        <f aca="false">IF(E116="","",LN(E116))</f>
        <v>4.68148286883726</v>
      </c>
      <c r="G116" s="13" t="n">
        <f aca="false">IF(OR(F116="",F115=""),"",F116-F115)</f>
        <v>0.0475308814237119</v>
      </c>
      <c r="H116" s="10" t="n">
        <f aca="false">IF(COUNT(D$75:D115)&lt;36,"",SLOPE(D$75:D115,G$75:G115))</f>
        <v>0.206729742004474</v>
      </c>
      <c r="I116" s="13" t="n">
        <f aca="false">IF(OR(D116="",H116="",G116=""),"",D116-H116*G116)</f>
        <v>0.00304335296601829</v>
      </c>
      <c r="J116" s="10" t="n">
        <f aca="false">IF(COUNT(Senal!V104:V115)=0,"",AVERAGE(Senal!V104:V115))</f>
        <v>0</v>
      </c>
      <c r="K116" s="10" t="n">
        <f aca="false">IF(J116="","",ABS(J116))</f>
        <v>0</v>
      </c>
      <c r="L116" s="10" t="n">
        <f aca="false">IF(OR(J116="",J115=""),"",ABS(J116-J115))</f>
        <v>0</v>
      </c>
      <c r="M116" s="13" t="n">
        <f aca="false">IF(OR(J116="",I116=""),"",J116*I116-IF(L116="",0,L116)*Resumen!$B$8/10000)</f>
        <v>0</v>
      </c>
      <c r="N116" s="13" t="n">
        <f aca="false">IF(OR(J116="",D116=""),"",J116*D116-IF(L116="",0,L116)*Resumen!$B$8/10000)</f>
        <v>0</v>
      </c>
      <c r="O116" s="13" t="n">
        <f aca="false">IF(M116="","",IF(COUNT(O$2:O115)=0,M116,SUM(M$2:M116)))</f>
        <v>0</v>
      </c>
      <c r="P116" s="13" t="n">
        <f aca="false">IF(O116="","",MAX(O$2:O116))</f>
        <v>0</v>
      </c>
      <c r="Q116" s="13" t="n">
        <f aca="false">IF(O116="","",O116-P116)</f>
        <v>0</v>
      </c>
      <c r="R116" s="13" t="n">
        <f aca="false">IF(COUNT(I117:I117)&lt;1,"",SUM(I117:I117))</f>
        <v>-0.030066406010232</v>
      </c>
      <c r="S116" s="13" t="n">
        <f aca="false">IF(COUNT(I117:I119)&lt;3,"",SUM(I117:I119))</f>
        <v>-0.0402992633330173</v>
      </c>
      <c r="T116" s="13" t="n">
        <f aca="false">IF(COUNT(I117:I122)&lt;6,"",SUM(I117:I122))</f>
        <v>0.133464446007601</v>
      </c>
      <c r="U116" s="13" t="n">
        <f aca="false">IF(COUNT(I117:I128)&lt;12,"",SUM(I117:I128))</f>
        <v>0.12858248030842</v>
      </c>
      <c r="V116" s="13" t="n">
        <f aca="false">IF(N116="","",SUM(N$2:N116))</f>
        <v>0</v>
      </c>
      <c r="W116" s="13" t="n">
        <f aca="false">IF(V116="","",MAX(V$2:V116))</f>
        <v>0</v>
      </c>
      <c r="X116" s="13" t="n">
        <f aca="false">IF(V116="","",V116-W116)</f>
        <v>0</v>
      </c>
      <c r="Y116" s="13" t="n">
        <f aca="false">IF(COUNT(D117:D117)&lt;1,"",SUM(D117:D117))</f>
        <v>-0.0236094880040427</v>
      </c>
      <c r="Z116" s="13" t="n">
        <f aca="false">IF(COUNT(D117:D119)&lt;3,"",SUM(D117:D119))</f>
        <v>-0.0379708830311348</v>
      </c>
      <c r="AA116" s="13" t="n">
        <f aca="false">IF(COUNT(D117:D122)&lt;6,"",SUM(D117:D122))</f>
        <v>0.133197545228816</v>
      </c>
      <c r="AB116" s="13" t="n">
        <f aca="false">IF(COUNT(D117:D128)&lt;12,"",SUM(D117:D128))</f>
        <v>0.125081565195475</v>
      </c>
    </row>
    <row r="117" customFormat="false" ht="15" hidden="false" customHeight="false" outlineLevel="0" collapsed="false">
      <c r="A117" s="8" t="n">
        <f aca="false">Base!A117</f>
        <v>41517</v>
      </c>
      <c r="B117" s="10" t="n">
        <f aca="false">IF(Base!T117="","",Base!T117)</f>
        <v>0.561443442236957</v>
      </c>
      <c r="C117" s="11" t="n">
        <f aca="false">IF(B117="","",LN(B117))</f>
        <v>-0.577244236079968</v>
      </c>
      <c r="D117" s="13" t="n">
        <f aca="false">IF(OR(C117="",C116=""),"",C117-C116)</f>
        <v>-0.0236094880040427</v>
      </c>
      <c r="E117" s="12" t="n">
        <f aca="false">IF(Base!U117="","",Base!U117)</f>
        <v>111.28</v>
      </c>
      <c r="F117" s="11" t="n">
        <f aca="false">IF(E117="","",LN(E117))</f>
        <v>4.71204954761519</v>
      </c>
      <c r="G117" s="13" t="n">
        <f aca="false">IF(OR(F117="",F116=""),"",F117-F116)</f>
        <v>0.030566678777932</v>
      </c>
      <c r="H117" s="10" t="n">
        <f aca="false">IF(COUNT(D$75:D116)&lt;36,"",SLOPE(D$75:D116,G$75:G116))</f>
        <v>0.211240418139603</v>
      </c>
      <c r="I117" s="13" t="n">
        <f aca="false">IF(OR(D117="",H117="",G117=""),"",D117-H117*G117)</f>
        <v>-0.030066406010232</v>
      </c>
      <c r="J117" s="10" t="n">
        <f aca="false">IF(COUNT(Senal!V105:V116)=0,"",AVERAGE(Senal!V105:V116))</f>
        <v>0</v>
      </c>
      <c r="K117" s="10" t="n">
        <f aca="false">IF(J117="","",ABS(J117))</f>
        <v>0</v>
      </c>
      <c r="L117" s="10" t="n">
        <f aca="false">IF(OR(J117="",J116=""),"",ABS(J117-J116))</f>
        <v>0</v>
      </c>
      <c r="M117" s="13" t="n">
        <f aca="false">IF(OR(J117="",I117=""),"",J117*I117-IF(L117="",0,L117)*Resumen!$B$8/10000)</f>
        <v>-0</v>
      </c>
      <c r="N117" s="13" t="n">
        <f aca="false">IF(OR(J117="",D117=""),"",J117*D117-IF(L117="",0,L117)*Resumen!$B$8/10000)</f>
        <v>-0</v>
      </c>
      <c r="O117" s="13" t="n">
        <f aca="false">IF(M117="","",IF(COUNT(O$2:O116)=0,M117,SUM(M$2:M117)))</f>
        <v>0</v>
      </c>
      <c r="P117" s="13" t="n">
        <f aca="false">IF(O117="","",MAX(O$2:O117))</f>
        <v>0</v>
      </c>
      <c r="Q117" s="13" t="n">
        <f aca="false">IF(O117="","",O117-P117)</f>
        <v>0</v>
      </c>
      <c r="R117" s="13" t="n">
        <f aca="false">IF(COUNT(I118:I118)&lt;1,"",SUM(I118:I118))</f>
        <v>0.0185368039169485</v>
      </c>
      <c r="S117" s="13" t="n">
        <f aca="false">IF(COUNT(I118:I120)&lt;3,"",SUM(I118:I120))</f>
        <v>0.141001228811499</v>
      </c>
      <c r="T117" s="13" t="n">
        <f aca="false">IF(COUNT(I118:I123)&lt;6,"",SUM(I118:I123))</f>
        <v>0.214341863283483</v>
      </c>
      <c r="U117" s="13" t="n">
        <f aca="false">IF(COUNT(I118:I129)&lt;12,"",SUM(I118:I129))</f>
        <v>0.146777778625555</v>
      </c>
      <c r="V117" s="13" t="n">
        <f aca="false">IF(N117="","",SUM(N$2:N117))</f>
        <v>0</v>
      </c>
      <c r="W117" s="13" t="n">
        <f aca="false">IF(V117="","",MAX(V$2:V117))</f>
        <v>0</v>
      </c>
      <c r="X117" s="13" t="n">
        <f aca="false">IF(V117="","",V117-W117)</f>
        <v>0</v>
      </c>
      <c r="Y117" s="13" t="n">
        <f aca="false">IF(COUNT(D118:D118)&lt;1,"",SUM(D118:D118))</f>
        <v>0.0191349149805775</v>
      </c>
      <c r="Z117" s="13" t="n">
        <f aca="false">IF(COUNT(D118:D120)&lt;3,"",SUM(D118:D120))</f>
        <v>0.134364002121363</v>
      </c>
      <c r="AA117" s="13" t="n">
        <f aca="false">IF(COUNT(D118:D123)&lt;6,"",SUM(D118:D123))</f>
        <v>0.209421918470447</v>
      </c>
      <c r="AB117" s="13" t="n">
        <f aca="false">IF(COUNT(D118:D129)&lt;12,"",SUM(D118:D129))</f>
        <v>0.125224285297899</v>
      </c>
    </row>
    <row r="118" customFormat="false" ht="15" hidden="false" customHeight="false" outlineLevel="0" collapsed="false">
      <c r="A118" s="8" t="n">
        <f aca="false">Base!A118</f>
        <v>41547</v>
      </c>
      <c r="B118" s="10" t="n">
        <f aca="false">IF(Base!T118="","",Base!T118)</f>
        <v>0.57229005835841</v>
      </c>
      <c r="C118" s="11" t="n">
        <f aca="false">IF(B118="","",LN(B118))</f>
        <v>-0.55810932109939</v>
      </c>
      <c r="D118" s="13" t="n">
        <f aca="false">IF(OR(C118="",C117=""),"",C118-C117)</f>
        <v>0.0191349149805775</v>
      </c>
      <c r="E118" s="12" t="n">
        <f aca="false">IF(Base!U118="","",Base!U118)</f>
        <v>111.6</v>
      </c>
      <c r="F118" s="11" t="n">
        <f aca="false">IF(E118="","",LN(E118))</f>
        <v>4.71492104994721</v>
      </c>
      <c r="G118" s="13" t="n">
        <f aca="false">IF(OR(F118="",F117=""),"",F118-F117)</f>
        <v>0.00287150233202294</v>
      </c>
      <c r="H118" s="10" t="n">
        <f aca="false">IF(COUNT(D$75:D117)&lt;36,"",SLOPE(D$75:D117,G$75:G117))</f>
        <v>0.20829203478573</v>
      </c>
      <c r="I118" s="13" t="n">
        <f aca="false">IF(OR(D118="",H118="",G118=""),"",D118-H118*G118)</f>
        <v>0.0185368039169485</v>
      </c>
      <c r="J118" s="10" t="n">
        <f aca="false">IF(COUNT(Senal!V106:V117)=0,"",AVERAGE(Senal!V106:V117))</f>
        <v>0</v>
      </c>
      <c r="K118" s="10" t="n">
        <f aca="false">IF(J118="","",ABS(J118))</f>
        <v>0</v>
      </c>
      <c r="L118" s="10" t="n">
        <f aca="false">IF(OR(J118="",J117=""),"",ABS(J118-J117))</f>
        <v>0</v>
      </c>
      <c r="M118" s="13" t="n">
        <f aca="false">IF(OR(J118="",I118=""),"",J118*I118-IF(L118="",0,L118)*Resumen!$B$8/10000)</f>
        <v>0</v>
      </c>
      <c r="N118" s="13" t="n">
        <f aca="false">IF(OR(J118="",D118=""),"",J118*D118-IF(L118="",0,L118)*Resumen!$B$8/10000)</f>
        <v>0</v>
      </c>
      <c r="O118" s="13" t="n">
        <f aca="false">IF(M118="","",IF(COUNT(O$2:O117)=0,M118,SUM(M$2:M118)))</f>
        <v>0</v>
      </c>
      <c r="P118" s="13" t="n">
        <f aca="false">IF(O118="","",MAX(O$2:O118))</f>
        <v>0</v>
      </c>
      <c r="Q118" s="13" t="n">
        <f aca="false">IF(O118="","",O118-P118)</f>
        <v>0</v>
      </c>
      <c r="R118" s="13" t="n">
        <f aca="false">IF(COUNT(I119:I119)&lt;1,"",SUM(I119:I119))</f>
        <v>-0.0287696612397338</v>
      </c>
      <c r="S118" s="13" t="n">
        <f aca="false">IF(COUNT(I119:I121)&lt;3,"",SUM(I119:I121))</f>
        <v>0.306834559242566</v>
      </c>
      <c r="T118" s="13" t="n">
        <f aca="false">IF(COUNT(I119:I124)&lt;6,"",SUM(I119:I124))</f>
        <v>0.226782355585894</v>
      </c>
      <c r="U118" s="13" t="n">
        <f aca="false">IF(COUNT(I119:I130)&lt;12,"",SUM(I119:I130))</f>
        <v>0.157442934353325</v>
      </c>
      <c r="V118" s="13" t="n">
        <f aca="false">IF(N118="","",SUM(N$2:N118))</f>
        <v>0</v>
      </c>
      <c r="W118" s="13" t="n">
        <f aca="false">IF(V118="","",MAX(V$2:V118))</f>
        <v>0</v>
      </c>
      <c r="X118" s="13" t="n">
        <f aca="false">IF(V118="","",V118-W118)</f>
        <v>0</v>
      </c>
      <c r="Y118" s="13" t="n">
        <f aca="false">IF(COUNT(D119:D119)&lt;1,"",SUM(D119:D119))</f>
        <v>-0.0334963100076696</v>
      </c>
      <c r="Z118" s="13" t="n">
        <f aca="false">IF(COUNT(D119:D121)&lt;3,"",SUM(D119:D121))</f>
        <v>0.304692102150328</v>
      </c>
      <c r="AA118" s="13" t="n">
        <f aca="false">IF(COUNT(D119:D124)&lt;6,"",SUM(D119:D124))</f>
        <v>0.217971181766161</v>
      </c>
      <c r="AB118" s="13" t="n">
        <f aca="false">IF(COUNT(D119:D130)&lt;12,"",SUM(D119:D130))</f>
        <v>0.124555790895686</v>
      </c>
    </row>
    <row r="119" customFormat="false" ht="15" hidden="false" customHeight="false" outlineLevel="0" collapsed="false">
      <c r="A119" s="8" t="n">
        <f aca="false">Base!A119</f>
        <v>41578</v>
      </c>
      <c r="B119" s="10" t="n">
        <f aca="false">IF(Base!T119="","",Base!T119)</f>
        <v>0.553437953762444</v>
      </c>
      <c r="C119" s="11" t="n">
        <f aca="false">IF(B119="","",LN(B119))</f>
        <v>-0.59160563110706</v>
      </c>
      <c r="D119" s="13" t="n">
        <f aca="false">IF(OR(C119="",C118=""),"",C119-C118)</f>
        <v>-0.0334963100076696</v>
      </c>
      <c r="E119" s="12" t="n">
        <f aca="false">IF(Base!U119="","",Base!U119)</f>
        <v>109.08</v>
      </c>
      <c r="F119" s="11" t="n">
        <f aca="false">IF(E119="","",LN(E119))</f>
        <v>4.69208155797739</v>
      </c>
      <c r="G119" s="13" t="n">
        <f aca="false">IF(OR(F119="",F118=""),"",F119-F118)</f>
        <v>-0.0228394919698225</v>
      </c>
      <c r="H119" s="10" t="n">
        <f aca="false">IF(COUNT(D$75:D118)&lt;36,"",SLOPE(D$75:D118,G$75:G118))</f>
        <v>0.206950696371927</v>
      </c>
      <c r="I119" s="13" t="n">
        <f aca="false">IF(OR(D119="",H119="",G119=""),"",D119-H119*G119)</f>
        <v>-0.0287696612397338</v>
      </c>
      <c r="J119" s="10" t="n">
        <f aca="false">IF(COUNT(Senal!V107:V118)=0,"",AVERAGE(Senal!V107:V118))</f>
        <v>0</v>
      </c>
      <c r="K119" s="10" t="n">
        <f aca="false">IF(J119="","",ABS(J119))</f>
        <v>0</v>
      </c>
      <c r="L119" s="10" t="n">
        <f aca="false">IF(OR(J119="",J118=""),"",ABS(J119-J118))</f>
        <v>0</v>
      </c>
      <c r="M119" s="13" t="n">
        <f aca="false">IF(OR(J119="",I119=""),"",J119*I119-IF(L119="",0,L119)*Resumen!$B$8/10000)</f>
        <v>-0</v>
      </c>
      <c r="N119" s="13" t="n">
        <f aca="false">IF(OR(J119="",D119=""),"",J119*D119-IF(L119="",0,L119)*Resumen!$B$8/10000)</f>
        <v>-0</v>
      </c>
      <c r="O119" s="13" t="n">
        <f aca="false">IF(M119="","",IF(COUNT(O$2:O118)=0,M119,SUM(M$2:M119)))</f>
        <v>0</v>
      </c>
      <c r="P119" s="13" t="n">
        <f aca="false">IF(O119="","",MAX(O$2:O119))</f>
        <v>0</v>
      </c>
      <c r="Q119" s="13" t="n">
        <f aca="false">IF(O119="","",O119-P119)</f>
        <v>0</v>
      </c>
      <c r="R119" s="13" t="n">
        <f aca="false">IF(COUNT(I120:I120)&lt;1,"",SUM(I120:I120))</f>
        <v>0.151234086134285</v>
      </c>
      <c r="S119" s="13" t="n">
        <f aca="false">IF(COUNT(I120:I122)&lt;3,"",SUM(I120:I122))</f>
        <v>0.173763709340618</v>
      </c>
      <c r="T119" s="13" t="n">
        <f aca="false">IF(COUNT(I120:I125)&lt;6,"",SUM(I120:I125))</f>
        <v>0.122400589462558</v>
      </c>
      <c r="U119" s="13" t="n">
        <f aca="false">IF(COUNT(I120:I131)&lt;12,"",SUM(I120:I131))</f>
        <v>0.172062684889718</v>
      </c>
      <c r="V119" s="13" t="n">
        <f aca="false">IF(N119="","",SUM(N$2:N119))</f>
        <v>0</v>
      </c>
      <c r="W119" s="13" t="n">
        <f aca="false">IF(V119="","",MAX(V$2:V119))</f>
        <v>0</v>
      </c>
      <c r="X119" s="13" t="n">
        <f aca="false">IF(V119="","",V119-W119)</f>
        <v>0</v>
      </c>
      <c r="Y119" s="13" t="n">
        <f aca="false">IF(COUNT(D120:D120)&lt;1,"",SUM(D120:D120))</f>
        <v>0.148725397148455</v>
      </c>
      <c r="Z119" s="13" t="n">
        <f aca="false">IF(COUNT(D120:D122)&lt;3,"",SUM(D120:D122))</f>
        <v>0.17116842825995</v>
      </c>
      <c r="AA119" s="13" t="n">
        <f aca="false">IF(COUNT(D120:D125)&lt;6,"",SUM(D120:D125))</f>
        <v>0.11895448179404</v>
      </c>
      <c r="AB119" s="13" t="n">
        <f aca="false">IF(COUNT(D120:D131)&lt;12,"",SUM(D120:D131))</f>
        <v>0.120482391959247</v>
      </c>
    </row>
    <row r="120" customFormat="false" ht="15" hidden="false" customHeight="false" outlineLevel="0" collapsed="false">
      <c r="A120" s="8" t="n">
        <f aca="false">Base!A120</f>
        <v>41608</v>
      </c>
      <c r="B120" s="10" t="n">
        <f aca="false">IF(Base!T120="","",Base!T120)</f>
        <v>0.642184114331486</v>
      </c>
      <c r="C120" s="11" t="n">
        <f aca="false">IF(B120="","",LN(B120))</f>
        <v>-0.442880233958605</v>
      </c>
      <c r="D120" s="13" t="n">
        <f aca="false">IF(OR(C120="",C119=""),"",C120-C119)</f>
        <v>0.148725397148455</v>
      </c>
      <c r="E120" s="12" t="n">
        <f aca="false">IF(Base!U120="","",Base!U120)</f>
        <v>107.79</v>
      </c>
      <c r="F120" s="11" t="n">
        <f aca="false">IF(E120="","",LN(E120))</f>
        <v>4.68018488979354</v>
      </c>
      <c r="G120" s="13" t="n">
        <f aca="false">IF(OR(F120="",F119=""),"",F120-F119)</f>
        <v>-0.0118966681838506</v>
      </c>
      <c r="H120" s="10" t="n">
        <f aca="false">IF(COUNT(D$75:D119)&lt;36,"",SLOPE(D$75:D119,G$75:G119))</f>
        <v>0.210873241739647</v>
      </c>
      <c r="I120" s="13" t="n">
        <f aca="false">IF(OR(D120="",H120="",G120=""),"",D120-H120*G120)</f>
        <v>0.151234086134285</v>
      </c>
      <c r="J120" s="10" t="n">
        <f aca="false">IF(COUNT(Senal!V108:V119)=0,"",AVERAGE(Senal!V108:V119))</f>
        <v>0</v>
      </c>
      <c r="K120" s="10" t="n">
        <f aca="false">IF(J120="","",ABS(J120))</f>
        <v>0</v>
      </c>
      <c r="L120" s="10" t="n">
        <f aca="false">IF(OR(J120="",J119=""),"",ABS(J120-J119))</f>
        <v>0</v>
      </c>
      <c r="M120" s="13" t="n">
        <f aca="false">IF(OR(J120="",I120=""),"",J120*I120-IF(L120="",0,L120)*Resumen!$B$8/10000)</f>
        <v>0</v>
      </c>
      <c r="N120" s="13" t="n">
        <f aca="false">IF(OR(J120="",D120=""),"",J120*D120-IF(L120="",0,L120)*Resumen!$B$8/10000)</f>
        <v>0</v>
      </c>
      <c r="O120" s="13" t="n">
        <f aca="false">IF(M120="","",IF(COUNT(O$2:O119)=0,M120,SUM(M$2:M120)))</f>
        <v>0</v>
      </c>
      <c r="P120" s="13" t="n">
        <f aca="false">IF(O120="","",MAX(O$2:O120))</f>
        <v>0</v>
      </c>
      <c r="Q120" s="13" t="n">
        <f aca="false">IF(O120="","",O120-P120)</f>
        <v>0</v>
      </c>
      <c r="R120" s="13" t="n">
        <f aca="false">IF(COUNT(I121:I121)&lt;1,"",SUM(I121:I121))</f>
        <v>0.184370134348015</v>
      </c>
      <c r="S120" s="13" t="n">
        <f aca="false">IF(COUNT(I121:I123)&lt;3,"",SUM(I121:I123))</f>
        <v>0.0733406344719836</v>
      </c>
      <c r="T120" s="13" t="n">
        <f aca="false">IF(COUNT(I121:I126)&lt;6,"",SUM(I121:I126))</f>
        <v>-0.0267551392313782</v>
      </c>
      <c r="U120" s="13" t="n">
        <f aca="false">IF(COUNT(I121:I132)&lt;12,"",SUM(I121:I132))</f>
        <v>0.0208409928347276</v>
      </c>
      <c r="V120" s="13" t="n">
        <f aca="false">IF(N120="","",SUM(N$2:N120))</f>
        <v>0</v>
      </c>
      <c r="W120" s="13" t="n">
        <f aca="false">IF(V120="","",MAX(V$2:V120))</f>
        <v>0</v>
      </c>
      <c r="X120" s="13" t="n">
        <f aca="false">IF(V120="","",V120-W120)</f>
        <v>0</v>
      </c>
      <c r="Y120" s="13" t="n">
        <f aca="false">IF(COUNT(D121:D121)&lt;1,"",SUM(D121:D121))</f>
        <v>0.189463015009542</v>
      </c>
      <c r="Z120" s="13" t="n">
        <f aca="false">IF(COUNT(D121:D123)&lt;3,"",SUM(D121:D123))</f>
        <v>0.0750579163490841</v>
      </c>
      <c r="AA120" s="13" t="n">
        <f aca="false">IF(COUNT(D121:D126)&lt;6,"",SUM(D121:D126))</f>
        <v>-0.0236084977209549</v>
      </c>
      <c r="AB120" s="13" t="n">
        <f aca="false">IF(COUNT(D121:D132)&lt;12,"",SUM(D121:D132))</f>
        <v>-0.0501493773462681</v>
      </c>
    </row>
    <row r="121" customFormat="false" ht="15" hidden="false" customHeight="false" outlineLevel="0" collapsed="false">
      <c r="A121" s="8" t="n">
        <f aca="false">Base!A121</f>
        <v>41639</v>
      </c>
      <c r="B121" s="10" t="n">
        <f aca="false">IF(Base!T121="","",Base!T121)</f>
        <v>0.776143992281228</v>
      </c>
      <c r="C121" s="11" t="n">
        <f aca="false">IF(B121="","",LN(B121))</f>
        <v>-0.253417218949062</v>
      </c>
      <c r="D121" s="13" t="n">
        <f aca="false">IF(OR(C121="",C120=""),"",C121-C120)</f>
        <v>0.189463015009542</v>
      </c>
      <c r="E121" s="12" t="n">
        <f aca="false">IF(Base!U121="","",Base!U121)</f>
        <v>110.76</v>
      </c>
      <c r="F121" s="11" t="n">
        <f aca="false">IF(E121="","",LN(E121))</f>
        <v>4.70736569830276</v>
      </c>
      <c r="G121" s="13" t="n">
        <f aca="false">IF(OR(F121="",F120=""),"",F121-F120)</f>
        <v>0.0271808085092236</v>
      </c>
      <c r="H121" s="10" t="n">
        <f aca="false">IF(COUNT(D$75:D120)&lt;36,"",SLOPE(D$75:D120,G$75:G120))</f>
        <v>0.1873704625011</v>
      </c>
      <c r="I121" s="13" t="n">
        <f aca="false">IF(OR(D121="",H121="",G121=""),"",D121-H121*G121)</f>
        <v>0.184370134348015</v>
      </c>
      <c r="J121" s="10" t="n">
        <f aca="false">IF(COUNT(Senal!V109:V120)=0,"",AVERAGE(Senal!V109:V120))</f>
        <v>0</v>
      </c>
      <c r="K121" s="10" t="n">
        <f aca="false">IF(J121="","",ABS(J121))</f>
        <v>0</v>
      </c>
      <c r="L121" s="10" t="n">
        <f aca="false">IF(OR(J121="",J120=""),"",ABS(J121-J120))</f>
        <v>0</v>
      </c>
      <c r="M121" s="13" t="n">
        <f aca="false">IF(OR(J121="",I121=""),"",J121*I121-IF(L121="",0,L121)*Resumen!$B$8/10000)</f>
        <v>0</v>
      </c>
      <c r="N121" s="13" t="n">
        <f aca="false">IF(OR(J121="",D121=""),"",J121*D121-IF(L121="",0,L121)*Resumen!$B$8/10000)</f>
        <v>0</v>
      </c>
      <c r="O121" s="13" t="n">
        <f aca="false">IF(M121="","",IF(COUNT(O$2:O120)=0,M121,SUM(M$2:M121)))</f>
        <v>0</v>
      </c>
      <c r="P121" s="13" t="n">
        <f aca="false">IF(O121="","",MAX(O$2:O121))</f>
        <v>0</v>
      </c>
      <c r="Q121" s="13" t="n">
        <f aca="false">IF(O121="","",O121-P121)</f>
        <v>0</v>
      </c>
      <c r="R121" s="13" t="n">
        <f aca="false">IF(COUNT(I122:I122)&lt;1,"",SUM(I122:I122))</f>
        <v>-0.161840511141682</v>
      </c>
      <c r="S121" s="13" t="n">
        <f aca="false">IF(COUNT(I122:I124)&lt;3,"",SUM(I122:I124))</f>
        <v>-0.0800522036566717</v>
      </c>
      <c r="T121" s="13" t="n">
        <f aca="false">IF(COUNT(I122:I127)&lt;6,"",SUM(I122:I127))</f>
        <v>-0.204998169591545</v>
      </c>
      <c r="U121" s="13" t="n">
        <f aca="false">IF(COUNT(I122:I133)&lt;12,"",SUM(I122:I133))</f>
        <v>-0.247592506633208</v>
      </c>
      <c r="V121" s="13" t="n">
        <f aca="false">IF(N121="","",SUM(N$2:N121))</f>
        <v>0</v>
      </c>
      <c r="W121" s="13" t="n">
        <f aca="false">IF(V121="","",MAX(V$2:V121))</f>
        <v>0</v>
      </c>
      <c r="X121" s="13" t="n">
        <f aca="false">IF(V121="","",V121-W121)</f>
        <v>0</v>
      </c>
      <c r="Y121" s="13" t="n">
        <f aca="false">IF(COUNT(D122:D122)&lt;1,"",SUM(D122:D122))</f>
        <v>-0.167019983898047</v>
      </c>
      <c r="Z121" s="13" t="n">
        <f aca="false">IF(COUNT(D122:D124)&lt;3,"",SUM(D122:D124))</f>
        <v>-0.0867209203841665</v>
      </c>
      <c r="AA121" s="13" t="n">
        <f aca="false">IF(COUNT(D122:D127)&lt;6,"",SUM(D122:D127))</f>
        <v>-0.201838792432424</v>
      </c>
      <c r="AB121" s="13" t="n">
        <f aca="false">IF(COUNT(D122:D133)&lt;12,"",SUM(D122:D133))</f>
        <v>-0.378184349958993</v>
      </c>
    </row>
    <row r="122" customFormat="false" ht="15" hidden="false" customHeight="false" outlineLevel="0" collapsed="false">
      <c r="A122" s="8" t="n">
        <f aca="false">Base!A122</f>
        <v>41670</v>
      </c>
      <c r="B122" s="10" t="n">
        <f aca="false">IF(Base!T122="","",Base!T122)</f>
        <v>0.656759619861643</v>
      </c>
      <c r="C122" s="11" t="n">
        <f aca="false">IF(B122="","",LN(B122))</f>
        <v>-0.420437202847109</v>
      </c>
      <c r="D122" s="13" t="n">
        <f aca="false">IF(OR(C122="",C121=""),"",C122-C121)</f>
        <v>-0.167019983898047</v>
      </c>
      <c r="E122" s="12" t="n">
        <f aca="false">IF(Base!U122="","",Base!U122)</f>
        <v>108.12</v>
      </c>
      <c r="F122" s="11" t="n">
        <f aca="false">IF(E122="","",LN(E122))</f>
        <v>4.68324172140825</v>
      </c>
      <c r="G122" s="13" t="n">
        <f aca="false">IF(OR(F122="",F121=""),"",F122-F121)</f>
        <v>-0.0241239768945141</v>
      </c>
      <c r="H122" s="10" t="n">
        <f aca="false">IF(COUNT(D$75:D121)&lt;36,"",SLOPE(D$75:D121,G$75:G121))</f>
        <v>0.214702276453575</v>
      </c>
      <c r="I122" s="13" t="n">
        <f aca="false">IF(OR(D122="",H122="",G122=""),"",D122-H122*G122)</f>
        <v>-0.161840511141682</v>
      </c>
      <c r="J122" s="10" t="n">
        <f aca="false">IF(COUNT(Senal!V110:V121)=0,"",AVERAGE(Senal!V110:V121))</f>
        <v>0</v>
      </c>
      <c r="K122" s="10" t="n">
        <f aca="false">IF(J122="","",ABS(J122))</f>
        <v>0</v>
      </c>
      <c r="L122" s="10" t="n">
        <f aca="false">IF(OR(J122="",J121=""),"",ABS(J122-J121))</f>
        <v>0</v>
      </c>
      <c r="M122" s="13" t="n">
        <f aca="false">IF(OR(J122="",I122=""),"",J122*I122-IF(L122="",0,L122)*Resumen!$B$8/10000)</f>
        <v>-0</v>
      </c>
      <c r="N122" s="13" t="n">
        <f aca="false">IF(OR(J122="",D122=""),"",J122*D122-IF(L122="",0,L122)*Resumen!$B$8/10000)</f>
        <v>-0</v>
      </c>
      <c r="O122" s="13" t="n">
        <f aca="false">IF(M122="","",IF(COUNT(O$2:O121)=0,M122,SUM(M$2:M122)))</f>
        <v>0</v>
      </c>
      <c r="P122" s="13" t="n">
        <f aca="false">IF(O122="","",MAX(O$2:O122))</f>
        <v>0</v>
      </c>
      <c r="Q122" s="13" t="n">
        <f aca="false">IF(O122="","",O122-P122)</f>
        <v>0</v>
      </c>
      <c r="R122" s="13" t="n">
        <f aca="false">IF(COUNT(I123:I123)&lt;1,"",SUM(I123:I123))</f>
        <v>0.0508110112656497</v>
      </c>
      <c r="S122" s="13" t="n">
        <f aca="false">IF(COUNT(I123:I125)&lt;3,"",SUM(I123:I125))</f>
        <v>-0.0513631198780602</v>
      </c>
      <c r="T122" s="13" t="n">
        <f aca="false">IF(COUNT(I123:I128)&lt;6,"",SUM(I123:I128))</f>
        <v>-0.004881965699181</v>
      </c>
      <c r="U122" s="13" t="n">
        <f aca="false">IF(COUNT(I123:I134)&lt;12,"",SUM(I123:I134))</f>
        <v>-0.0127065945912376</v>
      </c>
      <c r="V122" s="13" t="n">
        <f aca="false">IF(N122="","",SUM(N$2:N122))</f>
        <v>0</v>
      </c>
      <c r="W122" s="13" t="n">
        <f aca="false">IF(V122="","",MAX(V$2:V122))</f>
        <v>0</v>
      </c>
      <c r="X122" s="13" t="n">
        <f aca="false">IF(V122="","",V122-W122)</f>
        <v>0</v>
      </c>
      <c r="Y122" s="13" t="n">
        <f aca="false">IF(COUNT(D123:D123)&lt;1,"",SUM(D123:D123))</f>
        <v>0.0526148852375888</v>
      </c>
      <c r="Z122" s="13" t="n">
        <f aca="false">IF(COUNT(D123:D125)&lt;3,"",SUM(D123:D125))</f>
        <v>-0.05221394646591</v>
      </c>
      <c r="AA122" s="13" t="n">
        <f aca="false">IF(COUNT(D123:D128)&lt;6,"",SUM(D123:D128))</f>
        <v>-0.0081159800333403</v>
      </c>
      <c r="AB122" s="13" t="n">
        <f aca="false">IF(COUNT(D123:D134)&lt;12,"",SUM(D123:D134))</f>
        <v>-0.219995437561859</v>
      </c>
    </row>
    <row r="123" customFormat="false" ht="15" hidden="false" customHeight="false" outlineLevel="0" collapsed="false">
      <c r="A123" s="8" t="n">
        <f aca="false">Base!A123</f>
        <v>41698</v>
      </c>
      <c r="B123" s="10" t="n">
        <f aca="false">IF(Base!T123="","",Base!T123)</f>
        <v>0.692240169650139</v>
      </c>
      <c r="C123" s="11" t="n">
        <f aca="false">IF(B123="","",LN(B123))</f>
        <v>-0.367822317609521</v>
      </c>
      <c r="D123" s="13" t="n">
        <f aca="false">IF(OR(C123="",C122=""),"",C123-C122)</f>
        <v>0.0526148852375888</v>
      </c>
      <c r="E123" s="12" t="n">
        <f aca="false">IF(Base!U123="","",Base!U123)</f>
        <v>108.9</v>
      </c>
      <c r="F123" s="11" t="n">
        <f aca="false">IF(E123="","",LN(E123))</f>
        <v>4.69043002993892</v>
      </c>
      <c r="G123" s="13" t="n">
        <f aca="false">IF(OR(F123="",F122=""),"",F123-F122)</f>
        <v>0.00718830853066788</v>
      </c>
      <c r="H123" s="10" t="n">
        <f aca="false">IF(COUNT(D$75:D122)&lt;36,"",SLOPE(D$75:D122,G$75:G122))</f>
        <v>0.250945540838033</v>
      </c>
      <c r="I123" s="13" t="n">
        <f aca="false">IF(OR(D123="",H123="",G123=""),"",D123-H123*G123)</f>
        <v>0.0508110112656497</v>
      </c>
      <c r="J123" s="10" t="n">
        <f aca="false">IF(COUNT(Senal!V111:V122)=0,"",AVERAGE(Senal!V111:V122))</f>
        <v>0</v>
      </c>
      <c r="K123" s="10" t="n">
        <f aca="false">IF(J123="","",ABS(J123))</f>
        <v>0</v>
      </c>
      <c r="L123" s="10" t="n">
        <f aca="false">IF(OR(J123="",J122=""),"",ABS(J123-J122))</f>
        <v>0</v>
      </c>
      <c r="M123" s="13" t="n">
        <f aca="false">IF(OR(J123="",I123=""),"",J123*I123-IF(L123="",0,L123)*Resumen!$B$8/10000)</f>
        <v>0</v>
      </c>
      <c r="N123" s="13" t="n">
        <f aca="false">IF(OR(J123="",D123=""),"",J123*D123-IF(L123="",0,L123)*Resumen!$B$8/10000)</f>
        <v>0</v>
      </c>
      <c r="O123" s="13" t="n">
        <f aca="false">IF(M123="","",IF(COUNT(O$2:O122)=0,M123,SUM(M$2:M123)))</f>
        <v>0</v>
      </c>
      <c r="P123" s="13" t="n">
        <f aca="false">IF(O123="","",MAX(O$2:O123))</f>
        <v>0</v>
      </c>
      <c r="Q123" s="13" t="n">
        <f aca="false">IF(O123="","",O123-P123)</f>
        <v>0</v>
      </c>
      <c r="R123" s="13" t="n">
        <f aca="false">IF(COUNT(I124:I124)&lt;1,"",SUM(I124:I124))</f>
        <v>0.0309772962193601</v>
      </c>
      <c r="S123" s="13" t="n">
        <f aca="false">IF(COUNT(I124:I126)&lt;3,"",SUM(I124:I126))</f>
        <v>-0.100095773703362</v>
      </c>
      <c r="T123" s="13" t="n">
        <f aca="false">IF(COUNT(I124:I129)&lt;6,"",SUM(I124:I129))</f>
        <v>-0.0675640846579282</v>
      </c>
      <c r="U123" s="13" t="n">
        <f aca="false">IF(COUNT(I124:I135)&lt;12,"",SUM(I124:I135))</f>
        <v>-0.159062129195703</v>
      </c>
      <c r="V123" s="13" t="n">
        <f aca="false">IF(N123="","",SUM(N$2:N123))</f>
        <v>0</v>
      </c>
      <c r="W123" s="13" t="n">
        <f aca="false">IF(V123="","",MAX(V$2:V123))</f>
        <v>0</v>
      </c>
      <c r="X123" s="13" t="n">
        <f aca="false">IF(V123="","",V123-W123)</f>
        <v>0</v>
      </c>
      <c r="Y123" s="13" t="n">
        <f aca="false">IF(COUNT(D124:D124)&lt;1,"",SUM(D124:D124))</f>
        <v>0.0276841782762918</v>
      </c>
      <c r="Z123" s="13" t="n">
        <f aca="false">IF(COUNT(D124:D126)&lt;3,"",SUM(D124:D126))</f>
        <v>-0.098666414070039</v>
      </c>
      <c r="AA123" s="13" t="n">
        <f aca="false">IF(COUNT(D124:D129)&lt;6,"",SUM(D124:D129))</f>
        <v>-0.0841976331725483</v>
      </c>
      <c r="AB123" s="13" t="n">
        <f aca="false">IF(COUNT(D124:D135)&lt;12,"",SUM(D124:D135))</f>
        <v>-0.321872051594632</v>
      </c>
    </row>
    <row r="124" customFormat="false" ht="15" hidden="false" customHeight="false" outlineLevel="0" collapsed="false">
      <c r="A124" s="8" t="n">
        <f aca="false">Base!A124</f>
        <v>41729</v>
      </c>
      <c r="B124" s="10" t="n">
        <f aca="false">IF(Base!T124="","",Base!T124)</f>
        <v>0.711672006075668</v>
      </c>
      <c r="C124" s="11" t="n">
        <f aca="false">IF(B124="","",LN(B124))</f>
        <v>-0.340138139333229</v>
      </c>
      <c r="D124" s="13" t="n">
        <f aca="false">IF(OR(C124="",C123=""),"",C124-C123)</f>
        <v>0.0276841782762918</v>
      </c>
      <c r="E124" s="12" t="n">
        <f aca="false">IF(Base!U124="","",Base!U124)</f>
        <v>107.48</v>
      </c>
      <c r="F124" s="11" t="n">
        <f aca="false">IF(E124="","",LN(E124))</f>
        <v>4.67730478374729</v>
      </c>
      <c r="G124" s="13" t="n">
        <f aca="false">IF(OR(F124="",F123=""),"",F124-F123)</f>
        <v>-0.013125246191624</v>
      </c>
      <c r="H124" s="10" t="n">
        <f aca="false">IF(COUNT(D$75:D123)&lt;36,"",SLOPE(D$75:D123,G$75:G123))</f>
        <v>0.25089951799684</v>
      </c>
      <c r="I124" s="13" t="n">
        <f aca="false">IF(OR(D124="",H124="",G124=""),"",D124-H124*G124)</f>
        <v>0.0309772962193601</v>
      </c>
      <c r="J124" s="10" t="n">
        <f aca="false">IF(COUNT(Senal!V112:V123)=0,"",AVERAGE(Senal!V112:V123))</f>
        <v>0</v>
      </c>
      <c r="K124" s="10" t="n">
        <f aca="false">IF(J124="","",ABS(J124))</f>
        <v>0</v>
      </c>
      <c r="L124" s="10" t="n">
        <f aca="false">IF(OR(J124="",J123=""),"",ABS(J124-J123))</f>
        <v>0</v>
      </c>
      <c r="M124" s="13" t="n">
        <f aca="false">IF(OR(J124="",I124=""),"",J124*I124-IF(L124="",0,L124)*Resumen!$B$8/10000)</f>
        <v>0</v>
      </c>
      <c r="N124" s="13" t="n">
        <f aca="false">IF(OR(J124="",D124=""),"",J124*D124-IF(L124="",0,L124)*Resumen!$B$8/10000)</f>
        <v>0</v>
      </c>
      <c r="O124" s="13" t="n">
        <f aca="false">IF(M124="","",IF(COUNT(O$2:O123)=0,M124,SUM(M$2:M124)))</f>
        <v>0</v>
      </c>
      <c r="P124" s="13" t="n">
        <f aca="false">IF(O124="","",MAX(O$2:O124))</f>
        <v>0</v>
      </c>
      <c r="Q124" s="13" t="n">
        <f aca="false">IF(O124="","",O124-P124)</f>
        <v>0</v>
      </c>
      <c r="R124" s="13" t="n">
        <f aca="false">IF(COUNT(I125:I125)&lt;1,"",SUM(I125:I125))</f>
        <v>-0.13315142736307</v>
      </c>
      <c r="S124" s="13" t="n">
        <f aca="false">IF(COUNT(I125:I127)&lt;3,"",SUM(I125:I127))</f>
        <v>-0.124945965934873</v>
      </c>
      <c r="T124" s="13" t="n">
        <f aca="false">IF(COUNT(I125:I130)&lt;6,"",SUM(I125:I130))</f>
        <v>-0.0693394212325696</v>
      </c>
      <c r="U124" s="13" t="n">
        <f aca="false">IF(COUNT(I125:I136)&lt;12,"",SUM(I125:I136))</f>
        <v>-0.178041729060107</v>
      </c>
      <c r="V124" s="13" t="n">
        <f aca="false">IF(N124="","",SUM(N$2:N124))</f>
        <v>0</v>
      </c>
      <c r="W124" s="13" t="n">
        <f aca="false">IF(V124="","",MAX(V$2:V124))</f>
        <v>0</v>
      </c>
      <c r="X124" s="13" t="n">
        <f aca="false">IF(V124="","",V124-W124)</f>
        <v>0</v>
      </c>
      <c r="Y124" s="13" t="n">
        <f aca="false">IF(COUNT(D125:D125)&lt;1,"",SUM(D125:D125))</f>
        <v>-0.132513009979791</v>
      </c>
      <c r="Z124" s="13" t="n">
        <f aca="false">IF(COUNT(D125:D127)&lt;3,"",SUM(D125:D127))</f>
        <v>-0.115117872048257</v>
      </c>
      <c r="AA124" s="13" t="n">
        <f aca="false">IF(COUNT(D125:D130)&lt;6,"",SUM(D125:D130))</f>
        <v>-0.0934153908704752</v>
      </c>
      <c r="AB124" s="13" t="n">
        <f aca="false">IF(COUNT(D125:D136)&lt;12,"",SUM(D125:D136))</f>
        <v>-0.344648702680021</v>
      </c>
    </row>
    <row r="125" customFormat="false" ht="15" hidden="false" customHeight="false" outlineLevel="0" collapsed="false">
      <c r="A125" s="8" t="n">
        <f aca="false">Base!A125</f>
        <v>41759</v>
      </c>
      <c r="B125" s="10" t="n">
        <f aca="false">IF(Base!T125="","",Base!T125)</f>
        <v>0.623347488451944</v>
      </c>
      <c r="C125" s="11" t="n">
        <f aca="false">IF(B125="","",LN(B125))</f>
        <v>-0.472651149313019</v>
      </c>
      <c r="D125" s="13" t="n">
        <f aca="false">IF(OR(C125="",C124=""),"",C125-C124)</f>
        <v>-0.132513009979791</v>
      </c>
      <c r="E125" s="12" t="n">
        <f aca="false">IF(Base!U125="","",Base!U125)</f>
        <v>107.76</v>
      </c>
      <c r="F125" s="11" t="n">
        <f aca="false">IF(E125="","",LN(E125))</f>
        <v>4.67990653210211</v>
      </c>
      <c r="G125" s="13" t="n">
        <f aca="false">IF(OR(F125="",F124=""),"",F125-F124)</f>
        <v>0.00260174835481841</v>
      </c>
      <c r="H125" s="10" t="n">
        <f aca="false">IF(COUNT(D$75:D124)&lt;36,"",SLOPE(D$75:D124,G$75:G124))</f>
        <v>0.245380142970818</v>
      </c>
      <c r="I125" s="13" t="n">
        <f aca="false">IF(OR(D125="",H125="",G125=""),"",D125-H125*G125)</f>
        <v>-0.13315142736307</v>
      </c>
      <c r="J125" s="10" t="n">
        <f aca="false">IF(COUNT(Senal!V113:V124)=0,"",AVERAGE(Senal!V113:V124))</f>
        <v>0</v>
      </c>
      <c r="K125" s="10" t="n">
        <f aca="false">IF(J125="","",ABS(J125))</f>
        <v>0</v>
      </c>
      <c r="L125" s="10" t="n">
        <f aca="false">IF(OR(J125="",J124=""),"",ABS(J125-J124))</f>
        <v>0</v>
      </c>
      <c r="M125" s="13" t="n">
        <f aca="false">IF(OR(J125="",I125=""),"",J125*I125-IF(L125="",0,L125)*Resumen!$B$8/10000)</f>
        <v>-0</v>
      </c>
      <c r="N125" s="13" t="n">
        <f aca="false">IF(OR(J125="",D125=""),"",J125*D125-IF(L125="",0,L125)*Resumen!$B$8/10000)</f>
        <v>-0</v>
      </c>
      <c r="O125" s="13" t="n">
        <f aca="false">IF(M125="","",IF(COUNT(O$2:O124)=0,M125,SUM(M$2:M125)))</f>
        <v>0</v>
      </c>
      <c r="P125" s="13" t="n">
        <f aca="false">IF(O125="","",MAX(O$2:O125))</f>
        <v>0</v>
      </c>
      <c r="Q125" s="13" t="n">
        <f aca="false">IF(O125="","",O125-P125)</f>
        <v>0</v>
      </c>
      <c r="R125" s="13" t="n">
        <f aca="false">IF(COUNT(I126:I126)&lt;1,"",SUM(I126:I126))</f>
        <v>0.00207835744034818</v>
      </c>
      <c r="S125" s="13" t="n">
        <f aca="false">IF(COUNT(I126:I128)&lt;3,"",SUM(I126:I128))</f>
        <v>0.0464811541788792</v>
      </c>
      <c r="T125" s="13" t="n">
        <f aca="false">IF(COUNT(I126:I131)&lt;6,"",SUM(I126:I131))</f>
        <v>0.04966209542716</v>
      </c>
      <c r="U125" s="13" t="n">
        <f aca="false">IF(COUNT(I126:I137)&lt;12,"",SUM(I126:I137))</f>
        <v>-0.144933716457528</v>
      </c>
      <c r="V125" s="13" t="n">
        <f aca="false">IF(N125="","",SUM(N$2:N125))</f>
        <v>0</v>
      </c>
      <c r="W125" s="13" t="n">
        <f aca="false">IF(V125="","",MAX(V$2:V125))</f>
        <v>0</v>
      </c>
      <c r="X125" s="13" t="n">
        <f aca="false">IF(V125="","",V125-W125)</f>
        <v>0</v>
      </c>
      <c r="Y125" s="13" t="n">
        <f aca="false">IF(COUNT(D126:D126)&lt;1,"",SUM(D126:D126))</f>
        <v>0.00616241763345982</v>
      </c>
      <c r="Z125" s="13" t="n">
        <f aca="false">IF(COUNT(D126:D128)&lt;3,"",SUM(D126:D128))</f>
        <v>0.0440979664325697</v>
      </c>
      <c r="AA125" s="13" t="n">
        <f aca="false">IF(COUNT(D126:D131)&lt;6,"",SUM(D126:D131))</f>
        <v>0.00152791016520643</v>
      </c>
      <c r="AB125" s="13" t="n">
        <f aca="false">IF(COUNT(D126:D137)&lt;12,"",SUM(D126:D137))</f>
        <v>-0.300803941958741</v>
      </c>
    </row>
    <row r="126" customFormat="false" ht="15" hidden="false" customHeight="false" outlineLevel="0" collapsed="false">
      <c r="A126" s="8" t="n">
        <f aca="false">Base!A126</f>
        <v>41790</v>
      </c>
      <c r="B126" s="10" t="n">
        <f aca="false">IF(Base!T126="","",Base!T126)</f>
        <v>0.627200676289038</v>
      </c>
      <c r="C126" s="11" t="n">
        <f aca="false">IF(B126="","",LN(B126))</f>
        <v>-0.46648873167956</v>
      </c>
      <c r="D126" s="13" t="n">
        <f aca="false">IF(OR(C126="",C125=""),"",C126-C125)</f>
        <v>0.00616241763345982</v>
      </c>
      <c r="E126" s="12" t="n">
        <f aca="false">IF(Base!U126="","",Base!U126)</f>
        <v>109.54</v>
      </c>
      <c r="F126" s="11" t="n">
        <f aca="false">IF(E126="","",LN(E126))</f>
        <v>4.69628977935558</v>
      </c>
      <c r="G126" s="13" t="n">
        <f aca="false">IF(OR(F126="",F125=""),"",F126-F125)</f>
        <v>0.016383247253466</v>
      </c>
      <c r="H126" s="10" t="n">
        <f aca="false">IF(COUNT(D$75:D125)&lt;36,"",SLOPE(D$75:D125,G$75:G125))</f>
        <v>0.249282705066154</v>
      </c>
      <c r="I126" s="13" t="n">
        <f aca="false">IF(OR(D126="",H126="",G126=""),"",D126-H126*G126)</f>
        <v>0.00207835744034818</v>
      </c>
      <c r="J126" s="10" t="n">
        <f aca="false">IF(COUNT(Senal!V114:V125)=0,"",AVERAGE(Senal!V114:V125))</f>
        <v>0</v>
      </c>
      <c r="K126" s="10" t="n">
        <f aca="false">IF(J126="","",ABS(J126))</f>
        <v>0</v>
      </c>
      <c r="L126" s="10" t="n">
        <f aca="false">IF(OR(J126="",J125=""),"",ABS(J126-J125))</f>
        <v>0</v>
      </c>
      <c r="M126" s="13" t="n">
        <f aca="false">IF(OR(J126="",I126=""),"",J126*I126-IF(L126="",0,L126)*Resumen!$B$8/10000)</f>
        <v>0</v>
      </c>
      <c r="N126" s="13" t="n">
        <f aca="false">IF(OR(J126="",D126=""),"",J126*D126-IF(L126="",0,L126)*Resumen!$B$8/10000)</f>
        <v>0</v>
      </c>
      <c r="O126" s="13" t="n">
        <f aca="false">IF(M126="","",IF(COUNT(O$2:O125)=0,M126,SUM(M$2:M126)))</f>
        <v>0</v>
      </c>
      <c r="P126" s="13" t="n">
        <f aca="false">IF(O126="","",MAX(O$2:O126))</f>
        <v>0</v>
      </c>
      <c r="Q126" s="13" t="n">
        <f aca="false">IF(O126="","",O126-P126)</f>
        <v>0</v>
      </c>
      <c r="R126" s="13" t="n">
        <f aca="false">IF(COUNT(I127:I127)&lt;1,"",SUM(I127:I127))</f>
        <v>0.00612710398784894</v>
      </c>
      <c r="S126" s="13" t="n">
        <f aca="false">IF(COUNT(I127:I129)&lt;3,"",SUM(I127:I129))</f>
        <v>0.0325316890454336</v>
      </c>
      <c r="T126" s="13" t="n">
        <f aca="false">IF(COUNT(I127:I132)&lt;6,"",SUM(I127:I132))</f>
        <v>0.0475961320661058</v>
      </c>
      <c r="U126" s="13" t="n">
        <f aca="false">IF(COUNT(I127:I138)&lt;12,"",SUM(I127:I138))</f>
        <v>-0.127930891250238</v>
      </c>
      <c r="V126" s="13" t="n">
        <f aca="false">IF(N126="","",SUM(N$2:N126))</f>
        <v>0</v>
      </c>
      <c r="W126" s="13" t="n">
        <f aca="false">IF(V126="","",MAX(V$2:V126))</f>
        <v>0</v>
      </c>
      <c r="X126" s="13" t="n">
        <f aca="false">IF(V126="","",V126-W126)</f>
        <v>0</v>
      </c>
      <c r="Y126" s="13" t="n">
        <f aca="false">IF(COUNT(D127:D127)&lt;1,"",SUM(D127:D127))</f>
        <v>0.0112327202980737</v>
      </c>
      <c r="Z126" s="13" t="n">
        <f aca="false">IF(COUNT(D127:D129)&lt;3,"",SUM(D127:D129))</f>
        <v>0.0144687808974907</v>
      </c>
      <c r="AA126" s="13" t="n">
        <f aca="false">IF(COUNT(D127:D132)&lt;6,"",SUM(D127:D132))</f>
        <v>-0.0265408796253132</v>
      </c>
      <c r="AB126" s="13" t="n">
        <f aca="false">IF(COUNT(D127:D138)&lt;12,"",SUM(D127:D138))</f>
        <v>-0.275877397753403</v>
      </c>
    </row>
    <row r="127" customFormat="false" ht="15" hidden="false" customHeight="false" outlineLevel="0" collapsed="false">
      <c r="A127" s="8" t="n">
        <f aca="false">Base!A127</f>
        <v>41820</v>
      </c>
      <c r="B127" s="10" t="n">
        <f aca="false">IF(Base!T127="","",Base!T127)</f>
        <v>0.634285562837138</v>
      </c>
      <c r="C127" s="11" t="n">
        <f aca="false">IF(B127="","",LN(B127))</f>
        <v>-0.455256011381486</v>
      </c>
      <c r="D127" s="13" t="n">
        <f aca="false">IF(OR(C127="",C126=""),"",C127-C126)</f>
        <v>0.0112327202980737</v>
      </c>
      <c r="E127" s="12" t="n">
        <f aca="false">IF(Base!U127="","",Base!U127)</f>
        <v>111.8</v>
      </c>
      <c r="F127" s="11" t="n">
        <f aca="false">IF(E127="","",LN(E127))</f>
        <v>4.716711560721</v>
      </c>
      <c r="G127" s="13" t="n">
        <f aca="false">IF(OR(F127="",F126=""),"",F127-F126)</f>
        <v>0.0204217813654237</v>
      </c>
      <c r="H127" s="10" t="n">
        <f aca="false">IF(COUNT(D$75:D126)&lt;36,"",SLOPE(D$75:D126,G$75:G126))</f>
        <v>0.250008371888122</v>
      </c>
      <c r="I127" s="13" t="n">
        <f aca="false">IF(OR(D127="",H127="",G127=""),"",D127-H127*G127)</f>
        <v>0.00612710398784894</v>
      </c>
      <c r="J127" s="10" t="n">
        <f aca="false">IF(COUNT(Senal!V115:V126)=0,"",AVERAGE(Senal!V115:V126))</f>
        <v>0</v>
      </c>
      <c r="K127" s="10" t="n">
        <f aca="false">IF(J127="","",ABS(J127))</f>
        <v>0</v>
      </c>
      <c r="L127" s="10" t="n">
        <f aca="false">IF(OR(J127="",J126=""),"",ABS(J127-J126))</f>
        <v>0</v>
      </c>
      <c r="M127" s="13" t="n">
        <f aca="false">IF(OR(J127="",I127=""),"",J127*I127-IF(L127="",0,L127)*Resumen!$B$8/10000)</f>
        <v>0</v>
      </c>
      <c r="N127" s="13" t="n">
        <f aca="false">IF(OR(J127="",D127=""),"",J127*D127-IF(L127="",0,L127)*Resumen!$B$8/10000)</f>
        <v>0</v>
      </c>
      <c r="O127" s="13" t="n">
        <f aca="false">IF(M127="","",IF(COUNT(O$2:O126)=0,M127,SUM(M$2:M127)))</f>
        <v>0</v>
      </c>
      <c r="P127" s="13" t="n">
        <f aca="false">IF(O127="","",MAX(O$2:O127))</f>
        <v>0</v>
      </c>
      <c r="Q127" s="13" t="n">
        <f aca="false">IF(O127="","",O127-P127)</f>
        <v>0</v>
      </c>
      <c r="R127" s="13" t="n">
        <f aca="false">IF(COUNT(I128:I128)&lt;1,"",SUM(I128:I128))</f>
        <v>0.0382756927506821</v>
      </c>
      <c r="S127" s="13" t="n">
        <f aca="false">IF(COUNT(I128:I130)&lt;3,"",SUM(I128:I130))</f>
        <v>0.0556065447023033</v>
      </c>
      <c r="T127" s="13" t="n">
        <f aca="false">IF(COUNT(I128:I133)&lt;6,"",SUM(I128:I133))</f>
        <v>-0.0425943370416629</v>
      </c>
      <c r="U127" s="13" t="n">
        <f aca="false">IF(COUNT(I128:I139)&lt;12,"",SUM(I128:I139))</f>
        <v>-0.148574409952636</v>
      </c>
      <c r="V127" s="13" t="n">
        <f aca="false">IF(N127="","",SUM(N$2:N127))</f>
        <v>0</v>
      </c>
      <c r="W127" s="13" t="n">
        <f aca="false">IF(V127="","",MAX(V$2:V127))</f>
        <v>0</v>
      </c>
      <c r="X127" s="13" t="n">
        <f aca="false">IF(V127="","",V127-W127)</f>
        <v>0</v>
      </c>
      <c r="Y127" s="13" t="n">
        <f aca="false">IF(COUNT(D128:D128)&lt;1,"",SUM(D128:D128))</f>
        <v>0.0267028285010362</v>
      </c>
      <c r="Z127" s="13" t="n">
        <f aca="false">IF(COUNT(D128:D130)&lt;3,"",SUM(D128:D130))</f>
        <v>0.0217024811777818</v>
      </c>
      <c r="AA127" s="13" t="n">
        <f aca="false">IF(COUNT(D128:D133)&lt;6,"",SUM(D128:D133))</f>
        <v>-0.17634555752657</v>
      </c>
      <c r="AB127" s="13" t="n">
        <f aca="false">IF(COUNT(D128:D139)&lt;12,"",SUM(D128:D139))</f>
        <v>-0.308627765886281</v>
      </c>
    </row>
    <row r="128" customFormat="false" ht="15" hidden="false" customHeight="false" outlineLevel="0" collapsed="false">
      <c r="A128" s="8" t="n">
        <f aca="false">Base!A128</f>
        <v>41851</v>
      </c>
      <c r="B128" s="10" t="n">
        <f aca="false">IF(Base!T128="","",Base!T128)</f>
        <v>0.651450943595225</v>
      </c>
      <c r="C128" s="11" t="n">
        <f aca="false">IF(B128="","",LN(B128))</f>
        <v>-0.42855318288045</v>
      </c>
      <c r="D128" s="13" t="n">
        <f aca="false">IF(OR(C128="",C127=""),"",C128-C127)</f>
        <v>0.0267028285010362</v>
      </c>
      <c r="E128" s="12" t="n">
        <f aca="false">IF(Base!U128="","",Base!U128)</f>
        <v>106.77</v>
      </c>
      <c r="F128" s="11" t="n">
        <f aca="false">IF(E128="","",LN(E128))</f>
        <v>4.67067698819021</v>
      </c>
      <c r="G128" s="13" t="n">
        <f aca="false">IF(OR(F128="",F127=""),"",F128-F127)</f>
        <v>-0.0460345725307878</v>
      </c>
      <c r="H128" s="10" t="n">
        <f aca="false">IF(COUNT(D$75:D127)&lt;36,"",SLOPE(D$75:D127,G$75:G127))</f>
        <v>0.251395062741291</v>
      </c>
      <c r="I128" s="13" t="n">
        <f aca="false">IF(OR(D128="",H128="",G128=""),"",D128-H128*G128)</f>
        <v>0.0382756927506821</v>
      </c>
      <c r="J128" s="10" t="n">
        <f aca="false">IF(COUNT(Senal!V116:V127)=0,"",AVERAGE(Senal!V116:V127))</f>
        <v>0</v>
      </c>
      <c r="K128" s="10" t="n">
        <f aca="false">IF(J128="","",ABS(J128))</f>
        <v>0</v>
      </c>
      <c r="L128" s="10" t="n">
        <f aca="false">IF(OR(J128="",J127=""),"",ABS(J128-J127))</f>
        <v>0</v>
      </c>
      <c r="M128" s="13" t="n">
        <f aca="false">IF(OR(J128="",I128=""),"",J128*I128-IF(L128="",0,L128)*Resumen!$B$8/10000)</f>
        <v>0</v>
      </c>
      <c r="N128" s="13" t="n">
        <f aca="false">IF(OR(J128="",D128=""),"",J128*D128-IF(L128="",0,L128)*Resumen!$B$8/10000)</f>
        <v>0</v>
      </c>
      <c r="O128" s="13" t="n">
        <f aca="false">IF(M128="","",IF(COUNT(O$2:O127)=0,M128,SUM(M$2:M128)))</f>
        <v>0</v>
      </c>
      <c r="P128" s="13" t="n">
        <f aca="false">IF(O128="","",MAX(O$2:O128))</f>
        <v>0</v>
      </c>
      <c r="Q128" s="13" t="n">
        <f aca="false">IF(O128="","",O128-P128)</f>
        <v>0</v>
      </c>
      <c r="R128" s="13" t="n">
        <f aca="false">IF(COUNT(I129:I129)&lt;1,"",SUM(I129:I129))</f>
        <v>-0.0118711076930974</v>
      </c>
      <c r="S128" s="13" t="n">
        <f aca="false">IF(COUNT(I129:I131)&lt;3,"",SUM(I129:I131))</f>
        <v>0.00318094124828083</v>
      </c>
      <c r="T128" s="13" t="n">
        <f aca="false">IF(COUNT(I129:I134)&lt;6,"",SUM(I129:I134))</f>
        <v>-0.00782462889205657</v>
      </c>
      <c r="U128" s="13" t="n">
        <f aca="false">IF(COUNT(I129:I140)&lt;12,"",SUM(I129:I140))</f>
        <v>-0.215768723457787</v>
      </c>
      <c r="V128" s="13" t="n">
        <f aca="false">IF(N128="","",SUM(N$2:N128))</f>
        <v>0</v>
      </c>
      <c r="W128" s="13" t="n">
        <f aca="false">IF(V128="","",MAX(V$2:V128))</f>
        <v>0</v>
      </c>
      <c r="X128" s="13" t="n">
        <f aca="false">IF(V128="","",V128-W128)</f>
        <v>0</v>
      </c>
      <c r="Y128" s="13" t="n">
        <f aca="false">IF(COUNT(D129:D129)&lt;1,"",SUM(D129:D129))</f>
        <v>-0.0234667679016192</v>
      </c>
      <c r="Z128" s="13" t="n">
        <f aca="false">IF(COUNT(D129:D131)&lt;3,"",SUM(D129:D131))</f>
        <v>-0.0425700562673633</v>
      </c>
      <c r="AA128" s="13" t="n">
        <f aca="false">IF(COUNT(D129:D134)&lt;6,"",SUM(D129:D134))</f>
        <v>-0.211879457528519</v>
      </c>
      <c r="AB128" s="13" t="n">
        <f aca="false">IF(COUNT(D129:D140)&lt;12,"",SUM(D129:D140))</f>
        <v>-0.378396804220977</v>
      </c>
    </row>
    <row r="129" customFormat="false" ht="15" hidden="false" customHeight="false" outlineLevel="0" collapsed="false">
      <c r="A129" s="8" t="n">
        <f aca="false">Base!A129</f>
        <v>41882</v>
      </c>
      <c r="B129" s="10" t="n">
        <f aca="false">IF(Base!T129="","",Base!T129)</f>
        <v>0.636341474088373</v>
      </c>
      <c r="C129" s="11" t="n">
        <f aca="false">IF(B129="","",LN(B129))</f>
        <v>-0.452019950782069</v>
      </c>
      <c r="D129" s="13" t="n">
        <f aca="false">IF(OR(C129="",C128=""),"",C129-C128)</f>
        <v>-0.0234667679016192</v>
      </c>
      <c r="E129" s="12" t="n">
        <f aca="false">IF(Base!U129="","",Base!U129)</f>
        <v>101.61</v>
      </c>
      <c r="F129" s="11" t="n">
        <f aca="false">IF(E129="","",LN(E129))</f>
        <v>4.62114195549779</v>
      </c>
      <c r="G129" s="13" t="n">
        <f aca="false">IF(OR(F129="",F128=""),"",F129-F128)</f>
        <v>-0.0495350326924209</v>
      </c>
      <c r="H129" s="10" t="n">
        <f aca="false">IF(COUNT(D$75:D128)&lt;36,"",SLOPE(D$75:D128,G$75:G128))</f>
        <v>0.234090088938125</v>
      </c>
      <c r="I129" s="13" t="n">
        <f aca="false">IF(OR(D129="",H129="",G129=""),"",D129-H129*G129)</f>
        <v>-0.0118711076930974</v>
      </c>
      <c r="J129" s="10" t="n">
        <f aca="false">IF(COUNT(Senal!V117:V128)=0,"",AVERAGE(Senal!V117:V128))</f>
        <v>0</v>
      </c>
      <c r="K129" s="10" t="n">
        <f aca="false">IF(J129="","",ABS(J129))</f>
        <v>0</v>
      </c>
      <c r="L129" s="10" t="n">
        <f aca="false">IF(OR(J129="",J128=""),"",ABS(J129-J128))</f>
        <v>0</v>
      </c>
      <c r="M129" s="13" t="n">
        <f aca="false">IF(OR(J129="",I129=""),"",J129*I129-IF(L129="",0,L129)*Resumen!$B$8/10000)</f>
        <v>-0</v>
      </c>
      <c r="N129" s="13" t="n">
        <f aca="false">IF(OR(J129="",D129=""),"",J129*D129-IF(L129="",0,L129)*Resumen!$B$8/10000)</f>
        <v>-0</v>
      </c>
      <c r="O129" s="13" t="n">
        <f aca="false">IF(M129="","",IF(COUNT(O$2:O128)=0,M129,SUM(M$2:M129)))</f>
        <v>0</v>
      </c>
      <c r="P129" s="13" t="n">
        <f aca="false">IF(O129="","",MAX(O$2:O129))</f>
        <v>0</v>
      </c>
      <c r="Q129" s="13" t="n">
        <f aca="false">IF(O129="","",O129-P129)</f>
        <v>0</v>
      </c>
      <c r="R129" s="13" t="n">
        <f aca="false">IF(COUNT(I130:I130)&lt;1,"",SUM(I130:I130))</f>
        <v>0.0292019596447187</v>
      </c>
      <c r="S129" s="13" t="n">
        <f aca="false">IF(COUNT(I130:I132)&lt;3,"",SUM(I130:I132))</f>
        <v>0.0150644430206722</v>
      </c>
      <c r="T129" s="13" t="n">
        <f aca="false">IF(COUNT(I130:I135)&lt;6,"",SUM(I130:I135))</f>
        <v>-0.0914980445377747</v>
      </c>
      <c r="U129" s="13" t="n">
        <f aca="false">IF(COUNT(I130:I141)&lt;12,"",SUM(I130:I141))</f>
        <v>-0.197379661788083</v>
      </c>
      <c r="V129" s="13" t="n">
        <f aca="false">IF(N129="","",SUM(N$2:N129))</f>
        <v>0</v>
      </c>
      <c r="W129" s="13" t="n">
        <f aca="false">IF(V129="","",MAX(V$2:V129))</f>
        <v>0</v>
      </c>
      <c r="X129" s="13" t="n">
        <f aca="false">IF(V129="","",V129-W129)</f>
        <v>0</v>
      </c>
      <c r="Y129" s="13" t="n">
        <f aca="false">IF(COUNT(D130:D130)&lt;1,"",SUM(D130:D130))</f>
        <v>0.0184664205783648</v>
      </c>
      <c r="Z129" s="13" t="n">
        <f aca="false">IF(COUNT(D130:D132)&lt;3,"",SUM(D130:D132))</f>
        <v>-0.0410096605228039</v>
      </c>
      <c r="AA129" s="13" t="n">
        <f aca="false">IF(COUNT(D130:D135)&lt;6,"",SUM(D130:D135))</f>
        <v>-0.237674418422084</v>
      </c>
      <c r="AB129" s="13" t="n">
        <f aca="false">IF(COUNT(D130:D141)&lt;12,"",SUM(D130:D141))</f>
        <v>-0.382416537626311</v>
      </c>
    </row>
    <row r="130" customFormat="false" ht="15" hidden="false" customHeight="false" outlineLevel="0" collapsed="false">
      <c r="A130" s="8" t="n">
        <f aca="false">Base!A130</f>
        <v>41912</v>
      </c>
      <c r="B130" s="10" t="n">
        <f aca="false">IF(Base!T130="","",Base!T130)</f>
        <v>0.648201593323571</v>
      </c>
      <c r="C130" s="11" t="n">
        <f aca="false">IF(B130="","",LN(B130))</f>
        <v>-0.433553530203704</v>
      </c>
      <c r="D130" s="13" t="n">
        <f aca="false">IF(OR(C130="",C129=""),"",C130-C129)</f>
        <v>0.0184664205783648</v>
      </c>
      <c r="E130" s="12" t="n">
        <f aca="false">IF(Base!U130="","",Base!U130)</f>
        <v>97.09</v>
      </c>
      <c r="F130" s="11" t="n">
        <f aca="false">IF(E130="","",LN(E130))</f>
        <v>4.57563838338205</v>
      </c>
      <c r="G130" s="13" t="n">
        <f aca="false">IF(OR(F130="",F129=""),"",F130-F129)</f>
        <v>-0.0455035721157362</v>
      </c>
      <c r="H130" s="10" t="n">
        <f aca="false">IF(COUNT(D$75:D129)&lt;36,"",SLOPE(D$75:D129,G$75:G129))</f>
        <v>0.235927391349596</v>
      </c>
      <c r="I130" s="13" t="n">
        <f aca="false">IF(OR(D130="",H130="",G130=""),"",D130-H130*G130)</f>
        <v>0.0292019596447187</v>
      </c>
      <c r="J130" s="10" t="n">
        <f aca="false">IF(COUNT(Senal!V118:V129)=0,"",AVERAGE(Senal!V118:V129))</f>
        <v>0</v>
      </c>
      <c r="K130" s="10" t="n">
        <f aca="false">IF(J130="","",ABS(J130))</f>
        <v>0</v>
      </c>
      <c r="L130" s="10" t="n">
        <f aca="false">IF(OR(J130="",J129=""),"",ABS(J130-J129))</f>
        <v>0</v>
      </c>
      <c r="M130" s="13" t="n">
        <f aca="false">IF(OR(J130="",I130=""),"",J130*I130-IF(L130="",0,L130)*Resumen!$B$8/10000)</f>
        <v>0</v>
      </c>
      <c r="N130" s="13" t="n">
        <f aca="false">IF(OR(J130="",D130=""),"",J130*D130-IF(L130="",0,L130)*Resumen!$B$8/10000)</f>
        <v>0</v>
      </c>
      <c r="O130" s="13" t="n">
        <f aca="false">IF(M130="","",IF(COUNT(O$2:O129)=0,M130,SUM(M$2:M130)))</f>
        <v>0</v>
      </c>
      <c r="P130" s="13" t="n">
        <f aca="false">IF(O130="","",MAX(O$2:O130))</f>
        <v>0</v>
      </c>
      <c r="Q130" s="13" t="n">
        <f aca="false">IF(O130="","",O130-P130)</f>
        <v>0</v>
      </c>
      <c r="R130" s="13" t="n">
        <f aca="false">IF(COUNT(I131:I131)&lt;1,"",SUM(I131:I131))</f>
        <v>-0.0141499107033404</v>
      </c>
      <c r="S130" s="13" t="n">
        <f aca="false">IF(COUNT(I131:I133)&lt;3,"",SUM(I131:I133))</f>
        <v>-0.0982008817439663</v>
      </c>
      <c r="T130" s="13" t="n">
        <f aca="false">IF(COUNT(I131:I136)&lt;6,"",SUM(I131:I136))</f>
        <v>-0.108702307827537</v>
      </c>
      <c r="U130" s="13" t="n">
        <f aca="false">IF(COUNT(I131:I142)&lt;12,"",SUM(I131:I142))</f>
        <v>-0.320068300418797</v>
      </c>
      <c r="V130" s="13" t="n">
        <f aca="false">IF(N130="","",SUM(N$2:N130))</f>
        <v>0</v>
      </c>
      <c r="W130" s="13" t="n">
        <f aca="false">IF(V130="","",MAX(V$2:V130))</f>
        <v>0</v>
      </c>
      <c r="X130" s="13" t="n">
        <f aca="false">IF(V130="","",V130-W130)</f>
        <v>0</v>
      </c>
      <c r="Y130" s="13" t="n">
        <f aca="false">IF(COUNT(D131:D131)&lt;1,"",SUM(D131:D131))</f>
        <v>-0.0375697089441089</v>
      </c>
      <c r="Z130" s="13" t="n">
        <f aca="false">IF(COUNT(D131:D133)&lt;3,"",SUM(D131:D133))</f>
        <v>-0.198048038704352</v>
      </c>
      <c r="AA130" s="13" t="n">
        <f aca="false">IF(COUNT(D131:D136)&lt;6,"",SUM(D131:D136))</f>
        <v>-0.251233311809545</v>
      </c>
      <c r="AB130" s="13" t="n">
        <f aca="false">IF(COUNT(D131:D142)&lt;12,"",SUM(D131:D142))</f>
        <v>-0.490484394136178</v>
      </c>
    </row>
    <row r="131" customFormat="false" ht="15" hidden="false" customHeight="false" outlineLevel="0" collapsed="false">
      <c r="A131" s="8" t="n">
        <f aca="false">Base!A131</f>
        <v>41943</v>
      </c>
      <c r="B131" s="10" t="n">
        <f aca="false">IF(Base!T131="","",Base!T131)</f>
        <v>0.624300635392028</v>
      </c>
      <c r="C131" s="11" t="n">
        <f aca="false">IF(B131="","",LN(B131))</f>
        <v>-0.471123239147813</v>
      </c>
      <c r="D131" s="13" t="n">
        <f aca="false">IF(OR(C131="",C130=""),"",C131-C130)</f>
        <v>-0.0375697089441089</v>
      </c>
      <c r="E131" s="12" t="n">
        <f aca="false">IF(Base!U131="","",Base!U131)</f>
        <v>87.43</v>
      </c>
      <c r="F131" s="11" t="n">
        <f aca="false">IF(E131="","",LN(E131))</f>
        <v>4.4708384731928</v>
      </c>
      <c r="G131" s="13" t="n">
        <f aca="false">IF(OR(F131="",F130=""),"",F131-F130)</f>
        <v>-0.104799910189255</v>
      </c>
      <c r="H131" s="10" t="n">
        <f aca="false">IF(COUNT(D$75:D130)&lt;36,"",SLOPE(D$75:D130,G$75:G130))</f>
        <v>0.223471548768272</v>
      </c>
      <c r="I131" s="13" t="n">
        <f aca="false">IF(OR(D131="",H131="",G131=""),"",D131-H131*G131)</f>
        <v>-0.0141499107033404</v>
      </c>
      <c r="J131" s="10" t="n">
        <f aca="false">IF(COUNT(Senal!V119:V130)=0,"",AVERAGE(Senal!V119:V130))</f>
        <v>0</v>
      </c>
      <c r="K131" s="10" t="n">
        <f aca="false">IF(J131="","",ABS(J131))</f>
        <v>0</v>
      </c>
      <c r="L131" s="10" t="n">
        <f aca="false">IF(OR(J131="",J130=""),"",ABS(J131-J130))</f>
        <v>0</v>
      </c>
      <c r="M131" s="13" t="n">
        <f aca="false">IF(OR(J131="",I131=""),"",J131*I131-IF(L131="",0,L131)*Resumen!$B$8/10000)</f>
        <v>-0</v>
      </c>
      <c r="N131" s="13" t="n">
        <f aca="false">IF(OR(J131="",D131=""),"",J131*D131-IF(L131="",0,L131)*Resumen!$B$8/10000)</f>
        <v>-0</v>
      </c>
      <c r="O131" s="13" t="n">
        <f aca="false">IF(M131="","",IF(COUNT(O$2:O130)=0,M131,SUM(M$2:M131)))</f>
        <v>0</v>
      </c>
      <c r="P131" s="13" t="n">
        <f aca="false">IF(O131="","",MAX(O$2:O131))</f>
        <v>0</v>
      </c>
      <c r="Q131" s="13" t="n">
        <f aca="false">IF(O131="","",O131-P131)</f>
        <v>0</v>
      </c>
      <c r="R131" s="13" t="n">
        <f aca="false">IF(COUNT(I132:I132)&lt;1,"",SUM(I132:I132))</f>
        <v>1.23940792939384E-005</v>
      </c>
      <c r="S131" s="13" t="n">
        <f aca="false">IF(COUNT(I132:I134)&lt;3,"",SUM(I132:I134))</f>
        <v>-0.0110055701403374</v>
      </c>
      <c r="T131" s="13" t="n">
        <f aca="false">IF(COUNT(I132:I137)&lt;6,"",SUM(I132:I137))</f>
        <v>-0.194595811884688</v>
      </c>
      <c r="U131" s="13" t="n">
        <f aca="false">IF(COUNT(I132:I143)&lt;12,"",SUM(I132:I143))</f>
        <v>-0.27257159470494</v>
      </c>
      <c r="V131" s="13" t="n">
        <f aca="false">IF(N131="","",SUM(N$2:N131))</f>
        <v>0</v>
      </c>
      <c r="W131" s="13" t="n">
        <f aca="false">IF(V131="","",MAX(V$2:V131))</f>
        <v>0</v>
      </c>
      <c r="X131" s="13" t="n">
        <f aca="false">IF(V131="","",V131-W131)</f>
        <v>0</v>
      </c>
      <c r="Y131" s="13" t="n">
        <f aca="false">IF(COUNT(D132:D132)&lt;1,"",SUM(D132:D132))</f>
        <v>-0.0219063721570598</v>
      </c>
      <c r="Z131" s="13" t="n">
        <f aca="false">IF(COUNT(D132:D134)&lt;3,"",SUM(D132:D134))</f>
        <v>-0.169309401261155</v>
      </c>
      <c r="AA131" s="13" t="n">
        <f aca="false">IF(COUNT(D132:D137)&lt;6,"",SUM(D132:D137))</f>
        <v>-0.302331852123947</v>
      </c>
      <c r="AB131" s="13" t="n">
        <f aca="false">IF(COUNT(D132:D143)&lt;12,"",SUM(D132:D143))</f>
        <v>-0.416874065041835</v>
      </c>
    </row>
    <row r="132" customFormat="false" ht="15" hidden="false" customHeight="false" outlineLevel="0" collapsed="false">
      <c r="A132" s="8" t="n">
        <f aca="false">Base!A132</f>
        <v>41973</v>
      </c>
      <c r="B132" s="10" t="n">
        <f aca="false">IF(Base!T132="","",Base!T132)</f>
        <v>0.61077318300718</v>
      </c>
      <c r="C132" s="11" t="n">
        <f aca="false">IF(B132="","",LN(B132))</f>
        <v>-0.493029611304873</v>
      </c>
      <c r="D132" s="13" t="n">
        <f aca="false">IF(OR(C132="",C131=""),"",C132-C131)</f>
        <v>-0.0219063721570598</v>
      </c>
      <c r="E132" s="12" t="n">
        <f aca="false">IF(Base!U132="","",Base!U132)</f>
        <v>79.44</v>
      </c>
      <c r="F132" s="11" t="n">
        <f aca="false">IF(E132="","",LN(E132))</f>
        <v>4.37500201973692</v>
      </c>
      <c r="G132" s="13" t="n">
        <f aca="false">IF(OR(F132="",F131=""),"",F132-F131)</f>
        <v>-0.095836453455882</v>
      </c>
      <c r="H132" s="10" t="n">
        <f aca="false">IF(COUNT(D$75:D131)&lt;36,"",SLOPE(D$75:D131,G$75:G131))</f>
        <v>0.22871011442889</v>
      </c>
      <c r="I132" s="13" t="n">
        <f aca="false">IF(OR(D132="",H132="",G132=""),"",D132-H132*G132)</f>
        <v>1.23940792939384E-005</v>
      </c>
      <c r="J132" s="10" t="n">
        <f aca="false">IF(COUNT(Senal!V120:V131)=0,"",AVERAGE(Senal!V120:V131))</f>
        <v>0</v>
      </c>
      <c r="K132" s="10" t="n">
        <f aca="false">IF(J132="","",ABS(J132))</f>
        <v>0</v>
      </c>
      <c r="L132" s="10" t="n">
        <f aca="false">IF(OR(J132="",J131=""),"",ABS(J132-J131))</f>
        <v>0</v>
      </c>
      <c r="M132" s="13" t="n">
        <f aca="false">IF(OR(J132="",I132=""),"",J132*I132-IF(L132="",0,L132)*Resumen!$B$8/10000)</f>
        <v>0</v>
      </c>
      <c r="N132" s="13" t="n">
        <f aca="false">IF(OR(J132="",D132=""),"",J132*D132-IF(L132="",0,L132)*Resumen!$B$8/10000)</f>
        <v>-0</v>
      </c>
      <c r="O132" s="13" t="n">
        <f aca="false">IF(M132="","",IF(COUNT(O$2:O131)=0,M132,SUM(M$2:M132)))</f>
        <v>0</v>
      </c>
      <c r="P132" s="13" t="n">
        <f aca="false">IF(O132="","",MAX(O$2:O132))</f>
        <v>0</v>
      </c>
      <c r="Q132" s="13" t="n">
        <f aca="false">IF(O132="","",O132-P132)</f>
        <v>0</v>
      </c>
      <c r="R132" s="13" t="n">
        <f aca="false">IF(COUNT(I133:I133)&lt;1,"",SUM(I133:I133))</f>
        <v>-0.0840633651199198</v>
      </c>
      <c r="S132" s="13" t="n">
        <f aca="false">IF(COUNT(I133:I135)&lt;3,"",SUM(I133:I135))</f>
        <v>-0.106562487558447</v>
      </c>
      <c r="T132" s="13" t="n">
        <f aca="false">IF(COUNT(I133:I138)&lt;6,"",SUM(I133:I138))</f>
        <v>-0.175527023316344</v>
      </c>
      <c r="U132" s="13" t="n">
        <f aca="false">IF(COUNT(I133:I144)&lt;12,"",SUM(I133:I144))</f>
        <v>-0.33939398376356</v>
      </c>
      <c r="V132" s="13" t="n">
        <f aca="false">IF(N132="","",SUM(N$2:N132))</f>
        <v>0</v>
      </c>
      <c r="W132" s="13" t="n">
        <f aca="false">IF(V132="","",MAX(V$2:V132))</f>
        <v>0</v>
      </c>
      <c r="X132" s="13" t="n">
        <f aca="false">IF(V132="","",V132-W132)</f>
        <v>0</v>
      </c>
      <c r="Y132" s="13" t="n">
        <f aca="false">IF(COUNT(D133:D133)&lt;1,"",SUM(D133:D133))</f>
        <v>-0.138571957603183</v>
      </c>
      <c r="Z132" s="13" t="n">
        <f aca="false">IF(COUNT(D133:D135)&lt;3,"",SUM(D133:D135))</f>
        <v>-0.19666475789928</v>
      </c>
      <c r="AA132" s="13" t="n">
        <f aca="false">IF(COUNT(D133:D138)&lt;6,"",SUM(D133:D138))</f>
        <v>-0.24933651812809</v>
      </c>
      <c r="AB132" s="13" t="n">
        <f aca="false">IF(COUNT(D133:D144)&lt;12,"",SUM(D133:D144))</f>
        <v>-0.476358910777095</v>
      </c>
    </row>
    <row r="133" customFormat="false" ht="15" hidden="false" customHeight="false" outlineLevel="0" collapsed="false">
      <c r="A133" s="8" t="n">
        <f aca="false">Base!A133</f>
        <v>42004</v>
      </c>
      <c r="B133" s="10" t="n">
        <f aca="false">IF(Base!T133="","",Base!T133)</f>
        <v>0.531739501228313</v>
      </c>
      <c r="C133" s="11" t="n">
        <f aca="false">IF(B133="","",LN(B133))</f>
        <v>-0.631601568908056</v>
      </c>
      <c r="D133" s="13" t="n">
        <f aca="false">IF(OR(C133="",C132=""),"",C133-C132)</f>
        <v>-0.138571957603183</v>
      </c>
      <c r="E133" s="12" t="n">
        <f aca="false">IF(Base!U133="","",Base!U133)</f>
        <v>62.34</v>
      </c>
      <c r="F133" s="11" t="n">
        <f aca="false">IF(E133="","",LN(E133))</f>
        <v>4.13260327433919</v>
      </c>
      <c r="G133" s="13" t="n">
        <f aca="false">IF(OR(F133="",F132=""),"",F133-F132)</f>
        <v>-0.242398745397726</v>
      </c>
      <c r="H133" s="10" t="n">
        <f aca="false">IF(COUNT(D$75:D132)&lt;36,"",SLOPE(D$75:D132,G$75:G132))</f>
        <v>0.22487159491616</v>
      </c>
      <c r="I133" s="13" t="n">
        <f aca="false">IF(OR(D133="",H133="",G133=""),"",D133-H133*G133)</f>
        <v>-0.0840633651199198</v>
      </c>
      <c r="J133" s="10" t="n">
        <f aca="false">IF(COUNT(Senal!V121:V132)=0,"",AVERAGE(Senal!V121:V132))</f>
        <v>0</v>
      </c>
      <c r="K133" s="10" t="n">
        <f aca="false">IF(J133="","",ABS(J133))</f>
        <v>0</v>
      </c>
      <c r="L133" s="10" t="n">
        <f aca="false">IF(OR(J133="",J132=""),"",ABS(J133-J132))</f>
        <v>0</v>
      </c>
      <c r="M133" s="13" t="n">
        <f aca="false">IF(OR(J133="",I133=""),"",J133*I133-IF(L133="",0,L133)*Resumen!$B$8/10000)</f>
        <v>-0</v>
      </c>
      <c r="N133" s="13" t="n">
        <f aca="false">IF(OR(J133="",D133=""),"",J133*D133-IF(L133="",0,L133)*Resumen!$B$8/10000)</f>
        <v>-0</v>
      </c>
      <c r="O133" s="13" t="n">
        <f aca="false">IF(M133="","",IF(COUNT(O$2:O132)=0,M133,SUM(M$2:M133)))</f>
        <v>0</v>
      </c>
      <c r="P133" s="13" t="n">
        <f aca="false">IF(O133="","",MAX(O$2:O133))</f>
        <v>0</v>
      </c>
      <c r="Q133" s="13" t="n">
        <f aca="false">IF(O133="","",O133-P133)</f>
        <v>0</v>
      </c>
      <c r="R133" s="13" t="n">
        <f aca="false">IF(COUNT(I134:I134)&lt;1,"",SUM(I134:I134))</f>
        <v>0.0730454009002884</v>
      </c>
      <c r="S133" s="13" t="n">
        <f aca="false">IF(COUNT(I134:I136)&lt;3,"",SUM(I134:I136))</f>
        <v>-0.010501426083571</v>
      </c>
      <c r="T133" s="13" t="n">
        <f aca="false">IF(COUNT(I134:I139)&lt;6,"",SUM(I134:I139))</f>
        <v>-0.105980072910973</v>
      </c>
      <c r="U133" s="13" t="n">
        <f aca="false">IF(COUNT(I134:I145)&lt;12,"",SUM(I134:I145))</f>
        <v>-0.28737271863355</v>
      </c>
      <c r="V133" s="13" t="n">
        <f aca="false">IF(N133="","",SUM(N$2:N133))</f>
        <v>0</v>
      </c>
      <c r="W133" s="13" t="n">
        <f aca="false">IF(V133="","",MAX(V$2:V133))</f>
        <v>0</v>
      </c>
      <c r="X133" s="13" t="n">
        <f aca="false">IF(V133="","",V133-W133)</f>
        <v>0</v>
      </c>
      <c r="Y133" s="13" t="n">
        <f aca="false">IF(COUNT(D134:D134)&lt;1,"",SUM(D134:D134))</f>
        <v>-0.00883107150091267</v>
      </c>
      <c r="Z133" s="13" t="n">
        <f aca="false">IF(COUNT(D134:D136)&lt;3,"",SUM(D134:D136))</f>
        <v>-0.0531852731051939</v>
      </c>
      <c r="AA133" s="13" t="n">
        <f aca="false">IF(COUNT(D134:D139)&lt;6,"",SUM(D134:D139))</f>
        <v>-0.132282208359711</v>
      </c>
      <c r="AB133" s="13" t="n">
        <f aca="false">IF(COUNT(D134:D145)&lt;12,"",SUM(D134:D145))</f>
        <v>-0.396370117485957</v>
      </c>
    </row>
    <row r="134" customFormat="false" ht="15" hidden="false" customHeight="false" outlineLevel="0" collapsed="false">
      <c r="A134" s="8" t="n">
        <f aca="false">Base!A134</f>
        <v>42035</v>
      </c>
      <c r="B134" s="10" t="n">
        <f aca="false">IF(Base!T134="","",Base!T134)</f>
        <v>0.527064345374647</v>
      </c>
      <c r="C134" s="11" t="n">
        <f aca="false">IF(B134="","",LN(B134))</f>
        <v>-0.640432640408968</v>
      </c>
      <c r="D134" s="13" t="n">
        <f aca="false">IF(OR(C134="",C133=""),"",C134-C133)</f>
        <v>-0.00883107150091267</v>
      </c>
      <c r="E134" s="12" t="n">
        <f aca="false">IF(Base!U134="","",Base!U134)</f>
        <v>47.76</v>
      </c>
      <c r="F134" s="11" t="n">
        <f aca="false">IF(E134="","",LN(E134))</f>
        <v>3.86618846908435</v>
      </c>
      <c r="G134" s="13" t="n">
        <f aca="false">IF(OR(F134="",F133=""),"",F134-F133)</f>
        <v>-0.266414805254844</v>
      </c>
      <c r="H134" s="10" t="n">
        <f aca="false">IF(COUNT(D$75:D133)&lt;36,"",SLOPE(D$75:D133,G$75:G133))</f>
        <v>0.307327035833765</v>
      </c>
      <c r="I134" s="13" t="n">
        <f aca="false">IF(OR(D134="",H134="",G134=""),"",D134-H134*G134)</f>
        <v>0.0730454009002884</v>
      </c>
      <c r="J134" s="10" t="n">
        <f aca="false">IF(COUNT(Senal!V122:V133)=0,"",AVERAGE(Senal!V122:V133))</f>
        <v>0</v>
      </c>
      <c r="K134" s="10" t="n">
        <f aca="false">IF(J134="","",ABS(J134))</f>
        <v>0</v>
      </c>
      <c r="L134" s="10" t="n">
        <f aca="false">IF(OR(J134="",J133=""),"",ABS(J134-J133))</f>
        <v>0</v>
      </c>
      <c r="M134" s="13" t="n">
        <f aca="false">IF(OR(J134="",I134=""),"",J134*I134-IF(L134="",0,L134)*Resumen!$B$8/10000)</f>
        <v>0</v>
      </c>
      <c r="N134" s="13" t="n">
        <f aca="false">IF(OR(J134="",D134=""),"",J134*D134-IF(L134="",0,L134)*Resumen!$B$8/10000)</f>
        <v>-0</v>
      </c>
      <c r="O134" s="13" t="n">
        <f aca="false">IF(M134="","",IF(COUNT(O$2:O133)=0,M134,SUM(M$2:M134)))</f>
        <v>0</v>
      </c>
      <c r="P134" s="13" t="n">
        <f aca="false">IF(O134="","",MAX(O$2:O134))</f>
        <v>0</v>
      </c>
      <c r="Q134" s="13" t="n">
        <f aca="false">IF(O134="","",O134-P134)</f>
        <v>0</v>
      </c>
      <c r="R134" s="13" t="n">
        <f aca="false">IF(COUNT(I135:I135)&lt;1,"",SUM(I135:I135))</f>
        <v>-0.0955445233388156</v>
      </c>
      <c r="S134" s="13" t="n">
        <f aca="false">IF(COUNT(I135:I137)&lt;3,"",SUM(I135:I137))</f>
        <v>-0.183590241744351</v>
      </c>
      <c r="T134" s="13" t="n">
        <f aca="false">IF(COUNT(I135:I140)&lt;6,"",SUM(I135:I140))</f>
        <v>-0.207944094565731</v>
      </c>
      <c r="U134" s="13" t="n">
        <f aca="false">IF(COUNT(I135:I146)&lt;12,"",SUM(I135:I146))</f>
        <v>-0.243587036363737</v>
      </c>
      <c r="V134" s="13" t="n">
        <f aca="false">IF(N134="","",SUM(N$2:N134))</f>
        <v>0</v>
      </c>
      <c r="W134" s="13" t="n">
        <f aca="false">IF(V134="","",MAX(V$2:V134))</f>
        <v>0</v>
      </c>
      <c r="X134" s="13" t="n">
        <f aca="false">IF(V134="","",V134-W134)</f>
        <v>0</v>
      </c>
      <c r="Y134" s="13" t="n">
        <f aca="false">IF(COUNT(D135:D135)&lt;1,"",SUM(D135:D135))</f>
        <v>-0.0492617287951844</v>
      </c>
      <c r="Z134" s="13" t="n">
        <f aca="false">IF(COUNT(D135:D137)&lt;3,"",SUM(D135:D137))</f>
        <v>-0.133022450862792</v>
      </c>
      <c r="AA134" s="13" t="n">
        <f aca="false">IF(COUNT(D135:D140)&lt;6,"",SUM(D135:D140))</f>
        <v>-0.166517346692459</v>
      </c>
      <c r="AB134" s="13" t="n">
        <f aca="false">IF(COUNT(D135:D146)&lt;12,"",SUM(D135:D146))</f>
        <v>-0.309446255049109</v>
      </c>
    </row>
    <row r="135" customFormat="false" ht="15" hidden="false" customHeight="false" outlineLevel="0" collapsed="false">
      <c r="A135" s="8" t="n">
        <f aca="false">Base!A135</f>
        <v>42063</v>
      </c>
      <c r="B135" s="10" t="n">
        <f aca="false">IF(Base!T135="","",Base!T135)</f>
        <v>0.501729389587765</v>
      </c>
      <c r="C135" s="11" t="n">
        <f aca="false">IF(B135="","",LN(B135))</f>
        <v>-0.689694369204153</v>
      </c>
      <c r="D135" s="13" t="n">
        <f aca="false">IF(OR(C135="",C134=""),"",C135-C134)</f>
        <v>-0.0492617287951844</v>
      </c>
      <c r="E135" s="12" t="n">
        <f aca="false">IF(Base!U135="","",Base!U135)</f>
        <v>58.1</v>
      </c>
      <c r="F135" s="11" t="n">
        <f aca="false">IF(E135="","",LN(E135))</f>
        <v>4.06216566385787</v>
      </c>
      <c r="G135" s="13" t="n">
        <f aca="false">IF(OR(F135="",F134=""),"",F135-F134)</f>
        <v>0.195977194773519</v>
      </c>
      <c r="H135" s="10" t="n">
        <f aca="false">IF(COUNT(D$75:D134)&lt;36,"",SLOPE(D$75:D134,G$75:G134))</f>
        <v>0.236164185313081</v>
      </c>
      <c r="I135" s="13" t="n">
        <f aca="false">IF(OR(D135="",H135="",G135=""),"",D135-H135*G135)</f>
        <v>-0.0955445233388156</v>
      </c>
      <c r="J135" s="10" t="n">
        <f aca="false">IF(COUNT(Senal!V123:V134)=0,"",AVERAGE(Senal!V123:V134))</f>
        <v>-0.0525326378357211</v>
      </c>
      <c r="K135" s="10" t="n">
        <f aca="false">IF(J135="","",ABS(J135))</f>
        <v>0.0525326378357211</v>
      </c>
      <c r="L135" s="10" t="n">
        <f aca="false">IF(OR(J135="",J134=""),"",ABS(J135-J134))</f>
        <v>0.0525326378357211</v>
      </c>
      <c r="M135" s="13" t="n">
        <f aca="false">IF(OR(J135="",I135=""),"",J135*I135-IF(L135="",0,L135)*Resumen!$B$8/10000)</f>
        <v>0.00486160792823744</v>
      </c>
      <c r="N135" s="13" t="n">
        <f aca="false">IF(OR(J135="",D135=""),"",J135*D135-IF(L135="",0,L135)*Resumen!$B$8/10000)</f>
        <v>0.00243025064445177</v>
      </c>
      <c r="O135" s="13" t="n">
        <f aca="false">IF(M135="","",IF(COUNT(O$2:O134)=0,M135,SUM(M$2:M135)))</f>
        <v>0.00486160792823744</v>
      </c>
      <c r="P135" s="13" t="n">
        <f aca="false">IF(O135="","",MAX(O$2:O135))</f>
        <v>0.00486160792823744</v>
      </c>
      <c r="Q135" s="13" t="n">
        <f aca="false">IF(O135="","",O135-P135)</f>
        <v>0</v>
      </c>
      <c r="R135" s="13" t="n">
        <f aca="false">IF(COUNT(I136:I136)&lt;1,"",SUM(I136:I136))</f>
        <v>0.0119976963549562</v>
      </c>
      <c r="S135" s="13" t="n">
        <f aca="false">IF(COUNT(I136:I138)&lt;3,"",SUM(I136:I138))</f>
        <v>-0.068964535757897</v>
      </c>
      <c r="T135" s="13" t="n">
        <f aca="false">IF(COUNT(I136:I141)&lt;6,"",SUM(I136:I141))</f>
        <v>-0.105881617250308</v>
      </c>
      <c r="U135" s="13" t="n">
        <f aca="false">IF(COUNT(I136:I147)&lt;12,"",SUM(I136:I147))</f>
        <v>-0.0907809600300256</v>
      </c>
      <c r="V135" s="13" t="n">
        <f aca="false">IF(N135="","",SUM(N$2:N135))</f>
        <v>0.00243025064445177</v>
      </c>
      <c r="W135" s="13" t="n">
        <f aca="false">IF(V135="","",MAX(V$2:V135))</f>
        <v>0.00243025064445177</v>
      </c>
      <c r="X135" s="13" t="n">
        <f aca="false">IF(V135="","",V135-W135)</f>
        <v>0</v>
      </c>
      <c r="Y135" s="13" t="n">
        <f aca="false">IF(COUNT(D136:D136)&lt;1,"",SUM(D136:D136))</f>
        <v>0.00490752719090315</v>
      </c>
      <c r="Z135" s="13" t="n">
        <f aca="false">IF(COUNT(D136:D138)&lt;3,"",SUM(D136:D138))</f>
        <v>-0.05267176022881</v>
      </c>
      <c r="AA135" s="13" t="n">
        <f aca="false">IF(COUNT(D136:D141)&lt;6,"",SUM(D136:D141))</f>
        <v>-0.144742119204227</v>
      </c>
      <c r="AB135" s="13" t="n">
        <f aca="false">IF(COUNT(D136:D147)&lt;12,"",SUM(D136:D147))</f>
        <v>-0.19701762879189</v>
      </c>
    </row>
    <row r="136" customFormat="false" ht="15" hidden="false" customHeight="false" outlineLevel="0" collapsed="false">
      <c r="A136" s="8" t="n">
        <f aca="false">Base!A136</f>
        <v>42094</v>
      </c>
      <c r="B136" s="10" t="n">
        <f aca="false">IF(Base!T136="","",Base!T136)</f>
        <v>0.50419769188612</v>
      </c>
      <c r="C136" s="11" t="n">
        <f aca="false">IF(B136="","",LN(B136))</f>
        <v>-0.68478684201325</v>
      </c>
      <c r="D136" s="13" t="n">
        <f aca="false">IF(OR(C136="",C135=""),"",C136-C135)</f>
        <v>0.00490752719090315</v>
      </c>
      <c r="E136" s="12" t="n">
        <f aca="false">IF(Base!U136="","",Base!U136)</f>
        <v>55.89</v>
      </c>
      <c r="F136" s="11" t="n">
        <f aca="false">IF(E136="","",LN(E136))</f>
        <v>4.02338547328161</v>
      </c>
      <c r="G136" s="13" t="n">
        <f aca="false">IF(OR(F136="",F135=""),"",F136-F135)</f>
        <v>-0.0387801905762588</v>
      </c>
      <c r="H136" s="10" t="n">
        <f aca="false">IF(COUNT(D$75:D135)&lt;36,"",SLOPE(D$75:D135,G$75:G135))</f>
        <v>0.182829662740069</v>
      </c>
      <c r="I136" s="13" t="n">
        <f aca="false">IF(OR(D136="",H136="",G136=""),"",D136-H136*G136)</f>
        <v>0.0119976963549562</v>
      </c>
      <c r="J136" s="10" t="n">
        <f aca="false">IF(COUNT(Senal!V124:V135)=0,"",AVERAGE(Senal!V124:V135))</f>
        <v>-0.0833477548082023</v>
      </c>
      <c r="K136" s="10" t="n">
        <f aca="false">IF(J136="","",ABS(J136))</f>
        <v>0.0833477548082023</v>
      </c>
      <c r="L136" s="10" t="n">
        <f aca="false">IF(OR(J136="",J135=""),"",ABS(J136-J135))</f>
        <v>0.0308151169724812</v>
      </c>
      <c r="M136" s="13" t="n">
        <f aca="false">IF(OR(J136="",I136=""),"",J136*I136-IF(L136="",0,L136)*Resumen!$B$8/10000)</f>
        <v>-0.00109242640497359</v>
      </c>
      <c r="N136" s="13" t="n">
        <f aca="false">IF(OR(J136="",D136=""),"",J136*D136-IF(L136="",0,L136)*Resumen!$B$8/10000)</f>
        <v>-0.000501476723939425</v>
      </c>
      <c r="O136" s="13" t="n">
        <f aca="false">IF(M136="","",IF(COUNT(O$2:O135)=0,M136,SUM(M$2:M136)))</f>
        <v>0.00376918152326385</v>
      </c>
      <c r="P136" s="13" t="n">
        <f aca="false">IF(O136="","",MAX(O$2:O136))</f>
        <v>0.00486160792823744</v>
      </c>
      <c r="Q136" s="13" t="n">
        <f aca="false">IF(O136="","",O136-P136)</f>
        <v>-0.00109242640497359</v>
      </c>
      <c r="R136" s="13" t="n">
        <f aca="false">IF(COUNT(I137:I137)&lt;1,"",SUM(I137:I137))</f>
        <v>-0.100043414760492</v>
      </c>
      <c r="S136" s="13" t="n">
        <f aca="false">IF(COUNT(I137:I139)&lt;3,"",SUM(I137:I139))</f>
        <v>-0.0954786468274025</v>
      </c>
      <c r="T136" s="13" t="n">
        <f aca="false">IF(COUNT(I137:I142)&lt;6,"",SUM(I137:I142))</f>
        <v>-0.21136599259126</v>
      </c>
      <c r="U136" s="13" t="n">
        <f aca="false">IF(COUNT(I137:I148)&lt;12,"",SUM(I137:I148))</f>
        <v>-0.236700701985135</v>
      </c>
      <c r="V136" s="13" t="n">
        <f aca="false">IF(N136="","",SUM(N$2:N136))</f>
        <v>0.00192877392051235</v>
      </c>
      <c r="W136" s="13" t="n">
        <f aca="false">IF(V136="","",MAX(V$2:V136))</f>
        <v>0.00243025064445177</v>
      </c>
      <c r="X136" s="13" t="n">
        <f aca="false">IF(V136="","",V136-W136)</f>
        <v>-0.000501476723939425</v>
      </c>
      <c r="Y136" s="13" t="n">
        <f aca="false">IF(COUNT(D137:D137)&lt;1,"",SUM(D137:D137))</f>
        <v>-0.0886682492585108</v>
      </c>
      <c r="Z136" s="13" t="n">
        <f aca="false">IF(COUNT(D137:D139)&lt;3,"",SUM(D137:D139))</f>
        <v>-0.0790969352545174</v>
      </c>
      <c r="AA136" s="13" t="n">
        <f aca="false">IF(COUNT(D137:D142)&lt;6,"",SUM(D137:D142))</f>
        <v>-0.239251082326632</v>
      </c>
      <c r="AB136" s="13" t="n">
        <f aca="false">IF(COUNT(D137:D148)&lt;12,"",SUM(D137:D148))</f>
        <v>-0.312837124567387</v>
      </c>
    </row>
    <row r="137" customFormat="false" ht="15" hidden="false" customHeight="false" outlineLevel="0" collapsed="false">
      <c r="A137" s="8" t="n">
        <f aca="false">Base!A137</f>
        <v>42124</v>
      </c>
      <c r="B137" s="10" t="n">
        <f aca="false">IF(Base!T137="","",Base!T137)</f>
        <v>0.461416076365356</v>
      </c>
      <c r="C137" s="11" t="n">
        <f aca="false">IF(B137="","",LN(B137))</f>
        <v>-0.77345509127176</v>
      </c>
      <c r="D137" s="13" t="n">
        <f aca="false">IF(OR(C137="",C136=""),"",C137-C136)</f>
        <v>-0.0886682492585108</v>
      </c>
      <c r="E137" s="12" t="n">
        <f aca="false">IF(Base!U137="","",Base!U137)</f>
        <v>59.52</v>
      </c>
      <c r="F137" s="11" t="n">
        <f aca="false">IF(E137="","",LN(E137))</f>
        <v>4.08631239052484</v>
      </c>
      <c r="G137" s="13" t="n">
        <f aca="false">IF(OR(F137="",F136=""),"",F137-F136)</f>
        <v>0.0629269172432299</v>
      </c>
      <c r="H137" s="10" t="n">
        <f aca="false">IF(COUNT(D$75:D136)&lt;36,"",SLOPE(D$75:D136,G$75:G136))</f>
        <v>0.180767881223429</v>
      </c>
      <c r="I137" s="13" t="n">
        <f aca="false">IF(OR(D137="",H137="",G137=""),"",D137-H137*G137)</f>
        <v>-0.100043414760492</v>
      </c>
      <c r="J137" s="10" t="n">
        <f aca="false">IF(COUNT(Senal!V125:V136)=0,"",AVERAGE(Senal!V125:V136))</f>
        <v>-0.0833477548082023</v>
      </c>
      <c r="K137" s="10" t="n">
        <f aca="false">IF(J137="","",ABS(J137))</f>
        <v>0.0833477548082023</v>
      </c>
      <c r="L137" s="10" t="n">
        <f aca="false">IF(OR(J137="",J136=""),"",ABS(J137-J136))</f>
        <v>0</v>
      </c>
      <c r="M137" s="13" t="n">
        <f aca="false">IF(OR(J137="",I137=""),"",J137*I137-IF(L137="",0,L137)*Resumen!$B$8/10000)</f>
        <v>0.00833839400363273</v>
      </c>
      <c r="N137" s="13" t="n">
        <f aca="false">IF(OR(J137="",D137=""),"",J137*D137-IF(L137="",0,L137)*Resumen!$B$8/10000)</f>
        <v>0.00739029949847092</v>
      </c>
      <c r="O137" s="13" t="n">
        <f aca="false">IF(M137="","",IF(COUNT(O$2:O136)=0,M137,SUM(M$2:M137)))</f>
        <v>0.0121075755268966</v>
      </c>
      <c r="P137" s="13" t="n">
        <f aca="false">IF(O137="","",MAX(O$2:O137))</f>
        <v>0.0121075755268966</v>
      </c>
      <c r="Q137" s="13" t="n">
        <f aca="false">IF(O137="","",O137-P137)</f>
        <v>0</v>
      </c>
      <c r="R137" s="13" t="n">
        <f aca="false">IF(COUNT(I138:I138)&lt;1,"",SUM(I138:I138))</f>
        <v>0.0190811826476383</v>
      </c>
      <c r="S137" s="13" t="n">
        <f aca="false">IF(COUNT(I138:I140)&lt;3,"",SUM(I138:I140))</f>
        <v>-0.0243538528213798</v>
      </c>
      <c r="T137" s="13" t="n">
        <f aca="false">IF(COUNT(I138:I143)&lt;6,"",SUM(I138:I143))</f>
        <v>-0.0779757828202518</v>
      </c>
      <c r="U137" s="13" t="n">
        <f aca="false">IF(COUNT(I138:I149)&lt;12,"",SUM(I138:I149))</f>
        <v>-0.141846049242384</v>
      </c>
      <c r="V137" s="13" t="n">
        <f aca="false">IF(N137="","",SUM(N$2:N137))</f>
        <v>0.00931907341898327</v>
      </c>
      <c r="W137" s="13" t="n">
        <f aca="false">IF(V137="","",MAX(V$2:V137))</f>
        <v>0.00931907341898327</v>
      </c>
      <c r="X137" s="13" t="n">
        <f aca="false">IF(V137="","",V137-W137)</f>
        <v>0</v>
      </c>
      <c r="Y137" s="13" t="n">
        <f aca="false">IF(COUNT(D138:D138)&lt;1,"",SUM(D138:D138))</f>
        <v>0.0310889618387976</v>
      </c>
      <c r="Z137" s="13" t="n">
        <f aca="false">IF(COUNT(D138:D140)&lt;3,"",SUM(D138:D140))</f>
        <v>-0.0334948958296665</v>
      </c>
      <c r="AA137" s="13" t="n">
        <f aca="false">IF(COUNT(D138:D143)&lt;6,"",SUM(D138:D143))</f>
        <v>-0.114542212917888</v>
      </c>
      <c r="AB137" s="13" t="n">
        <f aca="false">IF(COUNT(D138:D149)&lt;12,"",SUM(D138:D149))</f>
        <v>-0.221895685097819</v>
      </c>
    </row>
    <row r="138" customFormat="false" ht="15" hidden="false" customHeight="false" outlineLevel="0" collapsed="false">
      <c r="A138" s="8" t="n">
        <f aca="false">Base!A138</f>
        <v>42155</v>
      </c>
      <c r="B138" s="10" t="n">
        <f aca="false">IF(Base!T138="","",Base!T138)</f>
        <v>0.475986336767351</v>
      </c>
      <c r="C138" s="11" t="n">
        <f aca="false">IF(B138="","",LN(B138))</f>
        <v>-0.742366129432963</v>
      </c>
      <c r="D138" s="13" t="n">
        <f aca="false">IF(OR(C138="",C137=""),"",C138-C137)</f>
        <v>0.0310889618387976</v>
      </c>
      <c r="E138" s="12" t="n">
        <f aca="false">IF(Base!U138="","",Base!U138)</f>
        <v>64.08</v>
      </c>
      <c r="F138" s="11" t="n">
        <f aca="false">IF(E138="","",LN(E138))</f>
        <v>4.1601323027601</v>
      </c>
      <c r="G138" s="13" t="n">
        <f aca="false">IF(OR(F138="",F137=""),"",F138-F137)</f>
        <v>0.0738199122352672</v>
      </c>
      <c r="H138" s="10" t="n">
        <f aca="false">IF(COUNT(D$75:D137)&lt;36,"",SLOPE(D$75:D137,G$75:G137))</f>
        <v>0.162663146399985</v>
      </c>
      <c r="I138" s="13" t="n">
        <f aca="false">IF(OR(D138="",H138="",G138=""),"",D138-H138*G138)</f>
        <v>0.0190811826476383</v>
      </c>
      <c r="J138" s="10" t="n">
        <f aca="false">IF(COUNT(Senal!V126:V137)=0,"",AVERAGE(Senal!V126:V137))</f>
        <v>-0.112078695856354</v>
      </c>
      <c r="K138" s="10" t="n">
        <f aca="false">IF(J138="","",ABS(J138))</f>
        <v>0.112078695856354</v>
      </c>
      <c r="L138" s="10" t="n">
        <f aca="false">IF(OR(J138="",J137=""),"",ABS(J138-J137))</f>
        <v>0.0287309410481516</v>
      </c>
      <c r="M138" s="13" t="n">
        <f aca="false">IF(OR(J138="",I138=""),"",J138*I138-IF(L138="",0,L138)*Resumen!$B$8/10000)</f>
        <v>-0.00222478688968865</v>
      </c>
      <c r="N138" s="13" t="n">
        <f aca="false">IF(OR(J138="",D138=""),"",J138*D138-IF(L138="",0,L138)*Resumen!$B$8/10000)</f>
        <v>-0.00357060312156485</v>
      </c>
      <c r="O138" s="13" t="n">
        <f aca="false">IF(M138="","",IF(COUNT(O$2:O137)=0,M138,SUM(M$2:M138)))</f>
        <v>0.00988278863720793</v>
      </c>
      <c r="P138" s="13" t="n">
        <f aca="false">IF(O138="","",MAX(O$2:O138))</f>
        <v>0.0121075755268966</v>
      </c>
      <c r="Q138" s="13" t="n">
        <f aca="false">IF(O138="","",O138-P138)</f>
        <v>-0.00222478688968865</v>
      </c>
      <c r="R138" s="13" t="n">
        <f aca="false">IF(COUNT(I139:I139)&lt;1,"",SUM(I139:I139))</f>
        <v>-0.0145164147145493</v>
      </c>
      <c r="S138" s="13" t="n">
        <f aca="false">IF(COUNT(I139:I141)&lt;3,"",SUM(I139:I141))</f>
        <v>-0.0369170814924109</v>
      </c>
      <c r="T138" s="13" t="n">
        <f aca="false">IF(COUNT(I139:I144)&lt;6,"",SUM(I139:I144))</f>
        <v>-0.163866960447216</v>
      </c>
      <c r="U138" s="13" t="n">
        <f aca="false">IF(COUNT(I139:I150)&lt;12,"",SUM(I139:I150))</f>
        <v>-0.0583888994327341</v>
      </c>
      <c r="V138" s="13" t="n">
        <f aca="false">IF(N138="","",SUM(N$2:N138))</f>
        <v>0.00574847029741843</v>
      </c>
      <c r="W138" s="13" t="n">
        <f aca="false">IF(V138="","",MAX(V$2:V138))</f>
        <v>0.00931907341898327</v>
      </c>
      <c r="X138" s="13" t="n">
        <f aca="false">IF(V138="","",V138-W138)</f>
        <v>-0.00357060312156485</v>
      </c>
      <c r="Y138" s="13" t="n">
        <f aca="false">IF(COUNT(D139:D139)&lt;1,"",SUM(D139:D139))</f>
        <v>-0.0215176478348043</v>
      </c>
      <c r="Z138" s="13" t="n">
        <f aca="false">IF(COUNT(D139:D141)&lt;3,"",SUM(D139:D141))</f>
        <v>-0.0920703589754173</v>
      </c>
      <c r="AA138" s="13" t="n">
        <f aca="false">IF(COUNT(D139:D144)&lt;6,"",SUM(D139:D144))</f>
        <v>-0.227022392649005</v>
      </c>
      <c r="AB138" s="13" t="n">
        <f aca="false">IF(COUNT(D139:D150)&lt;12,"",SUM(D139:D150))</f>
        <v>-0.139994787168761</v>
      </c>
    </row>
    <row r="139" customFormat="false" ht="15" hidden="false" customHeight="false" outlineLevel="0" collapsed="false">
      <c r="A139" s="8" t="n">
        <f aca="false">Base!A139</f>
        <v>42185</v>
      </c>
      <c r="B139" s="10" t="n">
        <f aca="false">IF(Base!T139="","",Base!T139)</f>
        <v>0.465853637286185</v>
      </c>
      <c r="C139" s="11" t="n">
        <f aca="false">IF(B139="","",LN(B139))</f>
        <v>-0.763883777267767</v>
      </c>
      <c r="D139" s="13" t="n">
        <f aca="false">IF(OR(C139="",C138=""),"",C139-C138)</f>
        <v>-0.0215176478348043</v>
      </c>
      <c r="E139" s="12" t="n">
        <f aca="false">IF(Base!U139="","",Base!U139)</f>
        <v>61.48</v>
      </c>
      <c r="F139" s="11" t="n">
        <f aca="false">IF(E139="","",LN(E139))</f>
        <v>4.1187119186704</v>
      </c>
      <c r="G139" s="13" t="n">
        <f aca="false">IF(OR(F139="",F138=""),"",F139-F138)</f>
        <v>-0.0414203840897089</v>
      </c>
      <c r="H139" s="10" t="n">
        <f aca="false">IF(COUNT(D$75:D138)&lt;36,"",SLOPE(D$75:D138,G$75:G138))</f>
        <v>0.169028686578367</v>
      </c>
      <c r="I139" s="13" t="n">
        <f aca="false">IF(OR(D139="",H139="",G139=""),"",D139-H139*G139)</f>
        <v>-0.0145164147145493</v>
      </c>
      <c r="J139" s="10" t="n">
        <f aca="false">IF(COUNT(Senal!V127:V138)=0,"",AVERAGE(Senal!V127:V138))</f>
        <v>-0.153603989752771</v>
      </c>
      <c r="K139" s="10" t="n">
        <f aca="false">IF(J139="","",ABS(J139))</f>
        <v>0.153603989752771</v>
      </c>
      <c r="L139" s="10" t="n">
        <f aca="false">IF(OR(J139="",J138=""),"",ABS(J139-J138))</f>
        <v>0.0415252938964166</v>
      </c>
      <c r="M139" s="13" t="n">
        <f aca="false">IF(OR(J139="",I139=""),"",J139*I139-IF(L139="",0,L139)*Resumen!$B$8/10000)</f>
        <v>0.00210520333537134</v>
      </c>
      <c r="N139" s="13" t="n">
        <f aca="false">IF(OR(J139="",D139=""),"",J139*D139-IF(L139="",0,L139)*Resumen!$B$8/10000)</f>
        <v>0.00318062067583175</v>
      </c>
      <c r="O139" s="13" t="n">
        <f aca="false">IF(M139="","",IF(COUNT(O$2:O138)=0,M139,SUM(M$2:M139)))</f>
        <v>0.0119879919725793</v>
      </c>
      <c r="P139" s="13" t="n">
        <f aca="false">IF(O139="","",MAX(O$2:O139))</f>
        <v>0.0121075755268966</v>
      </c>
      <c r="Q139" s="13" t="n">
        <f aca="false">IF(O139="","",O139-P139)</f>
        <v>-0.000119583554317303</v>
      </c>
      <c r="R139" s="13" t="n">
        <f aca="false">IF(COUNT(I140:I140)&lt;1,"",SUM(I140:I140))</f>
        <v>-0.0289186207544688</v>
      </c>
      <c r="S139" s="13" t="n">
        <f aca="false">IF(COUNT(I140:I142)&lt;3,"",SUM(I140:I142))</f>
        <v>-0.115887345763857</v>
      </c>
      <c r="T139" s="13" t="n">
        <f aca="false">IF(COUNT(I140:I145)&lt;6,"",SUM(I140:I145))</f>
        <v>-0.181392645722577</v>
      </c>
      <c r="U139" s="13" t="n">
        <f aca="false">IF(COUNT(I140:I151)&lt;12,"",SUM(I140:I151))</f>
        <v>-0.131251153542316</v>
      </c>
      <c r="V139" s="13" t="n">
        <f aca="false">IF(N139="","",SUM(N$2:N139))</f>
        <v>0.00892909097325017</v>
      </c>
      <c r="W139" s="13" t="n">
        <f aca="false">IF(V139="","",MAX(V$2:V139))</f>
        <v>0.00931907341898327</v>
      </c>
      <c r="X139" s="13" t="n">
        <f aca="false">IF(V139="","",V139-W139)</f>
        <v>-0.000389982445733099</v>
      </c>
      <c r="Y139" s="13" t="n">
        <f aca="false">IF(COUNT(D140:D140)&lt;1,"",SUM(D140:D140))</f>
        <v>-0.0430662098336598</v>
      </c>
      <c r="Z139" s="13" t="n">
        <f aca="false">IF(COUNT(D140:D142)&lt;3,"",SUM(D140:D142))</f>
        <v>-0.160154147072115</v>
      </c>
      <c r="AA139" s="13" t="n">
        <f aca="false">IF(COUNT(D140:D145)&lt;6,"",SUM(D140:D145))</f>
        <v>-0.264087909126245</v>
      </c>
      <c r="AB139" s="13" t="n">
        <f aca="false">IF(COUNT(D140:D151)&lt;12,"",SUM(D140:D151))</f>
        <v>-0.202159010967156</v>
      </c>
    </row>
    <row r="140" customFormat="false" ht="15" hidden="false" customHeight="false" outlineLevel="0" collapsed="false">
      <c r="A140" s="8" t="n">
        <f aca="false">Base!A140</f>
        <v>42216</v>
      </c>
      <c r="B140" s="10" t="n">
        <f aca="false">IF(Base!T140="","",Base!T140)</f>
        <v>0.446216960331801</v>
      </c>
      <c r="C140" s="11" t="n">
        <f aca="false">IF(B140="","",LN(B140))</f>
        <v>-0.806949987101427</v>
      </c>
      <c r="D140" s="13" t="n">
        <f aca="false">IF(OR(C140="",C139=""),"",C140-C139)</f>
        <v>-0.0430662098336598</v>
      </c>
      <c r="E140" s="12" t="n">
        <f aca="false">IF(Base!U140="","",Base!U140)</f>
        <v>56.56</v>
      </c>
      <c r="F140" s="11" t="n">
        <f aca="false">IF(E140="","",LN(E140))</f>
        <v>4.03530202158832</v>
      </c>
      <c r="G140" s="13" t="n">
        <f aca="false">IF(OR(F140="",F139=""),"",F140-F139)</f>
        <v>-0.0834098970820776</v>
      </c>
      <c r="H140" s="10" t="n">
        <f aca="false">IF(COUNT(D$75:D139)&lt;36,"",SLOPE(D$75:D139,G$75:G139))</f>
        <v>0.16961523241384</v>
      </c>
      <c r="I140" s="13" t="n">
        <f aca="false">IF(OR(D140="",H140="",G140=""),"",D140-H140*G140)</f>
        <v>-0.0289186207544688</v>
      </c>
      <c r="J140" s="10" t="n">
        <f aca="false">IF(COUNT(Senal!V128:V139)=0,"",AVERAGE(Senal!V128:V139))</f>
        <v>-0.200507765678741</v>
      </c>
      <c r="K140" s="10" t="n">
        <f aca="false">IF(J140="","",ABS(J140))</f>
        <v>0.200507765678741</v>
      </c>
      <c r="L140" s="10" t="n">
        <f aca="false">IF(OR(J140="",J139=""),"",ABS(J140-J139))</f>
        <v>0.0469037759259702</v>
      </c>
      <c r="M140" s="13" t="n">
        <f aca="false">IF(OR(J140="",I140=""),"",J140*I140-IF(L140="",0,L140)*Resumen!$B$8/10000)</f>
        <v>0.00565769670621148</v>
      </c>
      <c r="N140" s="13" t="n">
        <f aca="false">IF(OR(J140="",D140=""),"",J140*D140-IF(L140="",0,L140)*Resumen!$B$8/10000)</f>
        <v>0.00849439818222103</v>
      </c>
      <c r="O140" s="13" t="n">
        <f aca="false">IF(M140="","",IF(COUNT(O$2:O139)=0,M140,SUM(M$2:M140)))</f>
        <v>0.0176456886787908</v>
      </c>
      <c r="P140" s="13" t="n">
        <f aca="false">IF(O140="","",MAX(O$2:O140))</f>
        <v>0.0176456886787908</v>
      </c>
      <c r="Q140" s="13" t="n">
        <f aca="false">IF(O140="","",O140-P140)</f>
        <v>0</v>
      </c>
      <c r="R140" s="13" t="n">
        <f aca="false">IF(COUNT(I141:I141)&lt;1,"",SUM(I141:I141))</f>
        <v>0.00651795397660715</v>
      </c>
      <c r="S140" s="13" t="n">
        <f aca="false">IF(COUNT(I141:I143)&lt;3,"",SUM(I141:I143))</f>
        <v>-0.053621929998872</v>
      </c>
      <c r="T140" s="13" t="n">
        <f aca="false">IF(COUNT(I141:I146)&lt;6,"",SUM(I141:I146))</f>
        <v>-0.0356429417980065</v>
      </c>
      <c r="U140" s="13" t="n">
        <f aca="false">IF(COUNT(I141:I152)&lt;12,"",SUM(I141:I152))</f>
        <v>-0.219846660846042</v>
      </c>
      <c r="V140" s="13" t="n">
        <f aca="false">IF(N140="","",SUM(N$2:N140))</f>
        <v>0.0174234891554712</v>
      </c>
      <c r="W140" s="13" t="n">
        <f aca="false">IF(V140="","",MAX(V$2:V140))</f>
        <v>0.0174234891554712</v>
      </c>
      <c r="X140" s="13" t="n">
        <f aca="false">IF(V140="","",V140-W140)</f>
        <v>0</v>
      </c>
      <c r="Y140" s="13" t="n">
        <f aca="false">IF(COUNT(D141:D141)&lt;1,"",SUM(D141:D141))</f>
        <v>-0.0274865013069532</v>
      </c>
      <c r="Z140" s="13" t="n">
        <f aca="false">IF(COUNT(D141:D143)&lt;3,"",SUM(D141:D143))</f>
        <v>-0.0810473170882214</v>
      </c>
      <c r="AA140" s="13" t="n">
        <f aca="false">IF(COUNT(D141:D146)&lt;6,"",SUM(D141:D146))</f>
        <v>-0.142928908356651</v>
      </c>
      <c r="AB140" s="13" t="n">
        <f aca="false">IF(COUNT(D141:D152)&lt;12,"",SUM(D141:D152))</f>
        <v>-0.284443162149295</v>
      </c>
    </row>
    <row r="141" customFormat="false" ht="15" hidden="false" customHeight="false" outlineLevel="0" collapsed="false">
      <c r="A141" s="8" t="n">
        <f aca="false">Base!A141</f>
        <v>42247</v>
      </c>
      <c r="B141" s="10" t="n">
        <f aca="false">IF(Base!T141="","",Base!T141)</f>
        <v>0.434119043632932</v>
      </c>
      <c r="C141" s="11" t="n">
        <f aca="false">IF(B141="","",LN(B141))</f>
        <v>-0.83443648840838</v>
      </c>
      <c r="D141" s="13" t="n">
        <f aca="false">IF(OR(C141="",C140=""),"",C141-C140)</f>
        <v>-0.0274865013069532</v>
      </c>
      <c r="E141" s="12" t="n">
        <f aca="false">IF(Base!U141="","",Base!U141)</f>
        <v>46.52</v>
      </c>
      <c r="F141" s="11" t="n">
        <f aca="false">IF(E141="","",LN(E141))</f>
        <v>3.83988232765046</v>
      </c>
      <c r="G141" s="13" t="n">
        <f aca="false">IF(OR(F141="",F140=""),"",F141-F140)</f>
        <v>-0.195419693937854</v>
      </c>
      <c r="H141" s="10" t="n">
        <f aca="false">IF(COUNT(D$75:D140)&lt;36,"",SLOPE(D$75:D140,G$75:G140))</f>
        <v>0.174007310104448</v>
      </c>
      <c r="I141" s="13" t="n">
        <f aca="false">IF(OR(D141="",H141="",G141=""),"",D141-H141*G141)</f>
        <v>0.00651795397660715</v>
      </c>
      <c r="J141" s="10" t="n">
        <f aca="false">IF(COUNT(Senal!V129:V140)=0,"",AVERAGE(Senal!V129:V140))</f>
        <v>-0.245491929789477</v>
      </c>
      <c r="K141" s="10" t="n">
        <f aca="false">IF(J141="","",ABS(J141))</f>
        <v>0.245491929789477</v>
      </c>
      <c r="L141" s="10" t="n">
        <f aca="false">IF(OR(J141="",J140=""),"",ABS(J141-J140))</f>
        <v>0.0449841641107358</v>
      </c>
      <c r="M141" s="13" t="n">
        <f aca="false">IF(OR(J141="",I141=""),"",J141*I141-IF(L141="",0,L141)*Resumen!$B$8/10000)</f>
        <v>-0.00173505759232849</v>
      </c>
      <c r="N141" s="13" t="n">
        <f aca="false">IF(OR(J141="",D141=""),"",J141*D141-IF(L141="",0,L141)*Resumen!$B$8/10000)</f>
        <v>0.0066127617566727</v>
      </c>
      <c r="O141" s="13" t="n">
        <f aca="false">IF(M141="","",IF(COUNT(O$2:O140)=0,M141,SUM(M$2:M141)))</f>
        <v>0.0159106310864623</v>
      </c>
      <c r="P141" s="13" t="n">
        <f aca="false">IF(O141="","",MAX(O$2:O141))</f>
        <v>0.0176456886787908</v>
      </c>
      <c r="Q141" s="13" t="n">
        <f aca="false">IF(O141="","",O141-P141)</f>
        <v>-0.00173505759232849</v>
      </c>
      <c r="R141" s="13" t="n">
        <f aca="false">IF(COUNT(I142:I142)&lt;1,"",SUM(I142:I142))</f>
        <v>-0.0934866789859956</v>
      </c>
      <c r="S141" s="13" t="n">
        <f aca="false">IF(COUNT(I142:I144)&lt;3,"",SUM(I142:I144))</f>
        <v>-0.126949878954805</v>
      </c>
      <c r="T141" s="13" t="n">
        <f aca="false">IF(COUNT(I142:I147)&lt;6,"",SUM(I142:I147))</f>
        <v>0.0151006572202824</v>
      </c>
      <c r="U141" s="13" t="n">
        <f aca="false">IF(COUNT(I142:I153)&lt;12,"",SUM(I142:I153))</f>
        <v>-0.308155016241066</v>
      </c>
      <c r="V141" s="13" t="n">
        <f aca="false">IF(N141="","",SUM(N$2:N141))</f>
        <v>0.0240362509121439</v>
      </c>
      <c r="W141" s="13" t="n">
        <f aca="false">IF(V141="","",MAX(V$2:V141))</f>
        <v>0.0240362509121439</v>
      </c>
      <c r="X141" s="13" t="n">
        <f aca="false">IF(V141="","",V141-W141)</f>
        <v>0</v>
      </c>
      <c r="Y141" s="13" t="n">
        <f aca="false">IF(COUNT(D142:D142)&lt;1,"",SUM(D142:D142))</f>
        <v>-0.0896014359315019</v>
      </c>
      <c r="Z141" s="13" t="n">
        <f aca="false">IF(COUNT(D142:D144)&lt;3,"",SUM(D142:D144))</f>
        <v>-0.134952033673588</v>
      </c>
      <c r="AA141" s="13" t="n">
        <f aca="false">IF(COUNT(D142:D147)&lt;6,"",SUM(D142:D147))</f>
        <v>-0.0522755095876628</v>
      </c>
      <c r="AB141" s="13" t="n">
        <f aca="false">IF(COUNT(D142:D153)&lt;12,"",SUM(D142:D153))</f>
        <v>-0.336321919593614</v>
      </c>
    </row>
    <row r="142" customFormat="false" ht="15" hidden="false" customHeight="false" outlineLevel="0" collapsed="false">
      <c r="A142" s="8" t="n">
        <f aca="false">Base!A142</f>
        <v>42277</v>
      </c>
      <c r="B142" s="10" t="n">
        <f aca="false">IF(Base!T142="","",Base!T142)</f>
        <v>0.396913095873296</v>
      </c>
      <c r="C142" s="11" t="n">
        <f aca="false">IF(B142="","",LN(B142))</f>
        <v>-0.924037924339882</v>
      </c>
      <c r="D142" s="13" t="n">
        <f aca="false">IF(OR(C142="",C141=""),"",C142-C141)</f>
        <v>-0.0896014359315019</v>
      </c>
      <c r="E142" s="12" t="n">
        <f aca="false">IF(Base!U142="","",Base!U142)</f>
        <v>47.62</v>
      </c>
      <c r="F142" s="11" t="n">
        <f aca="false">IF(E142="","",LN(E142))</f>
        <v>3.86325284105872</v>
      </c>
      <c r="G142" s="13" t="n">
        <f aca="false">IF(OR(F142="",F141=""),"",F142-F141)</f>
        <v>0.0233705134082527</v>
      </c>
      <c r="H142" s="10" t="n">
        <f aca="false">IF(COUNT(D$75:D141)&lt;36,"",SLOPE(D$75:D141,G$75:G141))</f>
        <v>0.166245515732729</v>
      </c>
      <c r="I142" s="13" t="n">
        <f aca="false">IF(OR(D142="",H142="",G142=""),"",D142-H142*G142)</f>
        <v>-0.0934866789859956</v>
      </c>
      <c r="J142" s="10" t="n">
        <f aca="false">IF(COUNT(Senal!V130:V141)=0,"",AVERAGE(Senal!V130:V141))</f>
        <v>-0.295584628469567</v>
      </c>
      <c r="K142" s="10" t="n">
        <f aca="false">IF(J142="","",ABS(J142))</f>
        <v>0.295584628469567</v>
      </c>
      <c r="L142" s="10" t="n">
        <f aca="false">IF(OR(J142="",J141=""),"",ABS(J142-J141))</f>
        <v>0.05009269868009</v>
      </c>
      <c r="M142" s="13" t="n">
        <f aca="false">IF(OR(J142="",I142=""),"",J142*I142-IF(L142="",0,L142)*Resumen!$B$8/10000)</f>
        <v>0.0274829471788889</v>
      </c>
      <c r="N142" s="13" t="n">
        <f aca="false">IF(OR(J142="",D142=""),"",J142*D142-IF(L142="",0,L142)*Resumen!$B$8/10000)</f>
        <v>0.0263345290541124</v>
      </c>
      <c r="O142" s="13" t="n">
        <f aca="false">IF(M142="","",IF(COUNT(O$2:O141)=0,M142,SUM(M$2:M142)))</f>
        <v>0.0433935782653511</v>
      </c>
      <c r="P142" s="13" t="n">
        <f aca="false">IF(O142="","",MAX(O$2:O142))</f>
        <v>0.0433935782653511</v>
      </c>
      <c r="Q142" s="13" t="n">
        <f aca="false">IF(O142="","",O142-P142)</f>
        <v>0</v>
      </c>
      <c r="R142" s="13" t="n">
        <f aca="false">IF(COUNT(I143:I143)&lt;1,"",SUM(I143:I143))</f>
        <v>0.0333467950105164</v>
      </c>
      <c r="S142" s="13" t="n">
        <f aca="false">IF(COUNT(I143:I145)&lt;3,"",SUM(I143:I145))</f>
        <v>-0.0655052999587194</v>
      </c>
      <c r="T142" s="13" t="n">
        <f aca="false">IF(COUNT(I143:I148)&lt;6,"",SUM(I143:I148))</f>
        <v>-0.0253347093938754</v>
      </c>
      <c r="U142" s="13" t="n">
        <f aca="false">IF(COUNT(I143:I154)&lt;12,"",SUM(I143:I154))</f>
        <v>-0.161907141557299</v>
      </c>
      <c r="V142" s="13" t="n">
        <f aca="false">IF(N142="","",SUM(N$2:N142))</f>
        <v>0.0503707799662563</v>
      </c>
      <c r="W142" s="13" t="n">
        <f aca="false">IF(V142="","",MAX(V$2:V142))</f>
        <v>0.0503707799662563</v>
      </c>
      <c r="X142" s="13" t="n">
        <f aca="false">IF(V142="","",V142-W142)</f>
        <v>0</v>
      </c>
      <c r="Y142" s="13" t="n">
        <f aca="false">IF(COUNT(D143:D143)&lt;1,"",SUM(D143:D143))</f>
        <v>0.0360406201502337</v>
      </c>
      <c r="Z142" s="13" t="n">
        <f aca="false">IF(COUNT(D143:D145)&lt;3,"",SUM(D143:D145))</f>
        <v>-0.10393376205413</v>
      </c>
      <c r="AA142" s="13" t="n">
        <f aca="false">IF(COUNT(D143:D148)&lt;6,"",SUM(D143:D148))</f>
        <v>-0.0735860422407543</v>
      </c>
      <c r="AB142" s="13" t="n">
        <f aca="false">IF(COUNT(D143:D154)&lt;12,"",SUM(D143:D154))</f>
        <v>-0.192059937329031</v>
      </c>
    </row>
    <row r="143" customFormat="false" ht="15" hidden="false" customHeight="false" outlineLevel="0" collapsed="false">
      <c r="A143" s="8" t="n">
        <f aca="false">Base!A143</f>
        <v>42308</v>
      </c>
      <c r="B143" s="10" t="n">
        <f aca="false">IF(Base!T143="","",Base!T143)</f>
        <v>0.411478995385011</v>
      </c>
      <c r="C143" s="11" t="n">
        <f aca="false">IF(B143="","",LN(B143))</f>
        <v>-0.887997304189648</v>
      </c>
      <c r="D143" s="13" t="n">
        <f aca="false">IF(OR(C143="",C142=""),"",C143-C142)</f>
        <v>0.0360406201502337</v>
      </c>
      <c r="E143" s="12" t="n">
        <f aca="false">IF(Base!U143="","",Base!U143)</f>
        <v>48.43</v>
      </c>
      <c r="F143" s="11" t="n">
        <f aca="false">IF(E143="","",LN(E143))</f>
        <v>3.88011945641514</v>
      </c>
      <c r="G143" s="13" t="n">
        <f aca="false">IF(OR(F143="",F142=""),"",F143-F142)</f>
        <v>0.0168666153564212</v>
      </c>
      <c r="H143" s="10" t="n">
        <f aca="false">IF(COUNT(D$75:D142)&lt;36,"",SLOPE(D$75:D142,G$75:G142))</f>
        <v>0.159713438813421</v>
      </c>
      <c r="I143" s="13" t="n">
        <f aca="false">IF(OR(D143="",H143="",G143=""),"",D143-H143*G143)</f>
        <v>0.0333467950105164</v>
      </c>
      <c r="J143" s="10" t="n">
        <f aca="false">IF(COUNT(Senal!V131:V142)=0,"",AVERAGE(Senal!V131:V142))</f>
        <v>-0.342497260217107</v>
      </c>
      <c r="K143" s="10" t="n">
        <f aca="false">IF(J143="","",ABS(J143))</f>
        <v>0.342497260217107</v>
      </c>
      <c r="L143" s="10" t="n">
        <f aca="false">IF(OR(J143="",J142=""),"",ABS(J143-J142))</f>
        <v>0.0469126317475403</v>
      </c>
      <c r="M143" s="13" t="n">
        <f aca="false">IF(OR(J143="",I143=""),"",J143*I143-IF(L143="",0,L143)*Resumen!$B$8/10000)</f>
        <v>-0.011561923823366</v>
      </c>
      <c r="N143" s="13" t="n">
        <f aca="false">IF(OR(J143="",D143=""),"",J143*D143-IF(L143="",0,L143)*Resumen!$B$8/10000)</f>
        <v>-0.0124845515532231</v>
      </c>
      <c r="O143" s="13" t="n">
        <f aca="false">IF(M143="","",IF(COUNT(O$2:O142)=0,M143,SUM(M$2:M143)))</f>
        <v>0.0318316544419852</v>
      </c>
      <c r="P143" s="13" t="n">
        <f aca="false">IF(O143="","",MAX(O$2:O143))</f>
        <v>0.0433935782653511</v>
      </c>
      <c r="Q143" s="13" t="n">
        <f aca="false">IF(O143="","",O143-P143)</f>
        <v>-0.011561923823366</v>
      </c>
      <c r="R143" s="13" t="n">
        <f aca="false">IF(COUNT(I144:I144)&lt;1,"",SUM(I144:I144))</f>
        <v>-0.0668099949793258</v>
      </c>
      <c r="S143" s="13" t="n">
        <f aca="false">IF(COUNT(I144:I146)&lt;3,"",SUM(I144:I146))</f>
        <v>0.0179789882008655</v>
      </c>
      <c r="T143" s="13" t="n">
        <f aca="false">IF(COUNT(I144:I149)&lt;6,"",SUM(I144:I149))</f>
        <v>-0.0638702664221322</v>
      </c>
      <c r="U143" s="13" t="n">
        <f aca="false">IF(COUNT(I144:I155)&lt;12,"",SUM(I144:I155))</f>
        <v>-0.262948594237842</v>
      </c>
      <c r="V143" s="13" t="n">
        <f aca="false">IF(N143="","",SUM(N$2:N143))</f>
        <v>0.0378862284130332</v>
      </c>
      <c r="W143" s="13" t="n">
        <f aca="false">IF(V143="","",MAX(V$2:V143))</f>
        <v>0.0503707799662563</v>
      </c>
      <c r="X143" s="13" t="n">
        <f aca="false">IF(V143="","",V143-W143)</f>
        <v>-0.0124845515532231</v>
      </c>
      <c r="Y143" s="13" t="n">
        <f aca="false">IF(COUNT(D144:D144)&lt;1,"",SUM(D144:D144))</f>
        <v>-0.0813912178923197</v>
      </c>
      <c r="Z143" s="13" t="n">
        <f aca="false">IF(COUNT(D144:D146)&lt;3,"",SUM(D144:D146))</f>
        <v>-0.0618815912684293</v>
      </c>
      <c r="AA143" s="13" t="n">
        <f aca="false">IF(COUNT(D144:D149)&lt;6,"",SUM(D144:D149))</f>
        <v>-0.107353472179931</v>
      </c>
      <c r="AB143" s="13" t="n">
        <f aca="false">IF(COUNT(D144:D155)&lt;12,"",SUM(D144:D155))</f>
        <v>-0.288244578084162</v>
      </c>
    </row>
    <row r="144" customFormat="false" ht="15" hidden="false" customHeight="false" outlineLevel="0" collapsed="false">
      <c r="A144" s="8" t="n">
        <f aca="false">Base!A144</f>
        <v>42338</v>
      </c>
      <c r="B144" s="10" t="n">
        <f aca="false">IF(Base!T144="","",Base!T144)</f>
        <v>0.379314909895315</v>
      </c>
      <c r="C144" s="11" t="n">
        <f aca="false">IF(B144="","",LN(B144))</f>
        <v>-0.969388522081968</v>
      </c>
      <c r="D144" s="13" t="n">
        <f aca="false">IF(OR(C144="",C143=""),"",C144-C143)</f>
        <v>-0.0813912178923197</v>
      </c>
      <c r="E144" s="12" t="n">
        <f aca="false">IF(Base!U144="","",Base!U144)</f>
        <v>44.27</v>
      </c>
      <c r="F144" s="11" t="n">
        <f aca="false">IF(E144="","",LN(E144))</f>
        <v>3.79030724674405</v>
      </c>
      <c r="G144" s="13" t="n">
        <f aca="false">IF(OR(F144="",F143=""),"",F144-F143)</f>
        <v>-0.0898122096710883</v>
      </c>
      <c r="H144" s="10" t="n">
        <f aca="false">IF(COUNT(D$75:D143)&lt;36,"",SLOPE(D$75:D143,G$75:G143))</f>
        <v>0.162352345704371</v>
      </c>
      <c r="I144" s="13" t="n">
        <f aca="false">IF(OR(D144="",H144="",G144=""),"",D144-H144*G144)</f>
        <v>-0.0668099949793258</v>
      </c>
      <c r="J144" s="10" t="n">
        <f aca="false">IF(COUNT(Senal!V132:V143)=0,"",AVERAGE(Senal!V132:V143))</f>
        <v>-0.396031920296195</v>
      </c>
      <c r="K144" s="10" t="n">
        <f aca="false">IF(J144="","",ABS(J144))</f>
        <v>0.396031920296195</v>
      </c>
      <c r="L144" s="10" t="n">
        <f aca="false">IF(OR(J144="",J143=""),"",ABS(J144-J143))</f>
        <v>0.0535346600790877</v>
      </c>
      <c r="M144" s="13" t="n">
        <f aca="false">IF(OR(J144="",I144=""),"",J144*I144-IF(L144="",0,L144)*Resumen!$B$8/10000)</f>
        <v>0.0262982866264042</v>
      </c>
      <c r="N144" s="13" t="n">
        <f aca="false">IF(OR(J144="",D144=""),"",J144*D144-IF(L144="",0,L144)*Resumen!$B$8/10000)</f>
        <v>0.0320729163369041</v>
      </c>
      <c r="O144" s="13" t="n">
        <f aca="false">IF(M144="","",IF(COUNT(O$2:O143)=0,M144,SUM(M$2:M144)))</f>
        <v>0.0581299410683894</v>
      </c>
      <c r="P144" s="13" t="n">
        <f aca="false">IF(O144="","",MAX(O$2:O144))</f>
        <v>0.0581299410683894</v>
      </c>
      <c r="Q144" s="13" t="n">
        <f aca="false">IF(O144="","",O144-P144)</f>
        <v>0</v>
      </c>
      <c r="R144" s="13" t="n">
        <f aca="false">IF(COUNT(I145:I145)&lt;1,"",SUM(I145:I145))</f>
        <v>-0.0320420999899101</v>
      </c>
      <c r="S144" s="13" t="n">
        <f aca="false">IF(COUNT(I145:I147)&lt;3,"",SUM(I145:I147))</f>
        <v>0.142050536175087</v>
      </c>
      <c r="T144" s="13" t="n">
        <f aca="false">IF(COUNT(I145:I150)&lt;6,"",SUM(I145:I150))</f>
        <v>0.105478061014482</v>
      </c>
      <c r="U144" s="13" t="n">
        <f aca="false">IF(COUNT(I145:I156)&lt;12,"",SUM(I145:I156))</f>
        <v>-0.156365359380454</v>
      </c>
      <c r="V144" s="13" t="n">
        <f aca="false">IF(N144="","",SUM(N$2:N144))</f>
        <v>0.0699591447499373</v>
      </c>
      <c r="W144" s="13" t="n">
        <f aca="false">IF(V144="","",MAX(V$2:V144))</f>
        <v>0.0699591447499373</v>
      </c>
      <c r="X144" s="13" t="n">
        <f aca="false">IF(V144="","",V144-W144)</f>
        <v>0</v>
      </c>
      <c r="Y144" s="13" t="n">
        <f aca="false">IF(COUNT(D145:D145)&lt;1,"",SUM(D145:D145))</f>
        <v>-0.0585831643120444</v>
      </c>
      <c r="Z144" s="13" t="n">
        <f aca="false">IF(COUNT(D145:D147)&lt;3,"",SUM(D145:D147))</f>
        <v>0.0826765240859252</v>
      </c>
      <c r="AA144" s="13" t="n">
        <f aca="false">IF(COUNT(D145:D150)&lt;6,"",SUM(D145:D150))</f>
        <v>0.087027605480244</v>
      </c>
      <c r="AB144" s="13" t="n">
        <f aca="false">IF(COUNT(D145:D156)&lt;12,"",SUM(D145:D156))</f>
        <v>-0.17886977821595</v>
      </c>
    </row>
    <row r="145" customFormat="false" ht="15" hidden="false" customHeight="false" outlineLevel="0" collapsed="false">
      <c r="A145" s="8" t="n">
        <f aca="false">Base!A145</f>
        <v>42369</v>
      </c>
      <c r="B145" s="10" t="n">
        <f aca="false">IF(Base!T145="","",Base!T145)</f>
        <v>0.357731817514796</v>
      </c>
      <c r="C145" s="11" t="n">
        <f aca="false">IF(B145="","",LN(B145))</f>
        <v>-1.02797168639401</v>
      </c>
      <c r="D145" s="13" t="n">
        <f aca="false">IF(OR(C145="",C144=""),"",C145-C144)</f>
        <v>-0.0585831643120444</v>
      </c>
      <c r="E145" s="12" t="n">
        <f aca="false">IF(Base!U145="","",Base!U145)</f>
        <v>38.01</v>
      </c>
      <c r="F145" s="11" t="n">
        <f aca="false">IF(E145="","",LN(E145))</f>
        <v>3.63784928300116</v>
      </c>
      <c r="G145" s="13" t="n">
        <f aca="false">IF(OR(F145="",F144=""),"",F145-F144)</f>
        <v>-0.152457963742892</v>
      </c>
      <c r="H145" s="10" t="n">
        <f aca="false">IF(COUNT(D$75:D144)&lt;36,"",SLOPE(D$75:D144,G$75:G144))</f>
        <v>0.174087752915903</v>
      </c>
      <c r="I145" s="13" t="n">
        <f aca="false">IF(OR(D145="",H145="",G145=""),"",D145-H145*G145)</f>
        <v>-0.0320420999899101</v>
      </c>
      <c r="J145" s="10" t="n">
        <f aca="false">IF(COUNT(Senal!V133:V144)=0,"",AVERAGE(Senal!V133:V144))</f>
        <v>-0.448525631478746</v>
      </c>
      <c r="K145" s="10" t="n">
        <f aca="false">IF(J145="","",ABS(J145))</f>
        <v>0.448525631478746</v>
      </c>
      <c r="L145" s="10" t="n">
        <f aca="false">IF(OR(J145="",J144=""),"",ABS(J145-J144))</f>
        <v>0.0524937111825516</v>
      </c>
      <c r="M145" s="13" t="n">
        <f aca="false">IF(OR(J145="",I145=""),"",J145*I145-IF(L145="",0,L145)*Resumen!$B$8/10000)</f>
        <v>0.0142142219983319</v>
      </c>
      <c r="N145" s="13" t="n">
        <f aca="false">IF(OR(J145="",D145=""),"",J145*D145-IF(L145="",0,L145)*Resumen!$B$8/10000)</f>
        <v>0.0261185696335352</v>
      </c>
      <c r="O145" s="13" t="n">
        <f aca="false">IF(M145="","",IF(COUNT(O$2:O144)=0,M145,SUM(M$2:M145)))</f>
        <v>0.0723441630667213</v>
      </c>
      <c r="P145" s="13" t="n">
        <f aca="false">IF(O145="","",MAX(O$2:O145))</f>
        <v>0.0723441630667213</v>
      </c>
      <c r="Q145" s="13" t="n">
        <f aca="false">IF(O145="","",O145-P145)</f>
        <v>0</v>
      </c>
      <c r="R145" s="13" t="n">
        <f aca="false">IF(COUNT(I146:I146)&lt;1,"",SUM(I146:I146))</f>
        <v>0.116831083170101</v>
      </c>
      <c r="S145" s="13" t="n">
        <f aca="false">IF(COUNT(I146:I148)&lt;3,"",SUM(I146:I148))</f>
        <v>0.040170590564844</v>
      </c>
      <c r="T145" s="13" t="n">
        <f aca="false">IF(COUNT(I146:I151)&lt;6,"",SUM(I146:I151))</f>
        <v>0.0501414921802609</v>
      </c>
      <c r="U145" s="13" t="n">
        <f aca="false">IF(COUNT(I146:I157)&lt;12,"",SUM(I146:I157))</f>
        <v>-0.100559416821866</v>
      </c>
      <c r="V145" s="13" t="n">
        <f aca="false">IF(N145="","",SUM(N$2:N145))</f>
        <v>0.0960777143834725</v>
      </c>
      <c r="W145" s="13" t="n">
        <f aca="false">IF(V145="","",MAX(V$2:V145))</f>
        <v>0.0960777143834725</v>
      </c>
      <c r="X145" s="13" t="n">
        <f aca="false">IF(V145="","",V145-W145)</f>
        <v>0</v>
      </c>
      <c r="Y145" s="13" t="n">
        <f aca="false">IF(COUNT(D146:D146)&lt;1,"",SUM(D146:D146))</f>
        <v>0.0780927909359348</v>
      </c>
      <c r="Z145" s="13" t="n">
        <f aca="false">IF(COUNT(D146:D148)&lt;3,"",SUM(D146:D148))</f>
        <v>0.0303477198133761</v>
      </c>
      <c r="AA145" s="13" t="n">
        <f aca="false">IF(COUNT(D146:D151)&lt;6,"",SUM(D146:D151))</f>
        <v>0.0619288981590898</v>
      </c>
      <c r="AB145" s="13" t="n">
        <f aca="false">IF(COUNT(D146:D157)&lt;12,"",SUM(D146:D157))</f>
        <v>-0.0777990451353074</v>
      </c>
    </row>
    <row r="146" customFormat="false" ht="15" hidden="false" customHeight="false" outlineLevel="0" collapsed="false">
      <c r="A146" s="8" t="n">
        <f aca="false">Base!A146</f>
        <v>42400</v>
      </c>
      <c r="B146" s="10" t="n">
        <f aca="false">IF(Base!T146="","",Base!T146)</f>
        <v>0.386787862385136</v>
      </c>
      <c r="C146" s="11" t="n">
        <f aca="false">IF(B146="","",LN(B146))</f>
        <v>-0.949878895458078</v>
      </c>
      <c r="D146" s="13" t="n">
        <f aca="false">IF(OR(C146="",C145=""),"",C146-C145)</f>
        <v>0.0780927909359348</v>
      </c>
      <c r="E146" s="12" t="n">
        <f aca="false">IF(Base!U146="","",Base!U146)</f>
        <v>30.7</v>
      </c>
      <c r="F146" s="11" t="n">
        <f aca="false">IF(E146="","",LN(E146))</f>
        <v>3.42426265459315</v>
      </c>
      <c r="G146" s="13" t="n">
        <f aca="false">IF(OR(F146="",F145=""),"",F146-F145)</f>
        <v>-0.213586628408006</v>
      </c>
      <c r="H146" s="10" t="n">
        <f aca="false">IF(COUNT(D$75:D145)&lt;36,"",SLOPE(D$75:D145,G$75:G145))</f>
        <v>0.181370400024136</v>
      </c>
      <c r="I146" s="13" t="n">
        <f aca="false">IF(OR(D146="",H146="",G146=""),"",D146-H146*G146)</f>
        <v>0.116831083170101</v>
      </c>
      <c r="J146" s="10" t="n">
        <f aca="false">IF(COUNT(Senal!V134:V145)=0,"",AVERAGE(Senal!V134:V145))</f>
        <v>-0.491242003330996</v>
      </c>
      <c r="K146" s="10" t="n">
        <f aca="false">IF(J146="","",ABS(J146))</f>
        <v>0.491242003330996</v>
      </c>
      <c r="L146" s="10" t="n">
        <f aca="false">IF(OR(J146="",J145=""),"",ABS(J146-J145))</f>
        <v>0.0427163718522499</v>
      </c>
      <c r="M146" s="13" t="n">
        <f aca="false">IF(OR(J146="",I146=""),"",J146*I146-IF(L146="",0,L146)*Resumen!$B$8/10000)</f>
        <v>-0.0575204844633676</v>
      </c>
      <c r="N146" s="13" t="n">
        <f aca="false">IF(OR(J146="",D146=""),"",J146*D146-IF(L146="",0,L146)*Resumen!$B$8/10000)</f>
        <v>-0.038490608180634</v>
      </c>
      <c r="O146" s="13" t="n">
        <f aca="false">IF(M146="","",IF(COUNT(O$2:O145)=0,M146,SUM(M$2:M146)))</f>
        <v>0.0148236786033537</v>
      </c>
      <c r="P146" s="13" t="n">
        <f aca="false">IF(O146="","",MAX(O$2:O146))</f>
        <v>0.0723441630667213</v>
      </c>
      <c r="Q146" s="13" t="n">
        <f aca="false">IF(O146="","",O146-P146)</f>
        <v>-0.0575204844633676</v>
      </c>
      <c r="R146" s="13" t="n">
        <f aca="false">IF(COUNT(I147:I147)&lt;1,"",SUM(I147:I147))</f>
        <v>0.057261552994896</v>
      </c>
      <c r="S146" s="13" t="n">
        <f aca="false">IF(COUNT(I147:I149)&lt;3,"",SUM(I147:I149))</f>
        <v>-0.0818492546229977</v>
      </c>
      <c r="T146" s="13" t="n">
        <f aca="false">IF(COUNT(I147:I152)&lt;6,"",SUM(I147:I152))</f>
        <v>-0.184203719048036</v>
      </c>
      <c r="U146" s="13" t="n">
        <f aca="false">IF(COUNT(I147:I158)&lt;12,"",SUM(I147:I158))</f>
        <v>-0.0857447139477751</v>
      </c>
      <c r="V146" s="13" t="n">
        <f aca="false">IF(N146="","",SUM(N$2:N146))</f>
        <v>0.0575871062028385</v>
      </c>
      <c r="W146" s="13" t="n">
        <f aca="false">IF(V146="","",MAX(V$2:V146))</f>
        <v>0.0960777143834725</v>
      </c>
      <c r="X146" s="13" t="n">
        <f aca="false">IF(V146="","",V146-W146)</f>
        <v>-0.038490608180634</v>
      </c>
      <c r="Y146" s="13" t="n">
        <f aca="false">IF(COUNT(D147:D147)&lt;1,"",SUM(D147:D147))</f>
        <v>0.0631668974620347</v>
      </c>
      <c r="Z146" s="13" t="n">
        <f aca="false">IF(COUNT(D147:D149)&lt;3,"",SUM(D147:D149))</f>
        <v>-0.0454718809115016</v>
      </c>
      <c r="AA146" s="13" t="n">
        <f aca="false">IF(COUNT(D147:D152)&lt;6,"",SUM(D147:D152))</f>
        <v>-0.141514253792644</v>
      </c>
      <c r="AB146" s="13" t="n">
        <f aca="false">IF(COUNT(D147:D158)&lt;12,"",SUM(D147:D158))</f>
        <v>-0.0214714015559797</v>
      </c>
    </row>
    <row r="147" customFormat="false" ht="15" hidden="false" customHeight="false" outlineLevel="0" collapsed="false">
      <c r="A147" s="8" t="n">
        <f aca="false">Base!A147</f>
        <v>42429</v>
      </c>
      <c r="B147" s="10" t="n">
        <f aca="false">IF(Base!T147="","",Base!T147)</f>
        <v>0.412008211916104</v>
      </c>
      <c r="C147" s="11" t="n">
        <f aca="false">IF(B147="","",LN(B147))</f>
        <v>-0.886711997996043</v>
      </c>
      <c r="D147" s="13" t="n">
        <f aca="false">IF(OR(C147="",C146=""),"",C147-C146)</f>
        <v>0.0631668974620347</v>
      </c>
      <c r="E147" s="12" t="n">
        <f aca="false">IF(Base!U147="","",Base!U147)</f>
        <v>32.18</v>
      </c>
      <c r="F147" s="11" t="n">
        <f aca="false">IF(E147="","",LN(E147))</f>
        <v>3.47134514156424</v>
      </c>
      <c r="G147" s="13" t="n">
        <f aca="false">IF(OR(F147="",F146=""),"",F147-F146)</f>
        <v>0.0470824869710857</v>
      </c>
      <c r="H147" s="10" t="n">
        <f aca="false">IF(COUNT(D$75:D146)&lt;36,"",SLOPE(D$75:D146,G$75:G146))</f>
        <v>0.125425499947896</v>
      </c>
      <c r="I147" s="13" t="n">
        <f aca="false">IF(OR(D147="",H147="",G147=""),"",D147-H147*G147)</f>
        <v>0.057261552994896</v>
      </c>
      <c r="J147" s="10" t="n">
        <f aca="false">IF(COUNT(Senal!V135:V146)=0,"",AVERAGE(Senal!V135:V146))</f>
        <v>-0.438709365495275</v>
      </c>
      <c r="K147" s="10" t="n">
        <f aca="false">IF(J147="","",ABS(J147))</f>
        <v>0.438709365495275</v>
      </c>
      <c r="L147" s="10" t="n">
        <f aca="false">IF(OR(J147="",J146=""),"",ABS(J147-J146))</f>
        <v>0.0525326378357212</v>
      </c>
      <c r="M147" s="13" t="n">
        <f aca="false">IF(OR(J147="",I147=""),"",J147*I147-IF(L147="",0,L147)*Resumen!$B$8/10000)</f>
        <v>-0.0252787774951721</v>
      </c>
      <c r="N147" s="13" t="n">
        <f aca="false">IF(OR(J147="",D147=""),"",J147*D147-IF(L147="",0,L147)*Resumen!$B$8/10000)</f>
        <v>-0.0278695074193815</v>
      </c>
      <c r="O147" s="13" t="n">
        <f aca="false">IF(M147="","",IF(COUNT(O$2:O146)=0,M147,SUM(M$2:M147)))</f>
        <v>-0.0104550988918184</v>
      </c>
      <c r="P147" s="13" t="n">
        <f aca="false">IF(O147="","",MAX(O$2:O147))</f>
        <v>0.0723441630667213</v>
      </c>
      <c r="Q147" s="13" t="n">
        <f aca="false">IF(O147="","",O147-P147)</f>
        <v>-0.0827992619585396</v>
      </c>
      <c r="R147" s="13" t="n">
        <f aca="false">IF(COUNT(I148:I148)&lt;1,"",SUM(I148:I148))</f>
        <v>-0.133922045600153</v>
      </c>
      <c r="S147" s="13" t="n">
        <f aca="false">IF(COUNT(I148:I150)&lt;3,"",SUM(I148:I150))</f>
        <v>-0.0365724751606056</v>
      </c>
      <c r="T147" s="13" t="n">
        <f aca="false">IF(COUNT(I148:I153)&lt;6,"",SUM(I148:I153))</f>
        <v>-0.323255673461349</v>
      </c>
      <c r="U147" s="13" t="n">
        <f aca="false">IF(COUNT(I148:I159)&lt;12,"",SUM(I148:I159))</f>
        <v>-0.167168956517575</v>
      </c>
      <c r="V147" s="13" t="n">
        <f aca="false">IF(N147="","",SUM(N$2:N147))</f>
        <v>0.0297175987834569</v>
      </c>
      <c r="W147" s="13" t="n">
        <f aca="false">IF(V147="","",MAX(V$2:V147))</f>
        <v>0.0960777143834725</v>
      </c>
      <c r="X147" s="13" t="n">
        <f aca="false">IF(V147="","",V147-W147)</f>
        <v>-0.0663601156000155</v>
      </c>
      <c r="Y147" s="13" t="n">
        <f aca="false">IF(COUNT(D148:D148)&lt;1,"",SUM(D148:D148))</f>
        <v>-0.110911968584593</v>
      </c>
      <c r="Z147" s="13" t="n">
        <f aca="false">IF(COUNT(D148:D150)&lt;3,"",SUM(D148:D150))</f>
        <v>0.00435108139431883</v>
      </c>
      <c r="AA147" s="13" t="n">
        <f aca="false">IF(COUNT(D148:D153)&lt;6,"",SUM(D148:D153))</f>
        <v>-0.284046410005951</v>
      </c>
      <c r="AB147" s="13" t="n">
        <f aca="false">IF(COUNT(D148:D159)&lt;12,"",SUM(D148:D159))</f>
        <v>-0.108140144185924</v>
      </c>
    </row>
    <row r="148" customFormat="false" ht="15" hidden="false" customHeight="false" outlineLevel="0" collapsed="false">
      <c r="A148" s="8" t="n">
        <f aca="false">Base!A148</f>
        <v>42460</v>
      </c>
      <c r="B148" s="10" t="n">
        <f aca="false">IF(Base!T148="","",Base!T148)</f>
        <v>0.368754574279001</v>
      </c>
      <c r="C148" s="11" t="n">
        <f aca="false">IF(B148="","",LN(B148))</f>
        <v>-0.997623966580636</v>
      </c>
      <c r="D148" s="13" t="n">
        <f aca="false">IF(OR(C148="",C147=""),"",C148-C147)</f>
        <v>-0.110911968584593</v>
      </c>
      <c r="E148" s="12" t="n">
        <f aca="false">IF(Base!U148="","",Base!U148)</f>
        <v>38.21</v>
      </c>
      <c r="F148" s="11" t="n">
        <f aca="false">IF(E148="","",LN(E148))</f>
        <v>3.64309726145881</v>
      </c>
      <c r="G148" s="13" t="n">
        <f aca="false">IF(OR(F148="",F147=""),"",F148-F147)</f>
        <v>0.171752119894571</v>
      </c>
      <c r="H148" s="10" t="n">
        <f aca="false">IF(COUNT(D$75:D147)&lt;36,"",SLOPE(D$75:D147,G$75:G147))</f>
        <v>0.133972593931793</v>
      </c>
      <c r="I148" s="13" t="n">
        <f aca="false">IF(OR(D148="",H148="",G148=""),"",D148-H148*G148)</f>
        <v>-0.133922045600153</v>
      </c>
      <c r="J148" s="10" t="n">
        <f aca="false">IF(COUNT(Senal!V136:V147)=0,"",AVERAGE(Senal!V136:V147))</f>
        <v>-0.407894248522794</v>
      </c>
      <c r="K148" s="10" t="n">
        <f aca="false">IF(J148="","",ABS(J148))</f>
        <v>0.407894248522794</v>
      </c>
      <c r="L148" s="10" t="n">
        <f aca="false">IF(OR(J148="",J147=""),"",ABS(J148-J147))</f>
        <v>0.0308151169724811</v>
      </c>
      <c r="M148" s="13" t="n">
        <f aca="false">IF(OR(J148="",I148=""),"",J148*I148-IF(L148="",0,L148)*Resumen!$B$8/10000)</f>
        <v>0.0545335867997925</v>
      </c>
      <c r="N148" s="13" t="n">
        <f aca="false">IF(OR(J148="",D148=""),"",J148*D148-IF(L148="",0,L148)*Resumen!$B$8/10000)</f>
        <v>0.045147908727079</v>
      </c>
      <c r="O148" s="13" t="n">
        <f aca="false">IF(M148="","",IF(COUNT(O$2:O147)=0,M148,SUM(M$2:M148)))</f>
        <v>0.0440784879079741</v>
      </c>
      <c r="P148" s="13" t="n">
        <f aca="false">IF(O148="","",MAX(O$2:O148))</f>
        <v>0.0723441630667213</v>
      </c>
      <c r="Q148" s="13" t="n">
        <f aca="false">IF(O148="","",O148-P148)</f>
        <v>-0.0282656751587472</v>
      </c>
      <c r="R148" s="13" t="n">
        <f aca="false">IF(COUNT(I149:I149)&lt;1,"",SUM(I149:I149))</f>
        <v>-0.00518876201774034</v>
      </c>
      <c r="S148" s="13" t="n">
        <f aca="false">IF(COUNT(I149:I151)&lt;3,"",SUM(I149:I151))</f>
        <v>0.00997090161541689</v>
      </c>
      <c r="T148" s="13" t="n">
        <f aca="false">IF(COUNT(I149:I154)&lt;6,"",SUM(I149:I154))</f>
        <v>-0.136572432163424</v>
      </c>
      <c r="U148" s="13" t="n">
        <f aca="false">IF(COUNT(I149:I160)&lt;12,"",SUM(I149:I160))</f>
        <v>0.0671170100317101</v>
      </c>
      <c r="V148" s="13" t="n">
        <f aca="false">IF(N148="","",SUM(N$2:N148))</f>
        <v>0.0748655075105359</v>
      </c>
      <c r="W148" s="13" t="n">
        <f aca="false">IF(V148="","",MAX(V$2:V148))</f>
        <v>0.0960777143834725</v>
      </c>
      <c r="X148" s="13" t="n">
        <f aca="false">IF(V148="","",V148-W148)</f>
        <v>-0.0212122068729365</v>
      </c>
      <c r="Y148" s="13" t="n">
        <f aca="false">IF(COUNT(D149:D149)&lt;1,"",SUM(D149:D149))</f>
        <v>0.0022731902110571</v>
      </c>
      <c r="Z148" s="13" t="n">
        <f aca="false">IF(COUNT(D149:D151)&lt;3,"",SUM(D149:D151))</f>
        <v>0.0315811783457136</v>
      </c>
      <c r="AA148" s="13" t="n">
        <f aca="false">IF(COUNT(D149:D154)&lt;6,"",SUM(D149:D154))</f>
        <v>-0.118473895088276</v>
      </c>
      <c r="AB148" s="13" t="n">
        <f aca="false">IF(COUNT(D149:D160)&lt;12,"",SUM(D149:D160))</f>
        <v>0.0954633802064999</v>
      </c>
    </row>
    <row r="149" customFormat="false" ht="15" hidden="false" customHeight="false" outlineLevel="0" collapsed="false">
      <c r="A149" s="8" t="n">
        <f aca="false">Base!A149</f>
        <v>42490</v>
      </c>
      <c r="B149" s="10" t="n">
        <f aca="false">IF(Base!T149="","",Base!T149)</f>
        <v>0.369593777039911</v>
      </c>
      <c r="C149" s="11" t="n">
        <f aca="false">IF(B149="","",LN(B149))</f>
        <v>-0.995350776369579</v>
      </c>
      <c r="D149" s="13" t="n">
        <f aca="false">IF(OR(C149="",C148=""),"",C149-C148)</f>
        <v>0.0022731902110571</v>
      </c>
      <c r="E149" s="12" t="n">
        <f aca="false">IF(Base!U149="","",Base!U149)</f>
        <v>41.58</v>
      </c>
      <c r="F149" s="11" t="n">
        <f aca="false">IF(E149="","",LN(E149))</f>
        <v>3.72761928242987</v>
      </c>
      <c r="G149" s="13" t="n">
        <f aca="false">IF(OR(F149="",F148=""),"",F149-F148)</f>
        <v>0.0845220209710584</v>
      </c>
      <c r="H149" s="10" t="n">
        <f aca="false">IF(COUNT(D$75:D148)&lt;36,"",SLOPE(D$75:D148,G$75:G148))</f>
        <v>0.0882841198431888</v>
      </c>
      <c r="I149" s="13" t="n">
        <f aca="false">IF(OR(D149="",H149="",G149=""),"",D149-H149*G149)</f>
        <v>-0.00518876201774034</v>
      </c>
      <c r="J149" s="10" t="n">
        <f aca="false">IF(COUNT(Senal!V137:V148)=0,"",AVERAGE(Senal!V137:V148))</f>
        <v>-0.407894248522794</v>
      </c>
      <c r="K149" s="10" t="n">
        <f aca="false">IF(J149="","",ABS(J149))</f>
        <v>0.407894248522794</v>
      </c>
      <c r="L149" s="10" t="n">
        <f aca="false">IF(OR(J149="",J148=""),"",ABS(J149-J148))</f>
        <v>0</v>
      </c>
      <c r="M149" s="13" t="n">
        <f aca="false">IF(OR(J149="",I149=""),"",J149*I149-IF(L149="",0,L149)*Resumen!$B$8/10000)</f>
        <v>0.00211646618398981</v>
      </c>
      <c r="N149" s="13" t="n">
        <f aca="false">IF(OR(J149="",D149=""),"",J149*D149-IF(L149="",0,L149)*Resumen!$B$8/10000)</f>
        <v>-0.000927221212888506</v>
      </c>
      <c r="O149" s="13" t="n">
        <f aca="false">IF(M149="","",IF(COUNT(O$2:O148)=0,M149,SUM(M$2:M149)))</f>
        <v>0.0461949540919639</v>
      </c>
      <c r="P149" s="13" t="n">
        <f aca="false">IF(O149="","",MAX(O$2:O149))</f>
        <v>0.0723441630667213</v>
      </c>
      <c r="Q149" s="13" t="n">
        <f aca="false">IF(O149="","",O149-P149)</f>
        <v>-0.0261492089747574</v>
      </c>
      <c r="R149" s="13" t="n">
        <f aca="false">IF(COUNT(I150:I150)&lt;1,"",SUM(I150:I150))</f>
        <v>0.102538332457288</v>
      </c>
      <c r="S149" s="13" t="n">
        <f aca="false">IF(COUNT(I150:I152)&lt;3,"",SUM(I150:I152))</f>
        <v>-0.102354464425038</v>
      </c>
      <c r="T149" s="13" t="n">
        <f aca="false">IF(COUNT(I150:I155)&lt;6,"",SUM(I150:I155))</f>
        <v>-0.19907832781571</v>
      </c>
      <c r="U149" s="13" t="n">
        <f aca="false">IF(COUNT(I150:I161)&lt;12,"",SUM(I150:I161))</f>
        <v>0.0888561938559086</v>
      </c>
      <c r="V149" s="13" t="n">
        <f aca="false">IF(N149="","",SUM(N$2:N149))</f>
        <v>0.0739382862976474</v>
      </c>
      <c r="W149" s="13" t="n">
        <f aca="false">IF(V149="","",MAX(V$2:V149))</f>
        <v>0.0960777143834725</v>
      </c>
      <c r="X149" s="13" t="n">
        <f aca="false">IF(V149="","",V149-W149)</f>
        <v>-0.022139428085825</v>
      </c>
      <c r="Y149" s="13" t="n">
        <f aca="false">IF(COUNT(D150:D150)&lt;1,"",SUM(D150:D150))</f>
        <v>0.112989859767855</v>
      </c>
      <c r="Z149" s="13" t="n">
        <f aca="false">IF(COUNT(D150:D152)&lt;3,"",SUM(D150:D152))</f>
        <v>-0.0960423728811426</v>
      </c>
      <c r="AA149" s="13" t="n">
        <f aca="false">IF(COUNT(D150:D155)&lt;6,"",SUM(D150:D155))</f>
        <v>-0.180891105904231</v>
      </c>
      <c r="AB149" s="13" t="n">
        <f aca="false">IF(COUNT(D150:D161)&lt;12,"",SUM(D150:D161))</f>
        <v>0.111314766907898</v>
      </c>
    </row>
    <row r="150" customFormat="false" ht="15" hidden="false" customHeight="false" outlineLevel="0" collapsed="false">
      <c r="A150" s="8" t="n">
        <f aca="false">Base!A150</f>
        <v>42521</v>
      </c>
      <c r="B150" s="10" t="n">
        <f aca="false">IF(Base!T150="","",Base!T150)</f>
        <v>0.413804798894967</v>
      </c>
      <c r="C150" s="11" t="n">
        <f aca="false">IF(B150="","",LN(B150))</f>
        <v>-0.882360916601724</v>
      </c>
      <c r="D150" s="13" t="n">
        <f aca="false">IF(OR(C150="",C149=""),"",C150-C149)</f>
        <v>0.112989859767855</v>
      </c>
      <c r="E150" s="12" t="n">
        <f aca="false">IF(Base!U150="","",Base!U150)</f>
        <v>46.74</v>
      </c>
      <c r="F150" s="11" t="n">
        <f aca="false">IF(E150="","",LN(E150))</f>
        <v>3.84460032911071</v>
      </c>
      <c r="G150" s="13" t="n">
        <f aca="false">IF(OR(F150="",F149=""),"",F150-F149)</f>
        <v>0.116981046680845</v>
      </c>
      <c r="H150" s="10" t="n">
        <f aca="false">IF(COUNT(D$75:D149)&lt;36,"",SLOPE(D$75:D149,G$75:G149))</f>
        <v>0.0893437664229616</v>
      </c>
      <c r="I150" s="13" t="n">
        <f aca="false">IF(OR(D150="",H150="",G150=""),"",D150-H150*G150)</f>
        <v>0.102538332457288</v>
      </c>
      <c r="J150" s="10" t="n">
        <f aca="false">IF(COUNT(Senal!V138:V149)=0,"",AVERAGE(Senal!V138:V149))</f>
        <v>-0.379163307474642</v>
      </c>
      <c r="K150" s="10" t="n">
        <f aca="false">IF(J150="","",ABS(J150))</f>
        <v>0.379163307474642</v>
      </c>
      <c r="L150" s="10" t="n">
        <f aca="false">IF(OR(J150="",J149=""),"",ABS(J150-J149))</f>
        <v>0.0287309410481517</v>
      </c>
      <c r="M150" s="13" t="n">
        <f aca="false">IF(OR(J150="",I150=""),"",J150*I150-IF(L150="",0,L150)*Resumen!$B$8/10000)</f>
        <v>-0.0389649661005843</v>
      </c>
      <c r="N150" s="13" t="n">
        <f aca="false">IF(OR(J150="",D150=""),"",J150*D150-IF(L150="",0,L150)*Resumen!$B$8/10000)</f>
        <v>-0.0429278017638204</v>
      </c>
      <c r="O150" s="13" t="n">
        <f aca="false">IF(M150="","",IF(COUNT(O$2:O149)=0,M150,SUM(M$2:M150)))</f>
        <v>0.00722998799137962</v>
      </c>
      <c r="P150" s="13" t="n">
        <f aca="false">IF(O150="","",MAX(O$2:O150))</f>
        <v>0.0723441630667213</v>
      </c>
      <c r="Q150" s="13" t="n">
        <f aca="false">IF(O150="","",O150-P150)</f>
        <v>-0.0651141750753417</v>
      </c>
      <c r="R150" s="13" t="n">
        <f aca="false">IF(COUNT(I151:I151)&lt;1,"",SUM(I151:I151))</f>
        <v>-0.0873786688241309</v>
      </c>
      <c r="S150" s="13" t="n">
        <f aca="false">IF(COUNT(I151:I153)&lt;3,"",SUM(I151:I153))</f>
        <v>-0.286683198300743</v>
      </c>
      <c r="T150" s="13" t="n">
        <f aca="false">IF(COUNT(I151:I156)&lt;6,"",SUM(I151:I156))</f>
        <v>-0.261843420394936</v>
      </c>
      <c r="U150" s="13" t="n">
        <f aca="false">IF(COUNT(I151:I162)&lt;12,"",SUM(I151:I162))</f>
        <v>-0.00266950246943531</v>
      </c>
      <c r="V150" s="13" t="n">
        <f aca="false">IF(N150="","",SUM(N$2:N150))</f>
        <v>0.031010484533827</v>
      </c>
      <c r="W150" s="13" t="n">
        <f aca="false">IF(V150="","",MAX(V$2:V150))</f>
        <v>0.0960777143834725</v>
      </c>
      <c r="X150" s="13" t="n">
        <f aca="false">IF(V150="","",V150-W150)</f>
        <v>-0.0650672298496455</v>
      </c>
      <c r="Y150" s="13" t="n">
        <f aca="false">IF(COUNT(D151:D151)&lt;1,"",SUM(D151:D151))</f>
        <v>-0.0836818716331986</v>
      </c>
      <c r="Z150" s="13" t="n">
        <f aca="false">IF(COUNT(D151:D153)&lt;3,"",SUM(D151:D153))</f>
        <v>-0.28839749140027</v>
      </c>
      <c r="AA150" s="13" t="n">
        <f aca="false">IF(COUNT(D151:D156)&lt;6,"",SUM(D151:D156))</f>
        <v>-0.265897383696194</v>
      </c>
      <c r="AB150" s="13" t="n">
        <f aca="false">IF(COUNT(D151:D162)&lt;12,"",SUM(D151:D162))</f>
        <v>0.00492455567949057</v>
      </c>
    </row>
    <row r="151" customFormat="false" ht="15" hidden="false" customHeight="false" outlineLevel="0" collapsed="false">
      <c r="A151" s="8" t="n">
        <f aca="false">Base!A151</f>
        <v>42551</v>
      </c>
      <c r="B151" s="10" t="n">
        <f aca="false">IF(Base!T151="","",Base!T151)</f>
        <v>0.38058612201092</v>
      </c>
      <c r="C151" s="11" t="n">
        <f aca="false">IF(B151="","",LN(B151))</f>
        <v>-0.966042788234923</v>
      </c>
      <c r="D151" s="13" t="n">
        <f aca="false">IF(OR(C151="",C150=""),"",C151-C150)</f>
        <v>-0.0836818716331986</v>
      </c>
      <c r="E151" s="12" t="n">
        <f aca="false">IF(Base!U151="","",Base!U151)</f>
        <v>48.25</v>
      </c>
      <c r="F151" s="11" t="n">
        <f aca="false">IF(E151="","",LN(E151))</f>
        <v>3.876395827785</v>
      </c>
      <c r="G151" s="13" t="n">
        <f aca="false">IF(OR(F151="",F150=""),"",F151-F150)</f>
        <v>0.031795498674283</v>
      </c>
      <c r="H151" s="10" t="n">
        <f aca="false">IF(COUNT(D$75:D150)&lt;36,"",SLOPE(D$75:D150,G$75:G150))</f>
        <v>0.11626794184934</v>
      </c>
      <c r="I151" s="13" t="n">
        <f aca="false">IF(OR(D151="",H151="",G151=""),"",D151-H151*G151)</f>
        <v>-0.0873786688241309</v>
      </c>
      <c r="J151" s="10" t="n">
        <f aca="false">IF(COUNT(Senal!V139:V150)=0,"",AVERAGE(Senal!V139:V150))</f>
        <v>-0.337638013578226</v>
      </c>
      <c r="K151" s="10" t="n">
        <f aca="false">IF(J151="","",ABS(J151))</f>
        <v>0.337638013578226</v>
      </c>
      <c r="L151" s="10" t="n">
        <f aca="false">IF(OR(J151="",J150=""),"",ABS(J151-J150))</f>
        <v>0.0415252938964166</v>
      </c>
      <c r="M151" s="13" t="n">
        <f aca="false">IF(OR(J151="",I151=""),"",J151*I151-IF(L151="",0,L151)*Resumen!$B$8/10000)</f>
        <v>0.0293777842891999</v>
      </c>
      <c r="N151" s="13" t="n">
        <f aca="false">IF(OR(J151="",D151=""),"",J151*D151-IF(L151="",0,L151)*Resumen!$B$8/10000)</f>
        <v>0.028129605029052</v>
      </c>
      <c r="O151" s="13" t="n">
        <f aca="false">IF(M151="","",IF(COUNT(O$2:O150)=0,M151,SUM(M$2:M151)))</f>
        <v>0.0366077722805796</v>
      </c>
      <c r="P151" s="13" t="n">
        <f aca="false">IF(O151="","",MAX(O$2:O151))</f>
        <v>0.0723441630667213</v>
      </c>
      <c r="Q151" s="13" t="n">
        <f aca="false">IF(O151="","",O151-P151)</f>
        <v>-0.0357363907861417</v>
      </c>
      <c r="R151" s="13" t="n">
        <f aca="false">IF(COUNT(I152:I152)&lt;1,"",SUM(I152:I152))</f>
        <v>-0.117514128058195</v>
      </c>
      <c r="S151" s="13" t="n">
        <f aca="false">IF(COUNT(I152:I154)&lt;3,"",SUM(I152:I154))</f>
        <v>-0.146543333778841</v>
      </c>
      <c r="T151" s="13" t="n">
        <f aca="false">IF(COUNT(I152:I157)&lt;6,"",SUM(I152:I157))</f>
        <v>-0.150700909002127</v>
      </c>
      <c r="U151" s="13" t="n">
        <f aca="false">IF(COUNT(I152:I163)&lt;12,"",SUM(I152:I163))</f>
        <v>0.0574301702214085</v>
      </c>
      <c r="V151" s="13" t="n">
        <f aca="false">IF(N151="","",SUM(N$2:N151))</f>
        <v>0.059140089562879</v>
      </c>
      <c r="W151" s="13" t="n">
        <f aca="false">IF(V151="","",MAX(V$2:V151))</f>
        <v>0.0960777143834725</v>
      </c>
      <c r="X151" s="13" t="n">
        <f aca="false">IF(V151="","",V151-W151)</f>
        <v>-0.0369376248205935</v>
      </c>
      <c r="Y151" s="13" t="n">
        <f aca="false">IF(COUNT(D152:D152)&lt;1,"",SUM(D152:D152))</f>
        <v>-0.125350361015799</v>
      </c>
      <c r="Z151" s="13" t="n">
        <f aca="false">IF(COUNT(D152:D154)&lt;3,"",SUM(D152:D154))</f>
        <v>-0.15005507343399</v>
      </c>
      <c r="AA151" s="13" t="n">
        <f aca="false">IF(COUNT(D152:D157)&lt;6,"",SUM(D152:D157))</f>
        <v>-0.139727943294397</v>
      </c>
      <c r="AB151" s="13" t="n">
        <f aca="false">IF(COUNT(D152:D163)&lt;12,"",SUM(D152:D163))</f>
        <v>0.0520475121792529</v>
      </c>
    </row>
    <row r="152" customFormat="false" ht="15" hidden="false" customHeight="false" outlineLevel="0" collapsed="false">
      <c r="A152" s="8" t="n">
        <f aca="false">Base!A152</f>
        <v>42582</v>
      </c>
      <c r="B152" s="10" t="n">
        <f aca="false">IF(Base!T152="","",Base!T152)</f>
        <v>0.335748420074366</v>
      </c>
      <c r="C152" s="11" t="n">
        <f aca="false">IF(B152="","",LN(B152))</f>
        <v>-1.09139314925072</v>
      </c>
      <c r="D152" s="13" t="n">
        <f aca="false">IF(OR(C152="",C151=""),"",C152-C151)</f>
        <v>-0.125350361015799</v>
      </c>
      <c r="E152" s="12" t="n">
        <f aca="false">IF(Base!U152="","",Base!U152)</f>
        <v>44.95</v>
      </c>
      <c r="F152" s="11" t="n">
        <f aca="false">IF(E152="","",LN(E152))</f>
        <v>3.80555076091763</v>
      </c>
      <c r="G152" s="13" t="n">
        <f aca="false">IF(OR(F152="",F151=""),"",F152-F151)</f>
        <v>-0.0708450668673653</v>
      </c>
      <c r="H152" s="10" t="n">
        <f aca="false">IF(COUNT(D$75:D151)&lt;36,"",SLOPE(D$75:D151,G$75:G151))</f>
        <v>0.11061084849104</v>
      </c>
      <c r="I152" s="13" t="n">
        <f aca="false">IF(OR(D152="",H152="",G152=""),"",D152-H152*G152)</f>
        <v>-0.117514128058195</v>
      </c>
      <c r="J152" s="10" t="n">
        <f aca="false">IF(COUNT(Senal!V140:V151)=0,"",AVERAGE(Senal!V140:V151))</f>
        <v>-0.326721982669816</v>
      </c>
      <c r="K152" s="10" t="n">
        <f aca="false">IF(J152="","",ABS(J152))</f>
        <v>0.326721982669816</v>
      </c>
      <c r="L152" s="10" t="n">
        <f aca="false">IF(OR(J152="",J151=""),"",ABS(J152-J151))</f>
        <v>0.0109160309084094</v>
      </c>
      <c r="M152" s="13" t="n">
        <f aca="false">IF(OR(J152="",I152=""),"",J152*I152-IF(L152="",0,L152)*Resumen!$B$8/10000)</f>
        <v>0.038361700818163</v>
      </c>
      <c r="N152" s="13" t="n">
        <f aca="false">IF(OR(J152="",D152=""),"",J152*D152-IF(L152="",0,L152)*Resumen!$B$8/10000)</f>
        <v>0.0409219703867339</v>
      </c>
      <c r="O152" s="13" t="n">
        <f aca="false">IF(M152="","",IF(COUNT(O$2:O151)=0,M152,SUM(M$2:M152)))</f>
        <v>0.0749694730987426</v>
      </c>
      <c r="P152" s="13" t="n">
        <f aca="false">IF(O152="","",MAX(O$2:O152))</f>
        <v>0.0749694730987426</v>
      </c>
      <c r="Q152" s="13" t="n">
        <f aca="false">IF(O152="","",O152-P152)</f>
        <v>0</v>
      </c>
      <c r="R152" s="13" t="n">
        <f aca="false">IF(COUNT(I153:I153)&lt;1,"",SUM(I153:I153))</f>
        <v>-0.0817904014184166</v>
      </c>
      <c r="S152" s="13" t="n">
        <f aca="false">IF(COUNT(I153:I155)&lt;3,"",SUM(I153:I155))</f>
        <v>-0.0967238633906715</v>
      </c>
      <c r="T152" s="13" t="n">
        <f aca="false">IF(COUNT(I153:I158)&lt;6,"",SUM(I153:I158))</f>
        <v>0.0984590051002607</v>
      </c>
      <c r="U152" s="13" t="n">
        <f aca="false">IF(COUNT(I153:I164)&lt;12,"",SUM(I153:I164))</f>
        <v>0.178352670871624</v>
      </c>
      <c r="V152" s="13" t="n">
        <f aca="false">IF(N152="","",SUM(N$2:N152))</f>
        <v>0.100062059949613</v>
      </c>
      <c r="W152" s="13" t="n">
        <f aca="false">IF(V152="","",MAX(V$2:V152))</f>
        <v>0.100062059949613</v>
      </c>
      <c r="X152" s="13" t="n">
        <f aca="false">IF(V152="","",V152-W152)</f>
        <v>0</v>
      </c>
      <c r="Y152" s="13" t="n">
        <f aca="false">IF(COUNT(D153:D153)&lt;1,"",SUM(D153:D153))</f>
        <v>-0.0793652587512725</v>
      </c>
      <c r="Z152" s="13" t="n">
        <f aca="false">IF(COUNT(D153:D155)&lt;3,"",SUM(D153:D155))</f>
        <v>-0.0848487330230887</v>
      </c>
      <c r="AA152" s="13" t="n">
        <f aca="false">IF(COUNT(D153:D158)&lt;6,"",SUM(D153:D158))</f>
        <v>0.120042852236664</v>
      </c>
      <c r="AB152" s="13" t="n">
        <f aca="false">IF(COUNT(D153:D164)&lt;12,"",SUM(D153:D164))</f>
        <v>0.185957324374755</v>
      </c>
    </row>
    <row r="153" customFormat="false" ht="15" hidden="false" customHeight="false" outlineLevel="0" collapsed="false">
      <c r="A153" s="8" t="n">
        <f aca="false">Base!A153</f>
        <v>42613</v>
      </c>
      <c r="B153" s="10" t="n">
        <f aca="false">IF(Base!T153="","",Base!T153)</f>
        <v>0.310131645729962</v>
      </c>
      <c r="C153" s="11" t="n">
        <f aca="false">IF(B153="","",LN(B153))</f>
        <v>-1.17075840800199</v>
      </c>
      <c r="D153" s="13" t="n">
        <f aca="false">IF(OR(C153="",C152=""),"",C153-C152)</f>
        <v>-0.0793652587512725</v>
      </c>
      <c r="E153" s="12" t="n">
        <f aca="false">IF(Base!U153="","",Base!U153)</f>
        <v>45.84</v>
      </c>
      <c r="F153" s="11" t="n">
        <f aca="false">IF(E153="","",LN(E153))</f>
        <v>3.82515707240648</v>
      </c>
      <c r="G153" s="13" t="n">
        <f aca="false">IF(OR(F153="",F152=""),"",F153-F152)</f>
        <v>0.0196063114888547</v>
      </c>
      <c r="H153" s="10" t="n">
        <f aca="false">IF(COUNT(D$75:D152)&lt;36,"",SLOPE(D$75:D152,G$75:G152))</f>
        <v>0.123691938104864</v>
      </c>
      <c r="I153" s="13" t="n">
        <f aca="false">IF(OR(D153="",H153="",G153=""),"",D153-H153*G153)</f>
        <v>-0.0817904014184166</v>
      </c>
      <c r="J153" s="10" t="n">
        <f aca="false">IF(COUNT(Senal!V141:V152)=0,"",AVERAGE(Senal!V141:V152))</f>
        <v>-0.324574150703476</v>
      </c>
      <c r="K153" s="10" t="n">
        <f aca="false">IF(J153="","",ABS(J153))</f>
        <v>0.324574150703476</v>
      </c>
      <c r="L153" s="10" t="n">
        <f aca="false">IF(OR(J153="",J152=""),"",ABS(J153-J152))</f>
        <v>0.00214783196634016</v>
      </c>
      <c r="M153" s="13" t="n">
        <f aca="false">IF(OR(J153="",I153=""),"",J153*I153-IF(L153="",0,L153)*Resumen!$B$8/10000)</f>
        <v>0.0265406065801799</v>
      </c>
      <c r="N153" s="13" t="n">
        <f aca="false">IF(OR(J153="",D153=""),"",J153*D153-IF(L153="",0,L153)*Resumen!$B$8/10000)</f>
        <v>0.0257534679586569</v>
      </c>
      <c r="O153" s="13" t="n">
        <f aca="false">IF(M153="","",IF(COUNT(O$2:O152)=0,M153,SUM(M$2:M153)))</f>
        <v>0.101510079678923</v>
      </c>
      <c r="P153" s="13" t="n">
        <f aca="false">IF(O153="","",MAX(O$2:O153))</f>
        <v>0.101510079678923</v>
      </c>
      <c r="Q153" s="13" t="n">
        <f aca="false">IF(O153="","",O153-P153)</f>
        <v>0</v>
      </c>
      <c r="R153" s="13" t="n">
        <f aca="false">IF(COUNT(I154:I154)&lt;1,"",SUM(I154:I154))</f>
        <v>0.0527611956977712</v>
      </c>
      <c r="S153" s="13" t="n">
        <f aca="false">IF(COUNT(I154:I156)&lt;3,"",SUM(I154:I156))</f>
        <v>0.0248397779058074</v>
      </c>
      <c r="T153" s="13" t="n">
        <f aca="false">IF(COUNT(I154:I159)&lt;6,"",SUM(I154:I159))</f>
        <v>0.156086716943774</v>
      </c>
      <c r="U153" s="13" t="n">
        <f aca="false">IF(COUNT(I154:I165)&lt;12,"",SUM(I154:I165))</f>
        <v>0.210705579916711</v>
      </c>
      <c r="V153" s="13" t="n">
        <f aca="false">IF(N153="","",SUM(N$2:N153))</f>
        <v>0.12581552790827</v>
      </c>
      <c r="W153" s="13" t="n">
        <f aca="false">IF(V153="","",MAX(V$2:V153))</f>
        <v>0.12581552790827</v>
      </c>
      <c r="X153" s="13" t="n">
        <f aca="false">IF(V153="","",V153-W153)</f>
        <v>0</v>
      </c>
      <c r="Y153" s="13" t="n">
        <f aca="false">IF(COUNT(D154:D154)&lt;1,"",SUM(D154:D154))</f>
        <v>0.0546605463330816</v>
      </c>
      <c r="Z153" s="13" t="n">
        <f aca="false">IF(COUNT(D154:D156)&lt;3,"",SUM(D154:D156))</f>
        <v>0.0225001077040761</v>
      </c>
      <c r="AA153" s="13" t="n">
        <f aca="false">IF(COUNT(D154:D159)&lt;6,"",SUM(D154:D159))</f>
        <v>0.175906265820028</v>
      </c>
      <c r="AB153" s="13" t="n">
        <f aca="false">IF(COUNT(D154:D165)&lt;12,"",SUM(D154:D165))</f>
        <v>0.223392121592653</v>
      </c>
    </row>
    <row r="154" customFormat="false" ht="15" hidden="false" customHeight="false" outlineLevel="0" collapsed="false">
      <c r="A154" s="8" t="n">
        <f aca="false">Base!A154</f>
        <v>42643</v>
      </c>
      <c r="B154" s="10" t="n">
        <f aca="false">IF(Base!T154="","",Base!T154)</f>
        <v>0.327555470830118</v>
      </c>
      <c r="C154" s="11" t="n">
        <f aca="false">IF(B154="","",LN(B154))</f>
        <v>-1.11609786166891</v>
      </c>
      <c r="D154" s="13" t="n">
        <f aca="false">IF(OR(C154="",C153=""),"",C154-C153)</f>
        <v>0.0546605463330816</v>
      </c>
      <c r="E154" s="12" t="n">
        <f aca="false">IF(Base!U154="","",Base!U154)</f>
        <v>46.57</v>
      </c>
      <c r="F154" s="11" t="n">
        <f aca="false">IF(E154="","",LN(E154))</f>
        <v>3.84095655699429</v>
      </c>
      <c r="G154" s="13" t="n">
        <f aca="false">IF(OR(F154="",F153=""),"",F154-F153)</f>
        <v>0.0157994845878018</v>
      </c>
      <c r="H154" s="10" t="n">
        <f aca="false">IF(COUNT(D$75:D153)&lt;36,"",SLOPE(D$75:D153,G$75:G153))</f>
        <v>0.12021598709472</v>
      </c>
      <c r="I154" s="13" t="n">
        <f aca="false">IF(OR(D154="",H154="",G154=""),"",D154-H154*G154)</f>
        <v>0.0527611956977712</v>
      </c>
      <c r="J154" s="10" t="n">
        <f aca="false">IF(COUNT(Senal!V142:V153)=0,"",AVERAGE(Senal!V142:V153))</f>
        <v>-0.305643761138219</v>
      </c>
      <c r="K154" s="10" t="n">
        <f aca="false">IF(J154="","",ABS(J154))</f>
        <v>0.305643761138219</v>
      </c>
      <c r="L154" s="10" t="n">
        <f aca="false">IF(OR(J154="",J153=""),"",ABS(J154-J153))</f>
        <v>0.0189303895652575</v>
      </c>
      <c r="M154" s="13" t="n">
        <f aca="false">IF(OR(J154="",I154=""),"",J154*I154-IF(L154="",0,L154)*Resumen!$B$8/10000)</f>
        <v>-0.0161829214639122</v>
      </c>
      <c r="N154" s="13" t="n">
        <f aca="false">IF(OR(J154="",D154=""),"",J154*D154-IF(L154="",0,L154)*Resumen!$B$8/10000)</f>
        <v>-0.0167634461358087</v>
      </c>
      <c r="O154" s="13" t="n">
        <f aca="false">IF(M154="","",IF(COUNT(O$2:O153)=0,M154,SUM(M$2:M154)))</f>
        <v>0.0853271582150104</v>
      </c>
      <c r="P154" s="13" t="n">
        <f aca="false">IF(O154="","",MAX(O$2:O154))</f>
        <v>0.101510079678923</v>
      </c>
      <c r="Q154" s="13" t="n">
        <f aca="false">IF(O154="","",O154-P154)</f>
        <v>-0.0161829214639121</v>
      </c>
      <c r="R154" s="13" t="n">
        <f aca="false">IF(COUNT(I155:I155)&lt;1,"",SUM(I155:I155))</f>
        <v>-0.067694657670026</v>
      </c>
      <c r="S154" s="13" t="n">
        <f aca="false">IF(COUNT(I155:I157)&lt;3,"",SUM(I155:I157))</f>
        <v>-0.0041575752232864</v>
      </c>
      <c r="T154" s="13" t="n">
        <f aca="false">IF(COUNT(I155:I160)&lt;6,"",SUM(I155:I160))</f>
        <v>0.203689442195134</v>
      </c>
      <c r="U154" s="13" t="n">
        <f aca="false">IF(COUNT(I155:I166)&lt;12,"",SUM(I155:I166))</f>
        <v>0.127406805542038</v>
      </c>
      <c r="V154" s="13" t="n">
        <f aca="false">IF(N154="","",SUM(N$2:N154))</f>
        <v>0.109052081772461</v>
      </c>
      <c r="W154" s="13" t="n">
        <f aca="false">IF(V154="","",MAX(V$2:V154))</f>
        <v>0.12581552790827</v>
      </c>
      <c r="X154" s="13" t="n">
        <f aca="false">IF(V154="","",V154-W154)</f>
        <v>-0.0167634461358087</v>
      </c>
      <c r="Y154" s="13" t="n">
        <f aca="false">IF(COUNT(D155:D155)&lt;1,"",SUM(D155:D155))</f>
        <v>-0.0601440206048978</v>
      </c>
      <c r="Z154" s="13" t="n">
        <f aca="false">IF(COUNT(D155:D157)&lt;3,"",SUM(D155:D157))</f>
        <v>0.0103271301395929</v>
      </c>
      <c r="AA154" s="13" t="n">
        <f aca="false">IF(COUNT(D155:D160)&lt;6,"",SUM(D155:D160))</f>
        <v>0.213937275294776</v>
      </c>
      <c r="AB154" s="13" t="n">
        <f aca="false">IF(COUNT(D155:D166)&lt;12,"",SUM(D155:D166))</f>
        <v>0.147437305719061</v>
      </c>
    </row>
    <row r="155" customFormat="false" ht="15" hidden="false" customHeight="false" outlineLevel="0" collapsed="false">
      <c r="A155" s="8" t="n">
        <f aca="false">Base!A155</f>
        <v>42674</v>
      </c>
      <c r="B155" s="10" t="n">
        <f aca="false">IF(Base!T155="","",Base!T155)</f>
        <v>0.308435700914147</v>
      </c>
      <c r="C155" s="11" t="n">
        <f aca="false">IF(B155="","",LN(B155))</f>
        <v>-1.17624188227381</v>
      </c>
      <c r="D155" s="13" t="n">
        <f aca="false">IF(OR(C155="",C154=""),"",C155-C154)</f>
        <v>-0.0601440206048978</v>
      </c>
      <c r="E155" s="12" t="n">
        <f aca="false">IF(Base!U155="","",Base!U155)</f>
        <v>49.52</v>
      </c>
      <c r="F155" s="11" t="n">
        <f aca="false">IF(E155="","",LN(E155))</f>
        <v>3.90237662837634</v>
      </c>
      <c r="G155" s="13" t="n">
        <f aca="false">IF(OR(F155="",F154=""),"",F155-F154)</f>
        <v>0.0614200713820545</v>
      </c>
      <c r="H155" s="10" t="n">
        <f aca="false">IF(COUNT(D$75:D154)&lt;36,"",SLOPE(D$75:D154,G$75:G154))</f>
        <v>0.122934358349417</v>
      </c>
      <c r="I155" s="13" t="n">
        <f aca="false">IF(OR(D155="",H155="",G155=""),"",D155-H155*G155)</f>
        <v>-0.067694657670026</v>
      </c>
      <c r="J155" s="10" t="n">
        <f aca="false">IF(COUNT(Senal!V143:V154)=0,"",AVERAGE(Senal!V143:V154))</f>
        <v>-0.258731129390678</v>
      </c>
      <c r="K155" s="10" t="n">
        <f aca="false">IF(J155="","",ABS(J155))</f>
        <v>0.258731129390678</v>
      </c>
      <c r="L155" s="10" t="n">
        <f aca="false">IF(OR(J155="",J154=""),"",ABS(J155-J154))</f>
        <v>0.0469126317475403</v>
      </c>
      <c r="M155" s="13" t="n">
        <f aca="false">IF(OR(J155="",I155=""),"",J155*I155-IF(L155="",0,L155)*Resumen!$B$8/10000)</f>
        <v>0.0173739773374385</v>
      </c>
      <c r="N155" s="13" t="n">
        <f aca="false">IF(OR(J155="",D155=""),"",J155*D155-IF(L155="",0,L155)*Resumen!$B$8/10000)</f>
        <v>0.0154203924819588</v>
      </c>
      <c r="O155" s="13" t="n">
        <f aca="false">IF(M155="","",IF(COUNT(O$2:O154)=0,M155,SUM(M$2:M155)))</f>
        <v>0.102701135552449</v>
      </c>
      <c r="P155" s="13" t="n">
        <f aca="false">IF(O155="","",MAX(O$2:O155))</f>
        <v>0.102701135552449</v>
      </c>
      <c r="Q155" s="13" t="n">
        <f aca="false">IF(O155="","",O155-P155)</f>
        <v>0</v>
      </c>
      <c r="R155" s="13" t="n">
        <f aca="false">IF(COUNT(I156:I156)&lt;1,"",SUM(I156:I156))</f>
        <v>0.0397732398780623</v>
      </c>
      <c r="S155" s="13" t="n">
        <f aca="false">IF(COUNT(I156:I158)&lt;3,"",SUM(I156:I158))</f>
        <v>0.195182868490932</v>
      </c>
      <c r="T155" s="13" t="n">
        <f aca="false">IF(COUNT(I156:I161)&lt;6,"",SUM(I156:I161))</f>
        <v>0.287934521671618</v>
      </c>
      <c r="U155" s="13" t="n">
        <f aca="false">IF(COUNT(I156:I167)&lt;12,"",SUM(I156:I167))</f>
        <v>0.212340442137609</v>
      </c>
      <c r="V155" s="13" t="n">
        <f aca="false">IF(N155="","",SUM(N$2:N155))</f>
        <v>0.12447247425442</v>
      </c>
      <c r="W155" s="13" t="n">
        <f aca="false">IF(V155="","",MAX(V$2:V155))</f>
        <v>0.12581552790827</v>
      </c>
      <c r="X155" s="13" t="n">
        <f aca="false">IF(V155="","",V155-W155)</f>
        <v>-0.00134305365384989</v>
      </c>
      <c r="Y155" s="13" t="n">
        <f aca="false">IF(COUNT(D156:D156)&lt;1,"",SUM(D156:D156))</f>
        <v>0.0279835819758922</v>
      </c>
      <c r="Z155" s="13" t="n">
        <f aca="false">IF(COUNT(D156:D158)&lt;3,"",SUM(D156:D158))</f>
        <v>0.204891585259753</v>
      </c>
      <c r="AA155" s="13" t="n">
        <f aca="false">IF(COUNT(D156:D161)&lt;6,"",SUM(D156:D161))</f>
        <v>0.292205872812129</v>
      </c>
      <c r="AB155" s="13" t="n">
        <f aca="false">IF(COUNT(D156:D167)&lt;12,"",SUM(D156:D167))</f>
        <v>0.227424027596918</v>
      </c>
    </row>
    <row r="156" customFormat="false" ht="15" hidden="false" customHeight="false" outlineLevel="0" collapsed="false">
      <c r="A156" s="8" t="n">
        <f aca="false">Base!A156</f>
        <v>42704</v>
      </c>
      <c r="B156" s="10" t="n">
        <f aca="false">IF(Base!T156="","",Base!T156)</f>
        <v>0.317188736086541</v>
      </c>
      <c r="C156" s="11" t="n">
        <f aca="false">IF(B156="","",LN(B156))</f>
        <v>-1.14825830029792</v>
      </c>
      <c r="D156" s="13" t="n">
        <f aca="false">IF(OR(C156="",C155=""),"",C156-C155)</f>
        <v>0.0279835819758922</v>
      </c>
      <c r="E156" s="12" t="n">
        <f aca="false">IF(Base!U156="","",Base!U156)</f>
        <v>44.73</v>
      </c>
      <c r="F156" s="11" t="n">
        <f aca="false">IF(E156="","",LN(E156))</f>
        <v>3.80064441744476</v>
      </c>
      <c r="G156" s="13" t="n">
        <f aca="false">IF(OR(F156="",F155=""),"",F156-F155)</f>
        <v>-0.101732210931584</v>
      </c>
      <c r="H156" s="10" t="n">
        <f aca="false">IF(COUNT(D$75:D155)&lt;36,"",SLOPE(D$75:D155,G$75:G155))</f>
        <v>0.115889134760855</v>
      </c>
      <c r="I156" s="13" t="n">
        <f aca="false">IF(OR(D156="",H156="",G156=""),"",D156-H156*G156)</f>
        <v>0.0397732398780623</v>
      </c>
      <c r="J156" s="10" t="n">
        <f aca="false">IF(COUNT(Senal!V144:V155)=0,"",AVERAGE(Senal!V144:V155))</f>
        <v>-0.205196469311591</v>
      </c>
      <c r="K156" s="10" t="n">
        <f aca="false">IF(J156="","",ABS(J156))</f>
        <v>0.205196469311591</v>
      </c>
      <c r="L156" s="10" t="n">
        <f aca="false">IF(OR(J156="",J155=""),"",ABS(J156-J155))</f>
        <v>0.0535346600790877</v>
      </c>
      <c r="M156" s="13" t="n">
        <f aca="false">IF(OR(J156="",I156=""),"",J156*I156-IF(L156="",0,L156)*Resumen!$B$8/10000)</f>
        <v>-0.00832193237629859</v>
      </c>
      <c r="N156" s="13" t="n">
        <f aca="false">IF(OR(J156="",D156=""),"",J156*D156-IF(L156="",0,L156)*Resumen!$B$8/10000)</f>
        <v>-0.00590273620038181</v>
      </c>
      <c r="O156" s="13" t="n">
        <f aca="false">IF(M156="","",IF(COUNT(O$2:O155)=0,M156,SUM(M$2:M156)))</f>
        <v>0.0943792031761503</v>
      </c>
      <c r="P156" s="13" t="n">
        <f aca="false">IF(O156="","",MAX(O$2:O156))</f>
        <v>0.102701135552449</v>
      </c>
      <c r="Q156" s="13" t="n">
        <f aca="false">IF(O156="","",O156-P156)</f>
        <v>-0.00832193237629859</v>
      </c>
      <c r="R156" s="13" t="n">
        <f aca="false">IF(COUNT(I157:I157)&lt;1,"",SUM(I157:I157))</f>
        <v>0.0237638425686774</v>
      </c>
      <c r="S156" s="13" t="n">
        <f aca="false">IF(COUNT(I157:I159)&lt;3,"",SUM(I157:I159))</f>
        <v>0.131246939037966</v>
      </c>
      <c r="T156" s="13" t="n">
        <f aca="false">IF(COUNT(I157:I162)&lt;6,"",SUM(I157:I162))</f>
        <v>0.2591739179255</v>
      </c>
      <c r="U156" s="13" t="n">
        <f aca="false">IF(COUNT(I157:I168)&lt;12,"",SUM(I157:I168))</f>
        <v>0.127113735893292</v>
      </c>
      <c r="V156" s="13" t="n">
        <f aca="false">IF(N156="","",SUM(N$2:N156))</f>
        <v>0.118569738054038</v>
      </c>
      <c r="W156" s="13" t="n">
        <f aca="false">IF(V156="","",MAX(V$2:V156))</f>
        <v>0.12581552790827</v>
      </c>
      <c r="X156" s="13" t="n">
        <f aca="false">IF(V156="","",V156-W156)</f>
        <v>-0.0072457898542317</v>
      </c>
      <c r="Y156" s="13" t="n">
        <f aca="false">IF(COUNT(D157:D157)&lt;1,"",SUM(D157:D157))</f>
        <v>0.0424875687685984</v>
      </c>
      <c r="Z156" s="13" t="n">
        <f aca="false">IF(COUNT(D157:D159)&lt;3,"",SUM(D157:D159))</f>
        <v>0.153406158115952</v>
      </c>
      <c r="AA156" s="13" t="n">
        <f aca="false">IF(COUNT(D157:D162)&lt;6,"",SUM(D157:D162))</f>
        <v>0.270821939375685</v>
      </c>
      <c r="AB156" s="13" t="n">
        <f aca="false">IF(COUNT(D157:D168)&lt;12,"",SUM(D157:D168))</f>
        <v>0.163505852641017</v>
      </c>
    </row>
    <row r="157" customFormat="false" ht="15" hidden="false" customHeight="false" outlineLevel="0" collapsed="false">
      <c r="A157" s="8" t="n">
        <f aca="false">Base!A157</f>
        <v>42735</v>
      </c>
      <c r="B157" s="10" t="n">
        <f aca="false">IF(Base!T157="","",Base!T157)</f>
        <v>0.330955705921033</v>
      </c>
      <c r="C157" s="11" t="n">
        <f aca="false">IF(B157="","",LN(B157))</f>
        <v>-1.10577073152932</v>
      </c>
      <c r="D157" s="13" t="n">
        <f aca="false">IF(OR(C157="",C156=""),"",C157-C156)</f>
        <v>0.0424875687685984</v>
      </c>
      <c r="E157" s="12" t="n">
        <f aca="false">IF(Base!U157="","",Base!U157)</f>
        <v>53.31</v>
      </c>
      <c r="F157" s="11" t="n">
        <f aca="false">IF(E157="","",LN(E157))</f>
        <v>3.97612393083467</v>
      </c>
      <c r="G157" s="13" t="n">
        <f aca="false">IF(OR(F157="",F156=""),"",F157-F156)</f>
        <v>0.175479513389913</v>
      </c>
      <c r="H157" s="10" t="n">
        <f aca="false">IF(COUNT(D$75:D156)&lt;36,"",SLOPE(D$75:D156,G$75:G156))</f>
        <v>0.106700354008375</v>
      </c>
      <c r="I157" s="13" t="n">
        <f aca="false">IF(OR(D157="",H157="",G157=""),"",D157-H157*G157)</f>
        <v>0.0237638425686774</v>
      </c>
      <c r="J157" s="10" t="n">
        <f aca="false">IF(COUNT(Senal!V145:V156)=0,"",AVERAGE(Senal!V145:V156))</f>
        <v>-0.152702758129039</v>
      </c>
      <c r="K157" s="10" t="n">
        <f aca="false">IF(J157="","",ABS(J157))</f>
        <v>0.152702758129039</v>
      </c>
      <c r="L157" s="10" t="n">
        <f aca="false">IF(OR(J157="",J156=""),"",ABS(J157-J156))</f>
        <v>0.0524937111825516</v>
      </c>
      <c r="M157" s="13" t="n">
        <f aca="false">IF(OR(J157="",I157=""),"",J157*I157-IF(L157="",0,L157)*Resumen!$B$8/10000)</f>
        <v>-0.00378628543752895</v>
      </c>
      <c r="N157" s="13" t="n">
        <f aca="false">IF(OR(J157="",D157=""),"",J157*D157-IF(L157="",0,L157)*Resumen!$B$8/10000)</f>
        <v>-0.00664545007070984</v>
      </c>
      <c r="O157" s="13" t="n">
        <f aca="false">IF(M157="","",IF(COUNT(O$2:O156)=0,M157,SUM(M$2:M157)))</f>
        <v>0.0905929177386214</v>
      </c>
      <c r="P157" s="13" t="n">
        <f aca="false">IF(O157="","",MAX(O$2:O157))</f>
        <v>0.102701135552449</v>
      </c>
      <c r="Q157" s="13" t="n">
        <f aca="false">IF(O157="","",O157-P157)</f>
        <v>-0.0121082178138275</v>
      </c>
      <c r="R157" s="13" t="n">
        <f aca="false">IF(COUNT(I158:I158)&lt;1,"",SUM(I158:I158))</f>
        <v>0.131645786044193</v>
      </c>
      <c r="S157" s="13" t="n">
        <f aca="false">IF(COUNT(I158:I160)&lt;3,"",SUM(I158:I160))</f>
        <v>0.20784701741842</v>
      </c>
      <c r="T157" s="13" t="n">
        <f aca="false">IF(COUNT(I158:I163)&lt;6,"",SUM(I158:I163))</f>
        <v>0.208131079223536</v>
      </c>
      <c r="U157" s="13" t="n">
        <f aca="false">IF(COUNT(I158:I169)&lt;12,"",SUM(I158:I169))</f>
        <v>0.0765119259068828</v>
      </c>
      <c r="V157" s="13" t="n">
        <f aca="false">IF(N157="","",SUM(N$2:N157))</f>
        <v>0.111924287983328</v>
      </c>
      <c r="W157" s="13" t="n">
        <f aca="false">IF(V157="","",MAX(V$2:V157))</f>
        <v>0.12581552790827</v>
      </c>
      <c r="X157" s="13" t="n">
        <f aca="false">IF(V157="","",V157-W157)</f>
        <v>-0.0138912399249415</v>
      </c>
      <c r="Y157" s="13" t="n">
        <f aca="false">IF(COUNT(D158:D158)&lt;1,"",SUM(D158:D158))</f>
        <v>0.134420434515263</v>
      </c>
      <c r="Z157" s="13" t="n">
        <f aca="false">IF(COUNT(D158:D160)&lt;3,"",SUM(D158:D160))</f>
        <v>0.203610145155184</v>
      </c>
      <c r="AA157" s="13" t="n">
        <f aca="false">IF(COUNT(D158:D163)&lt;6,"",SUM(D158:D163))</f>
        <v>0.19177545547365</v>
      </c>
      <c r="AB157" s="13" t="n">
        <f aca="false">IF(COUNT(D158:D169)&lt;12,"",SUM(D158:D169))</f>
        <v>0.0969126843621486</v>
      </c>
    </row>
    <row r="158" customFormat="false" ht="15" hidden="false" customHeight="false" outlineLevel="0" collapsed="false">
      <c r="A158" s="8" t="n">
        <f aca="false">Base!A158</f>
        <v>42766</v>
      </c>
      <c r="B158" s="10" t="n">
        <f aca="false">IF(Base!T158="","",Base!T158)</f>
        <v>0.378571508844906</v>
      </c>
      <c r="C158" s="11" t="n">
        <f aca="false">IF(B158="","",LN(B158))</f>
        <v>-0.971350297014057</v>
      </c>
      <c r="D158" s="13" t="n">
        <f aca="false">IF(OR(C158="",C157=""),"",C158-C157)</f>
        <v>0.134420434515263</v>
      </c>
      <c r="E158" s="12" t="n">
        <f aca="false">IF(Base!U158="","",Base!U158)</f>
        <v>54.58</v>
      </c>
      <c r="F158" s="11" t="n">
        <f aca="false">IF(E158="","",LN(E158))</f>
        <v>3.99966751528019</v>
      </c>
      <c r="G158" s="13" t="n">
        <f aca="false">IF(OR(F158="",F157=""),"",F158-F157)</f>
        <v>0.0235435844455227</v>
      </c>
      <c r="H158" s="10" t="n">
        <f aca="false">IF(COUNT(D$75:D157)&lt;36,"",SLOPE(D$75:D157,G$75:G157))</f>
        <v>0.11785157342928</v>
      </c>
      <c r="I158" s="13" t="n">
        <f aca="false">IF(OR(D158="",H158="",G158=""),"",D158-H158*G158)</f>
        <v>0.131645786044193</v>
      </c>
      <c r="J158" s="10" t="n">
        <f aca="false">IF(COUNT(Senal!V146:V157)=0,"",AVERAGE(Senal!V146:V157))</f>
        <v>-0.065832178328414</v>
      </c>
      <c r="K158" s="10" t="n">
        <f aca="false">IF(J158="","",ABS(J158))</f>
        <v>0.065832178328414</v>
      </c>
      <c r="L158" s="10" t="n">
        <f aca="false">IF(OR(J158="",J157=""),"",ABS(J158-J157))</f>
        <v>0.0868705798006249</v>
      </c>
      <c r="M158" s="13" t="n">
        <f aca="false">IF(OR(J158="",I158=""),"",J158*I158-IF(L158="",0,L158)*Resumen!$B$8/10000)</f>
        <v>-0.0089271406024474</v>
      </c>
      <c r="N158" s="13" t="n">
        <f aca="false">IF(OR(J158="",D158=""),"",J158*D158-IF(L158="",0,L158)*Resumen!$B$8/10000)</f>
        <v>-0.00910980175539354</v>
      </c>
      <c r="O158" s="13" t="n">
        <f aca="false">IF(M158="","",IF(COUNT(O$2:O157)=0,M158,SUM(M$2:M158)))</f>
        <v>0.081665777136174</v>
      </c>
      <c r="P158" s="13" t="n">
        <f aca="false">IF(O158="","",MAX(O$2:O158))</f>
        <v>0.102701135552449</v>
      </c>
      <c r="Q158" s="13" t="n">
        <f aca="false">IF(O158="","",O158-P158)</f>
        <v>-0.0210353584162749</v>
      </c>
      <c r="R158" s="13" t="n">
        <f aca="false">IF(COUNT(I159:I159)&lt;1,"",SUM(I159:I159))</f>
        <v>-0.0241626895749038</v>
      </c>
      <c r="S158" s="13" t="n">
        <f aca="false">IF(COUNT(I159:I161)&lt;3,"",SUM(I159:I161))</f>
        <v>0.092751653180686</v>
      </c>
      <c r="T158" s="13" t="n">
        <f aca="false">IF(COUNT(I159:I164)&lt;6,"",SUM(I159:I164))</f>
        <v>0.079893665771363</v>
      </c>
      <c r="U158" s="13" t="n">
        <f aca="false">IF(COUNT(I159:I170)&lt;12,"",SUM(I159:I170))</f>
        <v>-0.0698707362940046</v>
      </c>
      <c r="V158" s="13" t="n">
        <f aca="false">IF(N158="","",SUM(N$2:N158))</f>
        <v>0.102814486227935</v>
      </c>
      <c r="W158" s="13" t="n">
        <f aca="false">IF(V158="","",MAX(V$2:V158))</f>
        <v>0.12581552790827</v>
      </c>
      <c r="X158" s="13" t="n">
        <f aca="false">IF(V158="","",V158-W158)</f>
        <v>-0.0230010416803351</v>
      </c>
      <c r="Y158" s="13" t="n">
        <f aca="false">IF(COUNT(D159:D159)&lt;1,"",SUM(D159:D159))</f>
        <v>-0.0235018451679091</v>
      </c>
      <c r="Z158" s="13" t="n">
        <f aca="false">IF(COUNT(D159:D161)&lt;3,"",SUM(D159:D161))</f>
        <v>0.0873142875523759</v>
      </c>
      <c r="AA158" s="13" t="n">
        <f aca="false">IF(COUNT(D159:D164)&lt;6,"",SUM(D159:D164))</f>
        <v>0.0659144721380901</v>
      </c>
      <c r="AB158" s="13" t="n">
        <f aca="false">IF(COUNT(D159:D170)&lt;12,"",SUM(D159:D170))</f>
        <v>-0.0449173374579291</v>
      </c>
    </row>
    <row r="159" customFormat="false" ht="15" hidden="false" customHeight="false" outlineLevel="0" collapsed="false">
      <c r="A159" s="8" t="n">
        <f aca="false">Base!A159</f>
        <v>42794</v>
      </c>
      <c r="B159" s="10" t="n">
        <f aca="false">IF(Base!T159="","",Base!T159)</f>
        <v>0.369778115087479</v>
      </c>
      <c r="C159" s="11" t="n">
        <f aca="false">IF(B159="","",LN(B159))</f>
        <v>-0.994852142181966</v>
      </c>
      <c r="D159" s="13" t="n">
        <f aca="false">IF(OR(C159="",C158=""),"",C159-C158)</f>
        <v>-0.0235018451679091</v>
      </c>
      <c r="E159" s="12" t="n">
        <f aca="false">IF(Base!U159="","",Base!U159)</f>
        <v>54.87</v>
      </c>
      <c r="F159" s="11" t="n">
        <f aca="false">IF(E159="","",LN(E159))</f>
        <v>4.00496675107088</v>
      </c>
      <c r="G159" s="13" t="n">
        <f aca="false">IF(OR(F159="",F158=""),"",F159-F158)</f>
        <v>0.0052992357906918</v>
      </c>
      <c r="H159" s="10" t="n">
        <f aca="false">IF(COUNT(D$75:D158)&lt;36,"",SLOPE(D$75:D158,G$75:G158))</f>
        <v>0.124705605316801</v>
      </c>
      <c r="I159" s="13" t="n">
        <f aca="false">IF(OR(D159="",H159="",G159=""),"",D159-H159*G159)</f>
        <v>-0.0241626895749038</v>
      </c>
      <c r="J159" s="10" t="n">
        <f aca="false">IF(COUNT(Senal!V147:V158)=0,"",AVERAGE(Senal!V147:V158))</f>
        <v>-0.0131818895371208</v>
      </c>
      <c r="K159" s="10" t="n">
        <f aca="false">IF(J159="","",ABS(J159))</f>
        <v>0.0131818895371208</v>
      </c>
      <c r="L159" s="10" t="n">
        <f aca="false">IF(OR(J159="",J158=""),"",ABS(J159-J158))</f>
        <v>0.0526502887912932</v>
      </c>
      <c r="M159" s="13" t="n">
        <f aca="false">IF(OR(J159="",I159=""),"",J159*I159-IF(L159="",0,L159)*Resumen!$B$8/10000)</f>
        <v>0.000160559038522242</v>
      </c>
      <c r="N159" s="13" t="n">
        <f aca="false">IF(OR(J159="",D159=""),"",J159*D159-IF(L159="",0,L159)*Resumen!$B$8/10000)</f>
        <v>0.000151847860548014</v>
      </c>
      <c r="O159" s="13" t="n">
        <f aca="false">IF(M159="","",IF(COUNT(O$2:O158)=0,M159,SUM(M$2:M159)))</f>
        <v>0.0818263361746962</v>
      </c>
      <c r="P159" s="13" t="n">
        <f aca="false">IF(O159="","",MAX(O$2:O159))</f>
        <v>0.102701135552449</v>
      </c>
      <c r="Q159" s="13" t="n">
        <f aca="false">IF(O159="","",O159-P159)</f>
        <v>-0.0208747993777527</v>
      </c>
      <c r="R159" s="13" t="n">
        <f aca="false">IF(COUNT(I160:I160)&lt;1,"",SUM(I160:I160))</f>
        <v>0.100363920949132</v>
      </c>
      <c r="S159" s="13" t="n">
        <f aca="false">IF(COUNT(I160:I162)&lt;3,"",SUM(I160:I162))</f>
        <v>0.127926978887534</v>
      </c>
      <c r="T159" s="13" t="n">
        <f aca="false">IF(COUNT(I160:I165)&lt;6,"",SUM(I160:I165))</f>
        <v>0.0546188629729377</v>
      </c>
      <c r="U159" s="13" t="n">
        <f aca="false">IF(COUNT(I160:I171)&lt;12,"",SUM(I160:I171))</f>
        <v>-0.0565911753121488</v>
      </c>
      <c r="V159" s="13" t="n">
        <f aca="false">IF(N159="","",SUM(N$2:N159))</f>
        <v>0.102966334088483</v>
      </c>
      <c r="W159" s="13" t="n">
        <f aca="false">IF(V159="","",MAX(V$2:V159))</f>
        <v>0.12581552790827</v>
      </c>
      <c r="X159" s="13" t="n">
        <f aca="false">IF(V159="","",V159-W159)</f>
        <v>-0.0228491938197871</v>
      </c>
      <c r="Y159" s="13" t="n">
        <f aca="false">IF(COUNT(D160:D160)&lt;1,"",SUM(D160:D160))</f>
        <v>0.0926915558078301</v>
      </c>
      <c r="Z159" s="13" t="n">
        <f aca="false">IF(COUNT(D160:D162)&lt;3,"",SUM(D160:D162))</f>
        <v>0.117415781259733</v>
      </c>
      <c r="AA159" s="13" t="n">
        <f aca="false">IF(COUNT(D160:D165)&lt;6,"",SUM(D160:D165))</f>
        <v>0.0474858557726252</v>
      </c>
      <c r="AB159" s="13" t="n">
        <f aca="false">IF(COUNT(D160:D171)&lt;12,"",SUM(D160:D171))</f>
        <v>-0.0380690395779961</v>
      </c>
    </row>
    <row r="160" customFormat="false" ht="15" hidden="false" customHeight="false" outlineLevel="0" collapsed="false">
      <c r="A160" s="8" t="n">
        <f aca="false">Base!A160</f>
        <v>42825</v>
      </c>
      <c r="B160" s="10" t="n">
        <f aca="false">IF(Base!T160="","",Base!T160)</f>
        <v>0.405692179151279</v>
      </c>
      <c r="C160" s="11" t="n">
        <f aca="false">IF(B160="","",LN(B160))</f>
        <v>-0.902160586374136</v>
      </c>
      <c r="D160" s="13" t="n">
        <f aca="false">IF(OR(C160="",C159=""),"",C160-C159)</f>
        <v>0.0926915558078301</v>
      </c>
      <c r="E160" s="12" t="n">
        <f aca="false">IF(Base!U160="","",Base!U160)</f>
        <v>51.59</v>
      </c>
      <c r="F160" s="11" t="n">
        <f aca="false">IF(E160="","",LN(E160))</f>
        <v>3.94332785525656</v>
      </c>
      <c r="G160" s="13" t="n">
        <f aca="false">IF(OR(F160="",F159=""),"",F160-F159)</f>
        <v>-0.0616388958143257</v>
      </c>
      <c r="H160" s="10" t="n">
        <f aca="false">IF(COUNT(D$75:D159)&lt;36,"",SLOPE(D$75:D159,G$75:G159))</f>
        <v>0.12447278686518</v>
      </c>
      <c r="I160" s="13" t="n">
        <f aca="false">IF(OR(D160="",H160="",G160=""),"",D160-H160*G160)</f>
        <v>0.100363920949132</v>
      </c>
      <c r="J160" s="10" t="n">
        <f aca="false">IF(COUNT(Senal!V148:V159)=0,"",AVERAGE(Senal!V148:V159))</f>
        <v>-0.0131818895371208</v>
      </c>
      <c r="K160" s="10" t="n">
        <f aca="false">IF(J160="","",ABS(J160))</f>
        <v>0.0131818895371208</v>
      </c>
      <c r="L160" s="10" t="n">
        <f aca="false">IF(OR(J160="",J159=""),"",ABS(J160-J159))</f>
        <v>0</v>
      </c>
      <c r="M160" s="13" t="n">
        <f aca="false">IF(OR(J160="",I160=""),"",J160*I160-IF(L160="",0,L160)*Resumen!$B$8/10000)</f>
        <v>-0.00132298611946378</v>
      </c>
      <c r="N160" s="13" t="n">
        <f aca="false">IF(OR(J160="",D160=""),"",J160*D160-IF(L160="",0,L160)*Resumen!$B$8/10000)</f>
        <v>-0.00122184984968268</v>
      </c>
      <c r="O160" s="13" t="n">
        <f aca="false">IF(M160="","",IF(COUNT(O$2:O159)=0,M160,SUM(M$2:M160)))</f>
        <v>0.0805033500552325</v>
      </c>
      <c r="P160" s="13" t="n">
        <f aca="false">IF(O160="","",MAX(O$2:O160))</f>
        <v>0.102701135552449</v>
      </c>
      <c r="Q160" s="13" t="n">
        <f aca="false">IF(O160="","",O160-P160)</f>
        <v>-0.0221977854972165</v>
      </c>
      <c r="R160" s="13" t="n">
        <f aca="false">IF(COUNT(I161:I161)&lt;1,"",SUM(I161:I161))</f>
        <v>0.0165504218064581</v>
      </c>
      <c r="S160" s="13" t="n">
        <f aca="false">IF(COUNT(I161:I163)&lt;3,"",SUM(I161:I163))</f>
        <v>0.000284061805115241</v>
      </c>
      <c r="T160" s="13" t="n">
        <f aca="false">IF(COUNT(I161:I166)&lt;6,"",SUM(I161:I166))</f>
        <v>-0.0762826366530965</v>
      </c>
      <c r="U160" s="13" t="n">
        <f aca="false">IF(COUNT(I161:I172)&lt;12,"",SUM(I161:I172))</f>
        <v>-0.171663233381526</v>
      </c>
      <c r="V160" s="13" t="n">
        <f aca="false">IF(N160="","",SUM(N$2:N160))</f>
        <v>0.1017444842388</v>
      </c>
      <c r="W160" s="13" t="n">
        <f aca="false">IF(V160="","",MAX(V$2:V160))</f>
        <v>0.12581552790827</v>
      </c>
      <c r="X160" s="13" t="n">
        <f aca="false">IF(V160="","",V160-W160)</f>
        <v>-0.0240710436694697</v>
      </c>
      <c r="Y160" s="13" t="n">
        <f aca="false">IF(COUNT(D161:D161)&lt;1,"",SUM(D161:D161))</f>
        <v>0.018124576912455</v>
      </c>
      <c r="Z160" s="13" t="n">
        <f aca="false">IF(COUNT(D161:D163)&lt;3,"",SUM(D161:D163))</f>
        <v>-0.0118346896815335</v>
      </c>
      <c r="AA160" s="13" t="n">
        <f aca="false">IF(COUNT(D161:D166)&lt;6,"",SUM(D161:D166))</f>
        <v>-0.066499969575715</v>
      </c>
      <c r="AB160" s="13" t="n">
        <f aca="false">IF(COUNT(D161:D172)&lt;12,"",SUM(D161:D172))</f>
        <v>-0.144368092887011</v>
      </c>
    </row>
    <row r="161" customFormat="false" ht="15" hidden="false" customHeight="false" outlineLevel="0" collapsed="false">
      <c r="A161" s="8" t="n">
        <f aca="false">Base!A161</f>
        <v>42855</v>
      </c>
      <c r="B161" s="10" t="n">
        <f aca="false">IF(Base!T161="","",Base!T161)</f>
        <v>0.413112217661806</v>
      </c>
      <c r="C161" s="11" t="n">
        <f aca="false">IF(B161="","",LN(B161))</f>
        <v>-0.884036009461681</v>
      </c>
      <c r="D161" s="13" t="n">
        <f aca="false">IF(OR(C161="",C160=""),"",C161-C160)</f>
        <v>0.018124576912455</v>
      </c>
      <c r="E161" s="12" t="n">
        <f aca="false">IF(Base!U161="","",Base!U161)</f>
        <v>52.31</v>
      </c>
      <c r="F161" s="11" t="n">
        <f aca="false">IF(E161="","",LN(E161))</f>
        <v>3.95718755738252</v>
      </c>
      <c r="G161" s="13" t="n">
        <f aca="false">IF(OR(F161="",F160=""),"",F161-F160)</f>
        <v>0.0138597021259614</v>
      </c>
      <c r="H161" s="10" t="n">
        <f aca="false">IF(COUNT(D$75:D160)&lt;36,"",SLOPE(D$75:D160,G$75:G160))</f>
        <v>0.11357784544649</v>
      </c>
      <c r="I161" s="13" t="n">
        <f aca="false">IF(OR(D161="",H161="",G161=""),"",D161-H161*G161)</f>
        <v>0.0165504218064581</v>
      </c>
      <c r="J161" s="10" t="n">
        <f aca="false">IF(COUNT(Senal!V149:V160)=0,"",AVERAGE(Senal!V149:V160))</f>
        <v>-0.0131818895371208</v>
      </c>
      <c r="K161" s="10" t="n">
        <f aca="false">IF(J161="","",ABS(J161))</f>
        <v>0.0131818895371208</v>
      </c>
      <c r="L161" s="10" t="n">
        <f aca="false">IF(OR(J161="",J160=""),"",ABS(J161-J160))</f>
        <v>0</v>
      </c>
      <c r="M161" s="13" t="n">
        <f aca="false">IF(OR(J161="",I161=""),"",J161*I161-IF(L161="",0,L161)*Resumen!$B$8/10000)</f>
        <v>-0.000218165832045486</v>
      </c>
      <c r="N161" s="13" t="n">
        <f aca="false">IF(OR(J161="",D161=""),"",J161*D161-IF(L161="",0,L161)*Resumen!$B$8/10000)</f>
        <v>-0.000238916170767031</v>
      </c>
      <c r="O161" s="13" t="n">
        <f aca="false">IF(M161="","",IF(COUNT(O$2:O160)=0,M161,SUM(M$2:M161)))</f>
        <v>0.080285184223187</v>
      </c>
      <c r="P161" s="13" t="n">
        <f aca="false">IF(O161="","",MAX(O$2:O161))</f>
        <v>0.102701135552449</v>
      </c>
      <c r="Q161" s="13" t="n">
        <f aca="false">IF(O161="","",O161-P161)</f>
        <v>-0.022415951329262</v>
      </c>
      <c r="R161" s="13" t="n">
        <f aca="false">IF(COUNT(I162:I162)&lt;1,"",SUM(I162:I162))</f>
        <v>0.0110126361319443</v>
      </c>
      <c r="S161" s="13" t="n">
        <f aca="false">IF(COUNT(I162:I164)&lt;3,"",SUM(I162:I164))</f>
        <v>-0.0128579874093231</v>
      </c>
      <c r="T161" s="13" t="n">
        <f aca="false">IF(COUNT(I162:I167)&lt;6,"",SUM(I162:I167))</f>
        <v>-0.0755940795340093</v>
      </c>
      <c r="U161" s="13" t="n">
        <f aca="false">IF(COUNT(I162:I173)&lt;12,"",SUM(I162:I173))</f>
        <v>-0.15798547277546</v>
      </c>
      <c r="V161" s="13" t="n">
        <f aca="false">IF(N161="","",SUM(N$2:N161))</f>
        <v>0.101505568068033</v>
      </c>
      <c r="W161" s="13" t="n">
        <f aca="false">IF(V161="","",MAX(V$2:V161))</f>
        <v>0.12581552790827</v>
      </c>
      <c r="X161" s="13" t="n">
        <f aca="false">IF(V161="","",V161-W161)</f>
        <v>-0.0243099598402368</v>
      </c>
      <c r="Y161" s="13" t="n">
        <f aca="false">IF(COUNT(D162:D162)&lt;1,"",SUM(D162:D162))</f>
        <v>0.00659964853944794</v>
      </c>
      <c r="Z161" s="13" t="n">
        <f aca="false">IF(COUNT(D162:D164)&lt;3,"",SUM(D162:D164))</f>
        <v>-0.0213998154142858</v>
      </c>
      <c r="AA161" s="13" t="n">
        <f aca="false">IF(COUNT(D162:D167)&lt;6,"",SUM(D162:D167))</f>
        <v>-0.0647818452152109</v>
      </c>
      <c r="AB161" s="13" t="n">
        <f aca="false">IF(COUNT(D162:D173)&lt;12,"",SUM(D162:D173))</f>
        <v>-0.123163366937232</v>
      </c>
    </row>
    <row r="162" customFormat="false" ht="15" hidden="false" customHeight="false" outlineLevel="0" collapsed="false">
      <c r="A162" s="8" t="n">
        <f aca="false">Base!A162</f>
        <v>42886</v>
      </c>
      <c r="B162" s="10" t="n">
        <f aca="false">IF(Base!T162="","",Base!T162)</f>
        <v>0.415847629555801</v>
      </c>
      <c r="C162" s="11" t="n">
        <f aca="false">IF(B162="","",LN(B162))</f>
        <v>-0.877436360922233</v>
      </c>
      <c r="D162" s="13" t="n">
        <f aca="false">IF(OR(C162="",C161=""),"",C162-C161)</f>
        <v>0.00659964853944794</v>
      </c>
      <c r="E162" s="12" t="n">
        <f aca="false">IF(Base!U162="","",Base!U162)</f>
        <v>50.33</v>
      </c>
      <c r="F162" s="11" t="n">
        <f aca="false">IF(E162="","",LN(E162))</f>
        <v>3.91860132078827</v>
      </c>
      <c r="G162" s="13" t="n">
        <f aca="false">IF(OR(F162="",F161=""),"",F162-F161)</f>
        <v>-0.0385862365942513</v>
      </c>
      <c r="H162" s="10" t="n">
        <f aca="false">IF(COUNT(D$75:D161)&lt;36,"",SLOPE(D$75:D161,G$75:G161))</f>
        <v>0.114366882650427</v>
      </c>
      <c r="I162" s="13" t="n">
        <f aca="false">IF(OR(D162="",H162="",G162=""),"",D162-H162*G162)</f>
        <v>0.0110126361319443</v>
      </c>
      <c r="J162" s="10" t="n">
        <f aca="false">IF(COUNT(Senal!V150:V161)=0,"",AVERAGE(Senal!V150:V161))</f>
        <v>-0.0131818895371208</v>
      </c>
      <c r="K162" s="10" t="n">
        <f aca="false">IF(J162="","",ABS(J162))</f>
        <v>0.0131818895371208</v>
      </c>
      <c r="L162" s="10" t="n">
        <f aca="false">IF(OR(J162="",J161=""),"",ABS(J162-J161))</f>
        <v>0</v>
      </c>
      <c r="M162" s="13" t="n">
        <f aca="false">IF(OR(J162="",I162=""),"",J162*I162-IF(L162="",0,L162)*Resumen!$B$8/10000)</f>
        <v>-0.000145167353003795</v>
      </c>
      <c r="N162" s="13" t="n">
        <f aca="false">IF(OR(J162="",D162=""),"",J162*D162-IF(L162="",0,L162)*Resumen!$B$8/10000)</f>
        <v>-8.69958380308234E-005</v>
      </c>
      <c r="O162" s="13" t="n">
        <f aca="false">IF(M162="","",IF(COUNT(O$2:O161)=0,M162,SUM(M$2:M162)))</f>
        <v>0.0801400168701832</v>
      </c>
      <c r="P162" s="13" t="n">
        <f aca="false">IF(O162="","",MAX(O$2:O162))</f>
        <v>0.102701135552449</v>
      </c>
      <c r="Q162" s="13" t="n">
        <f aca="false">IF(O162="","",O162-P162)</f>
        <v>-0.0225611186822658</v>
      </c>
      <c r="R162" s="13" t="n">
        <f aca="false">IF(COUNT(I163:I163)&lt;1,"",SUM(I163:I163))</f>
        <v>-0.0272789961332872</v>
      </c>
      <c r="S162" s="13" t="n">
        <f aca="false">IF(COUNT(I163:I165)&lt;3,"",SUM(I163:I165))</f>
        <v>-0.0733081159145964</v>
      </c>
      <c r="T162" s="13" t="n">
        <f aca="false">IF(COUNT(I163:I168)&lt;6,"",SUM(I163:I168))</f>
        <v>-0.132060182032208</v>
      </c>
      <c r="U162" s="13" t="n">
        <f aca="false">IF(COUNT(I163:I174)&lt;12,"",SUM(I163:I174))</f>
        <v>-0.0947808876213702</v>
      </c>
      <c r="V162" s="13" t="n">
        <f aca="false">IF(N162="","",SUM(N$2:N162))</f>
        <v>0.101418572230002</v>
      </c>
      <c r="W162" s="13" t="n">
        <f aca="false">IF(V162="","",MAX(V$2:V162))</f>
        <v>0.12581552790827</v>
      </c>
      <c r="X162" s="13" t="n">
        <f aca="false">IF(V162="","",V162-W162)</f>
        <v>-0.0243969556782676</v>
      </c>
      <c r="Y162" s="13" t="n">
        <f aca="false">IF(COUNT(D163:D163)&lt;1,"",SUM(D163:D163))</f>
        <v>-0.0365589151334363</v>
      </c>
      <c r="Z162" s="13" t="n">
        <f aca="false">IF(COUNT(D163:D165)&lt;3,"",SUM(D163:D165))</f>
        <v>-0.0699299254871078</v>
      </c>
      <c r="AA162" s="13" t="n">
        <f aca="false">IF(COUNT(D163:D168)&lt;6,"",SUM(D163:D168))</f>
        <v>-0.107316086734668</v>
      </c>
      <c r="AB162" s="13" t="n">
        <f aca="false">IF(COUNT(D163:D174)&lt;12,"",SUM(D163:D174))</f>
        <v>-0.0484383863897041</v>
      </c>
    </row>
    <row r="163" customFormat="false" ht="15" hidden="false" customHeight="false" outlineLevel="0" collapsed="false">
      <c r="A163" s="8" t="n">
        <f aca="false">Base!A163</f>
        <v>42916</v>
      </c>
      <c r="B163" s="10" t="n">
        <f aca="false">IF(Base!T163="","",Base!T163)</f>
        <v>0.400919236957675</v>
      </c>
      <c r="C163" s="11" t="n">
        <f aca="false">IF(B163="","",LN(B163))</f>
        <v>-0.91399527605567</v>
      </c>
      <c r="D163" s="13" t="n">
        <f aca="false">IF(OR(C163="",C162=""),"",C163-C162)</f>
        <v>-0.0365589151334363</v>
      </c>
      <c r="E163" s="12" t="n">
        <f aca="false">IF(Base!U163="","",Base!U163)</f>
        <v>46.37</v>
      </c>
      <c r="F163" s="11" t="n">
        <f aca="false">IF(E163="","",LN(E163))</f>
        <v>3.83665269840337</v>
      </c>
      <c r="G163" s="13" t="n">
        <f aca="false">IF(OR(F163="",F162=""),"",F163-F162)</f>
        <v>-0.0819486223848993</v>
      </c>
      <c r="H163" s="10" t="n">
        <f aca="false">IF(COUNT(D$75:D162)&lt;36,"",SLOPE(D$75:D162,G$75:G162))</f>
        <v>0.113240695573416</v>
      </c>
      <c r="I163" s="13" t="n">
        <f aca="false">IF(OR(D163="",H163="",G163=""),"",D163-H163*G163)</f>
        <v>-0.0272789961332872</v>
      </c>
      <c r="J163" s="10" t="n">
        <f aca="false">IF(COUNT(Senal!V151:V162)=0,"",AVERAGE(Senal!V151:V162))</f>
        <v>-0.0131818895371208</v>
      </c>
      <c r="K163" s="10" t="n">
        <f aca="false">IF(J163="","",ABS(J163))</f>
        <v>0.0131818895371208</v>
      </c>
      <c r="L163" s="10" t="n">
        <f aca="false">IF(OR(J163="",J162=""),"",ABS(J163-J162))</f>
        <v>0</v>
      </c>
      <c r="M163" s="13" t="n">
        <f aca="false">IF(OR(J163="",I163=""),"",J163*I163-IF(L163="",0,L163)*Resumen!$B$8/10000)</f>
        <v>0.000359588713712537</v>
      </c>
      <c r="N163" s="13" t="n">
        <f aca="false">IF(OR(J163="",D163=""),"",J163*D163-IF(L163="",0,L163)*Resumen!$B$8/10000)</f>
        <v>0.000481915580885932</v>
      </c>
      <c r="O163" s="13" t="n">
        <f aca="false">IF(M163="","",IF(COUNT(O$2:O162)=0,M163,SUM(M$2:M163)))</f>
        <v>0.0804996055838957</v>
      </c>
      <c r="P163" s="13" t="n">
        <f aca="false">IF(O163="","",MAX(O$2:O163))</f>
        <v>0.102701135552449</v>
      </c>
      <c r="Q163" s="13" t="n">
        <f aca="false">IF(O163="","",O163-P163)</f>
        <v>-0.0222015299685532</v>
      </c>
      <c r="R163" s="13" t="n">
        <f aca="false">IF(COUNT(I164:I164)&lt;1,"",SUM(I164:I164))</f>
        <v>0.00340837259201981</v>
      </c>
      <c r="S163" s="13" t="n">
        <f aca="false">IF(COUNT(I164:I166)&lt;3,"",SUM(I164:I166))</f>
        <v>-0.0765666984582118</v>
      </c>
      <c r="T163" s="13" t="n">
        <f aca="false">IF(COUNT(I164:I169)&lt;6,"",SUM(I164:I169))</f>
        <v>-0.131619153316653</v>
      </c>
      <c r="U163" s="13" t="n">
        <f aca="false">IF(COUNT(I164:I175)&lt;12,"",SUM(I164:I175))</f>
        <v>-0.139637659763226</v>
      </c>
      <c r="V163" s="13" t="n">
        <f aca="false">IF(N163="","",SUM(N$2:N163))</f>
        <v>0.101900487810888</v>
      </c>
      <c r="W163" s="13" t="n">
        <f aca="false">IF(V163="","",MAX(V$2:V163))</f>
        <v>0.12581552790827</v>
      </c>
      <c r="X163" s="13" t="n">
        <f aca="false">IF(V163="","",V163-W163)</f>
        <v>-0.0239150400973817</v>
      </c>
      <c r="Y163" s="13" t="n">
        <f aca="false">IF(COUNT(D164:D164)&lt;1,"",SUM(D164:D164))</f>
        <v>0.00855945117970258</v>
      </c>
      <c r="Z163" s="13" t="n">
        <f aca="false">IF(COUNT(D164:D166)&lt;3,"",SUM(D164:D166))</f>
        <v>-0.0546652798941816</v>
      </c>
      <c r="AA163" s="13" t="n">
        <f aca="false">IF(COUNT(D164:D169)&lt;6,"",SUM(D164:D169))</f>
        <v>-0.0948627711115014</v>
      </c>
      <c r="AB163" s="13" t="n">
        <f aca="false">IF(COUNT(D164:D175)&lt;12,"",SUM(D164:D175))</f>
        <v>-0.0880004497027208</v>
      </c>
    </row>
    <row r="164" customFormat="false" ht="15" hidden="false" customHeight="false" outlineLevel="0" collapsed="false">
      <c r="A164" s="8" t="n">
        <f aca="false">Base!A164</f>
        <v>42947</v>
      </c>
      <c r="B164" s="10" t="n">
        <f aca="false">IF(Base!T164="","",Base!T164)</f>
        <v>0.404365614100554</v>
      </c>
      <c r="C164" s="11" t="n">
        <f aca="false">IF(B164="","",LN(B164))</f>
        <v>-0.905435824875967</v>
      </c>
      <c r="D164" s="13" t="n">
        <f aca="false">IF(OR(C164="",C163=""),"",C164-C163)</f>
        <v>0.00855945117970258</v>
      </c>
      <c r="E164" s="12" t="n">
        <f aca="false">IF(Base!U164="","",Base!U164)</f>
        <v>48.48</v>
      </c>
      <c r="F164" s="11" t="n">
        <f aca="false">IF(E164="","",LN(E164))</f>
        <v>3.88115134176106</v>
      </c>
      <c r="G164" s="13" t="n">
        <f aca="false">IF(OR(F164="",F163=""),"",F164-F163)</f>
        <v>0.0444986433576897</v>
      </c>
      <c r="H164" s="10" t="n">
        <f aca="false">IF(COUNT(D$75:D163)&lt;36,"",SLOPE(D$75:D163,G$75:G163))</f>
        <v>0.115758104045494</v>
      </c>
      <c r="I164" s="13" t="n">
        <f aca="false">IF(OR(D164="",H164="",G164=""),"",D164-H164*G164)</f>
        <v>0.00340837259201981</v>
      </c>
      <c r="J164" s="10" t="n">
        <f aca="false">IF(COUNT(Senal!V152:V163)=0,"",AVERAGE(Senal!V152:V163))</f>
        <v>0.02280585548044</v>
      </c>
      <c r="K164" s="10" t="n">
        <f aca="false">IF(J164="","",ABS(J164))</f>
        <v>0.02280585548044</v>
      </c>
      <c r="L164" s="10" t="n">
        <f aca="false">IF(OR(J164="",J163=""),"",ABS(J164-J163))</f>
        <v>0.0359877450175608</v>
      </c>
      <c r="M164" s="13" t="n">
        <f aca="false">IF(OR(J164="",I164=""),"",J164*I164-IF(L164="",0,L164)*Resumen!$B$8/10000)</f>
        <v>-3.0232382295586E-005</v>
      </c>
      <c r="N164" s="13" t="n">
        <f aca="false">IF(OR(J164="",D164=""),"",J164*D164-IF(L164="",0,L164)*Resumen!$B$8/10000)</f>
        <v>8.72423715434963E-005</v>
      </c>
      <c r="O164" s="13" t="n">
        <f aca="false">IF(M164="","",IF(COUNT(O$2:O163)=0,M164,SUM(M$2:M164)))</f>
        <v>0.0804693732016001</v>
      </c>
      <c r="P164" s="13" t="n">
        <f aca="false">IF(O164="","",MAX(O$2:O164))</f>
        <v>0.102701135552449</v>
      </c>
      <c r="Q164" s="13" t="n">
        <f aca="false">IF(O164="","",O164-P164)</f>
        <v>-0.0222317623508488</v>
      </c>
      <c r="R164" s="13" t="n">
        <f aca="false">IF(COUNT(I165:I165)&lt;1,"",SUM(I165:I165))</f>
        <v>-0.049437492373329</v>
      </c>
      <c r="S164" s="13" t="n">
        <f aca="false">IF(COUNT(I165:I167)&lt;3,"",SUM(I165:I167))</f>
        <v>-0.0627360921246862</v>
      </c>
      <c r="T164" s="13" t="n">
        <f aca="false">IF(COUNT(I165:I170)&lt;6,"",SUM(I165:I170))</f>
        <v>-0.149764402065368</v>
      </c>
      <c r="U164" s="13" t="n">
        <f aca="false">IF(COUNT(I165:I176)&lt;12,"",SUM(I165:I176))</f>
        <v>-0.0871862285077498</v>
      </c>
      <c r="V164" s="13" t="n">
        <f aca="false">IF(N164="","",SUM(N$2:N164))</f>
        <v>0.101987730182432</v>
      </c>
      <c r="W164" s="13" t="n">
        <f aca="false">IF(V164="","",MAX(V$2:V164))</f>
        <v>0.12581552790827</v>
      </c>
      <c r="X164" s="13" t="n">
        <f aca="false">IF(V164="","",V164-W164)</f>
        <v>-0.0238277977258382</v>
      </c>
      <c r="Y164" s="13" t="n">
        <f aca="false">IF(COUNT(D165:D165)&lt;1,"",SUM(D165:D165))</f>
        <v>-0.041930461533374</v>
      </c>
      <c r="Z164" s="13" t="n">
        <f aca="false">IF(COUNT(D165:D167)&lt;3,"",SUM(D165:D167))</f>
        <v>-0.0433820298009251</v>
      </c>
      <c r="AA164" s="13" t="n">
        <f aca="false">IF(COUNT(D165:D170)&lt;6,"",SUM(D165:D170))</f>
        <v>-0.110831809596019</v>
      </c>
      <c r="AB164" s="13" t="n">
        <f aca="false">IF(COUNT(D165:D176)&lt;12,"",SUM(D165:D176))</f>
        <v>-0.0409601187255035</v>
      </c>
    </row>
    <row r="165" customFormat="false" ht="15" hidden="false" customHeight="false" outlineLevel="0" collapsed="false">
      <c r="A165" s="8" t="n">
        <f aca="false">Base!A165</f>
        <v>42978</v>
      </c>
      <c r="B165" s="10" t="n">
        <f aca="false">IF(Base!T165="","",Base!T165)</f>
        <v>0.387760931026711</v>
      </c>
      <c r="C165" s="11" t="n">
        <f aca="false">IF(B165="","",LN(B165))</f>
        <v>-0.947366286409341</v>
      </c>
      <c r="D165" s="13" t="n">
        <f aca="false">IF(OR(C165="",C164=""),"",C165-C164)</f>
        <v>-0.041930461533374</v>
      </c>
      <c r="E165" s="12" t="n">
        <f aca="false">IF(Base!U165="","",Base!U165)</f>
        <v>51.7</v>
      </c>
      <c r="F165" s="11" t="n">
        <f aca="false">IF(E165="","",LN(E165))</f>
        <v>3.94545778151438</v>
      </c>
      <c r="G165" s="13" t="n">
        <f aca="false">IF(OR(F165="",F164=""),"",F165-F164)</f>
        <v>0.0643064397533246</v>
      </c>
      <c r="H165" s="10" t="n">
        <f aca="false">IF(COUNT(D$75:D164)&lt;36,"",SLOPE(D$75:D164,G$75:G164))</f>
        <v>0.116738399276208</v>
      </c>
      <c r="I165" s="13" t="n">
        <f aca="false">IF(OR(D165="",H165="",G165=""),"",D165-H165*G165)</f>
        <v>-0.049437492373329</v>
      </c>
      <c r="J165" s="10" t="n">
        <f aca="false">IF(COUNT(Senal!V153:V164)=0,"",AVERAGE(Senal!V153:V164))</f>
        <v>0.0656421876248356</v>
      </c>
      <c r="K165" s="10" t="n">
        <f aca="false">IF(J165="","",ABS(J165))</f>
        <v>0.0656421876248356</v>
      </c>
      <c r="L165" s="10" t="n">
        <f aca="false">IF(OR(J165="",J164=""),"",ABS(J165-J164))</f>
        <v>0.0428363321443956</v>
      </c>
      <c r="M165" s="13" t="n">
        <f aca="false">IF(OR(J165="",I165=""),"",J165*I165-IF(L165="",0,L165)*Resumen!$B$8/10000)</f>
        <v>-0.00337369414650463</v>
      </c>
      <c r="N165" s="13" t="n">
        <f aca="false">IF(OR(J165="",D165=""),"",J165*D165-IF(L165="",0,L165)*Resumen!$B$8/10000)</f>
        <v>-0.00288091621960288</v>
      </c>
      <c r="O165" s="13" t="n">
        <f aca="false">IF(M165="","",IF(COUNT(O$2:O164)=0,M165,SUM(M$2:M165)))</f>
        <v>0.0770956790550955</v>
      </c>
      <c r="P165" s="13" t="n">
        <f aca="false">IF(O165="","",MAX(O$2:O165))</f>
        <v>0.102701135552449</v>
      </c>
      <c r="Q165" s="13" t="n">
        <f aca="false">IF(O165="","",O165-P165)</f>
        <v>-0.0256054564973534</v>
      </c>
      <c r="R165" s="13" t="n">
        <f aca="false">IF(COUNT(I166:I166)&lt;1,"",SUM(I166:I166))</f>
        <v>-0.0305375786769025</v>
      </c>
      <c r="S165" s="13" t="n">
        <f aca="false">IF(COUNT(I166:I168)&lt;3,"",SUM(I166:I168))</f>
        <v>-0.0587520661176115</v>
      </c>
      <c r="T165" s="13" t="n">
        <f aca="false">IF(COUNT(I166:I171)&lt;6,"",SUM(I166:I171))</f>
        <v>-0.111210038285087</v>
      </c>
      <c r="U165" s="13" t="n">
        <f aca="false">IF(COUNT(I166:I177)&lt;12,"",SUM(I166:I177))</f>
        <v>0.106864703894727</v>
      </c>
      <c r="V165" s="13" t="n">
        <f aca="false">IF(N165="","",SUM(N$2:N165))</f>
        <v>0.0991068139628287</v>
      </c>
      <c r="W165" s="13" t="n">
        <f aca="false">IF(V165="","",MAX(V$2:V165))</f>
        <v>0.12581552790827</v>
      </c>
      <c r="X165" s="13" t="n">
        <f aca="false">IF(V165="","",V165-W165)</f>
        <v>-0.026708713945441</v>
      </c>
      <c r="Y165" s="13" t="n">
        <f aca="false">IF(COUNT(D166:D166)&lt;1,"",SUM(D166:D166))</f>
        <v>-0.0212942695405102</v>
      </c>
      <c r="Z165" s="13" t="n">
        <f aca="false">IF(COUNT(D166:D168)&lt;3,"",SUM(D166:D168))</f>
        <v>-0.03738616124756</v>
      </c>
      <c r="AA165" s="13" t="n">
        <f aca="false">IF(COUNT(D166:D171)&lt;6,"",SUM(D166:D171))</f>
        <v>-0.0855548953506213</v>
      </c>
      <c r="AB165" s="13" t="n">
        <f aca="false">IF(COUNT(D166:D177)&lt;12,"",SUM(D166:D177))</f>
        <v>0.1427571810075</v>
      </c>
    </row>
    <row r="166" customFormat="false" ht="15" hidden="false" customHeight="false" outlineLevel="0" collapsed="false">
      <c r="A166" s="8" t="n">
        <f aca="false">Base!A166</f>
        <v>43008</v>
      </c>
      <c r="B166" s="10" t="n">
        <f aca="false">IF(Base!T166="","",Base!T166)</f>
        <v>0.379591138833583</v>
      </c>
      <c r="C166" s="11" t="n">
        <f aca="false">IF(B166="","",LN(B166))</f>
        <v>-0.968660555949851</v>
      </c>
      <c r="D166" s="13" t="n">
        <f aca="false">IF(OR(C166="",C165=""),"",C166-C165)</f>
        <v>-0.0212942695405102</v>
      </c>
      <c r="E166" s="12" t="n">
        <f aca="false">IF(Base!U166="","",Base!U166)</f>
        <v>56.15</v>
      </c>
      <c r="F166" s="11" t="n">
        <f aca="false">IF(E166="","",LN(E166))</f>
        <v>4.02802668118445</v>
      </c>
      <c r="G166" s="13" t="n">
        <f aca="false">IF(OR(F166="",F165=""),"",F166-F165)</f>
        <v>0.0825688996700689</v>
      </c>
      <c r="H166" s="10" t="n">
        <f aca="false">IF(COUNT(D$75:D165)&lt;36,"",SLOPE(D$75:D165,G$75:G165))</f>
        <v>0.111946618803533</v>
      </c>
      <c r="I166" s="13" t="n">
        <f aca="false">IF(OR(D166="",H166="",G166=""),"",D166-H166*G166)</f>
        <v>-0.0305375786769025</v>
      </c>
      <c r="J166" s="10" t="n">
        <f aca="false">IF(COUNT(Senal!V154:V165)=0,"",AVERAGE(Senal!V154:V165))</f>
        <v>0.140585825694842</v>
      </c>
      <c r="K166" s="10" t="n">
        <f aca="false">IF(J166="","",ABS(J166))</f>
        <v>0.140585825694842</v>
      </c>
      <c r="L166" s="10" t="n">
        <f aca="false">IF(OR(J166="",J165=""),"",ABS(J166-J165))</f>
        <v>0.0749436380700064</v>
      </c>
      <c r="M166" s="13" t="n">
        <f aca="false">IF(OR(J166="",I166=""),"",J166*I166-IF(L166="",0,L166)*Resumen!$B$8/10000)</f>
        <v>-0.00451798162722357</v>
      </c>
      <c r="N166" s="13" t="n">
        <f aca="false">IF(OR(J166="",D166=""),"",J166*D166-IF(L166="",0,L166)*Resumen!$B$8/10000)</f>
        <v>-0.00321850338013117</v>
      </c>
      <c r="O166" s="13" t="n">
        <f aca="false">IF(M166="","",IF(COUNT(O$2:O165)=0,M166,SUM(M$2:M166)))</f>
        <v>0.0725776974278719</v>
      </c>
      <c r="P166" s="13" t="n">
        <f aca="false">IF(O166="","",MAX(O$2:O166))</f>
        <v>0.102701135552449</v>
      </c>
      <c r="Q166" s="13" t="n">
        <f aca="false">IF(O166="","",O166-P166)</f>
        <v>-0.030123438124577</v>
      </c>
      <c r="R166" s="13" t="n">
        <f aca="false">IF(COUNT(I167:I167)&lt;1,"",SUM(I167:I167))</f>
        <v>0.0172389789255453</v>
      </c>
      <c r="S166" s="13" t="n">
        <f aca="false">IF(COUNT(I167:I169)&lt;3,"",SUM(I167:I169))</f>
        <v>-0.0550524548584411</v>
      </c>
      <c r="T166" s="13" t="n">
        <f aca="false">IF(COUNT(I167:I172)&lt;6,"",SUM(I167:I172))</f>
        <v>-0.0953805967284299</v>
      </c>
      <c r="U166" s="13" t="n">
        <f aca="false">IF(COUNT(I167:I178)&lt;12,"",SUM(I167:I178))</f>
        <v>0.132538708968893</v>
      </c>
      <c r="V166" s="13" t="n">
        <f aca="false">IF(N166="","",SUM(N$2:N166))</f>
        <v>0.0958883105826976</v>
      </c>
      <c r="W166" s="13" t="n">
        <f aca="false">IF(V166="","",MAX(V$2:V166))</f>
        <v>0.12581552790827</v>
      </c>
      <c r="X166" s="13" t="n">
        <f aca="false">IF(V166="","",V166-W166)</f>
        <v>-0.0299272173255722</v>
      </c>
      <c r="Y166" s="13" t="n">
        <f aca="false">IF(COUNT(D167:D167)&lt;1,"",SUM(D167:D167))</f>
        <v>0.0198427012729591</v>
      </c>
      <c r="Z166" s="13" t="n">
        <f aca="false">IF(COUNT(D167:D169)&lt;3,"",SUM(D167:D169))</f>
        <v>-0.0401974912173199</v>
      </c>
      <c r="AA166" s="13" t="n">
        <f aca="false">IF(COUNT(D167:D172)&lt;6,"",SUM(D167:D172))</f>
        <v>-0.0778681233112962</v>
      </c>
      <c r="AB166" s="13" t="n">
        <f aca="false">IF(COUNT(D167:D178)&lt;12,"",SUM(D167:D178))</f>
        <v>0.168858083404854</v>
      </c>
    </row>
    <row r="167" customFormat="false" ht="15" hidden="false" customHeight="false" outlineLevel="0" collapsed="false">
      <c r="A167" s="8" t="n">
        <f aca="false">Base!A167</f>
        <v>43039</v>
      </c>
      <c r="B167" s="10" t="n">
        <f aca="false">IF(Base!T167="","",Base!T167)</f>
        <v>0.387198477882165</v>
      </c>
      <c r="C167" s="11" t="n">
        <f aca="false">IF(B167="","",LN(B167))</f>
        <v>-0.948817854676892</v>
      </c>
      <c r="D167" s="13" t="n">
        <f aca="false">IF(OR(C167="",C166=""),"",C167-C166)</f>
        <v>0.0198427012729591</v>
      </c>
      <c r="E167" s="12" t="n">
        <f aca="false">IF(Base!U167="","",Base!U167)</f>
        <v>57.51</v>
      </c>
      <c r="F167" s="11" t="n">
        <f aca="false">IF(E167="","",LN(E167))</f>
        <v>4.05195884572566</v>
      </c>
      <c r="G167" s="13" t="n">
        <f aca="false">IF(OR(F167="",F166=""),"",F167-F166)</f>
        <v>0.0239321645412103</v>
      </c>
      <c r="H167" s="10" t="n">
        <f aca="false">IF(COUNT(D$75:D166)&lt;36,"",SLOPE(D$75:D166,G$75:G166))</f>
        <v>0.108795940414425</v>
      </c>
      <c r="I167" s="13" t="n">
        <f aca="false">IF(OR(D167="",H167="",G167=""),"",D167-H167*G167)</f>
        <v>0.0172389789255453</v>
      </c>
      <c r="J167" s="10" t="n">
        <f aca="false">IF(COUNT(Senal!V155:V166)=0,"",AVERAGE(Senal!V155:V166))</f>
        <v>0.180545698453306</v>
      </c>
      <c r="K167" s="10" t="n">
        <f aca="false">IF(J167="","",ABS(J167))</f>
        <v>0.180545698453306</v>
      </c>
      <c r="L167" s="10" t="n">
        <f aca="false">IF(OR(J167="",J166=""),"",ABS(J167-J166))</f>
        <v>0.0399598727584642</v>
      </c>
      <c r="M167" s="13" t="n">
        <f aca="false">IF(OR(J167="",I167=""),"",J167*I167-IF(L167="",0,L167)*Resumen!$B$8/10000)</f>
        <v>0.00299254387245902</v>
      </c>
      <c r="N167" s="13" t="n">
        <f aca="false">IF(OR(J167="",D167=""),"",J167*D167-IF(L167="",0,L167)*Resumen!$B$8/10000)</f>
        <v>0.00346263474225131</v>
      </c>
      <c r="O167" s="13" t="n">
        <f aca="false">IF(M167="","",IF(COUNT(O$2:O166)=0,M167,SUM(M$2:M167)))</f>
        <v>0.075570241300331</v>
      </c>
      <c r="P167" s="13" t="n">
        <f aca="false">IF(O167="","",MAX(O$2:O167))</f>
        <v>0.102701135552449</v>
      </c>
      <c r="Q167" s="13" t="n">
        <f aca="false">IF(O167="","",O167-P167)</f>
        <v>-0.027130894252118</v>
      </c>
      <c r="R167" s="13" t="n">
        <f aca="false">IF(COUNT(I168:I168)&lt;1,"",SUM(I168:I168))</f>
        <v>-0.0454534663662543</v>
      </c>
      <c r="S167" s="13" t="n">
        <f aca="false">IF(COUNT(I168:I170)&lt;3,"",SUM(I168:I170))</f>
        <v>-0.0870283099406813</v>
      </c>
      <c r="T167" s="13" t="n">
        <f aca="false">IF(COUNT(I168:I173)&lt;6,"",SUM(I168:I173))</f>
        <v>-0.0823913932414509</v>
      </c>
      <c r="U167" s="13" t="n">
        <f aca="false">IF(COUNT(I168:I179)&lt;12,"",SUM(I168:I179))</f>
        <v>0.0893759026140674</v>
      </c>
      <c r="V167" s="13" t="n">
        <f aca="false">IF(N167="","",SUM(N$2:N167))</f>
        <v>0.0993509453249489</v>
      </c>
      <c r="W167" s="13" t="n">
        <f aca="false">IF(V167="","",MAX(V$2:V167))</f>
        <v>0.12581552790827</v>
      </c>
      <c r="X167" s="13" t="n">
        <f aca="false">IF(V167="","",V167-W167)</f>
        <v>-0.0264645825833209</v>
      </c>
      <c r="Y167" s="13" t="n">
        <f aca="false">IF(COUNT(D168:D168)&lt;1,"",SUM(D168:D168))</f>
        <v>-0.0359345929800089</v>
      </c>
      <c r="Z167" s="13" t="n">
        <f aca="false">IF(COUNT(D168:D170)&lt;3,"",SUM(D168:D170))</f>
        <v>-0.0674497797950941</v>
      </c>
      <c r="AA167" s="13" t="n">
        <f aca="false">IF(COUNT(D168:D173)&lt;6,"",SUM(D168:D173))</f>
        <v>-0.0583815217220207</v>
      </c>
      <c r="AB167" s="13" t="n">
        <f aca="false">IF(COUNT(D168:D179)&lt;12,"",SUM(D168:D179))</f>
        <v>0.126176671328344</v>
      </c>
    </row>
    <row r="168" customFormat="false" ht="15" hidden="false" customHeight="false" outlineLevel="0" collapsed="false">
      <c r="A168" s="8" t="n">
        <f aca="false">Base!A168</f>
        <v>43069</v>
      </c>
      <c r="B168" s="10" t="n">
        <f aca="false">IF(Base!T168="","",Base!T168)</f>
        <v>0.37353168413582</v>
      </c>
      <c r="C168" s="11" t="n">
        <f aca="false">IF(B168="","",LN(B168))</f>
        <v>-0.984752447656901</v>
      </c>
      <c r="D168" s="13" t="n">
        <f aca="false">IF(OR(C168="",C167=""),"",C168-C167)</f>
        <v>-0.0359345929800089</v>
      </c>
      <c r="E168" s="12" t="n">
        <f aca="false">IF(Base!U168="","",Base!U168)</f>
        <v>62.71</v>
      </c>
      <c r="F168" s="11" t="n">
        <f aca="false">IF(E168="","",LN(E168))</f>
        <v>4.13852092455493</v>
      </c>
      <c r="G168" s="13" t="n">
        <f aca="false">IF(OR(F168="",F167=""),"",F168-F167)</f>
        <v>0.0865620788292665</v>
      </c>
      <c r="H168" s="10" t="n">
        <f aca="false">IF(COUNT(D$75:D167)&lt;36,"",SLOPE(D$75:D167,G$75:G167))</f>
        <v>0.109965859357655</v>
      </c>
      <c r="I168" s="13" t="n">
        <f aca="false">IF(OR(D168="",H168="",G168=""),"",D168-H168*G168)</f>
        <v>-0.0454534663662543</v>
      </c>
      <c r="J168" s="10" t="n">
        <f aca="false">IF(COUNT(Senal!V156:V167)=0,"",AVERAGE(Senal!V156:V167))</f>
        <v>0.21764508486592</v>
      </c>
      <c r="K168" s="10" t="n">
        <f aca="false">IF(J168="","",ABS(J168))</f>
        <v>0.21764508486592</v>
      </c>
      <c r="L168" s="10" t="n">
        <f aca="false">IF(OR(J168="",J167=""),"",ABS(J168-J167))</f>
        <v>0.0370993864126138</v>
      </c>
      <c r="M168" s="13" t="n">
        <f aca="false">IF(OR(J168="",I168=""),"",J168*I168-IF(L168="",0,L168)*Resumen!$B$8/10000)</f>
        <v>-0.0100040217039715</v>
      </c>
      <c r="N168" s="13" t="n">
        <f aca="false">IF(OR(J168="",D168=""),"",J168*D168-IF(L168="",0,L168)*Resumen!$B$8/10000)</f>
        <v>-0.00793228569799417</v>
      </c>
      <c r="O168" s="13" t="n">
        <f aca="false">IF(M168="","",IF(COUNT(O$2:O167)=0,M168,SUM(M$2:M168)))</f>
        <v>0.0655662195963595</v>
      </c>
      <c r="P168" s="13" t="n">
        <f aca="false">IF(O168="","",MAX(O$2:O168))</f>
        <v>0.102701135552449</v>
      </c>
      <c r="Q168" s="13" t="n">
        <f aca="false">IF(O168="","",O168-P168)</f>
        <v>-0.0371349159560895</v>
      </c>
      <c r="R168" s="13" t="n">
        <f aca="false">IF(COUNT(I169:I169)&lt;1,"",SUM(I169:I169))</f>
        <v>-0.0268379674177322</v>
      </c>
      <c r="S168" s="13" t="n">
        <f aca="false">IF(COUNT(I169:I171)&lt;3,"",SUM(I169:I171))</f>
        <v>-0.0524579721674751</v>
      </c>
      <c r="T168" s="13" t="n">
        <f aca="false">IF(COUNT(I169:I174)&lt;6,"",SUM(I169:I174))</f>
        <v>0.0372792944108376</v>
      </c>
      <c r="U168" s="13" t="n">
        <f aca="false">IF(COUNT(I169:I180)&lt;12,"",SUM(I169:I180))</f>
        <v>0.176968870003255</v>
      </c>
      <c r="V168" s="13" t="n">
        <f aca="false">IF(N168="","",SUM(N$2:N168))</f>
        <v>0.0914186596269547</v>
      </c>
      <c r="W168" s="13" t="n">
        <f aca="false">IF(V168="","",MAX(V$2:V168))</f>
        <v>0.12581552790827</v>
      </c>
      <c r="X168" s="13" t="n">
        <f aca="false">IF(V168="","",V168-W168)</f>
        <v>-0.0343968682813151</v>
      </c>
      <c r="Y168" s="13" t="n">
        <f aca="false">IF(COUNT(D169:D169)&lt;1,"",SUM(D169:D169))</f>
        <v>-0.02410559951027</v>
      </c>
      <c r="Z168" s="13" t="n">
        <f aca="false">IF(COUNT(D169:D171)&lt;3,"",SUM(D169:D171))</f>
        <v>-0.0481687341030613</v>
      </c>
      <c r="AA168" s="13" t="n">
        <f aca="false">IF(COUNT(D169:D174)&lt;6,"",SUM(D169:D174))</f>
        <v>0.0588777003449636</v>
      </c>
      <c r="AB168" s="13" t="n">
        <f aca="false">IF(COUNT(D169:D180)&lt;12,"",SUM(D169:D180))</f>
        <v>0.178576366992037</v>
      </c>
    </row>
    <row r="169" customFormat="false" ht="15" hidden="false" customHeight="false" outlineLevel="0" collapsed="false">
      <c r="A169" s="8" t="n">
        <f aca="false">Base!A169</f>
        <v>43100</v>
      </c>
      <c r="B169" s="10" t="n">
        <f aca="false">IF(Base!T169="","",Base!T169)</f>
        <v>0.364635138038461</v>
      </c>
      <c r="C169" s="11" t="n">
        <f aca="false">IF(B169="","",LN(B169))</f>
        <v>-1.00885804716717</v>
      </c>
      <c r="D169" s="13" t="n">
        <f aca="false">IF(OR(C169="",C168=""),"",C169-C168)</f>
        <v>-0.02410559951027</v>
      </c>
      <c r="E169" s="12" t="n">
        <f aca="false">IF(Base!U169="","",Base!U169)</f>
        <v>64.37</v>
      </c>
      <c r="F169" s="11" t="n">
        <f aca="false">IF(E169="","",LN(E169))</f>
        <v>4.16464768606453</v>
      </c>
      <c r="G169" s="13" t="n">
        <f aca="false">IF(OR(F169="",F168=""),"",F169-F168)</f>
        <v>0.0261267615095955</v>
      </c>
      <c r="H169" s="10" t="n">
        <f aca="false">IF(COUNT(D$75:D168)&lt;36,"",SLOPE(D$75:D168,G$75:G168))</f>
        <v>0.104581193748743</v>
      </c>
      <c r="I169" s="13" t="n">
        <f aca="false">IF(OR(D169="",H169="",G169=""),"",D169-H169*G169)</f>
        <v>-0.0268379674177322</v>
      </c>
      <c r="J169" s="10" t="n">
        <f aca="false">IF(COUNT(Senal!V157:V168)=0,"",AVERAGE(Senal!V157:V168))</f>
        <v>0.24346084636675</v>
      </c>
      <c r="K169" s="10" t="n">
        <f aca="false">IF(J169="","",ABS(J169))</f>
        <v>0.24346084636675</v>
      </c>
      <c r="L169" s="10" t="n">
        <f aca="false">IF(OR(J169="",J168=""),"",ABS(J169-J168))</f>
        <v>0.0258157615008298</v>
      </c>
      <c r="M169" s="13" t="n">
        <f aca="false">IF(OR(J169="",I169=""),"",J169*I169-IF(L169="",0,L169)*Resumen!$B$8/10000)</f>
        <v>-0.00661144154678683</v>
      </c>
      <c r="N169" s="13" t="n">
        <f aca="false">IF(OR(J169="",D169=""),"",J169*D169-IF(L169="",0,L169)*Resumen!$B$8/10000)</f>
        <v>-0.00594621694345074</v>
      </c>
      <c r="O169" s="13" t="n">
        <f aca="false">IF(M169="","",IF(COUNT(O$2:O168)=0,M169,SUM(M$2:M169)))</f>
        <v>0.0589547780495726</v>
      </c>
      <c r="P169" s="13" t="n">
        <f aca="false">IF(O169="","",MAX(O$2:O169))</f>
        <v>0.102701135552449</v>
      </c>
      <c r="Q169" s="13" t="n">
        <f aca="false">IF(O169="","",O169-P169)</f>
        <v>-0.0437463575028763</v>
      </c>
      <c r="R169" s="13" t="n">
        <f aca="false">IF(COUNT(I170:I170)&lt;1,"",SUM(I170:I170))</f>
        <v>-0.0147368761566948</v>
      </c>
      <c r="S169" s="13" t="n">
        <f aca="false">IF(COUNT(I170:I172)&lt;3,"",SUM(I170:I172))</f>
        <v>-0.0403281418699888</v>
      </c>
      <c r="T169" s="13" t="n">
        <f aca="false">IF(COUNT(I170:I175)&lt;6,"",SUM(I170:I175))</f>
        <v>-0.00801850644657297</v>
      </c>
      <c r="U169" s="13" t="n">
        <f aca="false">IF(COUNT(I170:I181)&lt;12,"",SUM(I170:I181))</f>
        <v>0.14761333634528</v>
      </c>
      <c r="V169" s="13" t="n">
        <f aca="false">IF(N169="","",SUM(N$2:N169))</f>
        <v>0.085472442683504</v>
      </c>
      <c r="W169" s="13" t="n">
        <f aca="false">IF(V169="","",MAX(V$2:V169))</f>
        <v>0.12581552790827</v>
      </c>
      <c r="X169" s="13" t="n">
        <f aca="false">IF(V169="","",V169-W169)</f>
        <v>-0.0403430852247658</v>
      </c>
      <c r="Y169" s="13" t="n">
        <f aca="false">IF(COUNT(D170:D170)&lt;1,"",SUM(D170:D170))</f>
        <v>-0.00740958730481522</v>
      </c>
      <c r="Z169" s="13" t="n">
        <f aca="false">IF(COUNT(D170:D172)&lt;3,"",SUM(D170:D172))</f>
        <v>-0.0376706320939764</v>
      </c>
      <c r="AA169" s="13" t="n">
        <f aca="false">IF(COUNT(D170:D175)&lt;6,"",SUM(D170:D175))</f>
        <v>0.00686232140878063</v>
      </c>
      <c r="AB169" s="13" t="n">
        <f aca="false">IF(COUNT(D170:D181)&lt;12,"",SUM(D170:D181))</f>
        <v>0.134530207055263</v>
      </c>
    </row>
    <row r="170" customFormat="false" ht="15" hidden="false" customHeight="false" outlineLevel="0" collapsed="false">
      <c r="A170" s="8" t="n">
        <f aca="false">Base!A170</f>
        <v>43131</v>
      </c>
      <c r="B170" s="10" t="n">
        <f aca="false">IF(Base!T170="","",Base!T170)</f>
        <v>0.361943327068426</v>
      </c>
      <c r="C170" s="11" t="n">
        <f aca="false">IF(B170="","",LN(B170))</f>
        <v>-1.01626763447199</v>
      </c>
      <c r="D170" s="13" t="n">
        <f aca="false">IF(OR(C170="",C169=""),"",C170-C169)</f>
        <v>-0.00740958730481522</v>
      </c>
      <c r="E170" s="12" t="n">
        <f aca="false">IF(Base!U170="","",Base!U170)</f>
        <v>69.08</v>
      </c>
      <c r="F170" s="11" t="n">
        <f aca="false">IF(E170="","",LN(E170))</f>
        <v>4.23526525327848</v>
      </c>
      <c r="G170" s="13" t="n">
        <f aca="false">IF(OR(F170="",F169=""),"",F170-F169)</f>
        <v>0.0706175672139535</v>
      </c>
      <c r="H170" s="10" t="n">
        <f aca="false">IF(COUNT(D$75:D169)&lt;36,"",SLOPE(D$75:D169,G$75:G169))</f>
        <v>0.103760142708963</v>
      </c>
      <c r="I170" s="13" t="n">
        <f aca="false">IF(OR(D170="",H170="",G170=""),"",D170-H170*G170)</f>
        <v>-0.0147368761566948</v>
      </c>
      <c r="J170" s="10" t="n">
        <f aca="false">IF(COUNT(Senal!V158:V169)=0,"",AVERAGE(Senal!V158:V169))</f>
        <v>0.199306638418375</v>
      </c>
      <c r="K170" s="10" t="n">
        <f aca="false">IF(J170="","",ABS(J170))</f>
        <v>0.199306638418375</v>
      </c>
      <c r="L170" s="10" t="n">
        <f aca="false">IF(OR(J170="",J169=""),"",ABS(J170-J169))</f>
        <v>0.044154207948375</v>
      </c>
      <c r="M170" s="13" t="n">
        <f aca="false">IF(OR(J170="",I170=""),"",J170*I170-IF(L170="",0,L170)*Resumen!$B$8/10000)</f>
        <v>-0.00306961987142387</v>
      </c>
      <c r="N170" s="13" t="n">
        <f aca="false">IF(OR(J170="",D170=""),"",J170*D170-IF(L170="",0,L170)*Resumen!$B$8/10000)</f>
        <v>-0.00160924256163531</v>
      </c>
      <c r="O170" s="13" t="n">
        <f aca="false">IF(M170="","",IF(COUNT(O$2:O169)=0,M170,SUM(M$2:M170)))</f>
        <v>0.0558851581781488</v>
      </c>
      <c r="P170" s="13" t="n">
        <f aca="false">IF(O170="","",MAX(O$2:O170))</f>
        <v>0.102701135552449</v>
      </c>
      <c r="Q170" s="13" t="n">
        <f aca="false">IF(O170="","",O170-P170)</f>
        <v>-0.0468159773743002</v>
      </c>
      <c r="R170" s="13" t="n">
        <f aca="false">IF(COUNT(I171:I171)&lt;1,"",SUM(I171:I171))</f>
        <v>-0.010883128593048</v>
      </c>
      <c r="S170" s="13" t="n">
        <f aca="false">IF(COUNT(I171:I173)&lt;3,"",SUM(I171:I173))</f>
        <v>0.00463691669923044</v>
      </c>
      <c r="T170" s="13" t="n">
        <f aca="false">IF(COUNT(I171:I176)&lt;6,"",SUM(I171:I176))</f>
        <v>0.0625781735576177</v>
      </c>
      <c r="U170" s="13" t="n">
        <f aca="false">IF(COUNT(I171:I182)&lt;12,"",SUM(I171:I182))</f>
        <v>0.138230501880098</v>
      </c>
      <c r="V170" s="13" t="n">
        <f aca="false">IF(N170="","",SUM(N$2:N170))</f>
        <v>0.0838632001218686</v>
      </c>
      <c r="W170" s="13" t="n">
        <f aca="false">IF(V170="","",MAX(V$2:V170))</f>
        <v>0.12581552790827</v>
      </c>
      <c r="X170" s="13" t="n">
        <f aca="false">IF(V170="","",V170-W170)</f>
        <v>-0.0419523277864011</v>
      </c>
      <c r="Y170" s="13" t="n">
        <f aca="false">IF(COUNT(D171:D171)&lt;1,"",SUM(D171:D171))</f>
        <v>-0.0166535472879761</v>
      </c>
      <c r="Z170" s="13" t="n">
        <f aca="false">IF(COUNT(D171:D173)&lt;3,"",SUM(D171:D173))</f>
        <v>0.00906825807307343</v>
      </c>
      <c r="AA170" s="13" t="n">
        <f aca="false">IF(COUNT(D171:D176)&lt;6,"",SUM(D171:D176))</f>
        <v>0.0698716908705157</v>
      </c>
      <c r="AB170" s="13" t="n">
        <f aca="false">IF(COUNT(D171:D182)&lt;12,"",SUM(D171:D182))</f>
        <v>0.121580732137714</v>
      </c>
    </row>
    <row r="171" customFormat="false" ht="15" hidden="false" customHeight="false" outlineLevel="0" collapsed="false">
      <c r="A171" s="8" t="n">
        <f aca="false">Base!A171</f>
        <v>43159</v>
      </c>
      <c r="B171" s="10" t="n">
        <f aca="false">IF(Base!T171="","",Base!T171)</f>
        <v>0.355965600089892</v>
      </c>
      <c r="C171" s="11" t="n">
        <f aca="false">IF(B171="","",LN(B171))</f>
        <v>-1.03292118175996</v>
      </c>
      <c r="D171" s="13" t="n">
        <f aca="false">IF(OR(C171="",C170=""),"",C171-C170)</f>
        <v>-0.0166535472879761</v>
      </c>
      <c r="E171" s="12" t="n">
        <f aca="false">IF(Base!U171="","",Base!U171)</f>
        <v>65.32</v>
      </c>
      <c r="F171" s="11" t="n">
        <f aca="false">IF(E171="","",LN(E171))</f>
        <v>4.17929826810226</v>
      </c>
      <c r="G171" s="13" t="n">
        <f aca="false">IF(OR(F171="",F170=""),"",F171-F170)</f>
        <v>-0.0559669851762141</v>
      </c>
      <c r="H171" s="10" t="n">
        <f aca="false">IF(COUNT(D$75:D170)&lt;36,"",SLOPE(D$75:D170,G$75:G170))</f>
        <v>0.103103975973687</v>
      </c>
      <c r="I171" s="13" t="n">
        <f aca="false">IF(OR(D171="",H171="",G171=""),"",D171-H171*G171)</f>
        <v>-0.010883128593048</v>
      </c>
      <c r="J171" s="10" t="n">
        <f aca="false">IF(COUNT(Senal!V159:V170)=0,"",AVERAGE(Senal!V159:V170))</f>
        <v>0.146656349627082</v>
      </c>
      <c r="K171" s="10" t="n">
        <f aca="false">IF(J171="","",ABS(J171))</f>
        <v>0.146656349627082</v>
      </c>
      <c r="L171" s="10" t="n">
        <f aca="false">IF(OR(J171="",J170=""),"",ABS(J171-J170))</f>
        <v>0.0526502887912932</v>
      </c>
      <c r="M171" s="13" t="n">
        <f aca="false">IF(OR(J171="",I171=""),"",J171*I171-IF(L171="",0,L171)*Resumen!$B$8/10000)</f>
        <v>-0.00175403077835242</v>
      </c>
      <c r="N171" s="13" t="n">
        <f aca="false">IF(OR(J171="",D171=""),"",J171*D171-IF(L171="",0,L171)*Resumen!$B$8/10000)</f>
        <v>-0.00260029931997044</v>
      </c>
      <c r="O171" s="13" t="n">
        <f aca="false">IF(M171="","",IF(COUNT(O$2:O170)=0,M171,SUM(M$2:M171)))</f>
        <v>0.0541311273997963</v>
      </c>
      <c r="P171" s="13" t="n">
        <f aca="false">IF(O171="","",MAX(O$2:O171))</f>
        <v>0.102701135552449</v>
      </c>
      <c r="Q171" s="13" t="n">
        <f aca="false">IF(O171="","",O171-P171)</f>
        <v>-0.0485700081526526</v>
      </c>
      <c r="R171" s="13" t="n">
        <f aca="false">IF(COUNT(I172:I172)&lt;1,"",SUM(I172:I172))</f>
        <v>-0.0147081371202459</v>
      </c>
      <c r="S171" s="13" t="n">
        <f aca="false">IF(COUNT(I172:I174)&lt;3,"",SUM(I172:I174))</f>
        <v>0.0897372665783126</v>
      </c>
      <c r="T171" s="13" t="n">
        <f aca="false">IF(COUNT(I172:I177)&lt;6,"",SUM(I172:I177))</f>
        <v>0.218074742179813</v>
      </c>
      <c r="U171" s="13" t="n">
        <f aca="false">IF(COUNT(I172:I183)&lt;12,"",SUM(I172:I183))</f>
        <v>0.111751392786909</v>
      </c>
      <c r="V171" s="13" t="n">
        <f aca="false">IF(N171="","",SUM(N$2:N171))</f>
        <v>0.0812629008018982</v>
      </c>
      <c r="W171" s="13" t="n">
        <f aca="false">IF(V171="","",MAX(V$2:V171))</f>
        <v>0.12581552790827</v>
      </c>
      <c r="X171" s="13" t="n">
        <f aca="false">IF(V171="","",V171-W171)</f>
        <v>-0.0445526271063716</v>
      </c>
      <c r="Y171" s="13" t="n">
        <f aca="false">IF(COUNT(D172:D172)&lt;1,"",SUM(D172:D172))</f>
        <v>-0.0136074975011851</v>
      </c>
      <c r="Z171" s="13" t="n">
        <f aca="false">IF(COUNT(D172:D174)&lt;3,"",SUM(D172:D174))</f>
        <v>0.107046434448025</v>
      </c>
      <c r="AA171" s="13" t="n">
        <f aca="false">IF(COUNT(D172:D177)&lt;6,"",SUM(D172:D177))</f>
        <v>0.228312076358121</v>
      </c>
      <c r="AB171" s="13" t="n">
        <f aca="false">IF(COUNT(D172:D183)&lt;12,"",SUM(D172:D183))</f>
        <v>0.108706859867764</v>
      </c>
    </row>
    <row r="172" customFormat="false" ht="15" hidden="false" customHeight="false" outlineLevel="0" collapsed="false">
      <c r="A172" s="8" t="n">
        <f aca="false">Base!A172</f>
        <v>43190</v>
      </c>
      <c r="B172" s="10" t="n">
        <f aca="false">IF(Base!T172="","",Base!T172)</f>
        <v>0.351154606105479</v>
      </c>
      <c r="C172" s="11" t="n">
        <f aca="false">IF(B172="","",LN(B172))</f>
        <v>-1.04652867926115</v>
      </c>
      <c r="D172" s="13" t="n">
        <f aca="false">IF(OR(C172="",C171=""),"",C172-C171)</f>
        <v>-0.0136074975011851</v>
      </c>
      <c r="E172" s="12" t="n">
        <f aca="false">IF(Base!U172="","",Base!U172)</f>
        <v>66.02</v>
      </c>
      <c r="F172" s="11" t="n">
        <f aca="false">IF(E172="","",LN(E172))</f>
        <v>4.18995772642505</v>
      </c>
      <c r="G172" s="13" t="n">
        <f aca="false">IF(OR(F172="",F171=""),"",F172-F171)</f>
        <v>0.0106594583227828</v>
      </c>
      <c r="H172" s="10" t="n">
        <f aca="false">IF(COUNT(D$75:D171)&lt;36,"",SLOPE(D$75:D171,G$75:G171))</f>
        <v>0.10325474200771</v>
      </c>
      <c r="I172" s="13" t="n">
        <f aca="false">IF(OR(D172="",H172="",G172=""),"",D172-H172*G172)</f>
        <v>-0.0147081371202459</v>
      </c>
      <c r="J172" s="10" t="n">
        <f aca="false">IF(COUNT(Senal!V160:V171)=0,"",AVERAGE(Senal!V160:V171))</f>
        <v>0.183507408875264</v>
      </c>
      <c r="K172" s="10" t="n">
        <f aca="false">IF(J172="","",ABS(J172))</f>
        <v>0.183507408875264</v>
      </c>
      <c r="L172" s="10" t="n">
        <f aca="false">IF(OR(J172="",J171=""),"",ABS(J172-J171))</f>
        <v>0.0368510592481825</v>
      </c>
      <c r="M172" s="13" t="n">
        <f aca="false">IF(OR(J172="",I172=""),"",J172*I172-IF(L172="",0,L172)*Resumen!$B$8/10000)</f>
        <v>-0.00280960531006297</v>
      </c>
      <c r="N172" s="13" t="n">
        <f aca="false">IF(OR(J172="",D172=""),"",J172*D172-IF(L172="",0,L172)*Resumen!$B$8/10000)</f>
        <v>-0.00260762978546365</v>
      </c>
      <c r="O172" s="13" t="n">
        <f aca="false">IF(M172="","",IF(COUNT(O$2:O171)=0,M172,SUM(M$2:M172)))</f>
        <v>0.0513215220897334</v>
      </c>
      <c r="P172" s="13" t="n">
        <f aca="false">IF(O172="","",MAX(O$2:O172))</f>
        <v>0.102701135552449</v>
      </c>
      <c r="Q172" s="13" t="n">
        <f aca="false">IF(O172="","",O172-P172)</f>
        <v>-0.0513796134627156</v>
      </c>
      <c r="R172" s="13" t="n">
        <f aca="false">IF(COUNT(I173:I173)&lt;1,"",SUM(I173:I173))</f>
        <v>0.0302281824125244</v>
      </c>
      <c r="S172" s="13" t="n">
        <f aca="false">IF(COUNT(I173:I175)&lt;3,"",SUM(I173:I175))</f>
        <v>0.0323096354234158</v>
      </c>
      <c r="T172" s="13" t="n">
        <f aca="false">IF(COUNT(I173:I178)&lt;6,"",SUM(I173:I178))</f>
        <v>0.227919305697323</v>
      </c>
      <c r="U172" s="13" t="n">
        <f aca="false">IF(COUNT(I173:I184)&lt;12,"",SUM(I173:I184))</f>
        <v>0.195198923960001</v>
      </c>
      <c r="V172" s="13" t="n">
        <f aca="false">IF(N172="","",SUM(N$2:N172))</f>
        <v>0.0786552710164346</v>
      </c>
      <c r="W172" s="13" t="n">
        <f aca="false">IF(V172="","",MAX(V$2:V172))</f>
        <v>0.12581552790827</v>
      </c>
      <c r="X172" s="13" t="n">
        <f aca="false">IF(V172="","",V172-W172)</f>
        <v>-0.0471602568918352</v>
      </c>
      <c r="Y172" s="13" t="n">
        <f aca="false">IF(COUNT(D173:D173)&lt;1,"",SUM(D173:D173))</f>
        <v>0.0393293028622346</v>
      </c>
      <c r="Z172" s="13" t="n">
        <f aca="false">IF(COUNT(D173:D175)&lt;3,"",SUM(D173:D175))</f>
        <v>0.044532953502757</v>
      </c>
      <c r="AA172" s="13" t="n">
        <f aca="false">IF(COUNT(D173:D178)&lt;6,"",SUM(D173:D178))</f>
        <v>0.246726206716151</v>
      </c>
      <c r="AB172" s="13" t="n">
        <f aca="false">IF(COUNT(D173:D184)&lt;12,"",SUM(D173:D184))</f>
        <v>0.194503635368987</v>
      </c>
    </row>
    <row r="173" customFormat="false" ht="15" hidden="false" customHeight="false" outlineLevel="0" collapsed="false">
      <c r="A173" s="8" t="n">
        <f aca="false">Base!A173</f>
        <v>43220</v>
      </c>
      <c r="B173" s="10" t="n">
        <f aca="false">IF(Base!T173="","",Base!T173)</f>
        <v>0.365240449550483</v>
      </c>
      <c r="C173" s="11" t="n">
        <f aca="false">IF(B173="","",LN(B173))</f>
        <v>-1.00719937639891</v>
      </c>
      <c r="D173" s="13" t="n">
        <f aca="false">IF(OR(C173="",C172=""),"",C173-C172)</f>
        <v>0.0393293028622346</v>
      </c>
      <c r="E173" s="12" t="n">
        <f aca="false">IF(Base!U173="","",Base!U173)</f>
        <v>72.11</v>
      </c>
      <c r="F173" s="11" t="n">
        <f aca="false">IF(E173="","",LN(E173))</f>
        <v>4.27819273092867</v>
      </c>
      <c r="G173" s="13" t="n">
        <f aca="false">IF(OR(F173="",F172=""),"",F173-F172)</f>
        <v>0.0882350045036215</v>
      </c>
      <c r="H173" s="10" t="n">
        <f aca="false">IF(COUNT(D$75:D172)&lt;36,"",SLOPE(D$75:D172,G$75:G172))</f>
        <v>0.103146370319918</v>
      </c>
      <c r="I173" s="13" t="n">
        <f aca="false">IF(OR(D173="",H173="",G173=""),"",D173-H173*G173)</f>
        <v>0.0302281824125244</v>
      </c>
      <c r="J173" s="10" t="n">
        <f aca="false">IF(COUNT(Senal!V161:V172)=0,"",AVERAGE(Senal!V161:V172))</f>
        <v>0.242775646993428</v>
      </c>
      <c r="K173" s="10" t="n">
        <f aca="false">IF(J173="","",ABS(J173))</f>
        <v>0.242775646993428</v>
      </c>
      <c r="L173" s="10" t="n">
        <f aca="false">IF(OR(J173="",J172=""),"",ABS(J173-J172))</f>
        <v>0.059268238118164</v>
      </c>
      <c r="M173" s="13" t="n">
        <f aca="false">IF(OR(J173="",I173=""),"",J173*I173-IF(L173="",0,L173)*Resumen!$B$8/10000)</f>
        <v>0.00716086182828148</v>
      </c>
      <c r="N173" s="13" t="n">
        <f aca="false">IF(OR(J173="",D173=""),"",J173*D173-IF(L173="",0,L173)*Resumen!$B$8/10000)</f>
        <v>0.00937039223382499</v>
      </c>
      <c r="O173" s="13" t="n">
        <f aca="false">IF(M173="","",IF(COUNT(O$2:O172)=0,M173,SUM(M$2:M173)))</f>
        <v>0.0584823839180149</v>
      </c>
      <c r="P173" s="13" t="n">
        <f aca="false">IF(O173="","",MAX(O$2:O173))</f>
        <v>0.102701135552449</v>
      </c>
      <c r="Q173" s="13" t="n">
        <f aca="false">IF(O173="","",O173-P173)</f>
        <v>-0.0442187516344341</v>
      </c>
      <c r="R173" s="13" t="n">
        <f aca="false">IF(COUNT(I174:I174)&lt;1,"",SUM(I174:I174))</f>
        <v>0.0742172212860342</v>
      </c>
      <c r="S173" s="13" t="n">
        <f aca="false">IF(COUNT(I174:I176)&lt;3,"",SUM(I174:I176))</f>
        <v>0.0579412568583873</v>
      </c>
      <c r="T173" s="13" t="n">
        <f aca="false">IF(COUNT(I174:I179)&lt;6,"",SUM(I174:I179))</f>
        <v>0.171767295855518</v>
      </c>
      <c r="U173" s="13" t="n">
        <f aca="false">IF(COUNT(I174:I185)&lt;12,"",SUM(I174:I185))</f>
        <v>0.199333302351124</v>
      </c>
      <c r="V173" s="13" t="n">
        <f aca="false">IF(N173="","",SUM(N$2:N173))</f>
        <v>0.0880256632502596</v>
      </c>
      <c r="W173" s="13" t="n">
        <f aca="false">IF(V173="","",MAX(V$2:V173))</f>
        <v>0.12581552790827</v>
      </c>
      <c r="X173" s="13" t="n">
        <f aca="false">IF(V173="","",V173-W173)</f>
        <v>-0.0377898646580102</v>
      </c>
      <c r="Y173" s="13" t="n">
        <f aca="false">IF(COUNT(D174:D174)&lt;1,"",SUM(D174:D174))</f>
        <v>0.0813246290869755</v>
      </c>
      <c r="Z173" s="13" t="n">
        <f aca="false">IF(COUNT(D174:D176)&lt;3,"",SUM(D174:D176))</f>
        <v>0.0608034327974423</v>
      </c>
      <c r="AA173" s="13" t="n">
        <f aca="false">IF(COUNT(D174:D179)&lt;6,"",SUM(D174:D179))</f>
        <v>0.184558193050365</v>
      </c>
      <c r="AB173" s="13" t="n">
        <f aca="false">IF(COUNT(D174:D185)&lt;12,"",SUM(D174:D185))</f>
        <v>0.197443656414561</v>
      </c>
    </row>
    <row r="174" customFormat="false" ht="15" hidden="false" customHeight="false" outlineLevel="0" collapsed="false">
      <c r="A174" s="8" t="n">
        <f aca="false">Base!A174</f>
        <v>43251</v>
      </c>
      <c r="B174" s="10" t="n">
        <f aca="false">IF(Base!T174="","",Base!T174)</f>
        <v>0.396184705947355</v>
      </c>
      <c r="C174" s="11" t="n">
        <f aca="false">IF(B174="","",LN(B174))</f>
        <v>-0.925874747311937</v>
      </c>
      <c r="D174" s="13" t="n">
        <f aca="false">IF(OR(C174="",C173=""),"",C174-C173)</f>
        <v>0.0813246290869755</v>
      </c>
      <c r="E174" s="12" t="n">
        <f aca="false">IF(Base!U174="","",Base!U174)</f>
        <v>76.98</v>
      </c>
      <c r="F174" s="11" t="n">
        <f aca="false">IF(E174="","",LN(E174))</f>
        <v>4.3435456478556</v>
      </c>
      <c r="G174" s="13" t="n">
        <f aca="false">IF(OR(F174="",F173=""),"",F174-F173)</f>
        <v>0.0653529169269316</v>
      </c>
      <c r="H174" s="10" t="n">
        <f aca="false">IF(COUNT(D$75:D173)&lt;36,"",SLOPE(D$75:D173,G$75:G173))</f>
        <v>0.108754255129695</v>
      </c>
      <c r="I174" s="13" t="n">
        <f aca="false">IF(OR(D174="",H174="",G174=""),"",D174-H174*G174)</f>
        <v>0.0742172212860342</v>
      </c>
      <c r="J174" s="10" t="n">
        <f aca="false">IF(COUNT(Senal!V162:V173)=0,"",AVERAGE(Senal!V162:V173))</f>
        <v>0.310913708645935</v>
      </c>
      <c r="K174" s="10" t="n">
        <f aca="false">IF(J174="","",ABS(J174))</f>
        <v>0.310913708645935</v>
      </c>
      <c r="L174" s="10" t="n">
        <f aca="false">IF(OR(J174="",J173=""),"",ABS(J174-J173))</f>
        <v>0.0681380616525064</v>
      </c>
      <c r="M174" s="13" t="n">
        <f aca="false">IF(OR(J174="",I174=""),"",J174*I174-IF(L174="",0,L174)*Resumen!$B$8/10000)</f>
        <v>0.0228707373304794</v>
      </c>
      <c r="N174" s="13" t="n">
        <f aca="false">IF(OR(J174="",D174=""),"",J174*D174-IF(L174="",0,L174)*Resumen!$B$8/10000)</f>
        <v>0.0250805278487291</v>
      </c>
      <c r="O174" s="13" t="n">
        <f aca="false">IF(M174="","",IF(COUNT(O$2:O173)=0,M174,SUM(M$2:M174)))</f>
        <v>0.0813531212484942</v>
      </c>
      <c r="P174" s="13" t="n">
        <f aca="false">IF(O174="","",MAX(O$2:O174))</f>
        <v>0.102701135552449</v>
      </c>
      <c r="Q174" s="13" t="n">
        <f aca="false">IF(O174="","",O174-P174)</f>
        <v>-0.0213480143039547</v>
      </c>
      <c r="R174" s="13" t="n">
        <f aca="false">IF(COUNT(I175:I175)&lt;1,"",SUM(I175:I175))</f>
        <v>-0.0721357682751428</v>
      </c>
      <c r="S174" s="13" t="n">
        <f aca="false">IF(COUNT(I175:I177)&lt;3,"",SUM(I175:I177))</f>
        <v>0.128337475601501</v>
      </c>
      <c r="T174" s="13" t="n">
        <f aca="false">IF(COUNT(I175:I180)&lt;6,"",SUM(I175:I180))</f>
        <v>0.139689575592418</v>
      </c>
      <c r="U174" s="13" t="n">
        <f aca="false">IF(COUNT(I175:I186)&lt;12,"",SUM(I175:I186))</f>
        <v>0.124831533566854</v>
      </c>
      <c r="V174" s="13" t="n">
        <f aca="false">IF(N174="","",SUM(N$2:N174))</f>
        <v>0.113106191098989</v>
      </c>
      <c r="W174" s="13" t="n">
        <f aca="false">IF(V174="","",MAX(V$2:V174))</f>
        <v>0.12581552790827</v>
      </c>
      <c r="X174" s="13" t="n">
        <f aca="false">IF(V174="","",V174-W174)</f>
        <v>-0.0127093368092812</v>
      </c>
      <c r="Y174" s="13" t="n">
        <f aca="false">IF(COUNT(D175:D175)&lt;1,"",SUM(D175:D175))</f>
        <v>-0.0761209784464531</v>
      </c>
      <c r="Z174" s="13" t="n">
        <f aca="false">IF(COUNT(D175:D177)&lt;3,"",SUM(D175:D177))</f>
        <v>0.121265641910096</v>
      </c>
      <c r="AA174" s="13" t="n">
        <f aca="false">IF(COUNT(D175:D180)&lt;6,"",SUM(D175:D180))</f>
        <v>0.119698666647073</v>
      </c>
      <c r="AB174" s="13" t="n">
        <f aca="false">IF(COUNT(D175:D186)&lt;12,"",SUM(D175:D186))</f>
        <v>0.115974517406866</v>
      </c>
    </row>
    <row r="175" customFormat="false" ht="15" hidden="false" customHeight="false" outlineLevel="0" collapsed="false">
      <c r="A175" s="8" t="n">
        <f aca="false">Base!A175</f>
        <v>43281</v>
      </c>
      <c r="B175" s="10" t="n">
        <f aca="false">IF(Base!T175="","",Base!T175)</f>
        <v>0.367145986825021</v>
      </c>
      <c r="C175" s="11" t="n">
        <f aca="false">IF(B175="","",LN(B175))</f>
        <v>-1.00199572575839</v>
      </c>
      <c r="D175" s="13" t="n">
        <f aca="false">IF(OR(C175="",C174=""),"",C175-C174)</f>
        <v>-0.0761209784464531</v>
      </c>
      <c r="E175" s="12" t="n">
        <f aca="false">IF(Base!U175="","",Base!U175)</f>
        <v>74.41</v>
      </c>
      <c r="F175" s="11" t="n">
        <f aca="false">IF(E175="","",LN(E175))</f>
        <v>4.30959034140917</v>
      </c>
      <c r="G175" s="13" t="n">
        <f aca="false">IF(OR(F175="",F174=""),"",F175-F174)</f>
        <v>-0.0339553064464306</v>
      </c>
      <c r="H175" s="10" t="n">
        <f aca="false">IF(COUNT(D$75:D174)&lt;36,"",SLOPE(D$75:D174,G$75:G174))</f>
        <v>0.117366343831929</v>
      </c>
      <c r="I175" s="13" t="n">
        <f aca="false">IF(OR(D175="",H175="",G175=""),"",D175-H175*G175)</f>
        <v>-0.0721357682751428</v>
      </c>
      <c r="J175" s="10" t="n">
        <f aca="false">IF(COUNT(Senal!V163:V174)=0,"",AVERAGE(Senal!V163:V174))</f>
        <v>0.374698372682466</v>
      </c>
      <c r="K175" s="10" t="n">
        <f aca="false">IF(J175="","",ABS(J175))</f>
        <v>0.374698372682466</v>
      </c>
      <c r="L175" s="10" t="n">
        <f aca="false">IF(OR(J175="",J174=""),"",ABS(J175-J174))</f>
        <v>0.0637846640365314</v>
      </c>
      <c r="M175" s="13" t="n">
        <f aca="false">IF(OR(J175="",I175=""),"",J175*I175-IF(L175="",0,L175)*Resumen!$B$8/10000)</f>
        <v>-0.027220508977005</v>
      </c>
      <c r="N175" s="13" t="n">
        <f aca="false">IF(OR(J175="",D175=""),"",J175*D175-IF(L175="",0,L175)*Resumen!$B$8/10000)</f>
        <v>-0.0287137607429926</v>
      </c>
      <c r="O175" s="13" t="n">
        <f aca="false">IF(M175="","",IF(COUNT(O$2:O174)=0,M175,SUM(M$2:M175)))</f>
        <v>0.0541326122714892</v>
      </c>
      <c r="P175" s="13" t="n">
        <f aca="false">IF(O175="","",MAX(O$2:O175))</f>
        <v>0.102701135552449</v>
      </c>
      <c r="Q175" s="13" t="n">
        <f aca="false">IF(O175="","",O175-P175)</f>
        <v>-0.0485685232809597</v>
      </c>
      <c r="R175" s="13" t="n">
        <f aca="false">IF(COUNT(I176:I176)&lt;1,"",SUM(I176:I176))</f>
        <v>0.0558598038474959</v>
      </c>
      <c r="S175" s="13" t="n">
        <f aca="false">IF(COUNT(I176:I178)&lt;3,"",SUM(I176:I178))</f>
        <v>0.195609670273907</v>
      </c>
      <c r="T175" s="13" t="n">
        <f aca="false">IF(COUNT(I176:I181)&lt;6,"",SUM(I176:I181))</f>
        <v>0.155631842791853</v>
      </c>
      <c r="U175" s="13" t="n">
        <f aca="false">IF(COUNT(I176:I187)&lt;12,"",SUM(I176:I187))</f>
        <v>0.164073056705399</v>
      </c>
      <c r="V175" s="13" t="n">
        <f aca="false">IF(N175="","",SUM(N$2:N175))</f>
        <v>0.084392430355996</v>
      </c>
      <c r="W175" s="13" t="n">
        <f aca="false">IF(V175="","",MAX(V$2:V175))</f>
        <v>0.12581552790827</v>
      </c>
      <c r="X175" s="13" t="n">
        <f aca="false">IF(V175="","",V175-W175)</f>
        <v>-0.0414230975522738</v>
      </c>
      <c r="Y175" s="13" t="n">
        <f aca="false">IF(COUNT(D176:D176)&lt;1,"",SUM(D176:D176))</f>
        <v>0.0555997821569199</v>
      </c>
      <c r="Z175" s="13" t="n">
        <f aca="false">IF(COUNT(D176:D178)&lt;3,"",SUM(D176:D178))</f>
        <v>0.202193253213394</v>
      </c>
      <c r="AA175" s="13" t="n">
        <f aca="false">IF(COUNT(D176:D181)&lt;6,"",SUM(D176:D181))</f>
        <v>0.127667885646482</v>
      </c>
      <c r="AB175" s="13" t="n">
        <f aca="false">IF(COUNT(D176:D187)&lt;12,"",SUM(D176:D187))</f>
        <v>0.147570264531479</v>
      </c>
    </row>
    <row r="176" customFormat="false" ht="15" hidden="false" customHeight="false" outlineLevel="0" collapsed="false">
      <c r="A176" s="8" t="n">
        <f aca="false">Base!A176</f>
        <v>43312</v>
      </c>
      <c r="B176" s="10" t="n">
        <f aca="false">IF(Base!T176="","",Base!T176)</f>
        <v>0.388137374667459</v>
      </c>
      <c r="C176" s="11" t="n">
        <f aca="false">IF(B176="","",LN(B176))</f>
        <v>-0.946395943601471</v>
      </c>
      <c r="D176" s="13" t="n">
        <f aca="false">IF(OR(C176="",C175=""),"",C176-C175)</f>
        <v>0.0555997821569199</v>
      </c>
      <c r="E176" s="12" t="n">
        <f aca="false">IF(Base!U176="","",Base!U176)</f>
        <v>74.25</v>
      </c>
      <c r="F176" s="11" t="n">
        <f aca="false">IF(E176="","",LN(E176))</f>
        <v>4.30743777768281</v>
      </c>
      <c r="G176" s="13" t="n">
        <f aca="false">IF(OR(F176="",F175=""),"",F176-F175)</f>
        <v>-0.00215256372636041</v>
      </c>
      <c r="H176" s="10" t="n">
        <f aca="false">IF(COUNT(D$75:D175)&lt;36,"",SLOPE(D$75:D175,G$75:G175))</f>
        <v>0.120796279985473</v>
      </c>
      <c r="I176" s="13" t="n">
        <f aca="false">IF(OR(D176="",H176="",G176=""),"",D176-H176*G176)</f>
        <v>0.0558598038474959</v>
      </c>
      <c r="J176" s="10" t="n">
        <f aca="false">IF(COUNT(Senal!V164:V175)=0,"",AVERAGE(Senal!V164:V175))</f>
        <v>0.448442529519706</v>
      </c>
      <c r="K176" s="10" t="n">
        <f aca="false">IF(J176="","",ABS(J176))</f>
        <v>0.448442529519706</v>
      </c>
      <c r="L176" s="10" t="n">
        <f aca="false">IF(OR(J176="",J175=""),"",ABS(J176-J175))</f>
        <v>0.07374415683724</v>
      </c>
      <c r="M176" s="13" t="n">
        <f aca="false">IF(OR(J176="",I176=""),"",J176*I176-IF(L176="",0,L176)*Resumen!$B$8/10000)</f>
        <v>0.0248286792653339</v>
      </c>
      <c r="N176" s="13" t="n">
        <f aca="false">IF(OR(J176="",D176=""),"",J176*D176-IF(L176="",0,L176)*Resumen!$B$8/10000)</f>
        <v>0.024712074480682</v>
      </c>
      <c r="O176" s="13" t="n">
        <f aca="false">IF(M176="","",IF(COUNT(O$2:O175)=0,M176,SUM(M$2:M176)))</f>
        <v>0.0789612915368231</v>
      </c>
      <c r="P176" s="13" t="n">
        <f aca="false">IF(O176="","",MAX(O$2:O176))</f>
        <v>0.102701135552449</v>
      </c>
      <c r="Q176" s="13" t="n">
        <f aca="false">IF(O176="","",O176-P176)</f>
        <v>-0.0237398440156258</v>
      </c>
      <c r="R176" s="13" t="n">
        <f aca="false">IF(COUNT(I177:I177)&lt;1,"",SUM(I177:I177))</f>
        <v>0.144613440029148</v>
      </c>
      <c r="S176" s="13" t="n">
        <f aca="false">IF(COUNT(I177:I179)&lt;3,"",SUM(I177:I179))</f>
        <v>0.113826038997131</v>
      </c>
      <c r="T176" s="13" t="n">
        <f aca="false">IF(COUNT(I177:I182)&lt;6,"",SUM(I177:I182))</f>
        <v>0.0756523283224801</v>
      </c>
      <c r="U176" s="13" t="n">
        <f aca="false">IF(COUNT(I177:I188)&lt;12,"",SUM(I177:I188))</f>
        <v>0.0800814803910288</v>
      </c>
      <c r="V176" s="13" t="n">
        <f aca="false">IF(N176="","",SUM(N$2:N176))</f>
        <v>0.109104504836678</v>
      </c>
      <c r="W176" s="13" t="n">
        <f aca="false">IF(V176="","",MAX(V$2:V176))</f>
        <v>0.12581552790827</v>
      </c>
      <c r="X176" s="13" t="n">
        <f aca="false">IF(V176="","",V176-W176)</f>
        <v>-0.0167110230715918</v>
      </c>
      <c r="Y176" s="13" t="n">
        <f aca="false">IF(COUNT(D177:D177)&lt;1,"",SUM(D177:D177))</f>
        <v>0.141786838199629</v>
      </c>
      <c r="Z176" s="13" t="n">
        <f aca="false">IF(COUNT(D177:D179)&lt;3,"",SUM(D177:D179))</f>
        <v>0.123754760252923</v>
      </c>
      <c r="AA176" s="13" t="n">
        <f aca="false">IF(COUNT(D177:D182)&lt;6,"",SUM(D177:D182))</f>
        <v>0.0517090412671984</v>
      </c>
      <c r="AB176" s="13" t="n">
        <f aca="false">IF(COUNT(D177:D188)&lt;12,"",SUM(D177:D188))</f>
        <v>0.0633015011845225</v>
      </c>
    </row>
    <row r="177" customFormat="false" ht="15" hidden="false" customHeight="false" outlineLevel="0" collapsed="false">
      <c r="A177" s="8" t="n">
        <f aca="false">Base!A177</f>
        <v>43343</v>
      </c>
      <c r="B177" s="10" t="n">
        <f aca="false">IF(Base!T177="","",Base!T177)</f>
        <v>0.447262724976403</v>
      </c>
      <c r="C177" s="11" t="n">
        <f aca="false">IF(B177="","",LN(B177))</f>
        <v>-0.804609105401842</v>
      </c>
      <c r="D177" s="13" t="n">
        <f aca="false">IF(OR(C177="",C176=""),"",C177-C176)</f>
        <v>0.141786838199629</v>
      </c>
      <c r="E177" s="12" t="n">
        <f aca="false">IF(Base!U177="","",Base!U177)</f>
        <v>72.53</v>
      </c>
      <c r="F177" s="11" t="n">
        <f aca="false">IF(E177="","",LN(E177))</f>
        <v>4.28400026937532</v>
      </c>
      <c r="G177" s="13" t="n">
        <f aca="false">IF(OR(F177="",F176=""),"",F177-F176)</f>
        <v>-0.023437508307488</v>
      </c>
      <c r="H177" s="10" t="n">
        <f aca="false">IF(COUNT(D$75:D176)&lt;36,"",SLOPE(D$75:D176,G$75:G176))</f>
        <v>0.120601635311863</v>
      </c>
      <c r="I177" s="13" t="n">
        <f aca="false">IF(OR(D177="",H177="",G177=""),"",D177-H177*G177)</f>
        <v>0.144613440029148</v>
      </c>
      <c r="J177" s="10" t="n">
        <f aca="false">IF(COUNT(Senal!V165:V176)=0,"",AVERAGE(Senal!V165:V176))</f>
        <v>0.503346782337354</v>
      </c>
      <c r="K177" s="10" t="n">
        <f aca="false">IF(J177="","",ABS(J177))</f>
        <v>0.503346782337354</v>
      </c>
      <c r="L177" s="10" t="n">
        <f aca="false">IF(OR(J177="",J176=""),"",ABS(J177-J176))</f>
        <v>0.054904252817648</v>
      </c>
      <c r="M177" s="13" t="n">
        <f aca="false">IF(OR(J177="",I177=""),"",J177*I177-IF(L177="",0,L177)*Resumen!$B$8/10000)</f>
        <v>0.0726259969629544</v>
      </c>
      <c r="N177" s="13" t="n">
        <f aca="false">IF(OR(J177="",D177=""),"",J177*D177-IF(L177="",0,L177)*Resumen!$B$8/10000)</f>
        <v>0.0712032360271174</v>
      </c>
      <c r="O177" s="13" t="n">
        <f aca="false">IF(M177="","",IF(COUNT(O$2:O176)=0,M177,SUM(M$2:M177)))</f>
        <v>0.151587288499777</v>
      </c>
      <c r="P177" s="13" t="n">
        <f aca="false">IF(O177="","",MAX(O$2:O177))</f>
        <v>0.151587288499777</v>
      </c>
      <c r="Q177" s="13" t="n">
        <f aca="false">IF(O177="","",O177-P177)</f>
        <v>0</v>
      </c>
      <c r="R177" s="13" t="n">
        <f aca="false">IF(COUNT(I178:I178)&lt;1,"",SUM(I178:I178))</f>
        <v>-0.00486357360273623</v>
      </c>
      <c r="S177" s="13" t="n">
        <f aca="false">IF(COUNT(I178:I180)&lt;3,"",SUM(I178:I180))</f>
        <v>0.0113520999909172</v>
      </c>
      <c r="T177" s="13" t="n">
        <f aca="false">IF(COUNT(I178:I183)&lt;6,"",SUM(I178:I183))</f>
        <v>-0.106323349392904</v>
      </c>
      <c r="U177" s="13" t="n">
        <f aca="false">IF(COUNT(I178:I189)&lt;12,"",SUM(I178:I189))</f>
        <v>0.127110448931136</v>
      </c>
      <c r="V177" s="13" t="n">
        <f aca="false">IF(N177="","",SUM(N$2:N177))</f>
        <v>0.180307740863795</v>
      </c>
      <c r="W177" s="13" t="n">
        <f aca="false">IF(V177="","",MAX(V$2:V177))</f>
        <v>0.180307740863795</v>
      </c>
      <c r="X177" s="13" t="n">
        <f aca="false">IF(V177="","",V177-W177)</f>
        <v>0</v>
      </c>
      <c r="Y177" s="13" t="n">
        <f aca="false">IF(COUNT(D178:D178)&lt;1,"",SUM(D178:D178))</f>
        <v>0.00480663285684457</v>
      </c>
      <c r="Z177" s="13" t="n">
        <f aca="false">IF(COUNT(D178:D180)&lt;3,"",SUM(D178:D180))</f>
        <v>-0.00156697526302285</v>
      </c>
      <c r="AA177" s="13" t="n">
        <f aca="false">IF(COUNT(D178:D183)&lt;6,"",SUM(D178:D183))</f>
        <v>-0.119605216490357</v>
      </c>
      <c r="AB177" s="13" t="n">
        <f aca="false">IF(COUNT(D178:D189)&lt;12,"",SUM(D178:D189))</f>
        <v>0.104038073239558</v>
      </c>
    </row>
    <row r="178" customFormat="false" ht="15" hidden="false" customHeight="false" outlineLevel="0" collapsed="false">
      <c r="A178" s="8" t="n">
        <f aca="false">Base!A178</f>
        <v>43373</v>
      </c>
      <c r="B178" s="10" t="n">
        <f aca="false">IF(Base!T178="","",Base!T178)</f>
        <v>0.449417727690296</v>
      </c>
      <c r="C178" s="11" t="n">
        <f aca="false">IF(B178="","",LN(B178))</f>
        <v>-0.799802472544997</v>
      </c>
      <c r="D178" s="13" t="n">
        <f aca="false">IF(OR(C178="",C177=""),"",C178-C177)</f>
        <v>0.00480663285684457</v>
      </c>
      <c r="E178" s="12" t="n">
        <f aca="false">IF(Base!U178="","",Base!U178)</f>
        <v>78.89</v>
      </c>
      <c r="F178" s="11" t="n">
        <f aca="false">IF(E178="","",LN(E178))</f>
        <v>4.368054477107</v>
      </c>
      <c r="G178" s="13" t="n">
        <f aca="false">IF(OR(F178="",F177=""),"",F178-F177)</f>
        <v>0.0840542077316773</v>
      </c>
      <c r="H178" s="10" t="n">
        <f aca="false">IF(COUNT(D$75:D177)&lt;36,"",SLOPE(D$75:D177,G$75:G177))</f>
        <v>0.115047262005617</v>
      </c>
      <c r="I178" s="13" t="n">
        <f aca="false">IF(OR(D178="",H178="",G178=""),"",D178-H178*G178)</f>
        <v>-0.00486357360273623</v>
      </c>
      <c r="J178" s="10" t="n">
        <f aca="false">IF(COUNT(Senal!V166:V177)=0,"",AVERAGE(Senal!V166:V177))</f>
        <v>0.515597126972311</v>
      </c>
      <c r="K178" s="10" t="n">
        <f aca="false">IF(J178="","",ABS(J178))</f>
        <v>0.515597126972311</v>
      </c>
      <c r="L178" s="10" t="n">
        <f aca="false">IF(OR(J178="",J177=""),"",ABS(J178-J177))</f>
        <v>0.0122503446349569</v>
      </c>
      <c r="M178" s="13" t="n">
        <f aca="false">IF(OR(J178="",I178=""),"",J178*I178-IF(L178="",0,L178)*Resumen!$B$8/10000)</f>
        <v>-0.00254439561029404</v>
      </c>
      <c r="N178" s="13" t="n">
        <f aca="false">IF(OR(J178="",D178=""),"",J178*D178-IF(L178="",0,L178)*Resumen!$B$8/10000)</f>
        <v>0.0024415350574949</v>
      </c>
      <c r="O178" s="13" t="n">
        <f aca="false">IF(M178="","",IF(COUNT(O$2:O177)=0,M178,SUM(M$2:M178)))</f>
        <v>0.149042892889483</v>
      </c>
      <c r="P178" s="13" t="n">
        <f aca="false">IF(O178="","",MAX(O$2:O178))</f>
        <v>0.151587288499777</v>
      </c>
      <c r="Q178" s="13" t="n">
        <f aca="false">IF(O178="","",O178-P178)</f>
        <v>-0.00254439561029404</v>
      </c>
      <c r="R178" s="13" t="n">
        <f aca="false">IF(COUNT(I179:I179)&lt;1,"",SUM(I179:I179))</f>
        <v>-0.0259238274292803</v>
      </c>
      <c r="S178" s="13" t="n">
        <f aca="false">IF(COUNT(I179:I181)&lt;3,"",SUM(I179:I181))</f>
        <v>-0.0399778274820543</v>
      </c>
      <c r="T178" s="13" t="n">
        <f aca="false">IF(COUNT(I179:I184)&lt;6,"",SUM(I179:I184))</f>
        <v>-0.0327203817373218</v>
      </c>
      <c r="U178" s="13" t="n">
        <f aca="false">IF(COUNT(I179:I190)&lt;12,"",SUM(I179:I190))</f>
        <v>0.0981424811973537</v>
      </c>
      <c r="V178" s="13" t="n">
        <f aca="false">IF(N178="","",SUM(N$2:N178))</f>
        <v>0.18274927592129</v>
      </c>
      <c r="W178" s="13" t="n">
        <f aca="false">IF(V178="","",MAX(V$2:V178))</f>
        <v>0.18274927592129</v>
      </c>
      <c r="X178" s="13" t="n">
        <f aca="false">IF(V178="","",V178-W178)</f>
        <v>0</v>
      </c>
      <c r="Y178" s="13" t="n">
        <f aca="false">IF(COUNT(D179:D179)&lt;1,"",SUM(D179:D179))</f>
        <v>-0.022838710803551</v>
      </c>
      <c r="Z178" s="13" t="n">
        <f aca="false">IF(COUNT(D179:D181)&lt;3,"",SUM(D179:D181))</f>
        <v>-0.0745253675669112</v>
      </c>
      <c r="AA178" s="13" t="n">
        <f aca="false">IF(COUNT(D179:D184)&lt;6,"",SUM(D179:D184))</f>
        <v>-0.0522225713471631</v>
      </c>
      <c r="AB178" s="13" t="n">
        <f aca="false">IF(COUNT(D179:D190)&lt;12,"",SUM(D179:D190))</f>
        <v>0.0712472418339623</v>
      </c>
    </row>
    <row r="179" customFormat="false" ht="15" hidden="false" customHeight="false" outlineLevel="0" collapsed="false">
      <c r="A179" s="8" t="n">
        <f aca="false">Base!A179</f>
        <v>43404</v>
      </c>
      <c r="B179" s="10" t="n">
        <f aca="false">IF(Base!T179="","",Base!T179)</f>
        <v>0.439269928594846</v>
      </c>
      <c r="C179" s="11" t="n">
        <f aca="false">IF(B179="","",LN(B179))</f>
        <v>-0.822641183348548</v>
      </c>
      <c r="D179" s="13" t="n">
        <f aca="false">IF(OR(C179="",C178=""),"",C179-C178)</f>
        <v>-0.022838710803551</v>
      </c>
      <c r="E179" s="12" t="n">
        <f aca="false">IF(Base!U179="","",Base!U179)</f>
        <v>81.03</v>
      </c>
      <c r="F179" s="11" t="n">
        <f aca="false">IF(E179="","",LN(E179))</f>
        <v>4.39481945647263</v>
      </c>
      <c r="G179" s="13" t="n">
        <f aca="false">IF(OR(F179="",F178=""),"",F179-F178)</f>
        <v>0.0267649793656357</v>
      </c>
      <c r="H179" s="10" t="n">
        <f aca="false">IF(COUNT(D$75:D178)&lt;36,"",SLOPE(D$75:D178,G$75:G178))</f>
        <v>0.115266915904681</v>
      </c>
      <c r="I179" s="13" t="n">
        <f aca="false">IF(OR(D179="",H179="",G179=""),"",D179-H179*G179)</f>
        <v>-0.0259238274292803</v>
      </c>
      <c r="J179" s="10" t="n">
        <f aca="false">IF(COUNT(Senal!V167:V178)=0,"",AVERAGE(Senal!V167:V178))</f>
        <v>0.521200499487658</v>
      </c>
      <c r="K179" s="10" t="n">
        <f aca="false">IF(J179="","",ABS(J179))</f>
        <v>0.521200499487658</v>
      </c>
      <c r="L179" s="10" t="n">
        <f aca="false">IF(OR(J179="",J178=""),"",ABS(J179-J178))</f>
        <v>0.00560337251534704</v>
      </c>
      <c r="M179" s="13" t="n">
        <f aca="false">IF(OR(J179="",I179=""),"",J179*I179-IF(L179="",0,L179)*Resumen!$B$8/10000)</f>
        <v>-0.0135283219223188</v>
      </c>
      <c r="N179" s="13" t="n">
        <f aca="false">IF(OR(J179="",D179=""),"",J179*D179-IF(L179="",0,L179)*Resumen!$B$8/10000)</f>
        <v>-0.011920357596011</v>
      </c>
      <c r="O179" s="13" t="n">
        <f aca="false">IF(M179="","",IF(COUNT(O$2:O178)=0,M179,SUM(M$2:M179)))</f>
        <v>0.135514570967165</v>
      </c>
      <c r="P179" s="13" t="n">
        <f aca="false">IF(O179="","",MAX(O$2:O179))</f>
        <v>0.151587288499777</v>
      </c>
      <c r="Q179" s="13" t="n">
        <f aca="false">IF(O179="","",O179-P179)</f>
        <v>-0.0160727175326128</v>
      </c>
      <c r="R179" s="13" t="n">
        <f aca="false">IF(COUNT(I180:I180)&lt;1,"",SUM(I180:I180))</f>
        <v>0.0421395010229337</v>
      </c>
      <c r="S179" s="13" t="n">
        <f aca="false">IF(COUNT(I180:I182)&lt;3,"",SUM(I180:I182))</f>
        <v>-0.038173710674651</v>
      </c>
      <c r="T179" s="13" t="n">
        <f aca="false">IF(COUNT(I180:I185)&lt;6,"",SUM(I180:I185))</f>
        <v>0.0275660064956062</v>
      </c>
      <c r="U179" s="13" t="n">
        <f aca="false">IF(COUNT(I180:I191)&lt;12,"",SUM(I180:I191))</f>
        <v>0.138791851751746</v>
      </c>
      <c r="V179" s="13" t="n">
        <f aca="false">IF(N179="","",SUM(N$2:N179))</f>
        <v>0.170828918325279</v>
      </c>
      <c r="W179" s="13" t="n">
        <f aca="false">IF(V179="","",MAX(V$2:V179))</f>
        <v>0.18274927592129</v>
      </c>
      <c r="X179" s="13" t="n">
        <f aca="false">IF(V179="","",V179-W179)</f>
        <v>-0.011920357596011</v>
      </c>
      <c r="Y179" s="13" t="n">
        <f aca="false">IF(COUNT(D180:D180)&lt;1,"",SUM(D180:D180))</f>
        <v>0.0164651026836836</v>
      </c>
      <c r="Z179" s="13" t="n">
        <f aca="false">IF(COUNT(D180:D182)&lt;3,"",SUM(D180:D182))</f>
        <v>-0.0720457189857242</v>
      </c>
      <c r="AA179" s="13" t="n">
        <f aca="false">IF(COUNT(D180:D185)&lt;6,"",SUM(D180:D185))</f>
        <v>0.0128854633641957</v>
      </c>
      <c r="AB179" s="13" t="n">
        <f aca="false">IF(COUNT(D180:D191)&lt;12,"",SUM(D180:D191))</f>
        <v>0.104152710650219</v>
      </c>
    </row>
    <row r="180" customFormat="false" ht="15" hidden="false" customHeight="false" outlineLevel="0" collapsed="false">
      <c r="A180" s="8" t="n">
        <f aca="false">Base!A180</f>
        <v>43434</v>
      </c>
      <c r="B180" s="10" t="n">
        <f aca="false">IF(Base!T180="","",Base!T180)</f>
        <v>0.446562424170607</v>
      </c>
      <c r="C180" s="11" t="n">
        <f aca="false">IF(B180="","",LN(B180))</f>
        <v>-0.806176080664864</v>
      </c>
      <c r="D180" s="13" t="n">
        <f aca="false">IF(OR(C180="",C179=""),"",C180-C179)</f>
        <v>0.0164651026836836</v>
      </c>
      <c r="E180" s="12" t="n">
        <f aca="false">IF(Base!U180="","",Base!U180)</f>
        <v>64.75</v>
      </c>
      <c r="F180" s="11" t="n">
        <f aca="false">IF(E180="","",LN(E180))</f>
        <v>4.17053370057965</v>
      </c>
      <c r="G180" s="13" t="n">
        <f aca="false">IF(OR(F180="",F179=""),"",F180-F179)</f>
        <v>-0.224285755892987</v>
      </c>
      <c r="H180" s="10" t="n">
        <f aca="false">IF(COUNT(D$75:D179)&lt;36,"",SLOPE(D$75:D179,G$75:G179))</f>
        <v>0.114471818493458</v>
      </c>
      <c r="I180" s="13" t="n">
        <f aca="false">IF(OR(D180="",H180="",G180=""),"",D180-H180*G180)</f>
        <v>0.0421395010229337</v>
      </c>
      <c r="J180" s="10" t="n">
        <f aca="false">IF(COUNT(Senal!V168:V179)=0,"",AVERAGE(Senal!V168:V179))</f>
        <v>0.528659249404323</v>
      </c>
      <c r="K180" s="10" t="n">
        <f aca="false">IF(J180="","",ABS(J180))</f>
        <v>0.528659249404323</v>
      </c>
      <c r="L180" s="10" t="n">
        <f aca="false">IF(OR(J180="",J179=""),"",ABS(J180-J179))</f>
        <v>0.00745874991666562</v>
      </c>
      <c r="M180" s="13" t="n">
        <f aca="false">IF(OR(J180="",I180=""),"",J180*I180-IF(L180="",0,L180)*Resumen!$B$8/10000)</f>
        <v>0.0222550607313069</v>
      </c>
      <c r="N180" s="13" t="n">
        <f aca="false">IF(OR(J180="",D180=""),"",J180*D180-IF(L180="",0,L180)*Resumen!$B$8/10000)</f>
        <v>0.0086820525763713</v>
      </c>
      <c r="O180" s="13" t="n">
        <f aca="false">IF(M180="","",IF(COUNT(O$2:O179)=0,M180,SUM(M$2:M180)))</f>
        <v>0.157769631698471</v>
      </c>
      <c r="P180" s="13" t="n">
        <f aca="false">IF(O180="","",MAX(O$2:O180))</f>
        <v>0.157769631698471</v>
      </c>
      <c r="Q180" s="13" t="n">
        <f aca="false">IF(O180="","",O180-P180)</f>
        <v>0</v>
      </c>
      <c r="R180" s="13" t="n">
        <f aca="false">IF(COUNT(I181:I181)&lt;1,"",SUM(I181:I181))</f>
        <v>-0.0561935010757077</v>
      </c>
      <c r="S180" s="13" t="n">
        <f aca="false">IF(COUNT(I181:I183)&lt;3,"",SUM(I181:I183))</f>
        <v>-0.117675449383821</v>
      </c>
      <c r="T180" s="13" t="n">
        <f aca="false">IF(COUNT(I181:I186)&lt;6,"",SUM(I181:I186))</f>
        <v>-0.0148580420255637</v>
      </c>
      <c r="U180" s="13" t="n">
        <f aca="false">IF(COUNT(I181:I192)&lt;12,"",SUM(I181:I192))</f>
        <v>-0.0152223062226914</v>
      </c>
      <c r="V180" s="13" t="n">
        <f aca="false">IF(N180="","",SUM(N$2:N180))</f>
        <v>0.179510970901651</v>
      </c>
      <c r="W180" s="13" t="n">
        <f aca="false">IF(V180="","",MAX(V$2:V180))</f>
        <v>0.18274927592129</v>
      </c>
      <c r="X180" s="13" t="n">
        <f aca="false">IF(V180="","",V180-W180)</f>
        <v>-0.0032383050196397</v>
      </c>
      <c r="Y180" s="13" t="n">
        <f aca="false">IF(COUNT(D181:D181)&lt;1,"",SUM(D181:D181))</f>
        <v>-0.0681517594470438</v>
      </c>
      <c r="Z180" s="13" t="n">
        <f aca="false">IF(COUNT(D181:D183)&lt;3,"",SUM(D181:D183))</f>
        <v>-0.118038241227334</v>
      </c>
      <c r="AA180" s="13" t="n">
        <f aca="false">IF(COUNT(D181:D186)&lt;6,"",SUM(D181:D186))</f>
        <v>-0.00372414924020703</v>
      </c>
      <c r="AB180" s="13" t="n">
        <f aca="false">IF(COUNT(D181:D192)&lt;12,"",SUM(D181:D192))</f>
        <v>-0.0190510369083876</v>
      </c>
    </row>
    <row r="181" customFormat="false" ht="15" hidden="false" customHeight="false" outlineLevel="0" collapsed="false">
      <c r="A181" s="8" t="n">
        <f aca="false">Base!A181</f>
        <v>43465</v>
      </c>
      <c r="B181" s="10" t="n">
        <f aca="false">IF(Base!T181="","",Base!T181)</f>
        <v>0.417142311797012</v>
      </c>
      <c r="C181" s="11" t="n">
        <f aca="false">IF(B181="","",LN(B181))</f>
        <v>-0.874327840111908</v>
      </c>
      <c r="D181" s="13" t="n">
        <f aca="false">IF(OR(C181="",C180=""),"",C181-C180)</f>
        <v>-0.0681517594470438</v>
      </c>
      <c r="E181" s="12" t="n">
        <f aca="false">IF(Base!U181="","",Base!U181)</f>
        <v>57.36</v>
      </c>
      <c r="F181" s="11" t="n">
        <f aca="false">IF(E181="","",LN(E181))</f>
        <v>4.04934719629136</v>
      </c>
      <c r="G181" s="13" t="n">
        <f aca="false">IF(OR(F181="",F180=""),"",F181-F180)</f>
        <v>-0.121186504288283</v>
      </c>
      <c r="H181" s="10" t="n">
        <f aca="false">IF(COUNT(D$75:D180)&lt;36,"",SLOPE(D$75:D180,G$75:G180))</f>
        <v>0.0986764858147022</v>
      </c>
      <c r="I181" s="13" t="n">
        <f aca="false">IF(OR(D181="",H181="",G181=""),"",D181-H181*G181)</f>
        <v>-0.0561935010757077</v>
      </c>
      <c r="J181" s="10" t="n">
        <f aca="false">IF(COUNT(Senal!V169:V180)=0,"",AVERAGE(Senal!V169:V180))</f>
        <v>0.551684410731907</v>
      </c>
      <c r="K181" s="10" t="n">
        <f aca="false">IF(J181="","",ABS(J181))</f>
        <v>0.551684410731907</v>
      </c>
      <c r="L181" s="10" t="n">
        <f aca="false">IF(OR(J181="",J180=""),"",ABS(J181-J180))</f>
        <v>0.0230251613275831</v>
      </c>
      <c r="M181" s="13" t="n">
        <f aca="false">IF(OR(J181="",I181=""),"",J181*I181-IF(L181="",0,L181)*Resumen!$B$8/10000)</f>
        <v>-0.0310701540118973</v>
      </c>
      <c r="N181" s="13" t="n">
        <f aca="false">IF(OR(J181="",D181=""),"",J181*D181-IF(L181="",0,L181)*Resumen!$B$8/10000)</f>
        <v>-0.0376673387348677</v>
      </c>
      <c r="O181" s="13" t="n">
        <f aca="false">IF(M181="","",IF(COUNT(O$2:O180)=0,M181,SUM(M$2:M181)))</f>
        <v>0.126699477686574</v>
      </c>
      <c r="P181" s="13" t="n">
        <f aca="false">IF(O181="","",MAX(O$2:O181))</f>
        <v>0.157769631698471</v>
      </c>
      <c r="Q181" s="13" t="n">
        <f aca="false">IF(O181="","",O181-P181)</f>
        <v>-0.0310701540118973</v>
      </c>
      <c r="R181" s="13" t="n">
        <f aca="false">IF(COUNT(I182:I182)&lt;1,"",SUM(I182:I182))</f>
        <v>-0.024119710621877</v>
      </c>
      <c r="S181" s="13" t="n">
        <f aca="false">IF(COUNT(I182:I184)&lt;3,"",SUM(I182:I184))</f>
        <v>0.00725744574473251</v>
      </c>
      <c r="T181" s="13" t="n">
        <f aca="false">IF(COUNT(I182:I187)&lt;6,"",SUM(I182:I187))</f>
        <v>0.00844121391354614</v>
      </c>
      <c r="U181" s="13" t="n">
        <f aca="false">IF(COUNT(I182:I193)&lt;12,"",SUM(I182:I193))</f>
        <v>0.0284017412993772</v>
      </c>
      <c r="V181" s="13" t="n">
        <f aca="false">IF(N181="","",SUM(N$2:N181))</f>
        <v>0.141843632166783</v>
      </c>
      <c r="W181" s="13" t="n">
        <f aca="false">IF(V181="","",MAX(V$2:V181))</f>
        <v>0.18274927592129</v>
      </c>
      <c r="X181" s="13" t="n">
        <f aca="false">IF(V181="","",V181-W181)</f>
        <v>-0.0409056437545075</v>
      </c>
      <c r="Y181" s="13" t="n">
        <f aca="false">IF(COUNT(D182:D182)&lt;1,"",SUM(D182:D182))</f>
        <v>-0.0203590622223641</v>
      </c>
      <c r="Z181" s="13" t="n">
        <f aca="false">IF(COUNT(D182:D184)&lt;3,"",SUM(D182:D184))</f>
        <v>0.0223027962197481</v>
      </c>
      <c r="AA181" s="13" t="n">
        <f aca="false">IF(COUNT(D182:D187)&lt;6,"",SUM(D182:D187))</f>
        <v>0.0199023788849968</v>
      </c>
      <c r="AB181" s="13" t="n">
        <f aca="false">IF(COUNT(D182:D193)&lt;12,"",SUM(D182:D193))</f>
        <v>0.0416684998040883</v>
      </c>
    </row>
    <row r="182" customFormat="false" ht="15" hidden="false" customHeight="false" outlineLevel="0" collapsed="false">
      <c r="A182" s="8" t="n">
        <f aca="false">Base!A182</f>
        <v>43496</v>
      </c>
      <c r="B182" s="10" t="n">
        <f aca="false">IF(Base!T182="","",Base!T182)</f>
        <v>0.408735552756204</v>
      </c>
      <c r="C182" s="11" t="n">
        <f aca="false">IF(B182="","",LN(B182))</f>
        <v>-0.894686902334272</v>
      </c>
      <c r="D182" s="13" t="n">
        <f aca="false">IF(OR(C182="",C181=""),"",C182-C181)</f>
        <v>-0.0203590622223641</v>
      </c>
      <c r="E182" s="12" t="n">
        <f aca="false">IF(Base!U182="","",Base!U182)</f>
        <v>59.41</v>
      </c>
      <c r="F182" s="11" t="n">
        <f aca="false">IF(E182="","",LN(E182))</f>
        <v>4.08446256236765</v>
      </c>
      <c r="G182" s="13" t="n">
        <f aca="false">IF(OR(F182="",F181=""),"",F182-F181)</f>
        <v>0.0351153660762851</v>
      </c>
      <c r="H182" s="10" t="n">
        <f aca="false">IF(COUNT(D$75:D181)&lt;36,"",SLOPE(D$75:D181,G$75:G181))</f>
        <v>0.107094096394817</v>
      </c>
      <c r="I182" s="13" t="n">
        <f aca="false">IF(OR(D182="",H182="",G182=""),"",D182-H182*G182)</f>
        <v>-0.024119710621877</v>
      </c>
      <c r="J182" s="10" t="n">
        <f aca="false">IF(COUNT(Senal!V170:V181)=0,"",AVERAGE(Senal!V170:V181))</f>
        <v>0.596025462161876</v>
      </c>
      <c r="K182" s="10" t="n">
        <f aca="false">IF(J182="","",ABS(J182))</f>
        <v>0.596025462161876</v>
      </c>
      <c r="L182" s="10" t="n">
        <f aca="false">IF(OR(J182="",J181=""),"",ABS(J182-J181))</f>
        <v>0.0443410514299694</v>
      </c>
      <c r="M182" s="13" t="n">
        <f aca="false">IF(OR(J182="",I182=""),"",J182*I182-IF(L182="",0,L182)*Resumen!$B$8/10000)</f>
        <v>-0.0145089848249049</v>
      </c>
      <c r="N182" s="13" t="n">
        <f aca="false">IF(OR(J182="",D182=""),"",J182*D182-IF(L182="",0,L182)*Resumen!$B$8/10000)</f>
        <v>-0.0122675426245568</v>
      </c>
      <c r="O182" s="13" t="n">
        <f aca="false">IF(M182="","",IF(COUNT(O$2:O181)=0,M182,SUM(M$2:M182)))</f>
        <v>0.112190492861669</v>
      </c>
      <c r="P182" s="13" t="n">
        <f aca="false">IF(O182="","",MAX(O$2:O182))</f>
        <v>0.157769631698471</v>
      </c>
      <c r="Q182" s="13" t="n">
        <f aca="false">IF(O182="","",O182-P182)</f>
        <v>-0.0455791388368021</v>
      </c>
      <c r="R182" s="13" t="n">
        <f aca="false">IF(COUNT(I183:I183)&lt;1,"",SUM(I183:I183))</f>
        <v>-0.0373622376862365</v>
      </c>
      <c r="S182" s="13" t="n">
        <f aca="false">IF(COUNT(I183:I185)&lt;3,"",SUM(I183:I185))</f>
        <v>0.0657397171702571</v>
      </c>
      <c r="T182" s="13" t="n">
        <f aca="false">IF(COUNT(I183:I188)&lt;6,"",SUM(I183:I188))</f>
        <v>0.00442915206854873</v>
      </c>
      <c r="U182" s="13" t="n">
        <f aca="false">IF(COUNT(I183:I194)&lt;12,"",SUM(I183:I194))</f>
        <v>0.0104927616467068</v>
      </c>
      <c r="V182" s="13" t="n">
        <f aca="false">IF(N182="","",SUM(N$2:N182))</f>
        <v>0.129576089542226</v>
      </c>
      <c r="W182" s="13" t="n">
        <f aca="false">IF(V182="","",MAX(V$2:V182))</f>
        <v>0.18274927592129</v>
      </c>
      <c r="X182" s="13" t="n">
        <f aca="false">IF(V182="","",V182-W182)</f>
        <v>-0.0531731863790643</v>
      </c>
      <c r="Y182" s="13" t="n">
        <f aca="false">IF(COUNT(D183:D183)&lt;1,"",SUM(D183:D183))</f>
        <v>-0.0295274195579259</v>
      </c>
      <c r="Z182" s="13" t="n">
        <f aca="false">IF(COUNT(D183:D185)&lt;3,"",SUM(D183:D185))</f>
        <v>0.0849311823499199</v>
      </c>
      <c r="AA182" s="13" t="n">
        <f aca="false">IF(COUNT(D183:D188)&lt;6,"",SUM(D183:D188))</f>
        <v>0.0115924599173241</v>
      </c>
      <c r="AB182" s="13" t="n">
        <f aca="false">IF(COUNT(D183:D194)&lt;12,"",SUM(D183:D194))</f>
        <v>0.0154610032818481</v>
      </c>
    </row>
    <row r="183" customFormat="false" ht="15" hidden="false" customHeight="false" outlineLevel="0" collapsed="false">
      <c r="A183" s="8" t="n">
        <f aca="false">Base!A183</f>
        <v>43524</v>
      </c>
      <c r="B183" s="10" t="n">
        <f aca="false">IF(Base!T183="","",Base!T183)</f>
        <v>0.396843087549532</v>
      </c>
      <c r="C183" s="11" t="n">
        <f aca="false">IF(B183="","",LN(B183))</f>
        <v>-0.924214321892198</v>
      </c>
      <c r="D183" s="13" t="n">
        <f aca="false">IF(OR(C183="",C182=""),"",C183-C182)</f>
        <v>-0.0295274195579259</v>
      </c>
      <c r="E183" s="12" t="n">
        <f aca="false">IF(Base!U183="","",Base!U183)</f>
        <v>63.96</v>
      </c>
      <c r="F183" s="11" t="n">
        <f aca="false">IF(E183="","",LN(E183))</f>
        <v>4.15825788796575</v>
      </c>
      <c r="G183" s="13" t="n">
        <f aca="false">IF(OR(F183="",F182=""),"",F183-F182)</f>
        <v>0.0737953255981036</v>
      </c>
      <c r="H183" s="10" t="n">
        <f aca="false">IF(COUNT(D$75:D182)&lt;36,"",SLOPE(D$75:D182,G$75:G182))</f>
        <v>0.106169571918142</v>
      </c>
      <c r="I183" s="13" t="n">
        <f aca="false">IF(OR(D183="",H183="",G183=""),"",D183-H183*G183)</f>
        <v>-0.0373622376862365</v>
      </c>
      <c r="J183" s="10" t="n">
        <f aca="false">IF(COUNT(Senal!V171:V182)=0,"",AVERAGE(Senal!V171:V182))</f>
        <v>0.596025462161876</v>
      </c>
      <c r="K183" s="10" t="n">
        <f aca="false">IF(J183="","",ABS(J183))</f>
        <v>0.596025462161876</v>
      </c>
      <c r="L183" s="10" t="n">
        <f aca="false">IF(OR(J183="",J182=""),"",ABS(J183-J182))</f>
        <v>0</v>
      </c>
      <c r="M183" s="13" t="n">
        <f aca="false">IF(OR(J183="",I183=""),"",J183*I183-IF(L183="",0,L183)*Resumen!$B$8/10000)</f>
        <v>-0.022268844984341</v>
      </c>
      <c r="N183" s="13" t="n">
        <f aca="false">IF(OR(J183="",D183=""),"",J183*D183-IF(L183="",0,L183)*Resumen!$B$8/10000)</f>
        <v>-0.0175990938884604</v>
      </c>
      <c r="O183" s="13" t="n">
        <f aca="false">IF(M183="","",IF(COUNT(O$2:O182)=0,M183,SUM(M$2:M183)))</f>
        <v>0.0899216478773284</v>
      </c>
      <c r="P183" s="13" t="n">
        <f aca="false">IF(O183="","",MAX(O$2:O183))</f>
        <v>0.157769631698471</v>
      </c>
      <c r="Q183" s="13" t="n">
        <f aca="false">IF(O183="","",O183-P183)</f>
        <v>-0.0678479838211431</v>
      </c>
      <c r="R183" s="13" t="n">
        <f aca="false">IF(COUNT(I184:I184)&lt;1,"",SUM(I184:I184))</f>
        <v>0.068739394052846</v>
      </c>
      <c r="S183" s="13" t="n">
        <f aca="false">IF(COUNT(I184:I186)&lt;3,"",SUM(I184:I186))</f>
        <v>0.102817407358257</v>
      </c>
      <c r="T183" s="13" t="n">
        <f aca="false">IF(COUNT(I184:I189)&lt;6,"",SUM(I184:I189))</f>
        <v>0.23343379832404</v>
      </c>
      <c r="U183" s="13" t="n">
        <f aca="false">IF(COUNT(I184:I195)&lt;12,"",SUM(I184:I195))</f>
        <v>0.0367435482423196</v>
      </c>
      <c r="V183" s="13" t="n">
        <f aca="false">IF(N183="","",SUM(N$2:N183))</f>
        <v>0.111976995653766</v>
      </c>
      <c r="W183" s="13" t="n">
        <f aca="false">IF(V183="","",MAX(V$2:V183))</f>
        <v>0.18274927592129</v>
      </c>
      <c r="X183" s="13" t="n">
        <f aca="false">IF(V183="","",V183-W183)</f>
        <v>-0.0707722802675247</v>
      </c>
      <c r="Y183" s="13" t="n">
        <f aca="false">IF(COUNT(D184:D184)&lt;1,"",SUM(D184:D184))</f>
        <v>0.0721892780000381</v>
      </c>
      <c r="Z183" s="13" t="n">
        <f aca="false">IF(COUNT(D184:D186)&lt;3,"",SUM(D184:D186))</f>
        <v>0.114314091987127</v>
      </c>
      <c r="AA183" s="13" t="n">
        <f aca="false">IF(COUNT(D184:D189)&lt;6,"",SUM(D184:D189))</f>
        <v>0.223643289729914</v>
      </c>
      <c r="AB183" s="13" t="n">
        <f aca="false">IF(COUNT(D184:D195)&lt;12,"",SUM(D184:D195))</f>
        <v>0.0226381764001401</v>
      </c>
    </row>
    <row r="184" customFormat="false" ht="15" hidden="false" customHeight="false" outlineLevel="0" collapsed="false">
      <c r="A184" s="8" t="n">
        <f aca="false">Base!A184</f>
        <v>43555</v>
      </c>
      <c r="B184" s="10" t="n">
        <f aca="false">IF(Base!T184="","",Base!T184)</f>
        <v>0.426550273732269</v>
      </c>
      <c r="C184" s="11" t="n">
        <f aca="false">IF(B184="","",LN(B184))</f>
        <v>-0.85202504389216</v>
      </c>
      <c r="D184" s="13" t="n">
        <f aca="false">IF(OR(C184="",C183=""),"",C184-C183)</f>
        <v>0.0721892780000381</v>
      </c>
      <c r="E184" s="12" t="n">
        <f aca="false">IF(Base!U184="","",Base!U184)</f>
        <v>66.14</v>
      </c>
      <c r="F184" s="11" t="n">
        <f aca="false">IF(E184="","",LN(E184))</f>
        <v>4.19177370755365</v>
      </c>
      <c r="G184" s="13" t="n">
        <f aca="false">IF(OR(F184="",F183=""),"",F184-F183)</f>
        <v>0.0335158195878931</v>
      </c>
      <c r="H184" s="10" t="n">
        <f aca="false">IF(COUNT(D$75:D183)&lt;36,"",SLOPE(D$75:D183,G$75:G183))</f>
        <v>0.102933002671915</v>
      </c>
      <c r="I184" s="13" t="n">
        <f aca="false">IF(OR(D184="",H184="",G184=""),"",D184-H184*G184)</f>
        <v>0.068739394052846</v>
      </c>
      <c r="J184" s="10" t="n">
        <f aca="false">IF(COUNT(Senal!V172:V183)=0,"",AVERAGE(Senal!V172:V183))</f>
        <v>0.559174402913694</v>
      </c>
      <c r="K184" s="10" t="n">
        <f aca="false">IF(J184="","",ABS(J184))</f>
        <v>0.559174402913694</v>
      </c>
      <c r="L184" s="10" t="n">
        <f aca="false">IF(OR(J184="",J183=""),"",ABS(J184-J183))</f>
        <v>0.0368510592481824</v>
      </c>
      <c r="M184" s="13" t="n">
        <f aca="false">IF(OR(J184="",I184=""),"",J184*I184-IF(L184="",0,L184)*Resumen!$B$8/10000)</f>
        <v>0.0383267564484047</v>
      </c>
      <c r="N184" s="13" t="n">
        <f aca="false">IF(OR(J184="",D184=""),"",J184*D184-IF(L184="",0,L184)*Resumen!$B$8/10000)</f>
        <v>0.0402558432446974</v>
      </c>
      <c r="O184" s="13" t="n">
        <f aca="false">IF(M184="","",IF(COUNT(O$2:O183)=0,M184,SUM(M$2:M184)))</f>
        <v>0.128248404325733</v>
      </c>
      <c r="P184" s="13" t="n">
        <f aca="false">IF(O184="","",MAX(O$2:O184))</f>
        <v>0.157769631698471</v>
      </c>
      <c r="Q184" s="13" t="n">
        <f aca="false">IF(O184="","",O184-P184)</f>
        <v>-0.0295212273727384</v>
      </c>
      <c r="R184" s="13" t="n">
        <f aca="false">IF(COUNT(I185:I185)&lt;1,"",SUM(I185:I185))</f>
        <v>0.0343625608036476</v>
      </c>
      <c r="S184" s="13" t="n">
        <f aca="false">IF(COUNT(I185:I187)&lt;3,"",SUM(I185:I187))</f>
        <v>0.00118376816881363</v>
      </c>
      <c r="T184" s="13" t="n">
        <f aca="false">IF(COUNT(I185:I190)&lt;6,"",SUM(I185:I190))</f>
        <v>0.130862862934675</v>
      </c>
      <c r="U184" s="13" t="n">
        <f aca="false">IF(COUNT(I185:I196)&lt;12,"",SUM(I185:I196))</f>
        <v>-0.0664782588709373</v>
      </c>
      <c r="V184" s="13" t="n">
        <f aca="false">IF(N184="","",SUM(N$2:N184))</f>
        <v>0.152232838898463</v>
      </c>
      <c r="W184" s="13" t="n">
        <f aca="false">IF(V184="","",MAX(V$2:V184))</f>
        <v>0.18274927592129</v>
      </c>
      <c r="X184" s="13" t="n">
        <f aca="false">IF(V184="","",V184-W184)</f>
        <v>-0.0305164370228273</v>
      </c>
      <c r="Y184" s="13" t="n">
        <f aca="false">IF(COUNT(D185:D185)&lt;1,"",SUM(D185:D185))</f>
        <v>0.0422693239078078</v>
      </c>
      <c r="Z184" s="13" t="n">
        <f aca="false">IF(COUNT(D185:D187)&lt;3,"",SUM(D185:D187))</f>
        <v>-0.00240041733475127</v>
      </c>
      <c r="AA184" s="13" t="n">
        <f aca="false">IF(COUNT(D185:D190)&lt;6,"",SUM(D185:D190))</f>
        <v>0.123469813181125</v>
      </c>
      <c r="AB184" s="13" t="n">
        <f aca="false">IF(COUNT(D185:D196)&lt;12,"",SUM(D185:D196))</f>
        <v>-0.130854262877911</v>
      </c>
    </row>
    <row r="185" customFormat="false" ht="15" hidden="false" customHeight="false" outlineLevel="0" collapsed="false">
      <c r="A185" s="8" t="n">
        <f aca="false">Base!A185</f>
        <v>43585</v>
      </c>
      <c r="B185" s="10" t="n">
        <f aca="false">IF(Base!T185="","",Base!T185)</f>
        <v>0.444966749432347</v>
      </c>
      <c r="C185" s="11" t="n">
        <f aca="false">IF(B185="","",LN(B185))</f>
        <v>-0.809755719984352</v>
      </c>
      <c r="D185" s="13" t="n">
        <f aca="false">IF(OR(C185="",C184=""),"",C185-C184)</f>
        <v>0.0422693239078078</v>
      </c>
      <c r="E185" s="12" t="n">
        <f aca="false">IF(Base!U185="","",Base!U185)</f>
        <v>71.23</v>
      </c>
      <c r="F185" s="11" t="n">
        <f aca="false">IF(E185="","",LN(E185))</f>
        <v>4.26591407799026</v>
      </c>
      <c r="G185" s="13" t="n">
        <f aca="false">IF(OR(F185="",F184=""),"",F185-F184)</f>
        <v>0.0741403704366164</v>
      </c>
      <c r="H185" s="10" t="n">
        <f aca="false">IF(COUNT(D$75:D184)&lt;36,"",SLOPE(D$75:D184,G$75:G184))</f>
        <v>0.106645853771661</v>
      </c>
      <c r="I185" s="13" t="n">
        <f aca="false">IF(OR(D185="",H185="",G185=""),"",D185-H185*G185)</f>
        <v>0.0343625608036476</v>
      </c>
      <c r="J185" s="10" t="n">
        <f aca="false">IF(COUNT(Senal!V173:V184)=0,"",AVERAGE(Senal!V173:V184))</f>
        <v>0.499906164795529</v>
      </c>
      <c r="K185" s="10" t="n">
        <f aca="false">IF(J185="","",ABS(J185))</f>
        <v>0.499906164795529</v>
      </c>
      <c r="L185" s="10" t="n">
        <f aca="false">IF(OR(J185="",J184=""),"",ABS(J185-J184))</f>
        <v>0.0592682381181641</v>
      </c>
      <c r="M185" s="13" t="n">
        <f aca="false">IF(OR(J185="",I185=""),"",J185*I185-IF(L185="",0,L185)*Resumen!$B$8/10000)</f>
        <v>0.0170002512695502</v>
      </c>
      <c r="N185" s="13" t="n">
        <f aca="false">IF(OR(J185="",D185=""),"",J185*D185-IF(L185="",0,L185)*Resumen!$B$8/10000)</f>
        <v>0.0209528908888977</v>
      </c>
      <c r="O185" s="13" t="n">
        <f aca="false">IF(M185="","",IF(COUNT(O$2:O184)=0,M185,SUM(M$2:M185)))</f>
        <v>0.145248655595283</v>
      </c>
      <c r="P185" s="13" t="n">
        <f aca="false">IF(O185="","",MAX(O$2:O185))</f>
        <v>0.157769631698471</v>
      </c>
      <c r="Q185" s="13" t="n">
        <f aca="false">IF(O185="","",O185-P185)</f>
        <v>-0.0125209761031882</v>
      </c>
      <c r="R185" s="13" t="n">
        <f aca="false">IF(COUNT(I186:I186)&lt;1,"",SUM(I186:I186))</f>
        <v>-0.00028454749823617</v>
      </c>
      <c r="S185" s="13" t="n">
        <f aca="false">IF(COUNT(I186:I188)&lt;3,"",SUM(I186:I188))</f>
        <v>-0.0613105651017084</v>
      </c>
      <c r="T185" s="13" t="n">
        <f aca="false">IF(COUNT(I186:I191)&lt;6,"",SUM(I186:I191))</f>
        <v>0.11122584525614</v>
      </c>
      <c r="U185" s="13" t="n">
        <f aca="false">IF(COUNT(I186:I197)&lt;12,"",SUM(I186:I197))</f>
        <v>-0.0897572326877575</v>
      </c>
      <c r="V185" s="13" t="n">
        <f aca="false">IF(N185="","",SUM(N$2:N185))</f>
        <v>0.173185729787361</v>
      </c>
      <c r="W185" s="13" t="n">
        <f aca="false">IF(V185="","",MAX(V$2:V185))</f>
        <v>0.18274927592129</v>
      </c>
      <c r="X185" s="13" t="n">
        <f aca="false">IF(V185="","",V185-W185)</f>
        <v>-0.00956354613392965</v>
      </c>
      <c r="Y185" s="13" t="n">
        <f aca="false">IF(COUNT(D186:D186)&lt;1,"",SUM(D186:D186))</f>
        <v>-0.000144509920719127</v>
      </c>
      <c r="Z185" s="13" t="n">
        <f aca="false">IF(COUNT(D186:D188)&lt;3,"",SUM(D186:D188))</f>
        <v>-0.0733387224325959</v>
      </c>
      <c r="AA185" s="13" t="n">
        <f aca="false">IF(COUNT(D186:D191)&lt;6,"",SUM(D186:D191))</f>
        <v>0.0912672472860237</v>
      </c>
      <c r="AB185" s="13" t="n">
        <f aca="false">IF(COUNT(D186:D197)&lt;12,"",SUM(D186:D197))</f>
        <v>-0.217010783761182</v>
      </c>
    </row>
    <row r="186" customFormat="false" ht="15" hidden="false" customHeight="false" outlineLevel="0" collapsed="false">
      <c r="A186" s="8" t="n">
        <f aca="false">Base!A186</f>
        <v>43616</v>
      </c>
      <c r="B186" s="10" t="n">
        <f aca="false">IF(Base!T186="","",Base!T186)</f>
        <v>0.444902451968586</v>
      </c>
      <c r="C186" s="11" t="n">
        <f aca="false">IF(B186="","",LN(B186))</f>
        <v>-0.809900229905071</v>
      </c>
      <c r="D186" s="13" t="n">
        <f aca="false">IF(OR(C186="",C185=""),"",C186-C185)</f>
        <v>-0.000144509920719127</v>
      </c>
      <c r="E186" s="12" t="n">
        <f aca="false">IF(Base!U186="","",Base!U186)</f>
        <v>71.32</v>
      </c>
      <c r="F186" s="11" t="n">
        <f aca="false">IF(E186="","",LN(E186))</f>
        <v>4.26717679299494</v>
      </c>
      <c r="G186" s="13" t="n">
        <f aca="false">IF(OR(F186="",F185=""),"",F186-F185)</f>
        <v>0.00126271500467645</v>
      </c>
      <c r="H186" s="10" t="n">
        <f aca="false">IF(COUNT(D$75:D185)&lt;36,"",SLOPE(D$75:D185,G$75:G185))</f>
        <v>0.110901966792519</v>
      </c>
      <c r="I186" s="13" t="n">
        <f aca="false">IF(OR(D186="",H186="",G186=""),"",D186-H186*G186)</f>
        <v>-0.00028454749823617</v>
      </c>
      <c r="J186" s="10" t="n">
        <f aca="false">IF(COUNT(Senal!V174:V185)=0,"",AVERAGE(Senal!V174:V185))</f>
        <v>0.431768103143023</v>
      </c>
      <c r="K186" s="10" t="n">
        <f aca="false">IF(J186="","",ABS(J186))</f>
        <v>0.431768103143023</v>
      </c>
      <c r="L186" s="10" t="n">
        <f aca="false">IF(OR(J186="",J185=""),"",ABS(J186-J185))</f>
        <v>0.0681380616525064</v>
      </c>
      <c r="M186" s="13" t="n">
        <f aca="false">IF(OR(J186="",I186=""),"",J186*I186-IF(L186="",0,L186)*Resumen!$B$8/10000)</f>
        <v>-0.000327272718525043</v>
      </c>
      <c r="N186" s="13" t="n">
        <f aca="false">IF(OR(J186="",D186=""),"",J186*D186-IF(L186="",0,L186)*Resumen!$B$8/10000)</f>
        <v>-0.000266808959311765</v>
      </c>
      <c r="O186" s="13" t="n">
        <f aca="false">IF(M186="","",IF(COUNT(O$2:O185)=0,M186,SUM(M$2:M186)))</f>
        <v>0.144921382876758</v>
      </c>
      <c r="P186" s="13" t="n">
        <f aca="false">IF(O186="","",MAX(O$2:O186))</f>
        <v>0.157769631698471</v>
      </c>
      <c r="Q186" s="13" t="n">
        <f aca="false">IF(O186="","",O186-P186)</f>
        <v>-0.0128482488217132</v>
      </c>
      <c r="R186" s="13" t="n">
        <f aca="false">IF(COUNT(I187:I187)&lt;1,"",SUM(I187:I187))</f>
        <v>-0.0328942451365978</v>
      </c>
      <c r="S186" s="13" t="n">
        <f aca="false">IF(COUNT(I187:I189)&lt;3,"",SUM(I187:I189))</f>
        <v>0.130616390965783</v>
      </c>
      <c r="T186" s="13" t="n">
        <f aca="false">IF(COUNT(I187:I192)&lt;6,"",SUM(I187:I192))</f>
        <v>-0.000364264197127734</v>
      </c>
      <c r="U186" s="13" t="n">
        <f aca="false">IF(COUNT(I187:I198)&lt;12,"",SUM(I187:I198))</f>
        <v>-0.0794040446130442</v>
      </c>
      <c r="V186" s="13" t="n">
        <f aca="false">IF(N186="","",SUM(N$2:N186))</f>
        <v>0.172918920828049</v>
      </c>
      <c r="W186" s="13" t="n">
        <f aca="false">IF(V186="","",MAX(V$2:V186))</f>
        <v>0.18274927592129</v>
      </c>
      <c r="X186" s="13" t="n">
        <f aca="false">IF(V186="","",V186-W186)</f>
        <v>-0.00983035509324143</v>
      </c>
      <c r="Y186" s="13" t="n">
        <f aca="false">IF(COUNT(D187:D187)&lt;1,"",SUM(D187:D187))</f>
        <v>-0.0445252313218399</v>
      </c>
      <c r="Z186" s="13" t="n">
        <f aca="false">IF(COUNT(D187:D189)&lt;3,"",SUM(D187:D189))</f>
        <v>0.109329197742788</v>
      </c>
      <c r="AA186" s="13" t="n">
        <f aca="false">IF(COUNT(D187:D192)&lt;6,"",SUM(D187:D192))</f>
        <v>-0.0153268876681806</v>
      </c>
      <c r="AB186" s="13" t="n">
        <f aca="false">IF(COUNT(D187:D198)&lt;12,"",SUM(D187:D198))</f>
        <v>-0.163567261040469</v>
      </c>
    </row>
    <row r="187" customFormat="false" ht="15" hidden="false" customHeight="false" outlineLevel="0" collapsed="false">
      <c r="A187" s="8" t="n">
        <f aca="false">Base!A187</f>
        <v>43646</v>
      </c>
      <c r="B187" s="10" t="n">
        <f aca="false">IF(Base!T187="","",Base!T187)</f>
        <v>0.425527602970424</v>
      </c>
      <c r="C187" s="11" t="n">
        <f aca="false">IF(B187="","",LN(B187))</f>
        <v>-0.854425461226911</v>
      </c>
      <c r="D187" s="13" t="n">
        <f aca="false">IF(OR(C187="",C186=""),"",C187-C186)</f>
        <v>-0.0445252313218399</v>
      </c>
      <c r="E187" s="12" t="n">
        <f aca="false">IF(Base!U187="","",Base!U187)</f>
        <v>64.22</v>
      </c>
      <c r="F187" s="11" t="n">
        <f aca="false">IF(E187="","",LN(E187))</f>
        <v>4.16231468866137</v>
      </c>
      <c r="G187" s="13" t="n">
        <f aca="false">IF(OR(F187="",F186=""),"",F187-F186)</f>
        <v>-0.104862104333571</v>
      </c>
      <c r="H187" s="10" t="n">
        <f aca="false">IF(COUNT(D$75:D186)&lt;36,"",SLOPE(D$75:D186,G$75:G186))</f>
        <v>0.110916963369755</v>
      </c>
      <c r="I187" s="13" t="n">
        <f aca="false">IF(OR(D187="",H187="",G187=""),"",D187-H187*G187)</f>
        <v>-0.0328942451365978</v>
      </c>
      <c r="J187" s="10" t="n">
        <f aca="false">IF(COUNT(Senal!V175:V186)=0,"",AVERAGE(Senal!V175:V186))</f>
        <v>0.367983439106492</v>
      </c>
      <c r="K187" s="10" t="n">
        <f aca="false">IF(J187="","",ABS(J187))</f>
        <v>0.367983439106492</v>
      </c>
      <c r="L187" s="10" t="n">
        <f aca="false">IF(OR(J187="",J186=""),"",ABS(J187-J186))</f>
        <v>0.0637846640365313</v>
      </c>
      <c r="M187" s="13" t="n">
        <f aca="false">IF(OR(J187="",I187=""),"",J187*I187-IF(L187="",0,L187)*Resumen!$B$8/10000)</f>
        <v>-0.0122958914442869</v>
      </c>
      <c r="N187" s="13" t="n">
        <f aca="false">IF(OR(J187="",D187=""),"",J187*D187-IF(L187="",0,L187)*Resumen!$B$8/10000)</f>
        <v>-0.0165759017409323</v>
      </c>
      <c r="O187" s="13" t="n">
        <f aca="false">IF(M187="","",IF(COUNT(O$2:O186)=0,M187,SUM(M$2:M187)))</f>
        <v>0.132625491432471</v>
      </c>
      <c r="P187" s="13" t="n">
        <f aca="false">IF(O187="","",MAX(O$2:O187))</f>
        <v>0.157769631698471</v>
      </c>
      <c r="Q187" s="13" t="n">
        <f aca="false">IF(O187="","",O187-P187)</f>
        <v>-0.0251441402660001</v>
      </c>
      <c r="R187" s="13" t="n">
        <f aca="false">IF(COUNT(I188:I188)&lt;1,"",SUM(I188:I188))</f>
        <v>-0.0281317724668744</v>
      </c>
      <c r="S187" s="13" t="n">
        <f aca="false">IF(COUNT(I188:I190)&lt;3,"",SUM(I188:I190))</f>
        <v>0.129679094765862</v>
      </c>
      <c r="T187" s="13" t="n">
        <f aca="false">IF(COUNT(I188:I193)&lt;6,"",SUM(I188:I193))</f>
        <v>0.0199605273858311</v>
      </c>
      <c r="U187" s="13" t="n">
        <f aca="false">IF(COUNT(I188:I199)&lt;12,"",SUM(I188:I199))</f>
        <v>-0.119338988549313</v>
      </c>
      <c r="V187" s="13" t="n">
        <f aca="false">IF(N187="","",SUM(N$2:N187))</f>
        <v>0.156343019087117</v>
      </c>
      <c r="W187" s="13" t="n">
        <f aca="false">IF(V187="","",MAX(V$2:V187))</f>
        <v>0.18274927592129</v>
      </c>
      <c r="X187" s="13" t="n">
        <f aca="false">IF(V187="","",V187-W187)</f>
        <v>-0.0264062568341737</v>
      </c>
      <c r="Y187" s="13" t="n">
        <f aca="false">IF(COUNT(D188:D188)&lt;1,"",SUM(D188:D188))</f>
        <v>-0.0286689811900368</v>
      </c>
      <c r="Z187" s="13" t="n">
        <f aca="false">IF(COUNT(D188:D190)&lt;3,"",SUM(D188:D190))</f>
        <v>0.125870230515877</v>
      </c>
      <c r="AA187" s="13" t="n">
        <f aca="false">IF(COUNT(D188:D193)&lt;6,"",SUM(D188:D193))</f>
        <v>0.0217661209190915</v>
      </c>
      <c r="AB187" s="13" t="n">
        <f aca="false">IF(COUNT(D188:D199)&lt;12,"",SUM(D188:D199))</f>
        <v>-0.161273852297977</v>
      </c>
    </row>
    <row r="188" customFormat="false" ht="15" hidden="false" customHeight="false" outlineLevel="0" collapsed="false">
      <c r="A188" s="8" t="n">
        <f aca="false">Base!A188</f>
        <v>43677</v>
      </c>
      <c r="B188" s="10" t="n">
        <f aca="false">IF(Base!T188="","",Base!T188)</f>
        <v>0.413501373691228</v>
      </c>
      <c r="C188" s="11" t="n">
        <f aca="false">IF(B188="","",LN(B188))</f>
        <v>-0.883094442416948</v>
      </c>
      <c r="D188" s="13" t="n">
        <f aca="false">IF(OR(C188="",C187=""),"",C188-C187)</f>
        <v>-0.0286689811900368</v>
      </c>
      <c r="E188" s="12" t="n">
        <f aca="false">IF(Base!U188="","",Base!U188)</f>
        <v>63.92</v>
      </c>
      <c r="F188" s="11" t="n">
        <f aca="false">IF(E188="","",LN(E188))</f>
        <v>4.15763230145802</v>
      </c>
      <c r="G188" s="13" t="n">
        <f aca="false">IF(OR(F188="",F187=""),"",F188-F187)</f>
        <v>-0.00468238720334924</v>
      </c>
      <c r="H188" s="10" t="n">
        <f aca="false">IF(COUNT(D$75:D187)&lt;36,"",SLOPE(D$75:D187,G$75:G187))</f>
        <v>0.114729666691839</v>
      </c>
      <c r="I188" s="13" t="n">
        <f aca="false">IF(OR(D188="",H188="",G188=""),"",D188-H188*G188)</f>
        <v>-0.0281317724668744</v>
      </c>
      <c r="J188" s="10" t="n">
        <f aca="false">IF(COUNT(Senal!V176:V187)=0,"",AVERAGE(Senal!V176:V187))</f>
        <v>0.342676279334748</v>
      </c>
      <c r="K188" s="10" t="n">
        <f aca="false">IF(J188="","",ABS(J188))</f>
        <v>0.342676279334748</v>
      </c>
      <c r="L188" s="10" t="n">
        <f aca="false">IF(OR(J188="",J187=""),"",ABS(J188-J187))</f>
        <v>0.0253071597717435</v>
      </c>
      <c r="M188" s="13" t="n">
        <f aca="false">IF(OR(J188="",I188=""),"",J188*I188-IF(L188="",0,L188)*Resumen!$B$8/10000)</f>
        <v>-0.00971601259935547</v>
      </c>
      <c r="N188" s="13" t="n">
        <f aca="false">IF(OR(J188="",D188=""),"",J188*D188-IF(L188="",0,L188)*Resumen!$B$8/10000)</f>
        <v>-0.00990010128583493</v>
      </c>
      <c r="O188" s="13" t="n">
        <f aca="false">IF(M188="","",IF(COUNT(O$2:O187)=0,M188,SUM(M$2:M188)))</f>
        <v>0.122909478833116</v>
      </c>
      <c r="P188" s="13" t="n">
        <f aca="false">IF(O188="","",MAX(O$2:O188))</f>
        <v>0.157769631698471</v>
      </c>
      <c r="Q188" s="13" t="n">
        <f aca="false">IF(O188="","",O188-P188)</f>
        <v>-0.0348601528653556</v>
      </c>
      <c r="R188" s="13" t="n">
        <f aca="false">IF(COUNT(I189:I189)&lt;1,"",SUM(I189:I189))</f>
        <v>0.191642408569255</v>
      </c>
      <c r="S188" s="13" t="n">
        <f aca="false">IF(COUNT(I189:I191)&lt;3,"",SUM(I189:I191))</f>
        <v>0.172536410357848</v>
      </c>
      <c r="T188" s="13" t="n">
        <f aca="false">IF(COUNT(I189:I194)&lt;6,"",SUM(I189:I194))</f>
        <v>0.00606360957815807</v>
      </c>
      <c r="U188" s="13" t="n">
        <f aca="false">IF(COUNT(I189:I200)&lt;12,"",SUM(I189:I200))</f>
        <v>-0.0845620969520772</v>
      </c>
      <c r="V188" s="13" t="n">
        <f aca="false">IF(N188="","",SUM(N$2:N188))</f>
        <v>0.146442917801282</v>
      </c>
      <c r="W188" s="13" t="n">
        <f aca="false">IF(V188="","",MAX(V$2:V188))</f>
        <v>0.18274927592129</v>
      </c>
      <c r="X188" s="13" t="n">
        <f aca="false">IF(V188="","",V188-W188)</f>
        <v>-0.0363063581200087</v>
      </c>
      <c r="Y188" s="13" t="n">
        <f aca="false">IF(COUNT(D189:D189)&lt;1,"",SUM(D189:D189))</f>
        <v>0.182523410254664</v>
      </c>
      <c r="Z188" s="13" t="n">
        <f aca="false">IF(COUNT(D189:D191)&lt;3,"",SUM(D189:D191))</f>
        <v>0.16460596971862</v>
      </c>
      <c r="AA188" s="13" t="n">
        <f aca="false">IF(COUNT(D189:D194)&lt;6,"",SUM(D189:D194))</f>
        <v>0.00386854336452402</v>
      </c>
      <c r="AB188" s="13" t="n">
        <f aca="false">IF(COUNT(D189:D200)&lt;12,"",SUM(D189:D200))</f>
        <v>-0.119949597603629</v>
      </c>
    </row>
    <row r="189" customFormat="false" ht="15" hidden="false" customHeight="false" outlineLevel="0" collapsed="false">
      <c r="A189" s="8" t="n">
        <f aca="false">Base!A189</f>
        <v>43708</v>
      </c>
      <c r="B189" s="10" t="n">
        <f aca="false">IF(Base!T189="","",Base!T189)</f>
        <v>0.496301818558923</v>
      </c>
      <c r="C189" s="11" t="n">
        <f aca="false">IF(B189="","",LN(B189))</f>
        <v>-0.700571032162284</v>
      </c>
      <c r="D189" s="13" t="n">
        <f aca="false">IF(OR(C189="",C188=""),"",C189-C188)</f>
        <v>0.182523410254664</v>
      </c>
      <c r="E189" s="12" t="n">
        <f aca="false">IF(Base!U189="","",Base!U189)</f>
        <v>59.04</v>
      </c>
      <c r="F189" s="11" t="n">
        <f aca="false">IF(E189="","",LN(E189))</f>
        <v>4.07821518029222</v>
      </c>
      <c r="G189" s="13" t="n">
        <f aca="false">IF(OR(F189="",F188=""),"",F189-F188)</f>
        <v>-0.0794171211658021</v>
      </c>
      <c r="H189" s="10" t="n">
        <f aca="false">IF(COUNT(D$75:D188)&lt;36,"",SLOPE(D$75:D188,G$75:G188))</f>
        <v>0.114824085546393</v>
      </c>
      <c r="I189" s="13" t="n">
        <f aca="false">IF(OR(D189="",H189="",G189=""),"",D189-H189*G189)</f>
        <v>0.191642408569255</v>
      </c>
      <c r="J189" s="10" t="n">
        <f aca="false">IF(COUNT(Senal!V177:V188)=0,"",AVERAGE(Senal!V177:V188))</f>
        <v>0.339465007662702</v>
      </c>
      <c r="K189" s="10" t="n">
        <f aca="false">IF(J189="","",ABS(J189))</f>
        <v>0.339465007662702</v>
      </c>
      <c r="L189" s="10" t="n">
        <f aca="false">IF(OR(J189="",J188=""),"",ABS(J189-J188))</f>
        <v>0.00321127167204621</v>
      </c>
      <c r="M189" s="13" t="n">
        <f aca="false">IF(OR(J189="",I189=""),"",J189*I189-IF(L189="",0,L189)*Resumen!$B$8/10000)</f>
        <v>0.0650462578784446</v>
      </c>
      <c r="N189" s="13" t="n">
        <f aca="false">IF(OR(J189="",D189=""),"",J189*D189-IF(L189="",0,L189)*Resumen!$B$8/10000)</f>
        <v>0.061950677045706</v>
      </c>
      <c r="O189" s="13" t="n">
        <f aca="false">IF(M189="","",IF(COUNT(O$2:O188)=0,M189,SUM(M$2:M189)))</f>
        <v>0.187955736711561</v>
      </c>
      <c r="P189" s="13" t="n">
        <f aca="false">IF(O189="","",MAX(O$2:O189))</f>
        <v>0.187955736711561</v>
      </c>
      <c r="Q189" s="13" t="n">
        <f aca="false">IF(O189="","",O189-P189)</f>
        <v>0</v>
      </c>
      <c r="R189" s="13" t="n">
        <f aca="false">IF(COUNT(I190:I190)&lt;1,"",SUM(I190:I190))</f>
        <v>-0.0338315413365185</v>
      </c>
      <c r="S189" s="13" t="n">
        <f aca="false">IF(COUNT(I190:I192)&lt;3,"",SUM(I190:I192))</f>
        <v>-0.13098065516291</v>
      </c>
      <c r="T189" s="13" t="n">
        <f aca="false">IF(COUNT(I190:I195)&lt;6,"",SUM(I190:I195))</f>
        <v>-0.19669025008172</v>
      </c>
      <c r="U189" s="13" t="n">
        <f aca="false">IF(COUNT(I190:I201)&lt;12,"",SUM(I190:I201))</f>
        <v>-0.27079066080847</v>
      </c>
      <c r="V189" s="13" t="n">
        <f aca="false">IF(N189="","",SUM(N$2:N189))</f>
        <v>0.208393594846988</v>
      </c>
      <c r="W189" s="13" t="n">
        <f aca="false">IF(V189="","",MAX(V$2:V189))</f>
        <v>0.208393594846988</v>
      </c>
      <c r="X189" s="13" t="n">
        <f aca="false">IF(V189="","",V189-W189)</f>
        <v>0</v>
      </c>
      <c r="Y189" s="13" t="n">
        <f aca="false">IF(COUNT(D190:D190)&lt;1,"",SUM(D190:D190))</f>
        <v>-0.027984198548751</v>
      </c>
      <c r="Z189" s="13" t="n">
        <f aca="false">IF(COUNT(D190:D192)&lt;3,"",SUM(D190:D192))</f>
        <v>-0.124656085410968</v>
      </c>
      <c r="AA189" s="13" t="n">
        <f aca="false">IF(COUNT(D190:D195)&lt;6,"",SUM(D190:D195))</f>
        <v>-0.201005113329774</v>
      </c>
      <c r="AB189" s="13" t="n">
        <f aca="false">IF(COUNT(D190:D201)&lt;12,"",SUM(D190:D201))</f>
        <v>-0.294158710041146</v>
      </c>
    </row>
    <row r="190" customFormat="false" ht="15" hidden="false" customHeight="false" outlineLevel="0" collapsed="false">
      <c r="A190" s="8" t="n">
        <f aca="false">Base!A190</f>
        <v>43738</v>
      </c>
      <c r="B190" s="10" t="n">
        <f aca="false">IF(Base!T190="","",Base!T190)</f>
        <v>0.482605740599833</v>
      </c>
      <c r="C190" s="11" t="n">
        <f aca="false">IF(B190="","",LN(B190))</f>
        <v>-0.728555230711035</v>
      </c>
      <c r="D190" s="13" t="n">
        <f aca="false">IF(OR(C190="",C189=""),"",C190-C189)</f>
        <v>-0.027984198548751</v>
      </c>
      <c r="E190" s="12" t="n">
        <f aca="false">IF(Base!U190="","",Base!U190)</f>
        <v>62.83</v>
      </c>
      <c r="F190" s="11" t="n">
        <f aca="false">IF(E190="","",LN(E190))</f>
        <v>4.14043266641486</v>
      </c>
      <c r="G190" s="13" t="n">
        <f aca="false">IF(OR(F190="",F189=""),"",F190-F189)</f>
        <v>0.0622174861226386</v>
      </c>
      <c r="H190" s="10" t="n">
        <f aca="false">IF(COUNT(D$75:D189)&lt;36,"",SLOPE(D$75:D189,G$75:G189))</f>
        <v>0.0939823054927304</v>
      </c>
      <c r="I190" s="13" t="n">
        <f aca="false">IF(OR(D190="",H190="",G190=""),"",D190-H190*G190)</f>
        <v>-0.0338315413365185</v>
      </c>
      <c r="J190" s="10" t="n">
        <f aca="false">IF(COUNT(Senal!V178:V189)=0,"",AVERAGE(Senal!V178:V189))</f>
        <v>0.283433334072571</v>
      </c>
      <c r="K190" s="10" t="n">
        <f aca="false">IF(J190="","",ABS(J190))</f>
        <v>0.283433334072571</v>
      </c>
      <c r="L190" s="10" t="n">
        <f aca="false">IF(OR(J190="",J189=""),"",ABS(J190-J189))</f>
        <v>0.0560316735901307</v>
      </c>
      <c r="M190" s="13" t="n">
        <f aca="false">IF(OR(J190="",I190=""),"",J190*I190-IF(L190="",0,L190)*Resumen!$B$8/10000)</f>
        <v>-0.00975708157859385</v>
      </c>
      <c r="N190" s="13" t="n">
        <f aca="false">IF(OR(J190="",D190=""),"",J190*D190-IF(L190="",0,L190)*Resumen!$B$8/10000)</f>
        <v>-0.0080997497167917</v>
      </c>
      <c r="O190" s="13" t="n">
        <f aca="false">IF(M190="","",IF(COUNT(O$2:O189)=0,M190,SUM(M$2:M190)))</f>
        <v>0.178198655132967</v>
      </c>
      <c r="P190" s="13" t="n">
        <f aca="false">IF(O190="","",MAX(O$2:O190))</f>
        <v>0.187955736711561</v>
      </c>
      <c r="Q190" s="13" t="n">
        <f aca="false">IF(O190="","",O190-P190)</f>
        <v>-0.0097570815785939</v>
      </c>
      <c r="R190" s="13" t="n">
        <f aca="false">IF(COUNT(I191:I191)&lt;1,"",SUM(I191:I191))</f>
        <v>0.0147255431251118</v>
      </c>
      <c r="S190" s="13" t="n">
        <f aca="false">IF(COUNT(I191:I193)&lt;3,"",SUM(I191:I193))</f>
        <v>-0.109718567380031</v>
      </c>
      <c r="T190" s="13" t="n">
        <f aca="false">IF(COUNT(I191:I196)&lt;6,"",SUM(I191:I196))</f>
        <v>-0.197341121805613</v>
      </c>
      <c r="U190" s="13" t="n">
        <f aca="false">IF(COUNT(I191:I202)&lt;12,"",SUM(I191:I202))</f>
        <v>-0.284856690254086</v>
      </c>
      <c r="V190" s="13" t="n">
        <f aca="false">IF(N190="","",SUM(N$2:N190))</f>
        <v>0.200293845130196</v>
      </c>
      <c r="W190" s="13" t="n">
        <f aca="false">IF(V190="","",MAX(V$2:V190))</f>
        <v>0.208393594846988</v>
      </c>
      <c r="X190" s="13" t="n">
        <f aca="false">IF(V190="","",V190-W190)</f>
        <v>-0.0080997497167917</v>
      </c>
      <c r="Y190" s="13" t="n">
        <f aca="false">IF(COUNT(D191:D191)&lt;1,"",SUM(D191:D191))</f>
        <v>0.0100667580127061</v>
      </c>
      <c r="Z190" s="13" t="n">
        <f aca="false">IF(COUNT(D191:D193)&lt;3,"",SUM(D191:D193))</f>
        <v>-0.104104109596785</v>
      </c>
      <c r="AA190" s="13" t="n">
        <f aca="false">IF(COUNT(D191:D196)&lt;6,"",SUM(D191:D196))</f>
        <v>-0.254324076059037</v>
      </c>
      <c r="AB190" s="13" t="n">
        <f aca="false">IF(COUNT(D191:D202)&lt;12,"",SUM(D191:D202))</f>
        <v>-0.321707800400476</v>
      </c>
    </row>
    <row r="191" customFormat="false" ht="15" hidden="false" customHeight="false" outlineLevel="0" collapsed="false">
      <c r="A191" s="8" t="n">
        <f aca="false">Base!A191</f>
        <v>43769</v>
      </c>
      <c r="B191" s="10" t="n">
        <f aca="false">IF(Base!T191="","",Base!T191)</f>
        <v>0.487488551609308</v>
      </c>
      <c r="C191" s="11" t="n">
        <f aca="false">IF(B191="","",LN(B191))</f>
        <v>-0.718488472698329</v>
      </c>
      <c r="D191" s="13" t="n">
        <f aca="false">IF(OR(C191="",C190=""),"",C191-C190)</f>
        <v>0.0100667580127061</v>
      </c>
      <c r="E191" s="12" t="n">
        <f aca="false">IF(Base!U191="","",Base!U191)</f>
        <v>59.71</v>
      </c>
      <c r="F191" s="11" t="n">
        <f aca="false">IF(E191="","",LN(E191))</f>
        <v>4.0894995105589</v>
      </c>
      <c r="G191" s="13" t="n">
        <f aca="false">IF(OR(F191="",F190=""),"",F191-F190)</f>
        <v>-0.0509331558559545</v>
      </c>
      <c r="H191" s="10" t="n">
        <f aca="false">IF(COUNT(D$75:D190)&lt;36,"",SLOPE(D$75:D190,G$75:G190))</f>
        <v>0.0914686128144383</v>
      </c>
      <c r="I191" s="13" t="n">
        <f aca="false">IF(OR(D191="",H191="",G191=""),"",D191-H191*G191)</f>
        <v>0.0147255431251118</v>
      </c>
      <c r="J191" s="10" t="n">
        <f aca="false">IF(COUNT(Senal!V179:V190)=0,"",AVERAGE(Senal!V179:V190))</f>
        <v>0.23787008879876</v>
      </c>
      <c r="K191" s="10" t="n">
        <f aca="false">IF(J191="","",ABS(J191))</f>
        <v>0.23787008879876</v>
      </c>
      <c r="L191" s="10" t="n">
        <f aca="false">IF(OR(J191="",J190=""),"",ABS(J191-J190))</f>
        <v>0.0455632452738113</v>
      </c>
      <c r="M191" s="13" t="n">
        <f aca="false">IF(OR(J191="",I191=""),"",J191*I191-IF(L191="",0,L191)*Resumen!$B$8/10000)</f>
        <v>0.00336607651495888</v>
      </c>
      <c r="N191" s="13" t="n">
        <f aca="false">IF(OR(J191="",D191=""),"",J191*D191-IF(L191="",0,L191)*Resumen!$B$8/10000)</f>
        <v>0.00225789088657659</v>
      </c>
      <c r="O191" s="13" t="n">
        <f aca="false">IF(M191="","",IF(COUNT(O$2:O190)=0,M191,SUM(M$2:M191)))</f>
        <v>0.181564731647926</v>
      </c>
      <c r="P191" s="13" t="n">
        <f aca="false">IF(O191="","",MAX(O$2:O191))</f>
        <v>0.187955736711561</v>
      </c>
      <c r="Q191" s="13" t="n">
        <f aca="false">IF(O191="","",O191-P191)</f>
        <v>-0.00639100506363499</v>
      </c>
      <c r="R191" s="13" t="n">
        <f aca="false">IF(COUNT(I192:I192)&lt;1,"",SUM(I192:I192))</f>
        <v>-0.111874656951504</v>
      </c>
      <c r="S191" s="13" t="n">
        <f aca="false">IF(COUNT(I192:I194)&lt;3,"",SUM(I192:I194))</f>
        <v>-0.16647280077969</v>
      </c>
      <c r="T191" s="13" t="n">
        <f aca="false">IF(COUNT(I192:I197)&lt;6,"",SUM(I192:I197))</f>
        <v>-0.200983077943897</v>
      </c>
      <c r="U191" s="13" t="n">
        <f aca="false">IF(COUNT(I192:I203)&lt;12,"",SUM(I192:I203))</f>
        <v>-0.293373300223279</v>
      </c>
      <c r="V191" s="13" t="n">
        <f aca="false">IF(N191="","",SUM(N$2:N191))</f>
        <v>0.202551736016773</v>
      </c>
      <c r="W191" s="13" t="n">
        <f aca="false">IF(V191="","",MAX(V$2:V191))</f>
        <v>0.208393594846988</v>
      </c>
      <c r="X191" s="13" t="n">
        <f aca="false">IF(V191="","",V191-W191)</f>
        <v>-0.00584185883021512</v>
      </c>
      <c r="Y191" s="13" t="n">
        <f aca="false">IF(COUNT(D192:D192)&lt;1,"",SUM(D192:D192))</f>
        <v>-0.106738644874923</v>
      </c>
      <c r="Z191" s="13" t="n">
        <f aca="false">IF(COUNT(D192:D194)&lt;3,"",SUM(D192:D194))</f>
        <v>-0.160737426354096</v>
      </c>
      <c r="AA191" s="13" t="n">
        <f aca="false">IF(COUNT(D192:D197)&lt;6,"",SUM(D192:D197))</f>
        <v>-0.308278031047205</v>
      </c>
      <c r="AB191" s="13" t="n">
        <f aca="false">IF(COUNT(D192:D203)&lt;12,"",SUM(D192:D203))</f>
        <v>-0.327116939655505</v>
      </c>
    </row>
    <row r="192" customFormat="false" ht="15" hidden="false" customHeight="false" outlineLevel="0" collapsed="false">
      <c r="A192" s="8" t="n">
        <f aca="false">Base!A192</f>
        <v>43799</v>
      </c>
      <c r="B192" s="10" t="n">
        <f aca="false">IF(Base!T192="","",Base!T192)</f>
        <v>0.438135472898696</v>
      </c>
      <c r="C192" s="11" t="n">
        <f aca="false">IF(B192="","",LN(B192))</f>
        <v>-0.825227117573252</v>
      </c>
      <c r="D192" s="13" t="n">
        <f aca="false">IF(OR(C192="",C191=""),"",C192-C191)</f>
        <v>-0.106738644874923</v>
      </c>
      <c r="E192" s="12" t="n">
        <f aca="false">IF(Base!U192="","",Base!U192)</f>
        <v>63.21</v>
      </c>
      <c r="F192" s="11" t="n">
        <f aca="false">IF(E192="","",LN(E192))</f>
        <v>4.14646251648421</v>
      </c>
      <c r="G192" s="13" t="n">
        <f aca="false">IF(OR(F192="",F191=""),"",F192-F191)</f>
        <v>0.0569630059253061</v>
      </c>
      <c r="H192" s="10" t="n">
        <f aca="false">IF(COUNT(D$75:D191)&lt;36,"",SLOPE(D$75:D191,G$75:G191))</f>
        <v>0.0901639931592595</v>
      </c>
      <c r="I192" s="13" t="n">
        <f aca="false">IF(OR(D192="",H192="",G192=""),"",D192-H192*G192)</f>
        <v>-0.111874656951504</v>
      </c>
      <c r="J192" s="10" t="n">
        <f aca="false">IF(COUNT(Senal!V180:V191)=0,"",AVERAGE(Senal!V180:V191))</f>
        <v>0.193311952469481</v>
      </c>
      <c r="K192" s="10" t="n">
        <f aca="false">IF(J192="","",ABS(J192))</f>
        <v>0.193311952469481</v>
      </c>
      <c r="L192" s="10" t="n">
        <f aca="false">IF(OR(J192="",J191=""),"",ABS(J192-J191))</f>
        <v>0.0445581363292793</v>
      </c>
      <c r="M192" s="13" t="n">
        <f aca="false">IF(OR(J192="",I192=""),"",J192*I192-IF(L192="",0,L192)*Resumen!$B$8/10000)</f>
        <v>-0.0217603827761363</v>
      </c>
      <c r="N192" s="13" t="n">
        <f aca="false">IF(OR(J192="",D192=""),"",J192*D192-IF(L192="",0,L192)*Resumen!$B$8/10000)</f>
        <v>-0.0207675302537058</v>
      </c>
      <c r="O192" s="13" t="n">
        <f aca="false">IF(M192="","",IF(COUNT(O$2:O191)=0,M192,SUM(M$2:M192)))</f>
        <v>0.159804348871789</v>
      </c>
      <c r="P192" s="13" t="n">
        <f aca="false">IF(O192="","",MAX(O$2:O192))</f>
        <v>0.187955736711561</v>
      </c>
      <c r="Q192" s="13" t="n">
        <f aca="false">IF(O192="","",O192-P192)</f>
        <v>-0.0281513878397713</v>
      </c>
      <c r="R192" s="13" t="n">
        <f aca="false">IF(COUNT(I193:I193)&lt;1,"",SUM(I193:I193))</f>
        <v>-0.012569453553639</v>
      </c>
      <c r="S192" s="13" t="n">
        <f aca="false">IF(COUNT(I193:I195)&lt;3,"",SUM(I193:I195))</f>
        <v>-0.0657095949188101</v>
      </c>
      <c r="T192" s="13" t="n">
        <f aca="false">IF(COUNT(I193:I198)&lt;6,"",SUM(I193:I198))</f>
        <v>-0.0790397804159165</v>
      </c>
      <c r="U192" s="13" t="n">
        <f aca="false">IF(COUNT(I193:I204)&lt;12,"",SUM(I193:I204))</f>
        <v>-0.105270282488071</v>
      </c>
      <c r="V192" s="13" t="n">
        <f aca="false">IF(N192="","",SUM(N$2:N192))</f>
        <v>0.181784205763067</v>
      </c>
      <c r="W192" s="13" t="n">
        <f aca="false">IF(V192="","",MAX(V$2:V192))</f>
        <v>0.208393594846988</v>
      </c>
      <c r="X192" s="13" t="n">
        <f aca="false">IF(V192="","",V192-W192)</f>
        <v>-0.0266093890839209</v>
      </c>
      <c r="Y192" s="13" t="n">
        <f aca="false">IF(COUNT(D193:D193)&lt;1,"",SUM(D193:D193))</f>
        <v>-0.0074322227345679</v>
      </c>
      <c r="Z192" s="13" t="n">
        <f aca="false">IF(COUNT(D193:D195)&lt;3,"",SUM(D193:D195))</f>
        <v>-0.0763490279188061</v>
      </c>
      <c r="AA192" s="13" t="n">
        <f aca="false">IF(COUNT(D193:D198)&lt;6,"",SUM(D193:D198))</f>
        <v>-0.148240373372288</v>
      </c>
      <c r="AB192" s="13" t="n">
        <f aca="false">IF(COUNT(D193:D204)&lt;12,"",SUM(D193:D204))</f>
        <v>-0.138883513072991</v>
      </c>
    </row>
    <row r="193" customFormat="false" ht="15" hidden="false" customHeight="false" outlineLevel="0" collapsed="false">
      <c r="A193" s="8" t="n">
        <f aca="false">Base!A193</f>
        <v>43830</v>
      </c>
      <c r="B193" s="10" t="n">
        <f aca="false">IF(Base!T193="","",Base!T193)</f>
        <v>0.434891223402418</v>
      </c>
      <c r="C193" s="11" t="n">
        <f aca="false">IF(B193="","",LN(B193))</f>
        <v>-0.83265934030782</v>
      </c>
      <c r="D193" s="13" t="n">
        <f aca="false">IF(OR(C193="",C192=""),"",C193-C192)</f>
        <v>-0.0074322227345679</v>
      </c>
      <c r="E193" s="12" t="n">
        <f aca="false">IF(Base!U193="","",Base!U193)</f>
        <v>67.31</v>
      </c>
      <c r="F193" s="11" t="n">
        <f aca="false">IF(E193="","",LN(E193))</f>
        <v>4.20930881402262</v>
      </c>
      <c r="G193" s="13" t="n">
        <f aca="false">IF(OR(F193="",F192=""),"",F193-F192)</f>
        <v>0.0628462975384148</v>
      </c>
      <c r="H193" s="10" t="n">
        <f aca="false">IF(COUNT(D$75:D192)&lt;36,"",SLOPE(D$75:D192,G$75:G192))</f>
        <v>0.0817427759516146</v>
      </c>
      <c r="I193" s="13" t="n">
        <f aca="false">IF(OR(D193="",H193="",G193=""),"",D193-H193*G193)</f>
        <v>-0.012569453553639</v>
      </c>
      <c r="J193" s="10" t="n">
        <f aca="false">IF(COUNT(Senal!V181:V192)=0,"",AVERAGE(Senal!V181:V192))</f>
        <v>0.144471029641068</v>
      </c>
      <c r="K193" s="10" t="n">
        <f aca="false">IF(J193="","",ABS(J193))</f>
        <v>0.144471029641068</v>
      </c>
      <c r="L193" s="10" t="n">
        <f aca="false">IF(OR(J193="",J192=""),"",ABS(J193-J192))</f>
        <v>0.048840922828413</v>
      </c>
      <c r="M193" s="13" t="n">
        <f aca="false">IF(OR(J193="",I193=""),"",J193*I193-IF(L193="",0,L193)*Resumen!$B$8/10000)</f>
        <v>-0.00196244466540505</v>
      </c>
      <c r="N193" s="13" t="n">
        <f aca="false">IF(OR(J193="",D193=""),"",J193*D193-IF(L193="",0,L193)*Resumen!$B$8/10000)</f>
        <v>-0.00122026363947001</v>
      </c>
      <c r="O193" s="13" t="n">
        <f aca="false">IF(M193="","",IF(COUNT(O$2:O192)=0,M193,SUM(M$2:M193)))</f>
        <v>0.157841904206384</v>
      </c>
      <c r="P193" s="13" t="n">
        <f aca="false">IF(O193="","",MAX(O$2:O193))</f>
        <v>0.187955736711561</v>
      </c>
      <c r="Q193" s="13" t="n">
        <f aca="false">IF(O193="","",O193-P193)</f>
        <v>-0.0301138325051764</v>
      </c>
      <c r="R193" s="13" t="n">
        <f aca="false">IF(COUNT(I194:I194)&lt;1,"",SUM(I194:I194))</f>
        <v>-0.0420286902745474</v>
      </c>
      <c r="S193" s="13" t="n">
        <f aca="false">IF(COUNT(I194:I196)&lt;3,"",SUM(I194:I196))</f>
        <v>-0.087622554425582</v>
      </c>
      <c r="T193" s="13" t="n">
        <f aca="false">IF(COUNT(I194:I199)&lt;6,"",SUM(I194:I199))</f>
        <v>-0.139299515935144</v>
      </c>
      <c r="U193" s="13" t="n">
        <f aca="false">IF(COUNT(I194:I205)&lt;12,"",SUM(I194:I205))</f>
        <v>-0.122220845112669</v>
      </c>
      <c r="V193" s="13" t="n">
        <f aca="false">IF(N193="","",SUM(N$2:N193))</f>
        <v>0.180563942123597</v>
      </c>
      <c r="W193" s="13" t="n">
        <f aca="false">IF(V193="","",MAX(V$2:V193))</f>
        <v>0.208393594846988</v>
      </c>
      <c r="X193" s="13" t="n">
        <f aca="false">IF(V193="","",V193-W193)</f>
        <v>-0.0278296527233909</v>
      </c>
      <c r="Y193" s="13" t="n">
        <f aca="false">IF(COUNT(D194:D194)&lt;1,"",SUM(D194:D194))</f>
        <v>-0.0465665587446043</v>
      </c>
      <c r="Z193" s="13" t="n">
        <f aca="false">IF(COUNT(D194:D196)&lt;3,"",SUM(D194:D196))</f>
        <v>-0.150219966462252</v>
      </c>
      <c r="AA193" s="13" t="n">
        <f aca="false">IF(COUNT(D194:D199)&lt;6,"",SUM(D194:D199))</f>
        <v>-0.183039973217068</v>
      </c>
      <c r="AB193" s="13" t="n">
        <f aca="false">IF(COUNT(D194:D205)&lt;12,"",SUM(D194:D205))</f>
        <v>-0.146701306567379</v>
      </c>
    </row>
    <row r="194" customFormat="false" ht="15" hidden="false" customHeight="false" outlineLevel="0" collapsed="false">
      <c r="A194" s="8" t="n">
        <f aca="false">Base!A194</f>
        <v>43861</v>
      </c>
      <c r="B194" s="10" t="n">
        <f aca="false">IF(Base!T194="","",Base!T194)</f>
        <v>0.41510411983428</v>
      </c>
      <c r="C194" s="11" t="n">
        <f aca="false">IF(B194="","",LN(B194))</f>
        <v>-0.879225899052424</v>
      </c>
      <c r="D194" s="13" t="n">
        <f aca="false">IF(OR(C194="",C193=""),"",C194-C193)</f>
        <v>-0.0465665587446043</v>
      </c>
      <c r="E194" s="12" t="n">
        <f aca="false">IF(Base!U194="","",Base!U194)</f>
        <v>63.65</v>
      </c>
      <c r="F194" s="11" t="n">
        <f aca="false">IF(E194="","",LN(E194))</f>
        <v>4.15339932500342</v>
      </c>
      <c r="G194" s="13" t="n">
        <f aca="false">IF(OR(F194="",F193=""),"",F194-F193)</f>
        <v>-0.0559094890192062</v>
      </c>
      <c r="H194" s="10" t="n">
        <f aca="false">IF(COUNT(D$75:D193)&lt;36,"",SLOPE(D$75:D193,G$75:G193))</f>
        <v>0.0811645491608407</v>
      </c>
      <c r="I194" s="13" t="n">
        <f aca="false">IF(OR(D194="",H194="",G194=""),"",D194-H194*G194)</f>
        <v>-0.0420286902745474</v>
      </c>
      <c r="J194" s="10" t="n">
        <f aca="false">IF(COUNT(Senal!V182:V193)=0,"",AVERAGE(Senal!V182:V193))</f>
        <v>0.126737738477497</v>
      </c>
      <c r="K194" s="10" t="n">
        <f aca="false">IF(J194="","",ABS(J194))</f>
        <v>0.126737738477497</v>
      </c>
      <c r="L194" s="10" t="n">
        <f aca="false">IF(OR(J194="",J193=""),"",ABS(J194-J193))</f>
        <v>0.0177332911635706</v>
      </c>
      <c r="M194" s="13" t="n">
        <f aca="false">IF(OR(J194="",I194=""),"",J194*I194-IF(L194="",0,L194)*Resumen!$B$8/10000)</f>
        <v>-0.00537982103005802</v>
      </c>
      <c r="N194" s="13" t="n">
        <f aca="false">IF(OR(J194="",D194=""),"",J194*D194-IF(L194="",0,L194)*Resumen!$B$8/10000)</f>
        <v>-0.00595494021746137</v>
      </c>
      <c r="O194" s="13" t="n">
        <f aca="false">IF(M194="","",IF(COUNT(O$2:O193)=0,M194,SUM(M$2:M194)))</f>
        <v>0.152462083176326</v>
      </c>
      <c r="P194" s="13" t="n">
        <f aca="false">IF(O194="","",MAX(O$2:O194))</f>
        <v>0.187955736711561</v>
      </c>
      <c r="Q194" s="13" t="n">
        <f aca="false">IF(O194="","",O194-P194)</f>
        <v>-0.0354936535352344</v>
      </c>
      <c r="R194" s="13" t="n">
        <f aca="false">IF(COUNT(I195:I195)&lt;1,"",SUM(I195:I195))</f>
        <v>-0.0111114510906237</v>
      </c>
      <c r="S194" s="13" t="n">
        <f aca="false">IF(COUNT(I195:I197)&lt;3,"",SUM(I195:I197))</f>
        <v>-0.0345102771642072</v>
      </c>
      <c r="T194" s="13" t="n">
        <f aca="false">IF(COUNT(I195:I200)&lt;6,"",SUM(I195:I200))</f>
        <v>-0.0906257065302353</v>
      </c>
      <c r="U194" s="13" t="n">
        <f aca="false">IF(COUNT(I195:I206)&lt;12,"",SUM(I195:I206))</f>
        <v>-0.136854909917463</v>
      </c>
      <c r="V194" s="13" t="n">
        <f aca="false">IF(N194="","",SUM(N$2:N194))</f>
        <v>0.174609001906135</v>
      </c>
      <c r="W194" s="13" t="n">
        <f aca="false">IF(V194="","",MAX(V$2:V194))</f>
        <v>0.208393594846988</v>
      </c>
      <c r="X194" s="13" t="n">
        <f aca="false">IF(V194="","",V194-W194)</f>
        <v>-0.0337845929408523</v>
      </c>
      <c r="Y194" s="13" t="n">
        <f aca="false">IF(COUNT(D195:D195)&lt;1,"",SUM(D195:D195))</f>
        <v>-0.0223502464396339</v>
      </c>
      <c r="Z194" s="13" t="n">
        <f aca="false">IF(COUNT(D195:D197)&lt;3,"",SUM(D195:D197))</f>
        <v>-0.14754060469311</v>
      </c>
      <c r="AA194" s="13" t="n">
        <f aca="false">IF(COUNT(D195:D200)&lt;6,"",SUM(D195:D200))</f>
        <v>-0.123818140968153</v>
      </c>
      <c r="AB194" s="13" t="n">
        <f aca="false">IF(COUNT(D195:D206)&lt;12,"",SUM(D195:D206))</f>
        <v>-0.14874038364188</v>
      </c>
    </row>
    <row r="195" customFormat="false" ht="15" hidden="false" customHeight="false" outlineLevel="0" collapsed="false">
      <c r="A195" s="8" t="n">
        <f aca="false">Base!A195</f>
        <v>43890</v>
      </c>
      <c r="B195" s="10" t="n">
        <f aca="false">IF(Base!T195="","",Base!T195)</f>
        <v>0.405929351546185</v>
      </c>
      <c r="C195" s="11" t="n">
        <f aca="false">IF(B195="","",LN(B195))</f>
        <v>-0.901576145492058</v>
      </c>
      <c r="D195" s="13" t="n">
        <f aca="false">IF(OR(C195="",C194=""),"",C195-C194)</f>
        <v>-0.0223502464396339</v>
      </c>
      <c r="E195" s="12" t="n">
        <f aca="false">IF(Base!U195="","",Base!U195)</f>
        <v>55.66</v>
      </c>
      <c r="F195" s="11" t="n">
        <f aca="false">IF(E195="","",LN(E195))</f>
        <v>4.01926175609775</v>
      </c>
      <c r="G195" s="13" t="n">
        <f aca="false">IF(OR(F195="",F194=""),"",F195-F194)</f>
        <v>-0.134137568905671</v>
      </c>
      <c r="H195" s="10" t="n">
        <f aca="false">IF(COUNT(D$75:D194)&lt;36,"",SLOPE(D$75:D194,G$75:G194))</f>
        <v>0.0837855899782532</v>
      </c>
      <c r="I195" s="13" t="n">
        <f aca="false">IF(OR(D195="",H195="",G195=""),"",D195-H195*G195)</f>
        <v>-0.0111114510906237</v>
      </c>
      <c r="J195" s="10" t="n">
        <f aca="false">IF(COUNT(Senal!V183:V194)=0,"",AVERAGE(Senal!V183:V194))</f>
        <v>0.126737738477497</v>
      </c>
      <c r="K195" s="10" t="n">
        <f aca="false">IF(J195="","",ABS(J195))</f>
        <v>0.126737738477497</v>
      </c>
      <c r="L195" s="10" t="n">
        <f aca="false">IF(OR(J195="",J194=""),"",ABS(J195-J194))</f>
        <v>0</v>
      </c>
      <c r="M195" s="13" t="n">
        <f aca="false">IF(OR(J195="",I195=""),"",J195*I195-IF(L195="",0,L195)*Resumen!$B$8/10000)</f>
        <v>-0.00140824018242896</v>
      </c>
      <c r="N195" s="13" t="n">
        <f aca="false">IF(OR(J195="",D195=""),"",J195*D195-IF(L195="",0,L195)*Resumen!$B$8/10000)</f>
        <v>-0.00283261968817393</v>
      </c>
      <c r="O195" s="13" t="n">
        <f aca="false">IF(M195="","",IF(COUNT(O$2:O194)=0,M195,SUM(M$2:M195)))</f>
        <v>0.151053842993897</v>
      </c>
      <c r="P195" s="13" t="n">
        <f aca="false">IF(O195="","",MAX(O$2:O195))</f>
        <v>0.187955736711561</v>
      </c>
      <c r="Q195" s="13" t="n">
        <f aca="false">IF(O195="","",O195-P195)</f>
        <v>-0.0369018937176634</v>
      </c>
      <c r="R195" s="13" t="n">
        <f aca="false">IF(COUNT(I196:I196)&lt;1,"",SUM(I196:I196))</f>
        <v>-0.0344824130604109</v>
      </c>
      <c r="S195" s="13" t="n">
        <f aca="false">IF(COUNT(I196:I198)&lt;3,"",SUM(I196:I198))</f>
        <v>-0.0133301854971064</v>
      </c>
      <c r="T195" s="13" t="n">
        <f aca="false">IF(COUNT(I196:I201)&lt;6,"",SUM(I196:I201))</f>
        <v>-0.0741004107267497</v>
      </c>
      <c r="U195" s="13" t="n">
        <f aca="false">IF(COUNT(I196:I207)&lt;12,"",SUM(I196:I207))</f>
        <v>-0.120354328558297</v>
      </c>
      <c r="V195" s="13" t="n">
        <f aca="false">IF(N195="","",SUM(N$2:N195))</f>
        <v>0.171776382217961</v>
      </c>
      <c r="W195" s="13" t="n">
        <f aca="false">IF(V195="","",MAX(V$2:V195))</f>
        <v>0.208393594846988</v>
      </c>
      <c r="X195" s="13" t="n">
        <f aca="false">IF(V195="","",V195-W195)</f>
        <v>-0.0366172126290262</v>
      </c>
      <c r="Y195" s="13" t="n">
        <f aca="false">IF(COUNT(D196:D196)&lt;1,"",SUM(D196:D196))</f>
        <v>-0.0813031612780134</v>
      </c>
      <c r="Z195" s="13" t="n">
        <f aca="false">IF(COUNT(D196:D198)&lt;3,"",SUM(D196:D198))</f>
        <v>-0.0718913454534822</v>
      </c>
      <c r="AA195" s="13" t="n">
        <f aca="false">IF(COUNT(D196:D201)&lt;6,"",SUM(D196:D201))</f>
        <v>-0.0931535967113715</v>
      </c>
      <c r="AB195" s="13" t="n">
        <f aca="false">IF(COUNT(D196:D207)&lt;12,"",SUM(D196:D207))</f>
        <v>-0.110010455912993</v>
      </c>
    </row>
    <row r="196" customFormat="false" ht="15" hidden="false" customHeight="false" outlineLevel="0" collapsed="false">
      <c r="A196" s="8" t="n">
        <f aca="false">Base!A196</f>
        <v>43921</v>
      </c>
      <c r="B196" s="10" t="n">
        <f aca="false">IF(Base!T196="","",Base!T196)</f>
        <v>0.374232017312486</v>
      </c>
      <c r="C196" s="11" t="n">
        <f aca="false">IF(B196="","",LN(B196))</f>
        <v>-0.982879306770071</v>
      </c>
      <c r="D196" s="13" t="n">
        <f aca="false">IF(OR(C196="",C195=""),"",C196-C195)</f>
        <v>-0.0813031612780134</v>
      </c>
      <c r="E196" s="12" t="n">
        <f aca="false">IF(Base!U196="","",Base!U196)</f>
        <v>32.01</v>
      </c>
      <c r="F196" s="11" t="n">
        <f aca="false">IF(E196="","",LN(E196))</f>
        <v>3.46604835398177</v>
      </c>
      <c r="G196" s="13" t="n">
        <f aca="false">IF(OR(F196="",F195=""),"",F196-F195)</f>
        <v>-0.553213402115973</v>
      </c>
      <c r="H196" s="10" t="n">
        <f aca="false">IF(COUNT(D$75:D195)&lt;36,"",SLOPE(D$75:D195,G$75:G195))</f>
        <v>0.0846341539061038</v>
      </c>
      <c r="I196" s="13" t="n">
        <f aca="false">IF(OR(D196="",H196="",G196=""),"",D196-H196*G196)</f>
        <v>-0.0344824130604109</v>
      </c>
      <c r="J196" s="10" t="n">
        <f aca="false">IF(COUNT(Senal!V184:V195)=0,"",AVERAGE(Senal!V184:V195))</f>
        <v>0.126737738477497</v>
      </c>
      <c r="K196" s="10" t="n">
        <f aca="false">IF(J196="","",ABS(J196))</f>
        <v>0.126737738477497</v>
      </c>
      <c r="L196" s="10" t="n">
        <f aca="false">IF(OR(J196="",J195=""),"",ABS(J196-J195))</f>
        <v>0</v>
      </c>
      <c r="M196" s="13" t="n">
        <f aca="false">IF(OR(J196="",I196=""),"",J196*I196-IF(L196="",0,L196)*Resumen!$B$8/10000)</f>
        <v>-0.00437022304852338</v>
      </c>
      <c r="N196" s="13" t="n">
        <f aca="false">IF(OR(J196="",D196=""),"",J196*D196-IF(L196="",0,L196)*Resumen!$B$8/10000)</f>
        <v>-0.0103041787914466</v>
      </c>
      <c r="O196" s="13" t="n">
        <f aca="false">IF(M196="","",IF(COUNT(O$2:O195)=0,M196,SUM(M$2:M196)))</f>
        <v>0.146683619945374</v>
      </c>
      <c r="P196" s="13" t="n">
        <f aca="false">IF(O196="","",MAX(O$2:O196))</f>
        <v>0.187955736711561</v>
      </c>
      <c r="Q196" s="13" t="n">
        <f aca="false">IF(O196="","",O196-P196)</f>
        <v>-0.0412721167661868</v>
      </c>
      <c r="R196" s="13" t="n">
        <f aca="false">IF(COUNT(I197:I197)&lt;1,"",SUM(I197:I197))</f>
        <v>0.0110835869868274</v>
      </c>
      <c r="S196" s="13" t="n">
        <f aca="false">IF(COUNT(I197:I199)&lt;3,"",SUM(I197:I199))</f>
        <v>-0.0516769615095619</v>
      </c>
      <c r="T196" s="13" t="n">
        <f aca="false">IF(COUNT(I197:I202)&lt;6,"",SUM(I197:I202))</f>
        <v>-0.0875155684484736</v>
      </c>
      <c r="U196" s="13" t="n">
        <f aca="false">IF(COUNT(I197:I208)&lt;12,"",SUM(I197:I208))</f>
        <v>-0.0886031795446278</v>
      </c>
      <c r="V196" s="13" t="n">
        <f aca="false">IF(N196="","",SUM(N$2:N196))</f>
        <v>0.161472203426515</v>
      </c>
      <c r="W196" s="13" t="n">
        <f aca="false">IF(V196="","",MAX(V$2:V196))</f>
        <v>0.208393594846988</v>
      </c>
      <c r="X196" s="13" t="n">
        <f aca="false">IF(V196="","",V196-W196)</f>
        <v>-0.0469213914204729</v>
      </c>
      <c r="Y196" s="13" t="n">
        <f aca="false">IF(COUNT(D197:D197)&lt;1,"",SUM(D197:D197))</f>
        <v>-0.0438871969754626</v>
      </c>
      <c r="Z196" s="13" t="n">
        <f aca="false">IF(COUNT(D197:D199)&lt;3,"",SUM(D197:D199))</f>
        <v>-0.0328200067548166</v>
      </c>
      <c r="AA196" s="13" t="n">
        <f aca="false">IF(COUNT(D197:D202)&lt;6,"",SUM(D197:D202))</f>
        <v>-0.067383724341439</v>
      </c>
      <c r="AB196" s="13" t="n">
        <f aca="false">IF(COUNT(D197:D208)&lt;12,"",SUM(D197:D208))</f>
        <v>-0.0272012984688987</v>
      </c>
    </row>
    <row r="197" customFormat="false" ht="15" hidden="false" customHeight="false" outlineLevel="0" collapsed="false">
      <c r="A197" s="8" t="n">
        <f aca="false">Base!A197</f>
        <v>43951</v>
      </c>
      <c r="B197" s="10" t="n">
        <f aca="false">IF(Base!T197="","",Base!T197)</f>
        <v>0.358163209594983</v>
      </c>
      <c r="C197" s="11" t="n">
        <f aca="false">IF(B197="","",LN(B197))</f>
        <v>-1.02676650374553</v>
      </c>
      <c r="D197" s="13" t="n">
        <f aca="false">IF(OR(C197="",C196=""),"",C197-C196)</f>
        <v>-0.0438871969754626</v>
      </c>
      <c r="E197" s="12" t="n">
        <f aca="false">IF(Base!U197="","",Base!U197)</f>
        <v>18.38</v>
      </c>
      <c r="F197" s="11" t="n">
        <f aca="false">IF(E197="","",LN(E197))</f>
        <v>2.91126311692754</v>
      </c>
      <c r="G197" s="13" t="n">
        <f aca="false">IF(OR(F197="",F196=""),"",F197-F196)</f>
        <v>-0.554785237054231</v>
      </c>
      <c r="H197" s="10" t="n">
        <f aca="false">IF(COUNT(D$75:D196)&lt;36,"",SLOPE(D$75:D196,G$75:G196))</f>
        <v>0.0990847994697389</v>
      </c>
      <c r="I197" s="13" t="n">
        <f aca="false">IF(OR(D197="",H197="",G197=""),"",D197-H197*G197)</f>
        <v>0.0110835869868274</v>
      </c>
      <c r="J197" s="10" t="n">
        <f aca="false">IF(COUNT(Senal!V185:V196)=0,"",AVERAGE(Senal!V185:V196))</f>
        <v>0.126737738477497</v>
      </c>
      <c r="K197" s="10" t="n">
        <f aca="false">IF(J197="","",ABS(J197))</f>
        <v>0.126737738477497</v>
      </c>
      <c r="L197" s="10" t="n">
        <f aca="false">IF(OR(J197="",J196=""),"",ABS(J197-J196))</f>
        <v>0</v>
      </c>
      <c r="M197" s="13" t="n">
        <f aca="false">IF(OR(J197="",I197=""),"",J197*I197-IF(L197="",0,L197)*Resumen!$B$8/10000)</f>
        <v>0.00140470874892912</v>
      </c>
      <c r="N197" s="13" t="n">
        <f aca="false">IF(OR(J197="",D197=""),"",J197*D197-IF(L197="",0,L197)*Resumen!$B$8/10000)</f>
        <v>-0.00556216409278658</v>
      </c>
      <c r="O197" s="13" t="n">
        <f aca="false">IF(M197="","",IF(COUNT(O$2:O196)=0,M197,SUM(M$2:M197)))</f>
        <v>0.148088328694303</v>
      </c>
      <c r="P197" s="13" t="n">
        <f aca="false">IF(O197="","",MAX(O$2:O197))</f>
        <v>0.187955736711561</v>
      </c>
      <c r="Q197" s="13" t="n">
        <f aca="false">IF(O197="","",O197-P197)</f>
        <v>-0.0398674080172576</v>
      </c>
      <c r="R197" s="13" t="n">
        <f aca="false">IF(COUNT(I198:I198)&lt;1,"",SUM(I198:I198))</f>
        <v>0.0100686405764771</v>
      </c>
      <c r="S197" s="13" t="n">
        <f aca="false">IF(COUNT(I198:I200)&lt;3,"",SUM(I198:I200))</f>
        <v>-0.0561154293660281</v>
      </c>
      <c r="T197" s="13" t="n">
        <f aca="false">IF(COUNT(I198:I203)&lt;6,"",SUM(I198:I203))</f>
        <v>-0.0923902222793815</v>
      </c>
      <c r="U197" s="13" t="n">
        <f aca="false">IF(COUNT(I198:I209)&lt;12,"",SUM(I198:I209))</f>
        <v>-0.135265238454877</v>
      </c>
      <c r="V197" s="13" t="n">
        <f aca="false">IF(N197="","",SUM(N$2:N197))</f>
        <v>0.155910039333728</v>
      </c>
      <c r="W197" s="13" t="n">
        <f aca="false">IF(V197="","",MAX(V$2:V197))</f>
        <v>0.208393594846988</v>
      </c>
      <c r="X197" s="13" t="n">
        <f aca="false">IF(V197="","",V197-W197)</f>
        <v>-0.0524835555132595</v>
      </c>
      <c r="Y197" s="13" t="n">
        <f aca="false">IF(COUNT(D198:D198)&lt;1,"",SUM(D198:D198))</f>
        <v>0.0532990127999938</v>
      </c>
      <c r="Z197" s="13" t="n">
        <f aca="false">IF(COUNT(D198:D200)&lt;3,"",SUM(D198:D200))</f>
        <v>0.0237224637249571</v>
      </c>
      <c r="AA197" s="13" t="n">
        <f aca="false">IF(COUNT(D198:D203)&lt;6,"",SUM(D198:D203))</f>
        <v>-0.0188389086082996</v>
      </c>
      <c r="AB197" s="13" t="n">
        <f aca="false">IF(COUNT(D198:D209)&lt;12,"",SUM(D198:D209))</f>
        <v>-0.0196898838481971</v>
      </c>
    </row>
    <row r="198" customFormat="false" ht="15" hidden="false" customHeight="false" outlineLevel="0" collapsed="false">
      <c r="A198" s="8" t="n">
        <f aca="false">Base!A198</f>
        <v>43982</v>
      </c>
      <c r="B198" s="10" t="n">
        <f aca="false">IF(Base!T198="","",Base!T198)</f>
        <v>0.377770847420583</v>
      </c>
      <c r="C198" s="11" t="n">
        <f aca="false">IF(B198="","",LN(B198))</f>
        <v>-0.97346749094554</v>
      </c>
      <c r="D198" s="13" t="n">
        <f aca="false">IF(OR(C198="",C197=""),"",C198-C197)</f>
        <v>0.0532990127999938</v>
      </c>
      <c r="E198" s="12" t="n">
        <f aca="false">IF(Base!U198="","",Base!U198)</f>
        <v>29.38</v>
      </c>
      <c r="F198" s="11" t="n">
        <f aca="false">IF(E198="","",LN(E198))</f>
        <v>3.38031417074573</v>
      </c>
      <c r="G198" s="13" t="n">
        <f aca="false">IF(OR(F198="",F197=""),"",F198-F197)</f>
        <v>0.46905105381819</v>
      </c>
      <c r="H198" s="10" t="n">
        <f aca="false">IF(COUNT(D$75:D197)&lt;36,"",SLOPE(D$75:D197,G$75:G197))</f>
        <v>0.0921656008905873</v>
      </c>
      <c r="I198" s="13" t="n">
        <f aca="false">IF(OR(D198="",H198="",G198=""),"",D198-H198*G198)</f>
        <v>0.0100686405764771</v>
      </c>
      <c r="J198" s="10" t="n">
        <f aca="false">IF(COUNT(Senal!V186:V197)=0,"",AVERAGE(Senal!V186:V197))</f>
        <v>0.0871072833614972</v>
      </c>
      <c r="K198" s="10" t="n">
        <f aca="false">IF(J198="","",ABS(J198))</f>
        <v>0.0871072833614972</v>
      </c>
      <c r="L198" s="10" t="n">
        <f aca="false">IF(OR(J198="",J197=""),"",ABS(J198-J197))</f>
        <v>0.0396304551159999</v>
      </c>
      <c r="M198" s="13" t="n">
        <f aca="false">IF(OR(J198="",I198=""),"",J198*I198-IF(L198="",0,L198)*Resumen!$B$8/10000)</f>
        <v>0.000758160562412261</v>
      </c>
      <c r="N198" s="13" t="n">
        <f aca="false">IF(OR(J198="",D198=""),"",J198*D198-IF(L198="",0,L198)*Resumen!$B$8/10000)</f>
        <v>0.00452384084550913</v>
      </c>
      <c r="O198" s="13" t="n">
        <f aca="false">IF(M198="","",IF(COUNT(O$2:O197)=0,M198,SUM(M$2:M198)))</f>
        <v>0.148846489256715</v>
      </c>
      <c r="P198" s="13" t="n">
        <f aca="false">IF(O198="","",MAX(O$2:O198))</f>
        <v>0.187955736711561</v>
      </c>
      <c r="Q198" s="13" t="n">
        <f aca="false">IF(O198="","",O198-P198)</f>
        <v>-0.0391092474548454</v>
      </c>
      <c r="R198" s="13" t="n">
        <f aca="false">IF(COUNT(I199:I199)&lt;1,"",SUM(I199:I199))</f>
        <v>-0.0728291890728664</v>
      </c>
      <c r="S198" s="13" t="n">
        <f aca="false">IF(COUNT(I199:I201)&lt;3,"",SUM(I199:I201))</f>
        <v>-0.0607702252296433</v>
      </c>
      <c r="T198" s="13" t="n">
        <f aca="false">IF(COUNT(I199:I204)&lt;6,"",SUM(I199:I204))</f>
        <v>-0.0262305020721549</v>
      </c>
      <c r="U198" s="13" t="n">
        <f aca="false">IF(COUNT(I199:I210)&lt;12,"",SUM(I199:I210))</f>
        <v>-0.13789901376433</v>
      </c>
      <c r="V198" s="13" t="n">
        <f aca="false">IF(N198="","",SUM(N$2:N198))</f>
        <v>0.160433880179237</v>
      </c>
      <c r="W198" s="13" t="n">
        <f aca="false">IF(V198="","",MAX(V$2:V198))</f>
        <v>0.208393594846988</v>
      </c>
      <c r="X198" s="13" t="n">
        <f aca="false">IF(V198="","",V198-W198)</f>
        <v>-0.0479597146677503</v>
      </c>
      <c r="Y198" s="13" t="n">
        <f aca="false">IF(COUNT(D199:D199)&lt;1,"",SUM(D199:D199))</f>
        <v>-0.0422318225793478</v>
      </c>
      <c r="Z198" s="13" t="n">
        <f aca="false">IF(COUNT(D199:D201)&lt;3,"",SUM(D199:D201))</f>
        <v>-0.0212622512578893</v>
      </c>
      <c r="AA198" s="13" t="n">
        <f aca="false">IF(COUNT(D199:D204)&lt;6,"",SUM(D199:D204))</f>
        <v>0.00935686029929717</v>
      </c>
      <c r="AB198" s="13" t="n">
        <f aca="false">IF(COUNT(D199:D210)&lt;12,"",SUM(D199:D210))</f>
        <v>-0.0607178150048905</v>
      </c>
    </row>
    <row r="199" customFormat="false" ht="15" hidden="false" customHeight="false" outlineLevel="0" collapsed="false">
      <c r="A199" s="8" t="n">
        <f aca="false">Base!A199</f>
        <v>44012</v>
      </c>
      <c r="B199" s="10" t="n">
        <f aca="false">IF(Base!T199="","",Base!T199)</f>
        <v>0.362149085505738</v>
      </c>
      <c r="C199" s="11" t="n">
        <f aca="false">IF(B199="","",LN(B199))</f>
        <v>-1.01569931352489</v>
      </c>
      <c r="D199" s="13" t="n">
        <f aca="false">IF(OR(C199="",C198=""),"",C199-C198)</f>
        <v>-0.0422318225793478</v>
      </c>
      <c r="E199" s="12" t="n">
        <f aca="false">IF(Base!U199="","",Base!U199)</f>
        <v>40.27</v>
      </c>
      <c r="F199" s="11" t="n">
        <f aca="false">IF(E199="","",LN(E199))</f>
        <v>3.69560677486336</v>
      </c>
      <c r="G199" s="13" t="n">
        <f aca="false">IF(OR(F199="",F198=""),"",F199-F198)</f>
        <v>0.315292604117632</v>
      </c>
      <c r="H199" s="10" t="n">
        <f aca="false">IF(COUNT(D$75:D198)&lt;36,"",SLOPE(D$75:D198,G$75:G198))</f>
        <v>0.0970443521158623</v>
      </c>
      <c r="I199" s="13" t="n">
        <f aca="false">IF(OR(D199="",H199="",G199=""),"",D199-H199*G199)</f>
        <v>-0.0728291890728664</v>
      </c>
      <c r="J199" s="10" t="n">
        <f aca="false">IF(COUNT(Senal!V187:V198)=0,"",AVERAGE(Senal!V187:V198))</f>
        <v>0.00525529562195626</v>
      </c>
      <c r="K199" s="10" t="n">
        <f aca="false">IF(J199="","",ABS(J199))</f>
        <v>0.00525529562195626</v>
      </c>
      <c r="L199" s="10" t="n">
        <f aca="false">IF(OR(J199="",J198=""),"",ABS(J199-J198))</f>
        <v>0.0818519877395409</v>
      </c>
      <c r="M199" s="13" t="n">
        <f aca="false">IF(OR(J199="",I199=""),"",J199*I199-IF(L199="",0,L199)*Resumen!$B$8/10000)</f>
        <v>-0.000628294881703882</v>
      </c>
      <c r="N199" s="13" t="n">
        <f aca="false">IF(OR(J199="",D199=""),"",J199*D199-IF(L199="",0,L199)*Resumen!$B$8/10000)</f>
        <v>-0.000467496675527103</v>
      </c>
      <c r="O199" s="13" t="n">
        <f aca="false">IF(M199="","",IF(COUNT(O$2:O198)=0,M199,SUM(M$2:M199)))</f>
        <v>0.148218194375011</v>
      </c>
      <c r="P199" s="13" t="n">
        <f aca="false">IF(O199="","",MAX(O$2:O199))</f>
        <v>0.187955736711561</v>
      </c>
      <c r="Q199" s="13" t="n">
        <f aca="false">IF(O199="","",O199-P199)</f>
        <v>-0.0397375423365493</v>
      </c>
      <c r="R199" s="13" t="n">
        <f aca="false">IF(COUNT(I200:I200)&lt;1,"",SUM(I200:I200))</f>
        <v>0.00664511913036116</v>
      </c>
      <c r="S199" s="13" t="n">
        <f aca="false">IF(COUNT(I200:I202)&lt;3,"",SUM(I200:I202))</f>
        <v>-0.0358386069389117</v>
      </c>
      <c r="T199" s="13" t="n">
        <f aca="false">IF(COUNT(I200:I205)&lt;6,"",SUM(I200:I205))</f>
        <v>0.0170786708224747</v>
      </c>
      <c r="U199" s="13" t="n">
        <f aca="false">IF(COUNT(I200:I211)&lt;12,"",SUM(I200:I211))</f>
        <v>-0.0862337187080434</v>
      </c>
      <c r="V199" s="13" t="n">
        <f aca="false">IF(N199="","",SUM(N$2:N199))</f>
        <v>0.15996638350371</v>
      </c>
      <c r="W199" s="13" t="n">
        <f aca="false">IF(V199="","",MAX(V$2:V199))</f>
        <v>0.208393594846988</v>
      </c>
      <c r="X199" s="13" t="n">
        <f aca="false">IF(V199="","",V199-W199)</f>
        <v>-0.0484272113432774</v>
      </c>
      <c r="Y199" s="13" t="n">
        <f aca="false">IF(COUNT(D200:D200)&lt;1,"",SUM(D200:D200))</f>
        <v>0.0126552735043111</v>
      </c>
      <c r="Z199" s="13" t="n">
        <f aca="false">IF(COUNT(D200:D202)&lt;3,"",SUM(D200:D202))</f>
        <v>-0.0345637175866225</v>
      </c>
      <c r="AA199" s="13" t="n">
        <f aca="false">IF(COUNT(D200:D205)&lt;6,"",SUM(D200:D205))</f>
        <v>0.0363386666496889</v>
      </c>
      <c r="AB199" s="13" t="n">
        <f aca="false">IF(COUNT(D200:D211)&lt;12,"",SUM(D200:D211))</f>
        <v>-0.0339553119561948</v>
      </c>
    </row>
    <row r="200" customFormat="false" ht="15" hidden="false" customHeight="false" outlineLevel="0" collapsed="false">
      <c r="A200" s="8" t="n">
        <f aca="false">Base!A200</f>
        <v>44043</v>
      </c>
      <c r="B200" s="10" t="n">
        <f aca="false">IF(Base!T200="","",Base!T200)</f>
        <v>0.36676130412014</v>
      </c>
      <c r="C200" s="11" t="n">
        <f aca="false">IF(B200="","",LN(B200))</f>
        <v>-1.00304404002058</v>
      </c>
      <c r="D200" s="13" t="n">
        <f aca="false">IF(OR(C200="",C199=""),"",C200-C199)</f>
        <v>0.0126552735043111</v>
      </c>
      <c r="E200" s="12" t="n">
        <f aca="false">IF(Base!U200="","",Base!U200)</f>
        <v>43.24</v>
      </c>
      <c r="F200" s="11" t="n">
        <f aca="false">IF(E200="","",LN(E200))</f>
        <v>3.76676599277101</v>
      </c>
      <c r="G200" s="13" t="n">
        <f aca="false">IF(OR(F200="",F199=""),"",F200-F199)</f>
        <v>0.0711592179076446</v>
      </c>
      <c r="H200" s="10" t="n">
        <f aca="false">IF(COUNT(D$75:D199)&lt;36,"",SLOPE(D$75:D199,G$75:G199))</f>
        <v>0.0844606580942233</v>
      </c>
      <c r="I200" s="13" t="n">
        <f aca="false">IF(OR(D200="",H200="",G200=""),"",D200-H200*G200)</f>
        <v>0.00664511913036116</v>
      </c>
      <c r="J200" s="10" t="n">
        <f aca="false">IF(COUNT(Senal!V188:V199)=0,"",AVERAGE(Senal!V188:V199))</f>
        <v>-0.126515034776874</v>
      </c>
      <c r="K200" s="10" t="n">
        <f aca="false">IF(J200="","",ABS(J200))</f>
        <v>0.126515034776874</v>
      </c>
      <c r="L200" s="10" t="n">
        <f aca="false">IF(OR(J200="",J199=""),"",ABS(J200-J199))</f>
        <v>0.13177033039883</v>
      </c>
      <c r="M200" s="13" t="n">
        <f aca="false">IF(OR(J200="",I200=""),"",J200*I200-IF(L200="",0,L200)*Resumen!$B$8/10000)</f>
        <v>-0.0012360184690706</v>
      </c>
      <c r="N200" s="13" t="n">
        <f aca="false">IF(OR(J200="",D200=""),"",J200*D200-IF(L200="",0,L200)*Resumen!$B$8/10000)</f>
        <v>-0.00199639335870525</v>
      </c>
      <c r="O200" s="13" t="n">
        <f aca="false">IF(M200="","",IF(COUNT(O$2:O199)=0,M200,SUM(M$2:M200)))</f>
        <v>0.146982175905941</v>
      </c>
      <c r="P200" s="13" t="n">
        <f aca="false">IF(O200="","",MAX(O$2:O200))</f>
        <v>0.187955736711561</v>
      </c>
      <c r="Q200" s="13" t="n">
        <f aca="false">IF(O200="","",O200-P200)</f>
        <v>-0.0409735608056198</v>
      </c>
      <c r="R200" s="13" t="n">
        <f aca="false">IF(COUNT(I201:I201)&lt;1,"",SUM(I201:I201))</f>
        <v>0.00541384471286197</v>
      </c>
      <c r="S200" s="13" t="n">
        <f aca="false">IF(COUNT(I201:I203)&lt;3,"",SUM(I201:I203))</f>
        <v>-0.0362747929133534</v>
      </c>
      <c r="T200" s="13" t="n">
        <f aca="false">IF(COUNT(I201:I206)&lt;6,"",SUM(I201:I206))</f>
        <v>-0.0462292033872282</v>
      </c>
      <c r="U200" s="13" t="n">
        <f aca="false">IF(COUNT(I201:I212)&lt;12,"",SUM(I201:I212))</f>
        <v>-0.124112403084726</v>
      </c>
      <c r="V200" s="13" t="n">
        <f aca="false">IF(N200="","",SUM(N$2:N200))</f>
        <v>0.157969990145005</v>
      </c>
      <c r="W200" s="13" t="n">
        <f aca="false">IF(V200="","",MAX(V$2:V200))</f>
        <v>0.208393594846988</v>
      </c>
      <c r="X200" s="13" t="n">
        <f aca="false">IF(V200="","",V200-W200)</f>
        <v>-0.0504236047019827</v>
      </c>
      <c r="Y200" s="13" t="n">
        <f aca="false">IF(COUNT(D201:D201)&lt;1,"",SUM(D201:D201))</f>
        <v>0.00831429781714743</v>
      </c>
      <c r="Z200" s="13" t="n">
        <f aca="false">IF(COUNT(D201:D203)&lt;3,"",SUM(D201:D203))</f>
        <v>-0.0425613723332567</v>
      </c>
      <c r="AA200" s="13" t="n">
        <f aca="false">IF(COUNT(D201:D206)&lt;6,"",SUM(D201:D206))</f>
        <v>-0.024922242673727</v>
      </c>
      <c r="AB200" s="13" t="n">
        <f aca="false">IF(COUNT(D201:D212)&lt;12,"",SUM(D201:D212))</f>
        <v>-0.0754979025646254</v>
      </c>
    </row>
    <row r="201" customFormat="false" ht="15" hidden="false" customHeight="false" outlineLevel="0" collapsed="false">
      <c r="A201" s="8" t="n">
        <f aca="false">Base!A201</f>
        <v>44074</v>
      </c>
      <c r="B201" s="10" t="n">
        <f aca="false">IF(Base!T201="","",Base!T201)</f>
        <v>0.369823378690905</v>
      </c>
      <c r="C201" s="11" t="n">
        <f aca="false">IF(B201="","",LN(B201))</f>
        <v>-0.99472974220343</v>
      </c>
      <c r="D201" s="13" t="n">
        <f aca="false">IF(OR(C201="",C200=""),"",C201-C200)</f>
        <v>0.00831429781714743</v>
      </c>
      <c r="E201" s="12" t="n">
        <f aca="false">IF(Base!U201="","",Base!U201)</f>
        <v>44.74</v>
      </c>
      <c r="F201" s="11" t="n">
        <f aca="false">IF(E201="","",LN(E201))</f>
        <v>3.80086795606198</v>
      </c>
      <c r="G201" s="13" t="n">
        <f aca="false">IF(OR(F201="",F200=""),"",F201-F200)</f>
        <v>0.034101963290976</v>
      </c>
      <c r="H201" s="10" t="n">
        <f aca="false">IF(COUNT(D$75:D200)&lt;36,"",SLOPE(D$75:D200,G$75:G200))</f>
        <v>0.0850523789359943</v>
      </c>
      <c r="I201" s="13" t="n">
        <f aca="false">IF(OR(D201="",H201="",G201=""),"",D201-H201*G201)</f>
        <v>0.00541384471286197</v>
      </c>
      <c r="J201" s="10" t="n">
        <f aca="false">IF(COUNT(Senal!V189:V200)=0,"",AVERAGE(Senal!V189:V200))</f>
        <v>-0.261541349255809</v>
      </c>
      <c r="K201" s="10" t="n">
        <f aca="false">IF(J201="","",ABS(J201))</f>
        <v>0.261541349255809</v>
      </c>
      <c r="L201" s="10" t="n">
        <f aca="false">IF(OR(J201="",J200=""),"",ABS(J201-J200))</f>
        <v>0.135026314478935</v>
      </c>
      <c r="M201" s="13" t="n">
        <f aca="false">IF(OR(J201="",I201=""),"",J201*I201-IF(L201="",0,L201)*Resumen!$B$8/10000)</f>
        <v>-0.00182102319430015</v>
      </c>
      <c r="N201" s="13" t="n">
        <f aca="false">IF(OR(J201="",D201=""),"",J201*D201-IF(L201="",0,L201)*Resumen!$B$8/10000)</f>
        <v>-0.00257961161264817</v>
      </c>
      <c r="O201" s="13" t="n">
        <f aca="false">IF(M201="","",IF(COUNT(O$2:O200)=0,M201,SUM(M$2:M201)))</f>
        <v>0.145161152711641</v>
      </c>
      <c r="P201" s="13" t="n">
        <f aca="false">IF(O201="","",MAX(O$2:O201))</f>
        <v>0.187955736711561</v>
      </c>
      <c r="Q201" s="13" t="n">
        <f aca="false">IF(O201="","",O201-P201)</f>
        <v>-0.04279458399992</v>
      </c>
      <c r="R201" s="13" t="n">
        <f aca="false">IF(COUNT(I202:I202)&lt;1,"",SUM(I202:I202))</f>
        <v>-0.0478975707821348</v>
      </c>
      <c r="S201" s="13" t="n">
        <f aca="false">IF(COUNT(I202:I204)&lt;3,"",SUM(I202:I204))</f>
        <v>0.0345397231574884</v>
      </c>
      <c r="T201" s="13" t="n">
        <f aca="false">IF(COUNT(I202:I207)&lt;6,"",SUM(I202:I207))</f>
        <v>-0.0462539178315474</v>
      </c>
      <c r="U201" s="13" t="n">
        <f aca="false">IF(COUNT(I202:I213)&lt;12,"",SUM(I202:I213))</f>
        <v>-0.107525788341995</v>
      </c>
      <c r="V201" s="13" t="n">
        <f aca="false">IF(N201="","",SUM(N$2:N201))</f>
        <v>0.155390378532357</v>
      </c>
      <c r="W201" s="13" t="n">
        <f aca="false">IF(V201="","",MAX(V$2:V201))</f>
        <v>0.208393594846988</v>
      </c>
      <c r="X201" s="13" t="n">
        <f aca="false">IF(V201="","",V201-W201)</f>
        <v>-0.0530032163146308</v>
      </c>
      <c r="Y201" s="13" t="n">
        <f aca="false">IF(COUNT(D202:D202)&lt;1,"",SUM(D202:D202))</f>
        <v>-0.055533288908081</v>
      </c>
      <c r="Z201" s="13" t="n">
        <f aca="false">IF(COUNT(D202:D204)&lt;3,"",SUM(D202:D204))</f>
        <v>0.0306191115571864</v>
      </c>
      <c r="AA201" s="13" t="n">
        <f aca="false">IF(COUNT(D202:D207)&lt;6,"",SUM(D202:D207))</f>
        <v>-0.0168568592016219</v>
      </c>
      <c r="AB201" s="13" t="n">
        <f aca="false">IF(COUNT(D202:D213)&lt;12,"",SUM(D202:D213))</f>
        <v>-0.0670349614215208</v>
      </c>
    </row>
    <row r="202" customFormat="false" ht="15" hidden="false" customHeight="false" outlineLevel="0" collapsed="false">
      <c r="A202" s="8" t="n">
        <f aca="false">Base!A202</f>
        <v>44104</v>
      </c>
      <c r="B202" s="10" t="n">
        <f aca="false">IF(Base!T202="","",Base!T202)</f>
        <v>0.349845716700271</v>
      </c>
      <c r="C202" s="11" t="n">
        <f aca="false">IF(B202="","",LN(B202))</f>
        <v>-1.05026303111151</v>
      </c>
      <c r="D202" s="13" t="n">
        <f aca="false">IF(OR(C202="",C201=""),"",C202-C201)</f>
        <v>-0.055533288908081</v>
      </c>
      <c r="E202" s="12" t="n">
        <f aca="false">IF(Base!U202="","",Base!U202)</f>
        <v>40.91</v>
      </c>
      <c r="F202" s="11" t="n">
        <f aca="false">IF(E202="","",LN(E202))</f>
        <v>3.71137453194131</v>
      </c>
      <c r="G202" s="13" t="n">
        <f aca="false">IF(OR(F202="",F201=""),"",F202-F201)</f>
        <v>-0.0894934241206764</v>
      </c>
      <c r="H202" s="10" t="n">
        <f aca="false">IF(COUNT(D$75:D201)&lt;36,"",SLOPE(D$75:D201,G$75:G201))</f>
        <v>0.0853215551977303</v>
      </c>
      <c r="I202" s="13" t="n">
        <f aca="false">IF(OR(D202="",H202="",G202=""),"",D202-H202*G202)</f>
        <v>-0.0478975707821348</v>
      </c>
      <c r="J202" s="10" t="n">
        <f aca="false">IF(COUNT(Senal!V190:V201)=0,"",AVERAGE(Senal!V190:V201))</f>
        <v>-0.344874682589142</v>
      </c>
      <c r="K202" s="10" t="n">
        <f aca="false">IF(J202="","",ABS(J202))</f>
        <v>0.344874682589142</v>
      </c>
      <c r="L202" s="10" t="n">
        <f aca="false">IF(OR(J202="",J201=""),"",ABS(J202-J201))</f>
        <v>0.0833333333333333</v>
      </c>
      <c r="M202" s="13" t="n">
        <f aca="false">IF(OR(J202="",I202=""),"",J202*I202-IF(L202="",0,L202)*Resumen!$B$8/10000)</f>
        <v>0.0162686595202797</v>
      </c>
      <c r="N202" s="13" t="n">
        <f aca="false">IF(OR(J202="",D202=""),"",J202*D202-IF(L202="",0,L202)*Resumen!$B$8/10000)</f>
        <v>0.0189020253853055</v>
      </c>
      <c r="O202" s="13" t="n">
        <f aca="false">IF(M202="","",IF(COUNT(O$2:O201)=0,M202,SUM(M$2:M202)))</f>
        <v>0.16142981223192</v>
      </c>
      <c r="P202" s="13" t="n">
        <f aca="false">IF(O202="","",MAX(O$2:O202))</f>
        <v>0.187955736711561</v>
      </c>
      <c r="Q202" s="13" t="n">
        <f aca="false">IF(O202="","",O202-P202)</f>
        <v>-0.0265259244796403</v>
      </c>
      <c r="R202" s="13" t="n">
        <f aca="false">IF(COUNT(I203:I203)&lt;1,"",SUM(I203:I203))</f>
        <v>0.00620893315591945</v>
      </c>
      <c r="S202" s="13" t="n">
        <f aca="false">IF(COUNT(I203:I205)&lt;3,"",SUM(I203:I205))</f>
        <v>0.0529172777613864</v>
      </c>
      <c r="T202" s="13" t="n">
        <f aca="false">IF(COUNT(I203:I208)&lt;6,"",SUM(I203:I208))</f>
        <v>-0.00108761109615423</v>
      </c>
      <c r="U202" s="13" t="n">
        <f aca="false">IF(COUNT(I203:I214)&lt;12,"",SUM(I203:I214))</f>
        <v>-0.0913371034998721</v>
      </c>
      <c r="V202" s="13" t="n">
        <f aca="false">IF(N202="","",SUM(N$2:N202))</f>
        <v>0.174292403917662</v>
      </c>
      <c r="W202" s="13" t="n">
        <f aca="false">IF(V202="","",MAX(V$2:V202))</f>
        <v>0.208393594846988</v>
      </c>
      <c r="X202" s="13" t="n">
        <f aca="false">IF(V202="","",V202-W202)</f>
        <v>-0.0341011909293253</v>
      </c>
      <c r="Y202" s="13" t="n">
        <f aca="false">IF(COUNT(D203:D203)&lt;1,"",SUM(D203:D203))</f>
        <v>0.00465761875767679</v>
      </c>
      <c r="Z202" s="13" t="n">
        <f aca="false">IF(COUNT(D203:D205)&lt;3,"",SUM(D203:D205))</f>
        <v>0.0709023842363113</v>
      </c>
      <c r="AA202" s="13" t="n">
        <f aca="false">IF(COUNT(D203:D208)&lt;6,"",SUM(D203:D208))</f>
        <v>0.0401824258725403</v>
      </c>
      <c r="AB202" s="13" t="n">
        <f aca="false">IF(COUNT(D203:D214)&lt;12,"",SUM(D203:D214))</f>
        <v>-0.038820698591592</v>
      </c>
    </row>
    <row r="203" customFormat="false" ht="15" hidden="false" customHeight="false" outlineLevel="0" collapsed="false">
      <c r="A203" s="8" t="n">
        <f aca="false">Base!A203</f>
        <v>44135</v>
      </c>
      <c r="B203" s="10" t="n">
        <f aca="false">IF(Base!T203="","",Base!T203)</f>
        <v>0.351478965244636</v>
      </c>
      <c r="C203" s="11" t="n">
        <f aca="false">IF(B203="","",LN(B203))</f>
        <v>-1.04560541235383</v>
      </c>
      <c r="D203" s="13" t="n">
        <f aca="false">IF(OR(C203="",C202=""),"",C203-C202)</f>
        <v>0.00465761875767679</v>
      </c>
      <c r="E203" s="12" t="n">
        <f aca="false">IF(Base!U203="","",Base!U203)</f>
        <v>40.19</v>
      </c>
      <c r="F203" s="11" t="n">
        <f aca="false">IF(E203="","",LN(E203))</f>
        <v>3.69361820846111</v>
      </c>
      <c r="G203" s="13" t="n">
        <f aca="false">IF(OR(F203="",F202=""),"",F203-F202)</f>
        <v>-0.0177563234801976</v>
      </c>
      <c r="H203" s="10" t="n">
        <f aca="false">IF(COUNT(D$75:D202)&lt;36,"",SLOPE(D$75:D202,G$75:G202))</f>
        <v>0.0873668696097331</v>
      </c>
      <c r="I203" s="13" t="n">
        <f aca="false">IF(OR(D203="",H203="",G203=""),"",D203-H203*G203)</f>
        <v>0.00620893315591945</v>
      </c>
      <c r="J203" s="10" t="n">
        <f aca="false">IF(COUNT(Senal!V191:V202)=0,"",AVERAGE(Senal!V191:V202))</f>
        <v>-0.428208015922475</v>
      </c>
      <c r="K203" s="10" t="n">
        <f aca="false">IF(J203="","",ABS(J203))</f>
        <v>0.428208015922475</v>
      </c>
      <c r="L203" s="10" t="n">
        <f aca="false">IF(OR(J203="",J202=""),"",ABS(J203-J202))</f>
        <v>0.0833333333333333</v>
      </c>
      <c r="M203" s="13" t="n">
        <f aca="false">IF(OR(J203="",I203=""),"",J203*I203-IF(L203="",0,L203)*Resumen!$B$8/10000)</f>
        <v>-0.00290871494769154</v>
      </c>
      <c r="N203" s="13" t="n">
        <f aca="false">IF(OR(J203="",D203=""),"",J203*D203-IF(L203="",0,L203)*Resumen!$B$8/10000)</f>
        <v>-0.00224442968714808</v>
      </c>
      <c r="O203" s="13" t="n">
        <f aca="false">IF(M203="","",IF(COUNT(O$2:O202)=0,M203,SUM(M$2:M203)))</f>
        <v>0.158521097284229</v>
      </c>
      <c r="P203" s="13" t="n">
        <f aca="false">IF(O203="","",MAX(O$2:O203))</f>
        <v>0.187955736711561</v>
      </c>
      <c r="Q203" s="13" t="n">
        <f aca="false">IF(O203="","",O203-P203)</f>
        <v>-0.0294346394273319</v>
      </c>
      <c r="R203" s="13" t="n">
        <f aca="false">IF(COUNT(I204:I204)&lt;1,"",SUM(I204:I204))</f>
        <v>0.0762283607837037</v>
      </c>
      <c r="S203" s="13" t="n">
        <f aca="false">IF(COUNT(I204:I206)&lt;3,"",SUM(I204:I206))</f>
        <v>-0.0099544104738748</v>
      </c>
      <c r="T203" s="13" t="n">
        <f aca="false">IF(COUNT(I204:I209)&lt;6,"",SUM(I204:I209))</f>
        <v>-0.0428750161754955</v>
      </c>
      <c r="U203" s="13" t="n">
        <f aca="false">IF(COUNT(I204:I215)&lt;12,"",SUM(I204:I215))</f>
        <v>-0.127838948611714</v>
      </c>
      <c r="V203" s="13" t="n">
        <f aca="false">IF(N203="","",SUM(N$2:N203))</f>
        <v>0.172047974230514</v>
      </c>
      <c r="W203" s="13" t="n">
        <f aca="false">IF(V203="","",MAX(V$2:V203))</f>
        <v>0.208393594846988</v>
      </c>
      <c r="X203" s="13" t="n">
        <f aca="false">IF(V203="","",V203-W203)</f>
        <v>-0.0363456206164734</v>
      </c>
      <c r="Y203" s="13" t="n">
        <f aca="false">IF(COUNT(D204:D204)&lt;1,"",SUM(D204:D204))</f>
        <v>0.0814947817075906</v>
      </c>
      <c r="Z203" s="13" t="n">
        <f aca="false">IF(COUNT(D204:D206)&lt;3,"",SUM(D204:D206))</f>
        <v>0.0176391296595297</v>
      </c>
      <c r="AA203" s="13" t="n">
        <f aca="false">IF(COUNT(D204:D209)&lt;6,"",SUM(D204:D209))</f>
        <v>-0.000850975239897522</v>
      </c>
      <c r="AB203" s="13" t="n">
        <f aca="false">IF(COUNT(D204:D215)&lt;12,"",SUM(D204:D215))</f>
        <v>-0.0640828317783184</v>
      </c>
    </row>
    <row r="204" customFormat="false" ht="15" hidden="false" customHeight="false" outlineLevel="0" collapsed="false">
      <c r="A204" s="8" t="n">
        <f aca="false">Base!A204</f>
        <v>44165</v>
      </c>
      <c r="B204" s="10" t="n">
        <f aca="false">IF(Base!T204="","",Base!T204)</f>
        <v>0.381322185240796</v>
      </c>
      <c r="C204" s="11" t="n">
        <f aca="false">IF(B204="","",LN(B204))</f>
        <v>-0.964110630646243</v>
      </c>
      <c r="D204" s="13" t="n">
        <f aca="false">IF(OR(C204="",C203=""),"",C204-C203)</f>
        <v>0.0814947817075906</v>
      </c>
      <c r="E204" s="12" t="n">
        <f aca="false">IF(Base!U204="","",Base!U204)</f>
        <v>42.69</v>
      </c>
      <c r="F204" s="11" t="n">
        <f aca="false">IF(E204="","",LN(E204))</f>
        <v>3.75396470076987</v>
      </c>
      <c r="G204" s="13" t="n">
        <f aca="false">IF(OR(F204="",F203=""),"",F204-F203)</f>
        <v>0.0603464923087609</v>
      </c>
      <c r="H204" s="10" t="n">
        <f aca="false">IF(COUNT(D$75:D203)&lt;36,"",SLOPE(D$75:D203,G$75:G203))</f>
        <v>0.0872697106725178</v>
      </c>
      <c r="I204" s="13" t="n">
        <f aca="false">IF(OR(D204="",H204="",G204=""),"",D204-H204*G204)</f>
        <v>0.0762283607837037</v>
      </c>
      <c r="J204" s="10" t="n">
        <f aca="false">IF(COUNT(Senal!V192:V203)=0,"",AVERAGE(Senal!V192:V203))</f>
        <v>-0.510006460328296</v>
      </c>
      <c r="K204" s="10" t="n">
        <f aca="false">IF(J204="","",ABS(J204))</f>
        <v>0.510006460328296</v>
      </c>
      <c r="L204" s="10" t="n">
        <f aca="false">IF(OR(J204="",J203=""),"",ABS(J204-J203))</f>
        <v>0.081798444405821</v>
      </c>
      <c r="M204" s="13" t="n">
        <f aca="false">IF(OR(J204="",I204=""),"",J204*I204-IF(L204="",0,L204)*Resumen!$B$8/10000)</f>
        <v>-0.0391223517931425</v>
      </c>
      <c r="N204" s="13" t="n">
        <f aca="false">IF(OR(J204="",D204=""),"",J204*D204-IF(L204="",0,L204)*Resumen!$B$8/10000)</f>
        <v>-0.0418082604871329</v>
      </c>
      <c r="O204" s="13" t="n">
        <f aca="false">IF(M204="","",IF(COUNT(O$2:O203)=0,M204,SUM(M$2:M204)))</f>
        <v>0.119398745491086</v>
      </c>
      <c r="P204" s="13" t="n">
        <f aca="false">IF(O204="","",MAX(O$2:O204))</f>
        <v>0.187955736711561</v>
      </c>
      <c r="Q204" s="13" t="n">
        <f aca="false">IF(O204="","",O204-P204)</f>
        <v>-0.0685569912204744</v>
      </c>
      <c r="R204" s="13" t="n">
        <f aca="false">IF(COUNT(I205:I205)&lt;1,"",SUM(I205:I205))</f>
        <v>-0.0295200161782368</v>
      </c>
      <c r="S204" s="13" t="n">
        <f aca="false">IF(COUNT(I205:I207)&lt;3,"",SUM(I205:I207))</f>
        <v>-0.0807936409890358</v>
      </c>
      <c r="T204" s="13" t="n">
        <f aca="false">IF(COUNT(I205:I210)&lt;6,"",SUM(I205:I210))</f>
        <v>-0.111668511692175</v>
      </c>
      <c r="U204" s="13" t="n">
        <f aca="false">IF(COUNT(I205:I216)&lt;12,"",SUM(I205:I216))</f>
        <v>-0.28187501134913</v>
      </c>
      <c r="V204" s="13" t="n">
        <f aca="false">IF(N204="","",SUM(N$2:N204))</f>
        <v>0.130239713743381</v>
      </c>
      <c r="W204" s="13" t="n">
        <f aca="false">IF(V204="","",MAX(V$2:V204))</f>
        <v>0.208393594846988</v>
      </c>
      <c r="X204" s="13" t="n">
        <f aca="false">IF(V204="","",V204-W204)</f>
        <v>-0.0781538811036063</v>
      </c>
      <c r="Y204" s="13" t="n">
        <f aca="false">IF(COUNT(D205:D205)&lt;1,"",SUM(D205:D205))</f>
        <v>-0.0152500162289561</v>
      </c>
      <c r="Z204" s="13" t="n">
        <f aca="false">IF(COUNT(D205:D207)&lt;3,"",SUM(D205:D207))</f>
        <v>-0.0474759707588084</v>
      </c>
      <c r="AA204" s="13" t="n">
        <f aca="false">IF(COUNT(D205:D210)&lt;6,"",SUM(D205:D210))</f>
        <v>-0.0700746753041877</v>
      </c>
      <c r="AB204" s="13" t="n">
        <f aca="false">IF(COUNT(D205:D216)&lt;12,"",SUM(D205:D216))</f>
        <v>-0.225897231338519</v>
      </c>
    </row>
    <row r="205" customFormat="false" ht="15" hidden="false" customHeight="false" outlineLevel="0" collapsed="false">
      <c r="A205" s="8" t="n">
        <f aca="false">Base!A205</f>
        <v>44196</v>
      </c>
      <c r="B205" s="10" t="n">
        <f aca="false">IF(Base!T205="","",Base!T205)</f>
        <v>0.375551131899986</v>
      </c>
      <c r="C205" s="11" t="n">
        <f aca="false">IF(B205="","",LN(B205))</f>
        <v>-0.979360646875199</v>
      </c>
      <c r="D205" s="13" t="n">
        <f aca="false">IF(OR(C205="",C204=""),"",C205-C204)</f>
        <v>-0.0152500162289561</v>
      </c>
      <c r="E205" s="12" t="n">
        <f aca="false">IF(Base!U205="","",Base!U205)</f>
        <v>49.99</v>
      </c>
      <c r="F205" s="11" t="n">
        <f aca="false">IF(E205="","",LN(E205))</f>
        <v>3.91182298542548</v>
      </c>
      <c r="G205" s="13" t="n">
        <f aca="false">IF(OR(F205="",F204=""),"",F205-F204)</f>
        <v>0.157858284655608</v>
      </c>
      <c r="H205" s="10" t="n">
        <f aca="false">IF(COUNT(D$75:D204)&lt;36,"",SLOPE(D$75:D204,G$75:G204))</f>
        <v>0.0903975358684084</v>
      </c>
      <c r="I205" s="13" t="n">
        <f aca="false">IF(OR(D205="",H205="",G205=""),"",D205-H205*G205)</f>
        <v>-0.0295200161782368</v>
      </c>
      <c r="J205" s="10" t="n">
        <f aca="false">IF(COUNT(Senal!V193:V204)=0,"",AVERAGE(Senal!V193:V204))</f>
        <v>-0.589406789317261</v>
      </c>
      <c r="K205" s="10" t="n">
        <f aca="false">IF(J205="","",ABS(J205))</f>
        <v>0.589406789317261</v>
      </c>
      <c r="L205" s="10" t="n">
        <f aca="false">IF(OR(J205="",J204=""),"",ABS(J205-J204))</f>
        <v>0.0794003289889644</v>
      </c>
      <c r="M205" s="13" t="n">
        <f aca="false">IF(OR(J205="",I205=""),"",J205*I205-IF(L205="",0,L205)*Resumen!$B$8/10000)</f>
        <v>0.0171610969692413</v>
      </c>
      <c r="N205" s="13" t="n">
        <f aca="false">IF(OR(J205="",D205=""),"",J205*D205-IF(L205="",0,L205)*Resumen!$B$8/10000)</f>
        <v>0.00875026211557822</v>
      </c>
      <c r="O205" s="13" t="n">
        <f aca="false">IF(M205="","",IF(COUNT(O$2:O204)=0,M205,SUM(M$2:M205)))</f>
        <v>0.136559842460327</v>
      </c>
      <c r="P205" s="13" t="n">
        <f aca="false">IF(O205="","",MAX(O$2:O205))</f>
        <v>0.187955736711561</v>
      </c>
      <c r="Q205" s="13" t="n">
        <f aca="false">IF(O205="","",O205-P205)</f>
        <v>-0.0513958942512331</v>
      </c>
      <c r="R205" s="13" t="n">
        <f aca="false">IF(COUNT(I206:I206)&lt;1,"",SUM(I206:I206))</f>
        <v>-0.0566627550793417</v>
      </c>
      <c r="S205" s="13" t="n">
        <f aca="false">IF(COUNT(I206:I208)&lt;3,"",SUM(I206:I208))</f>
        <v>-0.0540048888575406</v>
      </c>
      <c r="T205" s="13" t="n">
        <f aca="false">IF(COUNT(I206:I211)&lt;6,"",SUM(I206:I211))</f>
        <v>-0.103312389530518</v>
      </c>
      <c r="U205" s="13" t="n">
        <f aca="false">IF(COUNT(I206:I217)&lt;12,"",SUM(I206:I217))</f>
        <v>-0.226094938685371</v>
      </c>
      <c r="V205" s="13" t="n">
        <f aca="false">IF(N205="","",SUM(N$2:N205))</f>
        <v>0.13898997585896</v>
      </c>
      <c r="W205" s="13" t="n">
        <f aca="false">IF(V205="","",MAX(V$2:V205))</f>
        <v>0.208393594846988</v>
      </c>
      <c r="X205" s="13" t="n">
        <f aca="false">IF(V205="","",V205-W205)</f>
        <v>-0.0694036189880281</v>
      </c>
      <c r="Y205" s="13" t="n">
        <f aca="false">IF(COUNT(D206:D206)&lt;1,"",SUM(D206:D206))</f>
        <v>-0.0486056358191048</v>
      </c>
      <c r="Z205" s="13" t="n">
        <f aca="false">IF(COUNT(D206:D208)&lt;3,"",SUM(D206:D208))</f>
        <v>-0.0307199583637711</v>
      </c>
      <c r="AA205" s="13" t="n">
        <f aca="false">IF(COUNT(D206:D211)&lt;6,"",SUM(D206:D211))</f>
        <v>-0.0702939786058837</v>
      </c>
      <c r="AB205" s="13" t="n">
        <f aca="false">IF(COUNT(D206:D217)&lt;12,"",SUM(D206:D217))</f>
        <v>-0.191857933339829</v>
      </c>
    </row>
    <row r="206" customFormat="false" ht="15" hidden="false" customHeight="false" outlineLevel="0" collapsed="false">
      <c r="A206" s="8" t="n">
        <f aca="false">Base!A206</f>
        <v>44227</v>
      </c>
      <c r="B206" s="10" t="n">
        <f aca="false">IF(Base!T206="","",Base!T206)</f>
        <v>0.357733750595337</v>
      </c>
      <c r="C206" s="11" t="n">
        <f aca="false">IF(B206="","",LN(B206))</f>
        <v>-1.0279662826943</v>
      </c>
      <c r="D206" s="13" t="n">
        <f aca="false">IF(OR(C206="",C205=""),"",C206-C205)</f>
        <v>-0.0486056358191048</v>
      </c>
      <c r="E206" s="12" t="n">
        <f aca="false">IF(Base!U206="","",Base!U206)</f>
        <v>54.77</v>
      </c>
      <c r="F206" s="11" t="n">
        <f aca="false">IF(E206="","",LN(E206))</f>
        <v>4.00314259879563</v>
      </c>
      <c r="G206" s="13" t="n">
        <f aca="false">IF(OR(F206="",F205=""),"",F206-F205)</f>
        <v>0.0913196133701515</v>
      </c>
      <c r="H206" s="10" t="n">
        <f aca="false">IF(COUNT(D$75:D205)&lt;36,"",SLOPE(D$75:D205,G$75:G205))</f>
        <v>0.0882298880042172</v>
      </c>
      <c r="I206" s="13" t="n">
        <f aca="false">IF(OR(D206="",H206="",G206=""),"",D206-H206*G206)</f>
        <v>-0.0566627550793417</v>
      </c>
      <c r="J206" s="10" t="n">
        <f aca="false">IF(COUNT(Senal!V194:V205)=0,"",AVERAGE(Senal!V194:V205))</f>
        <v>-0.686102542165582</v>
      </c>
      <c r="K206" s="10" t="n">
        <f aca="false">IF(J206="","",ABS(J206))</f>
        <v>0.686102542165582</v>
      </c>
      <c r="L206" s="10" t="n">
        <f aca="false">IF(OR(J206="",J205=""),"",ABS(J206-J205))</f>
        <v>0.0966957528483213</v>
      </c>
      <c r="M206" s="13" t="n">
        <f aca="false">IF(OR(J206="",I206=""),"",J206*I206-IF(L206="",0,L206)*Resumen!$B$8/10000)</f>
        <v>0.0385863730474971</v>
      </c>
      <c r="N206" s="13" t="n">
        <f aca="false">IF(OR(J206="",D206=""),"",J206*D206-IF(L206="",0,L206)*Resumen!$B$8/10000)</f>
        <v>0.0330583630405173</v>
      </c>
      <c r="O206" s="13" t="n">
        <f aca="false">IF(M206="","",IF(COUNT(O$2:O205)=0,M206,SUM(M$2:M206)))</f>
        <v>0.175146215507825</v>
      </c>
      <c r="P206" s="13" t="n">
        <f aca="false">IF(O206="","",MAX(O$2:O206))</f>
        <v>0.187955736711561</v>
      </c>
      <c r="Q206" s="13" t="n">
        <f aca="false">IF(O206="","",O206-P206)</f>
        <v>-0.012809521203736</v>
      </c>
      <c r="R206" s="13" t="n">
        <f aca="false">IF(COUNT(I207:I207)&lt;1,"",SUM(I207:I207))</f>
        <v>0.00538913026854273</v>
      </c>
      <c r="S206" s="13" t="n">
        <f aca="false">IF(COUNT(I207:I209)&lt;3,"",SUM(I207:I209))</f>
        <v>-0.0329206057016207</v>
      </c>
      <c r="T206" s="13" t="n">
        <f aca="false">IF(COUNT(I207:I212)&lt;6,"",SUM(I207:I212))</f>
        <v>-0.0778831996974982</v>
      </c>
      <c r="U206" s="13" t="n">
        <f aca="false">IF(COUNT(I207:I218)&lt;12,"",SUM(I207:I218))</f>
        <v>-0.0998720286427577</v>
      </c>
      <c r="V206" s="13" t="n">
        <f aca="false">IF(N206="","",SUM(N$2:N206))</f>
        <v>0.172048338899477</v>
      </c>
      <c r="W206" s="13" t="n">
        <f aca="false">IF(V206="","",MAX(V$2:V206))</f>
        <v>0.208393594846988</v>
      </c>
      <c r="X206" s="13" t="n">
        <f aca="false">IF(V206="","",V206-W206)</f>
        <v>-0.0363452559475108</v>
      </c>
      <c r="Y206" s="13" t="n">
        <f aca="false">IF(COUNT(D207:D207)&lt;1,"",SUM(D207:D207))</f>
        <v>0.0163796812892525</v>
      </c>
      <c r="Z206" s="13" t="n">
        <f aca="false">IF(COUNT(D207:D209)&lt;3,"",SUM(D207:D209))</f>
        <v>-0.0184901048994273</v>
      </c>
      <c r="AA206" s="13" t="n">
        <f aca="false">IF(COUNT(D207:D212)&lt;6,"",SUM(D207:D212))</f>
        <v>-0.0505756598908984</v>
      </c>
      <c r="AB206" s="13" t="n">
        <f aca="false">IF(COUNT(D207:D218)&lt;12,"",SUM(D207:D218))</f>
        <v>-0.0609852639795265</v>
      </c>
    </row>
    <row r="207" customFormat="false" ht="15" hidden="false" customHeight="false" outlineLevel="0" collapsed="false">
      <c r="A207" s="8" t="n">
        <f aca="false">Base!A207</f>
        <v>44255</v>
      </c>
      <c r="B207" s="10" t="n">
        <f aca="false">IF(Base!T207="","",Base!T207)</f>
        <v>0.363641567409389</v>
      </c>
      <c r="C207" s="11" t="n">
        <f aca="false">IF(B207="","",LN(B207))</f>
        <v>-1.01158660140505</v>
      </c>
      <c r="D207" s="13" t="n">
        <f aca="false">IF(OR(C207="",C206=""),"",C207-C206)</f>
        <v>0.0163796812892525</v>
      </c>
      <c r="E207" s="12" t="n">
        <f aca="false">IF(Base!U207="","",Base!U207)</f>
        <v>62.28</v>
      </c>
      <c r="F207" s="11" t="n">
        <f aca="false">IF(E207="","",LN(E207))</f>
        <v>4.1316403469658</v>
      </c>
      <c r="G207" s="13" t="n">
        <f aca="false">IF(OR(F207="",F206=""),"",F207-F206)</f>
        <v>0.128497748170167</v>
      </c>
      <c r="H207" s="10" t="n">
        <f aca="false">IF(COUNT(D$75:D206)&lt;36,"",SLOPE(D$75:D206,G$75:G206))</f>
        <v>0.0855310787715532</v>
      </c>
      <c r="I207" s="13" t="n">
        <f aca="false">IF(OR(D207="",H207="",G207=""),"",D207-H207*G207)</f>
        <v>0.00538913026854273</v>
      </c>
      <c r="J207" s="10" t="n">
        <f aca="false">IF(COUNT(Senal!V195:V206)=0,"",AVERAGE(Senal!V195:V206))</f>
        <v>-0.740404021360532</v>
      </c>
      <c r="K207" s="10" t="n">
        <f aca="false">IF(J207="","",ABS(J207))</f>
        <v>0.740404021360532</v>
      </c>
      <c r="L207" s="10" t="n">
        <f aca="false">IF(OR(J207="",J206=""),"",ABS(J207-J206))</f>
        <v>0.0543014791949498</v>
      </c>
      <c r="M207" s="13" t="n">
        <f aca="false">IF(OR(J207="",I207=""),"",J207*I207-IF(L207="",0,L207)*Resumen!$B$8/10000)</f>
        <v>-0.00415303816004965</v>
      </c>
      <c r="N207" s="13" t="n">
        <f aca="false">IF(OR(J207="",D207=""),"",J207*D207-IF(L207="",0,L207)*Resumen!$B$8/10000)</f>
        <v>-0.0122904863327513</v>
      </c>
      <c r="O207" s="13" t="n">
        <f aca="false">IF(M207="","",IF(COUNT(O$2:O206)=0,M207,SUM(M$2:M207)))</f>
        <v>0.170993177347775</v>
      </c>
      <c r="P207" s="13" t="n">
        <f aca="false">IF(O207="","",MAX(O$2:O207))</f>
        <v>0.187955736711561</v>
      </c>
      <c r="Q207" s="13" t="n">
        <f aca="false">IF(O207="","",O207-P207)</f>
        <v>-0.0169625593637856</v>
      </c>
      <c r="R207" s="13" t="n">
        <f aca="false">IF(COUNT(I208:I208)&lt;1,"",SUM(I208:I208))</f>
        <v>-0.0027312640467416</v>
      </c>
      <c r="S207" s="13" t="n">
        <f aca="false">IF(COUNT(I208:I210)&lt;3,"",SUM(I208:I210))</f>
        <v>-0.0308748707031396</v>
      </c>
      <c r="T207" s="13" t="n">
        <f aca="false">IF(COUNT(I208:I213)&lt;6,"",SUM(I208:I213))</f>
        <v>-0.0612718705104478</v>
      </c>
      <c r="U207" s="13" t="n">
        <f aca="false">IF(COUNT(I208:I219)&lt;12,"",SUM(I208:I219))</f>
        <v>-0.130352731354643</v>
      </c>
      <c r="V207" s="13" t="n">
        <f aca="false">IF(N207="","",SUM(N$2:N207))</f>
        <v>0.159757852566726</v>
      </c>
      <c r="W207" s="13" t="n">
        <f aca="false">IF(V207="","",MAX(V$2:V207))</f>
        <v>0.208393594846988</v>
      </c>
      <c r="X207" s="13" t="n">
        <f aca="false">IF(V207="","",V207-W207)</f>
        <v>-0.048635742280262</v>
      </c>
      <c r="Y207" s="13" t="n">
        <f aca="false">IF(COUNT(D208:D208)&lt;1,"",SUM(D208:D208))</f>
        <v>0.00150599616608127</v>
      </c>
      <c r="Z207" s="13" t="n">
        <f aca="false">IF(COUNT(D208:D210)&lt;3,"",SUM(D208:D210))</f>
        <v>-0.0225987045453793</v>
      </c>
      <c r="AA207" s="13" t="n">
        <f aca="false">IF(COUNT(D208:D213)&lt;6,"",SUM(D208:D213))</f>
        <v>-0.0501781022198988</v>
      </c>
      <c r="AB207" s="13" t="n">
        <f aca="false">IF(COUNT(D208:D219)&lt;12,"",SUM(D208:D219))</f>
        <v>-0.0921532507309895</v>
      </c>
    </row>
    <row r="208" customFormat="false" ht="15" hidden="false" customHeight="false" outlineLevel="0" collapsed="false">
      <c r="A208" s="8" t="n">
        <f aca="false">Base!A208</f>
        <v>44286</v>
      </c>
      <c r="B208" s="10" t="n">
        <f aca="false">IF(Base!T208="","",Base!T208)</f>
        <v>0.364189622796808</v>
      </c>
      <c r="C208" s="11" t="n">
        <f aca="false">IF(B208="","",LN(B208))</f>
        <v>-1.01008060523897</v>
      </c>
      <c r="D208" s="13" t="n">
        <f aca="false">IF(OR(C208="",C207=""),"",C208-C207)</f>
        <v>0.00150599616608127</v>
      </c>
      <c r="E208" s="12" t="n">
        <f aca="false">IF(Base!U208="","",Base!U208)</f>
        <v>65.41</v>
      </c>
      <c r="F208" s="11" t="n">
        <f aca="false">IF(E208="","",LN(E208))</f>
        <v>4.18067515197312</v>
      </c>
      <c r="G208" s="13" t="n">
        <f aca="false">IF(OR(F208="",F207=""),"",F208-F207)</f>
        <v>0.0490348050073237</v>
      </c>
      <c r="H208" s="10" t="n">
        <f aca="false">IF(COUNT(D$75:D207)&lt;36,"",SLOPE(D$75:D207,G$75:G207))</f>
        <v>0.0864133182989105</v>
      </c>
      <c r="I208" s="13" t="n">
        <f aca="false">IF(OR(D208="",H208="",G208=""),"",D208-H208*G208)</f>
        <v>-0.0027312640467416</v>
      </c>
      <c r="J208" s="10" t="n">
        <f aca="false">IF(COUNT(Senal!V196:V207)=0,"",AVERAGE(Senal!V196:V207))</f>
        <v>-0.740404021360532</v>
      </c>
      <c r="K208" s="10" t="n">
        <f aca="false">IF(J208="","",ABS(J208))</f>
        <v>0.740404021360532</v>
      </c>
      <c r="L208" s="10" t="n">
        <f aca="false">IF(OR(J208="",J207=""),"",ABS(J208-J207))</f>
        <v>0</v>
      </c>
      <c r="M208" s="13" t="n">
        <f aca="false">IF(OR(J208="",I208=""),"",J208*I208-IF(L208="",0,L208)*Resumen!$B$8/10000)</f>
        <v>0.00202223888360492</v>
      </c>
      <c r="N208" s="13" t="n">
        <f aca="false">IF(OR(J208="",D208=""),"",J208*D208-IF(L208="",0,L208)*Resumen!$B$8/10000)</f>
        <v>-0.00111504561752012</v>
      </c>
      <c r="O208" s="13" t="n">
        <f aca="false">IF(M208="","",IF(COUNT(O$2:O207)=0,M208,SUM(M$2:M208)))</f>
        <v>0.17301541623138</v>
      </c>
      <c r="P208" s="13" t="n">
        <f aca="false">IF(O208="","",MAX(O$2:O208))</f>
        <v>0.187955736711561</v>
      </c>
      <c r="Q208" s="13" t="n">
        <f aca="false">IF(O208="","",O208-P208)</f>
        <v>-0.0149403204801807</v>
      </c>
      <c r="R208" s="13" t="n">
        <f aca="false">IF(COUNT(I209:I209)&lt;1,"",SUM(I209:I209))</f>
        <v>-0.0355784719234218</v>
      </c>
      <c r="S208" s="13" t="n">
        <f aca="false">IF(COUNT(I209:I211)&lt;3,"",SUM(I209:I211))</f>
        <v>-0.0493075006729775</v>
      </c>
      <c r="T208" s="13" t="n">
        <f aca="false">IF(COUNT(I209:I214)&lt;6,"",SUM(I209:I214))</f>
        <v>-0.0902494924037179</v>
      </c>
      <c r="U208" s="13" t="n">
        <f aca="false">IF(COUNT(I209:I220)&lt;12,"",SUM(I209:I220))</f>
        <v>-0.115006368262011</v>
      </c>
      <c r="V208" s="13" t="n">
        <f aca="false">IF(N208="","",SUM(N$2:N208))</f>
        <v>0.158642806949206</v>
      </c>
      <c r="W208" s="13" t="n">
        <f aca="false">IF(V208="","",MAX(V$2:V208))</f>
        <v>0.208393594846988</v>
      </c>
      <c r="X208" s="13" t="n">
        <f aca="false">IF(V208="","",V208-W208)</f>
        <v>-0.0497507878977821</v>
      </c>
      <c r="Y208" s="13" t="n">
        <f aca="false">IF(COUNT(D209:D209)&lt;1,"",SUM(D209:D209))</f>
        <v>-0.036375782354761</v>
      </c>
      <c r="Z208" s="13" t="n">
        <f aca="false">IF(COUNT(D209:D211)&lt;3,"",SUM(D209:D211))</f>
        <v>-0.0395740202421127</v>
      </c>
      <c r="AA208" s="13" t="n">
        <f aca="false">IF(COUNT(D209:D214)&lt;6,"",SUM(D209:D214))</f>
        <v>-0.0790031244641323</v>
      </c>
      <c r="AB208" s="13" t="n">
        <f aca="false">IF(COUNT(D209:D220)&lt;12,"",SUM(D209:D220))</f>
        <v>-0.0645057754848861</v>
      </c>
    </row>
    <row r="209" customFormat="false" ht="15" hidden="false" customHeight="false" outlineLevel="0" collapsed="false">
      <c r="A209" s="8" t="n">
        <f aca="false">Base!A209</f>
        <v>44316</v>
      </c>
      <c r="B209" s="10" t="n">
        <f aca="false">IF(Base!T209="","",Base!T209)</f>
        <v>0.351179992575079</v>
      </c>
      <c r="C209" s="11" t="n">
        <f aca="false">IF(B209="","",LN(B209))</f>
        <v>-1.04645638759373</v>
      </c>
      <c r="D209" s="13" t="n">
        <f aca="false">IF(OR(C209="",C208=""),"",C209-C208)</f>
        <v>-0.036375782354761</v>
      </c>
      <c r="E209" s="12" t="n">
        <f aca="false">IF(Base!U209="","",Base!U209)</f>
        <v>64.81</v>
      </c>
      <c r="F209" s="11" t="n">
        <f aca="false">IF(E209="","",LN(E209))</f>
        <v>4.17145991243963</v>
      </c>
      <c r="G209" s="13" t="n">
        <f aca="false">IF(OR(F209="",F208=""),"",F209-F208)</f>
        <v>-0.00921523953349634</v>
      </c>
      <c r="H209" s="10" t="n">
        <f aca="false">IF(COUNT(D$75:D208)&lt;36,"",SLOPE(D$75:D208,G$75:G208))</f>
        <v>0.0865208580244831</v>
      </c>
      <c r="I209" s="13" t="n">
        <f aca="false">IF(OR(D209="",H209="",G209=""),"",D209-H209*G209)</f>
        <v>-0.0355784719234218</v>
      </c>
      <c r="J209" s="10" t="n">
        <f aca="false">IF(COUNT(Senal!V197:V208)=0,"",AVERAGE(Senal!V197:V208))</f>
        <v>-0.703325543726924</v>
      </c>
      <c r="K209" s="10" t="n">
        <f aca="false">IF(J209="","",ABS(J209))</f>
        <v>0.703325543726924</v>
      </c>
      <c r="L209" s="10" t="n">
        <f aca="false">IF(OR(J209="",J208=""),"",ABS(J209-J208))</f>
        <v>0.0370784776336075</v>
      </c>
      <c r="M209" s="13" t="n">
        <f aca="false">IF(OR(J209="",I209=""),"",J209*I209-IF(L209="",0,L209)*Resumen!$B$8/10000)</f>
        <v>0.0249120126776129</v>
      </c>
      <c r="N209" s="13" t="n">
        <f aca="false">IF(OR(J209="",D209=""),"",J209*D209-IF(L209="",0,L209)*Resumen!$B$8/10000)</f>
        <v>0.0254727814702537</v>
      </c>
      <c r="O209" s="13" t="n">
        <f aca="false">IF(M209="","",IF(COUNT(O$2:O208)=0,M209,SUM(M$2:M209)))</f>
        <v>0.197927428908993</v>
      </c>
      <c r="P209" s="13" t="n">
        <f aca="false">IF(O209="","",MAX(O$2:O209))</f>
        <v>0.197927428908993</v>
      </c>
      <c r="Q209" s="13" t="n">
        <f aca="false">IF(O209="","",O209-P209)</f>
        <v>0</v>
      </c>
      <c r="R209" s="13" t="n">
        <f aca="false">IF(COUNT(I210:I210)&lt;1,"",SUM(I210:I210))</f>
        <v>0.00743486526702381</v>
      </c>
      <c r="S209" s="13" t="n">
        <f aca="false">IF(COUNT(I210:I212)&lt;3,"",SUM(I210:I212))</f>
        <v>-0.0449625939958776</v>
      </c>
      <c r="T209" s="13" t="n">
        <f aca="false">IF(COUNT(I210:I215)&lt;6,"",SUM(I210:I215))</f>
        <v>-0.0849639324362189</v>
      </c>
      <c r="U209" s="13" t="n">
        <f aca="false">IF(COUNT(I210:I221)&lt;12,"",SUM(I210:I221))</f>
        <v>-0.0539960306307846</v>
      </c>
      <c r="V209" s="13" t="n">
        <f aca="false">IF(N209="","",SUM(N$2:N209))</f>
        <v>0.184115588419459</v>
      </c>
      <c r="W209" s="13" t="n">
        <f aca="false">IF(V209="","",MAX(V$2:V209))</f>
        <v>0.208393594846988</v>
      </c>
      <c r="X209" s="13" t="n">
        <f aca="false">IF(V209="","",V209-W209)</f>
        <v>-0.0242780064275284</v>
      </c>
      <c r="Y209" s="13" t="n">
        <f aca="false">IF(COUNT(D210:D210)&lt;1,"",SUM(D210:D210))</f>
        <v>0.0122710816433005</v>
      </c>
      <c r="Z209" s="13" t="n">
        <f aca="false">IF(COUNT(D210:D212)&lt;3,"",SUM(D210:D212))</f>
        <v>-0.0320855549914711</v>
      </c>
      <c r="AA209" s="13" t="n">
        <f aca="false">IF(COUNT(D210:D215)&lt;6,"",SUM(D210:D215))</f>
        <v>-0.0632318565384209</v>
      </c>
      <c r="AB209" s="13" t="n">
        <f aca="false">IF(COUNT(D210:D221)&lt;12,"",SUM(D210:D221))</f>
        <v>-0.0129640735448306</v>
      </c>
    </row>
    <row r="210" customFormat="false" ht="15" hidden="false" customHeight="false" outlineLevel="0" collapsed="false">
      <c r="A210" s="8" t="n">
        <f aca="false">Base!A210</f>
        <v>44347</v>
      </c>
      <c r="B210" s="10" t="n">
        <f aca="false">IF(Base!T210="","",Base!T210)</f>
        <v>0.355515899662324</v>
      </c>
      <c r="C210" s="11" t="n">
        <f aca="false">IF(B210="","",LN(B210))</f>
        <v>-1.03418530595043</v>
      </c>
      <c r="D210" s="13" t="n">
        <f aca="false">IF(OR(C210="",C209=""),"",C210-C209)</f>
        <v>0.0122710816433005</v>
      </c>
      <c r="E210" s="12" t="n">
        <f aca="false">IF(Base!U210="","",Base!U210)</f>
        <v>68.53</v>
      </c>
      <c r="F210" s="11" t="n">
        <f aca="false">IF(E210="","",LN(E210))</f>
        <v>4.22727160559773</v>
      </c>
      <c r="G210" s="13" t="n">
        <f aca="false">IF(OR(F210="",F209=""),"",F210-F209)</f>
        <v>0.0558116931581072</v>
      </c>
      <c r="H210" s="10" t="n">
        <f aca="false">IF(COUNT(D$75:D209)&lt;36,"",SLOPE(D$75:D209,G$75:G209))</f>
        <v>0.0866523859538952</v>
      </c>
      <c r="I210" s="13" t="n">
        <f aca="false">IF(OR(D210="",H210="",G210=""),"",D210-H210*G210)</f>
        <v>0.00743486526702381</v>
      </c>
      <c r="J210" s="10" t="n">
        <f aca="false">IF(COUNT(Senal!V198:V209)=0,"",AVERAGE(Senal!V198:V209))</f>
        <v>-0.594177054790997</v>
      </c>
      <c r="K210" s="10" t="n">
        <f aca="false">IF(J210="","",ABS(J210))</f>
        <v>0.594177054790997</v>
      </c>
      <c r="L210" s="10" t="n">
        <f aca="false">IF(OR(J210="",J209=""),"",ABS(J210-J209))</f>
        <v>0.109148488935928</v>
      </c>
      <c r="M210" s="13" t="n">
        <f aca="false">IF(OR(J210="",I210=""),"",J210*I210-IF(L210="",0,L210)*Resumen!$B$8/10000)</f>
        <v>-0.00474507181393587</v>
      </c>
      <c r="N210" s="13" t="n">
        <f aca="false">IF(OR(J210="",D210=""),"",J210*D210-IF(L210="",0,L210)*Resumen!$B$8/10000)</f>
        <v>-0.00761864061672393</v>
      </c>
      <c r="O210" s="13" t="n">
        <f aca="false">IF(M210="","",IF(COUNT(O$2:O209)=0,M210,SUM(M$2:M210)))</f>
        <v>0.193182357095057</v>
      </c>
      <c r="P210" s="13" t="n">
        <f aca="false">IF(O210="","",MAX(O$2:O210))</f>
        <v>0.197927428908993</v>
      </c>
      <c r="Q210" s="13" t="n">
        <f aca="false">IF(O210="","",O210-P210)</f>
        <v>-0.00474507181393588</v>
      </c>
      <c r="R210" s="13" t="n">
        <f aca="false">IF(COUNT(I211:I211)&lt;1,"",SUM(I211:I211))</f>
        <v>-0.0211638940165796</v>
      </c>
      <c r="S210" s="13" t="n">
        <f aca="false">IF(COUNT(I211:I213)&lt;3,"",SUM(I211:I213))</f>
        <v>-0.0303969998073082</v>
      </c>
      <c r="T210" s="13" t="n">
        <f aca="false">IF(COUNT(I211:I216)&lt;6,"",SUM(I211:I216))</f>
        <v>-0.170206499656954</v>
      </c>
      <c r="U210" s="13" t="n">
        <f aca="false">IF(COUNT(I211:I222)&lt;12,"",SUM(I211:I222))</f>
        <v>-0.025777837901589</v>
      </c>
      <c r="V210" s="13" t="n">
        <f aca="false">IF(N210="","",SUM(N$2:N210))</f>
        <v>0.176496947802735</v>
      </c>
      <c r="W210" s="13" t="n">
        <f aca="false">IF(V210="","",MAX(V$2:V210))</f>
        <v>0.208393594846988</v>
      </c>
      <c r="X210" s="13" t="n">
        <f aca="false">IF(V210="","",V210-W210)</f>
        <v>-0.0318966470442524</v>
      </c>
      <c r="Y210" s="13" t="n">
        <f aca="false">IF(COUNT(D211:D211)&lt;1,"",SUM(D211:D211))</f>
        <v>-0.0154693195306521</v>
      </c>
      <c r="Z210" s="13" t="n">
        <f aca="false">IF(COUNT(D211:D213)&lt;3,"",SUM(D211:D213))</f>
        <v>-0.0275793976745196</v>
      </c>
      <c r="AA210" s="13" t="n">
        <f aca="false">IF(COUNT(D211:D216)&lt;6,"",SUM(D211:D216))</f>
        <v>-0.155822556034331</v>
      </c>
      <c r="AB210" s="13" t="n">
        <f aca="false">IF(COUNT(D211:D222)&lt;12,"",SUM(D211:D222))</f>
        <v>0.0174798198344996</v>
      </c>
    </row>
    <row r="211" customFormat="false" ht="15" hidden="false" customHeight="false" outlineLevel="0" collapsed="false">
      <c r="A211" s="8" t="n">
        <f aca="false">Base!A211</f>
        <v>44377</v>
      </c>
      <c r="B211" s="10" t="n">
        <f aca="false">IF(Base!T211="","",Base!T211)</f>
        <v>0.350058629566219</v>
      </c>
      <c r="C211" s="11" t="n">
        <f aca="false">IF(B211="","",LN(B211))</f>
        <v>-1.04965462548108</v>
      </c>
      <c r="D211" s="13" t="n">
        <f aca="false">IF(OR(C211="",C210=""),"",C211-C210)</f>
        <v>-0.0154693195306521</v>
      </c>
      <c r="E211" s="12" t="n">
        <f aca="false">IF(Base!U211="","",Base!U211)</f>
        <v>73.16</v>
      </c>
      <c r="F211" s="11" t="n">
        <f aca="false">IF(E211="","",LN(E211))</f>
        <v>4.29264882352267</v>
      </c>
      <c r="G211" s="13" t="n">
        <f aca="false">IF(OR(F211="",F210=""),"",F211-F210)</f>
        <v>0.065377217924933</v>
      </c>
      <c r="H211" s="10" t="n">
        <f aca="false">IF(COUNT(D$75:D210)&lt;36,"",SLOPE(D$75:D210,G$75:G210))</f>
        <v>0.0871033468029494</v>
      </c>
      <c r="I211" s="13" t="n">
        <f aca="false">IF(OR(D211="",H211="",G211=""),"",D211-H211*G211)</f>
        <v>-0.0211638940165796</v>
      </c>
      <c r="J211" s="10" t="n">
        <f aca="false">IF(COUNT(Senal!V199:V210)=0,"",AVERAGE(Senal!V199:V210))</f>
        <v>-0.428991733718122</v>
      </c>
      <c r="K211" s="10" t="n">
        <f aca="false">IF(J211="","",ABS(J211))</f>
        <v>0.428991733718122</v>
      </c>
      <c r="L211" s="10" t="n">
        <f aca="false">IF(OR(J211="",J210=""),"",ABS(J211-J210))</f>
        <v>0.165185321072874</v>
      </c>
      <c r="M211" s="13" t="n">
        <f aca="false">IF(OR(J211="",I211=""),"",J211*I211-IF(L211="",0,L211)*Resumen!$B$8/10000)</f>
        <v>0.00858357962318044</v>
      </c>
      <c r="N211" s="13" t="n">
        <f aca="false">IF(OR(J211="",D211=""),"",J211*D211-IF(L211="",0,L211)*Resumen!$B$8/10000)</f>
        <v>0.00614065424167544</v>
      </c>
      <c r="O211" s="13" t="n">
        <f aca="false">IF(M211="","",IF(COUNT(O$2:O210)=0,M211,SUM(M$2:M211)))</f>
        <v>0.201765936718237</v>
      </c>
      <c r="P211" s="13" t="n">
        <f aca="false">IF(O211="","",MAX(O$2:O211))</f>
        <v>0.201765936718237</v>
      </c>
      <c r="Q211" s="13" t="n">
        <f aca="false">IF(O211="","",O211-P211)</f>
        <v>0</v>
      </c>
      <c r="R211" s="13" t="n">
        <f aca="false">IF(COUNT(I212:I212)&lt;1,"",SUM(I212:I212))</f>
        <v>-0.0312335652463218</v>
      </c>
      <c r="S211" s="13" t="n">
        <f aca="false">IF(COUNT(I212:I214)&lt;3,"",SUM(I212:I214))</f>
        <v>-0.0409419917307403</v>
      </c>
      <c r="T211" s="13" t="n">
        <f aca="false">IF(COUNT(I212:I217)&lt;6,"",SUM(I212:I217))</f>
        <v>-0.122782549154853</v>
      </c>
      <c r="U211" s="13" t="n">
        <f aca="false">IF(COUNT(I212:I223)&lt;12,"",SUM(I212:I223))</f>
        <v>-0.035741414224041</v>
      </c>
      <c r="V211" s="13" t="n">
        <f aca="false">IF(N211="","",SUM(N$2:N211))</f>
        <v>0.182637602044411</v>
      </c>
      <c r="W211" s="13" t="n">
        <f aca="false">IF(V211="","",MAX(V$2:V211))</f>
        <v>0.208393594846988</v>
      </c>
      <c r="X211" s="13" t="n">
        <f aca="false">IF(V211="","",V211-W211)</f>
        <v>-0.0257559928025769</v>
      </c>
      <c r="Y211" s="13" t="n">
        <f aca="false">IF(COUNT(D212:D212)&lt;1,"",SUM(D212:D212))</f>
        <v>-0.0288873171041195</v>
      </c>
      <c r="Z211" s="13" t="n">
        <f aca="false">IF(COUNT(D212:D214)&lt;3,"",SUM(D212:D214))</f>
        <v>-0.0394291042220196</v>
      </c>
      <c r="AA211" s="13" t="n">
        <f aca="false">IF(COUNT(D212:D217)&lt;6,"",SUM(D212:D217))</f>
        <v>-0.121563954733946</v>
      </c>
      <c r="AB211" s="13" t="n">
        <f aca="false">IF(COUNT(D212:D223)&lt;12,"",SUM(D212:D223))</f>
        <v>0.00893222090726287</v>
      </c>
    </row>
    <row r="212" customFormat="false" ht="15" hidden="false" customHeight="false" outlineLevel="0" collapsed="false">
      <c r="A212" s="8" t="n">
        <f aca="false">Base!A212</f>
        <v>44408</v>
      </c>
      <c r="B212" s="10" t="n">
        <f aca="false">IF(Base!T212="","",Base!T212)</f>
        <v>0.340091036573044</v>
      </c>
      <c r="C212" s="11" t="n">
        <f aca="false">IF(B212="","",LN(B212))</f>
        <v>-1.0785419425852</v>
      </c>
      <c r="D212" s="13" t="n">
        <f aca="false">IF(OR(C212="",C211=""),"",C212-C211)</f>
        <v>-0.0288873171041195</v>
      </c>
      <c r="E212" s="12" t="n">
        <f aca="false">IF(Base!U212="","",Base!U212)</f>
        <v>75.17</v>
      </c>
      <c r="F212" s="11" t="n">
        <f aca="false">IF(E212="","",LN(E212))</f>
        <v>4.31975221518938</v>
      </c>
      <c r="G212" s="13" t="n">
        <f aca="false">IF(OR(F212="",F211=""),"",F212-F211)</f>
        <v>0.0271033916667127</v>
      </c>
      <c r="H212" s="10" t="n">
        <f aca="false">IF(COUNT(D$75:D211)&lt;36,"",SLOPE(D$75:D211,G$75:G211))</f>
        <v>0.0865665880880841</v>
      </c>
      <c r="I212" s="13" t="n">
        <f aca="false">IF(OR(D212="",H212="",G212=""),"",D212-H212*G212)</f>
        <v>-0.0312335652463218</v>
      </c>
      <c r="J212" s="10" t="n">
        <f aca="false">IF(COUNT(Senal!V200:V211)=0,"",AVERAGE(Senal!V200:V211))</f>
        <v>-0.262325067051456</v>
      </c>
      <c r="K212" s="10" t="n">
        <f aca="false">IF(J212="","",ABS(J212))</f>
        <v>0.262325067051456</v>
      </c>
      <c r="L212" s="10" t="n">
        <f aca="false">IF(OR(J212="",J211=""),"",ABS(J212-J211))</f>
        <v>0.166666666666667</v>
      </c>
      <c r="M212" s="13" t="n">
        <f aca="false">IF(OR(J212="",I212=""),"",J212*I212-IF(L212="",0,L212)*Resumen!$B$8/10000)</f>
        <v>0.0076933470974974</v>
      </c>
      <c r="N212" s="13" t="n">
        <f aca="false">IF(OR(J212="",D212=""),"",J212*D212-IF(L212="",0,L212)*Resumen!$B$8/10000)</f>
        <v>0.00707786739627482</v>
      </c>
      <c r="O212" s="13" t="n">
        <f aca="false">IF(M212="","",IF(COUNT(O$2:O211)=0,M212,SUM(M$2:M212)))</f>
        <v>0.209459283815735</v>
      </c>
      <c r="P212" s="13" t="n">
        <f aca="false">IF(O212="","",MAX(O$2:O212))</f>
        <v>0.209459283815735</v>
      </c>
      <c r="Q212" s="13" t="n">
        <f aca="false">IF(O212="","",O212-P212)</f>
        <v>0</v>
      </c>
      <c r="R212" s="13" t="n">
        <f aca="false">IF(COUNT(I213:I213)&lt;1,"",SUM(I213:I213))</f>
        <v>0.0220004594555932</v>
      </c>
      <c r="S212" s="13" t="n">
        <f aca="false">IF(COUNT(I213:I215)&lt;3,"",SUM(I213:I215))</f>
        <v>-0.0400013384403413</v>
      </c>
      <c r="T212" s="13" t="n">
        <f aca="false">IF(COUNT(I213:I218)&lt;6,"",SUM(I213:I218))</f>
        <v>-0.0219888289452594</v>
      </c>
      <c r="U212" s="13" t="n">
        <f aca="false">IF(COUNT(I213:I224)&lt;12,"",SUM(I213:I224))</f>
        <v>-0.0227522191488434</v>
      </c>
      <c r="V212" s="13" t="n">
        <f aca="false">IF(N212="","",SUM(N$2:N212))</f>
        <v>0.189715469440686</v>
      </c>
      <c r="W212" s="13" t="n">
        <f aca="false">IF(V212="","",MAX(V$2:V212))</f>
        <v>0.208393594846988</v>
      </c>
      <c r="X212" s="13" t="n">
        <f aca="false">IF(V212="","",V212-W212)</f>
        <v>-0.0186781254063021</v>
      </c>
      <c r="Y212" s="13" t="n">
        <f aca="false">IF(COUNT(D213:D213)&lt;1,"",SUM(D213:D213))</f>
        <v>0.0167772389602521</v>
      </c>
      <c r="Z212" s="13" t="n">
        <f aca="false">IF(COUNT(D213:D215)&lt;3,"",SUM(D213:D215))</f>
        <v>-0.0311463015469498</v>
      </c>
      <c r="AA212" s="13" t="n">
        <f aca="false">IF(COUNT(D213:D218)&lt;6,"",SUM(D213:D218))</f>
        <v>-0.0104096040886281</v>
      </c>
      <c r="AB212" s="13" t="n">
        <f aca="false">IF(COUNT(D213:D224)&lt;12,"",SUM(D213:D224))</f>
        <v>0.0114354303488668</v>
      </c>
    </row>
    <row r="213" customFormat="false" ht="15" hidden="false" customHeight="false" outlineLevel="0" collapsed="false">
      <c r="A213" s="8" t="n">
        <f aca="false">Base!A213</f>
        <v>44439</v>
      </c>
      <c r="B213" s="10" t="n">
        <f aca="false">IF(Base!T213="","",Base!T213)</f>
        <v>0.345844957651177</v>
      </c>
      <c r="C213" s="11" t="n">
        <f aca="false">IF(B213="","",LN(B213))</f>
        <v>-1.06176470362495</v>
      </c>
      <c r="D213" s="13" t="n">
        <f aca="false">IF(OR(C213="",C212=""),"",C213-C212)</f>
        <v>0.0167772389602521</v>
      </c>
      <c r="E213" s="12" t="n">
        <f aca="false">IF(Base!U213="","",Base!U213)</f>
        <v>70.75</v>
      </c>
      <c r="F213" s="11" t="n">
        <f aca="false">IF(E213="","",LN(E213))</f>
        <v>4.25915253652335</v>
      </c>
      <c r="G213" s="13" t="n">
        <f aca="false">IF(OR(F213="",F212=""),"",F213-F212)</f>
        <v>-0.0605996786660308</v>
      </c>
      <c r="H213" s="10" t="n">
        <f aca="false">IF(COUNT(D$75:D212)&lt;36,"",SLOPE(D$75:D212,G$75:G212))</f>
        <v>0.0861922143865923</v>
      </c>
      <c r="I213" s="13" t="n">
        <f aca="false">IF(OR(D213="",H213="",G213=""),"",D213-H213*G213)</f>
        <v>0.0220004594555932</v>
      </c>
      <c r="J213" s="10" t="n">
        <f aca="false">IF(COUNT(Senal!V201:V212)=0,"",AVERAGE(Senal!V201:V212))</f>
        <v>-0.0956584003847891</v>
      </c>
      <c r="K213" s="10" t="n">
        <f aca="false">IF(J213="","",ABS(J213))</f>
        <v>0.0956584003847891</v>
      </c>
      <c r="L213" s="10" t="n">
        <f aca="false">IF(OR(J213="",J212=""),"",ABS(J213-J212))</f>
        <v>0.166666666666667</v>
      </c>
      <c r="M213" s="13" t="n">
        <f aca="false">IF(OR(J213="",I213=""),"",J213*I213-IF(L213="",0,L213)*Resumen!$B$8/10000)</f>
        <v>-0.00260452875925245</v>
      </c>
      <c r="N213" s="13" t="n">
        <f aca="false">IF(OR(J213="",D213=""),"",J213*D213-IF(L213="",0,L213)*Resumen!$B$8/10000)</f>
        <v>-0.00210488384181108</v>
      </c>
      <c r="O213" s="13" t="n">
        <f aca="false">IF(M213="","",IF(COUNT(O$2:O212)=0,M213,SUM(M$2:M213)))</f>
        <v>0.206854755056482</v>
      </c>
      <c r="P213" s="13" t="n">
        <f aca="false">IF(O213="","",MAX(O$2:O213))</f>
        <v>0.209459283815735</v>
      </c>
      <c r="Q213" s="13" t="n">
        <f aca="false">IF(O213="","",O213-P213)</f>
        <v>-0.00260452875925246</v>
      </c>
      <c r="R213" s="13" t="n">
        <f aca="false">IF(COUNT(I214:I214)&lt;1,"",SUM(I214:I214))</f>
        <v>-0.0317088859400117</v>
      </c>
      <c r="S213" s="13" t="n">
        <f aca="false">IF(COUNT(I214:I216)&lt;3,"",SUM(I214:I216))</f>
        <v>-0.139809499849646</v>
      </c>
      <c r="T213" s="13" t="n">
        <f aca="false">IF(COUNT(I214:I219)&lt;6,"",SUM(I214:I219))</f>
        <v>-0.0690808608441951</v>
      </c>
      <c r="U213" s="13" t="n">
        <f aca="false">IF(COUNT(I214:I225)&lt;12,"",SUM(I214:I225))</f>
        <v>0.0642002527145548</v>
      </c>
      <c r="V213" s="13" t="n">
        <f aca="false">IF(N213="","",SUM(N$2:N213))</f>
        <v>0.187610585598875</v>
      </c>
      <c r="W213" s="13" t="n">
        <f aca="false">IF(V213="","",MAX(V$2:V213))</f>
        <v>0.208393594846988</v>
      </c>
      <c r="X213" s="13" t="n">
        <f aca="false">IF(V213="","",V213-W213)</f>
        <v>-0.0207830092481132</v>
      </c>
      <c r="Y213" s="13" t="n">
        <f aca="false">IF(COUNT(D214:D214)&lt;1,"",SUM(D214:D214))</f>
        <v>-0.0273190260781522</v>
      </c>
      <c r="Z213" s="13" t="n">
        <f aca="false">IF(COUNT(D214:D216)&lt;3,"",SUM(D214:D216))</f>
        <v>-0.128243158359812</v>
      </c>
      <c r="AA213" s="13" t="n">
        <f aca="false">IF(COUNT(D214:D219)&lt;6,"",SUM(D214:D219))</f>
        <v>-0.0419751485110906</v>
      </c>
      <c r="AB213" s="13" t="n">
        <f aca="false">IF(COUNT(D214:D225)&lt;12,"",SUM(D214:D225))</f>
        <v>0.0939685713141168</v>
      </c>
    </row>
    <row r="214" customFormat="false" ht="15" hidden="false" customHeight="false" outlineLevel="0" collapsed="false">
      <c r="A214" s="8" t="n">
        <f aca="false">Base!A214</f>
        <v>44469</v>
      </c>
      <c r="B214" s="10" t="n">
        <f aca="false">IF(Base!T214="","",Base!T214)</f>
        <v>0.33652470007185</v>
      </c>
      <c r="C214" s="11" t="n">
        <f aca="false">IF(B214="","",LN(B214))</f>
        <v>-1.0890837297031</v>
      </c>
      <c r="D214" s="13" t="n">
        <f aca="false">IF(OR(C214="",C213=""),"",C214-C213)</f>
        <v>-0.0273190260781522</v>
      </c>
      <c r="E214" s="12" t="n">
        <f aca="false">IF(Base!U214="","",Base!U214)</f>
        <v>74.49</v>
      </c>
      <c r="F214" s="11" t="n">
        <f aca="false">IF(E214="","",LN(E214))</f>
        <v>4.31066488818819</v>
      </c>
      <c r="G214" s="13" t="n">
        <f aca="false">IF(OR(F214="",F213=""),"",F214-F213)</f>
        <v>0.0515123516648384</v>
      </c>
      <c r="H214" s="10" t="n">
        <f aca="false">IF(COUNT(D$75:D213)&lt;36,"",SLOPE(D$75:D213,G$75:G213))</f>
        <v>0.0852195584162382</v>
      </c>
      <c r="I214" s="13" t="n">
        <f aca="false">IF(OR(D214="",H214="",G214=""),"",D214-H214*G214)</f>
        <v>-0.0317088859400117</v>
      </c>
      <c r="J214" s="10" t="n">
        <f aca="false">IF(COUNT(Senal!V202:V213)=0,"",AVERAGE(Senal!V202:V213))</f>
        <v>0.0710082662818776</v>
      </c>
      <c r="K214" s="10" t="n">
        <f aca="false">IF(J214="","",ABS(J214))</f>
        <v>0.0710082662818776</v>
      </c>
      <c r="L214" s="10" t="n">
        <f aca="false">IF(OR(J214="",J213=""),"",ABS(J214-J213))</f>
        <v>0.166666666666667</v>
      </c>
      <c r="M214" s="13" t="n">
        <f aca="false">IF(OR(J214="",I214=""),"",J214*I214-IF(L214="",0,L214)*Resumen!$B$8/10000)</f>
        <v>-0.00275159301633003</v>
      </c>
      <c r="N214" s="13" t="n">
        <f aca="false">IF(OR(J214="",D214=""),"",J214*D214-IF(L214="",0,L214)*Resumen!$B$8/10000)</f>
        <v>-0.00243987667831899</v>
      </c>
      <c r="O214" s="13" t="n">
        <f aca="false">IF(M214="","",IF(COUNT(O$2:O213)=0,M214,SUM(M$2:M214)))</f>
        <v>0.204103162040152</v>
      </c>
      <c r="P214" s="13" t="n">
        <f aca="false">IF(O214="","",MAX(O$2:O214))</f>
        <v>0.209459283815735</v>
      </c>
      <c r="Q214" s="13" t="n">
        <f aca="false">IF(O214="","",O214-P214)</f>
        <v>-0.00535612177558251</v>
      </c>
      <c r="R214" s="13" t="n">
        <f aca="false">IF(COUNT(I215:I215)&lt;1,"",SUM(I215:I215))</f>
        <v>-0.0302929119559228</v>
      </c>
      <c r="S214" s="13" t="n">
        <f aca="false">IF(COUNT(I215:I217)&lt;3,"",SUM(I215:I217))</f>
        <v>-0.0818405574241127</v>
      </c>
      <c r="T214" s="13" t="n">
        <f aca="false">IF(COUNT(I215:I220)&lt;6,"",SUM(I215:I220))</f>
        <v>-0.0247568758582931</v>
      </c>
      <c r="U214" s="13" t="n">
        <f aca="false">IF(COUNT(I215:I226)&lt;12,"",SUM(I215:I226))</f>
        <v>0.194651258222528</v>
      </c>
      <c r="V214" s="13" t="n">
        <f aca="false">IF(N214="","",SUM(N$2:N214))</f>
        <v>0.185170708920556</v>
      </c>
      <c r="W214" s="13" t="n">
        <f aca="false">IF(V214="","",MAX(V$2:V214))</f>
        <v>0.208393594846988</v>
      </c>
      <c r="X214" s="13" t="n">
        <f aca="false">IF(V214="","",V214-W214)</f>
        <v>-0.0232228859264322</v>
      </c>
      <c r="Y214" s="13" t="n">
        <f aca="false">IF(COUNT(D215:D215)&lt;1,"",SUM(D215:D215))</f>
        <v>-0.0206045144290496</v>
      </c>
      <c r="Z214" s="13" t="n">
        <f aca="false">IF(COUNT(D215:D217)&lt;3,"",SUM(D215:D217))</f>
        <v>-0.0821348505119259</v>
      </c>
      <c r="AA214" s="13" t="n">
        <f aca="false">IF(COUNT(D215:D220)&lt;6,"",SUM(D215:D220))</f>
        <v>0.0144973489792462</v>
      </c>
      <c r="AB214" s="13" t="n">
        <f aca="false">IF(COUNT(D215:D226)&lt;12,"",SUM(D215:D226))</f>
        <v>0.210745164489175</v>
      </c>
    </row>
    <row r="215" customFormat="false" ht="15" hidden="false" customHeight="false" outlineLevel="0" collapsed="false">
      <c r="A215" s="8" t="n">
        <f aca="false">Base!A215</f>
        <v>44500</v>
      </c>
      <c r="B215" s="10" t="n">
        <f aca="false">IF(Base!T215="","",Base!T215)</f>
        <v>0.329661719031972</v>
      </c>
      <c r="C215" s="11" t="n">
        <f aca="false">IF(B215="","",LN(B215))</f>
        <v>-1.10968824413215</v>
      </c>
      <c r="D215" s="13" t="n">
        <f aca="false">IF(OR(C215="",C214=""),"",C215-C214)</f>
        <v>-0.0206045144290496</v>
      </c>
      <c r="E215" s="12" t="n">
        <f aca="false">IF(Base!U215="","",Base!U215)</f>
        <v>83.54</v>
      </c>
      <c r="F215" s="11" t="n">
        <f aca="false">IF(E215="","",LN(E215))</f>
        <v>4.42532555906903</v>
      </c>
      <c r="G215" s="13" t="n">
        <f aca="false">IF(OR(F215="",F214=""),"",F215-F214)</f>
        <v>0.114660670880844</v>
      </c>
      <c r="H215" s="10" t="n">
        <f aca="false">IF(COUNT(D$75:D214)&lt;36,"",SLOPE(D$75:D214,G$75:G214))</f>
        <v>0.0844962571075605</v>
      </c>
      <c r="I215" s="13" t="n">
        <f aca="false">IF(OR(D215="",H215="",G215=""),"",D215-H215*G215)</f>
        <v>-0.0302929119559228</v>
      </c>
      <c r="J215" s="10" t="n">
        <f aca="false">IF(COUNT(Senal!V203:V214)=0,"",AVERAGE(Senal!V203:V214))</f>
        <v>0.237674932948544</v>
      </c>
      <c r="K215" s="10" t="n">
        <f aca="false">IF(J215="","",ABS(J215))</f>
        <v>0.237674932948544</v>
      </c>
      <c r="L215" s="10" t="n">
        <f aca="false">IF(OR(J215="",J214=""),"",ABS(J215-J214))</f>
        <v>0.166666666666667</v>
      </c>
      <c r="M215" s="13" t="n">
        <f aca="false">IF(OR(J215="",I215=""),"",J215*I215-IF(L215="",0,L215)*Resumen!$B$8/10000)</f>
        <v>-0.00769986581794011</v>
      </c>
      <c r="N215" s="13" t="n">
        <f aca="false">IF(OR(J215="",D215=""),"",J215*D215-IF(L215="",0,L215)*Resumen!$B$8/10000)</f>
        <v>-0.00539717658536169</v>
      </c>
      <c r="O215" s="13" t="n">
        <f aca="false">IF(M215="","",IF(COUNT(O$2:O214)=0,M215,SUM(M$2:M215)))</f>
        <v>0.196403296222212</v>
      </c>
      <c r="P215" s="13" t="n">
        <f aca="false">IF(O215="","",MAX(O$2:O215))</f>
        <v>0.209459283815735</v>
      </c>
      <c r="Q215" s="13" t="n">
        <f aca="false">IF(O215="","",O215-P215)</f>
        <v>-0.0130559875935226</v>
      </c>
      <c r="R215" s="13" t="n">
        <f aca="false">IF(COUNT(I216:I216)&lt;1,"",SUM(I216:I216))</f>
        <v>-0.0778077019537115</v>
      </c>
      <c r="S215" s="13" t="n">
        <f aca="false">IF(COUNT(I216:I218)&lt;3,"",SUM(I216:I218))</f>
        <v>0.0180125094950819</v>
      </c>
      <c r="T215" s="13" t="n">
        <f aca="false">IF(COUNT(I216:I221)&lt;6,"",SUM(I216:I221))</f>
        <v>0.0309679018054343</v>
      </c>
      <c r="U215" s="13" t="n">
        <f aca="false">IF(COUNT(I216:I227)&lt;12,"",SUM(I216:I227))</f>
        <v>0.312182328036881</v>
      </c>
      <c r="V215" s="13" t="n">
        <f aca="false">IF(N215="","",SUM(N$2:N215))</f>
        <v>0.179773532335194</v>
      </c>
      <c r="W215" s="13" t="n">
        <f aca="false">IF(V215="","",MAX(V$2:V215))</f>
        <v>0.208393594846988</v>
      </c>
      <c r="X215" s="13" t="n">
        <f aca="false">IF(V215="","",V215-W215)</f>
        <v>-0.0286200625117938</v>
      </c>
      <c r="Y215" s="13" t="n">
        <f aca="false">IF(COUNT(D216:D216)&lt;1,"",SUM(D216:D216))</f>
        <v>-0.0803196178526098</v>
      </c>
      <c r="Z215" s="13" t="n">
        <f aca="false">IF(COUNT(D216:D218)&lt;3,"",SUM(D216:D218))</f>
        <v>0.0207366974583216</v>
      </c>
      <c r="AA215" s="13" t="n">
        <f aca="false">IF(COUNT(D216:D221)&lt;6,"",SUM(D216:D221))</f>
        <v>0.0502677829935903</v>
      </c>
      <c r="AB215" s="13" t="n">
        <f aca="false">IF(COUNT(D216:D227)&lt;12,"",SUM(D216:D227))</f>
        <v>0.321567510523578</v>
      </c>
    </row>
    <row r="216" customFormat="false" ht="15" hidden="false" customHeight="false" outlineLevel="0" collapsed="false">
      <c r="A216" s="8" t="n">
        <f aca="false">Base!A216</f>
        <v>44530</v>
      </c>
      <c r="B216" s="10" t="n">
        <f aca="false">IF(Base!T216="","",Base!T216)</f>
        <v>0.304218872293164</v>
      </c>
      <c r="C216" s="11" t="n">
        <f aca="false">IF(B216="","",LN(B216))</f>
        <v>-1.19000786198476</v>
      </c>
      <c r="D216" s="13" t="n">
        <f aca="false">IF(OR(C216="",C215=""),"",C216-C215)</f>
        <v>-0.0803196178526098</v>
      </c>
      <c r="E216" s="12" t="n">
        <f aca="false">IF(Base!U216="","",Base!U216)</f>
        <v>81.05</v>
      </c>
      <c r="F216" s="11" t="n">
        <f aca="false">IF(E216="","",LN(E216))</f>
        <v>4.39506624818169</v>
      </c>
      <c r="G216" s="13" t="n">
        <f aca="false">IF(OR(F216="",F215=""),"",F216-F215)</f>
        <v>-0.0302593108873444</v>
      </c>
      <c r="H216" s="10" t="n">
        <f aca="false">IF(COUNT(D$75:D215)&lt;36,"",SLOPE(D$75:D215,G$75:G215))</f>
        <v>0.0830129908856872</v>
      </c>
      <c r="I216" s="13" t="n">
        <f aca="false">IF(OR(D216="",H216="",G216=""),"",D216-H216*G216)</f>
        <v>-0.0778077019537115</v>
      </c>
      <c r="J216" s="10" t="n">
        <f aca="false">IF(COUNT(Senal!V204:V215)=0,"",AVERAGE(Senal!V204:V215))</f>
        <v>0.402806710687699</v>
      </c>
      <c r="K216" s="10" t="n">
        <f aca="false">IF(J216="","",ABS(J216))</f>
        <v>0.402806710687699</v>
      </c>
      <c r="L216" s="10" t="n">
        <f aca="false">IF(OR(J216="",J215=""),"",ABS(J216-J215))</f>
        <v>0.165131777739154</v>
      </c>
      <c r="M216" s="13" t="n">
        <f aca="false">IF(OR(J216="",I216=""),"",J216*I216-IF(L216="",0,L216)*Resumen!$B$8/10000)</f>
        <v>-0.0318368598233608</v>
      </c>
      <c r="N216" s="13" t="n">
        <f aca="false">IF(OR(J216="",D216=""),"",J216*D216-IF(L216="",0,L216)*Resumen!$B$8/10000)</f>
        <v>-0.0328486764041202</v>
      </c>
      <c r="O216" s="13" t="n">
        <f aca="false">IF(M216="","",IF(COUNT(O$2:O215)=0,M216,SUM(M$2:M216)))</f>
        <v>0.164566436398851</v>
      </c>
      <c r="P216" s="13" t="n">
        <f aca="false">IF(O216="","",MAX(O$2:O216))</f>
        <v>0.209459283815735</v>
      </c>
      <c r="Q216" s="13" t="n">
        <f aca="false">IF(O216="","",O216-P216)</f>
        <v>-0.0448928474168834</v>
      </c>
      <c r="R216" s="13" t="n">
        <f aca="false">IF(COUNT(I217:I217)&lt;1,"",SUM(I217:I217))</f>
        <v>0.0262600564855216</v>
      </c>
      <c r="S216" s="13" t="n">
        <f aca="false">IF(COUNT(I217:I219)&lt;3,"",SUM(I217:I219))</f>
        <v>0.0707286390054508</v>
      </c>
      <c r="T216" s="13" t="n">
        <f aca="false">IF(COUNT(I217:I222)&lt;6,"",SUM(I217:I222))</f>
        <v>0.144428661755365</v>
      </c>
      <c r="U216" s="13" t="n">
        <f aca="false">IF(COUNT(I217:I228)&lt;12,"",SUM(I217:I228))</f>
        <v>0.425688837868972</v>
      </c>
      <c r="V216" s="13" t="n">
        <f aca="false">IF(N216="","",SUM(N$2:N216))</f>
        <v>0.146924855931074</v>
      </c>
      <c r="W216" s="13" t="n">
        <f aca="false">IF(V216="","",MAX(V$2:V216))</f>
        <v>0.208393594846988</v>
      </c>
      <c r="X216" s="13" t="n">
        <f aca="false">IF(V216="","",V216-W216)</f>
        <v>-0.061468738915914</v>
      </c>
      <c r="Y216" s="13" t="n">
        <f aca="false">IF(COUNT(D217:D217)&lt;1,"",SUM(D217:D217))</f>
        <v>0.0187892817697335</v>
      </c>
      <c r="Z216" s="13" t="n">
        <f aca="false">IF(COUNT(D217:D219)&lt;3,"",SUM(D217:D219))</f>
        <v>0.086268009848721</v>
      </c>
      <c r="AA216" s="13" t="n">
        <f aca="false">IF(COUNT(D217:D222)&lt;6,"",SUM(D217:D222))</f>
        <v>0.173302375868831</v>
      </c>
      <c r="AB216" s="13" t="n">
        <f aca="false">IF(COUNT(D217:D228)&lt;12,"",SUM(D217:D228))</f>
        <v>0.435969217897118</v>
      </c>
    </row>
    <row r="217" customFormat="false" ht="15" hidden="false" customHeight="false" outlineLevel="0" collapsed="false">
      <c r="A217" s="8" t="n">
        <f aca="false">Base!A217</f>
        <v>44561</v>
      </c>
      <c r="B217" s="10" t="n">
        <f aca="false">IF(Base!T217="","",Base!T217)</f>
        <v>0.309988964595679</v>
      </c>
      <c r="C217" s="11" t="n">
        <f aca="false">IF(B217="","",LN(B217))</f>
        <v>-1.17121858021503</v>
      </c>
      <c r="D217" s="13" t="n">
        <f aca="false">IF(OR(C217="",C216=""),"",C217-C216)</f>
        <v>0.0187892817697335</v>
      </c>
      <c r="E217" s="12" t="n">
        <f aca="false">IF(Base!U217="","",Base!U217)</f>
        <v>74.17</v>
      </c>
      <c r="F217" s="11" t="n">
        <f aca="false">IF(E217="","",LN(E217))</f>
        <v>4.30635975574847</v>
      </c>
      <c r="G217" s="13" t="n">
        <f aca="false">IF(OR(F217="",F216=""),"",F217-F216)</f>
        <v>-0.0887064924332179</v>
      </c>
      <c r="H217" s="10" t="n">
        <f aca="false">IF(COUNT(D$75:D216)&lt;36,"",SLOPE(D$75:D216,G$75:G216))</f>
        <v>0.0842190296433197</v>
      </c>
      <c r="I217" s="13" t="n">
        <f aca="false">IF(OR(D217="",H217="",G217=""),"",D217-H217*G217)</f>
        <v>0.0262600564855216</v>
      </c>
      <c r="J217" s="10" t="n">
        <f aca="false">IF(COUNT(Senal!V205:V216)=0,"",AVERAGE(Senal!V205:V216))</f>
        <v>0.565540373009996</v>
      </c>
      <c r="K217" s="10" t="n">
        <f aca="false">IF(J217="","",ABS(J217))</f>
        <v>0.565540373009996</v>
      </c>
      <c r="L217" s="10" t="n">
        <f aca="false">IF(OR(J217="",J216=""),"",ABS(J217-J216))</f>
        <v>0.162733662322298</v>
      </c>
      <c r="M217" s="13" t="n">
        <f aca="false">IF(OR(J217="",I217=""),"",J217*I217-IF(L217="",0,L217)*Resumen!$B$8/10000)</f>
        <v>0.0143629211531186</v>
      </c>
      <c r="N217" s="13" t="n">
        <f aca="false">IF(OR(J217="",D217=""),"",J217*D217-IF(L217="",0,L217)*Resumen!$B$8/10000)</f>
        <v>0.0101378964336781</v>
      </c>
      <c r="O217" s="13" t="n">
        <f aca="false">IF(M217="","",IF(COUNT(O$2:O216)=0,M217,SUM(M$2:M217)))</f>
        <v>0.17892935755197</v>
      </c>
      <c r="P217" s="13" t="n">
        <f aca="false">IF(O217="","",MAX(O$2:O217))</f>
        <v>0.209459283815735</v>
      </c>
      <c r="Q217" s="13" t="n">
        <f aca="false">IF(O217="","",O217-P217)</f>
        <v>-0.0305299262637649</v>
      </c>
      <c r="R217" s="13" t="n">
        <f aca="false">IF(COUNT(I218:I218)&lt;1,"",SUM(I218:I218))</f>
        <v>0.0695601549632718</v>
      </c>
      <c r="S217" s="13" t="n">
        <f aca="false">IF(COUNT(I218:I220)&lt;3,"",SUM(I218:I220))</f>
        <v>0.0570836815658197</v>
      </c>
      <c r="T217" s="13" t="n">
        <f aca="false">IF(COUNT(I218:I223)&lt;6,"",SUM(I218:I223))</f>
        <v>0.0870411349308121</v>
      </c>
      <c r="U217" s="13" t="n">
        <f aca="false">IF(COUNT(I218:I229)&lt;12,"",SUM(I218:I229))</f>
        <v>0.401831969920323</v>
      </c>
      <c r="V217" s="13" t="n">
        <f aca="false">IF(N217="","",SUM(N$2:N217))</f>
        <v>0.157062752364752</v>
      </c>
      <c r="W217" s="13" t="n">
        <f aca="false">IF(V217="","",MAX(V$2:V217))</f>
        <v>0.208393594846988</v>
      </c>
      <c r="X217" s="13" t="n">
        <f aca="false">IF(V217="","",V217-W217)</f>
        <v>-0.0513308424822359</v>
      </c>
      <c r="Y217" s="13" t="n">
        <f aca="false">IF(COUNT(D218:D218)&lt;1,"",SUM(D218:D218))</f>
        <v>0.0822670335411979</v>
      </c>
      <c r="Z217" s="13" t="n">
        <f aca="false">IF(COUNT(D218:D220)&lt;3,"",SUM(D218:D220))</f>
        <v>0.0966321994911721</v>
      </c>
      <c r="AA217" s="13" t="n">
        <f aca="false">IF(COUNT(D218:D223)&lt;6,"",SUM(D218:D223))</f>
        <v>0.130496175641208</v>
      </c>
      <c r="AB217" s="13" t="n">
        <f aca="false">IF(COUNT(D218:D229)&lt;12,"",SUM(D218:D229))</f>
        <v>0.410099051704134</v>
      </c>
    </row>
    <row r="218" customFormat="false" ht="15" hidden="false" customHeight="false" outlineLevel="0" collapsed="false">
      <c r="A218" s="8" t="n">
        <f aca="false">Base!A218</f>
        <v>44592</v>
      </c>
      <c r="B218" s="10" t="n">
        <f aca="false">IF(Base!T218="","",Base!T218)</f>
        <v>0.336569185866199</v>
      </c>
      <c r="C218" s="11" t="n">
        <f aca="false">IF(B218="","",LN(B218))</f>
        <v>-1.08895154667383</v>
      </c>
      <c r="D218" s="13" t="n">
        <f aca="false">IF(OR(C218="",C217=""),"",C218-C217)</f>
        <v>0.0822670335411979</v>
      </c>
      <c r="E218" s="12" t="n">
        <f aca="false">IF(Base!U218="","",Base!U218)</f>
        <v>86.51</v>
      </c>
      <c r="F218" s="11" t="n">
        <f aca="false">IF(E218="","",LN(E218))</f>
        <v>4.46026001419228</v>
      </c>
      <c r="G218" s="13" t="n">
        <f aca="false">IF(OR(F218="",F217=""),"",F218-F217)</f>
        <v>0.153900258443816</v>
      </c>
      <c r="H218" s="10" t="n">
        <f aca="false">IF(COUNT(D$75:D217)&lt;36,"",SLOPE(D$75:D217,G$75:G217))</f>
        <v>0.0825656740697743</v>
      </c>
      <c r="I218" s="13" t="n">
        <f aca="false">IF(OR(D218="",H218="",G218=""),"",D218-H218*G218)</f>
        <v>0.0695601549632718</v>
      </c>
      <c r="J218" s="10" t="n">
        <f aca="false">IF(COUNT(Senal!V206:V217)=0,"",AVERAGE(Senal!V206:V217))</f>
        <v>0.718961698925252</v>
      </c>
      <c r="K218" s="10" t="n">
        <f aca="false">IF(J218="","",ABS(J218))</f>
        <v>0.718961698925252</v>
      </c>
      <c r="L218" s="10" t="n">
        <f aca="false">IF(OR(J218="",J217=""),"",ABS(J218-J217))</f>
        <v>0.153421325915256</v>
      </c>
      <c r="M218" s="13" t="n">
        <f aca="false">IF(OR(J218="",I218=""),"",J218*I218-IF(L218="",0,L218)*Resumen!$B$8/10000)</f>
        <v>0.0495508232121519</v>
      </c>
      <c r="N218" s="13" t="n">
        <f aca="false">IF(OR(J218="",D218=""),"",J218*D218-IF(L218="",0,L218)*Resumen!$B$8/10000)</f>
        <v>0.0586865822225746</v>
      </c>
      <c r="O218" s="13" t="n">
        <f aca="false">IF(M218="","",IF(COUNT(O$2:O217)=0,M218,SUM(M$2:M218)))</f>
        <v>0.228480180764122</v>
      </c>
      <c r="P218" s="13" t="n">
        <f aca="false">IF(O218="","",MAX(O$2:O218))</f>
        <v>0.228480180764122</v>
      </c>
      <c r="Q218" s="13" t="n">
        <f aca="false">IF(O218="","",O218-P218)</f>
        <v>0</v>
      </c>
      <c r="R218" s="13" t="n">
        <f aca="false">IF(COUNT(I219:I219)&lt;1,"",SUM(I219:I219))</f>
        <v>-0.0250915724433425</v>
      </c>
      <c r="S218" s="13" t="n">
        <f aca="false">IF(COUNT(I219:I221)&lt;3,"",SUM(I219:I221))</f>
        <v>0.0129553923103524</v>
      </c>
      <c r="T218" s="13" t="n">
        <f aca="false">IF(COUNT(I219:I224)&lt;6,"",SUM(I219:I224))</f>
        <v>-0.000763390203583965</v>
      </c>
      <c r="U218" s="13" t="n">
        <f aca="false">IF(COUNT(I219:I230)&lt;12,"",SUM(I219:I230))</f>
        <v>0.293911537290568</v>
      </c>
      <c r="V218" s="13" t="n">
        <f aca="false">IF(N218="","",SUM(N$2:N218))</f>
        <v>0.215749334587326</v>
      </c>
      <c r="W218" s="13" t="n">
        <f aca="false">IF(V218="","",MAX(V$2:V218))</f>
        <v>0.215749334587326</v>
      </c>
      <c r="X218" s="13" t="n">
        <f aca="false">IF(V218="","",V218-W218)</f>
        <v>0</v>
      </c>
      <c r="Y218" s="13" t="n">
        <f aca="false">IF(COUNT(D219:D219)&lt;1,"",SUM(D219:D219))</f>
        <v>-0.0147883054622104</v>
      </c>
      <c r="Z218" s="13" t="n">
        <f aca="false">IF(COUNT(D219:D221)&lt;3,"",SUM(D219:D221))</f>
        <v>0.0295310855352686</v>
      </c>
      <c r="AA218" s="13" t="n">
        <f aca="false">IF(COUNT(D219:D224)&lt;6,"",SUM(D219:D224))</f>
        <v>0.021845034437495</v>
      </c>
      <c r="AB218" s="13" t="n">
        <f aca="false">IF(COUNT(D219:D230)&lt;12,"",SUM(D219:D230))</f>
        <v>0.290966995878378</v>
      </c>
    </row>
    <row r="219" customFormat="false" ht="15" hidden="false" customHeight="false" outlineLevel="0" collapsed="false">
      <c r="A219" s="8" t="n">
        <f aca="false">Base!A219</f>
        <v>44620</v>
      </c>
      <c r="B219" s="10" t="n">
        <f aca="false">IF(Base!T219="","",Base!T219)</f>
        <v>0.331628520015166</v>
      </c>
      <c r="C219" s="11" t="n">
        <f aca="false">IF(B219="","",LN(B219))</f>
        <v>-1.10373985213604</v>
      </c>
      <c r="D219" s="13" t="n">
        <f aca="false">IF(OR(C219="",C218=""),"",C219-C218)</f>
        <v>-0.0147883054622104</v>
      </c>
      <c r="E219" s="12" t="n">
        <f aca="false">IF(Base!U219="","",Base!U219)</f>
        <v>97.13</v>
      </c>
      <c r="F219" s="11" t="n">
        <f aca="false">IF(E219="","",LN(E219))</f>
        <v>4.57605028741424</v>
      </c>
      <c r="G219" s="13" t="n">
        <f aca="false">IF(OR(F219="",F218=""),"",F219-F218)</f>
        <v>0.115790273221957</v>
      </c>
      <c r="H219" s="10" t="n">
        <f aca="false">IF(COUNT(D$75:D218)&lt;36,"",SLOPE(D$75:D218,G$75:G218))</f>
        <v>0.0889821458610941</v>
      </c>
      <c r="I219" s="13" t="n">
        <f aca="false">IF(OR(D219="",H219="",G219=""),"",D219-H219*G219)</f>
        <v>-0.0250915724433425</v>
      </c>
      <c r="J219" s="10" t="n">
        <f aca="false">IF(COUNT(Senal!V207:V218)=0,"",AVERAGE(Senal!V207:V218))</f>
        <v>0.856596511453535</v>
      </c>
      <c r="K219" s="10" t="n">
        <f aca="false">IF(J219="","",ABS(J219))</f>
        <v>0.856596511453535</v>
      </c>
      <c r="L219" s="10" t="n">
        <f aca="false">IF(OR(J219="",J218=""),"",ABS(J219-J218))</f>
        <v>0.137634812528283</v>
      </c>
      <c r="M219" s="13" t="n">
        <f aca="false">IF(OR(J219="",I219=""),"",J219*I219-IF(L219="",0,L219)*Resumen!$B$8/10000)</f>
        <v>-0.0219062578594357</v>
      </c>
      <c r="N219" s="13" t="n">
        <f aca="false">IF(OR(J219="",D219=""),"",J219*D219-IF(L219="",0,L219)*Resumen!$B$8/10000)</f>
        <v>-0.0130805153068236</v>
      </c>
      <c r="O219" s="13" t="n">
        <f aca="false">IF(M219="","",IF(COUNT(O$2:O218)=0,M219,SUM(M$2:M219)))</f>
        <v>0.206573922904686</v>
      </c>
      <c r="P219" s="13" t="n">
        <f aca="false">IF(O219="","",MAX(O$2:O219))</f>
        <v>0.228480180764122</v>
      </c>
      <c r="Q219" s="13" t="n">
        <f aca="false">IF(O219="","",O219-P219)</f>
        <v>-0.0219062578594357</v>
      </c>
      <c r="R219" s="13" t="n">
        <f aca="false">IF(COUNT(I220:I220)&lt;1,"",SUM(I220:I220))</f>
        <v>0.0126150990458904</v>
      </c>
      <c r="S219" s="13" t="n">
        <f aca="false">IF(COUNT(I220:I222)&lt;3,"",SUM(I220:I222))</f>
        <v>0.0737000227499144</v>
      </c>
      <c r="T219" s="13" t="n">
        <f aca="false">IF(COUNT(I220:I225)&lt;6,"",SUM(I220:I225))</f>
        <v>0.13328111355875</v>
      </c>
      <c r="U219" s="13" t="n">
        <f aca="false">IF(COUNT(I220:I231)&lt;12,"",SUM(I220:I231))</f>
        <v>0.354578402373402</v>
      </c>
      <c r="V219" s="13" t="n">
        <f aca="false">IF(N219="","",SUM(N$2:N219))</f>
        <v>0.202668819280503</v>
      </c>
      <c r="W219" s="13" t="n">
        <f aca="false">IF(V219="","",MAX(V$2:V219))</f>
        <v>0.215749334587326</v>
      </c>
      <c r="X219" s="13" t="n">
        <f aca="false">IF(V219="","",V219-W219)</f>
        <v>-0.0130805153068236</v>
      </c>
      <c r="Y219" s="13" t="n">
        <f aca="false">IF(COUNT(D220:D220)&lt;1,"",SUM(D220:D220))</f>
        <v>0.0291534714121846</v>
      </c>
      <c r="Z219" s="13" t="n">
        <f aca="false">IF(COUNT(D220:D222)&lt;3,"",SUM(D220:D222))</f>
        <v>0.0870343660201098</v>
      </c>
      <c r="AA219" s="13" t="n">
        <f aca="false">IF(COUNT(D220:D225)&lt;6,"",SUM(D220:D225))</f>
        <v>0.135943719825207</v>
      </c>
      <c r="AB219" s="13" t="n">
        <f aca="false">IF(COUNT(D220:D231)&lt;12,"",SUM(D220:D231))</f>
        <v>0.341414543656796</v>
      </c>
    </row>
    <row r="220" customFormat="false" ht="15" hidden="false" customHeight="false" outlineLevel="0" collapsed="false">
      <c r="A220" s="8" t="n">
        <f aca="false">Base!A220</f>
        <v>44651</v>
      </c>
      <c r="B220" s="10" t="n">
        <f aca="false">IF(Base!T220="","",Base!T220)</f>
        <v>0.341438951830281</v>
      </c>
      <c r="C220" s="11" t="n">
        <f aca="false">IF(B220="","",LN(B220))</f>
        <v>-1.07458638072386</v>
      </c>
      <c r="D220" s="13" t="n">
        <f aca="false">IF(OR(C220="",C219=""),"",C220-C219)</f>
        <v>0.0291534714121846</v>
      </c>
      <c r="E220" s="12" t="n">
        <f aca="false">IF(Base!U220="","",Base!U220)</f>
        <v>117.25</v>
      </c>
      <c r="F220" s="11" t="n">
        <f aca="false">IF(E220="","",LN(E220))</f>
        <v>4.76430840732639</v>
      </c>
      <c r="G220" s="13" t="n">
        <f aca="false">IF(OR(F220="",F219=""),"",F220-F219)</f>
        <v>0.188258119912149</v>
      </c>
      <c r="H220" s="10" t="n">
        <f aca="false">IF(COUNT(D$75:D219)&lt;36,"",SLOPE(D$75:D219,G$75:G219))</f>
        <v>0.0878494503929599</v>
      </c>
      <c r="I220" s="13" t="n">
        <f aca="false">IF(OR(D220="",H220="",G220=""),"",D220-H220*G220)</f>
        <v>0.0126150990458904</v>
      </c>
      <c r="J220" s="10" t="n">
        <f aca="false">IF(COUNT(Senal!V208:V219)=0,"",AVERAGE(Senal!V208:V219))</f>
        <v>0.939929844786869</v>
      </c>
      <c r="K220" s="10" t="n">
        <f aca="false">IF(J220="","",ABS(J220))</f>
        <v>0.939929844786869</v>
      </c>
      <c r="L220" s="10" t="n">
        <f aca="false">IF(OR(J220="",J219=""),"",ABS(J220-J219))</f>
        <v>0.0833333333333334</v>
      </c>
      <c r="M220" s="13" t="n">
        <f aca="false">IF(OR(J220="",I220=""),"",J220*I220-IF(L220="",0,L220)*Resumen!$B$8/10000)</f>
        <v>0.0116073080881747</v>
      </c>
      <c r="N220" s="13" t="n">
        <f aca="false">IF(OR(J220="",D220=""),"",J220*D220-IF(L220="",0,L220)*Resumen!$B$8/10000)</f>
        <v>0.0271522178594531</v>
      </c>
      <c r="O220" s="13" t="n">
        <f aca="false">IF(M220="","",IF(COUNT(O$2:O219)=0,M220,SUM(M$2:M220)))</f>
        <v>0.218181230992861</v>
      </c>
      <c r="P220" s="13" t="n">
        <f aca="false">IF(O220="","",MAX(O$2:O220))</f>
        <v>0.228480180764122</v>
      </c>
      <c r="Q220" s="13" t="n">
        <f aca="false">IF(O220="","",O220-P220)</f>
        <v>-0.010298949771261</v>
      </c>
      <c r="R220" s="13" t="n">
        <f aca="false">IF(COUNT(I221:I221)&lt;1,"",SUM(I221:I221))</f>
        <v>0.0254318657078045</v>
      </c>
      <c r="S220" s="13" t="n">
        <f aca="false">IF(COUNT(I221:I223)&lt;3,"",SUM(I221:I223))</f>
        <v>0.0299574533649924</v>
      </c>
      <c r="T220" s="13" t="n">
        <f aca="false">IF(COUNT(I221:I226)&lt;6,"",SUM(I221:I226))</f>
        <v>0.219408134080821</v>
      </c>
      <c r="U220" s="13" t="n">
        <f aca="false">IF(COUNT(I221:I232)&lt;12,"",SUM(I221:I232))</f>
        <v>0.383734963788693</v>
      </c>
      <c r="V220" s="13" t="n">
        <f aca="false">IF(N220="","",SUM(N$2:N220))</f>
        <v>0.229821037139956</v>
      </c>
      <c r="W220" s="13" t="n">
        <f aca="false">IF(V220="","",MAX(V$2:V220))</f>
        <v>0.229821037139956</v>
      </c>
      <c r="X220" s="13" t="n">
        <f aca="false">IF(V220="","",V220-W220)</f>
        <v>0</v>
      </c>
      <c r="Y220" s="13" t="n">
        <f aca="false">IF(COUNT(D221:D221)&lt;1,"",SUM(D221:D221))</f>
        <v>0.0151659195852945</v>
      </c>
      <c r="Z220" s="13" t="n">
        <f aca="false">IF(COUNT(D221:D223)&lt;3,"",SUM(D221:D223))</f>
        <v>0.0338639761500363</v>
      </c>
      <c r="AA220" s="13" t="n">
        <f aca="false">IF(COUNT(D221:D226)&lt;6,"",SUM(D221:D226))</f>
        <v>0.196247815509929</v>
      </c>
      <c r="AB220" s="13" t="n">
        <f aca="false">IF(COUNT(D221:D232)&lt;12,"",SUM(D221:D232))</f>
        <v>0.350052820133892</v>
      </c>
    </row>
    <row r="221" customFormat="false" ht="15" hidden="false" customHeight="false" outlineLevel="0" collapsed="false">
      <c r="A221" s="8" t="n">
        <f aca="false">Base!A221</f>
        <v>44681</v>
      </c>
      <c r="B221" s="10" t="n">
        <f aca="false">IF(Base!T221="","",Base!T221)</f>
        <v>0.346656653128397</v>
      </c>
      <c r="C221" s="11" t="n">
        <f aca="false">IF(B221="","",LN(B221))</f>
        <v>-1.05942046113856</v>
      </c>
      <c r="D221" s="13" t="n">
        <f aca="false">IF(OR(C221="",C220=""),"",C221-C220)</f>
        <v>0.0151659195852945</v>
      </c>
      <c r="E221" s="12" t="n">
        <f aca="false">IF(Base!U221="","",Base!U221)</f>
        <v>104.58</v>
      </c>
      <c r="F221" s="11" t="n">
        <f aca="false">IF(E221="","",LN(E221))</f>
        <v>4.64995232875998</v>
      </c>
      <c r="G221" s="13" t="n">
        <f aca="false">IF(OR(F221="",F220=""),"",F221-F220)</f>
        <v>-0.114356078566404</v>
      </c>
      <c r="H221" s="10" t="n">
        <f aca="false">IF(COUNT(D$75:D220)&lt;36,"",SLOPE(D$75:D220,G$75:G220))</f>
        <v>0.0897717572271322</v>
      </c>
      <c r="I221" s="13" t="n">
        <f aca="false">IF(OR(D221="",H221="",G221=""),"",D221-H221*G221)</f>
        <v>0.0254318657078045</v>
      </c>
      <c r="J221" s="10" t="n">
        <f aca="false">IF(COUNT(Senal!V209:V220)=0,"",AVERAGE(Senal!V209:V220))</f>
        <v>0.986184700486595</v>
      </c>
      <c r="K221" s="10" t="n">
        <f aca="false">IF(J221="","",ABS(J221))</f>
        <v>0.986184700486595</v>
      </c>
      <c r="L221" s="10" t="n">
        <f aca="false">IF(OR(J221="",J220=""),"",ABS(J221-J220))</f>
        <v>0.0462548556997259</v>
      </c>
      <c r="M221" s="13" t="n">
        <f aca="false">IF(OR(J221="",I221=""),"",J221*I221-IF(L221="",0,L221)*Resumen!$B$8/10000)</f>
        <v>0.0249417522987673</v>
      </c>
      <c r="N221" s="13" t="n">
        <f aca="false">IF(OR(J221="",D221=""),"",J221*D221-IF(L221="",0,L221)*Resumen!$B$8/10000)</f>
        <v>0.0148176332967282</v>
      </c>
      <c r="O221" s="13" t="n">
        <f aca="false">IF(M221="","",IF(COUNT(O$2:O220)=0,M221,SUM(M$2:M221)))</f>
        <v>0.243122983291628</v>
      </c>
      <c r="P221" s="13" t="n">
        <f aca="false">IF(O221="","",MAX(O$2:O221))</f>
        <v>0.243122983291628</v>
      </c>
      <c r="Q221" s="13" t="n">
        <f aca="false">IF(O221="","",O221-P221)</f>
        <v>0</v>
      </c>
      <c r="R221" s="13" t="n">
        <f aca="false">IF(COUNT(I222:I222)&lt;1,"",SUM(I222:I222))</f>
        <v>0.0356530579962194</v>
      </c>
      <c r="S221" s="13" t="n">
        <f aca="false">IF(COUNT(I222:I224)&lt;3,"",SUM(I222:I224))</f>
        <v>-0.0137187825139364</v>
      </c>
      <c r="T221" s="13" t="n">
        <f aca="false">IF(COUNT(I222:I227)&lt;6,"",SUM(I222:I227))</f>
        <v>0.281214426231447</v>
      </c>
      <c r="U221" s="13" t="n">
        <f aca="false">IF(COUNT(I222:I233)&lt;12,"",SUM(I222:I233))</f>
        <v>0.323556164768288</v>
      </c>
      <c r="V221" s="13" t="n">
        <f aca="false">IF(N221="","",SUM(N$2:N221))</f>
        <v>0.244638670436684</v>
      </c>
      <c r="W221" s="13" t="n">
        <f aca="false">IF(V221="","",MAX(V$2:V221))</f>
        <v>0.244638670436684</v>
      </c>
      <c r="X221" s="13" t="n">
        <f aca="false">IF(V221="","",V221-W221)</f>
        <v>0</v>
      </c>
      <c r="Y221" s="13" t="n">
        <f aca="false">IF(COUNT(D222:D222)&lt;1,"",SUM(D222:D222))</f>
        <v>0.0427149750226308</v>
      </c>
      <c r="Z221" s="13" t="n">
        <f aca="false">IF(COUNT(D222:D224)&lt;3,"",SUM(D222:D224))</f>
        <v>-0.00768605109777365</v>
      </c>
      <c r="AA221" s="13" t="n">
        <f aca="false">IF(COUNT(D222:D227)&lt;6,"",SUM(D222:D227))</f>
        <v>0.271299727529988</v>
      </c>
      <c r="AB221" s="13" t="n">
        <f aca="false">IF(COUNT(D222:D233)&lt;12,"",SUM(D222:D233))</f>
        <v>0.305915505920828</v>
      </c>
    </row>
    <row r="222" customFormat="false" ht="15" hidden="false" customHeight="false" outlineLevel="0" collapsed="false">
      <c r="A222" s="8" t="n">
        <f aca="false">Base!A222</f>
        <v>44712</v>
      </c>
      <c r="B222" s="10" t="n">
        <f aca="false">IF(Base!T222="","",Base!T222)</f>
        <v>0.361784884277403</v>
      </c>
      <c r="C222" s="11" t="n">
        <f aca="false">IF(B222="","",LN(B222))</f>
        <v>-1.01670548611593</v>
      </c>
      <c r="D222" s="13" t="n">
        <f aca="false">IF(OR(C222="",C221=""),"",C222-C221)</f>
        <v>0.0427149750226308</v>
      </c>
      <c r="E222" s="12" t="n">
        <f aca="false">IF(Base!U222="","",Base!U222)</f>
        <v>113.34</v>
      </c>
      <c r="F222" s="11" t="n">
        <f aca="false">IF(E222="","",LN(E222))</f>
        <v>4.73039215074147</v>
      </c>
      <c r="G222" s="13" t="n">
        <f aca="false">IF(OR(F222="",F221=""),"",F222-F221)</f>
        <v>0.0804398219814884</v>
      </c>
      <c r="H222" s="10" t="n">
        <f aca="false">IF(COUNT(D$75:D221)&lt;36,"",SLOPE(D$75:D221,G$75:G221))</f>
        <v>0.0877913060030952</v>
      </c>
      <c r="I222" s="13" t="n">
        <f aca="false">IF(OR(D222="",H222="",G222=""),"",D222-H222*G222)</f>
        <v>0.0356530579962194</v>
      </c>
      <c r="J222" s="10" t="n">
        <f aca="false">IF(COUNT(Senal!V210:V221)=0,"",AVERAGE(Senal!V210:V221))</f>
        <v>1</v>
      </c>
      <c r="K222" s="10" t="n">
        <f aca="false">IF(J222="","",ABS(J222))</f>
        <v>1</v>
      </c>
      <c r="L222" s="10" t="n">
        <f aca="false">IF(OR(J222="",J221=""),"",ABS(J222-J221))</f>
        <v>0.0138152995134054</v>
      </c>
      <c r="M222" s="13" t="n">
        <f aca="false">IF(OR(J222="",I222=""),"",J222*I222-IF(L222="",0,L222)*Resumen!$B$8/10000)</f>
        <v>0.0356116120976792</v>
      </c>
      <c r="N222" s="13" t="n">
        <f aca="false">IF(OR(J222="",D222=""),"",J222*D222-IF(L222="",0,L222)*Resumen!$B$8/10000)</f>
        <v>0.0426735291240906</v>
      </c>
      <c r="O222" s="13" t="n">
        <f aca="false">IF(M222="","",IF(COUNT(O$2:O221)=0,M222,SUM(M$2:M222)))</f>
        <v>0.278734595389307</v>
      </c>
      <c r="P222" s="13" t="n">
        <f aca="false">IF(O222="","",MAX(O$2:O222))</f>
        <v>0.278734595389307</v>
      </c>
      <c r="Q222" s="13" t="n">
        <f aca="false">IF(O222="","",O222-P222)</f>
        <v>0</v>
      </c>
      <c r="R222" s="13" t="n">
        <f aca="false">IF(COUNT(I223:I223)&lt;1,"",SUM(I223:I223))</f>
        <v>-0.0311274703390315</v>
      </c>
      <c r="S222" s="13" t="n">
        <f aca="false">IF(COUNT(I223:I225)&lt;3,"",SUM(I223:I225))</f>
        <v>0.0595810908088356</v>
      </c>
      <c r="T222" s="13" t="n">
        <f aca="false">IF(COUNT(I223:I228)&lt;6,"",SUM(I223:I228))</f>
        <v>0.281260176113607</v>
      </c>
      <c r="U222" s="13" t="n">
        <f aca="false">IF(COUNT(I223:I234)&lt;12,"",SUM(I223:I234))</f>
        <v>0.284217166919949</v>
      </c>
      <c r="V222" s="13" t="n">
        <f aca="false">IF(N222="","",SUM(N$2:N222))</f>
        <v>0.287312199560775</v>
      </c>
      <c r="W222" s="13" t="n">
        <f aca="false">IF(V222="","",MAX(V$2:V222))</f>
        <v>0.287312199560775</v>
      </c>
      <c r="X222" s="13" t="n">
        <f aca="false">IF(V222="","",V222-W222)</f>
        <v>0</v>
      </c>
      <c r="Y222" s="13" t="n">
        <f aca="false">IF(COUNT(D223:D223)&lt;1,"",SUM(D223:D223))</f>
        <v>-0.0240169184578889</v>
      </c>
      <c r="Z222" s="13" t="n">
        <f aca="false">IF(COUNT(D223:D225)&lt;3,"",SUM(D223:D225))</f>
        <v>0.0489093538050976</v>
      </c>
      <c r="AA222" s="13" t="n">
        <f aca="false">IF(COUNT(D223:D228)&lt;6,"",SUM(D223:D228))</f>
        <v>0.262666842028287</v>
      </c>
      <c r="AB222" s="13" t="n">
        <f aca="false">IF(COUNT(D223:D234)&lt;12,"",SUM(D223:D234))</f>
        <v>0.250959480749444</v>
      </c>
    </row>
    <row r="223" customFormat="false" ht="15" hidden="false" customHeight="false" outlineLevel="0" collapsed="false">
      <c r="A223" s="8" t="n">
        <f aca="false">Base!A223</f>
        <v>44742</v>
      </c>
      <c r="B223" s="10" t="n">
        <f aca="false">IF(Base!T223="","",Base!T223)</f>
        <v>0.353199436886099</v>
      </c>
      <c r="C223" s="11" t="n">
        <f aca="false">IF(B223="","",LN(B223))</f>
        <v>-1.04072240457382</v>
      </c>
      <c r="D223" s="13" t="n">
        <f aca="false">IF(OR(C223="",C222=""),"",C223-C222)</f>
        <v>-0.0240169184578889</v>
      </c>
      <c r="E223" s="12" t="n">
        <f aca="false">IF(Base!U223="","",Base!U223)</f>
        <v>122.71</v>
      </c>
      <c r="F223" s="11" t="n">
        <f aca="false">IF(E223="","",LN(E223))</f>
        <v>4.80982384798846</v>
      </c>
      <c r="G223" s="13" t="n">
        <f aca="false">IF(OR(F223="",F222=""),"",F223-F222)</f>
        <v>0.0794316972469833</v>
      </c>
      <c r="H223" s="10" t="n">
        <f aca="false">IF(COUNT(D$75:D222)&lt;36,"",SLOPE(D$75:D222,G$75:G222))</f>
        <v>0.0895178137643621</v>
      </c>
      <c r="I223" s="13" t="n">
        <f aca="false">IF(OR(D223="",H223="",G223=""),"",D223-H223*G223)</f>
        <v>-0.0311274703390315</v>
      </c>
      <c r="J223" s="10" t="n">
        <f aca="false">IF(COUNT(Senal!V211:V222)=0,"",AVERAGE(Senal!V211:V222))</f>
        <v>1</v>
      </c>
      <c r="K223" s="10" t="n">
        <f aca="false">IF(J223="","",ABS(J223))</f>
        <v>1</v>
      </c>
      <c r="L223" s="10" t="n">
        <f aca="false">IF(OR(J223="",J222=""),"",ABS(J223-J222))</f>
        <v>0</v>
      </c>
      <c r="M223" s="13" t="n">
        <f aca="false">IF(OR(J223="",I223=""),"",J223*I223-IF(L223="",0,L223)*Resumen!$B$8/10000)</f>
        <v>-0.0311274703390315</v>
      </c>
      <c r="N223" s="13" t="n">
        <f aca="false">IF(OR(J223="",D223=""),"",J223*D223-IF(L223="",0,L223)*Resumen!$B$8/10000)</f>
        <v>-0.0240169184578889</v>
      </c>
      <c r="O223" s="13" t="n">
        <f aca="false">IF(M223="","",IF(COUNT(O$2:O222)=0,M223,SUM(M$2:M223)))</f>
        <v>0.247607125050276</v>
      </c>
      <c r="P223" s="13" t="n">
        <f aca="false">IF(O223="","",MAX(O$2:O223))</f>
        <v>0.278734595389307</v>
      </c>
      <c r="Q223" s="13" t="n">
        <f aca="false">IF(O223="","",O223-P223)</f>
        <v>-0.0311274703390315</v>
      </c>
      <c r="R223" s="13" t="n">
        <f aca="false">IF(COUNT(I224:I224)&lt;1,"",SUM(I224:I224))</f>
        <v>-0.0182443701711243</v>
      </c>
      <c r="S223" s="13" t="n">
        <f aca="false">IF(COUNT(I224:I226)&lt;3,"",SUM(I224:I226))</f>
        <v>0.189450680715829</v>
      </c>
      <c r="T223" s="13" t="n">
        <f aca="false">IF(COUNT(I224:I229)&lt;6,"",SUM(I224:I229))</f>
        <v>0.314790834989511</v>
      </c>
      <c r="U223" s="13" t="n">
        <f aca="false">IF(COUNT(I224:I235)&lt;12,"",SUM(I224:I235))</f>
        <v>0.338326310547997</v>
      </c>
      <c r="V223" s="13" t="n">
        <f aca="false">IF(N223="","",SUM(N$2:N223))</f>
        <v>0.263295281102886</v>
      </c>
      <c r="W223" s="13" t="n">
        <f aca="false">IF(V223="","",MAX(V$2:V223))</f>
        <v>0.287312199560775</v>
      </c>
      <c r="X223" s="13" t="n">
        <f aca="false">IF(V223="","",V223-W223)</f>
        <v>-0.0240169184578889</v>
      </c>
      <c r="Y223" s="13" t="n">
        <f aca="false">IF(COUNT(D224:D224)&lt;1,"",SUM(D224:D224))</f>
        <v>-0.0263841076625155</v>
      </c>
      <c r="Z223" s="13" t="n">
        <f aca="false">IF(COUNT(D224:D226)&lt;3,"",SUM(D224:D226))</f>
        <v>0.162383839359893</v>
      </c>
      <c r="AA223" s="13" t="n">
        <f aca="false">IF(COUNT(D224:D229)&lt;6,"",SUM(D224:D229))</f>
        <v>0.279602876062926</v>
      </c>
      <c r="AB223" s="13" t="n">
        <f aca="false">IF(COUNT(D224:D235)&lt;12,"",SUM(D224:D235))</f>
        <v>0.297332829249319</v>
      </c>
    </row>
    <row r="224" customFormat="false" ht="15" hidden="false" customHeight="false" outlineLevel="0" collapsed="false">
      <c r="A224" s="8" t="n">
        <f aca="false">Base!A224</f>
        <v>44773</v>
      </c>
      <c r="B224" s="10" t="n">
        <f aca="false">IF(Base!T224="","",Base!T224)</f>
        <v>0.3440024456328</v>
      </c>
      <c r="C224" s="11" t="n">
        <f aca="false">IF(B224="","",LN(B224))</f>
        <v>-1.06710651223634</v>
      </c>
      <c r="D224" s="13" t="n">
        <f aca="false">IF(OR(C224="",C223=""),"",C224-C223)</f>
        <v>-0.0263841076625155</v>
      </c>
      <c r="E224" s="12" t="n">
        <f aca="false">IF(Base!U224="","",Base!U224)</f>
        <v>111.93</v>
      </c>
      <c r="F224" s="11" t="n">
        <f aca="false">IF(E224="","",LN(E224))</f>
        <v>4.71787367590118</v>
      </c>
      <c r="G224" s="13" t="n">
        <f aca="false">IF(OR(F224="",F223=""),"",F224-F223)</f>
        <v>-0.0919501720872802</v>
      </c>
      <c r="H224" s="10" t="n">
        <f aca="false">IF(COUNT(D$75:D223)&lt;36,"",SLOPE(D$75:D223,G$75:G223))</f>
        <v>0.0885233524485951</v>
      </c>
      <c r="I224" s="13" t="n">
        <f aca="false">IF(OR(D224="",H224="",G224=""),"",D224-H224*G224)</f>
        <v>-0.0182443701711243</v>
      </c>
      <c r="J224" s="10" t="n">
        <f aca="false">IF(COUNT(Senal!V212:V223)=0,"",AVERAGE(Senal!V212:V223))</f>
        <v>1</v>
      </c>
      <c r="K224" s="10" t="n">
        <f aca="false">IF(J224="","",ABS(J224))</f>
        <v>1</v>
      </c>
      <c r="L224" s="10" t="n">
        <f aca="false">IF(OR(J224="",J223=""),"",ABS(J224-J223))</f>
        <v>0</v>
      </c>
      <c r="M224" s="13" t="n">
        <f aca="false">IF(OR(J224="",I224=""),"",J224*I224-IF(L224="",0,L224)*Resumen!$B$8/10000)</f>
        <v>-0.0182443701711243</v>
      </c>
      <c r="N224" s="13" t="n">
        <f aca="false">IF(OR(J224="",D224=""),"",J224*D224-IF(L224="",0,L224)*Resumen!$B$8/10000)</f>
        <v>-0.0263841076625155</v>
      </c>
      <c r="O224" s="13" t="n">
        <f aca="false">IF(M224="","",IF(COUNT(O$2:O223)=0,M224,SUM(M$2:M224)))</f>
        <v>0.229362754879152</v>
      </c>
      <c r="P224" s="13" t="n">
        <f aca="false">IF(O224="","",MAX(O$2:O224))</f>
        <v>0.278734595389307</v>
      </c>
      <c r="Q224" s="13" t="n">
        <f aca="false">IF(O224="","",O224-P224)</f>
        <v>-0.0493718405101558</v>
      </c>
      <c r="R224" s="13" t="n">
        <f aca="false">IF(COUNT(I225:I225)&lt;1,"",SUM(I225:I225))</f>
        <v>0.108952931318991</v>
      </c>
      <c r="S224" s="13" t="n">
        <f aca="false">IF(COUNT(I225:I227)&lt;3,"",SUM(I225:I227))</f>
        <v>0.294933208745383</v>
      </c>
      <c r="T224" s="13" t="n">
        <f aca="false">IF(COUNT(I225:I230)&lt;6,"",SUM(I225:I230))</f>
        <v>0.294674927494152</v>
      </c>
      <c r="U224" s="13" t="n">
        <f aca="false">IF(COUNT(I225:I236)&lt;12,"",SUM(I225:I236))</f>
        <v>0.311162240216614</v>
      </c>
      <c r="V224" s="13" t="n">
        <f aca="false">IF(N224="","",SUM(N$2:N224))</f>
        <v>0.23691117344037</v>
      </c>
      <c r="W224" s="13" t="n">
        <f aca="false">IF(V224="","",MAX(V$2:V224))</f>
        <v>0.287312199560775</v>
      </c>
      <c r="X224" s="13" t="n">
        <f aca="false">IF(V224="","",V224-W224)</f>
        <v>-0.0504010261204044</v>
      </c>
      <c r="Y224" s="13" t="n">
        <f aca="false">IF(COUNT(D225:D225)&lt;1,"",SUM(D225:D225))</f>
        <v>0.0993103799255021</v>
      </c>
      <c r="Z224" s="13" t="n">
        <f aca="false">IF(COUNT(D225:D227)&lt;3,"",SUM(D225:D227))</f>
        <v>0.278985778627762</v>
      </c>
      <c r="AA224" s="13" t="n">
        <f aca="false">IF(COUNT(D225:D230)&lt;6,"",SUM(D225:D230))</f>
        <v>0.269121961440883</v>
      </c>
      <c r="AB224" s="13" t="n">
        <f aca="false">IF(COUNT(D225:D236)&lt;12,"",SUM(D225:D236))</f>
        <v>0.283376341073237</v>
      </c>
    </row>
    <row r="225" customFormat="false" ht="15" hidden="false" customHeight="false" outlineLevel="0" collapsed="false">
      <c r="A225" s="8" t="n">
        <f aca="false">Base!A225</f>
        <v>44804</v>
      </c>
      <c r="B225" s="10" t="n">
        <f aca="false">IF(Base!T225="","",Base!T225)</f>
        <v>0.379919408248633</v>
      </c>
      <c r="C225" s="11" t="n">
        <f aca="false">IF(B225="","",LN(B225))</f>
        <v>-0.967796132310833</v>
      </c>
      <c r="D225" s="13" t="n">
        <f aca="false">IF(OR(C225="",C224=""),"",C225-C224)</f>
        <v>0.0993103799255021</v>
      </c>
      <c r="E225" s="12" t="n">
        <f aca="false">IF(Base!U225="","",Base!U225)</f>
        <v>100.45</v>
      </c>
      <c r="F225" s="11" t="n">
        <f aca="false">IF(E225="","",LN(E225))</f>
        <v>4.60966009126094</v>
      </c>
      <c r="G225" s="13" t="n">
        <f aca="false">IF(OR(F225="",F224=""),"",F225-F224)</f>
        <v>-0.108213584640232</v>
      </c>
      <c r="H225" s="10" t="n">
        <f aca="false">IF(COUNT(D$75:D224)&lt;36,"",SLOPE(D$75:D224,G$75:G224))</f>
        <v>0.0891066627683296</v>
      </c>
      <c r="I225" s="13" t="n">
        <f aca="false">IF(OR(D225="",H225="",G225=""),"",D225-H225*G225)</f>
        <v>0.108952931318991</v>
      </c>
      <c r="J225" s="10" t="n">
        <f aca="false">IF(COUNT(Senal!V213:V224)=0,"",AVERAGE(Senal!V213:V224))</f>
        <v>1</v>
      </c>
      <c r="K225" s="10" t="n">
        <f aca="false">IF(J225="","",ABS(J225))</f>
        <v>1</v>
      </c>
      <c r="L225" s="10" t="n">
        <f aca="false">IF(OR(J225="",J224=""),"",ABS(J225-J224))</f>
        <v>0</v>
      </c>
      <c r="M225" s="13" t="n">
        <f aca="false">IF(OR(J225="",I225=""),"",J225*I225-IF(L225="",0,L225)*Resumen!$B$8/10000)</f>
        <v>0.108952931318991</v>
      </c>
      <c r="N225" s="13" t="n">
        <f aca="false">IF(OR(J225="",D225=""),"",J225*D225-IF(L225="",0,L225)*Resumen!$B$8/10000)</f>
        <v>0.0993103799255021</v>
      </c>
      <c r="O225" s="13" t="n">
        <f aca="false">IF(M225="","",IF(COUNT(O$2:O224)=0,M225,SUM(M$2:M225)))</f>
        <v>0.338315686198143</v>
      </c>
      <c r="P225" s="13" t="n">
        <f aca="false">IF(O225="","",MAX(O$2:O225))</f>
        <v>0.338315686198143</v>
      </c>
      <c r="Q225" s="13" t="n">
        <f aca="false">IF(O225="","",O225-P225)</f>
        <v>0</v>
      </c>
      <c r="R225" s="13" t="n">
        <f aca="false">IF(COUNT(I226:I226)&lt;1,"",SUM(I226:I226))</f>
        <v>0.0987421195679615</v>
      </c>
      <c r="S225" s="13" t="n">
        <f aca="false">IF(COUNT(I226:I228)&lt;3,"",SUM(I226:I228))</f>
        <v>0.221679085304772</v>
      </c>
      <c r="T225" s="13" t="n">
        <f aca="false">IF(COUNT(I226:I231)&lt;6,"",SUM(I226:I231))</f>
        <v>0.221297288814652</v>
      </c>
      <c r="U225" s="13" t="n">
        <f aca="false">IF(COUNT(I226:I237)&lt;12,"",SUM(I226:I237))</f>
        <v>0.251471953418921</v>
      </c>
      <c r="V225" s="13" t="n">
        <f aca="false">IF(N225="","",SUM(N$2:N225))</f>
        <v>0.336221553365872</v>
      </c>
      <c r="W225" s="13" t="n">
        <f aca="false">IF(V225="","",MAX(V$2:V225))</f>
        <v>0.336221553365872</v>
      </c>
      <c r="X225" s="13" t="n">
        <f aca="false">IF(V225="","",V225-W225)</f>
        <v>0</v>
      </c>
      <c r="Y225" s="13" t="n">
        <f aca="false">IF(COUNT(D226:D226)&lt;1,"",SUM(D226:D226))</f>
        <v>0.0894575670969062</v>
      </c>
      <c r="Z225" s="13" t="n">
        <f aca="false">IF(COUNT(D226:D228)&lt;3,"",SUM(D226:D228))</f>
        <v>0.21375748822319</v>
      </c>
      <c r="AA225" s="13" t="n">
        <f aca="false">IF(COUNT(D226:D231)&lt;6,"",SUM(D226:D231))</f>
        <v>0.205470823831588</v>
      </c>
      <c r="AB225" s="13" t="n">
        <f aca="false">IF(COUNT(D226:D237)&lt;12,"",SUM(D226:D237))</f>
        <v>0.238638903658653</v>
      </c>
    </row>
    <row r="226" customFormat="false" ht="15" hidden="false" customHeight="false" outlineLevel="0" collapsed="false">
      <c r="A226" s="8" t="n">
        <f aca="false">Base!A226</f>
        <v>44834</v>
      </c>
      <c r="B226" s="10" t="n">
        <f aca="false">IF(Base!T226="","",Base!T226)</f>
        <v>0.415472619233123</v>
      </c>
      <c r="C226" s="11" t="n">
        <f aca="false">IF(B226="","",LN(B226))</f>
        <v>-0.878338565213927</v>
      </c>
      <c r="D226" s="13" t="n">
        <f aca="false">IF(OR(C226="",C225=""),"",C226-C225)</f>
        <v>0.0894575670969062</v>
      </c>
      <c r="E226" s="12" t="n">
        <f aca="false">IF(Base!U226="","",Base!U226)</f>
        <v>89.76</v>
      </c>
      <c r="F226" s="11" t="n">
        <f aca="false">IF(E226="","",LN(E226))</f>
        <v>4.49713944177439</v>
      </c>
      <c r="G226" s="13" t="n">
        <f aca="false">IF(OR(F226="",F225=""),"",F226-F225)</f>
        <v>-0.112520649486557</v>
      </c>
      <c r="H226" s="10" t="n">
        <f aca="false">IF(COUNT(D$75:D225)&lt;36,"",SLOPE(D$75:D225,G$75:G225))</f>
        <v>0.0825142097332501</v>
      </c>
      <c r="I226" s="13" t="n">
        <f aca="false">IF(OR(D226="",H226="",G226=""),"",D226-H226*G226)</f>
        <v>0.0987421195679615</v>
      </c>
      <c r="J226" s="10" t="n">
        <f aca="false">IF(COUNT(Senal!V214:V225)=0,"",AVERAGE(Senal!V214:V225))</f>
        <v>1</v>
      </c>
      <c r="K226" s="10" t="n">
        <f aca="false">IF(J226="","",ABS(J226))</f>
        <v>1</v>
      </c>
      <c r="L226" s="10" t="n">
        <f aca="false">IF(OR(J226="",J225=""),"",ABS(J226-J225))</f>
        <v>0</v>
      </c>
      <c r="M226" s="13" t="n">
        <f aca="false">IF(OR(J226="",I226=""),"",J226*I226-IF(L226="",0,L226)*Resumen!$B$8/10000)</f>
        <v>0.0987421195679615</v>
      </c>
      <c r="N226" s="13" t="n">
        <f aca="false">IF(OR(J226="",D226=""),"",J226*D226-IF(L226="",0,L226)*Resumen!$B$8/10000)</f>
        <v>0.0894575670969062</v>
      </c>
      <c r="O226" s="13" t="n">
        <f aca="false">IF(M226="","",IF(COUNT(O$2:O225)=0,M226,SUM(M$2:M226)))</f>
        <v>0.437057805766104</v>
      </c>
      <c r="P226" s="13" t="n">
        <f aca="false">IF(O226="","",MAX(O$2:O226))</f>
        <v>0.437057805766104</v>
      </c>
      <c r="Q226" s="13" t="n">
        <f aca="false">IF(O226="","",O226-P226)</f>
        <v>0</v>
      </c>
      <c r="R226" s="13" t="n">
        <f aca="false">IF(COUNT(I227:I227)&lt;1,"",SUM(I227:I227))</f>
        <v>0.08723815785843</v>
      </c>
      <c r="S226" s="13" t="n">
        <f aca="false">IF(COUNT(I227:I229)&lt;3,"",SUM(I227:I229))</f>
        <v>0.125340154273682</v>
      </c>
      <c r="T226" s="13" t="n">
        <f aca="false">IF(COUNT(I227:I232)&lt;6,"",SUM(I227:I232))</f>
        <v>0.164326829707872</v>
      </c>
      <c r="U226" s="13" t="n">
        <f aca="false">IF(COUNT(I227:I238)&lt;12,"",SUM(I227:I238))</f>
        <v>0.113636151341326</v>
      </c>
      <c r="V226" s="13" t="n">
        <f aca="false">IF(N226="","",SUM(N$2:N226))</f>
        <v>0.425679120462779</v>
      </c>
      <c r="W226" s="13" t="n">
        <f aca="false">IF(V226="","",MAX(V$2:V226))</f>
        <v>0.425679120462779</v>
      </c>
      <c r="X226" s="13" t="n">
        <f aca="false">IF(V226="","",V226-W226)</f>
        <v>0</v>
      </c>
      <c r="Y226" s="13" t="n">
        <f aca="false">IF(COUNT(D227:D227)&lt;1,"",SUM(D227:D227))</f>
        <v>0.0902178316053532</v>
      </c>
      <c r="Z226" s="13" t="n">
        <f aca="false">IF(COUNT(D227:D229)&lt;3,"",SUM(D227:D229))</f>
        <v>0.117219036703033</v>
      </c>
      <c r="AA226" s="13" t="n">
        <f aca="false">IF(COUNT(D227:D232)&lt;6,"",SUM(D227:D232))</f>
        <v>0.153805004623963</v>
      </c>
      <c r="AB226" s="13" t="n">
        <f aca="false">IF(COUNT(D227:D238)&lt;12,"",SUM(D227:D238))</f>
        <v>0.11640292535337</v>
      </c>
    </row>
    <row r="227" customFormat="false" ht="15" hidden="false" customHeight="false" outlineLevel="0" collapsed="false">
      <c r="A227" s="8" t="n">
        <f aca="false">Base!A227</f>
        <v>44865</v>
      </c>
      <c r="B227" s="10" t="n">
        <f aca="false">IF(Base!T227="","",Base!T227)</f>
        <v>0.454698492464019</v>
      </c>
      <c r="C227" s="11" t="n">
        <f aca="false">IF(B227="","",LN(B227))</f>
        <v>-0.788120733608574</v>
      </c>
      <c r="D227" s="13" t="n">
        <f aca="false">IF(OR(C227="",C226=""),"",C227-C226)</f>
        <v>0.0902178316053532</v>
      </c>
      <c r="E227" s="12" t="n">
        <f aca="false">IF(Base!U227="","",Base!U227)</f>
        <v>93.33</v>
      </c>
      <c r="F227" s="11" t="n">
        <f aca="false">IF(E227="","",LN(E227))</f>
        <v>4.53614159957766</v>
      </c>
      <c r="G227" s="13" t="n">
        <f aca="false">IF(OR(F227="",F226=""),"",F227-F226)</f>
        <v>0.0390021578032691</v>
      </c>
      <c r="H227" s="10" t="n">
        <f aca="false">IF(COUNT(D$75:D226)&lt;36,"",SLOPE(D$75:D226,G$75:G226))</f>
        <v>0.0763976639947202</v>
      </c>
      <c r="I227" s="13" t="n">
        <f aca="false">IF(OR(D227="",H227="",G227=""),"",D227-H227*G227)</f>
        <v>0.08723815785843</v>
      </c>
      <c r="J227" s="10" t="n">
        <f aca="false">IF(COUNT(Senal!V215:V226)=0,"",AVERAGE(Senal!V215:V226))</f>
        <v>0.992381755115808</v>
      </c>
      <c r="K227" s="10" t="n">
        <f aca="false">IF(J227="","",ABS(J227))</f>
        <v>0.992381755115808</v>
      </c>
      <c r="L227" s="10" t="n">
        <f aca="false">IF(OR(J227="",J226=""),"",ABS(J227-J226))</f>
        <v>0.00761824488419249</v>
      </c>
      <c r="M227" s="13" t="n">
        <f aca="false">IF(OR(J227="",I227=""),"",J227*I227-IF(L227="",0,L227)*Resumen!$B$8/10000)</f>
        <v>0.0865507014739661</v>
      </c>
      <c r="N227" s="13" t="n">
        <f aca="false">IF(OR(J227="",D227=""),"",J227*D227-IF(L227="",0,L227)*Resumen!$B$8/10000)</f>
        <v>0.0895076753366102</v>
      </c>
      <c r="O227" s="13" t="n">
        <f aca="false">IF(M227="","",IF(COUNT(O$2:O226)=0,M227,SUM(M$2:M227)))</f>
        <v>0.523608507240071</v>
      </c>
      <c r="P227" s="13" t="n">
        <f aca="false">IF(O227="","",MAX(O$2:O227))</f>
        <v>0.523608507240071</v>
      </c>
      <c r="Q227" s="13" t="n">
        <f aca="false">IF(O227="","",O227-P227)</f>
        <v>0</v>
      </c>
      <c r="R227" s="13" t="n">
        <f aca="false">IF(COUNT(I228:I228)&lt;1,"",SUM(I228:I228))</f>
        <v>0.0356988078783801</v>
      </c>
      <c r="S227" s="13" t="n">
        <f aca="false">IF(COUNT(I228:I230)&lt;3,"",SUM(I228:I230))</f>
        <v>-0.000258281251230917</v>
      </c>
      <c r="T227" s="13" t="n">
        <f aca="false">IF(COUNT(I228:I233)&lt;6,"",SUM(I228:I233))</f>
        <v>0.0423417385368411</v>
      </c>
      <c r="U227" s="13" t="n">
        <f aca="false">IF(COUNT(I228:I239)&lt;12,"",SUM(I228:I239))</f>
        <v>-0.0811664227920089</v>
      </c>
      <c r="V227" s="13" t="n">
        <f aca="false">IF(N227="","",SUM(N$2:N227))</f>
        <v>0.515186795799389</v>
      </c>
      <c r="W227" s="13" t="n">
        <f aca="false">IF(V227="","",MAX(V$2:V227))</f>
        <v>0.515186795799389</v>
      </c>
      <c r="X227" s="13" t="n">
        <f aca="false">IF(V227="","",V227-W227)</f>
        <v>0</v>
      </c>
      <c r="Y227" s="13" t="n">
        <f aca="false">IF(COUNT(D228:D228)&lt;1,"",SUM(D228:D228))</f>
        <v>0.0340820895209301</v>
      </c>
      <c r="Z227" s="13" t="n">
        <f aca="false">IF(COUNT(D228:D230)&lt;3,"",SUM(D228:D230))</f>
        <v>-0.00986381718687868</v>
      </c>
      <c r="AA227" s="13" t="n">
        <f aca="false">IF(COUNT(D228:D233)&lt;6,"",SUM(D228:D233))</f>
        <v>0.0346157783908397</v>
      </c>
      <c r="AB227" s="13" t="n">
        <f aca="false">IF(COUNT(D228:D239)&lt;12,"",SUM(D228:D239))</f>
        <v>-0.083868365801914</v>
      </c>
    </row>
    <row r="228" customFormat="false" ht="15" hidden="false" customHeight="false" outlineLevel="0" collapsed="false">
      <c r="A228" s="8" t="n">
        <f aca="false">Base!A228</f>
        <v>44895</v>
      </c>
      <c r="B228" s="10" t="n">
        <f aca="false">IF(Base!T228="","",Base!T228)</f>
        <v>0.470462679476621</v>
      </c>
      <c r="C228" s="11" t="n">
        <f aca="false">IF(B228="","",LN(B228))</f>
        <v>-0.754038644087644</v>
      </c>
      <c r="D228" s="13" t="n">
        <f aca="false">IF(OR(C228="",C227=""),"",C228-C227)</f>
        <v>0.0340820895209301</v>
      </c>
      <c r="E228" s="12" t="n">
        <f aca="false">IF(Base!U228="","",Base!U228)</f>
        <v>91.42</v>
      </c>
      <c r="F228" s="11" t="n">
        <f aca="false">IF(E228="","",LN(E228))</f>
        <v>4.5154642729036</v>
      </c>
      <c r="G228" s="13" t="n">
        <f aca="false">IF(OR(F228="",F227=""),"",F228-F227)</f>
        <v>-0.0206773266740576</v>
      </c>
      <c r="H228" s="10" t="n">
        <f aca="false">IF(COUNT(D$75:D227)&lt;36,"",SLOPE(D$75:D227,G$75:G227))</f>
        <v>0.0781879777272364</v>
      </c>
      <c r="I228" s="13" t="n">
        <f aca="false">IF(OR(D228="",H228="",G228=""),"",D228-H228*G228)</f>
        <v>0.0356988078783801</v>
      </c>
      <c r="J228" s="10" t="n">
        <f aca="false">IF(COUNT(Senal!V216:V227)=0,"",AVERAGE(Senal!V216:V227))</f>
        <v>0.985326833929947</v>
      </c>
      <c r="K228" s="10" t="n">
        <f aca="false">IF(J228="","",ABS(J228))</f>
        <v>0.985326833929947</v>
      </c>
      <c r="L228" s="10" t="n">
        <f aca="false">IF(OR(J228="",J227=""),"",ABS(J228-J227))</f>
        <v>0.00705492118586093</v>
      </c>
      <c r="M228" s="13" t="n">
        <f aca="false">IF(OR(J228="",I228=""),"",J228*I228-IF(L228="",0,L228)*Resumen!$B$8/10000)</f>
        <v>0.0351538285783201</v>
      </c>
      <c r="N228" s="13" t="n">
        <f aca="false">IF(OR(J228="",D228=""),"",J228*D228-IF(L228="",0,L228)*Resumen!$B$8/10000)</f>
        <v>0.0335608325978174</v>
      </c>
      <c r="O228" s="13" t="n">
        <f aca="false">IF(M228="","",IF(COUNT(O$2:O227)=0,M228,SUM(M$2:M228)))</f>
        <v>0.558762335818391</v>
      </c>
      <c r="P228" s="13" t="n">
        <f aca="false">IF(O228="","",MAX(O$2:O228))</f>
        <v>0.558762335818391</v>
      </c>
      <c r="Q228" s="13" t="n">
        <f aca="false">IF(O228="","",O228-P228)</f>
        <v>0</v>
      </c>
      <c r="R228" s="13" t="n">
        <f aca="false">IF(COUNT(I229:I229)&lt;1,"",SUM(I229:I229))</f>
        <v>0.00240318853687219</v>
      </c>
      <c r="S228" s="13" t="n">
        <f aca="false">IF(COUNT(I229:I231)&lt;3,"",SUM(I229:I231))</f>
        <v>-0.00038179649011949</v>
      </c>
      <c r="T228" s="13" t="n">
        <f aca="false">IF(COUNT(I229:I234)&lt;6,"",SUM(I229:I234))</f>
        <v>0.00295699080634191</v>
      </c>
      <c r="U228" s="13" t="n">
        <f aca="false">IF(COUNT(I229:I240)&lt;12,"",SUM(I229:I240))</f>
        <v>0.0534400386230564</v>
      </c>
      <c r="V228" s="13" t="n">
        <f aca="false">IF(N228="","",SUM(N$2:N228))</f>
        <v>0.548747628397206</v>
      </c>
      <c r="W228" s="13" t="n">
        <f aca="false">IF(V228="","",MAX(V$2:V228))</f>
        <v>0.548747628397206</v>
      </c>
      <c r="X228" s="13" t="n">
        <f aca="false">IF(V228="","",V228-W228)</f>
        <v>0</v>
      </c>
      <c r="Y228" s="13" t="n">
        <f aca="false">IF(COUNT(D229:D229)&lt;1,"",SUM(D229:D229))</f>
        <v>-0.00708088442325028</v>
      </c>
      <c r="Z228" s="13" t="n">
        <f aca="false">IF(COUNT(D229:D231)&lt;3,"",SUM(D229:D231))</f>
        <v>-0.0082866643916012</v>
      </c>
      <c r="AA228" s="13" t="n">
        <f aca="false">IF(COUNT(D229:D234)&lt;6,"",SUM(D229:D234))</f>
        <v>-0.0117073612788436</v>
      </c>
      <c r="AB228" s="13" t="n">
        <f aca="false">IF(COUNT(D229:D240)&lt;12,"",SUM(D229:D240))</f>
        <v>0.0457007590364316</v>
      </c>
    </row>
    <row r="229" customFormat="false" ht="15" hidden="false" customHeight="false" outlineLevel="0" collapsed="false">
      <c r="A229" s="8" t="n">
        <f aca="false">Base!A229</f>
        <v>44926</v>
      </c>
      <c r="B229" s="10" t="n">
        <f aca="false">IF(Base!T229="","",Base!T229)</f>
        <v>0.467143154075422</v>
      </c>
      <c r="C229" s="11" t="n">
        <f aca="false">IF(B229="","",LN(B229))</f>
        <v>-0.761119528510894</v>
      </c>
      <c r="D229" s="13" t="n">
        <f aca="false">IF(OR(C229="",C228=""),"",C229-C228)</f>
        <v>-0.00708088442325028</v>
      </c>
      <c r="E229" s="12" t="n">
        <f aca="false">IF(Base!U229="","",Base!U229)</f>
        <v>80.92</v>
      </c>
      <c r="F229" s="11" t="n">
        <f aca="false">IF(E229="","",LN(E229))</f>
        <v>4.39346101229955</v>
      </c>
      <c r="G229" s="13" t="n">
        <f aca="false">IF(OR(F229="",F228=""),"",F229-F228)</f>
        <v>-0.122003260604053</v>
      </c>
      <c r="H229" s="10" t="n">
        <f aca="false">IF(COUNT(D$75:D228)&lt;36,"",SLOPE(D$75:D228,G$75:G228))</f>
        <v>0.0777362253530409</v>
      </c>
      <c r="I229" s="13" t="n">
        <f aca="false">IF(OR(D229="",H229="",G229=""),"",D229-H229*G229)</f>
        <v>0.00240318853687219</v>
      </c>
      <c r="J229" s="10" t="n">
        <f aca="false">IF(COUNT(Senal!V217:V228)=0,"",AVERAGE(Senal!V217:V228))</f>
        <v>0.962375172264246</v>
      </c>
      <c r="K229" s="10" t="n">
        <f aca="false">IF(J229="","",ABS(J229))</f>
        <v>0.962375172264246</v>
      </c>
      <c r="L229" s="10" t="n">
        <f aca="false">IF(OR(J229="",J228=""),"",ABS(J229-J228))</f>
        <v>0.0229516616657008</v>
      </c>
      <c r="M229" s="13" t="n">
        <f aca="false">IF(OR(J229="",I229=""),"",J229*I229-IF(L229="",0,L229)*Resumen!$B$8/10000)</f>
        <v>0.00224391399715873</v>
      </c>
      <c r="N229" s="13" t="n">
        <f aca="false">IF(OR(J229="",D229=""),"",J229*D229-IF(L229="",0,L229)*Resumen!$B$8/10000)</f>
        <v>-0.0068833223516058</v>
      </c>
      <c r="O229" s="13" t="n">
        <f aca="false">IF(M229="","",IF(COUNT(O$2:O228)=0,M229,SUM(M$2:M229)))</f>
        <v>0.561006249815549</v>
      </c>
      <c r="P229" s="13" t="n">
        <f aca="false">IF(O229="","",MAX(O$2:O229))</f>
        <v>0.561006249815549</v>
      </c>
      <c r="Q229" s="13" t="n">
        <f aca="false">IF(O229="","",O229-P229)</f>
        <v>0</v>
      </c>
      <c r="R229" s="13" t="n">
        <f aca="false">IF(COUNT(I230:I230)&lt;1,"",SUM(I230:I230))</f>
        <v>-0.0383602776664832</v>
      </c>
      <c r="S229" s="13" t="n">
        <f aca="false">IF(COUNT(I230:I232)&lt;3,"",SUM(I230:I232))</f>
        <v>0.03898667543419</v>
      </c>
      <c r="T229" s="13" t="n">
        <f aca="false">IF(COUNT(I230:I235)&lt;6,"",SUM(I230:I235))</f>
        <v>0.0235354755584861</v>
      </c>
      <c r="U229" s="13" t="n">
        <f aca="false">IF(COUNT(I230:I241)&lt;12,"",SUM(I230:I241))</f>
        <v>0.011586085774904</v>
      </c>
      <c r="V229" s="13" t="n">
        <f aca="false">IF(N229="","",SUM(N$2:N229))</f>
        <v>0.5418643060456</v>
      </c>
      <c r="W229" s="13" t="n">
        <f aca="false">IF(V229="","",MAX(V$2:V229))</f>
        <v>0.548747628397206</v>
      </c>
      <c r="X229" s="13" t="n">
        <f aca="false">IF(V229="","",V229-W229)</f>
        <v>-0.00688332235160583</v>
      </c>
      <c r="Y229" s="13" t="n">
        <f aca="false">IF(COUNT(D230:D230)&lt;1,"",SUM(D230:D230))</f>
        <v>-0.0368650222845585</v>
      </c>
      <c r="Z229" s="13" t="n">
        <f aca="false">IF(COUNT(D230:D232)&lt;3,"",SUM(D230:D232))</f>
        <v>0.0365859679209302</v>
      </c>
      <c r="AA229" s="13" t="n">
        <f aca="false">IF(COUNT(D230:D235)&lt;6,"",SUM(D230:D235))</f>
        <v>0.0177299531863927</v>
      </c>
      <c r="AB229" s="13" t="n">
        <f aca="false">IF(COUNT(D230:D241)&lt;12,"",SUM(D230:D241))</f>
        <v>0.00885979566380846</v>
      </c>
    </row>
    <row r="230" customFormat="false" ht="15" hidden="false" customHeight="false" outlineLevel="0" collapsed="false">
      <c r="A230" s="8" t="n">
        <f aca="false">Base!A230</f>
        <v>44957</v>
      </c>
      <c r="B230" s="10" t="n">
        <f aca="false">IF(Base!T230="","",Base!T230)</f>
        <v>0.450235477029038</v>
      </c>
      <c r="C230" s="11" t="n">
        <f aca="false">IF(B230="","",LN(B230))</f>
        <v>-0.797984550795453</v>
      </c>
      <c r="D230" s="13" t="n">
        <f aca="false">IF(OR(C230="",C229=""),"",C230-C229)</f>
        <v>-0.0368650222845585</v>
      </c>
      <c r="E230" s="12" t="n">
        <f aca="false">IF(Base!U230="","",Base!U230)</f>
        <v>82.5</v>
      </c>
      <c r="F230" s="11" t="n">
        <f aca="false">IF(E230="","",LN(E230))</f>
        <v>4.41279829334064</v>
      </c>
      <c r="G230" s="13" t="n">
        <f aca="false">IF(OR(F230="",F229=""),"",F230-F229)</f>
        <v>0.0193372810410901</v>
      </c>
      <c r="H230" s="10" t="n">
        <f aca="false">IF(COUNT(D$75:D229)&lt;36,"",SLOPE(D$75:D229,G$75:G229))</f>
        <v>0.0773250064860423</v>
      </c>
      <c r="I230" s="13" t="n">
        <f aca="false">IF(OR(D230="",H230="",G230=""),"",D230-H230*G230)</f>
        <v>-0.0383602776664832</v>
      </c>
      <c r="J230" s="10" t="n">
        <f aca="false">IF(COUNT(Senal!V218:V229)=0,"",AVERAGE(Senal!V218:V229))</f>
        <v>0.915896264656903</v>
      </c>
      <c r="K230" s="10" t="n">
        <f aca="false">IF(J230="","",ABS(J230))</f>
        <v>0.915896264656903</v>
      </c>
      <c r="L230" s="10" t="n">
        <f aca="false">IF(OR(J230="",J229=""),"",ABS(J230-J229))</f>
        <v>0.0464789076073427</v>
      </c>
      <c r="M230" s="13" t="n">
        <f aca="false">IF(OR(J230="",I230=""),"",J230*I230-IF(L230="",0,L230)*Resumen!$B$8/10000)</f>
        <v>-0.0352734717487556</v>
      </c>
      <c r="N230" s="13" t="n">
        <f aca="false">IF(OR(J230="",D230=""),"",J230*D230-IF(L230="",0,L230)*Resumen!$B$8/10000)</f>
        <v>-0.0339039729297426</v>
      </c>
      <c r="O230" s="13" t="n">
        <f aca="false">IF(M230="","",IF(COUNT(O$2:O229)=0,M230,SUM(M$2:M230)))</f>
        <v>0.525732778066794</v>
      </c>
      <c r="P230" s="13" t="n">
        <f aca="false">IF(O230="","",MAX(O$2:O230))</f>
        <v>0.561006249815549</v>
      </c>
      <c r="Q230" s="13" t="n">
        <f aca="false">IF(O230="","",O230-P230)</f>
        <v>-0.0352734717487556</v>
      </c>
      <c r="R230" s="13" t="n">
        <f aca="false">IF(COUNT(I231:I231)&lt;1,"",SUM(I231:I231))</f>
        <v>0.0355752926394915</v>
      </c>
      <c r="S230" s="13" t="n">
        <f aca="false">IF(COUNT(I231:I233)&lt;3,"",SUM(I231:I233))</f>
        <v>0.0426000197880721</v>
      </c>
      <c r="T230" s="13" t="n">
        <f aca="false">IF(COUNT(I231:I236)&lt;6,"",SUM(I231:I236))</f>
        <v>0.0164873127224621</v>
      </c>
      <c r="U230" s="13" t="n">
        <f aca="false">IF(COUNT(I231:I242)&lt;12,"",SUM(I231:I242))</f>
        <v>0.0116645092891781</v>
      </c>
      <c r="V230" s="13" t="n">
        <f aca="false">IF(N230="","",SUM(N$2:N230))</f>
        <v>0.507960333115858</v>
      </c>
      <c r="W230" s="13" t="n">
        <f aca="false">IF(V230="","",MAX(V$2:V230))</f>
        <v>0.548747628397206</v>
      </c>
      <c r="X230" s="13" t="n">
        <f aca="false">IF(V230="","",V230-W230)</f>
        <v>-0.0407872952813483</v>
      </c>
      <c r="Y230" s="13" t="n">
        <f aca="false">IF(COUNT(D231:D231)&lt;1,"",SUM(D231:D231))</f>
        <v>0.0356592423162075</v>
      </c>
      <c r="Z230" s="13" t="n">
        <f aca="false">IF(COUNT(D231:D233)&lt;3,"",SUM(D231:D233))</f>
        <v>0.0444795955777184</v>
      </c>
      <c r="AA230" s="13" t="n">
        <f aca="false">IF(COUNT(D231:D236)&lt;6,"",SUM(D231:D236))</f>
        <v>0.0142543796323543</v>
      </c>
      <c r="AB230" s="13" t="n">
        <f aca="false">IF(COUNT(D231:D242)&lt;12,"",SUM(D231:D242))</f>
        <v>0.00961383645879477</v>
      </c>
    </row>
    <row r="231" customFormat="false" ht="15" hidden="false" customHeight="false" outlineLevel="0" collapsed="false">
      <c r="A231" s="8" t="n">
        <f aca="false">Base!A231</f>
        <v>44985</v>
      </c>
      <c r="B231" s="10" t="n">
        <f aca="false">IF(Base!T231="","",Base!T231)</f>
        <v>0.466580221672397</v>
      </c>
      <c r="C231" s="11" t="n">
        <f aca="false">IF(B231="","",LN(B231))</f>
        <v>-0.762325308479245</v>
      </c>
      <c r="D231" s="13" t="n">
        <f aca="false">IF(OR(C231="",C230=""),"",C231-C230)</f>
        <v>0.0356592423162075</v>
      </c>
      <c r="E231" s="12" t="n">
        <f aca="false">IF(Base!U231="","",Base!U231)</f>
        <v>82.59</v>
      </c>
      <c r="F231" s="11" t="n">
        <f aca="false">IF(E231="","",LN(E231))</f>
        <v>4.41388860782263</v>
      </c>
      <c r="G231" s="13" t="n">
        <f aca="false">IF(OR(F231="",F230=""),"",F231-F230)</f>
        <v>0.00109031448199115</v>
      </c>
      <c r="H231" s="10" t="n">
        <f aca="false">IF(COUNT(D$75:D230)&lt;36,"",SLOPE(D$75:D230,G$75:G230))</f>
        <v>0.076995837533712</v>
      </c>
      <c r="I231" s="13" t="n">
        <f aca="false">IF(OR(D231="",H231="",G231=""),"",D231-H231*G231)</f>
        <v>0.0355752926394915</v>
      </c>
      <c r="J231" s="10" t="n">
        <f aca="false">IF(COUNT(Senal!V219:V230)=0,"",AVERAGE(Senal!V219:V230))</f>
        <v>0.83256293132357</v>
      </c>
      <c r="K231" s="10" t="n">
        <f aca="false">IF(J231="","",ABS(J231))</f>
        <v>0.83256293132357</v>
      </c>
      <c r="L231" s="10" t="n">
        <f aca="false">IF(OR(J231="",J230=""),"",ABS(J231-J230))</f>
        <v>0.0833333333333334</v>
      </c>
      <c r="M231" s="13" t="n">
        <f aca="false">IF(OR(J231="",I231=""),"",J231*I231-IF(L231="",0,L231)*Resumen!$B$8/10000)</f>
        <v>0.0293686699226289</v>
      </c>
      <c r="N231" s="13" t="n">
        <f aca="false">IF(OR(J231="",D231=""),"",J231*D231-IF(L231="",0,L231)*Resumen!$B$8/10000)</f>
        <v>0.0294385633115592</v>
      </c>
      <c r="O231" s="13" t="n">
        <f aca="false">IF(M231="","",IF(COUNT(O$2:O230)=0,M231,SUM(M$2:M231)))</f>
        <v>0.555101447989423</v>
      </c>
      <c r="P231" s="13" t="n">
        <f aca="false">IF(O231="","",MAX(O$2:O231))</f>
        <v>0.561006249815549</v>
      </c>
      <c r="Q231" s="13" t="n">
        <f aca="false">IF(O231="","",O231-P231)</f>
        <v>-0.00590480182612663</v>
      </c>
      <c r="R231" s="13" t="n">
        <f aca="false">IF(COUNT(I232:I232)&lt;1,"",SUM(I232:I232))</f>
        <v>0.0417716604611816</v>
      </c>
      <c r="S231" s="13" t="n">
        <f aca="false">IF(COUNT(I232:I234)&lt;3,"",SUM(I232:I234))</f>
        <v>0.0033387872964614</v>
      </c>
      <c r="T231" s="13" t="n">
        <f aca="false">IF(COUNT(I232:I237)&lt;6,"",SUM(I232:I237))</f>
        <v>0.0301746646042684</v>
      </c>
      <c r="U231" s="13" t="n">
        <f aca="false">IF(COUNT(I232:I243)&lt;12,"",SUM(I232:I243))</f>
        <v>-0.0212101209308759</v>
      </c>
      <c r="V231" s="13" t="n">
        <f aca="false">IF(N231="","",SUM(N$2:N231))</f>
        <v>0.537398896427417</v>
      </c>
      <c r="W231" s="13" t="n">
        <f aca="false">IF(V231="","",MAX(V$2:V231))</f>
        <v>0.548747628397206</v>
      </c>
      <c r="X231" s="13" t="n">
        <f aca="false">IF(V231="","",V231-W231)</f>
        <v>-0.0113487319697891</v>
      </c>
      <c r="Y231" s="13" t="n">
        <f aca="false">IF(COUNT(D232:D232)&lt;1,"",SUM(D232:D232))</f>
        <v>0.0377917478892811</v>
      </c>
      <c r="Z231" s="13" t="n">
        <f aca="false">IF(COUNT(D232:D234)&lt;3,"",SUM(D232:D234))</f>
        <v>-0.00342069688724245</v>
      </c>
      <c r="AA231" s="13" t="n">
        <f aca="false">IF(COUNT(D232:D237)&lt;6,"",SUM(D232:D237))</f>
        <v>0.0331680798270652</v>
      </c>
      <c r="AB231" s="13" t="n">
        <f aca="false">IF(COUNT(D232:D243)&lt;12,"",SUM(D232:D243))</f>
        <v>-0.0205420146873447</v>
      </c>
    </row>
    <row r="232" customFormat="false" ht="15" hidden="false" customHeight="false" outlineLevel="0" collapsed="false">
      <c r="A232" s="8" t="n">
        <f aca="false">Base!A232</f>
        <v>45016</v>
      </c>
      <c r="B232" s="10" t="n">
        <f aca="false">IF(Base!T232="","",Base!T232)</f>
        <v>0.484550529715977</v>
      </c>
      <c r="C232" s="11" t="n">
        <f aca="false">IF(B232="","",LN(B232))</f>
        <v>-0.724533560589964</v>
      </c>
      <c r="D232" s="13" t="n">
        <f aca="false">IF(OR(C232="",C231=""),"",C232-C231)</f>
        <v>0.0377917478892811</v>
      </c>
      <c r="E232" s="12" t="n">
        <f aca="false">IF(Base!U232="","",Base!U232)</f>
        <v>78.43</v>
      </c>
      <c r="F232" s="11" t="n">
        <f aca="false">IF(E232="","",LN(E232))</f>
        <v>4.36220650722458</v>
      </c>
      <c r="G232" s="13" t="n">
        <f aca="false">IF(OR(F232="",F231=""),"",F232-F231)</f>
        <v>-0.0516821005980512</v>
      </c>
      <c r="H232" s="10" t="n">
        <f aca="false">IF(COUNT(D$75:D231)&lt;36,"",SLOPE(D$75:D231,G$75:G231))</f>
        <v>0.0770075621123386</v>
      </c>
      <c r="I232" s="13" t="n">
        <f aca="false">IF(OR(D232="",H232="",G232=""),"",D232-H232*G232)</f>
        <v>0.0417716604611816</v>
      </c>
      <c r="J232" s="10" t="n">
        <f aca="false">IF(COUNT(Senal!V220:V231)=0,"",AVERAGE(Senal!V220:V231))</f>
        <v>0.749229597990236</v>
      </c>
      <c r="K232" s="10" t="n">
        <f aca="false">IF(J232="","",ABS(J232))</f>
        <v>0.749229597990236</v>
      </c>
      <c r="L232" s="10" t="n">
        <f aca="false">IF(OR(J232="",J231=""),"",ABS(J232-J231))</f>
        <v>0.0833333333333334</v>
      </c>
      <c r="M232" s="13" t="n">
        <f aca="false">IF(OR(J232="",I232=""),"",J232*I232-IF(L232="",0,L232)*Resumen!$B$8/10000)</f>
        <v>0.0310465643747158</v>
      </c>
      <c r="N232" s="13" t="n">
        <f aca="false">IF(OR(J232="",D232=""),"",J232*D232-IF(L232="",0,L232)*Resumen!$B$8/10000)</f>
        <v>0.0280646960784344</v>
      </c>
      <c r="O232" s="13" t="n">
        <f aca="false">IF(M232="","",IF(COUNT(O$2:O231)=0,M232,SUM(M$2:M232)))</f>
        <v>0.586148012364138</v>
      </c>
      <c r="P232" s="13" t="n">
        <f aca="false">IF(O232="","",MAX(O$2:O232))</f>
        <v>0.586148012364138</v>
      </c>
      <c r="Q232" s="13" t="n">
        <f aca="false">IF(O232="","",O232-P232)</f>
        <v>0</v>
      </c>
      <c r="R232" s="13" t="n">
        <f aca="false">IF(COUNT(I233:I233)&lt;1,"",SUM(I233:I233))</f>
        <v>-0.0347469333126011</v>
      </c>
      <c r="S232" s="13" t="n">
        <f aca="false">IF(COUNT(I233:I235)&lt;3,"",SUM(I233:I235))</f>
        <v>-0.0154511998757039</v>
      </c>
      <c r="T232" s="13" t="n">
        <f aca="false">IF(COUNT(I233:I238)&lt;6,"",SUM(I233:I238))</f>
        <v>-0.0506906783665461</v>
      </c>
      <c r="U232" s="13" t="n">
        <f aca="false">IF(COUNT(I233:I244)&lt;12,"",SUM(I233:I244))</f>
        <v>-0.119700025200592</v>
      </c>
      <c r="V232" s="13" t="n">
        <f aca="false">IF(N232="","",SUM(N$2:N232))</f>
        <v>0.565463592505851</v>
      </c>
      <c r="W232" s="13" t="n">
        <f aca="false">IF(V232="","",MAX(V$2:V232))</f>
        <v>0.565463592505851</v>
      </c>
      <c r="X232" s="13" t="n">
        <f aca="false">IF(V232="","",V232-W232)</f>
        <v>0</v>
      </c>
      <c r="Y232" s="13" t="n">
        <f aca="false">IF(COUNT(D233:D233)&lt;1,"",SUM(D233:D233))</f>
        <v>-0.0289713946277702</v>
      </c>
      <c r="Z232" s="13" t="n">
        <f aca="false">IF(COUNT(D233:D235)&lt;3,"",SUM(D233:D235))</f>
        <v>-0.0188560147345375</v>
      </c>
      <c r="AA232" s="13" t="n">
        <f aca="false">IF(COUNT(D233:D238)&lt;6,"",SUM(D233:D238))</f>
        <v>-0.0374020792705931</v>
      </c>
      <c r="AB232" s="13" t="n">
        <f aca="false">IF(COUNT(D233:D244)&lt;12,"",SUM(D233:D244))</f>
        <v>-0.113489613192002</v>
      </c>
    </row>
    <row r="233" customFormat="false" ht="15" hidden="false" customHeight="false" outlineLevel="0" collapsed="false">
      <c r="A233" s="8" t="n">
        <f aca="false">Base!A233</f>
        <v>45046</v>
      </c>
      <c r="B233" s="10" t="n">
        <f aca="false">IF(Base!T233="","",Base!T233)</f>
        <v>0.470713827183772</v>
      </c>
      <c r="C233" s="11" t="n">
        <f aca="false">IF(B233="","",LN(B233))</f>
        <v>-0.753504955217734</v>
      </c>
      <c r="D233" s="13" t="n">
        <f aca="false">IF(OR(C233="",C232=""),"",C233-C232)</f>
        <v>-0.0289713946277702</v>
      </c>
      <c r="E233" s="12" t="n">
        <f aca="false">IF(Base!U233="","",Base!U233)</f>
        <v>84.64</v>
      </c>
      <c r="F233" s="11" t="n">
        <f aca="false">IF(E233="","",LN(E233))</f>
        <v>4.43840696810999</v>
      </c>
      <c r="G233" s="13" t="n">
        <f aca="false">IF(OR(F233="",F232=""),"",F233-F232)</f>
        <v>0.0762004608854143</v>
      </c>
      <c r="H233" s="10" t="n">
        <f aca="false">IF(COUNT(D$75:D232)&lt;36,"",SLOPE(D$75:D232,G$75:G232))</f>
        <v>0.0757940124996853</v>
      </c>
      <c r="I233" s="13" t="n">
        <f aca="false">IF(OR(D233="",H233="",G233=""),"",D233-H233*G233)</f>
        <v>-0.0347469333126011</v>
      </c>
      <c r="J233" s="10" t="n">
        <f aca="false">IF(COUNT(Senal!V221:V232)=0,"",AVERAGE(Senal!V221:V232))</f>
        <v>0.665896264656903</v>
      </c>
      <c r="K233" s="10" t="n">
        <f aca="false">IF(J233="","",ABS(J233))</f>
        <v>0.665896264656903</v>
      </c>
      <c r="L233" s="10" t="n">
        <f aca="false">IF(OR(J233="",J232=""),"",ABS(J233-J232))</f>
        <v>0.0833333333333333</v>
      </c>
      <c r="M233" s="13" t="n">
        <f aca="false">IF(OR(J233="",I233=""),"",J233*I233-IF(L233="",0,L233)*Resumen!$B$8/10000)</f>
        <v>-0.0233878531011436</v>
      </c>
      <c r="N233" s="13" t="n">
        <f aca="false">IF(OR(J233="",D233=""),"",J233*D233-IF(L233="",0,L233)*Resumen!$B$8/10000)</f>
        <v>-0.0195419434645332</v>
      </c>
      <c r="O233" s="13" t="n">
        <f aca="false">IF(M233="","",IF(COUNT(O$2:O232)=0,M233,SUM(M$2:M233)))</f>
        <v>0.562760159262995</v>
      </c>
      <c r="P233" s="13" t="n">
        <f aca="false">IF(O233="","",MAX(O$2:O233))</f>
        <v>0.586148012364138</v>
      </c>
      <c r="Q233" s="13" t="n">
        <f aca="false">IF(O233="","",O233-P233)</f>
        <v>-0.0233878531011434</v>
      </c>
      <c r="R233" s="13" t="n">
        <f aca="false">IF(COUNT(I234:I234)&lt;1,"",SUM(I234:I234))</f>
        <v>-0.00368593985211916</v>
      </c>
      <c r="S233" s="13" t="n">
        <f aca="false">IF(COUNT(I234:I236)&lt;3,"",SUM(I234:I236))</f>
        <v>-0.02611270706561</v>
      </c>
      <c r="T233" s="13" t="n">
        <f aca="false">IF(COUNT(I234:I239)&lt;6,"",SUM(I234:I239))</f>
        <v>-0.12350816132885</v>
      </c>
      <c r="U233" s="13" t="n">
        <f aca="false">IF(COUNT(I234:I245)&lt;12,"",SUM(I234:I245))</f>
        <v>-0.0892563926049184</v>
      </c>
      <c r="V233" s="13" t="n">
        <f aca="false">IF(N233="","",SUM(N$2:N233))</f>
        <v>0.545921649041318</v>
      </c>
      <c r="W233" s="13" t="n">
        <f aca="false">IF(V233="","",MAX(V$2:V233))</f>
        <v>0.565463592505851</v>
      </c>
      <c r="X233" s="13" t="n">
        <f aca="false">IF(V233="","",V233-W233)</f>
        <v>-0.0195419434645332</v>
      </c>
      <c r="Y233" s="13" t="n">
        <f aca="false">IF(COUNT(D234:D234)&lt;1,"",SUM(D234:D234))</f>
        <v>-0.0122410501487533</v>
      </c>
      <c r="Z233" s="13" t="n">
        <f aca="false">IF(COUNT(D234:D236)&lt;3,"",SUM(D234:D236))</f>
        <v>-0.0302252159453641</v>
      </c>
      <c r="AA233" s="13" t="n">
        <f aca="false">IF(COUNT(D234:D239)&lt;6,"",SUM(D234:D239))</f>
        <v>-0.118484144192754</v>
      </c>
      <c r="AB233" s="13" t="n">
        <f aca="false">IF(COUNT(D234:D245)&lt;12,"",SUM(D234:D245))</f>
        <v>-0.085318883047089</v>
      </c>
    </row>
    <row r="234" customFormat="false" ht="15" hidden="false" customHeight="false" outlineLevel="0" collapsed="false">
      <c r="A234" s="8" t="n">
        <f aca="false">Base!A234</f>
        <v>45077</v>
      </c>
      <c r="B234" s="10" t="n">
        <f aca="false">IF(Base!T234="","",Base!T234)</f>
        <v>0.464986918817157</v>
      </c>
      <c r="C234" s="11" t="n">
        <f aca="false">IF(B234="","",LN(B234))</f>
        <v>-0.765746005366488</v>
      </c>
      <c r="D234" s="13" t="n">
        <f aca="false">IF(OR(C234="",C233=""),"",C234-C233)</f>
        <v>-0.0122410501487533</v>
      </c>
      <c r="E234" s="12" t="n">
        <f aca="false">IF(Base!U234="","",Base!U234)</f>
        <v>75.47</v>
      </c>
      <c r="F234" s="11" t="n">
        <f aca="false">IF(E234="","",LN(E234))</f>
        <v>4.32373522629678</v>
      </c>
      <c r="G234" s="13" t="n">
        <f aca="false">IF(OR(F234="",F233=""),"",F234-F233)</f>
        <v>-0.114671741813212</v>
      </c>
      <c r="H234" s="10" t="n">
        <f aca="false">IF(COUNT(D$75:D233)&lt;36,"",SLOPE(D$75:D233,G$75:G233))</f>
        <v>0.0746052180019164</v>
      </c>
      <c r="I234" s="13" t="n">
        <f aca="false">IF(OR(D234="",H234="",G234=""),"",D234-H234*G234)</f>
        <v>-0.00368593985211916</v>
      </c>
      <c r="J234" s="10" t="n">
        <f aca="false">IF(COUNT(Senal!V222:V233)=0,"",AVERAGE(Senal!V222:V233))</f>
        <v>0.58256293132357</v>
      </c>
      <c r="K234" s="10" t="n">
        <f aca="false">IF(J234="","",ABS(J234))</f>
        <v>0.58256293132357</v>
      </c>
      <c r="L234" s="10" t="n">
        <f aca="false">IF(OR(J234="",J233=""),"",ABS(J234-J233))</f>
        <v>0.0833333333333333</v>
      </c>
      <c r="M234" s="13" t="n">
        <f aca="false">IF(OR(J234="",I234=""),"",J234*I234-IF(L234="",0,L234)*Resumen!$B$8/10000)</f>
        <v>-0.0023972919249329</v>
      </c>
      <c r="N234" s="13" t="n">
        <f aca="false">IF(OR(J234="",D234=""),"",J234*D234-IF(L234="",0,L234)*Resumen!$B$8/10000)</f>
        <v>-0.00738118205713655</v>
      </c>
      <c r="O234" s="13" t="n">
        <f aca="false">IF(M234="","",IF(COUNT(O$2:O233)=0,M234,SUM(M$2:M234)))</f>
        <v>0.560362867338062</v>
      </c>
      <c r="P234" s="13" t="n">
        <f aca="false">IF(O234="","",MAX(O$2:O234))</f>
        <v>0.586148012364138</v>
      </c>
      <c r="Q234" s="13" t="n">
        <f aca="false">IF(O234="","",O234-P234)</f>
        <v>-0.0257851450260764</v>
      </c>
      <c r="R234" s="13" t="n">
        <f aca="false">IF(COUNT(I235:I235)&lt;1,"",SUM(I235:I235))</f>
        <v>0.0229816732890164</v>
      </c>
      <c r="S234" s="13" t="n">
        <f aca="false">IF(COUNT(I235:I237)&lt;3,"",SUM(I235:I237))</f>
        <v>0.026835877307807</v>
      </c>
      <c r="T234" s="13" t="n">
        <f aca="false">IF(COUNT(I235:I240)&lt;6,"",SUM(I235:I240))</f>
        <v>0.0504830478167145</v>
      </c>
      <c r="U234" s="13" t="n">
        <f aca="false">IF(COUNT(I235:I246)&lt;12,"",SUM(I235:I246))</f>
        <v>-0.0785217505294966</v>
      </c>
      <c r="V234" s="13" t="n">
        <f aca="false">IF(N234="","",SUM(N$2:N234))</f>
        <v>0.538540466984182</v>
      </c>
      <c r="W234" s="13" t="n">
        <f aca="false">IF(V234="","",MAX(V$2:V234))</f>
        <v>0.565463592505851</v>
      </c>
      <c r="X234" s="13" t="n">
        <f aca="false">IF(V234="","",V234-W234)</f>
        <v>-0.0269231255216699</v>
      </c>
      <c r="Y234" s="13" t="n">
        <f aca="false">IF(COUNT(D235:D235)&lt;1,"",SUM(D235:D235))</f>
        <v>0.0223564300419861</v>
      </c>
      <c r="Z234" s="13" t="n">
        <f aca="false">IF(COUNT(D235:D237)&lt;3,"",SUM(D235:D237))</f>
        <v>0.0365887767143076</v>
      </c>
      <c r="AA234" s="13" t="n">
        <f aca="false">IF(COUNT(D235:D240)&lt;6,"",SUM(D235:D240))</f>
        <v>0.0574081203152752</v>
      </c>
      <c r="AB234" s="13" t="n">
        <f aca="false">IF(COUNT(D235:D246)&lt;12,"",SUM(D235:D246))</f>
        <v>-0.0725000176843267</v>
      </c>
    </row>
    <row r="235" customFormat="false" ht="15" hidden="false" customHeight="false" outlineLevel="0" collapsed="false">
      <c r="A235" s="8" t="n">
        <f aca="false">Base!A235</f>
        <v>45107</v>
      </c>
      <c r="B235" s="10" t="n">
        <f aca="false">IF(Base!T235="","",Base!T235)</f>
        <v>0.475499439705457</v>
      </c>
      <c r="C235" s="11" t="n">
        <f aca="false">IF(B235="","",LN(B235))</f>
        <v>-0.743389575324502</v>
      </c>
      <c r="D235" s="13" t="n">
        <f aca="false">IF(OR(C235="",C234=""),"",C235-C234)</f>
        <v>0.0223564300419861</v>
      </c>
      <c r="E235" s="12" t="n">
        <f aca="false">IF(Base!U235="","",Base!U235)</f>
        <v>74.84</v>
      </c>
      <c r="F235" s="11" t="n">
        <f aca="false">IF(E235="","",LN(E235))</f>
        <v>4.31535250140589</v>
      </c>
      <c r="G235" s="13" t="n">
        <f aca="false">IF(OR(F235="",F234=""),"",F235-F234)</f>
        <v>-0.00838272489088787</v>
      </c>
      <c r="H235" s="10" t="n">
        <f aca="false">IF(COUNT(D$75:D234)&lt;36,"",SLOPE(D$75:D234,G$75:G234))</f>
        <v>0.0745871128026574</v>
      </c>
      <c r="I235" s="13" t="n">
        <f aca="false">IF(OR(D235="",H235="",G235=""),"",D235-H235*G235)</f>
        <v>0.0229816732890164</v>
      </c>
      <c r="J235" s="10" t="n">
        <f aca="false">IF(COUNT(Senal!V223:V234)=0,"",AVERAGE(Senal!V223:V234))</f>
        <v>0.461517844916403</v>
      </c>
      <c r="K235" s="10" t="n">
        <f aca="false">IF(J235="","",ABS(J235))</f>
        <v>0.461517844916403</v>
      </c>
      <c r="L235" s="10" t="n">
        <f aca="false">IF(OR(J235="",J234=""),"",ABS(J235-J234))</f>
        <v>0.121045086407166</v>
      </c>
      <c r="M235" s="13" t="n">
        <f aca="false">IF(OR(J235="",I235=""),"",J235*I235-IF(L235="",0,L235)*Resumen!$B$8/10000)</f>
        <v>0.0102433170696982</v>
      </c>
      <c r="N235" s="13" t="n">
        <f aca="false">IF(OR(J235="",D235=""),"",J235*D235-IF(L235="",0,L235)*Resumen!$B$8/10000)</f>
        <v>0.00995475615378025</v>
      </c>
      <c r="O235" s="13" t="n">
        <f aca="false">IF(M235="","",IF(COUNT(O$2:O234)=0,M235,SUM(M$2:M235)))</f>
        <v>0.57060618440776</v>
      </c>
      <c r="P235" s="13" t="n">
        <f aca="false">IF(O235="","",MAX(O$2:O235))</f>
        <v>0.586148012364138</v>
      </c>
      <c r="Q235" s="13" t="n">
        <f aca="false">IF(O235="","",O235-P235)</f>
        <v>-0.0155418279563783</v>
      </c>
      <c r="R235" s="13" t="n">
        <f aca="false">IF(COUNT(I236:I236)&lt;1,"",SUM(I236:I236))</f>
        <v>-0.0454084405025072</v>
      </c>
      <c r="S235" s="13" t="n">
        <f aca="false">IF(COUNT(I236:I238)&lt;3,"",SUM(I236:I238))</f>
        <v>-0.0352394784908422</v>
      </c>
      <c r="T235" s="13" t="n">
        <f aca="false">IF(COUNT(I236:I241)&lt;6,"",SUM(I236:I241))</f>
        <v>-0.0119493897835821</v>
      </c>
      <c r="U235" s="13" t="n">
        <f aca="false">IF(COUNT(I236:I247)&lt;12,"",SUM(I236:I247))</f>
        <v>-0.104678709946508</v>
      </c>
      <c r="V235" s="13" t="n">
        <f aca="false">IF(N235="","",SUM(N$2:N235))</f>
        <v>0.548495223137962</v>
      </c>
      <c r="W235" s="13" t="n">
        <f aca="false">IF(V235="","",MAX(V$2:V235))</f>
        <v>0.565463592505851</v>
      </c>
      <c r="X235" s="13" t="n">
        <f aca="false">IF(V235="","",V235-W235)</f>
        <v>-0.0169683693678895</v>
      </c>
      <c r="Y235" s="13" t="n">
        <f aca="false">IF(COUNT(D236:D236)&lt;1,"",SUM(D236:D236))</f>
        <v>-0.0403405958385968</v>
      </c>
      <c r="Z235" s="13" t="n">
        <f aca="false">IF(COUNT(D236:D238)&lt;3,"",SUM(D236:D238))</f>
        <v>-0.0185460645360557</v>
      </c>
      <c r="AA235" s="13" t="n">
        <f aca="false">IF(COUNT(D236:D241)&lt;6,"",SUM(D236:D241))</f>
        <v>-0.00887015752258424</v>
      </c>
      <c r="AB235" s="13" t="n">
        <f aca="false">IF(COUNT(D236:D247)&lt;12,"",SUM(D236:D247))</f>
        <v>-0.0976217335169235</v>
      </c>
    </row>
    <row r="236" customFormat="false" ht="15" hidden="false" customHeight="false" outlineLevel="0" collapsed="false">
      <c r="A236" s="8" t="n">
        <f aca="false">Base!A236</f>
        <v>45138</v>
      </c>
      <c r="B236" s="10" t="n">
        <f aca="false">IF(Base!T236="","",Base!T236)</f>
        <v>0.45669926363034</v>
      </c>
      <c r="C236" s="11" t="n">
        <f aca="false">IF(B236="","",LN(B236))</f>
        <v>-0.783730171163098</v>
      </c>
      <c r="D236" s="13" t="n">
        <f aca="false">IF(OR(C236="",C235=""),"",C236-C235)</f>
        <v>-0.0403405958385968</v>
      </c>
      <c r="E236" s="12" t="n">
        <f aca="false">IF(Base!U236="","",Base!U236)</f>
        <v>80.11</v>
      </c>
      <c r="F236" s="11" t="n">
        <f aca="false">IF(E236="","",LN(E236))</f>
        <v>4.38340069022703</v>
      </c>
      <c r="G236" s="13" t="n">
        <f aca="false">IF(OR(F236="",F235=""),"",F236-F235)</f>
        <v>0.0680481888211366</v>
      </c>
      <c r="H236" s="10" t="n">
        <f aca="false">IF(COUNT(D$75:D235)&lt;36,"",SLOPE(D$75:D235,G$75:G235))</f>
        <v>0.0744743504817014</v>
      </c>
      <c r="I236" s="13" t="n">
        <f aca="false">IF(OR(D236="",H236="",G236=""),"",D236-H236*G236)</f>
        <v>-0.0454084405025072</v>
      </c>
      <c r="J236" s="10" t="n">
        <f aca="false">IF(COUNT(Senal!V224:V235)=0,"",AVERAGE(Senal!V224:V235))</f>
        <v>0.326620019845399</v>
      </c>
      <c r="K236" s="10" t="n">
        <f aca="false">IF(J236="","",ABS(J236))</f>
        <v>0.326620019845399</v>
      </c>
      <c r="L236" s="10" t="n">
        <f aca="false">IF(OR(J236="",J235=""),"",ABS(J236-J235))</f>
        <v>0.134897825071004</v>
      </c>
      <c r="M236" s="13" t="n">
        <f aca="false">IF(OR(J236="",I236=""),"",J236*I236-IF(L236="",0,L236)*Resumen!$B$8/10000)</f>
        <v>-0.0152359992132905</v>
      </c>
      <c r="N236" s="13" t="n">
        <f aca="false">IF(OR(J236="",D236=""),"",J236*D236-IF(L236="",0,L236)*Resumen!$B$8/10000)</f>
        <v>-0.0135807396885907</v>
      </c>
      <c r="O236" s="13" t="n">
        <f aca="false">IF(M236="","",IF(COUNT(O$2:O235)=0,M236,SUM(M$2:M236)))</f>
        <v>0.55537018519447</v>
      </c>
      <c r="P236" s="13" t="n">
        <f aca="false">IF(O236="","",MAX(O$2:O236))</f>
        <v>0.586148012364138</v>
      </c>
      <c r="Q236" s="13" t="n">
        <f aca="false">IF(O236="","",O236-P236)</f>
        <v>-0.0307778271696687</v>
      </c>
      <c r="R236" s="13" t="n">
        <f aca="false">IF(COUNT(I237:I237)&lt;1,"",SUM(I237:I237))</f>
        <v>0.0492626445212978</v>
      </c>
      <c r="S236" s="13" t="n">
        <f aca="false">IF(COUNT(I237:I239)&lt;3,"",SUM(I237:I239))</f>
        <v>-0.0973954542632401</v>
      </c>
      <c r="T236" s="13" t="n">
        <f aca="false">IF(COUNT(I237:I242)&lt;6,"",SUM(I237:I242))</f>
        <v>-0.00482280343328398</v>
      </c>
      <c r="U236" s="13" t="n">
        <f aca="false">IF(COUNT(I237:I248)&lt;12,"",SUM(I237:I248))</f>
        <v>-0.0485818851267487</v>
      </c>
      <c r="V236" s="13" t="n">
        <f aca="false">IF(N236="","",SUM(N$2:N236))</f>
        <v>0.534914483449371</v>
      </c>
      <c r="W236" s="13" t="n">
        <f aca="false">IF(V236="","",MAX(V$2:V236))</f>
        <v>0.565463592505851</v>
      </c>
      <c r="X236" s="13" t="n">
        <f aca="false">IF(V236="","",V236-W236)</f>
        <v>-0.0305491090564803</v>
      </c>
      <c r="Y236" s="13" t="n">
        <f aca="false">IF(COUNT(D237:D237)&lt;1,"",SUM(D237:D237))</f>
        <v>0.0545729425109184</v>
      </c>
      <c r="Z236" s="13" t="n">
        <f aca="false">IF(COUNT(D237:D239)&lt;3,"",SUM(D237:D239))</f>
        <v>-0.0882589282473897</v>
      </c>
      <c r="AA236" s="13" t="n">
        <f aca="false">IF(COUNT(D237:D242)&lt;6,"",SUM(D237:D242))</f>
        <v>-0.00464054317355955</v>
      </c>
      <c r="AB236" s="13" t="n">
        <f aca="false">IF(COUNT(D237:D248)&lt;12,"",SUM(D237:D248))</f>
        <v>-0.0442627279092803</v>
      </c>
    </row>
    <row r="237" customFormat="false" ht="15" hidden="false" customHeight="false" outlineLevel="0" collapsed="false">
      <c r="A237" s="8" t="n">
        <f aca="false">Base!A237</f>
        <v>45169</v>
      </c>
      <c r="B237" s="10" t="n">
        <f aca="false">IF(Base!T237="","",Base!T237)</f>
        <v>0.482315300368589</v>
      </c>
      <c r="C237" s="11" t="n">
        <f aca="false">IF(B237="","",LN(B237))</f>
        <v>-0.72915722865218</v>
      </c>
      <c r="D237" s="13" t="n">
        <f aca="false">IF(OR(C237="",C236=""),"",C237-C236)</f>
        <v>0.0545729425109184</v>
      </c>
      <c r="E237" s="12" t="n">
        <f aca="false">IF(Base!U237="","",Base!U237)</f>
        <v>86.15</v>
      </c>
      <c r="F237" s="11" t="n">
        <f aca="false">IF(E237="","",LN(E237))</f>
        <v>4.45608996297394</v>
      </c>
      <c r="G237" s="13" t="n">
        <f aca="false">IF(OR(F237="",F236=""),"",F237-F236)</f>
        <v>0.0726892727469126</v>
      </c>
      <c r="H237" s="10" t="n">
        <f aca="false">IF(COUNT(D$75:D236)&lt;36,"",SLOPE(D$75:D236,G$75:G236))</f>
        <v>0.0730547684540715</v>
      </c>
      <c r="I237" s="13" t="n">
        <f aca="false">IF(OR(D237="",H237="",G237=""),"",D237-H237*G237)</f>
        <v>0.0492626445212978</v>
      </c>
      <c r="J237" s="10" t="n">
        <f aca="false">IF(COUNT(Senal!V225:V236)=0,"",AVERAGE(Senal!V225:V236))</f>
        <v>0.207153449699157</v>
      </c>
      <c r="K237" s="10" t="n">
        <f aca="false">IF(J237="","",ABS(J237))</f>
        <v>0.207153449699157</v>
      </c>
      <c r="L237" s="10" t="n">
        <f aca="false">IF(OR(J237="",J236=""),"",ABS(J237-J236))</f>
        <v>0.119466570146242</v>
      </c>
      <c r="M237" s="13" t="n">
        <f aca="false">IF(OR(J237="",I237=""),"",J237*I237-IF(L237="",0,L237)*Resumen!$B$8/10000)</f>
        <v>0.00984652704345139</v>
      </c>
      <c r="N237" s="13" t="n">
        <f aca="false">IF(OR(J237="",D237=""),"",J237*D237-IF(L237="",0,L237)*Resumen!$B$8/10000)</f>
        <v>0.0109465735909318</v>
      </c>
      <c r="O237" s="13" t="n">
        <f aca="false">IF(M237="","",IF(COUNT(O$2:O236)=0,M237,SUM(M$2:M237)))</f>
        <v>0.565216712237921</v>
      </c>
      <c r="P237" s="13" t="n">
        <f aca="false">IF(O237="","",MAX(O$2:O237))</f>
        <v>0.586148012364138</v>
      </c>
      <c r="Q237" s="13" t="n">
        <f aca="false">IF(O237="","",O237-P237)</f>
        <v>-0.0209313001262174</v>
      </c>
      <c r="R237" s="13" t="n">
        <f aca="false">IF(COUNT(I238:I238)&lt;1,"",SUM(I238:I238))</f>
        <v>-0.0390936825096329</v>
      </c>
      <c r="S237" s="13" t="n">
        <f aca="false">IF(COUNT(I238:I240)&lt;3,"",SUM(I238:I240))</f>
        <v>0.0236471705089075</v>
      </c>
      <c r="T237" s="13" t="n">
        <f aca="false">IF(COUNT(I238:I243)&lt;6,"",SUM(I238:I243))</f>
        <v>-0.0513847855351443</v>
      </c>
      <c r="U237" s="13" t="n">
        <f aca="false">IF(COUNT(I238:I249)&lt;12,"",SUM(I238:I249))</f>
        <v>-0.065854654335765</v>
      </c>
      <c r="V237" s="13" t="n">
        <f aca="false">IF(N237="","",SUM(N$2:N237))</f>
        <v>0.545861057040303</v>
      </c>
      <c r="W237" s="13" t="n">
        <f aca="false">IF(V237="","",MAX(V$2:V237))</f>
        <v>0.565463592505851</v>
      </c>
      <c r="X237" s="13" t="n">
        <f aca="false">IF(V237="","",V237-W237)</f>
        <v>-0.0196025354655486</v>
      </c>
      <c r="Y237" s="13" t="n">
        <f aca="false">IF(COUNT(D238:D238)&lt;1,"",SUM(D238:D238))</f>
        <v>-0.0327784112083772</v>
      </c>
      <c r="Z237" s="13" t="n">
        <f aca="false">IF(COUNT(D238:D240)&lt;3,"",SUM(D238:D240))</f>
        <v>0.0208193436009676</v>
      </c>
      <c r="AA237" s="13" t="n">
        <f aca="false">IF(COUNT(D238:D243)&lt;6,"",SUM(D238:D243))</f>
        <v>-0.0537100945144099</v>
      </c>
      <c r="AB237" s="13" t="n">
        <f aca="false">IF(COUNT(D238:D249)&lt;12,"",SUM(D238:D249))</f>
        <v>-0.0707534373504208</v>
      </c>
    </row>
    <row r="238" customFormat="false" ht="15" hidden="false" customHeight="false" outlineLevel="0" collapsed="false">
      <c r="A238" s="8" t="n">
        <f aca="false">Base!A238</f>
        <v>45199</v>
      </c>
      <c r="B238" s="10" t="n">
        <f aca="false">IF(Base!T238="","",Base!T238)</f>
        <v>0.466762068770636</v>
      </c>
      <c r="C238" s="11" t="n">
        <f aca="false">IF(B238="","",LN(B238))</f>
        <v>-0.761935639860557</v>
      </c>
      <c r="D238" s="13" t="n">
        <f aca="false">IF(OR(C238="",C237=""),"",C238-C237)</f>
        <v>-0.0327784112083772</v>
      </c>
      <c r="E238" s="12" t="n">
        <f aca="false">IF(Base!U238="","",Base!U238)</f>
        <v>93.72</v>
      </c>
      <c r="F238" s="11" t="n">
        <f aca="false">IF(E238="","",LN(E238))</f>
        <v>4.5403116136396</v>
      </c>
      <c r="G238" s="13" t="n">
        <f aca="false">IF(OR(F238="",F237=""),"",F238-F237)</f>
        <v>0.0842216506656568</v>
      </c>
      <c r="H238" s="10" t="n">
        <f aca="false">IF(COUNT(D$75:D237)&lt;36,"",SLOPE(D$75:D237,G$75:G237))</f>
        <v>0.0749839411997044</v>
      </c>
      <c r="I238" s="13" t="n">
        <f aca="false">IF(OR(D238="",H238="",G238=""),"",D238-H238*G238)</f>
        <v>-0.0390936825096329</v>
      </c>
      <c r="J238" s="10" t="n">
        <f aca="false">IF(COUNT(Senal!V226:V237)=0,"",AVERAGE(Senal!V226:V237))</f>
        <v>0.123820116365824</v>
      </c>
      <c r="K238" s="10" t="n">
        <f aca="false">IF(J238="","",ABS(J238))</f>
        <v>0.123820116365824</v>
      </c>
      <c r="L238" s="10" t="n">
        <f aca="false">IF(OR(J238="",J237=""),"",ABS(J238-J237))</f>
        <v>0.0833333333333333</v>
      </c>
      <c r="M238" s="13" t="n">
        <f aca="false">IF(OR(J238="",I238=""),"",J238*I238-IF(L238="",0,L238)*Resumen!$B$8/10000)</f>
        <v>-0.00509058431751131</v>
      </c>
      <c r="N238" s="13" t="n">
        <f aca="false">IF(OR(J238="",D238=""),"",J238*D238-IF(L238="",0,L238)*Resumen!$B$8/10000)</f>
        <v>-0.00430862669010808</v>
      </c>
      <c r="O238" s="13" t="n">
        <f aca="false">IF(M238="","",IF(COUNT(O$2:O237)=0,M238,SUM(M$2:M238)))</f>
        <v>0.56012612792041</v>
      </c>
      <c r="P238" s="13" t="n">
        <f aca="false">IF(O238="","",MAX(O$2:O238))</f>
        <v>0.586148012364138</v>
      </c>
      <c r="Q238" s="13" t="n">
        <f aca="false">IF(O238="","",O238-P238)</f>
        <v>-0.0260218844437287</v>
      </c>
      <c r="R238" s="13" t="n">
        <f aca="false">IF(COUNT(I239:I239)&lt;1,"",SUM(I239:I239))</f>
        <v>-0.107564416274905</v>
      </c>
      <c r="S238" s="13" t="n">
        <f aca="false">IF(COUNT(I239:I241)&lt;3,"",SUM(I239:I241))</f>
        <v>0.0232900887072601</v>
      </c>
      <c r="T238" s="13" t="n">
        <f aca="false">IF(COUNT(I239:I244)&lt;6,"",SUM(I239:I244))</f>
        <v>-0.0690093468340462</v>
      </c>
      <c r="U238" s="13" t="n">
        <f aca="false">IF(COUNT(I239:I250)&lt;12,"",SUM(I239:I250))</f>
        <v>-0.116122589026778</v>
      </c>
      <c r="V238" s="13" t="n">
        <f aca="false">IF(N238="","",SUM(N$2:N238))</f>
        <v>0.541552430350195</v>
      </c>
      <c r="W238" s="13" t="n">
        <f aca="false">IF(V238="","",MAX(V$2:V238))</f>
        <v>0.565463592505851</v>
      </c>
      <c r="X238" s="13" t="n">
        <f aca="false">IF(V238="","",V238-W238)</f>
        <v>-0.0239111621556566</v>
      </c>
      <c r="Y238" s="13" t="n">
        <f aca="false">IF(COUNT(D239:D239)&lt;1,"",SUM(D239:D239))</f>
        <v>-0.110053459549931</v>
      </c>
      <c r="Z238" s="13" t="n">
        <f aca="false">IF(COUNT(D239:D241)&lt;3,"",SUM(D239:D241))</f>
        <v>0.00967590701347143</v>
      </c>
      <c r="AA238" s="13" t="n">
        <f aca="false">IF(COUNT(D239:D244)&lt;6,"",SUM(D239:D244))</f>
        <v>-0.0760875339214091</v>
      </c>
      <c r="AB238" s="13" t="n">
        <f aca="false">IF(COUNT(D239:D250)&lt;12,"",SUM(D239:D250))</f>
        <v>-0.132798196144277</v>
      </c>
    </row>
    <row r="239" customFormat="false" ht="15" hidden="false" customHeight="false" outlineLevel="0" collapsed="false">
      <c r="A239" s="8" t="n">
        <f aca="false">Base!A239</f>
        <v>45230</v>
      </c>
      <c r="B239" s="10" t="n">
        <f aca="false">IF(Base!T239="","",Base!T239)</f>
        <v>0.418119041213114</v>
      </c>
      <c r="C239" s="11" t="n">
        <f aca="false">IF(B239="","",LN(B239))</f>
        <v>-0.871989099410488</v>
      </c>
      <c r="D239" s="13" t="n">
        <f aca="false">IF(OR(C239="",C238=""),"",C239-C238)</f>
        <v>-0.110053459549931</v>
      </c>
      <c r="E239" s="12" t="n">
        <f aca="false">IF(Base!U239="","",Base!U239)</f>
        <v>90.6</v>
      </c>
      <c r="F239" s="11" t="n">
        <f aca="false">IF(E239="","",LN(E239))</f>
        <v>4.50645421304893</v>
      </c>
      <c r="G239" s="13" t="n">
        <f aca="false">IF(OR(F239="",F238=""),"",F239-F238)</f>
        <v>-0.0338574005906613</v>
      </c>
      <c r="H239" s="10" t="n">
        <f aca="false">IF(COUNT(D$75:D238)&lt;36,"",SLOPE(D$75:D238,G$75:G238))</f>
        <v>0.0735154864698126</v>
      </c>
      <c r="I239" s="13" t="n">
        <f aca="false">IF(OR(D239="",H239="",G239=""),"",D239-H239*G239)</f>
        <v>-0.107564416274905</v>
      </c>
      <c r="J239" s="10" t="n">
        <f aca="false">IF(COUNT(Senal!V227:V238)=0,"",AVERAGE(Senal!V227:V238))</f>
        <v>0.0481050279166829</v>
      </c>
      <c r="K239" s="10" t="n">
        <f aca="false">IF(J239="","",ABS(J239))</f>
        <v>0.0481050279166829</v>
      </c>
      <c r="L239" s="10" t="n">
        <f aca="false">IF(OR(J239="",J238=""),"",ABS(J239-J238))</f>
        <v>0.0757150884491408</v>
      </c>
      <c r="M239" s="13" t="n">
        <f aca="false">IF(OR(J239="",I239=""),"",J239*I239-IF(L239="",0,L239)*Resumen!$B$8/10000)</f>
        <v>-0.00540153451309343</v>
      </c>
      <c r="N239" s="13" t="n">
        <f aca="false">IF(OR(J239="",D239=""),"",J239*D239-IF(L239="",0,L239)*Resumen!$B$8/10000)</f>
        <v>-0.00552127000932437</v>
      </c>
      <c r="O239" s="13" t="n">
        <f aca="false">IF(M239="","",IF(COUNT(O$2:O238)=0,M239,SUM(M$2:M239)))</f>
        <v>0.554724593407316</v>
      </c>
      <c r="P239" s="13" t="n">
        <f aca="false">IF(O239="","",MAX(O$2:O239))</f>
        <v>0.586148012364138</v>
      </c>
      <c r="Q239" s="13" t="n">
        <f aca="false">IF(O239="","",O239-P239)</f>
        <v>-0.0314234189568221</v>
      </c>
      <c r="R239" s="13" t="n">
        <f aca="false">IF(COUNT(I240:I240)&lt;1,"",SUM(I240:I240))</f>
        <v>0.170305269293445</v>
      </c>
      <c r="S239" s="13" t="n">
        <f aca="false">IF(COUNT(I240:I242)&lt;3,"",SUM(I240:I242))</f>
        <v>0.0925726508299561</v>
      </c>
      <c r="T239" s="13" t="n">
        <f aca="false">IF(COUNT(I240:I245)&lt;6,"",SUM(I240:I245))</f>
        <v>0.0342517687239317</v>
      </c>
      <c r="U239" s="13" t="n">
        <f aca="false">IF(COUNT(I240:I251)&lt;12,"",SUM(I240:I251))</f>
        <v>0.0132328887559653</v>
      </c>
      <c r="V239" s="13" t="n">
        <f aca="false">IF(N239="","",SUM(N$2:N239))</f>
        <v>0.536031160340871</v>
      </c>
      <c r="W239" s="13" t="n">
        <f aca="false">IF(V239="","",MAX(V$2:V239))</f>
        <v>0.565463592505851</v>
      </c>
      <c r="X239" s="13" t="n">
        <f aca="false">IF(V239="","",V239-W239)</f>
        <v>-0.0294324321649809</v>
      </c>
      <c r="Y239" s="13" t="n">
        <f aca="false">IF(COUNT(D240:D240)&lt;1,"",SUM(D240:D240))</f>
        <v>0.163651214359276</v>
      </c>
      <c r="Z239" s="13" t="n">
        <f aca="false">IF(COUNT(D240:D242)&lt;3,"",SUM(D240:D242))</f>
        <v>0.0836183850738301</v>
      </c>
      <c r="AA239" s="13" t="n">
        <f aca="false">IF(COUNT(D240:D245)&lt;6,"",SUM(D240:D245))</f>
        <v>0.0331652611456648</v>
      </c>
      <c r="AB239" s="13" t="n">
        <f aca="false">IF(COUNT(D240:D251)&lt;12,"",SUM(D240:D251))</f>
        <v>0.000550437229021816</v>
      </c>
    </row>
    <row r="240" customFormat="false" ht="15" hidden="false" customHeight="false" outlineLevel="0" collapsed="false">
      <c r="A240" s="8" t="n">
        <f aca="false">Base!A240</f>
        <v>45260</v>
      </c>
      <c r="B240" s="10" t="n">
        <f aca="false">IF(Base!T240="","",Base!T240)</f>
        <v>0.492462046122008</v>
      </c>
      <c r="C240" s="11" t="n">
        <f aca="false">IF(B240="","",LN(B240))</f>
        <v>-0.708337885051212</v>
      </c>
      <c r="D240" s="13" t="n">
        <f aca="false">IF(OR(C240="",C239=""),"",C240-C239)</f>
        <v>0.163651214359276</v>
      </c>
      <c r="E240" s="12" t="n">
        <f aca="false">IF(Base!U240="","",Base!U240)</f>
        <v>82.94</v>
      </c>
      <c r="F240" s="11" t="n">
        <f aca="false">IF(E240="","",LN(E240))</f>
        <v>4.41811745481824</v>
      </c>
      <c r="G240" s="13" t="n">
        <f aca="false">IF(OR(F240="",F239=""),"",F240-F239)</f>
        <v>-0.0883367582306986</v>
      </c>
      <c r="H240" s="10" t="n">
        <f aca="false">IF(COUNT(D$75:D239)&lt;36,"",SLOPE(D$75:D239,G$75:G239))</f>
        <v>0.0753260032113939</v>
      </c>
      <c r="I240" s="13" t="n">
        <f aca="false">IF(OR(D240="",H240="",G240=""),"",D240-H240*G240)</f>
        <v>0.170305269293445</v>
      </c>
      <c r="J240" s="10" t="n">
        <f aca="false">IF(COUNT(Senal!V228:V239)=0,"",AVERAGE(Senal!V228:V239))</f>
        <v>-0.0281733842307897</v>
      </c>
      <c r="K240" s="10" t="n">
        <f aca="false">IF(J240="","",ABS(J240))</f>
        <v>0.0281733842307897</v>
      </c>
      <c r="L240" s="10" t="n">
        <f aca="false">IF(OR(J240="",J239=""),"",ABS(J240-J239))</f>
        <v>0.0762784121474726</v>
      </c>
      <c r="M240" s="13" t="n">
        <f aca="false">IF(OR(J240="",I240=""),"",J240*I240-IF(L240="",0,L240)*Resumen!$B$8/10000)</f>
        <v>-0.00502691102477476</v>
      </c>
      <c r="N240" s="13" t="n">
        <f aca="false">IF(OR(J240="",D240=""),"",J240*D240-IF(L240="",0,L240)*Resumen!$B$8/10000)</f>
        <v>-0.00483944377842162</v>
      </c>
      <c r="O240" s="13" t="n">
        <f aca="false">IF(M240="","",IF(COUNT(O$2:O239)=0,M240,SUM(M$2:M240)))</f>
        <v>0.549697682382541</v>
      </c>
      <c r="P240" s="13" t="n">
        <f aca="false">IF(O240="","",MAX(O$2:O240))</f>
        <v>0.586148012364138</v>
      </c>
      <c r="Q240" s="13" t="n">
        <f aca="false">IF(O240="","",O240-P240)</f>
        <v>-0.0364503299815969</v>
      </c>
      <c r="R240" s="13" t="n">
        <f aca="false">IF(COUNT(I241:I241)&lt;1,"",SUM(I241:I241))</f>
        <v>-0.0394507643112803</v>
      </c>
      <c r="S240" s="13" t="n">
        <f aca="false">IF(COUNT(I241:I243)&lt;3,"",SUM(I241:I243))</f>
        <v>-0.0750319560440518</v>
      </c>
      <c r="T240" s="13" t="n">
        <f aca="false">IF(COUNT(I241:I246)&lt;6,"",SUM(I241:I246))</f>
        <v>-0.129004798346211</v>
      </c>
      <c r="U240" s="13" t="n">
        <f aca="false">IF(COUNT(I241:I252)&lt;12,"",SUM(I241:I252))</f>
        <v>-0.0212574296960457</v>
      </c>
      <c r="V240" s="13" t="n">
        <f aca="false">IF(N240="","",SUM(N$2:N240))</f>
        <v>0.531191716562449</v>
      </c>
      <c r="W240" s="13" t="n">
        <f aca="false">IF(V240="","",MAX(V$2:V240))</f>
        <v>0.565463592505851</v>
      </c>
      <c r="X240" s="13" t="n">
        <f aca="false">IF(V240="","",V240-W240)</f>
        <v>-0.0342718759434025</v>
      </c>
      <c r="Y240" s="13" t="n">
        <f aca="false">IF(COUNT(D241:D241)&lt;1,"",SUM(D241:D241))</f>
        <v>-0.0439218477958734</v>
      </c>
      <c r="Z240" s="13" t="n">
        <f aca="false">IF(COUNT(D241:D243)&lt;3,"",SUM(D241:D243))</f>
        <v>-0.0745294381153775</v>
      </c>
      <c r="AA240" s="13" t="n">
        <f aca="false">IF(COUNT(D241:D246)&lt;6,"",SUM(D241:D246))</f>
        <v>-0.129908137999602</v>
      </c>
      <c r="AB240" s="13" t="n">
        <f aca="false">IF(COUNT(D241:D252)&lt;12,"",SUM(D241:D252))</f>
        <v>-0.0284837190896708</v>
      </c>
    </row>
    <row r="241" customFormat="false" ht="15" hidden="false" customHeight="false" outlineLevel="0" collapsed="false">
      <c r="A241" s="8" t="n">
        <f aca="false">Base!A241</f>
        <v>45291</v>
      </c>
      <c r="B241" s="10" t="n">
        <f aca="false">IF(Base!T241="","",Base!T241)</f>
        <v>0.471300335662509</v>
      </c>
      <c r="C241" s="11" t="n">
        <f aca="false">IF(B241="","",LN(B241))</f>
        <v>-0.752259732847086</v>
      </c>
      <c r="D241" s="13" t="n">
        <f aca="false">IF(OR(C241="",C240=""),"",C241-C240)</f>
        <v>-0.0439218477958734</v>
      </c>
      <c r="E241" s="12" t="n">
        <f aca="false">IF(Base!U241="","",Base!U241)</f>
        <v>77.63</v>
      </c>
      <c r="F241" s="11" t="n">
        <f aca="false">IF(E241="","",LN(E241))</f>
        <v>4.35195395041759</v>
      </c>
      <c r="G241" s="13" t="n">
        <f aca="false">IF(OR(F241="",F240=""),"",F241-F240)</f>
        <v>-0.0661635044006461</v>
      </c>
      <c r="H241" s="10" t="n">
        <f aca="false">IF(COUNT(D$75:D240)&lt;36,"",SLOPE(D$75:D240,G$75:G240))</f>
        <v>0.0675762797798458</v>
      </c>
      <c r="I241" s="13" t="n">
        <f aca="false">IF(OR(D241="",H241="",G241=""),"",D241-H241*G241)</f>
        <v>-0.0394507643112803</v>
      </c>
      <c r="J241" s="10" t="n">
        <f aca="false">IF(COUNT(Senal!V229:V240)=0,"",AVERAGE(Senal!V229:V240))</f>
        <v>-0.0885550558984221</v>
      </c>
      <c r="K241" s="10" t="n">
        <f aca="false">IF(J241="","",ABS(J241))</f>
        <v>0.0885550558984221</v>
      </c>
      <c r="L241" s="10" t="n">
        <f aca="false">IF(OR(J241="",J240=""),"",ABS(J241-J240))</f>
        <v>0.0603816716676324</v>
      </c>
      <c r="M241" s="13" t="n">
        <f aca="false">IF(OR(J241="",I241=""),"",J241*I241-IF(L241="",0,L241)*Resumen!$B$8/10000)</f>
        <v>0.003312419623818</v>
      </c>
      <c r="N241" s="13" t="n">
        <f aca="false">IF(OR(J241="",D241=""),"",J241*D241-IF(L241="",0,L241)*Resumen!$B$8/10000)</f>
        <v>0.00370835667172266</v>
      </c>
      <c r="O241" s="13" t="n">
        <f aca="false">IF(M241="","",IF(COUNT(O$2:O240)=0,M241,SUM(M$2:M241)))</f>
        <v>0.55301010200636</v>
      </c>
      <c r="P241" s="13" t="n">
        <f aca="false">IF(O241="","",MAX(O$2:O241))</f>
        <v>0.586148012364138</v>
      </c>
      <c r="Q241" s="13" t="n">
        <f aca="false">IF(O241="","",O241-P241)</f>
        <v>-0.0331379103577788</v>
      </c>
      <c r="R241" s="13" t="n">
        <f aca="false">IF(COUNT(I242:I242)&lt;1,"",SUM(I242:I242))</f>
        <v>-0.038281854152209</v>
      </c>
      <c r="S241" s="13" t="n">
        <f aca="false">IF(COUNT(I242:I244)&lt;3,"",SUM(I242:I244))</f>
        <v>-0.0922994355413063</v>
      </c>
      <c r="T241" s="13" t="n">
        <f aca="false">IF(COUNT(I242:I247)&lt;6,"",SUM(I242:I247))</f>
        <v>-0.0927293201629263</v>
      </c>
      <c r="U241" s="13" t="n">
        <f aca="false">IF(COUNT(I242:I253)&lt;12,"",SUM(I242:I253))</f>
        <v>-0.0163795778869758</v>
      </c>
      <c r="V241" s="13" t="n">
        <f aca="false">IF(N241="","",SUM(N$2:N241))</f>
        <v>0.534900073234171</v>
      </c>
      <c r="W241" s="13" t="n">
        <f aca="false">IF(V241="","",MAX(V$2:V241))</f>
        <v>0.565463592505851</v>
      </c>
      <c r="X241" s="13" t="n">
        <f aca="false">IF(V241="","",V241-W241)</f>
        <v>-0.03056351927168</v>
      </c>
      <c r="Y241" s="13" t="n">
        <f aca="false">IF(COUNT(D242:D242)&lt;1,"",SUM(D242:D242))</f>
        <v>-0.0361109814895722</v>
      </c>
      <c r="Z241" s="13" t="n">
        <f aca="false">IF(COUNT(D242:D244)&lt;3,"",SUM(D242:D244))</f>
        <v>-0.0857634409348805</v>
      </c>
      <c r="AA241" s="13" t="n">
        <f aca="false">IF(COUNT(D242:D247)&lt;6,"",SUM(D242:D247))</f>
        <v>-0.0887515759943393</v>
      </c>
      <c r="AB241" s="13" t="n">
        <f aca="false">IF(COUNT(D242:D253)&lt;12,"",SUM(D242:D253))</f>
        <v>-0.0195911214328132</v>
      </c>
    </row>
    <row r="242" customFormat="false" ht="15" hidden="false" customHeight="false" outlineLevel="0" collapsed="false">
      <c r="A242" s="8" t="n">
        <f aca="false">Base!A242</f>
        <v>45322</v>
      </c>
      <c r="B242" s="10" t="n">
        <f aca="false">IF(Base!T242="","",Base!T242)</f>
        <v>0.454584840809767</v>
      </c>
      <c r="C242" s="11" t="n">
        <f aca="false">IF(B242="","",LN(B242))</f>
        <v>-0.788370714336658</v>
      </c>
      <c r="D242" s="13" t="n">
        <f aca="false">IF(OR(C242="",C241=""),"",C242-C241)</f>
        <v>-0.0361109814895722</v>
      </c>
      <c r="E242" s="12" t="n">
        <f aca="false">IF(Base!U242="","",Base!U242)</f>
        <v>80.12</v>
      </c>
      <c r="F242" s="11" t="n">
        <f aca="false">IF(E242="","",LN(E242))</f>
        <v>4.38352551079762</v>
      </c>
      <c r="G242" s="13" t="n">
        <f aca="false">IF(OR(F242="",F241=""),"",F242-F241)</f>
        <v>0.0315715603800282</v>
      </c>
      <c r="H242" s="10" t="n">
        <f aca="false">IF(COUNT(D$75:D241)&lt;36,"",SLOPE(D$75:D241,G$75:G241))</f>
        <v>0.0687603855022046</v>
      </c>
      <c r="I242" s="13" t="n">
        <f aca="false">IF(OR(D242="",H242="",G242=""),"",D242-H242*G242)</f>
        <v>-0.038281854152209</v>
      </c>
      <c r="J242" s="10" t="n">
        <f aca="false">IF(COUNT(Senal!V230:V241)=0,"",AVERAGE(Senal!V230:V241))</f>
        <v>-0.125409481624413</v>
      </c>
      <c r="K242" s="10" t="n">
        <f aca="false">IF(J242="","",ABS(J242))</f>
        <v>0.125409481624413</v>
      </c>
      <c r="L242" s="10" t="n">
        <f aca="false">IF(OR(J242="",J241=""),"",ABS(J242-J241))</f>
        <v>0.0368544257259906</v>
      </c>
      <c r="M242" s="13" t="n">
        <f aca="false">IF(OR(J242="",I242=""),"",J242*I242-IF(L242="",0,L242)*Resumen!$B$8/10000)</f>
        <v>0.00469034420767193</v>
      </c>
      <c r="N242" s="13" t="n">
        <f aca="false">IF(OR(J242="",D242=""),"",J242*D242-IF(L242="",0,L242)*Resumen!$B$8/10000)</f>
        <v>0.00441809619237804</v>
      </c>
      <c r="O242" s="13" t="n">
        <f aca="false">IF(M242="","",IF(COUNT(O$2:O241)=0,M242,SUM(M$2:M242)))</f>
        <v>0.557700446214031</v>
      </c>
      <c r="P242" s="13" t="n">
        <f aca="false">IF(O242="","",MAX(O$2:O242))</f>
        <v>0.586148012364138</v>
      </c>
      <c r="Q242" s="13" t="n">
        <f aca="false">IF(O242="","",O242-P242)</f>
        <v>-0.0284475661501069</v>
      </c>
      <c r="R242" s="13" t="n">
        <f aca="false">IF(COUNT(I243:I243)&lt;1,"",SUM(I243:I243))</f>
        <v>0.00270066241943748</v>
      </c>
      <c r="S242" s="13" t="n">
        <f aca="false">IF(COUNT(I243:I245)&lt;3,"",SUM(I243:I245))</f>
        <v>-0.0583208821060244</v>
      </c>
      <c r="T242" s="13" t="n">
        <f aca="false">IF(COUNT(I243:I248)&lt;6,"",SUM(I243:I248))</f>
        <v>-0.0437590816934647</v>
      </c>
      <c r="U242" s="13" t="n">
        <f aca="false">IF(COUNT(I243:I254)&lt;12,"",SUM(I243:I254))</f>
        <v>-0.0277290549947304</v>
      </c>
      <c r="V242" s="13" t="n">
        <f aca="false">IF(N242="","",SUM(N$2:N242))</f>
        <v>0.53931816942655</v>
      </c>
      <c r="W242" s="13" t="n">
        <f aca="false">IF(V242="","",MAX(V$2:V242))</f>
        <v>0.565463592505851</v>
      </c>
      <c r="X242" s="13" t="n">
        <f aca="false">IF(V242="","",V242-W242)</f>
        <v>-0.0261454230793019</v>
      </c>
      <c r="Y242" s="13" t="n">
        <f aca="false">IF(COUNT(D243:D243)&lt;1,"",SUM(D243:D243))</f>
        <v>0.00550339117006804</v>
      </c>
      <c r="Z242" s="13" t="n">
        <f aca="false">IF(COUNT(D243:D245)&lt;3,"",SUM(D243:D245))</f>
        <v>-0.0504531239281654</v>
      </c>
      <c r="AA242" s="13" t="n">
        <f aca="false">IF(COUNT(D243:D248)&lt;6,"",SUM(D243:D248))</f>
        <v>-0.0396221847357208</v>
      </c>
      <c r="AB242" s="13" t="n">
        <f aca="false">IF(COUNT(D243:D254)&lt;12,"",SUM(D243:D254))</f>
        <v>-0.0282260363556688</v>
      </c>
    </row>
    <row r="243" customFormat="false" ht="15" hidden="false" customHeight="false" outlineLevel="0" collapsed="false">
      <c r="A243" s="8" t="n">
        <f aca="false">Base!A243</f>
        <v>45351</v>
      </c>
      <c r="B243" s="10" t="n">
        <f aca="false">IF(Base!T243="","",Base!T243)</f>
        <v>0.457093495731701</v>
      </c>
      <c r="C243" s="11" t="n">
        <f aca="false">IF(B243="","",LN(B243))</f>
        <v>-0.78286732316659</v>
      </c>
      <c r="D243" s="13" t="n">
        <f aca="false">IF(OR(C243="",C242=""),"",C243-C242)</f>
        <v>0.00550339117006804</v>
      </c>
      <c r="E243" s="12" t="n">
        <f aca="false">IF(Base!U243="","",Base!U243)</f>
        <v>83.48</v>
      </c>
      <c r="F243" s="11" t="n">
        <f aca="false">IF(E243="","",LN(E243))</f>
        <v>4.424607082209</v>
      </c>
      <c r="G243" s="13" t="n">
        <f aca="false">IF(OR(F243="",F242=""),"",F243-F242)</f>
        <v>0.0410815714113832</v>
      </c>
      <c r="H243" s="10" t="n">
        <f aca="false">IF(COUNT(D$75:D242)&lt;36,"",SLOPE(D$75:D242,G$75:G242))</f>
        <v>0.0682235039785735</v>
      </c>
      <c r="I243" s="13" t="n">
        <f aca="false">IF(OR(D243="",H243="",G243=""),"",D243-H243*G243)</f>
        <v>0.00270066241943748</v>
      </c>
      <c r="J243" s="10" t="n">
        <f aca="false">IF(COUNT(Senal!V231:V242)=0,"",AVERAGE(Senal!V231:V242))</f>
        <v>-0.125409481624413</v>
      </c>
      <c r="K243" s="10" t="n">
        <f aca="false">IF(J243="","",ABS(J243))</f>
        <v>0.125409481624413</v>
      </c>
      <c r="L243" s="10" t="n">
        <f aca="false">IF(OR(J243="",J242=""),"",ABS(J243-J242))</f>
        <v>0</v>
      </c>
      <c r="M243" s="13" t="n">
        <f aca="false">IF(OR(J243="",I243=""),"",J243*I243-IF(L243="",0,L243)*Resumen!$B$8/10000)</f>
        <v>-0.000338688674064187</v>
      </c>
      <c r="N243" s="13" t="n">
        <f aca="false">IF(OR(J243="",D243=""),"",J243*D243-IF(L243="",0,L243)*Resumen!$B$8/10000)</f>
        <v>-0.000690177433814603</v>
      </c>
      <c r="O243" s="13" t="n">
        <f aca="false">IF(M243="","",IF(COUNT(O$2:O242)=0,M243,SUM(M$2:M243)))</f>
        <v>0.557361757539967</v>
      </c>
      <c r="P243" s="13" t="n">
        <f aca="false">IF(O243="","",MAX(O$2:O243))</f>
        <v>0.586148012364138</v>
      </c>
      <c r="Q243" s="13" t="n">
        <f aca="false">IF(O243="","",O243-P243)</f>
        <v>-0.0287862548241711</v>
      </c>
      <c r="R243" s="13" t="n">
        <f aca="false">IF(COUNT(I244:I244)&lt;1,"",SUM(I244:I244))</f>
        <v>-0.0567182438085348</v>
      </c>
      <c r="S243" s="13" t="n">
        <f aca="false">IF(COUNT(I244:I246)&lt;3,"",SUM(I244:I246))</f>
        <v>-0.0539728423021593</v>
      </c>
      <c r="T243" s="13" t="n">
        <f aca="false">IF(COUNT(I244:I249)&lt;6,"",SUM(I244:I249))</f>
        <v>-0.0144698688006207</v>
      </c>
      <c r="U243" s="13" t="n">
        <f aca="false">IF(COUNT(I244:I255)&lt;12,"",SUM(I244:I255))</f>
        <v>0.00499018458797307</v>
      </c>
      <c r="V243" s="13" t="n">
        <f aca="false">IF(N243="","",SUM(N$2:N243))</f>
        <v>0.538627991992735</v>
      </c>
      <c r="W243" s="13" t="n">
        <f aca="false">IF(V243="","",MAX(V$2:V243))</f>
        <v>0.565463592505851</v>
      </c>
      <c r="X243" s="13" t="n">
        <f aca="false">IF(V243="","",V243-W243)</f>
        <v>-0.0268356005131165</v>
      </c>
      <c r="Y243" s="13" t="n">
        <f aca="false">IF(COUNT(D244:D244)&lt;1,"",SUM(D244:D244))</f>
        <v>-0.0551558506153764</v>
      </c>
      <c r="Z243" s="13" t="n">
        <f aca="false">IF(COUNT(D244:D246)&lt;3,"",SUM(D244:D246))</f>
        <v>-0.0553786998842244</v>
      </c>
      <c r="AA243" s="13" t="n">
        <f aca="false">IF(COUNT(D244:D249)&lt;6,"",SUM(D244:D249))</f>
        <v>-0.0170433428360109</v>
      </c>
      <c r="AB243" s="13" t="n">
        <f aca="false">IF(COUNT(D244:D255)&lt;12,"",SUM(D244:D255))</f>
        <v>-0.0016534398305541</v>
      </c>
    </row>
    <row r="244" customFormat="false" ht="15" hidden="false" customHeight="false" outlineLevel="0" collapsed="false">
      <c r="A244" s="8" t="n">
        <f aca="false">Base!A244</f>
        <v>45382</v>
      </c>
      <c r="B244" s="10" t="n">
        <f aca="false">IF(Base!T244="","",Base!T244)</f>
        <v>0.432564784194742</v>
      </c>
      <c r="C244" s="11" t="n">
        <f aca="false">IF(B244="","",LN(B244))</f>
        <v>-0.838023173781966</v>
      </c>
      <c r="D244" s="13" t="n">
        <f aca="false">IF(OR(C244="",C243=""),"",C244-C243)</f>
        <v>-0.0551558506153764</v>
      </c>
      <c r="E244" s="12" t="n">
        <f aca="false">IF(Base!U244="","",Base!U244)</f>
        <v>85.41</v>
      </c>
      <c r="F244" s="11" t="n">
        <f aca="false">IF(E244="","",LN(E244))</f>
        <v>4.44746318995806</v>
      </c>
      <c r="G244" s="13" t="n">
        <f aca="false">IF(OR(F244="",F243=""),"",F244-F243)</f>
        <v>0.022856107749055</v>
      </c>
      <c r="H244" s="10" t="n">
        <f aca="false">IF(COUNT(D$75:D243)&lt;36,"",SLOPE(D$75:D243,G$75:G243))</f>
        <v>0.0683577978504654</v>
      </c>
      <c r="I244" s="13" t="n">
        <f aca="false">IF(OR(D244="",H244="",G244=""),"",D244-H244*G244)</f>
        <v>-0.0567182438085348</v>
      </c>
      <c r="J244" s="10" t="n">
        <f aca="false">IF(COUNT(Senal!V232:V243)=0,"",AVERAGE(Senal!V232:V243))</f>
        <v>-0.125409481624413</v>
      </c>
      <c r="K244" s="10" t="n">
        <f aca="false">IF(J244="","",ABS(J244))</f>
        <v>0.125409481624413</v>
      </c>
      <c r="L244" s="10" t="n">
        <f aca="false">IF(OR(J244="",J243=""),"",ABS(J244-J243))</f>
        <v>0</v>
      </c>
      <c r="M244" s="13" t="n">
        <f aca="false">IF(OR(J244="",I244=""),"",J244*I244-IF(L244="",0,L244)*Resumen!$B$8/10000)</f>
        <v>0.0071130055546754</v>
      </c>
      <c r="N244" s="13" t="n">
        <f aca="false">IF(OR(J244="",D244=""),"",J244*D244-IF(L244="",0,L244)*Resumen!$B$8/10000)</f>
        <v>0.0069170666342279</v>
      </c>
      <c r="O244" s="13" t="n">
        <f aca="false">IF(M244="","",IF(COUNT(O$2:O243)=0,M244,SUM(M$2:M244)))</f>
        <v>0.564474763094643</v>
      </c>
      <c r="P244" s="13" t="n">
        <f aca="false">IF(O244="","",MAX(O$2:O244))</f>
        <v>0.586148012364138</v>
      </c>
      <c r="Q244" s="13" t="n">
        <f aca="false">IF(O244="","",O244-P244)</f>
        <v>-0.0216732492694957</v>
      </c>
      <c r="R244" s="13" t="n">
        <f aca="false">IF(COUNT(I245:I245)&lt;1,"",SUM(I245:I245))</f>
        <v>-0.00430330071692713</v>
      </c>
      <c r="S244" s="13" t="n">
        <f aca="false">IF(COUNT(I245:I247)&lt;3,"",SUM(I245:I247))</f>
        <v>-0.000429884621619972</v>
      </c>
      <c r="T244" s="13" t="n">
        <f aca="false">IF(COUNT(I245:I250)&lt;6,"",SUM(I245:I250))</f>
        <v>-0.0471132421927316</v>
      </c>
      <c r="U244" s="13" t="n">
        <f aca="false">IF(COUNT(I245:I256)&lt;12,"",SUM(I245:I256))</f>
        <v>0.103225493767966</v>
      </c>
      <c r="V244" s="13" t="n">
        <f aca="false">IF(N244="","",SUM(N$2:N244))</f>
        <v>0.545545058626963</v>
      </c>
      <c r="W244" s="13" t="n">
        <f aca="false">IF(V244="","",MAX(V$2:V244))</f>
        <v>0.565463592505851</v>
      </c>
      <c r="X244" s="13" t="n">
        <f aca="false">IF(V244="","",V244-W244)</f>
        <v>-0.0199185338788886</v>
      </c>
      <c r="Y244" s="13" t="n">
        <f aca="false">IF(COUNT(D245:D245)&lt;1,"",SUM(D245:D245))</f>
        <v>-0.000800664482856983</v>
      </c>
      <c r="Z244" s="13" t="n">
        <f aca="false">IF(COUNT(D245:D247)&lt;3,"",SUM(D245:D247))</f>
        <v>-0.00298813505945872</v>
      </c>
      <c r="AA244" s="13" t="n">
        <f aca="false">IF(COUNT(D245:D250)&lt;6,"",SUM(D245:D250))</f>
        <v>-0.0567106622228675</v>
      </c>
      <c r="AB244" s="13" t="n">
        <f aca="false">IF(COUNT(D245:D256)&lt;12,"",SUM(D245:D256))</f>
        <v>0.0925839794186855</v>
      </c>
    </row>
    <row r="245" customFormat="false" ht="15" hidden="false" customHeight="false" outlineLevel="0" collapsed="false">
      <c r="A245" s="8" t="n">
        <f aca="false">Base!A245</f>
        <v>45412</v>
      </c>
      <c r="B245" s="10" t="n">
        <f aca="false">IF(Base!T245="","",Base!T245)</f>
        <v>0.432218583549277</v>
      </c>
      <c r="C245" s="11" t="n">
        <f aca="false">IF(B245="","",LN(B245))</f>
        <v>-0.838823838264823</v>
      </c>
      <c r="D245" s="13" t="n">
        <f aca="false">IF(OR(C245="",C244=""),"",C245-C244)</f>
        <v>-0.000800664482856983</v>
      </c>
      <c r="E245" s="12" t="n">
        <f aca="false">IF(Base!U245="","",Base!U245)</f>
        <v>89.94</v>
      </c>
      <c r="F245" s="11" t="n">
        <f aca="false">IF(E245="","",LN(E245))</f>
        <v>4.49914278134256</v>
      </c>
      <c r="G245" s="13" t="n">
        <f aca="false">IF(OR(F245="",F244=""),"",F245-F244)</f>
        <v>0.0516795913845058</v>
      </c>
      <c r="H245" s="10" t="n">
        <f aca="false">IF(COUNT(D$75:D244)&lt;36,"",SLOPE(D$75:D244,G$75:G244))</f>
        <v>0.0677760048064211</v>
      </c>
      <c r="I245" s="13" t="n">
        <f aca="false">IF(OR(D245="",H245="",G245=""),"",D245-H245*G245)</f>
        <v>-0.00430330071692713</v>
      </c>
      <c r="J245" s="10" t="n">
        <f aca="false">IF(COUNT(Senal!V233:V244)=0,"",AVERAGE(Senal!V233:V244))</f>
        <v>-0.0777643589242336</v>
      </c>
      <c r="K245" s="10" t="n">
        <f aca="false">IF(J245="","",ABS(J245))</f>
        <v>0.0777643589242336</v>
      </c>
      <c r="L245" s="10" t="n">
        <f aca="false">IF(OR(J245="",J244=""),"",ABS(J245-J244))</f>
        <v>0.0476451227001791</v>
      </c>
      <c r="M245" s="13" t="n">
        <f aca="false">IF(OR(J245="",I245=""),"",J245*I245-IF(L245="",0,L245)*Resumen!$B$8/10000)</f>
        <v>0.000191708053409496</v>
      </c>
      <c r="N245" s="13" t="n">
        <f aca="false">IF(OR(J245="",D245=""),"",J245*D245-IF(L245="",0,L245)*Resumen!$B$8/10000)</f>
        <v>-8.0672207877761E-005</v>
      </c>
      <c r="O245" s="13" t="n">
        <f aca="false">IF(M245="","",IF(COUNT(O$2:O244)=0,M245,SUM(M$2:M245)))</f>
        <v>0.564666471148052</v>
      </c>
      <c r="P245" s="13" t="n">
        <f aca="false">IF(O245="","",MAX(O$2:O245))</f>
        <v>0.586148012364138</v>
      </c>
      <c r="Q245" s="13" t="n">
        <f aca="false">IF(O245="","",O245-P245)</f>
        <v>-0.0214815412160861</v>
      </c>
      <c r="R245" s="13" t="n">
        <f aca="false">IF(COUNT(I246:I246)&lt;1,"",SUM(I246:I246))</f>
        <v>0.00704870222330257</v>
      </c>
      <c r="S245" s="13" t="n">
        <f aca="false">IF(COUNT(I246:I248)&lt;3,"",SUM(I246:I248))</f>
        <v>0.0145618004125598</v>
      </c>
      <c r="T245" s="13" t="n">
        <f aca="false">IF(COUNT(I246:I251)&lt;6,"",SUM(I246:I251))</f>
        <v>-0.0210188799679664</v>
      </c>
      <c r="U245" s="13" t="n">
        <f aca="false">IF(COUNT(I246:I257)&lt;12,"",SUM(I246:I257))</f>
        <v>0.00386918040106581</v>
      </c>
      <c r="V245" s="13" t="n">
        <f aca="false">IF(N245="","",SUM(N$2:N245))</f>
        <v>0.545464386419085</v>
      </c>
      <c r="W245" s="13" t="n">
        <f aca="false">IF(V245="","",MAX(V$2:V245))</f>
        <v>0.565463592505851</v>
      </c>
      <c r="X245" s="13" t="n">
        <f aca="false">IF(V245="","",V245-W245)</f>
        <v>-0.0199992060867664</v>
      </c>
      <c r="Y245" s="13" t="n">
        <f aca="false">IF(COUNT(D246:D246)&lt;1,"",SUM(D246:D246))</f>
        <v>0.000577815214009014</v>
      </c>
      <c r="Z245" s="13" t="n">
        <f aca="false">IF(COUNT(D246:D248)&lt;3,"",SUM(D246:D248))</f>
        <v>0.0108309391924446</v>
      </c>
      <c r="AA245" s="13" t="n">
        <f aca="false">IF(COUNT(D246:D251)&lt;6,"",SUM(D246:D251))</f>
        <v>-0.0326148239166429</v>
      </c>
      <c r="AB245" s="13" t="n">
        <f aca="false">IF(COUNT(D246:D257)&lt;12,"",SUM(D246:D257))</f>
        <v>-0.014572229710153</v>
      </c>
    </row>
    <row r="246" customFormat="false" ht="15" hidden="false" customHeight="false" outlineLevel="0" collapsed="false">
      <c r="A246" s="8" t="n">
        <f aca="false">Base!A246</f>
        <v>45443</v>
      </c>
      <c r="B246" s="10" t="n">
        <f aca="false">IF(Base!T246="","",Base!T246)</f>
        <v>0.432468398189029</v>
      </c>
      <c r="C246" s="11" t="n">
        <f aca="false">IF(B246="","",LN(B246))</f>
        <v>-0.838246023050814</v>
      </c>
      <c r="D246" s="13" t="n">
        <f aca="false">IF(OR(C246="",C245=""),"",C246-C245)</f>
        <v>0.000577815214009014</v>
      </c>
      <c r="E246" s="12" t="n">
        <f aca="false">IF(Base!U246="","",Base!U246)</f>
        <v>81.75</v>
      </c>
      <c r="F246" s="11" t="n">
        <f aca="false">IF(E246="","",LN(E246))</f>
        <v>4.40366580977736</v>
      </c>
      <c r="G246" s="13" t="n">
        <f aca="false">IF(OR(F246="",F245=""),"",F246-F245)</f>
        <v>-0.0954769715651986</v>
      </c>
      <c r="H246" s="10" t="n">
        <f aca="false">IF(COUNT(D$75:D245)&lt;36,"",SLOPE(D$75:D245,G$75:G245))</f>
        <v>0.0677743219460492</v>
      </c>
      <c r="I246" s="13" t="n">
        <f aca="false">IF(OR(D246="",H246="",G246=""),"",D246-H246*G246)</f>
        <v>0.00704870222330257</v>
      </c>
      <c r="J246" s="10" t="n">
        <f aca="false">IF(COUNT(Senal!V234:V245)=0,"",AVERAGE(Senal!V234:V245))</f>
        <v>-0.0385136536441044</v>
      </c>
      <c r="K246" s="10" t="n">
        <f aca="false">IF(J246="","",ABS(J246))</f>
        <v>0.0385136536441044</v>
      </c>
      <c r="L246" s="10" t="n">
        <f aca="false">IF(OR(J246="",J245=""),"",ABS(J246-J245))</f>
        <v>0.0392507052801292</v>
      </c>
      <c r="M246" s="13" t="n">
        <f aca="false">IF(OR(J246="",I246=""),"",J246*I246-IF(L246="",0,L246)*Resumen!$B$8/10000)</f>
        <v>-0.000389223391909092</v>
      </c>
      <c r="N246" s="13" t="n">
        <f aca="false">IF(OR(J246="",D246=""),"",J246*D246-IF(L246="",0,L246)*Resumen!$B$8/10000)</f>
        <v>-0.000140005890863025</v>
      </c>
      <c r="O246" s="13" t="n">
        <f aca="false">IF(M246="","",IF(COUNT(O$2:O245)=0,M246,SUM(M$2:M246)))</f>
        <v>0.564277247756143</v>
      </c>
      <c r="P246" s="13" t="n">
        <f aca="false">IF(O246="","",MAX(O$2:O246))</f>
        <v>0.586148012364138</v>
      </c>
      <c r="Q246" s="13" t="n">
        <f aca="false">IF(O246="","",O246-P246)</f>
        <v>-0.0218707646079952</v>
      </c>
      <c r="R246" s="13" t="n">
        <f aca="false">IF(COUNT(I247:I247)&lt;1,"",SUM(I247:I247))</f>
        <v>-0.00317528612799541</v>
      </c>
      <c r="S246" s="13" t="n">
        <f aca="false">IF(COUNT(I247:I249)&lt;3,"",SUM(I247:I249))</f>
        <v>0.0395029735015387</v>
      </c>
      <c r="T246" s="13" t="n">
        <f aca="false">IF(COUNT(I247:I252)&lt;6,"",SUM(I247:I252))</f>
        <v>0.107747368650165</v>
      </c>
      <c r="U246" s="13" t="n">
        <f aca="false">IF(COUNT(I247:I258)&lt;12,"",SUM(I247:I258))</f>
        <v>0.0602147553169909</v>
      </c>
      <c r="V246" s="13" t="n">
        <f aca="false">IF(N246="","",SUM(N$2:N246))</f>
        <v>0.545324380528222</v>
      </c>
      <c r="W246" s="13" t="n">
        <f aca="false">IF(V246="","",MAX(V$2:V246))</f>
        <v>0.565463592505851</v>
      </c>
      <c r="X246" s="13" t="n">
        <f aca="false">IF(V246="","",V246-W246)</f>
        <v>-0.0201392119776294</v>
      </c>
      <c r="Y246" s="13" t="n">
        <f aca="false">IF(COUNT(D247:D247)&lt;1,"",SUM(D247:D247))</f>
        <v>-0.00276528579061075</v>
      </c>
      <c r="Z246" s="13" t="n">
        <f aca="false">IF(COUNT(D247:D249)&lt;3,"",SUM(D247:D249))</f>
        <v>0.0383353570482135</v>
      </c>
      <c r="AA246" s="13" t="n">
        <f aca="false">IF(COUNT(D247:D252)&lt;6,"",SUM(D247:D252))</f>
        <v>0.101424418909931</v>
      </c>
      <c r="AB246" s="13" t="n">
        <f aca="false">IF(COUNT(D247:D258)&lt;12,"",SUM(D247:D258))</f>
        <v>0.0444162728566484</v>
      </c>
    </row>
    <row r="247" customFormat="false" ht="15" hidden="false" customHeight="false" outlineLevel="0" collapsed="false">
      <c r="A247" s="8" t="n">
        <f aca="false">Base!A247</f>
        <v>45473</v>
      </c>
      <c r="B247" s="10" t="n">
        <f aca="false">IF(Base!T247="","",Base!T247)</f>
        <v>0.431274151450411</v>
      </c>
      <c r="C247" s="11" t="n">
        <f aca="false">IF(B247="","",LN(B247))</f>
        <v>-0.841011308841425</v>
      </c>
      <c r="D247" s="13" t="n">
        <f aca="false">IF(OR(C247="",C246=""),"",C247-C246)</f>
        <v>-0.00276528579061075</v>
      </c>
      <c r="E247" s="12" t="n">
        <f aca="false">IF(Base!U247="","",Base!U247)</f>
        <v>82.25</v>
      </c>
      <c r="F247" s="11" t="n">
        <f aca="false">IF(E247="","",LN(E247))</f>
        <v>4.40976338964548</v>
      </c>
      <c r="G247" s="13" t="n">
        <f aca="false">IF(OR(F247="",F246=""),"",F247-F246)</f>
        <v>0.00609757986811843</v>
      </c>
      <c r="H247" s="10" t="n">
        <f aca="false">IF(COUNT(D$75:D246)&lt;36,"",SLOPE(D$75:D246,G$75:G246))</f>
        <v>0.0672398469970639</v>
      </c>
      <c r="I247" s="13" t="n">
        <f aca="false">IF(OR(D247="",H247="",G247=""),"",D247-H247*G247)</f>
        <v>-0.00317528612799541</v>
      </c>
      <c r="J247" s="10" t="n">
        <f aca="false">IF(COUNT(Senal!V235:V246)=0,"",AVERAGE(Senal!V235:V246))</f>
        <v>-0.000801900570271482</v>
      </c>
      <c r="K247" s="10" t="n">
        <f aca="false">IF(J247="","",ABS(J247))</f>
        <v>0.000801900570271482</v>
      </c>
      <c r="L247" s="10" t="n">
        <f aca="false">IF(OR(J247="",J246=""),"",ABS(J247-J246))</f>
        <v>0.037711753073833</v>
      </c>
      <c r="M247" s="13" t="n">
        <f aca="false">IF(OR(J247="",I247=""),"",J247*I247-IF(L247="",0,L247)*Resumen!$B$8/10000)</f>
        <v>-0.000110588995464684</v>
      </c>
      <c r="N247" s="13" t="n">
        <f aca="false">IF(OR(J247="",D247=""),"",J247*D247-IF(L247="",0,L247)*Resumen!$B$8/10000)</f>
        <v>-0.000110917774969044</v>
      </c>
      <c r="O247" s="13" t="n">
        <f aca="false">IF(M247="","",IF(COUNT(O$2:O246)=0,M247,SUM(M$2:M247)))</f>
        <v>0.564166658760678</v>
      </c>
      <c r="P247" s="13" t="n">
        <f aca="false">IF(O247="","",MAX(O$2:O247))</f>
        <v>0.586148012364138</v>
      </c>
      <c r="Q247" s="13" t="n">
        <f aca="false">IF(O247="","",O247-P247)</f>
        <v>-0.02198135360346</v>
      </c>
      <c r="R247" s="13" t="n">
        <f aca="false">IF(COUNT(I248:I248)&lt;1,"",SUM(I248:I248))</f>
        <v>0.0106883843172526</v>
      </c>
      <c r="S247" s="13" t="n">
        <f aca="false">IF(COUNT(I248:I250)&lt;3,"",SUM(I248:I250))</f>
        <v>-0.0466833575711116</v>
      </c>
      <c r="T247" s="13" t="n">
        <f aca="false">IF(COUNT(I248:I253)&lt;6,"",SUM(I248:I253))</f>
        <v>0.0763497422759505</v>
      </c>
      <c r="U247" s="13" t="n">
        <f aca="false">IF(COUNT(I248:I259)&lt;12,"",SUM(I248:I259))</f>
        <v>0.102778194597694</v>
      </c>
      <c r="V247" s="13" t="n">
        <f aca="false">IF(N247="","",SUM(N$2:N247))</f>
        <v>0.545213462753253</v>
      </c>
      <c r="W247" s="13" t="n">
        <f aca="false">IF(V247="","",MAX(V$2:V247))</f>
        <v>0.565463592505851</v>
      </c>
      <c r="X247" s="13" t="n">
        <f aca="false">IF(V247="","",V247-W247)</f>
        <v>-0.0202501297525984</v>
      </c>
      <c r="Y247" s="13" t="n">
        <f aca="false">IF(COUNT(D248:D248)&lt;1,"",SUM(D248:D248))</f>
        <v>0.0130184097690463</v>
      </c>
      <c r="Z247" s="13" t="n">
        <f aca="false">IF(COUNT(D248:D250)&lt;3,"",SUM(D248:D250))</f>
        <v>-0.0537225271634088</v>
      </c>
      <c r="AA247" s="13" t="n">
        <f aca="false">IF(COUNT(D248:D253)&lt;6,"",SUM(D248:D253))</f>
        <v>0.0691604545615261</v>
      </c>
      <c r="AB247" s="13" t="n">
        <f aca="false">IF(COUNT(D248:D259)&lt;12,"",SUM(D248:D259))</f>
        <v>0.0934836296312861</v>
      </c>
    </row>
    <row r="248" customFormat="false" ht="15" hidden="false" customHeight="false" outlineLevel="0" collapsed="false">
      <c r="A248" s="8" t="n">
        <f aca="false">Base!A248</f>
        <v>45504</v>
      </c>
      <c r="B248" s="10" t="n">
        <f aca="false">IF(Base!T248="","",Base!T248)</f>
        <v>0.436925360138784</v>
      </c>
      <c r="C248" s="11" t="n">
        <f aca="false">IF(B248="","",LN(B248))</f>
        <v>-0.827992899072379</v>
      </c>
      <c r="D248" s="13" t="n">
        <f aca="false">IF(OR(C248="",C247=""),"",C248-C247)</f>
        <v>0.0130184097690463</v>
      </c>
      <c r="E248" s="12" t="n">
        <f aca="false">IF(Base!U248="","",Base!U248)</f>
        <v>85.15</v>
      </c>
      <c r="F248" s="11" t="n">
        <f aca="false">IF(E248="","",LN(E248))</f>
        <v>4.4444144071087</v>
      </c>
      <c r="G248" s="13" t="n">
        <f aca="false">IF(OR(F248="",F247=""),"",F248-F247)</f>
        <v>0.034651017463216</v>
      </c>
      <c r="H248" s="10" t="n">
        <f aca="false">IF(COUNT(D$75:D247)&lt;36,"",SLOPE(D$75:D247,G$75:G247))</f>
        <v>0.0672426272696666</v>
      </c>
      <c r="I248" s="13" t="n">
        <f aca="false">IF(OR(D248="",H248="",G248=""),"",D248-H248*G248)</f>
        <v>0.0106883843172526</v>
      </c>
      <c r="J248" s="10" t="n">
        <f aca="false">IF(COUNT(Senal!V236:V247)=0,"",AVERAGE(Senal!V236:V247))</f>
        <v>0.0507625911673994</v>
      </c>
      <c r="K248" s="10" t="n">
        <f aca="false">IF(J248="","",ABS(J248))</f>
        <v>0.0507625911673994</v>
      </c>
      <c r="L248" s="10" t="n">
        <f aca="false">IF(OR(J248="",J247=""),"",ABS(J248-J247))</f>
        <v>0.0515644917376709</v>
      </c>
      <c r="M248" s="13" t="n">
        <f aca="false">IF(OR(J248="",I248=""),"",J248*I248-IF(L248="",0,L248)*Resumen!$B$8/10000)</f>
        <v>0.000387876608123724</v>
      </c>
      <c r="N248" s="13" t="n">
        <f aca="false">IF(OR(J248="",D248=""),"",J248*D248-IF(L248="",0,L248)*Resumen!$B$8/10000)</f>
        <v>0.000506154737542765</v>
      </c>
      <c r="O248" s="13" t="n">
        <f aca="false">IF(M248="","",IF(COUNT(O$2:O247)=0,M248,SUM(M$2:M248)))</f>
        <v>0.564554535368802</v>
      </c>
      <c r="P248" s="13" t="n">
        <f aca="false">IF(O248="","",MAX(O$2:O248))</f>
        <v>0.586148012364138</v>
      </c>
      <c r="Q248" s="13" t="n">
        <f aca="false">IF(O248="","",O248-P248)</f>
        <v>-0.0215934769953363</v>
      </c>
      <c r="R248" s="13" t="n">
        <f aca="false">IF(COUNT(I249:I249)&lt;1,"",SUM(I249:I249))</f>
        <v>0.0319898753122815</v>
      </c>
      <c r="S248" s="13" t="n">
        <f aca="false">IF(COUNT(I249:I251)&lt;3,"",SUM(I249:I251))</f>
        <v>-0.0355806803805261</v>
      </c>
      <c r="T248" s="13" t="n">
        <f aca="false">IF(COUNT(I249:I254)&lt;6,"",SUM(I249:I254))</f>
        <v>0.0160300266987343</v>
      </c>
      <c r="U248" s="13" t="n">
        <f aca="false">IF(COUNT(I249:I260)&lt;12,"",SUM(I249:I260))</f>
        <v>0.106467309660019</v>
      </c>
      <c r="V248" s="13" t="n">
        <f aca="false">IF(N248="","",SUM(N$2:N248))</f>
        <v>0.545719617490796</v>
      </c>
      <c r="W248" s="13" t="n">
        <f aca="false">IF(V248="","",MAX(V$2:V248))</f>
        <v>0.565463592505851</v>
      </c>
      <c r="X248" s="13" t="n">
        <f aca="false">IF(V248="","",V248-W248)</f>
        <v>-0.0197439750150556</v>
      </c>
      <c r="Y248" s="13" t="n">
        <f aca="false">IF(COUNT(D249:D249)&lt;1,"",SUM(D249:D249))</f>
        <v>0.0280822330697779</v>
      </c>
      <c r="Z248" s="13" t="n">
        <f aca="false">IF(COUNT(D249:D251)&lt;3,"",SUM(D249:D251))</f>
        <v>-0.0434457631090875</v>
      </c>
      <c r="AA248" s="13" t="n">
        <f aca="false">IF(COUNT(D249:D254)&lt;6,"",SUM(D249:D254))</f>
        <v>0.011396148380052</v>
      </c>
      <c r="AB248" s="13" t="n">
        <f aca="false">IF(COUNT(D249:D260)&lt;12,"",SUM(D249:D260))</f>
        <v>0.0944536283000901</v>
      </c>
    </row>
    <row r="249" customFormat="false" ht="15" hidden="false" customHeight="false" outlineLevel="0" collapsed="false">
      <c r="A249" s="8" t="n">
        <f aca="false">Base!A249</f>
        <v>45535</v>
      </c>
      <c r="B249" s="10" t="n">
        <f aca="false">IF(Base!T249="","",Base!T249)</f>
        <v>0.449369106262736</v>
      </c>
      <c r="C249" s="11" t="n">
        <f aca="false">IF(B249="","",LN(B249))</f>
        <v>-0.799910666002601</v>
      </c>
      <c r="D249" s="13" t="n">
        <f aca="false">IF(OR(C249="",C248=""),"",C249-C248)</f>
        <v>0.0280822330697779</v>
      </c>
      <c r="E249" s="12" t="n">
        <f aca="false">IF(Base!U249="","",Base!U249)</f>
        <v>80.36</v>
      </c>
      <c r="F249" s="11" t="n">
        <f aca="false">IF(E249="","",LN(E249))</f>
        <v>4.38651653994673</v>
      </c>
      <c r="G249" s="13" t="n">
        <f aca="false">IF(OR(F249="",F248=""),"",F249-F248)</f>
        <v>-0.0578978671619632</v>
      </c>
      <c r="H249" s="10" t="n">
        <f aca="false">IF(COUNT(D$75:D248)&lt;36,"",SLOPE(D$75:D248,G$75:G248))</f>
        <v>0.0674919894988951</v>
      </c>
      <c r="I249" s="13" t="n">
        <f aca="false">IF(OR(D249="",H249="",G249=""),"",D249-H249*G249)</f>
        <v>0.0319898753122815</v>
      </c>
      <c r="J249" s="10" t="n">
        <f aca="false">IF(COUNT(Senal!V237:V248)=0,"",AVERAGE(Senal!V237:V248))</f>
        <v>0.0868958279803083</v>
      </c>
      <c r="K249" s="10" t="n">
        <f aca="false">IF(J249="","",ABS(J249))</f>
        <v>0.0868958279803083</v>
      </c>
      <c r="L249" s="10" t="n">
        <f aca="false">IF(OR(J249="",J248=""),"",ABS(J249-J248))</f>
        <v>0.0361332368129089</v>
      </c>
      <c r="M249" s="13" t="n">
        <f aca="false">IF(OR(J249="",I249=""),"",J249*I249-IF(L249="",0,L249)*Resumen!$B$8/10000)</f>
        <v>0.0026713869918088</v>
      </c>
      <c r="N249" s="13" t="n">
        <f aca="false">IF(OR(J249="",D249=""),"",J249*D249-IF(L249="",0,L249)*Resumen!$B$8/10000)</f>
        <v>0.00233182918369562</v>
      </c>
      <c r="O249" s="13" t="n">
        <f aca="false">IF(M249="","",IF(COUNT(O$2:O248)=0,M249,SUM(M$2:M249)))</f>
        <v>0.567225922360611</v>
      </c>
      <c r="P249" s="13" t="n">
        <f aca="false">IF(O249="","",MAX(O$2:O249))</f>
        <v>0.586148012364138</v>
      </c>
      <c r="Q249" s="13" t="n">
        <f aca="false">IF(O249="","",O249-P249)</f>
        <v>-0.0189220900035274</v>
      </c>
      <c r="R249" s="13" t="n">
        <f aca="false">IF(COUNT(I250:I250)&lt;1,"",SUM(I250:I250))</f>
        <v>-0.0893616172006457</v>
      </c>
      <c r="S249" s="13" t="n">
        <f aca="false">IF(COUNT(I250:I252)&lt;3,"",SUM(I250:I252))</f>
        <v>0.0682443951486268</v>
      </c>
      <c r="T249" s="13" t="n">
        <f aca="false">IF(COUNT(I250:I255)&lt;6,"",SUM(I250:I255))</f>
        <v>0.0194600533885937</v>
      </c>
      <c r="U249" s="13" t="n">
        <f aca="false">IF(COUNT(I250:I261)&lt;12,"",SUM(I250:I261))</f>
        <v>0.150720934772932</v>
      </c>
      <c r="V249" s="13" t="n">
        <f aca="false">IF(N249="","",SUM(N$2:N249))</f>
        <v>0.548051446674491</v>
      </c>
      <c r="W249" s="13" t="n">
        <f aca="false">IF(V249="","",MAX(V$2:V249))</f>
        <v>0.565463592505851</v>
      </c>
      <c r="X249" s="13" t="n">
        <f aca="false">IF(V249="","",V249-W249)</f>
        <v>-0.0174121458313601</v>
      </c>
      <c r="Y249" s="13" t="n">
        <f aca="false">IF(COUNT(D250:D250)&lt;1,"",SUM(D250:D250))</f>
        <v>-0.094823170002233</v>
      </c>
      <c r="Z249" s="13" t="n">
        <f aca="false">IF(COUNT(D250:D252)&lt;3,"",SUM(D250:D252))</f>
        <v>0.0630890618617176</v>
      </c>
      <c r="AA249" s="13" t="n">
        <f aca="false">IF(COUNT(D250:D255)&lt;6,"",SUM(D250:D255))</f>
        <v>0.0153899030054568</v>
      </c>
      <c r="AB249" s="13" t="n">
        <f aca="false">IF(COUNT(D250:D261)&lt;12,"",SUM(D250:D261))</f>
        <v>0.139453615071461</v>
      </c>
    </row>
    <row r="250" customFormat="false" ht="15" hidden="false" customHeight="false" outlineLevel="0" collapsed="false">
      <c r="A250" s="8" t="n">
        <f aca="false">Base!A250</f>
        <v>45565</v>
      </c>
      <c r="B250" s="10" t="n">
        <f aca="false">IF(Base!T250="","",Base!T250)</f>
        <v>0.408716369746592</v>
      </c>
      <c r="C250" s="11" t="n">
        <f aca="false">IF(B250="","",LN(B250))</f>
        <v>-0.894733836004834</v>
      </c>
      <c r="D250" s="13" t="n">
        <f aca="false">IF(OR(C250="",C249=""),"",C250-C249)</f>
        <v>-0.094823170002233</v>
      </c>
      <c r="E250" s="12" t="n">
        <f aca="false">IF(Base!U250="","",Base!U250)</f>
        <v>74.02</v>
      </c>
      <c r="F250" s="11" t="n">
        <f aca="false">IF(E250="","",LN(E250))</f>
        <v>4.30433532695801</v>
      </c>
      <c r="G250" s="13" t="n">
        <f aca="false">IF(OR(F250="",F249=""),"",F250-F249)</f>
        <v>-0.0821812129887238</v>
      </c>
      <c r="H250" s="10" t="n">
        <f aca="false">IF(COUNT(D$75:D249)&lt;36,"",SLOPE(D$75:D249,G$75:G249))</f>
        <v>0.0664574372044934</v>
      </c>
      <c r="I250" s="13" t="n">
        <f aca="false">IF(OR(D250="",H250="",G250=""),"",D250-H250*G250)</f>
        <v>-0.0893616172006457</v>
      </c>
      <c r="J250" s="10" t="n">
        <f aca="false">IF(COUNT(Senal!V238:V249)=0,"",AVERAGE(Senal!V238:V249))</f>
        <v>0.0868958279803083</v>
      </c>
      <c r="K250" s="10" t="n">
        <f aca="false">IF(J250="","",ABS(J250))</f>
        <v>0.0868958279803083</v>
      </c>
      <c r="L250" s="10" t="n">
        <f aca="false">IF(OR(J250="",J249=""),"",ABS(J250-J249))</f>
        <v>0</v>
      </c>
      <c r="M250" s="13" t="n">
        <f aca="false">IF(OR(J250="",I250=""),"",J250*I250-IF(L250="",0,L250)*Resumen!$B$8/10000)</f>
        <v>-0.00776515171630947</v>
      </c>
      <c r="N250" s="13" t="n">
        <f aca="false">IF(OR(J250="",D250=""),"",J250*D250-IF(L250="",0,L250)*Resumen!$B$8/10000)</f>
        <v>-0.00823973786906156</v>
      </c>
      <c r="O250" s="13" t="n">
        <f aca="false">IF(M250="","",IF(COUNT(O$2:O249)=0,M250,SUM(M$2:M250)))</f>
        <v>0.559460770644301</v>
      </c>
      <c r="P250" s="13" t="n">
        <f aca="false">IF(O250="","",MAX(O$2:O250))</f>
        <v>0.586148012364138</v>
      </c>
      <c r="Q250" s="13" t="n">
        <f aca="false">IF(O250="","",O250-P250)</f>
        <v>-0.0266872417198368</v>
      </c>
      <c r="R250" s="13" t="n">
        <f aca="false">IF(COUNT(I251:I251)&lt;1,"",SUM(I251:I251))</f>
        <v>0.0217910615078381</v>
      </c>
      <c r="S250" s="13" t="n">
        <f aca="false">IF(COUNT(I251:I253)&lt;3,"",SUM(I251:I253))</f>
        <v>0.123033099847062</v>
      </c>
      <c r="T250" s="13" t="n">
        <f aca="false">IF(COUNT(I251:I256)&lt;6,"",SUM(I251:I256))</f>
        <v>0.150338735960698</v>
      </c>
      <c r="U250" s="13" t="n">
        <f aca="false">IF(COUNT(I251:I262)&lt;12,"",SUM(I251:I262))</f>
        <v>0.268514374087029</v>
      </c>
      <c r="V250" s="13" t="n">
        <f aca="false">IF(N250="","",SUM(N$2:N250))</f>
        <v>0.53981170880543</v>
      </c>
      <c r="W250" s="13" t="n">
        <f aca="false">IF(V250="","",MAX(V$2:V250))</f>
        <v>0.565463592505851</v>
      </c>
      <c r="X250" s="13" t="n">
        <f aca="false">IF(V250="","",V250-W250)</f>
        <v>-0.0256518837004216</v>
      </c>
      <c r="Y250" s="13" t="n">
        <f aca="false">IF(COUNT(D251:D251)&lt;1,"",SUM(D251:D251))</f>
        <v>0.0232951738233675</v>
      </c>
      <c r="Z250" s="13" t="n">
        <f aca="false">IF(COUNT(D251:D253)&lt;3,"",SUM(D251:D253))</f>
        <v>0.122882981724935</v>
      </c>
      <c r="AA250" s="13" t="n">
        <f aca="false">IF(COUNT(D251:D256)&lt;6,"",SUM(D251:D256))</f>
        <v>0.149294641641553</v>
      </c>
      <c r="AB250" s="13" t="n">
        <f aca="false">IF(COUNT(D251:D262)&lt;12,"",SUM(D251:D262))</f>
        <v>0.262827881349809</v>
      </c>
    </row>
    <row r="251" customFormat="false" ht="15" hidden="false" customHeight="false" outlineLevel="0" collapsed="false">
      <c r="A251" s="8" t="n">
        <f aca="false">Base!A251</f>
        <v>45596</v>
      </c>
      <c r="B251" s="10" t="n">
        <f aca="false">IF(Base!T251="","",Base!T251)</f>
        <v>0.418349252852276</v>
      </c>
      <c r="C251" s="11" t="n">
        <f aca="false">IF(B251="","",LN(B251))</f>
        <v>-0.871438662181466</v>
      </c>
      <c r="D251" s="13" t="n">
        <f aca="false">IF(OR(C251="",C250=""),"",C251-C250)</f>
        <v>0.0232951738233675</v>
      </c>
      <c r="E251" s="12" t="n">
        <f aca="false">IF(Base!U251="","",Base!U251)</f>
        <v>75.63</v>
      </c>
      <c r="F251" s="11" t="n">
        <f aca="false">IF(E251="","",LN(E251))</f>
        <v>4.32585302986794</v>
      </c>
      <c r="G251" s="13" t="n">
        <f aca="false">IF(OR(F251="",F250=""),"",F251-F250)</f>
        <v>0.0215177029099278</v>
      </c>
      <c r="H251" s="10" t="n">
        <f aca="false">IF(COUNT(D$75:D250)&lt;36,"",SLOPE(D$75:D250,G$75:G250))</f>
        <v>0.0699011563560288</v>
      </c>
      <c r="I251" s="13" t="n">
        <f aca="false">IF(OR(D251="",H251="",G251=""),"",D251-H251*G251)</f>
        <v>0.0217910615078381</v>
      </c>
      <c r="J251" s="10" t="n">
        <f aca="false">IF(COUNT(Senal!V239:V250)=0,"",AVERAGE(Senal!V239:V250))</f>
        <v>0.0868958279803083</v>
      </c>
      <c r="K251" s="10" t="n">
        <f aca="false">IF(J251="","",ABS(J251))</f>
        <v>0.0868958279803083</v>
      </c>
      <c r="L251" s="10" t="n">
        <f aca="false">IF(OR(J251="",J250=""),"",ABS(J251-J250))</f>
        <v>0</v>
      </c>
      <c r="M251" s="13" t="n">
        <f aca="false">IF(OR(J251="",I251=""),"",J251*I251-IF(L251="",0,L251)*Resumen!$B$8/10000)</f>
        <v>0.00189355233229342</v>
      </c>
      <c r="N251" s="13" t="n">
        <f aca="false">IF(OR(J251="",D251=""),"",J251*D251-IF(L251="",0,L251)*Resumen!$B$8/10000)</f>
        <v>0.00202425341732673</v>
      </c>
      <c r="O251" s="13" t="n">
        <f aca="false">IF(M251="","",IF(COUNT(O$2:O250)=0,M251,SUM(M$2:M251)))</f>
        <v>0.561354322976595</v>
      </c>
      <c r="P251" s="13" t="n">
        <f aca="false">IF(O251="","",MAX(O$2:O251))</f>
        <v>0.586148012364138</v>
      </c>
      <c r="Q251" s="13" t="n">
        <f aca="false">IF(O251="","",O251-P251)</f>
        <v>-0.0247936893875436</v>
      </c>
      <c r="R251" s="13" t="n">
        <f aca="false">IF(COUNT(I252:I252)&lt;1,"",SUM(I252:I252))</f>
        <v>0.135814950841434</v>
      </c>
      <c r="S251" s="13" t="n">
        <f aca="false">IF(COUNT(I252:I254)&lt;3,"",SUM(I252:I254))</f>
        <v>0.0516107070792604</v>
      </c>
      <c r="T251" s="13" t="n">
        <f aca="false">IF(COUNT(I252:I257)&lt;6,"",SUM(I252:I257))</f>
        <v>0.0248880603690322</v>
      </c>
      <c r="U251" s="13" t="n">
        <f aca="false">IF(COUNT(I252:I263)&lt;12,"",SUM(I252:I263))</f>
        <v>0.0928228037095391</v>
      </c>
      <c r="V251" s="13" t="n">
        <f aca="false">IF(N251="","",SUM(N$2:N251))</f>
        <v>0.541835962222757</v>
      </c>
      <c r="W251" s="13" t="n">
        <f aca="false">IF(V251="","",MAX(V$2:V251))</f>
        <v>0.565463592505851</v>
      </c>
      <c r="X251" s="13" t="n">
        <f aca="false">IF(V251="","",V251-W251)</f>
        <v>-0.0236276302830949</v>
      </c>
      <c r="Y251" s="13" t="n">
        <f aca="false">IF(COUNT(D252:D252)&lt;1,"",SUM(D252:D252))</f>
        <v>0.134617058040583</v>
      </c>
      <c r="Z251" s="13" t="n">
        <f aca="false">IF(COUNT(D252:D254)&lt;3,"",SUM(D252:D254))</f>
        <v>0.0548419114891395</v>
      </c>
      <c r="AA251" s="13" t="n">
        <f aca="false">IF(COUNT(D252:D257)&lt;6,"",SUM(D252:D257))</f>
        <v>0.0180425942064899</v>
      </c>
      <c r="AB251" s="13" t="n">
        <f aca="false">IF(COUNT(D252:D263)&lt;12,"",SUM(D252:D263))</f>
        <v>0.082114243518705</v>
      </c>
    </row>
    <row r="252" customFormat="false" ht="15" hidden="false" customHeight="false" outlineLevel="0" collapsed="false">
      <c r="A252" s="8" t="n">
        <f aca="false">Base!A252</f>
        <v>45626</v>
      </c>
      <c r="B252" s="10" t="n">
        <f aca="false">IF(Base!T252="","",Base!T252)</f>
        <v>0.478632784919897</v>
      </c>
      <c r="C252" s="11" t="n">
        <f aca="false">IF(B252="","",LN(B252))</f>
        <v>-0.736821604140883</v>
      </c>
      <c r="D252" s="13" t="n">
        <f aca="false">IF(OR(C252="",C251=""),"",C252-C251)</f>
        <v>0.134617058040583</v>
      </c>
      <c r="E252" s="12" t="n">
        <f aca="false">IF(Base!U252="","",Base!U252)</f>
        <v>74.35</v>
      </c>
      <c r="F252" s="11" t="n">
        <f aca="false">IF(E252="","",LN(E252))</f>
        <v>4.30878367290616</v>
      </c>
      <c r="G252" s="13" t="n">
        <f aca="false">IF(OR(F252="",F251=""),"",F252-F251)</f>
        <v>-0.0170693569617741</v>
      </c>
      <c r="H252" s="10" t="n">
        <f aca="false">IF(COUNT(D$75:D251)&lt;36,"",SLOPE(D$75:D251,G$75:G251))</f>
        <v>0.0701779688323353</v>
      </c>
      <c r="I252" s="13" t="n">
        <f aca="false">IF(OR(D252="",H252="",G252=""),"",D252-H252*G252)</f>
        <v>0.135814950841434</v>
      </c>
      <c r="J252" s="10" t="n">
        <f aca="false">IF(COUNT(Senal!V240:V251)=0,"",AVERAGE(Senal!V240:V251))</f>
        <v>0.0868958279803083</v>
      </c>
      <c r="K252" s="10" t="n">
        <f aca="false">IF(J252="","",ABS(J252))</f>
        <v>0.0868958279803083</v>
      </c>
      <c r="L252" s="10" t="n">
        <f aca="false">IF(OR(J252="",J251=""),"",ABS(J252-J251))</f>
        <v>0</v>
      </c>
      <c r="M252" s="13" t="n">
        <f aca="false">IF(OR(J252="",I252=""),"",J252*I252-IF(L252="",0,L252)*Resumen!$B$8/10000)</f>
        <v>0.0118017526054713</v>
      </c>
      <c r="N252" s="13" t="n">
        <f aca="false">IF(OR(J252="",D252=""),"",J252*D252-IF(L252="",0,L252)*Resumen!$B$8/10000)</f>
        <v>0.0116976607187097</v>
      </c>
      <c r="O252" s="13" t="n">
        <f aca="false">IF(M252="","",IF(COUNT(O$2:O251)=0,M252,SUM(M$2:M252)))</f>
        <v>0.573156075582066</v>
      </c>
      <c r="P252" s="13" t="n">
        <f aca="false">IF(O252="","",MAX(O$2:O252))</f>
        <v>0.586148012364138</v>
      </c>
      <c r="Q252" s="13" t="n">
        <f aca="false">IF(O252="","",O252-P252)</f>
        <v>-0.0129919367820721</v>
      </c>
      <c r="R252" s="13" t="n">
        <f aca="false">IF(COUNT(I253:I253)&lt;1,"",SUM(I253:I253))</f>
        <v>-0.0345729125022104</v>
      </c>
      <c r="S252" s="13" t="n">
        <f aca="false">IF(COUNT(I253:I255)&lt;3,"",SUM(I253:I255))</f>
        <v>-0.048784341760033</v>
      </c>
      <c r="T252" s="13" t="n">
        <f aca="false">IF(COUNT(I253:I258)&lt;6,"",SUM(I253:I258))</f>
        <v>-0.0475326133331745</v>
      </c>
      <c r="U252" s="13" t="n">
        <f aca="false">IF(COUNT(I253:I264)&lt;12,"",SUM(I253:I264))</f>
        <v>-0.0258131232671258</v>
      </c>
      <c r="V252" s="13" t="n">
        <f aca="false">IF(N252="","",SUM(N$2:N252))</f>
        <v>0.553533622941466</v>
      </c>
      <c r="W252" s="13" t="n">
        <f aca="false">IF(V252="","",MAX(V$2:V252))</f>
        <v>0.565463592505851</v>
      </c>
      <c r="X252" s="13" t="n">
        <f aca="false">IF(V252="","",V252-W252)</f>
        <v>-0.0119299695643852</v>
      </c>
      <c r="Y252" s="13" t="n">
        <f aca="false">IF(COUNT(D253:D253)&lt;1,"",SUM(D253:D253))</f>
        <v>-0.0350292501390157</v>
      </c>
      <c r="Z252" s="13" t="n">
        <f aca="false">IF(COUNT(D253:D255)&lt;3,"",SUM(D253:D255))</f>
        <v>-0.0476991588562608</v>
      </c>
      <c r="AA252" s="13" t="n">
        <f aca="false">IF(COUNT(D253:D258)&lt;6,"",SUM(D253:D258))</f>
        <v>-0.0570081460532826</v>
      </c>
      <c r="AB252" s="13" t="n">
        <f aca="false">IF(COUNT(D253:D264)&lt;12,"",SUM(D253:D264))</f>
        <v>-0.0361460104335353</v>
      </c>
    </row>
    <row r="253" customFormat="false" ht="15" hidden="false" customHeight="false" outlineLevel="0" collapsed="false">
      <c r="A253" s="8" t="n">
        <f aca="false">Base!A253</f>
        <v>45657</v>
      </c>
      <c r="B253" s="10" t="n">
        <f aca="false">IF(Base!T253="","",Base!T253)</f>
        <v>0.462156891166076</v>
      </c>
      <c r="C253" s="11" t="n">
        <f aca="false">IF(B253="","",LN(B253))</f>
        <v>-0.771850854279899</v>
      </c>
      <c r="D253" s="13" t="n">
        <f aca="false">IF(OR(C253="",C252=""),"",C253-C252)</f>
        <v>-0.0350292501390157</v>
      </c>
      <c r="E253" s="12" t="n">
        <f aca="false">IF(Base!U253="","",Base!U253)</f>
        <v>73.86</v>
      </c>
      <c r="F253" s="11" t="n">
        <f aca="false">IF(E253="","",LN(E253))</f>
        <v>4.30217140942442</v>
      </c>
      <c r="G253" s="13" t="n">
        <f aca="false">IF(OR(F253="",F252=""),"",F253-F252)</f>
        <v>-0.00661226348174626</v>
      </c>
      <c r="H253" s="10" t="n">
        <f aca="false">IF(COUNT(D$75:D252)&lt;36,"",SLOPE(D$75:D252,G$75:G252))</f>
        <v>0.0690138313551947</v>
      </c>
      <c r="I253" s="13" t="n">
        <f aca="false">IF(OR(D253="",H253="",G253=""),"",D253-H253*G253)</f>
        <v>-0.0345729125022104</v>
      </c>
      <c r="J253" s="10" t="n">
        <f aca="false">IF(COUNT(Senal!V241:V252)=0,"",AVERAGE(Senal!V241:V252))</f>
        <v>0.0868958279803083</v>
      </c>
      <c r="K253" s="10" t="n">
        <f aca="false">IF(J253="","",ABS(J253))</f>
        <v>0.0868958279803083</v>
      </c>
      <c r="L253" s="10" t="n">
        <f aca="false">IF(OR(J253="",J252=""),"",ABS(J253-J252))</f>
        <v>0</v>
      </c>
      <c r="M253" s="13" t="n">
        <f aca="false">IF(OR(J253="",I253=""),"",J253*I253-IF(L253="",0,L253)*Resumen!$B$8/10000)</f>
        <v>-0.00300424185757032</v>
      </c>
      <c r="N253" s="13" t="n">
        <f aca="false">IF(OR(J253="",D253=""),"",J253*D253-IF(L253="",0,L253)*Resumen!$B$8/10000)</f>
        <v>-0.0030438956943591</v>
      </c>
      <c r="O253" s="13" t="n">
        <f aca="false">IF(M253="","",IF(COUNT(O$2:O252)=0,M253,SUM(M$2:M253)))</f>
        <v>0.570151833724496</v>
      </c>
      <c r="P253" s="13" t="n">
        <f aca="false">IF(O253="","",MAX(O$2:O253))</f>
        <v>0.586148012364138</v>
      </c>
      <c r="Q253" s="13" t="n">
        <f aca="false">IF(O253="","",O253-P253)</f>
        <v>-0.0159961786396425</v>
      </c>
      <c r="R253" s="13" t="n">
        <f aca="false">IF(COUNT(I254:I254)&lt;1,"",SUM(I254:I254))</f>
        <v>-0.0496313312599636</v>
      </c>
      <c r="S253" s="13" t="n">
        <f aca="false">IF(COUNT(I254:I256)&lt;3,"",SUM(I254:I256))</f>
        <v>0.0273056361136357</v>
      </c>
      <c r="T253" s="13" t="n">
        <f aca="false">IF(COUNT(I254:I259)&lt;6,"",SUM(I254:I259))</f>
        <v>0.026428452321743</v>
      </c>
      <c r="U253" s="13" t="n">
        <f aca="false">IF(COUNT(I254:I265)&lt;12,"",SUM(I254:I265))</f>
        <v>-0.0304917752273548</v>
      </c>
      <c r="V253" s="13" t="n">
        <f aca="false">IF(N253="","",SUM(N$2:N253))</f>
        <v>0.550489727247107</v>
      </c>
      <c r="W253" s="13" t="n">
        <f aca="false">IF(V253="","",MAX(V$2:V253))</f>
        <v>0.565463592505851</v>
      </c>
      <c r="X253" s="13" t="n">
        <f aca="false">IF(V253="","",V253-W253)</f>
        <v>-0.0149738652587443</v>
      </c>
      <c r="Y253" s="13" t="n">
        <f aca="false">IF(COUNT(D254:D254)&lt;1,"",SUM(D254:D254))</f>
        <v>-0.0447458964124278</v>
      </c>
      <c r="Z253" s="13" t="n">
        <f aca="false">IF(COUNT(D254:D256)&lt;3,"",SUM(D254:D256))</f>
        <v>0.0264116599166181</v>
      </c>
      <c r="AA253" s="13" t="n">
        <f aca="false">IF(COUNT(D254:D259)&lt;6,"",SUM(D254:D259))</f>
        <v>0.02432317506976</v>
      </c>
      <c r="AB253" s="13" t="n">
        <f aca="false">IF(COUNT(D254:D265)&lt;12,"",SUM(D254:D265))</f>
        <v>-0.041788405803771</v>
      </c>
    </row>
    <row r="254" customFormat="false" ht="15" hidden="false" customHeight="false" outlineLevel="0" collapsed="false">
      <c r="A254" s="8" t="n">
        <f aca="false">Base!A254</f>
        <v>45688</v>
      </c>
      <c r="B254" s="10" t="n">
        <f aca="false">IF(Base!T254="","",Base!T254)</f>
        <v>0.441933106688159</v>
      </c>
      <c r="C254" s="11" t="n">
        <f aca="false">IF(B254="","",LN(B254))</f>
        <v>-0.816596750692327</v>
      </c>
      <c r="D254" s="13" t="n">
        <f aca="false">IF(OR(C254="",C253=""),"",C254-C253)</f>
        <v>-0.0447458964124278</v>
      </c>
      <c r="E254" s="12" t="n">
        <f aca="false">IF(Base!U254="","",Base!U254)</f>
        <v>79.27</v>
      </c>
      <c r="F254" s="11" t="n">
        <f aca="false">IF(E254="","",LN(E254))</f>
        <v>4.37285974684906</v>
      </c>
      <c r="G254" s="13" t="n">
        <f aca="false">IF(OR(F254="",F253=""),"",F254-F253)</f>
        <v>0.070688337424647</v>
      </c>
      <c r="H254" s="10" t="n">
        <f aca="false">IF(COUNT(D$75:D253)&lt;36,"",SLOPE(D$75:D253,G$75:G253))</f>
        <v>0.0691123178946409</v>
      </c>
      <c r="I254" s="13" t="n">
        <f aca="false">IF(OR(D254="",H254="",G254=""),"",D254-H254*G254)</f>
        <v>-0.0496313312599636</v>
      </c>
      <c r="J254" s="10" t="n">
        <f aca="false">IF(COUNT(Senal!V242:V253)=0,"",AVERAGE(Senal!V242:V253))</f>
        <v>0.129242308653394</v>
      </c>
      <c r="K254" s="10" t="n">
        <f aca="false">IF(J254="","",ABS(J254))</f>
        <v>0.129242308653394</v>
      </c>
      <c r="L254" s="10" t="n">
        <f aca="false">IF(OR(J254="",J253=""),"",ABS(J254-J253))</f>
        <v>0.0423464806730857</v>
      </c>
      <c r="M254" s="13" t="n">
        <f aca="false">IF(OR(J254="",I254=""),"",J254*I254-IF(L254="",0,L254)*Resumen!$B$8/10000)</f>
        <v>-0.00654150727559831</v>
      </c>
      <c r="N254" s="13" t="n">
        <f aca="false">IF(OR(J254="",D254=""),"",J254*D254-IF(L254="",0,L254)*Resumen!$B$8/10000)</f>
        <v>-0.00591010239712704</v>
      </c>
      <c r="O254" s="13" t="n">
        <f aca="false">IF(M254="","",IF(COUNT(O$2:O253)=0,M254,SUM(M$2:M254)))</f>
        <v>0.563610326448897</v>
      </c>
      <c r="P254" s="13" t="n">
        <f aca="false">IF(O254="","",MAX(O$2:O254))</f>
        <v>0.586148012364138</v>
      </c>
      <c r="Q254" s="13" t="n">
        <f aca="false">IF(O254="","",O254-P254)</f>
        <v>-0.0225376859152409</v>
      </c>
      <c r="R254" s="13" t="n">
        <f aca="false">IF(COUNT(I255:I255)&lt;1,"",SUM(I255:I255))</f>
        <v>0.0354199020021409</v>
      </c>
      <c r="S254" s="13" t="n">
        <f aca="false">IF(COUNT(I255:I257)&lt;3,"",SUM(I255:I257))</f>
        <v>-0.0267226467102282</v>
      </c>
      <c r="T254" s="13" t="n">
        <f aca="false">IF(COUNT(I255:I260)&lt;6,"",SUM(I255:I260))</f>
        <v>0.0904372829612847</v>
      </c>
      <c r="U254" s="13" t="n">
        <f aca="false">IF(COUNT(I255:I266)&lt;12,"",SUM(I255:I266))</f>
        <v>0.0373819486456898</v>
      </c>
      <c r="V254" s="13" t="n">
        <f aca="false">IF(N254="","",SUM(N$2:N254))</f>
        <v>0.54457962484998</v>
      </c>
      <c r="W254" s="13" t="n">
        <f aca="false">IF(V254="","",MAX(V$2:V254))</f>
        <v>0.565463592505851</v>
      </c>
      <c r="X254" s="13" t="n">
        <f aca="false">IF(V254="","",V254-W254)</f>
        <v>-0.0208839676558714</v>
      </c>
      <c r="Y254" s="13" t="n">
        <f aca="false">IF(COUNT(D255:D255)&lt;1,"",SUM(D255:D255))</f>
        <v>0.0320759876951827</v>
      </c>
      <c r="Z254" s="13" t="n">
        <f aca="false">IF(COUNT(D255:D257)&lt;3,"",SUM(D255:D257))</f>
        <v>-0.0367993172826496</v>
      </c>
      <c r="AA254" s="13" t="n">
        <f aca="false">IF(COUNT(D255:D260)&lt;6,"",SUM(D255:D260))</f>
        <v>0.0830574799200381</v>
      </c>
      <c r="AB254" s="13" t="n">
        <f aca="false">IF(COUNT(D255:D266)&lt;12,"",SUM(D255:D266))</f>
        <v>0.0256984662429196</v>
      </c>
    </row>
    <row r="255" customFormat="false" ht="15" hidden="false" customHeight="false" outlineLevel="0" collapsed="false">
      <c r="A255" s="8" t="n">
        <f aca="false">Base!A255</f>
        <v>45716</v>
      </c>
      <c r="B255" s="10" t="n">
        <f aca="false">IF(Base!T255="","",Base!T255)</f>
        <v>0.456338343610909</v>
      </c>
      <c r="C255" s="11" t="n">
        <f aca="false">IF(B255="","",LN(B255))</f>
        <v>-0.784520762997144</v>
      </c>
      <c r="D255" s="13" t="n">
        <f aca="false">IF(OR(C255="",C254=""),"",C255-C254)</f>
        <v>0.0320759876951827</v>
      </c>
      <c r="E255" s="12" t="n">
        <f aca="false">IF(Base!U255="","",Base!U255)</f>
        <v>75.44</v>
      </c>
      <c r="F255" s="11" t="n">
        <f aca="false">IF(E255="","",LN(E255))</f>
        <v>4.3233376383252</v>
      </c>
      <c r="G255" s="13" t="n">
        <f aca="false">IF(OR(F255="",F254=""),"",F255-F254)</f>
        <v>-0.0495221085238624</v>
      </c>
      <c r="H255" s="10" t="n">
        <f aca="false">IF(COUNT(D$75:D254)&lt;36,"",SLOPE(D$75:D254,G$75:G254))</f>
        <v>0.0675236658258795</v>
      </c>
      <c r="I255" s="13" t="n">
        <f aca="false">IF(OR(D255="",H255="",G255=""),"",D255-H255*G255)</f>
        <v>0.0354199020021409</v>
      </c>
      <c r="J255" s="10" t="n">
        <f aca="false">IF(COUNT(Senal!V243:V254)=0,"",AVERAGE(Senal!V243:V254))</f>
        <v>0.185564296792382</v>
      </c>
      <c r="K255" s="10" t="n">
        <f aca="false">IF(J255="","",ABS(J255))</f>
        <v>0.185564296792382</v>
      </c>
      <c r="L255" s="10" t="n">
        <f aca="false">IF(OR(J255="",J254=""),"",ABS(J255-J254))</f>
        <v>0.0563219881389885</v>
      </c>
      <c r="M255" s="13" t="n">
        <f aca="false">IF(OR(J255="",I255=""),"",J255*I255-IF(L255="",0,L255)*Resumen!$B$8/10000)</f>
        <v>0.00640370324306542</v>
      </c>
      <c r="N255" s="13" t="n">
        <f aca="false">IF(OR(J255="",D255=""),"",J255*D255-IF(L255="",0,L255)*Resumen!$B$8/10000)</f>
        <v>0.00578319213616073</v>
      </c>
      <c r="O255" s="13" t="n">
        <f aca="false">IF(M255="","",IF(COUNT(O$2:O254)=0,M255,SUM(M$2:M255)))</f>
        <v>0.570014029691963</v>
      </c>
      <c r="P255" s="13" t="n">
        <f aca="false">IF(O255="","",MAX(O$2:O255))</f>
        <v>0.586148012364138</v>
      </c>
      <c r="Q255" s="13" t="n">
        <f aca="false">IF(O255="","",O255-P255)</f>
        <v>-0.0161339826721755</v>
      </c>
      <c r="R255" s="13" t="n">
        <f aca="false">IF(COUNT(I256:I256)&lt;1,"",SUM(I256:I256))</f>
        <v>0.0415170653714584</v>
      </c>
      <c r="S255" s="13" t="n">
        <f aca="false">IF(COUNT(I256:I258)&lt;3,"",SUM(I256:I258))</f>
        <v>0.00125172842685851</v>
      </c>
      <c r="T255" s="13" t="n">
        <f aca="false">IF(COUNT(I256:I261)&lt;6,"",SUM(I256:I261))</f>
        <v>0.131260881384338</v>
      </c>
      <c r="U255" s="13" t="n">
        <f aca="false">IF(COUNT(I256:I267)&lt;12,"",SUM(I256:I267))</f>
        <v>0.03561143162496</v>
      </c>
      <c r="V255" s="13" t="n">
        <f aca="false">IF(N255="","",SUM(N$2:N255))</f>
        <v>0.550362816986141</v>
      </c>
      <c r="W255" s="13" t="n">
        <f aca="false">IF(V255="","",MAX(V$2:V255))</f>
        <v>0.565463592505851</v>
      </c>
      <c r="X255" s="13" t="n">
        <f aca="false">IF(V255="","",V255-W255)</f>
        <v>-0.0151007755197106</v>
      </c>
      <c r="Y255" s="13" t="n">
        <f aca="false">IF(COUNT(D256:D256)&lt;1,"",SUM(D256:D256))</f>
        <v>0.0390815686338631</v>
      </c>
      <c r="Z255" s="13" t="n">
        <f aca="false">IF(COUNT(D256:D258)&lt;3,"",SUM(D256:D258))</f>
        <v>-0.00930898719702189</v>
      </c>
      <c r="AA255" s="13" t="n">
        <f aca="false">IF(COUNT(D256:D261)&lt;6,"",SUM(D256:D261))</f>
        <v>0.124063712066004</v>
      </c>
      <c r="AB255" s="13" t="n">
        <f aca="false">IF(COUNT(D256:D267)&lt;12,"",SUM(D256:D267))</f>
        <v>0.03177828417755</v>
      </c>
    </row>
    <row r="256" customFormat="false" ht="15" hidden="false" customHeight="false" outlineLevel="0" collapsed="false">
      <c r="A256" s="8" t="n">
        <f aca="false">Base!A256</f>
        <v>45747</v>
      </c>
      <c r="B256" s="10" t="n">
        <f aca="false">IF(Base!T256="","",Base!T256)</f>
        <v>0.474525845090771</v>
      </c>
      <c r="C256" s="11" t="n">
        <f aca="false">IF(B256="","",LN(B256))</f>
        <v>-0.745439194363281</v>
      </c>
      <c r="D256" s="13" t="n">
        <f aca="false">IF(OR(C256="",C255=""),"",C256-C255)</f>
        <v>0.0390815686338631</v>
      </c>
      <c r="E256" s="12" t="n">
        <f aca="false">IF(Base!U256="","",Base!U256)</f>
        <v>72.73</v>
      </c>
      <c r="F256" s="11" t="n">
        <f aca="false">IF(E256="","",LN(E256))</f>
        <v>4.28675395416645</v>
      </c>
      <c r="G256" s="13" t="n">
        <f aca="false">IF(OR(F256="",F255=""),"",F256-F255)</f>
        <v>-0.036583684158753</v>
      </c>
      <c r="H256" s="10" t="n">
        <f aca="false">IF(COUNT(D$75:D255)&lt;36,"",SLOPE(D$75:D255,G$75:G255))</f>
        <v>0.0665733042912396</v>
      </c>
      <c r="I256" s="13" t="n">
        <f aca="false">IF(OR(D256="",H256="",G256=""),"",D256-H256*G256)</f>
        <v>0.0415170653714584</v>
      </c>
      <c r="J256" s="10" t="n">
        <f aca="false">IF(COUNT(Senal!V244:V255)=0,"",AVERAGE(Senal!V244:V255))</f>
        <v>0.219455366286534</v>
      </c>
      <c r="K256" s="10" t="n">
        <f aca="false">IF(J256="","",ABS(J256))</f>
        <v>0.219455366286534</v>
      </c>
      <c r="L256" s="10" t="n">
        <f aca="false">IF(OR(J256="",J255=""),"",ABS(J256-J255))</f>
        <v>0.0338910694941518</v>
      </c>
      <c r="M256" s="13" t="n">
        <f aca="false">IF(OR(J256="",I256=""),"",J256*I256-IF(L256="",0,L256)*Resumen!$B$8/10000)</f>
        <v>0.00900946957975294</v>
      </c>
      <c r="N256" s="13" t="n">
        <f aca="false">IF(OR(J256="",D256=""),"",J256*D256-IF(L256="",0,L256)*Resumen!$B$8/10000)</f>
        <v>0.00847498675111431</v>
      </c>
      <c r="O256" s="13" t="n">
        <f aca="false">IF(M256="","",IF(COUNT(O$2:O255)=0,M256,SUM(M$2:M256)))</f>
        <v>0.579023499271716</v>
      </c>
      <c r="P256" s="13" t="n">
        <f aca="false">IF(O256="","",MAX(O$2:O256))</f>
        <v>0.586148012364138</v>
      </c>
      <c r="Q256" s="13" t="n">
        <f aca="false">IF(O256="","",O256-P256)</f>
        <v>-0.00712451309242246</v>
      </c>
      <c r="R256" s="13" t="n">
        <f aca="false">IF(COUNT(I257:I257)&lt;1,"",SUM(I257:I257))</f>
        <v>-0.103659614083828</v>
      </c>
      <c r="S256" s="13" t="n">
        <f aca="false">IF(COUNT(I257:I259)&lt;3,"",SUM(I257:I259))</f>
        <v>-0.000877183791892715</v>
      </c>
      <c r="T256" s="13" t="n">
        <f aca="false">IF(COUNT(I257:I262)&lt;6,"",SUM(I257:I262))</f>
        <v>0.118175638126332</v>
      </c>
      <c r="U256" s="13" t="n">
        <f aca="false">IF(COUNT(I257:I268)&lt;12,"",SUM(I257:I268))</f>
        <v>0.129073768097534</v>
      </c>
      <c r="V256" s="13" t="n">
        <f aca="false">IF(N256="","",SUM(N$2:N256))</f>
        <v>0.558837803737255</v>
      </c>
      <c r="W256" s="13" t="n">
        <f aca="false">IF(V256="","",MAX(V$2:V256))</f>
        <v>0.565463592505851</v>
      </c>
      <c r="X256" s="13" t="n">
        <f aca="false">IF(V256="","",V256-W256)</f>
        <v>-0.00662578876859621</v>
      </c>
      <c r="Y256" s="13" t="n">
        <f aca="false">IF(COUNT(D257:D257)&lt;1,"",SUM(D257:D257))</f>
        <v>-0.107956873611695</v>
      </c>
      <c r="Z256" s="13" t="n">
        <f aca="false">IF(COUNT(D257:D259)&lt;3,"",SUM(D257:D259))</f>
        <v>-0.00208848484685809</v>
      </c>
      <c r="AA256" s="13" t="n">
        <f aca="false">IF(COUNT(D257:D262)&lt;6,"",SUM(D257:D262))</f>
        <v>0.113533239708256</v>
      </c>
      <c r="AB256" s="13" t="n">
        <f aca="false">IF(COUNT(D257:D268)&lt;12,"",SUM(D257:D268))</f>
        <v>0.155157290694961</v>
      </c>
    </row>
    <row r="257" customFormat="false" ht="15" hidden="false" customHeight="false" outlineLevel="0" collapsed="false">
      <c r="A257" s="8" t="n">
        <f aca="false">Base!A257</f>
        <v>45777</v>
      </c>
      <c r="B257" s="10" t="n">
        <f aca="false">IF(Base!T257="","",Base!T257)</f>
        <v>0.425965863746076</v>
      </c>
      <c r="C257" s="11" t="n">
        <f aca="false">IF(B257="","",LN(B257))</f>
        <v>-0.853396067974976</v>
      </c>
      <c r="D257" s="13" t="n">
        <f aca="false">IF(OR(C257="",C256=""),"",C257-C256)</f>
        <v>-0.107956873611695</v>
      </c>
      <c r="E257" s="12" t="n">
        <f aca="false">IF(Base!U257="","",Base!U257)</f>
        <v>68.13</v>
      </c>
      <c r="F257" s="11" t="n">
        <f aca="false">IF(E257="","",LN(E257))</f>
        <v>4.22141764478558</v>
      </c>
      <c r="G257" s="13" t="n">
        <f aca="false">IF(OR(F257="",F256=""),"",F257-F256)</f>
        <v>-0.0653363093808723</v>
      </c>
      <c r="H257" s="10" t="n">
        <f aca="false">IF(COUNT(D$75:D256)&lt;36,"",SLOPE(D$75:D256,G$75:G256))</f>
        <v>0.0657713845270537</v>
      </c>
      <c r="I257" s="13" t="n">
        <f aca="false">IF(OR(D257="",H257="",G257=""),"",D257-H257*G257)</f>
        <v>-0.103659614083828</v>
      </c>
      <c r="J257" s="10" t="n">
        <f aca="false">IF(COUNT(Senal!V245:V256)=0,"",AVERAGE(Senal!V245:V256))</f>
        <v>0.171810243586355</v>
      </c>
      <c r="K257" s="10" t="n">
        <f aca="false">IF(J257="","",ABS(J257))</f>
        <v>0.171810243586355</v>
      </c>
      <c r="L257" s="10" t="n">
        <f aca="false">IF(OR(J257="",J256=""),"",ABS(J257-J256))</f>
        <v>0.0476451227001791</v>
      </c>
      <c r="M257" s="13" t="n">
        <f aca="false">IF(OR(J257="",I257=""),"",J257*I257-IF(L257="",0,L257)*Resumen!$B$8/10000)</f>
        <v>-0.0179527189139105</v>
      </c>
      <c r="N257" s="13" t="n">
        <f aca="false">IF(OR(J257="",D257=""),"",J257*D257-IF(L257="",0,L257)*Resumen!$B$8/10000)</f>
        <v>-0.0186910321201473</v>
      </c>
      <c r="O257" s="13" t="n">
        <f aca="false">IF(M257="","",IF(COUNT(O$2:O256)=0,M257,SUM(M$2:M257)))</f>
        <v>0.561070780357805</v>
      </c>
      <c r="P257" s="13" t="n">
        <f aca="false">IF(O257="","",MAX(O$2:O257))</f>
        <v>0.586148012364138</v>
      </c>
      <c r="Q257" s="13" t="n">
        <f aca="false">IF(O257="","",O257-P257)</f>
        <v>-0.0250772320063329</v>
      </c>
      <c r="R257" s="13" t="n">
        <f aca="false">IF(COUNT(I258:I258)&lt;1,"",SUM(I258:I258))</f>
        <v>0.0633942771392277</v>
      </c>
      <c r="S257" s="13" t="n">
        <f aca="false">IF(COUNT(I258:I260)&lt;3,"",SUM(I258:I260))</f>
        <v>0.117159929671513</v>
      </c>
      <c r="T257" s="13" t="n">
        <f aca="false">IF(COUNT(I258:I263)&lt;6,"",SUM(I258:I263))</f>
        <v>0.067934743340507</v>
      </c>
      <c r="U257" s="13" t="n">
        <f aca="false">IF(COUNT(I258:I269)&lt;12,"",SUM(I258:I269))</f>
        <v>0.156638425762278</v>
      </c>
      <c r="V257" s="13" t="n">
        <f aca="false">IF(N257="","",SUM(N$2:N257))</f>
        <v>0.540146771617108</v>
      </c>
      <c r="W257" s="13" t="n">
        <f aca="false">IF(V257="","",MAX(V$2:V257))</f>
        <v>0.565463592505851</v>
      </c>
      <c r="X257" s="13" t="n">
        <f aca="false">IF(V257="","",V257-W257)</f>
        <v>-0.0253168208887437</v>
      </c>
      <c r="Y257" s="13" t="n">
        <f aca="false">IF(COUNT(D258:D258)&lt;1,"",SUM(D258:D258))</f>
        <v>0.0595663177808105</v>
      </c>
      <c r="Z257" s="13" t="n">
        <f aca="false">IF(COUNT(D258:D260)&lt;3,"",SUM(D258:D260))</f>
        <v>0.119856797202688</v>
      </c>
      <c r="AA257" s="13" t="n">
        <f aca="false">IF(COUNT(D258:D263)&lt;6,"",SUM(D258:D263))</f>
        <v>0.0640716493122151</v>
      </c>
      <c r="AB257" s="13" t="n">
        <f aca="false">IF(COUNT(D258:D269)&lt;12,"",SUM(D258:D269))</f>
        <v>0.199445390760085</v>
      </c>
    </row>
    <row r="258" customFormat="false" ht="15" hidden="false" customHeight="false" outlineLevel="0" collapsed="false">
      <c r="A258" s="8" t="n">
        <f aca="false">Base!A258</f>
        <v>45808</v>
      </c>
      <c r="B258" s="10" t="n">
        <f aca="false">IF(Base!T258="","",Base!T258)</f>
        <v>0.45211000711251</v>
      </c>
      <c r="C258" s="11" t="n">
        <f aca="false">IF(B258="","",LN(B258))</f>
        <v>-0.793829750194166</v>
      </c>
      <c r="D258" s="13" t="n">
        <f aca="false">IF(OR(C258="",C257=""),"",C258-C257)</f>
        <v>0.0595663177808105</v>
      </c>
      <c r="E258" s="12" t="n">
        <f aca="false">IF(Base!U258="","",Base!U258)</f>
        <v>64.45</v>
      </c>
      <c r="F258" s="11" t="n">
        <f aca="false">IF(E258="","",LN(E258))</f>
        <v>4.1658897293852</v>
      </c>
      <c r="G258" s="13" t="n">
        <f aca="false">IF(OR(F258="",F257=""),"",F258-F257)</f>
        <v>-0.05552791540038</v>
      </c>
      <c r="H258" s="10" t="n">
        <f aca="false">IF(COUNT(D$75:D257)&lt;36,"",SLOPE(D$75:D257,G$75:G257))</f>
        <v>0.0689375664621301</v>
      </c>
      <c r="I258" s="13" t="n">
        <f aca="false">IF(OR(D258="",H258="",G258=""),"",D258-H258*G258)</f>
        <v>0.0633942771392277</v>
      </c>
      <c r="J258" s="10" t="n">
        <f aca="false">IF(COUNT(Senal!V246:V257)=0,"",AVERAGE(Senal!V246:V257))</f>
        <v>0.132559538306226</v>
      </c>
      <c r="K258" s="10" t="n">
        <f aca="false">IF(J258="","",ABS(J258))</f>
        <v>0.132559538306226</v>
      </c>
      <c r="L258" s="10" t="n">
        <f aca="false">IF(OR(J258="",J257=""),"",ABS(J258-J257))</f>
        <v>0.0392507052801292</v>
      </c>
      <c r="M258" s="13" t="n">
        <f aca="false">IF(OR(J258="",I258=""),"",J258*I258-IF(L258="",0,L258)*Resumen!$B$8/10000)</f>
        <v>0.00828576399299257</v>
      </c>
      <c r="N258" s="13" t="n">
        <f aca="false">IF(OR(J258="",D258=""),"",J258*D258-IF(L258="",0,L258)*Resumen!$B$8/10000)</f>
        <v>0.00777833146778578</v>
      </c>
      <c r="O258" s="13" t="n">
        <f aca="false">IF(M258="","",IF(COUNT(O$2:O257)=0,M258,SUM(M$2:M258)))</f>
        <v>0.569356544350798</v>
      </c>
      <c r="P258" s="13" t="n">
        <f aca="false">IF(O258="","",MAX(O$2:O258))</f>
        <v>0.586148012364138</v>
      </c>
      <c r="Q258" s="13" t="n">
        <f aca="false">IF(O258="","",O258-P258)</f>
        <v>-0.0167914680133404</v>
      </c>
      <c r="R258" s="13" t="n">
        <f aca="false">IF(COUNT(I259:I259)&lt;1,"",SUM(I259:I259))</f>
        <v>0.0393881531527072</v>
      </c>
      <c r="S258" s="13" t="n">
        <f aca="false">IF(COUNT(I259:I261)&lt;3,"",SUM(I259:I261))</f>
        <v>0.130009152957479</v>
      </c>
      <c r="T258" s="13" t="n">
        <f aca="false">IF(COUNT(I259:I264)&lt;6,"",SUM(I259:I264))</f>
        <v>0.0217194900660487</v>
      </c>
      <c r="U258" s="13" t="n">
        <f aca="false">IF(COUNT(I259:I270)&lt;12,"",SUM(I259:I270))</f>
        <v>0.133867787605248</v>
      </c>
      <c r="V258" s="13" t="n">
        <f aca="false">IF(N258="","",SUM(N$2:N258))</f>
        <v>0.547925103084894</v>
      </c>
      <c r="W258" s="13" t="n">
        <f aca="false">IF(V258="","",MAX(V$2:V258))</f>
        <v>0.565463592505851</v>
      </c>
      <c r="X258" s="13" t="n">
        <f aca="false">IF(V258="","",V258-W258)</f>
        <v>-0.0175384894209578</v>
      </c>
      <c r="Y258" s="13" t="n">
        <f aca="false">IF(COUNT(D259:D259)&lt;1,"",SUM(D259:D259))</f>
        <v>0.0463020709840269</v>
      </c>
      <c r="Z258" s="13" t="n">
        <f aca="false">IF(COUNT(D259:D261)&lt;3,"",SUM(D259:D261))</f>
        <v>0.133372699263026</v>
      </c>
      <c r="AA258" s="13" t="n">
        <f aca="false">IF(COUNT(D259:D264)&lt;6,"",SUM(D259:D264))</f>
        <v>0.0208621356197474</v>
      </c>
      <c r="AB258" s="13" t="n">
        <f aca="false">IF(COUNT(D259:D270)&lt;12,"",SUM(D259:D270))</f>
        <v>0.172137735445482</v>
      </c>
    </row>
    <row r="259" customFormat="false" ht="15" hidden="false" customHeight="false" outlineLevel="0" collapsed="false">
      <c r="A259" s="8" t="n">
        <f aca="false">Base!A259</f>
        <v>45838</v>
      </c>
      <c r="B259" s="10" t="n">
        <f aca="false">IF(Base!T259="","",Base!T259)</f>
        <v>0.473535839219834</v>
      </c>
      <c r="C259" s="11" t="n">
        <f aca="false">IF(B259="","",LN(B259))</f>
        <v>-0.747527679210139</v>
      </c>
      <c r="D259" s="13" t="n">
        <f aca="false">IF(OR(C259="",C258=""),"",C259-C258)</f>
        <v>0.0463020709840269</v>
      </c>
      <c r="E259" s="12" t="n">
        <f aca="false">IF(Base!U259="","",Base!U259)</f>
        <v>71.44</v>
      </c>
      <c r="F259" s="11" t="n">
        <f aca="false">IF(E259="","",LN(E259))</f>
        <v>4.26885793656824</v>
      </c>
      <c r="G259" s="13" t="n">
        <f aca="false">IF(OR(F259="",F258=""),"",F259-F258)</f>
        <v>0.102968207183047</v>
      </c>
      <c r="H259" s="10" t="n">
        <f aca="false">IF(COUNT(D$75:D258)&lt;36,"",SLOPE(D$75:D258,G$75:G258))</f>
        <v>0.0671461417117697</v>
      </c>
      <c r="I259" s="13" t="n">
        <f aca="false">IF(OR(D259="",H259="",G259=""),"",D259-H259*G259)</f>
        <v>0.0393881531527072</v>
      </c>
      <c r="J259" s="10" t="n">
        <f aca="false">IF(COUNT(Senal!V247:V258)=0,"",AVERAGE(Senal!V247:V258))</f>
        <v>0.132559538306226</v>
      </c>
      <c r="K259" s="10" t="n">
        <f aca="false">IF(J259="","",ABS(J259))</f>
        <v>0.132559538306226</v>
      </c>
      <c r="L259" s="10" t="n">
        <f aca="false">IF(OR(J259="",J258=""),"",ABS(J259-J258))</f>
        <v>0</v>
      </c>
      <c r="M259" s="13" t="n">
        <f aca="false">IF(OR(J259="",I259=""),"",J259*I259-IF(L259="",0,L259)*Resumen!$B$8/10000)</f>
        <v>0.00522127539665778</v>
      </c>
      <c r="N259" s="13" t="n">
        <f aca="false">IF(OR(J259="",D259=""),"",J259*D259-IF(L259="",0,L259)*Resumen!$B$8/10000)</f>
        <v>0.00613778115226471</v>
      </c>
      <c r="O259" s="13" t="n">
        <f aca="false">IF(M259="","",IF(COUNT(O$2:O258)=0,M259,SUM(M$2:M259)))</f>
        <v>0.574577819747456</v>
      </c>
      <c r="P259" s="13" t="n">
        <f aca="false">IF(O259="","",MAX(O$2:O259))</f>
        <v>0.586148012364138</v>
      </c>
      <c r="Q259" s="13" t="n">
        <f aca="false">IF(O259="","",O259-P259)</f>
        <v>-0.0115701926166827</v>
      </c>
      <c r="R259" s="13" t="n">
        <f aca="false">IF(COUNT(I260:I260)&lt;1,"",SUM(I260:I260))</f>
        <v>0.0143774993795781</v>
      </c>
      <c r="S259" s="13" t="n">
        <f aca="false">IF(COUNT(I260:I262)&lt;3,"",SUM(I260:I262))</f>
        <v>0.119052821918224</v>
      </c>
      <c r="T259" s="13" t="n">
        <f aca="false">IF(COUNT(I260:I265)&lt;6,"",SUM(I260:I265))</f>
        <v>-0.0569202275490978</v>
      </c>
      <c r="U259" s="13" t="n">
        <f aca="false">IF(COUNT(I260:I271)&lt;12,"",SUM(I260:I271))</f>
        <v>0.0507797325747412</v>
      </c>
      <c r="V259" s="13" t="n">
        <f aca="false">IF(N259="","",SUM(N$2:N259))</f>
        <v>0.554062884237158</v>
      </c>
      <c r="W259" s="13" t="n">
        <f aca="false">IF(V259="","",MAX(V$2:V259))</f>
        <v>0.565463592505851</v>
      </c>
      <c r="X259" s="13" t="n">
        <f aca="false">IF(V259="","",V259-W259)</f>
        <v>-0.0114007082686931</v>
      </c>
      <c r="Y259" s="13" t="n">
        <f aca="false">IF(COUNT(D260:D260)&lt;1,"",SUM(D260:D260))</f>
        <v>0.0139884084378503</v>
      </c>
      <c r="Z259" s="13" t="n">
        <f aca="false">IF(COUNT(D260:D262)&lt;3,"",SUM(D260:D262))</f>
        <v>0.115621724555114</v>
      </c>
      <c r="AA259" s="13" t="n">
        <f aca="false">IF(COUNT(D260:D265)&lt;6,"",SUM(D260:D265))</f>
        <v>-0.066111580873531</v>
      </c>
      <c r="AB259" s="13" t="n">
        <f aca="false">IF(COUNT(D260:D271)&lt;12,"",SUM(D260:D271))</f>
        <v>0.0615828037681039</v>
      </c>
    </row>
    <row r="260" customFormat="false" ht="15" hidden="false" customHeight="false" outlineLevel="0" collapsed="false">
      <c r="A260" s="8" t="n">
        <f aca="false">Base!A260</f>
        <v>45869</v>
      </c>
      <c r="B260" s="10" t="n">
        <f aca="false">IF(Base!T260="","",Base!T260)</f>
        <v>0.480206398430406</v>
      </c>
      <c r="C260" s="11" t="n">
        <f aca="false">IF(B260="","",LN(B260))</f>
        <v>-0.733539270772289</v>
      </c>
      <c r="D260" s="13" t="n">
        <f aca="false">IF(OR(C260="",C259=""),"",C260-C259)</f>
        <v>0.0139884084378503</v>
      </c>
      <c r="E260" s="12" t="n">
        <f aca="false">IF(Base!U260="","",Base!U260)</f>
        <v>71.04</v>
      </c>
      <c r="F260" s="11" t="n">
        <f aca="false">IF(E260="","",LN(E260))</f>
        <v>4.26324309868391</v>
      </c>
      <c r="G260" s="13" t="n">
        <f aca="false">IF(OR(F260="",F259=""),"",F260-F259)</f>
        <v>-0.00561483788432948</v>
      </c>
      <c r="H260" s="10" t="n">
        <f aca="false">IF(COUNT(D$75:D259)&lt;36,"",SLOPE(D$75:D259,G$75:G259))</f>
        <v>0.0692969146649308</v>
      </c>
      <c r="I260" s="13" t="n">
        <f aca="false">IF(OR(D260="",H260="",G260=""),"",D260-H260*G260)</f>
        <v>0.0143774993795781</v>
      </c>
      <c r="J260" s="10" t="n">
        <f aca="false">IF(COUNT(Senal!V248:V259)=0,"",AVERAGE(Senal!V248:V259))</f>
        <v>0.132559538306226</v>
      </c>
      <c r="K260" s="10" t="n">
        <f aca="false">IF(J260="","",ABS(J260))</f>
        <v>0.132559538306226</v>
      </c>
      <c r="L260" s="10" t="n">
        <f aca="false">IF(OR(J260="",J259=""),"",ABS(J260-J259))</f>
        <v>0</v>
      </c>
      <c r="M260" s="13" t="n">
        <f aca="false">IF(OR(J260="",I260=""),"",J260*I260-IF(L260="",0,L260)*Resumen!$B$8/10000)</f>
        <v>0.00190587467975493</v>
      </c>
      <c r="N260" s="13" t="n">
        <f aca="false">IF(OR(J260="",D260=""),"",J260*D260-IF(L260="",0,L260)*Resumen!$B$8/10000)</f>
        <v>0.00185429696416035</v>
      </c>
      <c r="O260" s="13" t="n">
        <f aca="false">IF(M260="","",IF(COUNT(O$2:O259)=0,M260,SUM(M$2:M260)))</f>
        <v>0.576483694427211</v>
      </c>
      <c r="P260" s="13" t="n">
        <f aca="false">IF(O260="","",MAX(O$2:O260))</f>
        <v>0.586148012364138</v>
      </c>
      <c r="Q260" s="13" t="n">
        <f aca="false">IF(O260="","",O260-P260)</f>
        <v>-0.00966431793692779</v>
      </c>
      <c r="R260" s="13" t="n">
        <f aca="false">IF(COUNT(I261:I261)&lt;1,"",SUM(I261:I261))</f>
        <v>0.0762435004251942</v>
      </c>
      <c r="S260" s="13" t="n">
        <f aca="false">IF(COUNT(I261:I263)&lt;3,"",SUM(I261:I263))</f>
        <v>-0.049225186331006</v>
      </c>
      <c r="T260" s="13" t="n">
        <f aca="false">IF(COUNT(I261:I266)&lt;6,"",SUM(I261:I266))</f>
        <v>-0.053055334315595</v>
      </c>
      <c r="U260" s="13" t="n">
        <f aca="false">IF(COUNT(I261:I272)&lt;12,"",SUM(I261:I272))</f>
        <v>0.130482016571973</v>
      </c>
      <c r="V260" s="13" t="n">
        <f aca="false">IF(N260="","",SUM(N$2:N260))</f>
        <v>0.555917181201319</v>
      </c>
      <c r="W260" s="13" t="n">
        <f aca="false">IF(V260="","",MAX(V$2:V260))</f>
        <v>0.565463592505851</v>
      </c>
      <c r="X260" s="13" t="n">
        <f aca="false">IF(V260="","",V260-W260)</f>
        <v>-0.00954641130453271</v>
      </c>
      <c r="Y260" s="13" t="n">
        <f aca="false">IF(COUNT(D261:D261)&lt;1,"",SUM(D261:D261))</f>
        <v>0.0730822198411487</v>
      </c>
      <c r="Z260" s="13" t="n">
        <f aca="false">IF(COUNT(D261:D263)&lt;3,"",SUM(D261:D263))</f>
        <v>-0.0557851478904726</v>
      </c>
      <c r="AA260" s="13" t="n">
        <f aca="false">IF(COUNT(D261:D266)&lt;6,"",SUM(D261:D266))</f>
        <v>-0.0573590136771185</v>
      </c>
      <c r="AB260" s="13" t="n">
        <f aca="false">IF(COUNT(D261:D272)&lt;12,"",SUM(D261:D272))</f>
        <v>0.139838065810683</v>
      </c>
    </row>
    <row r="261" customFormat="false" ht="15" hidden="false" customHeight="false" outlineLevel="0" collapsed="false">
      <c r="A261" s="8" t="n">
        <f aca="false">Base!A261</f>
        <v>45900</v>
      </c>
      <c r="B261" s="10" t="n">
        <f aca="false">IF(Base!T261="","",Base!T261)</f>
        <v>0.516615161083758</v>
      </c>
      <c r="C261" s="11" t="n">
        <f aca="false">IF(B261="","",LN(B261))</f>
        <v>-0.66045705093114</v>
      </c>
      <c r="D261" s="13" t="n">
        <f aca="false">IF(OR(C261="",C260=""),"",C261-C260)</f>
        <v>0.0730822198411487</v>
      </c>
      <c r="E261" s="12" t="n">
        <f aca="false">IF(Base!U261="","",Base!U261)</f>
        <v>67.87</v>
      </c>
      <c r="F261" s="11" t="n">
        <f aca="false">IF(E261="","",LN(E261))</f>
        <v>4.21759411071567</v>
      </c>
      <c r="G261" s="13" t="n">
        <f aca="false">IF(OR(F261="",F260=""),"",F261-F260)</f>
        <v>-0.0456489879682476</v>
      </c>
      <c r="H261" s="10" t="n">
        <f aca="false">IF(COUNT(D$75:D260)&lt;36,"",SLOPE(D$75:D260,G$75:G260))</f>
        <v>0.0692519314172831</v>
      </c>
      <c r="I261" s="13" t="n">
        <f aca="false">IF(OR(D261="",H261="",G261=""),"",D261-H261*G261)</f>
        <v>0.0762435004251942</v>
      </c>
      <c r="J261" s="10" t="n">
        <f aca="false">IF(COUNT(Senal!V249:V260)=0,"",AVERAGE(Senal!V249:V260))</f>
        <v>0.132559538306226</v>
      </c>
      <c r="K261" s="10" t="n">
        <f aca="false">IF(J261="","",ABS(J261))</f>
        <v>0.132559538306226</v>
      </c>
      <c r="L261" s="10" t="n">
        <f aca="false">IF(OR(J261="",J260=""),"",ABS(J261-J260))</f>
        <v>0</v>
      </c>
      <c r="M261" s="13" t="n">
        <f aca="false">IF(OR(J261="",I261=""),"",J261*I261-IF(L261="",0,L261)*Resumen!$B$8/10000)</f>
        <v>0.0101068032152143</v>
      </c>
      <c r="N261" s="13" t="n">
        <f aca="false">IF(OR(J261="",D261=""),"",J261*D261-IF(L261="",0,L261)*Resumen!$B$8/10000)</f>
        <v>0.00968774532053678</v>
      </c>
      <c r="O261" s="13" t="n">
        <f aca="false">IF(M261="","",IF(COUNT(O$2:O260)=0,M261,SUM(M$2:M261)))</f>
        <v>0.586590497642425</v>
      </c>
      <c r="P261" s="13" t="n">
        <f aca="false">IF(O261="","",MAX(O$2:O261))</f>
        <v>0.586590497642425</v>
      </c>
      <c r="Q261" s="13" t="n">
        <f aca="false">IF(O261="","",O261-P261)</f>
        <v>0</v>
      </c>
      <c r="R261" s="13" t="n">
        <f aca="false">IF(COUNT(I262:I262)&lt;1,"",SUM(I262:I262))</f>
        <v>0.028431822113452</v>
      </c>
      <c r="S261" s="13" t="n">
        <f aca="false">IF(COUNT(I262:I264)&lt;3,"",SUM(I262:I264))</f>
        <v>-0.108289662891431</v>
      </c>
      <c r="T261" s="13" t="n">
        <f aca="false">IF(COUNT(I262:I267)&lt;6,"",SUM(I262:I267))</f>
        <v>-0.095649449759378</v>
      </c>
      <c r="U261" s="13" t="n">
        <f aca="false">IF(COUNT(I262:I273)&lt;12,"",SUM(I262:I273))</f>
        <v>0.0987960359093782</v>
      </c>
      <c r="V261" s="13" t="n">
        <f aca="false">IF(N261="","",SUM(N$2:N261))</f>
        <v>0.565604926521856</v>
      </c>
      <c r="W261" s="13" t="n">
        <f aca="false">IF(V261="","",MAX(V$2:V261))</f>
        <v>0.565604926521856</v>
      </c>
      <c r="X261" s="13" t="n">
        <f aca="false">IF(V261="","",V261-W261)</f>
        <v>0</v>
      </c>
      <c r="Y261" s="13" t="n">
        <f aca="false">IF(COUNT(D262:D262)&lt;1,"",SUM(D262:D262))</f>
        <v>0.0285510962761154</v>
      </c>
      <c r="Z261" s="13" t="n">
        <f aca="false">IF(COUNT(D262:D264)&lt;3,"",SUM(D262:D264))</f>
        <v>-0.112510563643279</v>
      </c>
      <c r="AA261" s="13" t="n">
        <f aca="false">IF(COUNT(D262:D267)&lt;6,"",SUM(D262:D267))</f>
        <v>-0.0922854278884541</v>
      </c>
      <c r="AB261" s="13" t="n">
        <f aca="false">IF(COUNT(D262:D273)&lt;12,"",SUM(D262:D273))</f>
        <v>0.11917646373084</v>
      </c>
    </row>
    <row r="262" customFormat="false" ht="15" hidden="false" customHeight="false" outlineLevel="0" collapsed="false">
      <c r="A262" s="8" t="n">
        <f aca="false">Base!A262</f>
        <v>45930</v>
      </c>
      <c r="B262" s="10" t="n">
        <f aca="false">IF(Base!T262="","",Base!T262)</f>
        <v>0.531577671933553</v>
      </c>
      <c r="C262" s="11" t="n">
        <f aca="false">IF(B262="","",LN(B262))</f>
        <v>-0.631905954655024</v>
      </c>
      <c r="D262" s="13" t="n">
        <f aca="false">IF(OR(C262="",C261=""),"",C262-C261)</f>
        <v>0.0285510962761154</v>
      </c>
      <c r="E262" s="12" t="n">
        <f aca="false">IF(Base!U262="","",Base!U262)</f>
        <v>67.99</v>
      </c>
      <c r="F262" s="11" t="n">
        <f aca="false">IF(E262="","",LN(E262))</f>
        <v>4.21936063553837</v>
      </c>
      <c r="G262" s="13" t="n">
        <f aca="false">IF(OR(F262="",F261=""),"",F262-F261)</f>
        <v>0.00176652482270168</v>
      </c>
      <c r="H262" s="10" t="n">
        <f aca="false">IF(COUNT(D$75:D261)&lt;36,"",SLOPE(D$75:D261,G$75:G261))</f>
        <v>0.0675190980226415</v>
      </c>
      <c r="I262" s="13" t="n">
        <f aca="false">IF(OR(D262="",H262="",G262=""),"",D262-H262*G262)</f>
        <v>0.028431822113452</v>
      </c>
      <c r="J262" s="10" t="n">
        <f aca="false">IF(COUNT(Senal!V250:V261)=0,"",AVERAGE(Senal!V250:V261))</f>
        <v>0.132559538306226</v>
      </c>
      <c r="K262" s="10" t="n">
        <f aca="false">IF(J262="","",ABS(J262))</f>
        <v>0.132559538306226</v>
      </c>
      <c r="L262" s="10" t="n">
        <f aca="false">IF(OR(J262="",J261=""),"",ABS(J262-J261))</f>
        <v>0</v>
      </c>
      <c r="M262" s="13" t="n">
        <f aca="false">IF(OR(J262="",I262=""),"",J262*I262-IF(L262="",0,L262)*Resumen!$B$8/10000)</f>
        <v>0.00376890921256394</v>
      </c>
      <c r="N262" s="13" t="n">
        <f aca="false">IF(OR(J262="",D262=""),"",J262*D262-IF(L262="",0,L262)*Resumen!$B$8/10000)</f>
        <v>0.00378472014049847</v>
      </c>
      <c r="O262" s="13" t="n">
        <f aca="false">IF(M262="","",IF(COUNT(O$2:O261)=0,M262,SUM(M$2:M262)))</f>
        <v>0.590359406854989</v>
      </c>
      <c r="P262" s="13" t="n">
        <f aca="false">IF(O262="","",MAX(O$2:O262))</f>
        <v>0.590359406854989</v>
      </c>
      <c r="Q262" s="13" t="n">
        <f aca="false">IF(O262="","",O262-P262)</f>
        <v>0</v>
      </c>
      <c r="R262" s="13" t="n">
        <f aca="false">IF(COUNT(I263:I263)&lt;1,"",SUM(I263:I263))</f>
        <v>-0.153900508869652</v>
      </c>
      <c r="S262" s="13" t="n">
        <f aca="false">IF(COUNT(I263:I265)&lt;3,"",SUM(I263:I265))</f>
        <v>-0.175973049467322</v>
      </c>
      <c r="T262" s="13" t="n">
        <f aca="false">IF(COUNT(I263:I268)&lt;6,"",SUM(I263:I268))</f>
        <v>0.010898129971202</v>
      </c>
      <c r="V262" s="13" t="n">
        <f aca="false">IF(N262="","",SUM(N$2:N262))</f>
        <v>0.569389646662354</v>
      </c>
      <c r="W262" s="13" t="n">
        <f aca="false">IF(V262="","",MAX(V$2:V262))</f>
        <v>0.569389646662354</v>
      </c>
      <c r="X262" s="13" t="n">
        <f aca="false">IF(V262="","",V262-W262)</f>
        <v>0</v>
      </c>
      <c r="Y262" s="13" t="n">
        <f aca="false">IF(COUNT(D263:D263)&lt;1,"",SUM(D263:D263))</f>
        <v>-0.157418464007737</v>
      </c>
      <c r="Z262" s="13" t="n">
        <f aca="false">IF(COUNT(D263:D265)&lt;3,"",SUM(D263:D265))</f>
        <v>-0.181733305428645</v>
      </c>
      <c r="AA262" s="13" t="n">
        <f aca="false">IF(COUNT(D263:D268)&lt;6,"",SUM(D263:D268))</f>
        <v>0.0416240509867043</v>
      </c>
    </row>
    <row r="263" customFormat="false" ht="15" hidden="false" customHeight="false" outlineLevel="0" collapsed="false">
      <c r="A263" s="8" t="n">
        <f aca="false">Base!A263</f>
        <v>45961</v>
      </c>
      <c r="B263" s="10" t="n">
        <f aca="false">IF(Base!T263="","",Base!T263)</f>
        <v>0.454151507949063</v>
      </c>
      <c r="C263" s="11" t="n">
        <f aca="false">IF(B263="","",LN(B263))</f>
        <v>-0.789324418662761</v>
      </c>
      <c r="D263" s="13" t="n">
        <f aca="false">IF(OR(C263="",C262=""),"",C263-C262)</f>
        <v>-0.157418464007737</v>
      </c>
      <c r="E263" s="12" t="n">
        <f aca="false">IF(Base!U263="","",Base!U263)</f>
        <v>64.54</v>
      </c>
      <c r="F263" s="11" t="n">
        <f aca="false">IF(E263="","",LN(E263))</f>
        <v>4.16728518662382</v>
      </c>
      <c r="G263" s="13" t="n">
        <f aca="false">IF(OR(F263="",F262=""),"",F263-F262)</f>
        <v>-0.052075448914553</v>
      </c>
      <c r="H263" s="10" t="n">
        <f aca="false">IF(COUNT(D$75:D262)&lt;36,"",SLOPE(D$75:D262,G$75:G262))</f>
        <v>0.0675549651786373</v>
      </c>
      <c r="I263" s="13" t="n">
        <f aca="false">IF(OR(D263="",H263="",G263=""),"",D263-H263*G263)</f>
        <v>-0.153900508869652</v>
      </c>
      <c r="J263" s="10" t="n">
        <f aca="false">IF(COUNT(Senal!V251:V262)=0,"",AVERAGE(Senal!V251:V262))</f>
        <v>0.132559538306226</v>
      </c>
      <c r="K263" s="10" t="n">
        <f aca="false">IF(J263="","",ABS(J263))</f>
        <v>0.132559538306226</v>
      </c>
      <c r="L263" s="10" t="n">
        <f aca="false">IF(OR(J263="",J262=""),"",ABS(J263-J262))</f>
        <v>0</v>
      </c>
      <c r="M263" s="13" t="n">
        <f aca="false">IF(OR(J263="",I263=""),"",J263*I263-IF(L263="",0,L263)*Resumen!$B$8/10000)</f>
        <v>-0.0204009804008543</v>
      </c>
      <c r="N263" s="13" t="n">
        <f aca="false">IF(OR(J263="",D263=""),"",J263*D263-IF(L263="",0,L263)*Resumen!$B$8/10000)</f>
        <v>-0.0208673189097408</v>
      </c>
      <c r="O263" s="13" t="n">
        <f aca="false">IF(M263="","",IF(COUNT(O$2:O262)=0,M263,SUM(M$2:M263)))</f>
        <v>0.569958426454134</v>
      </c>
      <c r="P263" s="13" t="n">
        <f aca="false">IF(O263="","",MAX(O$2:O263))</f>
        <v>0.590359406854989</v>
      </c>
      <c r="Q263" s="13" t="n">
        <f aca="false">IF(O263="","",O263-P263)</f>
        <v>-0.0204009804008544</v>
      </c>
      <c r="R263" s="13" t="n">
        <f aca="false">IF(COUNT(I264:I264)&lt;1,"",SUM(I264:I264))</f>
        <v>0.0171790238647694</v>
      </c>
      <c r="S263" s="13" t="n">
        <f aca="false">IF(COUNT(I264:I266)&lt;3,"",SUM(I264:I266))</f>
        <v>-0.00383014798458891</v>
      </c>
      <c r="T263" s="13" t="n">
        <f aca="false">IF(COUNT(I264:I269)&lt;6,"",SUM(I264:I269))</f>
        <v>0.0887036824217713</v>
      </c>
      <c r="V263" s="13" t="n">
        <f aca="false">IF(N263="","",SUM(N$2:N263))</f>
        <v>0.548522327752613</v>
      </c>
      <c r="W263" s="13" t="n">
        <f aca="false">IF(V263="","",MAX(V$2:V263))</f>
        <v>0.569389646662354</v>
      </c>
      <c r="X263" s="13" t="n">
        <f aca="false">IF(V263="","",V263-W263)</f>
        <v>-0.0208673189097408</v>
      </c>
      <c r="Y263" s="13" t="n">
        <f aca="false">IF(COUNT(D264:D264)&lt;1,"",SUM(D264:D264))</f>
        <v>0.0163568040883427</v>
      </c>
      <c r="Z263" s="13" t="n">
        <f aca="false">IF(COUNT(D264:D266)&lt;3,"",SUM(D264:D266))</f>
        <v>-0.00157386578664587</v>
      </c>
      <c r="AA263" s="13" t="n">
        <f aca="false">IF(COUNT(D264:D269)&lt;6,"",SUM(D264:D269))</f>
        <v>0.13537374144787</v>
      </c>
    </row>
    <row r="264" customFormat="false" ht="15" hidden="false" customHeight="false" outlineLevel="0" collapsed="false">
      <c r="A264" s="8" t="n">
        <f aca="false">Base!A264</f>
        <v>45991</v>
      </c>
      <c r="B264" s="10" t="n">
        <f aca="false">IF(Base!T264="","",Base!T264)</f>
        <v>0.461641060783239</v>
      </c>
      <c r="C264" s="11" t="n">
        <f aca="false">IF(B264="","",LN(B264))</f>
        <v>-0.772967614574418</v>
      </c>
      <c r="D264" s="13" t="n">
        <f aca="false">IF(OR(C264="",C263=""),"",C264-C263)</f>
        <v>0.0163568040883427</v>
      </c>
      <c r="E264" s="12" t="n">
        <f aca="false">IF(Base!U264="","",Base!U264)</f>
        <v>63.8</v>
      </c>
      <c r="F264" s="11" t="n">
        <f aca="false">IF(E264="","",LN(E264))</f>
        <v>4.15575319035074</v>
      </c>
      <c r="G264" s="13" t="n">
        <f aca="false">IF(OR(F264="",F263=""),"",F264-F263)</f>
        <v>-0.0115319962730718</v>
      </c>
      <c r="H264" s="10" t="n">
        <f aca="false">IF(COUNT(D$75:D263)&lt;36,"",SLOPE(D$75:D263,G$75:G263))</f>
        <v>0.0712989977586681</v>
      </c>
      <c r="I264" s="13" t="n">
        <f aca="false">IF(OR(D264="",H264="",G264=""),"",D264-H264*G264)</f>
        <v>0.0171790238647694</v>
      </c>
      <c r="J264" s="10" t="n">
        <f aca="false">IF(COUNT(Senal!V252:V263)=0,"",AVERAGE(Senal!V252:V263))</f>
        <v>0.162985024753879</v>
      </c>
      <c r="K264" s="10" t="n">
        <f aca="false">IF(J264="","",ABS(J264))</f>
        <v>0.162985024753879</v>
      </c>
      <c r="L264" s="10" t="n">
        <f aca="false">IF(OR(J264="",J263=""),"",ABS(J264-J263))</f>
        <v>0.030425486447653</v>
      </c>
      <c r="M264" s="13" t="n">
        <f aca="false">IF(OR(J264="",I264=""),"",J264*I264-IF(L264="",0,L264)*Resumen!$B$8/10000)</f>
        <v>0.00270864717050397</v>
      </c>
      <c r="N264" s="13" t="n">
        <f aca="false">IF(OR(J264="",D264=""),"",J264*D264-IF(L264="",0,L264)*Resumen!$B$8/10000)</f>
        <v>0.00257463765988993</v>
      </c>
      <c r="O264" s="13" t="n">
        <f aca="false">IF(M264="","",IF(COUNT(O$2:O263)=0,M264,SUM(M$2:M264)))</f>
        <v>0.572667073624638</v>
      </c>
      <c r="P264" s="13" t="n">
        <f aca="false">IF(O264="","",MAX(O$2:O264))</f>
        <v>0.590359406854989</v>
      </c>
      <c r="Q264" s="13" t="n">
        <f aca="false">IF(O264="","",O264-P264)</f>
        <v>-0.0176923332303504</v>
      </c>
      <c r="R264" s="13" t="n">
        <f aca="false">IF(COUNT(I265:I265)&lt;1,"",SUM(I265:I265))</f>
        <v>-0.0392515644624393</v>
      </c>
      <c r="S264" s="13" t="n">
        <f aca="false">IF(COUNT(I265:I267)&lt;3,"",SUM(I265:I267))</f>
        <v>0.0126402131320528</v>
      </c>
      <c r="T264" s="13" t="n">
        <f aca="false">IF(COUNT(I265:I270)&lt;6,"",SUM(I265:I270))</f>
        <v>0.1121482975392</v>
      </c>
      <c r="V264" s="13" t="n">
        <f aca="false">IF(N264="","",SUM(N$2:N264))</f>
        <v>0.551096965412503</v>
      </c>
      <c r="W264" s="13" t="n">
        <f aca="false">IF(V264="","",MAX(V$2:V264))</f>
        <v>0.569389646662354</v>
      </c>
      <c r="X264" s="13" t="n">
        <f aca="false">IF(V264="","",V264-W264)</f>
        <v>-0.0182926812498508</v>
      </c>
      <c r="Y264" s="13" t="n">
        <f aca="false">IF(COUNT(D265:D265)&lt;1,"",SUM(D265:D265))</f>
        <v>-0.0406716455092514</v>
      </c>
      <c r="Z264" s="13" t="n">
        <f aca="false">IF(COUNT(D265:D267)&lt;3,"",SUM(D265:D267))</f>
        <v>0.0202251357548245</v>
      </c>
      <c r="AA264" s="13" t="n">
        <f aca="false">IF(COUNT(D265:D270)&lt;6,"",SUM(D265:D270))</f>
        <v>0.151275599825735</v>
      </c>
    </row>
    <row r="265" customFormat="false" ht="15" hidden="false" customHeight="false" outlineLevel="0" collapsed="false">
      <c r="A265" s="8" t="n">
        <f aca="false">Base!A265</f>
        <v>46022</v>
      </c>
      <c r="B265" s="10" t="n">
        <f aca="false">IF(Base!T265="","",Base!T265)</f>
        <v>0.443242054346962</v>
      </c>
      <c r="C265" s="11" t="n">
        <f aca="false">IF(B265="","",LN(B265))</f>
        <v>-0.81363926008367</v>
      </c>
      <c r="D265" s="13" t="n">
        <f aca="false">IF(OR(C265="",C264=""),"",C265-C264)</f>
        <v>-0.0406716455092514</v>
      </c>
      <c r="E265" s="12" t="n">
        <f aca="false">IF(Base!U265="","",Base!U265)</f>
        <v>62.54</v>
      </c>
      <c r="F265" s="11" t="n">
        <f aca="false">IF(E265="","",LN(E265))</f>
        <v>4.1358063520297</v>
      </c>
      <c r="G265" s="13" t="n">
        <f aca="false">IF(OR(F265="",F264=""),"",F265-F264)</f>
        <v>-0.019946838321049</v>
      </c>
      <c r="H265" s="10" t="n">
        <f aca="false">IF(COUNT(D$75:D264)&lt;36,"",SLOPE(D$75:D264,G$75:G264))</f>
        <v>0.0711932900821439</v>
      </c>
      <c r="I265" s="13" t="n">
        <f aca="false">IF(OR(D265="",H265="",G265=""),"",D265-H265*G265)</f>
        <v>-0.0392515644624393</v>
      </c>
      <c r="J265" s="10" t="n">
        <f aca="false">IF(COUNT(Senal!V253:V264)=0,"",AVERAGE(Senal!V253:V264))</f>
        <v>0.197808043730586</v>
      </c>
      <c r="K265" s="10" t="n">
        <f aca="false">IF(J265="","",ABS(J265))</f>
        <v>0.197808043730586</v>
      </c>
      <c r="L265" s="10" t="n">
        <f aca="false">IF(OR(J265="",J264=""),"",ABS(J265-J264))</f>
        <v>0.0348230189767071</v>
      </c>
      <c r="M265" s="13" t="n">
        <f aca="false">IF(OR(J265="",I265=""),"",J265*I265-IF(L265="",0,L265)*Resumen!$B$8/10000)</f>
        <v>-0.00786874423661024</v>
      </c>
      <c r="N265" s="13" t="n">
        <f aca="false">IF(OR(J265="",D265=""),"",J265*D265-IF(L265="",0,L265)*Resumen!$B$8/10000)</f>
        <v>-0.00814964769041902</v>
      </c>
      <c r="O265" s="13" t="n">
        <f aca="false">IF(M265="","",IF(COUNT(O$2:O264)=0,M265,SUM(M$2:M265)))</f>
        <v>0.564798329388028</v>
      </c>
      <c r="P265" s="13" t="n">
        <f aca="false">IF(O265="","",MAX(O$2:O265))</f>
        <v>0.590359406854989</v>
      </c>
      <c r="Q265" s="13" t="n">
        <f aca="false">IF(O265="","",O265-P265)</f>
        <v>-0.0255610774669606</v>
      </c>
      <c r="R265" s="13" t="n">
        <f aca="false">IF(COUNT(I266:I266)&lt;1,"",SUM(I266:I266))</f>
        <v>0.018242392613081</v>
      </c>
      <c r="S265" s="13" t="n">
        <f aca="false">IF(COUNT(I266:I268)&lt;3,"",SUM(I266:I268))</f>
        <v>0.186871179438524</v>
      </c>
      <c r="T265" s="13" t="n">
        <f aca="false">IF(COUNT(I266:I271)&lt;6,"",SUM(I266:I271))</f>
        <v>0.107699960123839</v>
      </c>
      <c r="V265" s="13" t="n">
        <f aca="false">IF(N265="","",SUM(N$2:N265))</f>
        <v>0.542947317722084</v>
      </c>
      <c r="W265" s="13" t="n">
        <f aca="false">IF(V265="","",MAX(V$2:V265))</f>
        <v>0.569389646662354</v>
      </c>
      <c r="X265" s="13" t="n">
        <f aca="false">IF(V265="","",V265-W265)</f>
        <v>-0.02644232894027</v>
      </c>
      <c r="Y265" s="13" t="n">
        <f aca="false">IF(COUNT(D266:D266)&lt;1,"",SUM(D266:D266))</f>
        <v>0.0227409756342628</v>
      </c>
      <c r="Z265" s="13" t="n">
        <f aca="false">IF(COUNT(D266:D268)&lt;3,"",SUM(D266:D268))</f>
        <v>0.22335735641535</v>
      </c>
      <c r="AA265" s="13" t="n">
        <f aca="false">IF(COUNT(D266:D271)&lt;6,"",SUM(D266:D271))</f>
        <v>0.127694384641635</v>
      </c>
    </row>
    <row r="266" customFormat="false" ht="15" hidden="false" customHeight="false" outlineLevel="0" collapsed="false">
      <c r="A266" s="8" t="n">
        <f aca="false">Base!A266</f>
        <v>46053</v>
      </c>
      <c r="B266" s="10" t="n">
        <f aca="false">IF(Base!T266="","",Base!T266)</f>
        <v>0.45343729661257</v>
      </c>
      <c r="C266" s="11" t="n">
        <f aca="false">IF(B266="","",LN(B266))</f>
        <v>-0.790898284449407</v>
      </c>
      <c r="D266" s="13" t="n">
        <f aca="false">IF(OR(C266="",C265=""),"",C266-C265)</f>
        <v>0.0227409756342628</v>
      </c>
      <c r="E266" s="12" t="n">
        <f aca="false">IF(Base!U266="","",Base!U266)</f>
        <v>66.6</v>
      </c>
      <c r="F266" s="11" t="n">
        <f aca="false">IF(E266="","",LN(E266))</f>
        <v>4.19870457754634</v>
      </c>
      <c r="G266" s="13" t="n">
        <f aca="false">IF(OR(F266="",F265=""),"",F266-F265)</f>
        <v>0.0628982255166486</v>
      </c>
      <c r="H266" s="10" t="n">
        <f aca="false">IF(COUNT(D$75:D265)&lt;36,"",SLOPE(D$75:D265,G$75:G265))</f>
        <v>0.0715216205899335</v>
      </c>
      <c r="I266" s="13" t="n">
        <f aca="false">IF(OR(D266="",H266="",G266=""),"",D266-H266*G266)</f>
        <v>0.018242392613081</v>
      </c>
      <c r="J266" s="10" t="n">
        <f aca="false">IF(COUNT(Senal!V254:V265)=0,"",AVERAGE(Senal!V254:V265))</f>
        <v>0.1554615630575</v>
      </c>
      <c r="K266" s="10" t="n">
        <f aca="false">IF(J266="","",ABS(J266))</f>
        <v>0.1554615630575</v>
      </c>
      <c r="L266" s="10" t="n">
        <f aca="false">IF(OR(J266="",J265=""),"",ABS(J266-J265))</f>
        <v>0.0423464806730856</v>
      </c>
      <c r="M266" s="13" t="n">
        <f aca="false">IF(OR(J266="",I266=""),"",J266*I266-IF(L266="",0,L266)*Resumen!$B$8/10000)</f>
        <v>0.00270895142751891</v>
      </c>
      <c r="N266" s="13" t="n">
        <f aca="false">IF(OR(J266="",D266=""),"",J266*D266-IF(L266="",0,L266)*Resumen!$B$8/10000)</f>
        <v>0.00340830817553577</v>
      </c>
      <c r="O266" s="13" t="n">
        <f aca="false">IF(M266="","",IF(COUNT(O$2:O265)=0,M266,SUM(M$2:M266)))</f>
        <v>0.567507280815547</v>
      </c>
      <c r="P266" s="13" t="n">
        <f aca="false">IF(O266="","",MAX(O$2:O266))</f>
        <v>0.590359406854989</v>
      </c>
      <c r="Q266" s="13" t="n">
        <f aca="false">IF(O266="","",O266-P266)</f>
        <v>-0.0228521260394416</v>
      </c>
      <c r="R266" s="13" t="n">
        <f aca="false">IF(COUNT(I267:I267)&lt;1,"",SUM(I267:I267))</f>
        <v>0.0336493849814112</v>
      </c>
      <c r="S266" s="13" t="n">
        <f aca="false">IF(COUNT(I267:I269)&lt;3,"",SUM(I267:I269))</f>
        <v>0.0925338304063602</v>
      </c>
      <c r="T266" s="13" t="n">
        <f aca="false">IF(COUNT(I267:I272)&lt;6,"",SUM(I267:I272))</f>
        <v>0.183537350887568</v>
      </c>
      <c r="V266" s="13" t="n">
        <f aca="false">IF(N266="","",SUM(N$2:N266))</f>
        <v>0.54635562589762</v>
      </c>
      <c r="W266" s="13" t="n">
        <f aca="false">IF(V266="","",MAX(V$2:V266))</f>
        <v>0.569389646662354</v>
      </c>
      <c r="X266" s="13" t="n">
        <f aca="false">IF(V266="","",V266-W266)</f>
        <v>-0.0230340207647342</v>
      </c>
      <c r="Y266" s="13" t="n">
        <f aca="false">IF(COUNT(D267:D267)&lt;1,"",SUM(D267:D267))</f>
        <v>0.0381558056298131</v>
      </c>
      <c r="Z266" s="13" t="n">
        <f aca="false">IF(COUNT(D267:D269)&lt;3,"",SUM(D267:D269))</f>
        <v>0.136947607234516</v>
      </c>
      <c r="AA266" s="13" t="n">
        <f aca="false">IF(COUNT(D267:D272)&lt;6,"",SUM(D267:D272))</f>
        <v>0.197197079487802</v>
      </c>
    </row>
    <row r="267" customFormat="false" ht="15" hidden="false" customHeight="false" outlineLevel="0" collapsed="false">
      <c r="A267" s="8" t="n">
        <f aca="false">Base!A267</f>
        <v>46081</v>
      </c>
      <c r="B267" s="10" t="n">
        <f aca="false">IF(Base!T267="","",Base!T267)</f>
        <v>0.471072872231571</v>
      </c>
      <c r="C267" s="11" t="n">
        <f aca="false">IF(B267="","",LN(B267))</f>
        <v>-0.752742478819594</v>
      </c>
      <c r="D267" s="13" t="n">
        <f aca="false">IF(OR(C267="",C266=""),"",C267-C266)</f>
        <v>0.0381558056298131</v>
      </c>
      <c r="E267" s="12" t="n">
        <f aca="false">IF(Base!U267="","",Base!U267)</f>
        <v>70.89</v>
      </c>
      <c r="F267" s="11" t="n">
        <f aca="false">IF(E267="","",LN(E267))</f>
        <v>4.26112937986693</v>
      </c>
      <c r="G267" s="13" t="n">
        <f aca="false">IF(OR(F267="",F266=""),"",F267-F266)</f>
        <v>0.0624248023205825</v>
      </c>
      <c r="H267" s="10" t="n">
        <f aca="false">IF(COUNT(D$75:D266)&lt;36,"",SLOPE(D$75:D266,G$75:G266))</f>
        <v>0.072189586204202</v>
      </c>
      <c r="I267" s="13" t="n">
        <f aca="false">IF(OR(D267="",H267="",G267=""),"",D267-H267*G267)</f>
        <v>0.0336493849814112</v>
      </c>
      <c r="J267" s="10" t="n">
        <f aca="false">IF(COUNT(Senal!V255:V266)=0,"",AVERAGE(Senal!V255:V266))</f>
        <v>0.0991395749185118</v>
      </c>
      <c r="K267" s="10" t="n">
        <f aca="false">IF(J267="","",ABS(J267))</f>
        <v>0.0991395749185118</v>
      </c>
      <c r="L267" s="10" t="n">
        <f aca="false">IF(OR(J267="",J266=""),"",ABS(J267-J266))</f>
        <v>0.0563219881389885</v>
      </c>
      <c r="M267" s="13" t="n">
        <f aca="false">IF(OR(J267="",I267=""),"",J267*I267-IF(L267="",0,L267)*Resumen!$B$8/10000)</f>
        <v>0.0031670197589095</v>
      </c>
      <c r="N267" s="13" t="n">
        <f aca="false">IF(OR(J267="",D267=""),"",J267*D267-IF(L267="",0,L267)*Resumen!$B$8/10000)</f>
        <v>0.00361378438639607</v>
      </c>
      <c r="O267" s="13" t="n">
        <f aca="false">IF(M267="","",IF(COUNT(O$2:O266)=0,M267,SUM(M$2:M267)))</f>
        <v>0.570674300574457</v>
      </c>
      <c r="P267" s="13" t="n">
        <f aca="false">IF(O267="","",MAX(O$2:O267))</f>
        <v>0.590359406854989</v>
      </c>
      <c r="Q267" s="13" t="n">
        <f aca="false">IF(O267="","",O267-P267)</f>
        <v>-0.0196851062805321</v>
      </c>
      <c r="R267" s="13" t="n">
        <f aca="false">IF(COUNT(I268:I268)&lt;1,"",SUM(I268:I268))</f>
        <v>0.134979401844032</v>
      </c>
      <c r="S267" s="13" t="n">
        <f aca="false">IF(COUNT(I268:I270)&lt;3,"",SUM(I268:I270))</f>
        <v>0.099508084407147</v>
      </c>
      <c r="T267" s="13" t="n">
        <f aca="false">IF(COUNT(I268:I273)&lt;6,"",SUM(I268:I273))</f>
        <v>0.194445485668756</v>
      </c>
      <c r="V267" s="13" t="n">
        <f aca="false">IF(N267="","",SUM(N$2:N267))</f>
        <v>0.549969410284016</v>
      </c>
      <c r="W267" s="13" t="n">
        <f aca="false">IF(V267="","",MAX(V$2:V267))</f>
        <v>0.569389646662354</v>
      </c>
      <c r="X267" s="13" t="n">
        <f aca="false">IF(V267="","",V267-W267)</f>
        <v>-0.0194202363783381</v>
      </c>
      <c r="Y267" s="13" t="n">
        <f aca="false">IF(COUNT(D268:D268)&lt;1,"",SUM(D268:D268))</f>
        <v>0.162460575151274</v>
      </c>
      <c r="Z267" s="13" t="n">
        <f aca="false">IF(COUNT(D268:D270)&lt;3,"",SUM(D268:D270))</f>
        <v>0.13105046407091</v>
      </c>
      <c r="AA267" s="13" t="n">
        <f aca="false">IF(COUNT(D268:D273)&lt;6,"",SUM(D268:D273))</f>
        <v>0.211461891619294</v>
      </c>
    </row>
    <row r="268" customFormat="false" ht="15" hidden="false" customHeight="false" outlineLevel="0" collapsed="false">
      <c r="A268" s="8" t="n">
        <f aca="false">Base!A268</f>
        <v>46112</v>
      </c>
      <c r="B268" s="10" t="n">
        <f aca="false">IF(Base!T268="","",Base!T268)</f>
        <v>0.554171039863526</v>
      </c>
      <c r="C268" s="11" t="n">
        <f aca="false">IF(B268="","",LN(B268))</f>
        <v>-0.59028190366832</v>
      </c>
      <c r="D268" s="13" t="n">
        <f aca="false">IF(OR(C268="",C267=""),"",C268-C267)</f>
        <v>0.162460575151274</v>
      </c>
      <c r="E268" s="12" t="n">
        <f aca="false">IF(Base!U268="","",Base!U268)</f>
        <v>103.13</v>
      </c>
      <c r="F268" s="11" t="n">
        <f aca="false">IF(E268="","",LN(E268))</f>
        <v>4.63599032832798</v>
      </c>
      <c r="G268" s="13" t="n">
        <f aca="false">IF(OR(F268="",F267=""),"",F268-F267)</f>
        <v>0.374860948461052</v>
      </c>
      <c r="H268" s="10" t="n">
        <f aca="false">IF(COUNT(D$75:D267)&lt;36,"",SLOPE(D$75:D267,G$75:G267))</f>
        <v>0.0733103125840731</v>
      </c>
      <c r="I268" s="13" t="n">
        <f aca="false">IF(OR(D268="",H268="",G268=""),"",D268-H268*G268)</f>
        <v>0.134979401844032</v>
      </c>
      <c r="J268" s="10" t="n">
        <f aca="false">IF(COUNT(Senal!V256:V267)=0,"",AVERAGE(Senal!V256:V267))</f>
        <v>0.0652485054243601</v>
      </c>
      <c r="K268" s="10" t="n">
        <f aca="false">IF(J268="","",ABS(J268))</f>
        <v>0.0652485054243601</v>
      </c>
      <c r="L268" s="10" t="n">
        <f aca="false">IF(OR(J268="",J267=""),"",ABS(J268-J267))</f>
        <v>0.0338910694941518</v>
      </c>
      <c r="M268" s="13" t="n">
        <f aca="false">IF(OR(J268="",I268=""),"",J268*I268-IF(L268="",0,L268)*Resumen!$B$8/10000)</f>
        <v>0.00870553102491474</v>
      </c>
      <c r="N268" s="13" t="n">
        <f aca="false">IF(OR(J268="",D268=""),"",J268*D268-IF(L268="",0,L268)*Resumen!$B$8/10000)</f>
        <v>0.0104986365105201</v>
      </c>
      <c r="O268" s="13" t="n">
        <f aca="false">IF(M268="","",IF(COUNT(O$2:O267)=0,M268,SUM(M$2:M268)))</f>
        <v>0.579379831599371</v>
      </c>
      <c r="P268" s="13" t="n">
        <f aca="false">IF(O268="","",MAX(O$2:O268))</f>
        <v>0.590359406854989</v>
      </c>
      <c r="Q268" s="13" t="n">
        <f aca="false">IF(O268="","",O268-P268)</f>
        <v>-0.0109795752556174</v>
      </c>
      <c r="R268" s="13" t="n">
        <f aca="false">IF(COUNT(I269:I269)&lt;1,"",SUM(I269:I269))</f>
        <v>-0.0760949564190829</v>
      </c>
      <c r="S268" s="13" t="n">
        <f aca="false">IF(COUNT(I269:I271)&lt;3,"",SUM(I269:I271))</f>
        <v>-0.079171219314685</v>
      </c>
      <c r="V268" s="13" t="n">
        <f aca="false">IF(N268="","",SUM(N$2:N268))</f>
        <v>0.560468046794536</v>
      </c>
      <c r="W268" s="13" t="n">
        <f aca="false">IF(V268="","",MAX(V$2:V268))</f>
        <v>0.569389646662354</v>
      </c>
      <c r="X268" s="13" t="n">
        <f aca="false">IF(V268="","",V268-W268)</f>
        <v>-0.00892159986781804</v>
      </c>
      <c r="Y268" s="13" t="n">
        <f aca="false">IF(COUNT(D269:D269)&lt;1,"",SUM(D269:D269))</f>
        <v>-0.0636687735465712</v>
      </c>
      <c r="Z268" s="13" t="n">
        <f aca="false">IF(COUNT(D269:D271)&lt;3,"",SUM(D269:D271))</f>
        <v>-0.0956629717737149</v>
      </c>
    </row>
    <row r="269" customFormat="false" ht="15" hidden="false" customHeight="false" outlineLevel="0" collapsed="false">
      <c r="A269" s="8" t="n">
        <f aca="false">Base!A269</f>
        <v>46142</v>
      </c>
      <c r="B269" s="10" t="n">
        <f aca="false">IF(Base!T269="","",Base!T269)</f>
        <v>0.51998741105211</v>
      </c>
      <c r="C269" s="11" t="n">
        <f aca="false">IF(B269="","",LN(B269))</f>
        <v>-0.653950677214891</v>
      </c>
      <c r="D269" s="13" t="n">
        <f aca="false">IF(OR(C269="",C268=""),"",C269-C268)</f>
        <v>-0.0636687735465712</v>
      </c>
      <c r="E269" s="12" t="n">
        <f aca="false">IF(Base!U269="","",Base!U269)</f>
        <v>117.29</v>
      </c>
      <c r="F269" s="11" t="n">
        <f aca="false">IF(E269="","",LN(E269))</f>
        <v>4.76464950053341</v>
      </c>
      <c r="G269" s="13" t="n">
        <f aca="false">IF(OR(F269="",F268=""),"",F269-F268)</f>
        <v>0.128659172205436</v>
      </c>
      <c r="H269" s="10" t="n">
        <f aca="false">IF(COUNT(D$75:D268)&lt;36,"",SLOPE(D$75:D268,G$75:G268))</f>
        <v>0.0965821764550938</v>
      </c>
      <c r="I269" s="13" t="n">
        <f aca="false">IF(OR(D269="",H269="",G269=""),"",D269-H269*G269)</f>
        <v>-0.0760949564190829</v>
      </c>
      <c r="J269" s="10" t="n">
        <f aca="false">IF(COUNT(Senal!V257:V268)=0,"",AVERAGE(Senal!V257:V268))</f>
        <v>0.0652485054243601</v>
      </c>
      <c r="K269" s="10" t="n">
        <f aca="false">IF(J269="","",ABS(J269))</f>
        <v>0.0652485054243601</v>
      </c>
      <c r="L269" s="10" t="n">
        <f aca="false">IF(OR(J269="",J268=""),"",ABS(J269-J268))</f>
        <v>0</v>
      </c>
      <c r="M269" s="13" t="n">
        <f aca="false">IF(OR(J269="",I269=""),"",J269*I269-IF(L269="",0,L269)*Resumen!$B$8/10000)</f>
        <v>-0.00496508217667698</v>
      </c>
      <c r="N269" s="13" t="n">
        <f aca="false">IF(OR(J269="",D269=""),"",J269*D269-IF(L269="",0,L269)*Resumen!$B$8/10000)</f>
        <v>-0.0041542923161158</v>
      </c>
      <c r="O269" s="13" t="n">
        <f aca="false">IF(M269="","",IF(COUNT(O$2:O268)=0,M269,SUM(M$2:M269)))</f>
        <v>0.574414749422694</v>
      </c>
      <c r="P269" s="13" t="n">
        <f aca="false">IF(O269="","",MAX(O$2:O269))</f>
        <v>0.590359406854989</v>
      </c>
      <c r="Q269" s="13" t="n">
        <f aca="false">IF(O269="","",O269-P269)</f>
        <v>-0.0159446574322945</v>
      </c>
      <c r="R269" s="13" t="n">
        <f aca="false">IF(COUNT(I270:I270)&lt;1,"",SUM(I270:I270))</f>
        <v>0.040623638982198</v>
      </c>
      <c r="S269" s="13" t="n">
        <f aca="false">IF(COUNT(I270:I272)&lt;3,"",SUM(I270:I272))</f>
        <v>0.091003520481208</v>
      </c>
      <c r="V269" s="13" t="n">
        <f aca="false">IF(N269="","",SUM(N$2:N269))</f>
        <v>0.55631375447842</v>
      </c>
      <c r="W269" s="13" t="n">
        <f aca="false">IF(V269="","",MAX(V$2:V269))</f>
        <v>0.569389646662354</v>
      </c>
      <c r="X269" s="13" t="n">
        <f aca="false">IF(V269="","",V269-W269)</f>
        <v>-0.0130758921839337</v>
      </c>
      <c r="Y269" s="13" t="n">
        <f aca="false">IF(COUNT(D270:D270)&lt;1,"",SUM(D270:D270))</f>
        <v>0.0322586624662079</v>
      </c>
      <c r="Z269" s="13" t="n">
        <f aca="false">IF(COUNT(D270:D272)&lt;3,"",SUM(D270:D272))</f>
        <v>0.0602494722532861</v>
      </c>
    </row>
    <row r="270" customFormat="false" ht="15" hidden="false" customHeight="false" outlineLevel="0" collapsed="false">
      <c r="A270" s="8" t="n">
        <f aca="false">Base!A270</f>
        <v>46173</v>
      </c>
      <c r="B270" s="10" t="n">
        <f aca="false">IF(Base!T270="","",Base!T270)</f>
        <v>0.537034997282474</v>
      </c>
      <c r="C270" s="11" t="n">
        <f aca="false">IF(B270="","",LN(B270))</f>
        <v>-0.621692014748683</v>
      </c>
      <c r="D270" s="13" t="n">
        <f aca="false">IF(OR(C270="",C269=""),"",C270-C269)</f>
        <v>0.0322586624662079</v>
      </c>
      <c r="E270" s="12" t="n">
        <f aca="false">IF(Base!U270="","",Base!U270)</f>
        <v>107.14</v>
      </c>
      <c r="F270" s="11" t="n">
        <f aca="false">IF(E270="","",LN(E270))</f>
        <v>4.67413639045281</v>
      </c>
      <c r="G270" s="13" t="n">
        <f aca="false">IF(OR(F270="",F269=""),"",F270-F269)</f>
        <v>-0.0905131100806003</v>
      </c>
      <c r="H270" s="10" t="n">
        <f aca="false">IF(COUNT(D$75:D269)&lt;36,"",SLOPE(D$75:D269,G$75:G269))</f>
        <v>0.0924172919098814</v>
      </c>
      <c r="I270" s="13" t="n">
        <f aca="false">IF(OR(D270="",H270="",G270=""),"",D270-H270*G270)</f>
        <v>0.040623638982198</v>
      </c>
      <c r="J270" s="10" t="n">
        <f aca="false">IF(COUNT(Senal!V258:V269)=0,"",AVERAGE(Senal!V258:V269))</f>
        <v>0.0652485054243601</v>
      </c>
      <c r="K270" s="10" t="n">
        <f aca="false">IF(J270="","",ABS(J270))</f>
        <v>0.0652485054243601</v>
      </c>
      <c r="L270" s="10" t="n">
        <f aca="false">IF(OR(J270="",J269=""),"",ABS(J270-J269))</f>
        <v>0</v>
      </c>
      <c r="M270" s="13" t="n">
        <f aca="false">IF(OR(J270="",I270=""),"",J270*I270-IF(L270="",0,L270)*Resumen!$B$8/10000)</f>
        <v>0.00265063172848719</v>
      </c>
      <c r="N270" s="13" t="n">
        <f aca="false">IF(OR(J270="",D270=""),"",J270*D270-IF(L270="",0,L270)*Resumen!$B$8/10000)</f>
        <v>0.00210482951290897</v>
      </c>
      <c r="O270" s="13" t="n">
        <f aca="false">IF(M270="","",IF(COUNT(O$2:O269)=0,M270,SUM(M$2:M270)))</f>
        <v>0.577065381151182</v>
      </c>
      <c r="P270" s="13" t="n">
        <f aca="false">IF(O270="","",MAX(O$2:O270))</f>
        <v>0.590359406854989</v>
      </c>
      <c r="Q270" s="13" t="n">
        <f aca="false">IF(O270="","",O270-P270)</f>
        <v>-0.0132940257038072</v>
      </c>
      <c r="R270" s="13" t="n">
        <f aca="false">IF(COUNT(I271:I271)&lt;1,"",SUM(I271:I271))</f>
        <v>-0.0436999018778001</v>
      </c>
      <c r="S270" s="13" t="n">
        <f aca="false">IF(COUNT(I271:I273)&lt;3,"",SUM(I271:I273))</f>
        <v>0.0949374012616092</v>
      </c>
      <c r="V270" s="13" t="n">
        <f aca="false">IF(N270="","",SUM(N$2:N270))</f>
        <v>0.558418583991329</v>
      </c>
      <c r="W270" s="13" t="n">
        <f aca="false">IF(V270="","",MAX(V$2:V270))</f>
        <v>0.569389646662354</v>
      </c>
      <c r="X270" s="13" t="n">
        <f aca="false">IF(V270="","",V270-W270)</f>
        <v>-0.0109710626710249</v>
      </c>
      <c r="Y270" s="13" t="n">
        <f aca="false">IF(COUNT(D271:D271)&lt;1,"",SUM(D271:D271))</f>
        <v>-0.0642528606933516</v>
      </c>
      <c r="Z270" s="13" t="n">
        <f aca="false">IF(COUNT(D271:D273)&lt;3,"",SUM(D271:D273))</f>
        <v>0.0804114275483833</v>
      </c>
    </row>
    <row r="271" customFormat="false" ht="15" hidden="false" customHeight="false" outlineLevel="0" collapsed="false">
      <c r="A271" s="8" t="n">
        <f aca="false">Base!A271</f>
        <v>46203</v>
      </c>
      <c r="B271" s="10" t="n">
        <f aca="false">IF(Base!T271="","",Base!T271)</f>
        <v>0.503614152048732</v>
      </c>
      <c r="C271" s="11" t="n">
        <f aca="false">IF(B271="","",LN(B271))</f>
        <v>-0.685944875442035</v>
      </c>
      <c r="D271" s="13" t="n">
        <f aca="false">IF(OR(C271="",C270=""),"",C271-C270)</f>
        <v>-0.0642528606933516</v>
      </c>
      <c r="E271" s="12" t="n">
        <f aca="false">IF(Base!U271="","",Base!U271)</f>
        <v>85.4</v>
      </c>
      <c r="F271" s="11" t="n">
        <f aca="false">IF(E271="","",LN(E271))</f>
        <v>4.44734610079452</v>
      </c>
      <c r="G271" s="13" t="n">
        <f aca="false">IF(OR(F271="",F270=""),"",F271-F270)</f>
        <v>-0.22679028965829</v>
      </c>
      <c r="H271" s="10" t="n">
        <f aca="false">IF(COUNT(D$75:D270)&lt;36,"",SLOPE(D$75:D270,G$75:G270))</f>
        <v>0.0906253916184822</v>
      </c>
      <c r="I271" s="13" t="n">
        <f aca="false">IF(OR(D271="",H271="",G271=""),"",D271-H271*G271)</f>
        <v>-0.0436999018778001</v>
      </c>
      <c r="J271" s="10" t="n">
        <f aca="false">IF(COUNT(Senal!V259:V270)=0,"",AVERAGE(Senal!V259:V270))</f>
        <v>0.0652485054243601</v>
      </c>
      <c r="K271" s="10" t="n">
        <f aca="false">IF(J271="","",ABS(J271))</f>
        <v>0.0652485054243601</v>
      </c>
      <c r="L271" s="10" t="n">
        <f aca="false">IF(OR(J271="",J270=""),"",ABS(J271-J270))</f>
        <v>0</v>
      </c>
      <c r="M271" s="13" t="n">
        <f aca="false">IF(OR(J271="",I271=""),"",J271*I271-IF(L271="",0,L271)*Resumen!$B$8/10000)</f>
        <v>-0.00285135328471764</v>
      </c>
      <c r="N271" s="13" t="n">
        <f aca="false">IF(OR(J271="",D271=""),"",J271*D271-IF(L271="",0,L271)*Resumen!$B$8/10000)</f>
        <v>-0.0041924031294808</v>
      </c>
      <c r="O271" s="13" t="n">
        <f aca="false">IF(M271="","",IF(COUNT(O$2:O270)=0,M271,SUM(M$2:M271)))</f>
        <v>0.574214027866464</v>
      </c>
      <c r="P271" s="13" t="n">
        <f aca="false">IF(O271="","",MAX(O$2:O271))</f>
        <v>0.590359406854989</v>
      </c>
      <c r="Q271" s="13" t="n">
        <f aca="false">IF(O271="","",O271-P271)</f>
        <v>-0.0161453789885249</v>
      </c>
      <c r="R271" s="13" t="n">
        <f aca="false">IF(COUNT(I272:I272)&lt;1,"",SUM(I272:I272))</f>
        <v>0.0940797833768101</v>
      </c>
      <c r="V271" s="13" t="n">
        <f aca="false">IF(N271="","",SUM(N$2:N271))</f>
        <v>0.554226180861848</v>
      </c>
      <c r="W271" s="13" t="n">
        <f aca="false">IF(V271="","",MAX(V$2:V271))</f>
        <v>0.569389646662354</v>
      </c>
      <c r="X271" s="13" t="n">
        <f aca="false">IF(V271="","",V271-W271)</f>
        <v>-0.0151634658005055</v>
      </c>
      <c r="Y271" s="13" t="n">
        <f aca="false">IF(COUNT(D272:D272)&lt;1,"",SUM(D272:D272))</f>
        <v>0.0922436704804298</v>
      </c>
    </row>
    <row r="272" customFormat="false" ht="15" hidden="false" customHeight="false" outlineLevel="0" collapsed="false">
      <c r="A272" s="8" t="n">
        <f aca="false">Base!A272</f>
        <v>46234</v>
      </c>
      <c r="B272" s="10" t="n">
        <f aca="false">IF(Base!T272="","",Base!T272)</f>
        <v>0.552279397999985</v>
      </c>
      <c r="C272" s="11" t="n">
        <f aca="false">IF(B272="","",LN(B272))</f>
        <v>-0.593701204961605</v>
      </c>
      <c r="D272" s="13" t="n">
        <f aca="false">IF(OR(C272="",C271=""),"",C272-C271)</f>
        <v>0.0922436704804298</v>
      </c>
      <c r="E272" s="12" t="n">
        <f aca="false">IF(Base!U272="","",Base!U272)</f>
        <v>83.76</v>
      </c>
      <c r="F272" s="11" t="n">
        <f aca="false">IF(E272="","",LN(E272))</f>
        <v>4.42795556656228</v>
      </c>
      <c r="G272" s="13" t="n">
        <f aca="false">IF(OR(F272="",F271=""),"",F272-F271)</f>
        <v>-0.0193905342322429</v>
      </c>
      <c r="H272" s="10" t="n">
        <f aca="false">IF(COUNT(D$75:D271)&lt;36,"",SLOPE(D$75:D271,G$75:G271))</f>
        <v>0.0946911969721387</v>
      </c>
      <c r="I272" s="13" t="n">
        <f aca="false">IF(OR(D272="",H272="",G272=""),"",D272-H272*G272)</f>
        <v>0.0940797833768101</v>
      </c>
      <c r="J272" s="10" t="n">
        <f aca="false">IF(COUNT(Senal!V260:V271)=0,"",AVERAGE(Senal!V260:V271))</f>
        <v>0.0652485054243601</v>
      </c>
      <c r="K272" s="10" t="n">
        <f aca="false">IF(J272="","",ABS(J272))</f>
        <v>0.0652485054243601</v>
      </c>
      <c r="L272" s="10" t="n">
        <f aca="false">IF(OR(J272="",J271=""),"",ABS(J272-J271))</f>
        <v>0</v>
      </c>
      <c r="M272" s="13" t="n">
        <f aca="false">IF(OR(J272="",I272=""),"",J272*I272-IF(L272="",0,L272)*Resumen!$B$8/10000)</f>
        <v>0.00613856525598441</v>
      </c>
      <c r="N272" s="13" t="n">
        <f aca="false">IF(OR(J272="",D272=""),"",J272*D272-IF(L272="",0,L272)*Resumen!$B$8/10000)</f>
        <v>0.00601876163370521</v>
      </c>
      <c r="O272" s="13" t="n">
        <f aca="false">IF(M272="","",IF(COUNT(O$2:O271)=0,M272,SUM(M$2:M272)))</f>
        <v>0.580352593122448</v>
      </c>
      <c r="P272" s="13" t="n">
        <f aca="false">IF(O272="","",MAX(O$2:O272))</f>
        <v>0.590359406854989</v>
      </c>
      <c r="Q272" s="13" t="n">
        <f aca="false">IF(O272="","",O272-P272)</f>
        <v>-0.0100068137325404</v>
      </c>
      <c r="R272" s="13" t="n">
        <f aca="false">IF(COUNT(I273:I273)&lt;1,"",SUM(I273:I273))</f>
        <v>0.0445575197625992</v>
      </c>
      <c r="V272" s="13" t="n">
        <f aca="false">IF(N272="","",SUM(N$2:N272))</f>
        <v>0.560244942495554</v>
      </c>
      <c r="W272" s="13" t="n">
        <f aca="false">IF(V272="","",MAX(V$2:V272))</f>
        <v>0.569389646662354</v>
      </c>
      <c r="X272" s="13" t="n">
        <f aca="false">IF(V272="","",V272-W272)</f>
        <v>-0.00914470416680047</v>
      </c>
      <c r="Y272" s="13" t="n">
        <f aca="false">IF(COUNT(D273:D273)&lt;1,"",SUM(D273:D273))</f>
        <v>0.052420617761305</v>
      </c>
    </row>
    <row r="273" customFormat="false" ht="15" hidden="false" customHeight="false" outlineLevel="0" collapsed="false">
      <c r="A273" s="8" t="n">
        <f aca="false">Base!A273</f>
        <v>46265</v>
      </c>
      <c r="B273" s="10" t="n">
        <f aca="false">IF(Base!T273="","",Base!T273)</f>
        <v>0.582002470042574</v>
      </c>
      <c r="C273" s="11" t="n">
        <f aca="false">IF(B273="","",LN(B273))</f>
        <v>-0.5412805872003</v>
      </c>
      <c r="D273" s="13" t="n">
        <f aca="false">IF(OR(C273="",C272=""),"",C273-C272)</f>
        <v>0.052420617761305</v>
      </c>
      <c r="E273" s="12" t="n">
        <f aca="false">IF(Base!U273="","",Base!U273)</f>
        <v>91.08</v>
      </c>
      <c r="F273" s="11" t="n">
        <f aca="false">IF(E273="","",LN(E273))</f>
        <v>4.51173824119554</v>
      </c>
      <c r="G273" s="13" t="n">
        <f aca="false">IF(OR(F273="",F272=""),"",F273-F272)</f>
        <v>0.0837826746332571</v>
      </c>
      <c r="H273" s="10" t="n">
        <f aca="false">IF(COUNT(D$75:D272)&lt;36,"",SLOPE(D$75:D272,G$75:G272))</f>
        <v>0.0938511217638384</v>
      </c>
      <c r="I273" s="13" t="n">
        <f aca="false">IF(OR(D273="",H273="",G273=""),"",D273-H273*G273)</f>
        <v>0.0445575197625992</v>
      </c>
      <c r="J273" s="10" t="n">
        <f aca="false">IF(COUNT(Senal!V261:V272)=0,"",AVERAGE(Senal!V261:V272))</f>
        <v>0.0652485054243601</v>
      </c>
      <c r="K273" s="10" t="n">
        <f aca="false">IF(J273="","",ABS(J273))</f>
        <v>0.0652485054243601</v>
      </c>
      <c r="L273" s="10" t="n">
        <f aca="false">IF(OR(J273="",J272=""),"",ABS(J273-J272))</f>
        <v>0</v>
      </c>
      <c r="M273" s="13" t="n">
        <f aca="false">IF(OR(J273="",I273=""),"",J273*I273-IF(L273="",0,L273)*Resumen!$B$8/10000)</f>
        <v>0.00290731156992598</v>
      </c>
      <c r="N273" s="13" t="n">
        <f aca="false">IF(OR(J273="",D273=""),"",J273*D273-IF(L273="",0,L273)*Resumen!$B$8/10000)</f>
        <v>0.00342036696234682</v>
      </c>
      <c r="O273" s="13" t="n">
        <f aca="false">IF(M273="","",IF(COUNT(O$2:O272)=0,M273,SUM(M$2:M273)))</f>
        <v>0.583259904692374</v>
      </c>
      <c r="P273" s="13" t="n">
        <f aca="false">IF(O273="","",MAX(O$2:O273))</f>
        <v>0.590359406854989</v>
      </c>
      <c r="Q273" s="13" t="n">
        <f aca="false">IF(O273="","",O273-P273)</f>
        <v>-0.00709950216261446</v>
      </c>
      <c r="V273" s="13" t="n">
        <f aca="false">IF(N273="","",SUM(N$2:N273))</f>
        <v>0.5636653094579</v>
      </c>
      <c r="W273" s="13" t="n">
        <f aca="false">IF(V273="","",MAX(V$2:V273))</f>
        <v>0.569389646662354</v>
      </c>
      <c r="X273" s="13" t="n">
        <f aca="false">IF(V273="","",V273-W273)</f>
        <v>-0.00572433720445364</v>
      </c>
    </row>
    <row r="275" customFormat="false" ht="15" hidden="false" customHeight="false" outlineLevel="0" collapsed="false">
      <c r="A275" s="6" t="s">
        <v>127</v>
      </c>
    </row>
    <row r="276" customFormat="false" ht="15" hidden="false" customHeight="false" outlineLevel="0" collapsed="false">
      <c r="A276" s="6" t="s">
        <v>128</v>
      </c>
    </row>
    <row r="277" customFormat="false" ht="15" hidden="false" customHeight="false" outlineLevel="0" collapsed="false">
      <c r="A277" s="6" t="s">
        <v>129</v>
      </c>
    </row>
    <row r="278" customFormat="false" ht="15" hidden="false" customHeight="false" outlineLevel="0" collapsed="false">
      <c r="A278" s="6" t="s">
        <v>130</v>
      </c>
    </row>
    <row r="279" customFormat="false" ht="15" hidden="false" customHeight="false" outlineLevel="0" collapsed="false">
      <c r="A279" s="6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4"/>
    <col collapsed="false" customWidth="true" hidden="false" outlineLevel="0" max="4" min="4" style="0" width="4"/>
    <col collapsed="false" customWidth="true" hidden="false" outlineLevel="0" max="5" min="5" style="0" width="16"/>
    <col collapsed="false" customWidth="true" hidden="false" outlineLevel="0" max="7" min="6" style="0" width="14"/>
  </cols>
  <sheetData>
    <row r="1" customFormat="false" ht="16.15" hidden="false" customHeight="false" outlineLevel="0" collapsed="false">
      <c r="A1" s="14" t="s">
        <v>132</v>
      </c>
    </row>
    <row r="2" customFormat="false" ht="15" hidden="false" customHeight="false" outlineLevel="0" collapsed="false">
      <c r="A2" s="6" t="s">
        <v>133</v>
      </c>
    </row>
    <row r="5" customFormat="false" ht="15" hidden="false" customHeight="false" outlineLevel="0" collapsed="false">
      <c r="A5" s="15" t="s">
        <v>134</v>
      </c>
    </row>
    <row r="6" customFormat="false" ht="15" hidden="false" customHeight="false" outlineLevel="0" collapsed="false">
      <c r="A6" s="16" t="s">
        <v>135</v>
      </c>
      <c r="B6" s="17" t="n">
        <v>0.2</v>
      </c>
    </row>
    <row r="7" customFormat="false" ht="15" hidden="false" customHeight="false" outlineLevel="0" collapsed="false">
      <c r="A7" s="16" t="s">
        <v>136</v>
      </c>
      <c r="B7" s="18" t="n">
        <v>12</v>
      </c>
      <c r="C7" s="19" t="s">
        <v>137</v>
      </c>
    </row>
    <row r="8" customFormat="false" ht="15" hidden="false" customHeight="false" outlineLevel="0" collapsed="false">
      <c r="A8" s="16" t="s">
        <v>138</v>
      </c>
      <c r="B8" s="18" t="n">
        <v>30</v>
      </c>
    </row>
    <row r="10" customFormat="false" ht="15" hidden="false" customHeight="false" outlineLevel="0" collapsed="false">
      <c r="A10" s="15" t="s">
        <v>139</v>
      </c>
    </row>
    <row r="11" customFormat="false" ht="15" hidden="false" customHeight="false" outlineLevel="0" collapsed="false">
      <c r="B11" s="20" t="s">
        <v>140</v>
      </c>
      <c r="C11" s="20" t="s">
        <v>141</v>
      </c>
    </row>
    <row r="12" customFormat="false" ht="15" hidden="false" customHeight="false" outlineLevel="0" collapsed="false">
      <c r="A12" s="16" t="s">
        <v>142</v>
      </c>
      <c r="B12" s="21" t="n">
        <f aca="false">COUNT(Backtest!M$2:M$273)</f>
        <v>163</v>
      </c>
      <c r="C12" s="21" t="n">
        <f aca="false">COUNT(Backtest!N$2:N$273)</f>
        <v>199</v>
      </c>
    </row>
    <row r="13" customFormat="false" ht="15" hidden="false" customHeight="false" outlineLevel="0" collapsed="false">
      <c r="A13" s="16" t="s">
        <v>143</v>
      </c>
      <c r="B13" s="13" t="n">
        <f aca="false">AVERAGE(Backtest!M$2:M$273)*12</f>
        <v>0.0429393794865552</v>
      </c>
      <c r="C13" s="13" t="n">
        <f aca="false">AVERAGE(Backtest!N$2:N$273)*12</f>
        <v>0.0339898679070091</v>
      </c>
    </row>
    <row r="14" customFormat="false" ht="15" hidden="false" customHeight="false" outlineLevel="0" collapsed="false">
      <c r="A14" s="16" t="s">
        <v>144</v>
      </c>
      <c r="B14" s="13" t="n">
        <f aca="false">STDEV(Backtest!M$2:M$273)*SQRT(12)</f>
        <v>0.0754208711925906</v>
      </c>
      <c r="C14" s="13" t="n">
        <f aca="false">STDEV(Backtest!N$2:N$273)*SQRT(12)</f>
        <v>0.0665997104396171</v>
      </c>
    </row>
    <row r="15" customFormat="false" ht="15" hidden="false" customHeight="false" outlineLevel="0" collapsed="false">
      <c r="A15" s="16" t="s">
        <v>145</v>
      </c>
      <c r="B15" s="22" t="n">
        <f aca="false">B13/B14</f>
        <v>0.56933019743179</v>
      </c>
      <c r="C15" s="22" t="n">
        <f aca="false">C13/C14</f>
        <v>0.510360595904184</v>
      </c>
    </row>
    <row r="16" customFormat="false" ht="15" hidden="false" customHeight="false" outlineLevel="0" collapsed="false">
      <c r="A16" s="16" t="s">
        <v>146</v>
      </c>
      <c r="B16" s="23" t="n">
        <f aca="false">MIN(Backtest!Q$2:Q$273)</f>
        <v>-0.0827992619585396</v>
      </c>
      <c r="C16" s="23" t="n">
        <f aca="false">MIN(Backtest!X$2:X$273)</f>
        <v>-0.0781538811036063</v>
      </c>
    </row>
    <row r="17" customFormat="false" ht="15" hidden="false" customHeight="false" outlineLevel="0" collapsed="false">
      <c r="A17" s="16" t="s">
        <v>147</v>
      </c>
      <c r="B17" s="22" t="n">
        <f aca="false">SUM(Backtest!L$2:L$273)/(COUNT(Backtest!L$2:L$273)/12)</f>
        <v>0.400238192026206</v>
      </c>
      <c r="C17" s="22" t="n">
        <f aca="false">B17</f>
        <v>0.400238192026206</v>
      </c>
    </row>
    <row r="18" customFormat="false" ht="15" hidden="false" customHeight="false" outlineLevel="0" collapsed="false">
      <c r="A18" s="16" t="s">
        <v>148</v>
      </c>
      <c r="B18" s="10" t="n">
        <f aca="false">AVERAGE(Backtest!K$2:K$273)</f>
        <v>0.225718526097067</v>
      </c>
      <c r="C18" s="10" t="n">
        <f aca="false">B18</f>
        <v>0.225718526097067</v>
      </c>
    </row>
    <row r="20" customFormat="false" ht="15" hidden="false" customHeight="false" outlineLevel="0" collapsed="false">
      <c r="A20" s="15" t="s">
        <v>149</v>
      </c>
    </row>
    <row r="21" customFormat="false" ht="15" hidden="false" customHeight="false" outlineLevel="0" collapsed="false">
      <c r="A21" s="16" t="s">
        <v>150</v>
      </c>
      <c r="B21" s="13" t="n">
        <f aca="false">B13*$B$6</f>
        <v>0.00858787589731103</v>
      </c>
      <c r="C21" s="13" t="n">
        <f aca="false">C13*$B$6</f>
        <v>0.00679797358140181</v>
      </c>
    </row>
    <row r="22" customFormat="false" ht="15" hidden="false" customHeight="false" outlineLevel="0" collapsed="false">
      <c r="A22" s="16" t="s">
        <v>151</v>
      </c>
      <c r="B22" s="13" t="n">
        <f aca="false">B14*$B$6</f>
        <v>0.0150841742385181</v>
      </c>
      <c r="C22" s="13" t="n">
        <f aca="false">C14*$B$6</f>
        <v>0.0133199420879234</v>
      </c>
    </row>
    <row r="23" customFormat="false" ht="15" hidden="false" customHeight="false" outlineLevel="0" collapsed="false">
      <c r="A23" s="16" t="s">
        <v>152</v>
      </c>
      <c r="B23" s="22" t="n">
        <f aca="false">B15</f>
        <v>0.56933019743179</v>
      </c>
      <c r="C23" s="22" t="n">
        <f aca="false">C15</f>
        <v>0.510360595904184</v>
      </c>
    </row>
    <row r="24" customFormat="false" ht="15" hidden="false" customHeight="false" outlineLevel="0" collapsed="false">
      <c r="A24" s="16" t="s">
        <v>153</v>
      </c>
      <c r="B24" s="23" t="n">
        <f aca="false">B17*$B$6</f>
        <v>0.0800476384052412</v>
      </c>
    </row>
    <row r="25" customFormat="false" ht="15" hidden="false" customHeight="false" outlineLevel="0" collapsed="false">
      <c r="A25" s="16" t="s">
        <v>154</v>
      </c>
      <c r="B25" s="23" t="n">
        <f aca="false">MAX(Backtest!K$2:K$273)*$B$6</f>
        <v>0.2</v>
      </c>
    </row>
    <row r="28" customFormat="false" ht="15" hidden="false" customHeight="false" outlineLevel="0" collapsed="false">
      <c r="A28" s="15" t="s">
        <v>155</v>
      </c>
    </row>
    <row r="29" customFormat="false" ht="15" hidden="false" customHeight="false" outlineLevel="0" collapsed="false">
      <c r="B29" s="24" t="s">
        <v>140</v>
      </c>
      <c r="C29" s="24" t="s">
        <v>141</v>
      </c>
    </row>
    <row r="30" customFormat="false" ht="15" hidden="false" customHeight="false" outlineLevel="0" collapsed="false">
      <c r="A30" s="16" t="s">
        <v>156</v>
      </c>
      <c r="B30" s="10" t="n">
        <f aca="false">CORREL(Senal!$U$74:$U$273,Backtest!$R$74:$R$273)</f>
        <v>0.10170498851926</v>
      </c>
      <c r="C30" s="10" t="n">
        <f aca="false">CORREL(Senal!$U$74:$U$273,Backtest!$Y$74:$Y$273)</f>
        <v>0.0887552592870076</v>
      </c>
    </row>
    <row r="31" customFormat="false" ht="15" hidden="false" customHeight="false" outlineLevel="0" collapsed="false">
      <c r="A31" s="16" t="s">
        <v>157</v>
      </c>
      <c r="B31" s="10" t="n">
        <f aca="false">CORREL(Senal!$U$74:$U$273,Backtest!$S$74:$S$273)</f>
        <v>0.205273886828713</v>
      </c>
      <c r="C31" s="10" t="n">
        <f aca="false">CORREL(Senal!$U$74:$U$273,Backtest!$Z$74:$Z$273)</f>
        <v>0.172016009247995</v>
      </c>
    </row>
    <row r="32" customFormat="false" ht="15" hidden="false" customHeight="false" outlineLevel="0" collapsed="false">
      <c r="A32" s="16" t="s">
        <v>158</v>
      </c>
      <c r="B32" s="10" t="n">
        <f aca="false">CORREL(Senal!$U$74:$U$273,Backtest!$T$74:$T$273)</f>
        <v>0.276655722994114</v>
      </c>
      <c r="C32" s="10" t="n">
        <f aca="false">CORREL(Senal!$U$74:$U$273,Backtest!$AA$74:$AA$273)</f>
        <v>0.226956362217073</v>
      </c>
    </row>
    <row r="33" customFormat="false" ht="15" hidden="false" customHeight="false" outlineLevel="0" collapsed="false">
      <c r="A33" s="16" t="s">
        <v>159</v>
      </c>
      <c r="B33" s="10" t="n">
        <f aca="false">CORREL(Senal!$U$74:$U$273,Backtest!$U$74:$U$273)</f>
        <v>0.546370765995559</v>
      </c>
      <c r="C33" s="10" t="n">
        <f aca="false">CORREL(Senal!$U$74:$U$273,Backtest!$AB$74:$AB$273)</f>
        <v>0.395442217599512</v>
      </c>
    </row>
    <row r="36" customFormat="false" ht="15" hidden="false" customHeight="false" outlineLevel="0" collapsed="false">
      <c r="A36" s="15" t="s">
        <v>160</v>
      </c>
    </row>
    <row r="37" customFormat="false" ht="15" hidden="false" customHeight="false" outlineLevel="0" collapsed="false">
      <c r="A37" s="16" t="s">
        <v>161</v>
      </c>
      <c r="B37" s="10" t="n">
        <f aca="false">CORREL(Senal!$W$74:$W$273,Backtest!$U$74:$U$273)</f>
        <v>0.494469211810816</v>
      </c>
      <c r="C37" s="6" t="s">
        <v>162</v>
      </c>
    </row>
    <row r="40" customFormat="false" ht="15" hidden="false" customHeight="false" outlineLevel="0" collapsed="false">
      <c r="A40" s="15" t="s">
        <v>163</v>
      </c>
    </row>
    <row r="41" customFormat="false" ht="15" hidden="false" customHeight="false" outlineLevel="0" collapsed="false">
      <c r="A41" s="16" t="s">
        <v>164</v>
      </c>
      <c r="B41" s="25" t="n">
        <f aca="false">Base!A273</f>
        <v>46265</v>
      </c>
    </row>
    <row r="42" customFormat="false" ht="15" hidden="false" customHeight="false" outlineLevel="0" collapsed="false">
      <c r="A42" s="16" t="s">
        <v>165</v>
      </c>
      <c r="B42" s="10" t="n">
        <f aca="false">Senal!R273</f>
        <v>0.277203661752858</v>
      </c>
    </row>
    <row r="43" customFormat="false" ht="15" hidden="false" customHeight="false" outlineLevel="0" collapsed="false">
      <c r="A43" s="16" t="s">
        <v>90</v>
      </c>
      <c r="B43" s="10" t="n">
        <f aca="false">Senal!T273</f>
        <v>0.351808987445821</v>
      </c>
    </row>
    <row r="44" customFormat="false" ht="15" hidden="false" customHeight="false" outlineLevel="0" collapsed="false">
      <c r="A44" s="16" t="s">
        <v>91</v>
      </c>
      <c r="B44" s="10" t="n">
        <f aca="false">Senal!U273</f>
        <v>0</v>
      </c>
    </row>
    <row r="45" customFormat="false" ht="15" hidden="false" customHeight="false" outlineLevel="0" collapsed="false">
      <c r="A45" s="16" t="s">
        <v>166</v>
      </c>
      <c r="B45" s="10" t="n">
        <f aca="false">Backtest!J273</f>
        <v>0.0652485054243601</v>
      </c>
    </row>
    <row r="46" customFormat="false" ht="15" hidden="false" customHeight="false" outlineLevel="0" collapsed="false">
      <c r="A46" s="16" t="s">
        <v>167</v>
      </c>
      <c r="B46" s="23" t="n">
        <f aca="false">Backtest!J273*$B$6</f>
        <v>0.013049701084872</v>
      </c>
    </row>
    <row r="49" customFormat="false" ht="15" hidden="false" customHeight="false" outlineLevel="0" collapsed="false">
      <c r="A49" s="15" t="s">
        <v>168</v>
      </c>
    </row>
    <row r="50" customFormat="false" ht="15" hidden="false" customHeight="false" outlineLevel="0" collapsed="false">
      <c r="A50" s="26" t="s">
        <v>169</v>
      </c>
    </row>
    <row r="51" customFormat="false" ht="15" hidden="false" customHeight="false" outlineLevel="0" collapsed="false">
      <c r="A51" s="26" t="s">
        <v>170</v>
      </c>
    </row>
    <row r="52" customFormat="false" ht="15" hidden="false" customHeight="false" outlineLevel="0" collapsed="false">
      <c r="A52" s="26" t="s">
        <v>171</v>
      </c>
    </row>
    <row r="53" customFormat="false" ht="15" hidden="false" customHeight="false" outlineLevel="0" collapsed="false">
      <c r="A53" s="26" t="s">
        <v>172</v>
      </c>
    </row>
    <row r="54" customFormat="false" ht="15" hidden="false" customHeight="false" outlineLevel="0" collapsed="false">
      <c r="A54" s="26" t="s">
        <v>173</v>
      </c>
    </row>
    <row r="55" customFormat="false" ht="15" hidden="false" customHeight="false" outlineLevel="0" collapsed="false">
      <c r="A55" s="26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2026-09-18T22:08:32Z</dcterms:created>
  <dc:creator>openpyxl</dc:creator>
  <dc:description/>
  <dc:language>en-US</dc:language>
  <cp:lastModifiedBy/>
  <dcterms:modified xsi:type="dcterms:W3CDTF">2026-09-18T22:08:35Z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